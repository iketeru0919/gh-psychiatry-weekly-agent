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/comment3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00_使い方" sheetId="1" state="visible" r:id="rId1"/>
    <sheet name="01_予約入力" sheetId="2" state="visible" r:id="rId2"/>
    <sheet name="02_カレンダー" sheetId="3" state="visible" r:id="rId3"/>
    <sheet name="03_帯表" sheetId="4" state="visible" r:id="rId4"/>
    <sheet name="04_月間表" sheetId="5" state="visible" r:id="rId5"/>
    <sheet name="05_空室照会" sheetId="6" state="visible" r:id="rId6"/>
    <sheet name="06_食数表" sheetId="7" state="visible" r:id="rId7"/>
    <sheet name="07_月次集計" sheetId="8" state="visible" r:id="rId8"/>
    <sheet name="08_支給量管理" sheetId="9" state="visible" r:id="rId9"/>
    <sheet name="09_FAX空き表" sheetId="10" state="visible" r:id="rId10"/>
    <sheet name="M_施設設定" sheetId="11" state="visible" r:id="rId11"/>
    <sheet name="M_部屋" sheetId="12" state="visible" r:id="rId12"/>
    <sheet name="利用者マスタ" sheetId="13" state="visible" r:id="rId13"/>
    <sheet name="M_区分" sheetId="14" state="visible" r:id="rId14"/>
    <sheet name="M_送迎" sheetId="15" state="visible" r:id="rId15"/>
    <sheet name="M_状態" sheetId="16" state="visible" r:id="rId16"/>
    <sheet name="M_FAX送付先" sheetId="17" state="visible" r:id="rId17"/>
  </sheets>
  <definedNames>
    <definedName name="氏名一覧">OFFSET('利用者マスタ'!$A$4,0,0,MAX(1,COUNTA('利用者マスタ'!$A$4:$A$60)),1)</definedName>
    <definedName name="部屋一覧">OFFSET('M_部屋'!$A$4,0,0,MAX(1,COUNTA('M_部屋'!$A$4:$A$20)),1)</definedName>
    <definedName name="区分一覧">OFFSET('M_区分'!$A$4,0,0,MAX(1,COUNTA('M_区分'!$A$4:$A$20)),1)</definedName>
    <definedName name="送迎一覧">OFFSET('M_送迎'!$A$4,0,0,MAX(1,COUNTA('M_送迎'!$A$4:$A$15)),1)</definedName>
    <definedName name="状態一覧">'M_状態'!$A$4:$A$8</definedName>
    <definedName name="送付先一覧">OFFSET('M_FAX送付先'!$A$4,0,0,MAX(1,COUNTA('M_FAX送付先'!$A$4:$A$24)),1)</definedName>
    <definedName name="_xlnm._FilterDatabase" localSheetId="1" hidden="1">'01_予約入力'!$A$4:$AA$404</definedName>
    <definedName name="_xlnm.Print_Area" localSheetId="2">'02_カレンダー'!$A$1:$H$55</definedName>
    <definedName name="_xlnm.Print_Area" localSheetId="3">'03_帯表'!$A$1:$AG$72</definedName>
    <definedName name="_xlnm.Print_Area" localSheetId="4">'04_月間表'!$A$1:$K$37</definedName>
    <definedName name="_xlnm.Print_Area" localSheetId="6">'06_食数表'!$A$1:$F$38</definedName>
    <definedName name="_xlnm.Print_Area" localSheetId="7">'07_月次集計'!$A$1:$G$59</definedName>
    <definedName name="_xlnm.Print_Area" localSheetId="9">'09_FAX空き表'!$A$1:$H$44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/mm"/>
    <numFmt numFmtId="165" formatCode="yyyy/mm/dd"/>
    <numFmt numFmtId="166" formatCode="d"/>
    <numFmt numFmtId="167" formatCode="0.0%"/>
  </numFmts>
  <fonts count="33">
    <font>
      <name val="Calibri"/>
      <family val="2"/>
      <color theme="1"/>
      <sz val="11"/>
      <scheme val="minor"/>
    </font>
    <font>
      <name val="Meiryo"/>
      <b val="1"/>
      <color rgb="001F3B52"/>
      <sz val="13"/>
    </font>
    <font>
      <name val="Meiryo"/>
      <color rgb="00666666"/>
      <sz val="9"/>
    </font>
    <font>
      <name val="Meiryo"/>
      <b val="1"/>
      <color rgb="001F3B52"/>
      <sz val="10"/>
    </font>
    <font>
      <name val="Meiryo"/>
      <b val="1"/>
      <sz val="10"/>
    </font>
    <font>
      <name val="Meiryo"/>
      <sz val="10"/>
    </font>
    <font>
      <name val="Meiryo"/>
      <i val="1"/>
      <color rgb="00666666"/>
      <sz val="10"/>
    </font>
    <font>
      <name val="Meiryo"/>
      <b val="1"/>
      <color rgb="00FFFFFF"/>
      <sz val="10"/>
    </font>
    <font>
      <name val="Meiryo"/>
      <b val="1"/>
      <color rgb="008A6D3B"/>
      <sz val="11"/>
    </font>
    <font>
      <name val="Meiryo"/>
      <b val="1"/>
      <color rgb="00B03A2E"/>
      <sz val="10"/>
    </font>
    <font>
      <name val="Meiryo"/>
      <b val="1"/>
      <color rgb="00FFE0E0"/>
      <sz val="11"/>
    </font>
    <font>
      <name val="Meiryo"/>
      <b val="1"/>
      <color rgb="00FFFFFF"/>
      <sz val="11"/>
    </font>
    <font>
      <name val="Meiryo"/>
      <b val="1"/>
      <color rgb="00DDEBFF"/>
      <sz val="11"/>
    </font>
    <font>
      <name val="Meiryo"/>
      <b val="1"/>
      <color rgb="00A93226"/>
      <sz val="14"/>
    </font>
    <font>
      <name val="Meiryo"/>
      <b val="1"/>
      <sz val="14"/>
    </font>
    <font>
      <name val="Meiryo"/>
      <color rgb="006B5B3E"/>
      <sz val="9"/>
    </font>
    <font>
      <name val="Meiryo"/>
      <b val="1"/>
      <color rgb="00333333"/>
      <sz val="14"/>
    </font>
    <font>
      <name val="Meiryo"/>
      <b val="1"/>
      <color rgb="001F618D"/>
      <sz val="14"/>
    </font>
    <font>
      <name val="Meiryo"/>
      <b val="1"/>
      <sz val="9"/>
    </font>
    <font>
      <name val="Meiryo"/>
      <sz val="9"/>
    </font>
    <font>
      <name val="Meiryo"/>
      <b val="1"/>
      <color rgb="0012395B"/>
      <sz val="11"/>
    </font>
    <font>
      <name val="Meiryo"/>
      <b val="1"/>
      <color rgb="001F3B52"/>
      <sz val="11"/>
    </font>
    <font>
      <name val="Meiryo"/>
      <b val="1"/>
      <sz val="11"/>
    </font>
    <font>
      <name val="Meiryo"/>
      <b val="1"/>
      <color rgb="001F3B52"/>
      <sz val="12"/>
    </font>
    <font>
      <name val="Meiryo"/>
      <b val="1"/>
      <color rgb="001F3B52"/>
      <sz val="16"/>
    </font>
    <font>
      <name val="Meiryo"/>
      <b val="1"/>
      <sz val="12"/>
    </font>
    <font>
      <name val="Meiryo"/>
      <color rgb="00555555"/>
      <sz val="8.5"/>
    </font>
    <font>
      <name val="Meiryo"/>
      <sz val="10.5"/>
    </font>
    <font>
      <name val="Meiryo"/>
      <b val="1"/>
      <color rgb="00A93226"/>
      <sz val="9"/>
    </font>
    <font>
      <name val="Meiryo"/>
      <b val="1"/>
      <color rgb="00222222"/>
      <sz val="16"/>
    </font>
    <font>
      <name val="Meiryo"/>
      <b val="1"/>
      <color rgb="00444444"/>
      <sz val="9"/>
    </font>
    <font>
      <name val="Meiryo"/>
      <b val="1"/>
      <color rgb="001F618D"/>
      <sz val="9"/>
    </font>
    <font>
      <name val="Meiryo"/>
      <b val="1"/>
      <sz val="9.5"/>
    </font>
  </fonts>
  <fills count="17">
    <fill>
      <patternFill/>
    </fill>
    <fill>
      <patternFill patternType="gray125"/>
    </fill>
    <fill>
      <patternFill patternType="solid">
        <fgColor rgb="00DCE6EF"/>
        <bgColor rgb="00DCE6EF"/>
      </patternFill>
    </fill>
    <fill>
      <patternFill patternType="solid">
        <fgColor rgb="00FFF7DD"/>
        <bgColor rgb="00FFF7DD"/>
      </patternFill>
    </fill>
    <fill>
      <patternFill patternType="solid">
        <fgColor rgb="00F2F2F2"/>
        <bgColor rgb="00F2F2F2"/>
      </patternFill>
    </fill>
    <fill>
      <patternFill patternType="solid">
        <fgColor rgb="002F6690"/>
        <bgColor rgb="002F6690"/>
      </patternFill>
    </fill>
    <fill>
      <patternFill patternType="solid">
        <fgColor rgb="00CFE0F3"/>
        <bgColor rgb="00CFE0F3"/>
      </patternFill>
    </fill>
    <fill>
      <patternFill patternType="solid">
        <fgColor rgb="00D3EBD8"/>
        <bgColor rgb="00D3EBD8"/>
      </patternFill>
    </fill>
    <fill>
      <patternFill patternType="solid">
        <fgColor rgb="00E5D8F0"/>
        <bgColor rgb="00E5D8F0"/>
      </patternFill>
    </fill>
    <fill>
      <patternFill patternType="solid">
        <fgColor rgb="00FAE0C3"/>
        <bgColor rgb="00FAE0C3"/>
      </patternFill>
    </fill>
    <fill>
      <patternFill patternType="solid">
        <fgColor rgb="00FBF3E4"/>
        <bgColor rgb="00FBF3E4"/>
      </patternFill>
    </fill>
    <fill>
      <patternFill patternType="solid">
        <fgColor rgb="00A93226"/>
        <bgColor rgb="00A93226"/>
      </patternFill>
    </fill>
    <fill>
      <patternFill patternType="solid">
        <fgColor rgb="001F618D"/>
        <bgColor rgb="001F618D"/>
      </patternFill>
    </fill>
    <fill>
      <patternFill patternType="solid">
        <fgColor rgb="00EDE7DC"/>
        <bgColor rgb="00EDE7DC"/>
      </patternFill>
    </fill>
    <fill>
      <patternFill patternType="solid">
        <fgColor rgb="00F4F7FA"/>
        <bgColor rgb="00F4F7FA"/>
      </patternFill>
    </fill>
    <fill>
      <patternFill patternType="solid">
        <fgColor rgb="00FBF8F2"/>
        <bgColor rgb="00FBF8F2"/>
      </patternFill>
    </fill>
    <fill>
      <patternFill patternType="solid">
        <fgColor rgb="00F7F9FB"/>
        <bgColor rgb="00F7F9FB"/>
      </patternFill>
    </fill>
  </fills>
  <borders count="4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2F6690"/>
      </left>
      <right style="medium">
        <color rgb="002F6690"/>
      </right>
      <top style="medium">
        <color rgb="002F6690"/>
      </top>
      <bottom style="thin">
        <color rgb="00BFBFBF"/>
      </bottom>
    </border>
    <border>
      <left style="medium">
        <color rgb="002F6690"/>
      </left>
      <right style="medium">
        <color rgb="002F6690"/>
      </right>
      <top style="hair">
        <color rgb="00D9D9D9"/>
      </top>
      <bottom style="hair">
        <color rgb="00D9D9D9"/>
      </bottom>
    </border>
    <border>
      <left style="medium">
        <color rgb="002F6690"/>
      </left>
      <right style="medium">
        <color rgb="002F6690"/>
      </right>
      <top style="thin">
        <color rgb="00BFBFBF"/>
      </top>
      <bottom style="thin">
        <color rgb="00BFBFBF"/>
      </bottom>
    </border>
    <border>
      <left style="medium">
        <color rgb="002F6690"/>
      </left>
      <right style="medium">
        <color rgb="002F6690"/>
      </right>
      <top style="thin">
        <color rgb="00BFBFBF"/>
      </top>
      <bottom style="medium">
        <color rgb="002F6690"/>
      </bottom>
    </border>
    <border>
      <left style="hair">
        <color rgb="00D9D9D9"/>
      </left>
      <right style="hair">
        <color rgb="00D9D9D9"/>
      </right>
      <top style="hair">
        <color rgb="00D9D9D9"/>
      </top>
      <bottom style="hair">
        <color rgb="00D9D9D9"/>
      </bottom>
    </border>
    <border>
      <bottom style="medium">
        <color rgb="00333333"/>
      </bottom>
    </border>
    <border>
      <left style="medium">
        <color rgb="00333333"/>
      </left>
      <right style="thin">
        <color rgb="00808080"/>
      </right>
      <top style="medium">
        <color rgb="00333333"/>
      </top>
      <bottom style="thin">
        <color rgb="00808080"/>
      </bottom>
    </border>
    <border>
      <left style="thin">
        <color rgb="00808080"/>
      </left>
      <right style="thin">
        <color rgb="00808080"/>
      </right>
      <top style="medium">
        <color rgb="00333333"/>
      </top>
      <bottom style="thin">
        <color rgb="00808080"/>
      </bottom>
    </border>
    <border>
      <left style="thin">
        <color rgb="00808080"/>
      </left>
      <right style="medium">
        <color rgb="00333333"/>
      </right>
      <top style="medium">
        <color rgb="00333333"/>
      </top>
      <bottom style="thin">
        <color rgb="00808080"/>
      </bottom>
    </border>
    <border>
      <left style="medium">
        <color rgb="00333333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 style="medium">
        <color rgb="00333333"/>
      </right>
      <top style="thin">
        <color rgb="00808080"/>
      </top>
      <bottom style="thin">
        <color rgb="00808080"/>
      </bottom>
    </border>
    <border>
      <left style="medium">
        <color rgb="00333333"/>
      </left>
      <right style="thin">
        <color rgb="00808080"/>
      </right>
      <top style="thin">
        <color rgb="00808080"/>
      </top>
      <bottom style="medium">
        <color rgb="00333333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medium">
        <color rgb="00333333"/>
      </bottom>
    </border>
    <border>
      <left style="thin">
        <color rgb="00808080"/>
      </left>
      <right style="medium">
        <color rgb="00333333"/>
      </right>
      <top style="thin">
        <color rgb="00808080"/>
      </top>
      <bottom style="medium">
        <color rgb="00333333"/>
      </bottom>
    </border>
    <border>
      <left style="medium">
        <color rgb="00333333"/>
      </left>
      <top style="medium">
        <color rgb="00333333"/>
      </top>
    </border>
    <border>
      <top style="medium">
        <color rgb="00333333"/>
      </top>
    </border>
    <border>
      <right style="medium">
        <color rgb="00333333"/>
      </right>
      <top style="medium">
        <color rgb="00333333"/>
      </top>
    </border>
    <border>
      <left style="medium">
        <color rgb="00333333"/>
      </left>
    </border>
    <border/>
    <border>
      <right style="medium">
        <color rgb="00333333"/>
      </right>
    </border>
    <border>
      <left style="medium">
        <color rgb="00333333"/>
      </left>
      <bottom style="medium">
        <color rgb="00333333"/>
      </bottom>
    </border>
    <border>
      <right style="medium">
        <color rgb="00333333"/>
      </right>
      <bottom style="medium">
        <color rgb="00333333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medium">
        <color rgb="00333333"/>
      </left>
      <right/>
      <top/>
      <bottom/>
      <diagonal/>
    </border>
    <border>
      <left style="medium">
        <color rgb="00333333"/>
      </left>
      <right style="thin">
        <color rgb="00808080"/>
      </right>
      <top/>
      <bottom/>
      <diagonal/>
    </border>
    <border>
      <left style="medium">
        <color rgb="00333333"/>
      </left>
      <right style="thin">
        <color rgb="00808080"/>
      </right>
      <top/>
      <bottom style="thin">
        <color rgb="00808080"/>
      </bottom>
      <diagonal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medium">
        <color rgb="00333333"/>
      </bottom>
      <diagonal/>
    </border>
    <border>
      <left/>
      <right style="thin">
        <color rgb="00808080"/>
      </right>
      <top style="thin">
        <color rgb="00808080"/>
      </top>
      <bottom style="medium">
        <color rgb="00333333"/>
      </bottom>
      <diagonal/>
    </border>
    <border>
      <left/>
      <right/>
      <top style="medium">
        <color rgb="00333333"/>
      </top>
      <bottom/>
      <diagonal/>
    </border>
    <border>
      <left/>
      <right style="thin">
        <color rgb="00808080"/>
      </right>
      <top style="medium">
        <color rgb="00333333"/>
      </top>
      <bottom/>
      <diagonal/>
    </border>
    <border>
      <left/>
      <right/>
      <top style="medium">
        <color rgb="00333333"/>
      </top>
      <bottom style="thin">
        <color rgb="00808080"/>
      </bottom>
      <diagonal/>
    </border>
    <border>
      <left/>
      <right style="thin">
        <color rgb="00808080"/>
      </right>
      <top style="medium">
        <color rgb="00333333"/>
      </top>
      <bottom style="thin">
        <color rgb="00808080"/>
      </bottom>
      <diagonal/>
    </border>
    <border>
      <left/>
      <right/>
      <top/>
      <bottom style="medium">
        <color rgb="00333333"/>
      </bottom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/>
      <right style="medium">
        <color rgb="00333333"/>
      </right>
      <top style="medium">
        <color rgb="00333333"/>
      </top>
      <bottom/>
      <diagonal/>
    </border>
    <border>
      <left/>
      <right style="medium">
        <color rgb="00333333"/>
      </right>
      <top/>
      <bottom/>
      <diagonal/>
    </border>
    <border>
      <left style="medium">
        <color rgb="00333333"/>
      </left>
      <right/>
      <top/>
      <bottom style="medium">
        <color rgb="00333333"/>
      </bottom>
      <diagonal/>
    </border>
    <border>
      <left/>
      <right style="medium">
        <color rgb="00333333"/>
      </right>
      <top/>
      <bottom style="medium">
        <color rgb="00333333"/>
      </bottom>
      <diagonal/>
    </border>
  </borders>
  <cellStyleXfs count="1">
    <xf numFmtId="0" fontId="0" fillId="0" borderId="0"/>
  </cellStyleXfs>
  <cellXfs count="1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164" fontId="5" fillId="3" borderId="1" applyAlignment="1" pivotButton="0" quotePrefix="0" xfId="0">
      <alignment vertical="center"/>
    </xf>
    <xf numFmtId="1" fontId="5" fillId="3" borderId="1" applyAlignment="1" pivotButton="0" quotePrefix="0" xfId="0">
      <alignment vertical="center"/>
    </xf>
    <xf numFmtId="165" fontId="6" fillId="4" borderId="1" applyAlignment="1" pivotButton="0" quotePrefix="0" xfId="0">
      <alignment vertical="center"/>
    </xf>
    <xf numFmtId="0" fontId="8" fillId="1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vertical="center"/>
    </xf>
    <xf numFmtId="0" fontId="3" fillId="2" borderId="1" pivotButton="0" quotePrefix="0" xfId="0"/>
    <xf numFmtId="165" fontId="5" fillId="3" borderId="1" pivotButton="0" quotePrefix="0" xfId="0"/>
    <xf numFmtId="165" fontId="6" fillId="4" borderId="1" pivotButton="0" quotePrefix="0" xfId="0"/>
    <xf numFmtId="0" fontId="5" fillId="3" borderId="1" pivotButton="0" quotePrefix="0" xfId="0"/>
    <xf numFmtId="0" fontId="9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10" fillId="11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166" fontId="13" fillId="14" borderId="2" applyAlignment="1" pivotButton="0" quotePrefix="0" xfId="0">
      <alignment horizontal="right" vertical="center" indent="1"/>
    </xf>
    <xf numFmtId="166" fontId="16" fillId="14" borderId="2" applyAlignment="1" pivotButton="0" quotePrefix="0" xfId="0">
      <alignment horizontal="right" vertical="center" indent="1"/>
    </xf>
    <xf numFmtId="166" fontId="17" fillId="14" borderId="2" applyAlignment="1" pivotButton="0" quotePrefix="0" xfId="0">
      <alignment horizontal="right" vertical="center" indent="1"/>
    </xf>
    <xf numFmtId="0" fontId="3" fillId="2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 shrinkToFit="1"/>
    </xf>
    <xf numFmtId="0" fontId="14" fillId="0" borderId="4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5" fillId="15" borderId="5" applyAlignment="1" pivotButton="0" quotePrefix="0" xfId="0">
      <alignment horizontal="center" vertical="center" shrinkToFit="1"/>
    </xf>
    <xf numFmtId="0" fontId="7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5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5" fontId="6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horizontal="left" vertical="center"/>
    </xf>
    <xf numFmtId="0" fontId="18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0" fillId="0" borderId="6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shrinkToFit="1"/>
    </xf>
    <xf numFmtId="0" fontId="6" fillId="4" borderId="1" applyAlignment="1" pivotButton="0" quotePrefix="0" xfId="0">
      <alignment horizontal="center" vertical="center" shrinkToFit="1"/>
    </xf>
    <xf numFmtId="0" fontId="2" fillId="2" borderId="1" applyAlignment="1" pivotButton="0" quotePrefix="0" xfId="0">
      <alignment horizontal="center"/>
    </xf>
    <xf numFmtId="0" fontId="6" fillId="4" borderId="1" applyAlignment="1" pivotButton="0" quotePrefix="0" xfId="0">
      <alignment horizontal="left" vertical="center"/>
    </xf>
    <xf numFmtId="0" fontId="6" fillId="4" borderId="1" pivotButton="0" quotePrefix="0" xfId="0"/>
    <xf numFmtId="0" fontId="21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22" fillId="2" borderId="1" applyAlignment="1" pivotButton="0" quotePrefix="0" xfId="0">
      <alignment horizontal="center"/>
    </xf>
    <xf numFmtId="165" fontId="6" fillId="0" borderId="0" pivotButton="0" quotePrefix="0" xfId="0"/>
    <xf numFmtId="0" fontId="21" fillId="4" borderId="1" pivotButton="0" quotePrefix="0" xfId="0"/>
    <xf numFmtId="0" fontId="9" fillId="0" borderId="0" pivotButton="0" quotePrefix="0" xfId="0"/>
    <xf numFmtId="0" fontId="23" fillId="4" borderId="1" applyAlignment="1" pivotButton="0" quotePrefix="0" xfId="0">
      <alignment horizontal="center" vertical="center"/>
    </xf>
    <xf numFmtId="167" fontId="23" fillId="4" borderId="1" applyAlignment="1" pivotButton="0" quotePrefix="0" xfId="0">
      <alignment horizontal="center" vertical="center"/>
    </xf>
    <xf numFmtId="167" fontId="6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67" fontId="4" fillId="2" borderId="1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7" fillId="5" borderId="8" applyAlignment="1" pivotButton="0" quotePrefix="0" xfId="0">
      <alignment horizontal="center" vertical="center"/>
    </xf>
    <xf numFmtId="0" fontId="5" fillId="3" borderId="9" applyAlignment="1" pivotButton="0" quotePrefix="0" xfId="0">
      <alignment horizontal="left" vertical="center"/>
    </xf>
    <xf numFmtId="0" fontId="0" fillId="0" borderId="9" pivotButton="0" quotePrefix="0" xfId="0"/>
    <xf numFmtId="0" fontId="5" fillId="16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25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5" fillId="16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13" pivotButton="0" quotePrefix="0" xfId="0"/>
    <xf numFmtId="0" fontId="5" fillId="0" borderId="12" applyAlignment="1" pivotButton="0" quotePrefix="0" xfId="0">
      <alignment horizontal="left" vertical="center"/>
    </xf>
    <xf numFmtId="0" fontId="26" fillId="0" borderId="12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15" applyAlignment="1" pivotButton="0" quotePrefix="0" xfId="0">
      <alignment horizontal="left" vertical="center"/>
    </xf>
    <xf numFmtId="0" fontId="0" fillId="0" borderId="15" pivotButton="0" quotePrefix="0" xfId="0"/>
    <xf numFmtId="0" fontId="26" fillId="0" borderId="15" applyAlignment="1" pivotButton="0" quotePrefix="0" xfId="0">
      <alignment horizontal="center" vertical="center"/>
    </xf>
    <xf numFmtId="0" fontId="0" fillId="0" borderId="16" pivotButton="0" quotePrefix="0" xfId="0"/>
    <xf numFmtId="0" fontId="25" fillId="0" borderId="9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0" fillId="16" borderId="8" applyAlignment="1" pivotButton="0" quotePrefix="0" xfId="0">
      <alignment horizontal="center" vertical="center"/>
    </xf>
    <xf numFmtId="0" fontId="7" fillId="11" borderId="9" applyAlignment="1" pivotButton="0" quotePrefix="0" xfId="0">
      <alignment horizontal="center" vertical="center"/>
    </xf>
    <xf numFmtId="0" fontId="7" fillId="5" borderId="9" applyAlignment="1" pivotButton="0" quotePrefix="0" xfId="0">
      <alignment horizontal="center" vertical="center"/>
    </xf>
    <xf numFmtId="0" fontId="7" fillId="12" borderId="10" applyAlignment="1" pivotButton="0" quotePrefix="0" xfId="0">
      <alignment horizontal="center" vertical="center"/>
    </xf>
    <xf numFmtId="0" fontId="26" fillId="16" borderId="11" applyAlignment="1" pivotButton="0" quotePrefix="0" xfId="0">
      <alignment horizontal="center" vertical="center"/>
    </xf>
    <xf numFmtId="166" fontId="28" fillId="0" borderId="12" applyAlignment="1" pivotButton="0" quotePrefix="0" xfId="0">
      <alignment horizontal="right" vertical="center" indent="1"/>
    </xf>
    <xf numFmtId="166" fontId="30" fillId="0" borderId="12" applyAlignment="1" pivotButton="0" quotePrefix="0" xfId="0">
      <alignment horizontal="right" vertical="center" indent="1"/>
    </xf>
    <xf numFmtId="166" fontId="31" fillId="0" borderId="13" applyAlignment="1" pivotButton="0" quotePrefix="0" xfId="0">
      <alignment horizontal="right" vertical="center" indent="1"/>
    </xf>
    <xf numFmtId="0" fontId="29" fillId="0" borderId="12" applyAlignment="1" pivotButton="0" quotePrefix="0" xfId="0">
      <alignment horizontal="center" vertical="center"/>
    </xf>
    <xf numFmtId="0" fontId="29" fillId="0" borderId="13" applyAlignment="1" pivotButton="0" quotePrefix="0" xfId="0">
      <alignment horizontal="center" vertical="center"/>
    </xf>
    <xf numFmtId="0" fontId="29" fillId="0" borderId="15" applyAlignment="1" pivotButton="0" quotePrefix="0" xfId="0">
      <alignment horizontal="center" vertical="center"/>
    </xf>
    <xf numFmtId="0" fontId="29" fillId="0" borderId="16" applyAlignment="1" pivotButton="0" quotePrefix="0" xfId="0">
      <alignment horizontal="center" vertical="center"/>
    </xf>
    <xf numFmtId="0" fontId="18" fillId="16" borderId="12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0" fontId="26" fillId="0" borderId="12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0" fontId="5" fillId="3" borderId="17" applyAlignment="1" pivotButton="0" quotePrefix="0" xfId="0">
      <alignment horizontal="left" vertical="top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5" fillId="0" borderId="1" pivotButton="0" quotePrefix="0" xfId="0"/>
    <xf numFmtId="0" fontId="2" fillId="0" borderId="1" pivotButton="0" quotePrefix="0" xfId="0"/>
    <xf numFmtId="0" fontId="5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166" fontId="13" fillId="14" borderId="2" applyAlignment="1" pivotButton="0" quotePrefix="0" xfId="0">
      <alignment horizontal="right" vertical="center" indent="1"/>
    </xf>
    <xf numFmtId="166" fontId="16" fillId="14" borderId="2" applyAlignment="1" pivotButton="0" quotePrefix="0" xfId="0">
      <alignment horizontal="right" vertical="center" indent="1"/>
    </xf>
    <xf numFmtId="166" fontId="17" fillId="14" borderId="2" applyAlignment="1" pivotButton="0" quotePrefix="0" xfId="0">
      <alignment horizontal="right" vertical="center" indent="1"/>
    </xf>
    <xf numFmtId="0" fontId="0" fillId="0" borderId="27" pivotButton="0" quotePrefix="0" xfId="0"/>
    <xf numFmtId="0" fontId="0" fillId="0" borderId="28" pivotButton="0" quotePrefix="0" xfId="0"/>
    <xf numFmtId="167" fontId="23" fillId="4" borderId="1" applyAlignment="1" pivotButton="0" quotePrefix="0" xfId="0">
      <alignment horizontal="center" vertical="center"/>
    </xf>
    <xf numFmtId="167" fontId="6" fillId="4" borderId="1" applyAlignment="1" pivotButton="0" quotePrefix="0" xfId="0">
      <alignment horizontal="center" vertical="center"/>
    </xf>
    <xf numFmtId="167" fontId="4" fillId="2" borderId="1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30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1" pivotButton="0" quotePrefix="0" xfId="0"/>
    <xf numFmtId="0" fontId="0" fillId="0" borderId="36" pivotButton="0" quotePrefix="0" xfId="0"/>
    <xf numFmtId="0" fontId="0" fillId="0" borderId="37" pivotButton="0" quotePrefix="0" xfId="0"/>
    <xf numFmtId="166" fontId="28" fillId="0" borderId="12" applyAlignment="1" pivotButton="0" quotePrefix="0" xfId="0">
      <alignment horizontal="right" vertical="center" indent="1"/>
    </xf>
    <xf numFmtId="166" fontId="30" fillId="0" borderId="12" applyAlignment="1" pivotButton="0" quotePrefix="0" xfId="0">
      <alignment horizontal="right" vertical="center" indent="1"/>
    </xf>
    <xf numFmtId="166" fontId="31" fillId="0" borderId="13" applyAlignment="1" pivotButton="0" quotePrefix="0" xfId="0">
      <alignment horizontal="right" vertical="center" indent="1"/>
    </xf>
    <xf numFmtId="0" fontId="5" fillId="3" borderId="43" applyAlignment="1" pivotButton="0" quotePrefix="0" xfId="0">
      <alignment horizontal="left" vertical="top" wrapText="1"/>
    </xf>
    <xf numFmtId="0" fontId="0" fillId="0" borderId="38" pivotButton="0" quotePrefix="0" xfId="0"/>
    <xf numFmtId="0" fontId="0" fillId="0" borderId="44" pivotButton="0" quotePrefix="0" xfId="0"/>
    <xf numFmtId="0" fontId="0" fillId="0" borderId="29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</cellXfs>
  <cellStyles count="1">
    <cellStyle name="Normal" xfId="0" builtinId="0" hidden="0"/>
  </cellStyles>
  <dxfs count="14">
    <dxf>
      <font>
        <name val="Meiryo"/>
        <strike val="1"/>
        <color rgb="00999999"/>
        <sz val="10"/>
      </font>
      <fill>
        <patternFill patternType="solid">
          <fgColor rgb="00EFEFEF"/>
          <bgColor rgb="00EFEFEF"/>
        </patternFill>
      </fill>
    </dxf>
    <dxf>
      <fill>
        <patternFill patternType="solid">
          <fgColor rgb="00FBD3D3"/>
          <bgColor rgb="00FBD3D3"/>
        </patternFill>
      </fill>
    </dxf>
    <dxf>
      <fill>
        <patternFill patternType="solid">
          <fgColor rgb="00FCE4C8"/>
          <bgColor rgb="00FCE4C8"/>
        </patternFill>
      </fill>
    </dxf>
    <dxf>
      <fill>
        <patternFill patternType="solid">
          <fgColor rgb="00EDE3F5"/>
          <bgColor rgb="00EDE3F5"/>
        </patternFill>
      </fill>
    </dxf>
    <dxf>
      <font>
        <name val="Meiryo"/>
        <i val="1"/>
        <color rgb="006E6E6E"/>
        <sz val="10"/>
      </font>
      <fill>
        <patternFill patternType="solid">
          <fgColor rgb="00EFEFEF"/>
          <bgColor rgb="00EFEFEF"/>
        </patternFill>
      </fill>
    </dxf>
    <dxf>
      <font>
        <name val="Meiryo"/>
        <b val="1"/>
        <color rgb="001B4F72"/>
        <sz val="10"/>
      </font>
      <fill>
        <patternFill patternType="solid">
          <fgColor rgb="00CFE0F3"/>
          <bgColor rgb="00CFE0F3"/>
        </patternFill>
      </fill>
    </dxf>
    <dxf>
      <font>
        <name val="Meiryo"/>
        <b val="1"/>
        <color rgb="001D6F42"/>
        <sz val="10"/>
      </font>
      <fill>
        <patternFill patternType="solid">
          <fgColor rgb="00D3EBD8"/>
          <bgColor rgb="00D3EBD8"/>
        </patternFill>
      </fill>
    </dxf>
    <dxf>
      <font>
        <name val="Meiryo"/>
        <b val="1"/>
        <color rgb="005B2C8D"/>
        <sz val="10"/>
      </font>
      <fill>
        <patternFill patternType="solid">
          <fgColor rgb="00E5D8F0"/>
          <bgColor rgb="00E5D8F0"/>
        </patternFill>
      </fill>
    </dxf>
    <dxf>
      <font>
        <name val="Meiryo"/>
        <b val="1"/>
        <color rgb="009C4A06"/>
        <sz val="10"/>
      </font>
      <fill>
        <patternFill patternType="solid">
          <fgColor rgb="00FAE0C3"/>
          <bgColor rgb="00FAE0C3"/>
        </patternFill>
      </fill>
    </dxf>
    <dxf>
      <fill>
        <patternFill patternType="solid">
          <fgColor rgb="00D9EDDC"/>
          <bgColor rgb="00D9EDDC"/>
        </patternFill>
      </fill>
    </dxf>
    <dxf>
      <font>
        <name val="Meiryo"/>
        <b val="1"/>
        <color rgb="006B6B7B"/>
        <sz val="11"/>
      </font>
      <fill>
        <patternFill patternType="solid">
          <fgColor rgb="00E4E4EC"/>
          <bgColor rgb="00E4E4EC"/>
        </patternFill>
      </fill>
    </dxf>
    <dxf>
      <font>
        <name val="Meiryo"/>
        <b val="1"/>
        <color rgb="0012395B"/>
        <sz val="11"/>
      </font>
      <fill>
        <patternFill patternType="solid">
          <fgColor rgb="009DC3E6"/>
          <bgColor rgb="009DC3E6"/>
        </patternFill>
      </fill>
    </dxf>
    <dxf>
      <fill>
        <patternFill patternType="solid">
          <fgColor rgb="00E8EEF4"/>
          <bgColor rgb="00E8EEF4"/>
        </patternFill>
      </fill>
    </dxf>
    <dxf>
      <fill>
        <patternFill patternType="solid">
          <fgColor rgb="00FBF3E4"/>
          <bgColor rgb="00FBF3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omments/comment1.xml><?xml version="1.0" encoding="utf-8"?>
<comments xmlns="http://schemas.openxmlformats.org/spreadsheetml/2006/main">
  <authors>
    <author>設計メモ</author>
  </authors>
  <commentList>
    <comment ref="E4" authorId="0" shapeId="0">
      <text>
        <t>その月の日付（例: 2026/8）を最初の行に一度だけ入れてください。
以降の行は空欄のままで、上の行の年月を自動で引き継ぎます。
月が変わる行で新しい年月を入れると、そこから下が新しい月になります。
※ 行の並べ替えはしないでください（引き継ぎが崩れます）。</t>
      </text>
    </comment>
    <comment ref="F4" authorId="0" shapeId="0">
      <text>
        <t>日にちの数字だけ入れてください（1〜31）。
年月と組み合わせて G列に日付が自動で入ります。
別の月を直接入れたいときは、日付そのもの（2026/9/3 など）でも構いません。</t>
      </text>
    </comment>
    <comment ref="H4" authorId="0" shapeId="0">
      <text>
        <t>時の数字だけ入れてください（例: 16 → 16:00）。
9時なら 9 だけでかまいません（09:00 と表示されます）。
分まで指定したいときは 16:30 のように入れてください。
空欄のままでも予約は成立します（カレンダーに時刻が出ないだけです）。</t>
      </text>
    </comment>
    <comment ref="I4" authorId="0" shapeId="0">
      <text>
        <t>日にちの数字だけ入れてください（1〜31）。
入所日より前の日を入れた場合は「翌月のその日」とみなします。
（例: 入所31 → 退所1 なら翌月1日）
1か月を超える滞在のときは、日付そのものを入れてください。</t>
      </text>
    </comment>
    <comment ref="K4" authorId="0" shapeId="0">
      <text>
        <t>時の数字だけ入れてください（例: 9 → 09:00）。
分まで指定したいときは 9:30 のように入れてください。</t>
      </text>
    </comment>
    <comment ref="L4" authorId="0" shapeId="0">
      <text>
        <t>空欄 … 標準どおり
　 日帰り=昼のみ ／ 初日=夕 ／ 中日=朝昼夕 ／ 最終日=朝
○ … この滞在の全ての利用日（入所日〜退所日）で出す
× … この滞在では出さない
ここで決めた内容は 02_カレンダー の食事行と 06_食数表 に反映されます。
特定の1日だけ変えたいときは 02_カレンダー 下部の「食事の個別調整」を使ってください（そちらが優先されます）。</t>
      </text>
    </comment>
    <comment ref="M4" authorId="0" shapeId="0">
      <text>
        <t>空欄 … 標準どおり
　 日帰り=昼のみ ／ 初日=夕 ／ 中日=朝昼夕 ／ 最終日=朝
○ … この滞在の全ての利用日（入所日〜退所日）で出す
× … この滞在では出さない
ここで決めた内容は 02_カレンダー の食事行と 06_食数表 に反映されます。
特定の1日だけ変えたいときは 02_カレンダー 下部の「食事の個別調整」を使ってください（そちらが優先されます）。</t>
      </text>
    </comment>
    <comment ref="N4" authorId="0" shapeId="0">
      <text>
        <t>空欄 … 標準どおり
　 日帰り=昼のみ ／ 初日=夕 ／ 中日=朝昼夕 ／ 最終日=朝
○ … この滞在の全ての利用日（入所日〜退所日）で出す
× … この滞在では出さない
ここで決めた内容は 02_カレンダー の食事行と 06_食数表 に反映されます。
特定の1日だけ変えたいときは 02_カレンダー 下部の「食事の個別調整」を使ってください（そちらが優先されます）。</t>
      </text>
    </comment>
    <comment ref="Y4" authorId="0" shapeId="0">
      <text>
        <t>部屋が空欄だと「⚠部屋が未選択」。この予約はカレンダーに表示されません。
M_部屋 に無い部屋名なら「⚠部屋が未登録」。
同じ部屋・同じ夜に2件以上あれば「⚠重複」。
退所日の夜は空き扱いなので、前の方の退所日＝次の方の入所日は重複になりません。</t>
      </text>
    </comment>
    <comment ref="Z4" authorId="0" shapeId="0">
      <text>
        <t>利用者マスタ に支給量が入っている方だけ判定します。
入所日の属する月で合計し、M_区分 で「○」の区分だけを数えます。</t>
      </text>
    </comment>
  </commentList>
</comments>
</file>

<file path=xl/comments/comment2.xml><?xml version="1.0" encoding="utf-8"?>
<comments xmlns="http://schemas.openxmlformats.org/spreadsheetml/2006/main">
  <authors>
    <author>設計メモ</author>
  </authors>
  <commentList>
    <comment ref="B5" authorId="0" shapeId="0">
      <text>
        <t>M_FAX送付先 に登録した事業所を選ぶと、御中・ご担当・FAX番号が自動で入ります。
空欄のままにすると、手書き用の下線が印刷されます。</t>
      </text>
    </comment>
    <comment ref="A39" authorId="0" shapeId="0">
      <text>
        <t>送付先へのひとこと（任意）。空欄のままでも印刷できます。</t>
      </text>
    </comment>
  </commentList>
</comments>
</file>

<file path=xl/comments/comment3.xml><?xml version="1.0" encoding="utf-8"?>
<comments xmlns="http://schemas.openxmlformats.org/spreadsheetml/2006/main">
  <authors>
    <author>設計メモ</author>
  </authors>
  <commentList>
    <comment ref="A3" authorId="0" shapeId="0">
      <text>
        <t>氏名を書き換えると 01_予約入力 のプルダウンにも反映されます。
ただし入力済みの予約の氏名は自動では変わりません。
03_帯表 に出るのは、このマスタの上から20名です。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ショートステイ・体験利用 管理台帳</t>
        </is>
      </c>
    </row>
    <row r="2">
      <c r="A2" s="2" t="inlineStr">
        <is>
          <t>入力するのは 01_予約入力 と、M_ で始まるマスタだけです。02〜09 は全て自動計算です。</t>
        </is>
      </c>
    </row>
    <row r="4">
      <c r="A4" s="3" t="inlineStr">
        <is>
          <t>画面の役割</t>
        </is>
      </c>
      <c r="B4" s="4" t="n"/>
    </row>
    <row r="5" ht="32" customHeight="1">
      <c r="A5" s="5" t="inlineStr">
        <is>
          <t>02_カレンダー</t>
        </is>
      </c>
      <c r="B5" s="6" t="inlineStr">
        <is>
          <t>★毎日見るのはここ。ふつうの月カレンダーの形で、日ごとに「どの部屋に誰がいるか」と入室・退室の時刻を表示します（「時刻を表示」を空欄にすると時刻を消せます）。連泊は ▶入所日 → 継続 → 退所日◀ と続けて出るので、いつからいつまでかが目で追えます。色は区分ごと（SS・無料・契約）。仮予約はグレーの斜体です。★対象月の変更もこのシートで行います。</t>
        </is>
      </c>
    </row>
    <row r="6" ht="32" customHeight="1">
      <c r="A6" s="5" t="inlineStr">
        <is>
          <t>03_帯表</t>
        </is>
      </c>
      <c r="B6" s="6" t="inlineStr">
        <is>
          <t>1人1行・横軸が1〜31日のガントチャートです。誰がどの期間を押さえているかを1か月分まとめて俯瞰できます。▶入所 ■連泊 ◀退所 ◆日帰り。白抜き（▷□◁◇）は仮予約です。★その下に「当月の予約明細」があり、01_予約入力 の内容（部屋・区分・入退所の日時・泊数・状態・備考）が入所日順に自動で並びます。</t>
        </is>
      </c>
    </row>
    <row r="7" ht="32" customHeight="1">
      <c r="A7" s="5" t="inlineStr">
        <is>
          <t>04_月間表</t>
        </is>
      </c>
      <c r="B7" s="6" t="inlineStr">
        <is>
          <t>日付を縦に並べた一覧。空室数や食数の根拠を数字で確認したいときに使います。カレンダーと帯表はこのシートを引いているので、内容は必ず一致します。</t>
        </is>
      </c>
    </row>
    <row r="8" ht="32" customHeight="1">
      <c r="A8" s="5" t="inlineStr">
        <is>
          <t>05_空室照会</t>
        </is>
      </c>
      <c r="B8" s="6" t="inlineStr">
        <is>
          <t>「この期間空いてますか」と電話で聞かれたとき用。日付を2つ入れるだけです。</t>
        </is>
      </c>
    </row>
    <row r="9" ht="32" customHeight="1">
      <c r="A9" s="5" t="inlineStr">
        <is>
          <t>06_食数表</t>
        </is>
      </c>
      <c r="B9" s="6" t="inlineStr">
        <is>
          <t>厨房へ渡す日別の朝・昼・夕の食数。★個別の調整は 02_カレンダー の下部で日付ごとに入れます。</t>
        </is>
      </c>
    </row>
    <row r="10" ht="32" customHeight="1">
      <c r="A10" s="5" t="inlineStr">
        <is>
          <t>07_月次集計</t>
        </is>
      </c>
      <c r="B10" s="6" t="inlineStr">
        <is>
          <t>上司報告・請求突合用。★稼働率・区分別・利用者別が出ます。期間を空欄にしておけば対象月に連動し、日付を入れれば年度など任意の期間で集計できます。</t>
        </is>
      </c>
    </row>
    <row r="11" ht="32" customHeight="1">
      <c r="A11" s="5" t="inlineStr">
        <is>
          <t>08_支給量管理</t>
        </is>
      </c>
      <c r="B11" s="6" t="inlineStr">
        <is>
          <t>受給者証の月あたり上限に対する残日数。</t>
        </is>
      </c>
    </row>
    <row r="12" ht="32" customHeight="1">
      <c r="A12" s="5" t="inlineStr">
        <is>
          <t>09_FAX空き表</t>
        </is>
      </c>
      <c r="B12" s="6" t="inlineStr">
        <is>
          <t>★このまま印刷してFAX送信できる1枚ものの用紙です。送信票と空き状況カレンダーが一体になっており、送信先・送信元・挨拶文・凡例・注意書き・連絡事項欄まで入っています。利用者名は載りません。A4縦1枚に収まるよう設定済みです。</t>
        </is>
      </c>
    </row>
    <row r="13">
      <c r="A13" s="3" t="inlineStr">
        <is>
          <t>★ 日付の入れ方（年月は最初の1回だけ）</t>
        </is>
      </c>
      <c r="B13" s="4" t="n"/>
    </row>
    <row r="14" ht="32" customHeight="1">
      <c r="A14" s="5" t="inlineStr">
        <is>
          <t>年月は1回だけ</t>
        </is>
      </c>
      <c r="B14" s="6" t="inlineStr">
        <is>
          <t>01_予約入力 の「年月」列に、最初の行で 2026/8 のように一度だけ入れてください。以降の行は空欄のままでかまいません。上の行の年月を自動で引き継ぎます。</t>
        </is>
      </c>
    </row>
    <row r="15" ht="32" customHeight="1">
      <c r="A15" s="5" t="inlineStr">
        <is>
          <t>あとは日にちだけ</t>
        </is>
      </c>
      <c r="B15" s="6" t="inlineStr">
        <is>
          <t>「入所(日)」「退所(日)」には日にちの数字（1〜31）だけを入れます。その右の「入所日(自動)」「退所予定日(自動)」に、年月と組み合わせた日付が自動で入ります。</t>
        </is>
      </c>
    </row>
    <row r="16" ht="32" customHeight="1">
      <c r="A16" s="5" t="inlineStr">
        <is>
          <t>月をまたぐとき</t>
        </is>
      </c>
      <c r="B16" s="6" t="inlineStr">
        <is>
          <t>退所の日にちが入所より前になる場合は、自動で「翌月のその日」と判断します（例: 入所31 → 退所1 なら翌月1日）。</t>
        </is>
      </c>
    </row>
    <row r="17" ht="32" customHeight="1">
      <c r="A17" s="5" t="inlineStr">
        <is>
          <t>月が変わったら</t>
        </is>
      </c>
      <c r="B17" s="6" t="inlineStr">
        <is>
          <t>新しい月の最初の行に、その月の年月（例 2026/9）を入れてください。そこから下が新しい月になります。</t>
        </is>
      </c>
    </row>
    <row r="18" ht="32" customHeight="1">
      <c r="A18" s="5" t="inlineStr">
        <is>
          <t>直接日付でも可</t>
        </is>
      </c>
      <c r="B18" s="6" t="inlineStr">
        <is>
          <t>1か月を超える滞在など、特別なときは日にち欄に日付そのもの（2026/9/3 など）を入れても動きます。</t>
        </is>
      </c>
    </row>
    <row r="19" ht="32" customHeight="1">
      <c r="A19" s="5" t="inlineStr">
        <is>
          <t>★時刻は「時」だけ</t>
        </is>
      </c>
      <c r="B19" s="6" t="inlineStr">
        <is>
          <t>「入所(時)」「退所(時)」には時の数字だけを入れてください（16 と入れれば 16:00）。9時なら 9 だけで 09:00 になります。分は入力不要です。</t>
        </is>
      </c>
    </row>
    <row r="20" ht="32" customHeight="1">
      <c r="A20" s="5" t="inlineStr">
        <is>
          <t>分が必要なとき</t>
        </is>
      </c>
      <c r="B20" s="6" t="inlineStr">
        <is>
          <t>16:30 のように「時:分」で入れれば、そのまま分まで表示されます。</t>
        </is>
      </c>
    </row>
    <row r="21" ht="32" customHeight="1">
      <c r="A21" s="5" t="inlineStr">
        <is>
          <t>時刻は空欄でも可</t>
        </is>
      </c>
      <c r="B21" s="6" t="inlineStr">
        <is>
          <t>時刻を入れなくても予約は成立します。カレンダーに時刻が出ないだけです。</t>
        </is>
      </c>
    </row>
    <row r="22" ht="32" customHeight="1">
      <c r="A22" s="5" t="inlineStr">
        <is>
          <t>★注意</t>
        </is>
      </c>
      <c r="B22" s="6" t="inlineStr">
        <is>
          <t>行の並べ替え（ソート）はしないでください。年月の引き継ぎが崩れます。絞り込みたいときは、並べ替えではなくフィルタを使ってください。</t>
        </is>
      </c>
    </row>
    <row r="23">
      <c r="A23" s="3" t="inlineStr">
        <is>
          <t>はじめに設定すること</t>
        </is>
      </c>
      <c r="B23" s="4" t="n"/>
    </row>
    <row r="24" ht="32" customHeight="1">
      <c r="A24" s="5" t="inlineStr">
        <is>
          <t>① M_施設設定</t>
        </is>
      </c>
      <c r="B24" s="6" t="inlineStr">
        <is>
          <t>施設名・棟・標準の入所/退所時刻・住所・TEL/FAX を入れます。</t>
        </is>
      </c>
    </row>
    <row r="25" ht="32" customHeight="1">
      <c r="A25" s="5" t="inlineStr">
        <is>
          <t>② M_部屋</t>
        </is>
      </c>
      <c r="B25" s="6" t="inlineStr">
        <is>
          <t>部屋名を1行1室で登録します。★ここの行数が、そのまま定員（部屋数）になります。</t>
        </is>
      </c>
    </row>
    <row r="26" ht="32" customHeight="1">
      <c r="A26" s="5" t="inlineStr">
        <is>
          <t>③ 利用者マスタ</t>
        </is>
      </c>
      <c r="B26" s="6" t="inlineStr">
        <is>
          <t>氏名と支給量（受給者証の月あたり上限日数）。支給量が空欄の方は残日数を管理しません。</t>
        </is>
      </c>
    </row>
    <row r="27" ht="32" customHeight="1">
      <c r="A27" s="5" t="inlineStr">
        <is>
          <t>⑤ M_FAX送付先</t>
        </is>
      </c>
      <c r="B27" s="6" t="inlineStr">
        <is>
          <t>相談支援事業所などFAXの送り先を登録します。09_FAX空き表 の宛先が一覧から選べるようになり、番号の打ち間違いによる誤送信を防げます。</t>
        </is>
      </c>
    </row>
    <row r="28" ht="32" customHeight="1">
      <c r="A28" s="5" t="inlineStr">
        <is>
          <t>④ M_区分・M_送迎</t>
        </is>
      </c>
      <c r="B28" s="6" t="inlineStr">
        <is>
          <t>区分（SS・無料・契約など）と、その区分を支給量に数えるかどうか。★区分名はカレンダーの色分けに使います。M_区分 の上から4つまでが色に対応します。</t>
        </is>
      </c>
    </row>
    <row r="29">
      <c r="A29" s="3" t="inlineStr">
        <is>
          <t>★ 部屋数が施設ごとに違う場合（1室の施設と2室の施設）</t>
        </is>
      </c>
      <c r="B29" s="4" t="n"/>
    </row>
    <row r="30" ht="32" customHeight="1">
      <c r="A30" s="5" t="inlineStr">
        <is>
          <t>同じファイルで使えます</t>
        </is>
      </c>
      <c r="B30" s="6" t="inlineStr">
        <is>
          <t>1室の施設は M_部屋 に1行だけ、2室の施設は2行だけ登録してください。定員・空室数・空き記号（○△×）は全て M_部屋 の行数から計算しているので、シートも数式も一切変えずに両方に対応します。最大4室まで。</t>
        </is>
      </c>
    </row>
    <row r="31" ht="32" customHeight="1">
      <c r="A31" s="5" t="inlineStr">
        <is>
          <t>使わない部屋の行を隠す</t>
        </is>
      </c>
      <c r="B31" s="6" t="inlineStr">
        <is>
          <t>02_カレンダー は各週に「部屋1〜部屋4」の4行があります。1〜2室の施設では、使わない部屋の行（部屋名が空欄の行）をまとめて選択し、右クリック→非表示 にしてください。6週ぶんまとめて選べます。03_帯表・04_月間表 も同様に列を非表示にできます。</t>
        </is>
      </c>
    </row>
    <row r="32" ht="32" customHeight="1">
      <c r="A32" s="5" t="inlineStr">
        <is>
          <t>部屋を減らしたとき</t>
        </is>
      </c>
      <c r="B32" s="6" t="inlineStr">
        <is>
          <t>2室から1室に変更したのに古い予約が「部屋2」のまま残っていると、01_予約入力 のS列に「⚠部屋が未登録」と赤で出ます。その予約の部屋を選び直してください。</t>
        </is>
      </c>
    </row>
    <row r="33" ht="32" customHeight="1">
      <c r="A33" s="5" t="inlineStr">
        <is>
          <t>1室のときの表示</t>
        </is>
      </c>
      <c r="B33" s="6" t="inlineStr">
        <is>
          <t>1室の施設では「△（残りわずか）」は構造上発生せず、必ず ○ か × になります。</t>
        </is>
      </c>
    </row>
    <row r="34" ht="32" customHeight="1">
      <c r="A34" s="5" t="inlineStr">
        <is>
          <t>★ファイルは施設ごとに分ける</t>
        </is>
      </c>
      <c r="B34" s="6" t="inlineStr">
        <is>
          <t>このファイルを施設の数だけコピーして「施設A_管理台帳.xlsx」「施設B_管理台帳.xlsx」のように分けてください。1つのファイルに複数施設を混ぜると、定員が施設ごとに違うため空き判定が成立せず、全ての集計に施設の絞り込みが必要になって必ず崩れます。</t>
        </is>
      </c>
    </row>
    <row r="35">
      <c r="A35" s="3" t="inlineStr">
        <is>
          <t>★ 食事の決め方（3段階）</t>
        </is>
      </c>
      <c r="B35" s="4" t="n"/>
    </row>
    <row r="36" ht="32" customHeight="1">
      <c r="A36" s="5" t="inlineStr">
        <is>
          <t>① 標準（何もしない）</t>
        </is>
      </c>
      <c r="B36" s="6" t="inlineStr">
        <is>
          <t>日帰り=昼のみ ／ 初日=夕 ／ 中日=朝昼夕 ／ 最終日=朝。ほとんどの予約はこれで足ります。</t>
        </is>
      </c>
    </row>
    <row r="37" ht="32" customHeight="1">
      <c r="A37" s="5" t="inlineStr">
        <is>
          <t>② 予約ごとに決める</t>
        </is>
      </c>
      <c r="B37" s="6" t="inlineStr">
        <is>
          <t>01_予約入力 の「朝食」「昼食」「夕食」列で選びます。空欄=標準、○=その滞在の全ての利用日で出す、×=その滞在では出さない。「この方は毎日昼食もつける」「この方は朝食なし」といった決め方に使います。</t>
        </is>
      </c>
    </row>
    <row r="38" ht="32" customHeight="1">
      <c r="A38" s="5" t="inlineStr">
        <is>
          <t>③ 特定の日だけ直す</t>
        </is>
      </c>
      <c r="B38" s="6" t="inlineStr">
        <is>
          <t>02_カレンダー 下部の「食事の個別調整」に日付と食数を入れます。★①②より優先されます。「この日だけ来客で1食多い」といった例外に使います。</t>
        </is>
      </c>
    </row>
    <row r="39" ht="32" customHeight="1">
      <c r="A39" s="5" t="inlineStr">
        <is>
          <t>反映先</t>
        </is>
      </c>
      <c r="B39" s="6" t="inlineStr">
        <is>
          <t>どれで決めても、02_カレンダー の食事行と 06_食数表 に自動で反映されます。</t>
        </is>
      </c>
    </row>
    <row r="40">
      <c r="A40" s="3" t="inlineStr">
        <is>
          <t>★ 食事をカレンダーで見る・直す</t>
        </is>
      </c>
      <c r="B40" s="4" t="n"/>
    </row>
    <row r="41" ht="32" customHeight="1">
      <c r="A41" s="5" t="inlineStr">
        <is>
          <t>いつもは自動</t>
        </is>
      </c>
      <c r="B41" s="6" t="inlineStr">
        <is>
          <t>各週のいちばん下の「食事」行に、その日の 朝○ 昼○ 夕○ が自動で出ます。予約ごとの指定（01_予約入力 の朝食・昼食・夕食）もここに反映されます。</t>
        </is>
      </c>
    </row>
    <row r="42" ht="32" customHeight="1">
      <c r="A42" s="5" t="inlineStr">
        <is>
          <t>違う日だけ入れる</t>
        </is>
      </c>
      <c r="B42" s="6" t="inlineStr">
        <is>
          <t>02_カレンダー のカレンダーの下に「食事の個別調整」表があります。日付と、その日の実際の食数（朝・昼・夕）を入れてください。空欄の欄は自動のままです。0 を入れれば「その食事なし」になります。</t>
        </is>
      </c>
    </row>
    <row r="43" ht="32" customHeight="1">
      <c r="A43" s="5" t="inlineStr">
        <is>
          <t>入れたらどうなる</t>
        </is>
      </c>
      <c r="B43" s="6" t="inlineStr">
        <is>
          <t>カレンダーの食事行に「※調整」と付き、06_食数表 の食数もその値に変わります。厨房へ渡す数字も自動で合います。</t>
        </is>
      </c>
    </row>
    <row r="44" ht="32" customHeight="1">
      <c r="A44" s="5" t="inlineStr">
        <is>
          <t>★月をまたいでも安全</t>
        </is>
      </c>
      <c r="B44" s="6" t="inlineStr">
        <is>
          <t>調整は日付で結び付けているので、対象月を切り替えても他の月に影響しません。同じ日付を2回入れると「⚠日付が重複」と赤く出ます。</t>
        </is>
      </c>
    </row>
    <row r="45" ht="32" customHeight="1">
      <c r="A45" s="5" t="inlineStr">
        <is>
          <t>表示を消したいとき</t>
        </is>
      </c>
      <c r="B45" s="6" t="inlineStr">
        <is>
          <t>02_カレンダー の「食事を表示」を空欄にすると、食事行が非表示になります。</t>
        </is>
      </c>
    </row>
    <row r="46">
      <c r="A46" s="3" t="inlineStr">
        <is>
          <t>カレンダーの記号の読み方</t>
        </is>
      </c>
      <c r="B46" s="4" t="n"/>
    </row>
    <row r="47" ht="32" customHeight="1">
      <c r="A47" s="5" t="inlineStr">
        <is>
          <t>▶16:00 利用者A</t>
        </is>
      </c>
      <c r="B47" s="6" t="inlineStr">
        <is>
          <t>その日が入所日。数字は入室時刻です（01_予約入力 に 16 と入れたもの）。</t>
        </is>
      </c>
    </row>
    <row r="48" ht="32" customHeight="1">
      <c r="A48" s="5" t="inlineStr">
        <is>
          <t>利用者A</t>
        </is>
      </c>
      <c r="B48" s="6" t="inlineStr">
        <is>
          <t>記号なしは連泊の中日。前の日から続いています。</t>
        </is>
      </c>
    </row>
    <row r="49" ht="32" customHeight="1">
      <c r="A49" s="5" t="inlineStr">
        <is>
          <t>利用者A ◀09:00</t>
        </is>
      </c>
      <c r="B49" s="6" t="inlineStr">
        <is>
          <t>その日が退所日。数字は退室時刻です。朝に退所するので、★その日の夜はもう次の方が入れます。</t>
        </is>
      </c>
    </row>
    <row r="50" ht="32" customHeight="1">
      <c r="A50" s="5" t="inlineStr">
        <is>
          <t>◆ 利用者A 10:00-16:00</t>
        </is>
      </c>
      <c r="B50" s="6" t="inlineStr">
        <is>
          <t>日帰り（体験利用）。宿泊しません。</t>
        </is>
      </c>
    </row>
    <row r="51" ht="32" customHeight="1">
      <c r="A51" s="5" t="inlineStr">
        <is>
          <t>2人並ぶとき</t>
        </is>
      </c>
      <c r="B51" s="6" t="inlineStr">
        <is>
          <t>「利用者A ◀09:00　▶16:30 利用者B」のように、退所と入所が同じ日に重なると1つのマスに並びます。</t>
        </is>
      </c>
    </row>
    <row r="52" ht="32" customHeight="1">
      <c r="A52" s="5" t="inlineStr">
        <is>
          <t>空き ○ △ × 仮</t>
        </is>
      </c>
      <c r="B52" s="6" t="inlineStr">
        <is>
          <t>○=空室あり／△=残りわずか／×=満室／仮=仮予約で調整中。これは「その日の夜」の空き状況です。</t>
        </is>
      </c>
    </row>
    <row r="53" ht="32" customHeight="1">
      <c r="A53" s="5" t="inlineStr">
        <is>
          <t>色分け</t>
        </is>
      </c>
      <c r="B53" s="6" t="inlineStr">
        <is>
          <t>名前のマスは区分ごとに色が付きます（M_区分 の上から4つ＝青・緑・紫・橙）。仮予約・調整中はグレーの斜体になります。</t>
        </is>
      </c>
    </row>
    <row r="54">
      <c r="A54" s="3" t="inlineStr">
        <is>
          <t>数え方の定義（全シート共通のルール）</t>
        </is>
      </c>
      <c r="B54" s="4" t="n"/>
    </row>
    <row r="55" ht="32" customHeight="1">
      <c r="A55" s="5" t="inlineStr">
        <is>
          <t>利用日数</t>
        </is>
      </c>
      <c r="B55" s="6" t="inlineStr">
        <is>
          <t>入所日から退所日までの暦日数。両端を含みます（4/1入所・4/3退所 = 3日）。</t>
        </is>
      </c>
    </row>
    <row r="56" ht="32" customHeight="1">
      <c r="A56" s="5" t="inlineStr">
        <is>
          <t>宿泊数</t>
        </is>
      </c>
      <c r="B56" s="6" t="inlineStr">
        <is>
          <t>退所日 − 入所日（4/1入所・4/3退所 = 2泊）。</t>
        </is>
      </c>
    </row>
    <row r="57" ht="32" customHeight="1">
      <c r="A57" s="5" t="inlineStr">
        <is>
          <t>日帰り（体験利用）</t>
        </is>
      </c>
      <c r="B57" s="6" t="inlineStr">
        <is>
          <t>入所日 = 退所日。1利用日・0泊。食事は昼のみが既定です。</t>
        </is>
      </c>
    </row>
    <row r="58" ht="32" customHeight="1">
      <c r="A58" s="5" t="inlineStr">
        <is>
          <t>空室の判定</t>
        </is>
      </c>
      <c r="B58" s="6" t="inlineStr">
        <is>
          <t>「その日の夜に泊まるか」で見ます。★退所日の当日の夜は空き扱いです（次の方が入れます）。カレンダーで退所日に名前が出ていても、その夜は空いています。</t>
        </is>
      </c>
    </row>
    <row r="59" ht="32" customHeight="1">
      <c r="A59" s="5" t="inlineStr">
        <is>
          <t>集計に入る予約</t>
        </is>
      </c>
      <c r="B59" s="6" t="inlineStr">
        <is>
          <t>確定・利用済み・仮予約・調整中は集計に入り、キャンセルだけが除外されます。キャンセルは行を削除せず、状態を「キャンセル」に変えて記録として残してください。</t>
        </is>
      </c>
    </row>
    <row r="60" ht="32" customHeight="1">
      <c r="A60" s="5" t="inlineStr">
        <is>
          <t>食事の既定</t>
        </is>
      </c>
      <c r="B60" s="6" t="inlineStr">
        <is>
          <t>日帰り=昼のみ ／ 初日=夕 ／ 中日=朝昼夕 ／ 最終日=朝。例外だけ 06_食数表 の「調整」列に実数を入れると、そちらが優先されます。</t>
        </is>
      </c>
    </row>
    <row r="61">
      <c r="A61" s="3" t="inlineStr">
        <is>
          <t>セルの色の意味</t>
        </is>
      </c>
      <c r="B61" s="4" t="n"/>
    </row>
    <row r="62" ht="32" customHeight="1">
      <c r="A62" s="5" t="inlineStr">
        <is>
          <t>うすい黄色</t>
        </is>
      </c>
      <c r="B62" s="6" t="inlineStr">
        <is>
          <t>手で入力するセルです。</t>
        </is>
      </c>
    </row>
    <row r="63" ht="32" customHeight="1">
      <c r="A63" s="5" t="inlineStr">
        <is>
          <t>うすい灰色（斜体）</t>
        </is>
      </c>
      <c r="B63" s="6" t="inlineStr">
        <is>
          <t>自動計算です。上書きすると壊れます。触らないでください。</t>
        </is>
      </c>
    </row>
    <row r="64" ht="32" customHeight="1">
      <c r="A64" s="5" t="inlineStr">
        <is>
          <t>赤・オレンジ</t>
        </is>
      </c>
      <c r="B64" s="6" t="inlineStr">
        <is>
          <t>警告です。ダブルブッキング（⚠重複）・支給量オーバー・未登録の部屋を知らせます。</t>
        </is>
      </c>
    </row>
    <row r="65">
      <c r="A65" s="3" t="inlineStr">
        <is>
          <t>毎日の使い方</t>
        </is>
      </c>
      <c r="B65" s="4" t="n"/>
    </row>
    <row r="66" ht="32" customHeight="1">
      <c r="A66" s="5" t="inlineStr">
        <is>
          <t>予約が入ったら</t>
        </is>
      </c>
      <c r="B66" s="6" t="inlineStr">
        <is>
          <t>01_予約入力 の空いている行に、1滞在=1行で入れます。日にちも時刻も数字だけ。食事が標準と違うときだけ 朝食・昼食・夕食 列で ○/× を選びます。Y列・Z列が赤くならないことだけ確認してください。</t>
        </is>
      </c>
    </row>
    <row r="67" ht="32" customHeight="1">
      <c r="A67" s="5" t="inlineStr">
        <is>
          <t>★部屋は必ず選ぶ</t>
        </is>
      </c>
      <c r="B67" s="6" t="inlineStr">
        <is>
          <t>部屋が空欄のままだと、その予約はカレンダーの部屋の行に出ません（「空き」の判定には数えるので×にはなります）。V列に「⚠部屋が未選択」と赤で出るので直してください。</t>
        </is>
      </c>
    </row>
    <row r="68" ht="32" customHeight="1">
      <c r="A68" s="5" t="inlineStr">
        <is>
          <t>入れたあと確認</t>
        </is>
      </c>
      <c r="B68" s="6" t="inlineStr">
        <is>
          <t>02_カレンダー を見て、意図した期間に帯が出ているかを目で確かめます。</t>
        </is>
      </c>
    </row>
    <row r="69" ht="32" customHeight="1">
      <c r="A69" s="5" t="inlineStr">
        <is>
          <t>「空いてますか」</t>
        </is>
      </c>
      <c r="B69" s="6" t="inlineStr">
        <is>
          <t>05_空室照会 に日付を2つ入れるだけです。</t>
        </is>
      </c>
    </row>
    <row r="70" ht="32" customHeight="1">
      <c r="A70" s="5" t="inlineStr">
        <is>
          <t>月を切り替える</t>
        </is>
      </c>
      <c r="B70" s="6" t="inlineStr">
        <is>
          <t>★02_カレンダー の「対象月」を変えると、03_帯表・06_食数表・09_FAX空き表 の月も一緒に変わります。</t>
        </is>
      </c>
    </row>
    <row r="71" ht="32" customHeight="1">
      <c r="A71" s="5" t="inlineStr">
        <is>
          <t>FAXで空き状況を送る</t>
        </is>
      </c>
      <c r="B71" s="6" t="inlineStr">
        <is>
          <t>09_FAX空き表 の「送信先」を選び、必要なら連絡事項を書いて印刷するだけです。送信先は M_FAX送付先 に登録しておくと一覧から選べます（番号の打ち間違いによる誤送信を防げます）。未登録・未入力の欄は手書き用の下線が印刷されるので、そのままでも使えます。</t>
        </is>
      </c>
    </row>
    <row r="72">
      <c r="A72" s="3" t="inlineStr">
        <is>
          <t>★ 月が替わったとき（ファイルは作り直しません）</t>
        </is>
      </c>
      <c r="B72" s="4" t="n"/>
    </row>
    <row r="73" ht="32" customHeight="1">
      <c r="A73" s="5" t="inlineStr">
        <is>
          <t>1つのファイルを使い続けます</t>
        </is>
      </c>
      <c r="B73" s="6" t="inlineStr">
        <is>
          <t>月ごとに新しいファイルを作る必要も、シートを増やす必要もありません。予約は 01_予約入力 に下へ追記していくだけです。</t>
        </is>
      </c>
    </row>
    <row r="74" ht="32" customHeight="1">
      <c r="A74" s="5" t="inlineStr">
        <is>
          <t>★変えるのは1か所だけ</t>
        </is>
      </c>
      <c r="B74" s="6" t="inlineStr">
        <is>
          <t>02_カレンダー の「対象月」を変えると、次のシートがまとめて切り替わります。　02_カレンダー ／ 03_帯表 ／ 04_月間表 ／ 06_食数表 ／ 09_FAX空き表 ／ 07_月次集計 ／ 08_支給量管理。</t>
        </is>
      </c>
    </row>
    <row r="75" ht="32" customHeight="1">
      <c r="A75" s="5" t="inlineStr">
        <is>
          <t>07と08は上書きもできます</t>
        </is>
      </c>
      <c r="B75" s="6" t="inlineStr">
        <is>
          <t>07_月次集計 の開始日・終了日、08_支給量管理 の対象月は、空欄にしておけば対象月に連動します。年度でまとめたいときなど、別の期間を見たいときだけ日付を直接入れてください（入れた月が優先されます）。</t>
        </is>
      </c>
    </row>
    <row r="76" ht="32" customHeight="1">
      <c r="A76" s="5" t="inlineStr">
        <is>
          <t>連動しないシート</t>
        </is>
      </c>
      <c r="B76" s="6" t="inlineStr">
        <is>
          <t>05_空室照会 だけは連動しません。「この期間空いていますか」と聞かれたその場で日付を2つ入れて使うシートなので、対象月とは関係なく動きます。</t>
        </is>
      </c>
    </row>
    <row r="77" ht="32" customHeight="1">
      <c r="A77" s="5" t="inlineStr">
        <is>
          <t>新しい月の1行目だけ</t>
        </is>
      </c>
      <c r="B77" s="6" t="inlineStr">
        <is>
          <t>月が変わる最初の行で「年月」に新しい月（例 2026/9）を入れてください。そこから下の行はその月を引き継ぎます。あとは日にちの数字だけです。</t>
        </is>
      </c>
    </row>
    <row r="78" ht="32" customHeight="1">
      <c r="A78" s="5" t="inlineStr">
        <is>
          <t>★シートを月ごとに増やさないでください</t>
        </is>
      </c>
      <c r="B78" s="6" t="inlineStr">
        <is>
          <t>数式が月の数だけ複製され、直すときに全部を直すことになります。また 8/31→9/1 のように月をまたぐ滞在をどちらのシートに置くか決められず、年度集計や支給量管理が成り立たなくなります。「入力は1か所、表示は対象月で切り替え」が、この台帳のいちばんの利点です。</t>
        </is>
      </c>
    </row>
    <row r="79" ht="32" customHeight="1">
      <c r="A79" s="5" t="inlineStr">
        <is>
          <t>入る件数</t>
        </is>
      </c>
      <c r="B79" s="6" t="inlineStr">
        <is>
          <t>予約は400件まで入ります。月に10件なら3年以上ぶんです。足りなくなったら、その時点でファイルをコピーして年度で分けてください。</t>
        </is>
      </c>
    </row>
    <row r="80" ht="32" customHeight="1">
      <c r="A80" s="5" t="inlineStr">
        <is>
          <t>年度でまとめて見る</t>
        </is>
      </c>
      <c r="B80" s="6" t="inlineStr">
        <is>
          <t>07_月次集計 の期間に 2026/4/1〜2027/3/31 のように入れれば、年度ぶんの稼働率・区分別・利用者別がそのまま出ます。</t>
        </is>
      </c>
    </row>
    <row r="81" ht="32" customHeight="1">
      <c r="A81" s="5" t="inlineStr">
        <is>
          <t>年度で分けるとき</t>
        </is>
      </c>
      <c r="B81" s="6" t="inlineStr">
        <is>
          <t>年度末にファイルをコピーして「2026年度_管理台帳.xlsx」として保存し、新しい方は古い年度の行を消して使い始めると軽く保てます。消す前に必ず控えを残してください。</t>
        </is>
      </c>
    </row>
    <row r="82">
      <c r="A82" s="3" t="inlineStr">
        <is>
          <t>★ 稼働率の見かた</t>
        </is>
      </c>
      <c r="B82" s="4" t="n"/>
    </row>
    <row r="83" ht="32" customHeight="1">
      <c r="A83" s="5" t="inlineStr">
        <is>
          <t>計算式</t>
        </is>
      </c>
      <c r="B83" s="6" t="inlineStr">
        <is>
          <t>稼働率 ＝ 延べ宿泊数 ÷（定員 × 期間の日数）。07_月次集計 の上部に自動で出ます。</t>
        </is>
      </c>
    </row>
    <row r="84" ht="32" customHeight="1">
      <c r="A84" s="5" t="inlineStr">
        <is>
          <t>「泊」で数えます</t>
        </is>
      </c>
      <c r="B84" s="6" t="inlineStr">
        <is>
          <t>退所日の夜は次の方が使えるので、稼働率には入りません。日帰り（0泊）も宿泊ではないため稼働率には入りません。</t>
        </is>
      </c>
    </row>
    <row r="85" ht="32" customHeight="1">
      <c r="A85" s="5" t="inlineStr">
        <is>
          <t>確定と見込み</t>
        </is>
      </c>
      <c r="B85" s="6" t="inlineStr">
        <is>
          <t>「稼働率（確定）」は確定・利用済み・状態未記入のぶんだけ。「稼働率（仮予約を含む）」は仮予約・調整中も足した見込みです。報告には確定を使ってください。</t>
        </is>
      </c>
    </row>
    <row r="86" ht="32" customHeight="1">
      <c r="A86" s="5" t="inlineStr">
        <is>
          <t>区分別の稼働率</t>
        </is>
      </c>
      <c r="B86" s="6" t="inlineStr">
        <is>
          <t>SS・無料・契約それぞれの稼働率も区分別の表に出ます（こちらは仮予約も含みます）。</t>
        </is>
      </c>
    </row>
    <row r="87">
      <c r="A87" s="3" t="inlineStr">
        <is>
          <t>バックアップ</t>
        </is>
      </c>
      <c r="B87" s="4" t="n"/>
    </row>
    <row r="88" ht="32" customHeight="1">
      <c r="A88" s="5" t="inlineStr">
        <is>
          <t>月に一度はコピーを</t>
        </is>
      </c>
      <c r="B88" s="6" t="inlineStr">
        <is>
          <t>このファイル自体が台帳です。月初に「YYYYMM_管理台帳.xlsx」の名前でコピーを別フォルダに残してください。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0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10" customWidth="1" min="4" max="4"/>
    <col width="12" customWidth="1" min="5" max="5"/>
    <col width="8" customWidth="1" min="6" max="6"/>
    <col width="12" customWidth="1" min="7" max="7"/>
    <col width="8" customWidth="1" min="8" max="8"/>
    <col width="8" customWidth="1" min="9" max="9"/>
    <col width="12" customWidth="1" min="10" max="10"/>
    <col width="8" customWidth="1" min="11" max="11"/>
    <col width="7" customWidth="1" min="12" max="12"/>
    <col width="7" customWidth="1" min="13" max="13"/>
    <col width="7" customWidth="1" min="14" max="14"/>
    <col width="9" customWidth="1" min="15" max="15"/>
    <col width="8" customWidth="1" min="16" max="16"/>
    <col width="11" customWidth="1" min="17" max="17"/>
    <col width="9" customWidth="1" min="18" max="18"/>
    <col width="16" customWidth="1" min="19" max="19"/>
    <col width="20" customWidth="1" min="20" max="20"/>
    <col width="16" customWidth="1" min="21" max="21"/>
    <col width="30" customWidth="1" min="22" max="22"/>
    <col width="12" customWidth="1" min="23" max="23"/>
    <col width="12" customWidth="1" min="24" max="24"/>
    <col width="17" customWidth="1" min="25" max="25"/>
    <col width="15" customWidth="1" min="26" max="26"/>
    <col width="13" customWidth="1" min="27" max="27"/>
    <col hidden="1" width="12" customWidth="1" min="28" max="28"/>
    <col hidden="1" width="12" customWidth="1" min="29" max="29"/>
    <col hidden="1" width="10" customWidth="1" min="30" max="30"/>
    <col hidden="1" width="10" customWidth="1" min="31" max="31"/>
    <col hidden="1" width="12" customWidth="1" min="32" max="32"/>
    <col hidden="1" width="12" customWidth="1" min="33" max="33"/>
  </cols>
  <sheetData>
    <row r="1">
      <c r="A1" s="1" t="inlineStr">
        <is>
          <t>予約入力（1滞在 = 1行）</t>
        </is>
      </c>
    </row>
    <row r="2">
      <c r="A2" s="2" t="inlineStr">
        <is>
          <t>★日付は「年月」を最初の行に一度だけ入れれば、あとは日にちの数字だけ。時刻も「時」の数字だけ（16 → 16:00）。食事は空欄なら標準どおりです。黄色の列だけ入力します。Y列・Z列が赤くなったら、その行を直してください。</t>
        </is>
      </c>
    </row>
    <row r="4" ht="40" customHeight="1">
      <c r="A4" s="7" t="inlineStr">
        <is>
          <t>予約ID</t>
        </is>
      </c>
      <c r="B4" s="7" t="inlineStr">
        <is>
          <t>氏名</t>
        </is>
      </c>
      <c r="C4" s="7" t="inlineStr">
        <is>
          <t>区分</t>
        </is>
      </c>
      <c r="D4" s="7" t="inlineStr">
        <is>
          <t>部屋</t>
        </is>
      </c>
      <c r="E4" s="7" t="inlineStr">
        <is>
          <t>年月
(最初の行だけ)</t>
        </is>
      </c>
      <c r="F4" s="7" t="inlineStr">
        <is>
          <t>入所
(日)</t>
        </is>
      </c>
      <c r="G4" s="7" t="inlineStr">
        <is>
          <t>入所日
(自動)</t>
        </is>
      </c>
      <c r="H4" s="7" t="inlineStr">
        <is>
          <t>入所
(時)</t>
        </is>
      </c>
      <c r="I4" s="7" t="inlineStr">
        <is>
          <t>退所
(日)</t>
        </is>
      </c>
      <c r="J4" s="7" t="inlineStr">
        <is>
          <t>退所予定日
(自動)</t>
        </is>
      </c>
      <c r="K4" s="7" t="inlineStr">
        <is>
          <t>退所
(時)</t>
        </is>
      </c>
      <c r="L4" s="7" t="inlineStr">
        <is>
          <t>朝食</t>
        </is>
      </c>
      <c r="M4" s="7" t="inlineStr">
        <is>
          <t>昼食</t>
        </is>
      </c>
      <c r="N4" s="7" t="inlineStr">
        <is>
          <t>夕食</t>
        </is>
      </c>
      <c r="O4" s="7" t="inlineStr">
        <is>
          <t>利用日数</t>
        </is>
      </c>
      <c r="P4" s="7" t="inlineStr">
        <is>
          <t>宿泊数</t>
        </is>
      </c>
      <c r="Q4" s="7" t="inlineStr">
        <is>
          <t>予約状態</t>
        </is>
      </c>
      <c r="R4" s="7" t="inlineStr">
        <is>
          <t>送迎</t>
        </is>
      </c>
      <c r="S4" s="7" t="inlineStr">
        <is>
          <t>送迎方法</t>
        </is>
      </c>
      <c r="T4" s="7" t="inlineStr">
        <is>
          <t>送迎場所・時間帯</t>
        </is>
      </c>
      <c r="U4" s="7" t="inlineStr">
        <is>
          <t>外部サービス</t>
        </is>
      </c>
      <c r="V4" s="7" t="inlineStr">
        <is>
          <t>備考</t>
        </is>
      </c>
      <c r="W4" s="7" t="inlineStr">
        <is>
          <t>更新日</t>
        </is>
      </c>
      <c r="X4" s="7" t="inlineStr">
        <is>
          <t>更新者</t>
        </is>
      </c>
      <c r="Y4" s="7" t="inlineStr">
        <is>
          <t>⚠重複・部屋チェック</t>
        </is>
      </c>
      <c r="Z4" s="7" t="inlineStr">
        <is>
          <t>⚠支給量チェック</t>
        </is>
      </c>
      <c r="AA4" s="7" t="inlineStr">
        <is>
          <t>支給量対象日数</t>
        </is>
      </c>
      <c r="AB4" s="7" t="inlineStr">
        <is>
          <t>作業:実効年月</t>
        </is>
      </c>
      <c r="AC4" s="7" t="inlineStr">
        <is>
          <t>作業:並び順</t>
        </is>
      </c>
      <c r="AD4" s="7" t="inlineStr">
        <is>
          <t>作業:入所時刻</t>
        </is>
      </c>
      <c r="AE4" s="7" t="inlineStr">
        <is>
          <t>作業:退所時刻</t>
        </is>
      </c>
      <c r="AF4" s="7" t="inlineStr">
        <is>
          <t>作業:入所日数値</t>
        </is>
      </c>
      <c r="AG4" s="7" t="inlineStr">
        <is>
          <t>作業:退所日数値</t>
        </is>
      </c>
    </row>
    <row r="5">
      <c r="A5" s="8">
        <f>IF($G5="","","SS-"&amp;TEXT(ROW()-4,"0000"))</f>
        <v/>
      </c>
      <c r="B5" s="9" t="inlineStr">
        <is>
          <t>◎◎様</t>
        </is>
      </c>
      <c r="C5" s="9" t="inlineStr">
        <is>
          <t>SS</t>
        </is>
      </c>
      <c r="D5" s="9" t="inlineStr">
        <is>
          <t>１Ｆ</t>
        </is>
      </c>
      <c r="E5" s="10" t="n">
        <v>46235</v>
      </c>
      <c r="F5" s="11" t="n">
        <v>1</v>
      </c>
      <c r="G5" s="12">
        <f>IF($F5="","",IF($F5&gt;31,$F5,IF($AB5="","",DATE(YEAR($AB5),MONTH($AB5),$F5))))</f>
        <v/>
      </c>
      <c r="H5" s="9" t="n">
        <v>16</v>
      </c>
      <c r="I5" s="11" t="n">
        <v>2</v>
      </c>
      <c r="J5" s="12">
        <f>IF($I5="","",IF($I5&gt;31,$I5,IF($G5="","",IF(DATE(YEAR($G5),MONTH($G5),$I5)&gt;=$G5,DATE(YEAR($G5),MONTH($G5),$I5),DATE(YEAR($G5),MONTH($G5)+1,$I5)))))</f>
        <v/>
      </c>
      <c r="K5" s="9" t="n">
        <v>9</v>
      </c>
      <c r="L5" s="13" t="n"/>
      <c r="M5" s="13" t="n"/>
      <c r="N5" s="13" t="n"/>
      <c r="O5" s="8">
        <f>IF(OR($G5="",$J5=""),"",$J5-$G5+1)</f>
        <v/>
      </c>
      <c r="P5" s="8">
        <f>IF(OR($G5="",$J5=""),"",$J5-$G5)</f>
        <v/>
      </c>
      <c r="Q5" s="9" t="inlineStr">
        <is>
          <t>確定</t>
        </is>
      </c>
      <c r="R5" s="9" t="inlineStr">
        <is>
          <t>あり</t>
        </is>
      </c>
      <c r="S5" s="9" t="inlineStr">
        <is>
          <t>施設車</t>
        </is>
      </c>
      <c r="T5" s="9" t="inlineStr">
        <is>
          <t>自宅前 16:00</t>
        </is>
      </c>
      <c r="U5" s="9" t="n"/>
      <c r="V5" s="9" t="n"/>
      <c r="W5" s="14" t="n"/>
      <c r="X5" s="9" t="n"/>
      <c r="Y5" s="8">
        <f>IF($G5="","",IF($D5="","⚠部屋が未選択",IF(COUNTIF('M_部屋'!$A$4:$A$20,$D5)=0,"⚠部屋が未登録",IF(OR($J5="",$Q5="キャンセル"),"",IF(SUMPRODUCT(($D$5:$D$404=$D5)*($G$5:$G$404&lt;&gt;"")*($J$5:$J$404&lt;&gt;"")*($Q$5:$Q$404&lt;&gt;"キャンセル")*($G$5:$G$404&lt;$J5)*($J$5:$J$404&gt;$G5))&gt;1,"⚠重複","")))))</f>
        <v/>
      </c>
      <c r="Z5" s="8">
        <f>IF(OR($B5="",$G5=""),"",IF(SUMPRODUCT(('利用者マスタ'!$A$4:$A$60=$B5)*('利用者マスタ'!$B$4:$B$60&lt;&gt;""))=0,"",IF(SUMIFS($AA$5:$AA$404,$B$5:$B$404,$B5,$G$5:$G$404,"&gt;="&amp;DATE(YEAR($G5),MONTH($G5),1),$G$5:$G$404,"&lt;="&amp;EOMONTH($G5,0))&gt;SUMIFS('利用者マスタ'!$B$4:$B$60,'利用者マスタ'!$A$4:$A$60,$B5),"⚠支給量超過","")))</f>
        <v/>
      </c>
      <c r="AA5" s="8">
        <f>IF(OR($G5="",$J5="",$Q5="キャンセル"),0,IF(IFERROR(INDEX('M_区分'!$B$4:$B$20,MATCH($C5,'M_区分'!$A$4:$A$20,0)),"○")="○",$J5-$G5+1,0))</f>
        <v/>
      </c>
      <c r="AB5" s="8">
        <f>IF($E5&lt;&gt;"",$E5,"")</f>
        <v/>
      </c>
      <c r="AC5" s="8">
        <f>IF(OR($G5="",$J5=""),"",IF(AND($G5&lt;=EOMONTH('02_カレンダー'!$B$4,0),$J5&gt;='02_カレンダー'!$B$4),$G5*10000+ROW(),""))</f>
        <v/>
      </c>
      <c r="AD5" s="8">
        <f>IF($H5="","",IF(ISNUMBER($H5),IF(AND($H5=INT($H5),$H5&gt;=0,$H5&lt;=24),TEXT(INT($H5),"00")&amp;":00",TEXT($H5,"hh:mm")),$H5))</f>
        <v/>
      </c>
      <c r="AE5" s="8">
        <f>IF($K5="","",IF(ISNUMBER($K5),IF(AND($K5=INT($K5),$K5&gt;=0,$K5&lt;=24),TEXT(INT($K5),"00")&amp;":00",TEXT($K5,"hh:mm")),$K5))</f>
        <v/>
      </c>
      <c r="AF5" s="8">
        <f>IF($G5="",0,$G5)</f>
        <v/>
      </c>
      <c r="AG5" s="8">
        <f>IF($J5="",0,$J5)</f>
        <v/>
      </c>
    </row>
    <row r="6">
      <c r="A6" s="8">
        <f>IF($G6="","","SS-"&amp;TEXT(ROW()-4,"0000"))</f>
        <v/>
      </c>
      <c r="B6" s="9" t="inlineStr">
        <is>
          <t>木村様</t>
        </is>
      </c>
      <c r="C6" s="9" t="inlineStr">
        <is>
          <t>SS</t>
        </is>
      </c>
      <c r="D6" s="9" t="inlineStr">
        <is>
          <t>１Ｆ</t>
        </is>
      </c>
      <c r="E6" s="10" t="n"/>
      <c r="F6" s="11" t="n">
        <v>5</v>
      </c>
      <c r="G6" s="12">
        <f>IF($F6="","",IF($F6&gt;31,$F6,IF($AB6="","",DATE(YEAR($AB6),MONTH($AB6),$F6))))</f>
        <v/>
      </c>
      <c r="H6" s="9" t="inlineStr">
        <is>
          <t>16:30</t>
        </is>
      </c>
      <c r="I6" s="11" t="n">
        <v>7</v>
      </c>
      <c r="J6" s="12">
        <f>IF($I6="","",IF($I6&gt;31,$I6,IF($G6="","",IF(DATE(YEAR($G6),MONTH($G6),$I6)&gt;=$G6,DATE(YEAR($G6),MONTH($G6),$I6),DATE(YEAR($G6),MONTH($G6)+1,$I6)))))</f>
        <v/>
      </c>
      <c r="K6" s="9" t="n">
        <v>9</v>
      </c>
      <c r="L6" s="13" t="n"/>
      <c r="M6" s="13" t="n"/>
      <c r="N6" s="13" t="n"/>
      <c r="O6" s="8">
        <f>IF(OR($G6="",$J6=""),"",$J6-$G6+1)</f>
        <v/>
      </c>
      <c r="P6" s="8">
        <f>IF(OR($G6="",$J6=""),"",$J6-$G6)</f>
        <v/>
      </c>
      <c r="Q6" s="9" t="inlineStr">
        <is>
          <t>確定</t>
        </is>
      </c>
      <c r="R6" s="9" t="inlineStr">
        <is>
          <t>なし</t>
        </is>
      </c>
      <c r="S6" s="9" t="n"/>
      <c r="T6" s="9" t="n"/>
      <c r="U6" s="9" t="n"/>
      <c r="V6" s="9" t="n"/>
      <c r="W6" s="14" t="n"/>
      <c r="X6" s="9" t="n"/>
      <c r="Y6" s="8">
        <f>IF($G6="","",IF($D6="","⚠部屋が未選択",IF(COUNTIF('M_部屋'!$A$4:$A$20,$D6)=0,"⚠部屋が未登録",IF(OR($J6="",$Q6="キャンセル"),"",IF(SUMPRODUCT(($D$5:$D$404=$D6)*($G$5:$G$404&lt;&gt;"")*($J$5:$J$404&lt;&gt;"")*($Q$5:$Q$404&lt;&gt;"キャンセル")*($G$5:$G$404&lt;$J6)*($J$5:$J$404&gt;$G6))&gt;1,"⚠重複","")))))</f>
        <v/>
      </c>
      <c r="Z6" s="8">
        <f>IF(OR($B6="",$G6=""),"",IF(SUMPRODUCT(('利用者マスタ'!$A$4:$A$60=$B6)*('利用者マスタ'!$B$4:$B$60&lt;&gt;""))=0,"",IF(SUMIFS($AA$5:$AA$404,$B$5:$B$404,$B6,$G$5:$G$404,"&gt;="&amp;DATE(YEAR($G6),MONTH($G6),1),$G$5:$G$404,"&lt;="&amp;EOMONTH($G6,0))&gt;SUMIFS('利用者マスタ'!$B$4:$B$60,'利用者マスタ'!$A$4:$A$60,$B6),"⚠支給量超過","")))</f>
        <v/>
      </c>
      <c r="AA6" s="8">
        <f>IF(OR($G6="",$J6="",$Q6="キャンセル"),0,IF(IFERROR(INDEX('M_区分'!$B$4:$B$20,MATCH($C6,'M_区分'!$A$4:$A$20,0)),"○")="○",$J6-$G6+1,0))</f>
        <v/>
      </c>
      <c r="AB6" s="8">
        <f>IF($E6&lt;&gt;"",$E6,$AB5)</f>
        <v/>
      </c>
      <c r="AC6" s="8">
        <f>IF(OR($G6="",$J6=""),"",IF(AND($G6&lt;=EOMONTH('02_カレンダー'!$B$4,0),$J6&gt;='02_カレンダー'!$B$4),$G6*10000+ROW(),""))</f>
        <v/>
      </c>
      <c r="AD6" s="8">
        <f>IF($H6="","",IF(ISNUMBER($H6),IF(AND($H6=INT($H6),$H6&gt;=0,$H6&lt;=24),TEXT(INT($H6),"00")&amp;":00",TEXT($H6,"hh:mm")),$H6))</f>
        <v/>
      </c>
      <c r="AE6" s="8">
        <f>IF($K6="","",IF(ISNUMBER($K6),IF(AND($K6=INT($K6),$K6&gt;=0,$K6&lt;=24),TEXT(INT($K6),"00")&amp;":00",TEXT($K6,"hh:mm")),$K6))</f>
        <v/>
      </c>
      <c r="AF6" s="8">
        <f>IF($G6="",0,$G6)</f>
        <v/>
      </c>
      <c r="AG6" s="8">
        <f>IF($J6="",0,$J6)</f>
        <v/>
      </c>
    </row>
    <row r="7">
      <c r="A7" s="8">
        <f>IF($G7="","","SS-"&amp;TEXT(ROW()-4,"0000"))</f>
        <v/>
      </c>
      <c r="B7" s="9" t="inlineStr">
        <is>
          <t>◎◎様</t>
        </is>
      </c>
      <c r="C7" s="9" t="inlineStr">
        <is>
          <t>SS</t>
        </is>
      </c>
      <c r="D7" s="9" t="inlineStr">
        <is>
          <t>１Ｆ</t>
        </is>
      </c>
      <c r="E7" s="10" t="n"/>
      <c r="F7" s="11" t="n">
        <v>8</v>
      </c>
      <c r="G7" s="12">
        <f>IF($F7="","",IF($F7&gt;31,$F7,IF($AB7="","",DATE(YEAR($AB7),MONTH($AB7),$F7))))</f>
        <v/>
      </c>
      <c r="H7" s="9" t="n">
        <v>10</v>
      </c>
      <c r="I7" s="11" t="n">
        <v>8</v>
      </c>
      <c r="J7" s="12">
        <f>IF($I7="","",IF($I7&gt;31,$I7,IF($G7="","",IF(DATE(YEAR($G7),MONTH($G7),$I7)&gt;=$G7,DATE(YEAR($G7),MONTH($G7),$I7),DATE(YEAR($G7),MONTH($G7)+1,$I7)))))</f>
        <v/>
      </c>
      <c r="K7" s="9" t="n">
        <v>16</v>
      </c>
      <c r="L7" s="13" t="n"/>
      <c r="M7" s="13" t="n"/>
      <c r="N7" s="13" t="n"/>
      <c r="O7" s="8">
        <f>IF(OR($G7="",$J7=""),"",$J7-$G7+1)</f>
        <v/>
      </c>
      <c r="P7" s="8">
        <f>IF(OR($G7="",$J7=""),"",$J7-$G7)</f>
        <v/>
      </c>
      <c r="Q7" s="9" t="inlineStr">
        <is>
          <t>確定</t>
        </is>
      </c>
      <c r="R7" s="9" t="inlineStr">
        <is>
          <t>あり</t>
        </is>
      </c>
      <c r="S7" s="9" t="inlineStr">
        <is>
          <t>家族送迎</t>
        </is>
      </c>
      <c r="T7" s="9" t="n"/>
      <c r="U7" s="9" t="n"/>
      <c r="V7" s="9" t="inlineStr">
        <is>
          <t>日帰り（体験利用）</t>
        </is>
      </c>
      <c r="W7" s="14" t="n"/>
      <c r="X7" s="9" t="n"/>
      <c r="Y7" s="8">
        <f>IF($G7="","",IF($D7="","⚠部屋が未選択",IF(COUNTIF('M_部屋'!$A$4:$A$20,$D7)=0,"⚠部屋が未登録",IF(OR($J7="",$Q7="キャンセル"),"",IF(SUMPRODUCT(($D$5:$D$404=$D7)*($G$5:$G$404&lt;&gt;"")*($J$5:$J$404&lt;&gt;"")*($Q$5:$Q$404&lt;&gt;"キャンセル")*($G$5:$G$404&lt;$J7)*($J$5:$J$404&gt;$G7))&gt;1,"⚠重複","")))))</f>
        <v/>
      </c>
      <c r="Z7" s="8">
        <f>IF(OR($B7="",$G7=""),"",IF(SUMPRODUCT(('利用者マスタ'!$A$4:$A$60=$B7)*('利用者マスタ'!$B$4:$B$60&lt;&gt;""))=0,"",IF(SUMIFS($AA$5:$AA$404,$B$5:$B$404,$B7,$G$5:$G$404,"&gt;="&amp;DATE(YEAR($G7),MONTH($G7),1),$G$5:$G$404,"&lt;="&amp;EOMONTH($G7,0))&gt;SUMIFS('利用者マスタ'!$B$4:$B$60,'利用者マスタ'!$A$4:$A$60,$B7),"⚠支給量超過","")))</f>
        <v/>
      </c>
      <c r="AA7" s="8">
        <f>IF(OR($G7="",$J7="",$Q7="キャンセル"),0,IF(IFERROR(INDEX('M_区分'!$B$4:$B$20,MATCH($C7,'M_区分'!$A$4:$A$20,0)),"○")="○",$J7-$G7+1,0))</f>
        <v/>
      </c>
      <c r="AB7" s="8">
        <f>IF($E7&lt;&gt;"",$E7,$AB6)</f>
        <v/>
      </c>
      <c r="AC7" s="8">
        <f>IF(OR($G7="",$J7=""),"",IF(AND($G7&lt;=EOMONTH('02_カレンダー'!$B$4,0),$J7&gt;='02_カレンダー'!$B$4),$G7*10000+ROW(),""))</f>
        <v/>
      </c>
      <c r="AD7" s="8">
        <f>IF($H7="","",IF(ISNUMBER($H7),IF(AND($H7=INT($H7),$H7&gt;=0,$H7&lt;=24),TEXT(INT($H7),"00")&amp;":00",TEXT($H7,"hh:mm")),$H7))</f>
        <v/>
      </c>
      <c r="AE7" s="8">
        <f>IF($K7="","",IF(ISNUMBER($K7),IF(AND($K7=INT($K7),$K7&gt;=0,$K7&lt;=24),TEXT(INT($K7),"00")&amp;":00",TEXT($K7,"hh:mm")),$K7))</f>
        <v/>
      </c>
      <c r="AF7" s="8">
        <f>IF($G7="",0,$G7)</f>
        <v/>
      </c>
      <c r="AG7" s="8">
        <f>IF($J7="",0,$J7)</f>
        <v/>
      </c>
    </row>
    <row r="8">
      <c r="A8" s="8">
        <f>IF($G8="","","SS-"&amp;TEXT(ROW()-4,"0000"))</f>
        <v/>
      </c>
      <c r="B8" s="9" t="inlineStr">
        <is>
          <t>小澤様</t>
        </is>
      </c>
      <c r="C8" s="9" t="inlineStr">
        <is>
          <t>SS</t>
        </is>
      </c>
      <c r="D8" s="9" t="inlineStr">
        <is>
          <t>１Ｆ</t>
        </is>
      </c>
      <c r="E8" s="10" t="n"/>
      <c r="F8" s="11" t="n">
        <v>14</v>
      </c>
      <c r="G8" s="12">
        <f>IF($F8="","",IF($F8&gt;31,$F8,IF($AB8="","",DATE(YEAR($AB8),MONTH($AB8),$F8))))</f>
        <v/>
      </c>
      <c r="H8" s="9" t="n">
        <v>16</v>
      </c>
      <c r="I8" s="11" t="n">
        <v>16</v>
      </c>
      <c r="J8" s="12">
        <f>IF($I8="","",IF($I8&gt;31,$I8,IF($G8="","",IF(DATE(YEAR($G8),MONTH($G8),$I8)&gt;=$G8,DATE(YEAR($G8),MONTH($G8),$I8),DATE(YEAR($G8),MONTH($G8)+1,$I8)))))</f>
        <v/>
      </c>
      <c r="K8" s="9" t="n">
        <v>9</v>
      </c>
      <c r="L8" s="13" t="n"/>
      <c r="M8" s="13" t="n"/>
      <c r="N8" s="13" t="n"/>
      <c r="O8" s="8">
        <f>IF(OR($G8="",$J8=""),"",$J8-$G8+1)</f>
        <v/>
      </c>
      <c r="P8" s="8">
        <f>IF(OR($G8="",$J8=""),"",$J8-$G8)</f>
        <v/>
      </c>
      <c r="Q8" s="9" t="inlineStr">
        <is>
          <t>確定</t>
        </is>
      </c>
      <c r="R8" s="9" t="inlineStr">
        <is>
          <t>調整中</t>
        </is>
      </c>
      <c r="S8" s="9" t="n"/>
      <c r="T8" s="9" t="n"/>
      <c r="U8" s="9" t="n"/>
      <c r="V8" s="9" t="n"/>
      <c r="W8" s="14" t="n"/>
      <c r="X8" s="9" t="n"/>
      <c r="Y8" s="8">
        <f>IF($G8="","",IF($D8="","⚠部屋が未選択",IF(COUNTIF('M_部屋'!$A$4:$A$20,$D8)=0,"⚠部屋が未登録",IF(OR($J8="",$Q8="キャンセル"),"",IF(SUMPRODUCT(($D$5:$D$404=$D8)*($G$5:$G$404&lt;&gt;"")*($J$5:$J$404&lt;&gt;"")*($Q$5:$Q$404&lt;&gt;"キャンセル")*($G$5:$G$404&lt;$J8)*($J$5:$J$404&gt;$G8))&gt;1,"⚠重複","")))))</f>
        <v/>
      </c>
      <c r="Z8" s="8">
        <f>IF(OR($B8="",$G8=""),"",IF(SUMPRODUCT(('利用者マスタ'!$A$4:$A$60=$B8)*('利用者マスタ'!$B$4:$B$60&lt;&gt;""))=0,"",IF(SUMIFS($AA$5:$AA$404,$B$5:$B$404,$B8,$G$5:$G$404,"&gt;="&amp;DATE(YEAR($G8),MONTH($G8),1),$G$5:$G$404,"&lt;="&amp;EOMONTH($G8,0))&gt;SUMIFS('利用者マスタ'!$B$4:$B$60,'利用者マスタ'!$A$4:$A$60,$B8),"⚠支給量超過","")))</f>
        <v/>
      </c>
      <c r="AA8" s="8">
        <f>IF(OR($G8="",$J8="",$Q8="キャンセル"),0,IF(IFERROR(INDEX('M_区分'!$B$4:$B$20,MATCH($C8,'M_区分'!$A$4:$A$20,0)),"○")="○",$J8-$G8+1,0))</f>
        <v/>
      </c>
      <c r="AB8" s="8">
        <f>IF($E8&lt;&gt;"",$E8,$AB7)</f>
        <v/>
      </c>
      <c r="AC8" s="8">
        <f>IF(OR($G8="",$J8=""),"",IF(AND($G8&lt;=EOMONTH('02_カレンダー'!$B$4,0),$J8&gt;='02_カレンダー'!$B$4),$G8*10000+ROW(),""))</f>
        <v/>
      </c>
      <c r="AD8" s="8">
        <f>IF($H8="","",IF(ISNUMBER($H8),IF(AND($H8=INT($H8),$H8&gt;=0,$H8&lt;=24),TEXT(INT($H8),"00")&amp;":00",TEXT($H8,"hh:mm")),$H8))</f>
        <v/>
      </c>
      <c r="AE8" s="8">
        <f>IF($K8="","",IF(ISNUMBER($K8),IF(AND($K8=INT($K8),$K8&gt;=0,$K8&lt;=24),TEXT(INT($K8),"00")&amp;":00",TEXT($K8,"hh:mm")),$K8))</f>
        <v/>
      </c>
      <c r="AF8" s="8">
        <f>IF($G8="",0,$G8)</f>
        <v/>
      </c>
      <c r="AG8" s="8">
        <f>IF($J8="",0,$J8)</f>
        <v/>
      </c>
    </row>
    <row r="9">
      <c r="A9" s="8">
        <f>IF($G9="","","SS-"&amp;TEXT(ROW()-4,"0000"))</f>
        <v/>
      </c>
      <c r="B9" s="9" t="inlineStr">
        <is>
          <t>木村様</t>
        </is>
      </c>
      <c r="C9" s="9" t="inlineStr">
        <is>
          <t>SS</t>
        </is>
      </c>
      <c r="D9" s="9" t="inlineStr">
        <is>
          <t>１Ｆ</t>
        </is>
      </c>
      <c r="E9" s="10" t="n"/>
      <c r="F9" s="11" t="n">
        <v>19</v>
      </c>
      <c r="G9" s="12">
        <f>IF($F9="","",IF($F9&gt;31,$F9,IF($AB9="","",DATE(YEAR($AB9),MONTH($AB9),$F9))))</f>
        <v/>
      </c>
      <c r="H9" s="9" t="n">
        <v>15</v>
      </c>
      <c r="I9" s="11" t="n">
        <v>21</v>
      </c>
      <c r="J9" s="12">
        <f>IF($I9="","",IF($I9&gt;31,$I9,IF($G9="","",IF(DATE(YEAR($G9),MONTH($G9),$I9)&gt;=$G9,DATE(YEAR($G9),MONTH($G9),$I9),DATE(YEAR($G9),MONTH($G9)+1,$I9)))))</f>
        <v/>
      </c>
      <c r="K9" s="9" t="n"/>
      <c r="L9" s="13" t="n"/>
      <c r="M9" s="13" t="n"/>
      <c r="N9" s="13" t="n"/>
      <c r="O9" s="8">
        <f>IF(OR($G9="",$J9=""),"",$J9-$G9+1)</f>
        <v/>
      </c>
      <c r="P9" s="8">
        <f>IF(OR($G9="",$J9=""),"",$J9-$G9)</f>
        <v/>
      </c>
      <c r="Q9" s="9" t="n"/>
      <c r="R9" s="9" t="n"/>
      <c r="S9" s="9" t="n"/>
      <c r="T9" s="9" t="n"/>
      <c r="U9" s="9" t="n"/>
      <c r="V9" s="9" t="n"/>
      <c r="W9" s="14" t="n"/>
      <c r="X9" s="9" t="n"/>
      <c r="Y9" s="8">
        <f>IF($G9="","",IF($D9="","⚠部屋が未選択",IF(COUNTIF('M_部屋'!$A$4:$A$20,$D9)=0,"⚠部屋が未登録",IF(OR($J9="",$Q9="キャンセル"),"",IF(SUMPRODUCT(($D$5:$D$404=$D9)*($G$5:$G$404&lt;&gt;"")*($J$5:$J$404&lt;&gt;"")*($Q$5:$Q$404&lt;&gt;"キャンセル")*($G$5:$G$404&lt;$J9)*($J$5:$J$404&gt;$G9))&gt;1,"⚠重複","")))))</f>
        <v/>
      </c>
      <c r="Z9" s="8">
        <f>IF(OR($B9="",$G9=""),"",IF(SUMPRODUCT(('利用者マスタ'!$A$4:$A$60=$B9)*('利用者マスタ'!$B$4:$B$60&lt;&gt;""))=0,"",IF(SUMIFS($AA$5:$AA$404,$B$5:$B$404,$B9,$G$5:$G$404,"&gt;="&amp;DATE(YEAR($G9),MONTH($G9),1),$G$5:$G$404,"&lt;="&amp;EOMONTH($G9,0))&gt;SUMIFS('利用者マスタ'!$B$4:$B$60,'利用者マスタ'!$A$4:$A$60,$B9),"⚠支給量超過","")))</f>
        <v/>
      </c>
      <c r="AA9" s="8">
        <f>IF(OR($G9="",$J9="",$Q9="キャンセル"),0,IF(IFERROR(INDEX('M_区分'!$B$4:$B$20,MATCH($C9,'M_区分'!$A$4:$A$20,0)),"○")="○",$J9-$G9+1,0))</f>
        <v/>
      </c>
      <c r="AB9" s="8">
        <f>IF($E9&lt;&gt;"",$E9,$AB8)</f>
        <v/>
      </c>
      <c r="AC9" s="8">
        <f>IF(OR($G9="",$J9=""),"",IF(AND($G9&lt;=EOMONTH('02_カレンダー'!$B$4,0),$J9&gt;='02_カレンダー'!$B$4),$G9*10000+ROW(),""))</f>
        <v/>
      </c>
      <c r="AD9" s="8">
        <f>IF($H9="","",IF(ISNUMBER($H9),IF(AND($H9=INT($H9),$H9&gt;=0,$H9&lt;=24),TEXT(INT($H9),"00")&amp;":00",TEXT($H9,"hh:mm")),$H9))</f>
        <v/>
      </c>
      <c r="AE9" s="8">
        <f>IF($K9="","",IF(ISNUMBER($K9),IF(AND($K9=INT($K9),$K9&gt;=0,$K9&lt;=24),TEXT(INT($K9),"00")&amp;":00",TEXT($K9,"hh:mm")),$K9))</f>
        <v/>
      </c>
      <c r="AF9" s="8">
        <f>IF($G9="",0,$G9)</f>
        <v/>
      </c>
      <c r="AG9" s="8">
        <f>IF($J9="",0,$J9)</f>
        <v/>
      </c>
    </row>
    <row r="10">
      <c r="A10" s="8">
        <f>IF($G10="","","SS-"&amp;TEXT(ROW()-4,"0000"))</f>
        <v/>
      </c>
      <c r="B10" s="9" t="inlineStr">
        <is>
          <t>伊藤メイ様</t>
        </is>
      </c>
      <c r="C10" s="9" t="inlineStr">
        <is>
          <t>SS</t>
        </is>
      </c>
      <c r="D10" s="9" t="inlineStr">
        <is>
          <t>１Ｆ</t>
        </is>
      </c>
      <c r="E10" s="10" t="n"/>
      <c r="F10" s="11" t="n">
        <v>21</v>
      </c>
      <c r="G10" s="12">
        <f>IF($F10="","",IF($F10&gt;31,$F10,IF($AB10="","",DATE(YEAR($AB10),MONTH($AB10),$F10))))</f>
        <v/>
      </c>
      <c r="H10" s="9" t="n">
        <v>15</v>
      </c>
      <c r="I10" s="11" t="n">
        <v>22</v>
      </c>
      <c r="J10" s="12">
        <f>IF($I10="","",IF($I10&gt;31,$I10,IF($G10="","",IF(DATE(YEAR($G10),MONTH($G10),$I10)&gt;=$G10,DATE(YEAR($G10),MONTH($G10),$I10),DATE(YEAR($G10),MONTH($G10)+1,$I10)))))</f>
        <v/>
      </c>
      <c r="K10" s="9" t="n"/>
      <c r="L10" s="13" t="n"/>
      <c r="M10" s="13" t="n"/>
      <c r="N10" s="13" t="n"/>
      <c r="O10" s="8">
        <f>IF(OR($G10="",$J10=""),"",$J10-$G10+1)</f>
        <v/>
      </c>
      <c r="P10" s="8">
        <f>IF(OR($G10="",$J10=""),"",$J10-$G10)</f>
        <v/>
      </c>
      <c r="Q10" s="9" t="n"/>
      <c r="R10" s="9" t="n"/>
      <c r="S10" s="9" t="n"/>
      <c r="T10" s="9" t="n"/>
      <c r="U10" s="9" t="n"/>
      <c r="V10" s="9" t="n"/>
      <c r="W10" s="14" t="n"/>
      <c r="X10" s="9" t="n"/>
      <c r="Y10" s="8">
        <f>IF($G10="","",IF($D10="","⚠部屋が未選択",IF(COUNTIF('M_部屋'!$A$4:$A$20,$D10)=0,"⚠部屋が未登録",IF(OR($J10="",$Q10="キャンセル"),"",IF(SUMPRODUCT(($D$5:$D$404=$D10)*($G$5:$G$404&lt;&gt;"")*($J$5:$J$404&lt;&gt;"")*($Q$5:$Q$404&lt;&gt;"キャンセル")*($G$5:$G$404&lt;$J10)*($J$5:$J$404&gt;$G10))&gt;1,"⚠重複","")))))</f>
        <v/>
      </c>
      <c r="Z10" s="8">
        <f>IF(OR($B10="",$G10=""),"",IF(SUMPRODUCT(('利用者マスタ'!$A$4:$A$60=$B10)*('利用者マスタ'!$B$4:$B$60&lt;&gt;""))=0,"",IF(SUMIFS($AA$5:$AA$404,$B$5:$B$404,$B10,$G$5:$G$404,"&gt;="&amp;DATE(YEAR($G10),MONTH($G10),1),$G$5:$G$404,"&lt;="&amp;EOMONTH($G10,0))&gt;SUMIFS('利用者マスタ'!$B$4:$B$60,'利用者マスタ'!$A$4:$A$60,$B10),"⚠支給量超過","")))</f>
        <v/>
      </c>
      <c r="AA10" s="8">
        <f>IF(OR($G10="",$J10="",$Q10="キャンセル"),0,IF(IFERROR(INDEX('M_区分'!$B$4:$B$20,MATCH($C10,'M_区分'!$A$4:$A$20,0)),"○")="○",$J10-$G10+1,0))</f>
        <v/>
      </c>
      <c r="AB10" s="8">
        <f>IF($E10&lt;&gt;"",$E10,$AB9)</f>
        <v/>
      </c>
      <c r="AC10" s="8">
        <f>IF(OR($G10="",$J10=""),"",IF(AND($G10&lt;=EOMONTH('02_カレンダー'!$B$4,0),$J10&gt;='02_カレンダー'!$B$4),$G10*10000+ROW(),""))</f>
        <v/>
      </c>
      <c r="AD10" s="8">
        <f>IF($H10="","",IF(ISNUMBER($H10),IF(AND($H10=INT($H10),$H10&gt;=0,$H10&lt;=24),TEXT(INT($H10),"00")&amp;":00",TEXT($H10,"hh:mm")),$H10))</f>
        <v/>
      </c>
      <c r="AE10" s="8">
        <f>IF($K10="","",IF(ISNUMBER($K10),IF(AND($K10=INT($K10),$K10&gt;=0,$K10&lt;=24),TEXT(INT($K10),"00")&amp;":00",TEXT($K10,"hh:mm")),$K10))</f>
        <v/>
      </c>
      <c r="AF10" s="8">
        <f>IF($G10="",0,$G10)</f>
        <v/>
      </c>
      <c r="AG10" s="8">
        <f>IF($J10="",0,$J10)</f>
        <v/>
      </c>
    </row>
    <row r="11">
      <c r="A11" s="8">
        <f>IF($G11="","","SS-"&amp;TEXT(ROW()-4,"0000"))</f>
        <v/>
      </c>
      <c r="B11" s="9" t="inlineStr">
        <is>
          <t>小澤様</t>
        </is>
      </c>
      <c r="C11" s="9" t="inlineStr">
        <is>
          <t>SS</t>
        </is>
      </c>
      <c r="D11" s="9" t="inlineStr">
        <is>
          <t>１Ｆ</t>
        </is>
      </c>
      <c r="E11" s="10" t="n"/>
      <c r="F11" s="11" t="n">
        <v>22</v>
      </c>
      <c r="G11" s="12">
        <f>IF($F11="","",IF($F11&gt;31,$F11,IF($AB11="","",DATE(YEAR($AB11),MONTH($AB11),$F11))))</f>
        <v/>
      </c>
      <c r="H11" s="9" t="n">
        <v>15</v>
      </c>
      <c r="I11" s="11" t="n">
        <v>23</v>
      </c>
      <c r="J11" s="12">
        <f>IF($I11="","",IF($I11&gt;31,$I11,IF($G11="","",IF(DATE(YEAR($G11),MONTH($G11),$I11)&gt;=$G11,DATE(YEAR($G11),MONTH($G11),$I11),DATE(YEAR($G11),MONTH($G11)+1,$I11)))))</f>
        <v/>
      </c>
      <c r="K11" s="9" t="n"/>
      <c r="L11" s="13" t="n"/>
      <c r="M11" s="13" t="n"/>
      <c r="N11" s="13" t="n"/>
      <c r="O11" s="8">
        <f>IF(OR($G11="",$J11=""),"",$J11-$G11+1)</f>
        <v/>
      </c>
      <c r="P11" s="8">
        <f>IF(OR($G11="",$J11=""),"",$J11-$G11)</f>
        <v/>
      </c>
      <c r="Q11" s="9" t="n"/>
      <c r="R11" s="9" t="n"/>
      <c r="S11" s="9" t="n"/>
      <c r="T11" s="9" t="n"/>
      <c r="U11" s="9" t="n"/>
      <c r="V11" s="9" t="n"/>
      <c r="W11" s="14" t="n"/>
      <c r="X11" s="9" t="n"/>
      <c r="Y11" s="8">
        <f>IF($G11="","",IF($D11="","⚠部屋が未選択",IF(COUNTIF('M_部屋'!$A$4:$A$20,$D11)=0,"⚠部屋が未登録",IF(OR($J11="",$Q11="キャンセル"),"",IF(SUMPRODUCT(($D$5:$D$404=$D11)*($G$5:$G$404&lt;&gt;"")*($J$5:$J$404&lt;&gt;"")*($Q$5:$Q$404&lt;&gt;"キャンセル")*($G$5:$G$404&lt;$J11)*($J$5:$J$404&gt;$G11))&gt;1,"⚠重複","")))))</f>
        <v/>
      </c>
      <c r="Z11" s="8">
        <f>IF(OR($B11="",$G11=""),"",IF(SUMPRODUCT(('利用者マスタ'!$A$4:$A$60=$B11)*('利用者マスタ'!$B$4:$B$60&lt;&gt;""))=0,"",IF(SUMIFS($AA$5:$AA$404,$B$5:$B$404,$B11,$G$5:$G$404,"&gt;="&amp;DATE(YEAR($G11),MONTH($G11),1),$G$5:$G$404,"&lt;="&amp;EOMONTH($G11,0))&gt;SUMIFS('利用者マスタ'!$B$4:$B$60,'利用者マスタ'!$A$4:$A$60,$B11),"⚠支給量超過","")))</f>
        <v/>
      </c>
      <c r="AA11" s="8">
        <f>IF(OR($G11="",$J11="",$Q11="キャンセル"),0,IF(IFERROR(INDEX('M_区分'!$B$4:$B$20,MATCH($C11,'M_区分'!$A$4:$A$20,0)),"○")="○",$J11-$G11+1,0))</f>
        <v/>
      </c>
      <c r="AB11" s="8">
        <f>IF($E11&lt;&gt;"",$E11,$AB10)</f>
        <v/>
      </c>
      <c r="AC11" s="8">
        <f>IF(OR($G11="",$J11=""),"",IF(AND($G11&lt;=EOMONTH('02_カレンダー'!$B$4,0),$J11&gt;='02_カレンダー'!$B$4),$G11*10000+ROW(),""))</f>
        <v/>
      </c>
      <c r="AD11" s="8">
        <f>IF($H11="","",IF(ISNUMBER($H11),IF(AND($H11=INT($H11),$H11&gt;=0,$H11&lt;=24),TEXT(INT($H11),"00")&amp;":00",TEXT($H11,"hh:mm")),$H11))</f>
        <v/>
      </c>
      <c r="AE11" s="8">
        <f>IF($K11="","",IF(ISNUMBER($K11),IF(AND($K11=INT($K11),$K11&gt;=0,$K11&lt;=24),TEXT(INT($K11),"00")&amp;":00",TEXT($K11,"hh:mm")),$K11))</f>
        <v/>
      </c>
      <c r="AF11" s="8">
        <f>IF($G11="",0,$G11)</f>
        <v/>
      </c>
      <c r="AG11" s="8">
        <f>IF($J11="",0,$J11)</f>
        <v/>
      </c>
    </row>
    <row r="12">
      <c r="A12" s="8">
        <f>IF($G12="","","SS-"&amp;TEXT(ROW()-4,"0000"))</f>
        <v/>
      </c>
      <c r="B12" s="9" t="inlineStr">
        <is>
          <t>小林様</t>
        </is>
      </c>
      <c r="C12" s="9" t="inlineStr">
        <is>
          <t>SS</t>
        </is>
      </c>
      <c r="D12" s="9" t="inlineStr">
        <is>
          <t>１Ｆ</t>
        </is>
      </c>
      <c r="E12" s="10" t="n"/>
      <c r="F12" s="11" t="n">
        <v>29</v>
      </c>
      <c r="G12" s="12">
        <f>IF($F12="","",IF($F12&gt;31,$F12,IF($AB12="","",DATE(YEAR($AB12),MONTH($AB12),$F12))))</f>
        <v/>
      </c>
      <c r="H12" s="9" t="n">
        <v>15</v>
      </c>
      <c r="I12" s="11" t="n">
        <v>30</v>
      </c>
      <c r="J12" s="12">
        <f>IF($I12="","",IF($I12&gt;31,$I12,IF($G12="","",IF(DATE(YEAR($G12),MONTH($G12),$I12)&gt;=$G12,DATE(YEAR($G12),MONTH($G12),$I12),DATE(YEAR($G12),MONTH($G12)+1,$I12)))))</f>
        <v/>
      </c>
      <c r="K12" s="9" t="n"/>
      <c r="L12" s="13" t="n"/>
      <c r="M12" s="13" t="n"/>
      <c r="N12" s="13" t="n"/>
      <c r="O12" s="8">
        <f>IF(OR($G12="",$J12=""),"",$J12-$G12+1)</f>
        <v/>
      </c>
      <c r="P12" s="8">
        <f>IF(OR($G12="",$J12=""),"",$J12-$G12)</f>
        <v/>
      </c>
      <c r="Q12" s="9" t="n"/>
      <c r="R12" s="9" t="n"/>
      <c r="S12" s="9" t="n"/>
      <c r="T12" s="9" t="n"/>
      <c r="U12" s="9" t="n"/>
      <c r="V12" s="9" t="n"/>
      <c r="W12" s="14" t="n"/>
      <c r="X12" s="9" t="n"/>
      <c r="Y12" s="8">
        <f>IF($G12="","",IF($D12="","⚠部屋が未選択",IF(COUNTIF('M_部屋'!$A$4:$A$20,$D12)=0,"⚠部屋が未登録",IF(OR($J12="",$Q12="キャンセル"),"",IF(SUMPRODUCT(($D$5:$D$404=$D12)*($G$5:$G$404&lt;&gt;"")*($J$5:$J$404&lt;&gt;"")*($Q$5:$Q$404&lt;&gt;"キャンセル")*($G$5:$G$404&lt;$J12)*($J$5:$J$404&gt;$G12))&gt;1,"⚠重複","")))))</f>
        <v/>
      </c>
      <c r="Z12" s="8">
        <f>IF(OR($B12="",$G12=""),"",IF(SUMPRODUCT(('利用者マスタ'!$A$4:$A$60=$B12)*('利用者マスタ'!$B$4:$B$60&lt;&gt;""))=0,"",IF(SUMIFS($AA$5:$AA$404,$B$5:$B$404,$B12,$G$5:$G$404,"&gt;="&amp;DATE(YEAR($G12),MONTH($G12),1),$G$5:$G$404,"&lt;="&amp;EOMONTH($G12,0))&gt;SUMIFS('利用者マスタ'!$B$4:$B$60,'利用者マスタ'!$A$4:$A$60,$B12),"⚠支給量超過","")))</f>
        <v/>
      </c>
      <c r="AA12" s="8">
        <f>IF(OR($G12="",$J12="",$Q12="キャンセル"),0,IF(IFERROR(INDEX('M_区分'!$B$4:$B$20,MATCH($C12,'M_区分'!$A$4:$A$20,0)),"○")="○",$J12-$G12+1,0))</f>
        <v/>
      </c>
      <c r="AB12" s="8">
        <f>IF($E12&lt;&gt;"",$E12,$AB11)</f>
        <v/>
      </c>
      <c r="AC12" s="8">
        <f>IF(OR($G12="",$J12=""),"",IF(AND($G12&lt;=EOMONTH('02_カレンダー'!$B$4,0),$J12&gt;='02_カレンダー'!$B$4),$G12*10000+ROW(),""))</f>
        <v/>
      </c>
      <c r="AD12" s="8">
        <f>IF($H12="","",IF(ISNUMBER($H12),IF(AND($H12=INT($H12),$H12&gt;=0,$H12&lt;=24),TEXT(INT($H12),"00")&amp;":00",TEXT($H12,"hh:mm")),$H12))</f>
        <v/>
      </c>
      <c r="AE12" s="8">
        <f>IF($K12="","",IF(ISNUMBER($K12),IF(AND($K12=INT($K12),$K12&gt;=0,$K12&lt;=24),TEXT(INT($K12),"00")&amp;":00",TEXT($K12,"hh:mm")),$K12))</f>
        <v/>
      </c>
      <c r="AF12" s="8">
        <f>IF($G12="",0,$G12)</f>
        <v/>
      </c>
      <c r="AG12" s="8">
        <f>IF($J12="",0,$J12)</f>
        <v/>
      </c>
    </row>
    <row r="13">
      <c r="A13" s="8">
        <f>IF($G13="","","SS-"&amp;TEXT(ROW()-4,"0000"))</f>
        <v/>
      </c>
      <c r="B13" s="9" t="inlineStr">
        <is>
          <t>木村様</t>
        </is>
      </c>
      <c r="C13" s="9" t="inlineStr">
        <is>
          <t>SS</t>
        </is>
      </c>
      <c r="D13" s="9" t="inlineStr">
        <is>
          <t>１Ｆ</t>
        </is>
      </c>
      <c r="E13" s="10" t="n"/>
      <c r="F13" s="11" t="n">
        <v>31</v>
      </c>
      <c r="G13" s="12">
        <f>IF($F13="","",IF($F13&gt;31,$F13,IF($AB13="","",DATE(YEAR($AB13),MONTH($AB13),$F13))))</f>
        <v/>
      </c>
      <c r="H13" s="9" t="n">
        <v>15</v>
      </c>
      <c r="I13" s="11" t="n">
        <v>1</v>
      </c>
      <c r="J13" s="12">
        <f>IF($I13="","",IF($I13&gt;31,$I13,IF($G13="","",IF(DATE(YEAR($G13),MONTH($G13),$I13)&gt;=$G13,DATE(YEAR($G13),MONTH($G13),$I13),DATE(YEAR($G13),MONTH($G13)+1,$I13)))))</f>
        <v/>
      </c>
      <c r="K13" s="9" t="n"/>
      <c r="L13" s="13" t="n"/>
      <c r="M13" s="13" t="n"/>
      <c r="N13" s="13" t="n"/>
      <c r="O13" s="8">
        <f>IF(OR($G13="",$J13=""),"",$J13-$G13+1)</f>
        <v/>
      </c>
      <c r="P13" s="8">
        <f>IF(OR($G13="",$J13=""),"",$J13-$G13)</f>
        <v/>
      </c>
      <c r="Q13" s="9" t="n"/>
      <c r="R13" s="9" t="n"/>
      <c r="S13" s="9" t="n"/>
      <c r="T13" s="9" t="n"/>
      <c r="U13" s="9" t="n"/>
      <c r="V13" s="9" t="n"/>
      <c r="W13" s="14" t="n"/>
      <c r="X13" s="9" t="n"/>
      <c r="Y13" s="8">
        <f>IF($G13="","",IF($D13="","⚠部屋が未選択",IF(COUNTIF('M_部屋'!$A$4:$A$20,$D13)=0,"⚠部屋が未登録",IF(OR($J13="",$Q13="キャンセル"),"",IF(SUMPRODUCT(($D$5:$D$404=$D13)*($G$5:$G$404&lt;&gt;"")*($J$5:$J$404&lt;&gt;"")*($Q$5:$Q$404&lt;&gt;"キャンセル")*($G$5:$G$404&lt;$J13)*($J$5:$J$404&gt;$G13))&gt;1,"⚠重複","")))))</f>
        <v/>
      </c>
      <c r="Z13" s="8">
        <f>IF(OR($B13="",$G13=""),"",IF(SUMPRODUCT(('利用者マスタ'!$A$4:$A$60=$B13)*('利用者マスタ'!$B$4:$B$60&lt;&gt;""))=0,"",IF(SUMIFS($AA$5:$AA$404,$B$5:$B$404,$B13,$G$5:$G$404,"&gt;="&amp;DATE(YEAR($G13),MONTH($G13),1),$G$5:$G$404,"&lt;="&amp;EOMONTH($G13,0))&gt;SUMIFS('利用者マスタ'!$B$4:$B$60,'利用者マスタ'!$A$4:$A$60,$B13),"⚠支給量超過","")))</f>
        <v/>
      </c>
      <c r="AA13" s="8">
        <f>IF(OR($G13="",$J13="",$Q13="キャンセル"),0,IF(IFERROR(INDEX('M_区分'!$B$4:$B$20,MATCH($C13,'M_区分'!$A$4:$A$20,0)),"○")="○",$J13-$G13+1,0))</f>
        <v/>
      </c>
      <c r="AB13" s="8">
        <f>IF($E13&lt;&gt;"",$E13,$AB12)</f>
        <v/>
      </c>
      <c r="AC13" s="8">
        <f>IF(OR($G13="",$J13=""),"",IF(AND($G13&lt;=EOMONTH('02_カレンダー'!$B$4,0),$J13&gt;='02_カレンダー'!$B$4),$G13*10000+ROW(),""))</f>
        <v/>
      </c>
      <c r="AD13" s="8">
        <f>IF($H13="","",IF(ISNUMBER($H13),IF(AND($H13=INT($H13),$H13&gt;=0,$H13&lt;=24),TEXT(INT($H13),"00")&amp;":00",TEXT($H13,"hh:mm")),$H13))</f>
        <v/>
      </c>
      <c r="AE13" s="8">
        <f>IF($K13="","",IF(ISNUMBER($K13),IF(AND($K13=INT($K13),$K13&gt;=0,$K13&lt;=24),TEXT(INT($K13),"00")&amp;":00",TEXT($K13,"hh:mm")),$K13))</f>
        <v/>
      </c>
      <c r="AF13" s="8">
        <f>IF($G13="",0,$G13)</f>
        <v/>
      </c>
      <c r="AG13" s="8">
        <f>IF($J13="",0,$J13)</f>
        <v/>
      </c>
    </row>
    <row r="14">
      <c r="A14" s="8">
        <f>IF($G14="","","SS-"&amp;TEXT(ROW()-4,"0000"))</f>
        <v/>
      </c>
      <c r="B14" s="9" t="n"/>
      <c r="C14" s="9" t="n"/>
      <c r="D14" s="9" t="n"/>
      <c r="E14" s="10" t="n"/>
      <c r="F14" s="11" t="n"/>
      <c r="G14" s="12">
        <f>IF($F14="","",IF($F14&gt;31,$F14,IF($AB14="","",DATE(YEAR($AB14),MONTH($AB14),$F14))))</f>
        <v/>
      </c>
      <c r="H14" s="9" t="n"/>
      <c r="I14" s="11" t="n"/>
      <c r="J14" s="12">
        <f>IF($I14="","",IF($I14&gt;31,$I14,IF($G14="","",IF(DATE(YEAR($G14),MONTH($G14),$I14)&gt;=$G14,DATE(YEAR($G14),MONTH($G14),$I14),DATE(YEAR($G14),MONTH($G14)+1,$I14)))))</f>
        <v/>
      </c>
      <c r="K14" s="9" t="n"/>
      <c r="L14" s="13" t="n"/>
      <c r="M14" s="13" t="n"/>
      <c r="N14" s="13" t="n"/>
      <c r="O14" s="8">
        <f>IF(OR($G14="",$J14=""),"",$J14-$G14+1)</f>
        <v/>
      </c>
      <c r="P14" s="8">
        <f>IF(OR($G14="",$J14=""),"",$J14-$G14)</f>
        <v/>
      </c>
      <c r="Q14" s="9" t="n"/>
      <c r="R14" s="9" t="n"/>
      <c r="S14" s="9" t="n"/>
      <c r="T14" s="9" t="n"/>
      <c r="U14" s="9" t="n"/>
      <c r="V14" s="9" t="n"/>
      <c r="W14" s="14" t="n"/>
      <c r="X14" s="9" t="n"/>
      <c r="Y14" s="8">
        <f>IF($G14="","",IF($D14="","⚠部屋が未選択",IF(COUNTIF('M_部屋'!$A$4:$A$20,$D14)=0,"⚠部屋が未登録",IF(OR($J14="",$Q14="キャンセル"),"",IF(SUMPRODUCT(($D$5:$D$404=$D14)*($G$5:$G$404&lt;&gt;"")*($J$5:$J$404&lt;&gt;"")*($Q$5:$Q$404&lt;&gt;"キャンセル")*($G$5:$G$404&lt;$J14)*($J$5:$J$404&gt;$G14))&gt;1,"⚠重複","")))))</f>
        <v/>
      </c>
      <c r="Z14" s="8">
        <f>IF(OR($B14="",$G14=""),"",IF(SUMPRODUCT(('利用者マスタ'!$A$4:$A$60=$B14)*('利用者マスタ'!$B$4:$B$60&lt;&gt;""))=0,"",IF(SUMIFS($AA$5:$AA$404,$B$5:$B$404,$B14,$G$5:$G$404,"&gt;="&amp;DATE(YEAR($G14),MONTH($G14),1),$G$5:$G$404,"&lt;="&amp;EOMONTH($G14,0))&gt;SUMIFS('利用者マスタ'!$B$4:$B$60,'利用者マスタ'!$A$4:$A$60,$B14),"⚠支給量超過","")))</f>
        <v/>
      </c>
      <c r="AA14" s="8">
        <f>IF(OR($G14="",$J14="",$Q14="キャンセル"),0,IF(IFERROR(INDEX('M_区分'!$B$4:$B$20,MATCH($C14,'M_区分'!$A$4:$A$20,0)),"○")="○",$J14-$G14+1,0))</f>
        <v/>
      </c>
      <c r="AB14" s="8">
        <f>IF($E14&lt;&gt;"",$E14,$AB13)</f>
        <v/>
      </c>
      <c r="AC14" s="8">
        <f>IF(OR($G14="",$J14=""),"",IF(AND($G14&lt;=EOMONTH('02_カレンダー'!$B$4,0),$J14&gt;='02_カレンダー'!$B$4),$G14*10000+ROW(),""))</f>
        <v/>
      </c>
      <c r="AD14" s="8">
        <f>IF($H14="","",IF(ISNUMBER($H14),IF(AND($H14=INT($H14),$H14&gt;=0,$H14&lt;=24),TEXT(INT($H14),"00")&amp;":00",TEXT($H14,"hh:mm")),$H14))</f>
        <v/>
      </c>
      <c r="AE14" s="8">
        <f>IF($K14="","",IF(ISNUMBER($K14),IF(AND($K14=INT($K14),$K14&gt;=0,$K14&lt;=24),TEXT(INT($K14),"00")&amp;":00",TEXT($K14,"hh:mm")),$K14))</f>
        <v/>
      </c>
      <c r="AF14" s="8">
        <f>IF($G14="",0,$G14)</f>
        <v/>
      </c>
      <c r="AG14" s="8">
        <f>IF($J14="",0,$J14)</f>
        <v/>
      </c>
    </row>
    <row r="15">
      <c r="A15" s="8">
        <f>IF($G15="","","SS-"&amp;TEXT(ROW()-4,"0000"))</f>
        <v/>
      </c>
      <c r="B15" s="9" t="n"/>
      <c r="C15" s="9" t="n"/>
      <c r="D15" s="9" t="n"/>
      <c r="E15" s="10" t="n"/>
      <c r="F15" s="11" t="n"/>
      <c r="G15" s="12">
        <f>IF($F15="","",IF($F15&gt;31,$F15,IF($AB15="","",DATE(YEAR($AB15),MONTH($AB15),$F15))))</f>
        <v/>
      </c>
      <c r="H15" s="9" t="n"/>
      <c r="I15" s="11" t="n"/>
      <c r="J15" s="12">
        <f>IF($I15="","",IF($I15&gt;31,$I15,IF($G15="","",IF(DATE(YEAR($G15),MONTH($G15),$I15)&gt;=$G15,DATE(YEAR($G15),MONTH($G15),$I15),DATE(YEAR($G15),MONTH($G15)+1,$I15)))))</f>
        <v/>
      </c>
      <c r="K15" s="9" t="n"/>
      <c r="L15" s="13" t="n"/>
      <c r="M15" s="13" t="n"/>
      <c r="N15" s="13" t="n"/>
      <c r="O15" s="8">
        <f>IF(OR($G15="",$J15=""),"",$J15-$G15+1)</f>
        <v/>
      </c>
      <c r="P15" s="8">
        <f>IF(OR($G15="",$J15=""),"",$J15-$G15)</f>
        <v/>
      </c>
      <c r="Q15" s="9" t="n"/>
      <c r="R15" s="9" t="n"/>
      <c r="S15" s="9" t="n"/>
      <c r="T15" s="9" t="n"/>
      <c r="U15" s="9" t="n"/>
      <c r="V15" s="9" t="n"/>
      <c r="W15" s="14" t="n"/>
      <c r="X15" s="9" t="n"/>
      <c r="Y15" s="8">
        <f>IF($G15="","",IF($D15="","⚠部屋が未選択",IF(COUNTIF('M_部屋'!$A$4:$A$20,$D15)=0,"⚠部屋が未登録",IF(OR($J15="",$Q15="キャンセル"),"",IF(SUMPRODUCT(($D$5:$D$404=$D15)*($G$5:$G$404&lt;&gt;"")*($J$5:$J$404&lt;&gt;"")*($Q$5:$Q$404&lt;&gt;"キャンセル")*($G$5:$G$404&lt;$J15)*($J$5:$J$404&gt;$G15))&gt;1,"⚠重複","")))))</f>
        <v/>
      </c>
      <c r="Z15" s="8">
        <f>IF(OR($B15="",$G15=""),"",IF(SUMPRODUCT(('利用者マスタ'!$A$4:$A$60=$B15)*('利用者マスタ'!$B$4:$B$60&lt;&gt;""))=0,"",IF(SUMIFS($AA$5:$AA$404,$B$5:$B$404,$B15,$G$5:$G$404,"&gt;="&amp;DATE(YEAR($G15),MONTH($G15),1),$G$5:$G$404,"&lt;="&amp;EOMONTH($G15,0))&gt;SUMIFS('利用者マスタ'!$B$4:$B$60,'利用者マスタ'!$A$4:$A$60,$B15),"⚠支給量超過","")))</f>
        <v/>
      </c>
      <c r="AA15" s="8">
        <f>IF(OR($G15="",$J15="",$Q15="キャンセル"),0,IF(IFERROR(INDEX('M_区分'!$B$4:$B$20,MATCH($C15,'M_区分'!$A$4:$A$20,0)),"○")="○",$J15-$G15+1,0))</f>
        <v/>
      </c>
      <c r="AB15" s="8">
        <f>IF($E15&lt;&gt;"",$E15,$AB14)</f>
        <v/>
      </c>
      <c r="AC15" s="8">
        <f>IF(OR($G15="",$J15=""),"",IF(AND($G15&lt;=EOMONTH('02_カレンダー'!$B$4,0),$J15&gt;='02_カレンダー'!$B$4),$G15*10000+ROW(),""))</f>
        <v/>
      </c>
      <c r="AD15" s="8">
        <f>IF($H15="","",IF(ISNUMBER($H15),IF(AND($H15=INT($H15),$H15&gt;=0,$H15&lt;=24),TEXT(INT($H15),"00")&amp;":00",TEXT($H15,"hh:mm")),$H15))</f>
        <v/>
      </c>
      <c r="AE15" s="8">
        <f>IF($K15="","",IF(ISNUMBER($K15),IF(AND($K15=INT($K15),$K15&gt;=0,$K15&lt;=24),TEXT(INT($K15),"00")&amp;":00",TEXT($K15,"hh:mm")),$K15))</f>
        <v/>
      </c>
      <c r="AF15" s="8">
        <f>IF($G15="",0,$G15)</f>
        <v/>
      </c>
      <c r="AG15" s="8">
        <f>IF($J15="",0,$J15)</f>
        <v/>
      </c>
    </row>
    <row r="16">
      <c r="A16" s="8">
        <f>IF($G16="","","SS-"&amp;TEXT(ROW()-4,"0000"))</f>
        <v/>
      </c>
      <c r="B16" s="9" t="n"/>
      <c r="C16" s="9" t="n"/>
      <c r="D16" s="9" t="n"/>
      <c r="E16" s="10" t="n"/>
      <c r="F16" s="11" t="n"/>
      <c r="G16" s="12">
        <f>IF($F16="","",IF($F16&gt;31,$F16,IF($AB16="","",DATE(YEAR($AB16),MONTH($AB16),$F16))))</f>
        <v/>
      </c>
      <c r="H16" s="9" t="n"/>
      <c r="I16" s="11" t="n"/>
      <c r="J16" s="12">
        <f>IF($I16="","",IF($I16&gt;31,$I16,IF($G16="","",IF(DATE(YEAR($G16),MONTH($G16),$I16)&gt;=$G16,DATE(YEAR($G16),MONTH($G16),$I16),DATE(YEAR($G16),MONTH($G16)+1,$I16)))))</f>
        <v/>
      </c>
      <c r="K16" s="9" t="n"/>
      <c r="L16" s="13" t="n"/>
      <c r="M16" s="13" t="n"/>
      <c r="N16" s="13" t="n"/>
      <c r="O16" s="8">
        <f>IF(OR($G16="",$J16=""),"",$J16-$G16+1)</f>
        <v/>
      </c>
      <c r="P16" s="8">
        <f>IF(OR($G16="",$J16=""),"",$J16-$G16)</f>
        <v/>
      </c>
      <c r="Q16" s="9" t="n"/>
      <c r="R16" s="9" t="n"/>
      <c r="S16" s="9" t="n"/>
      <c r="T16" s="9" t="n"/>
      <c r="U16" s="9" t="n"/>
      <c r="V16" s="9" t="n"/>
      <c r="W16" s="14" t="n"/>
      <c r="X16" s="9" t="n"/>
      <c r="Y16" s="8">
        <f>IF($G16="","",IF($D16="","⚠部屋が未選択",IF(COUNTIF('M_部屋'!$A$4:$A$20,$D16)=0,"⚠部屋が未登録",IF(OR($J16="",$Q16="キャンセル"),"",IF(SUMPRODUCT(($D$5:$D$404=$D16)*($G$5:$G$404&lt;&gt;"")*($J$5:$J$404&lt;&gt;"")*($Q$5:$Q$404&lt;&gt;"キャンセル")*($G$5:$G$404&lt;$J16)*($J$5:$J$404&gt;$G16))&gt;1,"⚠重複","")))))</f>
        <v/>
      </c>
      <c r="Z16" s="8">
        <f>IF(OR($B16="",$G16=""),"",IF(SUMPRODUCT(('利用者マスタ'!$A$4:$A$60=$B16)*('利用者マスタ'!$B$4:$B$60&lt;&gt;""))=0,"",IF(SUMIFS($AA$5:$AA$404,$B$5:$B$404,$B16,$G$5:$G$404,"&gt;="&amp;DATE(YEAR($G16),MONTH($G16),1),$G$5:$G$404,"&lt;="&amp;EOMONTH($G16,0))&gt;SUMIFS('利用者マスタ'!$B$4:$B$60,'利用者マスタ'!$A$4:$A$60,$B16),"⚠支給量超過","")))</f>
        <v/>
      </c>
      <c r="AA16" s="8">
        <f>IF(OR($G16="",$J16="",$Q16="キャンセル"),0,IF(IFERROR(INDEX('M_区分'!$B$4:$B$20,MATCH($C16,'M_区分'!$A$4:$A$20,0)),"○")="○",$J16-$G16+1,0))</f>
        <v/>
      </c>
      <c r="AB16" s="8">
        <f>IF($E16&lt;&gt;"",$E16,$AB15)</f>
        <v/>
      </c>
      <c r="AC16" s="8">
        <f>IF(OR($G16="",$J16=""),"",IF(AND($G16&lt;=EOMONTH('02_カレンダー'!$B$4,0),$J16&gt;='02_カレンダー'!$B$4),$G16*10000+ROW(),""))</f>
        <v/>
      </c>
      <c r="AD16" s="8">
        <f>IF($H16="","",IF(ISNUMBER($H16),IF(AND($H16=INT($H16),$H16&gt;=0,$H16&lt;=24),TEXT(INT($H16),"00")&amp;":00",TEXT($H16,"hh:mm")),$H16))</f>
        <v/>
      </c>
      <c r="AE16" s="8">
        <f>IF($K16="","",IF(ISNUMBER($K16),IF(AND($K16=INT($K16),$K16&gt;=0,$K16&lt;=24),TEXT(INT($K16),"00")&amp;":00",TEXT($K16,"hh:mm")),$K16))</f>
        <v/>
      </c>
      <c r="AF16" s="8">
        <f>IF($G16="",0,$G16)</f>
        <v/>
      </c>
      <c r="AG16" s="8">
        <f>IF($J16="",0,$J16)</f>
        <v/>
      </c>
    </row>
    <row r="17">
      <c r="A17" s="8">
        <f>IF($G17="","","SS-"&amp;TEXT(ROW()-4,"0000"))</f>
        <v/>
      </c>
      <c r="B17" s="9" t="n"/>
      <c r="C17" s="9" t="n"/>
      <c r="D17" s="9" t="n"/>
      <c r="E17" s="10" t="n"/>
      <c r="F17" s="11" t="n"/>
      <c r="G17" s="12">
        <f>IF($F17="","",IF($F17&gt;31,$F17,IF($AB17="","",DATE(YEAR($AB17),MONTH($AB17),$F17))))</f>
        <v/>
      </c>
      <c r="H17" s="9" t="n"/>
      <c r="I17" s="11" t="n"/>
      <c r="J17" s="12">
        <f>IF($I17="","",IF($I17&gt;31,$I17,IF($G17="","",IF(DATE(YEAR($G17),MONTH($G17),$I17)&gt;=$G17,DATE(YEAR($G17),MONTH($G17),$I17),DATE(YEAR($G17),MONTH($G17)+1,$I17)))))</f>
        <v/>
      </c>
      <c r="K17" s="9" t="n"/>
      <c r="L17" s="13" t="n"/>
      <c r="M17" s="13" t="n"/>
      <c r="N17" s="13" t="n"/>
      <c r="O17" s="8">
        <f>IF(OR($G17="",$J17=""),"",$J17-$G17+1)</f>
        <v/>
      </c>
      <c r="P17" s="8">
        <f>IF(OR($G17="",$J17=""),"",$J17-$G17)</f>
        <v/>
      </c>
      <c r="Q17" s="9" t="n"/>
      <c r="R17" s="9" t="n"/>
      <c r="S17" s="9" t="n"/>
      <c r="T17" s="9" t="n"/>
      <c r="U17" s="9" t="n"/>
      <c r="V17" s="9" t="n"/>
      <c r="W17" s="14" t="n"/>
      <c r="X17" s="9" t="n"/>
      <c r="Y17" s="8">
        <f>IF($G17="","",IF($D17="","⚠部屋が未選択",IF(COUNTIF('M_部屋'!$A$4:$A$20,$D17)=0,"⚠部屋が未登録",IF(OR($J17="",$Q17="キャンセル"),"",IF(SUMPRODUCT(($D$5:$D$404=$D17)*($G$5:$G$404&lt;&gt;"")*($J$5:$J$404&lt;&gt;"")*($Q$5:$Q$404&lt;&gt;"キャンセル")*($G$5:$G$404&lt;$J17)*($J$5:$J$404&gt;$G17))&gt;1,"⚠重複","")))))</f>
        <v/>
      </c>
      <c r="Z17" s="8">
        <f>IF(OR($B17="",$G17=""),"",IF(SUMPRODUCT(('利用者マスタ'!$A$4:$A$60=$B17)*('利用者マスタ'!$B$4:$B$60&lt;&gt;""))=0,"",IF(SUMIFS($AA$5:$AA$404,$B$5:$B$404,$B17,$G$5:$G$404,"&gt;="&amp;DATE(YEAR($G17),MONTH($G17),1),$G$5:$G$404,"&lt;="&amp;EOMONTH($G17,0))&gt;SUMIFS('利用者マスタ'!$B$4:$B$60,'利用者マスタ'!$A$4:$A$60,$B17),"⚠支給量超過","")))</f>
        <v/>
      </c>
      <c r="AA17" s="8">
        <f>IF(OR($G17="",$J17="",$Q17="キャンセル"),0,IF(IFERROR(INDEX('M_区分'!$B$4:$B$20,MATCH($C17,'M_区分'!$A$4:$A$20,0)),"○")="○",$J17-$G17+1,0))</f>
        <v/>
      </c>
      <c r="AB17" s="8">
        <f>IF($E17&lt;&gt;"",$E17,$AB16)</f>
        <v/>
      </c>
      <c r="AC17" s="8">
        <f>IF(OR($G17="",$J17=""),"",IF(AND($G17&lt;=EOMONTH('02_カレンダー'!$B$4,0),$J17&gt;='02_カレンダー'!$B$4),$G17*10000+ROW(),""))</f>
        <v/>
      </c>
      <c r="AD17" s="8">
        <f>IF($H17="","",IF(ISNUMBER($H17),IF(AND($H17=INT($H17),$H17&gt;=0,$H17&lt;=24),TEXT(INT($H17),"00")&amp;":00",TEXT($H17,"hh:mm")),$H17))</f>
        <v/>
      </c>
      <c r="AE17" s="8">
        <f>IF($K17="","",IF(ISNUMBER($K17),IF(AND($K17=INT($K17),$K17&gt;=0,$K17&lt;=24),TEXT(INT($K17),"00")&amp;":00",TEXT($K17,"hh:mm")),$K17))</f>
        <v/>
      </c>
      <c r="AF17" s="8">
        <f>IF($G17="",0,$G17)</f>
        <v/>
      </c>
      <c r="AG17" s="8">
        <f>IF($J17="",0,$J17)</f>
        <v/>
      </c>
    </row>
    <row r="18">
      <c r="A18" s="8">
        <f>IF($G18="","","SS-"&amp;TEXT(ROW()-4,"0000"))</f>
        <v/>
      </c>
      <c r="B18" s="9" t="n"/>
      <c r="C18" s="9" t="n"/>
      <c r="D18" s="9" t="n"/>
      <c r="E18" s="10" t="n"/>
      <c r="F18" s="11" t="n"/>
      <c r="G18" s="12">
        <f>IF($F18="","",IF($F18&gt;31,$F18,IF($AB18="","",DATE(YEAR($AB18),MONTH($AB18),$F18))))</f>
        <v/>
      </c>
      <c r="H18" s="9" t="n"/>
      <c r="I18" s="11" t="n"/>
      <c r="J18" s="12">
        <f>IF($I18="","",IF($I18&gt;31,$I18,IF($G18="","",IF(DATE(YEAR($G18),MONTH($G18),$I18)&gt;=$G18,DATE(YEAR($G18),MONTH($G18),$I18),DATE(YEAR($G18),MONTH($G18)+1,$I18)))))</f>
        <v/>
      </c>
      <c r="K18" s="9" t="n"/>
      <c r="L18" s="13" t="n"/>
      <c r="M18" s="13" t="n"/>
      <c r="N18" s="13" t="n"/>
      <c r="O18" s="8">
        <f>IF(OR($G18="",$J18=""),"",$J18-$G18+1)</f>
        <v/>
      </c>
      <c r="P18" s="8">
        <f>IF(OR($G18="",$J18=""),"",$J18-$G18)</f>
        <v/>
      </c>
      <c r="Q18" s="9" t="n"/>
      <c r="R18" s="9" t="n"/>
      <c r="S18" s="9" t="n"/>
      <c r="T18" s="9" t="n"/>
      <c r="U18" s="9" t="n"/>
      <c r="V18" s="9" t="n"/>
      <c r="W18" s="14" t="n"/>
      <c r="X18" s="9" t="n"/>
      <c r="Y18" s="8">
        <f>IF($G18="","",IF($D18="","⚠部屋が未選択",IF(COUNTIF('M_部屋'!$A$4:$A$20,$D18)=0,"⚠部屋が未登録",IF(OR($J18="",$Q18="キャンセル"),"",IF(SUMPRODUCT(($D$5:$D$404=$D18)*($G$5:$G$404&lt;&gt;"")*($J$5:$J$404&lt;&gt;"")*($Q$5:$Q$404&lt;&gt;"キャンセル")*($G$5:$G$404&lt;$J18)*($J$5:$J$404&gt;$G18))&gt;1,"⚠重複","")))))</f>
        <v/>
      </c>
      <c r="Z18" s="8">
        <f>IF(OR($B18="",$G18=""),"",IF(SUMPRODUCT(('利用者マスタ'!$A$4:$A$60=$B18)*('利用者マスタ'!$B$4:$B$60&lt;&gt;""))=0,"",IF(SUMIFS($AA$5:$AA$404,$B$5:$B$404,$B18,$G$5:$G$404,"&gt;="&amp;DATE(YEAR($G18),MONTH($G18),1),$G$5:$G$404,"&lt;="&amp;EOMONTH($G18,0))&gt;SUMIFS('利用者マスタ'!$B$4:$B$60,'利用者マスタ'!$A$4:$A$60,$B18),"⚠支給量超過","")))</f>
        <v/>
      </c>
      <c r="AA18" s="8">
        <f>IF(OR($G18="",$J18="",$Q18="キャンセル"),0,IF(IFERROR(INDEX('M_区分'!$B$4:$B$20,MATCH($C18,'M_区分'!$A$4:$A$20,0)),"○")="○",$J18-$G18+1,0))</f>
        <v/>
      </c>
      <c r="AB18" s="8">
        <f>IF($E18&lt;&gt;"",$E18,$AB17)</f>
        <v/>
      </c>
      <c r="AC18" s="8">
        <f>IF(OR($G18="",$J18=""),"",IF(AND($G18&lt;=EOMONTH('02_カレンダー'!$B$4,0),$J18&gt;='02_カレンダー'!$B$4),$G18*10000+ROW(),""))</f>
        <v/>
      </c>
      <c r="AD18" s="8">
        <f>IF($H18="","",IF(ISNUMBER($H18),IF(AND($H18=INT($H18),$H18&gt;=0,$H18&lt;=24),TEXT(INT($H18),"00")&amp;":00",TEXT($H18,"hh:mm")),$H18))</f>
        <v/>
      </c>
      <c r="AE18" s="8">
        <f>IF($K18="","",IF(ISNUMBER($K18),IF(AND($K18=INT($K18),$K18&gt;=0,$K18&lt;=24),TEXT(INT($K18),"00")&amp;":00",TEXT($K18,"hh:mm")),$K18))</f>
        <v/>
      </c>
      <c r="AF18" s="8">
        <f>IF($G18="",0,$G18)</f>
        <v/>
      </c>
      <c r="AG18" s="8">
        <f>IF($J18="",0,$J18)</f>
        <v/>
      </c>
    </row>
    <row r="19">
      <c r="A19" s="8">
        <f>IF($G19="","","SS-"&amp;TEXT(ROW()-4,"0000"))</f>
        <v/>
      </c>
      <c r="B19" s="9" t="n"/>
      <c r="C19" s="9" t="n"/>
      <c r="D19" s="9" t="n"/>
      <c r="E19" s="10" t="n"/>
      <c r="F19" s="11" t="n"/>
      <c r="G19" s="12">
        <f>IF($F19="","",IF($F19&gt;31,$F19,IF($AB19="","",DATE(YEAR($AB19),MONTH($AB19),$F19))))</f>
        <v/>
      </c>
      <c r="H19" s="9" t="n"/>
      <c r="I19" s="11" t="n"/>
      <c r="J19" s="12">
        <f>IF($I19="","",IF($I19&gt;31,$I19,IF($G19="","",IF(DATE(YEAR($G19),MONTH($G19),$I19)&gt;=$G19,DATE(YEAR($G19),MONTH($G19),$I19),DATE(YEAR($G19),MONTH($G19)+1,$I19)))))</f>
        <v/>
      </c>
      <c r="K19" s="9" t="n"/>
      <c r="L19" s="13" t="n"/>
      <c r="M19" s="13" t="n"/>
      <c r="N19" s="13" t="n"/>
      <c r="O19" s="8">
        <f>IF(OR($G19="",$J19=""),"",$J19-$G19+1)</f>
        <v/>
      </c>
      <c r="P19" s="8">
        <f>IF(OR($G19="",$J19=""),"",$J19-$G19)</f>
        <v/>
      </c>
      <c r="Q19" s="9" t="n"/>
      <c r="R19" s="9" t="n"/>
      <c r="S19" s="9" t="n"/>
      <c r="T19" s="9" t="n"/>
      <c r="U19" s="9" t="n"/>
      <c r="V19" s="9" t="n"/>
      <c r="W19" s="14" t="n"/>
      <c r="X19" s="9" t="n"/>
      <c r="Y19" s="8">
        <f>IF($G19="","",IF($D19="","⚠部屋が未選択",IF(COUNTIF('M_部屋'!$A$4:$A$20,$D19)=0,"⚠部屋が未登録",IF(OR($J19="",$Q19="キャンセル"),"",IF(SUMPRODUCT(($D$5:$D$404=$D19)*($G$5:$G$404&lt;&gt;"")*($J$5:$J$404&lt;&gt;"")*($Q$5:$Q$404&lt;&gt;"キャンセル")*($G$5:$G$404&lt;$J19)*($J$5:$J$404&gt;$G19))&gt;1,"⚠重複","")))))</f>
        <v/>
      </c>
      <c r="Z19" s="8">
        <f>IF(OR($B19="",$G19=""),"",IF(SUMPRODUCT(('利用者マスタ'!$A$4:$A$60=$B19)*('利用者マスタ'!$B$4:$B$60&lt;&gt;""))=0,"",IF(SUMIFS($AA$5:$AA$404,$B$5:$B$404,$B19,$G$5:$G$404,"&gt;="&amp;DATE(YEAR($G19),MONTH($G19),1),$G$5:$G$404,"&lt;="&amp;EOMONTH($G19,0))&gt;SUMIFS('利用者マスタ'!$B$4:$B$60,'利用者マスタ'!$A$4:$A$60,$B19),"⚠支給量超過","")))</f>
        <v/>
      </c>
      <c r="AA19" s="8">
        <f>IF(OR($G19="",$J19="",$Q19="キャンセル"),0,IF(IFERROR(INDEX('M_区分'!$B$4:$B$20,MATCH($C19,'M_区分'!$A$4:$A$20,0)),"○")="○",$J19-$G19+1,0))</f>
        <v/>
      </c>
      <c r="AB19" s="8">
        <f>IF($E19&lt;&gt;"",$E19,$AB18)</f>
        <v/>
      </c>
      <c r="AC19" s="8">
        <f>IF(OR($G19="",$J19=""),"",IF(AND($G19&lt;=EOMONTH('02_カレンダー'!$B$4,0),$J19&gt;='02_カレンダー'!$B$4),$G19*10000+ROW(),""))</f>
        <v/>
      </c>
      <c r="AD19" s="8">
        <f>IF($H19="","",IF(ISNUMBER($H19),IF(AND($H19=INT($H19),$H19&gt;=0,$H19&lt;=24),TEXT(INT($H19),"00")&amp;":00",TEXT($H19,"hh:mm")),$H19))</f>
        <v/>
      </c>
      <c r="AE19" s="8">
        <f>IF($K19="","",IF(ISNUMBER($K19),IF(AND($K19=INT($K19),$K19&gt;=0,$K19&lt;=24),TEXT(INT($K19),"00")&amp;":00",TEXT($K19,"hh:mm")),$K19))</f>
        <v/>
      </c>
      <c r="AF19" s="8">
        <f>IF($G19="",0,$G19)</f>
        <v/>
      </c>
      <c r="AG19" s="8">
        <f>IF($J19="",0,$J19)</f>
        <v/>
      </c>
    </row>
    <row r="20">
      <c r="A20" s="8">
        <f>IF($G20="","","SS-"&amp;TEXT(ROW()-4,"0000"))</f>
        <v/>
      </c>
      <c r="B20" s="9" t="n"/>
      <c r="C20" s="9" t="n"/>
      <c r="D20" s="9" t="n"/>
      <c r="E20" s="10" t="n"/>
      <c r="F20" s="11" t="n"/>
      <c r="G20" s="12">
        <f>IF($F20="","",IF($F20&gt;31,$F20,IF($AB20="","",DATE(YEAR($AB20),MONTH($AB20),$F20))))</f>
        <v/>
      </c>
      <c r="H20" s="9" t="n"/>
      <c r="I20" s="11" t="n"/>
      <c r="J20" s="12">
        <f>IF($I20="","",IF($I20&gt;31,$I20,IF($G20="","",IF(DATE(YEAR($G20),MONTH($G20),$I20)&gt;=$G20,DATE(YEAR($G20),MONTH($G20),$I20),DATE(YEAR($G20),MONTH($G20)+1,$I20)))))</f>
        <v/>
      </c>
      <c r="K20" s="9" t="n"/>
      <c r="L20" s="13" t="n"/>
      <c r="M20" s="13" t="n"/>
      <c r="N20" s="13" t="n"/>
      <c r="O20" s="8">
        <f>IF(OR($G20="",$J20=""),"",$J20-$G20+1)</f>
        <v/>
      </c>
      <c r="P20" s="8">
        <f>IF(OR($G20="",$J20=""),"",$J20-$G20)</f>
        <v/>
      </c>
      <c r="Q20" s="9" t="n"/>
      <c r="R20" s="9" t="n"/>
      <c r="S20" s="9" t="n"/>
      <c r="T20" s="9" t="n"/>
      <c r="U20" s="9" t="n"/>
      <c r="V20" s="9" t="n"/>
      <c r="W20" s="14" t="n"/>
      <c r="X20" s="9" t="n"/>
      <c r="Y20" s="8">
        <f>IF($G20="","",IF($D20="","⚠部屋が未選択",IF(COUNTIF('M_部屋'!$A$4:$A$20,$D20)=0,"⚠部屋が未登録",IF(OR($J20="",$Q20="キャンセル"),"",IF(SUMPRODUCT(($D$5:$D$404=$D20)*($G$5:$G$404&lt;&gt;"")*($J$5:$J$404&lt;&gt;"")*($Q$5:$Q$404&lt;&gt;"キャンセル")*($G$5:$G$404&lt;$J20)*($J$5:$J$404&gt;$G20))&gt;1,"⚠重複","")))))</f>
        <v/>
      </c>
      <c r="Z20" s="8">
        <f>IF(OR($B20="",$G20=""),"",IF(SUMPRODUCT(('利用者マスタ'!$A$4:$A$60=$B20)*('利用者マスタ'!$B$4:$B$60&lt;&gt;""))=0,"",IF(SUMIFS($AA$5:$AA$404,$B$5:$B$404,$B20,$G$5:$G$404,"&gt;="&amp;DATE(YEAR($G20),MONTH($G20),1),$G$5:$G$404,"&lt;="&amp;EOMONTH($G20,0))&gt;SUMIFS('利用者マスタ'!$B$4:$B$60,'利用者マスタ'!$A$4:$A$60,$B20),"⚠支給量超過","")))</f>
        <v/>
      </c>
      <c r="AA20" s="8">
        <f>IF(OR($G20="",$J20="",$Q20="キャンセル"),0,IF(IFERROR(INDEX('M_区分'!$B$4:$B$20,MATCH($C20,'M_区分'!$A$4:$A$20,0)),"○")="○",$J20-$G20+1,0))</f>
        <v/>
      </c>
      <c r="AB20" s="8">
        <f>IF($E20&lt;&gt;"",$E20,$AB19)</f>
        <v/>
      </c>
      <c r="AC20" s="8">
        <f>IF(OR($G20="",$J20=""),"",IF(AND($G20&lt;=EOMONTH('02_カレンダー'!$B$4,0),$J20&gt;='02_カレンダー'!$B$4),$G20*10000+ROW(),""))</f>
        <v/>
      </c>
      <c r="AD20" s="8">
        <f>IF($H20="","",IF(ISNUMBER($H20),IF(AND($H20=INT($H20),$H20&gt;=0,$H20&lt;=24),TEXT(INT($H20),"00")&amp;":00",TEXT($H20,"hh:mm")),$H20))</f>
        <v/>
      </c>
      <c r="AE20" s="8">
        <f>IF($K20="","",IF(ISNUMBER($K20),IF(AND($K20=INT($K20),$K20&gt;=0,$K20&lt;=24),TEXT(INT($K20),"00")&amp;":00",TEXT($K20,"hh:mm")),$K20))</f>
        <v/>
      </c>
      <c r="AF20" s="8">
        <f>IF($G20="",0,$G20)</f>
        <v/>
      </c>
      <c r="AG20" s="8">
        <f>IF($J20="",0,$J20)</f>
        <v/>
      </c>
    </row>
    <row r="21">
      <c r="A21" s="8">
        <f>IF($G21="","","SS-"&amp;TEXT(ROW()-4,"0000"))</f>
        <v/>
      </c>
      <c r="B21" s="9" t="n"/>
      <c r="C21" s="9" t="n"/>
      <c r="D21" s="9" t="n"/>
      <c r="E21" s="10" t="n"/>
      <c r="F21" s="11" t="n"/>
      <c r="G21" s="12">
        <f>IF($F21="","",IF($F21&gt;31,$F21,IF($AB21="","",DATE(YEAR($AB21),MONTH($AB21),$F21))))</f>
        <v/>
      </c>
      <c r="H21" s="9" t="n"/>
      <c r="I21" s="11" t="n"/>
      <c r="J21" s="12">
        <f>IF($I21="","",IF($I21&gt;31,$I21,IF($G21="","",IF(DATE(YEAR($G21),MONTH($G21),$I21)&gt;=$G21,DATE(YEAR($G21),MONTH($G21),$I21),DATE(YEAR($G21),MONTH($G21)+1,$I21)))))</f>
        <v/>
      </c>
      <c r="K21" s="9" t="n"/>
      <c r="L21" s="13" t="n"/>
      <c r="M21" s="13" t="n"/>
      <c r="N21" s="13" t="n"/>
      <c r="O21" s="8">
        <f>IF(OR($G21="",$J21=""),"",$J21-$G21+1)</f>
        <v/>
      </c>
      <c r="P21" s="8">
        <f>IF(OR($G21="",$J21=""),"",$J21-$G21)</f>
        <v/>
      </c>
      <c r="Q21" s="9" t="n"/>
      <c r="R21" s="9" t="n"/>
      <c r="S21" s="9" t="n"/>
      <c r="T21" s="9" t="n"/>
      <c r="U21" s="9" t="n"/>
      <c r="V21" s="9" t="n"/>
      <c r="W21" s="14" t="n"/>
      <c r="X21" s="9" t="n"/>
      <c r="Y21" s="8">
        <f>IF($G21="","",IF($D21="","⚠部屋が未選択",IF(COUNTIF('M_部屋'!$A$4:$A$20,$D21)=0,"⚠部屋が未登録",IF(OR($J21="",$Q21="キャンセル"),"",IF(SUMPRODUCT(($D$5:$D$404=$D21)*($G$5:$G$404&lt;&gt;"")*($J$5:$J$404&lt;&gt;"")*($Q$5:$Q$404&lt;&gt;"キャンセル")*($G$5:$G$404&lt;$J21)*($J$5:$J$404&gt;$G21))&gt;1,"⚠重複","")))))</f>
        <v/>
      </c>
      <c r="Z21" s="8">
        <f>IF(OR($B21="",$G21=""),"",IF(SUMPRODUCT(('利用者マスタ'!$A$4:$A$60=$B21)*('利用者マスタ'!$B$4:$B$60&lt;&gt;""))=0,"",IF(SUMIFS($AA$5:$AA$404,$B$5:$B$404,$B21,$G$5:$G$404,"&gt;="&amp;DATE(YEAR($G21),MONTH($G21),1),$G$5:$G$404,"&lt;="&amp;EOMONTH($G21,0))&gt;SUMIFS('利用者マスタ'!$B$4:$B$60,'利用者マスタ'!$A$4:$A$60,$B21),"⚠支給量超過","")))</f>
        <v/>
      </c>
      <c r="AA21" s="8">
        <f>IF(OR($G21="",$J21="",$Q21="キャンセル"),0,IF(IFERROR(INDEX('M_区分'!$B$4:$B$20,MATCH($C21,'M_区分'!$A$4:$A$20,0)),"○")="○",$J21-$G21+1,0))</f>
        <v/>
      </c>
      <c r="AB21" s="8">
        <f>IF($E21&lt;&gt;"",$E21,$AB20)</f>
        <v/>
      </c>
      <c r="AC21" s="8">
        <f>IF(OR($G21="",$J21=""),"",IF(AND($G21&lt;=EOMONTH('02_カレンダー'!$B$4,0),$J21&gt;='02_カレンダー'!$B$4),$G21*10000+ROW(),""))</f>
        <v/>
      </c>
      <c r="AD21" s="8">
        <f>IF($H21="","",IF(ISNUMBER($H21),IF(AND($H21=INT($H21),$H21&gt;=0,$H21&lt;=24),TEXT(INT($H21),"00")&amp;":00",TEXT($H21,"hh:mm")),$H21))</f>
        <v/>
      </c>
      <c r="AE21" s="8">
        <f>IF($K21="","",IF(ISNUMBER($K21),IF(AND($K21=INT($K21),$K21&gt;=0,$K21&lt;=24),TEXT(INT($K21),"00")&amp;":00",TEXT($K21,"hh:mm")),$K21))</f>
        <v/>
      </c>
      <c r="AF21" s="8">
        <f>IF($G21="",0,$G21)</f>
        <v/>
      </c>
      <c r="AG21" s="8">
        <f>IF($J21="",0,$J21)</f>
        <v/>
      </c>
    </row>
    <row r="22">
      <c r="A22" s="8">
        <f>IF($G22="","","SS-"&amp;TEXT(ROW()-4,"0000"))</f>
        <v/>
      </c>
      <c r="B22" s="9" t="n"/>
      <c r="C22" s="9" t="n"/>
      <c r="D22" s="9" t="n"/>
      <c r="E22" s="10" t="n"/>
      <c r="F22" s="11" t="n"/>
      <c r="G22" s="12">
        <f>IF($F22="","",IF($F22&gt;31,$F22,IF($AB22="","",DATE(YEAR($AB22),MONTH($AB22),$F22))))</f>
        <v/>
      </c>
      <c r="H22" s="9" t="n"/>
      <c r="I22" s="11" t="n"/>
      <c r="J22" s="12">
        <f>IF($I22="","",IF($I22&gt;31,$I22,IF($G22="","",IF(DATE(YEAR($G22),MONTH($G22),$I22)&gt;=$G22,DATE(YEAR($G22),MONTH($G22),$I22),DATE(YEAR($G22),MONTH($G22)+1,$I22)))))</f>
        <v/>
      </c>
      <c r="K22" s="9" t="n"/>
      <c r="L22" s="13" t="n"/>
      <c r="M22" s="13" t="n"/>
      <c r="N22" s="13" t="n"/>
      <c r="O22" s="8">
        <f>IF(OR($G22="",$J22=""),"",$J22-$G22+1)</f>
        <v/>
      </c>
      <c r="P22" s="8">
        <f>IF(OR($G22="",$J22=""),"",$J22-$G22)</f>
        <v/>
      </c>
      <c r="Q22" s="9" t="n"/>
      <c r="R22" s="9" t="n"/>
      <c r="S22" s="9" t="n"/>
      <c r="T22" s="9" t="n"/>
      <c r="U22" s="9" t="n"/>
      <c r="V22" s="9" t="n"/>
      <c r="W22" s="14" t="n"/>
      <c r="X22" s="9" t="n"/>
      <c r="Y22" s="8">
        <f>IF($G22="","",IF($D22="","⚠部屋が未選択",IF(COUNTIF('M_部屋'!$A$4:$A$20,$D22)=0,"⚠部屋が未登録",IF(OR($J22="",$Q22="キャンセル"),"",IF(SUMPRODUCT(($D$5:$D$404=$D22)*($G$5:$G$404&lt;&gt;"")*($J$5:$J$404&lt;&gt;"")*($Q$5:$Q$404&lt;&gt;"キャンセル")*($G$5:$G$404&lt;$J22)*($J$5:$J$404&gt;$G22))&gt;1,"⚠重複","")))))</f>
        <v/>
      </c>
      <c r="Z22" s="8">
        <f>IF(OR($B22="",$G22=""),"",IF(SUMPRODUCT(('利用者マスタ'!$A$4:$A$60=$B22)*('利用者マスタ'!$B$4:$B$60&lt;&gt;""))=0,"",IF(SUMIFS($AA$5:$AA$404,$B$5:$B$404,$B22,$G$5:$G$404,"&gt;="&amp;DATE(YEAR($G22),MONTH($G22),1),$G$5:$G$404,"&lt;="&amp;EOMONTH($G22,0))&gt;SUMIFS('利用者マスタ'!$B$4:$B$60,'利用者マスタ'!$A$4:$A$60,$B22),"⚠支給量超過","")))</f>
        <v/>
      </c>
      <c r="AA22" s="8">
        <f>IF(OR($G22="",$J22="",$Q22="キャンセル"),0,IF(IFERROR(INDEX('M_区分'!$B$4:$B$20,MATCH($C22,'M_区分'!$A$4:$A$20,0)),"○")="○",$J22-$G22+1,0))</f>
        <v/>
      </c>
      <c r="AB22" s="8">
        <f>IF($E22&lt;&gt;"",$E22,$AB21)</f>
        <v/>
      </c>
      <c r="AC22" s="8">
        <f>IF(OR($G22="",$J22=""),"",IF(AND($G22&lt;=EOMONTH('02_カレンダー'!$B$4,0),$J22&gt;='02_カレンダー'!$B$4),$G22*10000+ROW(),""))</f>
        <v/>
      </c>
      <c r="AD22" s="8">
        <f>IF($H22="","",IF(ISNUMBER($H22),IF(AND($H22=INT($H22),$H22&gt;=0,$H22&lt;=24),TEXT(INT($H22),"00")&amp;":00",TEXT($H22,"hh:mm")),$H22))</f>
        <v/>
      </c>
      <c r="AE22" s="8">
        <f>IF($K22="","",IF(ISNUMBER($K22),IF(AND($K22=INT($K22),$K22&gt;=0,$K22&lt;=24),TEXT(INT($K22),"00")&amp;":00",TEXT($K22,"hh:mm")),$K22))</f>
        <v/>
      </c>
      <c r="AF22" s="8">
        <f>IF($G22="",0,$G22)</f>
        <v/>
      </c>
      <c r="AG22" s="8">
        <f>IF($J22="",0,$J22)</f>
        <v/>
      </c>
    </row>
    <row r="23">
      <c r="A23" s="8">
        <f>IF($G23="","","SS-"&amp;TEXT(ROW()-4,"0000"))</f>
        <v/>
      </c>
      <c r="B23" s="9" t="n"/>
      <c r="C23" s="9" t="n"/>
      <c r="D23" s="9" t="n"/>
      <c r="E23" s="10" t="n"/>
      <c r="F23" s="11" t="n"/>
      <c r="G23" s="12">
        <f>IF($F23="","",IF($F23&gt;31,$F23,IF($AB23="","",DATE(YEAR($AB23),MONTH($AB23),$F23))))</f>
        <v/>
      </c>
      <c r="H23" s="9" t="n"/>
      <c r="I23" s="11" t="n"/>
      <c r="J23" s="12">
        <f>IF($I23="","",IF($I23&gt;31,$I23,IF($G23="","",IF(DATE(YEAR($G23),MONTH($G23),$I23)&gt;=$G23,DATE(YEAR($G23),MONTH($G23),$I23),DATE(YEAR($G23),MONTH($G23)+1,$I23)))))</f>
        <v/>
      </c>
      <c r="K23" s="9" t="n"/>
      <c r="L23" s="13" t="n"/>
      <c r="M23" s="13" t="n"/>
      <c r="N23" s="13" t="n"/>
      <c r="O23" s="8">
        <f>IF(OR($G23="",$J23=""),"",$J23-$G23+1)</f>
        <v/>
      </c>
      <c r="P23" s="8">
        <f>IF(OR($G23="",$J23=""),"",$J23-$G23)</f>
        <v/>
      </c>
      <c r="Q23" s="9" t="n"/>
      <c r="R23" s="9" t="n"/>
      <c r="S23" s="9" t="n"/>
      <c r="T23" s="9" t="n"/>
      <c r="U23" s="9" t="n"/>
      <c r="V23" s="9" t="n"/>
      <c r="W23" s="14" t="n"/>
      <c r="X23" s="9" t="n"/>
      <c r="Y23" s="8">
        <f>IF($G23="","",IF($D23="","⚠部屋が未選択",IF(COUNTIF('M_部屋'!$A$4:$A$20,$D23)=0,"⚠部屋が未登録",IF(OR($J23="",$Q23="キャンセル"),"",IF(SUMPRODUCT(($D$5:$D$404=$D23)*($G$5:$G$404&lt;&gt;"")*($J$5:$J$404&lt;&gt;"")*($Q$5:$Q$404&lt;&gt;"キャンセル")*($G$5:$G$404&lt;$J23)*($J$5:$J$404&gt;$G23))&gt;1,"⚠重複","")))))</f>
        <v/>
      </c>
      <c r="Z23" s="8">
        <f>IF(OR($B23="",$G23=""),"",IF(SUMPRODUCT(('利用者マスタ'!$A$4:$A$60=$B23)*('利用者マスタ'!$B$4:$B$60&lt;&gt;""))=0,"",IF(SUMIFS($AA$5:$AA$404,$B$5:$B$404,$B23,$G$5:$G$404,"&gt;="&amp;DATE(YEAR($G23),MONTH($G23),1),$G$5:$G$404,"&lt;="&amp;EOMONTH($G23,0))&gt;SUMIFS('利用者マスタ'!$B$4:$B$60,'利用者マスタ'!$A$4:$A$60,$B23),"⚠支給量超過","")))</f>
        <v/>
      </c>
      <c r="AA23" s="8">
        <f>IF(OR($G23="",$J23="",$Q23="キャンセル"),0,IF(IFERROR(INDEX('M_区分'!$B$4:$B$20,MATCH($C23,'M_区分'!$A$4:$A$20,0)),"○")="○",$J23-$G23+1,0))</f>
        <v/>
      </c>
      <c r="AB23" s="8">
        <f>IF($E23&lt;&gt;"",$E23,$AB22)</f>
        <v/>
      </c>
      <c r="AC23" s="8">
        <f>IF(OR($G23="",$J23=""),"",IF(AND($G23&lt;=EOMONTH('02_カレンダー'!$B$4,0),$J23&gt;='02_カレンダー'!$B$4),$G23*10000+ROW(),""))</f>
        <v/>
      </c>
      <c r="AD23" s="8">
        <f>IF($H23="","",IF(ISNUMBER($H23),IF(AND($H23=INT($H23),$H23&gt;=0,$H23&lt;=24),TEXT(INT($H23),"00")&amp;":00",TEXT($H23,"hh:mm")),$H23))</f>
        <v/>
      </c>
      <c r="AE23" s="8">
        <f>IF($K23="","",IF(ISNUMBER($K23),IF(AND($K23=INT($K23),$K23&gt;=0,$K23&lt;=24),TEXT(INT($K23),"00")&amp;":00",TEXT($K23,"hh:mm")),$K23))</f>
        <v/>
      </c>
      <c r="AF23" s="8">
        <f>IF($G23="",0,$G23)</f>
        <v/>
      </c>
      <c r="AG23" s="8">
        <f>IF($J23="",0,$J23)</f>
        <v/>
      </c>
    </row>
    <row r="24">
      <c r="A24" s="8">
        <f>IF($G24="","","SS-"&amp;TEXT(ROW()-4,"0000"))</f>
        <v/>
      </c>
      <c r="B24" s="9" t="n"/>
      <c r="C24" s="9" t="n"/>
      <c r="D24" s="9" t="n"/>
      <c r="E24" s="10" t="n"/>
      <c r="F24" s="11" t="n"/>
      <c r="G24" s="12">
        <f>IF($F24="","",IF($F24&gt;31,$F24,IF($AB24="","",DATE(YEAR($AB24),MONTH($AB24),$F24))))</f>
        <v/>
      </c>
      <c r="H24" s="9" t="n"/>
      <c r="I24" s="11" t="n"/>
      <c r="J24" s="12">
        <f>IF($I24="","",IF($I24&gt;31,$I24,IF($G24="","",IF(DATE(YEAR($G24),MONTH($G24),$I24)&gt;=$G24,DATE(YEAR($G24),MONTH($G24),$I24),DATE(YEAR($G24),MONTH($G24)+1,$I24)))))</f>
        <v/>
      </c>
      <c r="K24" s="9" t="n"/>
      <c r="L24" s="13" t="n"/>
      <c r="M24" s="13" t="n"/>
      <c r="N24" s="13" t="n"/>
      <c r="O24" s="8">
        <f>IF(OR($G24="",$J24=""),"",$J24-$G24+1)</f>
        <v/>
      </c>
      <c r="P24" s="8">
        <f>IF(OR($G24="",$J24=""),"",$J24-$G24)</f>
        <v/>
      </c>
      <c r="Q24" s="9" t="n"/>
      <c r="R24" s="9" t="n"/>
      <c r="S24" s="9" t="n"/>
      <c r="T24" s="9" t="n"/>
      <c r="U24" s="9" t="n"/>
      <c r="V24" s="9" t="n"/>
      <c r="W24" s="14" t="n"/>
      <c r="X24" s="9" t="n"/>
      <c r="Y24" s="8">
        <f>IF($G24="","",IF($D24="","⚠部屋が未選択",IF(COUNTIF('M_部屋'!$A$4:$A$20,$D24)=0,"⚠部屋が未登録",IF(OR($J24="",$Q24="キャンセル"),"",IF(SUMPRODUCT(($D$5:$D$404=$D24)*($G$5:$G$404&lt;&gt;"")*($J$5:$J$404&lt;&gt;"")*($Q$5:$Q$404&lt;&gt;"キャンセル")*($G$5:$G$404&lt;$J24)*($J$5:$J$404&gt;$G24))&gt;1,"⚠重複","")))))</f>
        <v/>
      </c>
      <c r="Z24" s="8">
        <f>IF(OR($B24="",$G24=""),"",IF(SUMPRODUCT(('利用者マスタ'!$A$4:$A$60=$B24)*('利用者マスタ'!$B$4:$B$60&lt;&gt;""))=0,"",IF(SUMIFS($AA$5:$AA$404,$B$5:$B$404,$B24,$G$5:$G$404,"&gt;="&amp;DATE(YEAR($G24),MONTH($G24),1),$G$5:$G$404,"&lt;="&amp;EOMONTH($G24,0))&gt;SUMIFS('利用者マスタ'!$B$4:$B$60,'利用者マスタ'!$A$4:$A$60,$B24),"⚠支給量超過","")))</f>
        <v/>
      </c>
      <c r="AA24" s="8">
        <f>IF(OR($G24="",$J24="",$Q24="キャンセル"),0,IF(IFERROR(INDEX('M_区分'!$B$4:$B$20,MATCH($C24,'M_区分'!$A$4:$A$20,0)),"○")="○",$J24-$G24+1,0))</f>
        <v/>
      </c>
      <c r="AB24" s="8">
        <f>IF($E24&lt;&gt;"",$E24,$AB23)</f>
        <v/>
      </c>
      <c r="AC24" s="8">
        <f>IF(OR($G24="",$J24=""),"",IF(AND($G24&lt;=EOMONTH('02_カレンダー'!$B$4,0),$J24&gt;='02_カレンダー'!$B$4),$G24*10000+ROW(),""))</f>
        <v/>
      </c>
      <c r="AD24" s="8">
        <f>IF($H24="","",IF(ISNUMBER($H24),IF(AND($H24=INT($H24),$H24&gt;=0,$H24&lt;=24),TEXT(INT($H24),"00")&amp;":00",TEXT($H24,"hh:mm")),$H24))</f>
        <v/>
      </c>
      <c r="AE24" s="8">
        <f>IF($K24="","",IF(ISNUMBER($K24),IF(AND($K24=INT($K24),$K24&gt;=0,$K24&lt;=24),TEXT(INT($K24),"00")&amp;":00",TEXT($K24,"hh:mm")),$K24))</f>
        <v/>
      </c>
      <c r="AF24" s="8">
        <f>IF($G24="",0,$G24)</f>
        <v/>
      </c>
      <c r="AG24" s="8">
        <f>IF($J24="",0,$J24)</f>
        <v/>
      </c>
    </row>
    <row r="25">
      <c r="A25" s="8">
        <f>IF($G25="","","SS-"&amp;TEXT(ROW()-4,"0000"))</f>
        <v/>
      </c>
      <c r="B25" s="9" t="n"/>
      <c r="C25" s="9" t="n"/>
      <c r="D25" s="9" t="n"/>
      <c r="E25" s="10" t="n"/>
      <c r="F25" s="11" t="n"/>
      <c r="G25" s="12">
        <f>IF($F25="","",IF($F25&gt;31,$F25,IF($AB25="","",DATE(YEAR($AB25),MONTH($AB25),$F25))))</f>
        <v/>
      </c>
      <c r="H25" s="9" t="n"/>
      <c r="I25" s="11" t="n"/>
      <c r="J25" s="12">
        <f>IF($I25="","",IF($I25&gt;31,$I25,IF($G25="","",IF(DATE(YEAR($G25),MONTH($G25),$I25)&gt;=$G25,DATE(YEAR($G25),MONTH($G25),$I25),DATE(YEAR($G25),MONTH($G25)+1,$I25)))))</f>
        <v/>
      </c>
      <c r="K25" s="9" t="n"/>
      <c r="L25" s="13" t="n"/>
      <c r="M25" s="13" t="n"/>
      <c r="N25" s="13" t="n"/>
      <c r="O25" s="8">
        <f>IF(OR($G25="",$J25=""),"",$J25-$G25+1)</f>
        <v/>
      </c>
      <c r="P25" s="8">
        <f>IF(OR($G25="",$J25=""),"",$J25-$G25)</f>
        <v/>
      </c>
      <c r="Q25" s="9" t="n"/>
      <c r="R25" s="9" t="n"/>
      <c r="S25" s="9" t="n"/>
      <c r="T25" s="9" t="n"/>
      <c r="U25" s="9" t="n"/>
      <c r="V25" s="9" t="n"/>
      <c r="W25" s="14" t="n"/>
      <c r="X25" s="9" t="n"/>
      <c r="Y25" s="8">
        <f>IF($G25="","",IF($D25="","⚠部屋が未選択",IF(COUNTIF('M_部屋'!$A$4:$A$20,$D25)=0,"⚠部屋が未登録",IF(OR($J25="",$Q25="キャンセル"),"",IF(SUMPRODUCT(($D$5:$D$404=$D25)*($G$5:$G$404&lt;&gt;"")*($J$5:$J$404&lt;&gt;"")*($Q$5:$Q$404&lt;&gt;"キャンセル")*($G$5:$G$404&lt;$J25)*($J$5:$J$404&gt;$G25))&gt;1,"⚠重複","")))))</f>
        <v/>
      </c>
      <c r="Z25" s="8">
        <f>IF(OR($B25="",$G25=""),"",IF(SUMPRODUCT(('利用者マスタ'!$A$4:$A$60=$B25)*('利用者マスタ'!$B$4:$B$60&lt;&gt;""))=0,"",IF(SUMIFS($AA$5:$AA$404,$B$5:$B$404,$B25,$G$5:$G$404,"&gt;="&amp;DATE(YEAR($G25),MONTH($G25),1),$G$5:$G$404,"&lt;="&amp;EOMONTH($G25,0))&gt;SUMIFS('利用者マスタ'!$B$4:$B$60,'利用者マスタ'!$A$4:$A$60,$B25),"⚠支給量超過","")))</f>
        <v/>
      </c>
      <c r="AA25" s="8">
        <f>IF(OR($G25="",$J25="",$Q25="キャンセル"),0,IF(IFERROR(INDEX('M_区分'!$B$4:$B$20,MATCH($C25,'M_区分'!$A$4:$A$20,0)),"○")="○",$J25-$G25+1,0))</f>
        <v/>
      </c>
      <c r="AB25" s="8">
        <f>IF($E25&lt;&gt;"",$E25,$AB24)</f>
        <v/>
      </c>
      <c r="AC25" s="8">
        <f>IF(OR($G25="",$J25=""),"",IF(AND($G25&lt;=EOMONTH('02_カレンダー'!$B$4,0),$J25&gt;='02_カレンダー'!$B$4),$G25*10000+ROW(),""))</f>
        <v/>
      </c>
      <c r="AD25" s="8">
        <f>IF($H25="","",IF(ISNUMBER($H25),IF(AND($H25=INT($H25),$H25&gt;=0,$H25&lt;=24),TEXT(INT($H25),"00")&amp;":00",TEXT($H25,"hh:mm")),$H25))</f>
        <v/>
      </c>
      <c r="AE25" s="8">
        <f>IF($K25="","",IF(ISNUMBER($K25),IF(AND($K25=INT($K25),$K25&gt;=0,$K25&lt;=24),TEXT(INT($K25),"00")&amp;":00",TEXT($K25,"hh:mm")),$K25))</f>
        <v/>
      </c>
      <c r="AF25" s="8">
        <f>IF($G25="",0,$G25)</f>
        <v/>
      </c>
      <c r="AG25" s="8">
        <f>IF($J25="",0,$J25)</f>
        <v/>
      </c>
    </row>
    <row r="26">
      <c r="A26" s="8">
        <f>IF($G26="","","SS-"&amp;TEXT(ROW()-4,"0000"))</f>
        <v/>
      </c>
      <c r="B26" s="9" t="n"/>
      <c r="C26" s="9" t="n"/>
      <c r="D26" s="9" t="n"/>
      <c r="E26" s="10" t="n"/>
      <c r="F26" s="11" t="n"/>
      <c r="G26" s="12">
        <f>IF($F26="","",IF($F26&gt;31,$F26,IF($AB26="","",DATE(YEAR($AB26),MONTH($AB26),$F26))))</f>
        <v/>
      </c>
      <c r="H26" s="9" t="n"/>
      <c r="I26" s="11" t="n"/>
      <c r="J26" s="12">
        <f>IF($I26="","",IF($I26&gt;31,$I26,IF($G26="","",IF(DATE(YEAR($G26),MONTH($G26),$I26)&gt;=$G26,DATE(YEAR($G26),MONTH($G26),$I26),DATE(YEAR($G26),MONTH($G26)+1,$I26)))))</f>
        <v/>
      </c>
      <c r="K26" s="9" t="n"/>
      <c r="L26" s="13" t="n"/>
      <c r="M26" s="13" t="n"/>
      <c r="N26" s="13" t="n"/>
      <c r="O26" s="8">
        <f>IF(OR($G26="",$J26=""),"",$J26-$G26+1)</f>
        <v/>
      </c>
      <c r="P26" s="8">
        <f>IF(OR($G26="",$J26=""),"",$J26-$G26)</f>
        <v/>
      </c>
      <c r="Q26" s="9" t="n"/>
      <c r="R26" s="9" t="n"/>
      <c r="S26" s="9" t="n"/>
      <c r="T26" s="9" t="n"/>
      <c r="U26" s="9" t="n"/>
      <c r="V26" s="9" t="n"/>
      <c r="W26" s="14" t="n"/>
      <c r="X26" s="9" t="n"/>
      <c r="Y26" s="8">
        <f>IF($G26="","",IF($D26="","⚠部屋が未選択",IF(COUNTIF('M_部屋'!$A$4:$A$20,$D26)=0,"⚠部屋が未登録",IF(OR($J26="",$Q26="キャンセル"),"",IF(SUMPRODUCT(($D$5:$D$404=$D26)*($G$5:$G$404&lt;&gt;"")*($J$5:$J$404&lt;&gt;"")*($Q$5:$Q$404&lt;&gt;"キャンセル")*($G$5:$G$404&lt;$J26)*($J$5:$J$404&gt;$G26))&gt;1,"⚠重複","")))))</f>
        <v/>
      </c>
      <c r="Z26" s="8">
        <f>IF(OR($B26="",$G26=""),"",IF(SUMPRODUCT(('利用者マスタ'!$A$4:$A$60=$B26)*('利用者マスタ'!$B$4:$B$60&lt;&gt;""))=0,"",IF(SUMIFS($AA$5:$AA$404,$B$5:$B$404,$B26,$G$5:$G$404,"&gt;="&amp;DATE(YEAR($G26),MONTH($G26),1),$G$5:$G$404,"&lt;="&amp;EOMONTH($G26,0))&gt;SUMIFS('利用者マスタ'!$B$4:$B$60,'利用者マスタ'!$A$4:$A$60,$B26),"⚠支給量超過","")))</f>
        <v/>
      </c>
      <c r="AA26" s="8">
        <f>IF(OR($G26="",$J26="",$Q26="キャンセル"),0,IF(IFERROR(INDEX('M_区分'!$B$4:$B$20,MATCH($C26,'M_区分'!$A$4:$A$20,0)),"○")="○",$J26-$G26+1,0))</f>
        <v/>
      </c>
      <c r="AB26" s="8">
        <f>IF($E26&lt;&gt;"",$E26,$AB25)</f>
        <v/>
      </c>
      <c r="AC26" s="8">
        <f>IF(OR($G26="",$J26=""),"",IF(AND($G26&lt;=EOMONTH('02_カレンダー'!$B$4,0),$J26&gt;='02_カレンダー'!$B$4),$G26*10000+ROW(),""))</f>
        <v/>
      </c>
      <c r="AD26" s="8">
        <f>IF($H26="","",IF(ISNUMBER($H26),IF(AND($H26=INT($H26),$H26&gt;=0,$H26&lt;=24),TEXT(INT($H26),"00")&amp;":00",TEXT($H26,"hh:mm")),$H26))</f>
        <v/>
      </c>
      <c r="AE26" s="8">
        <f>IF($K26="","",IF(ISNUMBER($K26),IF(AND($K26=INT($K26),$K26&gt;=0,$K26&lt;=24),TEXT(INT($K26),"00")&amp;":00",TEXT($K26,"hh:mm")),$K26))</f>
        <v/>
      </c>
      <c r="AF26" s="8">
        <f>IF($G26="",0,$G26)</f>
        <v/>
      </c>
      <c r="AG26" s="8">
        <f>IF($J26="",0,$J26)</f>
        <v/>
      </c>
    </row>
    <row r="27">
      <c r="A27" s="8">
        <f>IF($G27="","","SS-"&amp;TEXT(ROW()-4,"0000"))</f>
        <v/>
      </c>
      <c r="B27" s="9" t="n"/>
      <c r="C27" s="9" t="n"/>
      <c r="D27" s="9" t="n"/>
      <c r="E27" s="10" t="n"/>
      <c r="F27" s="11" t="n"/>
      <c r="G27" s="12">
        <f>IF($F27="","",IF($F27&gt;31,$F27,IF($AB27="","",DATE(YEAR($AB27),MONTH($AB27),$F27))))</f>
        <v/>
      </c>
      <c r="H27" s="9" t="n"/>
      <c r="I27" s="11" t="n"/>
      <c r="J27" s="12">
        <f>IF($I27="","",IF($I27&gt;31,$I27,IF($G27="","",IF(DATE(YEAR($G27),MONTH($G27),$I27)&gt;=$G27,DATE(YEAR($G27),MONTH($G27),$I27),DATE(YEAR($G27),MONTH($G27)+1,$I27)))))</f>
        <v/>
      </c>
      <c r="K27" s="9" t="n"/>
      <c r="L27" s="13" t="n"/>
      <c r="M27" s="13" t="n"/>
      <c r="N27" s="13" t="n"/>
      <c r="O27" s="8">
        <f>IF(OR($G27="",$J27=""),"",$J27-$G27+1)</f>
        <v/>
      </c>
      <c r="P27" s="8">
        <f>IF(OR($G27="",$J27=""),"",$J27-$G27)</f>
        <v/>
      </c>
      <c r="Q27" s="9" t="n"/>
      <c r="R27" s="9" t="n"/>
      <c r="S27" s="9" t="n"/>
      <c r="T27" s="9" t="n"/>
      <c r="U27" s="9" t="n"/>
      <c r="V27" s="9" t="n"/>
      <c r="W27" s="14" t="n"/>
      <c r="X27" s="9" t="n"/>
      <c r="Y27" s="8">
        <f>IF($G27="","",IF($D27="","⚠部屋が未選択",IF(COUNTIF('M_部屋'!$A$4:$A$20,$D27)=0,"⚠部屋が未登録",IF(OR($J27="",$Q27="キャンセル"),"",IF(SUMPRODUCT(($D$5:$D$404=$D27)*($G$5:$G$404&lt;&gt;"")*($J$5:$J$404&lt;&gt;"")*($Q$5:$Q$404&lt;&gt;"キャンセル")*($G$5:$G$404&lt;$J27)*($J$5:$J$404&gt;$G27))&gt;1,"⚠重複","")))))</f>
        <v/>
      </c>
      <c r="Z27" s="8">
        <f>IF(OR($B27="",$G27=""),"",IF(SUMPRODUCT(('利用者マスタ'!$A$4:$A$60=$B27)*('利用者マスタ'!$B$4:$B$60&lt;&gt;""))=0,"",IF(SUMIFS($AA$5:$AA$404,$B$5:$B$404,$B27,$G$5:$G$404,"&gt;="&amp;DATE(YEAR($G27),MONTH($G27),1),$G$5:$G$404,"&lt;="&amp;EOMONTH($G27,0))&gt;SUMIFS('利用者マスタ'!$B$4:$B$60,'利用者マスタ'!$A$4:$A$60,$B27),"⚠支給量超過","")))</f>
        <v/>
      </c>
      <c r="AA27" s="8">
        <f>IF(OR($G27="",$J27="",$Q27="キャンセル"),0,IF(IFERROR(INDEX('M_区分'!$B$4:$B$20,MATCH($C27,'M_区分'!$A$4:$A$20,0)),"○")="○",$J27-$G27+1,0))</f>
        <v/>
      </c>
      <c r="AB27" s="8">
        <f>IF($E27&lt;&gt;"",$E27,$AB26)</f>
        <v/>
      </c>
      <c r="AC27" s="8">
        <f>IF(OR($G27="",$J27=""),"",IF(AND($G27&lt;=EOMONTH('02_カレンダー'!$B$4,0),$J27&gt;='02_カレンダー'!$B$4),$G27*10000+ROW(),""))</f>
        <v/>
      </c>
      <c r="AD27" s="8">
        <f>IF($H27="","",IF(ISNUMBER($H27),IF(AND($H27=INT($H27),$H27&gt;=0,$H27&lt;=24),TEXT(INT($H27),"00")&amp;":00",TEXT($H27,"hh:mm")),$H27))</f>
        <v/>
      </c>
      <c r="AE27" s="8">
        <f>IF($K27="","",IF(ISNUMBER($K27),IF(AND($K27=INT($K27),$K27&gt;=0,$K27&lt;=24),TEXT(INT($K27),"00")&amp;":00",TEXT($K27,"hh:mm")),$K27))</f>
        <v/>
      </c>
      <c r="AF27" s="8">
        <f>IF($G27="",0,$G27)</f>
        <v/>
      </c>
      <c r="AG27" s="8">
        <f>IF($J27="",0,$J27)</f>
        <v/>
      </c>
    </row>
    <row r="28">
      <c r="A28" s="8">
        <f>IF($G28="","","SS-"&amp;TEXT(ROW()-4,"0000"))</f>
        <v/>
      </c>
      <c r="B28" s="9" t="n"/>
      <c r="C28" s="9" t="n"/>
      <c r="D28" s="9" t="n"/>
      <c r="E28" s="10" t="n"/>
      <c r="F28" s="11" t="n"/>
      <c r="G28" s="12">
        <f>IF($F28="","",IF($F28&gt;31,$F28,IF($AB28="","",DATE(YEAR($AB28),MONTH($AB28),$F28))))</f>
        <v/>
      </c>
      <c r="H28" s="9" t="n"/>
      <c r="I28" s="11" t="n"/>
      <c r="J28" s="12">
        <f>IF($I28="","",IF($I28&gt;31,$I28,IF($G28="","",IF(DATE(YEAR($G28),MONTH($G28),$I28)&gt;=$G28,DATE(YEAR($G28),MONTH($G28),$I28),DATE(YEAR($G28),MONTH($G28)+1,$I28)))))</f>
        <v/>
      </c>
      <c r="K28" s="9" t="n"/>
      <c r="L28" s="13" t="n"/>
      <c r="M28" s="13" t="n"/>
      <c r="N28" s="13" t="n"/>
      <c r="O28" s="8">
        <f>IF(OR($G28="",$J28=""),"",$J28-$G28+1)</f>
        <v/>
      </c>
      <c r="P28" s="8">
        <f>IF(OR($G28="",$J28=""),"",$J28-$G28)</f>
        <v/>
      </c>
      <c r="Q28" s="9" t="n"/>
      <c r="R28" s="9" t="n"/>
      <c r="S28" s="9" t="n"/>
      <c r="T28" s="9" t="n"/>
      <c r="U28" s="9" t="n"/>
      <c r="V28" s="9" t="n"/>
      <c r="W28" s="14" t="n"/>
      <c r="X28" s="9" t="n"/>
      <c r="Y28" s="8">
        <f>IF($G28="","",IF($D28="","⚠部屋が未選択",IF(COUNTIF('M_部屋'!$A$4:$A$20,$D28)=0,"⚠部屋が未登録",IF(OR($J28="",$Q28="キャンセル"),"",IF(SUMPRODUCT(($D$5:$D$404=$D28)*($G$5:$G$404&lt;&gt;"")*($J$5:$J$404&lt;&gt;"")*($Q$5:$Q$404&lt;&gt;"キャンセル")*($G$5:$G$404&lt;$J28)*($J$5:$J$404&gt;$G28))&gt;1,"⚠重複","")))))</f>
        <v/>
      </c>
      <c r="Z28" s="8">
        <f>IF(OR($B28="",$G28=""),"",IF(SUMPRODUCT(('利用者マスタ'!$A$4:$A$60=$B28)*('利用者マスタ'!$B$4:$B$60&lt;&gt;""))=0,"",IF(SUMIFS($AA$5:$AA$404,$B$5:$B$404,$B28,$G$5:$G$404,"&gt;="&amp;DATE(YEAR($G28),MONTH($G28),1),$G$5:$G$404,"&lt;="&amp;EOMONTH($G28,0))&gt;SUMIFS('利用者マスタ'!$B$4:$B$60,'利用者マスタ'!$A$4:$A$60,$B28),"⚠支給量超過","")))</f>
        <v/>
      </c>
      <c r="AA28" s="8">
        <f>IF(OR($G28="",$J28="",$Q28="キャンセル"),0,IF(IFERROR(INDEX('M_区分'!$B$4:$B$20,MATCH($C28,'M_区分'!$A$4:$A$20,0)),"○")="○",$J28-$G28+1,0))</f>
        <v/>
      </c>
      <c r="AB28" s="8">
        <f>IF($E28&lt;&gt;"",$E28,$AB27)</f>
        <v/>
      </c>
      <c r="AC28" s="8">
        <f>IF(OR($G28="",$J28=""),"",IF(AND($G28&lt;=EOMONTH('02_カレンダー'!$B$4,0),$J28&gt;='02_カレンダー'!$B$4),$G28*10000+ROW(),""))</f>
        <v/>
      </c>
      <c r="AD28" s="8">
        <f>IF($H28="","",IF(ISNUMBER($H28),IF(AND($H28=INT($H28),$H28&gt;=0,$H28&lt;=24),TEXT(INT($H28),"00")&amp;":00",TEXT($H28,"hh:mm")),$H28))</f>
        <v/>
      </c>
      <c r="AE28" s="8">
        <f>IF($K28="","",IF(ISNUMBER($K28),IF(AND($K28=INT($K28),$K28&gt;=0,$K28&lt;=24),TEXT(INT($K28),"00")&amp;":00",TEXT($K28,"hh:mm")),$K28))</f>
        <v/>
      </c>
      <c r="AF28" s="8">
        <f>IF($G28="",0,$G28)</f>
        <v/>
      </c>
      <c r="AG28" s="8">
        <f>IF($J28="",0,$J28)</f>
        <v/>
      </c>
    </row>
    <row r="29">
      <c r="A29" s="8">
        <f>IF($G29="","","SS-"&amp;TEXT(ROW()-4,"0000"))</f>
        <v/>
      </c>
      <c r="B29" s="9" t="n"/>
      <c r="C29" s="9" t="n"/>
      <c r="D29" s="9" t="n"/>
      <c r="E29" s="10" t="n"/>
      <c r="F29" s="11" t="n"/>
      <c r="G29" s="12">
        <f>IF($F29="","",IF($F29&gt;31,$F29,IF($AB29="","",DATE(YEAR($AB29),MONTH($AB29),$F29))))</f>
        <v/>
      </c>
      <c r="H29" s="9" t="n"/>
      <c r="I29" s="11" t="n"/>
      <c r="J29" s="12">
        <f>IF($I29="","",IF($I29&gt;31,$I29,IF($G29="","",IF(DATE(YEAR($G29),MONTH($G29),$I29)&gt;=$G29,DATE(YEAR($G29),MONTH($G29),$I29),DATE(YEAR($G29),MONTH($G29)+1,$I29)))))</f>
        <v/>
      </c>
      <c r="K29" s="9" t="n"/>
      <c r="L29" s="13" t="n"/>
      <c r="M29" s="13" t="n"/>
      <c r="N29" s="13" t="n"/>
      <c r="O29" s="8">
        <f>IF(OR($G29="",$J29=""),"",$J29-$G29+1)</f>
        <v/>
      </c>
      <c r="P29" s="8">
        <f>IF(OR($G29="",$J29=""),"",$J29-$G29)</f>
        <v/>
      </c>
      <c r="Q29" s="9" t="n"/>
      <c r="R29" s="9" t="n"/>
      <c r="S29" s="9" t="n"/>
      <c r="T29" s="9" t="n"/>
      <c r="U29" s="9" t="n"/>
      <c r="V29" s="9" t="n"/>
      <c r="W29" s="14" t="n"/>
      <c r="X29" s="9" t="n"/>
      <c r="Y29" s="8">
        <f>IF($G29="","",IF($D29="","⚠部屋が未選択",IF(COUNTIF('M_部屋'!$A$4:$A$20,$D29)=0,"⚠部屋が未登録",IF(OR($J29="",$Q29="キャンセル"),"",IF(SUMPRODUCT(($D$5:$D$404=$D29)*($G$5:$G$404&lt;&gt;"")*($J$5:$J$404&lt;&gt;"")*($Q$5:$Q$404&lt;&gt;"キャンセル")*($G$5:$G$404&lt;$J29)*($J$5:$J$404&gt;$G29))&gt;1,"⚠重複","")))))</f>
        <v/>
      </c>
      <c r="Z29" s="8">
        <f>IF(OR($B29="",$G29=""),"",IF(SUMPRODUCT(('利用者マスタ'!$A$4:$A$60=$B29)*('利用者マスタ'!$B$4:$B$60&lt;&gt;""))=0,"",IF(SUMIFS($AA$5:$AA$404,$B$5:$B$404,$B29,$G$5:$G$404,"&gt;="&amp;DATE(YEAR($G29),MONTH($G29),1),$G$5:$G$404,"&lt;="&amp;EOMONTH($G29,0))&gt;SUMIFS('利用者マスタ'!$B$4:$B$60,'利用者マスタ'!$A$4:$A$60,$B29),"⚠支給量超過","")))</f>
        <v/>
      </c>
      <c r="AA29" s="8">
        <f>IF(OR($G29="",$J29="",$Q29="キャンセル"),0,IF(IFERROR(INDEX('M_区分'!$B$4:$B$20,MATCH($C29,'M_区分'!$A$4:$A$20,0)),"○")="○",$J29-$G29+1,0))</f>
        <v/>
      </c>
      <c r="AB29" s="8">
        <f>IF($E29&lt;&gt;"",$E29,$AB28)</f>
        <v/>
      </c>
      <c r="AC29" s="8">
        <f>IF(OR($G29="",$J29=""),"",IF(AND($G29&lt;=EOMONTH('02_カレンダー'!$B$4,0),$J29&gt;='02_カレンダー'!$B$4),$G29*10000+ROW(),""))</f>
        <v/>
      </c>
      <c r="AD29" s="8">
        <f>IF($H29="","",IF(ISNUMBER($H29),IF(AND($H29=INT($H29),$H29&gt;=0,$H29&lt;=24),TEXT(INT($H29),"00")&amp;":00",TEXT($H29,"hh:mm")),$H29))</f>
        <v/>
      </c>
      <c r="AE29" s="8">
        <f>IF($K29="","",IF(ISNUMBER($K29),IF(AND($K29=INT($K29),$K29&gt;=0,$K29&lt;=24),TEXT(INT($K29),"00")&amp;":00",TEXT($K29,"hh:mm")),$K29))</f>
        <v/>
      </c>
      <c r="AF29" s="8">
        <f>IF($G29="",0,$G29)</f>
        <v/>
      </c>
      <c r="AG29" s="8">
        <f>IF($J29="",0,$J29)</f>
        <v/>
      </c>
    </row>
    <row r="30">
      <c r="A30" s="8">
        <f>IF($G30="","","SS-"&amp;TEXT(ROW()-4,"0000"))</f>
        <v/>
      </c>
      <c r="B30" s="9" t="n"/>
      <c r="C30" s="9" t="n"/>
      <c r="D30" s="9" t="n"/>
      <c r="E30" s="10" t="n"/>
      <c r="F30" s="11" t="n"/>
      <c r="G30" s="12">
        <f>IF($F30="","",IF($F30&gt;31,$F30,IF($AB30="","",DATE(YEAR($AB30),MONTH($AB30),$F30))))</f>
        <v/>
      </c>
      <c r="H30" s="9" t="n"/>
      <c r="I30" s="11" t="n"/>
      <c r="J30" s="12">
        <f>IF($I30="","",IF($I30&gt;31,$I30,IF($G30="","",IF(DATE(YEAR($G30),MONTH($G30),$I30)&gt;=$G30,DATE(YEAR($G30),MONTH($G30),$I30),DATE(YEAR($G30),MONTH($G30)+1,$I30)))))</f>
        <v/>
      </c>
      <c r="K30" s="9" t="n"/>
      <c r="L30" s="13" t="n"/>
      <c r="M30" s="13" t="n"/>
      <c r="N30" s="13" t="n"/>
      <c r="O30" s="8">
        <f>IF(OR($G30="",$J30=""),"",$J30-$G30+1)</f>
        <v/>
      </c>
      <c r="P30" s="8">
        <f>IF(OR($G30="",$J30=""),"",$J30-$G30)</f>
        <v/>
      </c>
      <c r="Q30" s="9" t="n"/>
      <c r="R30" s="9" t="n"/>
      <c r="S30" s="9" t="n"/>
      <c r="T30" s="9" t="n"/>
      <c r="U30" s="9" t="n"/>
      <c r="V30" s="9" t="n"/>
      <c r="W30" s="14" t="n"/>
      <c r="X30" s="9" t="n"/>
      <c r="Y30" s="8">
        <f>IF($G30="","",IF($D30="","⚠部屋が未選択",IF(COUNTIF('M_部屋'!$A$4:$A$20,$D30)=0,"⚠部屋が未登録",IF(OR($J30="",$Q30="キャンセル"),"",IF(SUMPRODUCT(($D$5:$D$404=$D30)*($G$5:$G$404&lt;&gt;"")*($J$5:$J$404&lt;&gt;"")*($Q$5:$Q$404&lt;&gt;"キャンセル")*($G$5:$G$404&lt;$J30)*($J$5:$J$404&gt;$G30))&gt;1,"⚠重複","")))))</f>
        <v/>
      </c>
      <c r="Z30" s="8">
        <f>IF(OR($B30="",$G30=""),"",IF(SUMPRODUCT(('利用者マスタ'!$A$4:$A$60=$B30)*('利用者マスタ'!$B$4:$B$60&lt;&gt;""))=0,"",IF(SUMIFS($AA$5:$AA$404,$B$5:$B$404,$B30,$G$5:$G$404,"&gt;="&amp;DATE(YEAR($G30),MONTH($G30),1),$G$5:$G$404,"&lt;="&amp;EOMONTH($G30,0))&gt;SUMIFS('利用者マスタ'!$B$4:$B$60,'利用者マスタ'!$A$4:$A$60,$B30),"⚠支給量超過","")))</f>
        <v/>
      </c>
      <c r="AA30" s="8">
        <f>IF(OR($G30="",$J30="",$Q30="キャンセル"),0,IF(IFERROR(INDEX('M_区分'!$B$4:$B$20,MATCH($C30,'M_区分'!$A$4:$A$20,0)),"○")="○",$J30-$G30+1,0))</f>
        <v/>
      </c>
      <c r="AB30" s="8">
        <f>IF($E30&lt;&gt;"",$E30,$AB29)</f>
        <v/>
      </c>
      <c r="AC30" s="8">
        <f>IF(OR($G30="",$J30=""),"",IF(AND($G30&lt;=EOMONTH('02_カレンダー'!$B$4,0),$J30&gt;='02_カレンダー'!$B$4),$G30*10000+ROW(),""))</f>
        <v/>
      </c>
      <c r="AD30" s="8">
        <f>IF($H30="","",IF(ISNUMBER($H30),IF(AND($H30=INT($H30),$H30&gt;=0,$H30&lt;=24),TEXT(INT($H30),"00")&amp;":00",TEXT($H30,"hh:mm")),$H30))</f>
        <v/>
      </c>
      <c r="AE30" s="8">
        <f>IF($K30="","",IF(ISNUMBER($K30),IF(AND($K30=INT($K30),$K30&gt;=0,$K30&lt;=24),TEXT(INT($K30),"00")&amp;":00",TEXT($K30,"hh:mm")),$K30))</f>
        <v/>
      </c>
      <c r="AF30" s="8">
        <f>IF($G30="",0,$G30)</f>
        <v/>
      </c>
      <c r="AG30" s="8">
        <f>IF($J30="",0,$J30)</f>
        <v/>
      </c>
    </row>
    <row r="31">
      <c r="A31" s="8">
        <f>IF($G31="","","SS-"&amp;TEXT(ROW()-4,"0000"))</f>
        <v/>
      </c>
      <c r="B31" s="9" t="n"/>
      <c r="C31" s="9" t="n"/>
      <c r="D31" s="9" t="n"/>
      <c r="E31" s="10" t="n"/>
      <c r="F31" s="11" t="n"/>
      <c r="G31" s="12">
        <f>IF($F31="","",IF($F31&gt;31,$F31,IF($AB31="","",DATE(YEAR($AB31),MONTH($AB31),$F31))))</f>
        <v/>
      </c>
      <c r="H31" s="9" t="n"/>
      <c r="I31" s="11" t="n"/>
      <c r="J31" s="12">
        <f>IF($I31="","",IF($I31&gt;31,$I31,IF($G31="","",IF(DATE(YEAR($G31),MONTH($G31),$I31)&gt;=$G31,DATE(YEAR($G31),MONTH($G31),$I31),DATE(YEAR($G31),MONTH($G31)+1,$I31)))))</f>
        <v/>
      </c>
      <c r="K31" s="9" t="n"/>
      <c r="L31" s="13" t="n"/>
      <c r="M31" s="13" t="n"/>
      <c r="N31" s="13" t="n"/>
      <c r="O31" s="8">
        <f>IF(OR($G31="",$J31=""),"",$J31-$G31+1)</f>
        <v/>
      </c>
      <c r="P31" s="8">
        <f>IF(OR($G31="",$J31=""),"",$J31-$G31)</f>
        <v/>
      </c>
      <c r="Q31" s="9" t="n"/>
      <c r="R31" s="9" t="n"/>
      <c r="S31" s="9" t="n"/>
      <c r="T31" s="9" t="n"/>
      <c r="U31" s="9" t="n"/>
      <c r="V31" s="9" t="n"/>
      <c r="W31" s="14" t="n"/>
      <c r="X31" s="9" t="n"/>
      <c r="Y31" s="8">
        <f>IF($G31="","",IF($D31="","⚠部屋が未選択",IF(COUNTIF('M_部屋'!$A$4:$A$20,$D31)=0,"⚠部屋が未登録",IF(OR($J31="",$Q31="キャンセル"),"",IF(SUMPRODUCT(($D$5:$D$404=$D31)*($G$5:$G$404&lt;&gt;"")*($J$5:$J$404&lt;&gt;"")*($Q$5:$Q$404&lt;&gt;"キャンセル")*($G$5:$G$404&lt;$J31)*($J$5:$J$404&gt;$G31))&gt;1,"⚠重複","")))))</f>
        <v/>
      </c>
      <c r="Z31" s="8">
        <f>IF(OR($B31="",$G31=""),"",IF(SUMPRODUCT(('利用者マスタ'!$A$4:$A$60=$B31)*('利用者マスタ'!$B$4:$B$60&lt;&gt;""))=0,"",IF(SUMIFS($AA$5:$AA$404,$B$5:$B$404,$B31,$G$5:$G$404,"&gt;="&amp;DATE(YEAR($G31),MONTH($G31),1),$G$5:$G$404,"&lt;="&amp;EOMONTH($G31,0))&gt;SUMIFS('利用者マスタ'!$B$4:$B$60,'利用者マスタ'!$A$4:$A$60,$B31),"⚠支給量超過","")))</f>
        <v/>
      </c>
      <c r="AA31" s="8">
        <f>IF(OR($G31="",$J31="",$Q31="キャンセル"),0,IF(IFERROR(INDEX('M_区分'!$B$4:$B$20,MATCH($C31,'M_区分'!$A$4:$A$20,0)),"○")="○",$J31-$G31+1,0))</f>
        <v/>
      </c>
      <c r="AB31" s="8">
        <f>IF($E31&lt;&gt;"",$E31,$AB30)</f>
        <v/>
      </c>
      <c r="AC31" s="8">
        <f>IF(OR($G31="",$J31=""),"",IF(AND($G31&lt;=EOMONTH('02_カレンダー'!$B$4,0),$J31&gt;='02_カレンダー'!$B$4),$G31*10000+ROW(),""))</f>
        <v/>
      </c>
      <c r="AD31" s="8">
        <f>IF($H31="","",IF(ISNUMBER($H31),IF(AND($H31=INT($H31),$H31&gt;=0,$H31&lt;=24),TEXT(INT($H31),"00")&amp;":00",TEXT($H31,"hh:mm")),$H31))</f>
        <v/>
      </c>
      <c r="AE31" s="8">
        <f>IF($K31="","",IF(ISNUMBER($K31),IF(AND($K31=INT($K31),$K31&gt;=0,$K31&lt;=24),TEXT(INT($K31),"00")&amp;":00",TEXT($K31,"hh:mm")),$K31))</f>
        <v/>
      </c>
      <c r="AF31" s="8">
        <f>IF($G31="",0,$G31)</f>
        <v/>
      </c>
      <c r="AG31" s="8">
        <f>IF($J31="",0,$J31)</f>
        <v/>
      </c>
    </row>
    <row r="32">
      <c r="A32" s="8">
        <f>IF($G32="","","SS-"&amp;TEXT(ROW()-4,"0000"))</f>
        <v/>
      </c>
      <c r="B32" s="9" t="n"/>
      <c r="C32" s="9" t="n"/>
      <c r="D32" s="9" t="n"/>
      <c r="E32" s="10" t="n"/>
      <c r="F32" s="11" t="n"/>
      <c r="G32" s="12">
        <f>IF($F32="","",IF($F32&gt;31,$F32,IF($AB32="","",DATE(YEAR($AB32),MONTH($AB32),$F32))))</f>
        <v/>
      </c>
      <c r="H32" s="9" t="n"/>
      <c r="I32" s="11" t="n"/>
      <c r="J32" s="12">
        <f>IF($I32="","",IF($I32&gt;31,$I32,IF($G32="","",IF(DATE(YEAR($G32),MONTH($G32),$I32)&gt;=$G32,DATE(YEAR($G32),MONTH($G32),$I32),DATE(YEAR($G32),MONTH($G32)+1,$I32)))))</f>
        <v/>
      </c>
      <c r="K32" s="9" t="n"/>
      <c r="L32" s="13" t="n"/>
      <c r="M32" s="13" t="n"/>
      <c r="N32" s="13" t="n"/>
      <c r="O32" s="8">
        <f>IF(OR($G32="",$J32=""),"",$J32-$G32+1)</f>
        <v/>
      </c>
      <c r="P32" s="8">
        <f>IF(OR($G32="",$J32=""),"",$J32-$G32)</f>
        <v/>
      </c>
      <c r="Q32" s="9" t="n"/>
      <c r="R32" s="9" t="n"/>
      <c r="S32" s="9" t="n"/>
      <c r="T32" s="9" t="n"/>
      <c r="U32" s="9" t="n"/>
      <c r="V32" s="9" t="n"/>
      <c r="W32" s="14" t="n"/>
      <c r="X32" s="9" t="n"/>
      <c r="Y32" s="8">
        <f>IF($G32="","",IF($D32="","⚠部屋が未選択",IF(COUNTIF('M_部屋'!$A$4:$A$20,$D32)=0,"⚠部屋が未登録",IF(OR($J32="",$Q32="キャンセル"),"",IF(SUMPRODUCT(($D$5:$D$404=$D32)*($G$5:$G$404&lt;&gt;"")*($J$5:$J$404&lt;&gt;"")*($Q$5:$Q$404&lt;&gt;"キャンセル")*($G$5:$G$404&lt;$J32)*($J$5:$J$404&gt;$G32))&gt;1,"⚠重複","")))))</f>
        <v/>
      </c>
      <c r="Z32" s="8">
        <f>IF(OR($B32="",$G32=""),"",IF(SUMPRODUCT(('利用者マスタ'!$A$4:$A$60=$B32)*('利用者マスタ'!$B$4:$B$60&lt;&gt;""))=0,"",IF(SUMIFS($AA$5:$AA$404,$B$5:$B$404,$B32,$G$5:$G$404,"&gt;="&amp;DATE(YEAR($G32),MONTH($G32),1),$G$5:$G$404,"&lt;="&amp;EOMONTH($G32,0))&gt;SUMIFS('利用者マスタ'!$B$4:$B$60,'利用者マスタ'!$A$4:$A$60,$B32),"⚠支給量超過","")))</f>
        <v/>
      </c>
      <c r="AA32" s="8">
        <f>IF(OR($G32="",$J32="",$Q32="キャンセル"),0,IF(IFERROR(INDEX('M_区分'!$B$4:$B$20,MATCH($C32,'M_区分'!$A$4:$A$20,0)),"○")="○",$J32-$G32+1,0))</f>
        <v/>
      </c>
      <c r="AB32" s="8">
        <f>IF($E32&lt;&gt;"",$E32,$AB31)</f>
        <v/>
      </c>
      <c r="AC32" s="8">
        <f>IF(OR($G32="",$J32=""),"",IF(AND($G32&lt;=EOMONTH('02_カレンダー'!$B$4,0),$J32&gt;='02_カレンダー'!$B$4),$G32*10000+ROW(),""))</f>
        <v/>
      </c>
      <c r="AD32" s="8">
        <f>IF($H32="","",IF(ISNUMBER($H32),IF(AND($H32=INT($H32),$H32&gt;=0,$H32&lt;=24),TEXT(INT($H32),"00")&amp;":00",TEXT($H32,"hh:mm")),$H32))</f>
        <v/>
      </c>
      <c r="AE32" s="8">
        <f>IF($K32="","",IF(ISNUMBER($K32),IF(AND($K32=INT($K32),$K32&gt;=0,$K32&lt;=24),TEXT(INT($K32),"00")&amp;":00",TEXT($K32,"hh:mm")),$K32))</f>
        <v/>
      </c>
      <c r="AF32" s="8">
        <f>IF($G32="",0,$G32)</f>
        <v/>
      </c>
      <c r="AG32" s="8">
        <f>IF($J32="",0,$J32)</f>
        <v/>
      </c>
    </row>
    <row r="33">
      <c r="A33" s="8">
        <f>IF($G33="","","SS-"&amp;TEXT(ROW()-4,"0000"))</f>
        <v/>
      </c>
      <c r="B33" s="9" t="n"/>
      <c r="C33" s="9" t="n"/>
      <c r="D33" s="9" t="n"/>
      <c r="E33" s="10" t="n"/>
      <c r="F33" s="11" t="n"/>
      <c r="G33" s="12">
        <f>IF($F33="","",IF($F33&gt;31,$F33,IF($AB33="","",DATE(YEAR($AB33),MONTH($AB33),$F33))))</f>
        <v/>
      </c>
      <c r="H33" s="9" t="n"/>
      <c r="I33" s="11" t="n"/>
      <c r="J33" s="12">
        <f>IF($I33="","",IF($I33&gt;31,$I33,IF($G33="","",IF(DATE(YEAR($G33),MONTH($G33),$I33)&gt;=$G33,DATE(YEAR($G33),MONTH($G33),$I33),DATE(YEAR($G33),MONTH($G33)+1,$I33)))))</f>
        <v/>
      </c>
      <c r="K33" s="9" t="n"/>
      <c r="L33" s="13" t="n"/>
      <c r="M33" s="13" t="n"/>
      <c r="N33" s="13" t="n"/>
      <c r="O33" s="8">
        <f>IF(OR($G33="",$J33=""),"",$J33-$G33+1)</f>
        <v/>
      </c>
      <c r="P33" s="8">
        <f>IF(OR($G33="",$J33=""),"",$J33-$G33)</f>
        <v/>
      </c>
      <c r="Q33" s="9" t="n"/>
      <c r="R33" s="9" t="n"/>
      <c r="S33" s="9" t="n"/>
      <c r="T33" s="9" t="n"/>
      <c r="U33" s="9" t="n"/>
      <c r="V33" s="9" t="n"/>
      <c r="W33" s="14" t="n"/>
      <c r="X33" s="9" t="n"/>
      <c r="Y33" s="8">
        <f>IF($G33="","",IF($D33="","⚠部屋が未選択",IF(COUNTIF('M_部屋'!$A$4:$A$20,$D33)=0,"⚠部屋が未登録",IF(OR($J33="",$Q33="キャンセル"),"",IF(SUMPRODUCT(($D$5:$D$404=$D33)*($G$5:$G$404&lt;&gt;"")*($J$5:$J$404&lt;&gt;"")*($Q$5:$Q$404&lt;&gt;"キャンセル")*($G$5:$G$404&lt;$J33)*($J$5:$J$404&gt;$G33))&gt;1,"⚠重複","")))))</f>
        <v/>
      </c>
      <c r="Z33" s="8">
        <f>IF(OR($B33="",$G33=""),"",IF(SUMPRODUCT(('利用者マスタ'!$A$4:$A$60=$B33)*('利用者マスタ'!$B$4:$B$60&lt;&gt;""))=0,"",IF(SUMIFS($AA$5:$AA$404,$B$5:$B$404,$B33,$G$5:$G$404,"&gt;="&amp;DATE(YEAR($G33),MONTH($G33),1),$G$5:$G$404,"&lt;="&amp;EOMONTH($G33,0))&gt;SUMIFS('利用者マスタ'!$B$4:$B$60,'利用者マスタ'!$A$4:$A$60,$B33),"⚠支給量超過","")))</f>
        <v/>
      </c>
      <c r="AA33" s="8">
        <f>IF(OR($G33="",$J33="",$Q33="キャンセル"),0,IF(IFERROR(INDEX('M_区分'!$B$4:$B$20,MATCH($C33,'M_区分'!$A$4:$A$20,0)),"○")="○",$J33-$G33+1,0))</f>
        <v/>
      </c>
      <c r="AB33" s="8">
        <f>IF($E33&lt;&gt;"",$E33,$AB32)</f>
        <v/>
      </c>
      <c r="AC33" s="8">
        <f>IF(OR($G33="",$J33=""),"",IF(AND($G33&lt;=EOMONTH('02_カレンダー'!$B$4,0),$J33&gt;='02_カレンダー'!$B$4),$G33*10000+ROW(),""))</f>
        <v/>
      </c>
      <c r="AD33" s="8">
        <f>IF($H33="","",IF(ISNUMBER($H33),IF(AND($H33=INT($H33),$H33&gt;=0,$H33&lt;=24),TEXT(INT($H33),"00")&amp;":00",TEXT($H33,"hh:mm")),$H33))</f>
        <v/>
      </c>
      <c r="AE33" s="8">
        <f>IF($K33="","",IF(ISNUMBER($K33),IF(AND($K33=INT($K33),$K33&gt;=0,$K33&lt;=24),TEXT(INT($K33),"00")&amp;":00",TEXT($K33,"hh:mm")),$K33))</f>
        <v/>
      </c>
      <c r="AF33" s="8">
        <f>IF($G33="",0,$G33)</f>
        <v/>
      </c>
      <c r="AG33" s="8">
        <f>IF($J33="",0,$J33)</f>
        <v/>
      </c>
    </row>
    <row r="34">
      <c r="A34" s="8">
        <f>IF($G34="","","SS-"&amp;TEXT(ROW()-4,"0000"))</f>
        <v/>
      </c>
      <c r="B34" s="9" t="n"/>
      <c r="C34" s="9" t="n"/>
      <c r="D34" s="9" t="n"/>
      <c r="E34" s="10" t="n"/>
      <c r="F34" s="11" t="n"/>
      <c r="G34" s="12">
        <f>IF($F34="","",IF($F34&gt;31,$F34,IF($AB34="","",DATE(YEAR($AB34),MONTH($AB34),$F34))))</f>
        <v/>
      </c>
      <c r="H34" s="9" t="n"/>
      <c r="I34" s="11" t="n"/>
      <c r="J34" s="12">
        <f>IF($I34="","",IF($I34&gt;31,$I34,IF($G34="","",IF(DATE(YEAR($G34),MONTH($G34),$I34)&gt;=$G34,DATE(YEAR($G34),MONTH($G34),$I34),DATE(YEAR($G34),MONTH($G34)+1,$I34)))))</f>
        <v/>
      </c>
      <c r="K34" s="9" t="n"/>
      <c r="L34" s="13" t="n"/>
      <c r="M34" s="13" t="n"/>
      <c r="N34" s="13" t="n"/>
      <c r="O34" s="8">
        <f>IF(OR($G34="",$J34=""),"",$J34-$G34+1)</f>
        <v/>
      </c>
      <c r="P34" s="8">
        <f>IF(OR($G34="",$J34=""),"",$J34-$G34)</f>
        <v/>
      </c>
      <c r="Q34" s="9" t="n"/>
      <c r="R34" s="9" t="n"/>
      <c r="S34" s="9" t="n"/>
      <c r="T34" s="9" t="n"/>
      <c r="U34" s="9" t="n"/>
      <c r="V34" s="9" t="n"/>
      <c r="W34" s="14" t="n"/>
      <c r="X34" s="9" t="n"/>
      <c r="Y34" s="8">
        <f>IF($G34="","",IF($D34="","⚠部屋が未選択",IF(COUNTIF('M_部屋'!$A$4:$A$20,$D34)=0,"⚠部屋が未登録",IF(OR($J34="",$Q34="キャンセル"),"",IF(SUMPRODUCT(($D$5:$D$404=$D34)*($G$5:$G$404&lt;&gt;"")*($J$5:$J$404&lt;&gt;"")*($Q$5:$Q$404&lt;&gt;"キャンセル")*($G$5:$G$404&lt;$J34)*($J$5:$J$404&gt;$G34))&gt;1,"⚠重複","")))))</f>
        <v/>
      </c>
      <c r="Z34" s="8">
        <f>IF(OR($B34="",$G34=""),"",IF(SUMPRODUCT(('利用者マスタ'!$A$4:$A$60=$B34)*('利用者マスタ'!$B$4:$B$60&lt;&gt;""))=0,"",IF(SUMIFS($AA$5:$AA$404,$B$5:$B$404,$B34,$G$5:$G$404,"&gt;="&amp;DATE(YEAR($G34),MONTH($G34),1),$G$5:$G$404,"&lt;="&amp;EOMONTH($G34,0))&gt;SUMIFS('利用者マスタ'!$B$4:$B$60,'利用者マスタ'!$A$4:$A$60,$B34),"⚠支給量超過","")))</f>
        <v/>
      </c>
      <c r="AA34" s="8">
        <f>IF(OR($G34="",$J34="",$Q34="キャンセル"),0,IF(IFERROR(INDEX('M_区分'!$B$4:$B$20,MATCH($C34,'M_区分'!$A$4:$A$20,0)),"○")="○",$J34-$G34+1,0))</f>
        <v/>
      </c>
      <c r="AB34" s="8">
        <f>IF($E34&lt;&gt;"",$E34,$AB33)</f>
        <v/>
      </c>
      <c r="AC34" s="8">
        <f>IF(OR($G34="",$J34=""),"",IF(AND($G34&lt;=EOMONTH('02_カレンダー'!$B$4,0),$J34&gt;='02_カレンダー'!$B$4),$G34*10000+ROW(),""))</f>
        <v/>
      </c>
      <c r="AD34" s="8">
        <f>IF($H34="","",IF(ISNUMBER($H34),IF(AND($H34=INT($H34),$H34&gt;=0,$H34&lt;=24),TEXT(INT($H34),"00")&amp;":00",TEXT($H34,"hh:mm")),$H34))</f>
        <v/>
      </c>
      <c r="AE34" s="8">
        <f>IF($K34="","",IF(ISNUMBER($K34),IF(AND($K34=INT($K34),$K34&gt;=0,$K34&lt;=24),TEXT(INT($K34),"00")&amp;":00",TEXT($K34,"hh:mm")),$K34))</f>
        <v/>
      </c>
      <c r="AF34" s="8">
        <f>IF($G34="",0,$G34)</f>
        <v/>
      </c>
      <c r="AG34" s="8">
        <f>IF($J34="",0,$J34)</f>
        <v/>
      </c>
    </row>
    <row r="35">
      <c r="A35" s="8">
        <f>IF($G35="","","SS-"&amp;TEXT(ROW()-4,"0000"))</f>
        <v/>
      </c>
      <c r="B35" s="9" t="n"/>
      <c r="C35" s="9" t="n"/>
      <c r="D35" s="9" t="n"/>
      <c r="E35" s="10" t="n"/>
      <c r="F35" s="11" t="n"/>
      <c r="G35" s="12">
        <f>IF($F35="","",IF($F35&gt;31,$F35,IF($AB35="","",DATE(YEAR($AB35),MONTH($AB35),$F35))))</f>
        <v/>
      </c>
      <c r="H35" s="9" t="n"/>
      <c r="I35" s="11" t="n"/>
      <c r="J35" s="12">
        <f>IF($I35="","",IF($I35&gt;31,$I35,IF($G35="","",IF(DATE(YEAR($G35),MONTH($G35),$I35)&gt;=$G35,DATE(YEAR($G35),MONTH($G35),$I35),DATE(YEAR($G35),MONTH($G35)+1,$I35)))))</f>
        <v/>
      </c>
      <c r="K35" s="9" t="n"/>
      <c r="L35" s="13" t="n"/>
      <c r="M35" s="13" t="n"/>
      <c r="N35" s="13" t="n"/>
      <c r="O35" s="8">
        <f>IF(OR($G35="",$J35=""),"",$J35-$G35+1)</f>
        <v/>
      </c>
      <c r="P35" s="8">
        <f>IF(OR($G35="",$J35=""),"",$J35-$G35)</f>
        <v/>
      </c>
      <c r="Q35" s="9" t="n"/>
      <c r="R35" s="9" t="n"/>
      <c r="S35" s="9" t="n"/>
      <c r="T35" s="9" t="n"/>
      <c r="U35" s="9" t="n"/>
      <c r="V35" s="9" t="n"/>
      <c r="W35" s="14" t="n"/>
      <c r="X35" s="9" t="n"/>
      <c r="Y35" s="8">
        <f>IF($G35="","",IF($D35="","⚠部屋が未選択",IF(COUNTIF('M_部屋'!$A$4:$A$20,$D35)=0,"⚠部屋が未登録",IF(OR($J35="",$Q35="キャンセル"),"",IF(SUMPRODUCT(($D$5:$D$404=$D35)*($G$5:$G$404&lt;&gt;"")*($J$5:$J$404&lt;&gt;"")*($Q$5:$Q$404&lt;&gt;"キャンセル")*($G$5:$G$404&lt;$J35)*($J$5:$J$404&gt;$G35))&gt;1,"⚠重複","")))))</f>
        <v/>
      </c>
      <c r="Z35" s="8">
        <f>IF(OR($B35="",$G35=""),"",IF(SUMPRODUCT(('利用者マスタ'!$A$4:$A$60=$B35)*('利用者マスタ'!$B$4:$B$60&lt;&gt;""))=0,"",IF(SUMIFS($AA$5:$AA$404,$B$5:$B$404,$B35,$G$5:$G$404,"&gt;="&amp;DATE(YEAR($G35),MONTH($G35),1),$G$5:$G$404,"&lt;="&amp;EOMONTH($G35,0))&gt;SUMIFS('利用者マスタ'!$B$4:$B$60,'利用者マスタ'!$A$4:$A$60,$B35),"⚠支給量超過","")))</f>
        <v/>
      </c>
      <c r="AA35" s="8">
        <f>IF(OR($G35="",$J35="",$Q35="キャンセル"),0,IF(IFERROR(INDEX('M_区分'!$B$4:$B$20,MATCH($C35,'M_区分'!$A$4:$A$20,0)),"○")="○",$J35-$G35+1,0))</f>
        <v/>
      </c>
      <c r="AB35" s="8">
        <f>IF($E35&lt;&gt;"",$E35,$AB34)</f>
        <v/>
      </c>
      <c r="AC35" s="8">
        <f>IF(OR($G35="",$J35=""),"",IF(AND($G35&lt;=EOMONTH('02_カレンダー'!$B$4,0),$J35&gt;='02_カレンダー'!$B$4),$G35*10000+ROW(),""))</f>
        <v/>
      </c>
      <c r="AD35" s="8">
        <f>IF($H35="","",IF(ISNUMBER($H35),IF(AND($H35=INT($H35),$H35&gt;=0,$H35&lt;=24),TEXT(INT($H35),"00")&amp;":00",TEXT($H35,"hh:mm")),$H35))</f>
        <v/>
      </c>
      <c r="AE35" s="8">
        <f>IF($K35="","",IF(ISNUMBER($K35),IF(AND($K35=INT($K35),$K35&gt;=0,$K35&lt;=24),TEXT(INT($K35),"00")&amp;":00",TEXT($K35,"hh:mm")),$K35))</f>
        <v/>
      </c>
      <c r="AF35" s="8">
        <f>IF($G35="",0,$G35)</f>
        <v/>
      </c>
      <c r="AG35" s="8">
        <f>IF($J35="",0,$J35)</f>
        <v/>
      </c>
    </row>
    <row r="36">
      <c r="A36" s="8">
        <f>IF($G36="","","SS-"&amp;TEXT(ROW()-4,"0000"))</f>
        <v/>
      </c>
      <c r="B36" s="9" t="n"/>
      <c r="C36" s="9" t="n"/>
      <c r="D36" s="9" t="n"/>
      <c r="E36" s="10" t="n"/>
      <c r="F36" s="11" t="n"/>
      <c r="G36" s="12">
        <f>IF($F36="","",IF($F36&gt;31,$F36,IF($AB36="","",DATE(YEAR($AB36),MONTH($AB36),$F36))))</f>
        <v/>
      </c>
      <c r="H36" s="9" t="n"/>
      <c r="I36" s="11" t="n"/>
      <c r="J36" s="12">
        <f>IF($I36="","",IF($I36&gt;31,$I36,IF($G36="","",IF(DATE(YEAR($G36),MONTH($G36),$I36)&gt;=$G36,DATE(YEAR($G36),MONTH($G36),$I36),DATE(YEAR($G36),MONTH($G36)+1,$I36)))))</f>
        <v/>
      </c>
      <c r="K36" s="9" t="n"/>
      <c r="L36" s="13" t="n"/>
      <c r="M36" s="13" t="n"/>
      <c r="N36" s="13" t="n"/>
      <c r="O36" s="8">
        <f>IF(OR($G36="",$J36=""),"",$J36-$G36+1)</f>
        <v/>
      </c>
      <c r="P36" s="8">
        <f>IF(OR($G36="",$J36=""),"",$J36-$G36)</f>
        <v/>
      </c>
      <c r="Q36" s="9" t="n"/>
      <c r="R36" s="9" t="n"/>
      <c r="S36" s="9" t="n"/>
      <c r="T36" s="9" t="n"/>
      <c r="U36" s="9" t="n"/>
      <c r="V36" s="9" t="n"/>
      <c r="W36" s="14" t="n"/>
      <c r="X36" s="9" t="n"/>
      <c r="Y36" s="8">
        <f>IF($G36="","",IF($D36="","⚠部屋が未選択",IF(COUNTIF('M_部屋'!$A$4:$A$20,$D36)=0,"⚠部屋が未登録",IF(OR($J36="",$Q36="キャンセル"),"",IF(SUMPRODUCT(($D$5:$D$404=$D36)*($G$5:$G$404&lt;&gt;"")*($J$5:$J$404&lt;&gt;"")*($Q$5:$Q$404&lt;&gt;"キャンセル")*($G$5:$G$404&lt;$J36)*($J$5:$J$404&gt;$G36))&gt;1,"⚠重複","")))))</f>
        <v/>
      </c>
      <c r="Z36" s="8">
        <f>IF(OR($B36="",$G36=""),"",IF(SUMPRODUCT(('利用者マスタ'!$A$4:$A$60=$B36)*('利用者マスタ'!$B$4:$B$60&lt;&gt;""))=0,"",IF(SUMIFS($AA$5:$AA$404,$B$5:$B$404,$B36,$G$5:$G$404,"&gt;="&amp;DATE(YEAR($G36),MONTH($G36),1),$G$5:$G$404,"&lt;="&amp;EOMONTH($G36,0))&gt;SUMIFS('利用者マスタ'!$B$4:$B$60,'利用者マスタ'!$A$4:$A$60,$B36),"⚠支給量超過","")))</f>
        <v/>
      </c>
      <c r="AA36" s="8">
        <f>IF(OR($G36="",$J36="",$Q36="キャンセル"),0,IF(IFERROR(INDEX('M_区分'!$B$4:$B$20,MATCH($C36,'M_区分'!$A$4:$A$20,0)),"○")="○",$J36-$G36+1,0))</f>
        <v/>
      </c>
      <c r="AB36" s="8">
        <f>IF($E36&lt;&gt;"",$E36,$AB35)</f>
        <v/>
      </c>
      <c r="AC36" s="8">
        <f>IF(OR($G36="",$J36=""),"",IF(AND($G36&lt;=EOMONTH('02_カレンダー'!$B$4,0),$J36&gt;='02_カレンダー'!$B$4),$G36*10000+ROW(),""))</f>
        <v/>
      </c>
      <c r="AD36" s="8">
        <f>IF($H36="","",IF(ISNUMBER($H36),IF(AND($H36=INT($H36),$H36&gt;=0,$H36&lt;=24),TEXT(INT($H36),"00")&amp;":00",TEXT($H36,"hh:mm")),$H36))</f>
        <v/>
      </c>
      <c r="AE36" s="8">
        <f>IF($K36="","",IF(ISNUMBER($K36),IF(AND($K36=INT($K36),$K36&gt;=0,$K36&lt;=24),TEXT(INT($K36),"00")&amp;":00",TEXT($K36,"hh:mm")),$K36))</f>
        <v/>
      </c>
      <c r="AF36" s="8">
        <f>IF($G36="",0,$G36)</f>
        <v/>
      </c>
      <c r="AG36" s="8">
        <f>IF($J36="",0,$J36)</f>
        <v/>
      </c>
    </row>
    <row r="37">
      <c r="A37" s="8">
        <f>IF($G37="","","SS-"&amp;TEXT(ROW()-4,"0000"))</f>
        <v/>
      </c>
      <c r="B37" s="9" t="n"/>
      <c r="C37" s="9" t="n"/>
      <c r="D37" s="9" t="n"/>
      <c r="E37" s="10" t="n"/>
      <c r="F37" s="11" t="n"/>
      <c r="G37" s="12">
        <f>IF($F37="","",IF($F37&gt;31,$F37,IF($AB37="","",DATE(YEAR($AB37),MONTH($AB37),$F37))))</f>
        <v/>
      </c>
      <c r="H37" s="9" t="n"/>
      <c r="I37" s="11" t="n"/>
      <c r="J37" s="12">
        <f>IF($I37="","",IF($I37&gt;31,$I37,IF($G37="","",IF(DATE(YEAR($G37),MONTH($G37),$I37)&gt;=$G37,DATE(YEAR($G37),MONTH($G37),$I37),DATE(YEAR($G37),MONTH($G37)+1,$I37)))))</f>
        <v/>
      </c>
      <c r="K37" s="9" t="n"/>
      <c r="L37" s="13" t="n"/>
      <c r="M37" s="13" t="n"/>
      <c r="N37" s="13" t="n"/>
      <c r="O37" s="8">
        <f>IF(OR($G37="",$J37=""),"",$J37-$G37+1)</f>
        <v/>
      </c>
      <c r="P37" s="8">
        <f>IF(OR($G37="",$J37=""),"",$J37-$G37)</f>
        <v/>
      </c>
      <c r="Q37" s="9" t="n"/>
      <c r="R37" s="9" t="n"/>
      <c r="S37" s="9" t="n"/>
      <c r="T37" s="9" t="n"/>
      <c r="U37" s="9" t="n"/>
      <c r="V37" s="9" t="n"/>
      <c r="W37" s="14" t="n"/>
      <c r="X37" s="9" t="n"/>
      <c r="Y37" s="8">
        <f>IF($G37="","",IF($D37="","⚠部屋が未選択",IF(COUNTIF('M_部屋'!$A$4:$A$20,$D37)=0,"⚠部屋が未登録",IF(OR($J37="",$Q37="キャンセル"),"",IF(SUMPRODUCT(($D$5:$D$404=$D37)*($G$5:$G$404&lt;&gt;"")*($J$5:$J$404&lt;&gt;"")*($Q$5:$Q$404&lt;&gt;"キャンセル")*($G$5:$G$404&lt;$J37)*($J$5:$J$404&gt;$G37))&gt;1,"⚠重複","")))))</f>
        <v/>
      </c>
      <c r="Z37" s="8">
        <f>IF(OR($B37="",$G37=""),"",IF(SUMPRODUCT(('利用者マスタ'!$A$4:$A$60=$B37)*('利用者マスタ'!$B$4:$B$60&lt;&gt;""))=0,"",IF(SUMIFS($AA$5:$AA$404,$B$5:$B$404,$B37,$G$5:$G$404,"&gt;="&amp;DATE(YEAR($G37),MONTH($G37),1),$G$5:$G$404,"&lt;="&amp;EOMONTH($G37,0))&gt;SUMIFS('利用者マスタ'!$B$4:$B$60,'利用者マスタ'!$A$4:$A$60,$B37),"⚠支給量超過","")))</f>
        <v/>
      </c>
      <c r="AA37" s="8">
        <f>IF(OR($G37="",$J37="",$Q37="キャンセル"),0,IF(IFERROR(INDEX('M_区分'!$B$4:$B$20,MATCH($C37,'M_区分'!$A$4:$A$20,0)),"○")="○",$J37-$G37+1,0))</f>
        <v/>
      </c>
      <c r="AB37" s="8">
        <f>IF($E37&lt;&gt;"",$E37,$AB36)</f>
        <v/>
      </c>
      <c r="AC37" s="8">
        <f>IF(OR($G37="",$J37=""),"",IF(AND($G37&lt;=EOMONTH('02_カレンダー'!$B$4,0),$J37&gt;='02_カレンダー'!$B$4),$G37*10000+ROW(),""))</f>
        <v/>
      </c>
      <c r="AD37" s="8">
        <f>IF($H37="","",IF(ISNUMBER($H37),IF(AND($H37=INT($H37),$H37&gt;=0,$H37&lt;=24),TEXT(INT($H37),"00")&amp;":00",TEXT($H37,"hh:mm")),$H37))</f>
        <v/>
      </c>
      <c r="AE37" s="8">
        <f>IF($K37="","",IF(ISNUMBER($K37),IF(AND($K37=INT($K37),$K37&gt;=0,$K37&lt;=24),TEXT(INT($K37),"00")&amp;":00",TEXT($K37,"hh:mm")),$K37))</f>
        <v/>
      </c>
      <c r="AF37" s="8">
        <f>IF($G37="",0,$G37)</f>
        <v/>
      </c>
      <c r="AG37" s="8">
        <f>IF($J37="",0,$J37)</f>
        <v/>
      </c>
    </row>
    <row r="38">
      <c r="A38" s="8">
        <f>IF($G38="","","SS-"&amp;TEXT(ROW()-4,"0000"))</f>
        <v/>
      </c>
      <c r="B38" s="9" t="n"/>
      <c r="C38" s="9" t="n"/>
      <c r="D38" s="9" t="n"/>
      <c r="E38" s="10" t="n"/>
      <c r="F38" s="11" t="n"/>
      <c r="G38" s="12">
        <f>IF($F38="","",IF($F38&gt;31,$F38,IF($AB38="","",DATE(YEAR($AB38),MONTH($AB38),$F38))))</f>
        <v/>
      </c>
      <c r="H38" s="9" t="n"/>
      <c r="I38" s="11" t="n"/>
      <c r="J38" s="12">
        <f>IF($I38="","",IF($I38&gt;31,$I38,IF($G38="","",IF(DATE(YEAR($G38),MONTH($G38),$I38)&gt;=$G38,DATE(YEAR($G38),MONTH($G38),$I38),DATE(YEAR($G38),MONTH($G38)+1,$I38)))))</f>
        <v/>
      </c>
      <c r="K38" s="9" t="n"/>
      <c r="L38" s="13" t="n"/>
      <c r="M38" s="13" t="n"/>
      <c r="N38" s="13" t="n"/>
      <c r="O38" s="8">
        <f>IF(OR($G38="",$J38=""),"",$J38-$G38+1)</f>
        <v/>
      </c>
      <c r="P38" s="8">
        <f>IF(OR($G38="",$J38=""),"",$J38-$G38)</f>
        <v/>
      </c>
      <c r="Q38" s="9" t="n"/>
      <c r="R38" s="9" t="n"/>
      <c r="S38" s="9" t="n"/>
      <c r="T38" s="9" t="n"/>
      <c r="U38" s="9" t="n"/>
      <c r="V38" s="9" t="n"/>
      <c r="W38" s="14" t="n"/>
      <c r="X38" s="9" t="n"/>
      <c r="Y38" s="8">
        <f>IF($G38="","",IF($D38="","⚠部屋が未選択",IF(COUNTIF('M_部屋'!$A$4:$A$20,$D38)=0,"⚠部屋が未登録",IF(OR($J38="",$Q38="キャンセル"),"",IF(SUMPRODUCT(($D$5:$D$404=$D38)*($G$5:$G$404&lt;&gt;"")*($J$5:$J$404&lt;&gt;"")*($Q$5:$Q$404&lt;&gt;"キャンセル")*($G$5:$G$404&lt;$J38)*($J$5:$J$404&gt;$G38))&gt;1,"⚠重複","")))))</f>
        <v/>
      </c>
      <c r="Z38" s="8">
        <f>IF(OR($B38="",$G38=""),"",IF(SUMPRODUCT(('利用者マスタ'!$A$4:$A$60=$B38)*('利用者マスタ'!$B$4:$B$60&lt;&gt;""))=0,"",IF(SUMIFS($AA$5:$AA$404,$B$5:$B$404,$B38,$G$5:$G$404,"&gt;="&amp;DATE(YEAR($G38),MONTH($G38),1),$G$5:$G$404,"&lt;="&amp;EOMONTH($G38,0))&gt;SUMIFS('利用者マスタ'!$B$4:$B$60,'利用者マスタ'!$A$4:$A$60,$B38),"⚠支給量超過","")))</f>
        <v/>
      </c>
      <c r="AA38" s="8">
        <f>IF(OR($G38="",$J38="",$Q38="キャンセル"),0,IF(IFERROR(INDEX('M_区分'!$B$4:$B$20,MATCH($C38,'M_区分'!$A$4:$A$20,0)),"○")="○",$J38-$G38+1,0))</f>
        <v/>
      </c>
      <c r="AB38" s="8">
        <f>IF($E38&lt;&gt;"",$E38,$AB37)</f>
        <v/>
      </c>
      <c r="AC38" s="8">
        <f>IF(OR($G38="",$J38=""),"",IF(AND($G38&lt;=EOMONTH('02_カレンダー'!$B$4,0),$J38&gt;='02_カレンダー'!$B$4),$G38*10000+ROW(),""))</f>
        <v/>
      </c>
      <c r="AD38" s="8">
        <f>IF($H38="","",IF(ISNUMBER($H38),IF(AND($H38=INT($H38),$H38&gt;=0,$H38&lt;=24),TEXT(INT($H38),"00")&amp;":00",TEXT($H38,"hh:mm")),$H38))</f>
        <v/>
      </c>
      <c r="AE38" s="8">
        <f>IF($K38="","",IF(ISNUMBER($K38),IF(AND($K38=INT($K38),$K38&gt;=0,$K38&lt;=24),TEXT(INT($K38),"00")&amp;":00",TEXT($K38,"hh:mm")),$K38))</f>
        <v/>
      </c>
      <c r="AF38" s="8">
        <f>IF($G38="",0,$G38)</f>
        <v/>
      </c>
      <c r="AG38" s="8">
        <f>IF($J38="",0,$J38)</f>
        <v/>
      </c>
    </row>
    <row r="39">
      <c r="A39" s="8">
        <f>IF($G39="","","SS-"&amp;TEXT(ROW()-4,"0000"))</f>
        <v/>
      </c>
      <c r="B39" s="9" t="n"/>
      <c r="C39" s="9" t="n"/>
      <c r="D39" s="9" t="n"/>
      <c r="E39" s="10" t="n"/>
      <c r="F39" s="11" t="n"/>
      <c r="G39" s="12">
        <f>IF($F39="","",IF($F39&gt;31,$F39,IF($AB39="","",DATE(YEAR($AB39),MONTH($AB39),$F39))))</f>
        <v/>
      </c>
      <c r="H39" s="9" t="n"/>
      <c r="I39" s="11" t="n"/>
      <c r="J39" s="12">
        <f>IF($I39="","",IF($I39&gt;31,$I39,IF($G39="","",IF(DATE(YEAR($G39),MONTH($G39),$I39)&gt;=$G39,DATE(YEAR($G39),MONTH($G39),$I39),DATE(YEAR($G39),MONTH($G39)+1,$I39)))))</f>
        <v/>
      </c>
      <c r="K39" s="9" t="n"/>
      <c r="L39" s="13" t="n"/>
      <c r="M39" s="13" t="n"/>
      <c r="N39" s="13" t="n"/>
      <c r="O39" s="8">
        <f>IF(OR($G39="",$J39=""),"",$J39-$G39+1)</f>
        <v/>
      </c>
      <c r="P39" s="8">
        <f>IF(OR($G39="",$J39=""),"",$J39-$G39)</f>
        <v/>
      </c>
      <c r="Q39" s="9" t="n"/>
      <c r="R39" s="9" t="n"/>
      <c r="S39" s="9" t="n"/>
      <c r="T39" s="9" t="n"/>
      <c r="U39" s="9" t="n"/>
      <c r="V39" s="9" t="n"/>
      <c r="W39" s="14" t="n"/>
      <c r="X39" s="9" t="n"/>
      <c r="Y39" s="8">
        <f>IF($G39="","",IF($D39="","⚠部屋が未選択",IF(COUNTIF('M_部屋'!$A$4:$A$20,$D39)=0,"⚠部屋が未登録",IF(OR($J39="",$Q39="キャンセル"),"",IF(SUMPRODUCT(($D$5:$D$404=$D39)*($G$5:$G$404&lt;&gt;"")*($J$5:$J$404&lt;&gt;"")*($Q$5:$Q$404&lt;&gt;"キャンセル")*($G$5:$G$404&lt;$J39)*($J$5:$J$404&gt;$G39))&gt;1,"⚠重複","")))))</f>
        <v/>
      </c>
      <c r="Z39" s="8">
        <f>IF(OR($B39="",$G39=""),"",IF(SUMPRODUCT(('利用者マスタ'!$A$4:$A$60=$B39)*('利用者マスタ'!$B$4:$B$60&lt;&gt;""))=0,"",IF(SUMIFS($AA$5:$AA$404,$B$5:$B$404,$B39,$G$5:$G$404,"&gt;="&amp;DATE(YEAR($G39),MONTH($G39),1),$G$5:$G$404,"&lt;="&amp;EOMONTH($G39,0))&gt;SUMIFS('利用者マスタ'!$B$4:$B$60,'利用者マスタ'!$A$4:$A$60,$B39),"⚠支給量超過","")))</f>
        <v/>
      </c>
      <c r="AA39" s="8">
        <f>IF(OR($G39="",$J39="",$Q39="キャンセル"),0,IF(IFERROR(INDEX('M_区分'!$B$4:$B$20,MATCH($C39,'M_区分'!$A$4:$A$20,0)),"○")="○",$J39-$G39+1,0))</f>
        <v/>
      </c>
      <c r="AB39" s="8">
        <f>IF($E39&lt;&gt;"",$E39,$AB38)</f>
        <v/>
      </c>
      <c r="AC39" s="8">
        <f>IF(OR($G39="",$J39=""),"",IF(AND($G39&lt;=EOMONTH('02_カレンダー'!$B$4,0),$J39&gt;='02_カレンダー'!$B$4),$G39*10000+ROW(),""))</f>
        <v/>
      </c>
      <c r="AD39" s="8">
        <f>IF($H39="","",IF(ISNUMBER($H39),IF(AND($H39=INT($H39),$H39&gt;=0,$H39&lt;=24),TEXT(INT($H39),"00")&amp;":00",TEXT($H39,"hh:mm")),$H39))</f>
        <v/>
      </c>
      <c r="AE39" s="8">
        <f>IF($K39="","",IF(ISNUMBER($K39),IF(AND($K39=INT($K39),$K39&gt;=0,$K39&lt;=24),TEXT(INT($K39),"00")&amp;":00",TEXT($K39,"hh:mm")),$K39))</f>
        <v/>
      </c>
      <c r="AF39" s="8">
        <f>IF($G39="",0,$G39)</f>
        <v/>
      </c>
      <c r="AG39" s="8">
        <f>IF($J39="",0,$J39)</f>
        <v/>
      </c>
    </row>
    <row r="40">
      <c r="A40" s="8">
        <f>IF($G40="","","SS-"&amp;TEXT(ROW()-4,"0000"))</f>
        <v/>
      </c>
      <c r="B40" s="9" t="n"/>
      <c r="C40" s="9" t="n"/>
      <c r="D40" s="9" t="n"/>
      <c r="E40" s="10" t="n"/>
      <c r="F40" s="11" t="n"/>
      <c r="G40" s="12">
        <f>IF($F40="","",IF($F40&gt;31,$F40,IF($AB40="","",DATE(YEAR($AB40),MONTH($AB40),$F40))))</f>
        <v/>
      </c>
      <c r="H40" s="9" t="n"/>
      <c r="I40" s="11" t="n"/>
      <c r="J40" s="12">
        <f>IF($I40="","",IF($I40&gt;31,$I40,IF($G40="","",IF(DATE(YEAR($G40),MONTH($G40),$I40)&gt;=$G40,DATE(YEAR($G40),MONTH($G40),$I40),DATE(YEAR($G40),MONTH($G40)+1,$I40)))))</f>
        <v/>
      </c>
      <c r="K40" s="9" t="n"/>
      <c r="L40" s="13" t="n"/>
      <c r="M40" s="13" t="n"/>
      <c r="N40" s="13" t="n"/>
      <c r="O40" s="8">
        <f>IF(OR($G40="",$J40=""),"",$J40-$G40+1)</f>
        <v/>
      </c>
      <c r="P40" s="8">
        <f>IF(OR($G40="",$J40=""),"",$J40-$G40)</f>
        <v/>
      </c>
      <c r="Q40" s="9" t="n"/>
      <c r="R40" s="9" t="n"/>
      <c r="S40" s="9" t="n"/>
      <c r="T40" s="9" t="n"/>
      <c r="U40" s="9" t="n"/>
      <c r="V40" s="9" t="n"/>
      <c r="W40" s="14" t="n"/>
      <c r="X40" s="9" t="n"/>
      <c r="Y40" s="8">
        <f>IF($G40="","",IF($D40="","⚠部屋が未選択",IF(COUNTIF('M_部屋'!$A$4:$A$20,$D40)=0,"⚠部屋が未登録",IF(OR($J40="",$Q40="キャンセル"),"",IF(SUMPRODUCT(($D$5:$D$404=$D40)*($G$5:$G$404&lt;&gt;"")*($J$5:$J$404&lt;&gt;"")*($Q$5:$Q$404&lt;&gt;"キャンセル")*($G$5:$G$404&lt;$J40)*($J$5:$J$404&gt;$G40))&gt;1,"⚠重複","")))))</f>
        <v/>
      </c>
      <c r="Z40" s="8">
        <f>IF(OR($B40="",$G40=""),"",IF(SUMPRODUCT(('利用者マスタ'!$A$4:$A$60=$B40)*('利用者マスタ'!$B$4:$B$60&lt;&gt;""))=0,"",IF(SUMIFS($AA$5:$AA$404,$B$5:$B$404,$B40,$G$5:$G$404,"&gt;="&amp;DATE(YEAR($G40),MONTH($G40),1),$G$5:$G$404,"&lt;="&amp;EOMONTH($G40,0))&gt;SUMIFS('利用者マスタ'!$B$4:$B$60,'利用者マスタ'!$A$4:$A$60,$B40),"⚠支給量超過","")))</f>
        <v/>
      </c>
      <c r="AA40" s="8">
        <f>IF(OR($G40="",$J40="",$Q40="キャンセル"),0,IF(IFERROR(INDEX('M_区分'!$B$4:$B$20,MATCH($C40,'M_区分'!$A$4:$A$20,0)),"○")="○",$J40-$G40+1,0))</f>
        <v/>
      </c>
      <c r="AB40" s="8">
        <f>IF($E40&lt;&gt;"",$E40,$AB39)</f>
        <v/>
      </c>
      <c r="AC40" s="8">
        <f>IF(OR($G40="",$J40=""),"",IF(AND($G40&lt;=EOMONTH('02_カレンダー'!$B$4,0),$J40&gt;='02_カレンダー'!$B$4),$G40*10000+ROW(),""))</f>
        <v/>
      </c>
      <c r="AD40" s="8">
        <f>IF($H40="","",IF(ISNUMBER($H40),IF(AND($H40=INT($H40),$H40&gt;=0,$H40&lt;=24),TEXT(INT($H40),"00")&amp;":00",TEXT($H40,"hh:mm")),$H40))</f>
        <v/>
      </c>
      <c r="AE40" s="8">
        <f>IF($K40="","",IF(ISNUMBER($K40),IF(AND($K40=INT($K40),$K40&gt;=0,$K40&lt;=24),TEXT(INT($K40),"00")&amp;":00",TEXT($K40,"hh:mm")),$K40))</f>
        <v/>
      </c>
      <c r="AF40" s="8">
        <f>IF($G40="",0,$G40)</f>
        <v/>
      </c>
      <c r="AG40" s="8">
        <f>IF($J40="",0,$J40)</f>
        <v/>
      </c>
    </row>
    <row r="41">
      <c r="A41" s="8">
        <f>IF($G41="","","SS-"&amp;TEXT(ROW()-4,"0000"))</f>
        <v/>
      </c>
      <c r="B41" s="9" t="n"/>
      <c r="C41" s="9" t="n"/>
      <c r="D41" s="9" t="n"/>
      <c r="E41" s="10" t="n"/>
      <c r="F41" s="11" t="n"/>
      <c r="G41" s="12">
        <f>IF($F41="","",IF($F41&gt;31,$F41,IF($AB41="","",DATE(YEAR($AB41),MONTH($AB41),$F41))))</f>
        <v/>
      </c>
      <c r="H41" s="9" t="n"/>
      <c r="I41" s="11" t="n"/>
      <c r="J41" s="12">
        <f>IF($I41="","",IF($I41&gt;31,$I41,IF($G41="","",IF(DATE(YEAR($G41),MONTH($G41),$I41)&gt;=$G41,DATE(YEAR($G41),MONTH($G41),$I41),DATE(YEAR($G41),MONTH($G41)+1,$I41)))))</f>
        <v/>
      </c>
      <c r="K41" s="9" t="n"/>
      <c r="L41" s="13" t="n"/>
      <c r="M41" s="13" t="n"/>
      <c r="N41" s="13" t="n"/>
      <c r="O41" s="8">
        <f>IF(OR($G41="",$J41=""),"",$J41-$G41+1)</f>
        <v/>
      </c>
      <c r="P41" s="8">
        <f>IF(OR($G41="",$J41=""),"",$J41-$G41)</f>
        <v/>
      </c>
      <c r="Q41" s="9" t="n"/>
      <c r="R41" s="9" t="n"/>
      <c r="S41" s="9" t="n"/>
      <c r="T41" s="9" t="n"/>
      <c r="U41" s="9" t="n"/>
      <c r="V41" s="9" t="n"/>
      <c r="W41" s="14" t="n"/>
      <c r="X41" s="9" t="n"/>
      <c r="Y41" s="8">
        <f>IF($G41="","",IF($D41="","⚠部屋が未選択",IF(COUNTIF('M_部屋'!$A$4:$A$20,$D41)=0,"⚠部屋が未登録",IF(OR($J41="",$Q41="キャンセル"),"",IF(SUMPRODUCT(($D$5:$D$404=$D41)*($G$5:$G$404&lt;&gt;"")*($J$5:$J$404&lt;&gt;"")*($Q$5:$Q$404&lt;&gt;"キャンセル")*($G$5:$G$404&lt;$J41)*($J$5:$J$404&gt;$G41))&gt;1,"⚠重複","")))))</f>
        <v/>
      </c>
      <c r="Z41" s="8">
        <f>IF(OR($B41="",$G41=""),"",IF(SUMPRODUCT(('利用者マスタ'!$A$4:$A$60=$B41)*('利用者マスタ'!$B$4:$B$60&lt;&gt;""))=0,"",IF(SUMIFS($AA$5:$AA$404,$B$5:$B$404,$B41,$G$5:$G$404,"&gt;="&amp;DATE(YEAR($G41),MONTH($G41),1),$G$5:$G$404,"&lt;="&amp;EOMONTH($G41,0))&gt;SUMIFS('利用者マスタ'!$B$4:$B$60,'利用者マスタ'!$A$4:$A$60,$B41),"⚠支給量超過","")))</f>
        <v/>
      </c>
      <c r="AA41" s="8">
        <f>IF(OR($G41="",$J41="",$Q41="キャンセル"),0,IF(IFERROR(INDEX('M_区分'!$B$4:$B$20,MATCH($C41,'M_区分'!$A$4:$A$20,0)),"○")="○",$J41-$G41+1,0))</f>
        <v/>
      </c>
      <c r="AB41" s="8">
        <f>IF($E41&lt;&gt;"",$E41,$AB40)</f>
        <v/>
      </c>
      <c r="AC41" s="8">
        <f>IF(OR($G41="",$J41=""),"",IF(AND($G41&lt;=EOMONTH('02_カレンダー'!$B$4,0),$J41&gt;='02_カレンダー'!$B$4),$G41*10000+ROW(),""))</f>
        <v/>
      </c>
      <c r="AD41" s="8">
        <f>IF($H41="","",IF(ISNUMBER($H41),IF(AND($H41=INT($H41),$H41&gt;=0,$H41&lt;=24),TEXT(INT($H41),"00")&amp;":00",TEXT($H41,"hh:mm")),$H41))</f>
        <v/>
      </c>
      <c r="AE41" s="8">
        <f>IF($K41="","",IF(ISNUMBER($K41),IF(AND($K41=INT($K41),$K41&gt;=0,$K41&lt;=24),TEXT(INT($K41),"00")&amp;":00",TEXT($K41,"hh:mm")),$K41))</f>
        <v/>
      </c>
      <c r="AF41" s="8">
        <f>IF($G41="",0,$G41)</f>
        <v/>
      </c>
      <c r="AG41" s="8">
        <f>IF($J41="",0,$J41)</f>
        <v/>
      </c>
    </row>
    <row r="42">
      <c r="A42" s="8">
        <f>IF($G42="","","SS-"&amp;TEXT(ROW()-4,"0000"))</f>
        <v/>
      </c>
      <c r="B42" s="9" t="n"/>
      <c r="C42" s="9" t="n"/>
      <c r="D42" s="9" t="n"/>
      <c r="E42" s="10" t="n"/>
      <c r="F42" s="11" t="n"/>
      <c r="G42" s="12">
        <f>IF($F42="","",IF($F42&gt;31,$F42,IF($AB42="","",DATE(YEAR($AB42),MONTH($AB42),$F42))))</f>
        <v/>
      </c>
      <c r="H42" s="9" t="n"/>
      <c r="I42" s="11" t="n"/>
      <c r="J42" s="12">
        <f>IF($I42="","",IF($I42&gt;31,$I42,IF($G42="","",IF(DATE(YEAR($G42),MONTH($G42),$I42)&gt;=$G42,DATE(YEAR($G42),MONTH($G42),$I42),DATE(YEAR($G42),MONTH($G42)+1,$I42)))))</f>
        <v/>
      </c>
      <c r="K42" s="9" t="n"/>
      <c r="L42" s="13" t="n"/>
      <c r="M42" s="13" t="n"/>
      <c r="N42" s="13" t="n"/>
      <c r="O42" s="8">
        <f>IF(OR($G42="",$J42=""),"",$J42-$G42+1)</f>
        <v/>
      </c>
      <c r="P42" s="8">
        <f>IF(OR($G42="",$J42=""),"",$J42-$G42)</f>
        <v/>
      </c>
      <c r="Q42" s="9" t="n"/>
      <c r="R42" s="9" t="n"/>
      <c r="S42" s="9" t="n"/>
      <c r="T42" s="9" t="n"/>
      <c r="U42" s="9" t="n"/>
      <c r="V42" s="9" t="n"/>
      <c r="W42" s="14" t="n"/>
      <c r="X42" s="9" t="n"/>
      <c r="Y42" s="8">
        <f>IF($G42="","",IF($D42="","⚠部屋が未選択",IF(COUNTIF('M_部屋'!$A$4:$A$20,$D42)=0,"⚠部屋が未登録",IF(OR($J42="",$Q42="キャンセル"),"",IF(SUMPRODUCT(($D$5:$D$404=$D42)*($G$5:$G$404&lt;&gt;"")*($J$5:$J$404&lt;&gt;"")*($Q$5:$Q$404&lt;&gt;"キャンセル")*($G$5:$G$404&lt;$J42)*($J$5:$J$404&gt;$G42))&gt;1,"⚠重複","")))))</f>
        <v/>
      </c>
      <c r="Z42" s="8">
        <f>IF(OR($B42="",$G42=""),"",IF(SUMPRODUCT(('利用者マスタ'!$A$4:$A$60=$B42)*('利用者マスタ'!$B$4:$B$60&lt;&gt;""))=0,"",IF(SUMIFS($AA$5:$AA$404,$B$5:$B$404,$B42,$G$5:$G$404,"&gt;="&amp;DATE(YEAR($G42),MONTH($G42),1),$G$5:$G$404,"&lt;="&amp;EOMONTH($G42,0))&gt;SUMIFS('利用者マスタ'!$B$4:$B$60,'利用者マスタ'!$A$4:$A$60,$B42),"⚠支給量超過","")))</f>
        <v/>
      </c>
      <c r="AA42" s="8">
        <f>IF(OR($G42="",$J42="",$Q42="キャンセル"),0,IF(IFERROR(INDEX('M_区分'!$B$4:$B$20,MATCH($C42,'M_区分'!$A$4:$A$20,0)),"○")="○",$J42-$G42+1,0))</f>
        <v/>
      </c>
      <c r="AB42" s="8">
        <f>IF($E42&lt;&gt;"",$E42,$AB41)</f>
        <v/>
      </c>
      <c r="AC42" s="8">
        <f>IF(OR($G42="",$J42=""),"",IF(AND($G42&lt;=EOMONTH('02_カレンダー'!$B$4,0),$J42&gt;='02_カレンダー'!$B$4),$G42*10000+ROW(),""))</f>
        <v/>
      </c>
      <c r="AD42" s="8">
        <f>IF($H42="","",IF(ISNUMBER($H42),IF(AND($H42=INT($H42),$H42&gt;=0,$H42&lt;=24),TEXT(INT($H42),"00")&amp;":00",TEXT($H42,"hh:mm")),$H42))</f>
        <v/>
      </c>
      <c r="AE42" s="8">
        <f>IF($K42="","",IF(ISNUMBER($K42),IF(AND($K42=INT($K42),$K42&gt;=0,$K42&lt;=24),TEXT(INT($K42),"00")&amp;":00",TEXT($K42,"hh:mm")),$K42))</f>
        <v/>
      </c>
      <c r="AF42" s="8">
        <f>IF($G42="",0,$G42)</f>
        <v/>
      </c>
      <c r="AG42" s="8">
        <f>IF($J42="",0,$J42)</f>
        <v/>
      </c>
    </row>
    <row r="43">
      <c r="A43" s="8">
        <f>IF($G43="","","SS-"&amp;TEXT(ROW()-4,"0000"))</f>
        <v/>
      </c>
      <c r="B43" s="9" t="n"/>
      <c r="C43" s="9" t="n"/>
      <c r="D43" s="9" t="n"/>
      <c r="E43" s="10" t="n"/>
      <c r="F43" s="11" t="n"/>
      <c r="G43" s="12">
        <f>IF($F43="","",IF($F43&gt;31,$F43,IF($AB43="","",DATE(YEAR($AB43),MONTH($AB43),$F43))))</f>
        <v/>
      </c>
      <c r="H43" s="9" t="n"/>
      <c r="I43" s="11" t="n"/>
      <c r="J43" s="12">
        <f>IF($I43="","",IF($I43&gt;31,$I43,IF($G43="","",IF(DATE(YEAR($G43),MONTH($G43),$I43)&gt;=$G43,DATE(YEAR($G43),MONTH($G43),$I43),DATE(YEAR($G43),MONTH($G43)+1,$I43)))))</f>
        <v/>
      </c>
      <c r="K43" s="9" t="n"/>
      <c r="L43" s="13" t="n"/>
      <c r="M43" s="13" t="n"/>
      <c r="N43" s="13" t="n"/>
      <c r="O43" s="8">
        <f>IF(OR($G43="",$J43=""),"",$J43-$G43+1)</f>
        <v/>
      </c>
      <c r="P43" s="8">
        <f>IF(OR($G43="",$J43=""),"",$J43-$G43)</f>
        <v/>
      </c>
      <c r="Q43" s="9" t="n"/>
      <c r="R43" s="9" t="n"/>
      <c r="S43" s="9" t="n"/>
      <c r="T43" s="9" t="n"/>
      <c r="U43" s="9" t="n"/>
      <c r="V43" s="9" t="n"/>
      <c r="W43" s="14" t="n"/>
      <c r="X43" s="9" t="n"/>
      <c r="Y43" s="8">
        <f>IF($G43="","",IF($D43="","⚠部屋が未選択",IF(COUNTIF('M_部屋'!$A$4:$A$20,$D43)=0,"⚠部屋が未登録",IF(OR($J43="",$Q43="キャンセル"),"",IF(SUMPRODUCT(($D$5:$D$404=$D43)*($G$5:$G$404&lt;&gt;"")*($J$5:$J$404&lt;&gt;"")*($Q$5:$Q$404&lt;&gt;"キャンセル")*($G$5:$G$404&lt;$J43)*($J$5:$J$404&gt;$G43))&gt;1,"⚠重複","")))))</f>
        <v/>
      </c>
      <c r="Z43" s="8">
        <f>IF(OR($B43="",$G43=""),"",IF(SUMPRODUCT(('利用者マスタ'!$A$4:$A$60=$B43)*('利用者マスタ'!$B$4:$B$60&lt;&gt;""))=0,"",IF(SUMIFS($AA$5:$AA$404,$B$5:$B$404,$B43,$G$5:$G$404,"&gt;="&amp;DATE(YEAR($G43),MONTH($G43),1),$G$5:$G$404,"&lt;="&amp;EOMONTH($G43,0))&gt;SUMIFS('利用者マスタ'!$B$4:$B$60,'利用者マスタ'!$A$4:$A$60,$B43),"⚠支給量超過","")))</f>
        <v/>
      </c>
      <c r="AA43" s="8">
        <f>IF(OR($G43="",$J43="",$Q43="キャンセル"),0,IF(IFERROR(INDEX('M_区分'!$B$4:$B$20,MATCH($C43,'M_区分'!$A$4:$A$20,0)),"○")="○",$J43-$G43+1,0))</f>
        <v/>
      </c>
      <c r="AB43" s="8">
        <f>IF($E43&lt;&gt;"",$E43,$AB42)</f>
        <v/>
      </c>
      <c r="AC43" s="8">
        <f>IF(OR($G43="",$J43=""),"",IF(AND($G43&lt;=EOMONTH('02_カレンダー'!$B$4,0),$J43&gt;='02_カレンダー'!$B$4),$G43*10000+ROW(),""))</f>
        <v/>
      </c>
      <c r="AD43" s="8">
        <f>IF($H43="","",IF(ISNUMBER($H43),IF(AND($H43=INT($H43),$H43&gt;=0,$H43&lt;=24),TEXT(INT($H43),"00")&amp;":00",TEXT($H43,"hh:mm")),$H43))</f>
        <v/>
      </c>
      <c r="AE43" s="8">
        <f>IF($K43="","",IF(ISNUMBER($K43),IF(AND($K43=INT($K43),$K43&gt;=0,$K43&lt;=24),TEXT(INT($K43),"00")&amp;":00",TEXT($K43,"hh:mm")),$K43))</f>
        <v/>
      </c>
      <c r="AF43" s="8">
        <f>IF($G43="",0,$G43)</f>
        <v/>
      </c>
      <c r="AG43" s="8">
        <f>IF($J43="",0,$J43)</f>
        <v/>
      </c>
    </row>
    <row r="44">
      <c r="A44" s="8">
        <f>IF($G44="","","SS-"&amp;TEXT(ROW()-4,"0000"))</f>
        <v/>
      </c>
      <c r="B44" s="9" t="n"/>
      <c r="C44" s="9" t="n"/>
      <c r="D44" s="9" t="n"/>
      <c r="E44" s="10" t="n"/>
      <c r="F44" s="11" t="n"/>
      <c r="G44" s="12">
        <f>IF($F44="","",IF($F44&gt;31,$F44,IF($AB44="","",DATE(YEAR($AB44),MONTH($AB44),$F44))))</f>
        <v/>
      </c>
      <c r="H44" s="9" t="n"/>
      <c r="I44" s="11" t="n"/>
      <c r="J44" s="12">
        <f>IF($I44="","",IF($I44&gt;31,$I44,IF($G44="","",IF(DATE(YEAR($G44),MONTH($G44),$I44)&gt;=$G44,DATE(YEAR($G44),MONTH($G44),$I44),DATE(YEAR($G44),MONTH($G44)+1,$I44)))))</f>
        <v/>
      </c>
      <c r="K44" s="9" t="n"/>
      <c r="L44" s="13" t="n"/>
      <c r="M44" s="13" t="n"/>
      <c r="N44" s="13" t="n"/>
      <c r="O44" s="8">
        <f>IF(OR($G44="",$J44=""),"",$J44-$G44+1)</f>
        <v/>
      </c>
      <c r="P44" s="8">
        <f>IF(OR($G44="",$J44=""),"",$J44-$G44)</f>
        <v/>
      </c>
      <c r="Q44" s="9" t="n"/>
      <c r="R44" s="9" t="n"/>
      <c r="S44" s="9" t="n"/>
      <c r="T44" s="9" t="n"/>
      <c r="U44" s="9" t="n"/>
      <c r="V44" s="9" t="n"/>
      <c r="W44" s="14" t="n"/>
      <c r="X44" s="9" t="n"/>
      <c r="Y44" s="8">
        <f>IF($G44="","",IF($D44="","⚠部屋が未選択",IF(COUNTIF('M_部屋'!$A$4:$A$20,$D44)=0,"⚠部屋が未登録",IF(OR($J44="",$Q44="キャンセル"),"",IF(SUMPRODUCT(($D$5:$D$404=$D44)*($G$5:$G$404&lt;&gt;"")*($J$5:$J$404&lt;&gt;"")*($Q$5:$Q$404&lt;&gt;"キャンセル")*($G$5:$G$404&lt;$J44)*($J$5:$J$404&gt;$G44))&gt;1,"⚠重複","")))))</f>
        <v/>
      </c>
      <c r="Z44" s="8">
        <f>IF(OR($B44="",$G44=""),"",IF(SUMPRODUCT(('利用者マスタ'!$A$4:$A$60=$B44)*('利用者マスタ'!$B$4:$B$60&lt;&gt;""))=0,"",IF(SUMIFS($AA$5:$AA$404,$B$5:$B$404,$B44,$G$5:$G$404,"&gt;="&amp;DATE(YEAR($G44),MONTH($G44),1),$G$5:$G$404,"&lt;="&amp;EOMONTH($G44,0))&gt;SUMIFS('利用者マスタ'!$B$4:$B$60,'利用者マスタ'!$A$4:$A$60,$B44),"⚠支給量超過","")))</f>
        <v/>
      </c>
      <c r="AA44" s="8">
        <f>IF(OR($G44="",$J44="",$Q44="キャンセル"),0,IF(IFERROR(INDEX('M_区分'!$B$4:$B$20,MATCH($C44,'M_区分'!$A$4:$A$20,0)),"○")="○",$J44-$G44+1,0))</f>
        <v/>
      </c>
      <c r="AB44" s="8">
        <f>IF($E44&lt;&gt;"",$E44,$AB43)</f>
        <v/>
      </c>
      <c r="AC44" s="8">
        <f>IF(OR($G44="",$J44=""),"",IF(AND($G44&lt;=EOMONTH('02_カレンダー'!$B$4,0),$J44&gt;='02_カレンダー'!$B$4),$G44*10000+ROW(),""))</f>
        <v/>
      </c>
      <c r="AD44" s="8">
        <f>IF($H44="","",IF(ISNUMBER($H44),IF(AND($H44=INT($H44),$H44&gt;=0,$H44&lt;=24),TEXT(INT($H44),"00")&amp;":00",TEXT($H44,"hh:mm")),$H44))</f>
        <v/>
      </c>
      <c r="AE44" s="8">
        <f>IF($K44="","",IF(ISNUMBER($K44),IF(AND($K44=INT($K44),$K44&gt;=0,$K44&lt;=24),TEXT(INT($K44),"00")&amp;":00",TEXT($K44,"hh:mm")),$K44))</f>
        <v/>
      </c>
      <c r="AF44" s="8">
        <f>IF($G44="",0,$G44)</f>
        <v/>
      </c>
      <c r="AG44" s="8">
        <f>IF($J44="",0,$J44)</f>
        <v/>
      </c>
    </row>
    <row r="45">
      <c r="A45" s="8">
        <f>IF($G45="","","SS-"&amp;TEXT(ROW()-4,"0000"))</f>
        <v/>
      </c>
      <c r="B45" s="9" t="n"/>
      <c r="C45" s="9" t="n"/>
      <c r="D45" s="9" t="n"/>
      <c r="E45" s="10" t="n"/>
      <c r="F45" s="11" t="n"/>
      <c r="G45" s="12">
        <f>IF($F45="","",IF($F45&gt;31,$F45,IF($AB45="","",DATE(YEAR($AB45),MONTH($AB45),$F45))))</f>
        <v/>
      </c>
      <c r="H45" s="9" t="n"/>
      <c r="I45" s="11" t="n"/>
      <c r="J45" s="12">
        <f>IF($I45="","",IF($I45&gt;31,$I45,IF($G45="","",IF(DATE(YEAR($G45),MONTH($G45),$I45)&gt;=$G45,DATE(YEAR($G45),MONTH($G45),$I45),DATE(YEAR($G45),MONTH($G45)+1,$I45)))))</f>
        <v/>
      </c>
      <c r="K45" s="9" t="n"/>
      <c r="L45" s="13" t="n"/>
      <c r="M45" s="13" t="n"/>
      <c r="N45" s="13" t="n"/>
      <c r="O45" s="8">
        <f>IF(OR($G45="",$J45=""),"",$J45-$G45+1)</f>
        <v/>
      </c>
      <c r="P45" s="8">
        <f>IF(OR($G45="",$J45=""),"",$J45-$G45)</f>
        <v/>
      </c>
      <c r="Q45" s="9" t="n"/>
      <c r="R45" s="9" t="n"/>
      <c r="S45" s="9" t="n"/>
      <c r="T45" s="9" t="n"/>
      <c r="U45" s="9" t="n"/>
      <c r="V45" s="9" t="n"/>
      <c r="W45" s="14" t="n"/>
      <c r="X45" s="9" t="n"/>
      <c r="Y45" s="8">
        <f>IF($G45="","",IF($D45="","⚠部屋が未選択",IF(COUNTIF('M_部屋'!$A$4:$A$20,$D45)=0,"⚠部屋が未登録",IF(OR($J45="",$Q45="キャンセル"),"",IF(SUMPRODUCT(($D$5:$D$404=$D45)*($G$5:$G$404&lt;&gt;"")*($J$5:$J$404&lt;&gt;"")*($Q$5:$Q$404&lt;&gt;"キャンセル")*($G$5:$G$404&lt;$J45)*($J$5:$J$404&gt;$G45))&gt;1,"⚠重複","")))))</f>
        <v/>
      </c>
      <c r="Z45" s="8">
        <f>IF(OR($B45="",$G45=""),"",IF(SUMPRODUCT(('利用者マスタ'!$A$4:$A$60=$B45)*('利用者マスタ'!$B$4:$B$60&lt;&gt;""))=0,"",IF(SUMIFS($AA$5:$AA$404,$B$5:$B$404,$B45,$G$5:$G$404,"&gt;="&amp;DATE(YEAR($G45),MONTH($G45),1),$G$5:$G$404,"&lt;="&amp;EOMONTH($G45,0))&gt;SUMIFS('利用者マスタ'!$B$4:$B$60,'利用者マスタ'!$A$4:$A$60,$B45),"⚠支給量超過","")))</f>
        <v/>
      </c>
      <c r="AA45" s="8">
        <f>IF(OR($G45="",$J45="",$Q45="キャンセル"),0,IF(IFERROR(INDEX('M_区分'!$B$4:$B$20,MATCH($C45,'M_区分'!$A$4:$A$20,0)),"○")="○",$J45-$G45+1,0))</f>
        <v/>
      </c>
      <c r="AB45" s="8">
        <f>IF($E45&lt;&gt;"",$E45,$AB44)</f>
        <v/>
      </c>
      <c r="AC45" s="8">
        <f>IF(OR($G45="",$J45=""),"",IF(AND($G45&lt;=EOMONTH('02_カレンダー'!$B$4,0),$J45&gt;='02_カレンダー'!$B$4),$G45*10000+ROW(),""))</f>
        <v/>
      </c>
      <c r="AD45" s="8">
        <f>IF($H45="","",IF(ISNUMBER($H45),IF(AND($H45=INT($H45),$H45&gt;=0,$H45&lt;=24),TEXT(INT($H45),"00")&amp;":00",TEXT($H45,"hh:mm")),$H45))</f>
        <v/>
      </c>
      <c r="AE45" s="8">
        <f>IF($K45="","",IF(ISNUMBER($K45),IF(AND($K45=INT($K45),$K45&gt;=0,$K45&lt;=24),TEXT(INT($K45),"00")&amp;":00",TEXT($K45,"hh:mm")),$K45))</f>
        <v/>
      </c>
      <c r="AF45" s="8">
        <f>IF($G45="",0,$G45)</f>
        <v/>
      </c>
      <c r="AG45" s="8">
        <f>IF($J45="",0,$J45)</f>
        <v/>
      </c>
    </row>
    <row r="46">
      <c r="A46" s="8">
        <f>IF($G46="","","SS-"&amp;TEXT(ROW()-4,"0000"))</f>
        <v/>
      </c>
      <c r="B46" s="9" t="n"/>
      <c r="C46" s="9" t="n"/>
      <c r="D46" s="9" t="n"/>
      <c r="E46" s="10" t="n"/>
      <c r="F46" s="11" t="n"/>
      <c r="G46" s="12">
        <f>IF($F46="","",IF($F46&gt;31,$F46,IF($AB46="","",DATE(YEAR($AB46),MONTH($AB46),$F46))))</f>
        <v/>
      </c>
      <c r="H46" s="9" t="n"/>
      <c r="I46" s="11" t="n"/>
      <c r="J46" s="12">
        <f>IF($I46="","",IF($I46&gt;31,$I46,IF($G46="","",IF(DATE(YEAR($G46),MONTH($G46),$I46)&gt;=$G46,DATE(YEAR($G46),MONTH($G46),$I46),DATE(YEAR($G46),MONTH($G46)+1,$I46)))))</f>
        <v/>
      </c>
      <c r="K46" s="9" t="n"/>
      <c r="L46" s="13" t="n"/>
      <c r="M46" s="13" t="n"/>
      <c r="N46" s="13" t="n"/>
      <c r="O46" s="8">
        <f>IF(OR($G46="",$J46=""),"",$J46-$G46+1)</f>
        <v/>
      </c>
      <c r="P46" s="8">
        <f>IF(OR($G46="",$J46=""),"",$J46-$G46)</f>
        <v/>
      </c>
      <c r="Q46" s="9" t="n"/>
      <c r="R46" s="9" t="n"/>
      <c r="S46" s="9" t="n"/>
      <c r="T46" s="9" t="n"/>
      <c r="U46" s="9" t="n"/>
      <c r="V46" s="9" t="n"/>
      <c r="W46" s="14" t="n"/>
      <c r="X46" s="9" t="n"/>
      <c r="Y46" s="8">
        <f>IF($G46="","",IF($D46="","⚠部屋が未選択",IF(COUNTIF('M_部屋'!$A$4:$A$20,$D46)=0,"⚠部屋が未登録",IF(OR($J46="",$Q46="キャンセル"),"",IF(SUMPRODUCT(($D$5:$D$404=$D46)*($G$5:$G$404&lt;&gt;"")*($J$5:$J$404&lt;&gt;"")*($Q$5:$Q$404&lt;&gt;"キャンセル")*($G$5:$G$404&lt;$J46)*($J$5:$J$404&gt;$G46))&gt;1,"⚠重複","")))))</f>
        <v/>
      </c>
      <c r="Z46" s="8">
        <f>IF(OR($B46="",$G46=""),"",IF(SUMPRODUCT(('利用者マスタ'!$A$4:$A$60=$B46)*('利用者マスタ'!$B$4:$B$60&lt;&gt;""))=0,"",IF(SUMIFS($AA$5:$AA$404,$B$5:$B$404,$B46,$G$5:$G$404,"&gt;="&amp;DATE(YEAR($G46),MONTH($G46),1),$G$5:$G$404,"&lt;="&amp;EOMONTH($G46,0))&gt;SUMIFS('利用者マスタ'!$B$4:$B$60,'利用者マスタ'!$A$4:$A$60,$B46),"⚠支給量超過","")))</f>
        <v/>
      </c>
      <c r="AA46" s="8">
        <f>IF(OR($G46="",$J46="",$Q46="キャンセル"),0,IF(IFERROR(INDEX('M_区分'!$B$4:$B$20,MATCH($C46,'M_区分'!$A$4:$A$20,0)),"○")="○",$J46-$G46+1,0))</f>
        <v/>
      </c>
      <c r="AB46" s="8">
        <f>IF($E46&lt;&gt;"",$E46,$AB45)</f>
        <v/>
      </c>
      <c r="AC46" s="8">
        <f>IF(OR($G46="",$J46=""),"",IF(AND($G46&lt;=EOMONTH('02_カレンダー'!$B$4,0),$J46&gt;='02_カレンダー'!$B$4),$G46*10000+ROW(),""))</f>
        <v/>
      </c>
      <c r="AD46" s="8">
        <f>IF($H46="","",IF(ISNUMBER($H46),IF(AND($H46=INT($H46),$H46&gt;=0,$H46&lt;=24),TEXT(INT($H46),"00")&amp;":00",TEXT($H46,"hh:mm")),$H46))</f>
        <v/>
      </c>
      <c r="AE46" s="8">
        <f>IF($K46="","",IF(ISNUMBER($K46),IF(AND($K46=INT($K46),$K46&gt;=0,$K46&lt;=24),TEXT(INT($K46),"00")&amp;":00",TEXT($K46,"hh:mm")),$K46))</f>
        <v/>
      </c>
      <c r="AF46" s="8">
        <f>IF($G46="",0,$G46)</f>
        <v/>
      </c>
      <c r="AG46" s="8">
        <f>IF($J46="",0,$J46)</f>
        <v/>
      </c>
    </row>
    <row r="47">
      <c r="A47" s="8">
        <f>IF($G47="","","SS-"&amp;TEXT(ROW()-4,"0000"))</f>
        <v/>
      </c>
      <c r="B47" s="9" t="n"/>
      <c r="C47" s="9" t="n"/>
      <c r="D47" s="9" t="n"/>
      <c r="E47" s="10" t="n"/>
      <c r="F47" s="11" t="n"/>
      <c r="G47" s="12">
        <f>IF($F47="","",IF($F47&gt;31,$F47,IF($AB47="","",DATE(YEAR($AB47),MONTH($AB47),$F47))))</f>
        <v/>
      </c>
      <c r="H47" s="9" t="n"/>
      <c r="I47" s="11" t="n"/>
      <c r="J47" s="12">
        <f>IF($I47="","",IF($I47&gt;31,$I47,IF($G47="","",IF(DATE(YEAR($G47),MONTH($G47),$I47)&gt;=$G47,DATE(YEAR($G47),MONTH($G47),$I47),DATE(YEAR($G47),MONTH($G47)+1,$I47)))))</f>
        <v/>
      </c>
      <c r="K47" s="9" t="n"/>
      <c r="L47" s="13" t="n"/>
      <c r="M47" s="13" t="n"/>
      <c r="N47" s="13" t="n"/>
      <c r="O47" s="8">
        <f>IF(OR($G47="",$J47=""),"",$J47-$G47+1)</f>
        <v/>
      </c>
      <c r="P47" s="8">
        <f>IF(OR($G47="",$J47=""),"",$J47-$G47)</f>
        <v/>
      </c>
      <c r="Q47" s="9" t="n"/>
      <c r="R47" s="9" t="n"/>
      <c r="S47" s="9" t="n"/>
      <c r="T47" s="9" t="n"/>
      <c r="U47" s="9" t="n"/>
      <c r="V47" s="9" t="n"/>
      <c r="W47" s="14" t="n"/>
      <c r="X47" s="9" t="n"/>
      <c r="Y47" s="8">
        <f>IF($G47="","",IF($D47="","⚠部屋が未選択",IF(COUNTIF('M_部屋'!$A$4:$A$20,$D47)=0,"⚠部屋が未登録",IF(OR($J47="",$Q47="キャンセル"),"",IF(SUMPRODUCT(($D$5:$D$404=$D47)*($G$5:$G$404&lt;&gt;"")*($J$5:$J$404&lt;&gt;"")*($Q$5:$Q$404&lt;&gt;"キャンセル")*($G$5:$G$404&lt;$J47)*($J$5:$J$404&gt;$G47))&gt;1,"⚠重複","")))))</f>
        <v/>
      </c>
      <c r="Z47" s="8">
        <f>IF(OR($B47="",$G47=""),"",IF(SUMPRODUCT(('利用者マスタ'!$A$4:$A$60=$B47)*('利用者マスタ'!$B$4:$B$60&lt;&gt;""))=0,"",IF(SUMIFS($AA$5:$AA$404,$B$5:$B$404,$B47,$G$5:$G$404,"&gt;="&amp;DATE(YEAR($G47),MONTH($G47),1),$G$5:$G$404,"&lt;="&amp;EOMONTH($G47,0))&gt;SUMIFS('利用者マスタ'!$B$4:$B$60,'利用者マスタ'!$A$4:$A$60,$B47),"⚠支給量超過","")))</f>
        <v/>
      </c>
      <c r="AA47" s="8">
        <f>IF(OR($G47="",$J47="",$Q47="キャンセル"),0,IF(IFERROR(INDEX('M_区分'!$B$4:$B$20,MATCH($C47,'M_区分'!$A$4:$A$20,0)),"○")="○",$J47-$G47+1,0))</f>
        <v/>
      </c>
      <c r="AB47" s="8">
        <f>IF($E47&lt;&gt;"",$E47,$AB46)</f>
        <v/>
      </c>
      <c r="AC47" s="8">
        <f>IF(OR($G47="",$J47=""),"",IF(AND($G47&lt;=EOMONTH('02_カレンダー'!$B$4,0),$J47&gt;='02_カレンダー'!$B$4),$G47*10000+ROW(),""))</f>
        <v/>
      </c>
      <c r="AD47" s="8">
        <f>IF($H47="","",IF(ISNUMBER($H47),IF(AND($H47=INT($H47),$H47&gt;=0,$H47&lt;=24),TEXT(INT($H47),"00")&amp;":00",TEXT($H47,"hh:mm")),$H47))</f>
        <v/>
      </c>
      <c r="AE47" s="8">
        <f>IF($K47="","",IF(ISNUMBER($K47),IF(AND($K47=INT($K47),$K47&gt;=0,$K47&lt;=24),TEXT(INT($K47),"00")&amp;":00",TEXT($K47,"hh:mm")),$K47))</f>
        <v/>
      </c>
      <c r="AF47" s="8">
        <f>IF($G47="",0,$G47)</f>
        <v/>
      </c>
      <c r="AG47" s="8">
        <f>IF($J47="",0,$J47)</f>
        <v/>
      </c>
    </row>
    <row r="48">
      <c r="A48" s="8">
        <f>IF($G48="","","SS-"&amp;TEXT(ROW()-4,"0000"))</f>
        <v/>
      </c>
      <c r="B48" s="9" t="n"/>
      <c r="C48" s="9" t="n"/>
      <c r="D48" s="9" t="n"/>
      <c r="E48" s="10" t="n"/>
      <c r="F48" s="11" t="n"/>
      <c r="G48" s="12">
        <f>IF($F48="","",IF($F48&gt;31,$F48,IF($AB48="","",DATE(YEAR($AB48),MONTH($AB48),$F48))))</f>
        <v/>
      </c>
      <c r="H48" s="9" t="n"/>
      <c r="I48" s="11" t="n"/>
      <c r="J48" s="12">
        <f>IF($I48="","",IF($I48&gt;31,$I48,IF($G48="","",IF(DATE(YEAR($G48),MONTH($G48),$I48)&gt;=$G48,DATE(YEAR($G48),MONTH($G48),$I48),DATE(YEAR($G48),MONTH($G48)+1,$I48)))))</f>
        <v/>
      </c>
      <c r="K48" s="9" t="n"/>
      <c r="L48" s="13" t="n"/>
      <c r="M48" s="13" t="n"/>
      <c r="N48" s="13" t="n"/>
      <c r="O48" s="8">
        <f>IF(OR($G48="",$J48=""),"",$J48-$G48+1)</f>
        <v/>
      </c>
      <c r="P48" s="8">
        <f>IF(OR($G48="",$J48=""),"",$J48-$G48)</f>
        <v/>
      </c>
      <c r="Q48" s="9" t="n"/>
      <c r="R48" s="9" t="n"/>
      <c r="S48" s="9" t="n"/>
      <c r="T48" s="9" t="n"/>
      <c r="U48" s="9" t="n"/>
      <c r="V48" s="9" t="n"/>
      <c r="W48" s="14" t="n"/>
      <c r="X48" s="9" t="n"/>
      <c r="Y48" s="8">
        <f>IF($G48="","",IF($D48="","⚠部屋が未選択",IF(COUNTIF('M_部屋'!$A$4:$A$20,$D48)=0,"⚠部屋が未登録",IF(OR($J48="",$Q48="キャンセル"),"",IF(SUMPRODUCT(($D$5:$D$404=$D48)*($G$5:$G$404&lt;&gt;"")*($J$5:$J$404&lt;&gt;"")*($Q$5:$Q$404&lt;&gt;"キャンセル")*($G$5:$G$404&lt;$J48)*($J$5:$J$404&gt;$G48))&gt;1,"⚠重複","")))))</f>
        <v/>
      </c>
      <c r="Z48" s="8">
        <f>IF(OR($B48="",$G48=""),"",IF(SUMPRODUCT(('利用者マスタ'!$A$4:$A$60=$B48)*('利用者マスタ'!$B$4:$B$60&lt;&gt;""))=0,"",IF(SUMIFS($AA$5:$AA$404,$B$5:$B$404,$B48,$G$5:$G$404,"&gt;="&amp;DATE(YEAR($G48),MONTH($G48),1),$G$5:$G$404,"&lt;="&amp;EOMONTH($G48,0))&gt;SUMIFS('利用者マスタ'!$B$4:$B$60,'利用者マスタ'!$A$4:$A$60,$B48),"⚠支給量超過","")))</f>
        <v/>
      </c>
      <c r="AA48" s="8">
        <f>IF(OR($G48="",$J48="",$Q48="キャンセル"),0,IF(IFERROR(INDEX('M_区分'!$B$4:$B$20,MATCH($C48,'M_区分'!$A$4:$A$20,0)),"○")="○",$J48-$G48+1,0))</f>
        <v/>
      </c>
      <c r="AB48" s="8">
        <f>IF($E48&lt;&gt;"",$E48,$AB47)</f>
        <v/>
      </c>
      <c r="AC48" s="8">
        <f>IF(OR($G48="",$J48=""),"",IF(AND($G48&lt;=EOMONTH('02_カレンダー'!$B$4,0),$J48&gt;='02_カレンダー'!$B$4),$G48*10000+ROW(),""))</f>
        <v/>
      </c>
      <c r="AD48" s="8">
        <f>IF($H48="","",IF(ISNUMBER($H48),IF(AND($H48=INT($H48),$H48&gt;=0,$H48&lt;=24),TEXT(INT($H48),"00")&amp;":00",TEXT($H48,"hh:mm")),$H48))</f>
        <v/>
      </c>
      <c r="AE48" s="8">
        <f>IF($K48="","",IF(ISNUMBER($K48),IF(AND($K48=INT($K48),$K48&gt;=0,$K48&lt;=24),TEXT(INT($K48),"00")&amp;":00",TEXT($K48,"hh:mm")),$K48))</f>
        <v/>
      </c>
      <c r="AF48" s="8">
        <f>IF($G48="",0,$G48)</f>
        <v/>
      </c>
      <c r="AG48" s="8">
        <f>IF($J48="",0,$J48)</f>
        <v/>
      </c>
    </row>
    <row r="49">
      <c r="A49" s="8">
        <f>IF($G49="","","SS-"&amp;TEXT(ROW()-4,"0000"))</f>
        <v/>
      </c>
      <c r="B49" s="9" t="n"/>
      <c r="C49" s="9" t="n"/>
      <c r="D49" s="9" t="n"/>
      <c r="E49" s="10" t="n"/>
      <c r="F49" s="11" t="n"/>
      <c r="G49" s="12">
        <f>IF($F49="","",IF($F49&gt;31,$F49,IF($AB49="","",DATE(YEAR($AB49),MONTH($AB49),$F49))))</f>
        <v/>
      </c>
      <c r="H49" s="9" t="n"/>
      <c r="I49" s="11" t="n"/>
      <c r="J49" s="12">
        <f>IF($I49="","",IF($I49&gt;31,$I49,IF($G49="","",IF(DATE(YEAR($G49),MONTH($G49),$I49)&gt;=$G49,DATE(YEAR($G49),MONTH($G49),$I49),DATE(YEAR($G49),MONTH($G49)+1,$I49)))))</f>
        <v/>
      </c>
      <c r="K49" s="9" t="n"/>
      <c r="L49" s="13" t="n"/>
      <c r="M49" s="13" t="n"/>
      <c r="N49" s="13" t="n"/>
      <c r="O49" s="8">
        <f>IF(OR($G49="",$J49=""),"",$J49-$G49+1)</f>
        <v/>
      </c>
      <c r="P49" s="8">
        <f>IF(OR($G49="",$J49=""),"",$J49-$G49)</f>
        <v/>
      </c>
      <c r="Q49" s="9" t="n"/>
      <c r="R49" s="9" t="n"/>
      <c r="S49" s="9" t="n"/>
      <c r="T49" s="9" t="n"/>
      <c r="U49" s="9" t="n"/>
      <c r="V49" s="9" t="n"/>
      <c r="W49" s="14" t="n"/>
      <c r="X49" s="9" t="n"/>
      <c r="Y49" s="8">
        <f>IF($G49="","",IF($D49="","⚠部屋が未選択",IF(COUNTIF('M_部屋'!$A$4:$A$20,$D49)=0,"⚠部屋が未登録",IF(OR($J49="",$Q49="キャンセル"),"",IF(SUMPRODUCT(($D$5:$D$404=$D49)*($G$5:$G$404&lt;&gt;"")*($J$5:$J$404&lt;&gt;"")*($Q$5:$Q$404&lt;&gt;"キャンセル")*($G$5:$G$404&lt;$J49)*($J$5:$J$404&gt;$G49))&gt;1,"⚠重複","")))))</f>
        <v/>
      </c>
      <c r="Z49" s="8">
        <f>IF(OR($B49="",$G49=""),"",IF(SUMPRODUCT(('利用者マスタ'!$A$4:$A$60=$B49)*('利用者マスタ'!$B$4:$B$60&lt;&gt;""))=0,"",IF(SUMIFS($AA$5:$AA$404,$B$5:$B$404,$B49,$G$5:$G$404,"&gt;="&amp;DATE(YEAR($G49),MONTH($G49),1),$G$5:$G$404,"&lt;="&amp;EOMONTH($G49,0))&gt;SUMIFS('利用者マスタ'!$B$4:$B$60,'利用者マスタ'!$A$4:$A$60,$B49),"⚠支給量超過","")))</f>
        <v/>
      </c>
      <c r="AA49" s="8">
        <f>IF(OR($G49="",$J49="",$Q49="キャンセル"),0,IF(IFERROR(INDEX('M_区分'!$B$4:$B$20,MATCH($C49,'M_区分'!$A$4:$A$20,0)),"○")="○",$J49-$G49+1,0))</f>
        <v/>
      </c>
      <c r="AB49" s="8">
        <f>IF($E49&lt;&gt;"",$E49,$AB48)</f>
        <v/>
      </c>
      <c r="AC49" s="8">
        <f>IF(OR($G49="",$J49=""),"",IF(AND($G49&lt;=EOMONTH('02_カレンダー'!$B$4,0),$J49&gt;='02_カレンダー'!$B$4),$G49*10000+ROW(),""))</f>
        <v/>
      </c>
      <c r="AD49" s="8">
        <f>IF($H49="","",IF(ISNUMBER($H49),IF(AND($H49=INT($H49),$H49&gt;=0,$H49&lt;=24),TEXT(INT($H49),"00")&amp;":00",TEXT($H49,"hh:mm")),$H49))</f>
        <v/>
      </c>
      <c r="AE49" s="8">
        <f>IF($K49="","",IF(ISNUMBER($K49),IF(AND($K49=INT($K49),$K49&gt;=0,$K49&lt;=24),TEXT(INT($K49),"00")&amp;":00",TEXT($K49,"hh:mm")),$K49))</f>
        <v/>
      </c>
      <c r="AF49" s="8">
        <f>IF($G49="",0,$G49)</f>
        <v/>
      </c>
      <c r="AG49" s="8">
        <f>IF($J49="",0,$J49)</f>
        <v/>
      </c>
    </row>
    <row r="50">
      <c r="A50" s="8">
        <f>IF($G50="","","SS-"&amp;TEXT(ROW()-4,"0000"))</f>
        <v/>
      </c>
      <c r="B50" s="9" t="n"/>
      <c r="C50" s="9" t="n"/>
      <c r="D50" s="9" t="n"/>
      <c r="E50" s="10" t="n"/>
      <c r="F50" s="11" t="n"/>
      <c r="G50" s="12">
        <f>IF($F50="","",IF($F50&gt;31,$F50,IF($AB50="","",DATE(YEAR($AB50),MONTH($AB50),$F50))))</f>
        <v/>
      </c>
      <c r="H50" s="9" t="n"/>
      <c r="I50" s="11" t="n"/>
      <c r="J50" s="12">
        <f>IF($I50="","",IF($I50&gt;31,$I50,IF($G50="","",IF(DATE(YEAR($G50),MONTH($G50),$I50)&gt;=$G50,DATE(YEAR($G50),MONTH($G50),$I50),DATE(YEAR($G50),MONTH($G50)+1,$I50)))))</f>
        <v/>
      </c>
      <c r="K50" s="9" t="n"/>
      <c r="L50" s="13" t="n"/>
      <c r="M50" s="13" t="n"/>
      <c r="N50" s="13" t="n"/>
      <c r="O50" s="8">
        <f>IF(OR($G50="",$J50=""),"",$J50-$G50+1)</f>
        <v/>
      </c>
      <c r="P50" s="8">
        <f>IF(OR($G50="",$J50=""),"",$J50-$G50)</f>
        <v/>
      </c>
      <c r="Q50" s="9" t="n"/>
      <c r="R50" s="9" t="n"/>
      <c r="S50" s="9" t="n"/>
      <c r="T50" s="9" t="n"/>
      <c r="U50" s="9" t="n"/>
      <c r="V50" s="9" t="n"/>
      <c r="W50" s="14" t="n"/>
      <c r="X50" s="9" t="n"/>
      <c r="Y50" s="8">
        <f>IF($G50="","",IF($D50="","⚠部屋が未選択",IF(COUNTIF('M_部屋'!$A$4:$A$20,$D50)=0,"⚠部屋が未登録",IF(OR($J50="",$Q50="キャンセル"),"",IF(SUMPRODUCT(($D$5:$D$404=$D50)*($G$5:$G$404&lt;&gt;"")*($J$5:$J$404&lt;&gt;"")*($Q$5:$Q$404&lt;&gt;"キャンセル")*($G$5:$G$404&lt;$J50)*($J$5:$J$404&gt;$G50))&gt;1,"⚠重複","")))))</f>
        <v/>
      </c>
      <c r="Z50" s="8">
        <f>IF(OR($B50="",$G50=""),"",IF(SUMPRODUCT(('利用者マスタ'!$A$4:$A$60=$B50)*('利用者マスタ'!$B$4:$B$60&lt;&gt;""))=0,"",IF(SUMIFS($AA$5:$AA$404,$B$5:$B$404,$B50,$G$5:$G$404,"&gt;="&amp;DATE(YEAR($G50),MONTH($G50),1),$G$5:$G$404,"&lt;="&amp;EOMONTH($G50,0))&gt;SUMIFS('利用者マスタ'!$B$4:$B$60,'利用者マスタ'!$A$4:$A$60,$B50),"⚠支給量超過","")))</f>
        <v/>
      </c>
      <c r="AA50" s="8">
        <f>IF(OR($G50="",$J50="",$Q50="キャンセル"),0,IF(IFERROR(INDEX('M_区分'!$B$4:$B$20,MATCH($C50,'M_区分'!$A$4:$A$20,0)),"○")="○",$J50-$G50+1,0))</f>
        <v/>
      </c>
      <c r="AB50" s="8">
        <f>IF($E50&lt;&gt;"",$E50,$AB49)</f>
        <v/>
      </c>
      <c r="AC50" s="8">
        <f>IF(OR($G50="",$J50=""),"",IF(AND($G50&lt;=EOMONTH('02_カレンダー'!$B$4,0),$J50&gt;='02_カレンダー'!$B$4),$G50*10000+ROW(),""))</f>
        <v/>
      </c>
      <c r="AD50" s="8">
        <f>IF($H50="","",IF(ISNUMBER($H50),IF(AND($H50=INT($H50),$H50&gt;=0,$H50&lt;=24),TEXT(INT($H50),"00")&amp;":00",TEXT($H50,"hh:mm")),$H50))</f>
        <v/>
      </c>
      <c r="AE50" s="8">
        <f>IF($K50="","",IF(ISNUMBER($K50),IF(AND($K50=INT($K50),$K50&gt;=0,$K50&lt;=24),TEXT(INT($K50),"00")&amp;":00",TEXT($K50,"hh:mm")),$K50))</f>
        <v/>
      </c>
      <c r="AF50" s="8">
        <f>IF($G50="",0,$G50)</f>
        <v/>
      </c>
      <c r="AG50" s="8">
        <f>IF($J50="",0,$J50)</f>
        <v/>
      </c>
    </row>
    <row r="51">
      <c r="A51" s="8">
        <f>IF($G51="","","SS-"&amp;TEXT(ROW()-4,"0000"))</f>
        <v/>
      </c>
      <c r="B51" s="9" t="n"/>
      <c r="C51" s="9" t="n"/>
      <c r="D51" s="9" t="n"/>
      <c r="E51" s="10" t="n"/>
      <c r="F51" s="11" t="n"/>
      <c r="G51" s="12">
        <f>IF($F51="","",IF($F51&gt;31,$F51,IF($AB51="","",DATE(YEAR($AB51),MONTH($AB51),$F51))))</f>
        <v/>
      </c>
      <c r="H51" s="9" t="n"/>
      <c r="I51" s="11" t="n"/>
      <c r="J51" s="12">
        <f>IF($I51="","",IF($I51&gt;31,$I51,IF($G51="","",IF(DATE(YEAR($G51),MONTH($G51),$I51)&gt;=$G51,DATE(YEAR($G51),MONTH($G51),$I51),DATE(YEAR($G51),MONTH($G51)+1,$I51)))))</f>
        <v/>
      </c>
      <c r="K51" s="9" t="n"/>
      <c r="L51" s="13" t="n"/>
      <c r="M51" s="13" t="n"/>
      <c r="N51" s="13" t="n"/>
      <c r="O51" s="8">
        <f>IF(OR($G51="",$J51=""),"",$J51-$G51+1)</f>
        <v/>
      </c>
      <c r="P51" s="8">
        <f>IF(OR($G51="",$J51=""),"",$J51-$G51)</f>
        <v/>
      </c>
      <c r="Q51" s="9" t="n"/>
      <c r="R51" s="9" t="n"/>
      <c r="S51" s="9" t="n"/>
      <c r="T51" s="9" t="n"/>
      <c r="U51" s="9" t="n"/>
      <c r="V51" s="9" t="n"/>
      <c r="W51" s="14" t="n"/>
      <c r="X51" s="9" t="n"/>
      <c r="Y51" s="8">
        <f>IF($G51="","",IF($D51="","⚠部屋が未選択",IF(COUNTIF('M_部屋'!$A$4:$A$20,$D51)=0,"⚠部屋が未登録",IF(OR($J51="",$Q51="キャンセル"),"",IF(SUMPRODUCT(($D$5:$D$404=$D51)*($G$5:$G$404&lt;&gt;"")*($J$5:$J$404&lt;&gt;"")*($Q$5:$Q$404&lt;&gt;"キャンセル")*($G$5:$G$404&lt;$J51)*($J$5:$J$404&gt;$G51))&gt;1,"⚠重複","")))))</f>
        <v/>
      </c>
      <c r="Z51" s="8">
        <f>IF(OR($B51="",$G51=""),"",IF(SUMPRODUCT(('利用者マスタ'!$A$4:$A$60=$B51)*('利用者マスタ'!$B$4:$B$60&lt;&gt;""))=0,"",IF(SUMIFS($AA$5:$AA$404,$B$5:$B$404,$B51,$G$5:$G$404,"&gt;="&amp;DATE(YEAR($G51),MONTH($G51),1),$G$5:$G$404,"&lt;="&amp;EOMONTH($G51,0))&gt;SUMIFS('利用者マスタ'!$B$4:$B$60,'利用者マスタ'!$A$4:$A$60,$B51),"⚠支給量超過","")))</f>
        <v/>
      </c>
      <c r="AA51" s="8">
        <f>IF(OR($G51="",$J51="",$Q51="キャンセル"),0,IF(IFERROR(INDEX('M_区分'!$B$4:$B$20,MATCH($C51,'M_区分'!$A$4:$A$20,0)),"○")="○",$J51-$G51+1,0))</f>
        <v/>
      </c>
      <c r="AB51" s="8">
        <f>IF($E51&lt;&gt;"",$E51,$AB50)</f>
        <v/>
      </c>
      <c r="AC51" s="8">
        <f>IF(OR($G51="",$J51=""),"",IF(AND($G51&lt;=EOMONTH('02_カレンダー'!$B$4,0),$J51&gt;='02_カレンダー'!$B$4),$G51*10000+ROW(),""))</f>
        <v/>
      </c>
      <c r="AD51" s="8">
        <f>IF($H51="","",IF(ISNUMBER($H51),IF(AND($H51=INT($H51),$H51&gt;=0,$H51&lt;=24),TEXT(INT($H51),"00")&amp;":00",TEXT($H51,"hh:mm")),$H51))</f>
        <v/>
      </c>
      <c r="AE51" s="8">
        <f>IF($K51="","",IF(ISNUMBER($K51),IF(AND($K51=INT($K51),$K51&gt;=0,$K51&lt;=24),TEXT(INT($K51),"00")&amp;":00",TEXT($K51,"hh:mm")),$K51))</f>
        <v/>
      </c>
      <c r="AF51" s="8">
        <f>IF($G51="",0,$G51)</f>
        <v/>
      </c>
      <c r="AG51" s="8">
        <f>IF($J51="",0,$J51)</f>
        <v/>
      </c>
    </row>
    <row r="52">
      <c r="A52" s="8">
        <f>IF($G52="","","SS-"&amp;TEXT(ROW()-4,"0000"))</f>
        <v/>
      </c>
      <c r="B52" s="9" t="n"/>
      <c r="C52" s="9" t="n"/>
      <c r="D52" s="9" t="n"/>
      <c r="E52" s="10" t="n"/>
      <c r="F52" s="11" t="n"/>
      <c r="G52" s="12">
        <f>IF($F52="","",IF($F52&gt;31,$F52,IF($AB52="","",DATE(YEAR($AB52),MONTH($AB52),$F52))))</f>
        <v/>
      </c>
      <c r="H52" s="9" t="n"/>
      <c r="I52" s="11" t="n"/>
      <c r="J52" s="12">
        <f>IF($I52="","",IF($I52&gt;31,$I52,IF($G52="","",IF(DATE(YEAR($G52),MONTH($G52),$I52)&gt;=$G52,DATE(YEAR($G52),MONTH($G52),$I52),DATE(YEAR($G52),MONTH($G52)+1,$I52)))))</f>
        <v/>
      </c>
      <c r="K52" s="9" t="n"/>
      <c r="L52" s="13" t="n"/>
      <c r="M52" s="13" t="n"/>
      <c r="N52" s="13" t="n"/>
      <c r="O52" s="8">
        <f>IF(OR($G52="",$J52=""),"",$J52-$G52+1)</f>
        <v/>
      </c>
      <c r="P52" s="8">
        <f>IF(OR($G52="",$J52=""),"",$J52-$G52)</f>
        <v/>
      </c>
      <c r="Q52" s="9" t="n"/>
      <c r="R52" s="9" t="n"/>
      <c r="S52" s="9" t="n"/>
      <c r="T52" s="9" t="n"/>
      <c r="U52" s="9" t="n"/>
      <c r="V52" s="9" t="n"/>
      <c r="W52" s="14" t="n"/>
      <c r="X52" s="9" t="n"/>
      <c r="Y52" s="8">
        <f>IF($G52="","",IF($D52="","⚠部屋が未選択",IF(COUNTIF('M_部屋'!$A$4:$A$20,$D52)=0,"⚠部屋が未登録",IF(OR($J52="",$Q52="キャンセル"),"",IF(SUMPRODUCT(($D$5:$D$404=$D52)*($G$5:$G$404&lt;&gt;"")*($J$5:$J$404&lt;&gt;"")*($Q$5:$Q$404&lt;&gt;"キャンセル")*($G$5:$G$404&lt;$J52)*($J$5:$J$404&gt;$G52))&gt;1,"⚠重複","")))))</f>
        <v/>
      </c>
      <c r="Z52" s="8">
        <f>IF(OR($B52="",$G52=""),"",IF(SUMPRODUCT(('利用者マスタ'!$A$4:$A$60=$B52)*('利用者マスタ'!$B$4:$B$60&lt;&gt;""))=0,"",IF(SUMIFS($AA$5:$AA$404,$B$5:$B$404,$B52,$G$5:$G$404,"&gt;="&amp;DATE(YEAR($G52),MONTH($G52),1),$G$5:$G$404,"&lt;="&amp;EOMONTH($G52,0))&gt;SUMIFS('利用者マスタ'!$B$4:$B$60,'利用者マスタ'!$A$4:$A$60,$B52),"⚠支給量超過","")))</f>
        <v/>
      </c>
      <c r="AA52" s="8">
        <f>IF(OR($G52="",$J52="",$Q52="キャンセル"),0,IF(IFERROR(INDEX('M_区分'!$B$4:$B$20,MATCH($C52,'M_区分'!$A$4:$A$20,0)),"○")="○",$J52-$G52+1,0))</f>
        <v/>
      </c>
      <c r="AB52" s="8">
        <f>IF($E52&lt;&gt;"",$E52,$AB51)</f>
        <v/>
      </c>
      <c r="AC52" s="8">
        <f>IF(OR($G52="",$J52=""),"",IF(AND($G52&lt;=EOMONTH('02_カレンダー'!$B$4,0),$J52&gt;='02_カレンダー'!$B$4),$G52*10000+ROW(),""))</f>
        <v/>
      </c>
      <c r="AD52" s="8">
        <f>IF($H52="","",IF(ISNUMBER($H52),IF(AND($H52=INT($H52),$H52&gt;=0,$H52&lt;=24),TEXT(INT($H52),"00")&amp;":00",TEXT($H52,"hh:mm")),$H52))</f>
        <v/>
      </c>
      <c r="AE52" s="8">
        <f>IF($K52="","",IF(ISNUMBER($K52),IF(AND($K52=INT($K52),$K52&gt;=0,$K52&lt;=24),TEXT(INT($K52),"00")&amp;":00",TEXT($K52,"hh:mm")),$K52))</f>
        <v/>
      </c>
      <c r="AF52" s="8">
        <f>IF($G52="",0,$G52)</f>
        <v/>
      </c>
      <c r="AG52" s="8">
        <f>IF($J52="",0,$J52)</f>
        <v/>
      </c>
    </row>
    <row r="53">
      <c r="A53" s="8">
        <f>IF($G53="","","SS-"&amp;TEXT(ROW()-4,"0000"))</f>
        <v/>
      </c>
      <c r="B53" s="9" t="n"/>
      <c r="C53" s="9" t="n"/>
      <c r="D53" s="9" t="n"/>
      <c r="E53" s="10" t="n"/>
      <c r="F53" s="11" t="n"/>
      <c r="G53" s="12">
        <f>IF($F53="","",IF($F53&gt;31,$F53,IF($AB53="","",DATE(YEAR($AB53),MONTH($AB53),$F53))))</f>
        <v/>
      </c>
      <c r="H53" s="9" t="n"/>
      <c r="I53" s="11" t="n"/>
      <c r="J53" s="12">
        <f>IF($I53="","",IF($I53&gt;31,$I53,IF($G53="","",IF(DATE(YEAR($G53),MONTH($G53),$I53)&gt;=$G53,DATE(YEAR($G53),MONTH($G53),$I53),DATE(YEAR($G53),MONTH($G53)+1,$I53)))))</f>
        <v/>
      </c>
      <c r="K53" s="9" t="n"/>
      <c r="L53" s="13" t="n"/>
      <c r="M53" s="13" t="n"/>
      <c r="N53" s="13" t="n"/>
      <c r="O53" s="8">
        <f>IF(OR($G53="",$J53=""),"",$J53-$G53+1)</f>
        <v/>
      </c>
      <c r="P53" s="8">
        <f>IF(OR($G53="",$J53=""),"",$J53-$G53)</f>
        <v/>
      </c>
      <c r="Q53" s="9" t="n"/>
      <c r="R53" s="9" t="n"/>
      <c r="S53" s="9" t="n"/>
      <c r="T53" s="9" t="n"/>
      <c r="U53" s="9" t="n"/>
      <c r="V53" s="9" t="n"/>
      <c r="W53" s="14" t="n"/>
      <c r="X53" s="9" t="n"/>
      <c r="Y53" s="8">
        <f>IF($G53="","",IF($D53="","⚠部屋が未選択",IF(COUNTIF('M_部屋'!$A$4:$A$20,$D53)=0,"⚠部屋が未登録",IF(OR($J53="",$Q53="キャンセル"),"",IF(SUMPRODUCT(($D$5:$D$404=$D53)*($G$5:$G$404&lt;&gt;"")*($J$5:$J$404&lt;&gt;"")*($Q$5:$Q$404&lt;&gt;"キャンセル")*($G$5:$G$404&lt;$J53)*($J$5:$J$404&gt;$G53))&gt;1,"⚠重複","")))))</f>
        <v/>
      </c>
      <c r="Z53" s="8">
        <f>IF(OR($B53="",$G53=""),"",IF(SUMPRODUCT(('利用者マスタ'!$A$4:$A$60=$B53)*('利用者マスタ'!$B$4:$B$60&lt;&gt;""))=0,"",IF(SUMIFS($AA$5:$AA$404,$B$5:$B$404,$B53,$G$5:$G$404,"&gt;="&amp;DATE(YEAR($G53),MONTH($G53),1),$G$5:$G$404,"&lt;="&amp;EOMONTH($G53,0))&gt;SUMIFS('利用者マスタ'!$B$4:$B$60,'利用者マスタ'!$A$4:$A$60,$B53),"⚠支給量超過","")))</f>
        <v/>
      </c>
      <c r="AA53" s="8">
        <f>IF(OR($G53="",$J53="",$Q53="キャンセル"),0,IF(IFERROR(INDEX('M_区分'!$B$4:$B$20,MATCH($C53,'M_区分'!$A$4:$A$20,0)),"○")="○",$J53-$G53+1,0))</f>
        <v/>
      </c>
      <c r="AB53" s="8">
        <f>IF($E53&lt;&gt;"",$E53,$AB52)</f>
        <v/>
      </c>
      <c r="AC53" s="8">
        <f>IF(OR($G53="",$J53=""),"",IF(AND($G53&lt;=EOMONTH('02_カレンダー'!$B$4,0),$J53&gt;='02_カレンダー'!$B$4),$G53*10000+ROW(),""))</f>
        <v/>
      </c>
      <c r="AD53" s="8">
        <f>IF($H53="","",IF(ISNUMBER($H53),IF(AND($H53=INT($H53),$H53&gt;=0,$H53&lt;=24),TEXT(INT($H53),"00")&amp;":00",TEXT($H53,"hh:mm")),$H53))</f>
        <v/>
      </c>
      <c r="AE53" s="8">
        <f>IF($K53="","",IF(ISNUMBER($K53),IF(AND($K53=INT($K53),$K53&gt;=0,$K53&lt;=24),TEXT(INT($K53),"00")&amp;":00",TEXT($K53,"hh:mm")),$K53))</f>
        <v/>
      </c>
      <c r="AF53" s="8">
        <f>IF($G53="",0,$G53)</f>
        <v/>
      </c>
      <c r="AG53" s="8">
        <f>IF($J53="",0,$J53)</f>
        <v/>
      </c>
    </row>
    <row r="54">
      <c r="A54" s="8">
        <f>IF($G54="","","SS-"&amp;TEXT(ROW()-4,"0000"))</f>
        <v/>
      </c>
      <c r="B54" s="9" t="n"/>
      <c r="C54" s="9" t="n"/>
      <c r="D54" s="9" t="n"/>
      <c r="E54" s="10" t="n"/>
      <c r="F54" s="11" t="n"/>
      <c r="G54" s="12">
        <f>IF($F54="","",IF($F54&gt;31,$F54,IF($AB54="","",DATE(YEAR($AB54),MONTH($AB54),$F54))))</f>
        <v/>
      </c>
      <c r="H54" s="9" t="n"/>
      <c r="I54" s="11" t="n"/>
      <c r="J54" s="12">
        <f>IF($I54="","",IF($I54&gt;31,$I54,IF($G54="","",IF(DATE(YEAR($G54),MONTH($G54),$I54)&gt;=$G54,DATE(YEAR($G54),MONTH($G54),$I54),DATE(YEAR($G54),MONTH($G54)+1,$I54)))))</f>
        <v/>
      </c>
      <c r="K54" s="9" t="n"/>
      <c r="L54" s="13" t="n"/>
      <c r="M54" s="13" t="n"/>
      <c r="N54" s="13" t="n"/>
      <c r="O54" s="8">
        <f>IF(OR($G54="",$J54=""),"",$J54-$G54+1)</f>
        <v/>
      </c>
      <c r="P54" s="8">
        <f>IF(OR($G54="",$J54=""),"",$J54-$G54)</f>
        <v/>
      </c>
      <c r="Q54" s="9" t="n"/>
      <c r="R54" s="9" t="n"/>
      <c r="S54" s="9" t="n"/>
      <c r="T54" s="9" t="n"/>
      <c r="U54" s="9" t="n"/>
      <c r="V54" s="9" t="n"/>
      <c r="W54" s="14" t="n"/>
      <c r="X54" s="9" t="n"/>
      <c r="Y54" s="8">
        <f>IF($G54="","",IF($D54="","⚠部屋が未選択",IF(COUNTIF('M_部屋'!$A$4:$A$20,$D54)=0,"⚠部屋が未登録",IF(OR($J54="",$Q54="キャンセル"),"",IF(SUMPRODUCT(($D$5:$D$404=$D54)*($G$5:$G$404&lt;&gt;"")*($J$5:$J$404&lt;&gt;"")*($Q$5:$Q$404&lt;&gt;"キャンセル")*($G$5:$G$404&lt;$J54)*($J$5:$J$404&gt;$G54))&gt;1,"⚠重複","")))))</f>
        <v/>
      </c>
      <c r="Z54" s="8">
        <f>IF(OR($B54="",$G54=""),"",IF(SUMPRODUCT(('利用者マスタ'!$A$4:$A$60=$B54)*('利用者マスタ'!$B$4:$B$60&lt;&gt;""))=0,"",IF(SUMIFS($AA$5:$AA$404,$B$5:$B$404,$B54,$G$5:$G$404,"&gt;="&amp;DATE(YEAR($G54),MONTH($G54),1),$G$5:$G$404,"&lt;="&amp;EOMONTH($G54,0))&gt;SUMIFS('利用者マスタ'!$B$4:$B$60,'利用者マスタ'!$A$4:$A$60,$B54),"⚠支給量超過","")))</f>
        <v/>
      </c>
      <c r="AA54" s="8">
        <f>IF(OR($G54="",$J54="",$Q54="キャンセル"),0,IF(IFERROR(INDEX('M_区分'!$B$4:$B$20,MATCH($C54,'M_区分'!$A$4:$A$20,0)),"○")="○",$J54-$G54+1,0))</f>
        <v/>
      </c>
      <c r="AB54" s="8">
        <f>IF($E54&lt;&gt;"",$E54,$AB53)</f>
        <v/>
      </c>
      <c r="AC54" s="8">
        <f>IF(OR($G54="",$J54=""),"",IF(AND($G54&lt;=EOMONTH('02_カレンダー'!$B$4,0),$J54&gt;='02_カレンダー'!$B$4),$G54*10000+ROW(),""))</f>
        <v/>
      </c>
      <c r="AD54" s="8">
        <f>IF($H54="","",IF(ISNUMBER($H54),IF(AND($H54=INT($H54),$H54&gt;=0,$H54&lt;=24),TEXT(INT($H54),"00")&amp;":00",TEXT($H54,"hh:mm")),$H54))</f>
        <v/>
      </c>
      <c r="AE54" s="8">
        <f>IF($K54="","",IF(ISNUMBER($K54),IF(AND($K54=INT($K54),$K54&gt;=0,$K54&lt;=24),TEXT(INT($K54),"00")&amp;":00",TEXT($K54,"hh:mm")),$K54))</f>
        <v/>
      </c>
      <c r="AF54" s="8">
        <f>IF($G54="",0,$G54)</f>
        <v/>
      </c>
      <c r="AG54" s="8">
        <f>IF($J54="",0,$J54)</f>
        <v/>
      </c>
    </row>
    <row r="55">
      <c r="A55" s="8">
        <f>IF($G55="","","SS-"&amp;TEXT(ROW()-4,"0000"))</f>
        <v/>
      </c>
      <c r="B55" s="9" t="n"/>
      <c r="C55" s="9" t="n"/>
      <c r="D55" s="9" t="n"/>
      <c r="E55" s="10" t="n"/>
      <c r="F55" s="11" t="n"/>
      <c r="G55" s="12">
        <f>IF($F55="","",IF($F55&gt;31,$F55,IF($AB55="","",DATE(YEAR($AB55),MONTH($AB55),$F55))))</f>
        <v/>
      </c>
      <c r="H55" s="9" t="n"/>
      <c r="I55" s="11" t="n"/>
      <c r="J55" s="12">
        <f>IF($I55="","",IF($I55&gt;31,$I55,IF($G55="","",IF(DATE(YEAR($G55),MONTH($G55),$I55)&gt;=$G55,DATE(YEAR($G55),MONTH($G55),$I55),DATE(YEAR($G55),MONTH($G55)+1,$I55)))))</f>
        <v/>
      </c>
      <c r="K55" s="9" t="n"/>
      <c r="L55" s="13" t="n"/>
      <c r="M55" s="13" t="n"/>
      <c r="N55" s="13" t="n"/>
      <c r="O55" s="8">
        <f>IF(OR($G55="",$J55=""),"",$J55-$G55+1)</f>
        <v/>
      </c>
      <c r="P55" s="8">
        <f>IF(OR($G55="",$J55=""),"",$J55-$G55)</f>
        <v/>
      </c>
      <c r="Q55" s="9" t="n"/>
      <c r="R55" s="9" t="n"/>
      <c r="S55" s="9" t="n"/>
      <c r="T55" s="9" t="n"/>
      <c r="U55" s="9" t="n"/>
      <c r="V55" s="9" t="n"/>
      <c r="W55" s="14" t="n"/>
      <c r="X55" s="9" t="n"/>
      <c r="Y55" s="8">
        <f>IF($G55="","",IF($D55="","⚠部屋が未選択",IF(COUNTIF('M_部屋'!$A$4:$A$20,$D55)=0,"⚠部屋が未登録",IF(OR($J55="",$Q55="キャンセル"),"",IF(SUMPRODUCT(($D$5:$D$404=$D55)*($G$5:$G$404&lt;&gt;"")*($J$5:$J$404&lt;&gt;"")*($Q$5:$Q$404&lt;&gt;"キャンセル")*($G$5:$G$404&lt;$J55)*($J$5:$J$404&gt;$G55))&gt;1,"⚠重複","")))))</f>
        <v/>
      </c>
      <c r="Z55" s="8">
        <f>IF(OR($B55="",$G55=""),"",IF(SUMPRODUCT(('利用者マスタ'!$A$4:$A$60=$B55)*('利用者マスタ'!$B$4:$B$60&lt;&gt;""))=0,"",IF(SUMIFS($AA$5:$AA$404,$B$5:$B$404,$B55,$G$5:$G$404,"&gt;="&amp;DATE(YEAR($G55),MONTH($G55),1),$G$5:$G$404,"&lt;="&amp;EOMONTH($G55,0))&gt;SUMIFS('利用者マスタ'!$B$4:$B$60,'利用者マスタ'!$A$4:$A$60,$B55),"⚠支給量超過","")))</f>
        <v/>
      </c>
      <c r="AA55" s="8">
        <f>IF(OR($G55="",$J55="",$Q55="キャンセル"),0,IF(IFERROR(INDEX('M_区分'!$B$4:$B$20,MATCH($C55,'M_区分'!$A$4:$A$20,0)),"○")="○",$J55-$G55+1,0))</f>
        <v/>
      </c>
      <c r="AB55" s="8">
        <f>IF($E55&lt;&gt;"",$E55,$AB54)</f>
        <v/>
      </c>
      <c r="AC55" s="8">
        <f>IF(OR($G55="",$J55=""),"",IF(AND($G55&lt;=EOMONTH('02_カレンダー'!$B$4,0),$J55&gt;='02_カレンダー'!$B$4),$G55*10000+ROW(),""))</f>
        <v/>
      </c>
      <c r="AD55" s="8">
        <f>IF($H55="","",IF(ISNUMBER($H55),IF(AND($H55=INT($H55),$H55&gt;=0,$H55&lt;=24),TEXT(INT($H55),"00")&amp;":00",TEXT($H55,"hh:mm")),$H55))</f>
        <v/>
      </c>
      <c r="AE55" s="8">
        <f>IF($K55="","",IF(ISNUMBER($K55),IF(AND($K55=INT($K55),$K55&gt;=0,$K55&lt;=24),TEXT(INT($K55),"00")&amp;":00",TEXT($K55,"hh:mm")),$K55))</f>
        <v/>
      </c>
      <c r="AF55" s="8">
        <f>IF($G55="",0,$G55)</f>
        <v/>
      </c>
      <c r="AG55" s="8">
        <f>IF($J55="",0,$J55)</f>
        <v/>
      </c>
    </row>
    <row r="56">
      <c r="A56" s="8">
        <f>IF($G56="","","SS-"&amp;TEXT(ROW()-4,"0000"))</f>
        <v/>
      </c>
      <c r="B56" s="9" t="n"/>
      <c r="C56" s="9" t="n"/>
      <c r="D56" s="9" t="n"/>
      <c r="E56" s="10" t="n"/>
      <c r="F56" s="11" t="n"/>
      <c r="G56" s="12">
        <f>IF($F56="","",IF($F56&gt;31,$F56,IF($AB56="","",DATE(YEAR($AB56),MONTH($AB56),$F56))))</f>
        <v/>
      </c>
      <c r="H56" s="9" t="n"/>
      <c r="I56" s="11" t="n"/>
      <c r="J56" s="12">
        <f>IF($I56="","",IF($I56&gt;31,$I56,IF($G56="","",IF(DATE(YEAR($G56),MONTH($G56),$I56)&gt;=$G56,DATE(YEAR($G56),MONTH($G56),$I56),DATE(YEAR($G56),MONTH($G56)+1,$I56)))))</f>
        <v/>
      </c>
      <c r="K56" s="9" t="n"/>
      <c r="L56" s="13" t="n"/>
      <c r="M56" s="13" t="n"/>
      <c r="N56" s="13" t="n"/>
      <c r="O56" s="8">
        <f>IF(OR($G56="",$J56=""),"",$J56-$G56+1)</f>
        <v/>
      </c>
      <c r="P56" s="8">
        <f>IF(OR($G56="",$J56=""),"",$J56-$G56)</f>
        <v/>
      </c>
      <c r="Q56" s="9" t="n"/>
      <c r="R56" s="9" t="n"/>
      <c r="S56" s="9" t="n"/>
      <c r="T56" s="9" t="n"/>
      <c r="U56" s="9" t="n"/>
      <c r="V56" s="9" t="n"/>
      <c r="W56" s="14" t="n"/>
      <c r="X56" s="9" t="n"/>
      <c r="Y56" s="8">
        <f>IF($G56="","",IF($D56="","⚠部屋が未選択",IF(COUNTIF('M_部屋'!$A$4:$A$20,$D56)=0,"⚠部屋が未登録",IF(OR($J56="",$Q56="キャンセル"),"",IF(SUMPRODUCT(($D$5:$D$404=$D56)*($G$5:$G$404&lt;&gt;"")*($J$5:$J$404&lt;&gt;"")*($Q$5:$Q$404&lt;&gt;"キャンセル")*($G$5:$G$404&lt;$J56)*($J$5:$J$404&gt;$G56))&gt;1,"⚠重複","")))))</f>
        <v/>
      </c>
      <c r="Z56" s="8">
        <f>IF(OR($B56="",$G56=""),"",IF(SUMPRODUCT(('利用者マスタ'!$A$4:$A$60=$B56)*('利用者マスタ'!$B$4:$B$60&lt;&gt;""))=0,"",IF(SUMIFS($AA$5:$AA$404,$B$5:$B$404,$B56,$G$5:$G$404,"&gt;="&amp;DATE(YEAR($G56),MONTH($G56),1),$G$5:$G$404,"&lt;="&amp;EOMONTH($G56,0))&gt;SUMIFS('利用者マスタ'!$B$4:$B$60,'利用者マスタ'!$A$4:$A$60,$B56),"⚠支給量超過","")))</f>
        <v/>
      </c>
      <c r="AA56" s="8">
        <f>IF(OR($G56="",$J56="",$Q56="キャンセル"),0,IF(IFERROR(INDEX('M_区分'!$B$4:$B$20,MATCH($C56,'M_区分'!$A$4:$A$20,0)),"○")="○",$J56-$G56+1,0))</f>
        <v/>
      </c>
      <c r="AB56" s="8">
        <f>IF($E56&lt;&gt;"",$E56,$AB55)</f>
        <v/>
      </c>
      <c r="AC56" s="8">
        <f>IF(OR($G56="",$J56=""),"",IF(AND($G56&lt;=EOMONTH('02_カレンダー'!$B$4,0),$J56&gt;='02_カレンダー'!$B$4),$G56*10000+ROW(),""))</f>
        <v/>
      </c>
      <c r="AD56" s="8">
        <f>IF($H56="","",IF(ISNUMBER($H56),IF(AND($H56=INT($H56),$H56&gt;=0,$H56&lt;=24),TEXT(INT($H56),"00")&amp;":00",TEXT($H56,"hh:mm")),$H56))</f>
        <v/>
      </c>
      <c r="AE56" s="8">
        <f>IF($K56="","",IF(ISNUMBER($K56),IF(AND($K56=INT($K56),$K56&gt;=0,$K56&lt;=24),TEXT(INT($K56),"00")&amp;":00",TEXT($K56,"hh:mm")),$K56))</f>
        <v/>
      </c>
      <c r="AF56" s="8">
        <f>IF($G56="",0,$G56)</f>
        <v/>
      </c>
      <c r="AG56" s="8">
        <f>IF($J56="",0,$J56)</f>
        <v/>
      </c>
    </row>
    <row r="57">
      <c r="A57" s="8">
        <f>IF($G57="","","SS-"&amp;TEXT(ROW()-4,"0000"))</f>
        <v/>
      </c>
      <c r="B57" s="9" t="n"/>
      <c r="C57" s="9" t="n"/>
      <c r="D57" s="9" t="n"/>
      <c r="E57" s="10" t="n"/>
      <c r="F57" s="11" t="n"/>
      <c r="G57" s="12">
        <f>IF($F57="","",IF($F57&gt;31,$F57,IF($AB57="","",DATE(YEAR($AB57),MONTH($AB57),$F57))))</f>
        <v/>
      </c>
      <c r="H57" s="9" t="n"/>
      <c r="I57" s="11" t="n"/>
      <c r="J57" s="12">
        <f>IF($I57="","",IF($I57&gt;31,$I57,IF($G57="","",IF(DATE(YEAR($G57),MONTH($G57),$I57)&gt;=$G57,DATE(YEAR($G57),MONTH($G57),$I57),DATE(YEAR($G57),MONTH($G57)+1,$I57)))))</f>
        <v/>
      </c>
      <c r="K57" s="9" t="n"/>
      <c r="L57" s="13" t="n"/>
      <c r="M57" s="13" t="n"/>
      <c r="N57" s="13" t="n"/>
      <c r="O57" s="8">
        <f>IF(OR($G57="",$J57=""),"",$J57-$G57+1)</f>
        <v/>
      </c>
      <c r="P57" s="8">
        <f>IF(OR($G57="",$J57=""),"",$J57-$G57)</f>
        <v/>
      </c>
      <c r="Q57" s="9" t="n"/>
      <c r="R57" s="9" t="n"/>
      <c r="S57" s="9" t="n"/>
      <c r="T57" s="9" t="n"/>
      <c r="U57" s="9" t="n"/>
      <c r="V57" s="9" t="n"/>
      <c r="W57" s="14" t="n"/>
      <c r="X57" s="9" t="n"/>
      <c r="Y57" s="8">
        <f>IF($G57="","",IF($D57="","⚠部屋が未選択",IF(COUNTIF('M_部屋'!$A$4:$A$20,$D57)=0,"⚠部屋が未登録",IF(OR($J57="",$Q57="キャンセル"),"",IF(SUMPRODUCT(($D$5:$D$404=$D57)*($G$5:$G$404&lt;&gt;"")*($J$5:$J$404&lt;&gt;"")*($Q$5:$Q$404&lt;&gt;"キャンセル")*($G$5:$G$404&lt;$J57)*($J$5:$J$404&gt;$G57))&gt;1,"⚠重複","")))))</f>
        <v/>
      </c>
      <c r="Z57" s="8">
        <f>IF(OR($B57="",$G57=""),"",IF(SUMPRODUCT(('利用者マスタ'!$A$4:$A$60=$B57)*('利用者マスタ'!$B$4:$B$60&lt;&gt;""))=0,"",IF(SUMIFS($AA$5:$AA$404,$B$5:$B$404,$B57,$G$5:$G$404,"&gt;="&amp;DATE(YEAR($G57),MONTH($G57),1),$G$5:$G$404,"&lt;="&amp;EOMONTH($G57,0))&gt;SUMIFS('利用者マスタ'!$B$4:$B$60,'利用者マスタ'!$A$4:$A$60,$B57),"⚠支給量超過","")))</f>
        <v/>
      </c>
      <c r="AA57" s="8">
        <f>IF(OR($G57="",$J57="",$Q57="キャンセル"),0,IF(IFERROR(INDEX('M_区分'!$B$4:$B$20,MATCH($C57,'M_区分'!$A$4:$A$20,0)),"○")="○",$J57-$G57+1,0))</f>
        <v/>
      </c>
      <c r="AB57" s="8">
        <f>IF($E57&lt;&gt;"",$E57,$AB56)</f>
        <v/>
      </c>
      <c r="AC57" s="8">
        <f>IF(OR($G57="",$J57=""),"",IF(AND($G57&lt;=EOMONTH('02_カレンダー'!$B$4,0),$J57&gt;='02_カレンダー'!$B$4),$G57*10000+ROW(),""))</f>
        <v/>
      </c>
      <c r="AD57" s="8">
        <f>IF($H57="","",IF(ISNUMBER($H57),IF(AND($H57=INT($H57),$H57&gt;=0,$H57&lt;=24),TEXT(INT($H57),"00")&amp;":00",TEXT($H57,"hh:mm")),$H57))</f>
        <v/>
      </c>
      <c r="AE57" s="8">
        <f>IF($K57="","",IF(ISNUMBER($K57),IF(AND($K57=INT($K57),$K57&gt;=0,$K57&lt;=24),TEXT(INT($K57),"00")&amp;":00",TEXT($K57,"hh:mm")),$K57))</f>
        <v/>
      </c>
      <c r="AF57" s="8">
        <f>IF($G57="",0,$G57)</f>
        <v/>
      </c>
      <c r="AG57" s="8">
        <f>IF($J57="",0,$J57)</f>
        <v/>
      </c>
    </row>
    <row r="58">
      <c r="A58" s="8">
        <f>IF($G58="","","SS-"&amp;TEXT(ROW()-4,"0000"))</f>
        <v/>
      </c>
      <c r="B58" s="9" t="n"/>
      <c r="C58" s="9" t="n"/>
      <c r="D58" s="9" t="n"/>
      <c r="E58" s="10" t="n"/>
      <c r="F58" s="11" t="n"/>
      <c r="G58" s="12">
        <f>IF($F58="","",IF($F58&gt;31,$F58,IF($AB58="","",DATE(YEAR($AB58),MONTH($AB58),$F58))))</f>
        <v/>
      </c>
      <c r="H58" s="9" t="n"/>
      <c r="I58" s="11" t="n"/>
      <c r="J58" s="12">
        <f>IF($I58="","",IF($I58&gt;31,$I58,IF($G58="","",IF(DATE(YEAR($G58),MONTH($G58),$I58)&gt;=$G58,DATE(YEAR($G58),MONTH($G58),$I58),DATE(YEAR($G58),MONTH($G58)+1,$I58)))))</f>
        <v/>
      </c>
      <c r="K58" s="9" t="n"/>
      <c r="L58" s="13" t="n"/>
      <c r="M58" s="13" t="n"/>
      <c r="N58" s="13" t="n"/>
      <c r="O58" s="8">
        <f>IF(OR($G58="",$J58=""),"",$J58-$G58+1)</f>
        <v/>
      </c>
      <c r="P58" s="8">
        <f>IF(OR($G58="",$J58=""),"",$J58-$G58)</f>
        <v/>
      </c>
      <c r="Q58" s="9" t="n"/>
      <c r="R58" s="9" t="n"/>
      <c r="S58" s="9" t="n"/>
      <c r="T58" s="9" t="n"/>
      <c r="U58" s="9" t="n"/>
      <c r="V58" s="9" t="n"/>
      <c r="W58" s="14" t="n"/>
      <c r="X58" s="9" t="n"/>
      <c r="Y58" s="8">
        <f>IF($G58="","",IF($D58="","⚠部屋が未選択",IF(COUNTIF('M_部屋'!$A$4:$A$20,$D58)=0,"⚠部屋が未登録",IF(OR($J58="",$Q58="キャンセル"),"",IF(SUMPRODUCT(($D$5:$D$404=$D58)*($G$5:$G$404&lt;&gt;"")*($J$5:$J$404&lt;&gt;"")*($Q$5:$Q$404&lt;&gt;"キャンセル")*($G$5:$G$404&lt;$J58)*($J$5:$J$404&gt;$G58))&gt;1,"⚠重複","")))))</f>
        <v/>
      </c>
      <c r="Z58" s="8">
        <f>IF(OR($B58="",$G58=""),"",IF(SUMPRODUCT(('利用者マスタ'!$A$4:$A$60=$B58)*('利用者マスタ'!$B$4:$B$60&lt;&gt;""))=0,"",IF(SUMIFS($AA$5:$AA$404,$B$5:$B$404,$B58,$G$5:$G$404,"&gt;="&amp;DATE(YEAR($G58),MONTH($G58),1),$G$5:$G$404,"&lt;="&amp;EOMONTH($G58,0))&gt;SUMIFS('利用者マスタ'!$B$4:$B$60,'利用者マスタ'!$A$4:$A$60,$B58),"⚠支給量超過","")))</f>
        <v/>
      </c>
      <c r="AA58" s="8">
        <f>IF(OR($G58="",$J58="",$Q58="キャンセル"),0,IF(IFERROR(INDEX('M_区分'!$B$4:$B$20,MATCH($C58,'M_区分'!$A$4:$A$20,0)),"○")="○",$J58-$G58+1,0))</f>
        <v/>
      </c>
      <c r="AB58" s="8">
        <f>IF($E58&lt;&gt;"",$E58,$AB57)</f>
        <v/>
      </c>
      <c r="AC58" s="8">
        <f>IF(OR($G58="",$J58=""),"",IF(AND($G58&lt;=EOMONTH('02_カレンダー'!$B$4,0),$J58&gt;='02_カレンダー'!$B$4),$G58*10000+ROW(),""))</f>
        <v/>
      </c>
      <c r="AD58" s="8">
        <f>IF($H58="","",IF(ISNUMBER($H58),IF(AND($H58=INT($H58),$H58&gt;=0,$H58&lt;=24),TEXT(INT($H58),"00")&amp;":00",TEXT($H58,"hh:mm")),$H58))</f>
        <v/>
      </c>
      <c r="AE58" s="8">
        <f>IF($K58="","",IF(ISNUMBER($K58),IF(AND($K58=INT($K58),$K58&gt;=0,$K58&lt;=24),TEXT(INT($K58),"00")&amp;":00",TEXT($K58,"hh:mm")),$K58))</f>
        <v/>
      </c>
      <c r="AF58" s="8">
        <f>IF($G58="",0,$G58)</f>
        <v/>
      </c>
      <c r="AG58" s="8">
        <f>IF($J58="",0,$J58)</f>
        <v/>
      </c>
    </row>
    <row r="59">
      <c r="A59" s="8">
        <f>IF($G59="","","SS-"&amp;TEXT(ROW()-4,"0000"))</f>
        <v/>
      </c>
      <c r="B59" s="9" t="n"/>
      <c r="C59" s="9" t="n"/>
      <c r="D59" s="9" t="n"/>
      <c r="E59" s="10" t="n"/>
      <c r="F59" s="11" t="n"/>
      <c r="G59" s="12">
        <f>IF($F59="","",IF($F59&gt;31,$F59,IF($AB59="","",DATE(YEAR($AB59),MONTH($AB59),$F59))))</f>
        <v/>
      </c>
      <c r="H59" s="9" t="n"/>
      <c r="I59" s="11" t="n"/>
      <c r="J59" s="12">
        <f>IF($I59="","",IF($I59&gt;31,$I59,IF($G59="","",IF(DATE(YEAR($G59),MONTH($G59),$I59)&gt;=$G59,DATE(YEAR($G59),MONTH($G59),$I59),DATE(YEAR($G59),MONTH($G59)+1,$I59)))))</f>
        <v/>
      </c>
      <c r="K59" s="9" t="n"/>
      <c r="L59" s="13" t="n"/>
      <c r="M59" s="13" t="n"/>
      <c r="N59" s="13" t="n"/>
      <c r="O59" s="8">
        <f>IF(OR($G59="",$J59=""),"",$J59-$G59+1)</f>
        <v/>
      </c>
      <c r="P59" s="8">
        <f>IF(OR($G59="",$J59=""),"",$J59-$G59)</f>
        <v/>
      </c>
      <c r="Q59" s="9" t="n"/>
      <c r="R59" s="9" t="n"/>
      <c r="S59" s="9" t="n"/>
      <c r="T59" s="9" t="n"/>
      <c r="U59" s="9" t="n"/>
      <c r="V59" s="9" t="n"/>
      <c r="W59" s="14" t="n"/>
      <c r="X59" s="9" t="n"/>
      <c r="Y59" s="8">
        <f>IF($G59="","",IF($D59="","⚠部屋が未選択",IF(COUNTIF('M_部屋'!$A$4:$A$20,$D59)=0,"⚠部屋が未登録",IF(OR($J59="",$Q59="キャンセル"),"",IF(SUMPRODUCT(($D$5:$D$404=$D59)*($G$5:$G$404&lt;&gt;"")*($J$5:$J$404&lt;&gt;"")*($Q$5:$Q$404&lt;&gt;"キャンセル")*($G$5:$G$404&lt;$J59)*($J$5:$J$404&gt;$G59))&gt;1,"⚠重複","")))))</f>
        <v/>
      </c>
      <c r="Z59" s="8">
        <f>IF(OR($B59="",$G59=""),"",IF(SUMPRODUCT(('利用者マスタ'!$A$4:$A$60=$B59)*('利用者マスタ'!$B$4:$B$60&lt;&gt;""))=0,"",IF(SUMIFS($AA$5:$AA$404,$B$5:$B$404,$B59,$G$5:$G$404,"&gt;="&amp;DATE(YEAR($G59),MONTH($G59),1),$G$5:$G$404,"&lt;="&amp;EOMONTH($G59,0))&gt;SUMIFS('利用者マスタ'!$B$4:$B$60,'利用者マスタ'!$A$4:$A$60,$B59),"⚠支給量超過","")))</f>
        <v/>
      </c>
      <c r="AA59" s="8">
        <f>IF(OR($G59="",$J59="",$Q59="キャンセル"),0,IF(IFERROR(INDEX('M_区分'!$B$4:$B$20,MATCH($C59,'M_区分'!$A$4:$A$20,0)),"○")="○",$J59-$G59+1,0))</f>
        <v/>
      </c>
      <c r="AB59" s="8">
        <f>IF($E59&lt;&gt;"",$E59,$AB58)</f>
        <v/>
      </c>
      <c r="AC59" s="8">
        <f>IF(OR($G59="",$J59=""),"",IF(AND($G59&lt;=EOMONTH('02_カレンダー'!$B$4,0),$J59&gt;='02_カレンダー'!$B$4),$G59*10000+ROW(),""))</f>
        <v/>
      </c>
      <c r="AD59" s="8">
        <f>IF($H59="","",IF(ISNUMBER($H59),IF(AND($H59=INT($H59),$H59&gt;=0,$H59&lt;=24),TEXT(INT($H59),"00")&amp;":00",TEXT($H59,"hh:mm")),$H59))</f>
        <v/>
      </c>
      <c r="AE59" s="8">
        <f>IF($K59="","",IF(ISNUMBER($K59),IF(AND($K59=INT($K59),$K59&gt;=0,$K59&lt;=24),TEXT(INT($K59),"00")&amp;":00",TEXT($K59,"hh:mm")),$K59))</f>
        <v/>
      </c>
      <c r="AF59" s="8">
        <f>IF($G59="",0,$G59)</f>
        <v/>
      </c>
      <c r="AG59" s="8">
        <f>IF($J59="",0,$J59)</f>
        <v/>
      </c>
    </row>
    <row r="60">
      <c r="A60" s="8">
        <f>IF($G60="","","SS-"&amp;TEXT(ROW()-4,"0000"))</f>
        <v/>
      </c>
      <c r="B60" s="9" t="n"/>
      <c r="C60" s="9" t="n"/>
      <c r="D60" s="9" t="n"/>
      <c r="E60" s="10" t="n"/>
      <c r="F60" s="11" t="n"/>
      <c r="G60" s="12">
        <f>IF($F60="","",IF($F60&gt;31,$F60,IF($AB60="","",DATE(YEAR($AB60),MONTH($AB60),$F60))))</f>
        <v/>
      </c>
      <c r="H60" s="9" t="n"/>
      <c r="I60" s="11" t="n"/>
      <c r="J60" s="12">
        <f>IF($I60="","",IF($I60&gt;31,$I60,IF($G60="","",IF(DATE(YEAR($G60),MONTH($G60),$I60)&gt;=$G60,DATE(YEAR($G60),MONTH($G60),$I60),DATE(YEAR($G60),MONTH($G60)+1,$I60)))))</f>
        <v/>
      </c>
      <c r="K60" s="9" t="n"/>
      <c r="L60" s="13" t="n"/>
      <c r="M60" s="13" t="n"/>
      <c r="N60" s="13" t="n"/>
      <c r="O60" s="8">
        <f>IF(OR($G60="",$J60=""),"",$J60-$G60+1)</f>
        <v/>
      </c>
      <c r="P60" s="8">
        <f>IF(OR($G60="",$J60=""),"",$J60-$G60)</f>
        <v/>
      </c>
      <c r="Q60" s="9" t="n"/>
      <c r="R60" s="9" t="n"/>
      <c r="S60" s="9" t="n"/>
      <c r="T60" s="9" t="n"/>
      <c r="U60" s="9" t="n"/>
      <c r="V60" s="9" t="n"/>
      <c r="W60" s="14" t="n"/>
      <c r="X60" s="9" t="n"/>
      <c r="Y60" s="8">
        <f>IF($G60="","",IF($D60="","⚠部屋が未選択",IF(COUNTIF('M_部屋'!$A$4:$A$20,$D60)=0,"⚠部屋が未登録",IF(OR($J60="",$Q60="キャンセル"),"",IF(SUMPRODUCT(($D$5:$D$404=$D60)*($G$5:$G$404&lt;&gt;"")*($J$5:$J$404&lt;&gt;"")*($Q$5:$Q$404&lt;&gt;"キャンセル")*($G$5:$G$404&lt;$J60)*($J$5:$J$404&gt;$G60))&gt;1,"⚠重複","")))))</f>
        <v/>
      </c>
      <c r="Z60" s="8">
        <f>IF(OR($B60="",$G60=""),"",IF(SUMPRODUCT(('利用者マスタ'!$A$4:$A$60=$B60)*('利用者マスタ'!$B$4:$B$60&lt;&gt;""))=0,"",IF(SUMIFS($AA$5:$AA$404,$B$5:$B$404,$B60,$G$5:$G$404,"&gt;="&amp;DATE(YEAR($G60),MONTH($G60),1),$G$5:$G$404,"&lt;="&amp;EOMONTH($G60,0))&gt;SUMIFS('利用者マスタ'!$B$4:$B$60,'利用者マスタ'!$A$4:$A$60,$B60),"⚠支給量超過","")))</f>
        <v/>
      </c>
      <c r="AA60" s="8">
        <f>IF(OR($G60="",$J60="",$Q60="キャンセル"),0,IF(IFERROR(INDEX('M_区分'!$B$4:$B$20,MATCH($C60,'M_区分'!$A$4:$A$20,0)),"○")="○",$J60-$G60+1,0))</f>
        <v/>
      </c>
      <c r="AB60" s="8">
        <f>IF($E60&lt;&gt;"",$E60,$AB59)</f>
        <v/>
      </c>
      <c r="AC60" s="8">
        <f>IF(OR($G60="",$J60=""),"",IF(AND($G60&lt;=EOMONTH('02_カレンダー'!$B$4,0),$J60&gt;='02_カレンダー'!$B$4),$G60*10000+ROW(),""))</f>
        <v/>
      </c>
      <c r="AD60" s="8">
        <f>IF($H60="","",IF(ISNUMBER($H60),IF(AND($H60=INT($H60),$H60&gt;=0,$H60&lt;=24),TEXT(INT($H60),"00")&amp;":00",TEXT($H60,"hh:mm")),$H60))</f>
        <v/>
      </c>
      <c r="AE60" s="8">
        <f>IF($K60="","",IF(ISNUMBER($K60),IF(AND($K60=INT($K60),$K60&gt;=0,$K60&lt;=24),TEXT(INT($K60),"00")&amp;":00",TEXT($K60,"hh:mm")),$K60))</f>
        <v/>
      </c>
      <c r="AF60" s="8">
        <f>IF($G60="",0,$G60)</f>
        <v/>
      </c>
      <c r="AG60" s="8">
        <f>IF($J60="",0,$J60)</f>
        <v/>
      </c>
    </row>
    <row r="61">
      <c r="A61" s="8">
        <f>IF($G61="","","SS-"&amp;TEXT(ROW()-4,"0000"))</f>
        <v/>
      </c>
      <c r="B61" s="9" t="n"/>
      <c r="C61" s="9" t="n"/>
      <c r="D61" s="9" t="n"/>
      <c r="E61" s="10" t="n"/>
      <c r="F61" s="11" t="n"/>
      <c r="G61" s="12">
        <f>IF($F61="","",IF($F61&gt;31,$F61,IF($AB61="","",DATE(YEAR($AB61),MONTH($AB61),$F61))))</f>
        <v/>
      </c>
      <c r="H61" s="9" t="n"/>
      <c r="I61" s="11" t="n"/>
      <c r="J61" s="12">
        <f>IF($I61="","",IF($I61&gt;31,$I61,IF($G61="","",IF(DATE(YEAR($G61),MONTH($G61),$I61)&gt;=$G61,DATE(YEAR($G61),MONTH($G61),$I61),DATE(YEAR($G61),MONTH($G61)+1,$I61)))))</f>
        <v/>
      </c>
      <c r="K61" s="9" t="n"/>
      <c r="L61" s="13" t="n"/>
      <c r="M61" s="13" t="n"/>
      <c r="N61" s="13" t="n"/>
      <c r="O61" s="8">
        <f>IF(OR($G61="",$J61=""),"",$J61-$G61+1)</f>
        <v/>
      </c>
      <c r="P61" s="8">
        <f>IF(OR($G61="",$J61=""),"",$J61-$G61)</f>
        <v/>
      </c>
      <c r="Q61" s="9" t="n"/>
      <c r="R61" s="9" t="n"/>
      <c r="S61" s="9" t="n"/>
      <c r="T61" s="9" t="n"/>
      <c r="U61" s="9" t="n"/>
      <c r="V61" s="9" t="n"/>
      <c r="W61" s="14" t="n"/>
      <c r="X61" s="9" t="n"/>
      <c r="Y61" s="8">
        <f>IF($G61="","",IF($D61="","⚠部屋が未選択",IF(COUNTIF('M_部屋'!$A$4:$A$20,$D61)=0,"⚠部屋が未登録",IF(OR($J61="",$Q61="キャンセル"),"",IF(SUMPRODUCT(($D$5:$D$404=$D61)*($G$5:$G$404&lt;&gt;"")*($J$5:$J$404&lt;&gt;"")*($Q$5:$Q$404&lt;&gt;"キャンセル")*($G$5:$G$404&lt;$J61)*($J$5:$J$404&gt;$G61))&gt;1,"⚠重複","")))))</f>
        <v/>
      </c>
      <c r="Z61" s="8">
        <f>IF(OR($B61="",$G61=""),"",IF(SUMPRODUCT(('利用者マスタ'!$A$4:$A$60=$B61)*('利用者マスタ'!$B$4:$B$60&lt;&gt;""))=0,"",IF(SUMIFS($AA$5:$AA$404,$B$5:$B$404,$B61,$G$5:$G$404,"&gt;="&amp;DATE(YEAR($G61),MONTH($G61),1),$G$5:$G$404,"&lt;="&amp;EOMONTH($G61,0))&gt;SUMIFS('利用者マスタ'!$B$4:$B$60,'利用者マスタ'!$A$4:$A$60,$B61),"⚠支給量超過","")))</f>
        <v/>
      </c>
      <c r="AA61" s="8">
        <f>IF(OR($G61="",$J61="",$Q61="キャンセル"),0,IF(IFERROR(INDEX('M_区分'!$B$4:$B$20,MATCH($C61,'M_区分'!$A$4:$A$20,0)),"○")="○",$J61-$G61+1,0))</f>
        <v/>
      </c>
      <c r="AB61" s="8">
        <f>IF($E61&lt;&gt;"",$E61,$AB60)</f>
        <v/>
      </c>
      <c r="AC61" s="8">
        <f>IF(OR($G61="",$J61=""),"",IF(AND($G61&lt;=EOMONTH('02_カレンダー'!$B$4,0),$J61&gt;='02_カレンダー'!$B$4),$G61*10000+ROW(),""))</f>
        <v/>
      </c>
      <c r="AD61" s="8">
        <f>IF($H61="","",IF(ISNUMBER($H61),IF(AND($H61=INT($H61),$H61&gt;=0,$H61&lt;=24),TEXT(INT($H61),"00")&amp;":00",TEXT($H61,"hh:mm")),$H61))</f>
        <v/>
      </c>
      <c r="AE61" s="8">
        <f>IF($K61="","",IF(ISNUMBER($K61),IF(AND($K61=INT($K61),$K61&gt;=0,$K61&lt;=24),TEXT(INT($K61),"00")&amp;":00",TEXT($K61,"hh:mm")),$K61))</f>
        <v/>
      </c>
      <c r="AF61" s="8">
        <f>IF($G61="",0,$G61)</f>
        <v/>
      </c>
      <c r="AG61" s="8">
        <f>IF($J61="",0,$J61)</f>
        <v/>
      </c>
    </row>
    <row r="62">
      <c r="A62" s="8">
        <f>IF($G62="","","SS-"&amp;TEXT(ROW()-4,"0000"))</f>
        <v/>
      </c>
      <c r="B62" s="9" t="n"/>
      <c r="C62" s="9" t="n"/>
      <c r="D62" s="9" t="n"/>
      <c r="E62" s="10" t="n"/>
      <c r="F62" s="11" t="n"/>
      <c r="G62" s="12">
        <f>IF($F62="","",IF($F62&gt;31,$F62,IF($AB62="","",DATE(YEAR($AB62),MONTH($AB62),$F62))))</f>
        <v/>
      </c>
      <c r="H62" s="9" t="n"/>
      <c r="I62" s="11" t="n"/>
      <c r="J62" s="12">
        <f>IF($I62="","",IF($I62&gt;31,$I62,IF($G62="","",IF(DATE(YEAR($G62),MONTH($G62),$I62)&gt;=$G62,DATE(YEAR($G62),MONTH($G62),$I62),DATE(YEAR($G62),MONTH($G62)+1,$I62)))))</f>
        <v/>
      </c>
      <c r="K62" s="9" t="n"/>
      <c r="L62" s="13" t="n"/>
      <c r="M62" s="13" t="n"/>
      <c r="N62" s="13" t="n"/>
      <c r="O62" s="8">
        <f>IF(OR($G62="",$J62=""),"",$J62-$G62+1)</f>
        <v/>
      </c>
      <c r="P62" s="8">
        <f>IF(OR($G62="",$J62=""),"",$J62-$G62)</f>
        <v/>
      </c>
      <c r="Q62" s="9" t="n"/>
      <c r="R62" s="9" t="n"/>
      <c r="S62" s="9" t="n"/>
      <c r="T62" s="9" t="n"/>
      <c r="U62" s="9" t="n"/>
      <c r="V62" s="9" t="n"/>
      <c r="W62" s="14" t="n"/>
      <c r="X62" s="9" t="n"/>
      <c r="Y62" s="8">
        <f>IF($G62="","",IF($D62="","⚠部屋が未選択",IF(COUNTIF('M_部屋'!$A$4:$A$20,$D62)=0,"⚠部屋が未登録",IF(OR($J62="",$Q62="キャンセル"),"",IF(SUMPRODUCT(($D$5:$D$404=$D62)*($G$5:$G$404&lt;&gt;"")*($J$5:$J$404&lt;&gt;"")*($Q$5:$Q$404&lt;&gt;"キャンセル")*($G$5:$G$404&lt;$J62)*($J$5:$J$404&gt;$G62))&gt;1,"⚠重複","")))))</f>
        <v/>
      </c>
      <c r="Z62" s="8">
        <f>IF(OR($B62="",$G62=""),"",IF(SUMPRODUCT(('利用者マスタ'!$A$4:$A$60=$B62)*('利用者マスタ'!$B$4:$B$60&lt;&gt;""))=0,"",IF(SUMIFS($AA$5:$AA$404,$B$5:$B$404,$B62,$G$5:$G$404,"&gt;="&amp;DATE(YEAR($G62),MONTH($G62),1),$G$5:$G$404,"&lt;="&amp;EOMONTH($G62,0))&gt;SUMIFS('利用者マスタ'!$B$4:$B$60,'利用者マスタ'!$A$4:$A$60,$B62),"⚠支給量超過","")))</f>
        <v/>
      </c>
      <c r="AA62" s="8">
        <f>IF(OR($G62="",$J62="",$Q62="キャンセル"),0,IF(IFERROR(INDEX('M_区分'!$B$4:$B$20,MATCH($C62,'M_区分'!$A$4:$A$20,0)),"○")="○",$J62-$G62+1,0))</f>
        <v/>
      </c>
      <c r="AB62" s="8">
        <f>IF($E62&lt;&gt;"",$E62,$AB61)</f>
        <v/>
      </c>
      <c r="AC62" s="8">
        <f>IF(OR($G62="",$J62=""),"",IF(AND($G62&lt;=EOMONTH('02_カレンダー'!$B$4,0),$J62&gt;='02_カレンダー'!$B$4),$G62*10000+ROW(),""))</f>
        <v/>
      </c>
      <c r="AD62" s="8">
        <f>IF($H62="","",IF(ISNUMBER($H62),IF(AND($H62=INT($H62),$H62&gt;=0,$H62&lt;=24),TEXT(INT($H62),"00")&amp;":00",TEXT($H62,"hh:mm")),$H62))</f>
        <v/>
      </c>
      <c r="AE62" s="8">
        <f>IF($K62="","",IF(ISNUMBER($K62),IF(AND($K62=INT($K62),$K62&gt;=0,$K62&lt;=24),TEXT(INT($K62),"00")&amp;":00",TEXT($K62,"hh:mm")),$K62))</f>
        <v/>
      </c>
      <c r="AF62" s="8">
        <f>IF($G62="",0,$G62)</f>
        <v/>
      </c>
      <c r="AG62" s="8">
        <f>IF($J62="",0,$J62)</f>
        <v/>
      </c>
    </row>
    <row r="63">
      <c r="A63" s="8">
        <f>IF($G63="","","SS-"&amp;TEXT(ROW()-4,"0000"))</f>
        <v/>
      </c>
      <c r="B63" s="9" t="n"/>
      <c r="C63" s="9" t="n"/>
      <c r="D63" s="9" t="n"/>
      <c r="E63" s="10" t="n"/>
      <c r="F63" s="11" t="n"/>
      <c r="G63" s="12">
        <f>IF($F63="","",IF($F63&gt;31,$F63,IF($AB63="","",DATE(YEAR($AB63),MONTH($AB63),$F63))))</f>
        <v/>
      </c>
      <c r="H63" s="9" t="n"/>
      <c r="I63" s="11" t="n"/>
      <c r="J63" s="12">
        <f>IF($I63="","",IF($I63&gt;31,$I63,IF($G63="","",IF(DATE(YEAR($G63),MONTH($G63),$I63)&gt;=$G63,DATE(YEAR($G63),MONTH($G63),$I63),DATE(YEAR($G63),MONTH($G63)+1,$I63)))))</f>
        <v/>
      </c>
      <c r="K63" s="9" t="n"/>
      <c r="L63" s="13" t="n"/>
      <c r="M63" s="13" t="n"/>
      <c r="N63" s="13" t="n"/>
      <c r="O63" s="8">
        <f>IF(OR($G63="",$J63=""),"",$J63-$G63+1)</f>
        <v/>
      </c>
      <c r="P63" s="8">
        <f>IF(OR($G63="",$J63=""),"",$J63-$G63)</f>
        <v/>
      </c>
      <c r="Q63" s="9" t="n"/>
      <c r="R63" s="9" t="n"/>
      <c r="S63" s="9" t="n"/>
      <c r="T63" s="9" t="n"/>
      <c r="U63" s="9" t="n"/>
      <c r="V63" s="9" t="n"/>
      <c r="W63" s="14" t="n"/>
      <c r="X63" s="9" t="n"/>
      <c r="Y63" s="8">
        <f>IF($G63="","",IF($D63="","⚠部屋が未選択",IF(COUNTIF('M_部屋'!$A$4:$A$20,$D63)=0,"⚠部屋が未登録",IF(OR($J63="",$Q63="キャンセル"),"",IF(SUMPRODUCT(($D$5:$D$404=$D63)*($G$5:$G$404&lt;&gt;"")*($J$5:$J$404&lt;&gt;"")*($Q$5:$Q$404&lt;&gt;"キャンセル")*($G$5:$G$404&lt;$J63)*($J$5:$J$404&gt;$G63))&gt;1,"⚠重複","")))))</f>
        <v/>
      </c>
      <c r="Z63" s="8">
        <f>IF(OR($B63="",$G63=""),"",IF(SUMPRODUCT(('利用者マスタ'!$A$4:$A$60=$B63)*('利用者マスタ'!$B$4:$B$60&lt;&gt;""))=0,"",IF(SUMIFS($AA$5:$AA$404,$B$5:$B$404,$B63,$G$5:$G$404,"&gt;="&amp;DATE(YEAR($G63),MONTH($G63),1),$G$5:$G$404,"&lt;="&amp;EOMONTH($G63,0))&gt;SUMIFS('利用者マスタ'!$B$4:$B$60,'利用者マスタ'!$A$4:$A$60,$B63),"⚠支給量超過","")))</f>
        <v/>
      </c>
      <c r="AA63" s="8">
        <f>IF(OR($G63="",$J63="",$Q63="キャンセル"),0,IF(IFERROR(INDEX('M_区分'!$B$4:$B$20,MATCH($C63,'M_区分'!$A$4:$A$20,0)),"○")="○",$J63-$G63+1,0))</f>
        <v/>
      </c>
      <c r="AB63" s="8">
        <f>IF($E63&lt;&gt;"",$E63,$AB62)</f>
        <v/>
      </c>
      <c r="AC63" s="8">
        <f>IF(OR($G63="",$J63=""),"",IF(AND($G63&lt;=EOMONTH('02_カレンダー'!$B$4,0),$J63&gt;='02_カレンダー'!$B$4),$G63*10000+ROW(),""))</f>
        <v/>
      </c>
      <c r="AD63" s="8">
        <f>IF($H63="","",IF(ISNUMBER($H63),IF(AND($H63=INT($H63),$H63&gt;=0,$H63&lt;=24),TEXT(INT($H63),"00")&amp;":00",TEXT($H63,"hh:mm")),$H63))</f>
        <v/>
      </c>
      <c r="AE63" s="8">
        <f>IF($K63="","",IF(ISNUMBER($K63),IF(AND($K63=INT($K63),$K63&gt;=0,$K63&lt;=24),TEXT(INT($K63),"00")&amp;":00",TEXT($K63,"hh:mm")),$K63))</f>
        <v/>
      </c>
      <c r="AF63" s="8">
        <f>IF($G63="",0,$G63)</f>
        <v/>
      </c>
      <c r="AG63" s="8">
        <f>IF($J63="",0,$J63)</f>
        <v/>
      </c>
    </row>
    <row r="64">
      <c r="A64" s="8">
        <f>IF($G64="","","SS-"&amp;TEXT(ROW()-4,"0000"))</f>
        <v/>
      </c>
      <c r="B64" s="9" t="n"/>
      <c r="C64" s="9" t="n"/>
      <c r="D64" s="9" t="n"/>
      <c r="E64" s="10" t="n"/>
      <c r="F64" s="11" t="n"/>
      <c r="G64" s="12">
        <f>IF($F64="","",IF($F64&gt;31,$F64,IF($AB64="","",DATE(YEAR($AB64),MONTH($AB64),$F64))))</f>
        <v/>
      </c>
      <c r="H64" s="9" t="n"/>
      <c r="I64" s="11" t="n"/>
      <c r="J64" s="12">
        <f>IF($I64="","",IF($I64&gt;31,$I64,IF($G64="","",IF(DATE(YEAR($G64),MONTH($G64),$I64)&gt;=$G64,DATE(YEAR($G64),MONTH($G64),$I64),DATE(YEAR($G64),MONTH($G64)+1,$I64)))))</f>
        <v/>
      </c>
      <c r="K64" s="9" t="n"/>
      <c r="L64" s="13" t="n"/>
      <c r="M64" s="13" t="n"/>
      <c r="N64" s="13" t="n"/>
      <c r="O64" s="8">
        <f>IF(OR($G64="",$J64=""),"",$J64-$G64+1)</f>
        <v/>
      </c>
      <c r="P64" s="8">
        <f>IF(OR($G64="",$J64=""),"",$J64-$G64)</f>
        <v/>
      </c>
      <c r="Q64" s="9" t="n"/>
      <c r="R64" s="9" t="n"/>
      <c r="S64" s="9" t="n"/>
      <c r="T64" s="9" t="n"/>
      <c r="U64" s="9" t="n"/>
      <c r="V64" s="9" t="n"/>
      <c r="W64" s="14" t="n"/>
      <c r="X64" s="9" t="n"/>
      <c r="Y64" s="8">
        <f>IF($G64="","",IF($D64="","⚠部屋が未選択",IF(COUNTIF('M_部屋'!$A$4:$A$20,$D64)=0,"⚠部屋が未登録",IF(OR($J64="",$Q64="キャンセル"),"",IF(SUMPRODUCT(($D$5:$D$404=$D64)*($G$5:$G$404&lt;&gt;"")*($J$5:$J$404&lt;&gt;"")*($Q$5:$Q$404&lt;&gt;"キャンセル")*($G$5:$G$404&lt;$J64)*($J$5:$J$404&gt;$G64))&gt;1,"⚠重複","")))))</f>
        <v/>
      </c>
      <c r="Z64" s="8">
        <f>IF(OR($B64="",$G64=""),"",IF(SUMPRODUCT(('利用者マスタ'!$A$4:$A$60=$B64)*('利用者マスタ'!$B$4:$B$60&lt;&gt;""))=0,"",IF(SUMIFS($AA$5:$AA$404,$B$5:$B$404,$B64,$G$5:$G$404,"&gt;="&amp;DATE(YEAR($G64),MONTH($G64),1),$G$5:$G$404,"&lt;="&amp;EOMONTH($G64,0))&gt;SUMIFS('利用者マスタ'!$B$4:$B$60,'利用者マスタ'!$A$4:$A$60,$B64),"⚠支給量超過","")))</f>
        <v/>
      </c>
      <c r="AA64" s="8">
        <f>IF(OR($G64="",$J64="",$Q64="キャンセル"),0,IF(IFERROR(INDEX('M_区分'!$B$4:$B$20,MATCH($C64,'M_区分'!$A$4:$A$20,0)),"○")="○",$J64-$G64+1,0))</f>
        <v/>
      </c>
      <c r="AB64" s="8">
        <f>IF($E64&lt;&gt;"",$E64,$AB63)</f>
        <v/>
      </c>
      <c r="AC64" s="8">
        <f>IF(OR($G64="",$J64=""),"",IF(AND($G64&lt;=EOMONTH('02_カレンダー'!$B$4,0),$J64&gt;='02_カレンダー'!$B$4),$G64*10000+ROW(),""))</f>
        <v/>
      </c>
      <c r="AD64" s="8">
        <f>IF($H64="","",IF(ISNUMBER($H64),IF(AND($H64=INT($H64),$H64&gt;=0,$H64&lt;=24),TEXT(INT($H64),"00")&amp;":00",TEXT($H64,"hh:mm")),$H64))</f>
        <v/>
      </c>
      <c r="AE64" s="8">
        <f>IF($K64="","",IF(ISNUMBER($K64),IF(AND($K64=INT($K64),$K64&gt;=0,$K64&lt;=24),TEXT(INT($K64),"00")&amp;":00",TEXT($K64,"hh:mm")),$K64))</f>
        <v/>
      </c>
      <c r="AF64" s="8">
        <f>IF($G64="",0,$G64)</f>
        <v/>
      </c>
      <c r="AG64" s="8">
        <f>IF($J64="",0,$J64)</f>
        <v/>
      </c>
    </row>
    <row r="65">
      <c r="A65" s="8">
        <f>IF($G65="","","SS-"&amp;TEXT(ROW()-4,"0000"))</f>
        <v/>
      </c>
      <c r="B65" s="9" t="n"/>
      <c r="C65" s="9" t="n"/>
      <c r="D65" s="9" t="n"/>
      <c r="E65" s="10" t="n"/>
      <c r="F65" s="11" t="n"/>
      <c r="G65" s="12">
        <f>IF($F65="","",IF($F65&gt;31,$F65,IF($AB65="","",DATE(YEAR($AB65),MONTH($AB65),$F65))))</f>
        <v/>
      </c>
      <c r="H65" s="9" t="n"/>
      <c r="I65" s="11" t="n"/>
      <c r="J65" s="12">
        <f>IF($I65="","",IF($I65&gt;31,$I65,IF($G65="","",IF(DATE(YEAR($G65),MONTH($G65),$I65)&gt;=$G65,DATE(YEAR($G65),MONTH($G65),$I65),DATE(YEAR($G65),MONTH($G65)+1,$I65)))))</f>
        <v/>
      </c>
      <c r="K65" s="9" t="n"/>
      <c r="L65" s="13" t="n"/>
      <c r="M65" s="13" t="n"/>
      <c r="N65" s="13" t="n"/>
      <c r="O65" s="8">
        <f>IF(OR($G65="",$J65=""),"",$J65-$G65+1)</f>
        <v/>
      </c>
      <c r="P65" s="8">
        <f>IF(OR($G65="",$J65=""),"",$J65-$G65)</f>
        <v/>
      </c>
      <c r="Q65" s="9" t="n"/>
      <c r="R65" s="9" t="n"/>
      <c r="S65" s="9" t="n"/>
      <c r="T65" s="9" t="n"/>
      <c r="U65" s="9" t="n"/>
      <c r="V65" s="9" t="n"/>
      <c r="W65" s="14" t="n"/>
      <c r="X65" s="9" t="n"/>
      <c r="Y65" s="8">
        <f>IF($G65="","",IF($D65="","⚠部屋が未選択",IF(COUNTIF('M_部屋'!$A$4:$A$20,$D65)=0,"⚠部屋が未登録",IF(OR($J65="",$Q65="キャンセル"),"",IF(SUMPRODUCT(($D$5:$D$404=$D65)*($G$5:$G$404&lt;&gt;"")*($J$5:$J$404&lt;&gt;"")*($Q$5:$Q$404&lt;&gt;"キャンセル")*($G$5:$G$404&lt;$J65)*($J$5:$J$404&gt;$G65))&gt;1,"⚠重複","")))))</f>
        <v/>
      </c>
      <c r="Z65" s="8">
        <f>IF(OR($B65="",$G65=""),"",IF(SUMPRODUCT(('利用者マスタ'!$A$4:$A$60=$B65)*('利用者マスタ'!$B$4:$B$60&lt;&gt;""))=0,"",IF(SUMIFS($AA$5:$AA$404,$B$5:$B$404,$B65,$G$5:$G$404,"&gt;="&amp;DATE(YEAR($G65),MONTH($G65),1),$G$5:$G$404,"&lt;="&amp;EOMONTH($G65,0))&gt;SUMIFS('利用者マスタ'!$B$4:$B$60,'利用者マスタ'!$A$4:$A$60,$B65),"⚠支給量超過","")))</f>
        <v/>
      </c>
      <c r="AA65" s="8">
        <f>IF(OR($G65="",$J65="",$Q65="キャンセル"),0,IF(IFERROR(INDEX('M_区分'!$B$4:$B$20,MATCH($C65,'M_区分'!$A$4:$A$20,0)),"○")="○",$J65-$G65+1,0))</f>
        <v/>
      </c>
      <c r="AB65" s="8">
        <f>IF($E65&lt;&gt;"",$E65,$AB64)</f>
        <v/>
      </c>
      <c r="AC65" s="8">
        <f>IF(OR($G65="",$J65=""),"",IF(AND($G65&lt;=EOMONTH('02_カレンダー'!$B$4,0),$J65&gt;='02_カレンダー'!$B$4),$G65*10000+ROW(),""))</f>
        <v/>
      </c>
      <c r="AD65" s="8">
        <f>IF($H65="","",IF(ISNUMBER($H65),IF(AND($H65=INT($H65),$H65&gt;=0,$H65&lt;=24),TEXT(INT($H65),"00")&amp;":00",TEXT($H65,"hh:mm")),$H65))</f>
        <v/>
      </c>
      <c r="AE65" s="8">
        <f>IF($K65="","",IF(ISNUMBER($K65),IF(AND($K65=INT($K65),$K65&gt;=0,$K65&lt;=24),TEXT(INT($K65),"00")&amp;":00",TEXT($K65,"hh:mm")),$K65))</f>
        <v/>
      </c>
      <c r="AF65" s="8">
        <f>IF($G65="",0,$G65)</f>
        <v/>
      </c>
      <c r="AG65" s="8">
        <f>IF($J65="",0,$J65)</f>
        <v/>
      </c>
    </row>
    <row r="66">
      <c r="A66" s="8">
        <f>IF($G66="","","SS-"&amp;TEXT(ROW()-4,"0000"))</f>
        <v/>
      </c>
      <c r="B66" s="9" t="n"/>
      <c r="C66" s="9" t="n"/>
      <c r="D66" s="9" t="n"/>
      <c r="E66" s="10" t="n"/>
      <c r="F66" s="11" t="n"/>
      <c r="G66" s="12">
        <f>IF($F66="","",IF($F66&gt;31,$F66,IF($AB66="","",DATE(YEAR($AB66),MONTH($AB66),$F66))))</f>
        <v/>
      </c>
      <c r="H66" s="9" t="n"/>
      <c r="I66" s="11" t="n"/>
      <c r="J66" s="12">
        <f>IF($I66="","",IF($I66&gt;31,$I66,IF($G66="","",IF(DATE(YEAR($G66),MONTH($G66),$I66)&gt;=$G66,DATE(YEAR($G66),MONTH($G66),$I66),DATE(YEAR($G66),MONTH($G66)+1,$I66)))))</f>
        <v/>
      </c>
      <c r="K66" s="9" t="n"/>
      <c r="L66" s="13" t="n"/>
      <c r="M66" s="13" t="n"/>
      <c r="N66" s="13" t="n"/>
      <c r="O66" s="8">
        <f>IF(OR($G66="",$J66=""),"",$J66-$G66+1)</f>
        <v/>
      </c>
      <c r="P66" s="8">
        <f>IF(OR($G66="",$J66=""),"",$J66-$G66)</f>
        <v/>
      </c>
      <c r="Q66" s="9" t="n"/>
      <c r="R66" s="9" t="n"/>
      <c r="S66" s="9" t="n"/>
      <c r="T66" s="9" t="n"/>
      <c r="U66" s="9" t="n"/>
      <c r="V66" s="9" t="n"/>
      <c r="W66" s="14" t="n"/>
      <c r="X66" s="9" t="n"/>
      <c r="Y66" s="8">
        <f>IF($G66="","",IF($D66="","⚠部屋が未選択",IF(COUNTIF('M_部屋'!$A$4:$A$20,$D66)=0,"⚠部屋が未登録",IF(OR($J66="",$Q66="キャンセル"),"",IF(SUMPRODUCT(($D$5:$D$404=$D66)*($G$5:$G$404&lt;&gt;"")*($J$5:$J$404&lt;&gt;"")*($Q$5:$Q$404&lt;&gt;"キャンセル")*($G$5:$G$404&lt;$J66)*($J$5:$J$404&gt;$G66))&gt;1,"⚠重複","")))))</f>
        <v/>
      </c>
      <c r="Z66" s="8">
        <f>IF(OR($B66="",$G66=""),"",IF(SUMPRODUCT(('利用者マスタ'!$A$4:$A$60=$B66)*('利用者マスタ'!$B$4:$B$60&lt;&gt;""))=0,"",IF(SUMIFS($AA$5:$AA$404,$B$5:$B$404,$B66,$G$5:$G$404,"&gt;="&amp;DATE(YEAR($G66),MONTH($G66),1),$G$5:$G$404,"&lt;="&amp;EOMONTH($G66,0))&gt;SUMIFS('利用者マスタ'!$B$4:$B$60,'利用者マスタ'!$A$4:$A$60,$B66),"⚠支給量超過","")))</f>
        <v/>
      </c>
      <c r="AA66" s="8">
        <f>IF(OR($G66="",$J66="",$Q66="キャンセル"),0,IF(IFERROR(INDEX('M_区分'!$B$4:$B$20,MATCH($C66,'M_区分'!$A$4:$A$20,0)),"○")="○",$J66-$G66+1,0))</f>
        <v/>
      </c>
      <c r="AB66" s="8">
        <f>IF($E66&lt;&gt;"",$E66,$AB65)</f>
        <v/>
      </c>
      <c r="AC66" s="8">
        <f>IF(OR($G66="",$J66=""),"",IF(AND($G66&lt;=EOMONTH('02_カレンダー'!$B$4,0),$J66&gt;='02_カレンダー'!$B$4),$G66*10000+ROW(),""))</f>
        <v/>
      </c>
      <c r="AD66" s="8">
        <f>IF($H66="","",IF(ISNUMBER($H66),IF(AND($H66=INT($H66),$H66&gt;=0,$H66&lt;=24),TEXT(INT($H66),"00")&amp;":00",TEXT($H66,"hh:mm")),$H66))</f>
        <v/>
      </c>
      <c r="AE66" s="8">
        <f>IF($K66="","",IF(ISNUMBER($K66),IF(AND($K66=INT($K66),$K66&gt;=0,$K66&lt;=24),TEXT(INT($K66),"00")&amp;":00",TEXT($K66,"hh:mm")),$K66))</f>
        <v/>
      </c>
      <c r="AF66" s="8">
        <f>IF($G66="",0,$G66)</f>
        <v/>
      </c>
      <c r="AG66" s="8">
        <f>IF($J66="",0,$J66)</f>
        <v/>
      </c>
    </row>
    <row r="67">
      <c r="A67" s="8">
        <f>IF($G67="","","SS-"&amp;TEXT(ROW()-4,"0000"))</f>
        <v/>
      </c>
      <c r="B67" s="9" t="n"/>
      <c r="C67" s="9" t="n"/>
      <c r="D67" s="9" t="n"/>
      <c r="E67" s="10" t="n"/>
      <c r="F67" s="11" t="n"/>
      <c r="G67" s="12">
        <f>IF($F67="","",IF($F67&gt;31,$F67,IF($AB67="","",DATE(YEAR($AB67),MONTH($AB67),$F67))))</f>
        <v/>
      </c>
      <c r="H67" s="9" t="n"/>
      <c r="I67" s="11" t="n"/>
      <c r="J67" s="12">
        <f>IF($I67="","",IF($I67&gt;31,$I67,IF($G67="","",IF(DATE(YEAR($G67),MONTH($G67),$I67)&gt;=$G67,DATE(YEAR($G67),MONTH($G67),$I67),DATE(YEAR($G67),MONTH($G67)+1,$I67)))))</f>
        <v/>
      </c>
      <c r="K67" s="9" t="n"/>
      <c r="L67" s="13" t="n"/>
      <c r="M67" s="13" t="n"/>
      <c r="N67" s="13" t="n"/>
      <c r="O67" s="8">
        <f>IF(OR($G67="",$J67=""),"",$J67-$G67+1)</f>
        <v/>
      </c>
      <c r="P67" s="8">
        <f>IF(OR($G67="",$J67=""),"",$J67-$G67)</f>
        <v/>
      </c>
      <c r="Q67" s="9" t="n"/>
      <c r="R67" s="9" t="n"/>
      <c r="S67" s="9" t="n"/>
      <c r="T67" s="9" t="n"/>
      <c r="U67" s="9" t="n"/>
      <c r="V67" s="9" t="n"/>
      <c r="W67" s="14" t="n"/>
      <c r="X67" s="9" t="n"/>
      <c r="Y67" s="8">
        <f>IF($G67="","",IF($D67="","⚠部屋が未選択",IF(COUNTIF('M_部屋'!$A$4:$A$20,$D67)=0,"⚠部屋が未登録",IF(OR($J67="",$Q67="キャンセル"),"",IF(SUMPRODUCT(($D$5:$D$404=$D67)*($G$5:$G$404&lt;&gt;"")*($J$5:$J$404&lt;&gt;"")*($Q$5:$Q$404&lt;&gt;"キャンセル")*($G$5:$G$404&lt;$J67)*($J$5:$J$404&gt;$G67))&gt;1,"⚠重複","")))))</f>
        <v/>
      </c>
      <c r="Z67" s="8">
        <f>IF(OR($B67="",$G67=""),"",IF(SUMPRODUCT(('利用者マスタ'!$A$4:$A$60=$B67)*('利用者マスタ'!$B$4:$B$60&lt;&gt;""))=0,"",IF(SUMIFS($AA$5:$AA$404,$B$5:$B$404,$B67,$G$5:$G$404,"&gt;="&amp;DATE(YEAR($G67),MONTH($G67),1),$G$5:$G$404,"&lt;="&amp;EOMONTH($G67,0))&gt;SUMIFS('利用者マスタ'!$B$4:$B$60,'利用者マスタ'!$A$4:$A$60,$B67),"⚠支給量超過","")))</f>
        <v/>
      </c>
      <c r="AA67" s="8">
        <f>IF(OR($G67="",$J67="",$Q67="キャンセル"),0,IF(IFERROR(INDEX('M_区分'!$B$4:$B$20,MATCH($C67,'M_区分'!$A$4:$A$20,0)),"○")="○",$J67-$G67+1,0))</f>
        <v/>
      </c>
      <c r="AB67" s="8">
        <f>IF($E67&lt;&gt;"",$E67,$AB66)</f>
        <v/>
      </c>
      <c r="AC67" s="8">
        <f>IF(OR($G67="",$J67=""),"",IF(AND($G67&lt;=EOMONTH('02_カレンダー'!$B$4,0),$J67&gt;='02_カレンダー'!$B$4),$G67*10000+ROW(),""))</f>
        <v/>
      </c>
      <c r="AD67" s="8">
        <f>IF($H67="","",IF(ISNUMBER($H67),IF(AND($H67=INT($H67),$H67&gt;=0,$H67&lt;=24),TEXT(INT($H67),"00")&amp;":00",TEXT($H67,"hh:mm")),$H67))</f>
        <v/>
      </c>
      <c r="AE67" s="8">
        <f>IF($K67="","",IF(ISNUMBER($K67),IF(AND($K67=INT($K67),$K67&gt;=0,$K67&lt;=24),TEXT(INT($K67),"00")&amp;":00",TEXT($K67,"hh:mm")),$K67))</f>
        <v/>
      </c>
      <c r="AF67" s="8">
        <f>IF($G67="",0,$G67)</f>
        <v/>
      </c>
      <c r="AG67" s="8">
        <f>IF($J67="",0,$J67)</f>
        <v/>
      </c>
    </row>
    <row r="68">
      <c r="A68" s="8">
        <f>IF($G68="","","SS-"&amp;TEXT(ROW()-4,"0000"))</f>
        <v/>
      </c>
      <c r="B68" s="9" t="n"/>
      <c r="C68" s="9" t="n"/>
      <c r="D68" s="9" t="n"/>
      <c r="E68" s="10" t="n"/>
      <c r="F68" s="11" t="n"/>
      <c r="G68" s="12">
        <f>IF($F68="","",IF($F68&gt;31,$F68,IF($AB68="","",DATE(YEAR($AB68),MONTH($AB68),$F68))))</f>
        <v/>
      </c>
      <c r="H68" s="9" t="n"/>
      <c r="I68" s="11" t="n"/>
      <c r="J68" s="12">
        <f>IF($I68="","",IF($I68&gt;31,$I68,IF($G68="","",IF(DATE(YEAR($G68),MONTH($G68),$I68)&gt;=$G68,DATE(YEAR($G68),MONTH($G68),$I68),DATE(YEAR($G68),MONTH($G68)+1,$I68)))))</f>
        <v/>
      </c>
      <c r="K68" s="9" t="n"/>
      <c r="L68" s="13" t="n"/>
      <c r="M68" s="13" t="n"/>
      <c r="N68" s="13" t="n"/>
      <c r="O68" s="8">
        <f>IF(OR($G68="",$J68=""),"",$J68-$G68+1)</f>
        <v/>
      </c>
      <c r="P68" s="8">
        <f>IF(OR($G68="",$J68=""),"",$J68-$G68)</f>
        <v/>
      </c>
      <c r="Q68" s="9" t="n"/>
      <c r="R68" s="9" t="n"/>
      <c r="S68" s="9" t="n"/>
      <c r="T68" s="9" t="n"/>
      <c r="U68" s="9" t="n"/>
      <c r="V68" s="9" t="n"/>
      <c r="W68" s="14" t="n"/>
      <c r="X68" s="9" t="n"/>
      <c r="Y68" s="8">
        <f>IF($G68="","",IF($D68="","⚠部屋が未選択",IF(COUNTIF('M_部屋'!$A$4:$A$20,$D68)=0,"⚠部屋が未登録",IF(OR($J68="",$Q68="キャンセル"),"",IF(SUMPRODUCT(($D$5:$D$404=$D68)*($G$5:$G$404&lt;&gt;"")*($J$5:$J$404&lt;&gt;"")*($Q$5:$Q$404&lt;&gt;"キャンセル")*($G$5:$G$404&lt;$J68)*($J$5:$J$404&gt;$G68))&gt;1,"⚠重複","")))))</f>
        <v/>
      </c>
      <c r="Z68" s="8">
        <f>IF(OR($B68="",$G68=""),"",IF(SUMPRODUCT(('利用者マスタ'!$A$4:$A$60=$B68)*('利用者マスタ'!$B$4:$B$60&lt;&gt;""))=0,"",IF(SUMIFS($AA$5:$AA$404,$B$5:$B$404,$B68,$G$5:$G$404,"&gt;="&amp;DATE(YEAR($G68),MONTH($G68),1),$G$5:$G$404,"&lt;="&amp;EOMONTH($G68,0))&gt;SUMIFS('利用者マスタ'!$B$4:$B$60,'利用者マスタ'!$A$4:$A$60,$B68),"⚠支給量超過","")))</f>
        <v/>
      </c>
      <c r="AA68" s="8">
        <f>IF(OR($G68="",$J68="",$Q68="キャンセル"),0,IF(IFERROR(INDEX('M_区分'!$B$4:$B$20,MATCH($C68,'M_区分'!$A$4:$A$20,0)),"○")="○",$J68-$G68+1,0))</f>
        <v/>
      </c>
      <c r="AB68" s="8">
        <f>IF($E68&lt;&gt;"",$E68,$AB67)</f>
        <v/>
      </c>
      <c r="AC68" s="8">
        <f>IF(OR($G68="",$J68=""),"",IF(AND($G68&lt;=EOMONTH('02_カレンダー'!$B$4,0),$J68&gt;='02_カレンダー'!$B$4),$G68*10000+ROW(),""))</f>
        <v/>
      </c>
      <c r="AD68" s="8">
        <f>IF($H68="","",IF(ISNUMBER($H68),IF(AND($H68=INT($H68),$H68&gt;=0,$H68&lt;=24),TEXT(INT($H68),"00")&amp;":00",TEXT($H68,"hh:mm")),$H68))</f>
        <v/>
      </c>
      <c r="AE68" s="8">
        <f>IF($K68="","",IF(ISNUMBER($K68),IF(AND($K68=INT($K68),$K68&gt;=0,$K68&lt;=24),TEXT(INT($K68),"00")&amp;":00",TEXT($K68,"hh:mm")),$K68))</f>
        <v/>
      </c>
      <c r="AF68" s="8">
        <f>IF($G68="",0,$G68)</f>
        <v/>
      </c>
      <c r="AG68" s="8">
        <f>IF($J68="",0,$J68)</f>
        <v/>
      </c>
    </row>
    <row r="69">
      <c r="A69" s="8">
        <f>IF($G69="","","SS-"&amp;TEXT(ROW()-4,"0000"))</f>
        <v/>
      </c>
      <c r="B69" s="9" t="n"/>
      <c r="C69" s="9" t="n"/>
      <c r="D69" s="9" t="n"/>
      <c r="E69" s="10" t="n"/>
      <c r="F69" s="11" t="n"/>
      <c r="G69" s="12">
        <f>IF($F69="","",IF($F69&gt;31,$F69,IF($AB69="","",DATE(YEAR($AB69),MONTH($AB69),$F69))))</f>
        <v/>
      </c>
      <c r="H69" s="9" t="n"/>
      <c r="I69" s="11" t="n"/>
      <c r="J69" s="12">
        <f>IF($I69="","",IF($I69&gt;31,$I69,IF($G69="","",IF(DATE(YEAR($G69),MONTH($G69),$I69)&gt;=$G69,DATE(YEAR($G69),MONTH($G69),$I69),DATE(YEAR($G69),MONTH($G69)+1,$I69)))))</f>
        <v/>
      </c>
      <c r="K69" s="9" t="n"/>
      <c r="L69" s="13" t="n"/>
      <c r="M69" s="13" t="n"/>
      <c r="N69" s="13" t="n"/>
      <c r="O69" s="8">
        <f>IF(OR($G69="",$J69=""),"",$J69-$G69+1)</f>
        <v/>
      </c>
      <c r="P69" s="8">
        <f>IF(OR($G69="",$J69=""),"",$J69-$G69)</f>
        <v/>
      </c>
      <c r="Q69" s="9" t="n"/>
      <c r="R69" s="9" t="n"/>
      <c r="S69" s="9" t="n"/>
      <c r="T69" s="9" t="n"/>
      <c r="U69" s="9" t="n"/>
      <c r="V69" s="9" t="n"/>
      <c r="W69" s="14" t="n"/>
      <c r="X69" s="9" t="n"/>
      <c r="Y69" s="8">
        <f>IF($G69="","",IF($D69="","⚠部屋が未選択",IF(COUNTIF('M_部屋'!$A$4:$A$20,$D69)=0,"⚠部屋が未登録",IF(OR($J69="",$Q69="キャンセル"),"",IF(SUMPRODUCT(($D$5:$D$404=$D69)*($G$5:$G$404&lt;&gt;"")*($J$5:$J$404&lt;&gt;"")*($Q$5:$Q$404&lt;&gt;"キャンセル")*($G$5:$G$404&lt;$J69)*($J$5:$J$404&gt;$G69))&gt;1,"⚠重複","")))))</f>
        <v/>
      </c>
      <c r="Z69" s="8">
        <f>IF(OR($B69="",$G69=""),"",IF(SUMPRODUCT(('利用者マスタ'!$A$4:$A$60=$B69)*('利用者マスタ'!$B$4:$B$60&lt;&gt;""))=0,"",IF(SUMIFS($AA$5:$AA$404,$B$5:$B$404,$B69,$G$5:$G$404,"&gt;="&amp;DATE(YEAR($G69),MONTH($G69),1),$G$5:$G$404,"&lt;="&amp;EOMONTH($G69,0))&gt;SUMIFS('利用者マスタ'!$B$4:$B$60,'利用者マスタ'!$A$4:$A$60,$B69),"⚠支給量超過","")))</f>
        <v/>
      </c>
      <c r="AA69" s="8">
        <f>IF(OR($G69="",$J69="",$Q69="キャンセル"),0,IF(IFERROR(INDEX('M_区分'!$B$4:$B$20,MATCH($C69,'M_区分'!$A$4:$A$20,0)),"○")="○",$J69-$G69+1,0))</f>
        <v/>
      </c>
      <c r="AB69" s="8">
        <f>IF($E69&lt;&gt;"",$E69,$AB68)</f>
        <v/>
      </c>
      <c r="AC69" s="8">
        <f>IF(OR($G69="",$J69=""),"",IF(AND($G69&lt;=EOMONTH('02_カレンダー'!$B$4,0),$J69&gt;='02_カレンダー'!$B$4),$G69*10000+ROW(),""))</f>
        <v/>
      </c>
      <c r="AD69" s="8">
        <f>IF($H69="","",IF(ISNUMBER($H69),IF(AND($H69=INT($H69),$H69&gt;=0,$H69&lt;=24),TEXT(INT($H69),"00")&amp;":00",TEXT($H69,"hh:mm")),$H69))</f>
        <v/>
      </c>
      <c r="AE69" s="8">
        <f>IF($K69="","",IF(ISNUMBER($K69),IF(AND($K69=INT($K69),$K69&gt;=0,$K69&lt;=24),TEXT(INT($K69),"00")&amp;":00",TEXT($K69,"hh:mm")),$K69))</f>
        <v/>
      </c>
      <c r="AF69" s="8">
        <f>IF($G69="",0,$G69)</f>
        <v/>
      </c>
      <c r="AG69" s="8">
        <f>IF($J69="",0,$J69)</f>
        <v/>
      </c>
    </row>
    <row r="70">
      <c r="A70" s="8">
        <f>IF($G70="","","SS-"&amp;TEXT(ROW()-4,"0000"))</f>
        <v/>
      </c>
      <c r="B70" s="9" t="n"/>
      <c r="C70" s="9" t="n"/>
      <c r="D70" s="9" t="n"/>
      <c r="E70" s="10" t="n"/>
      <c r="F70" s="11" t="n"/>
      <c r="G70" s="12">
        <f>IF($F70="","",IF($F70&gt;31,$F70,IF($AB70="","",DATE(YEAR($AB70),MONTH($AB70),$F70))))</f>
        <v/>
      </c>
      <c r="H70" s="9" t="n"/>
      <c r="I70" s="11" t="n"/>
      <c r="J70" s="12">
        <f>IF($I70="","",IF($I70&gt;31,$I70,IF($G70="","",IF(DATE(YEAR($G70),MONTH($G70),$I70)&gt;=$G70,DATE(YEAR($G70),MONTH($G70),$I70),DATE(YEAR($G70),MONTH($G70)+1,$I70)))))</f>
        <v/>
      </c>
      <c r="K70" s="9" t="n"/>
      <c r="L70" s="13" t="n"/>
      <c r="M70" s="13" t="n"/>
      <c r="N70" s="13" t="n"/>
      <c r="O70" s="8">
        <f>IF(OR($G70="",$J70=""),"",$J70-$G70+1)</f>
        <v/>
      </c>
      <c r="P70" s="8">
        <f>IF(OR($G70="",$J70=""),"",$J70-$G70)</f>
        <v/>
      </c>
      <c r="Q70" s="9" t="n"/>
      <c r="R70" s="9" t="n"/>
      <c r="S70" s="9" t="n"/>
      <c r="T70" s="9" t="n"/>
      <c r="U70" s="9" t="n"/>
      <c r="V70" s="9" t="n"/>
      <c r="W70" s="14" t="n"/>
      <c r="X70" s="9" t="n"/>
      <c r="Y70" s="8">
        <f>IF($G70="","",IF($D70="","⚠部屋が未選択",IF(COUNTIF('M_部屋'!$A$4:$A$20,$D70)=0,"⚠部屋が未登録",IF(OR($J70="",$Q70="キャンセル"),"",IF(SUMPRODUCT(($D$5:$D$404=$D70)*($G$5:$G$404&lt;&gt;"")*($J$5:$J$404&lt;&gt;"")*($Q$5:$Q$404&lt;&gt;"キャンセル")*($G$5:$G$404&lt;$J70)*($J$5:$J$404&gt;$G70))&gt;1,"⚠重複","")))))</f>
        <v/>
      </c>
      <c r="Z70" s="8">
        <f>IF(OR($B70="",$G70=""),"",IF(SUMPRODUCT(('利用者マスタ'!$A$4:$A$60=$B70)*('利用者マスタ'!$B$4:$B$60&lt;&gt;""))=0,"",IF(SUMIFS($AA$5:$AA$404,$B$5:$B$404,$B70,$G$5:$G$404,"&gt;="&amp;DATE(YEAR($G70),MONTH($G70),1),$G$5:$G$404,"&lt;="&amp;EOMONTH($G70,0))&gt;SUMIFS('利用者マスタ'!$B$4:$B$60,'利用者マスタ'!$A$4:$A$60,$B70),"⚠支給量超過","")))</f>
        <v/>
      </c>
      <c r="AA70" s="8">
        <f>IF(OR($G70="",$J70="",$Q70="キャンセル"),0,IF(IFERROR(INDEX('M_区分'!$B$4:$B$20,MATCH($C70,'M_区分'!$A$4:$A$20,0)),"○")="○",$J70-$G70+1,0))</f>
        <v/>
      </c>
      <c r="AB70" s="8">
        <f>IF($E70&lt;&gt;"",$E70,$AB69)</f>
        <v/>
      </c>
      <c r="AC70" s="8">
        <f>IF(OR($G70="",$J70=""),"",IF(AND($G70&lt;=EOMONTH('02_カレンダー'!$B$4,0),$J70&gt;='02_カレンダー'!$B$4),$G70*10000+ROW(),""))</f>
        <v/>
      </c>
      <c r="AD70" s="8">
        <f>IF($H70="","",IF(ISNUMBER($H70),IF(AND($H70=INT($H70),$H70&gt;=0,$H70&lt;=24),TEXT(INT($H70),"00")&amp;":00",TEXT($H70,"hh:mm")),$H70))</f>
        <v/>
      </c>
      <c r="AE70" s="8">
        <f>IF($K70="","",IF(ISNUMBER($K70),IF(AND($K70=INT($K70),$K70&gt;=0,$K70&lt;=24),TEXT(INT($K70),"00")&amp;":00",TEXT($K70,"hh:mm")),$K70))</f>
        <v/>
      </c>
      <c r="AF70" s="8">
        <f>IF($G70="",0,$G70)</f>
        <v/>
      </c>
      <c r="AG70" s="8">
        <f>IF($J70="",0,$J70)</f>
        <v/>
      </c>
    </row>
    <row r="71">
      <c r="A71" s="8">
        <f>IF($G71="","","SS-"&amp;TEXT(ROW()-4,"0000"))</f>
        <v/>
      </c>
      <c r="B71" s="9" t="n"/>
      <c r="C71" s="9" t="n"/>
      <c r="D71" s="9" t="n"/>
      <c r="E71" s="10" t="n"/>
      <c r="F71" s="11" t="n"/>
      <c r="G71" s="12">
        <f>IF($F71="","",IF($F71&gt;31,$F71,IF($AB71="","",DATE(YEAR($AB71),MONTH($AB71),$F71))))</f>
        <v/>
      </c>
      <c r="H71" s="9" t="n"/>
      <c r="I71" s="11" t="n"/>
      <c r="J71" s="12">
        <f>IF($I71="","",IF($I71&gt;31,$I71,IF($G71="","",IF(DATE(YEAR($G71),MONTH($G71),$I71)&gt;=$G71,DATE(YEAR($G71),MONTH($G71),$I71),DATE(YEAR($G71),MONTH($G71)+1,$I71)))))</f>
        <v/>
      </c>
      <c r="K71" s="9" t="n"/>
      <c r="L71" s="13" t="n"/>
      <c r="M71" s="13" t="n"/>
      <c r="N71" s="13" t="n"/>
      <c r="O71" s="8">
        <f>IF(OR($G71="",$J71=""),"",$J71-$G71+1)</f>
        <v/>
      </c>
      <c r="P71" s="8">
        <f>IF(OR($G71="",$J71=""),"",$J71-$G71)</f>
        <v/>
      </c>
      <c r="Q71" s="9" t="n"/>
      <c r="R71" s="9" t="n"/>
      <c r="S71" s="9" t="n"/>
      <c r="T71" s="9" t="n"/>
      <c r="U71" s="9" t="n"/>
      <c r="V71" s="9" t="n"/>
      <c r="W71" s="14" t="n"/>
      <c r="X71" s="9" t="n"/>
      <c r="Y71" s="8">
        <f>IF($G71="","",IF($D71="","⚠部屋が未選択",IF(COUNTIF('M_部屋'!$A$4:$A$20,$D71)=0,"⚠部屋が未登録",IF(OR($J71="",$Q71="キャンセル"),"",IF(SUMPRODUCT(($D$5:$D$404=$D71)*($G$5:$G$404&lt;&gt;"")*($J$5:$J$404&lt;&gt;"")*($Q$5:$Q$404&lt;&gt;"キャンセル")*($G$5:$G$404&lt;$J71)*($J$5:$J$404&gt;$G71))&gt;1,"⚠重複","")))))</f>
        <v/>
      </c>
      <c r="Z71" s="8">
        <f>IF(OR($B71="",$G71=""),"",IF(SUMPRODUCT(('利用者マスタ'!$A$4:$A$60=$B71)*('利用者マスタ'!$B$4:$B$60&lt;&gt;""))=0,"",IF(SUMIFS($AA$5:$AA$404,$B$5:$B$404,$B71,$G$5:$G$404,"&gt;="&amp;DATE(YEAR($G71),MONTH($G71),1),$G$5:$G$404,"&lt;="&amp;EOMONTH($G71,0))&gt;SUMIFS('利用者マスタ'!$B$4:$B$60,'利用者マスタ'!$A$4:$A$60,$B71),"⚠支給量超過","")))</f>
        <v/>
      </c>
      <c r="AA71" s="8">
        <f>IF(OR($G71="",$J71="",$Q71="キャンセル"),0,IF(IFERROR(INDEX('M_区分'!$B$4:$B$20,MATCH($C71,'M_区分'!$A$4:$A$20,0)),"○")="○",$J71-$G71+1,0))</f>
        <v/>
      </c>
      <c r="AB71" s="8">
        <f>IF($E71&lt;&gt;"",$E71,$AB70)</f>
        <v/>
      </c>
      <c r="AC71" s="8">
        <f>IF(OR($G71="",$J71=""),"",IF(AND($G71&lt;=EOMONTH('02_カレンダー'!$B$4,0),$J71&gt;='02_カレンダー'!$B$4),$G71*10000+ROW(),""))</f>
        <v/>
      </c>
      <c r="AD71" s="8">
        <f>IF($H71="","",IF(ISNUMBER($H71),IF(AND($H71=INT($H71),$H71&gt;=0,$H71&lt;=24),TEXT(INT($H71),"00")&amp;":00",TEXT($H71,"hh:mm")),$H71))</f>
        <v/>
      </c>
      <c r="AE71" s="8">
        <f>IF($K71="","",IF(ISNUMBER($K71),IF(AND($K71=INT($K71),$K71&gt;=0,$K71&lt;=24),TEXT(INT($K71),"00")&amp;":00",TEXT($K71,"hh:mm")),$K71))</f>
        <v/>
      </c>
      <c r="AF71" s="8">
        <f>IF($G71="",0,$G71)</f>
        <v/>
      </c>
      <c r="AG71" s="8">
        <f>IF($J71="",0,$J71)</f>
        <v/>
      </c>
    </row>
    <row r="72">
      <c r="A72" s="8">
        <f>IF($G72="","","SS-"&amp;TEXT(ROW()-4,"0000"))</f>
        <v/>
      </c>
      <c r="B72" s="9" t="n"/>
      <c r="C72" s="9" t="n"/>
      <c r="D72" s="9" t="n"/>
      <c r="E72" s="10" t="n"/>
      <c r="F72" s="11" t="n"/>
      <c r="G72" s="12">
        <f>IF($F72="","",IF($F72&gt;31,$F72,IF($AB72="","",DATE(YEAR($AB72),MONTH($AB72),$F72))))</f>
        <v/>
      </c>
      <c r="H72" s="9" t="n"/>
      <c r="I72" s="11" t="n"/>
      <c r="J72" s="12">
        <f>IF($I72="","",IF($I72&gt;31,$I72,IF($G72="","",IF(DATE(YEAR($G72),MONTH($G72),$I72)&gt;=$G72,DATE(YEAR($G72),MONTH($G72),$I72),DATE(YEAR($G72),MONTH($G72)+1,$I72)))))</f>
        <v/>
      </c>
      <c r="K72" s="9" t="n"/>
      <c r="L72" s="13" t="n"/>
      <c r="M72" s="13" t="n"/>
      <c r="N72" s="13" t="n"/>
      <c r="O72" s="8">
        <f>IF(OR($G72="",$J72=""),"",$J72-$G72+1)</f>
        <v/>
      </c>
      <c r="P72" s="8">
        <f>IF(OR($G72="",$J72=""),"",$J72-$G72)</f>
        <v/>
      </c>
      <c r="Q72" s="9" t="n"/>
      <c r="R72" s="9" t="n"/>
      <c r="S72" s="9" t="n"/>
      <c r="T72" s="9" t="n"/>
      <c r="U72" s="9" t="n"/>
      <c r="V72" s="9" t="n"/>
      <c r="W72" s="14" t="n"/>
      <c r="X72" s="9" t="n"/>
      <c r="Y72" s="8">
        <f>IF($G72="","",IF($D72="","⚠部屋が未選択",IF(COUNTIF('M_部屋'!$A$4:$A$20,$D72)=0,"⚠部屋が未登録",IF(OR($J72="",$Q72="キャンセル"),"",IF(SUMPRODUCT(($D$5:$D$404=$D72)*($G$5:$G$404&lt;&gt;"")*($J$5:$J$404&lt;&gt;"")*($Q$5:$Q$404&lt;&gt;"キャンセル")*($G$5:$G$404&lt;$J72)*($J$5:$J$404&gt;$G72))&gt;1,"⚠重複","")))))</f>
        <v/>
      </c>
      <c r="Z72" s="8">
        <f>IF(OR($B72="",$G72=""),"",IF(SUMPRODUCT(('利用者マスタ'!$A$4:$A$60=$B72)*('利用者マスタ'!$B$4:$B$60&lt;&gt;""))=0,"",IF(SUMIFS($AA$5:$AA$404,$B$5:$B$404,$B72,$G$5:$G$404,"&gt;="&amp;DATE(YEAR($G72),MONTH($G72),1),$G$5:$G$404,"&lt;="&amp;EOMONTH($G72,0))&gt;SUMIFS('利用者マスタ'!$B$4:$B$60,'利用者マスタ'!$A$4:$A$60,$B72),"⚠支給量超過","")))</f>
        <v/>
      </c>
      <c r="AA72" s="8">
        <f>IF(OR($G72="",$J72="",$Q72="キャンセル"),0,IF(IFERROR(INDEX('M_区分'!$B$4:$B$20,MATCH($C72,'M_区分'!$A$4:$A$20,0)),"○")="○",$J72-$G72+1,0))</f>
        <v/>
      </c>
      <c r="AB72" s="8">
        <f>IF($E72&lt;&gt;"",$E72,$AB71)</f>
        <v/>
      </c>
      <c r="AC72" s="8">
        <f>IF(OR($G72="",$J72=""),"",IF(AND($G72&lt;=EOMONTH('02_カレンダー'!$B$4,0),$J72&gt;='02_カレンダー'!$B$4),$G72*10000+ROW(),""))</f>
        <v/>
      </c>
      <c r="AD72" s="8">
        <f>IF($H72="","",IF(ISNUMBER($H72),IF(AND($H72=INT($H72),$H72&gt;=0,$H72&lt;=24),TEXT(INT($H72),"00")&amp;":00",TEXT($H72,"hh:mm")),$H72))</f>
        <v/>
      </c>
      <c r="AE72" s="8">
        <f>IF($K72="","",IF(ISNUMBER($K72),IF(AND($K72=INT($K72),$K72&gt;=0,$K72&lt;=24),TEXT(INT($K72),"00")&amp;":00",TEXT($K72,"hh:mm")),$K72))</f>
        <v/>
      </c>
      <c r="AF72" s="8">
        <f>IF($G72="",0,$G72)</f>
        <v/>
      </c>
      <c r="AG72" s="8">
        <f>IF($J72="",0,$J72)</f>
        <v/>
      </c>
    </row>
    <row r="73">
      <c r="A73" s="8">
        <f>IF($G73="","","SS-"&amp;TEXT(ROW()-4,"0000"))</f>
        <v/>
      </c>
      <c r="B73" s="9" t="n"/>
      <c r="C73" s="9" t="n"/>
      <c r="D73" s="9" t="n"/>
      <c r="E73" s="10" t="n"/>
      <c r="F73" s="11" t="n"/>
      <c r="G73" s="12">
        <f>IF($F73="","",IF($F73&gt;31,$F73,IF($AB73="","",DATE(YEAR($AB73),MONTH($AB73),$F73))))</f>
        <v/>
      </c>
      <c r="H73" s="9" t="n"/>
      <c r="I73" s="11" t="n"/>
      <c r="J73" s="12">
        <f>IF($I73="","",IF($I73&gt;31,$I73,IF($G73="","",IF(DATE(YEAR($G73),MONTH($G73),$I73)&gt;=$G73,DATE(YEAR($G73),MONTH($G73),$I73),DATE(YEAR($G73),MONTH($G73)+1,$I73)))))</f>
        <v/>
      </c>
      <c r="K73" s="9" t="n"/>
      <c r="L73" s="13" t="n"/>
      <c r="M73" s="13" t="n"/>
      <c r="N73" s="13" t="n"/>
      <c r="O73" s="8">
        <f>IF(OR($G73="",$J73=""),"",$J73-$G73+1)</f>
        <v/>
      </c>
      <c r="P73" s="8">
        <f>IF(OR($G73="",$J73=""),"",$J73-$G73)</f>
        <v/>
      </c>
      <c r="Q73" s="9" t="n"/>
      <c r="R73" s="9" t="n"/>
      <c r="S73" s="9" t="n"/>
      <c r="T73" s="9" t="n"/>
      <c r="U73" s="9" t="n"/>
      <c r="V73" s="9" t="n"/>
      <c r="W73" s="14" t="n"/>
      <c r="X73" s="9" t="n"/>
      <c r="Y73" s="8">
        <f>IF($G73="","",IF($D73="","⚠部屋が未選択",IF(COUNTIF('M_部屋'!$A$4:$A$20,$D73)=0,"⚠部屋が未登録",IF(OR($J73="",$Q73="キャンセル"),"",IF(SUMPRODUCT(($D$5:$D$404=$D73)*($G$5:$G$404&lt;&gt;"")*($J$5:$J$404&lt;&gt;"")*($Q$5:$Q$404&lt;&gt;"キャンセル")*($G$5:$G$404&lt;$J73)*($J$5:$J$404&gt;$G73))&gt;1,"⚠重複","")))))</f>
        <v/>
      </c>
      <c r="Z73" s="8">
        <f>IF(OR($B73="",$G73=""),"",IF(SUMPRODUCT(('利用者マスタ'!$A$4:$A$60=$B73)*('利用者マスタ'!$B$4:$B$60&lt;&gt;""))=0,"",IF(SUMIFS($AA$5:$AA$404,$B$5:$B$404,$B73,$G$5:$G$404,"&gt;="&amp;DATE(YEAR($G73),MONTH($G73),1),$G$5:$G$404,"&lt;="&amp;EOMONTH($G73,0))&gt;SUMIFS('利用者マスタ'!$B$4:$B$60,'利用者マスタ'!$A$4:$A$60,$B73),"⚠支給量超過","")))</f>
        <v/>
      </c>
      <c r="AA73" s="8">
        <f>IF(OR($G73="",$J73="",$Q73="キャンセル"),0,IF(IFERROR(INDEX('M_区分'!$B$4:$B$20,MATCH($C73,'M_区分'!$A$4:$A$20,0)),"○")="○",$J73-$G73+1,0))</f>
        <v/>
      </c>
      <c r="AB73" s="8">
        <f>IF($E73&lt;&gt;"",$E73,$AB72)</f>
        <v/>
      </c>
      <c r="AC73" s="8">
        <f>IF(OR($G73="",$J73=""),"",IF(AND($G73&lt;=EOMONTH('02_カレンダー'!$B$4,0),$J73&gt;='02_カレンダー'!$B$4),$G73*10000+ROW(),""))</f>
        <v/>
      </c>
      <c r="AD73" s="8">
        <f>IF($H73="","",IF(ISNUMBER($H73),IF(AND($H73=INT($H73),$H73&gt;=0,$H73&lt;=24),TEXT(INT($H73),"00")&amp;":00",TEXT($H73,"hh:mm")),$H73))</f>
        <v/>
      </c>
      <c r="AE73" s="8">
        <f>IF($K73="","",IF(ISNUMBER($K73),IF(AND($K73=INT($K73),$K73&gt;=0,$K73&lt;=24),TEXT(INT($K73),"00")&amp;":00",TEXT($K73,"hh:mm")),$K73))</f>
        <v/>
      </c>
      <c r="AF73" s="8">
        <f>IF($G73="",0,$G73)</f>
        <v/>
      </c>
      <c r="AG73" s="8">
        <f>IF($J73="",0,$J73)</f>
        <v/>
      </c>
    </row>
    <row r="74">
      <c r="A74" s="8">
        <f>IF($G74="","","SS-"&amp;TEXT(ROW()-4,"0000"))</f>
        <v/>
      </c>
      <c r="B74" s="9" t="n"/>
      <c r="C74" s="9" t="n"/>
      <c r="D74" s="9" t="n"/>
      <c r="E74" s="10" t="n"/>
      <c r="F74" s="11" t="n"/>
      <c r="G74" s="12">
        <f>IF($F74="","",IF($F74&gt;31,$F74,IF($AB74="","",DATE(YEAR($AB74),MONTH($AB74),$F74))))</f>
        <v/>
      </c>
      <c r="H74" s="9" t="n"/>
      <c r="I74" s="11" t="n"/>
      <c r="J74" s="12">
        <f>IF($I74="","",IF($I74&gt;31,$I74,IF($G74="","",IF(DATE(YEAR($G74),MONTH($G74),$I74)&gt;=$G74,DATE(YEAR($G74),MONTH($G74),$I74),DATE(YEAR($G74),MONTH($G74)+1,$I74)))))</f>
        <v/>
      </c>
      <c r="K74" s="9" t="n"/>
      <c r="L74" s="13" t="n"/>
      <c r="M74" s="13" t="n"/>
      <c r="N74" s="13" t="n"/>
      <c r="O74" s="8">
        <f>IF(OR($G74="",$J74=""),"",$J74-$G74+1)</f>
        <v/>
      </c>
      <c r="P74" s="8">
        <f>IF(OR($G74="",$J74=""),"",$J74-$G74)</f>
        <v/>
      </c>
      <c r="Q74" s="9" t="n"/>
      <c r="R74" s="9" t="n"/>
      <c r="S74" s="9" t="n"/>
      <c r="T74" s="9" t="n"/>
      <c r="U74" s="9" t="n"/>
      <c r="V74" s="9" t="n"/>
      <c r="W74" s="14" t="n"/>
      <c r="X74" s="9" t="n"/>
      <c r="Y74" s="8">
        <f>IF($G74="","",IF($D74="","⚠部屋が未選択",IF(COUNTIF('M_部屋'!$A$4:$A$20,$D74)=0,"⚠部屋が未登録",IF(OR($J74="",$Q74="キャンセル"),"",IF(SUMPRODUCT(($D$5:$D$404=$D74)*($G$5:$G$404&lt;&gt;"")*($J$5:$J$404&lt;&gt;"")*($Q$5:$Q$404&lt;&gt;"キャンセル")*($G$5:$G$404&lt;$J74)*($J$5:$J$404&gt;$G74))&gt;1,"⚠重複","")))))</f>
        <v/>
      </c>
      <c r="Z74" s="8">
        <f>IF(OR($B74="",$G74=""),"",IF(SUMPRODUCT(('利用者マスタ'!$A$4:$A$60=$B74)*('利用者マスタ'!$B$4:$B$60&lt;&gt;""))=0,"",IF(SUMIFS($AA$5:$AA$404,$B$5:$B$404,$B74,$G$5:$G$404,"&gt;="&amp;DATE(YEAR($G74),MONTH($G74),1),$G$5:$G$404,"&lt;="&amp;EOMONTH($G74,0))&gt;SUMIFS('利用者マスタ'!$B$4:$B$60,'利用者マスタ'!$A$4:$A$60,$B74),"⚠支給量超過","")))</f>
        <v/>
      </c>
      <c r="AA74" s="8">
        <f>IF(OR($G74="",$J74="",$Q74="キャンセル"),0,IF(IFERROR(INDEX('M_区分'!$B$4:$B$20,MATCH($C74,'M_区分'!$A$4:$A$20,0)),"○")="○",$J74-$G74+1,0))</f>
        <v/>
      </c>
      <c r="AB74" s="8">
        <f>IF($E74&lt;&gt;"",$E74,$AB73)</f>
        <v/>
      </c>
      <c r="AC74" s="8">
        <f>IF(OR($G74="",$J74=""),"",IF(AND($G74&lt;=EOMONTH('02_カレンダー'!$B$4,0),$J74&gt;='02_カレンダー'!$B$4),$G74*10000+ROW(),""))</f>
        <v/>
      </c>
      <c r="AD74" s="8">
        <f>IF($H74="","",IF(ISNUMBER($H74),IF(AND($H74=INT($H74),$H74&gt;=0,$H74&lt;=24),TEXT(INT($H74),"00")&amp;":00",TEXT($H74,"hh:mm")),$H74))</f>
        <v/>
      </c>
      <c r="AE74" s="8">
        <f>IF($K74="","",IF(ISNUMBER($K74),IF(AND($K74=INT($K74),$K74&gt;=0,$K74&lt;=24),TEXT(INT($K74),"00")&amp;":00",TEXT($K74,"hh:mm")),$K74))</f>
        <v/>
      </c>
      <c r="AF74" s="8">
        <f>IF($G74="",0,$G74)</f>
        <v/>
      </c>
      <c r="AG74" s="8">
        <f>IF($J74="",0,$J74)</f>
        <v/>
      </c>
    </row>
    <row r="75">
      <c r="A75" s="8">
        <f>IF($G75="","","SS-"&amp;TEXT(ROW()-4,"0000"))</f>
        <v/>
      </c>
      <c r="B75" s="9" t="n"/>
      <c r="C75" s="9" t="n"/>
      <c r="D75" s="9" t="n"/>
      <c r="E75" s="10" t="n"/>
      <c r="F75" s="11" t="n"/>
      <c r="G75" s="12">
        <f>IF($F75="","",IF($F75&gt;31,$F75,IF($AB75="","",DATE(YEAR($AB75),MONTH($AB75),$F75))))</f>
        <v/>
      </c>
      <c r="H75" s="9" t="n"/>
      <c r="I75" s="11" t="n"/>
      <c r="J75" s="12">
        <f>IF($I75="","",IF($I75&gt;31,$I75,IF($G75="","",IF(DATE(YEAR($G75),MONTH($G75),$I75)&gt;=$G75,DATE(YEAR($G75),MONTH($G75),$I75),DATE(YEAR($G75),MONTH($G75)+1,$I75)))))</f>
        <v/>
      </c>
      <c r="K75" s="9" t="n"/>
      <c r="L75" s="13" t="n"/>
      <c r="M75" s="13" t="n"/>
      <c r="N75" s="13" t="n"/>
      <c r="O75" s="8">
        <f>IF(OR($G75="",$J75=""),"",$J75-$G75+1)</f>
        <v/>
      </c>
      <c r="P75" s="8">
        <f>IF(OR($G75="",$J75=""),"",$J75-$G75)</f>
        <v/>
      </c>
      <c r="Q75" s="9" t="n"/>
      <c r="R75" s="9" t="n"/>
      <c r="S75" s="9" t="n"/>
      <c r="T75" s="9" t="n"/>
      <c r="U75" s="9" t="n"/>
      <c r="V75" s="9" t="n"/>
      <c r="W75" s="14" t="n"/>
      <c r="X75" s="9" t="n"/>
      <c r="Y75" s="8">
        <f>IF($G75="","",IF($D75="","⚠部屋が未選択",IF(COUNTIF('M_部屋'!$A$4:$A$20,$D75)=0,"⚠部屋が未登録",IF(OR($J75="",$Q75="キャンセル"),"",IF(SUMPRODUCT(($D$5:$D$404=$D75)*($G$5:$G$404&lt;&gt;"")*($J$5:$J$404&lt;&gt;"")*($Q$5:$Q$404&lt;&gt;"キャンセル")*($G$5:$G$404&lt;$J75)*($J$5:$J$404&gt;$G75))&gt;1,"⚠重複","")))))</f>
        <v/>
      </c>
      <c r="Z75" s="8">
        <f>IF(OR($B75="",$G75=""),"",IF(SUMPRODUCT(('利用者マスタ'!$A$4:$A$60=$B75)*('利用者マスタ'!$B$4:$B$60&lt;&gt;""))=0,"",IF(SUMIFS($AA$5:$AA$404,$B$5:$B$404,$B75,$G$5:$G$404,"&gt;="&amp;DATE(YEAR($G75),MONTH($G75),1),$G$5:$G$404,"&lt;="&amp;EOMONTH($G75,0))&gt;SUMIFS('利用者マスタ'!$B$4:$B$60,'利用者マスタ'!$A$4:$A$60,$B75),"⚠支給量超過","")))</f>
        <v/>
      </c>
      <c r="AA75" s="8">
        <f>IF(OR($G75="",$J75="",$Q75="キャンセル"),0,IF(IFERROR(INDEX('M_区分'!$B$4:$B$20,MATCH($C75,'M_区分'!$A$4:$A$20,0)),"○")="○",$J75-$G75+1,0))</f>
        <v/>
      </c>
      <c r="AB75" s="8">
        <f>IF($E75&lt;&gt;"",$E75,$AB74)</f>
        <v/>
      </c>
      <c r="AC75" s="8">
        <f>IF(OR($G75="",$J75=""),"",IF(AND($G75&lt;=EOMONTH('02_カレンダー'!$B$4,0),$J75&gt;='02_カレンダー'!$B$4),$G75*10000+ROW(),""))</f>
        <v/>
      </c>
      <c r="AD75" s="8">
        <f>IF($H75="","",IF(ISNUMBER($H75),IF(AND($H75=INT($H75),$H75&gt;=0,$H75&lt;=24),TEXT(INT($H75),"00")&amp;":00",TEXT($H75,"hh:mm")),$H75))</f>
        <v/>
      </c>
      <c r="AE75" s="8">
        <f>IF($K75="","",IF(ISNUMBER($K75),IF(AND($K75=INT($K75),$K75&gt;=0,$K75&lt;=24),TEXT(INT($K75),"00")&amp;":00",TEXT($K75,"hh:mm")),$K75))</f>
        <v/>
      </c>
      <c r="AF75" s="8">
        <f>IF($G75="",0,$G75)</f>
        <v/>
      </c>
      <c r="AG75" s="8">
        <f>IF($J75="",0,$J75)</f>
        <v/>
      </c>
    </row>
    <row r="76">
      <c r="A76" s="8">
        <f>IF($G76="","","SS-"&amp;TEXT(ROW()-4,"0000"))</f>
        <v/>
      </c>
      <c r="B76" s="9" t="n"/>
      <c r="C76" s="9" t="n"/>
      <c r="D76" s="9" t="n"/>
      <c r="E76" s="10" t="n"/>
      <c r="F76" s="11" t="n"/>
      <c r="G76" s="12">
        <f>IF($F76="","",IF($F76&gt;31,$F76,IF($AB76="","",DATE(YEAR($AB76),MONTH($AB76),$F76))))</f>
        <v/>
      </c>
      <c r="H76" s="9" t="n"/>
      <c r="I76" s="11" t="n"/>
      <c r="J76" s="12">
        <f>IF($I76="","",IF($I76&gt;31,$I76,IF($G76="","",IF(DATE(YEAR($G76),MONTH($G76),$I76)&gt;=$G76,DATE(YEAR($G76),MONTH($G76),$I76),DATE(YEAR($G76),MONTH($G76)+1,$I76)))))</f>
        <v/>
      </c>
      <c r="K76" s="9" t="n"/>
      <c r="L76" s="13" t="n"/>
      <c r="M76" s="13" t="n"/>
      <c r="N76" s="13" t="n"/>
      <c r="O76" s="8">
        <f>IF(OR($G76="",$J76=""),"",$J76-$G76+1)</f>
        <v/>
      </c>
      <c r="P76" s="8">
        <f>IF(OR($G76="",$J76=""),"",$J76-$G76)</f>
        <v/>
      </c>
      <c r="Q76" s="9" t="n"/>
      <c r="R76" s="9" t="n"/>
      <c r="S76" s="9" t="n"/>
      <c r="T76" s="9" t="n"/>
      <c r="U76" s="9" t="n"/>
      <c r="V76" s="9" t="n"/>
      <c r="W76" s="14" t="n"/>
      <c r="X76" s="9" t="n"/>
      <c r="Y76" s="8">
        <f>IF($G76="","",IF($D76="","⚠部屋が未選択",IF(COUNTIF('M_部屋'!$A$4:$A$20,$D76)=0,"⚠部屋が未登録",IF(OR($J76="",$Q76="キャンセル"),"",IF(SUMPRODUCT(($D$5:$D$404=$D76)*($G$5:$G$404&lt;&gt;"")*($J$5:$J$404&lt;&gt;"")*($Q$5:$Q$404&lt;&gt;"キャンセル")*($G$5:$G$404&lt;$J76)*($J$5:$J$404&gt;$G76))&gt;1,"⚠重複","")))))</f>
        <v/>
      </c>
      <c r="Z76" s="8">
        <f>IF(OR($B76="",$G76=""),"",IF(SUMPRODUCT(('利用者マスタ'!$A$4:$A$60=$B76)*('利用者マスタ'!$B$4:$B$60&lt;&gt;""))=0,"",IF(SUMIFS($AA$5:$AA$404,$B$5:$B$404,$B76,$G$5:$G$404,"&gt;="&amp;DATE(YEAR($G76),MONTH($G76),1),$G$5:$G$404,"&lt;="&amp;EOMONTH($G76,0))&gt;SUMIFS('利用者マスタ'!$B$4:$B$60,'利用者マスタ'!$A$4:$A$60,$B76),"⚠支給量超過","")))</f>
        <v/>
      </c>
      <c r="AA76" s="8">
        <f>IF(OR($G76="",$J76="",$Q76="キャンセル"),0,IF(IFERROR(INDEX('M_区分'!$B$4:$B$20,MATCH($C76,'M_区分'!$A$4:$A$20,0)),"○")="○",$J76-$G76+1,0))</f>
        <v/>
      </c>
      <c r="AB76" s="8">
        <f>IF($E76&lt;&gt;"",$E76,$AB75)</f>
        <v/>
      </c>
      <c r="AC76" s="8">
        <f>IF(OR($G76="",$J76=""),"",IF(AND($G76&lt;=EOMONTH('02_カレンダー'!$B$4,0),$J76&gt;='02_カレンダー'!$B$4),$G76*10000+ROW(),""))</f>
        <v/>
      </c>
      <c r="AD76" s="8">
        <f>IF($H76="","",IF(ISNUMBER($H76),IF(AND($H76=INT($H76),$H76&gt;=0,$H76&lt;=24),TEXT(INT($H76),"00")&amp;":00",TEXT($H76,"hh:mm")),$H76))</f>
        <v/>
      </c>
      <c r="AE76" s="8">
        <f>IF($K76="","",IF(ISNUMBER($K76),IF(AND($K76=INT($K76),$K76&gt;=0,$K76&lt;=24),TEXT(INT($K76),"00")&amp;":00",TEXT($K76,"hh:mm")),$K76))</f>
        <v/>
      </c>
      <c r="AF76" s="8">
        <f>IF($G76="",0,$G76)</f>
        <v/>
      </c>
      <c r="AG76" s="8">
        <f>IF($J76="",0,$J76)</f>
        <v/>
      </c>
    </row>
    <row r="77">
      <c r="A77" s="8">
        <f>IF($G77="","","SS-"&amp;TEXT(ROW()-4,"0000"))</f>
        <v/>
      </c>
      <c r="B77" s="9" t="n"/>
      <c r="C77" s="9" t="n"/>
      <c r="D77" s="9" t="n"/>
      <c r="E77" s="10" t="n"/>
      <c r="F77" s="11" t="n"/>
      <c r="G77" s="12">
        <f>IF($F77="","",IF($F77&gt;31,$F77,IF($AB77="","",DATE(YEAR($AB77),MONTH($AB77),$F77))))</f>
        <v/>
      </c>
      <c r="H77" s="9" t="n"/>
      <c r="I77" s="11" t="n"/>
      <c r="J77" s="12">
        <f>IF($I77="","",IF($I77&gt;31,$I77,IF($G77="","",IF(DATE(YEAR($G77),MONTH($G77),$I77)&gt;=$G77,DATE(YEAR($G77),MONTH($G77),$I77),DATE(YEAR($G77),MONTH($G77)+1,$I77)))))</f>
        <v/>
      </c>
      <c r="K77" s="9" t="n"/>
      <c r="L77" s="13" t="n"/>
      <c r="M77" s="13" t="n"/>
      <c r="N77" s="13" t="n"/>
      <c r="O77" s="8">
        <f>IF(OR($G77="",$J77=""),"",$J77-$G77+1)</f>
        <v/>
      </c>
      <c r="P77" s="8">
        <f>IF(OR($G77="",$J77=""),"",$J77-$G77)</f>
        <v/>
      </c>
      <c r="Q77" s="9" t="n"/>
      <c r="R77" s="9" t="n"/>
      <c r="S77" s="9" t="n"/>
      <c r="T77" s="9" t="n"/>
      <c r="U77" s="9" t="n"/>
      <c r="V77" s="9" t="n"/>
      <c r="W77" s="14" t="n"/>
      <c r="X77" s="9" t="n"/>
      <c r="Y77" s="8">
        <f>IF($G77="","",IF($D77="","⚠部屋が未選択",IF(COUNTIF('M_部屋'!$A$4:$A$20,$D77)=0,"⚠部屋が未登録",IF(OR($J77="",$Q77="キャンセル"),"",IF(SUMPRODUCT(($D$5:$D$404=$D77)*($G$5:$G$404&lt;&gt;"")*($J$5:$J$404&lt;&gt;"")*($Q$5:$Q$404&lt;&gt;"キャンセル")*($G$5:$G$404&lt;$J77)*($J$5:$J$404&gt;$G77))&gt;1,"⚠重複","")))))</f>
        <v/>
      </c>
      <c r="Z77" s="8">
        <f>IF(OR($B77="",$G77=""),"",IF(SUMPRODUCT(('利用者マスタ'!$A$4:$A$60=$B77)*('利用者マスタ'!$B$4:$B$60&lt;&gt;""))=0,"",IF(SUMIFS($AA$5:$AA$404,$B$5:$B$404,$B77,$G$5:$G$404,"&gt;="&amp;DATE(YEAR($G77),MONTH($G77),1),$G$5:$G$404,"&lt;="&amp;EOMONTH($G77,0))&gt;SUMIFS('利用者マスタ'!$B$4:$B$60,'利用者マスタ'!$A$4:$A$60,$B77),"⚠支給量超過","")))</f>
        <v/>
      </c>
      <c r="AA77" s="8">
        <f>IF(OR($G77="",$J77="",$Q77="キャンセル"),0,IF(IFERROR(INDEX('M_区分'!$B$4:$B$20,MATCH($C77,'M_区分'!$A$4:$A$20,0)),"○")="○",$J77-$G77+1,0))</f>
        <v/>
      </c>
      <c r="AB77" s="8">
        <f>IF($E77&lt;&gt;"",$E77,$AB76)</f>
        <v/>
      </c>
      <c r="AC77" s="8">
        <f>IF(OR($G77="",$J77=""),"",IF(AND($G77&lt;=EOMONTH('02_カレンダー'!$B$4,0),$J77&gt;='02_カレンダー'!$B$4),$G77*10000+ROW(),""))</f>
        <v/>
      </c>
      <c r="AD77" s="8">
        <f>IF($H77="","",IF(ISNUMBER($H77),IF(AND($H77=INT($H77),$H77&gt;=0,$H77&lt;=24),TEXT(INT($H77),"00")&amp;":00",TEXT($H77,"hh:mm")),$H77))</f>
        <v/>
      </c>
      <c r="AE77" s="8">
        <f>IF($K77="","",IF(ISNUMBER($K77),IF(AND($K77=INT($K77),$K77&gt;=0,$K77&lt;=24),TEXT(INT($K77),"00")&amp;":00",TEXT($K77,"hh:mm")),$K77))</f>
        <v/>
      </c>
      <c r="AF77" s="8">
        <f>IF($G77="",0,$G77)</f>
        <v/>
      </c>
      <c r="AG77" s="8">
        <f>IF($J77="",0,$J77)</f>
        <v/>
      </c>
    </row>
    <row r="78">
      <c r="A78" s="8">
        <f>IF($G78="","","SS-"&amp;TEXT(ROW()-4,"0000"))</f>
        <v/>
      </c>
      <c r="B78" s="9" t="n"/>
      <c r="C78" s="9" t="n"/>
      <c r="D78" s="9" t="n"/>
      <c r="E78" s="10" t="n"/>
      <c r="F78" s="11" t="n"/>
      <c r="G78" s="12">
        <f>IF($F78="","",IF($F78&gt;31,$F78,IF($AB78="","",DATE(YEAR($AB78),MONTH($AB78),$F78))))</f>
        <v/>
      </c>
      <c r="H78" s="9" t="n"/>
      <c r="I78" s="11" t="n"/>
      <c r="J78" s="12">
        <f>IF($I78="","",IF($I78&gt;31,$I78,IF($G78="","",IF(DATE(YEAR($G78),MONTH($G78),$I78)&gt;=$G78,DATE(YEAR($G78),MONTH($G78),$I78),DATE(YEAR($G78),MONTH($G78)+1,$I78)))))</f>
        <v/>
      </c>
      <c r="K78" s="9" t="n"/>
      <c r="L78" s="13" t="n"/>
      <c r="M78" s="13" t="n"/>
      <c r="N78" s="13" t="n"/>
      <c r="O78" s="8">
        <f>IF(OR($G78="",$J78=""),"",$J78-$G78+1)</f>
        <v/>
      </c>
      <c r="P78" s="8">
        <f>IF(OR($G78="",$J78=""),"",$J78-$G78)</f>
        <v/>
      </c>
      <c r="Q78" s="9" t="n"/>
      <c r="R78" s="9" t="n"/>
      <c r="S78" s="9" t="n"/>
      <c r="T78" s="9" t="n"/>
      <c r="U78" s="9" t="n"/>
      <c r="V78" s="9" t="n"/>
      <c r="W78" s="14" t="n"/>
      <c r="X78" s="9" t="n"/>
      <c r="Y78" s="8">
        <f>IF($G78="","",IF($D78="","⚠部屋が未選択",IF(COUNTIF('M_部屋'!$A$4:$A$20,$D78)=0,"⚠部屋が未登録",IF(OR($J78="",$Q78="キャンセル"),"",IF(SUMPRODUCT(($D$5:$D$404=$D78)*($G$5:$G$404&lt;&gt;"")*($J$5:$J$404&lt;&gt;"")*($Q$5:$Q$404&lt;&gt;"キャンセル")*($G$5:$G$404&lt;$J78)*($J$5:$J$404&gt;$G78))&gt;1,"⚠重複","")))))</f>
        <v/>
      </c>
      <c r="Z78" s="8">
        <f>IF(OR($B78="",$G78=""),"",IF(SUMPRODUCT(('利用者マスタ'!$A$4:$A$60=$B78)*('利用者マスタ'!$B$4:$B$60&lt;&gt;""))=0,"",IF(SUMIFS($AA$5:$AA$404,$B$5:$B$404,$B78,$G$5:$G$404,"&gt;="&amp;DATE(YEAR($G78),MONTH($G78),1),$G$5:$G$404,"&lt;="&amp;EOMONTH($G78,0))&gt;SUMIFS('利用者マスタ'!$B$4:$B$60,'利用者マスタ'!$A$4:$A$60,$B78),"⚠支給量超過","")))</f>
        <v/>
      </c>
      <c r="AA78" s="8">
        <f>IF(OR($G78="",$J78="",$Q78="キャンセル"),0,IF(IFERROR(INDEX('M_区分'!$B$4:$B$20,MATCH($C78,'M_区分'!$A$4:$A$20,0)),"○")="○",$J78-$G78+1,0))</f>
        <v/>
      </c>
      <c r="AB78" s="8">
        <f>IF($E78&lt;&gt;"",$E78,$AB77)</f>
        <v/>
      </c>
      <c r="AC78" s="8">
        <f>IF(OR($G78="",$J78=""),"",IF(AND($G78&lt;=EOMONTH('02_カレンダー'!$B$4,0),$J78&gt;='02_カレンダー'!$B$4),$G78*10000+ROW(),""))</f>
        <v/>
      </c>
      <c r="AD78" s="8">
        <f>IF($H78="","",IF(ISNUMBER($H78),IF(AND($H78=INT($H78),$H78&gt;=0,$H78&lt;=24),TEXT(INT($H78),"00")&amp;":00",TEXT($H78,"hh:mm")),$H78))</f>
        <v/>
      </c>
      <c r="AE78" s="8">
        <f>IF($K78="","",IF(ISNUMBER($K78),IF(AND($K78=INT($K78),$K78&gt;=0,$K78&lt;=24),TEXT(INT($K78),"00")&amp;":00",TEXT($K78,"hh:mm")),$K78))</f>
        <v/>
      </c>
      <c r="AF78" s="8">
        <f>IF($G78="",0,$G78)</f>
        <v/>
      </c>
      <c r="AG78" s="8">
        <f>IF($J78="",0,$J78)</f>
        <v/>
      </c>
    </row>
    <row r="79">
      <c r="A79" s="8">
        <f>IF($G79="","","SS-"&amp;TEXT(ROW()-4,"0000"))</f>
        <v/>
      </c>
      <c r="B79" s="9" t="n"/>
      <c r="C79" s="9" t="n"/>
      <c r="D79" s="9" t="n"/>
      <c r="E79" s="10" t="n"/>
      <c r="F79" s="11" t="n"/>
      <c r="G79" s="12">
        <f>IF($F79="","",IF($F79&gt;31,$F79,IF($AB79="","",DATE(YEAR($AB79),MONTH($AB79),$F79))))</f>
        <v/>
      </c>
      <c r="H79" s="9" t="n"/>
      <c r="I79" s="11" t="n"/>
      <c r="J79" s="12">
        <f>IF($I79="","",IF($I79&gt;31,$I79,IF($G79="","",IF(DATE(YEAR($G79),MONTH($G79),$I79)&gt;=$G79,DATE(YEAR($G79),MONTH($G79),$I79),DATE(YEAR($G79),MONTH($G79)+1,$I79)))))</f>
        <v/>
      </c>
      <c r="K79" s="9" t="n"/>
      <c r="L79" s="13" t="n"/>
      <c r="M79" s="13" t="n"/>
      <c r="N79" s="13" t="n"/>
      <c r="O79" s="8">
        <f>IF(OR($G79="",$J79=""),"",$J79-$G79+1)</f>
        <v/>
      </c>
      <c r="P79" s="8">
        <f>IF(OR($G79="",$J79=""),"",$J79-$G79)</f>
        <v/>
      </c>
      <c r="Q79" s="9" t="n"/>
      <c r="R79" s="9" t="n"/>
      <c r="S79" s="9" t="n"/>
      <c r="T79" s="9" t="n"/>
      <c r="U79" s="9" t="n"/>
      <c r="V79" s="9" t="n"/>
      <c r="W79" s="14" t="n"/>
      <c r="X79" s="9" t="n"/>
      <c r="Y79" s="8">
        <f>IF($G79="","",IF($D79="","⚠部屋が未選択",IF(COUNTIF('M_部屋'!$A$4:$A$20,$D79)=0,"⚠部屋が未登録",IF(OR($J79="",$Q79="キャンセル"),"",IF(SUMPRODUCT(($D$5:$D$404=$D79)*($G$5:$G$404&lt;&gt;"")*($J$5:$J$404&lt;&gt;"")*($Q$5:$Q$404&lt;&gt;"キャンセル")*($G$5:$G$404&lt;$J79)*($J$5:$J$404&gt;$G79))&gt;1,"⚠重複","")))))</f>
        <v/>
      </c>
      <c r="Z79" s="8">
        <f>IF(OR($B79="",$G79=""),"",IF(SUMPRODUCT(('利用者マスタ'!$A$4:$A$60=$B79)*('利用者マスタ'!$B$4:$B$60&lt;&gt;""))=0,"",IF(SUMIFS($AA$5:$AA$404,$B$5:$B$404,$B79,$G$5:$G$404,"&gt;="&amp;DATE(YEAR($G79),MONTH($G79),1),$G$5:$G$404,"&lt;="&amp;EOMONTH($G79,0))&gt;SUMIFS('利用者マスタ'!$B$4:$B$60,'利用者マスタ'!$A$4:$A$60,$B79),"⚠支給量超過","")))</f>
        <v/>
      </c>
      <c r="AA79" s="8">
        <f>IF(OR($G79="",$J79="",$Q79="キャンセル"),0,IF(IFERROR(INDEX('M_区分'!$B$4:$B$20,MATCH($C79,'M_区分'!$A$4:$A$20,0)),"○")="○",$J79-$G79+1,0))</f>
        <v/>
      </c>
      <c r="AB79" s="8">
        <f>IF($E79&lt;&gt;"",$E79,$AB78)</f>
        <v/>
      </c>
      <c r="AC79" s="8">
        <f>IF(OR($G79="",$J79=""),"",IF(AND($G79&lt;=EOMONTH('02_カレンダー'!$B$4,0),$J79&gt;='02_カレンダー'!$B$4),$G79*10000+ROW(),""))</f>
        <v/>
      </c>
      <c r="AD79" s="8">
        <f>IF($H79="","",IF(ISNUMBER($H79),IF(AND($H79=INT($H79),$H79&gt;=0,$H79&lt;=24),TEXT(INT($H79),"00")&amp;":00",TEXT($H79,"hh:mm")),$H79))</f>
        <v/>
      </c>
      <c r="AE79" s="8">
        <f>IF($K79="","",IF(ISNUMBER($K79),IF(AND($K79=INT($K79),$K79&gt;=0,$K79&lt;=24),TEXT(INT($K79),"00")&amp;":00",TEXT($K79,"hh:mm")),$K79))</f>
        <v/>
      </c>
      <c r="AF79" s="8">
        <f>IF($G79="",0,$G79)</f>
        <v/>
      </c>
      <c r="AG79" s="8">
        <f>IF($J79="",0,$J79)</f>
        <v/>
      </c>
    </row>
    <row r="80">
      <c r="A80" s="8">
        <f>IF($G80="","","SS-"&amp;TEXT(ROW()-4,"0000"))</f>
        <v/>
      </c>
      <c r="B80" s="9" t="n"/>
      <c r="C80" s="9" t="n"/>
      <c r="D80" s="9" t="n"/>
      <c r="E80" s="10" t="n"/>
      <c r="F80" s="11" t="n"/>
      <c r="G80" s="12">
        <f>IF($F80="","",IF($F80&gt;31,$F80,IF($AB80="","",DATE(YEAR($AB80),MONTH($AB80),$F80))))</f>
        <v/>
      </c>
      <c r="H80" s="9" t="n"/>
      <c r="I80" s="11" t="n"/>
      <c r="J80" s="12">
        <f>IF($I80="","",IF($I80&gt;31,$I80,IF($G80="","",IF(DATE(YEAR($G80),MONTH($G80),$I80)&gt;=$G80,DATE(YEAR($G80),MONTH($G80),$I80),DATE(YEAR($G80),MONTH($G80)+1,$I80)))))</f>
        <v/>
      </c>
      <c r="K80" s="9" t="n"/>
      <c r="L80" s="13" t="n"/>
      <c r="M80" s="13" t="n"/>
      <c r="N80" s="13" t="n"/>
      <c r="O80" s="8">
        <f>IF(OR($G80="",$J80=""),"",$J80-$G80+1)</f>
        <v/>
      </c>
      <c r="P80" s="8">
        <f>IF(OR($G80="",$J80=""),"",$J80-$G80)</f>
        <v/>
      </c>
      <c r="Q80" s="9" t="n"/>
      <c r="R80" s="9" t="n"/>
      <c r="S80" s="9" t="n"/>
      <c r="T80" s="9" t="n"/>
      <c r="U80" s="9" t="n"/>
      <c r="V80" s="9" t="n"/>
      <c r="W80" s="14" t="n"/>
      <c r="X80" s="9" t="n"/>
      <c r="Y80" s="8">
        <f>IF($G80="","",IF($D80="","⚠部屋が未選択",IF(COUNTIF('M_部屋'!$A$4:$A$20,$D80)=0,"⚠部屋が未登録",IF(OR($J80="",$Q80="キャンセル"),"",IF(SUMPRODUCT(($D$5:$D$404=$D80)*($G$5:$G$404&lt;&gt;"")*($J$5:$J$404&lt;&gt;"")*($Q$5:$Q$404&lt;&gt;"キャンセル")*($G$5:$G$404&lt;$J80)*($J$5:$J$404&gt;$G80))&gt;1,"⚠重複","")))))</f>
        <v/>
      </c>
      <c r="Z80" s="8">
        <f>IF(OR($B80="",$G80=""),"",IF(SUMPRODUCT(('利用者マスタ'!$A$4:$A$60=$B80)*('利用者マスタ'!$B$4:$B$60&lt;&gt;""))=0,"",IF(SUMIFS($AA$5:$AA$404,$B$5:$B$404,$B80,$G$5:$G$404,"&gt;="&amp;DATE(YEAR($G80),MONTH($G80),1),$G$5:$G$404,"&lt;="&amp;EOMONTH($G80,0))&gt;SUMIFS('利用者マスタ'!$B$4:$B$60,'利用者マスタ'!$A$4:$A$60,$B80),"⚠支給量超過","")))</f>
        <v/>
      </c>
      <c r="AA80" s="8">
        <f>IF(OR($G80="",$J80="",$Q80="キャンセル"),0,IF(IFERROR(INDEX('M_区分'!$B$4:$B$20,MATCH($C80,'M_区分'!$A$4:$A$20,0)),"○")="○",$J80-$G80+1,0))</f>
        <v/>
      </c>
      <c r="AB80" s="8">
        <f>IF($E80&lt;&gt;"",$E80,$AB79)</f>
        <v/>
      </c>
      <c r="AC80" s="8">
        <f>IF(OR($G80="",$J80=""),"",IF(AND($G80&lt;=EOMONTH('02_カレンダー'!$B$4,0),$J80&gt;='02_カレンダー'!$B$4),$G80*10000+ROW(),""))</f>
        <v/>
      </c>
      <c r="AD80" s="8">
        <f>IF($H80="","",IF(ISNUMBER($H80),IF(AND($H80=INT($H80),$H80&gt;=0,$H80&lt;=24),TEXT(INT($H80),"00")&amp;":00",TEXT($H80,"hh:mm")),$H80))</f>
        <v/>
      </c>
      <c r="AE80" s="8">
        <f>IF($K80="","",IF(ISNUMBER($K80),IF(AND($K80=INT($K80),$K80&gt;=0,$K80&lt;=24),TEXT(INT($K80),"00")&amp;":00",TEXT($K80,"hh:mm")),$K80))</f>
        <v/>
      </c>
      <c r="AF80" s="8">
        <f>IF($G80="",0,$G80)</f>
        <v/>
      </c>
      <c r="AG80" s="8">
        <f>IF($J80="",0,$J80)</f>
        <v/>
      </c>
    </row>
    <row r="81">
      <c r="A81" s="8">
        <f>IF($G81="","","SS-"&amp;TEXT(ROW()-4,"0000"))</f>
        <v/>
      </c>
      <c r="B81" s="9" t="n"/>
      <c r="C81" s="9" t="n"/>
      <c r="D81" s="9" t="n"/>
      <c r="E81" s="10" t="n"/>
      <c r="F81" s="11" t="n"/>
      <c r="G81" s="12">
        <f>IF($F81="","",IF($F81&gt;31,$F81,IF($AB81="","",DATE(YEAR($AB81),MONTH($AB81),$F81))))</f>
        <v/>
      </c>
      <c r="H81" s="9" t="n"/>
      <c r="I81" s="11" t="n"/>
      <c r="J81" s="12">
        <f>IF($I81="","",IF($I81&gt;31,$I81,IF($G81="","",IF(DATE(YEAR($G81),MONTH($G81),$I81)&gt;=$G81,DATE(YEAR($G81),MONTH($G81),$I81),DATE(YEAR($G81),MONTH($G81)+1,$I81)))))</f>
        <v/>
      </c>
      <c r="K81" s="9" t="n"/>
      <c r="L81" s="13" t="n"/>
      <c r="M81" s="13" t="n"/>
      <c r="N81" s="13" t="n"/>
      <c r="O81" s="8">
        <f>IF(OR($G81="",$J81=""),"",$J81-$G81+1)</f>
        <v/>
      </c>
      <c r="P81" s="8">
        <f>IF(OR($G81="",$J81=""),"",$J81-$G81)</f>
        <v/>
      </c>
      <c r="Q81" s="9" t="n"/>
      <c r="R81" s="9" t="n"/>
      <c r="S81" s="9" t="n"/>
      <c r="T81" s="9" t="n"/>
      <c r="U81" s="9" t="n"/>
      <c r="V81" s="9" t="n"/>
      <c r="W81" s="14" t="n"/>
      <c r="X81" s="9" t="n"/>
      <c r="Y81" s="8">
        <f>IF($G81="","",IF($D81="","⚠部屋が未選択",IF(COUNTIF('M_部屋'!$A$4:$A$20,$D81)=0,"⚠部屋が未登録",IF(OR($J81="",$Q81="キャンセル"),"",IF(SUMPRODUCT(($D$5:$D$404=$D81)*($G$5:$G$404&lt;&gt;"")*($J$5:$J$404&lt;&gt;"")*($Q$5:$Q$404&lt;&gt;"キャンセル")*($G$5:$G$404&lt;$J81)*($J$5:$J$404&gt;$G81))&gt;1,"⚠重複","")))))</f>
        <v/>
      </c>
      <c r="Z81" s="8">
        <f>IF(OR($B81="",$G81=""),"",IF(SUMPRODUCT(('利用者マスタ'!$A$4:$A$60=$B81)*('利用者マスタ'!$B$4:$B$60&lt;&gt;""))=0,"",IF(SUMIFS($AA$5:$AA$404,$B$5:$B$404,$B81,$G$5:$G$404,"&gt;="&amp;DATE(YEAR($G81),MONTH($G81),1),$G$5:$G$404,"&lt;="&amp;EOMONTH($G81,0))&gt;SUMIFS('利用者マスタ'!$B$4:$B$60,'利用者マスタ'!$A$4:$A$60,$B81),"⚠支給量超過","")))</f>
        <v/>
      </c>
      <c r="AA81" s="8">
        <f>IF(OR($G81="",$J81="",$Q81="キャンセル"),0,IF(IFERROR(INDEX('M_区分'!$B$4:$B$20,MATCH($C81,'M_区分'!$A$4:$A$20,0)),"○")="○",$J81-$G81+1,0))</f>
        <v/>
      </c>
      <c r="AB81" s="8">
        <f>IF($E81&lt;&gt;"",$E81,$AB80)</f>
        <v/>
      </c>
      <c r="AC81" s="8">
        <f>IF(OR($G81="",$J81=""),"",IF(AND($G81&lt;=EOMONTH('02_カレンダー'!$B$4,0),$J81&gt;='02_カレンダー'!$B$4),$G81*10000+ROW(),""))</f>
        <v/>
      </c>
      <c r="AD81" s="8">
        <f>IF($H81="","",IF(ISNUMBER($H81),IF(AND($H81=INT($H81),$H81&gt;=0,$H81&lt;=24),TEXT(INT($H81),"00")&amp;":00",TEXT($H81,"hh:mm")),$H81))</f>
        <v/>
      </c>
      <c r="AE81" s="8">
        <f>IF($K81="","",IF(ISNUMBER($K81),IF(AND($K81=INT($K81),$K81&gt;=0,$K81&lt;=24),TEXT(INT($K81),"00")&amp;":00",TEXT($K81,"hh:mm")),$K81))</f>
        <v/>
      </c>
      <c r="AF81" s="8">
        <f>IF($G81="",0,$G81)</f>
        <v/>
      </c>
      <c r="AG81" s="8">
        <f>IF($J81="",0,$J81)</f>
        <v/>
      </c>
    </row>
    <row r="82">
      <c r="A82" s="8">
        <f>IF($G82="","","SS-"&amp;TEXT(ROW()-4,"0000"))</f>
        <v/>
      </c>
      <c r="B82" s="9" t="n"/>
      <c r="C82" s="9" t="n"/>
      <c r="D82" s="9" t="n"/>
      <c r="E82" s="10" t="n"/>
      <c r="F82" s="11" t="n"/>
      <c r="G82" s="12">
        <f>IF($F82="","",IF($F82&gt;31,$F82,IF($AB82="","",DATE(YEAR($AB82),MONTH($AB82),$F82))))</f>
        <v/>
      </c>
      <c r="H82" s="9" t="n"/>
      <c r="I82" s="11" t="n"/>
      <c r="J82" s="12">
        <f>IF($I82="","",IF($I82&gt;31,$I82,IF($G82="","",IF(DATE(YEAR($G82),MONTH($G82),$I82)&gt;=$G82,DATE(YEAR($G82),MONTH($G82),$I82),DATE(YEAR($G82),MONTH($G82)+1,$I82)))))</f>
        <v/>
      </c>
      <c r="K82" s="9" t="n"/>
      <c r="L82" s="13" t="n"/>
      <c r="M82" s="13" t="n"/>
      <c r="N82" s="13" t="n"/>
      <c r="O82" s="8">
        <f>IF(OR($G82="",$J82=""),"",$J82-$G82+1)</f>
        <v/>
      </c>
      <c r="P82" s="8">
        <f>IF(OR($G82="",$J82=""),"",$J82-$G82)</f>
        <v/>
      </c>
      <c r="Q82" s="9" t="n"/>
      <c r="R82" s="9" t="n"/>
      <c r="S82" s="9" t="n"/>
      <c r="T82" s="9" t="n"/>
      <c r="U82" s="9" t="n"/>
      <c r="V82" s="9" t="n"/>
      <c r="W82" s="14" t="n"/>
      <c r="X82" s="9" t="n"/>
      <c r="Y82" s="8">
        <f>IF($G82="","",IF($D82="","⚠部屋が未選択",IF(COUNTIF('M_部屋'!$A$4:$A$20,$D82)=0,"⚠部屋が未登録",IF(OR($J82="",$Q82="キャンセル"),"",IF(SUMPRODUCT(($D$5:$D$404=$D82)*($G$5:$G$404&lt;&gt;"")*($J$5:$J$404&lt;&gt;"")*($Q$5:$Q$404&lt;&gt;"キャンセル")*($G$5:$G$404&lt;$J82)*($J$5:$J$404&gt;$G82))&gt;1,"⚠重複","")))))</f>
        <v/>
      </c>
      <c r="Z82" s="8">
        <f>IF(OR($B82="",$G82=""),"",IF(SUMPRODUCT(('利用者マスタ'!$A$4:$A$60=$B82)*('利用者マスタ'!$B$4:$B$60&lt;&gt;""))=0,"",IF(SUMIFS($AA$5:$AA$404,$B$5:$B$404,$B82,$G$5:$G$404,"&gt;="&amp;DATE(YEAR($G82),MONTH($G82),1),$G$5:$G$404,"&lt;="&amp;EOMONTH($G82,0))&gt;SUMIFS('利用者マスタ'!$B$4:$B$60,'利用者マスタ'!$A$4:$A$60,$B82),"⚠支給量超過","")))</f>
        <v/>
      </c>
      <c r="AA82" s="8">
        <f>IF(OR($G82="",$J82="",$Q82="キャンセル"),0,IF(IFERROR(INDEX('M_区分'!$B$4:$B$20,MATCH($C82,'M_区分'!$A$4:$A$20,0)),"○")="○",$J82-$G82+1,0))</f>
        <v/>
      </c>
      <c r="AB82" s="8">
        <f>IF($E82&lt;&gt;"",$E82,$AB81)</f>
        <v/>
      </c>
      <c r="AC82" s="8">
        <f>IF(OR($G82="",$J82=""),"",IF(AND($G82&lt;=EOMONTH('02_カレンダー'!$B$4,0),$J82&gt;='02_カレンダー'!$B$4),$G82*10000+ROW(),""))</f>
        <v/>
      </c>
      <c r="AD82" s="8">
        <f>IF($H82="","",IF(ISNUMBER($H82),IF(AND($H82=INT($H82),$H82&gt;=0,$H82&lt;=24),TEXT(INT($H82),"00")&amp;":00",TEXT($H82,"hh:mm")),$H82))</f>
        <v/>
      </c>
      <c r="AE82" s="8">
        <f>IF($K82="","",IF(ISNUMBER($K82),IF(AND($K82=INT($K82),$K82&gt;=0,$K82&lt;=24),TEXT(INT($K82),"00")&amp;":00",TEXT($K82,"hh:mm")),$K82))</f>
        <v/>
      </c>
      <c r="AF82" s="8">
        <f>IF($G82="",0,$G82)</f>
        <v/>
      </c>
      <c r="AG82" s="8">
        <f>IF($J82="",0,$J82)</f>
        <v/>
      </c>
    </row>
    <row r="83">
      <c r="A83" s="8">
        <f>IF($G83="","","SS-"&amp;TEXT(ROW()-4,"0000"))</f>
        <v/>
      </c>
      <c r="B83" s="9" t="n"/>
      <c r="C83" s="9" t="n"/>
      <c r="D83" s="9" t="n"/>
      <c r="E83" s="10" t="n"/>
      <c r="F83" s="11" t="n"/>
      <c r="G83" s="12">
        <f>IF($F83="","",IF($F83&gt;31,$F83,IF($AB83="","",DATE(YEAR($AB83),MONTH($AB83),$F83))))</f>
        <v/>
      </c>
      <c r="H83" s="9" t="n"/>
      <c r="I83" s="11" t="n"/>
      <c r="J83" s="12">
        <f>IF($I83="","",IF($I83&gt;31,$I83,IF($G83="","",IF(DATE(YEAR($G83),MONTH($G83),$I83)&gt;=$G83,DATE(YEAR($G83),MONTH($G83),$I83),DATE(YEAR($G83),MONTH($G83)+1,$I83)))))</f>
        <v/>
      </c>
      <c r="K83" s="9" t="n"/>
      <c r="L83" s="13" t="n"/>
      <c r="M83" s="13" t="n"/>
      <c r="N83" s="13" t="n"/>
      <c r="O83" s="8">
        <f>IF(OR($G83="",$J83=""),"",$J83-$G83+1)</f>
        <v/>
      </c>
      <c r="P83" s="8">
        <f>IF(OR($G83="",$J83=""),"",$J83-$G83)</f>
        <v/>
      </c>
      <c r="Q83" s="9" t="n"/>
      <c r="R83" s="9" t="n"/>
      <c r="S83" s="9" t="n"/>
      <c r="T83" s="9" t="n"/>
      <c r="U83" s="9" t="n"/>
      <c r="V83" s="9" t="n"/>
      <c r="W83" s="14" t="n"/>
      <c r="X83" s="9" t="n"/>
      <c r="Y83" s="8">
        <f>IF($G83="","",IF($D83="","⚠部屋が未選択",IF(COUNTIF('M_部屋'!$A$4:$A$20,$D83)=0,"⚠部屋が未登録",IF(OR($J83="",$Q83="キャンセル"),"",IF(SUMPRODUCT(($D$5:$D$404=$D83)*($G$5:$G$404&lt;&gt;"")*($J$5:$J$404&lt;&gt;"")*($Q$5:$Q$404&lt;&gt;"キャンセル")*($G$5:$G$404&lt;$J83)*($J$5:$J$404&gt;$G83))&gt;1,"⚠重複","")))))</f>
        <v/>
      </c>
      <c r="Z83" s="8">
        <f>IF(OR($B83="",$G83=""),"",IF(SUMPRODUCT(('利用者マスタ'!$A$4:$A$60=$B83)*('利用者マスタ'!$B$4:$B$60&lt;&gt;""))=0,"",IF(SUMIFS($AA$5:$AA$404,$B$5:$B$404,$B83,$G$5:$G$404,"&gt;="&amp;DATE(YEAR($G83),MONTH($G83),1),$G$5:$G$404,"&lt;="&amp;EOMONTH($G83,0))&gt;SUMIFS('利用者マスタ'!$B$4:$B$60,'利用者マスタ'!$A$4:$A$60,$B83),"⚠支給量超過","")))</f>
        <v/>
      </c>
      <c r="AA83" s="8">
        <f>IF(OR($G83="",$J83="",$Q83="キャンセル"),0,IF(IFERROR(INDEX('M_区分'!$B$4:$B$20,MATCH($C83,'M_区分'!$A$4:$A$20,0)),"○")="○",$J83-$G83+1,0))</f>
        <v/>
      </c>
      <c r="AB83" s="8">
        <f>IF($E83&lt;&gt;"",$E83,$AB82)</f>
        <v/>
      </c>
      <c r="AC83" s="8">
        <f>IF(OR($G83="",$J83=""),"",IF(AND($G83&lt;=EOMONTH('02_カレンダー'!$B$4,0),$J83&gt;='02_カレンダー'!$B$4),$G83*10000+ROW(),""))</f>
        <v/>
      </c>
      <c r="AD83" s="8">
        <f>IF($H83="","",IF(ISNUMBER($H83),IF(AND($H83=INT($H83),$H83&gt;=0,$H83&lt;=24),TEXT(INT($H83),"00")&amp;":00",TEXT($H83,"hh:mm")),$H83))</f>
        <v/>
      </c>
      <c r="AE83" s="8">
        <f>IF($K83="","",IF(ISNUMBER($K83),IF(AND($K83=INT($K83),$K83&gt;=0,$K83&lt;=24),TEXT(INT($K83),"00")&amp;":00",TEXT($K83,"hh:mm")),$K83))</f>
        <v/>
      </c>
      <c r="AF83" s="8">
        <f>IF($G83="",0,$G83)</f>
        <v/>
      </c>
      <c r="AG83" s="8">
        <f>IF($J83="",0,$J83)</f>
        <v/>
      </c>
    </row>
    <row r="84">
      <c r="A84" s="8">
        <f>IF($G84="","","SS-"&amp;TEXT(ROW()-4,"0000"))</f>
        <v/>
      </c>
      <c r="B84" s="9" t="n"/>
      <c r="C84" s="9" t="n"/>
      <c r="D84" s="9" t="n"/>
      <c r="E84" s="10" t="n"/>
      <c r="F84" s="11" t="n"/>
      <c r="G84" s="12">
        <f>IF($F84="","",IF($F84&gt;31,$F84,IF($AB84="","",DATE(YEAR($AB84),MONTH($AB84),$F84))))</f>
        <v/>
      </c>
      <c r="H84" s="9" t="n"/>
      <c r="I84" s="11" t="n"/>
      <c r="J84" s="12">
        <f>IF($I84="","",IF($I84&gt;31,$I84,IF($G84="","",IF(DATE(YEAR($G84),MONTH($G84),$I84)&gt;=$G84,DATE(YEAR($G84),MONTH($G84),$I84),DATE(YEAR($G84),MONTH($G84)+1,$I84)))))</f>
        <v/>
      </c>
      <c r="K84" s="9" t="n"/>
      <c r="L84" s="13" t="n"/>
      <c r="M84" s="13" t="n"/>
      <c r="N84" s="13" t="n"/>
      <c r="O84" s="8">
        <f>IF(OR($G84="",$J84=""),"",$J84-$G84+1)</f>
        <v/>
      </c>
      <c r="P84" s="8">
        <f>IF(OR($G84="",$J84=""),"",$J84-$G84)</f>
        <v/>
      </c>
      <c r="Q84" s="9" t="n"/>
      <c r="R84" s="9" t="n"/>
      <c r="S84" s="9" t="n"/>
      <c r="T84" s="9" t="n"/>
      <c r="U84" s="9" t="n"/>
      <c r="V84" s="9" t="n"/>
      <c r="W84" s="14" t="n"/>
      <c r="X84" s="9" t="n"/>
      <c r="Y84" s="8">
        <f>IF($G84="","",IF($D84="","⚠部屋が未選択",IF(COUNTIF('M_部屋'!$A$4:$A$20,$D84)=0,"⚠部屋が未登録",IF(OR($J84="",$Q84="キャンセル"),"",IF(SUMPRODUCT(($D$5:$D$404=$D84)*($G$5:$G$404&lt;&gt;"")*($J$5:$J$404&lt;&gt;"")*($Q$5:$Q$404&lt;&gt;"キャンセル")*($G$5:$G$404&lt;$J84)*($J$5:$J$404&gt;$G84))&gt;1,"⚠重複","")))))</f>
        <v/>
      </c>
      <c r="Z84" s="8">
        <f>IF(OR($B84="",$G84=""),"",IF(SUMPRODUCT(('利用者マスタ'!$A$4:$A$60=$B84)*('利用者マスタ'!$B$4:$B$60&lt;&gt;""))=0,"",IF(SUMIFS($AA$5:$AA$404,$B$5:$B$404,$B84,$G$5:$G$404,"&gt;="&amp;DATE(YEAR($G84),MONTH($G84),1),$G$5:$G$404,"&lt;="&amp;EOMONTH($G84,0))&gt;SUMIFS('利用者マスタ'!$B$4:$B$60,'利用者マスタ'!$A$4:$A$60,$B84),"⚠支給量超過","")))</f>
        <v/>
      </c>
      <c r="AA84" s="8">
        <f>IF(OR($G84="",$J84="",$Q84="キャンセル"),0,IF(IFERROR(INDEX('M_区分'!$B$4:$B$20,MATCH($C84,'M_区分'!$A$4:$A$20,0)),"○")="○",$J84-$G84+1,0))</f>
        <v/>
      </c>
      <c r="AB84" s="8">
        <f>IF($E84&lt;&gt;"",$E84,$AB83)</f>
        <v/>
      </c>
      <c r="AC84" s="8">
        <f>IF(OR($G84="",$J84=""),"",IF(AND($G84&lt;=EOMONTH('02_カレンダー'!$B$4,0),$J84&gt;='02_カレンダー'!$B$4),$G84*10000+ROW(),""))</f>
        <v/>
      </c>
      <c r="AD84" s="8">
        <f>IF($H84="","",IF(ISNUMBER($H84),IF(AND($H84=INT($H84),$H84&gt;=0,$H84&lt;=24),TEXT(INT($H84),"00")&amp;":00",TEXT($H84,"hh:mm")),$H84))</f>
        <v/>
      </c>
      <c r="AE84" s="8">
        <f>IF($K84="","",IF(ISNUMBER($K84),IF(AND($K84=INT($K84),$K84&gt;=0,$K84&lt;=24),TEXT(INT($K84),"00")&amp;":00",TEXT($K84,"hh:mm")),$K84))</f>
        <v/>
      </c>
      <c r="AF84" s="8">
        <f>IF($G84="",0,$G84)</f>
        <v/>
      </c>
      <c r="AG84" s="8">
        <f>IF($J84="",0,$J84)</f>
        <v/>
      </c>
    </row>
    <row r="85">
      <c r="A85" s="8">
        <f>IF($G85="","","SS-"&amp;TEXT(ROW()-4,"0000"))</f>
        <v/>
      </c>
      <c r="B85" s="9" t="n"/>
      <c r="C85" s="9" t="n"/>
      <c r="D85" s="9" t="n"/>
      <c r="E85" s="10" t="n"/>
      <c r="F85" s="11" t="n"/>
      <c r="G85" s="12">
        <f>IF($F85="","",IF($F85&gt;31,$F85,IF($AB85="","",DATE(YEAR($AB85),MONTH($AB85),$F85))))</f>
        <v/>
      </c>
      <c r="H85" s="9" t="n"/>
      <c r="I85" s="11" t="n"/>
      <c r="J85" s="12">
        <f>IF($I85="","",IF($I85&gt;31,$I85,IF($G85="","",IF(DATE(YEAR($G85),MONTH($G85),$I85)&gt;=$G85,DATE(YEAR($G85),MONTH($G85),$I85),DATE(YEAR($G85),MONTH($G85)+1,$I85)))))</f>
        <v/>
      </c>
      <c r="K85" s="9" t="n"/>
      <c r="L85" s="13" t="n"/>
      <c r="M85" s="13" t="n"/>
      <c r="N85" s="13" t="n"/>
      <c r="O85" s="8">
        <f>IF(OR($G85="",$J85=""),"",$J85-$G85+1)</f>
        <v/>
      </c>
      <c r="P85" s="8">
        <f>IF(OR($G85="",$J85=""),"",$J85-$G85)</f>
        <v/>
      </c>
      <c r="Q85" s="9" t="n"/>
      <c r="R85" s="9" t="n"/>
      <c r="S85" s="9" t="n"/>
      <c r="T85" s="9" t="n"/>
      <c r="U85" s="9" t="n"/>
      <c r="V85" s="9" t="n"/>
      <c r="W85" s="14" t="n"/>
      <c r="X85" s="9" t="n"/>
      <c r="Y85" s="8">
        <f>IF($G85="","",IF($D85="","⚠部屋が未選択",IF(COUNTIF('M_部屋'!$A$4:$A$20,$D85)=0,"⚠部屋が未登録",IF(OR($J85="",$Q85="キャンセル"),"",IF(SUMPRODUCT(($D$5:$D$404=$D85)*($G$5:$G$404&lt;&gt;"")*($J$5:$J$404&lt;&gt;"")*($Q$5:$Q$404&lt;&gt;"キャンセル")*($G$5:$G$404&lt;$J85)*($J$5:$J$404&gt;$G85))&gt;1,"⚠重複","")))))</f>
        <v/>
      </c>
      <c r="Z85" s="8">
        <f>IF(OR($B85="",$G85=""),"",IF(SUMPRODUCT(('利用者マスタ'!$A$4:$A$60=$B85)*('利用者マスタ'!$B$4:$B$60&lt;&gt;""))=0,"",IF(SUMIFS($AA$5:$AA$404,$B$5:$B$404,$B85,$G$5:$G$404,"&gt;="&amp;DATE(YEAR($G85),MONTH($G85),1),$G$5:$G$404,"&lt;="&amp;EOMONTH($G85,0))&gt;SUMIFS('利用者マスタ'!$B$4:$B$60,'利用者マスタ'!$A$4:$A$60,$B85),"⚠支給量超過","")))</f>
        <v/>
      </c>
      <c r="AA85" s="8">
        <f>IF(OR($G85="",$J85="",$Q85="キャンセル"),0,IF(IFERROR(INDEX('M_区分'!$B$4:$B$20,MATCH($C85,'M_区分'!$A$4:$A$20,0)),"○")="○",$J85-$G85+1,0))</f>
        <v/>
      </c>
      <c r="AB85" s="8">
        <f>IF($E85&lt;&gt;"",$E85,$AB84)</f>
        <v/>
      </c>
      <c r="AC85" s="8">
        <f>IF(OR($G85="",$J85=""),"",IF(AND($G85&lt;=EOMONTH('02_カレンダー'!$B$4,0),$J85&gt;='02_カレンダー'!$B$4),$G85*10000+ROW(),""))</f>
        <v/>
      </c>
      <c r="AD85" s="8">
        <f>IF($H85="","",IF(ISNUMBER($H85),IF(AND($H85=INT($H85),$H85&gt;=0,$H85&lt;=24),TEXT(INT($H85),"00")&amp;":00",TEXT($H85,"hh:mm")),$H85))</f>
        <v/>
      </c>
      <c r="AE85" s="8">
        <f>IF($K85="","",IF(ISNUMBER($K85),IF(AND($K85=INT($K85),$K85&gt;=0,$K85&lt;=24),TEXT(INT($K85),"00")&amp;":00",TEXT($K85,"hh:mm")),$K85))</f>
        <v/>
      </c>
      <c r="AF85" s="8">
        <f>IF($G85="",0,$G85)</f>
        <v/>
      </c>
      <c r="AG85" s="8">
        <f>IF($J85="",0,$J85)</f>
        <v/>
      </c>
    </row>
    <row r="86">
      <c r="A86" s="8">
        <f>IF($G86="","","SS-"&amp;TEXT(ROW()-4,"0000"))</f>
        <v/>
      </c>
      <c r="B86" s="9" t="n"/>
      <c r="C86" s="9" t="n"/>
      <c r="D86" s="9" t="n"/>
      <c r="E86" s="10" t="n"/>
      <c r="F86" s="11" t="n"/>
      <c r="G86" s="12">
        <f>IF($F86="","",IF($F86&gt;31,$F86,IF($AB86="","",DATE(YEAR($AB86),MONTH($AB86),$F86))))</f>
        <v/>
      </c>
      <c r="H86" s="9" t="n"/>
      <c r="I86" s="11" t="n"/>
      <c r="J86" s="12">
        <f>IF($I86="","",IF($I86&gt;31,$I86,IF($G86="","",IF(DATE(YEAR($G86),MONTH($G86),$I86)&gt;=$G86,DATE(YEAR($G86),MONTH($G86),$I86),DATE(YEAR($G86),MONTH($G86)+1,$I86)))))</f>
        <v/>
      </c>
      <c r="K86" s="9" t="n"/>
      <c r="L86" s="13" t="n"/>
      <c r="M86" s="13" t="n"/>
      <c r="N86" s="13" t="n"/>
      <c r="O86" s="8">
        <f>IF(OR($G86="",$J86=""),"",$J86-$G86+1)</f>
        <v/>
      </c>
      <c r="P86" s="8">
        <f>IF(OR($G86="",$J86=""),"",$J86-$G86)</f>
        <v/>
      </c>
      <c r="Q86" s="9" t="n"/>
      <c r="R86" s="9" t="n"/>
      <c r="S86" s="9" t="n"/>
      <c r="T86" s="9" t="n"/>
      <c r="U86" s="9" t="n"/>
      <c r="V86" s="9" t="n"/>
      <c r="W86" s="14" t="n"/>
      <c r="X86" s="9" t="n"/>
      <c r="Y86" s="8">
        <f>IF($G86="","",IF($D86="","⚠部屋が未選択",IF(COUNTIF('M_部屋'!$A$4:$A$20,$D86)=0,"⚠部屋が未登録",IF(OR($J86="",$Q86="キャンセル"),"",IF(SUMPRODUCT(($D$5:$D$404=$D86)*($G$5:$G$404&lt;&gt;"")*($J$5:$J$404&lt;&gt;"")*($Q$5:$Q$404&lt;&gt;"キャンセル")*($G$5:$G$404&lt;$J86)*($J$5:$J$404&gt;$G86))&gt;1,"⚠重複","")))))</f>
        <v/>
      </c>
      <c r="Z86" s="8">
        <f>IF(OR($B86="",$G86=""),"",IF(SUMPRODUCT(('利用者マスタ'!$A$4:$A$60=$B86)*('利用者マスタ'!$B$4:$B$60&lt;&gt;""))=0,"",IF(SUMIFS($AA$5:$AA$404,$B$5:$B$404,$B86,$G$5:$G$404,"&gt;="&amp;DATE(YEAR($G86),MONTH($G86),1),$G$5:$G$404,"&lt;="&amp;EOMONTH($G86,0))&gt;SUMIFS('利用者マスタ'!$B$4:$B$60,'利用者マスタ'!$A$4:$A$60,$B86),"⚠支給量超過","")))</f>
        <v/>
      </c>
      <c r="AA86" s="8">
        <f>IF(OR($G86="",$J86="",$Q86="キャンセル"),0,IF(IFERROR(INDEX('M_区分'!$B$4:$B$20,MATCH($C86,'M_区分'!$A$4:$A$20,0)),"○")="○",$J86-$G86+1,0))</f>
        <v/>
      </c>
      <c r="AB86" s="8">
        <f>IF($E86&lt;&gt;"",$E86,$AB85)</f>
        <v/>
      </c>
      <c r="AC86" s="8">
        <f>IF(OR($G86="",$J86=""),"",IF(AND($G86&lt;=EOMONTH('02_カレンダー'!$B$4,0),$J86&gt;='02_カレンダー'!$B$4),$G86*10000+ROW(),""))</f>
        <v/>
      </c>
      <c r="AD86" s="8">
        <f>IF($H86="","",IF(ISNUMBER($H86),IF(AND($H86=INT($H86),$H86&gt;=0,$H86&lt;=24),TEXT(INT($H86),"00")&amp;":00",TEXT($H86,"hh:mm")),$H86))</f>
        <v/>
      </c>
      <c r="AE86" s="8">
        <f>IF($K86="","",IF(ISNUMBER($K86),IF(AND($K86=INT($K86),$K86&gt;=0,$K86&lt;=24),TEXT(INT($K86),"00")&amp;":00",TEXT($K86,"hh:mm")),$K86))</f>
        <v/>
      </c>
      <c r="AF86" s="8">
        <f>IF($G86="",0,$G86)</f>
        <v/>
      </c>
      <c r="AG86" s="8">
        <f>IF($J86="",0,$J86)</f>
        <v/>
      </c>
    </row>
    <row r="87">
      <c r="A87" s="8">
        <f>IF($G87="","","SS-"&amp;TEXT(ROW()-4,"0000"))</f>
        <v/>
      </c>
      <c r="B87" s="9" t="n"/>
      <c r="C87" s="9" t="n"/>
      <c r="D87" s="9" t="n"/>
      <c r="E87" s="10" t="n"/>
      <c r="F87" s="11" t="n"/>
      <c r="G87" s="12">
        <f>IF($F87="","",IF($F87&gt;31,$F87,IF($AB87="","",DATE(YEAR($AB87),MONTH($AB87),$F87))))</f>
        <v/>
      </c>
      <c r="H87" s="9" t="n"/>
      <c r="I87" s="11" t="n"/>
      <c r="J87" s="12">
        <f>IF($I87="","",IF($I87&gt;31,$I87,IF($G87="","",IF(DATE(YEAR($G87),MONTH($G87),$I87)&gt;=$G87,DATE(YEAR($G87),MONTH($G87),$I87),DATE(YEAR($G87),MONTH($G87)+1,$I87)))))</f>
        <v/>
      </c>
      <c r="K87" s="9" t="n"/>
      <c r="L87" s="13" t="n"/>
      <c r="M87" s="13" t="n"/>
      <c r="N87" s="13" t="n"/>
      <c r="O87" s="8">
        <f>IF(OR($G87="",$J87=""),"",$J87-$G87+1)</f>
        <v/>
      </c>
      <c r="P87" s="8">
        <f>IF(OR($G87="",$J87=""),"",$J87-$G87)</f>
        <v/>
      </c>
      <c r="Q87" s="9" t="n"/>
      <c r="R87" s="9" t="n"/>
      <c r="S87" s="9" t="n"/>
      <c r="T87" s="9" t="n"/>
      <c r="U87" s="9" t="n"/>
      <c r="V87" s="9" t="n"/>
      <c r="W87" s="14" t="n"/>
      <c r="X87" s="9" t="n"/>
      <c r="Y87" s="8">
        <f>IF($G87="","",IF($D87="","⚠部屋が未選択",IF(COUNTIF('M_部屋'!$A$4:$A$20,$D87)=0,"⚠部屋が未登録",IF(OR($J87="",$Q87="キャンセル"),"",IF(SUMPRODUCT(($D$5:$D$404=$D87)*($G$5:$G$404&lt;&gt;"")*($J$5:$J$404&lt;&gt;"")*($Q$5:$Q$404&lt;&gt;"キャンセル")*($G$5:$G$404&lt;$J87)*($J$5:$J$404&gt;$G87))&gt;1,"⚠重複","")))))</f>
        <v/>
      </c>
      <c r="Z87" s="8">
        <f>IF(OR($B87="",$G87=""),"",IF(SUMPRODUCT(('利用者マスタ'!$A$4:$A$60=$B87)*('利用者マスタ'!$B$4:$B$60&lt;&gt;""))=0,"",IF(SUMIFS($AA$5:$AA$404,$B$5:$B$404,$B87,$G$5:$G$404,"&gt;="&amp;DATE(YEAR($G87),MONTH($G87),1),$G$5:$G$404,"&lt;="&amp;EOMONTH($G87,0))&gt;SUMIFS('利用者マスタ'!$B$4:$B$60,'利用者マスタ'!$A$4:$A$60,$B87),"⚠支給量超過","")))</f>
        <v/>
      </c>
      <c r="AA87" s="8">
        <f>IF(OR($G87="",$J87="",$Q87="キャンセル"),0,IF(IFERROR(INDEX('M_区分'!$B$4:$B$20,MATCH($C87,'M_区分'!$A$4:$A$20,0)),"○")="○",$J87-$G87+1,0))</f>
        <v/>
      </c>
      <c r="AB87" s="8">
        <f>IF($E87&lt;&gt;"",$E87,$AB86)</f>
        <v/>
      </c>
      <c r="AC87" s="8">
        <f>IF(OR($G87="",$J87=""),"",IF(AND($G87&lt;=EOMONTH('02_カレンダー'!$B$4,0),$J87&gt;='02_カレンダー'!$B$4),$G87*10000+ROW(),""))</f>
        <v/>
      </c>
      <c r="AD87" s="8">
        <f>IF($H87="","",IF(ISNUMBER($H87),IF(AND($H87=INT($H87),$H87&gt;=0,$H87&lt;=24),TEXT(INT($H87),"00")&amp;":00",TEXT($H87,"hh:mm")),$H87))</f>
        <v/>
      </c>
      <c r="AE87" s="8">
        <f>IF($K87="","",IF(ISNUMBER($K87),IF(AND($K87=INT($K87),$K87&gt;=0,$K87&lt;=24),TEXT(INT($K87),"00")&amp;":00",TEXT($K87,"hh:mm")),$K87))</f>
        <v/>
      </c>
      <c r="AF87" s="8">
        <f>IF($G87="",0,$G87)</f>
        <v/>
      </c>
      <c r="AG87" s="8">
        <f>IF($J87="",0,$J87)</f>
        <v/>
      </c>
    </row>
    <row r="88">
      <c r="A88" s="8">
        <f>IF($G88="","","SS-"&amp;TEXT(ROW()-4,"0000"))</f>
        <v/>
      </c>
      <c r="B88" s="9" t="n"/>
      <c r="C88" s="9" t="n"/>
      <c r="D88" s="9" t="n"/>
      <c r="E88" s="10" t="n"/>
      <c r="F88" s="11" t="n"/>
      <c r="G88" s="12">
        <f>IF($F88="","",IF($F88&gt;31,$F88,IF($AB88="","",DATE(YEAR($AB88),MONTH($AB88),$F88))))</f>
        <v/>
      </c>
      <c r="H88" s="9" t="n"/>
      <c r="I88" s="11" t="n"/>
      <c r="J88" s="12">
        <f>IF($I88="","",IF($I88&gt;31,$I88,IF($G88="","",IF(DATE(YEAR($G88),MONTH($G88),$I88)&gt;=$G88,DATE(YEAR($G88),MONTH($G88),$I88),DATE(YEAR($G88),MONTH($G88)+1,$I88)))))</f>
        <v/>
      </c>
      <c r="K88" s="9" t="n"/>
      <c r="L88" s="13" t="n"/>
      <c r="M88" s="13" t="n"/>
      <c r="N88" s="13" t="n"/>
      <c r="O88" s="8">
        <f>IF(OR($G88="",$J88=""),"",$J88-$G88+1)</f>
        <v/>
      </c>
      <c r="P88" s="8">
        <f>IF(OR($G88="",$J88=""),"",$J88-$G88)</f>
        <v/>
      </c>
      <c r="Q88" s="9" t="n"/>
      <c r="R88" s="9" t="n"/>
      <c r="S88" s="9" t="n"/>
      <c r="T88" s="9" t="n"/>
      <c r="U88" s="9" t="n"/>
      <c r="V88" s="9" t="n"/>
      <c r="W88" s="14" t="n"/>
      <c r="X88" s="9" t="n"/>
      <c r="Y88" s="8">
        <f>IF($G88="","",IF($D88="","⚠部屋が未選択",IF(COUNTIF('M_部屋'!$A$4:$A$20,$D88)=0,"⚠部屋が未登録",IF(OR($J88="",$Q88="キャンセル"),"",IF(SUMPRODUCT(($D$5:$D$404=$D88)*($G$5:$G$404&lt;&gt;"")*($J$5:$J$404&lt;&gt;"")*($Q$5:$Q$404&lt;&gt;"キャンセル")*($G$5:$G$404&lt;$J88)*($J$5:$J$404&gt;$G88))&gt;1,"⚠重複","")))))</f>
        <v/>
      </c>
      <c r="Z88" s="8">
        <f>IF(OR($B88="",$G88=""),"",IF(SUMPRODUCT(('利用者マスタ'!$A$4:$A$60=$B88)*('利用者マスタ'!$B$4:$B$60&lt;&gt;""))=0,"",IF(SUMIFS($AA$5:$AA$404,$B$5:$B$404,$B88,$G$5:$G$404,"&gt;="&amp;DATE(YEAR($G88),MONTH($G88),1),$G$5:$G$404,"&lt;="&amp;EOMONTH($G88,0))&gt;SUMIFS('利用者マスタ'!$B$4:$B$60,'利用者マスタ'!$A$4:$A$60,$B88),"⚠支給量超過","")))</f>
        <v/>
      </c>
      <c r="AA88" s="8">
        <f>IF(OR($G88="",$J88="",$Q88="キャンセル"),0,IF(IFERROR(INDEX('M_区分'!$B$4:$B$20,MATCH($C88,'M_区分'!$A$4:$A$20,0)),"○")="○",$J88-$G88+1,0))</f>
        <v/>
      </c>
      <c r="AB88" s="8">
        <f>IF($E88&lt;&gt;"",$E88,$AB87)</f>
        <v/>
      </c>
      <c r="AC88" s="8">
        <f>IF(OR($G88="",$J88=""),"",IF(AND($G88&lt;=EOMONTH('02_カレンダー'!$B$4,0),$J88&gt;='02_カレンダー'!$B$4),$G88*10000+ROW(),""))</f>
        <v/>
      </c>
      <c r="AD88" s="8">
        <f>IF($H88="","",IF(ISNUMBER($H88),IF(AND($H88=INT($H88),$H88&gt;=0,$H88&lt;=24),TEXT(INT($H88),"00")&amp;":00",TEXT($H88,"hh:mm")),$H88))</f>
        <v/>
      </c>
      <c r="AE88" s="8">
        <f>IF($K88="","",IF(ISNUMBER($K88),IF(AND($K88=INT($K88),$K88&gt;=0,$K88&lt;=24),TEXT(INT($K88),"00")&amp;":00",TEXT($K88,"hh:mm")),$K88))</f>
        <v/>
      </c>
      <c r="AF88" s="8">
        <f>IF($G88="",0,$G88)</f>
        <v/>
      </c>
      <c r="AG88" s="8">
        <f>IF($J88="",0,$J88)</f>
        <v/>
      </c>
    </row>
    <row r="89">
      <c r="A89" s="8">
        <f>IF($G89="","","SS-"&amp;TEXT(ROW()-4,"0000"))</f>
        <v/>
      </c>
      <c r="B89" s="9" t="n"/>
      <c r="C89" s="9" t="n"/>
      <c r="D89" s="9" t="n"/>
      <c r="E89" s="10" t="n"/>
      <c r="F89" s="11" t="n"/>
      <c r="G89" s="12">
        <f>IF($F89="","",IF($F89&gt;31,$F89,IF($AB89="","",DATE(YEAR($AB89),MONTH($AB89),$F89))))</f>
        <v/>
      </c>
      <c r="H89" s="9" t="n"/>
      <c r="I89" s="11" t="n"/>
      <c r="J89" s="12">
        <f>IF($I89="","",IF($I89&gt;31,$I89,IF($G89="","",IF(DATE(YEAR($G89),MONTH($G89),$I89)&gt;=$G89,DATE(YEAR($G89),MONTH($G89),$I89),DATE(YEAR($G89),MONTH($G89)+1,$I89)))))</f>
        <v/>
      </c>
      <c r="K89" s="9" t="n"/>
      <c r="L89" s="13" t="n"/>
      <c r="M89" s="13" t="n"/>
      <c r="N89" s="13" t="n"/>
      <c r="O89" s="8">
        <f>IF(OR($G89="",$J89=""),"",$J89-$G89+1)</f>
        <v/>
      </c>
      <c r="P89" s="8">
        <f>IF(OR($G89="",$J89=""),"",$J89-$G89)</f>
        <v/>
      </c>
      <c r="Q89" s="9" t="n"/>
      <c r="R89" s="9" t="n"/>
      <c r="S89" s="9" t="n"/>
      <c r="T89" s="9" t="n"/>
      <c r="U89" s="9" t="n"/>
      <c r="V89" s="9" t="n"/>
      <c r="W89" s="14" t="n"/>
      <c r="X89" s="9" t="n"/>
      <c r="Y89" s="8">
        <f>IF($G89="","",IF($D89="","⚠部屋が未選択",IF(COUNTIF('M_部屋'!$A$4:$A$20,$D89)=0,"⚠部屋が未登録",IF(OR($J89="",$Q89="キャンセル"),"",IF(SUMPRODUCT(($D$5:$D$404=$D89)*($G$5:$G$404&lt;&gt;"")*($J$5:$J$404&lt;&gt;"")*($Q$5:$Q$404&lt;&gt;"キャンセル")*($G$5:$G$404&lt;$J89)*($J$5:$J$404&gt;$G89))&gt;1,"⚠重複","")))))</f>
        <v/>
      </c>
      <c r="Z89" s="8">
        <f>IF(OR($B89="",$G89=""),"",IF(SUMPRODUCT(('利用者マスタ'!$A$4:$A$60=$B89)*('利用者マスタ'!$B$4:$B$60&lt;&gt;""))=0,"",IF(SUMIFS($AA$5:$AA$404,$B$5:$B$404,$B89,$G$5:$G$404,"&gt;="&amp;DATE(YEAR($G89),MONTH($G89),1),$G$5:$G$404,"&lt;="&amp;EOMONTH($G89,0))&gt;SUMIFS('利用者マスタ'!$B$4:$B$60,'利用者マスタ'!$A$4:$A$60,$B89),"⚠支給量超過","")))</f>
        <v/>
      </c>
      <c r="AA89" s="8">
        <f>IF(OR($G89="",$J89="",$Q89="キャンセル"),0,IF(IFERROR(INDEX('M_区分'!$B$4:$B$20,MATCH($C89,'M_区分'!$A$4:$A$20,0)),"○")="○",$J89-$G89+1,0))</f>
        <v/>
      </c>
      <c r="AB89" s="8">
        <f>IF($E89&lt;&gt;"",$E89,$AB88)</f>
        <v/>
      </c>
      <c r="AC89" s="8">
        <f>IF(OR($G89="",$J89=""),"",IF(AND($G89&lt;=EOMONTH('02_カレンダー'!$B$4,0),$J89&gt;='02_カレンダー'!$B$4),$G89*10000+ROW(),""))</f>
        <v/>
      </c>
      <c r="AD89" s="8">
        <f>IF($H89="","",IF(ISNUMBER($H89),IF(AND($H89=INT($H89),$H89&gt;=0,$H89&lt;=24),TEXT(INT($H89),"00")&amp;":00",TEXT($H89,"hh:mm")),$H89))</f>
        <v/>
      </c>
      <c r="AE89" s="8">
        <f>IF($K89="","",IF(ISNUMBER($K89),IF(AND($K89=INT($K89),$K89&gt;=0,$K89&lt;=24),TEXT(INT($K89),"00")&amp;":00",TEXT($K89,"hh:mm")),$K89))</f>
        <v/>
      </c>
      <c r="AF89" s="8">
        <f>IF($G89="",0,$G89)</f>
        <v/>
      </c>
      <c r="AG89" s="8">
        <f>IF($J89="",0,$J89)</f>
        <v/>
      </c>
    </row>
    <row r="90">
      <c r="A90" s="8">
        <f>IF($G90="","","SS-"&amp;TEXT(ROW()-4,"0000"))</f>
        <v/>
      </c>
      <c r="B90" s="9" t="n"/>
      <c r="C90" s="9" t="n"/>
      <c r="D90" s="9" t="n"/>
      <c r="E90" s="10" t="n"/>
      <c r="F90" s="11" t="n"/>
      <c r="G90" s="12">
        <f>IF($F90="","",IF($F90&gt;31,$F90,IF($AB90="","",DATE(YEAR($AB90),MONTH($AB90),$F90))))</f>
        <v/>
      </c>
      <c r="H90" s="9" t="n"/>
      <c r="I90" s="11" t="n"/>
      <c r="J90" s="12">
        <f>IF($I90="","",IF($I90&gt;31,$I90,IF($G90="","",IF(DATE(YEAR($G90),MONTH($G90),$I90)&gt;=$G90,DATE(YEAR($G90),MONTH($G90),$I90),DATE(YEAR($G90),MONTH($G90)+1,$I90)))))</f>
        <v/>
      </c>
      <c r="K90" s="9" t="n"/>
      <c r="L90" s="13" t="n"/>
      <c r="M90" s="13" t="n"/>
      <c r="N90" s="13" t="n"/>
      <c r="O90" s="8">
        <f>IF(OR($G90="",$J90=""),"",$J90-$G90+1)</f>
        <v/>
      </c>
      <c r="P90" s="8">
        <f>IF(OR($G90="",$J90=""),"",$J90-$G90)</f>
        <v/>
      </c>
      <c r="Q90" s="9" t="n"/>
      <c r="R90" s="9" t="n"/>
      <c r="S90" s="9" t="n"/>
      <c r="T90" s="9" t="n"/>
      <c r="U90" s="9" t="n"/>
      <c r="V90" s="9" t="n"/>
      <c r="W90" s="14" t="n"/>
      <c r="X90" s="9" t="n"/>
      <c r="Y90" s="8">
        <f>IF($G90="","",IF($D90="","⚠部屋が未選択",IF(COUNTIF('M_部屋'!$A$4:$A$20,$D90)=0,"⚠部屋が未登録",IF(OR($J90="",$Q90="キャンセル"),"",IF(SUMPRODUCT(($D$5:$D$404=$D90)*($G$5:$G$404&lt;&gt;"")*($J$5:$J$404&lt;&gt;"")*($Q$5:$Q$404&lt;&gt;"キャンセル")*($G$5:$G$404&lt;$J90)*($J$5:$J$404&gt;$G90))&gt;1,"⚠重複","")))))</f>
        <v/>
      </c>
      <c r="Z90" s="8">
        <f>IF(OR($B90="",$G90=""),"",IF(SUMPRODUCT(('利用者マスタ'!$A$4:$A$60=$B90)*('利用者マスタ'!$B$4:$B$60&lt;&gt;""))=0,"",IF(SUMIFS($AA$5:$AA$404,$B$5:$B$404,$B90,$G$5:$G$404,"&gt;="&amp;DATE(YEAR($G90),MONTH($G90),1),$G$5:$G$404,"&lt;="&amp;EOMONTH($G90,0))&gt;SUMIFS('利用者マスタ'!$B$4:$B$60,'利用者マスタ'!$A$4:$A$60,$B90),"⚠支給量超過","")))</f>
        <v/>
      </c>
      <c r="AA90" s="8">
        <f>IF(OR($G90="",$J90="",$Q90="キャンセル"),0,IF(IFERROR(INDEX('M_区分'!$B$4:$B$20,MATCH($C90,'M_区分'!$A$4:$A$20,0)),"○")="○",$J90-$G90+1,0))</f>
        <v/>
      </c>
      <c r="AB90" s="8">
        <f>IF($E90&lt;&gt;"",$E90,$AB89)</f>
        <v/>
      </c>
      <c r="AC90" s="8">
        <f>IF(OR($G90="",$J90=""),"",IF(AND($G90&lt;=EOMONTH('02_カレンダー'!$B$4,0),$J90&gt;='02_カレンダー'!$B$4),$G90*10000+ROW(),""))</f>
        <v/>
      </c>
      <c r="AD90" s="8">
        <f>IF($H90="","",IF(ISNUMBER($H90),IF(AND($H90=INT($H90),$H90&gt;=0,$H90&lt;=24),TEXT(INT($H90),"00")&amp;":00",TEXT($H90,"hh:mm")),$H90))</f>
        <v/>
      </c>
      <c r="AE90" s="8">
        <f>IF($K90="","",IF(ISNUMBER($K90),IF(AND($K90=INT($K90),$K90&gt;=0,$K90&lt;=24),TEXT(INT($K90),"00")&amp;":00",TEXT($K90,"hh:mm")),$K90))</f>
        <v/>
      </c>
      <c r="AF90" s="8">
        <f>IF($G90="",0,$G90)</f>
        <v/>
      </c>
      <c r="AG90" s="8">
        <f>IF($J90="",0,$J90)</f>
        <v/>
      </c>
    </row>
    <row r="91">
      <c r="A91" s="8">
        <f>IF($G91="","","SS-"&amp;TEXT(ROW()-4,"0000"))</f>
        <v/>
      </c>
      <c r="B91" s="9" t="n"/>
      <c r="C91" s="9" t="n"/>
      <c r="D91" s="9" t="n"/>
      <c r="E91" s="10" t="n"/>
      <c r="F91" s="11" t="n"/>
      <c r="G91" s="12">
        <f>IF($F91="","",IF($F91&gt;31,$F91,IF($AB91="","",DATE(YEAR($AB91),MONTH($AB91),$F91))))</f>
        <v/>
      </c>
      <c r="H91" s="9" t="n"/>
      <c r="I91" s="11" t="n"/>
      <c r="J91" s="12">
        <f>IF($I91="","",IF($I91&gt;31,$I91,IF($G91="","",IF(DATE(YEAR($G91),MONTH($G91),$I91)&gt;=$G91,DATE(YEAR($G91),MONTH($G91),$I91),DATE(YEAR($G91),MONTH($G91)+1,$I91)))))</f>
        <v/>
      </c>
      <c r="K91" s="9" t="n"/>
      <c r="L91" s="13" t="n"/>
      <c r="M91" s="13" t="n"/>
      <c r="N91" s="13" t="n"/>
      <c r="O91" s="8">
        <f>IF(OR($G91="",$J91=""),"",$J91-$G91+1)</f>
        <v/>
      </c>
      <c r="P91" s="8">
        <f>IF(OR($G91="",$J91=""),"",$J91-$G91)</f>
        <v/>
      </c>
      <c r="Q91" s="9" t="n"/>
      <c r="R91" s="9" t="n"/>
      <c r="S91" s="9" t="n"/>
      <c r="T91" s="9" t="n"/>
      <c r="U91" s="9" t="n"/>
      <c r="V91" s="9" t="n"/>
      <c r="W91" s="14" t="n"/>
      <c r="X91" s="9" t="n"/>
      <c r="Y91" s="8">
        <f>IF($G91="","",IF($D91="","⚠部屋が未選択",IF(COUNTIF('M_部屋'!$A$4:$A$20,$D91)=0,"⚠部屋が未登録",IF(OR($J91="",$Q91="キャンセル"),"",IF(SUMPRODUCT(($D$5:$D$404=$D91)*($G$5:$G$404&lt;&gt;"")*($J$5:$J$404&lt;&gt;"")*($Q$5:$Q$404&lt;&gt;"キャンセル")*($G$5:$G$404&lt;$J91)*($J$5:$J$404&gt;$G91))&gt;1,"⚠重複","")))))</f>
        <v/>
      </c>
      <c r="Z91" s="8">
        <f>IF(OR($B91="",$G91=""),"",IF(SUMPRODUCT(('利用者マスタ'!$A$4:$A$60=$B91)*('利用者マスタ'!$B$4:$B$60&lt;&gt;""))=0,"",IF(SUMIFS($AA$5:$AA$404,$B$5:$B$404,$B91,$G$5:$G$404,"&gt;="&amp;DATE(YEAR($G91),MONTH($G91),1),$G$5:$G$404,"&lt;="&amp;EOMONTH($G91,0))&gt;SUMIFS('利用者マスタ'!$B$4:$B$60,'利用者マスタ'!$A$4:$A$60,$B91),"⚠支給量超過","")))</f>
        <v/>
      </c>
      <c r="AA91" s="8">
        <f>IF(OR($G91="",$J91="",$Q91="キャンセル"),0,IF(IFERROR(INDEX('M_区分'!$B$4:$B$20,MATCH($C91,'M_区分'!$A$4:$A$20,0)),"○")="○",$J91-$G91+1,0))</f>
        <v/>
      </c>
      <c r="AB91" s="8">
        <f>IF($E91&lt;&gt;"",$E91,$AB90)</f>
        <v/>
      </c>
      <c r="AC91" s="8">
        <f>IF(OR($G91="",$J91=""),"",IF(AND($G91&lt;=EOMONTH('02_カレンダー'!$B$4,0),$J91&gt;='02_カレンダー'!$B$4),$G91*10000+ROW(),""))</f>
        <v/>
      </c>
      <c r="AD91" s="8">
        <f>IF($H91="","",IF(ISNUMBER($H91),IF(AND($H91=INT($H91),$H91&gt;=0,$H91&lt;=24),TEXT(INT($H91),"00")&amp;":00",TEXT($H91,"hh:mm")),$H91))</f>
        <v/>
      </c>
      <c r="AE91" s="8">
        <f>IF($K91="","",IF(ISNUMBER($K91),IF(AND($K91=INT($K91),$K91&gt;=0,$K91&lt;=24),TEXT(INT($K91),"00")&amp;":00",TEXT($K91,"hh:mm")),$K91))</f>
        <v/>
      </c>
      <c r="AF91" s="8">
        <f>IF($G91="",0,$G91)</f>
        <v/>
      </c>
      <c r="AG91" s="8">
        <f>IF($J91="",0,$J91)</f>
        <v/>
      </c>
    </row>
    <row r="92">
      <c r="A92" s="8">
        <f>IF($G92="","","SS-"&amp;TEXT(ROW()-4,"0000"))</f>
        <v/>
      </c>
      <c r="B92" s="9" t="n"/>
      <c r="C92" s="9" t="n"/>
      <c r="D92" s="9" t="n"/>
      <c r="E92" s="10" t="n"/>
      <c r="F92" s="11" t="n"/>
      <c r="G92" s="12">
        <f>IF($F92="","",IF($F92&gt;31,$F92,IF($AB92="","",DATE(YEAR($AB92),MONTH($AB92),$F92))))</f>
        <v/>
      </c>
      <c r="H92" s="9" t="n"/>
      <c r="I92" s="11" t="n"/>
      <c r="J92" s="12">
        <f>IF($I92="","",IF($I92&gt;31,$I92,IF($G92="","",IF(DATE(YEAR($G92),MONTH($G92),$I92)&gt;=$G92,DATE(YEAR($G92),MONTH($G92),$I92),DATE(YEAR($G92),MONTH($G92)+1,$I92)))))</f>
        <v/>
      </c>
      <c r="K92" s="9" t="n"/>
      <c r="L92" s="13" t="n"/>
      <c r="M92" s="13" t="n"/>
      <c r="N92" s="13" t="n"/>
      <c r="O92" s="8">
        <f>IF(OR($G92="",$J92=""),"",$J92-$G92+1)</f>
        <v/>
      </c>
      <c r="P92" s="8">
        <f>IF(OR($G92="",$J92=""),"",$J92-$G92)</f>
        <v/>
      </c>
      <c r="Q92" s="9" t="n"/>
      <c r="R92" s="9" t="n"/>
      <c r="S92" s="9" t="n"/>
      <c r="T92" s="9" t="n"/>
      <c r="U92" s="9" t="n"/>
      <c r="V92" s="9" t="n"/>
      <c r="W92" s="14" t="n"/>
      <c r="X92" s="9" t="n"/>
      <c r="Y92" s="8">
        <f>IF($G92="","",IF($D92="","⚠部屋が未選択",IF(COUNTIF('M_部屋'!$A$4:$A$20,$D92)=0,"⚠部屋が未登録",IF(OR($J92="",$Q92="キャンセル"),"",IF(SUMPRODUCT(($D$5:$D$404=$D92)*($G$5:$G$404&lt;&gt;"")*($J$5:$J$404&lt;&gt;"")*($Q$5:$Q$404&lt;&gt;"キャンセル")*($G$5:$G$404&lt;$J92)*($J$5:$J$404&gt;$G92))&gt;1,"⚠重複","")))))</f>
        <v/>
      </c>
      <c r="Z92" s="8">
        <f>IF(OR($B92="",$G92=""),"",IF(SUMPRODUCT(('利用者マスタ'!$A$4:$A$60=$B92)*('利用者マスタ'!$B$4:$B$60&lt;&gt;""))=0,"",IF(SUMIFS($AA$5:$AA$404,$B$5:$B$404,$B92,$G$5:$G$404,"&gt;="&amp;DATE(YEAR($G92),MONTH($G92),1),$G$5:$G$404,"&lt;="&amp;EOMONTH($G92,0))&gt;SUMIFS('利用者マスタ'!$B$4:$B$60,'利用者マスタ'!$A$4:$A$60,$B92),"⚠支給量超過","")))</f>
        <v/>
      </c>
      <c r="AA92" s="8">
        <f>IF(OR($G92="",$J92="",$Q92="キャンセル"),0,IF(IFERROR(INDEX('M_区分'!$B$4:$B$20,MATCH($C92,'M_区分'!$A$4:$A$20,0)),"○")="○",$J92-$G92+1,0))</f>
        <v/>
      </c>
      <c r="AB92" s="8">
        <f>IF($E92&lt;&gt;"",$E92,$AB91)</f>
        <v/>
      </c>
      <c r="AC92" s="8">
        <f>IF(OR($G92="",$J92=""),"",IF(AND($G92&lt;=EOMONTH('02_カレンダー'!$B$4,0),$J92&gt;='02_カレンダー'!$B$4),$G92*10000+ROW(),""))</f>
        <v/>
      </c>
      <c r="AD92" s="8">
        <f>IF($H92="","",IF(ISNUMBER($H92),IF(AND($H92=INT($H92),$H92&gt;=0,$H92&lt;=24),TEXT(INT($H92),"00")&amp;":00",TEXT($H92,"hh:mm")),$H92))</f>
        <v/>
      </c>
      <c r="AE92" s="8">
        <f>IF($K92="","",IF(ISNUMBER($K92),IF(AND($K92=INT($K92),$K92&gt;=0,$K92&lt;=24),TEXT(INT($K92),"00")&amp;":00",TEXT($K92,"hh:mm")),$K92))</f>
        <v/>
      </c>
      <c r="AF92" s="8">
        <f>IF($G92="",0,$G92)</f>
        <v/>
      </c>
      <c r="AG92" s="8">
        <f>IF($J92="",0,$J92)</f>
        <v/>
      </c>
    </row>
    <row r="93">
      <c r="A93" s="8">
        <f>IF($G93="","","SS-"&amp;TEXT(ROW()-4,"0000"))</f>
        <v/>
      </c>
      <c r="B93" s="9" t="n"/>
      <c r="C93" s="9" t="n"/>
      <c r="D93" s="9" t="n"/>
      <c r="E93" s="10" t="n"/>
      <c r="F93" s="11" t="n"/>
      <c r="G93" s="12">
        <f>IF($F93="","",IF($F93&gt;31,$F93,IF($AB93="","",DATE(YEAR($AB93),MONTH($AB93),$F93))))</f>
        <v/>
      </c>
      <c r="H93" s="9" t="n"/>
      <c r="I93" s="11" t="n"/>
      <c r="J93" s="12">
        <f>IF($I93="","",IF($I93&gt;31,$I93,IF($G93="","",IF(DATE(YEAR($G93),MONTH($G93),$I93)&gt;=$G93,DATE(YEAR($G93),MONTH($G93),$I93),DATE(YEAR($G93),MONTH($G93)+1,$I93)))))</f>
        <v/>
      </c>
      <c r="K93" s="9" t="n"/>
      <c r="L93" s="13" t="n"/>
      <c r="M93" s="13" t="n"/>
      <c r="N93" s="13" t="n"/>
      <c r="O93" s="8">
        <f>IF(OR($G93="",$J93=""),"",$J93-$G93+1)</f>
        <v/>
      </c>
      <c r="P93" s="8">
        <f>IF(OR($G93="",$J93=""),"",$J93-$G93)</f>
        <v/>
      </c>
      <c r="Q93" s="9" t="n"/>
      <c r="R93" s="9" t="n"/>
      <c r="S93" s="9" t="n"/>
      <c r="T93" s="9" t="n"/>
      <c r="U93" s="9" t="n"/>
      <c r="V93" s="9" t="n"/>
      <c r="W93" s="14" t="n"/>
      <c r="X93" s="9" t="n"/>
      <c r="Y93" s="8">
        <f>IF($G93="","",IF($D93="","⚠部屋が未選択",IF(COUNTIF('M_部屋'!$A$4:$A$20,$D93)=0,"⚠部屋が未登録",IF(OR($J93="",$Q93="キャンセル"),"",IF(SUMPRODUCT(($D$5:$D$404=$D93)*($G$5:$G$404&lt;&gt;"")*($J$5:$J$404&lt;&gt;"")*($Q$5:$Q$404&lt;&gt;"キャンセル")*($G$5:$G$404&lt;$J93)*($J$5:$J$404&gt;$G93))&gt;1,"⚠重複","")))))</f>
        <v/>
      </c>
      <c r="Z93" s="8">
        <f>IF(OR($B93="",$G93=""),"",IF(SUMPRODUCT(('利用者マスタ'!$A$4:$A$60=$B93)*('利用者マスタ'!$B$4:$B$60&lt;&gt;""))=0,"",IF(SUMIFS($AA$5:$AA$404,$B$5:$B$404,$B93,$G$5:$G$404,"&gt;="&amp;DATE(YEAR($G93),MONTH($G93),1),$G$5:$G$404,"&lt;="&amp;EOMONTH($G93,0))&gt;SUMIFS('利用者マスタ'!$B$4:$B$60,'利用者マスタ'!$A$4:$A$60,$B93),"⚠支給量超過","")))</f>
        <v/>
      </c>
      <c r="AA93" s="8">
        <f>IF(OR($G93="",$J93="",$Q93="キャンセル"),0,IF(IFERROR(INDEX('M_区分'!$B$4:$B$20,MATCH($C93,'M_区分'!$A$4:$A$20,0)),"○")="○",$J93-$G93+1,0))</f>
        <v/>
      </c>
      <c r="AB93" s="8">
        <f>IF($E93&lt;&gt;"",$E93,$AB92)</f>
        <v/>
      </c>
      <c r="AC93" s="8">
        <f>IF(OR($G93="",$J93=""),"",IF(AND($G93&lt;=EOMONTH('02_カレンダー'!$B$4,0),$J93&gt;='02_カレンダー'!$B$4),$G93*10000+ROW(),""))</f>
        <v/>
      </c>
      <c r="AD93" s="8">
        <f>IF($H93="","",IF(ISNUMBER($H93),IF(AND($H93=INT($H93),$H93&gt;=0,$H93&lt;=24),TEXT(INT($H93),"00")&amp;":00",TEXT($H93,"hh:mm")),$H93))</f>
        <v/>
      </c>
      <c r="AE93" s="8">
        <f>IF($K93="","",IF(ISNUMBER($K93),IF(AND($K93=INT($K93),$K93&gt;=0,$K93&lt;=24),TEXT(INT($K93),"00")&amp;":00",TEXT($K93,"hh:mm")),$K93))</f>
        <v/>
      </c>
      <c r="AF93" s="8">
        <f>IF($G93="",0,$G93)</f>
        <v/>
      </c>
      <c r="AG93" s="8">
        <f>IF($J93="",0,$J93)</f>
        <v/>
      </c>
    </row>
    <row r="94">
      <c r="A94" s="8">
        <f>IF($G94="","","SS-"&amp;TEXT(ROW()-4,"0000"))</f>
        <v/>
      </c>
      <c r="B94" s="9" t="n"/>
      <c r="C94" s="9" t="n"/>
      <c r="D94" s="9" t="n"/>
      <c r="E94" s="10" t="n"/>
      <c r="F94" s="11" t="n"/>
      <c r="G94" s="12">
        <f>IF($F94="","",IF($F94&gt;31,$F94,IF($AB94="","",DATE(YEAR($AB94),MONTH($AB94),$F94))))</f>
        <v/>
      </c>
      <c r="H94" s="9" t="n"/>
      <c r="I94" s="11" t="n"/>
      <c r="J94" s="12">
        <f>IF($I94="","",IF($I94&gt;31,$I94,IF($G94="","",IF(DATE(YEAR($G94),MONTH($G94),$I94)&gt;=$G94,DATE(YEAR($G94),MONTH($G94),$I94),DATE(YEAR($G94),MONTH($G94)+1,$I94)))))</f>
        <v/>
      </c>
      <c r="K94" s="9" t="n"/>
      <c r="L94" s="13" t="n"/>
      <c r="M94" s="13" t="n"/>
      <c r="N94" s="13" t="n"/>
      <c r="O94" s="8">
        <f>IF(OR($G94="",$J94=""),"",$J94-$G94+1)</f>
        <v/>
      </c>
      <c r="P94" s="8">
        <f>IF(OR($G94="",$J94=""),"",$J94-$G94)</f>
        <v/>
      </c>
      <c r="Q94" s="9" t="n"/>
      <c r="R94" s="9" t="n"/>
      <c r="S94" s="9" t="n"/>
      <c r="T94" s="9" t="n"/>
      <c r="U94" s="9" t="n"/>
      <c r="V94" s="9" t="n"/>
      <c r="W94" s="14" t="n"/>
      <c r="X94" s="9" t="n"/>
      <c r="Y94" s="8">
        <f>IF($G94="","",IF($D94="","⚠部屋が未選択",IF(COUNTIF('M_部屋'!$A$4:$A$20,$D94)=0,"⚠部屋が未登録",IF(OR($J94="",$Q94="キャンセル"),"",IF(SUMPRODUCT(($D$5:$D$404=$D94)*($G$5:$G$404&lt;&gt;"")*($J$5:$J$404&lt;&gt;"")*($Q$5:$Q$404&lt;&gt;"キャンセル")*($G$5:$G$404&lt;$J94)*($J$5:$J$404&gt;$G94))&gt;1,"⚠重複","")))))</f>
        <v/>
      </c>
      <c r="Z94" s="8">
        <f>IF(OR($B94="",$G94=""),"",IF(SUMPRODUCT(('利用者マスタ'!$A$4:$A$60=$B94)*('利用者マスタ'!$B$4:$B$60&lt;&gt;""))=0,"",IF(SUMIFS($AA$5:$AA$404,$B$5:$B$404,$B94,$G$5:$G$404,"&gt;="&amp;DATE(YEAR($G94),MONTH($G94),1),$G$5:$G$404,"&lt;="&amp;EOMONTH($G94,0))&gt;SUMIFS('利用者マスタ'!$B$4:$B$60,'利用者マスタ'!$A$4:$A$60,$B94),"⚠支給量超過","")))</f>
        <v/>
      </c>
      <c r="AA94" s="8">
        <f>IF(OR($G94="",$J94="",$Q94="キャンセル"),0,IF(IFERROR(INDEX('M_区分'!$B$4:$B$20,MATCH($C94,'M_区分'!$A$4:$A$20,0)),"○")="○",$J94-$G94+1,0))</f>
        <v/>
      </c>
      <c r="AB94" s="8">
        <f>IF($E94&lt;&gt;"",$E94,$AB93)</f>
        <v/>
      </c>
      <c r="AC94" s="8">
        <f>IF(OR($G94="",$J94=""),"",IF(AND($G94&lt;=EOMONTH('02_カレンダー'!$B$4,0),$J94&gt;='02_カレンダー'!$B$4),$G94*10000+ROW(),""))</f>
        <v/>
      </c>
      <c r="AD94" s="8">
        <f>IF($H94="","",IF(ISNUMBER($H94),IF(AND($H94=INT($H94),$H94&gt;=0,$H94&lt;=24),TEXT(INT($H94),"00")&amp;":00",TEXT($H94,"hh:mm")),$H94))</f>
        <v/>
      </c>
      <c r="AE94" s="8">
        <f>IF($K94="","",IF(ISNUMBER($K94),IF(AND($K94=INT($K94),$K94&gt;=0,$K94&lt;=24),TEXT(INT($K94),"00")&amp;":00",TEXT($K94,"hh:mm")),$K94))</f>
        <v/>
      </c>
      <c r="AF94" s="8">
        <f>IF($G94="",0,$G94)</f>
        <v/>
      </c>
      <c r="AG94" s="8">
        <f>IF($J94="",0,$J94)</f>
        <v/>
      </c>
    </row>
    <row r="95">
      <c r="A95" s="8">
        <f>IF($G95="","","SS-"&amp;TEXT(ROW()-4,"0000"))</f>
        <v/>
      </c>
      <c r="B95" s="9" t="n"/>
      <c r="C95" s="9" t="n"/>
      <c r="D95" s="9" t="n"/>
      <c r="E95" s="10" t="n"/>
      <c r="F95" s="11" t="n"/>
      <c r="G95" s="12">
        <f>IF($F95="","",IF($F95&gt;31,$F95,IF($AB95="","",DATE(YEAR($AB95),MONTH($AB95),$F95))))</f>
        <v/>
      </c>
      <c r="H95" s="9" t="n"/>
      <c r="I95" s="11" t="n"/>
      <c r="J95" s="12">
        <f>IF($I95="","",IF($I95&gt;31,$I95,IF($G95="","",IF(DATE(YEAR($G95),MONTH($G95),$I95)&gt;=$G95,DATE(YEAR($G95),MONTH($G95),$I95),DATE(YEAR($G95),MONTH($G95)+1,$I95)))))</f>
        <v/>
      </c>
      <c r="K95" s="9" t="n"/>
      <c r="L95" s="13" t="n"/>
      <c r="M95" s="13" t="n"/>
      <c r="N95" s="13" t="n"/>
      <c r="O95" s="8">
        <f>IF(OR($G95="",$J95=""),"",$J95-$G95+1)</f>
        <v/>
      </c>
      <c r="P95" s="8">
        <f>IF(OR($G95="",$J95=""),"",$J95-$G95)</f>
        <v/>
      </c>
      <c r="Q95" s="9" t="n"/>
      <c r="R95" s="9" t="n"/>
      <c r="S95" s="9" t="n"/>
      <c r="T95" s="9" t="n"/>
      <c r="U95" s="9" t="n"/>
      <c r="V95" s="9" t="n"/>
      <c r="W95" s="14" t="n"/>
      <c r="X95" s="9" t="n"/>
      <c r="Y95" s="8">
        <f>IF($G95="","",IF($D95="","⚠部屋が未選択",IF(COUNTIF('M_部屋'!$A$4:$A$20,$D95)=0,"⚠部屋が未登録",IF(OR($J95="",$Q95="キャンセル"),"",IF(SUMPRODUCT(($D$5:$D$404=$D95)*($G$5:$G$404&lt;&gt;"")*($J$5:$J$404&lt;&gt;"")*($Q$5:$Q$404&lt;&gt;"キャンセル")*($G$5:$G$404&lt;$J95)*($J$5:$J$404&gt;$G95))&gt;1,"⚠重複","")))))</f>
        <v/>
      </c>
      <c r="Z95" s="8">
        <f>IF(OR($B95="",$G95=""),"",IF(SUMPRODUCT(('利用者マスタ'!$A$4:$A$60=$B95)*('利用者マスタ'!$B$4:$B$60&lt;&gt;""))=0,"",IF(SUMIFS($AA$5:$AA$404,$B$5:$B$404,$B95,$G$5:$G$404,"&gt;="&amp;DATE(YEAR($G95),MONTH($G95),1),$G$5:$G$404,"&lt;="&amp;EOMONTH($G95,0))&gt;SUMIFS('利用者マスタ'!$B$4:$B$60,'利用者マスタ'!$A$4:$A$60,$B95),"⚠支給量超過","")))</f>
        <v/>
      </c>
      <c r="AA95" s="8">
        <f>IF(OR($G95="",$J95="",$Q95="キャンセル"),0,IF(IFERROR(INDEX('M_区分'!$B$4:$B$20,MATCH($C95,'M_区分'!$A$4:$A$20,0)),"○")="○",$J95-$G95+1,0))</f>
        <v/>
      </c>
      <c r="AB95" s="8">
        <f>IF($E95&lt;&gt;"",$E95,$AB94)</f>
        <v/>
      </c>
      <c r="AC95" s="8">
        <f>IF(OR($G95="",$J95=""),"",IF(AND($G95&lt;=EOMONTH('02_カレンダー'!$B$4,0),$J95&gt;='02_カレンダー'!$B$4),$G95*10000+ROW(),""))</f>
        <v/>
      </c>
      <c r="AD95" s="8">
        <f>IF($H95="","",IF(ISNUMBER($H95),IF(AND($H95=INT($H95),$H95&gt;=0,$H95&lt;=24),TEXT(INT($H95),"00")&amp;":00",TEXT($H95,"hh:mm")),$H95))</f>
        <v/>
      </c>
      <c r="AE95" s="8">
        <f>IF($K95="","",IF(ISNUMBER($K95),IF(AND($K95=INT($K95),$K95&gt;=0,$K95&lt;=24),TEXT(INT($K95),"00")&amp;":00",TEXT($K95,"hh:mm")),$K95))</f>
        <v/>
      </c>
      <c r="AF95" s="8">
        <f>IF($G95="",0,$G95)</f>
        <v/>
      </c>
      <c r="AG95" s="8">
        <f>IF($J95="",0,$J95)</f>
        <v/>
      </c>
    </row>
    <row r="96">
      <c r="A96" s="8">
        <f>IF($G96="","","SS-"&amp;TEXT(ROW()-4,"0000"))</f>
        <v/>
      </c>
      <c r="B96" s="9" t="n"/>
      <c r="C96" s="9" t="n"/>
      <c r="D96" s="9" t="n"/>
      <c r="E96" s="10" t="n"/>
      <c r="F96" s="11" t="n"/>
      <c r="G96" s="12">
        <f>IF($F96="","",IF($F96&gt;31,$F96,IF($AB96="","",DATE(YEAR($AB96),MONTH($AB96),$F96))))</f>
        <v/>
      </c>
      <c r="H96" s="9" t="n"/>
      <c r="I96" s="11" t="n"/>
      <c r="J96" s="12">
        <f>IF($I96="","",IF($I96&gt;31,$I96,IF($G96="","",IF(DATE(YEAR($G96),MONTH($G96),$I96)&gt;=$G96,DATE(YEAR($G96),MONTH($G96),$I96),DATE(YEAR($G96),MONTH($G96)+1,$I96)))))</f>
        <v/>
      </c>
      <c r="K96" s="9" t="n"/>
      <c r="L96" s="13" t="n"/>
      <c r="M96" s="13" t="n"/>
      <c r="N96" s="13" t="n"/>
      <c r="O96" s="8">
        <f>IF(OR($G96="",$J96=""),"",$J96-$G96+1)</f>
        <v/>
      </c>
      <c r="P96" s="8">
        <f>IF(OR($G96="",$J96=""),"",$J96-$G96)</f>
        <v/>
      </c>
      <c r="Q96" s="9" t="n"/>
      <c r="R96" s="9" t="n"/>
      <c r="S96" s="9" t="n"/>
      <c r="T96" s="9" t="n"/>
      <c r="U96" s="9" t="n"/>
      <c r="V96" s="9" t="n"/>
      <c r="W96" s="14" t="n"/>
      <c r="X96" s="9" t="n"/>
      <c r="Y96" s="8">
        <f>IF($G96="","",IF($D96="","⚠部屋が未選択",IF(COUNTIF('M_部屋'!$A$4:$A$20,$D96)=0,"⚠部屋が未登録",IF(OR($J96="",$Q96="キャンセル"),"",IF(SUMPRODUCT(($D$5:$D$404=$D96)*($G$5:$G$404&lt;&gt;"")*($J$5:$J$404&lt;&gt;"")*($Q$5:$Q$404&lt;&gt;"キャンセル")*($G$5:$G$404&lt;$J96)*($J$5:$J$404&gt;$G96))&gt;1,"⚠重複","")))))</f>
        <v/>
      </c>
      <c r="Z96" s="8">
        <f>IF(OR($B96="",$G96=""),"",IF(SUMPRODUCT(('利用者マスタ'!$A$4:$A$60=$B96)*('利用者マスタ'!$B$4:$B$60&lt;&gt;""))=0,"",IF(SUMIFS($AA$5:$AA$404,$B$5:$B$404,$B96,$G$5:$G$404,"&gt;="&amp;DATE(YEAR($G96),MONTH($G96),1),$G$5:$G$404,"&lt;="&amp;EOMONTH($G96,0))&gt;SUMIFS('利用者マスタ'!$B$4:$B$60,'利用者マスタ'!$A$4:$A$60,$B96),"⚠支給量超過","")))</f>
        <v/>
      </c>
      <c r="AA96" s="8">
        <f>IF(OR($G96="",$J96="",$Q96="キャンセル"),0,IF(IFERROR(INDEX('M_区分'!$B$4:$B$20,MATCH($C96,'M_区分'!$A$4:$A$20,0)),"○")="○",$J96-$G96+1,0))</f>
        <v/>
      </c>
      <c r="AB96" s="8">
        <f>IF($E96&lt;&gt;"",$E96,$AB95)</f>
        <v/>
      </c>
      <c r="AC96" s="8">
        <f>IF(OR($G96="",$J96=""),"",IF(AND($G96&lt;=EOMONTH('02_カレンダー'!$B$4,0),$J96&gt;='02_カレンダー'!$B$4),$G96*10000+ROW(),""))</f>
        <v/>
      </c>
      <c r="AD96" s="8">
        <f>IF($H96="","",IF(ISNUMBER($H96),IF(AND($H96=INT($H96),$H96&gt;=0,$H96&lt;=24),TEXT(INT($H96),"00")&amp;":00",TEXT($H96,"hh:mm")),$H96))</f>
        <v/>
      </c>
      <c r="AE96" s="8">
        <f>IF($K96="","",IF(ISNUMBER($K96),IF(AND($K96=INT($K96),$K96&gt;=0,$K96&lt;=24),TEXT(INT($K96),"00")&amp;":00",TEXT($K96,"hh:mm")),$K96))</f>
        <v/>
      </c>
      <c r="AF96" s="8">
        <f>IF($G96="",0,$G96)</f>
        <v/>
      </c>
      <c r="AG96" s="8">
        <f>IF($J96="",0,$J96)</f>
        <v/>
      </c>
    </row>
    <row r="97">
      <c r="A97" s="8">
        <f>IF($G97="","","SS-"&amp;TEXT(ROW()-4,"0000"))</f>
        <v/>
      </c>
      <c r="B97" s="9" t="n"/>
      <c r="C97" s="9" t="n"/>
      <c r="D97" s="9" t="n"/>
      <c r="E97" s="10" t="n"/>
      <c r="F97" s="11" t="n"/>
      <c r="G97" s="12">
        <f>IF($F97="","",IF($F97&gt;31,$F97,IF($AB97="","",DATE(YEAR($AB97),MONTH($AB97),$F97))))</f>
        <v/>
      </c>
      <c r="H97" s="9" t="n"/>
      <c r="I97" s="11" t="n"/>
      <c r="J97" s="12">
        <f>IF($I97="","",IF($I97&gt;31,$I97,IF($G97="","",IF(DATE(YEAR($G97),MONTH($G97),$I97)&gt;=$G97,DATE(YEAR($G97),MONTH($G97),$I97),DATE(YEAR($G97),MONTH($G97)+1,$I97)))))</f>
        <v/>
      </c>
      <c r="K97" s="9" t="n"/>
      <c r="L97" s="13" t="n"/>
      <c r="M97" s="13" t="n"/>
      <c r="N97" s="13" t="n"/>
      <c r="O97" s="8">
        <f>IF(OR($G97="",$J97=""),"",$J97-$G97+1)</f>
        <v/>
      </c>
      <c r="P97" s="8">
        <f>IF(OR($G97="",$J97=""),"",$J97-$G97)</f>
        <v/>
      </c>
      <c r="Q97" s="9" t="n"/>
      <c r="R97" s="9" t="n"/>
      <c r="S97" s="9" t="n"/>
      <c r="T97" s="9" t="n"/>
      <c r="U97" s="9" t="n"/>
      <c r="V97" s="9" t="n"/>
      <c r="W97" s="14" t="n"/>
      <c r="X97" s="9" t="n"/>
      <c r="Y97" s="8">
        <f>IF($G97="","",IF($D97="","⚠部屋が未選択",IF(COUNTIF('M_部屋'!$A$4:$A$20,$D97)=0,"⚠部屋が未登録",IF(OR($J97="",$Q97="キャンセル"),"",IF(SUMPRODUCT(($D$5:$D$404=$D97)*($G$5:$G$404&lt;&gt;"")*($J$5:$J$404&lt;&gt;"")*($Q$5:$Q$404&lt;&gt;"キャンセル")*($G$5:$G$404&lt;$J97)*($J$5:$J$404&gt;$G97))&gt;1,"⚠重複","")))))</f>
        <v/>
      </c>
      <c r="Z97" s="8">
        <f>IF(OR($B97="",$G97=""),"",IF(SUMPRODUCT(('利用者マスタ'!$A$4:$A$60=$B97)*('利用者マスタ'!$B$4:$B$60&lt;&gt;""))=0,"",IF(SUMIFS($AA$5:$AA$404,$B$5:$B$404,$B97,$G$5:$G$404,"&gt;="&amp;DATE(YEAR($G97),MONTH($G97),1),$G$5:$G$404,"&lt;="&amp;EOMONTH($G97,0))&gt;SUMIFS('利用者マスタ'!$B$4:$B$60,'利用者マスタ'!$A$4:$A$60,$B97),"⚠支給量超過","")))</f>
        <v/>
      </c>
      <c r="AA97" s="8">
        <f>IF(OR($G97="",$J97="",$Q97="キャンセル"),0,IF(IFERROR(INDEX('M_区分'!$B$4:$B$20,MATCH($C97,'M_区分'!$A$4:$A$20,0)),"○")="○",$J97-$G97+1,0))</f>
        <v/>
      </c>
      <c r="AB97" s="8">
        <f>IF($E97&lt;&gt;"",$E97,$AB96)</f>
        <v/>
      </c>
      <c r="AC97" s="8">
        <f>IF(OR($G97="",$J97=""),"",IF(AND($G97&lt;=EOMONTH('02_カレンダー'!$B$4,0),$J97&gt;='02_カレンダー'!$B$4),$G97*10000+ROW(),""))</f>
        <v/>
      </c>
      <c r="AD97" s="8">
        <f>IF($H97="","",IF(ISNUMBER($H97),IF(AND($H97=INT($H97),$H97&gt;=0,$H97&lt;=24),TEXT(INT($H97),"00")&amp;":00",TEXT($H97,"hh:mm")),$H97))</f>
        <v/>
      </c>
      <c r="AE97" s="8">
        <f>IF($K97="","",IF(ISNUMBER($K97),IF(AND($K97=INT($K97),$K97&gt;=0,$K97&lt;=24),TEXT(INT($K97),"00")&amp;":00",TEXT($K97,"hh:mm")),$K97))</f>
        <v/>
      </c>
      <c r="AF97" s="8">
        <f>IF($G97="",0,$G97)</f>
        <v/>
      </c>
      <c r="AG97" s="8">
        <f>IF($J97="",0,$J97)</f>
        <v/>
      </c>
    </row>
    <row r="98">
      <c r="A98" s="8">
        <f>IF($G98="","","SS-"&amp;TEXT(ROW()-4,"0000"))</f>
        <v/>
      </c>
      <c r="B98" s="9" t="n"/>
      <c r="C98" s="9" t="n"/>
      <c r="D98" s="9" t="n"/>
      <c r="E98" s="10" t="n"/>
      <c r="F98" s="11" t="n"/>
      <c r="G98" s="12">
        <f>IF($F98="","",IF($F98&gt;31,$F98,IF($AB98="","",DATE(YEAR($AB98),MONTH($AB98),$F98))))</f>
        <v/>
      </c>
      <c r="H98" s="9" t="n"/>
      <c r="I98" s="11" t="n"/>
      <c r="J98" s="12">
        <f>IF($I98="","",IF($I98&gt;31,$I98,IF($G98="","",IF(DATE(YEAR($G98),MONTH($G98),$I98)&gt;=$G98,DATE(YEAR($G98),MONTH($G98),$I98),DATE(YEAR($G98),MONTH($G98)+1,$I98)))))</f>
        <v/>
      </c>
      <c r="K98" s="9" t="n"/>
      <c r="L98" s="13" t="n"/>
      <c r="M98" s="13" t="n"/>
      <c r="N98" s="13" t="n"/>
      <c r="O98" s="8">
        <f>IF(OR($G98="",$J98=""),"",$J98-$G98+1)</f>
        <v/>
      </c>
      <c r="P98" s="8">
        <f>IF(OR($G98="",$J98=""),"",$J98-$G98)</f>
        <v/>
      </c>
      <c r="Q98" s="9" t="n"/>
      <c r="R98" s="9" t="n"/>
      <c r="S98" s="9" t="n"/>
      <c r="T98" s="9" t="n"/>
      <c r="U98" s="9" t="n"/>
      <c r="V98" s="9" t="n"/>
      <c r="W98" s="14" t="n"/>
      <c r="X98" s="9" t="n"/>
      <c r="Y98" s="8">
        <f>IF($G98="","",IF($D98="","⚠部屋が未選択",IF(COUNTIF('M_部屋'!$A$4:$A$20,$D98)=0,"⚠部屋が未登録",IF(OR($J98="",$Q98="キャンセル"),"",IF(SUMPRODUCT(($D$5:$D$404=$D98)*($G$5:$G$404&lt;&gt;"")*($J$5:$J$404&lt;&gt;"")*($Q$5:$Q$404&lt;&gt;"キャンセル")*($G$5:$G$404&lt;$J98)*($J$5:$J$404&gt;$G98))&gt;1,"⚠重複","")))))</f>
        <v/>
      </c>
      <c r="Z98" s="8">
        <f>IF(OR($B98="",$G98=""),"",IF(SUMPRODUCT(('利用者マスタ'!$A$4:$A$60=$B98)*('利用者マスタ'!$B$4:$B$60&lt;&gt;""))=0,"",IF(SUMIFS($AA$5:$AA$404,$B$5:$B$404,$B98,$G$5:$G$404,"&gt;="&amp;DATE(YEAR($G98),MONTH($G98),1),$G$5:$G$404,"&lt;="&amp;EOMONTH($G98,0))&gt;SUMIFS('利用者マスタ'!$B$4:$B$60,'利用者マスタ'!$A$4:$A$60,$B98),"⚠支給量超過","")))</f>
        <v/>
      </c>
      <c r="AA98" s="8">
        <f>IF(OR($G98="",$J98="",$Q98="キャンセル"),0,IF(IFERROR(INDEX('M_区分'!$B$4:$B$20,MATCH($C98,'M_区分'!$A$4:$A$20,0)),"○")="○",$J98-$G98+1,0))</f>
        <v/>
      </c>
      <c r="AB98" s="8">
        <f>IF($E98&lt;&gt;"",$E98,$AB97)</f>
        <v/>
      </c>
      <c r="AC98" s="8">
        <f>IF(OR($G98="",$J98=""),"",IF(AND($G98&lt;=EOMONTH('02_カレンダー'!$B$4,0),$J98&gt;='02_カレンダー'!$B$4),$G98*10000+ROW(),""))</f>
        <v/>
      </c>
      <c r="AD98" s="8">
        <f>IF($H98="","",IF(ISNUMBER($H98),IF(AND($H98=INT($H98),$H98&gt;=0,$H98&lt;=24),TEXT(INT($H98),"00")&amp;":00",TEXT($H98,"hh:mm")),$H98))</f>
        <v/>
      </c>
      <c r="AE98" s="8">
        <f>IF($K98="","",IF(ISNUMBER($K98),IF(AND($K98=INT($K98),$K98&gt;=0,$K98&lt;=24),TEXT(INT($K98),"00")&amp;":00",TEXT($K98,"hh:mm")),$K98))</f>
        <v/>
      </c>
      <c r="AF98" s="8">
        <f>IF($G98="",0,$G98)</f>
        <v/>
      </c>
      <c r="AG98" s="8">
        <f>IF($J98="",0,$J98)</f>
        <v/>
      </c>
    </row>
    <row r="99">
      <c r="A99" s="8">
        <f>IF($G99="","","SS-"&amp;TEXT(ROW()-4,"0000"))</f>
        <v/>
      </c>
      <c r="B99" s="9" t="n"/>
      <c r="C99" s="9" t="n"/>
      <c r="D99" s="9" t="n"/>
      <c r="E99" s="10" t="n"/>
      <c r="F99" s="11" t="n"/>
      <c r="G99" s="12">
        <f>IF($F99="","",IF($F99&gt;31,$F99,IF($AB99="","",DATE(YEAR($AB99),MONTH($AB99),$F99))))</f>
        <v/>
      </c>
      <c r="H99" s="9" t="n"/>
      <c r="I99" s="11" t="n"/>
      <c r="J99" s="12">
        <f>IF($I99="","",IF($I99&gt;31,$I99,IF($G99="","",IF(DATE(YEAR($G99),MONTH($G99),$I99)&gt;=$G99,DATE(YEAR($G99),MONTH($G99),$I99),DATE(YEAR($G99),MONTH($G99)+1,$I99)))))</f>
        <v/>
      </c>
      <c r="K99" s="9" t="n"/>
      <c r="L99" s="13" t="n"/>
      <c r="M99" s="13" t="n"/>
      <c r="N99" s="13" t="n"/>
      <c r="O99" s="8">
        <f>IF(OR($G99="",$J99=""),"",$J99-$G99+1)</f>
        <v/>
      </c>
      <c r="P99" s="8">
        <f>IF(OR($G99="",$J99=""),"",$J99-$G99)</f>
        <v/>
      </c>
      <c r="Q99" s="9" t="n"/>
      <c r="R99" s="9" t="n"/>
      <c r="S99" s="9" t="n"/>
      <c r="T99" s="9" t="n"/>
      <c r="U99" s="9" t="n"/>
      <c r="V99" s="9" t="n"/>
      <c r="W99" s="14" t="n"/>
      <c r="X99" s="9" t="n"/>
      <c r="Y99" s="8">
        <f>IF($G99="","",IF($D99="","⚠部屋が未選択",IF(COUNTIF('M_部屋'!$A$4:$A$20,$D99)=0,"⚠部屋が未登録",IF(OR($J99="",$Q99="キャンセル"),"",IF(SUMPRODUCT(($D$5:$D$404=$D99)*($G$5:$G$404&lt;&gt;"")*($J$5:$J$404&lt;&gt;"")*($Q$5:$Q$404&lt;&gt;"キャンセル")*($G$5:$G$404&lt;$J99)*($J$5:$J$404&gt;$G99))&gt;1,"⚠重複","")))))</f>
        <v/>
      </c>
      <c r="Z99" s="8">
        <f>IF(OR($B99="",$G99=""),"",IF(SUMPRODUCT(('利用者マスタ'!$A$4:$A$60=$B99)*('利用者マスタ'!$B$4:$B$60&lt;&gt;""))=0,"",IF(SUMIFS($AA$5:$AA$404,$B$5:$B$404,$B99,$G$5:$G$404,"&gt;="&amp;DATE(YEAR($G99),MONTH($G99),1),$G$5:$G$404,"&lt;="&amp;EOMONTH($G99,0))&gt;SUMIFS('利用者マスタ'!$B$4:$B$60,'利用者マスタ'!$A$4:$A$60,$B99),"⚠支給量超過","")))</f>
        <v/>
      </c>
      <c r="AA99" s="8">
        <f>IF(OR($G99="",$J99="",$Q99="キャンセル"),0,IF(IFERROR(INDEX('M_区分'!$B$4:$B$20,MATCH($C99,'M_区分'!$A$4:$A$20,0)),"○")="○",$J99-$G99+1,0))</f>
        <v/>
      </c>
      <c r="AB99" s="8">
        <f>IF($E99&lt;&gt;"",$E99,$AB98)</f>
        <v/>
      </c>
      <c r="AC99" s="8">
        <f>IF(OR($G99="",$J99=""),"",IF(AND($G99&lt;=EOMONTH('02_カレンダー'!$B$4,0),$J99&gt;='02_カレンダー'!$B$4),$G99*10000+ROW(),""))</f>
        <v/>
      </c>
      <c r="AD99" s="8">
        <f>IF($H99="","",IF(ISNUMBER($H99),IF(AND($H99=INT($H99),$H99&gt;=0,$H99&lt;=24),TEXT(INT($H99),"00")&amp;":00",TEXT($H99,"hh:mm")),$H99))</f>
        <v/>
      </c>
      <c r="AE99" s="8">
        <f>IF($K99="","",IF(ISNUMBER($K99),IF(AND($K99=INT($K99),$K99&gt;=0,$K99&lt;=24),TEXT(INT($K99),"00")&amp;":00",TEXT($K99,"hh:mm")),$K99))</f>
        <v/>
      </c>
      <c r="AF99" s="8">
        <f>IF($G99="",0,$G99)</f>
        <v/>
      </c>
      <c r="AG99" s="8">
        <f>IF($J99="",0,$J99)</f>
        <v/>
      </c>
    </row>
    <row r="100">
      <c r="A100" s="8">
        <f>IF($G100="","","SS-"&amp;TEXT(ROW()-4,"0000"))</f>
        <v/>
      </c>
      <c r="B100" s="9" t="n"/>
      <c r="C100" s="9" t="n"/>
      <c r="D100" s="9" t="n"/>
      <c r="E100" s="10" t="n"/>
      <c r="F100" s="11" t="n"/>
      <c r="G100" s="12">
        <f>IF($F100="","",IF($F100&gt;31,$F100,IF($AB100="","",DATE(YEAR($AB100),MONTH($AB100),$F100))))</f>
        <v/>
      </c>
      <c r="H100" s="9" t="n"/>
      <c r="I100" s="11" t="n"/>
      <c r="J100" s="12">
        <f>IF($I100="","",IF($I100&gt;31,$I100,IF($G100="","",IF(DATE(YEAR($G100),MONTH($G100),$I100)&gt;=$G100,DATE(YEAR($G100),MONTH($G100),$I100),DATE(YEAR($G100),MONTH($G100)+1,$I100)))))</f>
        <v/>
      </c>
      <c r="K100" s="9" t="n"/>
      <c r="L100" s="13" t="n"/>
      <c r="M100" s="13" t="n"/>
      <c r="N100" s="13" t="n"/>
      <c r="O100" s="8">
        <f>IF(OR($G100="",$J100=""),"",$J100-$G100+1)</f>
        <v/>
      </c>
      <c r="P100" s="8">
        <f>IF(OR($G100="",$J100=""),"",$J100-$G100)</f>
        <v/>
      </c>
      <c r="Q100" s="9" t="n"/>
      <c r="R100" s="9" t="n"/>
      <c r="S100" s="9" t="n"/>
      <c r="T100" s="9" t="n"/>
      <c r="U100" s="9" t="n"/>
      <c r="V100" s="9" t="n"/>
      <c r="W100" s="14" t="n"/>
      <c r="X100" s="9" t="n"/>
      <c r="Y100" s="8">
        <f>IF($G100="","",IF($D100="","⚠部屋が未選択",IF(COUNTIF('M_部屋'!$A$4:$A$20,$D100)=0,"⚠部屋が未登録",IF(OR($J100="",$Q100="キャンセル"),"",IF(SUMPRODUCT(($D$5:$D$404=$D100)*($G$5:$G$404&lt;&gt;"")*($J$5:$J$404&lt;&gt;"")*($Q$5:$Q$404&lt;&gt;"キャンセル")*($G$5:$G$404&lt;$J100)*($J$5:$J$404&gt;$G100))&gt;1,"⚠重複","")))))</f>
        <v/>
      </c>
      <c r="Z100" s="8">
        <f>IF(OR($B100="",$G100=""),"",IF(SUMPRODUCT(('利用者マスタ'!$A$4:$A$60=$B100)*('利用者マスタ'!$B$4:$B$60&lt;&gt;""))=0,"",IF(SUMIFS($AA$5:$AA$404,$B$5:$B$404,$B100,$G$5:$G$404,"&gt;="&amp;DATE(YEAR($G100),MONTH($G100),1),$G$5:$G$404,"&lt;="&amp;EOMONTH($G100,0))&gt;SUMIFS('利用者マスタ'!$B$4:$B$60,'利用者マスタ'!$A$4:$A$60,$B100),"⚠支給量超過","")))</f>
        <v/>
      </c>
      <c r="AA100" s="8">
        <f>IF(OR($G100="",$J100="",$Q100="キャンセル"),0,IF(IFERROR(INDEX('M_区分'!$B$4:$B$20,MATCH($C100,'M_区分'!$A$4:$A$20,0)),"○")="○",$J100-$G100+1,0))</f>
        <v/>
      </c>
      <c r="AB100" s="8">
        <f>IF($E100&lt;&gt;"",$E100,$AB99)</f>
        <v/>
      </c>
      <c r="AC100" s="8">
        <f>IF(OR($G100="",$J100=""),"",IF(AND($G100&lt;=EOMONTH('02_カレンダー'!$B$4,0),$J100&gt;='02_カレンダー'!$B$4),$G100*10000+ROW(),""))</f>
        <v/>
      </c>
      <c r="AD100" s="8">
        <f>IF($H100="","",IF(ISNUMBER($H100),IF(AND($H100=INT($H100),$H100&gt;=0,$H100&lt;=24),TEXT(INT($H100),"00")&amp;":00",TEXT($H100,"hh:mm")),$H100))</f>
        <v/>
      </c>
      <c r="AE100" s="8">
        <f>IF($K100="","",IF(ISNUMBER($K100),IF(AND($K100=INT($K100),$K100&gt;=0,$K100&lt;=24),TEXT(INT($K100),"00")&amp;":00",TEXT($K100,"hh:mm")),$K100))</f>
        <v/>
      </c>
      <c r="AF100" s="8">
        <f>IF($G100="",0,$G100)</f>
        <v/>
      </c>
      <c r="AG100" s="8">
        <f>IF($J100="",0,$J100)</f>
        <v/>
      </c>
    </row>
    <row r="101">
      <c r="A101" s="8">
        <f>IF($G101="","","SS-"&amp;TEXT(ROW()-4,"0000"))</f>
        <v/>
      </c>
      <c r="B101" s="9" t="n"/>
      <c r="C101" s="9" t="n"/>
      <c r="D101" s="9" t="n"/>
      <c r="E101" s="10" t="n"/>
      <c r="F101" s="11" t="n"/>
      <c r="G101" s="12">
        <f>IF($F101="","",IF($F101&gt;31,$F101,IF($AB101="","",DATE(YEAR($AB101),MONTH($AB101),$F101))))</f>
        <v/>
      </c>
      <c r="H101" s="9" t="n"/>
      <c r="I101" s="11" t="n"/>
      <c r="J101" s="12">
        <f>IF($I101="","",IF($I101&gt;31,$I101,IF($G101="","",IF(DATE(YEAR($G101),MONTH($G101),$I101)&gt;=$G101,DATE(YEAR($G101),MONTH($G101),$I101),DATE(YEAR($G101),MONTH($G101)+1,$I101)))))</f>
        <v/>
      </c>
      <c r="K101" s="9" t="n"/>
      <c r="L101" s="13" t="n"/>
      <c r="M101" s="13" t="n"/>
      <c r="N101" s="13" t="n"/>
      <c r="O101" s="8">
        <f>IF(OR($G101="",$J101=""),"",$J101-$G101+1)</f>
        <v/>
      </c>
      <c r="P101" s="8">
        <f>IF(OR($G101="",$J101=""),"",$J101-$G101)</f>
        <v/>
      </c>
      <c r="Q101" s="9" t="n"/>
      <c r="R101" s="9" t="n"/>
      <c r="S101" s="9" t="n"/>
      <c r="T101" s="9" t="n"/>
      <c r="U101" s="9" t="n"/>
      <c r="V101" s="9" t="n"/>
      <c r="W101" s="14" t="n"/>
      <c r="X101" s="9" t="n"/>
      <c r="Y101" s="8">
        <f>IF($G101="","",IF($D101="","⚠部屋が未選択",IF(COUNTIF('M_部屋'!$A$4:$A$20,$D101)=0,"⚠部屋が未登録",IF(OR($J101="",$Q101="キャンセル"),"",IF(SUMPRODUCT(($D$5:$D$404=$D101)*($G$5:$G$404&lt;&gt;"")*($J$5:$J$404&lt;&gt;"")*($Q$5:$Q$404&lt;&gt;"キャンセル")*($G$5:$G$404&lt;$J101)*($J$5:$J$404&gt;$G101))&gt;1,"⚠重複","")))))</f>
        <v/>
      </c>
      <c r="Z101" s="8">
        <f>IF(OR($B101="",$G101=""),"",IF(SUMPRODUCT(('利用者マスタ'!$A$4:$A$60=$B101)*('利用者マスタ'!$B$4:$B$60&lt;&gt;""))=0,"",IF(SUMIFS($AA$5:$AA$404,$B$5:$B$404,$B101,$G$5:$G$404,"&gt;="&amp;DATE(YEAR($G101),MONTH($G101),1),$G$5:$G$404,"&lt;="&amp;EOMONTH($G101,0))&gt;SUMIFS('利用者マスタ'!$B$4:$B$60,'利用者マスタ'!$A$4:$A$60,$B101),"⚠支給量超過","")))</f>
        <v/>
      </c>
      <c r="AA101" s="8">
        <f>IF(OR($G101="",$J101="",$Q101="キャンセル"),0,IF(IFERROR(INDEX('M_区分'!$B$4:$B$20,MATCH($C101,'M_区分'!$A$4:$A$20,0)),"○")="○",$J101-$G101+1,0))</f>
        <v/>
      </c>
      <c r="AB101" s="8">
        <f>IF($E101&lt;&gt;"",$E101,$AB100)</f>
        <v/>
      </c>
      <c r="AC101" s="8">
        <f>IF(OR($G101="",$J101=""),"",IF(AND($G101&lt;=EOMONTH('02_カレンダー'!$B$4,0),$J101&gt;='02_カレンダー'!$B$4),$G101*10000+ROW(),""))</f>
        <v/>
      </c>
      <c r="AD101" s="8">
        <f>IF($H101="","",IF(ISNUMBER($H101),IF(AND($H101=INT($H101),$H101&gt;=0,$H101&lt;=24),TEXT(INT($H101),"00")&amp;":00",TEXT($H101,"hh:mm")),$H101))</f>
        <v/>
      </c>
      <c r="AE101" s="8">
        <f>IF($K101="","",IF(ISNUMBER($K101),IF(AND($K101=INT($K101),$K101&gt;=0,$K101&lt;=24),TEXT(INT($K101),"00")&amp;":00",TEXT($K101,"hh:mm")),$K101))</f>
        <v/>
      </c>
      <c r="AF101" s="8">
        <f>IF($G101="",0,$G101)</f>
        <v/>
      </c>
      <c r="AG101" s="8">
        <f>IF($J101="",0,$J101)</f>
        <v/>
      </c>
    </row>
    <row r="102">
      <c r="A102" s="8">
        <f>IF($G102="","","SS-"&amp;TEXT(ROW()-4,"0000"))</f>
        <v/>
      </c>
      <c r="B102" s="9" t="n"/>
      <c r="C102" s="9" t="n"/>
      <c r="D102" s="9" t="n"/>
      <c r="E102" s="10" t="n"/>
      <c r="F102" s="11" t="n"/>
      <c r="G102" s="12">
        <f>IF($F102="","",IF($F102&gt;31,$F102,IF($AB102="","",DATE(YEAR($AB102),MONTH($AB102),$F102))))</f>
        <v/>
      </c>
      <c r="H102" s="9" t="n"/>
      <c r="I102" s="11" t="n"/>
      <c r="J102" s="12">
        <f>IF($I102="","",IF($I102&gt;31,$I102,IF($G102="","",IF(DATE(YEAR($G102),MONTH($G102),$I102)&gt;=$G102,DATE(YEAR($G102),MONTH($G102),$I102),DATE(YEAR($G102),MONTH($G102)+1,$I102)))))</f>
        <v/>
      </c>
      <c r="K102" s="9" t="n"/>
      <c r="L102" s="13" t="n"/>
      <c r="M102" s="13" t="n"/>
      <c r="N102" s="13" t="n"/>
      <c r="O102" s="8">
        <f>IF(OR($G102="",$J102=""),"",$J102-$G102+1)</f>
        <v/>
      </c>
      <c r="P102" s="8">
        <f>IF(OR($G102="",$J102=""),"",$J102-$G102)</f>
        <v/>
      </c>
      <c r="Q102" s="9" t="n"/>
      <c r="R102" s="9" t="n"/>
      <c r="S102" s="9" t="n"/>
      <c r="T102" s="9" t="n"/>
      <c r="U102" s="9" t="n"/>
      <c r="V102" s="9" t="n"/>
      <c r="W102" s="14" t="n"/>
      <c r="X102" s="9" t="n"/>
      <c r="Y102" s="8">
        <f>IF($G102="","",IF($D102="","⚠部屋が未選択",IF(COUNTIF('M_部屋'!$A$4:$A$20,$D102)=0,"⚠部屋が未登録",IF(OR($J102="",$Q102="キャンセル"),"",IF(SUMPRODUCT(($D$5:$D$404=$D102)*($G$5:$G$404&lt;&gt;"")*($J$5:$J$404&lt;&gt;"")*($Q$5:$Q$404&lt;&gt;"キャンセル")*($G$5:$G$404&lt;$J102)*($J$5:$J$404&gt;$G102))&gt;1,"⚠重複","")))))</f>
        <v/>
      </c>
      <c r="Z102" s="8">
        <f>IF(OR($B102="",$G102=""),"",IF(SUMPRODUCT(('利用者マスタ'!$A$4:$A$60=$B102)*('利用者マスタ'!$B$4:$B$60&lt;&gt;""))=0,"",IF(SUMIFS($AA$5:$AA$404,$B$5:$B$404,$B102,$G$5:$G$404,"&gt;="&amp;DATE(YEAR($G102),MONTH($G102),1),$G$5:$G$404,"&lt;="&amp;EOMONTH($G102,0))&gt;SUMIFS('利用者マスタ'!$B$4:$B$60,'利用者マスタ'!$A$4:$A$60,$B102),"⚠支給量超過","")))</f>
        <v/>
      </c>
      <c r="AA102" s="8">
        <f>IF(OR($G102="",$J102="",$Q102="キャンセル"),0,IF(IFERROR(INDEX('M_区分'!$B$4:$B$20,MATCH($C102,'M_区分'!$A$4:$A$20,0)),"○")="○",$J102-$G102+1,0))</f>
        <v/>
      </c>
      <c r="AB102" s="8">
        <f>IF($E102&lt;&gt;"",$E102,$AB101)</f>
        <v/>
      </c>
      <c r="AC102" s="8">
        <f>IF(OR($G102="",$J102=""),"",IF(AND($G102&lt;=EOMONTH('02_カレンダー'!$B$4,0),$J102&gt;='02_カレンダー'!$B$4),$G102*10000+ROW(),""))</f>
        <v/>
      </c>
      <c r="AD102" s="8">
        <f>IF($H102="","",IF(ISNUMBER($H102),IF(AND($H102=INT($H102),$H102&gt;=0,$H102&lt;=24),TEXT(INT($H102),"00")&amp;":00",TEXT($H102,"hh:mm")),$H102))</f>
        <v/>
      </c>
      <c r="AE102" s="8">
        <f>IF($K102="","",IF(ISNUMBER($K102),IF(AND($K102=INT($K102),$K102&gt;=0,$K102&lt;=24),TEXT(INT($K102),"00")&amp;":00",TEXT($K102,"hh:mm")),$K102))</f>
        <v/>
      </c>
      <c r="AF102" s="8">
        <f>IF($G102="",0,$G102)</f>
        <v/>
      </c>
      <c r="AG102" s="8">
        <f>IF($J102="",0,$J102)</f>
        <v/>
      </c>
    </row>
    <row r="103">
      <c r="A103" s="8">
        <f>IF($G103="","","SS-"&amp;TEXT(ROW()-4,"0000"))</f>
        <v/>
      </c>
      <c r="B103" s="9" t="n"/>
      <c r="C103" s="9" t="n"/>
      <c r="D103" s="9" t="n"/>
      <c r="E103" s="10" t="n"/>
      <c r="F103" s="11" t="n"/>
      <c r="G103" s="12">
        <f>IF($F103="","",IF($F103&gt;31,$F103,IF($AB103="","",DATE(YEAR($AB103),MONTH($AB103),$F103))))</f>
        <v/>
      </c>
      <c r="H103" s="9" t="n"/>
      <c r="I103" s="11" t="n"/>
      <c r="J103" s="12">
        <f>IF($I103="","",IF($I103&gt;31,$I103,IF($G103="","",IF(DATE(YEAR($G103),MONTH($G103),$I103)&gt;=$G103,DATE(YEAR($G103),MONTH($G103),$I103),DATE(YEAR($G103),MONTH($G103)+1,$I103)))))</f>
        <v/>
      </c>
      <c r="K103" s="9" t="n"/>
      <c r="L103" s="13" t="n"/>
      <c r="M103" s="13" t="n"/>
      <c r="N103" s="13" t="n"/>
      <c r="O103" s="8">
        <f>IF(OR($G103="",$J103=""),"",$J103-$G103+1)</f>
        <v/>
      </c>
      <c r="P103" s="8">
        <f>IF(OR($G103="",$J103=""),"",$J103-$G103)</f>
        <v/>
      </c>
      <c r="Q103" s="9" t="n"/>
      <c r="R103" s="9" t="n"/>
      <c r="S103" s="9" t="n"/>
      <c r="T103" s="9" t="n"/>
      <c r="U103" s="9" t="n"/>
      <c r="V103" s="9" t="n"/>
      <c r="W103" s="14" t="n"/>
      <c r="X103" s="9" t="n"/>
      <c r="Y103" s="8">
        <f>IF($G103="","",IF($D103="","⚠部屋が未選択",IF(COUNTIF('M_部屋'!$A$4:$A$20,$D103)=0,"⚠部屋が未登録",IF(OR($J103="",$Q103="キャンセル"),"",IF(SUMPRODUCT(($D$5:$D$404=$D103)*($G$5:$G$404&lt;&gt;"")*($J$5:$J$404&lt;&gt;"")*($Q$5:$Q$404&lt;&gt;"キャンセル")*($G$5:$G$404&lt;$J103)*($J$5:$J$404&gt;$G103))&gt;1,"⚠重複","")))))</f>
        <v/>
      </c>
      <c r="Z103" s="8">
        <f>IF(OR($B103="",$G103=""),"",IF(SUMPRODUCT(('利用者マスタ'!$A$4:$A$60=$B103)*('利用者マスタ'!$B$4:$B$60&lt;&gt;""))=0,"",IF(SUMIFS($AA$5:$AA$404,$B$5:$B$404,$B103,$G$5:$G$404,"&gt;="&amp;DATE(YEAR($G103),MONTH($G103),1),$G$5:$G$404,"&lt;="&amp;EOMONTH($G103,0))&gt;SUMIFS('利用者マスタ'!$B$4:$B$60,'利用者マスタ'!$A$4:$A$60,$B103),"⚠支給量超過","")))</f>
        <v/>
      </c>
      <c r="AA103" s="8">
        <f>IF(OR($G103="",$J103="",$Q103="キャンセル"),0,IF(IFERROR(INDEX('M_区分'!$B$4:$B$20,MATCH($C103,'M_区分'!$A$4:$A$20,0)),"○")="○",$J103-$G103+1,0))</f>
        <v/>
      </c>
      <c r="AB103" s="8">
        <f>IF($E103&lt;&gt;"",$E103,$AB102)</f>
        <v/>
      </c>
      <c r="AC103" s="8">
        <f>IF(OR($G103="",$J103=""),"",IF(AND($G103&lt;=EOMONTH('02_カレンダー'!$B$4,0),$J103&gt;='02_カレンダー'!$B$4),$G103*10000+ROW(),""))</f>
        <v/>
      </c>
      <c r="AD103" s="8">
        <f>IF($H103="","",IF(ISNUMBER($H103),IF(AND($H103=INT($H103),$H103&gt;=0,$H103&lt;=24),TEXT(INT($H103),"00")&amp;":00",TEXT($H103,"hh:mm")),$H103))</f>
        <v/>
      </c>
      <c r="AE103" s="8">
        <f>IF($K103="","",IF(ISNUMBER($K103),IF(AND($K103=INT($K103),$K103&gt;=0,$K103&lt;=24),TEXT(INT($K103),"00")&amp;":00",TEXT($K103,"hh:mm")),$K103))</f>
        <v/>
      </c>
      <c r="AF103" s="8">
        <f>IF($G103="",0,$G103)</f>
        <v/>
      </c>
      <c r="AG103" s="8">
        <f>IF($J103="",0,$J103)</f>
        <v/>
      </c>
    </row>
    <row r="104">
      <c r="A104" s="8">
        <f>IF($G104="","","SS-"&amp;TEXT(ROW()-4,"0000"))</f>
        <v/>
      </c>
      <c r="B104" s="9" t="n"/>
      <c r="C104" s="9" t="n"/>
      <c r="D104" s="9" t="n"/>
      <c r="E104" s="10" t="n"/>
      <c r="F104" s="11" t="n"/>
      <c r="G104" s="12">
        <f>IF($F104="","",IF($F104&gt;31,$F104,IF($AB104="","",DATE(YEAR($AB104),MONTH($AB104),$F104))))</f>
        <v/>
      </c>
      <c r="H104" s="9" t="n"/>
      <c r="I104" s="11" t="n"/>
      <c r="J104" s="12">
        <f>IF($I104="","",IF($I104&gt;31,$I104,IF($G104="","",IF(DATE(YEAR($G104),MONTH($G104),$I104)&gt;=$G104,DATE(YEAR($G104),MONTH($G104),$I104),DATE(YEAR($G104),MONTH($G104)+1,$I104)))))</f>
        <v/>
      </c>
      <c r="K104" s="9" t="n"/>
      <c r="L104" s="13" t="n"/>
      <c r="M104" s="13" t="n"/>
      <c r="N104" s="13" t="n"/>
      <c r="O104" s="8">
        <f>IF(OR($G104="",$J104=""),"",$J104-$G104+1)</f>
        <v/>
      </c>
      <c r="P104" s="8">
        <f>IF(OR($G104="",$J104=""),"",$J104-$G104)</f>
        <v/>
      </c>
      <c r="Q104" s="9" t="n"/>
      <c r="R104" s="9" t="n"/>
      <c r="S104" s="9" t="n"/>
      <c r="T104" s="9" t="n"/>
      <c r="U104" s="9" t="n"/>
      <c r="V104" s="9" t="n"/>
      <c r="W104" s="14" t="n"/>
      <c r="X104" s="9" t="n"/>
      <c r="Y104" s="8">
        <f>IF($G104="","",IF($D104="","⚠部屋が未選択",IF(COUNTIF('M_部屋'!$A$4:$A$20,$D104)=0,"⚠部屋が未登録",IF(OR($J104="",$Q104="キャンセル"),"",IF(SUMPRODUCT(($D$5:$D$404=$D104)*($G$5:$G$404&lt;&gt;"")*($J$5:$J$404&lt;&gt;"")*($Q$5:$Q$404&lt;&gt;"キャンセル")*($G$5:$G$404&lt;$J104)*($J$5:$J$404&gt;$G104))&gt;1,"⚠重複","")))))</f>
        <v/>
      </c>
      <c r="Z104" s="8">
        <f>IF(OR($B104="",$G104=""),"",IF(SUMPRODUCT(('利用者マスタ'!$A$4:$A$60=$B104)*('利用者マスタ'!$B$4:$B$60&lt;&gt;""))=0,"",IF(SUMIFS($AA$5:$AA$404,$B$5:$B$404,$B104,$G$5:$G$404,"&gt;="&amp;DATE(YEAR($G104),MONTH($G104),1),$G$5:$G$404,"&lt;="&amp;EOMONTH($G104,0))&gt;SUMIFS('利用者マスタ'!$B$4:$B$60,'利用者マスタ'!$A$4:$A$60,$B104),"⚠支給量超過","")))</f>
        <v/>
      </c>
      <c r="AA104" s="8">
        <f>IF(OR($G104="",$J104="",$Q104="キャンセル"),0,IF(IFERROR(INDEX('M_区分'!$B$4:$B$20,MATCH($C104,'M_区分'!$A$4:$A$20,0)),"○")="○",$J104-$G104+1,0))</f>
        <v/>
      </c>
      <c r="AB104" s="8">
        <f>IF($E104&lt;&gt;"",$E104,$AB103)</f>
        <v/>
      </c>
      <c r="AC104" s="8">
        <f>IF(OR($G104="",$J104=""),"",IF(AND($G104&lt;=EOMONTH('02_カレンダー'!$B$4,0),$J104&gt;='02_カレンダー'!$B$4),$G104*10000+ROW(),""))</f>
        <v/>
      </c>
      <c r="AD104" s="8">
        <f>IF($H104="","",IF(ISNUMBER($H104),IF(AND($H104=INT($H104),$H104&gt;=0,$H104&lt;=24),TEXT(INT($H104),"00")&amp;":00",TEXT($H104,"hh:mm")),$H104))</f>
        <v/>
      </c>
      <c r="AE104" s="8">
        <f>IF($K104="","",IF(ISNUMBER($K104),IF(AND($K104=INT($K104),$K104&gt;=0,$K104&lt;=24),TEXT(INT($K104),"00")&amp;":00",TEXT($K104,"hh:mm")),$K104))</f>
        <v/>
      </c>
      <c r="AF104" s="8">
        <f>IF($G104="",0,$G104)</f>
        <v/>
      </c>
      <c r="AG104" s="8">
        <f>IF($J104="",0,$J104)</f>
        <v/>
      </c>
    </row>
    <row r="105">
      <c r="A105" s="8">
        <f>IF($G105="","","SS-"&amp;TEXT(ROW()-4,"0000"))</f>
        <v/>
      </c>
      <c r="B105" s="9" t="n"/>
      <c r="C105" s="9" t="n"/>
      <c r="D105" s="9" t="n"/>
      <c r="E105" s="10" t="n"/>
      <c r="F105" s="11" t="n"/>
      <c r="G105" s="12">
        <f>IF($F105="","",IF($F105&gt;31,$F105,IF($AB105="","",DATE(YEAR($AB105),MONTH($AB105),$F105))))</f>
        <v/>
      </c>
      <c r="H105" s="9" t="n"/>
      <c r="I105" s="11" t="n"/>
      <c r="J105" s="12">
        <f>IF($I105="","",IF($I105&gt;31,$I105,IF($G105="","",IF(DATE(YEAR($G105),MONTH($G105),$I105)&gt;=$G105,DATE(YEAR($G105),MONTH($G105),$I105),DATE(YEAR($G105),MONTH($G105)+1,$I105)))))</f>
        <v/>
      </c>
      <c r="K105" s="9" t="n"/>
      <c r="L105" s="13" t="n"/>
      <c r="M105" s="13" t="n"/>
      <c r="N105" s="13" t="n"/>
      <c r="O105" s="8">
        <f>IF(OR($G105="",$J105=""),"",$J105-$G105+1)</f>
        <v/>
      </c>
      <c r="P105" s="8">
        <f>IF(OR($G105="",$J105=""),"",$J105-$G105)</f>
        <v/>
      </c>
      <c r="Q105" s="9" t="n"/>
      <c r="R105" s="9" t="n"/>
      <c r="S105" s="9" t="n"/>
      <c r="T105" s="9" t="n"/>
      <c r="U105" s="9" t="n"/>
      <c r="V105" s="9" t="n"/>
      <c r="W105" s="14" t="n"/>
      <c r="X105" s="9" t="n"/>
      <c r="Y105" s="8">
        <f>IF($G105="","",IF($D105="","⚠部屋が未選択",IF(COUNTIF('M_部屋'!$A$4:$A$20,$D105)=0,"⚠部屋が未登録",IF(OR($J105="",$Q105="キャンセル"),"",IF(SUMPRODUCT(($D$5:$D$404=$D105)*($G$5:$G$404&lt;&gt;"")*($J$5:$J$404&lt;&gt;"")*($Q$5:$Q$404&lt;&gt;"キャンセル")*($G$5:$G$404&lt;$J105)*($J$5:$J$404&gt;$G105))&gt;1,"⚠重複","")))))</f>
        <v/>
      </c>
      <c r="Z105" s="8">
        <f>IF(OR($B105="",$G105=""),"",IF(SUMPRODUCT(('利用者マスタ'!$A$4:$A$60=$B105)*('利用者マスタ'!$B$4:$B$60&lt;&gt;""))=0,"",IF(SUMIFS($AA$5:$AA$404,$B$5:$B$404,$B105,$G$5:$G$404,"&gt;="&amp;DATE(YEAR($G105),MONTH($G105),1),$G$5:$G$404,"&lt;="&amp;EOMONTH($G105,0))&gt;SUMIFS('利用者マスタ'!$B$4:$B$60,'利用者マスタ'!$A$4:$A$60,$B105),"⚠支給量超過","")))</f>
        <v/>
      </c>
      <c r="AA105" s="8">
        <f>IF(OR($G105="",$J105="",$Q105="キャンセル"),0,IF(IFERROR(INDEX('M_区分'!$B$4:$B$20,MATCH($C105,'M_区分'!$A$4:$A$20,0)),"○")="○",$J105-$G105+1,0))</f>
        <v/>
      </c>
      <c r="AB105" s="8">
        <f>IF($E105&lt;&gt;"",$E105,$AB104)</f>
        <v/>
      </c>
      <c r="AC105" s="8">
        <f>IF(OR($G105="",$J105=""),"",IF(AND($G105&lt;=EOMONTH('02_カレンダー'!$B$4,0),$J105&gt;='02_カレンダー'!$B$4),$G105*10000+ROW(),""))</f>
        <v/>
      </c>
      <c r="AD105" s="8">
        <f>IF($H105="","",IF(ISNUMBER($H105),IF(AND($H105=INT($H105),$H105&gt;=0,$H105&lt;=24),TEXT(INT($H105),"00")&amp;":00",TEXT($H105,"hh:mm")),$H105))</f>
        <v/>
      </c>
      <c r="AE105" s="8">
        <f>IF($K105="","",IF(ISNUMBER($K105),IF(AND($K105=INT($K105),$K105&gt;=0,$K105&lt;=24),TEXT(INT($K105),"00")&amp;":00",TEXT($K105,"hh:mm")),$K105))</f>
        <v/>
      </c>
      <c r="AF105" s="8">
        <f>IF($G105="",0,$G105)</f>
        <v/>
      </c>
      <c r="AG105" s="8">
        <f>IF($J105="",0,$J105)</f>
        <v/>
      </c>
    </row>
    <row r="106">
      <c r="A106" s="8">
        <f>IF($G106="","","SS-"&amp;TEXT(ROW()-4,"0000"))</f>
        <v/>
      </c>
      <c r="B106" s="9" t="n"/>
      <c r="C106" s="9" t="n"/>
      <c r="D106" s="9" t="n"/>
      <c r="E106" s="10" t="n"/>
      <c r="F106" s="11" t="n"/>
      <c r="G106" s="12">
        <f>IF($F106="","",IF($F106&gt;31,$F106,IF($AB106="","",DATE(YEAR($AB106),MONTH($AB106),$F106))))</f>
        <v/>
      </c>
      <c r="H106" s="9" t="n"/>
      <c r="I106" s="11" t="n"/>
      <c r="J106" s="12">
        <f>IF($I106="","",IF($I106&gt;31,$I106,IF($G106="","",IF(DATE(YEAR($G106),MONTH($G106),$I106)&gt;=$G106,DATE(YEAR($G106),MONTH($G106),$I106),DATE(YEAR($G106),MONTH($G106)+1,$I106)))))</f>
        <v/>
      </c>
      <c r="K106" s="9" t="n"/>
      <c r="L106" s="13" t="n"/>
      <c r="M106" s="13" t="n"/>
      <c r="N106" s="13" t="n"/>
      <c r="O106" s="8">
        <f>IF(OR($G106="",$J106=""),"",$J106-$G106+1)</f>
        <v/>
      </c>
      <c r="P106" s="8">
        <f>IF(OR($G106="",$J106=""),"",$J106-$G106)</f>
        <v/>
      </c>
      <c r="Q106" s="9" t="n"/>
      <c r="R106" s="9" t="n"/>
      <c r="S106" s="9" t="n"/>
      <c r="T106" s="9" t="n"/>
      <c r="U106" s="9" t="n"/>
      <c r="V106" s="9" t="n"/>
      <c r="W106" s="14" t="n"/>
      <c r="X106" s="9" t="n"/>
      <c r="Y106" s="8">
        <f>IF($G106="","",IF($D106="","⚠部屋が未選択",IF(COUNTIF('M_部屋'!$A$4:$A$20,$D106)=0,"⚠部屋が未登録",IF(OR($J106="",$Q106="キャンセル"),"",IF(SUMPRODUCT(($D$5:$D$404=$D106)*($G$5:$G$404&lt;&gt;"")*($J$5:$J$404&lt;&gt;"")*($Q$5:$Q$404&lt;&gt;"キャンセル")*($G$5:$G$404&lt;$J106)*($J$5:$J$404&gt;$G106))&gt;1,"⚠重複","")))))</f>
        <v/>
      </c>
      <c r="Z106" s="8">
        <f>IF(OR($B106="",$G106=""),"",IF(SUMPRODUCT(('利用者マスタ'!$A$4:$A$60=$B106)*('利用者マスタ'!$B$4:$B$60&lt;&gt;""))=0,"",IF(SUMIFS($AA$5:$AA$404,$B$5:$B$404,$B106,$G$5:$G$404,"&gt;="&amp;DATE(YEAR($G106),MONTH($G106),1),$G$5:$G$404,"&lt;="&amp;EOMONTH($G106,0))&gt;SUMIFS('利用者マスタ'!$B$4:$B$60,'利用者マスタ'!$A$4:$A$60,$B106),"⚠支給量超過","")))</f>
        <v/>
      </c>
      <c r="AA106" s="8">
        <f>IF(OR($G106="",$J106="",$Q106="キャンセル"),0,IF(IFERROR(INDEX('M_区分'!$B$4:$B$20,MATCH($C106,'M_区分'!$A$4:$A$20,0)),"○")="○",$J106-$G106+1,0))</f>
        <v/>
      </c>
      <c r="AB106" s="8">
        <f>IF($E106&lt;&gt;"",$E106,$AB105)</f>
        <v/>
      </c>
      <c r="AC106" s="8">
        <f>IF(OR($G106="",$J106=""),"",IF(AND($G106&lt;=EOMONTH('02_カレンダー'!$B$4,0),$J106&gt;='02_カレンダー'!$B$4),$G106*10000+ROW(),""))</f>
        <v/>
      </c>
      <c r="AD106" s="8">
        <f>IF($H106="","",IF(ISNUMBER($H106),IF(AND($H106=INT($H106),$H106&gt;=0,$H106&lt;=24),TEXT(INT($H106),"00")&amp;":00",TEXT($H106,"hh:mm")),$H106))</f>
        <v/>
      </c>
      <c r="AE106" s="8">
        <f>IF($K106="","",IF(ISNUMBER($K106),IF(AND($K106=INT($K106),$K106&gt;=0,$K106&lt;=24),TEXT(INT($K106),"00")&amp;":00",TEXT($K106,"hh:mm")),$K106))</f>
        <v/>
      </c>
      <c r="AF106" s="8">
        <f>IF($G106="",0,$G106)</f>
        <v/>
      </c>
      <c r="AG106" s="8">
        <f>IF($J106="",0,$J106)</f>
        <v/>
      </c>
    </row>
    <row r="107">
      <c r="A107" s="8">
        <f>IF($G107="","","SS-"&amp;TEXT(ROW()-4,"0000"))</f>
        <v/>
      </c>
      <c r="B107" s="9" t="n"/>
      <c r="C107" s="9" t="n"/>
      <c r="D107" s="9" t="n"/>
      <c r="E107" s="10" t="n"/>
      <c r="F107" s="11" t="n"/>
      <c r="G107" s="12">
        <f>IF($F107="","",IF($F107&gt;31,$F107,IF($AB107="","",DATE(YEAR($AB107),MONTH($AB107),$F107))))</f>
        <v/>
      </c>
      <c r="H107" s="9" t="n"/>
      <c r="I107" s="11" t="n"/>
      <c r="J107" s="12">
        <f>IF($I107="","",IF($I107&gt;31,$I107,IF($G107="","",IF(DATE(YEAR($G107),MONTH($G107),$I107)&gt;=$G107,DATE(YEAR($G107),MONTH($G107),$I107),DATE(YEAR($G107),MONTH($G107)+1,$I107)))))</f>
        <v/>
      </c>
      <c r="K107" s="9" t="n"/>
      <c r="L107" s="13" t="n"/>
      <c r="M107" s="13" t="n"/>
      <c r="N107" s="13" t="n"/>
      <c r="O107" s="8">
        <f>IF(OR($G107="",$J107=""),"",$J107-$G107+1)</f>
        <v/>
      </c>
      <c r="P107" s="8">
        <f>IF(OR($G107="",$J107=""),"",$J107-$G107)</f>
        <v/>
      </c>
      <c r="Q107" s="9" t="n"/>
      <c r="R107" s="9" t="n"/>
      <c r="S107" s="9" t="n"/>
      <c r="T107" s="9" t="n"/>
      <c r="U107" s="9" t="n"/>
      <c r="V107" s="9" t="n"/>
      <c r="W107" s="14" t="n"/>
      <c r="X107" s="9" t="n"/>
      <c r="Y107" s="8">
        <f>IF($G107="","",IF($D107="","⚠部屋が未選択",IF(COUNTIF('M_部屋'!$A$4:$A$20,$D107)=0,"⚠部屋が未登録",IF(OR($J107="",$Q107="キャンセル"),"",IF(SUMPRODUCT(($D$5:$D$404=$D107)*($G$5:$G$404&lt;&gt;"")*($J$5:$J$404&lt;&gt;"")*($Q$5:$Q$404&lt;&gt;"キャンセル")*($G$5:$G$404&lt;$J107)*($J$5:$J$404&gt;$G107))&gt;1,"⚠重複","")))))</f>
        <v/>
      </c>
      <c r="Z107" s="8">
        <f>IF(OR($B107="",$G107=""),"",IF(SUMPRODUCT(('利用者マスタ'!$A$4:$A$60=$B107)*('利用者マスタ'!$B$4:$B$60&lt;&gt;""))=0,"",IF(SUMIFS($AA$5:$AA$404,$B$5:$B$404,$B107,$G$5:$G$404,"&gt;="&amp;DATE(YEAR($G107),MONTH($G107),1),$G$5:$G$404,"&lt;="&amp;EOMONTH($G107,0))&gt;SUMIFS('利用者マスタ'!$B$4:$B$60,'利用者マスタ'!$A$4:$A$60,$B107),"⚠支給量超過","")))</f>
        <v/>
      </c>
      <c r="AA107" s="8">
        <f>IF(OR($G107="",$J107="",$Q107="キャンセル"),0,IF(IFERROR(INDEX('M_区分'!$B$4:$B$20,MATCH($C107,'M_区分'!$A$4:$A$20,0)),"○")="○",$J107-$G107+1,0))</f>
        <v/>
      </c>
      <c r="AB107" s="8">
        <f>IF($E107&lt;&gt;"",$E107,$AB106)</f>
        <v/>
      </c>
      <c r="AC107" s="8">
        <f>IF(OR($G107="",$J107=""),"",IF(AND($G107&lt;=EOMONTH('02_カレンダー'!$B$4,0),$J107&gt;='02_カレンダー'!$B$4),$G107*10000+ROW(),""))</f>
        <v/>
      </c>
      <c r="AD107" s="8">
        <f>IF($H107="","",IF(ISNUMBER($H107),IF(AND($H107=INT($H107),$H107&gt;=0,$H107&lt;=24),TEXT(INT($H107),"00")&amp;":00",TEXT($H107,"hh:mm")),$H107))</f>
        <v/>
      </c>
      <c r="AE107" s="8">
        <f>IF($K107="","",IF(ISNUMBER($K107),IF(AND($K107=INT($K107),$K107&gt;=0,$K107&lt;=24),TEXT(INT($K107),"00")&amp;":00",TEXT($K107,"hh:mm")),$K107))</f>
        <v/>
      </c>
      <c r="AF107" s="8">
        <f>IF($G107="",0,$G107)</f>
        <v/>
      </c>
      <c r="AG107" s="8">
        <f>IF($J107="",0,$J107)</f>
        <v/>
      </c>
    </row>
    <row r="108">
      <c r="A108" s="8">
        <f>IF($G108="","","SS-"&amp;TEXT(ROW()-4,"0000"))</f>
        <v/>
      </c>
      <c r="B108" s="9" t="n"/>
      <c r="C108" s="9" t="n"/>
      <c r="D108" s="9" t="n"/>
      <c r="E108" s="10" t="n"/>
      <c r="F108" s="11" t="n"/>
      <c r="G108" s="12">
        <f>IF($F108="","",IF($F108&gt;31,$F108,IF($AB108="","",DATE(YEAR($AB108),MONTH($AB108),$F108))))</f>
        <v/>
      </c>
      <c r="H108" s="9" t="n"/>
      <c r="I108" s="11" t="n"/>
      <c r="J108" s="12">
        <f>IF($I108="","",IF($I108&gt;31,$I108,IF($G108="","",IF(DATE(YEAR($G108),MONTH($G108),$I108)&gt;=$G108,DATE(YEAR($G108),MONTH($G108),$I108),DATE(YEAR($G108),MONTH($G108)+1,$I108)))))</f>
        <v/>
      </c>
      <c r="K108" s="9" t="n"/>
      <c r="L108" s="13" t="n"/>
      <c r="M108" s="13" t="n"/>
      <c r="N108" s="13" t="n"/>
      <c r="O108" s="8">
        <f>IF(OR($G108="",$J108=""),"",$J108-$G108+1)</f>
        <v/>
      </c>
      <c r="P108" s="8">
        <f>IF(OR($G108="",$J108=""),"",$J108-$G108)</f>
        <v/>
      </c>
      <c r="Q108" s="9" t="n"/>
      <c r="R108" s="9" t="n"/>
      <c r="S108" s="9" t="n"/>
      <c r="T108" s="9" t="n"/>
      <c r="U108" s="9" t="n"/>
      <c r="V108" s="9" t="n"/>
      <c r="W108" s="14" t="n"/>
      <c r="X108" s="9" t="n"/>
      <c r="Y108" s="8">
        <f>IF($G108="","",IF($D108="","⚠部屋が未選択",IF(COUNTIF('M_部屋'!$A$4:$A$20,$D108)=0,"⚠部屋が未登録",IF(OR($J108="",$Q108="キャンセル"),"",IF(SUMPRODUCT(($D$5:$D$404=$D108)*($G$5:$G$404&lt;&gt;"")*($J$5:$J$404&lt;&gt;"")*($Q$5:$Q$404&lt;&gt;"キャンセル")*($G$5:$G$404&lt;$J108)*($J$5:$J$404&gt;$G108))&gt;1,"⚠重複","")))))</f>
        <v/>
      </c>
      <c r="Z108" s="8">
        <f>IF(OR($B108="",$G108=""),"",IF(SUMPRODUCT(('利用者マスタ'!$A$4:$A$60=$B108)*('利用者マスタ'!$B$4:$B$60&lt;&gt;""))=0,"",IF(SUMIFS($AA$5:$AA$404,$B$5:$B$404,$B108,$G$5:$G$404,"&gt;="&amp;DATE(YEAR($G108),MONTH($G108),1),$G$5:$G$404,"&lt;="&amp;EOMONTH($G108,0))&gt;SUMIFS('利用者マスタ'!$B$4:$B$60,'利用者マスタ'!$A$4:$A$60,$B108),"⚠支給量超過","")))</f>
        <v/>
      </c>
      <c r="AA108" s="8">
        <f>IF(OR($G108="",$J108="",$Q108="キャンセル"),0,IF(IFERROR(INDEX('M_区分'!$B$4:$B$20,MATCH($C108,'M_区分'!$A$4:$A$20,0)),"○")="○",$J108-$G108+1,0))</f>
        <v/>
      </c>
      <c r="AB108" s="8">
        <f>IF($E108&lt;&gt;"",$E108,$AB107)</f>
        <v/>
      </c>
      <c r="AC108" s="8">
        <f>IF(OR($G108="",$J108=""),"",IF(AND($G108&lt;=EOMONTH('02_カレンダー'!$B$4,0),$J108&gt;='02_カレンダー'!$B$4),$G108*10000+ROW(),""))</f>
        <v/>
      </c>
      <c r="AD108" s="8">
        <f>IF($H108="","",IF(ISNUMBER($H108),IF(AND($H108=INT($H108),$H108&gt;=0,$H108&lt;=24),TEXT(INT($H108),"00")&amp;":00",TEXT($H108,"hh:mm")),$H108))</f>
        <v/>
      </c>
      <c r="AE108" s="8">
        <f>IF($K108="","",IF(ISNUMBER($K108),IF(AND($K108=INT($K108),$K108&gt;=0,$K108&lt;=24),TEXT(INT($K108),"00")&amp;":00",TEXT($K108,"hh:mm")),$K108))</f>
        <v/>
      </c>
      <c r="AF108" s="8">
        <f>IF($G108="",0,$G108)</f>
        <v/>
      </c>
      <c r="AG108" s="8">
        <f>IF($J108="",0,$J108)</f>
        <v/>
      </c>
    </row>
    <row r="109">
      <c r="A109" s="8">
        <f>IF($G109="","","SS-"&amp;TEXT(ROW()-4,"0000"))</f>
        <v/>
      </c>
      <c r="B109" s="9" t="n"/>
      <c r="C109" s="9" t="n"/>
      <c r="D109" s="9" t="n"/>
      <c r="E109" s="10" t="n"/>
      <c r="F109" s="11" t="n"/>
      <c r="G109" s="12">
        <f>IF($F109="","",IF($F109&gt;31,$F109,IF($AB109="","",DATE(YEAR($AB109),MONTH($AB109),$F109))))</f>
        <v/>
      </c>
      <c r="H109" s="9" t="n"/>
      <c r="I109" s="11" t="n"/>
      <c r="J109" s="12">
        <f>IF($I109="","",IF($I109&gt;31,$I109,IF($G109="","",IF(DATE(YEAR($G109),MONTH($G109),$I109)&gt;=$G109,DATE(YEAR($G109),MONTH($G109),$I109),DATE(YEAR($G109),MONTH($G109)+1,$I109)))))</f>
        <v/>
      </c>
      <c r="K109" s="9" t="n"/>
      <c r="L109" s="13" t="n"/>
      <c r="M109" s="13" t="n"/>
      <c r="N109" s="13" t="n"/>
      <c r="O109" s="8">
        <f>IF(OR($G109="",$J109=""),"",$J109-$G109+1)</f>
        <v/>
      </c>
      <c r="P109" s="8">
        <f>IF(OR($G109="",$J109=""),"",$J109-$G109)</f>
        <v/>
      </c>
      <c r="Q109" s="9" t="n"/>
      <c r="R109" s="9" t="n"/>
      <c r="S109" s="9" t="n"/>
      <c r="T109" s="9" t="n"/>
      <c r="U109" s="9" t="n"/>
      <c r="V109" s="9" t="n"/>
      <c r="W109" s="14" t="n"/>
      <c r="X109" s="9" t="n"/>
      <c r="Y109" s="8">
        <f>IF($G109="","",IF($D109="","⚠部屋が未選択",IF(COUNTIF('M_部屋'!$A$4:$A$20,$D109)=0,"⚠部屋が未登録",IF(OR($J109="",$Q109="キャンセル"),"",IF(SUMPRODUCT(($D$5:$D$404=$D109)*($G$5:$G$404&lt;&gt;"")*($J$5:$J$404&lt;&gt;"")*($Q$5:$Q$404&lt;&gt;"キャンセル")*($G$5:$G$404&lt;$J109)*($J$5:$J$404&gt;$G109))&gt;1,"⚠重複","")))))</f>
        <v/>
      </c>
      <c r="Z109" s="8">
        <f>IF(OR($B109="",$G109=""),"",IF(SUMPRODUCT(('利用者マスタ'!$A$4:$A$60=$B109)*('利用者マスタ'!$B$4:$B$60&lt;&gt;""))=0,"",IF(SUMIFS($AA$5:$AA$404,$B$5:$B$404,$B109,$G$5:$G$404,"&gt;="&amp;DATE(YEAR($G109),MONTH($G109),1),$G$5:$G$404,"&lt;="&amp;EOMONTH($G109,0))&gt;SUMIFS('利用者マスタ'!$B$4:$B$60,'利用者マスタ'!$A$4:$A$60,$B109),"⚠支給量超過","")))</f>
        <v/>
      </c>
      <c r="AA109" s="8">
        <f>IF(OR($G109="",$J109="",$Q109="キャンセル"),0,IF(IFERROR(INDEX('M_区分'!$B$4:$B$20,MATCH($C109,'M_区分'!$A$4:$A$20,0)),"○")="○",$J109-$G109+1,0))</f>
        <v/>
      </c>
      <c r="AB109" s="8">
        <f>IF($E109&lt;&gt;"",$E109,$AB108)</f>
        <v/>
      </c>
      <c r="AC109" s="8">
        <f>IF(OR($G109="",$J109=""),"",IF(AND($G109&lt;=EOMONTH('02_カレンダー'!$B$4,0),$J109&gt;='02_カレンダー'!$B$4),$G109*10000+ROW(),""))</f>
        <v/>
      </c>
      <c r="AD109" s="8">
        <f>IF($H109="","",IF(ISNUMBER($H109),IF(AND($H109=INT($H109),$H109&gt;=0,$H109&lt;=24),TEXT(INT($H109),"00")&amp;":00",TEXT($H109,"hh:mm")),$H109))</f>
        <v/>
      </c>
      <c r="AE109" s="8">
        <f>IF($K109="","",IF(ISNUMBER($K109),IF(AND($K109=INT($K109),$K109&gt;=0,$K109&lt;=24),TEXT(INT($K109),"00")&amp;":00",TEXT($K109,"hh:mm")),$K109))</f>
        <v/>
      </c>
      <c r="AF109" s="8">
        <f>IF($G109="",0,$G109)</f>
        <v/>
      </c>
      <c r="AG109" s="8">
        <f>IF($J109="",0,$J109)</f>
        <v/>
      </c>
    </row>
    <row r="110">
      <c r="A110" s="8">
        <f>IF($G110="","","SS-"&amp;TEXT(ROW()-4,"0000"))</f>
        <v/>
      </c>
      <c r="B110" s="9" t="n"/>
      <c r="C110" s="9" t="n"/>
      <c r="D110" s="9" t="n"/>
      <c r="E110" s="10" t="n"/>
      <c r="F110" s="11" t="n"/>
      <c r="G110" s="12">
        <f>IF($F110="","",IF($F110&gt;31,$F110,IF($AB110="","",DATE(YEAR($AB110),MONTH($AB110),$F110))))</f>
        <v/>
      </c>
      <c r="H110" s="9" t="n"/>
      <c r="I110" s="11" t="n"/>
      <c r="J110" s="12">
        <f>IF($I110="","",IF($I110&gt;31,$I110,IF($G110="","",IF(DATE(YEAR($G110),MONTH($G110),$I110)&gt;=$G110,DATE(YEAR($G110),MONTH($G110),$I110),DATE(YEAR($G110),MONTH($G110)+1,$I110)))))</f>
        <v/>
      </c>
      <c r="K110" s="9" t="n"/>
      <c r="L110" s="13" t="n"/>
      <c r="M110" s="13" t="n"/>
      <c r="N110" s="13" t="n"/>
      <c r="O110" s="8">
        <f>IF(OR($G110="",$J110=""),"",$J110-$G110+1)</f>
        <v/>
      </c>
      <c r="P110" s="8">
        <f>IF(OR($G110="",$J110=""),"",$J110-$G110)</f>
        <v/>
      </c>
      <c r="Q110" s="9" t="n"/>
      <c r="R110" s="9" t="n"/>
      <c r="S110" s="9" t="n"/>
      <c r="T110" s="9" t="n"/>
      <c r="U110" s="9" t="n"/>
      <c r="V110" s="9" t="n"/>
      <c r="W110" s="14" t="n"/>
      <c r="X110" s="9" t="n"/>
      <c r="Y110" s="8">
        <f>IF($G110="","",IF($D110="","⚠部屋が未選択",IF(COUNTIF('M_部屋'!$A$4:$A$20,$D110)=0,"⚠部屋が未登録",IF(OR($J110="",$Q110="キャンセル"),"",IF(SUMPRODUCT(($D$5:$D$404=$D110)*($G$5:$G$404&lt;&gt;"")*($J$5:$J$404&lt;&gt;"")*($Q$5:$Q$404&lt;&gt;"キャンセル")*($G$5:$G$404&lt;$J110)*($J$5:$J$404&gt;$G110))&gt;1,"⚠重複","")))))</f>
        <v/>
      </c>
      <c r="Z110" s="8">
        <f>IF(OR($B110="",$G110=""),"",IF(SUMPRODUCT(('利用者マスタ'!$A$4:$A$60=$B110)*('利用者マスタ'!$B$4:$B$60&lt;&gt;""))=0,"",IF(SUMIFS($AA$5:$AA$404,$B$5:$B$404,$B110,$G$5:$G$404,"&gt;="&amp;DATE(YEAR($G110),MONTH($G110),1),$G$5:$G$404,"&lt;="&amp;EOMONTH($G110,0))&gt;SUMIFS('利用者マスタ'!$B$4:$B$60,'利用者マスタ'!$A$4:$A$60,$B110),"⚠支給量超過","")))</f>
        <v/>
      </c>
      <c r="AA110" s="8">
        <f>IF(OR($G110="",$J110="",$Q110="キャンセル"),0,IF(IFERROR(INDEX('M_区分'!$B$4:$B$20,MATCH($C110,'M_区分'!$A$4:$A$20,0)),"○")="○",$J110-$G110+1,0))</f>
        <v/>
      </c>
      <c r="AB110" s="8">
        <f>IF($E110&lt;&gt;"",$E110,$AB109)</f>
        <v/>
      </c>
      <c r="AC110" s="8">
        <f>IF(OR($G110="",$J110=""),"",IF(AND($G110&lt;=EOMONTH('02_カレンダー'!$B$4,0),$J110&gt;='02_カレンダー'!$B$4),$G110*10000+ROW(),""))</f>
        <v/>
      </c>
      <c r="AD110" s="8">
        <f>IF($H110="","",IF(ISNUMBER($H110),IF(AND($H110=INT($H110),$H110&gt;=0,$H110&lt;=24),TEXT(INT($H110),"00")&amp;":00",TEXT($H110,"hh:mm")),$H110))</f>
        <v/>
      </c>
      <c r="AE110" s="8">
        <f>IF($K110="","",IF(ISNUMBER($K110),IF(AND($K110=INT($K110),$K110&gt;=0,$K110&lt;=24),TEXT(INT($K110),"00")&amp;":00",TEXT($K110,"hh:mm")),$K110))</f>
        <v/>
      </c>
      <c r="AF110" s="8">
        <f>IF($G110="",0,$G110)</f>
        <v/>
      </c>
      <c r="AG110" s="8">
        <f>IF($J110="",0,$J110)</f>
        <v/>
      </c>
    </row>
    <row r="111">
      <c r="A111" s="8">
        <f>IF($G111="","","SS-"&amp;TEXT(ROW()-4,"0000"))</f>
        <v/>
      </c>
      <c r="B111" s="9" t="n"/>
      <c r="C111" s="9" t="n"/>
      <c r="D111" s="9" t="n"/>
      <c r="E111" s="10" t="n"/>
      <c r="F111" s="11" t="n"/>
      <c r="G111" s="12">
        <f>IF($F111="","",IF($F111&gt;31,$F111,IF($AB111="","",DATE(YEAR($AB111),MONTH($AB111),$F111))))</f>
        <v/>
      </c>
      <c r="H111" s="9" t="n"/>
      <c r="I111" s="11" t="n"/>
      <c r="J111" s="12">
        <f>IF($I111="","",IF($I111&gt;31,$I111,IF($G111="","",IF(DATE(YEAR($G111),MONTH($G111),$I111)&gt;=$G111,DATE(YEAR($G111),MONTH($G111),$I111),DATE(YEAR($G111),MONTH($G111)+1,$I111)))))</f>
        <v/>
      </c>
      <c r="K111" s="9" t="n"/>
      <c r="L111" s="13" t="n"/>
      <c r="M111" s="13" t="n"/>
      <c r="N111" s="13" t="n"/>
      <c r="O111" s="8">
        <f>IF(OR($G111="",$J111=""),"",$J111-$G111+1)</f>
        <v/>
      </c>
      <c r="P111" s="8">
        <f>IF(OR($G111="",$J111=""),"",$J111-$G111)</f>
        <v/>
      </c>
      <c r="Q111" s="9" t="n"/>
      <c r="R111" s="9" t="n"/>
      <c r="S111" s="9" t="n"/>
      <c r="T111" s="9" t="n"/>
      <c r="U111" s="9" t="n"/>
      <c r="V111" s="9" t="n"/>
      <c r="W111" s="14" t="n"/>
      <c r="X111" s="9" t="n"/>
      <c r="Y111" s="8">
        <f>IF($G111="","",IF($D111="","⚠部屋が未選択",IF(COUNTIF('M_部屋'!$A$4:$A$20,$D111)=0,"⚠部屋が未登録",IF(OR($J111="",$Q111="キャンセル"),"",IF(SUMPRODUCT(($D$5:$D$404=$D111)*($G$5:$G$404&lt;&gt;"")*($J$5:$J$404&lt;&gt;"")*($Q$5:$Q$404&lt;&gt;"キャンセル")*($G$5:$G$404&lt;$J111)*($J$5:$J$404&gt;$G111))&gt;1,"⚠重複","")))))</f>
        <v/>
      </c>
      <c r="Z111" s="8">
        <f>IF(OR($B111="",$G111=""),"",IF(SUMPRODUCT(('利用者マスタ'!$A$4:$A$60=$B111)*('利用者マスタ'!$B$4:$B$60&lt;&gt;""))=0,"",IF(SUMIFS($AA$5:$AA$404,$B$5:$B$404,$B111,$G$5:$G$404,"&gt;="&amp;DATE(YEAR($G111),MONTH($G111),1),$G$5:$G$404,"&lt;="&amp;EOMONTH($G111,0))&gt;SUMIFS('利用者マスタ'!$B$4:$B$60,'利用者マスタ'!$A$4:$A$60,$B111),"⚠支給量超過","")))</f>
        <v/>
      </c>
      <c r="AA111" s="8">
        <f>IF(OR($G111="",$J111="",$Q111="キャンセル"),0,IF(IFERROR(INDEX('M_区分'!$B$4:$B$20,MATCH($C111,'M_区分'!$A$4:$A$20,0)),"○")="○",$J111-$G111+1,0))</f>
        <v/>
      </c>
      <c r="AB111" s="8">
        <f>IF($E111&lt;&gt;"",$E111,$AB110)</f>
        <v/>
      </c>
      <c r="AC111" s="8">
        <f>IF(OR($G111="",$J111=""),"",IF(AND($G111&lt;=EOMONTH('02_カレンダー'!$B$4,0),$J111&gt;='02_カレンダー'!$B$4),$G111*10000+ROW(),""))</f>
        <v/>
      </c>
      <c r="AD111" s="8">
        <f>IF($H111="","",IF(ISNUMBER($H111),IF(AND($H111=INT($H111),$H111&gt;=0,$H111&lt;=24),TEXT(INT($H111),"00")&amp;":00",TEXT($H111,"hh:mm")),$H111))</f>
        <v/>
      </c>
      <c r="AE111" s="8">
        <f>IF($K111="","",IF(ISNUMBER($K111),IF(AND($K111=INT($K111),$K111&gt;=0,$K111&lt;=24),TEXT(INT($K111),"00")&amp;":00",TEXT($K111,"hh:mm")),$K111))</f>
        <v/>
      </c>
      <c r="AF111" s="8">
        <f>IF($G111="",0,$G111)</f>
        <v/>
      </c>
      <c r="AG111" s="8">
        <f>IF($J111="",0,$J111)</f>
        <v/>
      </c>
    </row>
    <row r="112">
      <c r="A112" s="8">
        <f>IF($G112="","","SS-"&amp;TEXT(ROW()-4,"0000"))</f>
        <v/>
      </c>
      <c r="B112" s="9" t="n"/>
      <c r="C112" s="9" t="n"/>
      <c r="D112" s="9" t="n"/>
      <c r="E112" s="10" t="n"/>
      <c r="F112" s="11" t="n"/>
      <c r="G112" s="12">
        <f>IF($F112="","",IF($F112&gt;31,$F112,IF($AB112="","",DATE(YEAR($AB112),MONTH($AB112),$F112))))</f>
        <v/>
      </c>
      <c r="H112" s="9" t="n"/>
      <c r="I112" s="11" t="n"/>
      <c r="J112" s="12">
        <f>IF($I112="","",IF($I112&gt;31,$I112,IF($G112="","",IF(DATE(YEAR($G112),MONTH($G112),$I112)&gt;=$G112,DATE(YEAR($G112),MONTH($G112),$I112),DATE(YEAR($G112),MONTH($G112)+1,$I112)))))</f>
        <v/>
      </c>
      <c r="K112" s="9" t="n"/>
      <c r="L112" s="13" t="n"/>
      <c r="M112" s="13" t="n"/>
      <c r="N112" s="13" t="n"/>
      <c r="O112" s="8">
        <f>IF(OR($G112="",$J112=""),"",$J112-$G112+1)</f>
        <v/>
      </c>
      <c r="P112" s="8">
        <f>IF(OR($G112="",$J112=""),"",$J112-$G112)</f>
        <v/>
      </c>
      <c r="Q112" s="9" t="n"/>
      <c r="R112" s="9" t="n"/>
      <c r="S112" s="9" t="n"/>
      <c r="T112" s="9" t="n"/>
      <c r="U112" s="9" t="n"/>
      <c r="V112" s="9" t="n"/>
      <c r="W112" s="14" t="n"/>
      <c r="X112" s="9" t="n"/>
      <c r="Y112" s="8">
        <f>IF($G112="","",IF($D112="","⚠部屋が未選択",IF(COUNTIF('M_部屋'!$A$4:$A$20,$D112)=0,"⚠部屋が未登録",IF(OR($J112="",$Q112="キャンセル"),"",IF(SUMPRODUCT(($D$5:$D$404=$D112)*($G$5:$G$404&lt;&gt;"")*($J$5:$J$404&lt;&gt;"")*($Q$5:$Q$404&lt;&gt;"キャンセル")*($G$5:$G$404&lt;$J112)*($J$5:$J$404&gt;$G112))&gt;1,"⚠重複","")))))</f>
        <v/>
      </c>
      <c r="Z112" s="8">
        <f>IF(OR($B112="",$G112=""),"",IF(SUMPRODUCT(('利用者マスタ'!$A$4:$A$60=$B112)*('利用者マスタ'!$B$4:$B$60&lt;&gt;""))=0,"",IF(SUMIFS($AA$5:$AA$404,$B$5:$B$404,$B112,$G$5:$G$404,"&gt;="&amp;DATE(YEAR($G112),MONTH($G112),1),$G$5:$G$404,"&lt;="&amp;EOMONTH($G112,0))&gt;SUMIFS('利用者マスタ'!$B$4:$B$60,'利用者マスタ'!$A$4:$A$60,$B112),"⚠支給量超過","")))</f>
        <v/>
      </c>
      <c r="AA112" s="8">
        <f>IF(OR($G112="",$J112="",$Q112="キャンセル"),0,IF(IFERROR(INDEX('M_区分'!$B$4:$B$20,MATCH($C112,'M_区分'!$A$4:$A$20,0)),"○")="○",$J112-$G112+1,0))</f>
        <v/>
      </c>
      <c r="AB112" s="8">
        <f>IF($E112&lt;&gt;"",$E112,$AB111)</f>
        <v/>
      </c>
      <c r="AC112" s="8">
        <f>IF(OR($G112="",$J112=""),"",IF(AND($G112&lt;=EOMONTH('02_カレンダー'!$B$4,0),$J112&gt;='02_カレンダー'!$B$4),$G112*10000+ROW(),""))</f>
        <v/>
      </c>
      <c r="AD112" s="8">
        <f>IF($H112="","",IF(ISNUMBER($H112),IF(AND($H112=INT($H112),$H112&gt;=0,$H112&lt;=24),TEXT(INT($H112),"00")&amp;":00",TEXT($H112,"hh:mm")),$H112))</f>
        <v/>
      </c>
      <c r="AE112" s="8">
        <f>IF($K112="","",IF(ISNUMBER($K112),IF(AND($K112=INT($K112),$K112&gt;=0,$K112&lt;=24),TEXT(INT($K112),"00")&amp;":00",TEXT($K112,"hh:mm")),$K112))</f>
        <v/>
      </c>
      <c r="AF112" s="8">
        <f>IF($G112="",0,$G112)</f>
        <v/>
      </c>
      <c r="AG112" s="8">
        <f>IF($J112="",0,$J112)</f>
        <v/>
      </c>
    </row>
    <row r="113">
      <c r="A113" s="8">
        <f>IF($G113="","","SS-"&amp;TEXT(ROW()-4,"0000"))</f>
        <v/>
      </c>
      <c r="B113" s="9" t="n"/>
      <c r="C113" s="9" t="n"/>
      <c r="D113" s="9" t="n"/>
      <c r="E113" s="10" t="n"/>
      <c r="F113" s="11" t="n"/>
      <c r="G113" s="12">
        <f>IF($F113="","",IF($F113&gt;31,$F113,IF($AB113="","",DATE(YEAR($AB113),MONTH($AB113),$F113))))</f>
        <v/>
      </c>
      <c r="H113" s="9" t="n"/>
      <c r="I113" s="11" t="n"/>
      <c r="J113" s="12">
        <f>IF($I113="","",IF($I113&gt;31,$I113,IF($G113="","",IF(DATE(YEAR($G113),MONTH($G113),$I113)&gt;=$G113,DATE(YEAR($G113),MONTH($G113),$I113),DATE(YEAR($G113),MONTH($G113)+1,$I113)))))</f>
        <v/>
      </c>
      <c r="K113" s="9" t="n"/>
      <c r="L113" s="13" t="n"/>
      <c r="M113" s="13" t="n"/>
      <c r="N113" s="13" t="n"/>
      <c r="O113" s="8">
        <f>IF(OR($G113="",$J113=""),"",$J113-$G113+1)</f>
        <v/>
      </c>
      <c r="P113" s="8">
        <f>IF(OR($G113="",$J113=""),"",$J113-$G113)</f>
        <v/>
      </c>
      <c r="Q113" s="9" t="n"/>
      <c r="R113" s="9" t="n"/>
      <c r="S113" s="9" t="n"/>
      <c r="T113" s="9" t="n"/>
      <c r="U113" s="9" t="n"/>
      <c r="V113" s="9" t="n"/>
      <c r="W113" s="14" t="n"/>
      <c r="X113" s="9" t="n"/>
      <c r="Y113" s="8">
        <f>IF($G113="","",IF($D113="","⚠部屋が未選択",IF(COUNTIF('M_部屋'!$A$4:$A$20,$D113)=0,"⚠部屋が未登録",IF(OR($J113="",$Q113="キャンセル"),"",IF(SUMPRODUCT(($D$5:$D$404=$D113)*($G$5:$G$404&lt;&gt;"")*($J$5:$J$404&lt;&gt;"")*($Q$5:$Q$404&lt;&gt;"キャンセル")*($G$5:$G$404&lt;$J113)*($J$5:$J$404&gt;$G113))&gt;1,"⚠重複","")))))</f>
        <v/>
      </c>
      <c r="Z113" s="8">
        <f>IF(OR($B113="",$G113=""),"",IF(SUMPRODUCT(('利用者マスタ'!$A$4:$A$60=$B113)*('利用者マスタ'!$B$4:$B$60&lt;&gt;""))=0,"",IF(SUMIFS($AA$5:$AA$404,$B$5:$B$404,$B113,$G$5:$G$404,"&gt;="&amp;DATE(YEAR($G113),MONTH($G113),1),$G$5:$G$404,"&lt;="&amp;EOMONTH($G113,0))&gt;SUMIFS('利用者マスタ'!$B$4:$B$60,'利用者マスタ'!$A$4:$A$60,$B113),"⚠支給量超過","")))</f>
        <v/>
      </c>
      <c r="AA113" s="8">
        <f>IF(OR($G113="",$J113="",$Q113="キャンセル"),0,IF(IFERROR(INDEX('M_区分'!$B$4:$B$20,MATCH($C113,'M_区分'!$A$4:$A$20,0)),"○")="○",$J113-$G113+1,0))</f>
        <v/>
      </c>
      <c r="AB113" s="8">
        <f>IF($E113&lt;&gt;"",$E113,$AB112)</f>
        <v/>
      </c>
      <c r="AC113" s="8">
        <f>IF(OR($G113="",$J113=""),"",IF(AND($G113&lt;=EOMONTH('02_カレンダー'!$B$4,0),$J113&gt;='02_カレンダー'!$B$4),$G113*10000+ROW(),""))</f>
        <v/>
      </c>
      <c r="AD113" s="8">
        <f>IF($H113="","",IF(ISNUMBER($H113),IF(AND($H113=INT($H113),$H113&gt;=0,$H113&lt;=24),TEXT(INT($H113),"00")&amp;":00",TEXT($H113,"hh:mm")),$H113))</f>
        <v/>
      </c>
      <c r="AE113" s="8">
        <f>IF($K113="","",IF(ISNUMBER($K113),IF(AND($K113=INT($K113),$K113&gt;=0,$K113&lt;=24),TEXT(INT($K113),"00")&amp;":00",TEXT($K113,"hh:mm")),$K113))</f>
        <v/>
      </c>
      <c r="AF113" s="8">
        <f>IF($G113="",0,$G113)</f>
        <v/>
      </c>
      <c r="AG113" s="8">
        <f>IF($J113="",0,$J113)</f>
        <v/>
      </c>
    </row>
    <row r="114">
      <c r="A114" s="8">
        <f>IF($G114="","","SS-"&amp;TEXT(ROW()-4,"0000"))</f>
        <v/>
      </c>
      <c r="B114" s="9" t="n"/>
      <c r="C114" s="9" t="n"/>
      <c r="D114" s="9" t="n"/>
      <c r="E114" s="10" t="n"/>
      <c r="F114" s="11" t="n"/>
      <c r="G114" s="12">
        <f>IF($F114="","",IF($F114&gt;31,$F114,IF($AB114="","",DATE(YEAR($AB114),MONTH($AB114),$F114))))</f>
        <v/>
      </c>
      <c r="H114" s="9" t="n"/>
      <c r="I114" s="11" t="n"/>
      <c r="J114" s="12">
        <f>IF($I114="","",IF($I114&gt;31,$I114,IF($G114="","",IF(DATE(YEAR($G114),MONTH($G114),$I114)&gt;=$G114,DATE(YEAR($G114),MONTH($G114),$I114),DATE(YEAR($G114),MONTH($G114)+1,$I114)))))</f>
        <v/>
      </c>
      <c r="K114" s="9" t="n"/>
      <c r="L114" s="13" t="n"/>
      <c r="M114" s="13" t="n"/>
      <c r="N114" s="13" t="n"/>
      <c r="O114" s="8">
        <f>IF(OR($G114="",$J114=""),"",$J114-$G114+1)</f>
        <v/>
      </c>
      <c r="P114" s="8">
        <f>IF(OR($G114="",$J114=""),"",$J114-$G114)</f>
        <v/>
      </c>
      <c r="Q114" s="9" t="n"/>
      <c r="R114" s="9" t="n"/>
      <c r="S114" s="9" t="n"/>
      <c r="T114" s="9" t="n"/>
      <c r="U114" s="9" t="n"/>
      <c r="V114" s="9" t="n"/>
      <c r="W114" s="14" t="n"/>
      <c r="X114" s="9" t="n"/>
      <c r="Y114" s="8">
        <f>IF($G114="","",IF($D114="","⚠部屋が未選択",IF(COUNTIF('M_部屋'!$A$4:$A$20,$D114)=0,"⚠部屋が未登録",IF(OR($J114="",$Q114="キャンセル"),"",IF(SUMPRODUCT(($D$5:$D$404=$D114)*($G$5:$G$404&lt;&gt;"")*($J$5:$J$404&lt;&gt;"")*($Q$5:$Q$404&lt;&gt;"キャンセル")*($G$5:$G$404&lt;$J114)*($J$5:$J$404&gt;$G114))&gt;1,"⚠重複","")))))</f>
        <v/>
      </c>
      <c r="Z114" s="8">
        <f>IF(OR($B114="",$G114=""),"",IF(SUMPRODUCT(('利用者マスタ'!$A$4:$A$60=$B114)*('利用者マスタ'!$B$4:$B$60&lt;&gt;""))=0,"",IF(SUMIFS($AA$5:$AA$404,$B$5:$B$404,$B114,$G$5:$G$404,"&gt;="&amp;DATE(YEAR($G114),MONTH($G114),1),$G$5:$G$404,"&lt;="&amp;EOMONTH($G114,0))&gt;SUMIFS('利用者マスタ'!$B$4:$B$60,'利用者マスタ'!$A$4:$A$60,$B114),"⚠支給量超過","")))</f>
        <v/>
      </c>
      <c r="AA114" s="8">
        <f>IF(OR($G114="",$J114="",$Q114="キャンセル"),0,IF(IFERROR(INDEX('M_区分'!$B$4:$B$20,MATCH($C114,'M_区分'!$A$4:$A$20,0)),"○")="○",$J114-$G114+1,0))</f>
        <v/>
      </c>
      <c r="AB114" s="8">
        <f>IF($E114&lt;&gt;"",$E114,$AB113)</f>
        <v/>
      </c>
      <c r="AC114" s="8">
        <f>IF(OR($G114="",$J114=""),"",IF(AND($G114&lt;=EOMONTH('02_カレンダー'!$B$4,0),$J114&gt;='02_カレンダー'!$B$4),$G114*10000+ROW(),""))</f>
        <v/>
      </c>
      <c r="AD114" s="8">
        <f>IF($H114="","",IF(ISNUMBER($H114),IF(AND($H114=INT($H114),$H114&gt;=0,$H114&lt;=24),TEXT(INT($H114),"00")&amp;":00",TEXT($H114,"hh:mm")),$H114))</f>
        <v/>
      </c>
      <c r="AE114" s="8">
        <f>IF($K114="","",IF(ISNUMBER($K114),IF(AND($K114=INT($K114),$K114&gt;=0,$K114&lt;=24),TEXT(INT($K114),"00")&amp;":00",TEXT($K114,"hh:mm")),$K114))</f>
        <v/>
      </c>
      <c r="AF114" s="8">
        <f>IF($G114="",0,$G114)</f>
        <v/>
      </c>
      <c r="AG114" s="8">
        <f>IF($J114="",0,$J114)</f>
        <v/>
      </c>
    </row>
    <row r="115">
      <c r="A115" s="8">
        <f>IF($G115="","","SS-"&amp;TEXT(ROW()-4,"0000"))</f>
        <v/>
      </c>
      <c r="B115" s="9" t="n"/>
      <c r="C115" s="9" t="n"/>
      <c r="D115" s="9" t="n"/>
      <c r="E115" s="10" t="n"/>
      <c r="F115" s="11" t="n"/>
      <c r="G115" s="12">
        <f>IF($F115="","",IF($F115&gt;31,$F115,IF($AB115="","",DATE(YEAR($AB115),MONTH($AB115),$F115))))</f>
        <v/>
      </c>
      <c r="H115" s="9" t="n"/>
      <c r="I115" s="11" t="n"/>
      <c r="J115" s="12">
        <f>IF($I115="","",IF($I115&gt;31,$I115,IF($G115="","",IF(DATE(YEAR($G115),MONTH($G115),$I115)&gt;=$G115,DATE(YEAR($G115),MONTH($G115),$I115),DATE(YEAR($G115),MONTH($G115)+1,$I115)))))</f>
        <v/>
      </c>
      <c r="K115" s="9" t="n"/>
      <c r="L115" s="13" t="n"/>
      <c r="M115" s="13" t="n"/>
      <c r="N115" s="13" t="n"/>
      <c r="O115" s="8">
        <f>IF(OR($G115="",$J115=""),"",$J115-$G115+1)</f>
        <v/>
      </c>
      <c r="P115" s="8">
        <f>IF(OR($G115="",$J115=""),"",$J115-$G115)</f>
        <v/>
      </c>
      <c r="Q115" s="9" t="n"/>
      <c r="R115" s="9" t="n"/>
      <c r="S115" s="9" t="n"/>
      <c r="T115" s="9" t="n"/>
      <c r="U115" s="9" t="n"/>
      <c r="V115" s="9" t="n"/>
      <c r="W115" s="14" t="n"/>
      <c r="X115" s="9" t="n"/>
      <c r="Y115" s="8">
        <f>IF($G115="","",IF($D115="","⚠部屋が未選択",IF(COUNTIF('M_部屋'!$A$4:$A$20,$D115)=0,"⚠部屋が未登録",IF(OR($J115="",$Q115="キャンセル"),"",IF(SUMPRODUCT(($D$5:$D$404=$D115)*($G$5:$G$404&lt;&gt;"")*($J$5:$J$404&lt;&gt;"")*($Q$5:$Q$404&lt;&gt;"キャンセル")*($G$5:$G$404&lt;$J115)*($J$5:$J$404&gt;$G115))&gt;1,"⚠重複","")))))</f>
        <v/>
      </c>
      <c r="Z115" s="8">
        <f>IF(OR($B115="",$G115=""),"",IF(SUMPRODUCT(('利用者マスタ'!$A$4:$A$60=$B115)*('利用者マスタ'!$B$4:$B$60&lt;&gt;""))=0,"",IF(SUMIFS($AA$5:$AA$404,$B$5:$B$404,$B115,$G$5:$G$404,"&gt;="&amp;DATE(YEAR($G115),MONTH($G115),1),$G$5:$G$404,"&lt;="&amp;EOMONTH($G115,0))&gt;SUMIFS('利用者マスタ'!$B$4:$B$60,'利用者マスタ'!$A$4:$A$60,$B115),"⚠支給量超過","")))</f>
        <v/>
      </c>
      <c r="AA115" s="8">
        <f>IF(OR($G115="",$J115="",$Q115="キャンセル"),0,IF(IFERROR(INDEX('M_区分'!$B$4:$B$20,MATCH($C115,'M_区分'!$A$4:$A$20,0)),"○")="○",$J115-$G115+1,0))</f>
        <v/>
      </c>
      <c r="AB115" s="8">
        <f>IF($E115&lt;&gt;"",$E115,$AB114)</f>
        <v/>
      </c>
      <c r="AC115" s="8">
        <f>IF(OR($G115="",$J115=""),"",IF(AND($G115&lt;=EOMONTH('02_カレンダー'!$B$4,0),$J115&gt;='02_カレンダー'!$B$4),$G115*10000+ROW(),""))</f>
        <v/>
      </c>
      <c r="AD115" s="8">
        <f>IF($H115="","",IF(ISNUMBER($H115),IF(AND($H115=INT($H115),$H115&gt;=0,$H115&lt;=24),TEXT(INT($H115),"00")&amp;":00",TEXT($H115,"hh:mm")),$H115))</f>
        <v/>
      </c>
      <c r="AE115" s="8">
        <f>IF($K115="","",IF(ISNUMBER($K115),IF(AND($K115=INT($K115),$K115&gt;=0,$K115&lt;=24),TEXT(INT($K115),"00")&amp;":00",TEXT($K115,"hh:mm")),$K115))</f>
        <v/>
      </c>
      <c r="AF115" s="8">
        <f>IF($G115="",0,$G115)</f>
        <v/>
      </c>
      <c r="AG115" s="8">
        <f>IF($J115="",0,$J115)</f>
        <v/>
      </c>
    </row>
    <row r="116">
      <c r="A116" s="8">
        <f>IF($G116="","","SS-"&amp;TEXT(ROW()-4,"0000"))</f>
        <v/>
      </c>
      <c r="B116" s="9" t="n"/>
      <c r="C116" s="9" t="n"/>
      <c r="D116" s="9" t="n"/>
      <c r="E116" s="10" t="n"/>
      <c r="F116" s="11" t="n"/>
      <c r="G116" s="12">
        <f>IF($F116="","",IF($F116&gt;31,$F116,IF($AB116="","",DATE(YEAR($AB116),MONTH($AB116),$F116))))</f>
        <v/>
      </c>
      <c r="H116" s="9" t="n"/>
      <c r="I116" s="11" t="n"/>
      <c r="J116" s="12">
        <f>IF($I116="","",IF($I116&gt;31,$I116,IF($G116="","",IF(DATE(YEAR($G116),MONTH($G116),$I116)&gt;=$G116,DATE(YEAR($G116),MONTH($G116),$I116),DATE(YEAR($G116),MONTH($G116)+1,$I116)))))</f>
        <v/>
      </c>
      <c r="K116" s="9" t="n"/>
      <c r="L116" s="13" t="n"/>
      <c r="M116" s="13" t="n"/>
      <c r="N116" s="13" t="n"/>
      <c r="O116" s="8">
        <f>IF(OR($G116="",$J116=""),"",$J116-$G116+1)</f>
        <v/>
      </c>
      <c r="P116" s="8">
        <f>IF(OR($G116="",$J116=""),"",$J116-$G116)</f>
        <v/>
      </c>
      <c r="Q116" s="9" t="n"/>
      <c r="R116" s="9" t="n"/>
      <c r="S116" s="9" t="n"/>
      <c r="T116" s="9" t="n"/>
      <c r="U116" s="9" t="n"/>
      <c r="V116" s="9" t="n"/>
      <c r="W116" s="14" t="n"/>
      <c r="X116" s="9" t="n"/>
      <c r="Y116" s="8">
        <f>IF($G116="","",IF($D116="","⚠部屋が未選択",IF(COUNTIF('M_部屋'!$A$4:$A$20,$D116)=0,"⚠部屋が未登録",IF(OR($J116="",$Q116="キャンセル"),"",IF(SUMPRODUCT(($D$5:$D$404=$D116)*($G$5:$G$404&lt;&gt;"")*($J$5:$J$404&lt;&gt;"")*($Q$5:$Q$404&lt;&gt;"キャンセル")*($G$5:$G$404&lt;$J116)*($J$5:$J$404&gt;$G116))&gt;1,"⚠重複","")))))</f>
        <v/>
      </c>
      <c r="Z116" s="8">
        <f>IF(OR($B116="",$G116=""),"",IF(SUMPRODUCT(('利用者マスタ'!$A$4:$A$60=$B116)*('利用者マスタ'!$B$4:$B$60&lt;&gt;""))=0,"",IF(SUMIFS($AA$5:$AA$404,$B$5:$B$404,$B116,$G$5:$G$404,"&gt;="&amp;DATE(YEAR($G116),MONTH($G116),1),$G$5:$G$404,"&lt;="&amp;EOMONTH($G116,0))&gt;SUMIFS('利用者マスタ'!$B$4:$B$60,'利用者マスタ'!$A$4:$A$60,$B116),"⚠支給量超過","")))</f>
        <v/>
      </c>
      <c r="AA116" s="8">
        <f>IF(OR($G116="",$J116="",$Q116="キャンセル"),0,IF(IFERROR(INDEX('M_区分'!$B$4:$B$20,MATCH($C116,'M_区分'!$A$4:$A$20,0)),"○")="○",$J116-$G116+1,0))</f>
        <v/>
      </c>
      <c r="AB116" s="8">
        <f>IF($E116&lt;&gt;"",$E116,$AB115)</f>
        <v/>
      </c>
      <c r="AC116" s="8">
        <f>IF(OR($G116="",$J116=""),"",IF(AND($G116&lt;=EOMONTH('02_カレンダー'!$B$4,0),$J116&gt;='02_カレンダー'!$B$4),$G116*10000+ROW(),""))</f>
        <v/>
      </c>
      <c r="AD116" s="8">
        <f>IF($H116="","",IF(ISNUMBER($H116),IF(AND($H116=INT($H116),$H116&gt;=0,$H116&lt;=24),TEXT(INT($H116),"00")&amp;":00",TEXT($H116,"hh:mm")),$H116))</f>
        <v/>
      </c>
      <c r="AE116" s="8">
        <f>IF($K116="","",IF(ISNUMBER($K116),IF(AND($K116=INT($K116),$K116&gt;=0,$K116&lt;=24),TEXT(INT($K116),"00")&amp;":00",TEXT($K116,"hh:mm")),$K116))</f>
        <v/>
      </c>
      <c r="AF116" s="8">
        <f>IF($G116="",0,$G116)</f>
        <v/>
      </c>
      <c r="AG116" s="8">
        <f>IF($J116="",0,$J116)</f>
        <v/>
      </c>
    </row>
    <row r="117">
      <c r="A117" s="8">
        <f>IF($G117="","","SS-"&amp;TEXT(ROW()-4,"0000"))</f>
        <v/>
      </c>
      <c r="B117" s="9" t="n"/>
      <c r="C117" s="9" t="n"/>
      <c r="D117" s="9" t="n"/>
      <c r="E117" s="10" t="n"/>
      <c r="F117" s="11" t="n"/>
      <c r="G117" s="12">
        <f>IF($F117="","",IF($F117&gt;31,$F117,IF($AB117="","",DATE(YEAR($AB117),MONTH($AB117),$F117))))</f>
        <v/>
      </c>
      <c r="H117" s="9" t="n"/>
      <c r="I117" s="11" t="n"/>
      <c r="J117" s="12">
        <f>IF($I117="","",IF($I117&gt;31,$I117,IF($G117="","",IF(DATE(YEAR($G117),MONTH($G117),$I117)&gt;=$G117,DATE(YEAR($G117),MONTH($G117),$I117),DATE(YEAR($G117),MONTH($G117)+1,$I117)))))</f>
        <v/>
      </c>
      <c r="K117" s="9" t="n"/>
      <c r="L117" s="13" t="n"/>
      <c r="M117" s="13" t="n"/>
      <c r="N117" s="13" t="n"/>
      <c r="O117" s="8">
        <f>IF(OR($G117="",$J117=""),"",$J117-$G117+1)</f>
        <v/>
      </c>
      <c r="P117" s="8">
        <f>IF(OR($G117="",$J117=""),"",$J117-$G117)</f>
        <v/>
      </c>
      <c r="Q117" s="9" t="n"/>
      <c r="R117" s="9" t="n"/>
      <c r="S117" s="9" t="n"/>
      <c r="T117" s="9" t="n"/>
      <c r="U117" s="9" t="n"/>
      <c r="V117" s="9" t="n"/>
      <c r="W117" s="14" t="n"/>
      <c r="X117" s="9" t="n"/>
      <c r="Y117" s="8">
        <f>IF($G117="","",IF($D117="","⚠部屋が未選択",IF(COUNTIF('M_部屋'!$A$4:$A$20,$D117)=0,"⚠部屋が未登録",IF(OR($J117="",$Q117="キャンセル"),"",IF(SUMPRODUCT(($D$5:$D$404=$D117)*($G$5:$G$404&lt;&gt;"")*($J$5:$J$404&lt;&gt;"")*($Q$5:$Q$404&lt;&gt;"キャンセル")*($G$5:$G$404&lt;$J117)*($J$5:$J$404&gt;$G117))&gt;1,"⚠重複","")))))</f>
        <v/>
      </c>
      <c r="Z117" s="8">
        <f>IF(OR($B117="",$G117=""),"",IF(SUMPRODUCT(('利用者マスタ'!$A$4:$A$60=$B117)*('利用者マスタ'!$B$4:$B$60&lt;&gt;""))=0,"",IF(SUMIFS($AA$5:$AA$404,$B$5:$B$404,$B117,$G$5:$G$404,"&gt;="&amp;DATE(YEAR($G117),MONTH($G117),1),$G$5:$G$404,"&lt;="&amp;EOMONTH($G117,0))&gt;SUMIFS('利用者マスタ'!$B$4:$B$60,'利用者マスタ'!$A$4:$A$60,$B117),"⚠支給量超過","")))</f>
        <v/>
      </c>
      <c r="AA117" s="8">
        <f>IF(OR($G117="",$J117="",$Q117="キャンセル"),0,IF(IFERROR(INDEX('M_区分'!$B$4:$B$20,MATCH($C117,'M_区分'!$A$4:$A$20,0)),"○")="○",$J117-$G117+1,0))</f>
        <v/>
      </c>
      <c r="AB117" s="8">
        <f>IF($E117&lt;&gt;"",$E117,$AB116)</f>
        <v/>
      </c>
      <c r="AC117" s="8">
        <f>IF(OR($G117="",$J117=""),"",IF(AND($G117&lt;=EOMONTH('02_カレンダー'!$B$4,0),$J117&gt;='02_カレンダー'!$B$4),$G117*10000+ROW(),""))</f>
        <v/>
      </c>
      <c r="AD117" s="8">
        <f>IF($H117="","",IF(ISNUMBER($H117),IF(AND($H117=INT($H117),$H117&gt;=0,$H117&lt;=24),TEXT(INT($H117),"00")&amp;":00",TEXT($H117,"hh:mm")),$H117))</f>
        <v/>
      </c>
      <c r="AE117" s="8">
        <f>IF($K117="","",IF(ISNUMBER($K117),IF(AND($K117=INT($K117),$K117&gt;=0,$K117&lt;=24),TEXT(INT($K117),"00")&amp;":00",TEXT($K117,"hh:mm")),$K117))</f>
        <v/>
      </c>
      <c r="AF117" s="8">
        <f>IF($G117="",0,$G117)</f>
        <v/>
      </c>
      <c r="AG117" s="8">
        <f>IF($J117="",0,$J117)</f>
        <v/>
      </c>
    </row>
    <row r="118">
      <c r="A118" s="8">
        <f>IF($G118="","","SS-"&amp;TEXT(ROW()-4,"0000"))</f>
        <v/>
      </c>
      <c r="B118" s="9" t="n"/>
      <c r="C118" s="9" t="n"/>
      <c r="D118" s="9" t="n"/>
      <c r="E118" s="10" t="n"/>
      <c r="F118" s="11" t="n"/>
      <c r="G118" s="12">
        <f>IF($F118="","",IF($F118&gt;31,$F118,IF($AB118="","",DATE(YEAR($AB118),MONTH($AB118),$F118))))</f>
        <v/>
      </c>
      <c r="H118" s="9" t="n"/>
      <c r="I118" s="11" t="n"/>
      <c r="J118" s="12">
        <f>IF($I118="","",IF($I118&gt;31,$I118,IF($G118="","",IF(DATE(YEAR($G118),MONTH($G118),$I118)&gt;=$G118,DATE(YEAR($G118),MONTH($G118),$I118),DATE(YEAR($G118),MONTH($G118)+1,$I118)))))</f>
        <v/>
      </c>
      <c r="K118" s="9" t="n"/>
      <c r="L118" s="13" t="n"/>
      <c r="M118" s="13" t="n"/>
      <c r="N118" s="13" t="n"/>
      <c r="O118" s="8">
        <f>IF(OR($G118="",$J118=""),"",$J118-$G118+1)</f>
        <v/>
      </c>
      <c r="P118" s="8">
        <f>IF(OR($G118="",$J118=""),"",$J118-$G118)</f>
        <v/>
      </c>
      <c r="Q118" s="9" t="n"/>
      <c r="R118" s="9" t="n"/>
      <c r="S118" s="9" t="n"/>
      <c r="T118" s="9" t="n"/>
      <c r="U118" s="9" t="n"/>
      <c r="V118" s="9" t="n"/>
      <c r="W118" s="14" t="n"/>
      <c r="X118" s="9" t="n"/>
      <c r="Y118" s="8">
        <f>IF($G118="","",IF($D118="","⚠部屋が未選択",IF(COUNTIF('M_部屋'!$A$4:$A$20,$D118)=0,"⚠部屋が未登録",IF(OR($J118="",$Q118="キャンセル"),"",IF(SUMPRODUCT(($D$5:$D$404=$D118)*($G$5:$G$404&lt;&gt;"")*($J$5:$J$404&lt;&gt;"")*($Q$5:$Q$404&lt;&gt;"キャンセル")*($G$5:$G$404&lt;$J118)*($J$5:$J$404&gt;$G118))&gt;1,"⚠重複","")))))</f>
        <v/>
      </c>
      <c r="Z118" s="8">
        <f>IF(OR($B118="",$G118=""),"",IF(SUMPRODUCT(('利用者マスタ'!$A$4:$A$60=$B118)*('利用者マスタ'!$B$4:$B$60&lt;&gt;""))=0,"",IF(SUMIFS($AA$5:$AA$404,$B$5:$B$404,$B118,$G$5:$G$404,"&gt;="&amp;DATE(YEAR($G118),MONTH($G118),1),$G$5:$G$404,"&lt;="&amp;EOMONTH($G118,0))&gt;SUMIFS('利用者マスタ'!$B$4:$B$60,'利用者マスタ'!$A$4:$A$60,$B118),"⚠支給量超過","")))</f>
        <v/>
      </c>
      <c r="AA118" s="8">
        <f>IF(OR($G118="",$J118="",$Q118="キャンセル"),0,IF(IFERROR(INDEX('M_区分'!$B$4:$B$20,MATCH($C118,'M_区分'!$A$4:$A$20,0)),"○")="○",$J118-$G118+1,0))</f>
        <v/>
      </c>
      <c r="AB118" s="8">
        <f>IF($E118&lt;&gt;"",$E118,$AB117)</f>
        <v/>
      </c>
      <c r="AC118" s="8">
        <f>IF(OR($G118="",$J118=""),"",IF(AND($G118&lt;=EOMONTH('02_カレンダー'!$B$4,0),$J118&gt;='02_カレンダー'!$B$4),$G118*10000+ROW(),""))</f>
        <v/>
      </c>
      <c r="AD118" s="8">
        <f>IF($H118="","",IF(ISNUMBER($H118),IF(AND($H118=INT($H118),$H118&gt;=0,$H118&lt;=24),TEXT(INT($H118),"00")&amp;":00",TEXT($H118,"hh:mm")),$H118))</f>
        <v/>
      </c>
      <c r="AE118" s="8">
        <f>IF($K118="","",IF(ISNUMBER($K118),IF(AND($K118=INT($K118),$K118&gt;=0,$K118&lt;=24),TEXT(INT($K118),"00")&amp;":00",TEXT($K118,"hh:mm")),$K118))</f>
        <v/>
      </c>
      <c r="AF118" s="8">
        <f>IF($G118="",0,$G118)</f>
        <v/>
      </c>
      <c r="AG118" s="8">
        <f>IF($J118="",0,$J118)</f>
        <v/>
      </c>
    </row>
    <row r="119">
      <c r="A119" s="8">
        <f>IF($G119="","","SS-"&amp;TEXT(ROW()-4,"0000"))</f>
        <v/>
      </c>
      <c r="B119" s="9" t="n"/>
      <c r="C119" s="9" t="n"/>
      <c r="D119" s="9" t="n"/>
      <c r="E119" s="10" t="n"/>
      <c r="F119" s="11" t="n"/>
      <c r="G119" s="12">
        <f>IF($F119="","",IF($F119&gt;31,$F119,IF($AB119="","",DATE(YEAR($AB119),MONTH($AB119),$F119))))</f>
        <v/>
      </c>
      <c r="H119" s="9" t="n"/>
      <c r="I119" s="11" t="n"/>
      <c r="J119" s="12">
        <f>IF($I119="","",IF($I119&gt;31,$I119,IF($G119="","",IF(DATE(YEAR($G119),MONTH($G119),$I119)&gt;=$G119,DATE(YEAR($G119),MONTH($G119),$I119),DATE(YEAR($G119),MONTH($G119)+1,$I119)))))</f>
        <v/>
      </c>
      <c r="K119" s="9" t="n"/>
      <c r="L119" s="13" t="n"/>
      <c r="M119" s="13" t="n"/>
      <c r="N119" s="13" t="n"/>
      <c r="O119" s="8">
        <f>IF(OR($G119="",$J119=""),"",$J119-$G119+1)</f>
        <v/>
      </c>
      <c r="P119" s="8">
        <f>IF(OR($G119="",$J119=""),"",$J119-$G119)</f>
        <v/>
      </c>
      <c r="Q119" s="9" t="n"/>
      <c r="R119" s="9" t="n"/>
      <c r="S119" s="9" t="n"/>
      <c r="T119" s="9" t="n"/>
      <c r="U119" s="9" t="n"/>
      <c r="V119" s="9" t="n"/>
      <c r="W119" s="14" t="n"/>
      <c r="X119" s="9" t="n"/>
      <c r="Y119" s="8">
        <f>IF($G119="","",IF($D119="","⚠部屋が未選択",IF(COUNTIF('M_部屋'!$A$4:$A$20,$D119)=0,"⚠部屋が未登録",IF(OR($J119="",$Q119="キャンセル"),"",IF(SUMPRODUCT(($D$5:$D$404=$D119)*($G$5:$G$404&lt;&gt;"")*($J$5:$J$404&lt;&gt;"")*($Q$5:$Q$404&lt;&gt;"キャンセル")*($G$5:$G$404&lt;$J119)*($J$5:$J$404&gt;$G119))&gt;1,"⚠重複","")))))</f>
        <v/>
      </c>
      <c r="Z119" s="8">
        <f>IF(OR($B119="",$G119=""),"",IF(SUMPRODUCT(('利用者マスタ'!$A$4:$A$60=$B119)*('利用者マスタ'!$B$4:$B$60&lt;&gt;""))=0,"",IF(SUMIFS($AA$5:$AA$404,$B$5:$B$404,$B119,$G$5:$G$404,"&gt;="&amp;DATE(YEAR($G119),MONTH($G119),1),$G$5:$G$404,"&lt;="&amp;EOMONTH($G119,0))&gt;SUMIFS('利用者マスタ'!$B$4:$B$60,'利用者マスタ'!$A$4:$A$60,$B119),"⚠支給量超過","")))</f>
        <v/>
      </c>
      <c r="AA119" s="8">
        <f>IF(OR($G119="",$J119="",$Q119="キャンセル"),0,IF(IFERROR(INDEX('M_区分'!$B$4:$B$20,MATCH($C119,'M_区分'!$A$4:$A$20,0)),"○")="○",$J119-$G119+1,0))</f>
        <v/>
      </c>
      <c r="AB119" s="8">
        <f>IF($E119&lt;&gt;"",$E119,$AB118)</f>
        <v/>
      </c>
      <c r="AC119" s="8">
        <f>IF(OR($G119="",$J119=""),"",IF(AND($G119&lt;=EOMONTH('02_カレンダー'!$B$4,0),$J119&gt;='02_カレンダー'!$B$4),$G119*10000+ROW(),""))</f>
        <v/>
      </c>
      <c r="AD119" s="8">
        <f>IF($H119="","",IF(ISNUMBER($H119),IF(AND($H119=INT($H119),$H119&gt;=0,$H119&lt;=24),TEXT(INT($H119),"00")&amp;":00",TEXT($H119,"hh:mm")),$H119))</f>
        <v/>
      </c>
      <c r="AE119" s="8">
        <f>IF($K119="","",IF(ISNUMBER($K119),IF(AND($K119=INT($K119),$K119&gt;=0,$K119&lt;=24),TEXT(INT($K119),"00")&amp;":00",TEXT($K119,"hh:mm")),$K119))</f>
        <v/>
      </c>
      <c r="AF119" s="8">
        <f>IF($G119="",0,$G119)</f>
        <v/>
      </c>
      <c r="AG119" s="8">
        <f>IF($J119="",0,$J119)</f>
        <v/>
      </c>
    </row>
    <row r="120">
      <c r="A120" s="8">
        <f>IF($G120="","","SS-"&amp;TEXT(ROW()-4,"0000"))</f>
        <v/>
      </c>
      <c r="B120" s="9" t="n"/>
      <c r="C120" s="9" t="n"/>
      <c r="D120" s="9" t="n"/>
      <c r="E120" s="10" t="n"/>
      <c r="F120" s="11" t="n"/>
      <c r="G120" s="12">
        <f>IF($F120="","",IF($F120&gt;31,$F120,IF($AB120="","",DATE(YEAR($AB120),MONTH($AB120),$F120))))</f>
        <v/>
      </c>
      <c r="H120" s="9" t="n"/>
      <c r="I120" s="11" t="n"/>
      <c r="J120" s="12">
        <f>IF($I120="","",IF($I120&gt;31,$I120,IF($G120="","",IF(DATE(YEAR($G120),MONTH($G120),$I120)&gt;=$G120,DATE(YEAR($G120),MONTH($G120),$I120),DATE(YEAR($G120),MONTH($G120)+1,$I120)))))</f>
        <v/>
      </c>
      <c r="K120" s="9" t="n"/>
      <c r="L120" s="13" t="n"/>
      <c r="M120" s="13" t="n"/>
      <c r="N120" s="13" t="n"/>
      <c r="O120" s="8">
        <f>IF(OR($G120="",$J120=""),"",$J120-$G120+1)</f>
        <v/>
      </c>
      <c r="P120" s="8">
        <f>IF(OR($G120="",$J120=""),"",$J120-$G120)</f>
        <v/>
      </c>
      <c r="Q120" s="9" t="n"/>
      <c r="R120" s="9" t="n"/>
      <c r="S120" s="9" t="n"/>
      <c r="T120" s="9" t="n"/>
      <c r="U120" s="9" t="n"/>
      <c r="V120" s="9" t="n"/>
      <c r="W120" s="14" t="n"/>
      <c r="X120" s="9" t="n"/>
      <c r="Y120" s="8">
        <f>IF($G120="","",IF($D120="","⚠部屋が未選択",IF(COUNTIF('M_部屋'!$A$4:$A$20,$D120)=0,"⚠部屋が未登録",IF(OR($J120="",$Q120="キャンセル"),"",IF(SUMPRODUCT(($D$5:$D$404=$D120)*($G$5:$G$404&lt;&gt;"")*($J$5:$J$404&lt;&gt;"")*($Q$5:$Q$404&lt;&gt;"キャンセル")*($G$5:$G$404&lt;$J120)*($J$5:$J$404&gt;$G120))&gt;1,"⚠重複","")))))</f>
        <v/>
      </c>
      <c r="Z120" s="8">
        <f>IF(OR($B120="",$G120=""),"",IF(SUMPRODUCT(('利用者マスタ'!$A$4:$A$60=$B120)*('利用者マスタ'!$B$4:$B$60&lt;&gt;""))=0,"",IF(SUMIFS($AA$5:$AA$404,$B$5:$B$404,$B120,$G$5:$G$404,"&gt;="&amp;DATE(YEAR($G120),MONTH($G120),1),$G$5:$G$404,"&lt;="&amp;EOMONTH($G120,0))&gt;SUMIFS('利用者マスタ'!$B$4:$B$60,'利用者マスタ'!$A$4:$A$60,$B120),"⚠支給量超過","")))</f>
        <v/>
      </c>
      <c r="AA120" s="8">
        <f>IF(OR($G120="",$J120="",$Q120="キャンセル"),0,IF(IFERROR(INDEX('M_区分'!$B$4:$B$20,MATCH($C120,'M_区分'!$A$4:$A$20,0)),"○")="○",$J120-$G120+1,0))</f>
        <v/>
      </c>
      <c r="AB120" s="8">
        <f>IF($E120&lt;&gt;"",$E120,$AB119)</f>
        <v/>
      </c>
      <c r="AC120" s="8">
        <f>IF(OR($G120="",$J120=""),"",IF(AND($G120&lt;=EOMONTH('02_カレンダー'!$B$4,0),$J120&gt;='02_カレンダー'!$B$4),$G120*10000+ROW(),""))</f>
        <v/>
      </c>
      <c r="AD120" s="8">
        <f>IF($H120="","",IF(ISNUMBER($H120),IF(AND($H120=INT($H120),$H120&gt;=0,$H120&lt;=24),TEXT(INT($H120),"00")&amp;":00",TEXT($H120,"hh:mm")),$H120))</f>
        <v/>
      </c>
      <c r="AE120" s="8">
        <f>IF($K120="","",IF(ISNUMBER($K120),IF(AND($K120=INT($K120),$K120&gt;=0,$K120&lt;=24),TEXT(INT($K120),"00")&amp;":00",TEXT($K120,"hh:mm")),$K120))</f>
        <v/>
      </c>
      <c r="AF120" s="8">
        <f>IF($G120="",0,$G120)</f>
        <v/>
      </c>
      <c r="AG120" s="8">
        <f>IF($J120="",0,$J120)</f>
        <v/>
      </c>
    </row>
    <row r="121">
      <c r="A121" s="8">
        <f>IF($G121="","","SS-"&amp;TEXT(ROW()-4,"0000"))</f>
        <v/>
      </c>
      <c r="B121" s="9" t="n"/>
      <c r="C121" s="9" t="n"/>
      <c r="D121" s="9" t="n"/>
      <c r="E121" s="10" t="n"/>
      <c r="F121" s="11" t="n"/>
      <c r="G121" s="12">
        <f>IF($F121="","",IF($F121&gt;31,$F121,IF($AB121="","",DATE(YEAR($AB121),MONTH($AB121),$F121))))</f>
        <v/>
      </c>
      <c r="H121" s="9" t="n"/>
      <c r="I121" s="11" t="n"/>
      <c r="J121" s="12">
        <f>IF($I121="","",IF($I121&gt;31,$I121,IF($G121="","",IF(DATE(YEAR($G121),MONTH($G121),$I121)&gt;=$G121,DATE(YEAR($G121),MONTH($G121),$I121),DATE(YEAR($G121),MONTH($G121)+1,$I121)))))</f>
        <v/>
      </c>
      <c r="K121" s="9" t="n"/>
      <c r="L121" s="13" t="n"/>
      <c r="M121" s="13" t="n"/>
      <c r="N121" s="13" t="n"/>
      <c r="O121" s="8">
        <f>IF(OR($G121="",$J121=""),"",$J121-$G121+1)</f>
        <v/>
      </c>
      <c r="P121" s="8">
        <f>IF(OR($G121="",$J121=""),"",$J121-$G121)</f>
        <v/>
      </c>
      <c r="Q121" s="9" t="n"/>
      <c r="R121" s="9" t="n"/>
      <c r="S121" s="9" t="n"/>
      <c r="T121" s="9" t="n"/>
      <c r="U121" s="9" t="n"/>
      <c r="V121" s="9" t="n"/>
      <c r="W121" s="14" t="n"/>
      <c r="X121" s="9" t="n"/>
      <c r="Y121" s="8">
        <f>IF($G121="","",IF($D121="","⚠部屋が未選択",IF(COUNTIF('M_部屋'!$A$4:$A$20,$D121)=0,"⚠部屋が未登録",IF(OR($J121="",$Q121="キャンセル"),"",IF(SUMPRODUCT(($D$5:$D$404=$D121)*($G$5:$G$404&lt;&gt;"")*($J$5:$J$404&lt;&gt;"")*($Q$5:$Q$404&lt;&gt;"キャンセル")*($G$5:$G$404&lt;$J121)*($J$5:$J$404&gt;$G121))&gt;1,"⚠重複","")))))</f>
        <v/>
      </c>
      <c r="Z121" s="8">
        <f>IF(OR($B121="",$G121=""),"",IF(SUMPRODUCT(('利用者マスタ'!$A$4:$A$60=$B121)*('利用者マスタ'!$B$4:$B$60&lt;&gt;""))=0,"",IF(SUMIFS($AA$5:$AA$404,$B$5:$B$404,$B121,$G$5:$G$404,"&gt;="&amp;DATE(YEAR($G121),MONTH($G121),1),$G$5:$G$404,"&lt;="&amp;EOMONTH($G121,0))&gt;SUMIFS('利用者マスタ'!$B$4:$B$60,'利用者マスタ'!$A$4:$A$60,$B121),"⚠支給量超過","")))</f>
        <v/>
      </c>
      <c r="AA121" s="8">
        <f>IF(OR($G121="",$J121="",$Q121="キャンセル"),0,IF(IFERROR(INDEX('M_区分'!$B$4:$B$20,MATCH($C121,'M_区分'!$A$4:$A$20,0)),"○")="○",$J121-$G121+1,0))</f>
        <v/>
      </c>
      <c r="AB121" s="8">
        <f>IF($E121&lt;&gt;"",$E121,$AB120)</f>
        <v/>
      </c>
      <c r="AC121" s="8">
        <f>IF(OR($G121="",$J121=""),"",IF(AND($G121&lt;=EOMONTH('02_カレンダー'!$B$4,0),$J121&gt;='02_カレンダー'!$B$4),$G121*10000+ROW(),""))</f>
        <v/>
      </c>
      <c r="AD121" s="8">
        <f>IF($H121="","",IF(ISNUMBER($H121),IF(AND($H121=INT($H121),$H121&gt;=0,$H121&lt;=24),TEXT(INT($H121),"00")&amp;":00",TEXT($H121,"hh:mm")),$H121))</f>
        <v/>
      </c>
      <c r="AE121" s="8">
        <f>IF($K121="","",IF(ISNUMBER($K121),IF(AND($K121=INT($K121),$K121&gt;=0,$K121&lt;=24),TEXT(INT($K121),"00")&amp;":00",TEXT($K121,"hh:mm")),$K121))</f>
        <v/>
      </c>
      <c r="AF121" s="8">
        <f>IF($G121="",0,$G121)</f>
        <v/>
      </c>
      <c r="AG121" s="8">
        <f>IF($J121="",0,$J121)</f>
        <v/>
      </c>
    </row>
    <row r="122">
      <c r="A122" s="8">
        <f>IF($G122="","","SS-"&amp;TEXT(ROW()-4,"0000"))</f>
        <v/>
      </c>
      <c r="B122" s="9" t="n"/>
      <c r="C122" s="9" t="n"/>
      <c r="D122" s="9" t="n"/>
      <c r="E122" s="10" t="n"/>
      <c r="F122" s="11" t="n"/>
      <c r="G122" s="12">
        <f>IF($F122="","",IF($F122&gt;31,$F122,IF($AB122="","",DATE(YEAR($AB122),MONTH($AB122),$F122))))</f>
        <v/>
      </c>
      <c r="H122" s="9" t="n"/>
      <c r="I122" s="11" t="n"/>
      <c r="J122" s="12">
        <f>IF($I122="","",IF($I122&gt;31,$I122,IF($G122="","",IF(DATE(YEAR($G122),MONTH($G122),$I122)&gt;=$G122,DATE(YEAR($G122),MONTH($G122),$I122),DATE(YEAR($G122),MONTH($G122)+1,$I122)))))</f>
        <v/>
      </c>
      <c r="K122" s="9" t="n"/>
      <c r="L122" s="13" t="n"/>
      <c r="M122" s="13" t="n"/>
      <c r="N122" s="13" t="n"/>
      <c r="O122" s="8">
        <f>IF(OR($G122="",$J122=""),"",$J122-$G122+1)</f>
        <v/>
      </c>
      <c r="P122" s="8">
        <f>IF(OR($G122="",$J122=""),"",$J122-$G122)</f>
        <v/>
      </c>
      <c r="Q122" s="9" t="n"/>
      <c r="R122" s="9" t="n"/>
      <c r="S122" s="9" t="n"/>
      <c r="T122" s="9" t="n"/>
      <c r="U122" s="9" t="n"/>
      <c r="V122" s="9" t="n"/>
      <c r="W122" s="14" t="n"/>
      <c r="X122" s="9" t="n"/>
      <c r="Y122" s="8">
        <f>IF($G122="","",IF($D122="","⚠部屋が未選択",IF(COUNTIF('M_部屋'!$A$4:$A$20,$D122)=0,"⚠部屋が未登録",IF(OR($J122="",$Q122="キャンセル"),"",IF(SUMPRODUCT(($D$5:$D$404=$D122)*($G$5:$G$404&lt;&gt;"")*($J$5:$J$404&lt;&gt;"")*($Q$5:$Q$404&lt;&gt;"キャンセル")*($G$5:$G$404&lt;$J122)*($J$5:$J$404&gt;$G122))&gt;1,"⚠重複","")))))</f>
        <v/>
      </c>
      <c r="Z122" s="8">
        <f>IF(OR($B122="",$G122=""),"",IF(SUMPRODUCT(('利用者マスタ'!$A$4:$A$60=$B122)*('利用者マスタ'!$B$4:$B$60&lt;&gt;""))=0,"",IF(SUMIFS($AA$5:$AA$404,$B$5:$B$404,$B122,$G$5:$G$404,"&gt;="&amp;DATE(YEAR($G122),MONTH($G122),1),$G$5:$G$404,"&lt;="&amp;EOMONTH($G122,0))&gt;SUMIFS('利用者マスタ'!$B$4:$B$60,'利用者マスタ'!$A$4:$A$60,$B122),"⚠支給量超過","")))</f>
        <v/>
      </c>
      <c r="AA122" s="8">
        <f>IF(OR($G122="",$J122="",$Q122="キャンセル"),0,IF(IFERROR(INDEX('M_区分'!$B$4:$B$20,MATCH($C122,'M_区分'!$A$4:$A$20,0)),"○")="○",$J122-$G122+1,0))</f>
        <v/>
      </c>
      <c r="AB122" s="8">
        <f>IF($E122&lt;&gt;"",$E122,$AB121)</f>
        <v/>
      </c>
      <c r="AC122" s="8">
        <f>IF(OR($G122="",$J122=""),"",IF(AND($G122&lt;=EOMONTH('02_カレンダー'!$B$4,0),$J122&gt;='02_カレンダー'!$B$4),$G122*10000+ROW(),""))</f>
        <v/>
      </c>
      <c r="AD122" s="8">
        <f>IF($H122="","",IF(ISNUMBER($H122),IF(AND($H122=INT($H122),$H122&gt;=0,$H122&lt;=24),TEXT(INT($H122),"00")&amp;":00",TEXT($H122,"hh:mm")),$H122))</f>
        <v/>
      </c>
      <c r="AE122" s="8">
        <f>IF($K122="","",IF(ISNUMBER($K122),IF(AND($K122=INT($K122),$K122&gt;=0,$K122&lt;=24),TEXT(INT($K122),"00")&amp;":00",TEXT($K122,"hh:mm")),$K122))</f>
        <v/>
      </c>
      <c r="AF122" s="8">
        <f>IF($G122="",0,$G122)</f>
        <v/>
      </c>
      <c r="AG122" s="8">
        <f>IF($J122="",0,$J122)</f>
        <v/>
      </c>
    </row>
    <row r="123">
      <c r="A123" s="8">
        <f>IF($G123="","","SS-"&amp;TEXT(ROW()-4,"0000"))</f>
        <v/>
      </c>
      <c r="B123" s="9" t="n"/>
      <c r="C123" s="9" t="n"/>
      <c r="D123" s="9" t="n"/>
      <c r="E123" s="10" t="n"/>
      <c r="F123" s="11" t="n"/>
      <c r="G123" s="12">
        <f>IF($F123="","",IF($F123&gt;31,$F123,IF($AB123="","",DATE(YEAR($AB123),MONTH($AB123),$F123))))</f>
        <v/>
      </c>
      <c r="H123" s="9" t="n"/>
      <c r="I123" s="11" t="n"/>
      <c r="J123" s="12">
        <f>IF($I123="","",IF($I123&gt;31,$I123,IF($G123="","",IF(DATE(YEAR($G123),MONTH($G123),$I123)&gt;=$G123,DATE(YEAR($G123),MONTH($G123),$I123),DATE(YEAR($G123),MONTH($G123)+1,$I123)))))</f>
        <v/>
      </c>
      <c r="K123" s="9" t="n"/>
      <c r="L123" s="13" t="n"/>
      <c r="M123" s="13" t="n"/>
      <c r="N123" s="13" t="n"/>
      <c r="O123" s="8">
        <f>IF(OR($G123="",$J123=""),"",$J123-$G123+1)</f>
        <v/>
      </c>
      <c r="P123" s="8">
        <f>IF(OR($G123="",$J123=""),"",$J123-$G123)</f>
        <v/>
      </c>
      <c r="Q123" s="9" t="n"/>
      <c r="R123" s="9" t="n"/>
      <c r="S123" s="9" t="n"/>
      <c r="T123" s="9" t="n"/>
      <c r="U123" s="9" t="n"/>
      <c r="V123" s="9" t="n"/>
      <c r="W123" s="14" t="n"/>
      <c r="X123" s="9" t="n"/>
      <c r="Y123" s="8">
        <f>IF($G123="","",IF($D123="","⚠部屋が未選択",IF(COUNTIF('M_部屋'!$A$4:$A$20,$D123)=0,"⚠部屋が未登録",IF(OR($J123="",$Q123="キャンセル"),"",IF(SUMPRODUCT(($D$5:$D$404=$D123)*($G$5:$G$404&lt;&gt;"")*($J$5:$J$404&lt;&gt;"")*($Q$5:$Q$404&lt;&gt;"キャンセル")*($G$5:$G$404&lt;$J123)*($J$5:$J$404&gt;$G123))&gt;1,"⚠重複","")))))</f>
        <v/>
      </c>
      <c r="Z123" s="8">
        <f>IF(OR($B123="",$G123=""),"",IF(SUMPRODUCT(('利用者マスタ'!$A$4:$A$60=$B123)*('利用者マスタ'!$B$4:$B$60&lt;&gt;""))=0,"",IF(SUMIFS($AA$5:$AA$404,$B$5:$B$404,$B123,$G$5:$G$404,"&gt;="&amp;DATE(YEAR($G123),MONTH($G123),1),$G$5:$G$404,"&lt;="&amp;EOMONTH($G123,0))&gt;SUMIFS('利用者マスタ'!$B$4:$B$60,'利用者マスタ'!$A$4:$A$60,$B123),"⚠支給量超過","")))</f>
        <v/>
      </c>
      <c r="AA123" s="8">
        <f>IF(OR($G123="",$J123="",$Q123="キャンセル"),0,IF(IFERROR(INDEX('M_区分'!$B$4:$B$20,MATCH($C123,'M_区分'!$A$4:$A$20,0)),"○")="○",$J123-$G123+1,0))</f>
        <v/>
      </c>
      <c r="AB123" s="8">
        <f>IF($E123&lt;&gt;"",$E123,$AB122)</f>
        <v/>
      </c>
      <c r="AC123" s="8">
        <f>IF(OR($G123="",$J123=""),"",IF(AND($G123&lt;=EOMONTH('02_カレンダー'!$B$4,0),$J123&gt;='02_カレンダー'!$B$4),$G123*10000+ROW(),""))</f>
        <v/>
      </c>
      <c r="AD123" s="8">
        <f>IF($H123="","",IF(ISNUMBER($H123),IF(AND($H123=INT($H123),$H123&gt;=0,$H123&lt;=24),TEXT(INT($H123),"00")&amp;":00",TEXT($H123,"hh:mm")),$H123))</f>
        <v/>
      </c>
      <c r="AE123" s="8">
        <f>IF($K123="","",IF(ISNUMBER($K123),IF(AND($K123=INT($K123),$K123&gt;=0,$K123&lt;=24),TEXT(INT($K123),"00")&amp;":00",TEXT($K123,"hh:mm")),$K123))</f>
        <v/>
      </c>
      <c r="AF123" s="8">
        <f>IF($G123="",0,$G123)</f>
        <v/>
      </c>
      <c r="AG123" s="8">
        <f>IF($J123="",0,$J123)</f>
        <v/>
      </c>
    </row>
    <row r="124">
      <c r="A124" s="8">
        <f>IF($G124="","","SS-"&amp;TEXT(ROW()-4,"0000"))</f>
        <v/>
      </c>
      <c r="B124" s="9" t="n"/>
      <c r="C124" s="9" t="n"/>
      <c r="D124" s="9" t="n"/>
      <c r="E124" s="10" t="n"/>
      <c r="F124" s="11" t="n"/>
      <c r="G124" s="12">
        <f>IF($F124="","",IF($F124&gt;31,$F124,IF($AB124="","",DATE(YEAR($AB124),MONTH($AB124),$F124))))</f>
        <v/>
      </c>
      <c r="H124" s="9" t="n"/>
      <c r="I124" s="11" t="n"/>
      <c r="J124" s="12">
        <f>IF($I124="","",IF($I124&gt;31,$I124,IF($G124="","",IF(DATE(YEAR($G124),MONTH($G124),$I124)&gt;=$G124,DATE(YEAR($G124),MONTH($G124),$I124),DATE(YEAR($G124),MONTH($G124)+1,$I124)))))</f>
        <v/>
      </c>
      <c r="K124" s="9" t="n"/>
      <c r="L124" s="13" t="n"/>
      <c r="M124" s="13" t="n"/>
      <c r="N124" s="13" t="n"/>
      <c r="O124" s="8">
        <f>IF(OR($G124="",$J124=""),"",$J124-$G124+1)</f>
        <v/>
      </c>
      <c r="P124" s="8">
        <f>IF(OR($G124="",$J124=""),"",$J124-$G124)</f>
        <v/>
      </c>
      <c r="Q124" s="9" t="n"/>
      <c r="R124" s="9" t="n"/>
      <c r="S124" s="9" t="n"/>
      <c r="T124" s="9" t="n"/>
      <c r="U124" s="9" t="n"/>
      <c r="V124" s="9" t="n"/>
      <c r="W124" s="14" t="n"/>
      <c r="X124" s="9" t="n"/>
      <c r="Y124" s="8">
        <f>IF($G124="","",IF($D124="","⚠部屋が未選択",IF(COUNTIF('M_部屋'!$A$4:$A$20,$D124)=0,"⚠部屋が未登録",IF(OR($J124="",$Q124="キャンセル"),"",IF(SUMPRODUCT(($D$5:$D$404=$D124)*($G$5:$G$404&lt;&gt;"")*($J$5:$J$404&lt;&gt;"")*($Q$5:$Q$404&lt;&gt;"キャンセル")*($G$5:$G$404&lt;$J124)*($J$5:$J$404&gt;$G124))&gt;1,"⚠重複","")))))</f>
        <v/>
      </c>
      <c r="Z124" s="8">
        <f>IF(OR($B124="",$G124=""),"",IF(SUMPRODUCT(('利用者マスタ'!$A$4:$A$60=$B124)*('利用者マスタ'!$B$4:$B$60&lt;&gt;""))=0,"",IF(SUMIFS($AA$5:$AA$404,$B$5:$B$404,$B124,$G$5:$G$404,"&gt;="&amp;DATE(YEAR($G124),MONTH($G124),1),$G$5:$G$404,"&lt;="&amp;EOMONTH($G124,0))&gt;SUMIFS('利用者マスタ'!$B$4:$B$60,'利用者マスタ'!$A$4:$A$60,$B124),"⚠支給量超過","")))</f>
        <v/>
      </c>
      <c r="AA124" s="8">
        <f>IF(OR($G124="",$J124="",$Q124="キャンセル"),0,IF(IFERROR(INDEX('M_区分'!$B$4:$B$20,MATCH($C124,'M_区分'!$A$4:$A$20,0)),"○")="○",$J124-$G124+1,0))</f>
        <v/>
      </c>
      <c r="AB124" s="8">
        <f>IF($E124&lt;&gt;"",$E124,$AB123)</f>
        <v/>
      </c>
      <c r="AC124" s="8">
        <f>IF(OR($G124="",$J124=""),"",IF(AND($G124&lt;=EOMONTH('02_カレンダー'!$B$4,0),$J124&gt;='02_カレンダー'!$B$4),$G124*10000+ROW(),""))</f>
        <v/>
      </c>
      <c r="AD124" s="8">
        <f>IF($H124="","",IF(ISNUMBER($H124),IF(AND($H124=INT($H124),$H124&gt;=0,$H124&lt;=24),TEXT(INT($H124),"00")&amp;":00",TEXT($H124,"hh:mm")),$H124))</f>
        <v/>
      </c>
      <c r="AE124" s="8">
        <f>IF($K124="","",IF(ISNUMBER($K124),IF(AND($K124=INT($K124),$K124&gt;=0,$K124&lt;=24),TEXT(INT($K124),"00")&amp;":00",TEXT($K124,"hh:mm")),$K124))</f>
        <v/>
      </c>
      <c r="AF124" s="8">
        <f>IF($G124="",0,$G124)</f>
        <v/>
      </c>
      <c r="AG124" s="8">
        <f>IF($J124="",0,$J124)</f>
        <v/>
      </c>
    </row>
    <row r="125">
      <c r="A125" s="8">
        <f>IF($G125="","","SS-"&amp;TEXT(ROW()-4,"0000"))</f>
        <v/>
      </c>
      <c r="B125" s="9" t="n"/>
      <c r="C125" s="9" t="n"/>
      <c r="D125" s="9" t="n"/>
      <c r="E125" s="10" t="n"/>
      <c r="F125" s="11" t="n"/>
      <c r="G125" s="12">
        <f>IF($F125="","",IF($F125&gt;31,$F125,IF($AB125="","",DATE(YEAR($AB125),MONTH($AB125),$F125))))</f>
        <v/>
      </c>
      <c r="H125" s="9" t="n"/>
      <c r="I125" s="11" t="n"/>
      <c r="J125" s="12">
        <f>IF($I125="","",IF($I125&gt;31,$I125,IF($G125="","",IF(DATE(YEAR($G125),MONTH($G125),$I125)&gt;=$G125,DATE(YEAR($G125),MONTH($G125),$I125),DATE(YEAR($G125),MONTH($G125)+1,$I125)))))</f>
        <v/>
      </c>
      <c r="K125" s="9" t="n"/>
      <c r="L125" s="13" t="n"/>
      <c r="M125" s="13" t="n"/>
      <c r="N125" s="13" t="n"/>
      <c r="O125" s="8">
        <f>IF(OR($G125="",$J125=""),"",$J125-$G125+1)</f>
        <v/>
      </c>
      <c r="P125" s="8">
        <f>IF(OR($G125="",$J125=""),"",$J125-$G125)</f>
        <v/>
      </c>
      <c r="Q125" s="9" t="n"/>
      <c r="R125" s="9" t="n"/>
      <c r="S125" s="9" t="n"/>
      <c r="T125" s="9" t="n"/>
      <c r="U125" s="9" t="n"/>
      <c r="V125" s="9" t="n"/>
      <c r="W125" s="14" t="n"/>
      <c r="X125" s="9" t="n"/>
      <c r="Y125" s="8">
        <f>IF($G125="","",IF($D125="","⚠部屋が未選択",IF(COUNTIF('M_部屋'!$A$4:$A$20,$D125)=0,"⚠部屋が未登録",IF(OR($J125="",$Q125="キャンセル"),"",IF(SUMPRODUCT(($D$5:$D$404=$D125)*($G$5:$G$404&lt;&gt;"")*($J$5:$J$404&lt;&gt;"")*($Q$5:$Q$404&lt;&gt;"キャンセル")*($G$5:$G$404&lt;$J125)*($J$5:$J$404&gt;$G125))&gt;1,"⚠重複","")))))</f>
        <v/>
      </c>
      <c r="Z125" s="8">
        <f>IF(OR($B125="",$G125=""),"",IF(SUMPRODUCT(('利用者マスタ'!$A$4:$A$60=$B125)*('利用者マスタ'!$B$4:$B$60&lt;&gt;""))=0,"",IF(SUMIFS($AA$5:$AA$404,$B$5:$B$404,$B125,$G$5:$G$404,"&gt;="&amp;DATE(YEAR($G125),MONTH($G125),1),$G$5:$G$404,"&lt;="&amp;EOMONTH($G125,0))&gt;SUMIFS('利用者マスタ'!$B$4:$B$60,'利用者マスタ'!$A$4:$A$60,$B125),"⚠支給量超過","")))</f>
        <v/>
      </c>
      <c r="AA125" s="8">
        <f>IF(OR($G125="",$J125="",$Q125="キャンセル"),0,IF(IFERROR(INDEX('M_区分'!$B$4:$B$20,MATCH($C125,'M_区分'!$A$4:$A$20,0)),"○")="○",$J125-$G125+1,0))</f>
        <v/>
      </c>
      <c r="AB125" s="8">
        <f>IF($E125&lt;&gt;"",$E125,$AB124)</f>
        <v/>
      </c>
      <c r="AC125" s="8">
        <f>IF(OR($G125="",$J125=""),"",IF(AND($G125&lt;=EOMONTH('02_カレンダー'!$B$4,0),$J125&gt;='02_カレンダー'!$B$4),$G125*10000+ROW(),""))</f>
        <v/>
      </c>
      <c r="AD125" s="8">
        <f>IF($H125="","",IF(ISNUMBER($H125),IF(AND($H125=INT($H125),$H125&gt;=0,$H125&lt;=24),TEXT(INT($H125),"00")&amp;":00",TEXT($H125,"hh:mm")),$H125))</f>
        <v/>
      </c>
      <c r="AE125" s="8">
        <f>IF($K125="","",IF(ISNUMBER($K125),IF(AND($K125=INT($K125),$K125&gt;=0,$K125&lt;=24),TEXT(INT($K125),"00")&amp;":00",TEXT($K125,"hh:mm")),$K125))</f>
        <v/>
      </c>
      <c r="AF125" s="8">
        <f>IF($G125="",0,$G125)</f>
        <v/>
      </c>
      <c r="AG125" s="8">
        <f>IF($J125="",0,$J125)</f>
        <v/>
      </c>
    </row>
    <row r="126">
      <c r="A126" s="8">
        <f>IF($G126="","","SS-"&amp;TEXT(ROW()-4,"0000"))</f>
        <v/>
      </c>
      <c r="B126" s="9" t="n"/>
      <c r="C126" s="9" t="n"/>
      <c r="D126" s="9" t="n"/>
      <c r="E126" s="10" t="n"/>
      <c r="F126" s="11" t="n"/>
      <c r="G126" s="12">
        <f>IF($F126="","",IF($F126&gt;31,$F126,IF($AB126="","",DATE(YEAR($AB126),MONTH($AB126),$F126))))</f>
        <v/>
      </c>
      <c r="H126" s="9" t="n"/>
      <c r="I126" s="11" t="n"/>
      <c r="J126" s="12">
        <f>IF($I126="","",IF($I126&gt;31,$I126,IF($G126="","",IF(DATE(YEAR($G126),MONTH($G126),$I126)&gt;=$G126,DATE(YEAR($G126),MONTH($G126),$I126),DATE(YEAR($G126),MONTH($G126)+1,$I126)))))</f>
        <v/>
      </c>
      <c r="K126" s="9" t="n"/>
      <c r="L126" s="13" t="n"/>
      <c r="M126" s="13" t="n"/>
      <c r="N126" s="13" t="n"/>
      <c r="O126" s="8">
        <f>IF(OR($G126="",$J126=""),"",$J126-$G126+1)</f>
        <v/>
      </c>
      <c r="P126" s="8">
        <f>IF(OR($G126="",$J126=""),"",$J126-$G126)</f>
        <v/>
      </c>
      <c r="Q126" s="9" t="n"/>
      <c r="R126" s="9" t="n"/>
      <c r="S126" s="9" t="n"/>
      <c r="T126" s="9" t="n"/>
      <c r="U126" s="9" t="n"/>
      <c r="V126" s="9" t="n"/>
      <c r="W126" s="14" t="n"/>
      <c r="X126" s="9" t="n"/>
      <c r="Y126" s="8">
        <f>IF($G126="","",IF($D126="","⚠部屋が未選択",IF(COUNTIF('M_部屋'!$A$4:$A$20,$D126)=0,"⚠部屋が未登録",IF(OR($J126="",$Q126="キャンセル"),"",IF(SUMPRODUCT(($D$5:$D$404=$D126)*($G$5:$G$404&lt;&gt;"")*($J$5:$J$404&lt;&gt;"")*($Q$5:$Q$404&lt;&gt;"キャンセル")*($G$5:$G$404&lt;$J126)*($J$5:$J$404&gt;$G126))&gt;1,"⚠重複","")))))</f>
        <v/>
      </c>
      <c r="Z126" s="8">
        <f>IF(OR($B126="",$G126=""),"",IF(SUMPRODUCT(('利用者マスタ'!$A$4:$A$60=$B126)*('利用者マスタ'!$B$4:$B$60&lt;&gt;""))=0,"",IF(SUMIFS($AA$5:$AA$404,$B$5:$B$404,$B126,$G$5:$G$404,"&gt;="&amp;DATE(YEAR($G126),MONTH($G126),1),$G$5:$G$404,"&lt;="&amp;EOMONTH($G126,0))&gt;SUMIFS('利用者マスタ'!$B$4:$B$60,'利用者マスタ'!$A$4:$A$60,$B126),"⚠支給量超過","")))</f>
        <v/>
      </c>
      <c r="AA126" s="8">
        <f>IF(OR($G126="",$J126="",$Q126="キャンセル"),0,IF(IFERROR(INDEX('M_区分'!$B$4:$B$20,MATCH($C126,'M_区分'!$A$4:$A$20,0)),"○")="○",$J126-$G126+1,0))</f>
        <v/>
      </c>
      <c r="AB126" s="8">
        <f>IF($E126&lt;&gt;"",$E126,$AB125)</f>
        <v/>
      </c>
      <c r="AC126" s="8">
        <f>IF(OR($G126="",$J126=""),"",IF(AND($G126&lt;=EOMONTH('02_カレンダー'!$B$4,0),$J126&gt;='02_カレンダー'!$B$4),$G126*10000+ROW(),""))</f>
        <v/>
      </c>
      <c r="AD126" s="8">
        <f>IF($H126="","",IF(ISNUMBER($H126),IF(AND($H126=INT($H126),$H126&gt;=0,$H126&lt;=24),TEXT(INT($H126),"00")&amp;":00",TEXT($H126,"hh:mm")),$H126))</f>
        <v/>
      </c>
      <c r="AE126" s="8">
        <f>IF($K126="","",IF(ISNUMBER($K126),IF(AND($K126=INT($K126),$K126&gt;=0,$K126&lt;=24),TEXT(INT($K126),"00")&amp;":00",TEXT($K126,"hh:mm")),$K126))</f>
        <v/>
      </c>
      <c r="AF126" s="8">
        <f>IF($G126="",0,$G126)</f>
        <v/>
      </c>
      <c r="AG126" s="8">
        <f>IF($J126="",0,$J126)</f>
        <v/>
      </c>
    </row>
    <row r="127">
      <c r="A127" s="8">
        <f>IF($G127="","","SS-"&amp;TEXT(ROW()-4,"0000"))</f>
        <v/>
      </c>
      <c r="B127" s="9" t="n"/>
      <c r="C127" s="9" t="n"/>
      <c r="D127" s="9" t="n"/>
      <c r="E127" s="10" t="n"/>
      <c r="F127" s="11" t="n"/>
      <c r="G127" s="12">
        <f>IF($F127="","",IF($F127&gt;31,$F127,IF($AB127="","",DATE(YEAR($AB127),MONTH($AB127),$F127))))</f>
        <v/>
      </c>
      <c r="H127" s="9" t="n"/>
      <c r="I127" s="11" t="n"/>
      <c r="J127" s="12">
        <f>IF($I127="","",IF($I127&gt;31,$I127,IF($G127="","",IF(DATE(YEAR($G127),MONTH($G127),$I127)&gt;=$G127,DATE(YEAR($G127),MONTH($G127),$I127),DATE(YEAR($G127),MONTH($G127)+1,$I127)))))</f>
        <v/>
      </c>
      <c r="K127" s="9" t="n"/>
      <c r="L127" s="13" t="n"/>
      <c r="M127" s="13" t="n"/>
      <c r="N127" s="13" t="n"/>
      <c r="O127" s="8">
        <f>IF(OR($G127="",$J127=""),"",$J127-$G127+1)</f>
        <v/>
      </c>
      <c r="P127" s="8">
        <f>IF(OR($G127="",$J127=""),"",$J127-$G127)</f>
        <v/>
      </c>
      <c r="Q127" s="9" t="n"/>
      <c r="R127" s="9" t="n"/>
      <c r="S127" s="9" t="n"/>
      <c r="T127" s="9" t="n"/>
      <c r="U127" s="9" t="n"/>
      <c r="V127" s="9" t="n"/>
      <c r="W127" s="14" t="n"/>
      <c r="X127" s="9" t="n"/>
      <c r="Y127" s="8">
        <f>IF($G127="","",IF($D127="","⚠部屋が未選択",IF(COUNTIF('M_部屋'!$A$4:$A$20,$D127)=0,"⚠部屋が未登録",IF(OR($J127="",$Q127="キャンセル"),"",IF(SUMPRODUCT(($D$5:$D$404=$D127)*($G$5:$G$404&lt;&gt;"")*($J$5:$J$404&lt;&gt;"")*($Q$5:$Q$404&lt;&gt;"キャンセル")*($G$5:$G$404&lt;$J127)*($J$5:$J$404&gt;$G127))&gt;1,"⚠重複","")))))</f>
        <v/>
      </c>
      <c r="Z127" s="8">
        <f>IF(OR($B127="",$G127=""),"",IF(SUMPRODUCT(('利用者マスタ'!$A$4:$A$60=$B127)*('利用者マスタ'!$B$4:$B$60&lt;&gt;""))=0,"",IF(SUMIFS($AA$5:$AA$404,$B$5:$B$404,$B127,$G$5:$G$404,"&gt;="&amp;DATE(YEAR($G127),MONTH($G127),1),$G$5:$G$404,"&lt;="&amp;EOMONTH($G127,0))&gt;SUMIFS('利用者マスタ'!$B$4:$B$60,'利用者マスタ'!$A$4:$A$60,$B127),"⚠支給量超過","")))</f>
        <v/>
      </c>
      <c r="AA127" s="8">
        <f>IF(OR($G127="",$J127="",$Q127="キャンセル"),0,IF(IFERROR(INDEX('M_区分'!$B$4:$B$20,MATCH($C127,'M_区分'!$A$4:$A$20,0)),"○")="○",$J127-$G127+1,0))</f>
        <v/>
      </c>
      <c r="AB127" s="8">
        <f>IF($E127&lt;&gt;"",$E127,$AB126)</f>
        <v/>
      </c>
      <c r="AC127" s="8">
        <f>IF(OR($G127="",$J127=""),"",IF(AND($G127&lt;=EOMONTH('02_カレンダー'!$B$4,0),$J127&gt;='02_カレンダー'!$B$4),$G127*10000+ROW(),""))</f>
        <v/>
      </c>
      <c r="AD127" s="8">
        <f>IF($H127="","",IF(ISNUMBER($H127),IF(AND($H127=INT($H127),$H127&gt;=0,$H127&lt;=24),TEXT(INT($H127),"00")&amp;":00",TEXT($H127,"hh:mm")),$H127))</f>
        <v/>
      </c>
      <c r="AE127" s="8">
        <f>IF($K127="","",IF(ISNUMBER($K127),IF(AND($K127=INT($K127),$K127&gt;=0,$K127&lt;=24),TEXT(INT($K127),"00")&amp;":00",TEXT($K127,"hh:mm")),$K127))</f>
        <v/>
      </c>
      <c r="AF127" s="8">
        <f>IF($G127="",0,$G127)</f>
        <v/>
      </c>
      <c r="AG127" s="8">
        <f>IF($J127="",0,$J127)</f>
        <v/>
      </c>
    </row>
    <row r="128">
      <c r="A128" s="8">
        <f>IF($G128="","","SS-"&amp;TEXT(ROW()-4,"0000"))</f>
        <v/>
      </c>
      <c r="B128" s="9" t="n"/>
      <c r="C128" s="9" t="n"/>
      <c r="D128" s="9" t="n"/>
      <c r="E128" s="10" t="n"/>
      <c r="F128" s="11" t="n"/>
      <c r="G128" s="12">
        <f>IF($F128="","",IF($F128&gt;31,$F128,IF($AB128="","",DATE(YEAR($AB128),MONTH($AB128),$F128))))</f>
        <v/>
      </c>
      <c r="H128" s="9" t="n"/>
      <c r="I128" s="11" t="n"/>
      <c r="J128" s="12">
        <f>IF($I128="","",IF($I128&gt;31,$I128,IF($G128="","",IF(DATE(YEAR($G128),MONTH($G128),$I128)&gt;=$G128,DATE(YEAR($G128),MONTH($G128),$I128),DATE(YEAR($G128),MONTH($G128)+1,$I128)))))</f>
        <v/>
      </c>
      <c r="K128" s="9" t="n"/>
      <c r="L128" s="13" t="n"/>
      <c r="M128" s="13" t="n"/>
      <c r="N128" s="13" t="n"/>
      <c r="O128" s="8">
        <f>IF(OR($G128="",$J128=""),"",$J128-$G128+1)</f>
        <v/>
      </c>
      <c r="P128" s="8">
        <f>IF(OR($G128="",$J128=""),"",$J128-$G128)</f>
        <v/>
      </c>
      <c r="Q128" s="9" t="n"/>
      <c r="R128" s="9" t="n"/>
      <c r="S128" s="9" t="n"/>
      <c r="T128" s="9" t="n"/>
      <c r="U128" s="9" t="n"/>
      <c r="V128" s="9" t="n"/>
      <c r="W128" s="14" t="n"/>
      <c r="X128" s="9" t="n"/>
      <c r="Y128" s="8">
        <f>IF($G128="","",IF($D128="","⚠部屋が未選択",IF(COUNTIF('M_部屋'!$A$4:$A$20,$D128)=0,"⚠部屋が未登録",IF(OR($J128="",$Q128="キャンセル"),"",IF(SUMPRODUCT(($D$5:$D$404=$D128)*($G$5:$G$404&lt;&gt;"")*($J$5:$J$404&lt;&gt;"")*($Q$5:$Q$404&lt;&gt;"キャンセル")*($G$5:$G$404&lt;$J128)*($J$5:$J$404&gt;$G128))&gt;1,"⚠重複","")))))</f>
        <v/>
      </c>
      <c r="Z128" s="8">
        <f>IF(OR($B128="",$G128=""),"",IF(SUMPRODUCT(('利用者マスタ'!$A$4:$A$60=$B128)*('利用者マスタ'!$B$4:$B$60&lt;&gt;""))=0,"",IF(SUMIFS($AA$5:$AA$404,$B$5:$B$404,$B128,$G$5:$G$404,"&gt;="&amp;DATE(YEAR($G128),MONTH($G128),1),$G$5:$G$404,"&lt;="&amp;EOMONTH($G128,0))&gt;SUMIFS('利用者マスタ'!$B$4:$B$60,'利用者マスタ'!$A$4:$A$60,$B128),"⚠支給量超過","")))</f>
        <v/>
      </c>
      <c r="AA128" s="8">
        <f>IF(OR($G128="",$J128="",$Q128="キャンセル"),0,IF(IFERROR(INDEX('M_区分'!$B$4:$B$20,MATCH($C128,'M_区分'!$A$4:$A$20,0)),"○")="○",$J128-$G128+1,0))</f>
        <v/>
      </c>
      <c r="AB128" s="8">
        <f>IF($E128&lt;&gt;"",$E128,$AB127)</f>
        <v/>
      </c>
      <c r="AC128" s="8">
        <f>IF(OR($G128="",$J128=""),"",IF(AND($G128&lt;=EOMONTH('02_カレンダー'!$B$4,0),$J128&gt;='02_カレンダー'!$B$4),$G128*10000+ROW(),""))</f>
        <v/>
      </c>
      <c r="AD128" s="8">
        <f>IF($H128="","",IF(ISNUMBER($H128),IF(AND($H128=INT($H128),$H128&gt;=0,$H128&lt;=24),TEXT(INT($H128),"00")&amp;":00",TEXT($H128,"hh:mm")),$H128))</f>
        <v/>
      </c>
      <c r="AE128" s="8">
        <f>IF($K128="","",IF(ISNUMBER($K128),IF(AND($K128=INT($K128),$K128&gt;=0,$K128&lt;=24),TEXT(INT($K128),"00")&amp;":00",TEXT($K128,"hh:mm")),$K128))</f>
        <v/>
      </c>
      <c r="AF128" s="8">
        <f>IF($G128="",0,$G128)</f>
        <v/>
      </c>
      <c r="AG128" s="8">
        <f>IF($J128="",0,$J128)</f>
        <v/>
      </c>
    </row>
    <row r="129">
      <c r="A129" s="8">
        <f>IF($G129="","","SS-"&amp;TEXT(ROW()-4,"0000"))</f>
        <v/>
      </c>
      <c r="B129" s="9" t="n"/>
      <c r="C129" s="9" t="n"/>
      <c r="D129" s="9" t="n"/>
      <c r="E129" s="10" t="n"/>
      <c r="F129" s="11" t="n"/>
      <c r="G129" s="12">
        <f>IF($F129="","",IF($F129&gt;31,$F129,IF($AB129="","",DATE(YEAR($AB129),MONTH($AB129),$F129))))</f>
        <v/>
      </c>
      <c r="H129" s="9" t="n"/>
      <c r="I129" s="11" t="n"/>
      <c r="J129" s="12">
        <f>IF($I129="","",IF($I129&gt;31,$I129,IF($G129="","",IF(DATE(YEAR($G129),MONTH($G129),$I129)&gt;=$G129,DATE(YEAR($G129),MONTH($G129),$I129),DATE(YEAR($G129),MONTH($G129)+1,$I129)))))</f>
        <v/>
      </c>
      <c r="K129" s="9" t="n"/>
      <c r="L129" s="13" t="n"/>
      <c r="M129" s="13" t="n"/>
      <c r="N129" s="13" t="n"/>
      <c r="O129" s="8">
        <f>IF(OR($G129="",$J129=""),"",$J129-$G129+1)</f>
        <v/>
      </c>
      <c r="P129" s="8">
        <f>IF(OR($G129="",$J129=""),"",$J129-$G129)</f>
        <v/>
      </c>
      <c r="Q129" s="9" t="n"/>
      <c r="R129" s="9" t="n"/>
      <c r="S129" s="9" t="n"/>
      <c r="T129" s="9" t="n"/>
      <c r="U129" s="9" t="n"/>
      <c r="V129" s="9" t="n"/>
      <c r="W129" s="14" t="n"/>
      <c r="X129" s="9" t="n"/>
      <c r="Y129" s="8">
        <f>IF($G129="","",IF($D129="","⚠部屋が未選択",IF(COUNTIF('M_部屋'!$A$4:$A$20,$D129)=0,"⚠部屋が未登録",IF(OR($J129="",$Q129="キャンセル"),"",IF(SUMPRODUCT(($D$5:$D$404=$D129)*($G$5:$G$404&lt;&gt;"")*($J$5:$J$404&lt;&gt;"")*($Q$5:$Q$404&lt;&gt;"キャンセル")*($G$5:$G$404&lt;$J129)*($J$5:$J$404&gt;$G129))&gt;1,"⚠重複","")))))</f>
        <v/>
      </c>
      <c r="Z129" s="8">
        <f>IF(OR($B129="",$G129=""),"",IF(SUMPRODUCT(('利用者マスタ'!$A$4:$A$60=$B129)*('利用者マスタ'!$B$4:$B$60&lt;&gt;""))=0,"",IF(SUMIFS($AA$5:$AA$404,$B$5:$B$404,$B129,$G$5:$G$404,"&gt;="&amp;DATE(YEAR($G129),MONTH($G129),1),$G$5:$G$404,"&lt;="&amp;EOMONTH($G129,0))&gt;SUMIFS('利用者マスタ'!$B$4:$B$60,'利用者マスタ'!$A$4:$A$60,$B129),"⚠支給量超過","")))</f>
        <v/>
      </c>
      <c r="AA129" s="8">
        <f>IF(OR($G129="",$J129="",$Q129="キャンセル"),0,IF(IFERROR(INDEX('M_区分'!$B$4:$B$20,MATCH($C129,'M_区分'!$A$4:$A$20,0)),"○")="○",$J129-$G129+1,0))</f>
        <v/>
      </c>
      <c r="AB129" s="8">
        <f>IF($E129&lt;&gt;"",$E129,$AB128)</f>
        <v/>
      </c>
      <c r="AC129" s="8">
        <f>IF(OR($G129="",$J129=""),"",IF(AND($G129&lt;=EOMONTH('02_カレンダー'!$B$4,0),$J129&gt;='02_カレンダー'!$B$4),$G129*10000+ROW(),""))</f>
        <v/>
      </c>
      <c r="AD129" s="8">
        <f>IF($H129="","",IF(ISNUMBER($H129),IF(AND($H129=INT($H129),$H129&gt;=0,$H129&lt;=24),TEXT(INT($H129),"00")&amp;":00",TEXT($H129,"hh:mm")),$H129))</f>
        <v/>
      </c>
      <c r="AE129" s="8">
        <f>IF($K129="","",IF(ISNUMBER($K129),IF(AND($K129=INT($K129),$K129&gt;=0,$K129&lt;=24),TEXT(INT($K129),"00")&amp;":00",TEXT($K129,"hh:mm")),$K129))</f>
        <v/>
      </c>
      <c r="AF129" s="8">
        <f>IF($G129="",0,$G129)</f>
        <v/>
      </c>
      <c r="AG129" s="8">
        <f>IF($J129="",0,$J129)</f>
        <v/>
      </c>
    </row>
    <row r="130">
      <c r="A130" s="8">
        <f>IF($G130="","","SS-"&amp;TEXT(ROW()-4,"0000"))</f>
        <v/>
      </c>
      <c r="B130" s="9" t="n"/>
      <c r="C130" s="9" t="n"/>
      <c r="D130" s="9" t="n"/>
      <c r="E130" s="10" t="n"/>
      <c r="F130" s="11" t="n"/>
      <c r="G130" s="12">
        <f>IF($F130="","",IF($F130&gt;31,$F130,IF($AB130="","",DATE(YEAR($AB130),MONTH($AB130),$F130))))</f>
        <v/>
      </c>
      <c r="H130" s="9" t="n"/>
      <c r="I130" s="11" t="n"/>
      <c r="J130" s="12">
        <f>IF($I130="","",IF($I130&gt;31,$I130,IF($G130="","",IF(DATE(YEAR($G130),MONTH($G130),$I130)&gt;=$G130,DATE(YEAR($G130),MONTH($G130),$I130),DATE(YEAR($G130),MONTH($G130)+1,$I130)))))</f>
        <v/>
      </c>
      <c r="K130" s="9" t="n"/>
      <c r="L130" s="13" t="n"/>
      <c r="M130" s="13" t="n"/>
      <c r="N130" s="13" t="n"/>
      <c r="O130" s="8">
        <f>IF(OR($G130="",$J130=""),"",$J130-$G130+1)</f>
        <v/>
      </c>
      <c r="P130" s="8">
        <f>IF(OR($G130="",$J130=""),"",$J130-$G130)</f>
        <v/>
      </c>
      <c r="Q130" s="9" t="n"/>
      <c r="R130" s="9" t="n"/>
      <c r="S130" s="9" t="n"/>
      <c r="T130" s="9" t="n"/>
      <c r="U130" s="9" t="n"/>
      <c r="V130" s="9" t="n"/>
      <c r="W130" s="14" t="n"/>
      <c r="X130" s="9" t="n"/>
      <c r="Y130" s="8">
        <f>IF($G130="","",IF($D130="","⚠部屋が未選択",IF(COUNTIF('M_部屋'!$A$4:$A$20,$D130)=0,"⚠部屋が未登録",IF(OR($J130="",$Q130="キャンセル"),"",IF(SUMPRODUCT(($D$5:$D$404=$D130)*($G$5:$G$404&lt;&gt;"")*($J$5:$J$404&lt;&gt;"")*($Q$5:$Q$404&lt;&gt;"キャンセル")*($G$5:$G$404&lt;$J130)*($J$5:$J$404&gt;$G130))&gt;1,"⚠重複","")))))</f>
        <v/>
      </c>
      <c r="Z130" s="8">
        <f>IF(OR($B130="",$G130=""),"",IF(SUMPRODUCT(('利用者マスタ'!$A$4:$A$60=$B130)*('利用者マスタ'!$B$4:$B$60&lt;&gt;""))=0,"",IF(SUMIFS($AA$5:$AA$404,$B$5:$B$404,$B130,$G$5:$G$404,"&gt;="&amp;DATE(YEAR($G130),MONTH($G130),1),$G$5:$G$404,"&lt;="&amp;EOMONTH($G130,0))&gt;SUMIFS('利用者マスタ'!$B$4:$B$60,'利用者マスタ'!$A$4:$A$60,$B130),"⚠支給量超過","")))</f>
        <v/>
      </c>
      <c r="AA130" s="8">
        <f>IF(OR($G130="",$J130="",$Q130="キャンセル"),0,IF(IFERROR(INDEX('M_区分'!$B$4:$B$20,MATCH($C130,'M_区分'!$A$4:$A$20,0)),"○")="○",$J130-$G130+1,0))</f>
        <v/>
      </c>
      <c r="AB130" s="8">
        <f>IF($E130&lt;&gt;"",$E130,$AB129)</f>
        <v/>
      </c>
      <c r="AC130" s="8">
        <f>IF(OR($G130="",$J130=""),"",IF(AND($G130&lt;=EOMONTH('02_カレンダー'!$B$4,0),$J130&gt;='02_カレンダー'!$B$4),$G130*10000+ROW(),""))</f>
        <v/>
      </c>
      <c r="AD130" s="8">
        <f>IF($H130="","",IF(ISNUMBER($H130),IF(AND($H130=INT($H130),$H130&gt;=0,$H130&lt;=24),TEXT(INT($H130),"00")&amp;":00",TEXT($H130,"hh:mm")),$H130))</f>
        <v/>
      </c>
      <c r="AE130" s="8">
        <f>IF($K130="","",IF(ISNUMBER($K130),IF(AND($K130=INT($K130),$K130&gt;=0,$K130&lt;=24),TEXT(INT($K130),"00")&amp;":00",TEXT($K130,"hh:mm")),$K130))</f>
        <v/>
      </c>
      <c r="AF130" s="8">
        <f>IF($G130="",0,$G130)</f>
        <v/>
      </c>
      <c r="AG130" s="8">
        <f>IF($J130="",0,$J130)</f>
        <v/>
      </c>
    </row>
    <row r="131">
      <c r="A131" s="8">
        <f>IF($G131="","","SS-"&amp;TEXT(ROW()-4,"0000"))</f>
        <v/>
      </c>
      <c r="B131" s="9" t="n"/>
      <c r="C131" s="9" t="n"/>
      <c r="D131" s="9" t="n"/>
      <c r="E131" s="10" t="n"/>
      <c r="F131" s="11" t="n"/>
      <c r="G131" s="12">
        <f>IF($F131="","",IF($F131&gt;31,$F131,IF($AB131="","",DATE(YEAR($AB131),MONTH($AB131),$F131))))</f>
        <v/>
      </c>
      <c r="H131" s="9" t="n"/>
      <c r="I131" s="11" t="n"/>
      <c r="J131" s="12">
        <f>IF($I131="","",IF($I131&gt;31,$I131,IF($G131="","",IF(DATE(YEAR($G131),MONTH($G131),$I131)&gt;=$G131,DATE(YEAR($G131),MONTH($G131),$I131),DATE(YEAR($G131),MONTH($G131)+1,$I131)))))</f>
        <v/>
      </c>
      <c r="K131" s="9" t="n"/>
      <c r="L131" s="13" t="n"/>
      <c r="M131" s="13" t="n"/>
      <c r="N131" s="13" t="n"/>
      <c r="O131" s="8">
        <f>IF(OR($G131="",$J131=""),"",$J131-$G131+1)</f>
        <v/>
      </c>
      <c r="P131" s="8">
        <f>IF(OR($G131="",$J131=""),"",$J131-$G131)</f>
        <v/>
      </c>
      <c r="Q131" s="9" t="n"/>
      <c r="R131" s="9" t="n"/>
      <c r="S131" s="9" t="n"/>
      <c r="T131" s="9" t="n"/>
      <c r="U131" s="9" t="n"/>
      <c r="V131" s="9" t="n"/>
      <c r="W131" s="14" t="n"/>
      <c r="X131" s="9" t="n"/>
      <c r="Y131" s="8">
        <f>IF($G131="","",IF($D131="","⚠部屋が未選択",IF(COUNTIF('M_部屋'!$A$4:$A$20,$D131)=0,"⚠部屋が未登録",IF(OR($J131="",$Q131="キャンセル"),"",IF(SUMPRODUCT(($D$5:$D$404=$D131)*($G$5:$G$404&lt;&gt;"")*($J$5:$J$404&lt;&gt;"")*($Q$5:$Q$404&lt;&gt;"キャンセル")*($G$5:$G$404&lt;$J131)*($J$5:$J$404&gt;$G131))&gt;1,"⚠重複","")))))</f>
        <v/>
      </c>
      <c r="Z131" s="8">
        <f>IF(OR($B131="",$G131=""),"",IF(SUMPRODUCT(('利用者マスタ'!$A$4:$A$60=$B131)*('利用者マスタ'!$B$4:$B$60&lt;&gt;""))=0,"",IF(SUMIFS($AA$5:$AA$404,$B$5:$B$404,$B131,$G$5:$G$404,"&gt;="&amp;DATE(YEAR($G131),MONTH($G131),1),$G$5:$G$404,"&lt;="&amp;EOMONTH($G131,0))&gt;SUMIFS('利用者マスタ'!$B$4:$B$60,'利用者マスタ'!$A$4:$A$60,$B131),"⚠支給量超過","")))</f>
        <v/>
      </c>
      <c r="AA131" s="8">
        <f>IF(OR($G131="",$J131="",$Q131="キャンセル"),0,IF(IFERROR(INDEX('M_区分'!$B$4:$B$20,MATCH($C131,'M_区分'!$A$4:$A$20,0)),"○")="○",$J131-$G131+1,0))</f>
        <v/>
      </c>
      <c r="AB131" s="8">
        <f>IF($E131&lt;&gt;"",$E131,$AB130)</f>
        <v/>
      </c>
      <c r="AC131" s="8">
        <f>IF(OR($G131="",$J131=""),"",IF(AND($G131&lt;=EOMONTH('02_カレンダー'!$B$4,0),$J131&gt;='02_カレンダー'!$B$4),$G131*10000+ROW(),""))</f>
        <v/>
      </c>
      <c r="AD131" s="8">
        <f>IF($H131="","",IF(ISNUMBER($H131),IF(AND($H131=INT($H131),$H131&gt;=0,$H131&lt;=24),TEXT(INT($H131),"00")&amp;":00",TEXT($H131,"hh:mm")),$H131))</f>
        <v/>
      </c>
      <c r="AE131" s="8">
        <f>IF($K131="","",IF(ISNUMBER($K131),IF(AND($K131=INT($K131),$K131&gt;=0,$K131&lt;=24),TEXT(INT($K131),"00")&amp;":00",TEXT($K131,"hh:mm")),$K131))</f>
        <v/>
      </c>
      <c r="AF131" s="8">
        <f>IF($G131="",0,$G131)</f>
        <v/>
      </c>
      <c r="AG131" s="8">
        <f>IF($J131="",0,$J131)</f>
        <v/>
      </c>
    </row>
    <row r="132">
      <c r="A132" s="8">
        <f>IF($G132="","","SS-"&amp;TEXT(ROW()-4,"0000"))</f>
        <v/>
      </c>
      <c r="B132" s="9" t="n"/>
      <c r="C132" s="9" t="n"/>
      <c r="D132" s="9" t="n"/>
      <c r="E132" s="10" t="n"/>
      <c r="F132" s="11" t="n"/>
      <c r="G132" s="12">
        <f>IF($F132="","",IF($F132&gt;31,$F132,IF($AB132="","",DATE(YEAR($AB132),MONTH($AB132),$F132))))</f>
        <v/>
      </c>
      <c r="H132" s="9" t="n"/>
      <c r="I132" s="11" t="n"/>
      <c r="J132" s="12">
        <f>IF($I132="","",IF($I132&gt;31,$I132,IF($G132="","",IF(DATE(YEAR($G132),MONTH($G132),$I132)&gt;=$G132,DATE(YEAR($G132),MONTH($G132),$I132),DATE(YEAR($G132),MONTH($G132)+1,$I132)))))</f>
        <v/>
      </c>
      <c r="K132" s="9" t="n"/>
      <c r="L132" s="13" t="n"/>
      <c r="M132" s="13" t="n"/>
      <c r="N132" s="13" t="n"/>
      <c r="O132" s="8">
        <f>IF(OR($G132="",$J132=""),"",$J132-$G132+1)</f>
        <v/>
      </c>
      <c r="P132" s="8">
        <f>IF(OR($G132="",$J132=""),"",$J132-$G132)</f>
        <v/>
      </c>
      <c r="Q132" s="9" t="n"/>
      <c r="R132" s="9" t="n"/>
      <c r="S132" s="9" t="n"/>
      <c r="T132" s="9" t="n"/>
      <c r="U132" s="9" t="n"/>
      <c r="V132" s="9" t="n"/>
      <c r="W132" s="14" t="n"/>
      <c r="X132" s="9" t="n"/>
      <c r="Y132" s="8">
        <f>IF($G132="","",IF($D132="","⚠部屋が未選択",IF(COUNTIF('M_部屋'!$A$4:$A$20,$D132)=0,"⚠部屋が未登録",IF(OR($J132="",$Q132="キャンセル"),"",IF(SUMPRODUCT(($D$5:$D$404=$D132)*($G$5:$G$404&lt;&gt;"")*($J$5:$J$404&lt;&gt;"")*($Q$5:$Q$404&lt;&gt;"キャンセル")*($G$5:$G$404&lt;$J132)*($J$5:$J$404&gt;$G132))&gt;1,"⚠重複","")))))</f>
        <v/>
      </c>
      <c r="Z132" s="8">
        <f>IF(OR($B132="",$G132=""),"",IF(SUMPRODUCT(('利用者マスタ'!$A$4:$A$60=$B132)*('利用者マスタ'!$B$4:$B$60&lt;&gt;""))=0,"",IF(SUMIFS($AA$5:$AA$404,$B$5:$B$404,$B132,$G$5:$G$404,"&gt;="&amp;DATE(YEAR($G132),MONTH($G132),1),$G$5:$G$404,"&lt;="&amp;EOMONTH($G132,0))&gt;SUMIFS('利用者マスタ'!$B$4:$B$60,'利用者マスタ'!$A$4:$A$60,$B132),"⚠支給量超過","")))</f>
        <v/>
      </c>
      <c r="AA132" s="8">
        <f>IF(OR($G132="",$J132="",$Q132="キャンセル"),0,IF(IFERROR(INDEX('M_区分'!$B$4:$B$20,MATCH($C132,'M_区分'!$A$4:$A$20,0)),"○")="○",$J132-$G132+1,0))</f>
        <v/>
      </c>
      <c r="AB132" s="8">
        <f>IF($E132&lt;&gt;"",$E132,$AB131)</f>
        <v/>
      </c>
      <c r="AC132" s="8">
        <f>IF(OR($G132="",$J132=""),"",IF(AND($G132&lt;=EOMONTH('02_カレンダー'!$B$4,0),$J132&gt;='02_カレンダー'!$B$4),$G132*10000+ROW(),""))</f>
        <v/>
      </c>
      <c r="AD132" s="8">
        <f>IF($H132="","",IF(ISNUMBER($H132),IF(AND($H132=INT($H132),$H132&gt;=0,$H132&lt;=24),TEXT(INT($H132),"00")&amp;":00",TEXT($H132,"hh:mm")),$H132))</f>
        <v/>
      </c>
      <c r="AE132" s="8">
        <f>IF($K132="","",IF(ISNUMBER($K132),IF(AND($K132=INT($K132),$K132&gt;=0,$K132&lt;=24),TEXT(INT($K132),"00")&amp;":00",TEXT($K132,"hh:mm")),$K132))</f>
        <v/>
      </c>
      <c r="AF132" s="8">
        <f>IF($G132="",0,$G132)</f>
        <v/>
      </c>
      <c r="AG132" s="8">
        <f>IF($J132="",0,$J132)</f>
        <v/>
      </c>
    </row>
    <row r="133">
      <c r="A133" s="8">
        <f>IF($G133="","","SS-"&amp;TEXT(ROW()-4,"0000"))</f>
        <v/>
      </c>
      <c r="B133" s="9" t="n"/>
      <c r="C133" s="9" t="n"/>
      <c r="D133" s="9" t="n"/>
      <c r="E133" s="10" t="n"/>
      <c r="F133" s="11" t="n"/>
      <c r="G133" s="12">
        <f>IF($F133="","",IF($F133&gt;31,$F133,IF($AB133="","",DATE(YEAR($AB133),MONTH($AB133),$F133))))</f>
        <v/>
      </c>
      <c r="H133" s="9" t="n"/>
      <c r="I133" s="11" t="n"/>
      <c r="J133" s="12">
        <f>IF($I133="","",IF($I133&gt;31,$I133,IF($G133="","",IF(DATE(YEAR($G133),MONTH($G133),$I133)&gt;=$G133,DATE(YEAR($G133),MONTH($G133),$I133),DATE(YEAR($G133),MONTH($G133)+1,$I133)))))</f>
        <v/>
      </c>
      <c r="K133" s="9" t="n"/>
      <c r="L133" s="13" t="n"/>
      <c r="M133" s="13" t="n"/>
      <c r="N133" s="13" t="n"/>
      <c r="O133" s="8">
        <f>IF(OR($G133="",$J133=""),"",$J133-$G133+1)</f>
        <v/>
      </c>
      <c r="P133" s="8">
        <f>IF(OR($G133="",$J133=""),"",$J133-$G133)</f>
        <v/>
      </c>
      <c r="Q133" s="9" t="n"/>
      <c r="R133" s="9" t="n"/>
      <c r="S133" s="9" t="n"/>
      <c r="T133" s="9" t="n"/>
      <c r="U133" s="9" t="n"/>
      <c r="V133" s="9" t="n"/>
      <c r="W133" s="14" t="n"/>
      <c r="X133" s="9" t="n"/>
      <c r="Y133" s="8">
        <f>IF($G133="","",IF($D133="","⚠部屋が未選択",IF(COUNTIF('M_部屋'!$A$4:$A$20,$D133)=0,"⚠部屋が未登録",IF(OR($J133="",$Q133="キャンセル"),"",IF(SUMPRODUCT(($D$5:$D$404=$D133)*($G$5:$G$404&lt;&gt;"")*($J$5:$J$404&lt;&gt;"")*($Q$5:$Q$404&lt;&gt;"キャンセル")*($G$5:$G$404&lt;$J133)*($J$5:$J$404&gt;$G133))&gt;1,"⚠重複","")))))</f>
        <v/>
      </c>
      <c r="Z133" s="8">
        <f>IF(OR($B133="",$G133=""),"",IF(SUMPRODUCT(('利用者マスタ'!$A$4:$A$60=$B133)*('利用者マスタ'!$B$4:$B$60&lt;&gt;""))=0,"",IF(SUMIFS($AA$5:$AA$404,$B$5:$B$404,$B133,$G$5:$G$404,"&gt;="&amp;DATE(YEAR($G133),MONTH($G133),1),$G$5:$G$404,"&lt;="&amp;EOMONTH($G133,0))&gt;SUMIFS('利用者マスタ'!$B$4:$B$60,'利用者マスタ'!$A$4:$A$60,$B133),"⚠支給量超過","")))</f>
        <v/>
      </c>
      <c r="AA133" s="8">
        <f>IF(OR($G133="",$J133="",$Q133="キャンセル"),0,IF(IFERROR(INDEX('M_区分'!$B$4:$B$20,MATCH($C133,'M_区分'!$A$4:$A$20,0)),"○")="○",$J133-$G133+1,0))</f>
        <v/>
      </c>
      <c r="AB133" s="8">
        <f>IF($E133&lt;&gt;"",$E133,$AB132)</f>
        <v/>
      </c>
      <c r="AC133" s="8">
        <f>IF(OR($G133="",$J133=""),"",IF(AND($G133&lt;=EOMONTH('02_カレンダー'!$B$4,0),$J133&gt;='02_カレンダー'!$B$4),$G133*10000+ROW(),""))</f>
        <v/>
      </c>
      <c r="AD133" s="8">
        <f>IF($H133="","",IF(ISNUMBER($H133),IF(AND($H133=INT($H133),$H133&gt;=0,$H133&lt;=24),TEXT(INT($H133),"00")&amp;":00",TEXT($H133,"hh:mm")),$H133))</f>
        <v/>
      </c>
      <c r="AE133" s="8">
        <f>IF($K133="","",IF(ISNUMBER($K133),IF(AND($K133=INT($K133),$K133&gt;=0,$K133&lt;=24),TEXT(INT($K133),"00")&amp;":00",TEXT($K133,"hh:mm")),$K133))</f>
        <v/>
      </c>
      <c r="AF133" s="8">
        <f>IF($G133="",0,$G133)</f>
        <v/>
      </c>
      <c r="AG133" s="8">
        <f>IF($J133="",0,$J133)</f>
        <v/>
      </c>
    </row>
    <row r="134">
      <c r="A134" s="8">
        <f>IF($G134="","","SS-"&amp;TEXT(ROW()-4,"0000"))</f>
        <v/>
      </c>
      <c r="B134" s="9" t="n"/>
      <c r="C134" s="9" t="n"/>
      <c r="D134" s="9" t="n"/>
      <c r="E134" s="10" t="n"/>
      <c r="F134" s="11" t="n"/>
      <c r="G134" s="12">
        <f>IF($F134="","",IF($F134&gt;31,$F134,IF($AB134="","",DATE(YEAR($AB134),MONTH($AB134),$F134))))</f>
        <v/>
      </c>
      <c r="H134" s="9" t="n"/>
      <c r="I134" s="11" t="n"/>
      <c r="J134" s="12">
        <f>IF($I134="","",IF($I134&gt;31,$I134,IF($G134="","",IF(DATE(YEAR($G134),MONTH($G134),$I134)&gt;=$G134,DATE(YEAR($G134),MONTH($G134),$I134),DATE(YEAR($G134),MONTH($G134)+1,$I134)))))</f>
        <v/>
      </c>
      <c r="K134" s="9" t="n"/>
      <c r="L134" s="13" t="n"/>
      <c r="M134" s="13" t="n"/>
      <c r="N134" s="13" t="n"/>
      <c r="O134" s="8">
        <f>IF(OR($G134="",$J134=""),"",$J134-$G134+1)</f>
        <v/>
      </c>
      <c r="P134" s="8">
        <f>IF(OR($G134="",$J134=""),"",$J134-$G134)</f>
        <v/>
      </c>
      <c r="Q134" s="9" t="n"/>
      <c r="R134" s="9" t="n"/>
      <c r="S134" s="9" t="n"/>
      <c r="T134" s="9" t="n"/>
      <c r="U134" s="9" t="n"/>
      <c r="V134" s="9" t="n"/>
      <c r="W134" s="14" t="n"/>
      <c r="X134" s="9" t="n"/>
      <c r="Y134" s="8">
        <f>IF($G134="","",IF($D134="","⚠部屋が未選択",IF(COUNTIF('M_部屋'!$A$4:$A$20,$D134)=0,"⚠部屋が未登録",IF(OR($J134="",$Q134="キャンセル"),"",IF(SUMPRODUCT(($D$5:$D$404=$D134)*($G$5:$G$404&lt;&gt;"")*($J$5:$J$404&lt;&gt;"")*($Q$5:$Q$404&lt;&gt;"キャンセル")*($G$5:$G$404&lt;$J134)*($J$5:$J$404&gt;$G134))&gt;1,"⚠重複","")))))</f>
        <v/>
      </c>
      <c r="Z134" s="8">
        <f>IF(OR($B134="",$G134=""),"",IF(SUMPRODUCT(('利用者マスタ'!$A$4:$A$60=$B134)*('利用者マスタ'!$B$4:$B$60&lt;&gt;""))=0,"",IF(SUMIFS($AA$5:$AA$404,$B$5:$B$404,$B134,$G$5:$G$404,"&gt;="&amp;DATE(YEAR($G134),MONTH($G134),1),$G$5:$G$404,"&lt;="&amp;EOMONTH($G134,0))&gt;SUMIFS('利用者マスタ'!$B$4:$B$60,'利用者マスタ'!$A$4:$A$60,$B134),"⚠支給量超過","")))</f>
        <v/>
      </c>
      <c r="AA134" s="8">
        <f>IF(OR($G134="",$J134="",$Q134="キャンセル"),0,IF(IFERROR(INDEX('M_区分'!$B$4:$B$20,MATCH($C134,'M_区分'!$A$4:$A$20,0)),"○")="○",$J134-$G134+1,0))</f>
        <v/>
      </c>
      <c r="AB134" s="8">
        <f>IF($E134&lt;&gt;"",$E134,$AB133)</f>
        <v/>
      </c>
      <c r="AC134" s="8">
        <f>IF(OR($G134="",$J134=""),"",IF(AND($G134&lt;=EOMONTH('02_カレンダー'!$B$4,0),$J134&gt;='02_カレンダー'!$B$4),$G134*10000+ROW(),""))</f>
        <v/>
      </c>
      <c r="AD134" s="8">
        <f>IF($H134="","",IF(ISNUMBER($H134),IF(AND($H134=INT($H134),$H134&gt;=0,$H134&lt;=24),TEXT(INT($H134),"00")&amp;":00",TEXT($H134,"hh:mm")),$H134))</f>
        <v/>
      </c>
      <c r="AE134" s="8">
        <f>IF($K134="","",IF(ISNUMBER($K134),IF(AND($K134=INT($K134),$K134&gt;=0,$K134&lt;=24),TEXT(INT($K134),"00")&amp;":00",TEXT($K134,"hh:mm")),$K134))</f>
        <v/>
      </c>
      <c r="AF134" s="8">
        <f>IF($G134="",0,$G134)</f>
        <v/>
      </c>
      <c r="AG134" s="8">
        <f>IF($J134="",0,$J134)</f>
        <v/>
      </c>
    </row>
    <row r="135">
      <c r="A135" s="8">
        <f>IF($G135="","","SS-"&amp;TEXT(ROW()-4,"0000"))</f>
        <v/>
      </c>
      <c r="B135" s="9" t="n"/>
      <c r="C135" s="9" t="n"/>
      <c r="D135" s="9" t="n"/>
      <c r="E135" s="10" t="n"/>
      <c r="F135" s="11" t="n"/>
      <c r="G135" s="12">
        <f>IF($F135="","",IF($F135&gt;31,$F135,IF($AB135="","",DATE(YEAR($AB135),MONTH($AB135),$F135))))</f>
        <v/>
      </c>
      <c r="H135" s="9" t="n"/>
      <c r="I135" s="11" t="n"/>
      <c r="J135" s="12">
        <f>IF($I135="","",IF($I135&gt;31,$I135,IF($G135="","",IF(DATE(YEAR($G135),MONTH($G135),$I135)&gt;=$G135,DATE(YEAR($G135),MONTH($G135),$I135),DATE(YEAR($G135),MONTH($G135)+1,$I135)))))</f>
        <v/>
      </c>
      <c r="K135" s="9" t="n"/>
      <c r="L135" s="13" t="n"/>
      <c r="M135" s="13" t="n"/>
      <c r="N135" s="13" t="n"/>
      <c r="O135" s="8">
        <f>IF(OR($G135="",$J135=""),"",$J135-$G135+1)</f>
        <v/>
      </c>
      <c r="P135" s="8">
        <f>IF(OR($G135="",$J135=""),"",$J135-$G135)</f>
        <v/>
      </c>
      <c r="Q135" s="9" t="n"/>
      <c r="R135" s="9" t="n"/>
      <c r="S135" s="9" t="n"/>
      <c r="T135" s="9" t="n"/>
      <c r="U135" s="9" t="n"/>
      <c r="V135" s="9" t="n"/>
      <c r="W135" s="14" t="n"/>
      <c r="X135" s="9" t="n"/>
      <c r="Y135" s="8">
        <f>IF($G135="","",IF($D135="","⚠部屋が未選択",IF(COUNTIF('M_部屋'!$A$4:$A$20,$D135)=0,"⚠部屋が未登録",IF(OR($J135="",$Q135="キャンセル"),"",IF(SUMPRODUCT(($D$5:$D$404=$D135)*($G$5:$G$404&lt;&gt;"")*($J$5:$J$404&lt;&gt;"")*($Q$5:$Q$404&lt;&gt;"キャンセル")*($G$5:$G$404&lt;$J135)*($J$5:$J$404&gt;$G135))&gt;1,"⚠重複","")))))</f>
        <v/>
      </c>
      <c r="Z135" s="8">
        <f>IF(OR($B135="",$G135=""),"",IF(SUMPRODUCT(('利用者マスタ'!$A$4:$A$60=$B135)*('利用者マスタ'!$B$4:$B$60&lt;&gt;""))=0,"",IF(SUMIFS($AA$5:$AA$404,$B$5:$B$404,$B135,$G$5:$G$404,"&gt;="&amp;DATE(YEAR($G135),MONTH($G135),1),$G$5:$G$404,"&lt;="&amp;EOMONTH($G135,0))&gt;SUMIFS('利用者マスタ'!$B$4:$B$60,'利用者マスタ'!$A$4:$A$60,$B135),"⚠支給量超過","")))</f>
        <v/>
      </c>
      <c r="AA135" s="8">
        <f>IF(OR($G135="",$J135="",$Q135="キャンセル"),0,IF(IFERROR(INDEX('M_区分'!$B$4:$B$20,MATCH($C135,'M_区分'!$A$4:$A$20,0)),"○")="○",$J135-$G135+1,0))</f>
        <v/>
      </c>
      <c r="AB135" s="8">
        <f>IF($E135&lt;&gt;"",$E135,$AB134)</f>
        <v/>
      </c>
      <c r="AC135" s="8">
        <f>IF(OR($G135="",$J135=""),"",IF(AND($G135&lt;=EOMONTH('02_カレンダー'!$B$4,0),$J135&gt;='02_カレンダー'!$B$4),$G135*10000+ROW(),""))</f>
        <v/>
      </c>
      <c r="AD135" s="8">
        <f>IF($H135="","",IF(ISNUMBER($H135),IF(AND($H135=INT($H135),$H135&gt;=0,$H135&lt;=24),TEXT(INT($H135),"00")&amp;":00",TEXT($H135,"hh:mm")),$H135))</f>
        <v/>
      </c>
      <c r="AE135" s="8">
        <f>IF($K135="","",IF(ISNUMBER($K135),IF(AND($K135=INT($K135),$K135&gt;=0,$K135&lt;=24),TEXT(INT($K135),"00")&amp;":00",TEXT($K135,"hh:mm")),$K135))</f>
        <v/>
      </c>
      <c r="AF135" s="8">
        <f>IF($G135="",0,$G135)</f>
        <v/>
      </c>
      <c r="AG135" s="8">
        <f>IF($J135="",0,$J135)</f>
        <v/>
      </c>
    </row>
    <row r="136">
      <c r="A136" s="8">
        <f>IF($G136="","","SS-"&amp;TEXT(ROW()-4,"0000"))</f>
        <v/>
      </c>
      <c r="B136" s="9" t="n"/>
      <c r="C136" s="9" t="n"/>
      <c r="D136" s="9" t="n"/>
      <c r="E136" s="10" t="n"/>
      <c r="F136" s="11" t="n"/>
      <c r="G136" s="12">
        <f>IF($F136="","",IF($F136&gt;31,$F136,IF($AB136="","",DATE(YEAR($AB136),MONTH($AB136),$F136))))</f>
        <v/>
      </c>
      <c r="H136" s="9" t="n"/>
      <c r="I136" s="11" t="n"/>
      <c r="J136" s="12">
        <f>IF($I136="","",IF($I136&gt;31,$I136,IF($G136="","",IF(DATE(YEAR($G136),MONTH($G136),$I136)&gt;=$G136,DATE(YEAR($G136),MONTH($G136),$I136),DATE(YEAR($G136),MONTH($G136)+1,$I136)))))</f>
        <v/>
      </c>
      <c r="K136" s="9" t="n"/>
      <c r="L136" s="13" t="n"/>
      <c r="M136" s="13" t="n"/>
      <c r="N136" s="13" t="n"/>
      <c r="O136" s="8">
        <f>IF(OR($G136="",$J136=""),"",$J136-$G136+1)</f>
        <v/>
      </c>
      <c r="P136" s="8">
        <f>IF(OR($G136="",$J136=""),"",$J136-$G136)</f>
        <v/>
      </c>
      <c r="Q136" s="9" t="n"/>
      <c r="R136" s="9" t="n"/>
      <c r="S136" s="9" t="n"/>
      <c r="T136" s="9" t="n"/>
      <c r="U136" s="9" t="n"/>
      <c r="V136" s="9" t="n"/>
      <c r="W136" s="14" t="n"/>
      <c r="X136" s="9" t="n"/>
      <c r="Y136" s="8">
        <f>IF($G136="","",IF($D136="","⚠部屋が未選択",IF(COUNTIF('M_部屋'!$A$4:$A$20,$D136)=0,"⚠部屋が未登録",IF(OR($J136="",$Q136="キャンセル"),"",IF(SUMPRODUCT(($D$5:$D$404=$D136)*($G$5:$G$404&lt;&gt;"")*($J$5:$J$404&lt;&gt;"")*($Q$5:$Q$404&lt;&gt;"キャンセル")*($G$5:$G$404&lt;$J136)*($J$5:$J$404&gt;$G136))&gt;1,"⚠重複","")))))</f>
        <v/>
      </c>
      <c r="Z136" s="8">
        <f>IF(OR($B136="",$G136=""),"",IF(SUMPRODUCT(('利用者マスタ'!$A$4:$A$60=$B136)*('利用者マスタ'!$B$4:$B$60&lt;&gt;""))=0,"",IF(SUMIFS($AA$5:$AA$404,$B$5:$B$404,$B136,$G$5:$G$404,"&gt;="&amp;DATE(YEAR($G136),MONTH($G136),1),$G$5:$G$404,"&lt;="&amp;EOMONTH($G136,0))&gt;SUMIFS('利用者マスタ'!$B$4:$B$60,'利用者マスタ'!$A$4:$A$60,$B136),"⚠支給量超過","")))</f>
        <v/>
      </c>
      <c r="AA136" s="8">
        <f>IF(OR($G136="",$J136="",$Q136="キャンセル"),0,IF(IFERROR(INDEX('M_区分'!$B$4:$B$20,MATCH($C136,'M_区分'!$A$4:$A$20,0)),"○")="○",$J136-$G136+1,0))</f>
        <v/>
      </c>
      <c r="AB136" s="8">
        <f>IF($E136&lt;&gt;"",$E136,$AB135)</f>
        <v/>
      </c>
      <c r="AC136" s="8">
        <f>IF(OR($G136="",$J136=""),"",IF(AND($G136&lt;=EOMONTH('02_カレンダー'!$B$4,0),$J136&gt;='02_カレンダー'!$B$4),$G136*10000+ROW(),""))</f>
        <v/>
      </c>
      <c r="AD136" s="8">
        <f>IF($H136="","",IF(ISNUMBER($H136),IF(AND($H136=INT($H136),$H136&gt;=0,$H136&lt;=24),TEXT(INT($H136),"00")&amp;":00",TEXT($H136,"hh:mm")),$H136))</f>
        <v/>
      </c>
      <c r="AE136" s="8">
        <f>IF($K136="","",IF(ISNUMBER($K136),IF(AND($K136=INT($K136),$K136&gt;=0,$K136&lt;=24),TEXT(INT($K136),"00")&amp;":00",TEXT($K136,"hh:mm")),$K136))</f>
        <v/>
      </c>
      <c r="AF136" s="8">
        <f>IF($G136="",0,$G136)</f>
        <v/>
      </c>
      <c r="AG136" s="8">
        <f>IF($J136="",0,$J136)</f>
        <v/>
      </c>
    </row>
    <row r="137">
      <c r="A137" s="8">
        <f>IF($G137="","","SS-"&amp;TEXT(ROW()-4,"0000"))</f>
        <v/>
      </c>
      <c r="B137" s="9" t="n"/>
      <c r="C137" s="9" t="n"/>
      <c r="D137" s="9" t="n"/>
      <c r="E137" s="10" t="n"/>
      <c r="F137" s="11" t="n"/>
      <c r="G137" s="12">
        <f>IF($F137="","",IF($F137&gt;31,$F137,IF($AB137="","",DATE(YEAR($AB137),MONTH($AB137),$F137))))</f>
        <v/>
      </c>
      <c r="H137" s="9" t="n"/>
      <c r="I137" s="11" t="n"/>
      <c r="J137" s="12">
        <f>IF($I137="","",IF($I137&gt;31,$I137,IF($G137="","",IF(DATE(YEAR($G137),MONTH($G137),$I137)&gt;=$G137,DATE(YEAR($G137),MONTH($G137),$I137),DATE(YEAR($G137),MONTH($G137)+1,$I137)))))</f>
        <v/>
      </c>
      <c r="K137" s="9" t="n"/>
      <c r="L137" s="13" t="n"/>
      <c r="M137" s="13" t="n"/>
      <c r="N137" s="13" t="n"/>
      <c r="O137" s="8">
        <f>IF(OR($G137="",$J137=""),"",$J137-$G137+1)</f>
        <v/>
      </c>
      <c r="P137" s="8">
        <f>IF(OR($G137="",$J137=""),"",$J137-$G137)</f>
        <v/>
      </c>
      <c r="Q137" s="9" t="n"/>
      <c r="R137" s="9" t="n"/>
      <c r="S137" s="9" t="n"/>
      <c r="T137" s="9" t="n"/>
      <c r="U137" s="9" t="n"/>
      <c r="V137" s="9" t="n"/>
      <c r="W137" s="14" t="n"/>
      <c r="X137" s="9" t="n"/>
      <c r="Y137" s="8">
        <f>IF($G137="","",IF($D137="","⚠部屋が未選択",IF(COUNTIF('M_部屋'!$A$4:$A$20,$D137)=0,"⚠部屋が未登録",IF(OR($J137="",$Q137="キャンセル"),"",IF(SUMPRODUCT(($D$5:$D$404=$D137)*($G$5:$G$404&lt;&gt;"")*($J$5:$J$404&lt;&gt;"")*($Q$5:$Q$404&lt;&gt;"キャンセル")*($G$5:$G$404&lt;$J137)*($J$5:$J$404&gt;$G137))&gt;1,"⚠重複","")))))</f>
        <v/>
      </c>
      <c r="Z137" s="8">
        <f>IF(OR($B137="",$G137=""),"",IF(SUMPRODUCT(('利用者マスタ'!$A$4:$A$60=$B137)*('利用者マスタ'!$B$4:$B$60&lt;&gt;""))=0,"",IF(SUMIFS($AA$5:$AA$404,$B$5:$B$404,$B137,$G$5:$G$404,"&gt;="&amp;DATE(YEAR($G137),MONTH($G137),1),$G$5:$G$404,"&lt;="&amp;EOMONTH($G137,0))&gt;SUMIFS('利用者マスタ'!$B$4:$B$60,'利用者マスタ'!$A$4:$A$60,$B137),"⚠支給量超過","")))</f>
        <v/>
      </c>
      <c r="AA137" s="8">
        <f>IF(OR($G137="",$J137="",$Q137="キャンセル"),0,IF(IFERROR(INDEX('M_区分'!$B$4:$B$20,MATCH($C137,'M_区分'!$A$4:$A$20,0)),"○")="○",$J137-$G137+1,0))</f>
        <v/>
      </c>
      <c r="AB137" s="8">
        <f>IF($E137&lt;&gt;"",$E137,$AB136)</f>
        <v/>
      </c>
      <c r="AC137" s="8">
        <f>IF(OR($G137="",$J137=""),"",IF(AND($G137&lt;=EOMONTH('02_カレンダー'!$B$4,0),$J137&gt;='02_カレンダー'!$B$4),$G137*10000+ROW(),""))</f>
        <v/>
      </c>
      <c r="AD137" s="8">
        <f>IF($H137="","",IF(ISNUMBER($H137),IF(AND($H137=INT($H137),$H137&gt;=0,$H137&lt;=24),TEXT(INT($H137),"00")&amp;":00",TEXT($H137,"hh:mm")),$H137))</f>
        <v/>
      </c>
      <c r="AE137" s="8">
        <f>IF($K137="","",IF(ISNUMBER($K137),IF(AND($K137=INT($K137),$K137&gt;=0,$K137&lt;=24),TEXT(INT($K137),"00")&amp;":00",TEXT($K137,"hh:mm")),$K137))</f>
        <v/>
      </c>
      <c r="AF137" s="8">
        <f>IF($G137="",0,$G137)</f>
        <v/>
      </c>
      <c r="AG137" s="8">
        <f>IF($J137="",0,$J137)</f>
        <v/>
      </c>
    </row>
    <row r="138">
      <c r="A138" s="8">
        <f>IF($G138="","","SS-"&amp;TEXT(ROW()-4,"0000"))</f>
        <v/>
      </c>
      <c r="B138" s="9" t="n"/>
      <c r="C138" s="9" t="n"/>
      <c r="D138" s="9" t="n"/>
      <c r="E138" s="10" t="n"/>
      <c r="F138" s="11" t="n"/>
      <c r="G138" s="12">
        <f>IF($F138="","",IF($F138&gt;31,$F138,IF($AB138="","",DATE(YEAR($AB138),MONTH($AB138),$F138))))</f>
        <v/>
      </c>
      <c r="H138" s="9" t="n"/>
      <c r="I138" s="11" t="n"/>
      <c r="J138" s="12">
        <f>IF($I138="","",IF($I138&gt;31,$I138,IF($G138="","",IF(DATE(YEAR($G138),MONTH($G138),$I138)&gt;=$G138,DATE(YEAR($G138),MONTH($G138),$I138),DATE(YEAR($G138),MONTH($G138)+1,$I138)))))</f>
        <v/>
      </c>
      <c r="K138" s="9" t="n"/>
      <c r="L138" s="13" t="n"/>
      <c r="M138" s="13" t="n"/>
      <c r="N138" s="13" t="n"/>
      <c r="O138" s="8">
        <f>IF(OR($G138="",$J138=""),"",$J138-$G138+1)</f>
        <v/>
      </c>
      <c r="P138" s="8">
        <f>IF(OR($G138="",$J138=""),"",$J138-$G138)</f>
        <v/>
      </c>
      <c r="Q138" s="9" t="n"/>
      <c r="R138" s="9" t="n"/>
      <c r="S138" s="9" t="n"/>
      <c r="T138" s="9" t="n"/>
      <c r="U138" s="9" t="n"/>
      <c r="V138" s="9" t="n"/>
      <c r="W138" s="14" t="n"/>
      <c r="X138" s="9" t="n"/>
      <c r="Y138" s="8">
        <f>IF($G138="","",IF($D138="","⚠部屋が未選択",IF(COUNTIF('M_部屋'!$A$4:$A$20,$D138)=0,"⚠部屋が未登録",IF(OR($J138="",$Q138="キャンセル"),"",IF(SUMPRODUCT(($D$5:$D$404=$D138)*($G$5:$G$404&lt;&gt;"")*($J$5:$J$404&lt;&gt;"")*($Q$5:$Q$404&lt;&gt;"キャンセル")*($G$5:$G$404&lt;$J138)*($J$5:$J$404&gt;$G138))&gt;1,"⚠重複","")))))</f>
        <v/>
      </c>
      <c r="Z138" s="8">
        <f>IF(OR($B138="",$G138=""),"",IF(SUMPRODUCT(('利用者マスタ'!$A$4:$A$60=$B138)*('利用者マスタ'!$B$4:$B$60&lt;&gt;""))=0,"",IF(SUMIFS($AA$5:$AA$404,$B$5:$B$404,$B138,$G$5:$G$404,"&gt;="&amp;DATE(YEAR($G138),MONTH($G138),1),$G$5:$G$404,"&lt;="&amp;EOMONTH($G138,0))&gt;SUMIFS('利用者マスタ'!$B$4:$B$60,'利用者マスタ'!$A$4:$A$60,$B138),"⚠支給量超過","")))</f>
        <v/>
      </c>
      <c r="AA138" s="8">
        <f>IF(OR($G138="",$J138="",$Q138="キャンセル"),0,IF(IFERROR(INDEX('M_区分'!$B$4:$B$20,MATCH($C138,'M_区分'!$A$4:$A$20,0)),"○")="○",$J138-$G138+1,0))</f>
        <v/>
      </c>
      <c r="AB138" s="8">
        <f>IF($E138&lt;&gt;"",$E138,$AB137)</f>
        <v/>
      </c>
      <c r="AC138" s="8">
        <f>IF(OR($G138="",$J138=""),"",IF(AND($G138&lt;=EOMONTH('02_カレンダー'!$B$4,0),$J138&gt;='02_カレンダー'!$B$4),$G138*10000+ROW(),""))</f>
        <v/>
      </c>
      <c r="AD138" s="8">
        <f>IF($H138="","",IF(ISNUMBER($H138),IF(AND($H138=INT($H138),$H138&gt;=0,$H138&lt;=24),TEXT(INT($H138),"00")&amp;":00",TEXT($H138,"hh:mm")),$H138))</f>
        <v/>
      </c>
      <c r="AE138" s="8">
        <f>IF($K138="","",IF(ISNUMBER($K138),IF(AND($K138=INT($K138),$K138&gt;=0,$K138&lt;=24),TEXT(INT($K138),"00")&amp;":00",TEXT($K138,"hh:mm")),$K138))</f>
        <v/>
      </c>
      <c r="AF138" s="8">
        <f>IF($G138="",0,$G138)</f>
        <v/>
      </c>
      <c r="AG138" s="8">
        <f>IF($J138="",0,$J138)</f>
        <v/>
      </c>
    </row>
    <row r="139">
      <c r="A139" s="8">
        <f>IF($G139="","","SS-"&amp;TEXT(ROW()-4,"0000"))</f>
        <v/>
      </c>
      <c r="B139" s="9" t="n"/>
      <c r="C139" s="9" t="n"/>
      <c r="D139" s="9" t="n"/>
      <c r="E139" s="10" t="n"/>
      <c r="F139" s="11" t="n"/>
      <c r="G139" s="12">
        <f>IF($F139="","",IF($F139&gt;31,$F139,IF($AB139="","",DATE(YEAR($AB139),MONTH($AB139),$F139))))</f>
        <v/>
      </c>
      <c r="H139" s="9" t="n"/>
      <c r="I139" s="11" t="n"/>
      <c r="J139" s="12">
        <f>IF($I139="","",IF($I139&gt;31,$I139,IF($G139="","",IF(DATE(YEAR($G139),MONTH($G139),$I139)&gt;=$G139,DATE(YEAR($G139),MONTH($G139),$I139),DATE(YEAR($G139),MONTH($G139)+1,$I139)))))</f>
        <v/>
      </c>
      <c r="K139" s="9" t="n"/>
      <c r="L139" s="13" t="n"/>
      <c r="M139" s="13" t="n"/>
      <c r="N139" s="13" t="n"/>
      <c r="O139" s="8">
        <f>IF(OR($G139="",$J139=""),"",$J139-$G139+1)</f>
        <v/>
      </c>
      <c r="P139" s="8">
        <f>IF(OR($G139="",$J139=""),"",$J139-$G139)</f>
        <v/>
      </c>
      <c r="Q139" s="9" t="n"/>
      <c r="R139" s="9" t="n"/>
      <c r="S139" s="9" t="n"/>
      <c r="T139" s="9" t="n"/>
      <c r="U139" s="9" t="n"/>
      <c r="V139" s="9" t="n"/>
      <c r="W139" s="14" t="n"/>
      <c r="X139" s="9" t="n"/>
      <c r="Y139" s="8">
        <f>IF($G139="","",IF($D139="","⚠部屋が未選択",IF(COUNTIF('M_部屋'!$A$4:$A$20,$D139)=0,"⚠部屋が未登録",IF(OR($J139="",$Q139="キャンセル"),"",IF(SUMPRODUCT(($D$5:$D$404=$D139)*($G$5:$G$404&lt;&gt;"")*($J$5:$J$404&lt;&gt;"")*($Q$5:$Q$404&lt;&gt;"キャンセル")*($G$5:$G$404&lt;$J139)*($J$5:$J$404&gt;$G139))&gt;1,"⚠重複","")))))</f>
        <v/>
      </c>
      <c r="Z139" s="8">
        <f>IF(OR($B139="",$G139=""),"",IF(SUMPRODUCT(('利用者マスタ'!$A$4:$A$60=$B139)*('利用者マスタ'!$B$4:$B$60&lt;&gt;""))=0,"",IF(SUMIFS($AA$5:$AA$404,$B$5:$B$404,$B139,$G$5:$G$404,"&gt;="&amp;DATE(YEAR($G139),MONTH($G139),1),$G$5:$G$404,"&lt;="&amp;EOMONTH($G139,0))&gt;SUMIFS('利用者マスタ'!$B$4:$B$60,'利用者マスタ'!$A$4:$A$60,$B139),"⚠支給量超過","")))</f>
        <v/>
      </c>
      <c r="AA139" s="8">
        <f>IF(OR($G139="",$J139="",$Q139="キャンセル"),0,IF(IFERROR(INDEX('M_区分'!$B$4:$B$20,MATCH($C139,'M_区分'!$A$4:$A$20,0)),"○")="○",$J139-$G139+1,0))</f>
        <v/>
      </c>
      <c r="AB139" s="8">
        <f>IF($E139&lt;&gt;"",$E139,$AB138)</f>
        <v/>
      </c>
      <c r="AC139" s="8">
        <f>IF(OR($G139="",$J139=""),"",IF(AND($G139&lt;=EOMONTH('02_カレンダー'!$B$4,0),$J139&gt;='02_カレンダー'!$B$4),$G139*10000+ROW(),""))</f>
        <v/>
      </c>
      <c r="AD139" s="8">
        <f>IF($H139="","",IF(ISNUMBER($H139),IF(AND($H139=INT($H139),$H139&gt;=0,$H139&lt;=24),TEXT(INT($H139),"00")&amp;":00",TEXT($H139,"hh:mm")),$H139))</f>
        <v/>
      </c>
      <c r="AE139" s="8">
        <f>IF($K139="","",IF(ISNUMBER($K139),IF(AND($K139=INT($K139),$K139&gt;=0,$K139&lt;=24),TEXT(INT($K139),"00")&amp;":00",TEXT($K139,"hh:mm")),$K139))</f>
        <v/>
      </c>
      <c r="AF139" s="8">
        <f>IF($G139="",0,$G139)</f>
        <v/>
      </c>
      <c r="AG139" s="8">
        <f>IF($J139="",0,$J139)</f>
        <v/>
      </c>
    </row>
    <row r="140">
      <c r="A140" s="8">
        <f>IF($G140="","","SS-"&amp;TEXT(ROW()-4,"0000"))</f>
        <v/>
      </c>
      <c r="B140" s="9" t="n"/>
      <c r="C140" s="9" t="n"/>
      <c r="D140" s="9" t="n"/>
      <c r="E140" s="10" t="n"/>
      <c r="F140" s="11" t="n"/>
      <c r="G140" s="12">
        <f>IF($F140="","",IF($F140&gt;31,$F140,IF($AB140="","",DATE(YEAR($AB140),MONTH($AB140),$F140))))</f>
        <v/>
      </c>
      <c r="H140" s="9" t="n"/>
      <c r="I140" s="11" t="n"/>
      <c r="J140" s="12">
        <f>IF($I140="","",IF($I140&gt;31,$I140,IF($G140="","",IF(DATE(YEAR($G140),MONTH($G140),$I140)&gt;=$G140,DATE(YEAR($G140),MONTH($G140),$I140),DATE(YEAR($G140),MONTH($G140)+1,$I140)))))</f>
        <v/>
      </c>
      <c r="K140" s="9" t="n"/>
      <c r="L140" s="13" t="n"/>
      <c r="M140" s="13" t="n"/>
      <c r="N140" s="13" t="n"/>
      <c r="O140" s="8">
        <f>IF(OR($G140="",$J140=""),"",$J140-$G140+1)</f>
        <v/>
      </c>
      <c r="P140" s="8">
        <f>IF(OR($G140="",$J140=""),"",$J140-$G140)</f>
        <v/>
      </c>
      <c r="Q140" s="9" t="n"/>
      <c r="R140" s="9" t="n"/>
      <c r="S140" s="9" t="n"/>
      <c r="T140" s="9" t="n"/>
      <c r="U140" s="9" t="n"/>
      <c r="V140" s="9" t="n"/>
      <c r="W140" s="14" t="n"/>
      <c r="X140" s="9" t="n"/>
      <c r="Y140" s="8">
        <f>IF($G140="","",IF($D140="","⚠部屋が未選択",IF(COUNTIF('M_部屋'!$A$4:$A$20,$D140)=0,"⚠部屋が未登録",IF(OR($J140="",$Q140="キャンセル"),"",IF(SUMPRODUCT(($D$5:$D$404=$D140)*($G$5:$G$404&lt;&gt;"")*($J$5:$J$404&lt;&gt;"")*($Q$5:$Q$404&lt;&gt;"キャンセル")*($G$5:$G$404&lt;$J140)*($J$5:$J$404&gt;$G140))&gt;1,"⚠重複","")))))</f>
        <v/>
      </c>
      <c r="Z140" s="8">
        <f>IF(OR($B140="",$G140=""),"",IF(SUMPRODUCT(('利用者マスタ'!$A$4:$A$60=$B140)*('利用者マスタ'!$B$4:$B$60&lt;&gt;""))=0,"",IF(SUMIFS($AA$5:$AA$404,$B$5:$B$404,$B140,$G$5:$G$404,"&gt;="&amp;DATE(YEAR($G140),MONTH($G140),1),$G$5:$G$404,"&lt;="&amp;EOMONTH($G140,0))&gt;SUMIFS('利用者マスタ'!$B$4:$B$60,'利用者マスタ'!$A$4:$A$60,$B140),"⚠支給量超過","")))</f>
        <v/>
      </c>
      <c r="AA140" s="8">
        <f>IF(OR($G140="",$J140="",$Q140="キャンセル"),0,IF(IFERROR(INDEX('M_区分'!$B$4:$B$20,MATCH($C140,'M_区分'!$A$4:$A$20,0)),"○")="○",$J140-$G140+1,0))</f>
        <v/>
      </c>
      <c r="AB140" s="8">
        <f>IF($E140&lt;&gt;"",$E140,$AB139)</f>
        <v/>
      </c>
      <c r="AC140" s="8">
        <f>IF(OR($G140="",$J140=""),"",IF(AND($G140&lt;=EOMONTH('02_カレンダー'!$B$4,0),$J140&gt;='02_カレンダー'!$B$4),$G140*10000+ROW(),""))</f>
        <v/>
      </c>
      <c r="AD140" s="8">
        <f>IF($H140="","",IF(ISNUMBER($H140),IF(AND($H140=INT($H140),$H140&gt;=0,$H140&lt;=24),TEXT(INT($H140),"00")&amp;":00",TEXT($H140,"hh:mm")),$H140))</f>
        <v/>
      </c>
      <c r="AE140" s="8">
        <f>IF($K140="","",IF(ISNUMBER($K140),IF(AND($K140=INT($K140),$K140&gt;=0,$K140&lt;=24),TEXT(INT($K140),"00")&amp;":00",TEXT($K140,"hh:mm")),$K140))</f>
        <v/>
      </c>
      <c r="AF140" s="8">
        <f>IF($G140="",0,$G140)</f>
        <v/>
      </c>
      <c r="AG140" s="8">
        <f>IF($J140="",0,$J140)</f>
        <v/>
      </c>
    </row>
    <row r="141">
      <c r="A141" s="8">
        <f>IF($G141="","","SS-"&amp;TEXT(ROW()-4,"0000"))</f>
        <v/>
      </c>
      <c r="B141" s="9" t="n"/>
      <c r="C141" s="9" t="n"/>
      <c r="D141" s="9" t="n"/>
      <c r="E141" s="10" t="n"/>
      <c r="F141" s="11" t="n"/>
      <c r="G141" s="12">
        <f>IF($F141="","",IF($F141&gt;31,$F141,IF($AB141="","",DATE(YEAR($AB141),MONTH($AB141),$F141))))</f>
        <v/>
      </c>
      <c r="H141" s="9" t="n"/>
      <c r="I141" s="11" t="n"/>
      <c r="J141" s="12">
        <f>IF($I141="","",IF($I141&gt;31,$I141,IF($G141="","",IF(DATE(YEAR($G141),MONTH($G141),$I141)&gt;=$G141,DATE(YEAR($G141),MONTH($G141),$I141),DATE(YEAR($G141),MONTH($G141)+1,$I141)))))</f>
        <v/>
      </c>
      <c r="K141" s="9" t="n"/>
      <c r="L141" s="13" t="n"/>
      <c r="M141" s="13" t="n"/>
      <c r="N141" s="13" t="n"/>
      <c r="O141" s="8">
        <f>IF(OR($G141="",$J141=""),"",$J141-$G141+1)</f>
        <v/>
      </c>
      <c r="P141" s="8">
        <f>IF(OR($G141="",$J141=""),"",$J141-$G141)</f>
        <v/>
      </c>
      <c r="Q141" s="9" t="n"/>
      <c r="R141" s="9" t="n"/>
      <c r="S141" s="9" t="n"/>
      <c r="T141" s="9" t="n"/>
      <c r="U141" s="9" t="n"/>
      <c r="V141" s="9" t="n"/>
      <c r="W141" s="14" t="n"/>
      <c r="X141" s="9" t="n"/>
      <c r="Y141" s="8">
        <f>IF($G141="","",IF($D141="","⚠部屋が未選択",IF(COUNTIF('M_部屋'!$A$4:$A$20,$D141)=0,"⚠部屋が未登録",IF(OR($J141="",$Q141="キャンセル"),"",IF(SUMPRODUCT(($D$5:$D$404=$D141)*($G$5:$G$404&lt;&gt;"")*($J$5:$J$404&lt;&gt;"")*($Q$5:$Q$404&lt;&gt;"キャンセル")*($G$5:$G$404&lt;$J141)*($J$5:$J$404&gt;$G141))&gt;1,"⚠重複","")))))</f>
        <v/>
      </c>
      <c r="Z141" s="8">
        <f>IF(OR($B141="",$G141=""),"",IF(SUMPRODUCT(('利用者マスタ'!$A$4:$A$60=$B141)*('利用者マスタ'!$B$4:$B$60&lt;&gt;""))=0,"",IF(SUMIFS($AA$5:$AA$404,$B$5:$B$404,$B141,$G$5:$G$404,"&gt;="&amp;DATE(YEAR($G141),MONTH($G141),1),$G$5:$G$404,"&lt;="&amp;EOMONTH($G141,0))&gt;SUMIFS('利用者マスタ'!$B$4:$B$60,'利用者マスタ'!$A$4:$A$60,$B141),"⚠支給量超過","")))</f>
        <v/>
      </c>
      <c r="AA141" s="8">
        <f>IF(OR($G141="",$J141="",$Q141="キャンセル"),0,IF(IFERROR(INDEX('M_区分'!$B$4:$B$20,MATCH($C141,'M_区分'!$A$4:$A$20,0)),"○")="○",$J141-$G141+1,0))</f>
        <v/>
      </c>
      <c r="AB141" s="8">
        <f>IF($E141&lt;&gt;"",$E141,$AB140)</f>
        <v/>
      </c>
      <c r="AC141" s="8">
        <f>IF(OR($G141="",$J141=""),"",IF(AND($G141&lt;=EOMONTH('02_カレンダー'!$B$4,0),$J141&gt;='02_カレンダー'!$B$4),$G141*10000+ROW(),""))</f>
        <v/>
      </c>
      <c r="AD141" s="8">
        <f>IF($H141="","",IF(ISNUMBER($H141),IF(AND($H141=INT($H141),$H141&gt;=0,$H141&lt;=24),TEXT(INT($H141),"00")&amp;":00",TEXT($H141,"hh:mm")),$H141))</f>
        <v/>
      </c>
      <c r="AE141" s="8">
        <f>IF($K141="","",IF(ISNUMBER($K141),IF(AND($K141=INT($K141),$K141&gt;=0,$K141&lt;=24),TEXT(INT($K141),"00")&amp;":00",TEXT($K141,"hh:mm")),$K141))</f>
        <v/>
      </c>
      <c r="AF141" s="8">
        <f>IF($G141="",0,$G141)</f>
        <v/>
      </c>
      <c r="AG141" s="8">
        <f>IF($J141="",0,$J141)</f>
        <v/>
      </c>
    </row>
    <row r="142">
      <c r="A142" s="8">
        <f>IF($G142="","","SS-"&amp;TEXT(ROW()-4,"0000"))</f>
        <v/>
      </c>
      <c r="B142" s="9" t="n"/>
      <c r="C142" s="9" t="n"/>
      <c r="D142" s="9" t="n"/>
      <c r="E142" s="10" t="n"/>
      <c r="F142" s="11" t="n"/>
      <c r="G142" s="12">
        <f>IF($F142="","",IF($F142&gt;31,$F142,IF($AB142="","",DATE(YEAR($AB142),MONTH($AB142),$F142))))</f>
        <v/>
      </c>
      <c r="H142" s="9" t="n"/>
      <c r="I142" s="11" t="n"/>
      <c r="J142" s="12">
        <f>IF($I142="","",IF($I142&gt;31,$I142,IF($G142="","",IF(DATE(YEAR($G142),MONTH($G142),$I142)&gt;=$G142,DATE(YEAR($G142),MONTH($G142),$I142),DATE(YEAR($G142),MONTH($G142)+1,$I142)))))</f>
        <v/>
      </c>
      <c r="K142" s="9" t="n"/>
      <c r="L142" s="13" t="n"/>
      <c r="M142" s="13" t="n"/>
      <c r="N142" s="13" t="n"/>
      <c r="O142" s="8">
        <f>IF(OR($G142="",$J142=""),"",$J142-$G142+1)</f>
        <v/>
      </c>
      <c r="P142" s="8">
        <f>IF(OR($G142="",$J142=""),"",$J142-$G142)</f>
        <v/>
      </c>
      <c r="Q142" s="9" t="n"/>
      <c r="R142" s="9" t="n"/>
      <c r="S142" s="9" t="n"/>
      <c r="T142" s="9" t="n"/>
      <c r="U142" s="9" t="n"/>
      <c r="V142" s="9" t="n"/>
      <c r="W142" s="14" t="n"/>
      <c r="X142" s="9" t="n"/>
      <c r="Y142" s="8">
        <f>IF($G142="","",IF($D142="","⚠部屋が未選択",IF(COUNTIF('M_部屋'!$A$4:$A$20,$D142)=0,"⚠部屋が未登録",IF(OR($J142="",$Q142="キャンセル"),"",IF(SUMPRODUCT(($D$5:$D$404=$D142)*($G$5:$G$404&lt;&gt;"")*($J$5:$J$404&lt;&gt;"")*($Q$5:$Q$404&lt;&gt;"キャンセル")*($G$5:$G$404&lt;$J142)*($J$5:$J$404&gt;$G142))&gt;1,"⚠重複","")))))</f>
        <v/>
      </c>
      <c r="Z142" s="8">
        <f>IF(OR($B142="",$G142=""),"",IF(SUMPRODUCT(('利用者マスタ'!$A$4:$A$60=$B142)*('利用者マスタ'!$B$4:$B$60&lt;&gt;""))=0,"",IF(SUMIFS($AA$5:$AA$404,$B$5:$B$404,$B142,$G$5:$G$404,"&gt;="&amp;DATE(YEAR($G142),MONTH($G142),1),$G$5:$G$404,"&lt;="&amp;EOMONTH($G142,0))&gt;SUMIFS('利用者マスタ'!$B$4:$B$60,'利用者マスタ'!$A$4:$A$60,$B142),"⚠支給量超過","")))</f>
        <v/>
      </c>
      <c r="AA142" s="8">
        <f>IF(OR($G142="",$J142="",$Q142="キャンセル"),0,IF(IFERROR(INDEX('M_区分'!$B$4:$B$20,MATCH($C142,'M_区分'!$A$4:$A$20,0)),"○")="○",$J142-$G142+1,0))</f>
        <v/>
      </c>
      <c r="AB142" s="8">
        <f>IF($E142&lt;&gt;"",$E142,$AB141)</f>
        <v/>
      </c>
      <c r="AC142" s="8">
        <f>IF(OR($G142="",$J142=""),"",IF(AND($G142&lt;=EOMONTH('02_カレンダー'!$B$4,0),$J142&gt;='02_カレンダー'!$B$4),$G142*10000+ROW(),""))</f>
        <v/>
      </c>
      <c r="AD142" s="8">
        <f>IF($H142="","",IF(ISNUMBER($H142),IF(AND($H142=INT($H142),$H142&gt;=0,$H142&lt;=24),TEXT(INT($H142),"00")&amp;":00",TEXT($H142,"hh:mm")),$H142))</f>
        <v/>
      </c>
      <c r="AE142" s="8">
        <f>IF($K142="","",IF(ISNUMBER($K142),IF(AND($K142=INT($K142),$K142&gt;=0,$K142&lt;=24),TEXT(INT($K142),"00")&amp;":00",TEXT($K142,"hh:mm")),$K142))</f>
        <v/>
      </c>
      <c r="AF142" s="8">
        <f>IF($G142="",0,$G142)</f>
        <v/>
      </c>
      <c r="AG142" s="8">
        <f>IF($J142="",0,$J142)</f>
        <v/>
      </c>
    </row>
    <row r="143">
      <c r="A143" s="8">
        <f>IF($G143="","","SS-"&amp;TEXT(ROW()-4,"0000"))</f>
        <v/>
      </c>
      <c r="B143" s="9" t="n"/>
      <c r="C143" s="9" t="n"/>
      <c r="D143" s="9" t="n"/>
      <c r="E143" s="10" t="n"/>
      <c r="F143" s="11" t="n"/>
      <c r="G143" s="12">
        <f>IF($F143="","",IF($F143&gt;31,$F143,IF($AB143="","",DATE(YEAR($AB143),MONTH($AB143),$F143))))</f>
        <v/>
      </c>
      <c r="H143" s="9" t="n"/>
      <c r="I143" s="11" t="n"/>
      <c r="J143" s="12">
        <f>IF($I143="","",IF($I143&gt;31,$I143,IF($G143="","",IF(DATE(YEAR($G143),MONTH($G143),$I143)&gt;=$G143,DATE(YEAR($G143),MONTH($G143),$I143),DATE(YEAR($G143),MONTH($G143)+1,$I143)))))</f>
        <v/>
      </c>
      <c r="K143" s="9" t="n"/>
      <c r="L143" s="13" t="n"/>
      <c r="M143" s="13" t="n"/>
      <c r="N143" s="13" t="n"/>
      <c r="O143" s="8">
        <f>IF(OR($G143="",$J143=""),"",$J143-$G143+1)</f>
        <v/>
      </c>
      <c r="P143" s="8">
        <f>IF(OR($G143="",$J143=""),"",$J143-$G143)</f>
        <v/>
      </c>
      <c r="Q143" s="9" t="n"/>
      <c r="R143" s="9" t="n"/>
      <c r="S143" s="9" t="n"/>
      <c r="T143" s="9" t="n"/>
      <c r="U143" s="9" t="n"/>
      <c r="V143" s="9" t="n"/>
      <c r="W143" s="14" t="n"/>
      <c r="X143" s="9" t="n"/>
      <c r="Y143" s="8">
        <f>IF($G143="","",IF($D143="","⚠部屋が未選択",IF(COUNTIF('M_部屋'!$A$4:$A$20,$D143)=0,"⚠部屋が未登録",IF(OR($J143="",$Q143="キャンセル"),"",IF(SUMPRODUCT(($D$5:$D$404=$D143)*($G$5:$G$404&lt;&gt;"")*($J$5:$J$404&lt;&gt;"")*($Q$5:$Q$404&lt;&gt;"キャンセル")*($G$5:$G$404&lt;$J143)*($J$5:$J$404&gt;$G143))&gt;1,"⚠重複","")))))</f>
        <v/>
      </c>
      <c r="Z143" s="8">
        <f>IF(OR($B143="",$G143=""),"",IF(SUMPRODUCT(('利用者マスタ'!$A$4:$A$60=$B143)*('利用者マスタ'!$B$4:$B$60&lt;&gt;""))=0,"",IF(SUMIFS($AA$5:$AA$404,$B$5:$B$404,$B143,$G$5:$G$404,"&gt;="&amp;DATE(YEAR($G143),MONTH($G143),1),$G$5:$G$404,"&lt;="&amp;EOMONTH($G143,0))&gt;SUMIFS('利用者マスタ'!$B$4:$B$60,'利用者マスタ'!$A$4:$A$60,$B143),"⚠支給量超過","")))</f>
        <v/>
      </c>
      <c r="AA143" s="8">
        <f>IF(OR($G143="",$J143="",$Q143="キャンセル"),0,IF(IFERROR(INDEX('M_区分'!$B$4:$B$20,MATCH($C143,'M_区分'!$A$4:$A$20,0)),"○")="○",$J143-$G143+1,0))</f>
        <v/>
      </c>
      <c r="AB143" s="8">
        <f>IF($E143&lt;&gt;"",$E143,$AB142)</f>
        <v/>
      </c>
      <c r="AC143" s="8">
        <f>IF(OR($G143="",$J143=""),"",IF(AND($G143&lt;=EOMONTH('02_カレンダー'!$B$4,0),$J143&gt;='02_カレンダー'!$B$4),$G143*10000+ROW(),""))</f>
        <v/>
      </c>
      <c r="AD143" s="8">
        <f>IF($H143="","",IF(ISNUMBER($H143),IF(AND($H143=INT($H143),$H143&gt;=0,$H143&lt;=24),TEXT(INT($H143),"00")&amp;":00",TEXT($H143,"hh:mm")),$H143))</f>
        <v/>
      </c>
      <c r="AE143" s="8">
        <f>IF($K143="","",IF(ISNUMBER($K143),IF(AND($K143=INT($K143),$K143&gt;=0,$K143&lt;=24),TEXT(INT($K143),"00")&amp;":00",TEXT($K143,"hh:mm")),$K143))</f>
        <v/>
      </c>
      <c r="AF143" s="8">
        <f>IF($G143="",0,$G143)</f>
        <v/>
      </c>
      <c r="AG143" s="8">
        <f>IF($J143="",0,$J143)</f>
        <v/>
      </c>
    </row>
    <row r="144">
      <c r="A144" s="8">
        <f>IF($G144="","","SS-"&amp;TEXT(ROW()-4,"0000"))</f>
        <v/>
      </c>
      <c r="B144" s="9" t="n"/>
      <c r="C144" s="9" t="n"/>
      <c r="D144" s="9" t="n"/>
      <c r="E144" s="10" t="n"/>
      <c r="F144" s="11" t="n"/>
      <c r="G144" s="12">
        <f>IF($F144="","",IF($F144&gt;31,$F144,IF($AB144="","",DATE(YEAR($AB144),MONTH($AB144),$F144))))</f>
        <v/>
      </c>
      <c r="H144" s="9" t="n"/>
      <c r="I144" s="11" t="n"/>
      <c r="J144" s="12">
        <f>IF($I144="","",IF($I144&gt;31,$I144,IF($G144="","",IF(DATE(YEAR($G144),MONTH($G144),$I144)&gt;=$G144,DATE(YEAR($G144),MONTH($G144),$I144),DATE(YEAR($G144),MONTH($G144)+1,$I144)))))</f>
        <v/>
      </c>
      <c r="K144" s="9" t="n"/>
      <c r="L144" s="13" t="n"/>
      <c r="M144" s="13" t="n"/>
      <c r="N144" s="13" t="n"/>
      <c r="O144" s="8">
        <f>IF(OR($G144="",$J144=""),"",$J144-$G144+1)</f>
        <v/>
      </c>
      <c r="P144" s="8">
        <f>IF(OR($G144="",$J144=""),"",$J144-$G144)</f>
        <v/>
      </c>
      <c r="Q144" s="9" t="n"/>
      <c r="R144" s="9" t="n"/>
      <c r="S144" s="9" t="n"/>
      <c r="T144" s="9" t="n"/>
      <c r="U144" s="9" t="n"/>
      <c r="V144" s="9" t="n"/>
      <c r="W144" s="14" t="n"/>
      <c r="X144" s="9" t="n"/>
      <c r="Y144" s="8">
        <f>IF($G144="","",IF($D144="","⚠部屋が未選択",IF(COUNTIF('M_部屋'!$A$4:$A$20,$D144)=0,"⚠部屋が未登録",IF(OR($J144="",$Q144="キャンセル"),"",IF(SUMPRODUCT(($D$5:$D$404=$D144)*($G$5:$G$404&lt;&gt;"")*($J$5:$J$404&lt;&gt;"")*($Q$5:$Q$404&lt;&gt;"キャンセル")*($G$5:$G$404&lt;$J144)*($J$5:$J$404&gt;$G144))&gt;1,"⚠重複","")))))</f>
        <v/>
      </c>
      <c r="Z144" s="8">
        <f>IF(OR($B144="",$G144=""),"",IF(SUMPRODUCT(('利用者マスタ'!$A$4:$A$60=$B144)*('利用者マスタ'!$B$4:$B$60&lt;&gt;""))=0,"",IF(SUMIFS($AA$5:$AA$404,$B$5:$B$404,$B144,$G$5:$G$404,"&gt;="&amp;DATE(YEAR($G144),MONTH($G144),1),$G$5:$G$404,"&lt;="&amp;EOMONTH($G144,0))&gt;SUMIFS('利用者マスタ'!$B$4:$B$60,'利用者マスタ'!$A$4:$A$60,$B144),"⚠支給量超過","")))</f>
        <v/>
      </c>
      <c r="AA144" s="8">
        <f>IF(OR($G144="",$J144="",$Q144="キャンセル"),0,IF(IFERROR(INDEX('M_区分'!$B$4:$B$20,MATCH($C144,'M_区分'!$A$4:$A$20,0)),"○")="○",$J144-$G144+1,0))</f>
        <v/>
      </c>
      <c r="AB144" s="8">
        <f>IF($E144&lt;&gt;"",$E144,$AB143)</f>
        <v/>
      </c>
      <c r="AC144" s="8">
        <f>IF(OR($G144="",$J144=""),"",IF(AND($G144&lt;=EOMONTH('02_カレンダー'!$B$4,0),$J144&gt;='02_カレンダー'!$B$4),$G144*10000+ROW(),""))</f>
        <v/>
      </c>
      <c r="AD144" s="8">
        <f>IF($H144="","",IF(ISNUMBER($H144),IF(AND($H144=INT($H144),$H144&gt;=0,$H144&lt;=24),TEXT(INT($H144),"00")&amp;":00",TEXT($H144,"hh:mm")),$H144))</f>
        <v/>
      </c>
      <c r="AE144" s="8">
        <f>IF($K144="","",IF(ISNUMBER($K144),IF(AND($K144=INT($K144),$K144&gt;=0,$K144&lt;=24),TEXT(INT($K144),"00")&amp;":00",TEXT($K144,"hh:mm")),$K144))</f>
        <v/>
      </c>
      <c r="AF144" s="8">
        <f>IF($G144="",0,$G144)</f>
        <v/>
      </c>
      <c r="AG144" s="8">
        <f>IF($J144="",0,$J144)</f>
        <v/>
      </c>
    </row>
    <row r="145">
      <c r="A145" s="8">
        <f>IF($G145="","","SS-"&amp;TEXT(ROW()-4,"0000"))</f>
        <v/>
      </c>
      <c r="B145" s="9" t="n"/>
      <c r="C145" s="9" t="n"/>
      <c r="D145" s="9" t="n"/>
      <c r="E145" s="10" t="n"/>
      <c r="F145" s="11" t="n"/>
      <c r="G145" s="12">
        <f>IF($F145="","",IF($F145&gt;31,$F145,IF($AB145="","",DATE(YEAR($AB145),MONTH($AB145),$F145))))</f>
        <v/>
      </c>
      <c r="H145" s="9" t="n"/>
      <c r="I145" s="11" t="n"/>
      <c r="J145" s="12">
        <f>IF($I145="","",IF($I145&gt;31,$I145,IF($G145="","",IF(DATE(YEAR($G145),MONTH($G145),$I145)&gt;=$G145,DATE(YEAR($G145),MONTH($G145),$I145),DATE(YEAR($G145),MONTH($G145)+1,$I145)))))</f>
        <v/>
      </c>
      <c r="K145" s="9" t="n"/>
      <c r="L145" s="13" t="n"/>
      <c r="M145" s="13" t="n"/>
      <c r="N145" s="13" t="n"/>
      <c r="O145" s="8">
        <f>IF(OR($G145="",$J145=""),"",$J145-$G145+1)</f>
        <v/>
      </c>
      <c r="P145" s="8">
        <f>IF(OR($G145="",$J145=""),"",$J145-$G145)</f>
        <v/>
      </c>
      <c r="Q145" s="9" t="n"/>
      <c r="R145" s="9" t="n"/>
      <c r="S145" s="9" t="n"/>
      <c r="T145" s="9" t="n"/>
      <c r="U145" s="9" t="n"/>
      <c r="V145" s="9" t="n"/>
      <c r="W145" s="14" t="n"/>
      <c r="X145" s="9" t="n"/>
      <c r="Y145" s="8">
        <f>IF($G145="","",IF($D145="","⚠部屋が未選択",IF(COUNTIF('M_部屋'!$A$4:$A$20,$D145)=0,"⚠部屋が未登録",IF(OR($J145="",$Q145="キャンセル"),"",IF(SUMPRODUCT(($D$5:$D$404=$D145)*($G$5:$G$404&lt;&gt;"")*($J$5:$J$404&lt;&gt;"")*($Q$5:$Q$404&lt;&gt;"キャンセル")*($G$5:$G$404&lt;$J145)*($J$5:$J$404&gt;$G145))&gt;1,"⚠重複","")))))</f>
        <v/>
      </c>
      <c r="Z145" s="8">
        <f>IF(OR($B145="",$G145=""),"",IF(SUMPRODUCT(('利用者マスタ'!$A$4:$A$60=$B145)*('利用者マスタ'!$B$4:$B$60&lt;&gt;""))=0,"",IF(SUMIFS($AA$5:$AA$404,$B$5:$B$404,$B145,$G$5:$G$404,"&gt;="&amp;DATE(YEAR($G145),MONTH($G145),1),$G$5:$G$404,"&lt;="&amp;EOMONTH($G145,0))&gt;SUMIFS('利用者マスタ'!$B$4:$B$60,'利用者マスタ'!$A$4:$A$60,$B145),"⚠支給量超過","")))</f>
        <v/>
      </c>
      <c r="AA145" s="8">
        <f>IF(OR($G145="",$J145="",$Q145="キャンセル"),0,IF(IFERROR(INDEX('M_区分'!$B$4:$B$20,MATCH($C145,'M_区分'!$A$4:$A$20,0)),"○")="○",$J145-$G145+1,0))</f>
        <v/>
      </c>
      <c r="AB145" s="8">
        <f>IF($E145&lt;&gt;"",$E145,$AB144)</f>
        <v/>
      </c>
      <c r="AC145" s="8">
        <f>IF(OR($G145="",$J145=""),"",IF(AND($G145&lt;=EOMONTH('02_カレンダー'!$B$4,0),$J145&gt;='02_カレンダー'!$B$4),$G145*10000+ROW(),""))</f>
        <v/>
      </c>
      <c r="AD145" s="8">
        <f>IF($H145="","",IF(ISNUMBER($H145),IF(AND($H145=INT($H145),$H145&gt;=0,$H145&lt;=24),TEXT(INT($H145),"00")&amp;":00",TEXT($H145,"hh:mm")),$H145))</f>
        <v/>
      </c>
      <c r="AE145" s="8">
        <f>IF($K145="","",IF(ISNUMBER($K145),IF(AND($K145=INT($K145),$K145&gt;=0,$K145&lt;=24),TEXT(INT($K145),"00")&amp;":00",TEXT($K145,"hh:mm")),$K145))</f>
        <v/>
      </c>
      <c r="AF145" s="8">
        <f>IF($G145="",0,$G145)</f>
        <v/>
      </c>
      <c r="AG145" s="8">
        <f>IF($J145="",0,$J145)</f>
        <v/>
      </c>
    </row>
    <row r="146">
      <c r="A146" s="8">
        <f>IF($G146="","","SS-"&amp;TEXT(ROW()-4,"0000"))</f>
        <v/>
      </c>
      <c r="B146" s="9" t="n"/>
      <c r="C146" s="9" t="n"/>
      <c r="D146" s="9" t="n"/>
      <c r="E146" s="10" t="n"/>
      <c r="F146" s="11" t="n"/>
      <c r="G146" s="12">
        <f>IF($F146="","",IF($F146&gt;31,$F146,IF($AB146="","",DATE(YEAR($AB146),MONTH($AB146),$F146))))</f>
        <v/>
      </c>
      <c r="H146" s="9" t="n"/>
      <c r="I146" s="11" t="n"/>
      <c r="J146" s="12">
        <f>IF($I146="","",IF($I146&gt;31,$I146,IF($G146="","",IF(DATE(YEAR($G146),MONTH($G146),$I146)&gt;=$G146,DATE(YEAR($G146),MONTH($G146),$I146),DATE(YEAR($G146),MONTH($G146)+1,$I146)))))</f>
        <v/>
      </c>
      <c r="K146" s="9" t="n"/>
      <c r="L146" s="13" t="n"/>
      <c r="M146" s="13" t="n"/>
      <c r="N146" s="13" t="n"/>
      <c r="O146" s="8">
        <f>IF(OR($G146="",$J146=""),"",$J146-$G146+1)</f>
        <v/>
      </c>
      <c r="P146" s="8">
        <f>IF(OR($G146="",$J146=""),"",$J146-$G146)</f>
        <v/>
      </c>
      <c r="Q146" s="9" t="n"/>
      <c r="R146" s="9" t="n"/>
      <c r="S146" s="9" t="n"/>
      <c r="T146" s="9" t="n"/>
      <c r="U146" s="9" t="n"/>
      <c r="V146" s="9" t="n"/>
      <c r="W146" s="14" t="n"/>
      <c r="X146" s="9" t="n"/>
      <c r="Y146" s="8">
        <f>IF($G146="","",IF($D146="","⚠部屋が未選択",IF(COUNTIF('M_部屋'!$A$4:$A$20,$D146)=0,"⚠部屋が未登録",IF(OR($J146="",$Q146="キャンセル"),"",IF(SUMPRODUCT(($D$5:$D$404=$D146)*($G$5:$G$404&lt;&gt;"")*($J$5:$J$404&lt;&gt;"")*($Q$5:$Q$404&lt;&gt;"キャンセル")*($G$5:$G$404&lt;$J146)*($J$5:$J$404&gt;$G146))&gt;1,"⚠重複","")))))</f>
        <v/>
      </c>
      <c r="Z146" s="8">
        <f>IF(OR($B146="",$G146=""),"",IF(SUMPRODUCT(('利用者マスタ'!$A$4:$A$60=$B146)*('利用者マスタ'!$B$4:$B$60&lt;&gt;""))=0,"",IF(SUMIFS($AA$5:$AA$404,$B$5:$B$404,$B146,$G$5:$G$404,"&gt;="&amp;DATE(YEAR($G146),MONTH($G146),1),$G$5:$G$404,"&lt;="&amp;EOMONTH($G146,0))&gt;SUMIFS('利用者マスタ'!$B$4:$B$60,'利用者マスタ'!$A$4:$A$60,$B146),"⚠支給量超過","")))</f>
        <v/>
      </c>
      <c r="AA146" s="8">
        <f>IF(OR($G146="",$J146="",$Q146="キャンセル"),0,IF(IFERROR(INDEX('M_区分'!$B$4:$B$20,MATCH($C146,'M_区分'!$A$4:$A$20,0)),"○")="○",$J146-$G146+1,0))</f>
        <v/>
      </c>
      <c r="AB146" s="8">
        <f>IF($E146&lt;&gt;"",$E146,$AB145)</f>
        <v/>
      </c>
      <c r="AC146" s="8">
        <f>IF(OR($G146="",$J146=""),"",IF(AND($G146&lt;=EOMONTH('02_カレンダー'!$B$4,0),$J146&gt;='02_カレンダー'!$B$4),$G146*10000+ROW(),""))</f>
        <v/>
      </c>
      <c r="AD146" s="8">
        <f>IF($H146="","",IF(ISNUMBER($H146),IF(AND($H146=INT($H146),$H146&gt;=0,$H146&lt;=24),TEXT(INT($H146),"00")&amp;":00",TEXT($H146,"hh:mm")),$H146))</f>
        <v/>
      </c>
      <c r="AE146" s="8">
        <f>IF($K146="","",IF(ISNUMBER($K146),IF(AND($K146=INT($K146),$K146&gt;=0,$K146&lt;=24),TEXT(INT($K146),"00")&amp;":00",TEXT($K146,"hh:mm")),$K146))</f>
        <v/>
      </c>
      <c r="AF146" s="8">
        <f>IF($G146="",0,$G146)</f>
        <v/>
      </c>
      <c r="AG146" s="8">
        <f>IF($J146="",0,$J146)</f>
        <v/>
      </c>
    </row>
    <row r="147">
      <c r="A147" s="8">
        <f>IF($G147="","","SS-"&amp;TEXT(ROW()-4,"0000"))</f>
        <v/>
      </c>
      <c r="B147" s="9" t="n"/>
      <c r="C147" s="9" t="n"/>
      <c r="D147" s="9" t="n"/>
      <c r="E147" s="10" t="n"/>
      <c r="F147" s="11" t="n"/>
      <c r="G147" s="12">
        <f>IF($F147="","",IF($F147&gt;31,$F147,IF($AB147="","",DATE(YEAR($AB147),MONTH($AB147),$F147))))</f>
        <v/>
      </c>
      <c r="H147" s="9" t="n"/>
      <c r="I147" s="11" t="n"/>
      <c r="J147" s="12">
        <f>IF($I147="","",IF($I147&gt;31,$I147,IF($G147="","",IF(DATE(YEAR($G147),MONTH($G147),$I147)&gt;=$G147,DATE(YEAR($G147),MONTH($G147),$I147),DATE(YEAR($G147),MONTH($G147)+1,$I147)))))</f>
        <v/>
      </c>
      <c r="K147" s="9" t="n"/>
      <c r="L147" s="13" t="n"/>
      <c r="M147" s="13" t="n"/>
      <c r="N147" s="13" t="n"/>
      <c r="O147" s="8">
        <f>IF(OR($G147="",$J147=""),"",$J147-$G147+1)</f>
        <v/>
      </c>
      <c r="P147" s="8">
        <f>IF(OR($G147="",$J147=""),"",$J147-$G147)</f>
        <v/>
      </c>
      <c r="Q147" s="9" t="n"/>
      <c r="R147" s="9" t="n"/>
      <c r="S147" s="9" t="n"/>
      <c r="T147" s="9" t="n"/>
      <c r="U147" s="9" t="n"/>
      <c r="V147" s="9" t="n"/>
      <c r="W147" s="14" t="n"/>
      <c r="X147" s="9" t="n"/>
      <c r="Y147" s="8">
        <f>IF($G147="","",IF($D147="","⚠部屋が未選択",IF(COUNTIF('M_部屋'!$A$4:$A$20,$D147)=0,"⚠部屋が未登録",IF(OR($J147="",$Q147="キャンセル"),"",IF(SUMPRODUCT(($D$5:$D$404=$D147)*($G$5:$G$404&lt;&gt;"")*($J$5:$J$404&lt;&gt;"")*($Q$5:$Q$404&lt;&gt;"キャンセル")*($G$5:$G$404&lt;$J147)*($J$5:$J$404&gt;$G147))&gt;1,"⚠重複","")))))</f>
        <v/>
      </c>
      <c r="Z147" s="8">
        <f>IF(OR($B147="",$G147=""),"",IF(SUMPRODUCT(('利用者マスタ'!$A$4:$A$60=$B147)*('利用者マスタ'!$B$4:$B$60&lt;&gt;""))=0,"",IF(SUMIFS($AA$5:$AA$404,$B$5:$B$404,$B147,$G$5:$G$404,"&gt;="&amp;DATE(YEAR($G147),MONTH($G147),1),$G$5:$G$404,"&lt;="&amp;EOMONTH($G147,0))&gt;SUMIFS('利用者マスタ'!$B$4:$B$60,'利用者マスタ'!$A$4:$A$60,$B147),"⚠支給量超過","")))</f>
        <v/>
      </c>
      <c r="AA147" s="8">
        <f>IF(OR($G147="",$J147="",$Q147="キャンセル"),0,IF(IFERROR(INDEX('M_区分'!$B$4:$B$20,MATCH($C147,'M_区分'!$A$4:$A$20,0)),"○")="○",$J147-$G147+1,0))</f>
        <v/>
      </c>
      <c r="AB147" s="8">
        <f>IF($E147&lt;&gt;"",$E147,$AB146)</f>
        <v/>
      </c>
      <c r="AC147" s="8">
        <f>IF(OR($G147="",$J147=""),"",IF(AND($G147&lt;=EOMONTH('02_カレンダー'!$B$4,0),$J147&gt;='02_カレンダー'!$B$4),$G147*10000+ROW(),""))</f>
        <v/>
      </c>
      <c r="AD147" s="8">
        <f>IF($H147="","",IF(ISNUMBER($H147),IF(AND($H147=INT($H147),$H147&gt;=0,$H147&lt;=24),TEXT(INT($H147),"00")&amp;":00",TEXT($H147,"hh:mm")),$H147))</f>
        <v/>
      </c>
      <c r="AE147" s="8">
        <f>IF($K147="","",IF(ISNUMBER($K147),IF(AND($K147=INT($K147),$K147&gt;=0,$K147&lt;=24),TEXT(INT($K147),"00")&amp;":00",TEXT($K147,"hh:mm")),$K147))</f>
        <v/>
      </c>
      <c r="AF147" s="8">
        <f>IF($G147="",0,$G147)</f>
        <v/>
      </c>
      <c r="AG147" s="8">
        <f>IF($J147="",0,$J147)</f>
        <v/>
      </c>
    </row>
    <row r="148">
      <c r="A148" s="8">
        <f>IF($G148="","","SS-"&amp;TEXT(ROW()-4,"0000"))</f>
        <v/>
      </c>
      <c r="B148" s="9" t="n"/>
      <c r="C148" s="9" t="n"/>
      <c r="D148" s="9" t="n"/>
      <c r="E148" s="10" t="n"/>
      <c r="F148" s="11" t="n"/>
      <c r="G148" s="12">
        <f>IF($F148="","",IF($F148&gt;31,$F148,IF($AB148="","",DATE(YEAR($AB148),MONTH($AB148),$F148))))</f>
        <v/>
      </c>
      <c r="H148" s="9" t="n"/>
      <c r="I148" s="11" t="n"/>
      <c r="J148" s="12">
        <f>IF($I148="","",IF($I148&gt;31,$I148,IF($G148="","",IF(DATE(YEAR($G148),MONTH($G148),$I148)&gt;=$G148,DATE(YEAR($G148),MONTH($G148),$I148),DATE(YEAR($G148),MONTH($G148)+1,$I148)))))</f>
        <v/>
      </c>
      <c r="K148" s="9" t="n"/>
      <c r="L148" s="13" t="n"/>
      <c r="M148" s="13" t="n"/>
      <c r="N148" s="13" t="n"/>
      <c r="O148" s="8">
        <f>IF(OR($G148="",$J148=""),"",$J148-$G148+1)</f>
        <v/>
      </c>
      <c r="P148" s="8">
        <f>IF(OR($G148="",$J148=""),"",$J148-$G148)</f>
        <v/>
      </c>
      <c r="Q148" s="9" t="n"/>
      <c r="R148" s="9" t="n"/>
      <c r="S148" s="9" t="n"/>
      <c r="T148" s="9" t="n"/>
      <c r="U148" s="9" t="n"/>
      <c r="V148" s="9" t="n"/>
      <c r="W148" s="14" t="n"/>
      <c r="X148" s="9" t="n"/>
      <c r="Y148" s="8">
        <f>IF($G148="","",IF($D148="","⚠部屋が未選択",IF(COUNTIF('M_部屋'!$A$4:$A$20,$D148)=0,"⚠部屋が未登録",IF(OR($J148="",$Q148="キャンセル"),"",IF(SUMPRODUCT(($D$5:$D$404=$D148)*($G$5:$G$404&lt;&gt;"")*($J$5:$J$404&lt;&gt;"")*($Q$5:$Q$404&lt;&gt;"キャンセル")*($G$5:$G$404&lt;$J148)*($J$5:$J$404&gt;$G148))&gt;1,"⚠重複","")))))</f>
        <v/>
      </c>
      <c r="Z148" s="8">
        <f>IF(OR($B148="",$G148=""),"",IF(SUMPRODUCT(('利用者マスタ'!$A$4:$A$60=$B148)*('利用者マスタ'!$B$4:$B$60&lt;&gt;""))=0,"",IF(SUMIFS($AA$5:$AA$404,$B$5:$B$404,$B148,$G$5:$G$404,"&gt;="&amp;DATE(YEAR($G148),MONTH($G148),1),$G$5:$G$404,"&lt;="&amp;EOMONTH($G148,0))&gt;SUMIFS('利用者マスタ'!$B$4:$B$60,'利用者マスタ'!$A$4:$A$60,$B148),"⚠支給量超過","")))</f>
        <v/>
      </c>
      <c r="AA148" s="8">
        <f>IF(OR($G148="",$J148="",$Q148="キャンセル"),0,IF(IFERROR(INDEX('M_区分'!$B$4:$B$20,MATCH($C148,'M_区分'!$A$4:$A$20,0)),"○")="○",$J148-$G148+1,0))</f>
        <v/>
      </c>
      <c r="AB148" s="8">
        <f>IF($E148&lt;&gt;"",$E148,$AB147)</f>
        <v/>
      </c>
      <c r="AC148" s="8">
        <f>IF(OR($G148="",$J148=""),"",IF(AND($G148&lt;=EOMONTH('02_カレンダー'!$B$4,0),$J148&gt;='02_カレンダー'!$B$4),$G148*10000+ROW(),""))</f>
        <v/>
      </c>
      <c r="AD148" s="8">
        <f>IF($H148="","",IF(ISNUMBER($H148),IF(AND($H148=INT($H148),$H148&gt;=0,$H148&lt;=24),TEXT(INT($H148),"00")&amp;":00",TEXT($H148,"hh:mm")),$H148))</f>
        <v/>
      </c>
      <c r="AE148" s="8">
        <f>IF($K148="","",IF(ISNUMBER($K148),IF(AND($K148=INT($K148),$K148&gt;=0,$K148&lt;=24),TEXT(INT($K148),"00")&amp;":00",TEXT($K148,"hh:mm")),$K148))</f>
        <v/>
      </c>
      <c r="AF148" s="8">
        <f>IF($G148="",0,$G148)</f>
        <v/>
      </c>
      <c r="AG148" s="8">
        <f>IF($J148="",0,$J148)</f>
        <v/>
      </c>
    </row>
    <row r="149">
      <c r="A149" s="8">
        <f>IF($G149="","","SS-"&amp;TEXT(ROW()-4,"0000"))</f>
        <v/>
      </c>
      <c r="B149" s="9" t="n"/>
      <c r="C149" s="9" t="n"/>
      <c r="D149" s="9" t="n"/>
      <c r="E149" s="10" t="n"/>
      <c r="F149" s="11" t="n"/>
      <c r="G149" s="12">
        <f>IF($F149="","",IF($F149&gt;31,$F149,IF($AB149="","",DATE(YEAR($AB149),MONTH($AB149),$F149))))</f>
        <v/>
      </c>
      <c r="H149" s="9" t="n"/>
      <c r="I149" s="11" t="n"/>
      <c r="J149" s="12">
        <f>IF($I149="","",IF($I149&gt;31,$I149,IF($G149="","",IF(DATE(YEAR($G149),MONTH($G149),$I149)&gt;=$G149,DATE(YEAR($G149),MONTH($G149),$I149),DATE(YEAR($G149),MONTH($G149)+1,$I149)))))</f>
        <v/>
      </c>
      <c r="K149" s="9" t="n"/>
      <c r="L149" s="13" t="n"/>
      <c r="M149" s="13" t="n"/>
      <c r="N149" s="13" t="n"/>
      <c r="O149" s="8">
        <f>IF(OR($G149="",$J149=""),"",$J149-$G149+1)</f>
        <v/>
      </c>
      <c r="P149" s="8">
        <f>IF(OR($G149="",$J149=""),"",$J149-$G149)</f>
        <v/>
      </c>
      <c r="Q149" s="9" t="n"/>
      <c r="R149" s="9" t="n"/>
      <c r="S149" s="9" t="n"/>
      <c r="T149" s="9" t="n"/>
      <c r="U149" s="9" t="n"/>
      <c r="V149" s="9" t="n"/>
      <c r="W149" s="14" t="n"/>
      <c r="X149" s="9" t="n"/>
      <c r="Y149" s="8">
        <f>IF($G149="","",IF($D149="","⚠部屋が未選択",IF(COUNTIF('M_部屋'!$A$4:$A$20,$D149)=0,"⚠部屋が未登録",IF(OR($J149="",$Q149="キャンセル"),"",IF(SUMPRODUCT(($D$5:$D$404=$D149)*($G$5:$G$404&lt;&gt;"")*($J$5:$J$404&lt;&gt;"")*($Q$5:$Q$404&lt;&gt;"キャンセル")*($G$5:$G$404&lt;$J149)*($J$5:$J$404&gt;$G149))&gt;1,"⚠重複","")))))</f>
        <v/>
      </c>
      <c r="Z149" s="8">
        <f>IF(OR($B149="",$G149=""),"",IF(SUMPRODUCT(('利用者マスタ'!$A$4:$A$60=$B149)*('利用者マスタ'!$B$4:$B$60&lt;&gt;""))=0,"",IF(SUMIFS($AA$5:$AA$404,$B$5:$B$404,$B149,$G$5:$G$404,"&gt;="&amp;DATE(YEAR($G149),MONTH($G149),1),$G$5:$G$404,"&lt;="&amp;EOMONTH($G149,0))&gt;SUMIFS('利用者マスタ'!$B$4:$B$60,'利用者マスタ'!$A$4:$A$60,$B149),"⚠支給量超過","")))</f>
        <v/>
      </c>
      <c r="AA149" s="8">
        <f>IF(OR($G149="",$J149="",$Q149="キャンセル"),0,IF(IFERROR(INDEX('M_区分'!$B$4:$B$20,MATCH($C149,'M_区分'!$A$4:$A$20,0)),"○")="○",$J149-$G149+1,0))</f>
        <v/>
      </c>
      <c r="AB149" s="8">
        <f>IF($E149&lt;&gt;"",$E149,$AB148)</f>
        <v/>
      </c>
      <c r="AC149" s="8">
        <f>IF(OR($G149="",$J149=""),"",IF(AND($G149&lt;=EOMONTH('02_カレンダー'!$B$4,0),$J149&gt;='02_カレンダー'!$B$4),$G149*10000+ROW(),""))</f>
        <v/>
      </c>
      <c r="AD149" s="8">
        <f>IF($H149="","",IF(ISNUMBER($H149),IF(AND($H149=INT($H149),$H149&gt;=0,$H149&lt;=24),TEXT(INT($H149),"00")&amp;":00",TEXT($H149,"hh:mm")),$H149))</f>
        <v/>
      </c>
      <c r="AE149" s="8">
        <f>IF($K149="","",IF(ISNUMBER($K149),IF(AND($K149=INT($K149),$K149&gt;=0,$K149&lt;=24),TEXT(INT($K149),"00")&amp;":00",TEXT($K149,"hh:mm")),$K149))</f>
        <v/>
      </c>
      <c r="AF149" s="8">
        <f>IF($G149="",0,$G149)</f>
        <v/>
      </c>
      <c r="AG149" s="8">
        <f>IF($J149="",0,$J149)</f>
        <v/>
      </c>
    </row>
    <row r="150">
      <c r="A150" s="8">
        <f>IF($G150="","","SS-"&amp;TEXT(ROW()-4,"0000"))</f>
        <v/>
      </c>
      <c r="B150" s="9" t="n"/>
      <c r="C150" s="9" t="n"/>
      <c r="D150" s="9" t="n"/>
      <c r="E150" s="10" t="n"/>
      <c r="F150" s="11" t="n"/>
      <c r="G150" s="12">
        <f>IF($F150="","",IF($F150&gt;31,$F150,IF($AB150="","",DATE(YEAR($AB150),MONTH($AB150),$F150))))</f>
        <v/>
      </c>
      <c r="H150" s="9" t="n"/>
      <c r="I150" s="11" t="n"/>
      <c r="J150" s="12">
        <f>IF($I150="","",IF($I150&gt;31,$I150,IF($G150="","",IF(DATE(YEAR($G150),MONTH($G150),$I150)&gt;=$G150,DATE(YEAR($G150),MONTH($G150),$I150),DATE(YEAR($G150),MONTH($G150)+1,$I150)))))</f>
        <v/>
      </c>
      <c r="K150" s="9" t="n"/>
      <c r="L150" s="13" t="n"/>
      <c r="M150" s="13" t="n"/>
      <c r="N150" s="13" t="n"/>
      <c r="O150" s="8">
        <f>IF(OR($G150="",$J150=""),"",$J150-$G150+1)</f>
        <v/>
      </c>
      <c r="P150" s="8">
        <f>IF(OR($G150="",$J150=""),"",$J150-$G150)</f>
        <v/>
      </c>
      <c r="Q150" s="9" t="n"/>
      <c r="R150" s="9" t="n"/>
      <c r="S150" s="9" t="n"/>
      <c r="T150" s="9" t="n"/>
      <c r="U150" s="9" t="n"/>
      <c r="V150" s="9" t="n"/>
      <c r="W150" s="14" t="n"/>
      <c r="X150" s="9" t="n"/>
      <c r="Y150" s="8">
        <f>IF($G150="","",IF($D150="","⚠部屋が未選択",IF(COUNTIF('M_部屋'!$A$4:$A$20,$D150)=0,"⚠部屋が未登録",IF(OR($J150="",$Q150="キャンセル"),"",IF(SUMPRODUCT(($D$5:$D$404=$D150)*($G$5:$G$404&lt;&gt;"")*($J$5:$J$404&lt;&gt;"")*($Q$5:$Q$404&lt;&gt;"キャンセル")*($G$5:$G$404&lt;$J150)*($J$5:$J$404&gt;$G150))&gt;1,"⚠重複","")))))</f>
        <v/>
      </c>
      <c r="Z150" s="8">
        <f>IF(OR($B150="",$G150=""),"",IF(SUMPRODUCT(('利用者マスタ'!$A$4:$A$60=$B150)*('利用者マスタ'!$B$4:$B$60&lt;&gt;""))=0,"",IF(SUMIFS($AA$5:$AA$404,$B$5:$B$404,$B150,$G$5:$G$404,"&gt;="&amp;DATE(YEAR($G150),MONTH($G150),1),$G$5:$G$404,"&lt;="&amp;EOMONTH($G150,0))&gt;SUMIFS('利用者マスタ'!$B$4:$B$60,'利用者マスタ'!$A$4:$A$60,$B150),"⚠支給量超過","")))</f>
        <v/>
      </c>
      <c r="AA150" s="8">
        <f>IF(OR($G150="",$J150="",$Q150="キャンセル"),0,IF(IFERROR(INDEX('M_区分'!$B$4:$B$20,MATCH($C150,'M_区分'!$A$4:$A$20,0)),"○")="○",$J150-$G150+1,0))</f>
        <v/>
      </c>
      <c r="AB150" s="8">
        <f>IF($E150&lt;&gt;"",$E150,$AB149)</f>
        <v/>
      </c>
      <c r="AC150" s="8">
        <f>IF(OR($G150="",$J150=""),"",IF(AND($G150&lt;=EOMONTH('02_カレンダー'!$B$4,0),$J150&gt;='02_カレンダー'!$B$4),$G150*10000+ROW(),""))</f>
        <v/>
      </c>
      <c r="AD150" s="8">
        <f>IF($H150="","",IF(ISNUMBER($H150),IF(AND($H150=INT($H150),$H150&gt;=0,$H150&lt;=24),TEXT(INT($H150),"00")&amp;":00",TEXT($H150,"hh:mm")),$H150))</f>
        <v/>
      </c>
      <c r="AE150" s="8">
        <f>IF($K150="","",IF(ISNUMBER($K150),IF(AND($K150=INT($K150),$K150&gt;=0,$K150&lt;=24),TEXT(INT($K150),"00")&amp;":00",TEXT($K150,"hh:mm")),$K150))</f>
        <v/>
      </c>
      <c r="AF150" s="8">
        <f>IF($G150="",0,$G150)</f>
        <v/>
      </c>
      <c r="AG150" s="8">
        <f>IF($J150="",0,$J150)</f>
        <v/>
      </c>
    </row>
    <row r="151">
      <c r="A151" s="8">
        <f>IF($G151="","","SS-"&amp;TEXT(ROW()-4,"0000"))</f>
        <v/>
      </c>
      <c r="B151" s="9" t="n"/>
      <c r="C151" s="9" t="n"/>
      <c r="D151" s="9" t="n"/>
      <c r="E151" s="10" t="n"/>
      <c r="F151" s="11" t="n"/>
      <c r="G151" s="12">
        <f>IF($F151="","",IF($F151&gt;31,$F151,IF($AB151="","",DATE(YEAR($AB151),MONTH($AB151),$F151))))</f>
        <v/>
      </c>
      <c r="H151" s="9" t="n"/>
      <c r="I151" s="11" t="n"/>
      <c r="J151" s="12">
        <f>IF($I151="","",IF($I151&gt;31,$I151,IF($G151="","",IF(DATE(YEAR($G151),MONTH($G151),$I151)&gt;=$G151,DATE(YEAR($G151),MONTH($G151),$I151),DATE(YEAR($G151),MONTH($G151)+1,$I151)))))</f>
        <v/>
      </c>
      <c r="K151" s="9" t="n"/>
      <c r="L151" s="13" t="n"/>
      <c r="M151" s="13" t="n"/>
      <c r="N151" s="13" t="n"/>
      <c r="O151" s="8">
        <f>IF(OR($G151="",$J151=""),"",$J151-$G151+1)</f>
        <v/>
      </c>
      <c r="P151" s="8">
        <f>IF(OR($G151="",$J151=""),"",$J151-$G151)</f>
        <v/>
      </c>
      <c r="Q151" s="9" t="n"/>
      <c r="R151" s="9" t="n"/>
      <c r="S151" s="9" t="n"/>
      <c r="T151" s="9" t="n"/>
      <c r="U151" s="9" t="n"/>
      <c r="V151" s="9" t="n"/>
      <c r="W151" s="14" t="n"/>
      <c r="X151" s="9" t="n"/>
      <c r="Y151" s="8">
        <f>IF($G151="","",IF($D151="","⚠部屋が未選択",IF(COUNTIF('M_部屋'!$A$4:$A$20,$D151)=0,"⚠部屋が未登録",IF(OR($J151="",$Q151="キャンセル"),"",IF(SUMPRODUCT(($D$5:$D$404=$D151)*($G$5:$G$404&lt;&gt;"")*($J$5:$J$404&lt;&gt;"")*($Q$5:$Q$404&lt;&gt;"キャンセル")*($G$5:$G$404&lt;$J151)*($J$5:$J$404&gt;$G151))&gt;1,"⚠重複","")))))</f>
        <v/>
      </c>
      <c r="Z151" s="8">
        <f>IF(OR($B151="",$G151=""),"",IF(SUMPRODUCT(('利用者マスタ'!$A$4:$A$60=$B151)*('利用者マスタ'!$B$4:$B$60&lt;&gt;""))=0,"",IF(SUMIFS($AA$5:$AA$404,$B$5:$B$404,$B151,$G$5:$G$404,"&gt;="&amp;DATE(YEAR($G151),MONTH($G151),1),$G$5:$G$404,"&lt;="&amp;EOMONTH($G151,0))&gt;SUMIFS('利用者マスタ'!$B$4:$B$60,'利用者マスタ'!$A$4:$A$60,$B151),"⚠支給量超過","")))</f>
        <v/>
      </c>
      <c r="AA151" s="8">
        <f>IF(OR($G151="",$J151="",$Q151="キャンセル"),0,IF(IFERROR(INDEX('M_区分'!$B$4:$B$20,MATCH($C151,'M_区分'!$A$4:$A$20,0)),"○")="○",$J151-$G151+1,0))</f>
        <v/>
      </c>
      <c r="AB151" s="8">
        <f>IF($E151&lt;&gt;"",$E151,$AB150)</f>
        <v/>
      </c>
      <c r="AC151" s="8">
        <f>IF(OR($G151="",$J151=""),"",IF(AND($G151&lt;=EOMONTH('02_カレンダー'!$B$4,0),$J151&gt;='02_カレンダー'!$B$4),$G151*10000+ROW(),""))</f>
        <v/>
      </c>
      <c r="AD151" s="8">
        <f>IF($H151="","",IF(ISNUMBER($H151),IF(AND($H151=INT($H151),$H151&gt;=0,$H151&lt;=24),TEXT(INT($H151),"00")&amp;":00",TEXT($H151,"hh:mm")),$H151))</f>
        <v/>
      </c>
      <c r="AE151" s="8">
        <f>IF($K151="","",IF(ISNUMBER($K151),IF(AND($K151=INT($K151),$K151&gt;=0,$K151&lt;=24),TEXT(INT($K151),"00")&amp;":00",TEXT($K151,"hh:mm")),$K151))</f>
        <v/>
      </c>
      <c r="AF151" s="8">
        <f>IF($G151="",0,$G151)</f>
        <v/>
      </c>
      <c r="AG151" s="8">
        <f>IF($J151="",0,$J151)</f>
        <v/>
      </c>
    </row>
    <row r="152">
      <c r="A152" s="8">
        <f>IF($G152="","","SS-"&amp;TEXT(ROW()-4,"0000"))</f>
        <v/>
      </c>
      <c r="B152" s="9" t="n"/>
      <c r="C152" s="9" t="n"/>
      <c r="D152" s="9" t="n"/>
      <c r="E152" s="10" t="n"/>
      <c r="F152" s="11" t="n"/>
      <c r="G152" s="12">
        <f>IF($F152="","",IF($F152&gt;31,$F152,IF($AB152="","",DATE(YEAR($AB152),MONTH($AB152),$F152))))</f>
        <v/>
      </c>
      <c r="H152" s="9" t="n"/>
      <c r="I152" s="11" t="n"/>
      <c r="J152" s="12">
        <f>IF($I152="","",IF($I152&gt;31,$I152,IF($G152="","",IF(DATE(YEAR($G152),MONTH($G152),$I152)&gt;=$G152,DATE(YEAR($G152),MONTH($G152),$I152),DATE(YEAR($G152),MONTH($G152)+1,$I152)))))</f>
        <v/>
      </c>
      <c r="K152" s="9" t="n"/>
      <c r="L152" s="13" t="n"/>
      <c r="M152" s="13" t="n"/>
      <c r="N152" s="13" t="n"/>
      <c r="O152" s="8">
        <f>IF(OR($G152="",$J152=""),"",$J152-$G152+1)</f>
        <v/>
      </c>
      <c r="P152" s="8">
        <f>IF(OR($G152="",$J152=""),"",$J152-$G152)</f>
        <v/>
      </c>
      <c r="Q152" s="9" t="n"/>
      <c r="R152" s="9" t="n"/>
      <c r="S152" s="9" t="n"/>
      <c r="T152" s="9" t="n"/>
      <c r="U152" s="9" t="n"/>
      <c r="V152" s="9" t="n"/>
      <c r="W152" s="14" t="n"/>
      <c r="X152" s="9" t="n"/>
      <c r="Y152" s="8">
        <f>IF($G152="","",IF($D152="","⚠部屋が未選択",IF(COUNTIF('M_部屋'!$A$4:$A$20,$D152)=0,"⚠部屋が未登録",IF(OR($J152="",$Q152="キャンセル"),"",IF(SUMPRODUCT(($D$5:$D$404=$D152)*($G$5:$G$404&lt;&gt;"")*($J$5:$J$404&lt;&gt;"")*($Q$5:$Q$404&lt;&gt;"キャンセル")*($G$5:$G$404&lt;$J152)*($J$5:$J$404&gt;$G152))&gt;1,"⚠重複","")))))</f>
        <v/>
      </c>
      <c r="Z152" s="8">
        <f>IF(OR($B152="",$G152=""),"",IF(SUMPRODUCT(('利用者マスタ'!$A$4:$A$60=$B152)*('利用者マスタ'!$B$4:$B$60&lt;&gt;""))=0,"",IF(SUMIFS($AA$5:$AA$404,$B$5:$B$404,$B152,$G$5:$G$404,"&gt;="&amp;DATE(YEAR($G152),MONTH($G152),1),$G$5:$G$404,"&lt;="&amp;EOMONTH($G152,0))&gt;SUMIFS('利用者マスタ'!$B$4:$B$60,'利用者マスタ'!$A$4:$A$60,$B152),"⚠支給量超過","")))</f>
        <v/>
      </c>
      <c r="AA152" s="8">
        <f>IF(OR($G152="",$J152="",$Q152="キャンセル"),0,IF(IFERROR(INDEX('M_区分'!$B$4:$B$20,MATCH($C152,'M_区分'!$A$4:$A$20,0)),"○")="○",$J152-$G152+1,0))</f>
        <v/>
      </c>
      <c r="AB152" s="8">
        <f>IF($E152&lt;&gt;"",$E152,$AB151)</f>
        <v/>
      </c>
      <c r="AC152" s="8">
        <f>IF(OR($G152="",$J152=""),"",IF(AND($G152&lt;=EOMONTH('02_カレンダー'!$B$4,0),$J152&gt;='02_カレンダー'!$B$4),$G152*10000+ROW(),""))</f>
        <v/>
      </c>
      <c r="AD152" s="8">
        <f>IF($H152="","",IF(ISNUMBER($H152),IF(AND($H152=INT($H152),$H152&gt;=0,$H152&lt;=24),TEXT(INT($H152),"00")&amp;":00",TEXT($H152,"hh:mm")),$H152))</f>
        <v/>
      </c>
      <c r="AE152" s="8">
        <f>IF($K152="","",IF(ISNUMBER($K152),IF(AND($K152=INT($K152),$K152&gt;=0,$K152&lt;=24),TEXT(INT($K152),"00")&amp;":00",TEXT($K152,"hh:mm")),$K152))</f>
        <v/>
      </c>
      <c r="AF152" s="8">
        <f>IF($G152="",0,$G152)</f>
        <v/>
      </c>
      <c r="AG152" s="8">
        <f>IF($J152="",0,$J152)</f>
        <v/>
      </c>
    </row>
    <row r="153">
      <c r="A153" s="8">
        <f>IF($G153="","","SS-"&amp;TEXT(ROW()-4,"0000"))</f>
        <v/>
      </c>
      <c r="B153" s="9" t="n"/>
      <c r="C153" s="9" t="n"/>
      <c r="D153" s="9" t="n"/>
      <c r="E153" s="10" t="n"/>
      <c r="F153" s="11" t="n"/>
      <c r="G153" s="12">
        <f>IF($F153="","",IF($F153&gt;31,$F153,IF($AB153="","",DATE(YEAR($AB153),MONTH($AB153),$F153))))</f>
        <v/>
      </c>
      <c r="H153" s="9" t="n"/>
      <c r="I153" s="11" t="n"/>
      <c r="J153" s="12">
        <f>IF($I153="","",IF($I153&gt;31,$I153,IF($G153="","",IF(DATE(YEAR($G153),MONTH($G153),$I153)&gt;=$G153,DATE(YEAR($G153),MONTH($G153),$I153),DATE(YEAR($G153),MONTH($G153)+1,$I153)))))</f>
        <v/>
      </c>
      <c r="K153" s="9" t="n"/>
      <c r="L153" s="13" t="n"/>
      <c r="M153" s="13" t="n"/>
      <c r="N153" s="13" t="n"/>
      <c r="O153" s="8">
        <f>IF(OR($G153="",$J153=""),"",$J153-$G153+1)</f>
        <v/>
      </c>
      <c r="P153" s="8">
        <f>IF(OR($G153="",$J153=""),"",$J153-$G153)</f>
        <v/>
      </c>
      <c r="Q153" s="9" t="n"/>
      <c r="R153" s="9" t="n"/>
      <c r="S153" s="9" t="n"/>
      <c r="T153" s="9" t="n"/>
      <c r="U153" s="9" t="n"/>
      <c r="V153" s="9" t="n"/>
      <c r="W153" s="14" t="n"/>
      <c r="X153" s="9" t="n"/>
      <c r="Y153" s="8">
        <f>IF($G153="","",IF($D153="","⚠部屋が未選択",IF(COUNTIF('M_部屋'!$A$4:$A$20,$D153)=0,"⚠部屋が未登録",IF(OR($J153="",$Q153="キャンセル"),"",IF(SUMPRODUCT(($D$5:$D$404=$D153)*($G$5:$G$404&lt;&gt;"")*($J$5:$J$404&lt;&gt;"")*($Q$5:$Q$404&lt;&gt;"キャンセル")*($G$5:$G$404&lt;$J153)*($J$5:$J$404&gt;$G153))&gt;1,"⚠重複","")))))</f>
        <v/>
      </c>
      <c r="Z153" s="8">
        <f>IF(OR($B153="",$G153=""),"",IF(SUMPRODUCT(('利用者マスタ'!$A$4:$A$60=$B153)*('利用者マスタ'!$B$4:$B$60&lt;&gt;""))=0,"",IF(SUMIFS($AA$5:$AA$404,$B$5:$B$404,$B153,$G$5:$G$404,"&gt;="&amp;DATE(YEAR($G153),MONTH($G153),1),$G$5:$G$404,"&lt;="&amp;EOMONTH($G153,0))&gt;SUMIFS('利用者マスタ'!$B$4:$B$60,'利用者マスタ'!$A$4:$A$60,$B153),"⚠支給量超過","")))</f>
        <v/>
      </c>
      <c r="AA153" s="8">
        <f>IF(OR($G153="",$J153="",$Q153="キャンセル"),0,IF(IFERROR(INDEX('M_区分'!$B$4:$B$20,MATCH($C153,'M_区分'!$A$4:$A$20,0)),"○")="○",$J153-$G153+1,0))</f>
        <v/>
      </c>
      <c r="AB153" s="8">
        <f>IF($E153&lt;&gt;"",$E153,$AB152)</f>
        <v/>
      </c>
      <c r="AC153" s="8">
        <f>IF(OR($G153="",$J153=""),"",IF(AND($G153&lt;=EOMONTH('02_カレンダー'!$B$4,0),$J153&gt;='02_カレンダー'!$B$4),$G153*10000+ROW(),""))</f>
        <v/>
      </c>
      <c r="AD153" s="8">
        <f>IF($H153="","",IF(ISNUMBER($H153),IF(AND($H153=INT($H153),$H153&gt;=0,$H153&lt;=24),TEXT(INT($H153),"00")&amp;":00",TEXT($H153,"hh:mm")),$H153))</f>
        <v/>
      </c>
      <c r="AE153" s="8">
        <f>IF($K153="","",IF(ISNUMBER($K153),IF(AND($K153=INT($K153),$K153&gt;=0,$K153&lt;=24),TEXT(INT($K153),"00")&amp;":00",TEXT($K153,"hh:mm")),$K153))</f>
        <v/>
      </c>
      <c r="AF153" s="8">
        <f>IF($G153="",0,$G153)</f>
        <v/>
      </c>
      <c r="AG153" s="8">
        <f>IF($J153="",0,$J153)</f>
        <v/>
      </c>
    </row>
    <row r="154">
      <c r="A154" s="8">
        <f>IF($G154="","","SS-"&amp;TEXT(ROW()-4,"0000"))</f>
        <v/>
      </c>
      <c r="B154" s="9" t="n"/>
      <c r="C154" s="9" t="n"/>
      <c r="D154" s="9" t="n"/>
      <c r="E154" s="10" t="n"/>
      <c r="F154" s="11" t="n"/>
      <c r="G154" s="12">
        <f>IF($F154="","",IF($F154&gt;31,$F154,IF($AB154="","",DATE(YEAR($AB154),MONTH($AB154),$F154))))</f>
        <v/>
      </c>
      <c r="H154" s="9" t="n"/>
      <c r="I154" s="11" t="n"/>
      <c r="J154" s="12">
        <f>IF($I154="","",IF($I154&gt;31,$I154,IF($G154="","",IF(DATE(YEAR($G154),MONTH($G154),$I154)&gt;=$G154,DATE(YEAR($G154),MONTH($G154),$I154),DATE(YEAR($G154),MONTH($G154)+1,$I154)))))</f>
        <v/>
      </c>
      <c r="K154" s="9" t="n"/>
      <c r="L154" s="13" t="n"/>
      <c r="M154" s="13" t="n"/>
      <c r="N154" s="13" t="n"/>
      <c r="O154" s="8">
        <f>IF(OR($G154="",$J154=""),"",$J154-$G154+1)</f>
        <v/>
      </c>
      <c r="P154" s="8">
        <f>IF(OR($G154="",$J154=""),"",$J154-$G154)</f>
        <v/>
      </c>
      <c r="Q154" s="9" t="n"/>
      <c r="R154" s="9" t="n"/>
      <c r="S154" s="9" t="n"/>
      <c r="T154" s="9" t="n"/>
      <c r="U154" s="9" t="n"/>
      <c r="V154" s="9" t="n"/>
      <c r="W154" s="14" t="n"/>
      <c r="X154" s="9" t="n"/>
      <c r="Y154" s="8">
        <f>IF($G154="","",IF($D154="","⚠部屋が未選択",IF(COUNTIF('M_部屋'!$A$4:$A$20,$D154)=0,"⚠部屋が未登録",IF(OR($J154="",$Q154="キャンセル"),"",IF(SUMPRODUCT(($D$5:$D$404=$D154)*($G$5:$G$404&lt;&gt;"")*($J$5:$J$404&lt;&gt;"")*($Q$5:$Q$404&lt;&gt;"キャンセル")*($G$5:$G$404&lt;$J154)*($J$5:$J$404&gt;$G154))&gt;1,"⚠重複","")))))</f>
        <v/>
      </c>
      <c r="Z154" s="8">
        <f>IF(OR($B154="",$G154=""),"",IF(SUMPRODUCT(('利用者マスタ'!$A$4:$A$60=$B154)*('利用者マスタ'!$B$4:$B$60&lt;&gt;""))=0,"",IF(SUMIFS($AA$5:$AA$404,$B$5:$B$404,$B154,$G$5:$G$404,"&gt;="&amp;DATE(YEAR($G154),MONTH($G154),1),$G$5:$G$404,"&lt;="&amp;EOMONTH($G154,0))&gt;SUMIFS('利用者マスタ'!$B$4:$B$60,'利用者マスタ'!$A$4:$A$60,$B154),"⚠支給量超過","")))</f>
        <v/>
      </c>
      <c r="AA154" s="8">
        <f>IF(OR($G154="",$J154="",$Q154="キャンセル"),0,IF(IFERROR(INDEX('M_区分'!$B$4:$B$20,MATCH($C154,'M_区分'!$A$4:$A$20,0)),"○")="○",$J154-$G154+1,0))</f>
        <v/>
      </c>
      <c r="AB154" s="8">
        <f>IF($E154&lt;&gt;"",$E154,$AB153)</f>
        <v/>
      </c>
      <c r="AC154" s="8">
        <f>IF(OR($G154="",$J154=""),"",IF(AND($G154&lt;=EOMONTH('02_カレンダー'!$B$4,0),$J154&gt;='02_カレンダー'!$B$4),$G154*10000+ROW(),""))</f>
        <v/>
      </c>
      <c r="AD154" s="8">
        <f>IF($H154="","",IF(ISNUMBER($H154),IF(AND($H154=INT($H154),$H154&gt;=0,$H154&lt;=24),TEXT(INT($H154),"00")&amp;":00",TEXT($H154,"hh:mm")),$H154))</f>
        <v/>
      </c>
      <c r="AE154" s="8">
        <f>IF($K154="","",IF(ISNUMBER($K154),IF(AND($K154=INT($K154),$K154&gt;=0,$K154&lt;=24),TEXT(INT($K154),"00")&amp;":00",TEXT($K154,"hh:mm")),$K154))</f>
        <v/>
      </c>
      <c r="AF154" s="8">
        <f>IF($G154="",0,$G154)</f>
        <v/>
      </c>
      <c r="AG154" s="8">
        <f>IF($J154="",0,$J154)</f>
        <v/>
      </c>
    </row>
    <row r="155">
      <c r="A155" s="8">
        <f>IF($G155="","","SS-"&amp;TEXT(ROW()-4,"0000"))</f>
        <v/>
      </c>
      <c r="B155" s="9" t="n"/>
      <c r="C155" s="9" t="n"/>
      <c r="D155" s="9" t="n"/>
      <c r="E155" s="10" t="n"/>
      <c r="F155" s="11" t="n"/>
      <c r="G155" s="12">
        <f>IF($F155="","",IF($F155&gt;31,$F155,IF($AB155="","",DATE(YEAR($AB155),MONTH($AB155),$F155))))</f>
        <v/>
      </c>
      <c r="H155" s="9" t="n"/>
      <c r="I155" s="11" t="n"/>
      <c r="J155" s="12">
        <f>IF($I155="","",IF($I155&gt;31,$I155,IF($G155="","",IF(DATE(YEAR($G155),MONTH($G155),$I155)&gt;=$G155,DATE(YEAR($G155),MONTH($G155),$I155),DATE(YEAR($G155),MONTH($G155)+1,$I155)))))</f>
        <v/>
      </c>
      <c r="K155" s="9" t="n"/>
      <c r="L155" s="13" t="n"/>
      <c r="M155" s="13" t="n"/>
      <c r="N155" s="13" t="n"/>
      <c r="O155" s="8">
        <f>IF(OR($G155="",$J155=""),"",$J155-$G155+1)</f>
        <v/>
      </c>
      <c r="P155" s="8">
        <f>IF(OR($G155="",$J155=""),"",$J155-$G155)</f>
        <v/>
      </c>
      <c r="Q155" s="9" t="n"/>
      <c r="R155" s="9" t="n"/>
      <c r="S155" s="9" t="n"/>
      <c r="T155" s="9" t="n"/>
      <c r="U155" s="9" t="n"/>
      <c r="V155" s="9" t="n"/>
      <c r="W155" s="14" t="n"/>
      <c r="X155" s="9" t="n"/>
      <c r="Y155" s="8">
        <f>IF($G155="","",IF($D155="","⚠部屋が未選択",IF(COUNTIF('M_部屋'!$A$4:$A$20,$D155)=0,"⚠部屋が未登録",IF(OR($J155="",$Q155="キャンセル"),"",IF(SUMPRODUCT(($D$5:$D$404=$D155)*($G$5:$G$404&lt;&gt;"")*($J$5:$J$404&lt;&gt;"")*($Q$5:$Q$404&lt;&gt;"キャンセル")*($G$5:$G$404&lt;$J155)*($J$5:$J$404&gt;$G155))&gt;1,"⚠重複","")))))</f>
        <v/>
      </c>
      <c r="Z155" s="8">
        <f>IF(OR($B155="",$G155=""),"",IF(SUMPRODUCT(('利用者マスタ'!$A$4:$A$60=$B155)*('利用者マスタ'!$B$4:$B$60&lt;&gt;""))=0,"",IF(SUMIFS($AA$5:$AA$404,$B$5:$B$404,$B155,$G$5:$G$404,"&gt;="&amp;DATE(YEAR($G155),MONTH($G155),1),$G$5:$G$404,"&lt;="&amp;EOMONTH($G155,0))&gt;SUMIFS('利用者マスタ'!$B$4:$B$60,'利用者マスタ'!$A$4:$A$60,$B155),"⚠支給量超過","")))</f>
        <v/>
      </c>
      <c r="AA155" s="8">
        <f>IF(OR($G155="",$J155="",$Q155="キャンセル"),0,IF(IFERROR(INDEX('M_区分'!$B$4:$B$20,MATCH($C155,'M_区分'!$A$4:$A$20,0)),"○")="○",$J155-$G155+1,0))</f>
        <v/>
      </c>
      <c r="AB155" s="8">
        <f>IF($E155&lt;&gt;"",$E155,$AB154)</f>
        <v/>
      </c>
      <c r="AC155" s="8">
        <f>IF(OR($G155="",$J155=""),"",IF(AND($G155&lt;=EOMONTH('02_カレンダー'!$B$4,0),$J155&gt;='02_カレンダー'!$B$4),$G155*10000+ROW(),""))</f>
        <v/>
      </c>
      <c r="AD155" s="8">
        <f>IF($H155="","",IF(ISNUMBER($H155),IF(AND($H155=INT($H155),$H155&gt;=0,$H155&lt;=24),TEXT(INT($H155),"00")&amp;":00",TEXT($H155,"hh:mm")),$H155))</f>
        <v/>
      </c>
      <c r="AE155" s="8">
        <f>IF($K155="","",IF(ISNUMBER($K155),IF(AND($K155=INT($K155),$K155&gt;=0,$K155&lt;=24),TEXT(INT($K155),"00")&amp;":00",TEXT($K155,"hh:mm")),$K155))</f>
        <v/>
      </c>
      <c r="AF155" s="8">
        <f>IF($G155="",0,$G155)</f>
        <v/>
      </c>
      <c r="AG155" s="8">
        <f>IF($J155="",0,$J155)</f>
        <v/>
      </c>
    </row>
    <row r="156">
      <c r="A156" s="8">
        <f>IF($G156="","","SS-"&amp;TEXT(ROW()-4,"0000"))</f>
        <v/>
      </c>
      <c r="B156" s="9" t="n"/>
      <c r="C156" s="9" t="n"/>
      <c r="D156" s="9" t="n"/>
      <c r="E156" s="10" t="n"/>
      <c r="F156" s="11" t="n"/>
      <c r="G156" s="12">
        <f>IF($F156="","",IF($F156&gt;31,$F156,IF($AB156="","",DATE(YEAR($AB156),MONTH($AB156),$F156))))</f>
        <v/>
      </c>
      <c r="H156" s="9" t="n"/>
      <c r="I156" s="11" t="n"/>
      <c r="J156" s="12">
        <f>IF($I156="","",IF($I156&gt;31,$I156,IF($G156="","",IF(DATE(YEAR($G156),MONTH($G156),$I156)&gt;=$G156,DATE(YEAR($G156),MONTH($G156),$I156),DATE(YEAR($G156),MONTH($G156)+1,$I156)))))</f>
        <v/>
      </c>
      <c r="K156" s="9" t="n"/>
      <c r="L156" s="13" t="n"/>
      <c r="M156" s="13" t="n"/>
      <c r="N156" s="13" t="n"/>
      <c r="O156" s="8">
        <f>IF(OR($G156="",$J156=""),"",$J156-$G156+1)</f>
        <v/>
      </c>
      <c r="P156" s="8">
        <f>IF(OR($G156="",$J156=""),"",$J156-$G156)</f>
        <v/>
      </c>
      <c r="Q156" s="9" t="n"/>
      <c r="R156" s="9" t="n"/>
      <c r="S156" s="9" t="n"/>
      <c r="T156" s="9" t="n"/>
      <c r="U156" s="9" t="n"/>
      <c r="V156" s="9" t="n"/>
      <c r="W156" s="14" t="n"/>
      <c r="X156" s="9" t="n"/>
      <c r="Y156" s="8">
        <f>IF($G156="","",IF($D156="","⚠部屋が未選択",IF(COUNTIF('M_部屋'!$A$4:$A$20,$D156)=0,"⚠部屋が未登録",IF(OR($J156="",$Q156="キャンセル"),"",IF(SUMPRODUCT(($D$5:$D$404=$D156)*($G$5:$G$404&lt;&gt;"")*($J$5:$J$404&lt;&gt;"")*($Q$5:$Q$404&lt;&gt;"キャンセル")*($G$5:$G$404&lt;$J156)*($J$5:$J$404&gt;$G156))&gt;1,"⚠重複","")))))</f>
        <v/>
      </c>
      <c r="Z156" s="8">
        <f>IF(OR($B156="",$G156=""),"",IF(SUMPRODUCT(('利用者マスタ'!$A$4:$A$60=$B156)*('利用者マスタ'!$B$4:$B$60&lt;&gt;""))=0,"",IF(SUMIFS($AA$5:$AA$404,$B$5:$B$404,$B156,$G$5:$G$404,"&gt;="&amp;DATE(YEAR($G156),MONTH($G156),1),$G$5:$G$404,"&lt;="&amp;EOMONTH($G156,0))&gt;SUMIFS('利用者マスタ'!$B$4:$B$60,'利用者マスタ'!$A$4:$A$60,$B156),"⚠支給量超過","")))</f>
        <v/>
      </c>
      <c r="AA156" s="8">
        <f>IF(OR($G156="",$J156="",$Q156="キャンセル"),0,IF(IFERROR(INDEX('M_区分'!$B$4:$B$20,MATCH($C156,'M_区分'!$A$4:$A$20,0)),"○")="○",$J156-$G156+1,0))</f>
        <v/>
      </c>
      <c r="AB156" s="8">
        <f>IF($E156&lt;&gt;"",$E156,$AB155)</f>
        <v/>
      </c>
      <c r="AC156" s="8">
        <f>IF(OR($G156="",$J156=""),"",IF(AND($G156&lt;=EOMONTH('02_カレンダー'!$B$4,0),$J156&gt;='02_カレンダー'!$B$4),$G156*10000+ROW(),""))</f>
        <v/>
      </c>
      <c r="AD156" s="8">
        <f>IF($H156="","",IF(ISNUMBER($H156),IF(AND($H156=INT($H156),$H156&gt;=0,$H156&lt;=24),TEXT(INT($H156),"00")&amp;":00",TEXT($H156,"hh:mm")),$H156))</f>
        <v/>
      </c>
      <c r="AE156" s="8">
        <f>IF($K156="","",IF(ISNUMBER($K156),IF(AND($K156=INT($K156),$K156&gt;=0,$K156&lt;=24),TEXT(INT($K156),"00")&amp;":00",TEXT($K156,"hh:mm")),$K156))</f>
        <v/>
      </c>
      <c r="AF156" s="8">
        <f>IF($G156="",0,$G156)</f>
        <v/>
      </c>
      <c r="AG156" s="8">
        <f>IF($J156="",0,$J156)</f>
        <v/>
      </c>
    </row>
    <row r="157">
      <c r="A157" s="8">
        <f>IF($G157="","","SS-"&amp;TEXT(ROW()-4,"0000"))</f>
        <v/>
      </c>
      <c r="B157" s="9" t="n"/>
      <c r="C157" s="9" t="n"/>
      <c r="D157" s="9" t="n"/>
      <c r="E157" s="10" t="n"/>
      <c r="F157" s="11" t="n"/>
      <c r="G157" s="12">
        <f>IF($F157="","",IF($F157&gt;31,$F157,IF($AB157="","",DATE(YEAR($AB157),MONTH($AB157),$F157))))</f>
        <v/>
      </c>
      <c r="H157" s="9" t="n"/>
      <c r="I157" s="11" t="n"/>
      <c r="J157" s="12">
        <f>IF($I157="","",IF($I157&gt;31,$I157,IF($G157="","",IF(DATE(YEAR($G157),MONTH($G157),$I157)&gt;=$G157,DATE(YEAR($G157),MONTH($G157),$I157),DATE(YEAR($G157),MONTH($G157)+1,$I157)))))</f>
        <v/>
      </c>
      <c r="K157" s="9" t="n"/>
      <c r="L157" s="13" t="n"/>
      <c r="M157" s="13" t="n"/>
      <c r="N157" s="13" t="n"/>
      <c r="O157" s="8">
        <f>IF(OR($G157="",$J157=""),"",$J157-$G157+1)</f>
        <v/>
      </c>
      <c r="P157" s="8">
        <f>IF(OR($G157="",$J157=""),"",$J157-$G157)</f>
        <v/>
      </c>
      <c r="Q157" s="9" t="n"/>
      <c r="R157" s="9" t="n"/>
      <c r="S157" s="9" t="n"/>
      <c r="T157" s="9" t="n"/>
      <c r="U157" s="9" t="n"/>
      <c r="V157" s="9" t="n"/>
      <c r="W157" s="14" t="n"/>
      <c r="X157" s="9" t="n"/>
      <c r="Y157" s="8">
        <f>IF($G157="","",IF($D157="","⚠部屋が未選択",IF(COUNTIF('M_部屋'!$A$4:$A$20,$D157)=0,"⚠部屋が未登録",IF(OR($J157="",$Q157="キャンセル"),"",IF(SUMPRODUCT(($D$5:$D$404=$D157)*($G$5:$G$404&lt;&gt;"")*($J$5:$J$404&lt;&gt;"")*($Q$5:$Q$404&lt;&gt;"キャンセル")*($G$5:$G$404&lt;$J157)*($J$5:$J$404&gt;$G157))&gt;1,"⚠重複","")))))</f>
        <v/>
      </c>
      <c r="Z157" s="8">
        <f>IF(OR($B157="",$G157=""),"",IF(SUMPRODUCT(('利用者マスタ'!$A$4:$A$60=$B157)*('利用者マスタ'!$B$4:$B$60&lt;&gt;""))=0,"",IF(SUMIFS($AA$5:$AA$404,$B$5:$B$404,$B157,$G$5:$G$404,"&gt;="&amp;DATE(YEAR($G157),MONTH($G157),1),$G$5:$G$404,"&lt;="&amp;EOMONTH($G157,0))&gt;SUMIFS('利用者マスタ'!$B$4:$B$60,'利用者マスタ'!$A$4:$A$60,$B157),"⚠支給量超過","")))</f>
        <v/>
      </c>
      <c r="AA157" s="8">
        <f>IF(OR($G157="",$J157="",$Q157="キャンセル"),0,IF(IFERROR(INDEX('M_区分'!$B$4:$B$20,MATCH($C157,'M_区分'!$A$4:$A$20,0)),"○")="○",$J157-$G157+1,0))</f>
        <v/>
      </c>
      <c r="AB157" s="8">
        <f>IF($E157&lt;&gt;"",$E157,$AB156)</f>
        <v/>
      </c>
      <c r="AC157" s="8">
        <f>IF(OR($G157="",$J157=""),"",IF(AND($G157&lt;=EOMONTH('02_カレンダー'!$B$4,0),$J157&gt;='02_カレンダー'!$B$4),$G157*10000+ROW(),""))</f>
        <v/>
      </c>
      <c r="AD157" s="8">
        <f>IF($H157="","",IF(ISNUMBER($H157),IF(AND($H157=INT($H157),$H157&gt;=0,$H157&lt;=24),TEXT(INT($H157),"00")&amp;":00",TEXT($H157,"hh:mm")),$H157))</f>
        <v/>
      </c>
      <c r="AE157" s="8">
        <f>IF($K157="","",IF(ISNUMBER($K157),IF(AND($K157=INT($K157),$K157&gt;=0,$K157&lt;=24),TEXT(INT($K157),"00")&amp;":00",TEXT($K157,"hh:mm")),$K157))</f>
        <v/>
      </c>
      <c r="AF157" s="8">
        <f>IF($G157="",0,$G157)</f>
        <v/>
      </c>
      <c r="AG157" s="8">
        <f>IF($J157="",0,$J157)</f>
        <v/>
      </c>
    </row>
    <row r="158">
      <c r="A158" s="8">
        <f>IF($G158="","","SS-"&amp;TEXT(ROW()-4,"0000"))</f>
        <v/>
      </c>
      <c r="B158" s="9" t="n"/>
      <c r="C158" s="9" t="n"/>
      <c r="D158" s="9" t="n"/>
      <c r="E158" s="10" t="n"/>
      <c r="F158" s="11" t="n"/>
      <c r="G158" s="12">
        <f>IF($F158="","",IF($F158&gt;31,$F158,IF($AB158="","",DATE(YEAR($AB158),MONTH($AB158),$F158))))</f>
        <v/>
      </c>
      <c r="H158" s="9" t="n"/>
      <c r="I158" s="11" t="n"/>
      <c r="J158" s="12">
        <f>IF($I158="","",IF($I158&gt;31,$I158,IF($G158="","",IF(DATE(YEAR($G158),MONTH($G158),$I158)&gt;=$G158,DATE(YEAR($G158),MONTH($G158),$I158),DATE(YEAR($G158),MONTH($G158)+1,$I158)))))</f>
        <v/>
      </c>
      <c r="K158" s="9" t="n"/>
      <c r="L158" s="13" t="n"/>
      <c r="M158" s="13" t="n"/>
      <c r="N158" s="13" t="n"/>
      <c r="O158" s="8">
        <f>IF(OR($G158="",$J158=""),"",$J158-$G158+1)</f>
        <v/>
      </c>
      <c r="P158" s="8">
        <f>IF(OR($G158="",$J158=""),"",$J158-$G158)</f>
        <v/>
      </c>
      <c r="Q158" s="9" t="n"/>
      <c r="R158" s="9" t="n"/>
      <c r="S158" s="9" t="n"/>
      <c r="T158" s="9" t="n"/>
      <c r="U158" s="9" t="n"/>
      <c r="V158" s="9" t="n"/>
      <c r="W158" s="14" t="n"/>
      <c r="X158" s="9" t="n"/>
      <c r="Y158" s="8">
        <f>IF($G158="","",IF($D158="","⚠部屋が未選択",IF(COUNTIF('M_部屋'!$A$4:$A$20,$D158)=0,"⚠部屋が未登録",IF(OR($J158="",$Q158="キャンセル"),"",IF(SUMPRODUCT(($D$5:$D$404=$D158)*($G$5:$G$404&lt;&gt;"")*($J$5:$J$404&lt;&gt;"")*($Q$5:$Q$404&lt;&gt;"キャンセル")*($G$5:$G$404&lt;$J158)*($J$5:$J$404&gt;$G158))&gt;1,"⚠重複","")))))</f>
        <v/>
      </c>
      <c r="Z158" s="8">
        <f>IF(OR($B158="",$G158=""),"",IF(SUMPRODUCT(('利用者マスタ'!$A$4:$A$60=$B158)*('利用者マスタ'!$B$4:$B$60&lt;&gt;""))=0,"",IF(SUMIFS($AA$5:$AA$404,$B$5:$B$404,$B158,$G$5:$G$404,"&gt;="&amp;DATE(YEAR($G158),MONTH($G158),1),$G$5:$G$404,"&lt;="&amp;EOMONTH($G158,0))&gt;SUMIFS('利用者マスタ'!$B$4:$B$60,'利用者マスタ'!$A$4:$A$60,$B158),"⚠支給量超過","")))</f>
        <v/>
      </c>
      <c r="AA158" s="8">
        <f>IF(OR($G158="",$J158="",$Q158="キャンセル"),0,IF(IFERROR(INDEX('M_区分'!$B$4:$B$20,MATCH($C158,'M_区分'!$A$4:$A$20,0)),"○")="○",$J158-$G158+1,0))</f>
        <v/>
      </c>
      <c r="AB158" s="8">
        <f>IF($E158&lt;&gt;"",$E158,$AB157)</f>
        <v/>
      </c>
      <c r="AC158" s="8">
        <f>IF(OR($G158="",$J158=""),"",IF(AND($G158&lt;=EOMONTH('02_カレンダー'!$B$4,0),$J158&gt;='02_カレンダー'!$B$4),$G158*10000+ROW(),""))</f>
        <v/>
      </c>
      <c r="AD158" s="8">
        <f>IF($H158="","",IF(ISNUMBER($H158),IF(AND($H158=INT($H158),$H158&gt;=0,$H158&lt;=24),TEXT(INT($H158),"00")&amp;":00",TEXT($H158,"hh:mm")),$H158))</f>
        <v/>
      </c>
      <c r="AE158" s="8">
        <f>IF($K158="","",IF(ISNUMBER($K158),IF(AND($K158=INT($K158),$K158&gt;=0,$K158&lt;=24),TEXT(INT($K158),"00")&amp;":00",TEXT($K158,"hh:mm")),$K158))</f>
        <v/>
      </c>
      <c r="AF158" s="8">
        <f>IF($G158="",0,$G158)</f>
        <v/>
      </c>
      <c r="AG158" s="8">
        <f>IF($J158="",0,$J158)</f>
        <v/>
      </c>
    </row>
    <row r="159">
      <c r="A159" s="8">
        <f>IF($G159="","","SS-"&amp;TEXT(ROW()-4,"0000"))</f>
        <v/>
      </c>
      <c r="B159" s="9" t="n"/>
      <c r="C159" s="9" t="n"/>
      <c r="D159" s="9" t="n"/>
      <c r="E159" s="10" t="n"/>
      <c r="F159" s="11" t="n"/>
      <c r="G159" s="12">
        <f>IF($F159="","",IF($F159&gt;31,$F159,IF($AB159="","",DATE(YEAR($AB159),MONTH($AB159),$F159))))</f>
        <v/>
      </c>
      <c r="H159" s="9" t="n"/>
      <c r="I159" s="11" t="n"/>
      <c r="J159" s="12">
        <f>IF($I159="","",IF($I159&gt;31,$I159,IF($G159="","",IF(DATE(YEAR($G159),MONTH($G159),$I159)&gt;=$G159,DATE(YEAR($G159),MONTH($G159),$I159),DATE(YEAR($G159),MONTH($G159)+1,$I159)))))</f>
        <v/>
      </c>
      <c r="K159" s="9" t="n"/>
      <c r="L159" s="13" t="n"/>
      <c r="M159" s="13" t="n"/>
      <c r="N159" s="13" t="n"/>
      <c r="O159" s="8">
        <f>IF(OR($G159="",$J159=""),"",$J159-$G159+1)</f>
        <v/>
      </c>
      <c r="P159" s="8">
        <f>IF(OR($G159="",$J159=""),"",$J159-$G159)</f>
        <v/>
      </c>
      <c r="Q159" s="9" t="n"/>
      <c r="R159" s="9" t="n"/>
      <c r="S159" s="9" t="n"/>
      <c r="T159" s="9" t="n"/>
      <c r="U159" s="9" t="n"/>
      <c r="V159" s="9" t="n"/>
      <c r="W159" s="14" t="n"/>
      <c r="X159" s="9" t="n"/>
      <c r="Y159" s="8">
        <f>IF($G159="","",IF($D159="","⚠部屋が未選択",IF(COUNTIF('M_部屋'!$A$4:$A$20,$D159)=0,"⚠部屋が未登録",IF(OR($J159="",$Q159="キャンセル"),"",IF(SUMPRODUCT(($D$5:$D$404=$D159)*($G$5:$G$404&lt;&gt;"")*($J$5:$J$404&lt;&gt;"")*($Q$5:$Q$404&lt;&gt;"キャンセル")*($G$5:$G$404&lt;$J159)*($J$5:$J$404&gt;$G159))&gt;1,"⚠重複","")))))</f>
        <v/>
      </c>
      <c r="Z159" s="8">
        <f>IF(OR($B159="",$G159=""),"",IF(SUMPRODUCT(('利用者マスタ'!$A$4:$A$60=$B159)*('利用者マスタ'!$B$4:$B$60&lt;&gt;""))=0,"",IF(SUMIFS($AA$5:$AA$404,$B$5:$B$404,$B159,$G$5:$G$404,"&gt;="&amp;DATE(YEAR($G159),MONTH($G159),1),$G$5:$G$404,"&lt;="&amp;EOMONTH($G159,0))&gt;SUMIFS('利用者マスタ'!$B$4:$B$60,'利用者マスタ'!$A$4:$A$60,$B159),"⚠支給量超過","")))</f>
        <v/>
      </c>
      <c r="AA159" s="8">
        <f>IF(OR($G159="",$J159="",$Q159="キャンセル"),0,IF(IFERROR(INDEX('M_区分'!$B$4:$B$20,MATCH($C159,'M_区分'!$A$4:$A$20,0)),"○")="○",$J159-$G159+1,0))</f>
        <v/>
      </c>
      <c r="AB159" s="8">
        <f>IF($E159&lt;&gt;"",$E159,$AB158)</f>
        <v/>
      </c>
      <c r="AC159" s="8">
        <f>IF(OR($G159="",$J159=""),"",IF(AND($G159&lt;=EOMONTH('02_カレンダー'!$B$4,0),$J159&gt;='02_カレンダー'!$B$4),$G159*10000+ROW(),""))</f>
        <v/>
      </c>
      <c r="AD159" s="8">
        <f>IF($H159="","",IF(ISNUMBER($H159),IF(AND($H159=INT($H159),$H159&gt;=0,$H159&lt;=24),TEXT(INT($H159),"00")&amp;":00",TEXT($H159,"hh:mm")),$H159))</f>
        <v/>
      </c>
      <c r="AE159" s="8">
        <f>IF($K159="","",IF(ISNUMBER($K159),IF(AND($K159=INT($K159),$K159&gt;=0,$K159&lt;=24),TEXT(INT($K159),"00")&amp;":00",TEXT($K159,"hh:mm")),$K159))</f>
        <v/>
      </c>
      <c r="AF159" s="8">
        <f>IF($G159="",0,$G159)</f>
        <v/>
      </c>
      <c r="AG159" s="8">
        <f>IF($J159="",0,$J159)</f>
        <v/>
      </c>
    </row>
    <row r="160">
      <c r="A160" s="8">
        <f>IF($G160="","","SS-"&amp;TEXT(ROW()-4,"0000"))</f>
        <v/>
      </c>
      <c r="B160" s="9" t="n"/>
      <c r="C160" s="9" t="n"/>
      <c r="D160" s="9" t="n"/>
      <c r="E160" s="10" t="n"/>
      <c r="F160" s="11" t="n"/>
      <c r="G160" s="12">
        <f>IF($F160="","",IF($F160&gt;31,$F160,IF($AB160="","",DATE(YEAR($AB160),MONTH($AB160),$F160))))</f>
        <v/>
      </c>
      <c r="H160" s="9" t="n"/>
      <c r="I160" s="11" t="n"/>
      <c r="J160" s="12">
        <f>IF($I160="","",IF($I160&gt;31,$I160,IF($G160="","",IF(DATE(YEAR($G160),MONTH($G160),$I160)&gt;=$G160,DATE(YEAR($G160),MONTH($G160),$I160),DATE(YEAR($G160),MONTH($G160)+1,$I160)))))</f>
        <v/>
      </c>
      <c r="K160" s="9" t="n"/>
      <c r="L160" s="13" t="n"/>
      <c r="M160" s="13" t="n"/>
      <c r="N160" s="13" t="n"/>
      <c r="O160" s="8">
        <f>IF(OR($G160="",$J160=""),"",$J160-$G160+1)</f>
        <v/>
      </c>
      <c r="P160" s="8">
        <f>IF(OR($G160="",$J160=""),"",$J160-$G160)</f>
        <v/>
      </c>
      <c r="Q160" s="9" t="n"/>
      <c r="R160" s="9" t="n"/>
      <c r="S160" s="9" t="n"/>
      <c r="T160" s="9" t="n"/>
      <c r="U160" s="9" t="n"/>
      <c r="V160" s="9" t="n"/>
      <c r="W160" s="14" t="n"/>
      <c r="X160" s="9" t="n"/>
      <c r="Y160" s="8">
        <f>IF($G160="","",IF($D160="","⚠部屋が未選択",IF(COUNTIF('M_部屋'!$A$4:$A$20,$D160)=0,"⚠部屋が未登録",IF(OR($J160="",$Q160="キャンセル"),"",IF(SUMPRODUCT(($D$5:$D$404=$D160)*($G$5:$G$404&lt;&gt;"")*($J$5:$J$404&lt;&gt;"")*($Q$5:$Q$404&lt;&gt;"キャンセル")*($G$5:$G$404&lt;$J160)*($J$5:$J$404&gt;$G160))&gt;1,"⚠重複","")))))</f>
        <v/>
      </c>
      <c r="Z160" s="8">
        <f>IF(OR($B160="",$G160=""),"",IF(SUMPRODUCT(('利用者マスタ'!$A$4:$A$60=$B160)*('利用者マスタ'!$B$4:$B$60&lt;&gt;""))=0,"",IF(SUMIFS($AA$5:$AA$404,$B$5:$B$404,$B160,$G$5:$G$404,"&gt;="&amp;DATE(YEAR($G160),MONTH($G160),1),$G$5:$G$404,"&lt;="&amp;EOMONTH($G160,0))&gt;SUMIFS('利用者マスタ'!$B$4:$B$60,'利用者マスタ'!$A$4:$A$60,$B160),"⚠支給量超過","")))</f>
        <v/>
      </c>
      <c r="AA160" s="8">
        <f>IF(OR($G160="",$J160="",$Q160="キャンセル"),0,IF(IFERROR(INDEX('M_区分'!$B$4:$B$20,MATCH($C160,'M_区分'!$A$4:$A$20,0)),"○")="○",$J160-$G160+1,0))</f>
        <v/>
      </c>
      <c r="AB160" s="8">
        <f>IF($E160&lt;&gt;"",$E160,$AB159)</f>
        <v/>
      </c>
      <c r="AC160" s="8">
        <f>IF(OR($G160="",$J160=""),"",IF(AND($G160&lt;=EOMONTH('02_カレンダー'!$B$4,0),$J160&gt;='02_カレンダー'!$B$4),$G160*10000+ROW(),""))</f>
        <v/>
      </c>
      <c r="AD160" s="8">
        <f>IF($H160="","",IF(ISNUMBER($H160),IF(AND($H160=INT($H160),$H160&gt;=0,$H160&lt;=24),TEXT(INT($H160),"00")&amp;":00",TEXT($H160,"hh:mm")),$H160))</f>
        <v/>
      </c>
      <c r="AE160" s="8">
        <f>IF($K160="","",IF(ISNUMBER($K160),IF(AND($K160=INT($K160),$K160&gt;=0,$K160&lt;=24),TEXT(INT($K160),"00")&amp;":00",TEXT($K160,"hh:mm")),$K160))</f>
        <v/>
      </c>
      <c r="AF160" s="8">
        <f>IF($G160="",0,$G160)</f>
        <v/>
      </c>
      <c r="AG160" s="8">
        <f>IF($J160="",0,$J160)</f>
        <v/>
      </c>
    </row>
    <row r="161">
      <c r="A161" s="8">
        <f>IF($G161="","","SS-"&amp;TEXT(ROW()-4,"0000"))</f>
        <v/>
      </c>
      <c r="B161" s="9" t="n"/>
      <c r="C161" s="9" t="n"/>
      <c r="D161" s="9" t="n"/>
      <c r="E161" s="10" t="n"/>
      <c r="F161" s="11" t="n"/>
      <c r="G161" s="12">
        <f>IF($F161="","",IF($F161&gt;31,$F161,IF($AB161="","",DATE(YEAR($AB161),MONTH($AB161),$F161))))</f>
        <v/>
      </c>
      <c r="H161" s="9" t="n"/>
      <c r="I161" s="11" t="n"/>
      <c r="J161" s="12">
        <f>IF($I161="","",IF($I161&gt;31,$I161,IF($G161="","",IF(DATE(YEAR($G161),MONTH($G161),$I161)&gt;=$G161,DATE(YEAR($G161),MONTH($G161),$I161),DATE(YEAR($G161),MONTH($G161)+1,$I161)))))</f>
        <v/>
      </c>
      <c r="K161" s="9" t="n"/>
      <c r="L161" s="13" t="n"/>
      <c r="M161" s="13" t="n"/>
      <c r="N161" s="13" t="n"/>
      <c r="O161" s="8">
        <f>IF(OR($G161="",$J161=""),"",$J161-$G161+1)</f>
        <v/>
      </c>
      <c r="P161" s="8">
        <f>IF(OR($G161="",$J161=""),"",$J161-$G161)</f>
        <v/>
      </c>
      <c r="Q161" s="9" t="n"/>
      <c r="R161" s="9" t="n"/>
      <c r="S161" s="9" t="n"/>
      <c r="T161" s="9" t="n"/>
      <c r="U161" s="9" t="n"/>
      <c r="V161" s="9" t="n"/>
      <c r="W161" s="14" t="n"/>
      <c r="X161" s="9" t="n"/>
      <c r="Y161" s="8">
        <f>IF($G161="","",IF($D161="","⚠部屋が未選択",IF(COUNTIF('M_部屋'!$A$4:$A$20,$D161)=0,"⚠部屋が未登録",IF(OR($J161="",$Q161="キャンセル"),"",IF(SUMPRODUCT(($D$5:$D$404=$D161)*($G$5:$G$404&lt;&gt;"")*($J$5:$J$404&lt;&gt;"")*($Q$5:$Q$404&lt;&gt;"キャンセル")*($G$5:$G$404&lt;$J161)*($J$5:$J$404&gt;$G161))&gt;1,"⚠重複","")))))</f>
        <v/>
      </c>
      <c r="Z161" s="8">
        <f>IF(OR($B161="",$G161=""),"",IF(SUMPRODUCT(('利用者マスタ'!$A$4:$A$60=$B161)*('利用者マスタ'!$B$4:$B$60&lt;&gt;""))=0,"",IF(SUMIFS($AA$5:$AA$404,$B$5:$B$404,$B161,$G$5:$G$404,"&gt;="&amp;DATE(YEAR($G161),MONTH($G161),1),$G$5:$G$404,"&lt;="&amp;EOMONTH($G161,0))&gt;SUMIFS('利用者マスタ'!$B$4:$B$60,'利用者マスタ'!$A$4:$A$60,$B161),"⚠支給量超過","")))</f>
        <v/>
      </c>
      <c r="AA161" s="8">
        <f>IF(OR($G161="",$J161="",$Q161="キャンセル"),0,IF(IFERROR(INDEX('M_区分'!$B$4:$B$20,MATCH($C161,'M_区分'!$A$4:$A$20,0)),"○")="○",$J161-$G161+1,0))</f>
        <v/>
      </c>
      <c r="AB161" s="8">
        <f>IF($E161&lt;&gt;"",$E161,$AB160)</f>
        <v/>
      </c>
      <c r="AC161" s="8">
        <f>IF(OR($G161="",$J161=""),"",IF(AND($G161&lt;=EOMONTH('02_カレンダー'!$B$4,0),$J161&gt;='02_カレンダー'!$B$4),$G161*10000+ROW(),""))</f>
        <v/>
      </c>
      <c r="AD161" s="8">
        <f>IF($H161="","",IF(ISNUMBER($H161),IF(AND($H161=INT($H161),$H161&gt;=0,$H161&lt;=24),TEXT(INT($H161),"00")&amp;":00",TEXT($H161,"hh:mm")),$H161))</f>
        <v/>
      </c>
      <c r="AE161" s="8">
        <f>IF($K161="","",IF(ISNUMBER($K161),IF(AND($K161=INT($K161),$K161&gt;=0,$K161&lt;=24),TEXT(INT($K161),"00")&amp;":00",TEXT($K161,"hh:mm")),$K161))</f>
        <v/>
      </c>
      <c r="AF161" s="8">
        <f>IF($G161="",0,$G161)</f>
        <v/>
      </c>
      <c r="AG161" s="8">
        <f>IF($J161="",0,$J161)</f>
        <v/>
      </c>
    </row>
    <row r="162">
      <c r="A162" s="8">
        <f>IF($G162="","","SS-"&amp;TEXT(ROW()-4,"0000"))</f>
        <v/>
      </c>
      <c r="B162" s="9" t="n"/>
      <c r="C162" s="9" t="n"/>
      <c r="D162" s="9" t="n"/>
      <c r="E162" s="10" t="n"/>
      <c r="F162" s="11" t="n"/>
      <c r="G162" s="12">
        <f>IF($F162="","",IF($F162&gt;31,$F162,IF($AB162="","",DATE(YEAR($AB162),MONTH($AB162),$F162))))</f>
        <v/>
      </c>
      <c r="H162" s="9" t="n"/>
      <c r="I162" s="11" t="n"/>
      <c r="J162" s="12">
        <f>IF($I162="","",IF($I162&gt;31,$I162,IF($G162="","",IF(DATE(YEAR($G162),MONTH($G162),$I162)&gt;=$G162,DATE(YEAR($G162),MONTH($G162),$I162),DATE(YEAR($G162),MONTH($G162)+1,$I162)))))</f>
        <v/>
      </c>
      <c r="K162" s="9" t="n"/>
      <c r="L162" s="13" t="n"/>
      <c r="M162" s="13" t="n"/>
      <c r="N162" s="13" t="n"/>
      <c r="O162" s="8">
        <f>IF(OR($G162="",$J162=""),"",$J162-$G162+1)</f>
        <v/>
      </c>
      <c r="P162" s="8">
        <f>IF(OR($G162="",$J162=""),"",$J162-$G162)</f>
        <v/>
      </c>
      <c r="Q162" s="9" t="n"/>
      <c r="R162" s="9" t="n"/>
      <c r="S162" s="9" t="n"/>
      <c r="T162" s="9" t="n"/>
      <c r="U162" s="9" t="n"/>
      <c r="V162" s="9" t="n"/>
      <c r="W162" s="14" t="n"/>
      <c r="X162" s="9" t="n"/>
      <c r="Y162" s="8">
        <f>IF($G162="","",IF($D162="","⚠部屋が未選択",IF(COUNTIF('M_部屋'!$A$4:$A$20,$D162)=0,"⚠部屋が未登録",IF(OR($J162="",$Q162="キャンセル"),"",IF(SUMPRODUCT(($D$5:$D$404=$D162)*($G$5:$G$404&lt;&gt;"")*($J$5:$J$404&lt;&gt;"")*($Q$5:$Q$404&lt;&gt;"キャンセル")*($G$5:$G$404&lt;$J162)*($J$5:$J$404&gt;$G162))&gt;1,"⚠重複","")))))</f>
        <v/>
      </c>
      <c r="Z162" s="8">
        <f>IF(OR($B162="",$G162=""),"",IF(SUMPRODUCT(('利用者マスタ'!$A$4:$A$60=$B162)*('利用者マスタ'!$B$4:$B$60&lt;&gt;""))=0,"",IF(SUMIFS($AA$5:$AA$404,$B$5:$B$404,$B162,$G$5:$G$404,"&gt;="&amp;DATE(YEAR($G162),MONTH($G162),1),$G$5:$G$404,"&lt;="&amp;EOMONTH($G162,0))&gt;SUMIFS('利用者マスタ'!$B$4:$B$60,'利用者マスタ'!$A$4:$A$60,$B162),"⚠支給量超過","")))</f>
        <v/>
      </c>
      <c r="AA162" s="8">
        <f>IF(OR($G162="",$J162="",$Q162="キャンセル"),0,IF(IFERROR(INDEX('M_区分'!$B$4:$B$20,MATCH($C162,'M_区分'!$A$4:$A$20,0)),"○")="○",$J162-$G162+1,0))</f>
        <v/>
      </c>
      <c r="AB162" s="8">
        <f>IF($E162&lt;&gt;"",$E162,$AB161)</f>
        <v/>
      </c>
      <c r="AC162" s="8">
        <f>IF(OR($G162="",$J162=""),"",IF(AND($G162&lt;=EOMONTH('02_カレンダー'!$B$4,0),$J162&gt;='02_カレンダー'!$B$4),$G162*10000+ROW(),""))</f>
        <v/>
      </c>
      <c r="AD162" s="8">
        <f>IF($H162="","",IF(ISNUMBER($H162),IF(AND($H162=INT($H162),$H162&gt;=0,$H162&lt;=24),TEXT(INT($H162),"00")&amp;":00",TEXT($H162,"hh:mm")),$H162))</f>
        <v/>
      </c>
      <c r="AE162" s="8">
        <f>IF($K162="","",IF(ISNUMBER($K162),IF(AND($K162=INT($K162),$K162&gt;=0,$K162&lt;=24),TEXT(INT($K162),"00")&amp;":00",TEXT($K162,"hh:mm")),$K162))</f>
        <v/>
      </c>
      <c r="AF162" s="8">
        <f>IF($G162="",0,$G162)</f>
        <v/>
      </c>
      <c r="AG162" s="8">
        <f>IF($J162="",0,$J162)</f>
        <v/>
      </c>
    </row>
    <row r="163">
      <c r="A163" s="8">
        <f>IF($G163="","","SS-"&amp;TEXT(ROW()-4,"0000"))</f>
        <v/>
      </c>
      <c r="B163" s="9" t="n"/>
      <c r="C163" s="9" t="n"/>
      <c r="D163" s="9" t="n"/>
      <c r="E163" s="10" t="n"/>
      <c r="F163" s="11" t="n"/>
      <c r="G163" s="12">
        <f>IF($F163="","",IF($F163&gt;31,$F163,IF($AB163="","",DATE(YEAR($AB163),MONTH($AB163),$F163))))</f>
        <v/>
      </c>
      <c r="H163" s="9" t="n"/>
      <c r="I163" s="11" t="n"/>
      <c r="J163" s="12">
        <f>IF($I163="","",IF($I163&gt;31,$I163,IF($G163="","",IF(DATE(YEAR($G163),MONTH($G163),$I163)&gt;=$G163,DATE(YEAR($G163),MONTH($G163),$I163),DATE(YEAR($G163),MONTH($G163)+1,$I163)))))</f>
        <v/>
      </c>
      <c r="K163" s="9" t="n"/>
      <c r="L163" s="13" t="n"/>
      <c r="M163" s="13" t="n"/>
      <c r="N163" s="13" t="n"/>
      <c r="O163" s="8">
        <f>IF(OR($G163="",$J163=""),"",$J163-$G163+1)</f>
        <v/>
      </c>
      <c r="P163" s="8">
        <f>IF(OR($G163="",$J163=""),"",$J163-$G163)</f>
        <v/>
      </c>
      <c r="Q163" s="9" t="n"/>
      <c r="R163" s="9" t="n"/>
      <c r="S163" s="9" t="n"/>
      <c r="T163" s="9" t="n"/>
      <c r="U163" s="9" t="n"/>
      <c r="V163" s="9" t="n"/>
      <c r="W163" s="14" t="n"/>
      <c r="X163" s="9" t="n"/>
      <c r="Y163" s="8">
        <f>IF($G163="","",IF($D163="","⚠部屋が未選択",IF(COUNTIF('M_部屋'!$A$4:$A$20,$D163)=0,"⚠部屋が未登録",IF(OR($J163="",$Q163="キャンセル"),"",IF(SUMPRODUCT(($D$5:$D$404=$D163)*($G$5:$G$404&lt;&gt;"")*($J$5:$J$404&lt;&gt;"")*($Q$5:$Q$404&lt;&gt;"キャンセル")*($G$5:$G$404&lt;$J163)*($J$5:$J$404&gt;$G163))&gt;1,"⚠重複","")))))</f>
        <v/>
      </c>
      <c r="Z163" s="8">
        <f>IF(OR($B163="",$G163=""),"",IF(SUMPRODUCT(('利用者マスタ'!$A$4:$A$60=$B163)*('利用者マスタ'!$B$4:$B$60&lt;&gt;""))=0,"",IF(SUMIFS($AA$5:$AA$404,$B$5:$B$404,$B163,$G$5:$G$404,"&gt;="&amp;DATE(YEAR($G163),MONTH($G163),1),$G$5:$G$404,"&lt;="&amp;EOMONTH($G163,0))&gt;SUMIFS('利用者マスタ'!$B$4:$B$60,'利用者マスタ'!$A$4:$A$60,$B163),"⚠支給量超過","")))</f>
        <v/>
      </c>
      <c r="AA163" s="8">
        <f>IF(OR($G163="",$J163="",$Q163="キャンセル"),0,IF(IFERROR(INDEX('M_区分'!$B$4:$B$20,MATCH($C163,'M_区分'!$A$4:$A$20,0)),"○")="○",$J163-$G163+1,0))</f>
        <v/>
      </c>
      <c r="AB163" s="8">
        <f>IF($E163&lt;&gt;"",$E163,$AB162)</f>
        <v/>
      </c>
      <c r="AC163" s="8">
        <f>IF(OR($G163="",$J163=""),"",IF(AND($G163&lt;=EOMONTH('02_カレンダー'!$B$4,0),$J163&gt;='02_カレンダー'!$B$4),$G163*10000+ROW(),""))</f>
        <v/>
      </c>
      <c r="AD163" s="8">
        <f>IF($H163="","",IF(ISNUMBER($H163),IF(AND($H163=INT($H163),$H163&gt;=0,$H163&lt;=24),TEXT(INT($H163),"00")&amp;":00",TEXT($H163,"hh:mm")),$H163))</f>
        <v/>
      </c>
      <c r="AE163" s="8">
        <f>IF($K163="","",IF(ISNUMBER($K163),IF(AND($K163=INT($K163),$K163&gt;=0,$K163&lt;=24),TEXT(INT($K163),"00")&amp;":00",TEXT($K163,"hh:mm")),$K163))</f>
        <v/>
      </c>
      <c r="AF163" s="8">
        <f>IF($G163="",0,$G163)</f>
        <v/>
      </c>
      <c r="AG163" s="8">
        <f>IF($J163="",0,$J163)</f>
        <v/>
      </c>
    </row>
    <row r="164">
      <c r="A164" s="8">
        <f>IF($G164="","","SS-"&amp;TEXT(ROW()-4,"0000"))</f>
        <v/>
      </c>
      <c r="B164" s="9" t="n"/>
      <c r="C164" s="9" t="n"/>
      <c r="D164" s="9" t="n"/>
      <c r="E164" s="10" t="n"/>
      <c r="F164" s="11" t="n"/>
      <c r="G164" s="12">
        <f>IF($F164="","",IF($F164&gt;31,$F164,IF($AB164="","",DATE(YEAR($AB164),MONTH($AB164),$F164))))</f>
        <v/>
      </c>
      <c r="H164" s="9" t="n"/>
      <c r="I164" s="11" t="n"/>
      <c r="J164" s="12">
        <f>IF($I164="","",IF($I164&gt;31,$I164,IF($G164="","",IF(DATE(YEAR($G164),MONTH($G164),$I164)&gt;=$G164,DATE(YEAR($G164),MONTH($G164),$I164),DATE(YEAR($G164),MONTH($G164)+1,$I164)))))</f>
        <v/>
      </c>
      <c r="K164" s="9" t="n"/>
      <c r="L164" s="13" t="n"/>
      <c r="M164" s="13" t="n"/>
      <c r="N164" s="13" t="n"/>
      <c r="O164" s="8">
        <f>IF(OR($G164="",$J164=""),"",$J164-$G164+1)</f>
        <v/>
      </c>
      <c r="P164" s="8">
        <f>IF(OR($G164="",$J164=""),"",$J164-$G164)</f>
        <v/>
      </c>
      <c r="Q164" s="9" t="n"/>
      <c r="R164" s="9" t="n"/>
      <c r="S164" s="9" t="n"/>
      <c r="T164" s="9" t="n"/>
      <c r="U164" s="9" t="n"/>
      <c r="V164" s="9" t="n"/>
      <c r="W164" s="14" t="n"/>
      <c r="X164" s="9" t="n"/>
      <c r="Y164" s="8">
        <f>IF($G164="","",IF($D164="","⚠部屋が未選択",IF(COUNTIF('M_部屋'!$A$4:$A$20,$D164)=0,"⚠部屋が未登録",IF(OR($J164="",$Q164="キャンセル"),"",IF(SUMPRODUCT(($D$5:$D$404=$D164)*($G$5:$G$404&lt;&gt;"")*($J$5:$J$404&lt;&gt;"")*($Q$5:$Q$404&lt;&gt;"キャンセル")*($G$5:$G$404&lt;$J164)*($J$5:$J$404&gt;$G164))&gt;1,"⚠重複","")))))</f>
        <v/>
      </c>
      <c r="Z164" s="8">
        <f>IF(OR($B164="",$G164=""),"",IF(SUMPRODUCT(('利用者マスタ'!$A$4:$A$60=$B164)*('利用者マスタ'!$B$4:$B$60&lt;&gt;""))=0,"",IF(SUMIFS($AA$5:$AA$404,$B$5:$B$404,$B164,$G$5:$G$404,"&gt;="&amp;DATE(YEAR($G164),MONTH($G164),1),$G$5:$G$404,"&lt;="&amp;EOMONTH($G164,0))&gt;SUMIFS('利用者マスタ'!$B$4:$B$60,'利用者マスタ'!$A$4:$A$60,$B164),"⚠支給量超過","")))</f>
        <v/>
      </c>
      <c r="AA164" s="8">
        <f>IF(OR($G164="",$J164="",$Q164="キャンセル"),0,IF(IFERROR(INDEX('M_区分'!$B$4:$B$20,MATCH($C164,'M_区分'!$A$4:$A$20,0)),"○")="○",$J164-$G164+1,0))</f>
        <v/>
      </c>
      <c r="AB164" s="8">
        <f>IF($E164&lt;&gt;"",$E164,$AB163)</f>
        <v/>
      </c>
      <c r="AC164" s="8">
        <f>IF(OR($G164="",$J164=""),"",IF(AND($G164&lt;=EOMONTH('02_カレンダー'!$B$4,0),$J164&gt;='02_カレンダー'!$B$4),$G164*10000+ROW(),""))</f>
        <v/>
      </c>
      <c r="AD164" s="8">
        <f>IF($H164="","",IF(ISNUMBER($H164),IF(AND($H164=INT($H164),$H164&gt;=0,$H164&lt;=24),TEXT(INT($H164),"00")&amp;":00",TEXT($H164,"hh:mm")),$H164))</f>
        <v/>
      </c>
      <c r="AE164" s="8">
        <f>IF($K164="","",IF(ISNUMBER($K164),IF(AND($K164=INT($K164),$K164&gt;=0,$K164&lt;=24),TEXT(INT($K164),"00")&amp;":00",TEXT($K164,"hh:mm")),$K164))</f>
        <v/>
      </c>
      <c r="AF164" s="8">
        <f>IF($G164="",0,$G164)</f>
        <v/>
      </c>
      <c r="AG164" s="8">
        <f>IF($J164="",0,$J164)</f>
        <v/>
      </c>
    </row>
    <row r="165">
      <c r="A165" s="8">
        <f>IF($G165="","","SS-"&amp;TEXT(ROW()-4,"0000"))</f>
        <v/>
      </c>
      <c r="B165" s="9" t="n"/>
      <c r="C165" s="9" t="n"/>
      <c r="D165" s="9" t="n"/>
      <c r="E165" s="10" t="n"/>
      <c r="F165" s="11" t="n"/>
      <c r="G165" s="12">
        <f>IF($F165="","",IF($F165&gt;31,$F165,IF($AB165="","",DATE(YEAR($AB165),MONTH($AB165),$F165))))</f>
        <v/>
      </c>
      <c r="H165" s="9" t="n"/>
      <c r="I165" s="11" t="n"/>
      <c r="J165" s="12">
        <f>IF($I165="","",IF($I165&gt;31,$I165,IF($G165="","",IF(DATE(YEAR($G165),MONTH($G165),$I165)&gt;=$G165,DATE(YEAR($G165),MONTH($G165),$I165),DATE(YEAR($G165),MONTH($G165)+1,$I165)))))</f>
        <v/>
      </c>
      <c r="K165" s="9" t="n"/>
      <c r="L165" s="13" t="n"/>
      <c r="M165" s="13" t="n"/>
      <c r="N165" s="13" t="n"/>
      <c r="O165" s="8">
        <f>IF(OR($G165="",$J165=""),"",$J165-$G165+1)</f>
        <v/>
      </c>
      <c r="P165" s="8">
        <f>IF(OR($G165="",$J165=""),"",$J165-$G165)</f>
        <v/>
      </c>
      <c r="Q165" s="9" t="n"/>
      <c r="R165" s="9" t="n"/>
      <c r="S165" s="9" t="n"/>
      <c r="T165" s="9" t="n"/>
      <c r="U165" s="9" t="n"/>
      <c r="V165" s="9" t="n"/>
      <c r="W165" s="14" t="n"/>
      <c r="X165" s="9" t="n"/>
      <c r="Y165" s="8">
        <f>IF($G165="","",IF($D165="","⚠部屋が未選択",IF(COUNTIF('M_部屋'!$A$4:$A$20,$D165)=0,"⚠部屋が未登録",IF(OR($J165="",$Q165="キャンセル"),"",IF(SUMPRODUCT(($D$5:$D$404=$D165)*($G$5:$G$404&lt;&gt;"")*($J$5:$J$404&lt;&gt;"")*($Q$5:$Q$404&lt;&gt;"キャンセル")*($G$5:$G$404&lt;$J165)*($J$5:$J$404&gt;$G165))&gt;1,"⚠重複","")))))</f>
        <v/>
      </c>
      <c r="Z165" s="8">
        <f>IF(OR($B165="",$G165=""),"",IF(SUMPRODUCT(('利用者マスタ'!$A$4:$A$60=$B165)*('利用者マスタ'!$B$4:$B$60&lt;&gt;""))=0,"",IF(SUMIFS($AA$5:$AA$404,$B$5:$B$404,$B165,$G$5:$G$404,"&gt;="&amp;DATE(YEAR($G165),MONTH($G165),1),$G$5:$G$404,"&lt;="&amp;EOMONTH($G165,0))&gt;SUMIFS('利用者マスタ'!$B$4:$B$60,'利用者マスタ'!$A$4:$A$60,$B165),"⚠支給量超過","")))</f>
        <v/>
      </c>
      <c r="AA165" s="8">
        <f>IF(OR($G165="",$J165="",$Q165="キャンセル"),0,IF(IFERROR(INDEX('M_区分'!$B$4:$B$20,MATCH($C165,'M_区分'!$A$4:$A$20,0)),"○")="○",$J165-$G165+1,0))</f>
        <v/>
      </c>
      <c r="AB165" s="8">
        <f>IF($E165&lt;&gt;"",$E165,$AB164)</f>
        <v/>
      </c>
      <c r="AC165" s="8">
        <f>IF(OR($G165="",$J165=""),"",IF(AND($G165&lt;=EOMONTH('02_カレンダー'!$B$4,0),$J165&gt;='02_カレンダー'!$B$4),$G165*10000+ROW(),""))</f>
        <v/>
      </c>
      <c r="AD165" s="8">
        <f>IF($H165="","",IF(ISNUMBER($H165),IF(AND($H165=INT($H165),$H165&gt;=0,$H165&lt;=24),TEXT(INT($H165),"00")&amp;":00",TEXT($H165,"hh:mm")),$H165))</f>
        <v/>
      </c>
      <c r="AE165" s="8">
        <f>IF($K165="","",IF(ISNUMBER($K165),IF(AND($K165=INT($K165),$K165&gt;=0,$K165&lt;=24),TEXT(INT($K165),"00")&amp;":00",TEXT($K165,"hh:mm")),$K165))</f>
        <v/>
      </c>
      <c r="AF165" s="8">
        <f>IF($G165="",0,$G165)</f>
        <v/>
      </c>
      <c r="AG165" s="8">
        <f>IF($J165="",0,$J165)</f>
        <v/>
      </c>
    </row>
    <row r="166">
      <c r="A166" s="8">
        <f>IF($G166="","","SS-"&amp;TEXT(ROW()-4,"0000"))</f>
        <v/>
      </c>
      <c r="B166" s="9" t="n"/>
      <c r="C166" s="9" t="n"/>
      <c r="D166" s="9" t="n"/>
      <c r="E166" s="10" t="n"/>
      <c r="F166" s="11" t="n"/>
      <c r="G166" s="12">
        <f>IF($F166="","",IF($F166&gt;31,$F166,IF($AB166="","",DATE(YEAR($AB166),MONTH($AB166),$F166))))</f>
        <v/>
      </c>
      <c r="H166" s="9" t="n"/>
      <c r="I166" s="11" t="n"/>
      <c r="J166" s="12">
        <f>IF($I166="","",IF($I166&gt;31,$I166,IF($G166="","",IF(DATE(YEAR($G166),MONTH($G166),$I166)&gt;=$G166,DATE(YEAR($G166),MONTH($G166),$I166),DATE(YEAR($G166),MONTH($G166)+1,$I166)))))</f>
        <v/>
      </c>
      <c r="K166" s="9" t="n"/>
      <c r="L166" s="13" t="n"/>
      <c r="M166" s="13" t="n"/>
      <c r="N166" s="13" t="n"/>
      <c r="O166" s="8">
        <f>IF(OR($G166="",$J166=""),"",$J166-$G166+1)</f>
        <v/>
      </c>
      <c r="P166" s="8">
        <f>IF(OR($G166="",$J166=""),"",$J166-$G166)</f>
        <v/>
      </c>
      <c r="Q166" s="9" t="n"/>
      <c r="R166" s="9" t="n"/>
      <c r="S166" s="9" t="n"/>
      <c r="T166" s="9" t="n"/>
      <c r="U166" s="9" t="n"/>
      <c r="V166" s="9" t="n"/>
      <c r="W166" s="14" t="n"/>
      <c r="X166" s="9" t="n"/>
      <c r="Y166" s="8">
        <f>IF($G166="","",IF($D166="","⚠部屋が未選択",IF(COUNTIF('M_部屋'!$A$4:$A$20,$D166)=0,"⚠部屋が未登録",IF(OR($J166="",$Q166="キャンセル"),"",IF(SUMPRODUCT(($D$5:$D$404=$D166)*($G$5:$G$404&lt;&gt;"")*($J$5:$J$404&lt;&gt;"")*($Q$5:$Q$404&lt;&gt;"キャンセル")*($G$5:$G$404&lt;$J166)*($J$5:$J$404&gt;$G166))&gt;1,"⚠重複","")))))</f>
        <v/>
      </c>
      <c r="Z166" s="8">
        <f>IF(OR($B166="",$G166=""),"",IF(SUMPRODUCT(('利用者マスタ'!$A$4:$A$60=$B166)*('利用者マスタ'!$B$4:$B$60&lt;&gt;""))=0,"",IF(SUMIFS($AA$5:$AA$404,$B$5:$B$404,$B166,$G$5:$G$404,"&gt;="&amp;DATE(YEAR($G166),MONTH($G166),1),$G$5:$G$404,"&lt;="&amp;EOMONTH($G166,0))&gt;SUMIFS('利用者マスタ'!$B$4:$B$60,'利用者マスタ'!$A$4:$A$60,$B166),"⚠支給量超過","")))</f>
        <v/>
      </c>
      <c r="AA166" s="8">
        <f>IF(OR($G166="",$J166="",$Q166="キャンセル"),0,IF(IFERROR(INDEX('M_区分'!$B$4:$B$20,MATCH($C166,'M_区分'!$A$4:$A$20,0)),"○")="○",$J166-$G166+1,0))</f>
        <v/>
      </c>
      <c r="AB166" s="8">
        <f>IF($E166&lt;&gt;"",$E166,$AB165)</f>
        <v/>
      </c>
      <c r="AC166" s="8">
        <f>IF(OR($G166="",$J166=""),"",IF(AND($G166&lt;=EOMONTH('02_カレンダー'!$B$4,0),$J166&gt;='02_カレンダー'!$B$4),$G166*10000+ROW(),""))</f>
        <v/>
      </c>
      <c r="AD166" s="8">
        <f>IF($H166="","",IF(ISNUMBER($H166),IF(AND($H166=INT($H166),$H166&gt;=0,$H166&lt;=24),TEXT(INT($H166),"00")&amp;":00",TEXT($H166,"hh:mm")),$H166))</f>
        <v/>
      </c>
      <c r="AE166" s="8">
        <f>IF($K166="","",IF(ISNUMBER($K166),IF(AND($K166=INT($K166),$K166&gt;=0,$K166&lt;=24),TEXT(INT($K166),"00")&amp;":00",TEXT($K166,"hh:mm")),$K166))</f>
        <v/>
      </c>
      <c r="AF166" s="8">
        <f>IF($G166="",0,$G166)</f>
        <v/>
      </c>
      <c r="AG166" s="8">
        <f>IF($J166="",0,$J166)</f>
        <v/>
      </c>
    </row>
    <row r="167">
      <c r="A167" s="8">
        <f>IF($G167="","","SS-"&amp;TEXT(ROW()-4,"0000"))</f>
        <v/>
      </c>
      <c r="B167" s="9" t="n"/>
      <c r="C167" s="9" t="n"/>
      <c r="D167" s="9" t="n"/>
      <c r="E167" s="10" t="n"/>
      <c r="F167" s="11" t="n"/>
      <c r="G167" s="12">
        <f>IF($F167="","",IF($F167&gt;31,$F167,IF($AB167="","",DATE(YEAR($AB167),MONTH($AB167),$F167))))</f>
        <v/>
      </c>
      <c r="H167" s="9" t="n"/>
      <c r="I167" s="11" t="n"/>
      <c r="J167" s="12">
        <f>IF($I167="","",IF($I167&gt;31,$I167,IF($G167="","",IF(DATE(YEAR($G167),MONTH($G167),$I167)&gt;=$G167,DATE(YEAR($G167),MONTH($G167),$I167),DATE(YEAR($G167),MONTH($G167)+1,$I167)))))</f>
        <v/>
      </c>
      <c r="K167" s="9" t="n"/>
      <c r="L167" s="13" t="n"/>
      <c r="M167" s="13" t="n"/>
      <c r="N167" s="13" t="n"/>
      <c r="O167" s="8">
        <f>IF(OR($G167="",$J167=""),"",$J167-$G167+1)</f>
        <v/>
      </c>
      <c r="P167" s="8">
        <f>IF(OR($G167="",$J167=""),"",$J167-$G167)</f>
        <v/>
      </c>
      <c r="Q167" s="9" t="n"/>
      <c r="R167" s="9" t="n"/>
      <c r="S167" s="9" t="n"/>
      <c r="T167" s="9" t="n"/>
      <c r="U167" s="9" t="n"/>
      <c r="V167" s="9" t="n"/>
      <c r="W167" s="14" t="n"/>
      <c r="X167" s="9" t="n"/>
      <c r="Y167" s="8">
        <f>IF($G167="","",IF($D167="","⚠部屋が未選択",IF(COUNTIF('M_部屋'!$A$4:$A$20,$D167)=0,"⚠部屋が未登録",IF(OR($J167="",$Q167="キャンセル"),"",IF(SUMPRODUCT(($D$5:$D$404=$D167)*($G$5:$G$404&lt;&gt;"")*($J$5:$J$404&lt;&gt;"")*($Q$5:$Q$404&lt;&gt;"キャンセル")*($G$5:$G$404&lt;$J167)*($J$5:$J$404&gt;$G167))&gt;1,"⚠重複","")))))</f>
        <v/>
      </c>
      <c r="Z167" s="8">
        <f>IF(OR($B167="",$G167=""),"",IF(SUMPRODUCT(('利用者マスタ'!$A$4:$A$60=$B167)*('利用者マスタ'!$B$4:$B$60&lt;&gt;""))=0,"",IF(SUMIFS($AA$5:$AA$404,$B$5:$B$404,$B167,$G$5:$G$404,"&gt;="&amp;DATE(YEAR($G167),MONTH($G167),1),$G$5:$G$404,"&lt;="&amp;EOMONTH($G167,0))&gt;SUMIFS('利用者マスタ'!$B$4:$B$60,'利用者マスタ'!$A$4:$A$60,$B167),"⚠支給量超過","")))</f>
        <v/>
      </c>
      <c r="AA167" s="8">
        <f>IF(OR($G167="",$J167="",$Q167="キャンセル"),0,IF(IFERROR(INDEX('M_区分'!$B$4:$B$20,MATCH($C167,'M_区分'!$A$4:$A$20,0)),"○")="○",$J167-$G167+1,0))</f>
        <v/>
      </c>
      <c r="AB167" s="8">
        <f>IF($E167&lt;&gt;"",$E167,$AB166)</f>
        <v/>
      </c>
      <c r="AC167" s="8">
        <f>IF(OR($G167="",$J167=""),"",IF(AND($G167&lt;=EOMONTH('02_カレンダー'!$B$4,0),$J167&gt;='02_カレンダー'!$B$4),$G167*10000+ROW(),""))</f>
        <v/>
      </c>
      <c r="AD167" s="8">
        <f>IF($H167="","",IF(ISNUMBER($H167),IF(AND($H167=INT($H167),$H167&gt;=0,$H167&lt;=24),TEXT(INT($H167),"00")&amp;":00",TEXT($H167,"hh:mm")),$H167))</f>
        <v/>
      </c>
      <c r="AE167" s="8">
        <f>IF($K167="","",IF(ISNUMBER($K167),IF(AND($K167=INT($K167),$K167&gt;=0,$K167&lt;=24),TEXT(INT($K167),"00")&amp;":00",TEXT($K167,"hh:mm")),$K167))</f>
        <v/>
      </c>
      <c r="AF167" s="8">
        <f>IF($G167="",0,$G167)</f>
        <v/>
      </c>
      <c r="AG167" s="8">
        <f>IF($J167="",0,$J167)</f>
        <v/>
      </c>
    </row>
    <row r="168">
      <c r="A168" s="8">
        <f>IF($G168="","","SS-"&amp;TEXT(ROW()-4,"0000"))</f>
        <v/>
      </c>
      <c r="B168" s="9" t="n"/>
      <c r="C168" s="9" t="n"/>
      <c r="D168" s="9" t="n"/>
      <c r="E168" s="10" t="n"/>
      <c r="F168" s="11" t="n"/>
      <c r="G168" s="12">
        <f>IF($F168="","",IF($F168&gt;31,$F168,IF($AB168="","",DATE(YEAR($AB168),MONTH($AB168),$F168))))</f>
        <v/>
      </c>
      <c r="H168" s="9" t="n"/>
      <c r="I168" s="11" t="n"/>
      <c r="J168" s="12">
        <f>IF($I168="","",IF($I168&gt;31,$I168,IF($G168="","",IF(DATE(YEAR($G168),MONTH($G168),$I168)&gt;=$G168,DATE(YEAR($G168),MONTH($G168),$I168),DATE(YEAR($G168),MONTH($G168)+1,$I168)))))</f>
        <v/>
      </c>
      <c r="K168" s="9" t="n"/>
      <c r="L168" s="13" t="n"/>
      <c r="M168" s="13" t="n"/>
      <c r="N168" s="13" t="n"/>
      <c r="O168" s="8">
        <f>IF(OR($G168="",$J168=""),"",$J168-$G168+1)</f>
        <v/>
      </c>
      <c r="P168" s="8">
        <f>IF(OR($G168="",$J168=""),"",$J168-$G168)</f>
        <v/>
      </c>
      <c r="Q168" s="9" t="n"/>
      <c r="R168" s="9" t="n"/>
      <c r="S168" s="9" t="n"/>
      <c r="T168" s="9" t="n"/>
      <c r="U168" s="9" t="n"/>
      <c r="V168" s="9" t="n"/>
      <c r="W168" s="14" t="n"/>
      <c r="X168" s="9" t="n"/>
      <c r="Y168" s="8">
        <f>IF($G168="","",IF($D168="","⚠部屋が未選択",IF(COUNTIF('M_部屋'!$A$4:$A$20,$D168)=0,"⚠部屋が未登録",IF(OR($J168="",$Q168="キャンセル"),"",IF(SUMPRODUCT(($D$5:$D$404=$D168)*($G$5:$G$404&lt;&gt;"")*($J$5:$J$404&lt;&gt;"")*($Q$5:$Q$404&lt;&gt;"キャンセル")*($G$5:$G$404&lt;$J168)*($J$5:$J$404&gt;$G168))&gt;1,"⚠重複","")))))</f>
        <v/>
      </c>
      <c r="Z168" s="8">
        <f>IF(OR($B168="",$G168=""),"",IF(SUMPRODUCT(('利用者マスタ'!$A$4:$A$60=$B168)*('利用者マスタ'!$B$4:$B$60&lt;&gt;""))=0,"",IF(SUMIFS($AA$5:$AA$404,$B$5:$B$404,$B168,$G$5:$G$404,"&gt;="&amp;DATE(YEAR($G168),MONTH($G168),1),$G$5:$G$404,"&lt;="&amp;EOMONTH($G168,0))&gt;SUMIFS('利用者マスタ'!$B$4:$B$60,'利用者マスタ'!$A$4:$A$60,$B168),"⚠支給量超過","")))</f>
        <v/>
      </c>
      <c r="AA168" s="8">
        <f>IF(OR($G168="",$J168="",$Q168="キャンセル"),0,IF(IFERROR(INDEX('M_区分'!$B$4:$B$20,MATCH($C168,'M_区分'!$A$4:$A$20,0)),"○")="○",$J168-$G168+1,0))</f>
        <v/>
      </c>
      <c r="AB168" s="8">
        <f>IF($E168&lt;&gt;"",$E168,$AB167)</f>
        <v/>
      </c>
      <c r="AC168" s="8">
        <f>IF(OR($G168="",$J168=""),"",IF(AND($G168&lt;=EOMONTH('02_カレンダー'!$B$4,0),$J168&gt;='02_カレンダー'!$B$4),$G168*10000+ROW(),""))</f>
        <v/>
      </c>
      <c r="AD168" s="8">
        <f>IF($H168="","",IF(ISNUMBER($H168),IF(AND($H168=INT($H168),$H168&gt;=0,$H168&lt;=24),TEXT(INT($H168),"00")&amp;":00",TEXT($H168,"hh:mm")),$H168))</f>
        <v/>
      </c>
      <c r="AE168" s="8">
        <f>IF($K168="","",IF(ISNUMBER($K168),IF(AND($K168=INT($K168),$K168&gt;=0,$K168&lt;=24),TEXT(INT($K168),"00")&amp;":00",TEXT($K168,"hh:mm")),$K168))</f>
        <v/>
      </c>
      <c r="AF168" s="8">
        <f>IF($G168="",0,$G168)</f>
        <v/>
      </c>
      <c r="AG168" s="8">
        <f>IF($J168="",0,$J168)</f>
        <v/>
      </c>
    </row>
    <row r="169">
      <c r="A169" s="8">
        <f>IF($G169="","","SS-"&amp;TEXT(ROW()-4,"0000"))</f>
        <v/>
      </c>
      <c r="B169" s="9" t="n"/>
      <c r="C169" s="9" t="n"/>
      <c r="D169" s="9" t="n"/>
      <c r="E169" s="10" t="n"/>
      <c r="F169" s="11" t="n"/>
      <c r="G169" s="12">
        <f>IF($F169="","",IF($F169&gt;31,$F169,IF($AB169="","",DATE(YEAR($AB169),MONTH($AB169),$F169))))</f>
        <v/>
      </c>
      <c r="H169" s="9" t="n"/>
      <c r="I169" s="11" t="n"/>
      <c r="J169" s="12">
        <f>IF($I169="","",IF($I169&gt;31,$I169,IF($G169="","",IF(DATE(YEAR($G169),MONTH($G169),$I169)&gt;=$G169,DATE(YEAR($G169),MONTH($G169),$I169),DATE(YEAR($G169),MONTH($G169)+1,$I169)))))</f>
        <v/>
      </c>
      <c r="K169" s="9" t="n"/>
      <c r="L169" s="13" t="n"/>
      <c r="M169" s="13" t="n"/>
      <c r="N169" s="13" t="n"/>
      <c r="O169" s="8">
        <f>IF(OR($G169="",$J169=""),"",$J169-$G169+1)</f>
        <v/>
      </c>
      <c r="P169" s="8">
        <f>IF(OR($G169="",$J169=""),"",$J169-$G169)</f>
        <v/>
      </c>
      <c r="Q169" s="9" t="n"/>
      <c r="R169" s="9" t="n"/>
      <c r="S169" s="9" t="n"/>
      <c r="T169" s="9" t="n"/>
      <c r="U169" s="9" t="n"/>
      <c r="V169" s="9" t="n"/>
      <c r="W169" s="14" t="n"/>
      <c r="X169" s="9" t="n"/>
      <c r="Y169" s="8">
        <f>IF($G169="","",IF($D169="","⚠部屋が未選択",IF(COUNTIF('M_部屋'!$A$4:$A$20,$D169)=0,"⚠部屋が未登録",IF(OR($J169="",$Q169="キャンセル"),"",IF(SUMPRODUCT(($D$5:$D$404=$D169)*($G$5:$G$404&lt;&gt;"")*($J$5:$J$404&lt;&gt;"")*($Q$5:$Q$404&lt;&gt;"キャンセル")*($G$5:$G$404&lt;$J169)*($J$5:$J$404&gt;$G169))&gt;1,"⚠重複","")))))</f>
        <v/>
      </c>
      <c r="Z169" s="8">
        <f>IF(OR($B169="",$G169=""),"",IF(SUMPRODUCT(('利用者マスタ'!$A$4:$A$60=$B169)*('利用者マスタ'!$B$4:$B$60&lt;&gt;""))=0,"",IF(SUMIFS($AA$5:$AA$404,$B$5:$B$404,$B169,$G$5:$G$404,"&gt;="&amp;DATE(YEAR($G169),MONTH($G169),1),$G$5:$G$404,"&lt;="&amp;EOMONTH($G169,0))&gt;SUMIFS('利用者マスタ'!$B$4:$B$60,'利用者マスタ'!$A$4:$A$60,$B169),"⚠支給量超過","")))</f>
        <v/>
      </c>
      <c r="AA169" s="8">
        <f>IF(OR($G169="",$J169="",$Q169="キャンセル"),0,IF(IFERROR(INDEX('M_区分'!$B$4:$B$20,MATCH($C169,'M_区分'!$A$4:$A$20,0)),"○")="○",$J169-$G169+1,0))</f>
        <v/>
      </c>
      <c r="AB169" s="8">
        <f>IF($E169&lt;&gt;"",$E169,$AB168)</f>
        <v/>
      </c>
      <c r="AC169" s="8">
        <f>IF(OR($G169="",$J169=""),"",IF(AND($G169&lt;=EOMONTH('02_カレンダー'!$B$4,0),$J169&gt;='02_カレンダー'!$B$4),$G169*10000+ROW(),""))</f>
        <v/>
      </c>
      <c r="AD169" s="8">
        <f>IF($H169="","",IF(ISNUMBER($H169),IF(AND($H169=INT($H169),$H169&gt;=0,$H169&lt;=24),TEXT(INT($H169),"00")&amp;":00",TEXT($H169,"hh:mm")),$H169))</f>
        <v/>
      </c>
      <c r="AE169" s="8">
        <f>IF($K169="","",IF(ISNUMBER($K169),IF(AND($K169=INT($K169),$K169&gt;=0,$K169&lt;=24),TEXT(INT($K169),"00")&amp;":00",TEXT($K169,"hh:mm")),$K169))</f>
        <v/>
      </c>
      <c r="AF169" s="8">
        <f>IF($G169="",0,$G169)</f>
        <v/>
      </c>
      <c r="AG169" s="8">
        <f>IF($J169="",0,$J169)</f>
        <v/>
      </c>
    </row>
    <row r="170">
      <c r="A170" s="8">
        <f>IF($G170="","","SS-"&amp;TEXT(ROW()-4,"0000"))</f>
        <v/>
      </c>
      <c r="B170" s="9" t="n"/>
      <c r="C170" s="9" t="n"/>
      <c r="D170" s="9" t="n"/>
      <c r="E170" s="10" t="n"/>
      <c r="F170" s="11" t="n"/>
      <c r="G170" s="12">
        <f>IF($F170="","",IF($F170&gt;31,$F170,IF($AB170="","",DATE(YEAR($AB170),MONTH($AB170),$F170))))</f>
        <v/>
      </c>
      <c r="H170" s="9" t="n"/>
      <c r="I170" s="11" t="n"/>
      <c r="J170" s="12">
        <f>IF($I170="","",IF($I170&gt;31,$I170,IF($G170="","",IF(DATE(YEAR($G170),MONTH($G170),$I170)&gt;=$G170,DATE(YEAR($G170),MONTH($G170),$I170),DATE(YEAR($G170),MONTH($G170)+1,$I170)))))</f>
        <v/>
      </c>
      <c r="K170" s="9" t="n"/>
      <c r="L170" s="13" t="n"/>
      <c r="M170" s="13" t="n"/>
      <c r="N170" s="13" t="n"/>
      <c r="O170" s="8">
        <f>IF(OR($G170="",$J170=""),"",$J170-$G170+1)</f>
        <v/>
      </c>
      <c r="P170" s="8">
        <f>IF(OR($G170="",$J170=""),"",$J170-$G170)</f>
        <v/>
      </c>
      <c r="Q170" s="9" t="n"/>
      <c r="R170" s="9" t="n"/>
      <c r="S170" s="9" t="n"/>
      <c r="T170" s="9" t="n"/>
      <c r="U170" s="9" t="n"/>
      <c r="V170" s="9" t="n"/>
      <c r="W170" s="14" t="n"/>
      <c r="X170" s="9" t="n"/>
      <c r="Y170" s="8">
        <f>IF($G170="","",IF($D170="","⚠部屋が未選択",IF(COUNTIF('M_部屋'!$A$4:$A$20,$D170)=0,"⚠部屋が未登録",IF(OR($J170="",$Q170="キャンセル"),"",IF(SUMPRODUCT(($D$5:$D$404=$D170)*($G$5:$G$404&lt;&gt;"")*($J$5:$J$404&lt;&gt;"")*($Q$5:$Q$404&lt;&gt;"キャンセル")*($G$5:$G$404&lt;$J170)*($J$5:$J$404&gt;$G170))&gt;1,"⚠重複","")))))</f>
        <v/>
      </c>
      <c r="Z170" s="8">
        <f>IF(OR($B170="",$G170=""),"",IF(SUMPRODUCT(('利用者マスタ'!$A$4:$A$60=$B170)*('利用者マスタ'!$B$4:$B$60&lt;&gt;""))=0,"",IF(SUMIFS($AA$5:$AA$404,$B$5:$B$404,$B170,$G$5:$G$404,"&gt;="&amp;DATE(YEAR($G170),MONTH($G170),1),$G$5:$G$404,"&lt;="&amp;EOMONTH($G170,0))&gt;SUMIFS('利用者マスタ'!$B$4:$B$60,'利用者マスタ'!$A$4:$A$60,$B170),"⚠支給量超過","")))</f>
        <v/>
      </c>
      <c r="AA170" s="8">
        <f>IF(OR($G170="",$J170="",$Q170="キャンセル"),0,IF(IFERROR(INDEX('M_区分'!$B$4:$B$20,MATCH($C170,'M_区分'!$A$4:$A$20,0)),"○")="○",$J170-$G170+1,0))</f>
        <v/>
      </c>
      <c r="AB170" s="8">
        <f>IF($E170&lt;&gt;"",$E170,$AB169)</f>
        <v/>
      </c>
      <c r="AC170" s="8">
        <f>IF(OR($G170="",$J170=""),"",IF(AND($G170&lt;=EOMONTH('02_カレンダー'!$B$4,0),$J170&gt;='02_カレンダー'!$B$4),$G170*10000+ROW(),""))</f>
        <v/>
      </c>
      <c r="AD170" s="8">
        <f>IF($H170="","",IF(ISNUMBER($H170),IF(AND($H170=INT($H170),$H170&gt;=0,$H170&lt;=24),TEXT(INT($H170),"00")&amp;":00",TEXT($H170,"hh:mm")),$H170))</f>
        <v/>
      </c>
      <c r="AE170" s="8">
        <f>IF($K170="","",IF(ISNUMBER($K170),IF(AND($K170=INT($K170),$K170&gt;=0,$K170&lt;=24),TEXT(INT($K170),"00")&amp;":00",TEXT($K170,"hh:mm")),$K170))</f>
        <v/>
      </c>
      <c r="AF170" s="8">
        <f>IF($G170="",0,$G170)</f>
        <v/>
      </c>
      <c r="AG170" s="8">
        <f>IF($J170="",0,$J170)</f>
        <v/>
      </c>
    </row>
    <row r="171">
      <c r="A171" s="8">
        <f>IF($G171="","","SS-"&amp;TEXT(ROW()-4,"0000"))</f>
        <v/>
      </c>
      <c r="B171" s="9" t="n"/>
      <c r="C171" s="9" t="n"/>
      <c r="D171" s="9" t="n"/>
      <c r="E171" s="10" t="n"/>
      <c r="F171" s="11" t="n"/>
      <c r="G171" s="12">
        <f>IF($F171="","",IF($F171&gt;31,$F171,IF($AB171="","",DATE(YEAR($AB171),MONTH($AB171),$F171))))</f>
        <v/>
      </c>
      <c r="H171" s="9" t="n"/>
      <c r="I171" s="11" t="n"/>
      <c r="J171" s="12">
        <f>IF($I171="","",IF($I171&gt;31,$I171,IF($G171="","",IF(DATE(YEAR($G171),MONTH($G171),$I171)&gt;=$G171,DATE(YEAR($G171),MONTH($G171),$I171),DATE(YEAR($G171),MONTH($G171)+1,$I171)))))</f>
        <v/>
      </c>
      <c r="K171" s="9" t="n"/>
      <c r="L171" s="13" t="n"/>
      <c r="M171" s="13" t="n"/>
      <c r="N171" s="13" t="n"/>
      <c r="O171" s="8">
        <f>IF(OR($G171="",$J171=""),"",$J171-$G171+1)</f>
        <v/>
      </c>
      <c r="P171" s="8">
        <f>IF(OR($G171="",$J171=""),"",$J171-$G171)</f>
        <v/>
      </c>
      <c r="Q171" s="9" t="n"/>
      <c r="R171" s="9" t="n"/>
      <c r="S171" s="9" t="n"/>
      <c r="T171" s="9" t="n"/>
      <c r="U171" s="9" t="n"/>
      <c r="V171" s="9" t="n"/>
      <c r="W171" s="14" t="n"/>
      <c r="X171" s="9" t="n"/>
      <c r="Y171" s="8">
        <f>IF($G171="","",IF($D171="","⚠部屋が未選択",IF(COUNTIF('M_部屋'!$A$4:$A$20,$D171)=0,"⚠部屋が未登録",IF(OR($J171="",$Q171="キャンセル"),"",IF(SUMPRODUCT(($D$5:$D$404=$D171)*($G$5:$G$404&lt;&gt;"")*($J$5:$J$404&lt;&gt;"")*($Q$5:$Q$404&lt;&gt;"キャンセル")*($G$5:$G$404&lt;$J171)*($J$5:$J$404&gt;$G171))&gt;1,"⚠重複","")))))</f>
        <v/>
      </c>
      <c r="Z171" s="8">
        <f>IF(OR($B171="",$G171=""),"",IF(SUMPRODUCT(('利用者マスタ'!$A$4:$A$60=$B171)*('利用者マスタ'!$B$4:$B$60&lt;&gt;""))=0,"",IF(SUMIFS($AA$5:$AA$404,$B$5:$B$404,$B171,$G$5:$G$404,"&gt;="&amp;DATE(YEAR($G171),MONTH($G171),1),$G$5:$G$404,"&lt;="&amp;EOMONTH($G171,0))&gt;SUMIFS('利用者マスタ'!$B$4:$B$60,'利用者マスタ'!$A$4:$A$60,$B171),"⚠支給量超過","")))</f>
        <v/>
      </c>
      <c r="AA171" s="8">
        <f>IF(OR($G171="",$J171="",$Q171="キャンセル"),0,IF(IFERROR(INDEX('M_区分'!$B$4:$B$20,MATCH($C171,'M_区分'!$A$4:$A$20,0)),"○")="○",$J171-$G171+1,0))</f>
        <v/>
      </c>
      <c r="AB171" s="8">
        <f>IF($E171&lt;&gt;"",$E171,$AB170)</f>
        <v/>
      </c>
      <c r="AC171" s="8">
        <f>IF(OR($G171="",$J171=""),"",IF(AND($G171&lt;=EOMONTH('02_カレンダー'!$B$4,0),$J171&gt;='02_カレンダー'!$B$4),$G171*10000+ROW(),""))</f>
        <v/>
      </c>
      <c r="AD171" s="8">
        <f>IF($H171="","",IF(ISNUMBER($H171),IF(AND($H171=INT($H171),$H171&gt;=0,$H171&lt;=24),TEXT(INT($H171),"00")&amp;":00",TEXT($H171,"hh:mm")),$H171))</f>
        <v/>
      </c>
      <c r="AE171" s="8">
        <f>IF($K171="","",IF(ISNUMBER($K171),IF(AND($K171=INT($K171),$K171&gt;=0,$K171&lt;=24),TEXT(INT($K171),"00")&amp;":00",TEXT($K171,"hh:mm")),$K171))</f>
        <v/>
      </c>
      <c r="AF171" s="8">
        <f>IF($G171="",0,$G171)</f>
        <v/>
      </c>
      <c r="AG171" s="8">
        <f>IF($J171="",0,$J171)</f>
        <v/>
      </c>
    </row>
    <row r="172">
      <c r="A172" s="8">
        <f>IF($G172="","","SS-"&amp;TEXT(ROW()-4,"0000"))</f>
        <v/>
      </c>
      <c r="B172" s="9" t="n"/>
      <c r="C172" s="9" t="n"/>
      <c r="D172" s="9" t="n"/>
      <c r="E172" s="10" t="n"/>
      <c r="F172" s="11" t="n"/>
      <c r="G172" s="12">
        <f>IF($F172="","",IF($F172&gt;31,$F172,IF($AB172="","",DATE(YEAR($AB172),MONTH($AB172),$F172))))</f>
        <v/>
      </c>
      <c r="H172" s="9" t="n"/>
      <c r="I172" s="11" t="n"/>
      <c r="J172" s="12">
        <f>IF($I172="","",IF($I172&gt;31,$I172,IF($G172="","",IF(DATE(YEAR($G172),MONTH($G172),$I172)&gt;=$G172,DATE(YEAR($G172),MONTH($G172),$I172),DATE(YEAR($G172),MONTH($G172)+1,$I172)))))</f>
        <v/>
      </c>
      <c r="K172" s="9" t="n"/>
      <c r="L172" s="13" t="n"/>
      <c r="M172" s="13" t="n"/>
      <c r="N172" s="13" t="n"/>
      <c r="O172" s="8">
        <f>IF(OR($G172="",$J172=""),"",$J172-$G172+1)</f>
        <v/>
      </c>
      <c r="P172" s="8">
        <f>IF(OR($G172="",$J172=""),"",$J172-$G172)</f>
        <v/>
      </c>
      <c r="Q172" s="9" t="n"/>
      <c r="R172" s="9" t="n"/>
      <c r="S172" s="9" t="n"/>
      <c r="T172" s="9" t="n"/>
      <c r="U172" s="9" t="n"/>
      <c r="V172" s="9" t="n"/>
      <c r="W172" s="14" t="n"/>
      <c r="X172" s="9" t="n"/>
      <c r="Y172" s="8">
        <f>IF($G172="","",IF($D172="","⚠部屋が未選択",IF(COUNTIF('M_部屋'!$A$4:$A$20,$D172)=0,"⚠部屋が未登録",IF(OR($J172="",$Q172="キャンセル"),"",IF(SUMPRODUCT(($D$5:$D$404=$D172)*($G$5:$G$404&lt;&gt;"")*($J$5:$J$404&lt;&gt;"")*($Q$5:$Q$404&lt;&gt;"キャンセル")*($G$5:$G$404&lt;$J172)*($J$5:$J$404&gt;$G172))&gt;1,"⚠重複","")))))</f>
        <v/>
      </c>
      <c r="Z172" s="8">
        <f>IF(OR($B172="",$G172=""),"",IF(SUMPRODUCT(('利用者マスタ'!$A$4:$A$60=$B172)*('利用者マスタ'!$B$4:$B$60&lt;&gt;""))=0,"",IF(SUMIFS($AA$5:$AA$404,$B$5:$B$404,$B172,$G$5:$G$404,"&gt;="&amp;DATE(YEAR($G172),MONTH($G172),1),$G$5:$G$404,"&lt;="&amp;EOMONTH($G172,0))&gt;SUMIFS('利用者マスタ'!$B$4:$B$60,'利用者マスタ'!$A$4:$A$60,$B172),"⚠支給量超過","")))</f>
        <v/>
      </c>
      <c r="AA172" s="8">
        <f>IF(OR($G172="",$J172="",$Q172="キャンセル"),0,IF(IFERROR(INDEX('M_区分'!$B$4:$B$20,MATCH($C172,'M_区分'!$A$4:$A$20,0)),"○")="○",$J172-$G172+1,0))</f>
        <v/>
      </c>
      <c r="AB172" s="8">
        <f>IF($E172&lt;&gt;"",$E172,$AB171)</f>
        <v/>
      </c>
      <c r="AC172" s="8">
        <f>IF(OR($G172="",$J172=""),"",IF(AND($G172&lt;=EOMONTH('02_カレンダー'!$B$4,0),$J172&gt;='02_カレンダー'!$B$4),$G172*10000+ROW(),""))</f>
        <v/>
      </c>
      <c r="AD172" s="8">
        <f>IF($H172="","",IF(ISNUMBER($H172),IF(AND($H172=INT($H172),$H172&gt;=0,$H172&lt;=24),TEXT(INT($H172),"00")&amp;":00",TEXT($H172,"hh:mm")),$H172))</f>
        <v/>
      </c>
      <c r="AE172" s="8">
        <f>IF($K172="","",IF(ISNUMBER($K172),IF(AND($K172=INT($K172),$K172&gt;=0,$K172&lt;=24),TEXT(INT($K172),"00")&amp;":00",TEXT($K172,"hh:mm")),$K172))</f>
        <v/>
      </c>
      <c r="AF172" s="8">
        <f>IF($G172="",0,$G172)</f>
        <v/>
      </c>
      <c r="AG172" s="8">
        <f>IF($J172="",0,$J172)</f>
        <v/>
      </c>
    </row>
    <row r="173">
      <c r="A173" s="8">
        <f>IF($G173="","","SS-"&amp;TEXT(ROW()-4,"0000"))</f>
        <v/>
      </c>
      <c r="B173" s="9" t="n"/>
      <c r="C173" s="9" t="n"/>
      <c r="D173" s="9" t="n"/>
      <c r="E173" s="10" t="n"/>
      <c r="F173" s="11" t="n"/>
      <c r="G173" s="12">
        <f>IF($F173="","",IF($F173&gt;31,$F173,IF($AB173="","",DATE(YEAR($AB173),MONTH($AB173),$F173))))</f>
        <v/>
      </c>
      <c r="H173" s="9" t="n"/>
      <c r="I173" s="11" t="n"/>
      <c r="J173" s="12">
        <f>IF($I173="","",IF($I173&gt;31,$I173,IF($G173="","",IF(DATE(YEAR($G173),MONTH($G173),$I173)&gt;=$G173,DATE(YEAR($G173),MONTH($G173),$I173),DATE(YEAR($G173),MONTH($G173)+1,$I173)))))</f>
        <v/>
      </c>
      <c r="K173" s="9" t="n"/>
      <c r="L173" s="13" t="n"/>
      <c r="M173" s="13" t="n"/>
      <c r="N173" s="13" t="n"/>
      <c r="O173" s="8">
        <f>IF(OR($G173="",$J173=""),"",$J173-$G173+1)</f>
        <v/>
      </c>
      <c r="P173" s="8">
        <f>IF(OR($G173="",$J173=""),"",$J173-$G173)</f>
        <v/>
      </c>
      <c r="Q173" s="9" t="n"/>
      <c r="R173" s="9" t="n"/>
      <c r="S173" s="9" t="n"/>
      <c r="T173" s="9" t="n"/>
      <c r="U173" s="9" t="n"/>
      <c r="V173" s="9" t="n"/>
      <c r="W173" s="14" t="n"/>
      <c r="X173" s="9" t="n"/>
      <c r="Y173" s="8">
        <f>IF($G173="","",IF($D173="","⚠部屋が未選択",IF(COUNTIF('M_部屋'!$A$4:$A$20,$D173)=0,"⚠部屋が未登録",IF(OR($J173="",$Q173="キャンセル"),"",IF(SUMPRODUCT(($D$5:$D$404=$D173)*($G$5:$G$404&lt;&gt;"")*($J$5:$J$404&lt;&gt;"")*($Q$5:$Q$404&lt;&gt;"キャンセル")*($G$5:$G$404&lt;$J173)*($J$5:$J$404&gt;$G173))&gt;1,"⚠重複","")))))</f>
        <v/>
      </c>
      <c r="Z173" s="8">
        <f>IF(OR($B173="",$G173=""),"",IF(SUMPRODUCT(('利用者マスタ'!$A$4:$A$60=$B173)*('利用者マスタ'!$B$4:$B$60&lt;&gt;""))=0,"",IF(SUMIFS($AA$5:$AA$404,$B$5:$B$404,$B173,$G$5:$G$404,"&gt;="&amp;DATE(YEAR($G173),MONTH($G173),1),$G$5:$G$404,"&lt;="&amp;EOMONTH($G173,0))&gt;SUMIFS('利用者マスタ'!$B$4:$B$60,'利用者マスタ'!$A$4:$A$60,$B173),"⚠支給量超過","")))</f>
        <v/>
      </c>
      <c r="AA173" s="8">
        <f>IF(OR($G173="",$J173="",$Q173="キャンセル"),0,IF(IFERROR(INDEX('M_区分'!$B$4:$B$20,MATCH($C173,'M_区分'!$A$4:$A$20,0)),"○")="○",$J173-$G173+1,0))</f>
        <v/>
      </c>
      <c r="AB173" s="8">
        <f>IF($E173&lt;&gt;"",$E173,$AB172)</f>
        <v/>
      </c>
      <c r="AC173" s="8">
        <f>IF(OR($G173="",$J173=""),"",IF(AND($G173&lt;=EOMONTH('02_カレンダー'!$B$4,0),$J173&gt;='02_カレンダー'!$B$4),$G173*10000+ROW(),""))</f>
        <v/>
      </c>
      <c r="AD173" s="8">
        <f>IF($H173="","",IF(ISNUMBER($H173),IF(AND($H173=INT($H173),$H173&gt;=0,$H173&lt;=24),TEXT(INT($H173),"00")&amp;":00",TEXT($H173,"hh:mm")),$H173))</f>
        <v/>
      </c>
      <c r="AE173" s="8">
        <f>IF($K173="","",IF(ISNUMBER($K173),IF(AND($K173=INT($K173),$K173&gt;=0,$K173&lt;=24),TEXT(INT($K173),"00")&amp;":00",TEXT($K173,"hh:mm")),$K173))</f>
        <v/>
      </c>
      <c r="AF173" s="8">
        <f>IF($G173="",0,$G173)</f>
        <v/>
      </c>
      <c r="AG173" s="8">
        <f>IF($J173="",0,$J173)</f>
        <v/>
      </c>
    </row>
    <row r="174">
      <c r="A174" s="8">
        <f>IF($G174="","","SS-"&amp;TEXT(ROW()-4,"0000"))</f>
        <v/>
      </c>
      <c r="B174" s="9" t="n"/>
      <c r="C174" s="9" t="n"/>
      <c r="D174" s="9" t="n"/>
      <c r="E174" s="10" t="n"/>
      <c r="F174" s="11" t="n"/>
      <c r="G174" s="12">
        <f>IF($F174="","",IF($F174&gt;31,$F174,IF($AB174="","",DATE(YEAR($AB174),MONTH($AB174),$F174))))</f>
        <v/>
      </c>
      <c r="H174" s="9" t="n"/>
      <c r="I174" s="11" t="n"/>
      <c r="J174" s="12">
        <f>IF($I174="","",IF($I174&gt;31,$I174,IF($G174="","",IF(DATE(YEAR($G174),MONTH($G174),$I174)&gt;=$G174,DATE(YEAR($G174),MONTH($G174),$I174),DATE(YEAR($G174),MONTH($G174)+1,$I174)))))</f>
        <v/>
      </c>
      <c r="K174" s="9" t="n"/>
      <c r="L174" s="13" t="n"/>
      <c r="M174" s="13" t="n"/>
      <c r="N174" s="13" t="n"/>
      <c r="O174" s="8">
        <f>IF(OR($G174="",$J174=""),"",$J174-$G174+1)</f>
        <v/>
      </c>
      <c r="P174" s="8">
        <f>IF(OR($G174="",$J174=""),"",$J174-$G174)</f>
        <v/>
      </c>
      <c r="Q174" s="9" t="n"/>
      <c r="R174" s="9" t="n"/>
      <c r="S174" s="9" t="n"/>
      <c r="T174" s="9" t="n"/>
      <c r="U174" s="9" t="n"/>
      <c r="V174" s="9" t="n"/>
      <c r="W174" s="14" t="n"/>
      <c r="X174" s="9" t="n"/>
      <c r="Y174" s="8">
        <f>IF($G174="","",IF($D174="","⚠部屋が未選択",IF(COUNTIF('M_部屋'!$A$4:$A$20,$D174)=0,"⚠部屋が未登録",IF(OR($J174="",$Q174="キャンセル"),"",IF(SUMPRODUCT(($D$5:$D$404=$D174)*($G$5:$G$404&lt;&gt;"")*($J$5:$J$404&lt;&gt;"")*($Q$5:$Q$404&lt;&gt;"キャンセル")*($G$5:$G$404&lt;$J174)*($J$5:$J$404&gt;$G174))&gt;1,"⚠重複","")))))</f>
        <v/>
      </c>
      <c r="Z174" s="8">
        <f>IF(OR($B174="",$G174=""),"",IF(SUMPRODUCT(('利用者マスタ'!$A$4:$A$60=$B174)*('利用者マスタ'!$B$4:$B$60&lt;&gt;""))=0,"",IF(SUMIFS($AA$5:$AA$404,$B$5:$B$404,$B174,$G$5:$G$404,"&gt;="&amp;DATE(YEAR($G174),MONTH($G174),1),$G$5:$G$404,"&lt;="&amp;EOMONTH($G174,0))&gt;SUMIFS('利用者マスタ'!$B$4:$B$60,'利用者マスタ'!$A$4:$A$60,$B174),"⚠支給量超過","")))</f>
        <v/>
      </c>
      <c r="AA174" s="8">
        <f>IF(OR($G174="",$J174="",$Q174="キャンセル"),0,IF(IFERROR(INDEX('M_区分'!$B$4:$B$20,MATCH($C174,'M_区分'!$A$4:$A$20,0)),"○")="○",$J174-$G174+1,0))</f>
        <v/>
      </c>
      <c r="AB174" s="8">
        <f>IF($E174&lt;&gt;"",$E174,$AB173)</f>
        <v/>
      </c>
      <c r="AC174" s="8">
        <f>IF(OR($G174="",$J174=""),"",IF(AND($G174&lt;=EOMONTH('02_カレンダー'!$B$4,0),$J174&gt;='02_カレンダー'!$B$4),$G174*10000+ROW(),""))</f>
        <v/>
      </c>
      <c r="AD174" s="8">
        <f>IF($H174="","",IF(ISNUMBER($H174),IF(AND($H174=INT($H174),$H174&gt;=0,$H174&lt;=24),TEXT(INT($H174),"00")&amp;":00",TEXT($H174,"hh:mm")),$H174))</f>
        <v/>
      </c>
      <c r="AE174" s="8">
        <f>IF($K174="","",IF(ISNUMBER($K174),IF(AND($K174=INT($K174),$K174&gt;=0,$K174&lt;=24),TEXT(INT($K174),"00")&amp;":00",TEXT($K174,"hh:mm")),$K174))</f>
        <v/>
      </c>
      <c r="AF174" s="8">
        <f>IF($G174="",0,$G174)</f>
        <v/>
      </c>
      <c r="AG174" s="8">
        <f>IF($J174="",0,$J174)</f>
        <v/>
      </c>
    </row>
    <row r="175">
      <c r="A175" s="8">
        <f>IF($G175="","","SS-"&amp;TEXT(ROW()-4,"0000"))</f>
        <v/>
      </c>
      <c r="B175" s="9" t="n"/>
      <c r="C175" s="9" t="n"/>
      <c r="D175" s="9" t="n"/>
      <c r="E175" s="10" t="n"/>
      <c r="F175" s="11" t="n"/>
      <c r="G175" s="12">
        <f>IF($F175="","",IF($F175&gt;31,$F175,IF($AB175="","",DATE(YEAR($AB175),MONTH($AB175),$F175))))</f>
        <v/>
      </c>
      <c r="H175" s="9" t="n"/>
      <c r="I175" s="11" t="n"/>
      <c r="J175" s="12">
        <f>IF($I175="","",IF($I175&gt;31,$I175,IF($G175="","",IF(DATE(YEAR($G175),MONTH($G175),$I175)&gt;=$G175,DATE(YEAR($G175),MONTH($G175),$I175),DATE(YEAR($G175),MONTH($G175)+1,$I175)))))</f>
        <v/>
      </c>
      <c r="K175" s="9" t="n"/>
      <c r="L175" s="13" t="n"/>
      <c r="M175" s="13" t="n"/>
      <c r="N175" s="13" t="n"/>
      <c r="O175" s="8">
        <f>IF(OR($G175="",$J175=""),"",$J175-$G175+1)</f>
        <v/>
      </c>
      <c r="P175" s="8">
        <f>IF(OR($G175="",$J175=""),"",$J175-$G175)</f>
        <v/>
      </c>
      <c r="Q175" s="9" t="n"/>
      <c r="R175" s="9" t="n"/>
      <c r="S175" s="9" t="n"/>
      <c r="T175" s="9" t="n"/>
      <c r="U175" s="9" t="n"/>
      <c r="V175" s="9" t="n"/>
      <c r="W175" s="14" t="n"/>
      <c r="X175" s="9" t="n"/>
      <c r="Y175" s="8">
        <f>IF($G175="","",IF($D175="","⚠部屋が未選択",IF(COUNTIF('M_部屋'!$A$4:$A$20,$D175)=0,"⚠部屋が未登録",IF(OR($J175="",$Q175="キャンセル"),"",IF(SUMPRODUCT(($D$5:$D$404=$D175)*($G$5:$G$404&lt;&gt;"")*($J$5:$J$404&lt;&gt;"")*($Q$5:$Q$404&lt;&gt;"キャンセル")*($G$5:$G$404&lt;$J175)*($J$5:$J$404&gt;$G175))&gt;1,"⚠重複","")))))</f>
        <v/>
      </c>
      <c r="Z175" s="8">
        <f>IF(OR($B175="",$G175=""),"",IF(SUMPRODUCT(('利用者マスタ'!$A$4:$A$60=$B175)*('利用者マスタ'!$B$4:$B$60&lt;&gt;""))=0,"",IF(SUMIFS($AA$5:$AA$404,$B$5:$B$404,$B175,$G$5:$G$404,"&gt;="&amp;DATE(YEAR($G175),MONTH($G175),1),$G$5:$G$404,"&lt;="&amp;EOMONTH($G175,0))&gt;SUMIFS('利用者マスタ'!$B$4:$B$60,'利用者マスタ'!$A$4:$A$60,$B175),"⚠支給量超過","")))</f>
        <v/>
      </c>
      <c r="AA175" s="8">
        <f>IF(OR($G175="",$J175="",$Q175="キャンセル"),0,IF(IFERROR(INDEX('M_区分'!$B$4:$B$20,MATCH($C175,'M_区分'!$A$4:$A$20,0)),"○")="○",$J175-$G175+1,0))</f>
        <v/>
      </c>
      <c r="AB175" s="8">
        <f>IF($E175&lt;&gt;"",$E175,$AB174)</f>
        <v/>
      </c>
      <c r="AC175" s="8">
        <f>IF(OR($G175="",$J175=""),"",IF(AND($G175&lt;=EOMONTH('02_カレンダー'!$B$4,0),$J175&gt;='02_カレンダー'!$B$4),$G175*10000+ROW(),""))</f>
        <v/>
      </c>
      <c r="AD175" s="8">
        <f>IF($H175="","",IF(ISNUMBER($H175),IF(AND($H175=INT($H175),$H175&gt;=0,$H175&lt;=24),TEXT(INT($H175),"00")&amp;":00",TEXT($H175,"hh:mm")),$H175))</f>
        <v/>
      </c>
      <c r="AE175" s="8">
        <f>IF($K175="","",IF(ISNUMBER($K175),IF(AND($K175=INT($K175),$K175&gt;=0,$K175&lt;=24),TEXT(INT($K175),"00")&amp;":00",TEXT($K175,"hh:mm")),$K175))</f>
        <v/>
      </c>
      <c r="AF175" s="8">
        <f>IF($G175="",0,$G175)</f>
        <v/>
      </c>
      <c r="AG175" s="8">
        <f>IF($J175="",0,$J175)</f>
        <v/>
      </c>
    </row>
    <row r="176">
      <c r="A176" s="8">
        <f>IF($G176="","","SS-"&amp;TEXT(ROW()-4,"0000"))</f>
        <v/>
      </c>
      <c r="B176" s="9" t="n"/>
      <c r="C176" s="9" t="n"/>
      <c r="D176" s="9" t="n"/>
      <c r="E176" s="10" t="n"/>
      <c r="F176" s="11" t="n"/>
      <c r="G176" s="12">
        <f>IF($F176="","",IF($F176&gt;31,$F176,IF($AB176="","",DATE(YEAR($AB176),MONTH($AB176),$F176))))</f>
        <v/>
      </c>
      <c r="H176" s="9" t="n"/>
      <c r="I176" s="11" t="n"/>
      <c r="J176" s="12">
        <f>IF($I176="","",IF($I176&gt;31,$I176,IF($G176="","",IF(DATE(YEAR($G176),MONTH($G176),$I176)&gt;=$G176,DATE(YEAR($G176),MONTH($G176),$I176),DATE(YEAR($G176),MONTH($G176)+1,$I176)))))</f>
        <v/>
      </c>
      <c r="K176" s="9" t="n"/>
      <c r="L176" s="13" t="n"/>
      <c r="M176" s="13" t="n"/>
      <c r="N176" s="13" t="n"/>
      <c r="O176" s="8">
        <f>IF(OR($G176="",$J176=""),"",$J176-$G176+1)</f>
        <v/>
      </c>
      <c r="P176" s="8">
        <f>IF(OR($G176="",$J176=""),"",$J176-$G176)</f>
        <v/>
      </c>
      <c r="Q176" s="9" t="n"/>
      <c r="R176" s="9" t="n"/>
      <c r="S176" s="9" t="n"/>
      <c r="T176" s="9" t="n"/>
      <c r="U176" s="9" t="n"/>
      <c r="V176" s="9" t="n"/>
      <c r="W176" s="14" t="n"/>
      <c r="X176" s="9" t="n"/>
      <c r="Y176" s="8">
        <f>IF($G176="","",IF($D176="","⚠部屋が未選択",IF(COUNTIF('M_部屋'!$A$4:$A$20,$D176)=0,"⚠部屋が未登録",IF(OR($J176="",$Q176="キャンセル"),"",IF(SUMPRODUCT(($D$5:$D$404=$D176)*($G$5:$G$404&lt;&gt;"")*($J$5:$J$404&lt;&gt;"")*($Q$5:$Q$404&lt;&gt;"キャンセル")*($G$5:$G$404&lt;$J176)*($J$5:$J$404&gt;$G176))&gt;1,"⚠重複","")))))</f>
        <v/>
      </c>
      <c r="Z176" s="8">
        <f>IF(OR($B176="",$G176=""),"",IF(SUMPRODUCT(('利用者マスタ'!$A$4:$A$60=$B176)*('利用者マスタ'!$B$4:$B$60&lt;&gt;""))=0,"",IF(SUMIFS($AA$5:$AA$404,$B$5:$B$404,$B176,$G$5:$G$404,"&gt;="&amp;DATE(YEAR($G176),MONTH($G176),1),$G$5:$G$404,"&lt;="&amp;EOMONTH($G176,0))&gt;SUMIFS('利用者マスタ'!$B$4:$B$60,'利用者マスタ'!$A$4:$A$60,$B176),"⚠支給量超過","")))</f>
        <v/>
      </c>
      <c r="AA176" s="8">
        <f>IF(OR($G176="",$J176="",$Q176="キャンセル"),0,IF(IFERROR(INDEX('M_区分'!$B$4:$B$20,MATCH($C176,'M_区分'!$A$4:$A$20,0)),"○")="○",$J176-$G176+1,0))</f>
        <v/>
      </c>
      <c r="AB176" s="8">
        <f>IF($E176&lt;&gt;"",$E176,$AB175)</f>
        <v/>
      </c>
      <c r="AC176" s="8">
        <f>IF(OR($G176="",$J176=""),"",IF(AND($G176&lt;=EOMONTH('02_カレンダー'!$B$4,0),$J176&gt;='02_カレンダー'!$B$4),$G176*10000+ROW(),""))</f>
        <v/>
      </c>
      <c r="AD176" s="8">
        <f>IF($H176="","",IF(ISNUMBER($H176),IF(AND($H176=INT($H176),$H176&gt;=0,$H176&lt;=24),TEXT(INT($H176),"00")&amp;":00",TEXT($H176,"hh:mm")),$H176))</f>
        <v/>
      </c>
      <c r="AE176" s="8">
        <f>IF($K176="","",IF(ISNUMBER($K176),IF(AND($K176=INT($K176),$K176&gt;=0,$K176&lt;=24),TEXT(INT($K176),"00")&amp;":00",TEXT($K176,"hh:mm")),$K176))</f>
        <v/>
      </c>
      <c r="AF176" s="8">
        <f>IF($G176="",0,$G176)</f>
        <v/>
      </c>
      <c r="AG176" s="8">
        <f>IF($J176="",0,$J176)</f>
        <v/>
      </c>
    </row>
    <row r="177">
      <c r="A177" s="8">
        <f>IF($G177="","","SS-"&amp;TEXT(ROW()-4,"0000"))</f>
        <v/>
      </c>
      <c r="B177" s="9" t="n"/>
      <c r="C177" s="9" t="n"/>
      <c r="D177" s="9" t="n"/>
      <c r="E177" s="10" t="n"/>
      <c r="F177" s="11" t="n"/>
      <c r="G177" s="12">
        <f>IF($F177="","",IF($F177&gt;31,$F177,IF($AB177="","",DATE(YEAR($AB177),MONTH($AB177),$F177))))</f>
        <v/>
      </c>
      <c r="H177" s="9" t="n"/>
      <c r="I177" s="11" t="n"/>
      <c r="J177" s="12">
        <f>IF($I177="","",IF($I177&gt;31,$I177,IF($G177="","",IF(DATE(YEAR($G177),MONTH($G177),$I177)&gt;=$G177,DATE(YEAR($G177),MONTH($G177),$I177),DATE(YEAR($G177),MONTH($G177)+1,$I177)))))</f>
        <v/>
      </c>
      <c r="K177" s="9" t="n"/>
      <c r="L177" s="13" t="n"/>
      <c r="M177" s="13" t="n"/>
      <c r="N177" s="13" t="n"/>
      <c r="O177" s="8">
        <f>IF(OR($G177="",$J177=""),"",$J177-$G177+1)</f>
        <v/>
      </c>
      <c r="P177" s="8">
        <f>IF(OR($G177="",$J177=""),"",$J177-$G177)</f>
        <v/>
      </c>
      <c r="Q177" s="9" t="n"/>
      <c r="R177" s="9" t="n"/>
      <c r="S177" s="9" t="n"/>
      <c r="T177" s="9" t="n"/>
      <c r="U177" s="9" t="n"/>
      <c r="V177" s="9" t="n"/>
      <c r="W177" s="14" t="n"/>
      <c r="X177" s="9" t="n"/>
      <c r="Y177" s="8">
        <f>IF($G177="","",IF($D177="","⚠部屋が未選択",IF(COUNTIF('M_部屋'!$A$4:$A$20,$D177)=0,"⚠部屋が未登録",IF(OR($J177="",$Q177="キャンセル"),"",IF(SUMPRODUCT(($D$5:$D$404=$D177)*($G$5:$G$404&lt;&gt;"")*($J$5:$J$404&lt;&gt;"")*($Q$5:$Q$404&lt;&gt;"キャンセル")*($G$5:$G$404&lt;$J177)*($J$5:$J$404&gt;$G177))&gt;1,"⚠重複","")))))</f>
        <v/>
      </c>
      <c r="Z177" s="8">
        <f>IF(OR($B177="",$G177=""),"",IF(SUMPRODUCT(('利用者マスタ'!$A$4:$A$60=$B177)*('利用者マスタ'!$B$4:$B$60&lt;&gt;""))=0,"",IF(SUMIFS($AA$5:$AA$404,$B$5:$B$404,$B177,$G$5:$G$404,"&gt;="&amp;DATE(YEAR($G177),MONTH($G177),1),$G$5:$G$404,"&lt;="&amp;EOMONTH($G177,0))&gt;SUMIFS('利用者マスタ'!$B$4:$B$60,'利用者マスタ'!$A$4:$A$60,$B177),"⚠支給量超過","")))</f>
        <v/>
      </c>
      <c r="AA177" s="8">
        <f>IF(OR($G177="",$J177="",$Q177="キャンセル"),0,IF(IFERROR(INDEX('M_区分'!$B$4:$B$20,MATCH($C177,'M_区分'!$A$4:$A$20,0)),"○")="○",$J177-$G177+1,0))</f>
        <v/>
      </c>
      <c r="AB177" s="8">
        <f>IF($E177&lt;&gt;"",$E177,$AB176)</f>
        <v/>
      </c>
      <c r="AC177" s="8">
        <f>IF(OR($G177="",$J177=""),"",IF(AND($G177&lt;=EOMONTH('02_カレンダー'!$B$4,0),$J177&gt;='02_カレンダー'!$B$4),$G177*10000+ROW(),""))</f>
        <v/>
      </c>
      <c r="AD177" s="8">
        <f>IF($H177="","",IF(ISNUMBER($H177),IF(AND($H177=INT($H177),$H177&gt;=0,$H177&lt;=24),TEXT(INT($H177),"00")&amp;":00",TEXT($H177,"hh:mm")),$H177))</f>
        <v/>
      </c>
      <c r="AE177" s="8">
        <f>IF($K177="","",IF(ISNUMBER($K177),IF(AND($K177=INT($K177),$K177&gt;=0,$K177&lt;=24),TEXT(INT($K177),"00")&amp;":00",TEXT($K177,"hh:mm")),$K177))</f>
        <v/>
      </c>
      <c r="AF177" s="8">
        <f>IF($G177="",0,$G177)</f>
        <v/>
      </c>
      <c r="AG177" s="8">
        <f>IF($J177="",0,$J177)</f>
        <v/>
      </c>
    </row>
    <row r="178">
      <c r="A178" s="8">
        <f>IF($G178="","","SS-"&amp;TEXT(ROW()-4,"0000"))</f>
        <v/>
      </c>
      <c r="B178" s="9" t="n"/>
      <c r="C178" s="9" t="n"/>
      <c r="D178" s="9" t="n"/>
      <c r="E178" s="10" t="n"/>
      <c r="F178" s="11" t="n"/>
      <c r="G178" s="12">
        <f>IF($F178="","",IF($F178&gt;31,$F178,IF($AB178="","",DATE(YEAR($AB178),MONTH($AB178),$F178))))</f>
        <v/>
      </c>
      <c r="H178" s="9" t="n"/>
      <c r="I178" s="11" t="n"/>
      <c r="J178" s="12">
        <f>IF($I178="","",IF($I178&gt;31,$I178,IF($G178="","",IF(DATE(YEAR($G178),MONTH($G178),$I178)&gt;=$G178,DATE(YEAR($G178),MONTH($G178),$I178),DATE(YEAR($G178),MONTH($G178)+1,$I178)))))</f>
        <v/>
      </c>
      <c r="K178" s="9" t="n"/>
      <c r="L178" s="13" t="n"/>
      <c r="M178" s="13" t="n"/>
      <c r="N178" s="13" t="n"/>
      <c r="O178" s="8">
        <f>IF(OR($G178="",$J178=""),"",$J178-$G178+1)</f>
        <v/>
      </c>
      <c r="P178" s="8">
        <f>IF(OR($G178="",$J178=""),"",$J178-$G178)</f>
        <v/>
      </c>
      <c r="Q178" s="9" t="n"/>
      <c r="R178" s="9" t="n"/>
      <c r="S178" s="9" t="n"/>
      <c r="T178" s="9" t="n"/>
      <c r="U178" s="9" t="n"/>
      <c r="V178" s="9" t="n"/>
      <c r="W178" s="14" t="n"/>
      <c r="X178" s="9" t="n"/>
      <c r="Y178" s="8">
        <f>IF($G178="","",IF($D178="","⚠部屋が未選択",IF(COUNTIF('M_部屋'!$A$4:$A$20,$D178)=0,"⚠部屋が未登録",IF(OR($J178="",$Q178="キャンセル"),"",IF(SUMPRODUCT(($D$5:$D$404=$D178)*($G$5:$G$404&lt;&gt;"")*($J$5:$J$404&lt;&gt;"")*($Q$5:$Q$404&lt;&gt;"キャンセル")*($G$5:$G$404&lt;$J178)*($J$5:$J$404&gt;$G178))&gt;1,"⚠重複","")))))</f>
        <v/>
      </c>
      <c r="Z178" s="8">
        <f>IF(OR($B178="",$G178=""),"",IF(SUMPRODUCT(('利用者マスタ'!$A$4:$A$60=$B178)*('利用者マスタ'!$B$4:$B$60&lt;&gt;""))=0,"",IF(SUMIFS($AA$5:$AA$404,$B$5:$B$404,$B178,$G$5:$G$404,"&gt;="&amp;DATE(YEAR($G178),MONTH($G178),1),$G$5:$G$404,"&lt;="&amp;EOMONTH($G178,0))&gt;SUMIFS('利用者マスタ'!$B$4:$B$60,'利用者マスタ'!$A$4:$A$60,$B178),"⚠支給量超過","")))</f>
        <v/>
      </c>
      <c r="AA178" s="8">
        <f>IF(OR($G178="",$J178="",$Q178="キャンセル"),0,IF(IFERROR(INDEX('M_区分'!$B$4:$B$20,MATCH($C178,'M_区分'!$A$4:$A$20,0)),"○")="○",$J178-$G178+1,0))</f>
        <v/>
      </c>
      <c r="AB178" s="8">
        <f>IF($E178&lt;&gt;"",$E178,$AB177)</f>
        <v/>
      </c>
      <c r="AC178" s="8">
        <f>IF(OR($G178="",$J178=""),"",IF(AND($G178&lt;=EOMONTH('02_カレンダー'!$B$4,0),$J178&gt;='02_カレンダー'!$B$4),$G178*10000+ROW(),""))</f>
        <v/>
      </c>
      <c r="AD178" s="8">
        <f>IF($H178="","",IF(ISNUMBER($H178),IF(AND($H178=INT($H178),$H178&gt;=0,$H178&lt;=24),TEXT(INT($H178),"00")&amp;":00",TEXT($H178,"hh:mm")),$H178))</f>
        <v/>
      </c>
      <c r="AE178" s="8">
        <f>IF($K178="","",IF(ISNUMBER($K178),IF(AND($K178=INT($K178),$K178&gt;=0,$K178&lt;=24),TEXT(INT($K178),"00")&amp;":00",TEXT($K178,"hh:mm")),$K178))</f>
        <v/>
      </c>
      <c r="AF178" s="8">
        <f>IF($G178="",0,$G178)</f>
        <v/>
      </c>
      <c r="AG178" s="8">
        <f>IF($J178="",0,$J178)</f>
        <v/>
      </c>
    </row>
    <row r="179">
      <c r="A179" s="8">
        <f>IF($G179="","","SS-"&amp;TEXT(ROW()-4,"0000"))</f>
        <v/>
      </c>
      <c r="B179" s="9" t="n"/>
      <c r="C179" s="9" t="n"/>
      <c r="D179" s="9" t="n"/>
      <c r="E179" s="10" t="n"/>
      <c r="F179" s="11" t="n"/>
      <c r="G179" s="12">
        <f>IF($F179="","",IF($F179&gt;31,$F179,IF($AB179="","",DATE(YEAR($AB179),MONTH($AB179),$F179))))</f>
        <v/>
      </c>
      <c r="H179" s="9" t="n"/>
      <c r="I179" s="11" t="n"/>
      <c r="J179" s="12">
        <f>IF($I179="","",IF($I179&gt;31,$I179,IF($G179="","",IF(DATE(YEAR($G179),MONTH($G179),$I179)&gt;=$G179,DATE(YEAR($G179),MONTH($G179),$I179),DATE(YEAR($G179),MONTH($G179)+1,$I179)))))</f>
        <v/>
      </c>
      <c r="K179" s="9" t="n"/>
      <c r="L179" s="13" t="n"/>
      <c r="M179" s="13" t="n"/>
      <c r="N179" s="13" t="n"/>
      <c r="O179" s="8">
        <f>IF(OR($G179="",$J179=""),"",$J179-$G179+1)</f>
        <v/>
      </c>
      <c r="P179" s="8">
        <f>IF(OR($G179="",$J179=""),"",$J179-$G179)</f>
        <v/>
      </c>
      <c r="Q179" s="9" t="n"/>
      <c r="R179" s="9" t="n"/>
      <c r="S179" s="9" t="n"/>
      <c r="T179" s="9" t="n"/>
      <c r="U179" s="9" t="n"/>
      <c r="V179" s="9" t="n"/>
      <c r="W179" s="14" t="n"/>
      <c r="X179" s="9" t="n"/>
      <c r="Y179" s="8">
        <f>IF($G179="","",IF($D179="","⚠部屋が未選択",IF(COUNTIF('M_部屋'!$A$4:$A$20,$D179)=0,"⚠部屋が未登録",IF(OR($J179="",$Q179="キャンセル"),"",IF(SUMPRODUCT(($D$5:$D$404=$D179)*($G$5:$G$404&lt;&gt;"")*($J$5:$J$404&lt;&gt;"")*($Q$5:$Q$404&lt;&gt;"キャンセル")*($G$5:$G$404&lt;$J179)*($J$5:$J$404&gt;$G179))&gt;1,"⚠重複","")))))</f>
        <v/>
      </c>
      <c r="Z179" s="8">
        <f>IF(OR($B179="",$G179=""),"",IF(SUMPRODUCT(('利用者マスタ'!$A$4:$A$60=$B179)*('利用者マスタ'!$B$4:$B$60&lt;&gt;""))=0,"",IF(SUMIFS($AA$5:$AA$404,$B$5:$B$404,$B179,$G$5:$G$404,"&gt;="&amp;DATE(YEAR($G179),MONTH($G179),1),$G$5:$G$404,"&lt;="&amp;EOMONTH($G179,0))&gt;SUMIFS('利用者マスタ'!$B$4:$B$60,'利用者マスタ'!$A$4:$A$60,$B179),"⚠支給量超過","")))</f>
        <v/>
      </c>
      <c r="AA179" s="8">
        <f>IF(OR($G179="",$J179="",$Q179="キャンセル"),0,IF(IFERROR(INDEX('M_区分'!$B$4:$B$20,MATCH($C179,'M_区分'!$A$4:$A$20,0)),"○")="○",$J179-$G179+1,0))</f>
        <v/>
      </c>
      <c r="AB179" s="8">
        <f>IF($E179&lt;&gt;"",$E179,$AB178)</f>
        <v/>
      </c>
      <c r="AC179" s="8">
        <f>IF(OR($G179="",$J179=""),"",IF(AND($G179&lt;=EOMONTH('02_カレンダー'!$B$4,0),$J179&gt;='02_カレンダー'!$B$4),$G179*10000+ROW(),""))</f>
        <v/>
      </c>
      <c r="AD179" s="8">
        <f>IF($H179="","",IF(ISNUMBER($H179),IF(AND($H179=INT($H179),$H179&gt;=0,$H179&lt;=24),TEXT(INT($H179),"00")&amp;":00",TEXT($H179,"hh:mm")),$H179))</f>
        <v/>
      </c>
      <c r="AE179" s="8">
        <f>IF($K179="","",IF(ISNUMBER($K179),IF(AND($K179=INT($K179),$K179&gt;=0,$K179&lt;=24),TEXT(INT($K179),"00")&amp;":00",TEXT($K179,"hh:mm")),$K179))</f>
        <v/>
      </c>
      <c r="AF179" s="8">
        <f>IF($G179="",0,$G179)</f>
        <v/>
      </c>
      <c r="AG179" s="8">
        <f>IF($J179="",0,$J179)</f>
        <v/>
      </c>
    </row>
    <row r="180">
      <c r="A180" s="8">
        <f>IF($G180="","","SS-"&amp;TEXT(ROW()-4,"0000"))</f>
        <v/>
      </c>
      <c r="B180" s="9" t="n"/>
      <c r="C180" s="9" t="n"/>
      <c r="D180" s="9" t="n"/>
      <c r="E180" s="10" t="n"/>
      <c r="F180" s="11" t="n"/>
      <c r="G180" s="12">
        <f>IF($F180="","",IF($F180&gt;31,$F180,IF($AB180="","",DATE(YEAR($AB180),MONTH($AB180),$F180))))</f>
        <v/>
      </c>
      <c r="H180" s="9" t="n"/>
      <c r="I180" s="11" t="n"/>
      <c r="J180" s="12">
        <f>IF($I180="","",IF($I180&gt;31,$I180,IF($G180="","",IF(DATE(YEAR($G180),MONTH($G180),$I180)&gt;=$G180,DATE(YEAR($G180),MONTH($G180),$I180),DATE(YEAR($G180),MONTH($G180)+1,$I180)))))</f>
        <v/>
      </c>
      <c r="K180" s="9" t="n"/>
      <c r="L180" s="13" t="n"/>
      <c r="M180" s="13" t="n"/>
      <c r="N180" s="13" t="n"/>
      <c r="O180" s="8">
        <f>IF(OR($G180="",$J180=""),"",$J180-$G180+1)</f>
        <v/>
      </c>
      <c r="P180" s="8">
        <f>IF(OR($G180="",$J180=""),"",$J180-$G180)</f>
        <v/>
      </c>
      <c r="Q180" s="9" t="n"/>
      <c r="R180" s="9" t="n"/>
      <c r="S180" s="9" t="n"/>
      <c r="T180" s="9" t="n"/>
      <c r="U180" s="9" t="n"/>
      <c r="V180" s="9" t="n"/>
      <c r="W180" s="14" t="n"/>
      <c r="X180" s="9" t="n"/>
      <c r="Y180" s="8">
        <f>IF($G180="","",IF($D180="","⚠部屋が未選択",IF(COUNTIF('M_部屋'!$A$4:$A$20,$D180)=0,"⚠部屋が未登録",IF(OR($J180="",$Q180="キャンセル"),"",IF(SUMPRODUCT(($D$5:$D$404=$D180)*($G$5:$G$404&lt;&gt;"")*($J$5:$J$404&lt;&gt;"")*($Q$5:$Q$404&lt;&gt;"キャンセル")*($G$5:$G$404&lt;$J180)*($J$5:$J$404&gt;$G180))&gt;1,"⚠重複","")))))</f>
        <v/>
      </c>
      <c r="Z180" s="8">
        <f>IF(OR($B180="",$G180=""),"",IF(SUMPRODUCT(('利用者マスタ'!$A$4:$A$60=$B180)*('利用者マスタ'!$B$4:$B$60&lt;&gt;""))=0,"",IF(SUMIFS($AA$5:$AA$404,$B$5:$B$404,$B180,$G$5:$G$404,"&gt;="&amp;DATE(YEAR($G180),MONTH($G180),1),$G$5:$G$404,"&lt;="&amp;EOMONTH($G180,0))&gt;SUMIFS('利用者マスタ'!$B$4:$B$60,'利用者マスタ'!$A$4:$A$60,$B180),"⚠支給量超過","")))</f>
        <v/>
      </c>
      <c r="AA180" s="8">
        <f>IF(OR($G180="",$J180="",$Q180="キャンセル"),0,IF(IFERROR(INDEX('M_区分'!$B$4:$B$20,MATCH($C180,'M_区分'!$A$4:$A$20,0)),"○")="○",$J180-$G180+1,0))</f>
        <v/>
      </c>
      <c r="AB180" s="8">
        <f>IF($E180&lt;&gt;"",$E180,$AB179)</f>
        <v/>
      </c>
      <c r="AC180" s="8">
        <f>IF(OR($G180="",$J180=""),"",IF(AND($G180&lt;=EOMONTH('02_カレンダー'!$B$4,0),$J180&gt;='02_カレンダー'!$B$4),$G180*10000+ROW(),""))</f>
        <v/>
      </c>
      <c r="AD180" s="8">
        <f>IF($H180="","",IF(ISNUMBER($H180),IF(AND($H180=INT($H180),$H180&gt;=0,$H180&lt;=24),TEXT(INT($H180),"00")&amp;":00",TEXT($H180,"hh:mm")),$H180))</f>
        <v/>
      </c>
      <c r="AE180" s="8">
        <f>IF($K180="","",IF(ISNUMBER($K180),IF(AND($K180=INT($K180),$K180&gt;=0,$K180&lt;=24),TEXT(INT($K180),"00")&amp;":00",TEXT($K180,"hh:mm")),$K180))</f>
        <v/>
      </c>
      <c r="AF180" s="8">
        <f>IF($G180="",0,$G180)</f>
        <v/>
      </c>
      <c r="AG180" s="8">
        <f>IF($J180="",0,$J180)</f>
        <v/>
      </c>
    </row>
    <row r="181">
      <c r="A181" s="8">
        <f>IF($G181="","","SS-"&amp;TEXT(ROW()-4,"0000"))</f>
        <v/>
      </c>
      <c r="B181" s="9" t="n"/>
      <c r="C181" s="9" t="n"/>
      <c r="D181" s="9" t="n"/>
      <c r="E181" s="10" t="n"/>
      <c r="F181" s="11" t="n"/>
      <c r="G181" s="12">
        <f>IF($F181="","",IF($F181&gt;31,$F181,IF($AB181="","",DATE(YEAR($AB181),MONTH($AB181),$F181))))</f>
        <v/>
      </c>
      <c r="H181" s="9" t="n"/>
      <c r="I181" s="11" t="n"/>
      <c r="J181" s="12">
        <f>IF($I181="","",IF($I181&gt;31,$I181,IF($G181="","",IF(DATE(YEAR($G181),MONTH($G181),$I181)&gt;=$G181,DATE(YEAR($G181),MONTH($G181),$I181),DATE(YEAR($G181),MONTH($G181)+1,$I181)))))</f>
        <v/>
      </c>
      <c r="K181" s="9" t="n"/>
      <c r="L181" s="13" t="n"/>
      <c r="M181" s="13" t="n"/>
      <c r="N181" s="13" t="n"/>
      <c r="O181" s="8">
        <f>IF(OR($G181="",$J181=""),"",$J181-$G181+1)</f>
        <v/>
      </c>
      <c r="P181" s="8">
        <f>IF(OR($G181="",$J181=""),"",$J181-$G181)</f>
        <v/>
      </c>
      <c r="Q181" s="9" t="n"/>
      <c r="R181" s="9" t="n"/>
      <c r="S181" s="9" t="n"/>
      <c r="T181" s="9" t="n"/>
      <c r="U181" s="9" t="n"/>
      <c r="V181" s="9" t="n"/>
      <c r="W181" s="14" t="n"/>
      <c r="X181" s="9" t="n"/>
      <c r="Y181" s="8">
        <f>IF($G181="","",IF($D181="","⚠部屋が未選択",IF(COUNTIF('M_部屋'!$A$4:$A$20,$D181)=0,"⚠部屋が未登録",IF(OR($J181="",$Q181="キャンセル"),"",IF(SUMPRODUCT(($D$5:$D$404=$D181)*($G$5:$G$404&lt;&gt;"")*($J$5:$J$404&lt;&gt;"")*($Q$5:$Q$404&lt;&gt;"キャンセル")*($G$5:$G$404&lt;$J181)*($J$5:$J$404&gt;$G181))&gt;1,"⚠重複","")))))</f>
        <v/>
      </c>
      <c r="Z181" s="8">
        <f>IF(OR($B181="",$G181=""),"",IF(SUMPRODUCT(('利用者マスタ'!$A$4:$A$60=$B181)*('利用者マスタ'!$B$4:$B$60&lt;&gt;""))=0,"",IF(SUMIFS($AA$5:$AA$404,$B$5:$B$404,$B181,$G$5:$G$404,"&gt;="&amp;DATE(YEAR($G181),MONTH($G181),1),$G$5:$G$404,"&lt;="&amp;EOMONTH($G181,0))&gt;SUMIFS('利用者マスタ'!$B$4:$B$60,'利用者マスタ'!$A$4:$A$60,$B181),"⚠支給量超過","")))</f>
        <v/>
      </c>
      <c r="AA181" s="8">
        <f>IF(OR($G181="",$J181="",$Q181="キャンセル"),0,IF(IFERROR(INDEX('M_区分'!$B$4:$B$20,MATCH($C181,'M_区分'!$A$4:$A$20,0)),"○")="○",$J181-$G181+1,0))</f>
        <v/>
      </c>
      <c r="AB181" s="8">
        <f>IF($E181&lt;&gt;"",$E181,$AB180)</f>
        <v/>
      </c>
      <c r="AC181" s="8">
        <f>IF(OR($G181="",$J181=""),"",IF(AND($G181&lt;=EOMONTH('02_カレンダー'!$B$4,0),$J181&gt;='02_カレンダー'!$B$4),$G181*10000+ROW(),""))</f>
        <v/>
      </c>
      <c r="AD181" s="8">
        <f>IF($H181="","",IF(ISNUMBER($H181),IF(AND($H181=INT($H181),$H181&gt;=0,$H181&lt;=24),TEXT(INT($H181),"00")&amp;":00",TEXT($H181,"hh:mm")),$H181))</f>
        <v/>
      </c>
      <c r="AE181" s="8">
        <f>IF($K181="","",IF(ISNUMBER($K181),IF(AND($K181=INT($K181),$K181&gt;=0,$K181&lt;=24),TEXT(INT($K181),"00")&amp;":00",TEXT($K181,"hh:mm")),$K181))</f>
        <v/>
      </c>
      <c r="AF181" s="8">
        <f>IF($G181="",0,$G181)</f>
        <v/>
      </c>
      <c r="AG181" s="8">
        <f>IF($J181="",0,$J181)</f>
        <v/>
      </c>
    </row>
    <row r="182">
      <c r="A182" s="8">
        <f>IF($G182="","","SS-"&amp;TEXT(ROW()-4,"0000"))</f>
        <v/>
      </c>
      <c r="B182" s="9" t="n"/>
      <c r="C182" s="9" t="n"/>
      <c r="D182" s="9" t="n"/>
      <c r="E182" s="10" t="n"/>
      <c r="F182" s="11" t="n"/>
      <c r="G182" s="12">
        <f>IF($F182="","",IF($F182&gt;31,$F182,IF($AB182="","",DATE(YEAR($AB182),MONTH($AB182),$F182))))</f>
        <v/>
      </c>
      <c r="H182" s="9" t="n"/>
      <c r="I182" s="11" t="n"/>
      <c r="J182" s="12">
        <f>IF($I182="","",IF($I182&gt;31,$I182,IF($G182="","",IF(DATE(YEAR($G182),MONTH($G182),$I182)&gt;=$G182,DATE(YEAR($G182),MONTH($G182),$I182),DATE(YEAR($G182),MONTH($G182)+1,$I182)))))</f>
        <v/>
      </c>
      <c r="K182" s="9" t="n"/>
      <c r="L182" s="13" t="n"/>
      <c r="M182" s="13" t="n"/>
      <c r="N182" s="13" t="n"/>
      <c r="O182" s="8">
        <f>IF(OR($G182="",$J182=""),"",$J182-$G182+1)</f>
        <v/>
      </c>
      <c r="P182" s="8">
        <f>IF(OR($G182="",$J182=""),"",$J182-$G182)</f>
        <v/>
      </c>
      <c r="Q182" s="9" t="n"/>
      <c r="R182" s="9" t="n"/>
      <c r="S182" s="9" t="n"/>
      <c r="T182" s="9" t="n"/>
      <c r="U182" s="9" t="n"/>
      <c r="V182" s="9" t="n"/>
      <c r="W182" s="14" t="n"/>
      <c r="X182" s="9" t="n"/>
      <c r="Y182" s="8">
        <f>IF($G182="","",IF($D182="","⚠部屋が未選択",IF(COUNTIF('M_部屋'!$A$4:$A$20,$D182)=0,"⚠部屋が未登録",IF(OR($J182="",$Q182="キャンセル"),"",IF(SUMPRODUCT(($D$5:$D$404=$D182)*($G$5:$G$404&lt;&gt;"")*($J$5:$J$404&lt;&gt;"")*($Q$5:$Q$404&lt;&gt;"キャンセル")*($G$5:$G$404&lt;$J182)*($J$5:$J$404&gt;$G182))&gt;1,"⚠重複","")))))</f>
        <v/>
      </c>
      <c r="Z182" s="8">
        <f>IF(OR($B182="",$G182=""),"",IF(SUMPRODUCT(('利用者マスタ'!$A$4:$A$60=$B182)*('利用者マスタ'!$B$4:$B$60&lt;&gt;""))=0,"",IF(SUMIFS($AA$5:$AA$404,$B$5:$B$404,$B182,$G$5:$G$404,"&gt;="&amp;DATE(YEAR($G182),MONTH($G182),1),$G$5:$G$404,"&lt;="&amp;EOMONTH($G182,0))&gt;SUMIFS('利用者マスタ'!$B$4:$B$60,'利用者マスタ'!$A$4:$A$60,$B182),"⚠支給量超過","")))</f>
        <v/>
      </c>
      <c r="AA182" s="8">
        <f>IF(OR($G182="",$J182="",$Q182="キャンセル"),0,IF(IFERROR(INDEX('M_区分'!$B$4:$B$20,MATCH($C182,'M_区分'!$A$4:$A$20,0)),"○")="○",$J182-$G182+1,0))</f>
        <v/>
      </c>
      <c r="AB182" s="8">
        <f>IF($E182&lt;&gt;"",$E182,$AB181)</f>
        <v/>
      </c>
      <c r="AC182" s="8">
        <f>IF(OR($G182="",$J182=""),"",IF(AND($G182&lt;=EOMONTH('02_カレンダー'!$B$4,0),$J182&gt;='02_カレンダー'!$B$4),$G182*10000+ROW(),""))</f>
        <v/>
      </c>
      <c r="AD182" s="8">
        <f>IF($H182="","",IF(ISNUMBER($H182),IF(AND($H182=INT($H182),$H182&gt;=0,$H182&lt;=24),TEXT(INT($H182),"00")&amp;":00",TEXT($H182,"hh:mm")),$H182))</f>
        <v/>
      </c>
      <c r="AE182" s="8">
        <f>IF($K182="","",IF(ISNUMBER($K182),IF(AND($K182=INT($K182),$K182&gt;=0,$K182&lt;=24),TEXT(INT($K182),"00")&amp;":00",TEXT($K182,"hh:mm")),$K182))</f>
        <v/>
      </c>
      <c r="AF182" s="8">
        <f>IF($G182="",0,$G182)</f>
        <v/>
      </c>
      <c r="AG182" s="8">
        <f>IF($J182="",0,$J182)</f>
        <v/>
      </c>
    </row>
    <row r="183">
      <c r="A183" s="8">
        <f>IF($G183="","","SS-"&amp;TEXT(ROW()-4,"0000"))</f>
        <v/>
      </c>
      <c r="B183" s="9" t="n"/>
      <c r="C183" s="9" t="n"/>
      <c r="D183" s="9" t="n"/>
      <c r="E183" s="10" t="n"/>
      <c r="F183" s="11" t="n"/>
      <c r="G183" s="12">
        <f>IF($F183="","",IF($F183&gt;31,$F183,IF($AB183="","",DATE(YEAR($AB183),MONTH($AB183),$F183))))</f>
        <v/>
      </c>
      <c r="H183" s="9" t="n"/>
      <c r="I183" s="11" t="n"/>
      <c r="J183" s="12">
        <f>IF($I183="","",IF($I183&gt;31,$I183,IF($G183="","",IF(DATE(YEAR($G183),MONTH($G183),$I183)&gt;=$G183,DATE(YEAR($G183),MONTH($G183),$I183),DATE(YEAR($G183),MONTH($G183)+1,$I183)))))</f>
        <v/>
      </c>
      <c r="K183" s="9" t="n"/>
      <c r="L183" s="13" t="n"/>
      <c r="M183" s="13" t="n"/>
      <c r="N183" s="13" t="n"/>
      <c r="O183" s="8">
        <f>IF(OR($G183="",$J183=""),"",$J183-$G183+1)</f>
        <v/>
      </c>
      <c r="P183" s="8">
        <f>IF(OR($G183="",$J183=""),"",$J183-$G183)</f>
        <v/>
      </c>
      <c r="Q183" s="9" t="n"/>
      <c r="R183" s="9" t="n"/>
      <c r="S183" s="9" t="n"/>
      <c r="T183" s="9" t="n"/>
      <c r="U183" s="9" t="n"/>
      <c r="V183" s="9" t="n"/>
      <c r="W183" s="14" t="n"/>
      <c r="X183" s="9" t="n"/>
      <c r="Y183" s="8">
        <f>IF($G183="","",IF($D183="","⚠部屋が未選択",IF(COUNTIF('M_部屋'!$A$4:$A$20,$D183)=0,"⚠部屋が未登録",IF(OR($J183="",$Q183="キャンセル"),"",IF(SUMPRODUCT(($D$5:$D$404=$D183)*($G$5:$G$404&lt;&gt;"")*($J$5:$J$404&lt;&gt;"")*($Q$5:$Q$404&lt;&gt;"キャンセル")*($G$5:$G$404&lt;$J183)*($J$5:$J$404&gt;$G183))&gt;1,"⚠重複","")))))</f>
        <v/>
      </c>
      <c r="Z183" s="8">
        <f>IF(OR($B183="",$G183=""),"",IF(SUMPRODUCT(('利用者マスタ'!$A$4:$A$60=$B183)*('利用者マスタ'!$B$4:$B$60&lt;&gt;""))=0,"",IF(SUMIFS($AA$5:$AA$404,$B$5:$B$404,$B183,$G$5:$G$404,"&gt;="&amp;DATE(YEAR($G183),MONTH($G183),1),$G$5:$G$404,"&lt;="&amp;EOMONTH($G183,0))&gt;SUMIFS('利用者マスタ'!$B$4:$B$60,'利用者マスタ'!$A$4:$A$60,$B183),"⚠支給量超過","")))</f>
        <v/>
      </c>
      <c r="AA183" s="8">
        <f>IF(OR($G183="",$J183="",$Q183="キャンセル"),0,IF(IFERROR(INDEX('M_区分'!$B$4:$B$20,MATCH($C183,'M_区分'!$A$4:$A$20,0)),"○")="○",$J183-$G183+1,0))</f>
        <v/>
      </c>
      <c r="AB183" s="8">
        <f>IF($E183&lt;&gt;"",$E183,$AB182)</f>
        <v/>
      </c>
      <c r="AC183" s="8">
        <f>IF(OR($G183="",$J183=""),"",IF(AND($G183&lt;=EOMONTH('02_カレンダー'!$B$4,0),$J183&gt;='02_カレンダー'!$B$4),$G183*10000+ROW(),""))</f>
        <v/>
      </c>
      <c r="AD183" s="8">
        <f>IF($H183="","",IF(ISNUMBER($H183),IF(AND($H183=INT($H183),$H183&gt;=0,$H183&lt;=24),TEXT(INT($H183),"00")&amp;":00",TEXT($H183,"hh:mm")),$H183))</f>
        <v/>
      </c>
      <c r="AE183" s="8">
        <f>IF($K183="","",IF(ISNUMBER($K183),IF(AND($K183=INT($K183),$K183&gt;=0,$K183&lt;=24),TEXT(INT($K183),"00")&amp;":00",TEXT($K183,"hh:mm")),$K183))</f>
        <v/>
      </c>
      <c r="AF183" s="8">
        <f>IF($G183="",0,$G183)</f>
        <v/>
      </c>
      <c r="AG183" s="8">
        <f>IF($J183="",0,$J183)</f>
        <v/>
      </c>
    </row>
    <row r="184">
      <c r="A184" s="8">
        <f>IF($G184="","","SS-"&amp;TEXT(ROW()-4,"0000"))</f>
        <v/>
      </c>
      <c r="B184" s="9" t="n"/>
      <c r="C184" s="9" t="n"/>
      <c r="D184" s="9" t="n"/>
      <c r="E184" s="10" t="n"/>
      <c r="F184" s="11" t="n"/>
      <c r="G184" s="12">
        <f>IF($F184="","",IF($F184&gt;31,$F184,IF($AB184="","",DATE(YEAR($AB184),MONTH($AB184),$F184))))</f>
        <v/>
      </c>
      <c r="H184" s="9" t="n"/>
      <c r="I184" s="11" t="n"/>
      <c r="J184" s="12">
        <f>IF($I184="","",IF($I184&gt;31,$I184,IF($G184="","",IF(DATE(YEAR($G184),MONTH($G184),$I184)&gt;=$G184,DATE(YEAR($G184),MONTH($G184),$I184),DATE(YEAR($G184),MONTH($G184)+1,$I184)))))</f>
        <v/>
      </c>
      <c r="K184" s="9" t="n"/>
      <c r="L184" s="13" t="n"/>
      <c r="M184" s="13" t="n"/>
      <c r="N184" s="13" t="n"/>
      <c r="O184" s="8">
        <f>IF(OR($G184="",$J184=""),"",$J184-$G184+1)</f>
        <v/>
      </c>
      <c r="P184" s="8">
        <f>IF(OR($G184="",$J184=""),"",$J184-$G184)</f>
        <v/>
      </c>
      <c r="Q184" s="9" t="n"/>
      <c r="R184" s="9" t="n"/>
      <c r="S184" s="9" t="n"/>
      <c r="T184" s="9" t="n"/>
      <c r="U184" s="9" t="n"/>
      <c r="V184" s="9" t="n"/>
      <c r="W184" s="14" t="n"/>
      <c r="X184" s="9" t="n"/>
      <c r="Y184" s="8">
        <f>IF($G184="","",IF($D184="","⚠部屋が未選択",IF(COUNTIF('M_部屋'!$A$4:$A$20,$D184)=0,"⚠部屋が未登録",IF(OR($J184="",$Q184="キャンセル"),"",IF(SUMPRODUCT(($D$5:$D$404=$D184)*($G$5:$G$404&lt;&gt;"")*($J$5:$J$404&lt;&gt;"")*($Q$5:$Q$404&lt;&gt;"キャンセル")*($G$5:$G$404&lt;$J184)*($J$5:$J$404&gt;$G184))&gt;1,"⚠重複","")))))</f>
        <v/>
      </c>
      <c r="Z184" s="8">
        <f>IF(OR($B184="",$G184=""),"",IF(SUMPRODUCT(('利用者マスタ'!$A$4:$A$60=$B184)*('利用者マスタ'!$B$4:$B$60&lt;&gt;""))=0,"",IF(SUMIFS($AA$5:$AA$404,$B$5:$B$404,$B184,$G$5:$G$404,"&gt;="&amp;DATE(YEAR($G184),MONTH($G184),1),$G$5:$G$404,"&lt;="&amp;EOMONTH($G184,0))&gt;SUMIFS('利用者マスタ'!$B$4:$B$60,'利用者マスタ'!$A$4:$A$60,$B184),"⚠支給量超過","")))</f>
        <v/>
      </c>
      <c r="AA184" s="8">
        <f>IF(OR($G184="",$J184="",$Q184="キャンセル"),0,IF(IFERROR(INDEX('M_区分'!$B$4:$B$20,MATCH($C184,'M_区分'!$A$4:$A$20,0)),"○")="○",$J184-$G184+1,0))</f>
        <v/>
      </c>
      <c r="AB184" s="8">
        <f>IF($E184&lt;&gt;"",$E184,$AB183)</f>
        <v/>
      </c>
      <c r="AC184" s="8">
        <f>IF(OR($G184="",$J184=""),"",IF(AND($G184&lt;=EOMONTH('02_カレンダー'!$B$4,0),$J184&gt;='02_カレンダー'!$B$4),$G184*10000+ROW(),""))</f>
        <v/>
      </c>
      <c r="AD184" s="8">
        <f>IF($H184="","",IF(ISNUMBER($H184),IF(AND($H184=INT($H184),$H184&gt;=0,$H184&lt;=24),TEXT(INT($H184),"00")&amp;":00",TEXT($H184,"hh:mm")),$H184))</f>
        <v/>
      </c>
      <c r="AE184" s="8">
        <f>IF($K184="","",IF(ISNUMBER($K184),IF(AND($K184=INT($K184),$K184&gt;=0,$K184&lt;=24),TEXT(INT($K184),"00")&amp;":00",TEXT($K184,"hh:mm")),$K184))</f>
        <v/>
      </c>
      <c r="AF184" s="8">
        <f>IF($G184="",0,$G184)</f>
        <v/>
      </c>
      <c r="AG184" s="8">
        <f>IF($J184="",0,$J184)</f>
        <v/>
      </c>
    </row>
    <row r="185">
      <c r="A185" s="8">
        <f>IF($G185="","","SS-"&amp;TEXT(ROW()-4,"0000"))</f>
        <v/>
      </c>
      <c r="B185" s="9" t="n"/>
      <c r="C185" s="9" t="n"/>
      <c r="D185" s="9" t="n"/>
      <c r="E185" s="10" t="n"/>
      <c r="F185" s="11" t="n"/>
      <c r="G185" s="12">
        <f>IF($F185="","",IF($F185&gt;31,$F185,IF($AB185="","",DATE(YEAR($AB185),MONTH($AB185),$F185))))</f>
        <v/>
      </c>
      <c r="H185" s="9" t="n"/>
      <c r="I185" s="11" t="n"/>
      <c r="J185" s="12">
        <f>IF($I185="","",IF($I185&gt;31,$I185,IF($G185="","",IF(DATE(YEAR($G185),MONTH($G185),$I185)&gt;=$G185,DATE(YEAR($G185),MONTH($G185),$I185),DATE(YEAR($G185),MONTH($G185)+1,$I185)))))</f>
        <v/>
      </c>
      <c r="K185" s="9" t="n"/>
      <c r="L185" s="13" t="n"/>
      <c r="M185" s="13" t="n"/>
      <c r="N185" s="13" t="n"/>
      <c r="O185" s="8">
        <f>IF(OR($G185="",$J185=""),"",$J185-$G185+1)</f>
        <v/>
      </c>
      <c r="P185" s="8">
        <f>IF(OR($G185="",$J185=""),"",$J185-$G185)</f>
        <v/>
      </c>
      <c r="Q185" s="9" t="n"/>
      <c r="R185" s="9" t="n"/>
      <c r="S185" s="9" t="n"/>
      <c r="T185" s="9" t="n"/>
      <c r="U185" s="9" t="n"/>
      <c r="V185" s="9" t="n"/>
      <c r="W185" s="14" t="n"/>
      <c r="X185" s="9" t="n"/>
      <c r="Y185" s="8">
        <f>IF($G185="","",IF($D185="","⚠部屋が未選択",IF(COUNTIF('M_部屋'!$A$4:$A$20,$D185)=0,"⚠部屋が未登録",IF(OR($J185="",$Q185="キャンセル"),"",IF(SUMPRODUCT(($D$5:$D$404=$D185)*($G$5:$G$404&lt;&gt;"")*($J$5:$J$404&lt;&gt;"")*($Q$5:$Q$404&lt;&gt;"キャンセル")*($G$5:$G$404&lt;$J185)*($J$5:$J$404&gt;$G185))&gt;1,"⚠重複","")))))</f>
        <v/>
      </c>
      <c r="Z185" s="8">
        <f>IF(OR($B185="",$G185=""),"",IF(SUMPRODUCT(('利用者マスタ'!$A$4:$A$60=$B185)*('利用者マスタ'!$B$4:$B$60&lt;&gt;""))=0,"",IF(SUMIFS($AA$5:$AA$404,$B$5:$B$404,$B185,$G$5:$G$404,"&gt;="&amp;DATE(YEAR($G185),MONTH($G185),1),$G$5:$G$404,"&lt;="&amp;EOMONTH($G185,0))&gt;SUMIFS('利用者マスタ'!$B$4:$B$60,'利用者マスタ'!$A$4:$A$60,$B185),"⚠支給量超過","")))</f>
        <v/>
      </c>
      <c r="AA185" s="8">
        <f>IF(OR($G185="",$J185="",$Q185="キャンセル"),0,IF(IFERROR(INDEX('M_区分'!$B$4:$B$20,MATCH($C185,'M_区分'!$A$4:$A$20,0)),"○")="○",$J185-$G185+1,0))</f>
        <v/>
      </c>
      <c r="AB185" s="8">
        <f>IF($E185&lt;&gt;"",$E185,$AB184)</f>
        <v/>
      </c>
      <c r="AC185" s="8">
        <f>IF(OR($G185="",$J185=""),"",IF(AND($G185&lt;=EOMONTH('02_カレンダー'!$B$4,0),$J185&gt;='02_カレンダー'!$B$4),$G185*10000+ROW(),""))</f>
        <v/>
      </c>
      <c r="AD185" s="8">
        <f>IF($H185="","",IF(ISNUMBER($H185),IF(AND($H185=INT($H185),$H185&gt;=0,$H185&lt;=24),TEXT(INT($H185),"00")&amp;":00",TEXT($H185,"hh:mm")),$H185))</f>
        <v/>
      </c>
      <c r="AE185" s="8">
        <f>IF($K185="","",IF(ISNUMBER($K185),IF(AND($K185=INT($K185),$K185&gt;=0,$K185&lt;=24),TEXT(INT($K185),"00")&amp;":00",TEXT($K185,"hh:mm")),$K185))</f>
        <v/>
      </c>
      <c r="AF185" s="8">
        <f>IF($G185="",0,$G185)</f>
        <v/>
      </c>
      <c r="AG185" s="8">
        <f>IF($J185="",0,$J185)</f>
        <v/>
      </c>
    </row>
    <row r="186">
      <c r="A186" s="8">
        <f>IF($G186="","","SS-"&amp;TEXT(ROW()-4,"0000"))</f>
        <v/>
      </c>
      <c r="B186" s="9" t="n"/>
      <c r="C186" s="9" t="n"/>
      <c r="D186" s="9" t="n"/>
      <c r="E186" s="10" t="n"/>
      <c r="F186" s="11" t="n"/>
      <c r="G186" s="12">
        <f>IF($F186="","",IF($F186&gt;31,$F186,IF($AB186="","",DATE(YEAR($AB186),MONTH($AB186),$F186))))</f>
        <v/>
      </c>
      <c r="H186" s="9" t="n"/>
      <c r="I186" s="11" t="n"/>
      <c r="J186" s="12">
        <f>IF($I186="","",IF($I186&gt;31,$I186,IF($G186="","",IF(DATE(YEAR($G186),MONTH($G186),$I186)&gt;=$G186,DATE(YEAR($G186),MONTH($G186),$I186),DATE(YEAR($G186),MONTH($G186)+1,$I186)))))</f>
        <v/>
      </c>
      <c r="K186" s="9" t="n"/>
      <c r="L186" s="13" t="n"/>
      <c r="M186" s="13" t="n"/>
      <c r="N186" s="13" t="n"/>
      <c r="O186" s="8">
        <f>IF(OR($G186="",$J186=""),"",$J186-$G186+1)</f>
        <v/>
      </c>
      <c r="P186" s="8">
        <f>IF(OR($G186="",$J186=""),"",$J186-$G186)</f>
        <v/>
      </c>
      <c r="Q186" s="9" t="n"/>
      <c r="R186" s="9" t="n"/>
      <c r="S186" s="9" t="n"/>
      <c r="T186" s="9" t="n"/>
      <c r="U186" s="9" t="n"/>
      <c r="V186" s="9" t="n"/>
      <c r="W186" s="14" t="n"/>
      <c r="X186" s="9" t="n"/>
      <c r="Y186" s="8">
        <f>IF($G186="","",IF($D186="","⚠部屋が未選択",IF(COUNTIF('M_部屋'!$A$4:$A$20,$D186)=0,"⚠部屋が未登録",IF(OR($J186="",$Q186="キャンセル"),"",IF(SUMPRODUCT(($D$5:$D$404=$D186)*($G$5:$G$404&lt;&gt;"")*($J$5:$J$404&lt;&gt;"")*($Q$5:$Q$404&lt;&gt;"キャンセル")*($G$5:$G$404&lt;$J186)*($J$5:$J$404&gt;$G186))&gt;1,"⚠重複","")))))</f>
        <v/>
      </c>
      <c r="Z186" s="8">
        <f>IF(OR($B186="",$G186=""),"",IF(SUMPRODUCT(('利用者マスタ'!$A$4:$A$60=$B186)*('利用者マスタ'!$B$4:$B$60&lt;&gt;""))=0,"",IF(SUMIFS($AA$5:$AA$404,$B$5:$B$404,$B186,$G$5:$G$404,"&gt;="&amp;DATE(YEAR($G186),MONTH($G186),1),$G$5:$G$404,"&lt;="&amp;EOMONTH($G186,0))&gt;SUMIFS('利用者マスタ'!$B$4:$B$60,'利用者マスタ'!$A$4:$A$60,$B186),"⚠支給量超過","")))</f>
        <v/>
      </c>
      <c r="AA186" s="8">
        <f>IF(OR($G186="",$J186="",$Q186="キャンセル"),0,IF(IFERROR(INDEX('M_区分'!$B$4:$B$20,MATCH($C186,'M_区分'!$A$4:$A$20,0)),"○")="○",$J186-$G186+1,0))</f>
        <v/>
      </c>
      <c r="AB186" s="8">
        <f>IF($E186&lt;&gt;"",$E186,$AB185)</f>
        <v/>
      </c>
      <c r="AC186" s="8">
        <f>IF(OR($G186="",$J186=""),"",IF(AND($G186&lt;=EOMONTH('02_カレンダー'!$B$4,0),$J186&gt;='02_カレンダー'!$B$4),$G186*10000+ROW(),""))</f>
        <v/>
      </c>
      <c r="AD186" s="8">
        <f>IF($H186="","",IF(ISNUMBER($H186),IF(AND($H186=INT($H186),$H186&gt;=0,$H186&lt;=24),TEXT(INT($H186),"00")&amp;":00",TEXT($H186,"hh:mm")),$H186))</f>
        <v/>
      </c>
      <c r="AE186" s="8">
        <f>IF($K186="","",IF(ISNUMBER($K186),IF(AND($K186=INT($K186),$K186&gt;=0,$K186&lt;=24),TEXT(INT($K186),"00")&amp;":00",TEXT($K186,"hh:mm")),$K186))</f>
        <v/>
      </c>
      <c r="AF186" s="8">
        <f>IF($G186="",0,$G186)</f>
        <v/>
      </c>
      <c r="AG186" s="8">
        <f>IF($J186="",0,$J186)</f>
        <v/>
      </c>
    </row>
    <row r="187">
      <c r="A187" s="8">
        <f>IF($G187="","","SS-"&amp;TEXT(ROW()-4,"0000"))</f>
        <v/>
      </c>
      <c r="B187" s="9" t="n"/>
      <c r="C187" s="9" t="n"/>
      <c r="D187" s="9" t="n"/>
      <c r="E187" s="10" t="n"/>
      <c r="F187" s="11" t="n"/>
      <c r="G187" s="12">
        <f>IF($F187="","",IF($F187&gt;31,$F187,IF($AB187="","",DATE(YEAR($AB187),MONTH($AB187),$F187))))</f>
        <v/>
      </c>
      <c r="H187" s="9" t="n"/>
      <c r="I187" s="11" t="n"/>
      <c r="J187" s="12">
        <f>IF($I187="","",IF($I187&gt;31,$I187,IF($G187="","",IF(DATE(YEAR($G187),MONTH($G187),$I187)&gt;=$G187,DATE(YEAR($G187),MONTH($G187),$I187),DATE(YEAR($G187),MONTH($G187)+1,$I187)))))</f>
        <v/>
      </c>
      <c r="K187" s="9" t="n"/>
      <c r="L187" s="13" t="n"/>
      <c r="M187" s="13" t="n"/>
      <c r="N187" s="13" t="n"/>
      <c r="O187" s="8">
        <f>IF(OR($G187="",$J187=""),"",$J187-$G187+1)</f>
        <v/>
      </c>
      <c r="P187" s="8">
        <f>IF(OR($G187="",$J187=""),"",$J187-$G187)</f>
        <v/>
      </c>
      <c r="Q187" s="9" t="n"/>
      <c r="R187" s="9" t="n"/>
      <c r="S187" s="9" t="n"/>
      <c r="T187" s="9" t="n"/>
      <c r="U187" s="9" t="n"/>
      <c r="V187" s="9" t="n"/>
      <c r="W187" s="14" t="n"/>
      <c r="X187" s="9" t="n"/>
      <c r="Y187" s="8">
        <f>IF($G187="","",IF($D187="","⚠部屋が未選択",IF(COUNTIF('M_部屋'!$A$4:$A$20,$D187)=0,"⚠部屋が未登録",IF(OR($J187="",$Q187="キャンセル"),"",IF(SUMPRODUCT(($D$5:$D$404=$D187)*($G$5:$G$404&lt;&gt;"")*($J$5:$J$404&lt;&gt;"")*($Q$5:$Q$404&lt;&gt;"キャンセル")*($G$5:$G$404&lt;$J187)*($J$5:$J$404&gt;$G187))&gt;1,"⚠重複","")))))</f>
        <v/>
      </c>
      <c r="Z187" s="8">
        <f>IF(OR($B187="",$G187=""),"",IF(SUMPRODUCT(('利用者マスタ'!$A$4:$A$60=$B187)*('利用者マスタ'!$B$4:$B$60&lt;&gt;""))=0,"",IF(SUMIFS($AA$5:$AA$404,$B$5:$B$404,$B187,$G$5:$G$404,"&gt;="&amp;DATE(YEAR($G187),MONTH($G187),1),$G$5:$G$404,"&lt;="&amp;EOMONTH($G187,0))&gt;SUMIFS('利用者マスタ'!$B$4:$B$60,'利用者マスタ'!$A$4:$A$60,$B187),"⚠支給量超過","")))</f>
        <v/>
      </c>
      <c r="AA187" s="8">
        <f>IF(OR($G187="",$J187="",$Q187="キャンセル"),0,IF(IFERROR(INDEX('M_区分'!$B$4:$B$20,MATCH($C187,'M_区分'!$A$4:$A$20,0)),"○")="○",$J187-$G187+1,0))</f>
        <v/>
      </c>
      <c r="AB187" s="8">
        <f>IF($E187&lt;&gt;"",$E187,$AB186)</f>
        <v/>
      </c>
      <c r="AC187" s="8">
        <f>IF(OR($G187="",$J187=""),"",IF(AND($G187&lt;=EOMONTH('02_カレンダー'!$B$4,0),$J187&gt;='02_カレンダー'!$B$4),$G187*10000+ROW(),""))</f>
        <v/>
      </c>
      <c r="AD187" s="8">
        <f>IF($H187="","",IF(ISNUMBER($H187),IF(AND($H187=INT($H187),$H187&gt;=0,$H187&lt;=24),TEXT(INT($H187),"00")&amp;":00",TEXT($H187,"hh:mm")),$H187))</f>
        <v/>
      </c>
      <c r="AE187" s="8">
        <f>IF($K187="","",IF(ISNUMBER($K187),IF(AND($K187=INT($K187),$K187&gt;=0,$K187&lt;=24),TEXT(INT($K187),"00")&amp;":00",TEXT($K187,"hh:mm")),$K187))</f>
        <v/>
      </c>
      <c r="AF187" s="8">
        <f>IF($G187="",0,$G187)</f>
        <v/>
      </c>
      <c r="AG187" s="8">
        <f>IF($J187="",0,$J187)</f>
        <v/>
      </c>
    </row>
    <row r="188">
      <c r="A188" s="8">
        <f>IF($G188="","","SS-"&amp;TEXT(ROW()-4,"0000"))</f>
        <v/>
      </c>
      <c r="B188" s="9" t="n"/>
      <c r="C188" s="9" t="n"/>
      <c r="D188" s="9" t="n"/>
      <c r="E188" s="10" t="n"/>
      <c r="F188" s="11" t="n"/>
      <c r="G188" s="12">
        <f>IF($F188="","",IF($F188&gt;31,$F188,IF($AB188="","",DATE(YEAR($AB188),MONTH($AB188),$F188))))</f>
        <v/>
      </c>
      <c r="H188" s="9" t="n"/>
      <c r="I188" s="11" t="n"/>
      <c r="J188" s="12">
        <f>IF($I188="","",IF($I188&gt;31,$I188,IF($G188="","",IF(DATE(YEAR($G188),MONTH($G188),$I188)&gt;=$G188,DATE(YEAR($G188),MONTH($G188),$I188),DATE(YEAR($G188),MONTH($G188)+1,$I188)))))</f>
        <v/>
      </c>
      <c r="K188" s="9" t="n"/>
      <c r="L188" s="13" t="n"/>
      <c r="M188" s="13" t="n"/>
      <c r="N188" s="13" t="n"/>
      <c r="O188" s="8">
        <f>IF(OR($G188="",$J188=""),"",$J188-$G188+1)</f>
        <v/>
      </c>
      <c r="P188" s="8">
        <f>IF(OR($G188="",$J188=""),"",$J188-$G188)</f>
        <v/>
      </c>
      <c r="Q188" s="9" t="n"/>
      <c r="R188" s="9" t="n"/>
      <c r="S188" s="9" t="n"/>
      <c r="T188" s="9" t="n"/>
      <c r="U188" s="9" t="n"/>
      <c r="V188" s="9" t="n"/>
      <c r="W188" s="14" t="n"/>
      <c r="X188" s="9" t="n"/>
      <c r="Y188" s="8">
        <f>IF($G188="","",IF($D188="","⚠部屋が未選択",IF(COUNTIF('M_部屋'!$A$4:$A$20,$D188)=0,"⚠部屋が未登録",IF(OR($J188="",$Q188="キャンセル"),"",IF(SUMPRODUCT(($D$5:$D$404=$D188)*($G$5:$G$404&lt;&gt;"")*($J$5:$J$404&lt;&gt;"")*($Q$5:$Q$404&lt;&gt;"キャンセル")*($G$5:$G$404&lt;$J188)*($J$5:$J$404&gt;$G188))&gt;1,"⚠重複","")))))</f>
        <v/>
      </c>
      <c r="Z188" s="8">
        <f>IF(OR($B188="",$G188=""),"",IF(SUMPRODUCT(('利用者マスタ'!$A$4:$A$60=$B188)*('利用者マスタ'!$B$4:$B$60&lt;&gt;""))=0,"",IF(SUMIFS($AA$5:$AA$404,$B$5:$B$404,$B188,$G$5:$G$404,"&gt;="&amp;DATE(YEAR($G188),MONTH($G188),1),$G$5:$G$404,"&lt;="&amp;EOMONTH($G188,0))&gt;SUMIFS('利用者マスタ'!$B$4:$B$60,'利用者マスタ'!$A$4:$A$60,$B188),"⚠支給量超過","")))</f>
        <v/>
      </c>
      <c r="AA188" s="8">
        <f>IF(OR($G188="",$J188="",$Q188="キャンセル"),0,IF(IFERROR(INDEX('M_区分'!$B$4:$B$20,MATCH($C188,'M_区分'!$A$4:$A$20,0)),"○")="○",$J188-$G188+1,0))</f>
        <v/>
      </c>
      <c r="AB188" s="8">
        <f>IF($E188&lt;&gt;"",$E188,$AB187)</f>
        <v/>
      </c>
      <c r="AC188" s="8">
        <f>IF(OR($G188="",$J188=""),"",IF(AND($G188&lt;=EOMONTH('02_カレンダー'!$B$4,0),$J188&gt;='02_カレンダー'!$B$4),$G188*10000+ROW(),""))</f>
        <v/>
      </c>
      <c r="AD188" s="8">
        <f>IF($H188="","",IF(ISNUMBER($H188),IF(AND($H188=INT($H188),$H188&gt;=0,$H188&lt;=24),TEXT(INT($H188),"00")&amp;":00",TEXT($H188,"hh:mm")),$H188))</f>
        <v/>
      </c>
      <c r="AE188" s="8">
        <f>IF($K188="","",IF(ISNUMBER($K188),IF(AND($K188=INT($K188),$K188&gt;=0,$K188&lt;=24),TEXT(INT($K188),"00")&amp;":00",TEXT($K188,"hh:mm")),$K188))</f>
        <v/>
      </c>
      <c r="AF188" s="8">
        <f>IF($G188="",0,$G188)</f>
        <v/>
      </c>
      <c r="AG188" s="8">
        <f>IF($J188="",0,$J188)</f>
        <v/>
      </c>
    </row>
    <row r="189">
      <c r="A189" s="8">
        <f>IF($G189="","","SS-"&amp;TEXT(ROW()-4,"0000"))</f>
        <v/>
      </c>
      <c r="B189" s="9" t="n"/>
      <c r="C189" s="9" t="n"/>
      <c r="D189" s="9" t="n"/>
      <c r="E189" s="10" t="n"/>
      <c r="F189" s="11" t="n"/>
      <c r="G189" s="12">
        <f>IF($F189="","",IF($F189&gt;31,$F189,IF($AB189="","",DATE(YEAR($AB189),MONTH($AB189),$F189))))</f>
        <v/>
      </c>
      <c r="H189" s="9" t="n"/>
      <c r="I189" s="11" t="n"/>
      <c r="J189" s="12">
        <f>IF($I189="","",IF($I189&gt;31,$I189,IF($G189="","",IF(DATE(YEAR($G189),MONTH($G189),$I189)&gt;=$G189,DATE(YEAR($G189),MONTH($G189),$I189),DATE(YEAR($G189),MONTH($G189)+1,$I189)))))</f>
        <v/>
      </c>
      <c r="K189" s="9" t="n"/>
      <c r="L189" s="13" t="n"/>
      <c r="M189" s="13" t="n"/>
      <c r="N189" s="13" t="n"/>
      <c r="O189" s="8">
        <f>IF(OR($G189="",$J189=""),"",$J189-$G189+1)</f>
        <v/>
      </c>
      <c r="P189" s="8">
        <f>IF(OR($G189="",$J189=""),"",$J189-$G189)</f>
        <v/>
      </c>
      <c r="Q189" s="9" t="n"/>
      <c r="R189" s="9" t="n"/>
      <c r="S189" s="9" t="n"/>
      <c r="T189" s="9" t="n"/>
      <c r="U189" s="9" t="n"/>
      <c r="V189" s="9" t="n"/>
      <c r="W189" s="14" t="n"/>
      <c r="X189" s="9" t="n"/>
      <c r="Y189" s="8">
        <f>IF($G189="","",IF($D189="","⚠部屋が未選択",IF(COUNTIF('M_部屋'!$A$4:$A$20,$D189)=0,"⚠部屋が未登録",IF(OR($J189="",$Q189="キャンセル"),"",IF(SUMPRODUCT(($D$5:$D$404=$D189)*($G$5:$G$404&lt;&gt;"")*($J$5:$J$404&lt;&gt;"")*($Q$5:$Q$404&lt;&gt;"キャンセル")*($G$5:$G$404&lt;$J189)*($J$5:$J$404&gt;$G189))&gt;1,"⚠重複","")))))</f>
        <v/>
      </c>
      <c r="Z189" s="8">
        <f>IF(OR($B189="",$G189=""),"",IF(SUMPRODUCT(('利用者マスタ'!$A$4:$A$60=$B189)*('利用者マスタ'!$B$4:$B$60&lt;&gt;""))=0,"",IF(SUMIFS($AA$5:$AA$404,$B$5:$B$404,$B189,$G$5:$G$404,"&gt;="&amp;DATE(YEAR($G189),MONTH($G189),1),$G$5:$G$404,"&lt;="&amp;EOMONTH($G189,0))&gt;SUMIFS('利用者マスタ'!$B$4:$B$60,'利用者マスタ'!$A$4:$A$60,$B189),"⚠支給量超過","")))</f>
        <v/>
      </c>
      <c r="AA189" s="8">
        <f>IF(OR($G189="",$J189="",$Q189="キャンセル"),0,IF(IFERROR(INDEX('M_区分'!$B$4:$B$20,MATCH($C189,'M_区分'!$A$4:$A$20,0)),"○")="○",$J189-$G189+1,0))</f>
        <v/>
      </c>
      <c r="AB189" s="8">
        <f>IF($E189&lt;&gt;"",$E189,$AB188)</f>
        <v/>
      </c>
      <c r="AC189" s="8">
        <f>IF(OR($G189="",$J189=""),"",IF(AND($G189&lt;=EOMONTH('02_カレンダー'!$B$4,0),$J189&gt;='02_カレンダー'!$B$4),$G189*10000+ROW(),""))</f>
        <v/>
      </c>
      <c r="AD189" s="8">
        <f>IF($H189="","",IF(ISNUMBER($H189),IF(AND($H189=INT($H189),$H189&gt;=0,$H189&lt;=24),TEXT(INT($H189),"00")&amp;":00",TEXT($H189,"hh:mm")),$H189))</f>
        <v/>
      </c>
      <c r="AE189" s="8">
        <f>IF($K189="","",IF(ISNUMBER($K189),IF(AND($K189=INT($K189),$K189&gt;=0,$K189&lt;=24),TEXT(INT($K189),"00")&amp;":00",TEXT($K189,"hh:mm")),$K189))</f>
        <v/>
      </c>
      <c r="AF189" s="8">
        <f>IF($G189="",0,$G189)</f>
        <v/>
      </c>
      <c r="AG189" s="8">
        <f>IF($J189="",0,$J189)</f>
        <v/>
      </c>
    </row>
    <row r="190">
      <c r="A190" s="8">
        <f>IF($G190="","","SS-"&amp;TEXT(ROW()-4,"0000"))</f>
        <v/>
      </c>
      <c r="B190" s="9" t="n"/>
      <c r="C190" s="9" t="n"/>
      <c r="D190" s="9" t="n"/>
      <c r="E190" s="10" t="n"/>
      <c r="F190" s="11" t="n"/>
      <c r="G190" s="12">
        <f>IF($F190="","",IF($F190&gt;31,$F190,IF($AB190="","",DATE(YEAR($AB190),MONTH($AB190),$F190))))</f>
        <v/>
      </c>
      <c r="H190" s="9" t="n"/>
      <c r="I190" s="11" t="n"/>
      <c r="J190" s="12">
        <f>IF($I190="","",IF($I190&gt;31,$I190,IF($G190="","",IF(DATE(YEAR($G190),MONTH($G190),$I190)&gt;=$G190,DATE(YEAR($G190),MONTH($G190),$I190),DATE(YEAR($G190),MONTH($G190)+1,$I190)))))</f>
        <v/>
      </c>
      <c r="K190" s="9" t="n"/>
      <c r="L190" s="13" t="n"/>
      <c r="M190" s="13" t="n"/>
      <c r="N190" s="13" t="n"/>
      <c r="O190" s="8">
        <f>IF(OR($G190="",$J190=""),"",$J190-$G190+1)</f>
        <v/>
      </c>
      <c r="P190" s="8">
        <f>IF(OR($G190="",$J190=""),"",$J190-$G190)</f>
        <v/>
      </c>
      <c r="Q190" s="9" t="n"/>
      <c r="R190" s="9" t="n"/>
      <c r="S190" s="9" t="n"/>
      <c r="T190" s="9" t="n"/>
      <c r="U190" s="9" t="n"/>
      <c r="V190" s="9" t="n"/>
      <c r="W190" s="14" t="n"/>
      <c r="X190" s="9" t="n"/>
      <c r="Y190" s="8">
        <f>IF($G190="","",IF($D190="","⚠部屋が未選択",IF(COUNTIF('M_部屋'!$A$4:$A$20,$D190)=0,"⚠部屋が未登録",IF(OR($J190="",$Q190="キャンセル"),"",IF(SUMPRODUCT(($D$5:$D$404=$D190)*($G$5:$G$404&lt;&gt;"")*($J$5:$J$404&lt;&gt;"")*($Q$5:$Q$404&lt;&gt;"キャンセル")*($G$5:$G$404&lt;$J190)*($J$5:$J$404&gt;$G190))&gt;1,"⚠重複","")))))</f>
        <v/>
      </c>
      <c r="Z190" s="8">
        <f>IF(OR($B190="",$G190=""),"",IF(SUMPRODUCT(('利用者マスタ'!$A$4:$A$60=$B190)*('利用者マスタ'!$B$4:$B$60&lt;&gt;""))=0,"",IF(SUMIFS($AA$5:$AA$404,$B$5:$B$404,$B190,$G$5:$G$404,"&gt;="&amp;DATE(YEAR($G190),MONTH($G190),1),$G$5:$G$404,"&lt;="&amp;EOMONTH($G190,0))&gt;SUMIFS('利用者マスタ'!$B$4:$B$60,'利用者マスタ'!$A$4:$A$60,$B190),"⚠支給量超過","")))</f>
        <v/>
      </c>
      <c r="AA190" s="8">
        <f>IF(OR($G190="",$J190="",$Q190="キャンセル"),0,IF(IFERROR(INDEX('M_区分'!$B$4:$B$20,MATCH($C190,'M_区分'!$A$4:$A$20,0)),"○")="○",$J190-$G190+1,0))</f>
        <v/>
      </c>
      <c r="AB190" s="8">
        <f>IF($E190&lt;&gt;"",$E190,$AB189)</f>
        <v/>
      </c>
      <c r="AC190" s="8">
        <f>IF(OR($G190="",$J190=""),"",IF(AND($G190&lt;=EOMONTH('02_カレンダー'!$B$4,0),$J190&gt;='02_カレンダー'!$B$4),$G190*10000+ROW(),""))</f>
        <v/>
      </c>
      <c r="AD190" s="8">
        <f>IF($H190="","",IF(ISNUMBER($H190),IF(AND($H190=INT($H190),$H190&gt;=0,$H190&lt;=24),TEXT(INT($H190),"00")&amp;":00",TEXT($H190,"hh:mm")),$H190))</f>
        <v/>
      </c>
      <c r="AE190" s="8">
        <f>IF($K190="","",IF(ISNUMBER($K190),IF(AND($K190=INT($K190),$K190&gt;=0,$K190&lt;=24),TEXT(INT($K190),"00")&amp;":00",TEXT($K190,"hh:mm")),$K190))</f>
        <v/>
      </c>
      <c r="AF190" s="8">
        <f>IF($G190="",0,$G190)</f>
        <v/>
      </c>
      <c r="AG190" s="8">
        <f>IF($J190="",0,$J190)</f>
        <v/>
      </c>
    </row>
    <row r="191">
      <c r="A191" s="8">
        <f>IF($G191="","","SS-"&amp;TEXT(ROW()-4,"0000"))</f>
        <v/>
      </c>
      <c r="B191" s="9" t="n"/>
      <c r="C191" s="9" t="n"/>
      <c r="D191" s="9" t="n"/>
      <c r="E191" s="10" t="n"/>
      <c r="F191" s="11" t="n"/>
      <c r="G191" s="12">
        <f>IF($F191="","",IF($F191&gt;31,$F191,IF($AB191="","",DATE(YEAR($AB191),MONTH($AB191),$F191))))</f>
        <v/>
      </c>
      <c r="H191" s="9" t="n"/>
      <c r="I191" s="11" t="n"/>
      <c r="J191" s="12">
        <f>IF($I191="","",IF($I191&gt;31,$I191,IF($G191="","",IF(DATE(YEAR($G191),MONTH($G191),$I191)&gt;=$G191,DATE(YEAR($G191),MONTH($G191),$I191),DATE(YEAR($G191),MONTH($G191)+1,$I191)))))</f>
        <v/>
      </c>
      <c r="K191" s="9" t="n"/>
      <c r="L191" s="13" t="n"/>
      <c r="M191" s="13" t="n"/>
      <c r="N191" s="13" t="n"/>
      <c r="O191" s="8">
        <f>IF(OR($G191="",$J191=""),"",$J191-$G191+1)</f>
        <v/>
      </c>
      <c r="P191" s="8">
        <f>IF(OR($G191="",$J191=""),"",$J191-$G191)</f>
        <v/>
      </c>
      <c r="Q191" s="9" t="n"/>
      <c r="R191" s="9" t="n"/>
      <c r="S191" s="9" t="n"/>
      <c r="T191" s="9" t="n"/>
      <c r="U191" s="9" t="n"/>
      <c r="V191" s="9" t="n"/>
      <c r="W191" s="14" t="n"/>
      <c r="X191" s="9" t="n"/>
      <c r="Y191" s="8">
        <f>IF($G191="","",IF($D191="","⚠部屋が未選択",IF(COUNTIF('M_部屋'!$A$4:$A$20,$D191)=0,"⚠部屋が未登録",IF(OR($J191="",$Q191="キャンセル"),"",IF(SUMPRODUCT(($D$5:$D$404=$D191)*($G$5:$G$404&lt;&gt;"")*($J$5:$J$404&lt;&gt;"")*($Q$5:$Q$404&lt;&gt;"キャンセル")*($G$5:$G$404&lt;$J191)*($J$5:$J$404&gt;$G191))&gt;1,"⚠重複","")))))</f>
        <v/>
      </c>
      <c r="Z191" s="8">
        <f>IF(OR($B191="",$G191=""),"",IF(SUMPRODUCT(('利用者マスタ'!$A$4:$A$60=$B191)*('利用者マスタ'!$B$4:$B$60&lt;&gt;""))=0,"",IF(SUMIFS($AA$5:$AA$404,$B$5:$B$404,$B191,$G$5:$G$404,"&gt;="&amp;DATE(YEAR($G191),MONTH($G191),1),$G$5:$G$404,"&lt;="&amp;EOMONTH($G191,0))&gt;SUMIFS('利用者マスタ'!$B$4:$B$60,'利用者マスタ'!$A$4:$A$60,$B191),"⚠支給量超過","")))</f>
        <v/>
      </c>
      <c r="AA191" s="8">
        <f>IF(OR($G191="",$J191="",$Q191="キャンセル"),0,IF(IFERROR(INDEX('M_区分'!$B$4:$B$20,MATCH($C191,'M_区分'!$A$4:$A$20,0)),"○")="○",$J191-$G191+1,0))</f>
        <v/>
      </c>
      <c r="AB191" s="8">
        <f>IF($E191&lt;&gt;"",$E191,$AB190)</f>
        <v/>
      </c>
      <c r="AC191" s="8">
        <f>IF(OR($G191="",$J191=""),"",IF(AND($G191&lt;=EOMONTH('02_カレンダー'!$B$4,0),$J191&gt;='02_カレンダー'!$B$4),$G191*10000+ROW(),""))</f>
        <v/>
      </c>
      <c r="AD191" s="8">
        <f>IF($H191="","",IF(ISNUMBER($H191),IF(AND($H191=INT($H191),$H191&gt;=0,$H191&lt;=24),TEXT(INT($H191),"00")&amp;":00",TEXT($H191,"hh:mm")),$H191))</f>
        <v/>
      </c>
      <c r="AE191" s="8">
        <f>IF($K191="","",IF(ISNUMBER($K191),IF(AND($K191=INT($K191),$K191&gt;=0,$K191&lt;=24),TEXT(INT($K191),"00")&amp;":00",TEXT($K191,"hh:mm")),$K191))</f>
        <v/>
      </c>
      <c r="AF191" s="8">
        <f>IF($G191="",0,$G191)</f>
        <v/>
      </c>
      <c r="AG191" s="8">
        <f>IF($J191="",0,$J191)</f>
        <v/>
      </c>
    </row>
    <row r="192">
      <c r="A192" s="8">
        <f>IF($G192="","","SS-"&amp;TEXT(ROW()-4,"0000"))</f>
        <v/>
      </c>
      <c r="B192" s="9" t="n"/>
      <c r="C192" s="9" t="n"/>
      <c r="D192" s="9" t="n"/>
      <c r="E192" s="10" t="n"/>
      <c r="F192" s="11" t="n"/>
      <c r="G192" s="12">
        <f>IF($F192="","",IF($F192&gt;31,$F192,IF($AB192="","",DATE(YEAR($AB192),MONTH($AB192),$F192))))</f>
        <v/>
      </c>
      <c r="H192" s="9" t="n"/>
      <c r="I192" s="11" t="n"/>
      <c r="J192" s="12">
        <f>IF($I192="","",IF($I192&gt;31,$I192,IF($G192="","",IF(DATE(YEAR($G192),MONTH($G192),$I192)&gt;=$G192,DATE(YEAR($G192),MONTH($G192),$I192),DATE(YEAR($G192),MONTH($G192)+1,$I192)))))</f>
        <v/>
      </c>
      <c r="K192" s="9" t="n"/>
      <c r="L192" s="13" t="n"/>
      <c r="M192" s="13" t="n"/>
      <c r="N192" s="13" t="n"/>
      <c r="O192" s="8">
        <f>IF(OR($G192="",$J192=""),"",$J192-$G192+1)</f>
        <v/>
      </c>
      <c r="P192" s="8">
        <f>IF(OR($G192="",$J192=""),"",$J192-$G192)</f>
        <v/>
      </c>
      <c r="Q192" s="9" t="n"/>
      <c r="R192" s="9" t="n"/>
      <c r="S192" s="9" t="n"/>
      <c r="T192" s="9" t="n"/>
      <c r="U192" s="9" t="n"/>
      <c r="V192" s="9" t="n"/>
      <c r="W192" s="14" t="n"/>
      <c r="X192" s="9" t="n"/>
      <c r="Y192" s="8">
        <f>IF($G192="","",IF($D192="","⚠部屋が未選択",IF(COUNTIF('M_部屋'!$A$4:$A$20,$D192)=0,"⚠部屋が未登録",IF(OR($J192="",$Q192="キャンセル"),"",IF(SUMPRODUCT(($D$5:$D$404=$D192)*($G$5:$G$404&lt;&gt;"")*($J$5:$J$404&lt;&gt;"")*($Q$5:$Q$404&lt;&gt;"キャンセル")*($G$5:$G$404&lt;$J192)*($J$5:$J$404&gt;$G192))&gt;1,"⚠重複","")))))</f>
        <v/>
      </c>
      <c r="Z192" s="8">
        <f>IF(OR($B192="",$G192=""),"",IF(SUMPRODUCT(('利用者マスタ'!$A$4:$A$60=$B192)*('利用者マスタ'!$B$4:$B$60&lt;&gt;""))=0,"",IF(SUMIFS($AA$5:$AA$404,$B$5:$B$404,$B192,$G$5:$G$404,"&gt;="&amp;DATE(YEAR($G192),MONTH($G192),1),$G$5:$G$404,"&lt;="&amp;EOMONTH($G192,0))&gt;SUMIFS('利用者マスタ'!$B$4:$B$60,'利用者マスタ'!$A$4:$A$60,$B192),"⚠支給量超過","")))</f>
        <v/>
      </c>
      <c r="AA192" s="8">
        <f>IF(OR($G192="",$J192="",$Q192="キャンセル"),0,IF(IFERROR(INDEX('M_区分'!$B$4:$B$20,MATCH($C192,'M_区分'!$A$4:$A$20,0)),"○")="○",$J192-$G192+1,0))</f>
        <v/>
      </c>
      <c r="AB192" s="8">
        <f>IF($E192&lt;&gt;"",$E192,$AB191)</f>
        <v/>
      </c>
      <c r="AC192" s="8">
        <f>IF(OR($G192="",$J192=""),"",IF(AND($G192&lt;=EOMONTH('02_カレンダー'!$B$4,0),$J192&gt;='02_カレンダー'!$B$4),$G192*10000+ROW(),""))</f>
        <v/>
      </c>
      <c r="AD192" s="8">
        <f>IF($H192="","",IF(ISNUMBER($H192),IF(AND($H192=INT($H192),$H192&gt;=0,$H192&lt;=24),TEXT(INT($H192),"00")&amp;":00",TEXT($H192,"hh:mm")),$H192))</f>
        <v/>
      </c>
      <c r="AE192" s="8">
        <f>IF($K192="","",IF(ISNUMBER($K192),IF(AND($K192=INT($K192),$K192&gt;=0,$K192&lt;=24),TEXT(INT($K192),"00")&amp;":00",TEXT($K192,"hh:mm")),$K192))</f>
        <v/>
      </c>
      <c r="AF192" s="8">
        <f>IF($G192="",0,$G192)</f>
        <v/>
      </c>
      <c r="AG192" s="8">
        <f>IF($J192="",0,$J192)</f>
        <v/>
      </c>
    </row>
    <row r="193">
      <c r="A193" s="8">
        <f>IF($G193="","","SS-"&amp;TEXT(ROW()-4,"0000"))</f>
        <v/>
      </c>
      <c r="B193" s="9" t="n"/>
      <c r="C193" s="9" t="n"/>
      <c r="D193" s="9" t="n"/>
      <c r="E193" s="10" t="n"/>
      <c r="F193" s="11" t="n"/>
      <c r="G193" s="12">
        <f>IF($F193="","",IF($F193&gt;31,$F193,IF($AB193="","",DATE(YEAR($AB193),MONTH($AB193),$F193))))</f>
        <v/>
      </c>
      <c r="H193" s="9" t="n"/>
      <c r="I193" s="11" t="n"/>
      <c r="J193" s="12">
        <f>IF($I193="","",IF($I193&gt;31,$I193,IF($G193="","",IF(DATE(YEAR($G193),MONTH($G193),$I193)&gt;=$G193,DATE(YEAR($G193),MONTH($G193),$I193),DATE(YEAR($G193),MONTH($G193)+1,$I193)))))</f>
        <v/>
      </c>
      <c r="K193" s="9" t="n"/>
      <c r="L193" s="13" t="n"/>
      <c r="M193" s="13" t="n"/>
      <c r="N193" s="13" t="n"/>
      <c r="O193" s="8">
        <f>IF(OR($G193="",$J193=""),"",$J193-$G193+1)</f>
        <v/>
      </c>
      <c r="P193" s="8">
        <f>IF(OR($G193="",$J193=""),"",$J193-$G193)</f>
        <v/>
      </c>
      <c r="Q193" s="9" t="n"/>
      <c r="R193" s="9" t="n"/>
      <c r="S193" s="9" t="n"/>
      <c r="T193" s="9" t="n"/>
      <c r="U193" s="9" t="n"/>
      <c r="V193" s="9" t="n"/>
      <c r="W193" s="14" t="n"/>
      <c r="X193" s="9" t="n"/>
      <c r="Y193" s="8">
        <f>IF($G193="","",IF($D193="","⚠部屋が未選択",IF(COUNTIF('M_部屋'!$A$4:$A$20,$D193)=0,"⚠部屋が未登録",IF(OR($J193="",$Q193="キャンセル"),"",IF(SUMPRODUCT(($D$5:$D$404=$D193)*($G$5:$G$404&lt;&gt;"")*($J$5:$J$404&lt;&gt;"")*($Q$5:$Q$404&lt;&gt;"キャンセル")*($G$5:$G$404&lt;$J193)*($J$5:$J$404&gt;$G193))&gt;1,"⚠重複","")))))</f>
        <v/>
      </c>
      <c r="Z193" s="8">
        <f>IF(OR($B193="",$G193=""),"",IF(SUMPRODUCT(('利用者マスタ'!$A$4:$A$60=$B193)*('利用者マスタ'!$B$4:$B$60&lt;&gt;""))=0,"",IF(SUMIFS($AA$5:$AA$404,$B$5:$B$404,$B193,$G$5:$G$404,"&gt;="&amp;DATE(YEAR($G193),MONTH($G193),1),$G$5:$G$404,"&lt;="&amp;EOMONTH($G193,0))&gt;SUMIFS('利用者マスタ'!$B$4:$B$60,'利用者マスタ'!$A$4:$A$60,$B193),"⚠支給量超過","")))</f>
        <v/>
      </c>
      <c r="AA193" s="8">
        <f>IF(OR($G193="",$J193="",$Q193="キャンセル"),0,IF(IFERROR(INDEX('M_区分'!$B$4:$B$20,MATCH($C193,'M_区分'!$A$4:$A$20,0)),"○")="○",$J193-$G193+1,0))</f>
        <v/>
      </c>
      <c r="AB193" s="8">
        <f>IF($E193&lt;&gt;"",$E193,$AB192)</f>
        <v/>
      </c>
      <c r="AC193" s="8">
        <f>IF(OR($G193="",$J193=""),"",IF(AND($G193&lt;=EOMONTH('02_カレンダー'!$B$4,0),$J193&gt;='02_カレンダー'!$B$4),$G193*10000+ROW(),""))</f>
        <v/>
      </c>
      <c r="AD193" s="8">
        <f>IF($H193="","",IF(ISNUMBER($H193),IF(AND($H193=INT($H193),$H193&gt;=0,$H193&lt;=24),TEXT(INT($H193),"00")&amp;":00",TEXT($H193,"hh:mm")),$H193))</f>
        <v/>
      </c>
      <c r="AE193" s="8">
        <f>IF($K193="","",IF(ISNUMBER($K193),IF(AND($K193=INT($K193),$K193&gt;=0,$K193&lt;=24),TEXT(INT($K193),"00")&amp;":00",TEXT($K193,"hh:mm")),$K193))</f>
        <v/>
      </c>
      <c r="AF193" s="8">
        <f>IF($G193="",0,$G193)</f>
        <v/>
      </c>
      <c r="AG193" s="8">
        <f>IF($J193="",0,$J193)</f>
        <v/>
      </c>
    </row>
    <row r="194">
      <c r="A194" s="8">
        <f>IF($G194="","","SS-"&amp;TEXT(ROW()-4,"0000"))</f>
        <v/>
      </c>
      <c r="B194" s="9" t="n"/>
      <c r="C194" s="9" t="n"/>
      <c r="D194" s="9" t="n"/>
      <c r="E194" s="10" t="n"/>
      <c r="F194" s="11" t="n"/>
      <c r="G194" s="12">
        <f>IF($F194="","",IF($F194&gt;31,$F194,IF($AB194="","",DATE(YEAR($AB194),MONTH($AB194),$F194))))</f>
        <v/>
      </c>
      <c r="H194" s="9" t="n"/>
      <c r="I194" s="11" t="n"/>
      <c r="J194" s="12">
        <f>IF($I194="","",IF($I194&gt;31,$I194,IF($G194="","",IF(DATE(YEAR($G194),MONTH($G194),$I194)&gt;=$G194,DATE(YEAR($G194),MONTH($G194),$I194),DATE(YEAR($G194),MONTH($G194)+1,$I194)))))</f>
        <v/>
      </c>
      <c r="K194" s="9" t="n"/>
      <c r="L194" s="13" t="n"/>
      <c r="M194" s="13" t="n"/>
      <c r="N194" s="13" t="n"/>
      <c r="O194" s="8">
        <f>IF(OR($G194="",$J194=""),"",$J194-$G194+1)</f>
        <v/>
      </c>
      <c r="P194" s="8">
        <f>IF(OR($G194="",$J194=""),"",$J194-$G194)</f>
        <v/>
      </c>
      <c r="Q194" s="9" t="n"/>
      <c r="R194" s="9" t="n"/>
      <c r="S194" s="9" t="n"/>
      <c r="T194" s="9" t="n"/>
      <c r="U194" s="9" t="n"/>
      <c r="V194" s="9" t="n"/>
      <c r="W194" s="14" t="n"/>
      <c r="X194" s="9" t="n"/>
      <c r="Y194" s="8">
        <f>IF($G194="","",IF($D194="","⚠部屋が未選択",IF(COUNTIF('M_部屋'!$A$4:$A$20,$D194)=0,"⚠部屋が未登録",IF(OR($J194="",$Q194="キャンセル"),"",IF(SUMPRODUCT(($D$5:$D$404=$D194)*($G$5:$G$404&lt;&gt;"")*($J$5:$J$404&lt;&gt;"")*($Q$5:$Q$404&lt;&gt;"キャンセル")*($G$5:$G$404&lt;$J194)*($J$5:$J$404&gt;$G194))&gt;1,"⚠重複","")))))</f>
        <v/>
      </c>
      <c r="Z194" s="8">
        <f>IF(OR($B194="",$G194=""),"",IF(SUMPRODUCT(('利用者マスタ'!$A$4:$A$60=$B194)*('利用者マスタ'!$B$4:$B$60&lt;&gt;""))=0,"",IF(SUMIFS($AA$5:$AA$404,$B$5:$B$404,$B194,$G$5:$G$404,"&gt;="&amp;DATE(YEAR($G194),MONTH($G194),1),$G$5:$G$404,"&lt;="&amp;EOMONTH($G194,0))&gt;SUMIFS('利用者マスタ'!$B$4:$B$60,'利用者マスタ'!$A$4:$A$60,$B194),"⚠支給量超過","")))</f>
        <v/>
      </c>
      <c r="AA194" s="8">
        <f>IF(OR($G194="",$J194="",$Q194="キャンセル"),0,IF(IFERROR(INDEX('M_区分'!$B$4:$B$20,MATCH($C194,'M_区分'!$A$4:$A$20,0)),"○")="○",$J194-$G194+1,0))</f>
        <v/>
      </c>
      <c r="AB194" s="8">
        <f>IF($E194&lt;&gt;"",$E194,$AB193)</f>
        <v/>
      </c>
      <c r="AC194" s="8">
        <f>IF(OR($G194="",$J194=""),"",IF(AND($G194&lt;=EOMONTH('02_カレンダー'!$B$4,0),$J194&gt;='02_カレンダー'!$B$4),$G194*10000+ROW(),""))</f>
        <v/>
      </c>
      <c r="AD194" s="8">
        <f>IF($H194="","",IF(ISNUMBER($H194),IF(AND($H194=INT($H194),$H194&gt;=0,$H194&lt;=24),TEXT(INT($H194),"00")&amp;":00",TEXT($H194,"hh:mm")),$H194))</f>
        <v/>
      </c>
      <c r="AE194" s="8">
        <f>IF($K194="","",IF(ISNUMBER($K194),IF(AND($K194=INT($K194),$K194&gt;=0,$K194&lt;=24),TEXT(INT($K194),"00")&amp;":00",TEXT($K194,"hh:mm")),$K194))</f>
        <v/>
      </c>
      <c r="AF194" s="8">
        <f>IF($G194="",0,$G194)</f>
        <v/>
      </c>
      <c r="AG194" s="8">
        <f>IF($J194="",0,$J194)</f>
        <v/>
      </c>
    </row>
    <row r="195">
      <c r="A195" s="8">
        <f>IF($G195="","","SS-"&amp;TEXT(ROW()-4,"0000"))</f>
        <v/>
      </c>
      <c r="B195" s="9" t="n"/>
      <c r="C195" s="9" t="n"/>
      <c r="D195" s="9" t="n"/>
      <c r="E195" s="10" t="n"/>
      <c r="F195" s="11" t="n"/>
      <c r="G195" s="12">
        <f>IF($F195="","",IF($F195&gt;31,$F195,IF($AB195="","",DATE(YEAR($AB195),MONTH($AB195),$F195))))</f>
        <v/>
      </c>
      <c r="H195" s="9" t="n"/>
      <c r="I195" s="11" t="n"/>
      <c r="J195" s="12">
        <f>IF($I195="","",IF($I195&gt;31,$I195,IF($G195="","",IF(DATE(YEAR($G195),MONTH($G195),$I195)&gt;=$G195,DATE(YEAR($G195),MONTH($G195),$I195),DATE(YEAR($G195),MONTH($G195)+1,$I195)))))</f>
        <v/>
      </c>
      <c r="K195" s="9" t="n"/>
      <c r="L195" s="13" t="n"/>
      <c r="M195" s="13" t="n"/>
      <c r="N195" s="13" t="n"/>
      <c r="O195" s="8">
        <f>IF(OR($G195="",$J195=""),"",$J195-$G195+1)</f>
        <v/>
      </c>
      <c r="P195" s="8">
        <f>IF(OR($G195="",$J195=""),"",$J195-$G195)</f>
        <v/>
      </c>
      <c r="Q195" s="9" t="n"/>
      <c r="R195" s="9" t="n"/>
      <c r="S195" s="9" t="n"/>
      <c r="T195" s="9" t="n"/>
      <c r="U195" s="9" t="n"/>
      <c r="V195" s="9" t="n"/>
      <c r="W195" s="14" t="n"/>
      <c r="X195" s="9" t="n"/>
      <c r="Y195" s="8">
        <f>IF($G195="","",IF($D195="","⚠部屋が未選択",IF(COUNTIF('M_部屋'!$A$4:$A$20,$D195)=0,"⚠部屋が未登録",IF(OR($J195="",$Q195="キャンセル"),"",IF(SUMPRODUCT(($D$5:$D$404=$D195)*($G$5:$G$404&lt;&gt;"")*($J$5:$J$404&lt;&gt;"")*($Q$5:$Q$404&lt;&gt;"キャンセル")*($G$5:$G$404&lt;$J195)*($J$5:$J$404&gt;$G195))&gt;1,"⚠重複","")))))</f>
        <v/>
      </c>
      <c r="Z195" s="8">
        <f>IF(OR($B195="",$G195=""),"",IF(SUMPRODUCT(('利用者マスタ'!$A$4:$A$60=$B195)*('利用者マスタ'!$B$4:$B$60&lt;&gt;""))=0,"",IF(SUMIFS($AA$5:$AA$404,$B$5:$B$404,$B195,$G$5:$G$404,"&gt;="&amp;DATE(YEAR($G195),MONTH($G195),1),$G$5:$G$404,"&lt;="&amp;EOMONTH($G195,0))&gt;SUMIFS('利用者マスタ'!$B$4:$B$60,'利用者マスタ'!$A$4:$A$60,$B195),"⚠支給量超過","")))</f>
        <v/>
      </c>
      <c r="AA195" s="8">
        <f>IF(OR($G195="",$J195="",$Q195="キャンセル"),0,IF(IFERROR(INDEX('M_区分'!$B$4:$B$20,MATCH($C195,'M_区分'!$A$4:$A$20,0)),"○")="○",$J195-$G195+1,0))</f>
        <v/>
      </c>
      <c r="AB195" s="8">
        <f>IF($E195&lt;&gt;"",$E195,$AB194)</f>
        <v/>
      </c>
      <c r="AC195" s="8">
        <f>IF(OR($G195="",$J195=""),"",IF(AND($G195&lt;=EOMONTH('02_カレンダー'!$B$4,0),$J195&gt;='02_カレンダー'!$B$4),$G195*10000+ROW(),""))</f>
        <v/>
      </c>
      <c r="AD195" s="8">
        <f>IF($H195="","",IF(ISNUMBER($H195),IF(AND($H195=INT($H195),$H195&gt;=0,$H195&lt;=24),TEXT(INT($H195),"00")&amp;":00",TEXT($H195,"hh:mm")),$H195))</f>
        <v/>
      </c>
      <c r="AE195" s="8">
        <f>IF($K195="","",IF(ISNUMBER($K195),IF(AND($K195=INT($K195),$K195&gt;=0,$K195&lt;=24),TEXT(INT($K195),"00")&amp;":00",TEXT($K195,"hh:mm")),$K195))</f>
        <v/>
      </c>
      <c r="AF195" s="8">
        <f>IF($G195="",0,$G195)</f>
        <v/>
      </c>
      <c r="AG195" s="8">
        <f>IF($J195="",0,$J195)</f>
        <v/>
      </c>
    </row>
    <row r="196">
      <c r="A196" s="8">
        <f>IF($G196="","","SS-"&amp;TEXT(ROW()-4,"0000"))</f>
        <v/>
      </c>
      <c r="B196" s="9" t="n"/>
      <c r="C196" s="9" t="n"/>
      <c r="D196" s="9" t="n"/>
      <c r="E196" s="10" t="n"/>
      <c r="F196" s="11" t="n"/>
      <c r="G196" s="12">
        <f>IF($F196="","",IF($F196&gt;31,$F196,IF($AB196="","",DATE(YEAR($AB196),MONTH($AB196),$F196))))</f>
        <v/>
      </c>
      <c r="H196" s="9" t="n"/>
      <c r="I196" s="11" t="n"/>
      <c r="J196" s="12">
        <f>IF($I196="","",IF($I196&gt;31,$I196,IF($G196="","",IF(DATE(YEAR($G196),MONTH($G196),$I196)&gt;=$G196,DATE(YEAR($G196),MONTH($G196),$I196),DATE(YEAR($G196),MONTH($G196)+1,$I196)))))</f>
        <v/>
      </c>
      <c r="K196" s="9" t="n"/>
      <c r="L196" s="13" t="n"/>
      <c r="M196" s="13" t="n"/>
      <c r="N196" s="13" t="n"/>
      <c r="O196" s="8">
        <f>IF(OR($G196="",$J196=""),"",$J196-$G196+1)</f>
        <v/>
      </c>
      <c r="P196" s="8">
        <f>IF(OR($G196="",$J196=""),"",$J196-$G196)</f>
        <v/>
      </c>
      <c r="Q196" s="9" t="n"/>
      <c r="R196" s="9" t="n"/>
      <c r="S196" s="9" t="n"/>
      <c r="T196" s="9" t="n"/>
      <c r="U196" s="9" t="n"/>
      <c r="V196" s="9" t="n"/>
      <c r="W196" s="14" t="n"/>
      <c r="X196" s="9" t="n"/>
      <c r="Y196" s="8">
        <f>IF($G196="","",IF($D196="","⚠部屋が未選択",IF(COUNTIF('M_部屋'!$A$4:$A$20,$D196)=0,"⚠部屋が未登録",IF(OR($J196="",$Q196="キャンセル"),"",IF(SUMPRODUCT(($D$5:$D$404=$D196)*($G$5:$G$404&lt;&gt;"")*($J$5:$J$404&lt;&gt;"")*($Q$5:$Q$404&lt;&gt;"キャンセル")*($G$5:$G$404&lt;$J196)*($J$5:$J$404&gt;$G196))&gt;1,"⚠重複","")))))</f>
        <v/>
      </c>
      <c r="Z196" s="8">
        <f>IF(OR($B196="",$G196=""),"",IF(SUMPRODUCT(('利用者マスタ'!$A$4:$A$60=$B196)*('利用者マスタ'!$B$4:$B$60&lt;&gt;""))=0,"",IF(SUMIFS($AA$5:$AA$404,$B$5:$B$404,$B196,$G$5:$G$404,"&gt;="&amp;DATE(YEAR($G196),MONTH($G196),1),$G$5:$G$404,"&lt;="&amp;EOMONTH($G196,0))&gt;SUMIFS('利用者マスタ'!$B$4:$B$60,'利用者マスタ'!$A$4:$A$60,$B196),"⚠支給量超過","")))</f>
        <v/>
      </c>
      <c r="AA196" s="8">
        <f>IF(OR($G196="",$J196="",$Q196="キャンセル"),0,IF(IFERROR(INDEX('M_区分'!$B$4:$B$20,MATCH($C196,'M_区分'!$A$4:$A$20,0)),"○")="○",$J196-$G196+1,0))</f>
        <v/>
      </c>
      <c r="AB196" s="8">
        <f>IF($E196&lt;&gt;"",$E196,$AB195)</f>
        <v/>
      </c>
      <c r="AC196" s="8">
        <f>IF(OR($G196="",$J196=""),"",IF(AND($G196&lt;=EOMONTH('02_カレンダー'!$B$4,0),$J196&gt;='02_カレンダー'!$B$4),$G196*10000+ROW(),""))</f>
        <v/>
      </c>
      <c r="AD196" s="8">
        <f>IF($H196="","",IF(ISNUMBER($H196),IF(AND($H196=INT($H196),$H196&gt;=0,$H196&lt;=24),TEXT(INT($H196),"00")&amp;":00",TEXT($H196,"hh:mm")),$H196))</f>
        <v/>
      </c>
      <c r="AE196" s="8">
        <f>IF($K196="","",IF(ISNUMBER($K196),IF(AND($K196=INT($K196),$K196&gt;=0,$K196&lt;=24),TEXT(INT($K196),"00")&amp;":00",TEXT($K196,"hh:mm")),$K196))</f>
        <v/>
      </c>
      <c r="AF196" s="8">
        <f>IF($G196="",0,$G196)</f>
        <v/>
      </c>
      <c r="AG196" s="8">
        <f>IF($J196="",0,$J196)</f>
        <v/>
      </c>
    </row>
    <row r="197">
      <c r="A197" s="8">
        <f>IF($G197="","","SS-"&amp;TEXT(ROW()-4,"0000"))</f>
        <v/>
      </c>
      <c r="B197" s="9" t="n"/>
      <c r="C197" s="9" t="n"/>
      <c r="D197" s="9" t="n"/>
      <c r="E197" s="10" t="n"/>
      <c r="F197" s="11" t="n"/>
      <c r="G197" s="12">
        <f>IF($F197="","",IF($F197&gt;31,$F197,IF($AB197="","",DATE(YEAR($AB197),MONTH($AB197),$F197))))</f>
        <v/>
      </c>
      <c r="H197" s="9" t="n"/>
      <c r="I197" s="11" t="n"/>
      <c r="J197" s="12">
        <f>IF($I197="","",IF($I197&gt;31,$I197,IF($G197="","",IF(DATE(YEAR($G197),MONTH($G197),$I197)&gt;=$G197,DATE(YEAR($G197),MONTH($G197),$I197),DATE(YEAR($G197),MONTH($G197)+1,$I197)))))</f>
        <v/>
      </c>
      <c r="K197" s="9" t="n"/>
      <c r="L197" s="13" t="n"/>
      <c r="M197" s="13" t="n"/>
      <c r="N197" s="13" t="n"/>
      <c r="O197" s="8">
        <f>IF(OR($G197="",$J197=""),"",$J197-$G197+1)</f>
        <v/>
      </c>
      <c r="P197" s="8">
        <f>IF(OR($G197="",$J197=""),"",$J197-$G197)</f>
        <v/>
      </c>
      <c r="Q197" s="9" t="n"/>
      <c r="R197" s="9" t="n"/>
      <c r="S197" s="9" t="n"/>
      <c r="T197" s="9" t="n"/>
      <c r="U197" s="9" t="n"/>
      <c r="V197" s="9" t="n"/>
      <c r="W197" s="14" t="n"/>
      <c r="X197" s="9" t="n"/>
      <c r="Y197" s="8">
        <f>IF($G197="","",IF($D197="","⚠部屋が未選択",IF(COUNTIF('M_部屋'!$A$4:$A$20,$D197)=0,"⚠部屋が未登録",IF(OR($J197="",$Q197="キャンセル"),"",IF(SUMPRODUCT(($D$5:$D$404=$D197)*($G$5:$G$404&lt;&gt;"")*($J$5:$J$404&lt;&gt;"")*($Q$5:$Q$404&lt;&gt;"キャンセル")*($G$5:$G$404&lt;$J197)*($J$5:$J$404&gt;$G197))&gt;1,"⚠重複","")))))</f>
        <v/>
      </c>
      <c r="Z197" s="8">
        <f>IF(OR($B197="",$G197=""),"",IF(SUMPRODUCT(('利用者マスタ'!$A$4:$A$60=$B197)*('利用者マスタ'!$B$4:$B$60&lt;&gt;""))=0,"",IF(SUMIFS($AA$5:$AA$404,$B$5:$B$404,$B197,$G$5:$G$404,"&gt;="&amp;DATE(YEAR($G197),MONTH($G197),1),$G$5:$G$404,"&lt;="&amp;EOMONTH($G197,0))&gt;SUMIFS('利用者マスタ'!$B$4:$B$60,'利用者マスタ'!$A$4:$A$60,$B197),"⚠支給量超過","")))</f>
        <v/>
      </c>
      <c r="AA197" s="8">
        <f>IF(OR($G197="",$J197="",$Q197="キャンセル"),0,IF(IFERROR(INDEX('M_区分'!$B$4:$B$20,MATCH($C197,'M_区分'!$A$4:$A$20,0)),"○")="○",$J197-$G197+1,0))</f>
        <v/>
      </c>
      <c r="AB197" s="8">
        <f>IF($E197&lt;&gt;"",$E197,$AB196)</f>
        <v/>
      </c>
      <c r="AC197" s="8">
        <f>IF(OR($G197="",$J197=""),"",IF(AND($G197&lt;=EOMONTH('02_カレンダー'!$B$4,0),$J197&gt;='02_カレンダー'!$B$4),$G197*10000+ROW(),""))</f>
        <v/>
      </c>
      <c r="AD197" s="8">
        <f>IF($H197="","",IF(ISNUMBER($H197),IF(AND($H197=INT($H197),$H197&gt;=0,$H197&lt;=24),TEXT(INT($H197),"00")&amp;":00",TEXT($H197,"hh:mm")),$H197))</f>
        <v/>
      </c>
      <c r="AE197" s="8">
        <f>IF($K197="","",IF(ISNUMBER($K197),IF(AND($K197=INT($K197),$K197&gt;=0,$K197&lt;=24),TEXT(INT($K197),"00")&amp;":00",TEXT($K197,"hh:mm")),$K197))</f>
        <v/>
      </c>
      <c r="AF197" s="8">
        <f>IF($G197="",0,$G197)</f>
        <v/>
      </c>
      <c r="AG197" s="8">
        <f>IF($J197="",0,$J197)</f>
        <v/>
      </c>
    </row>
    <row r="198">
      <c r="A198" s="8">
        <f>IF($G198="","","SS-"&amp;TEXT(ROW()-4,"0000"))</f>
        <v/>
      </c>
      <c r="B198" s="9" t="n"/>
      <c r="C198" s="9" t="n"/>
      <c r="D198" s="9" t="n"/>
      <c r="E198" s="10" t="n"/>
      <c r="F198" s="11" t="n"/>
      <c r="G198" s="12">
        <f>IF($F198="","",IF($F198&gt;31,$F198,IF($AB198="","",DATE(YEAR($AB198),MONTH($AB198),$F198))))</f>
        <v/>
      </c>
      <c r="H198" s="9" t="n"/>
      <c r="I198" s="11" t="n"/>
      <c r="J198" s="12">
        <f>IF($I198="","",IF($I198&gt;31,$I198,IF($G198="","",IF(DATE(YEAR($G198),MONTH($G198),$I198)&gt;=$G198,DATE(YEAR($G198),MONTH($G198),$I198),DATE(YEAR($G198),MONTH($G198)+1,$I198)))))</f>
        <v/>
      </c>
      <c r="K198" s="9" t="n"/>
      <c r="L198" s="13" t="n"/>
      <c r="M198" s="13" t="n"/>
      <c r="N198" s="13" t="n"/>
      <c r="O198" s="8">
        <f>IF(OR($G198="",$J198=""),"",$J198-$G198+1)</f>
        <v/>
      </c>
      <c r="P198" s="8">
        <f>IF(OR($G198="",$J198=""),"",$J198-$G198)</f>
        <v/>
      </c>
      <c r="Q198" s="9" t="n"/>
      <c r="R198" s="9" t="n"/>
      <c r="S198" s="9" t="n"/>
      <c r="T198" s="9" t="n"/>
      <c r="U198" s="9" t="n"/>
      <c r="V198" s="9" t="n"/>
      <c r="W198" s="14" t="n"/>
      <c r="X198" s="9" t="n"/>
      <c r="Y198" s="8">
        <f>IF($G198="","",IF($D198="","⚠部屋が未選択",IF(COUNTIF('M_部屋'!$A$4:$A$20,$D198)=0,"⚠部屋が未登録",IF(OR($J198="",$Q198="キャンセル"),"",IF(SUMPRODUCT(($D$5:$D$404=$D198)*($G$5:$G$404&lt;&gt;"")*($J$5:$J$404&lt;&gt;"")*($Q$5:$Q$404&lt;&gt;"キャンセル")*($G$5:$G$404&lt;$J198)*($J$5:$J$404&gt;$G198))&gt;1,"⚠重複","")))))</f>
        <v/>
      </c>
      <c r="Z198" s="8">
        <f>IF(OR($B198="",$G198=""),"",IF(SUMPRODUCT(('利用者マスタ'!$A$4:$A$60=$B198)*('利用者マスタ'!$B$4:$B$60&lt;&gt;""))=0,"",IF(SUMIFS($AA$5:$AA$404,$B$5:$B$404,$B198,$G$5:$G$404,"&gt;="&amp;DATE(YEAR($G198),MONTH($G198),1),$G$5:$G$404,"&lt;="&amp;EOMONTH($G198,0))&gt;SUMIFS('利用者マスタ'!$B$4:$B$60,'利用者マスタ'!$A$4:$A$60,$B198),"⚠支給量超過","")))</f>
        <v/>
      </c>
      <c r="AA198" s="8">
        <f>IF(OR($G198="",$J198="",$Q198="キャンセル"),0,IF(IFERROR(INDEX('M_区分'!$B$4:$B$20,MATCH($C198,'M_区分'!$A$4:$A$20,0)),"○")="○",$J198-$G198+1,0))</f>
        <v/>
      </c>
      <c r="AB198" s="8">
        <f>IF($E198&lt;&gt;"",$E198,$AB197)</f>
        <v/>
      </c>
      <c r="AC198" s="8">
        <f>IF(OR($G198="",$J198=""),"",IF(AND($G198&lt;=EOMONTH('02_カレンダー'!$B$4,0),$J198&gt;='02_カレンダー'!$B$4),$G198*10000+ROW(),""))</f>
        <v/>
      </c>
      <c r="AD198" s="8">
        <f>IF($H198="","",IF(ISNUMBER($H198),IF(AND($H198=INT($H198),$H198&gt;=0,$H198&lt;=24),TEXT(INT($H198),"00")&amp;":00",TEXT($H198,"hh:mm")),$H198))</f>
        <v/>
      </c>
      <c r="AE198" s="8">
        <f>IF($K198="","",IF(ISNUMBER($K198),IF(AND($K198=INT($K198),$K198&gt;=0,$K198&lt;=24),TEXT(INT($K198),"00")&amp;":00",TEXT($K198,"hh:mm")),$K198))</f>
        <v/>
      </c>
      <c r="AF198" s="8">
        <f>IF($G198="",0,$G198)</f>
        <v/>
      </c>
      <c r="AG198" s="8">
        <f>IF($J198="",0,$J198)</f>
        <v/>
      </c>
    </row>
    <row r="199">
      <c r="A199" s="8">
        <f>IF($G199="","","SS-"&amp;TEXT(ROW()-4,"0000"))</f>
        <v/>
      </c>
      <c r="B199" s="9" t="n"/>
      <c r="C199" s="9" t="n"/>
      <c r="D199" s="9" t="n"/>
      <c r="E199" s="10" t="n"/>
      <c r="F199" s="11" t="n"/>
      <c r="G199" s="12">
        <f>IF($F199="","",IF($F199&gt;31,$F199,IF($AB199="","",DATE(YEAR($AB199),MONTH($AB199),$F199))))</f>
        <v/>
      </c>
      <c r="H199" s="9" t="n"/>
      <c r="I199" s="11" t="n"/>
      <c r="J199" s="12">
        <f>IF($I199="","",IF($I199&gt;31,$I199,IF($G199="","",IF(DATE(YEAR($G199),MONTH($G199),$I199)&gt;=$G199,DATE(YEAR($G199),MONTH($G199),$I199),DATE(YEAR($G199),MONTH($G199)+1,$I199)))))</f>
        <v/>
      </c>
      <c r="K199" s="9" t="n"/>
      <c r="L199" s="13" t="n"/>
      <c r="M199" s="13" t="n"/>
      <c r="N199" s="13" t="n"/>
      <c r="O199" s="8">
        <f>IF(OR($G199="",$J199=""),"",$J199-$G199+1)</f>
        <v/>
      </c>
      <c r="P199" s="8">
        <f>IF(OR($G199="",$J199=""),"",$J199-$G199)</f>
        <v/>
      </c>
      <c r="Q199" s="9" t="n"/>
      <c r="R199" s="9" t="n"/>
      <c r="S199" s="9" t="n"/>
      <c r="T199" s="9" t="n"/>
      <c r="U199" s="9" t="n"/>
      <c r="V199" s="9" t="n"/>
      <c r="W199" s="14" t="n"/>
      <c r="X199" s="9" t="n"/>
      <c r="Y199" s="8">
        <f>IF($G199="","",IF($D199="","⚠部屋が未選択",IF(COUNTIF('M_部屋'!$A$4:$A$20,$D199)=0,"⚠部屋が未登録",IF(OR($J199="",$Q199="キャンセル"),"",IF(SUMPRODUCT(($D$5:$D$404=$D199)*($G$5:$G$404&lt;&gt;"")*($J$5:$J$404&lt;&gt;"")*($Q$5:$Q$404&lt;&gt;"キャンセル")*($G$5:$G$404&lt;$J199)*($J$5:$J$404&gt;$G199))&gt;1,"⚠重複","")))))</f>
        <v/>
      </c>
      <c r="Z199" s="8">
        <f>IF(OR($B199="",$G199=""),"",IF(SUMPRODUCT(('利用者マスタ'!$A$4:$A$60=$B199)*('利用者マスタ'!$B$4:$B$60&lt;&gt;""))=0,"",IF(SUMIFS($AA$5:$AA$404,$B$5:$B$404,$B199,$G$5:$G$404,"&gt;="&amp;DATE(YEAR($G199),MONTH($G199),1),$G$5:$G$404,"&lt;="&amp;EOMONTH($G199,0))&gt;SUMIFS('利用者マスタ'!$B$4:$B$60,'利用者マスタ'!$A$4:$A$60,$B199),"⚠支給量超過","")))</f>
        <v/>
      </c>
      <c r="AA199" s="8">
        <f>IF(OR($G199="",$J199="",$Q199="キャンセル"),0,IF(IFERROR(INDEX('M_区分'!$B$4:$B$20,MATCH($C199,'M_区分'!$A$4:$A$20,0)),"○")="○",$J199-$G199+1,0))</f>
        <v/>
      </c>
      <c r="AB199" s="8">
        <f>IF($E199&lt;&gt;"",$E199,$AB198)</f>
        <v/>
      </c>
      <c r="AC199" s="8">
        <f>IF(OR($G199="",$J199=""),"",IF(AND($G199&lt;=EOMONTH('02_カレンダー'!$B$4,0),$J199&gt;='02_カレンダー'!$B$4),$G199*10000+ROW(),""))</f>
        <v/>
      </c>
      <c r="AD199" s="8">
        <f>IF($H199="","",IF(ISNUMBER($H199),IF(AND($H199=INT($H199),$H199&gt;=0,$H199&lt;=24),TEXT(INT($H199),"00")&amp;":00",TEXT($H199,"hh:mm")),$H199))</f>
        <v/>
      </c>
      <c r="AE199" s="8">
        <f>IF($K199="","",IF(ISNUMBER($K199),IF(AND($K199=INT($K199),$K199&gt;=0,$K199&lt;=24),TEXT(INT($K199),"00")&amp;":00",TEXT($K199,"hh:mm")),$K199))</f>
        <v/>
      </c>
      <c r="AF199" s="8">
        <f>IF($G199="",0,$G199)</f>
        <v/>
      </c>
      <c r="AG199" s="8">
        <f>IF($J199="",0,$J199)</f>
        <v/>
      </c>
    </row>
    <row r="200">
      <c r="A200" s="8">
        <f>IF($G200="","","SS-"&amp;TEXT(ROW()-4,"0000"))</f>
        <v/>
      </c>
      <c r="B200" s="9" t="n"/>
      <c r="C200" s="9" t="n"/>
      <c r="D200" s="9" t="n"/>
      <c r="E200" s="10" t="n"/>
      <c r="F200" s="11" t="n"/>
      <c r="G200" s="12">
        <f>IF($F200="","",IF($F200&gt;31,$F200,IF($AB200="","",DATE(YEAR($AB200),MONTH($AB200),$F200))))</f>
        <v/>
      </c>
      <c r="H200" s="9" t="n"/>
      <c r="I200" s="11" t="n"/>
      <c r="J200" s="12">
        <f>IF($I200="","",IF($I200&gt;31,$I200,IF($G200="","",IF(DATE(YEAR($G200),MONTH($G200),$I200)&gt;=$G200,DATE(YEAR($G200),MONTH($G200),$I200),DATE(YEAR($G200),MONTH($G200)+1,$I200)))))</f>
        <v/>
      </c>
      <c r="K200" s="9" t="n"/>
      <c r="L200" s="13" t="n"/>
      <c r="M200" s="13" t="n"/>
      <c r="N200" s="13" t="n"/>
      <c r="O200" s="8">
        <f>IF(OR($G200="",$J200=""),"",$J200-$G200+1)</f>
        <v/>
      </c>
      <c r="P200" s="8">
        <f>IF(OR($G200="",$J200=""),"",$J200-$G200)</f>
        <v/>
      </c>
      <c r="Q200" s="9" t="n"/>
      <c r="R200" s="9" t="n"/>
      <c r="S200" s="9" t="n"/>
      <c r="T200" s="9" t="n"/>
      <c r="U200" s="9" t="n"/>
      <c r="V200" s="9" t="n"/>
      <c r="W200" s="14" t="n"/>
      <c r="X200" s="9" t="n"/>
      <c r="Y200" s="8">
        <f>IF($G200="","",IF($D200="","⚠部屋が未選択",IF(COUNTIF('M_部屋'!$A$4:$A$20,$D200)=0,"⚠部屋が未登録",IF(OR($J200="",$Q200="キャンセル"),"",IF(SUMPRODUCT(($D$5:$D$404=$D200)*($G$5:$G$404&lt;&gt;"")*($J$5:$J$404&lt;&gt;"")*($Q$5:$Q$404&lt;&gt;"キャンセル")*($G$5:$G$404&lt;$J200)*($J$5:$J$404&gt;$G200))&gt;1,"⚠重複","")))))</f>
        <v/>
      </c>
      <c r="Z200" s="8">
        <f>IF(OR($B200="",$G200=""),"",IF(SUMPRODUCT(('利用者マスタ'!$A$4:$A$60=$B200)*('利用者マスタ'!$B$4:$B$60&lt;&gt;""))=0,"",IF(SUMIFS($AA$5:$AA$404,$B$5:$B$404,$B200,$G$5:$G$404,"&gt;="&amp;DATE(YEAR($G200),MONTH($G200),1),$G$5:$G$404,"&lt;="&amp;EOMONTH($G200,0))&gt;SUMIFS('利用者マスタ'!$B$4:$B$60,'利用者マスタ'!$A$4:$A$60,$B200),"⚠支給量超過","")))</f>
        <v/>
      </c>
      <c r="AA200" s="8">
        <f>IF(OR($G200="",$J200="",$Q200="キャンセル"),0,IF(IFERROR(INDEX('M_区分'!$B$4:$B$20,MATCH($C200,'M_区分'!$A$4:$A$20,0)),"○")="○",$J200-$G200+1,0))</f>
        <v/>
      </c>
      <c r="AB200" s="8">
        <f>IF($E200&lt;&gt;"",$E200,$AB199)</f>
        <v/>
      </c>
      <c r="AC200" s="8">
        <f>IF(OR($G200="",$J200=""),"",IF(AND($G200&lt;=EOMONTH('02_カレンダー'!$B$4,0),$J200&gt;='02_カレンダー'!$B$4),$G200*10000+ROW(),""))</f>
        <v/>
      </c>
      <c r="AD200" s="8">
        <f>IF($H200="","",IF(ISNUMBER($H200),IF(AND($H200=INT($H200),$H200&gt;=0,$H200&lt;=24),TEXT(INT($H200),"00")&amp;":00",TEXT($H200,"hh:mm")),$H200))</f>
        <v/>
      </c>
      <c r="AE200" s="8">
        <f>IF($K200="","",IF(ISNUMBER($K200),IF(AND($K200=INT($K200),$K200&gt;=0,$K200&lt;=24),TEXT(INT($K200),"00")&amp;":00",TEXT($K200,"hh:mm")),$K200))</f>
        <v/>
      </c>
      <c r="AF200" s="8">
        <f>IF($G200="",0,$G200)</f>
        <v/>
      </c>
      <c r="AG200" s="8">
        <f>IF($J200="",0,$J200)</f>
        <v/>
      </c>
    </row>
    <row r="201">
      <c r="A201" s="8">
        <f>IF($G201="","","SS-"&amp;TEXT(ROW()-4,"0000"))</f>
        <v/>
      </c>
      <c r="B201" s="9" t="n"/>
      <c r="C201" s="9" t="n"/>
      <c r="D201" s="9" t="n"/>
      <c r="E201" s="10" t="n"/>
      <c r="F201" s="11" t="n"/>
      <c r="G201" s="12">
        <f>IF($F201="","",IF($F201&gt;31,$F201,IF($AB201="","",DATE(YEAR($AB201),MONTH($AB201),$F201))))</f>
        <v/>
      </c>
      <c r="H201" s="9" t="n"/>
      <c r="I201" s="11" t="n"/>
      <c r="J201" s="12">
        <f>IF($I201="","",IF($I201&gt;31,$I201,IF($G201="","",IF(DATE(YEAR($G201),MONTH($G201),$I201)&gt;=$G201,DATE(YEAR($G201),MONTH($G201),$I201),DATE(YEAR($G201),MONTH($G201)+1,$I201)))))</f>
        <v/>
      </c>
      <c r="K201" s="9" t="n"/>
      <c r="L201" s="13" t="n"/>
      <c r="M201" s="13" t="n"/>
      <c r="N201" s="13" t="n"/>
      <c r="O201" s="8">
        <f>IF(OR($G201="",$J201=""),"",$J201-$G201+1)</f>
        <v/>
      </c>
      <c r="P201" s="8">
        <f>IF(OR($G201="",$J201=""),"",$J201-$G201)</f>
        <v/>
      </c>
      <c r="Q201" s="9" t="n"/>
      <c r="R201" s="9" t="n"/>
      <c r="S201" s="9" t="n"/>
      <c r="T201" s="9" t="n"/>
      <c r="U201" s="9" t="n"/>
      <c r="V201" s="9" t="n"/>
      <c r="W201" s="14" t="n"/>
      <c r="X201" s="9" t="n"/>
      <c r="Y201" s="8">
        <f>IF($G201="","",IF($D201="","⚠部屋が未選択",IF(COUNTIF('M_部屋'!$A$4:$A$20,$D201)=0,"⚠部屋が未登録",IF(OR($J201="",$Q201="キャンセル"),"",IF(SUMPRODUCT(($D$5:$D$404=$D201)*($G$5:$G$404&lt;&gt;"")*($J$5:$J$404&lt;&gt;"")*($Q$5:$Q$404&lt;&gt;"キャンセル")*($G$5:$G$404&lt;$J201)*($J$5:$J$404&gt;$G201))&gt;1,"⚠重複","")))))</f>
        <v/>
      </c>
      <c r="Z201" s="8">
        <f>IF(OR($B201="",$G201=""),"",IF(SUMPRODUCT(('利用者マスタ'!$A$4:$A$60=$B201)*('利用者マスタ'!$B$4:$B$60&lt;&gt;""))=0,"",IF(SUMIFS($AA$5:$AA$404,$B$5:$B$404,$B201,$G$5:$G$404,"&gt;="&amp;DATE(YEAR($G201),MONTH($G201),1),$G$5:$G$404,"&lt;="&amp;EOMONTH($G201,0))&gt;SUMIFS('利用者マスタ'!$B$4:$B$60,'利用者マスタ'!$A$4:$A$60,$B201),"⚠支給量超過","")))</f>
        <v/>
      </c>
      <c r="AA201" s="8">
        <f>IF(OR($G201="",$J201="",$Q201="キャンセル"),0,IF(IFERROR(INDEX('M_区分'!$B$4:$B$20,MATCH($C201,'M_区分'!$A$4:$A$20,0)),"○")="○",$J201-$G201+1,0))</f>
        <v/>
      </c>
      <c r="AB201" s="8">
        <f>IF($E201&lt;&gt;"",$E201,$AB200)</f>
        <v/>
      </c>
      <c r="AC201" s="8">
        <f>IF(OR($G201="",$J201=""),"",IF(AND($G201&lt;=EOMONTH('02_カレンダー'!$B$4,0),$J201&gt;='02_カレンダー'!$B$4),$G201*10000+ROW(),""))</f>
        <v/>
      </c>
      <c r="AD201" s="8">
        <f>IF($H201="","",IF(ISNUMBER($H201),IF(AND($H201=INT($H201),$H201&gt;=0,$H201&lt;=24),TEXT(INT($H201),"00")&amp;":00",TEXT($H201,"hh:mm")),$H201))</f>
        <v/>
      </c>
      <c r="AE201" s="8">
        <f>IF($K201="","",IF(ISNUMBER($K201),IF(AND($K201=INT($K201),$K201&gt;=0,$K201&lt;=24),TEXT(INT($K201),"00")&amp;":00",TEXT($K201,"hh:mm")),$K201))</f>
        <v/>
      </c>
      <c r="AF201" s="8">
        <f>IF($G201="",0,$G201)</f>
        <v/>
      </c>
      <c r="AG201" s="8">
        <f>IF($J201="",0,$J201)</f>
        <v/>
      </c>
    </row>
    <row r="202">
      <c r="A202" s="8">
        <f>IF($G202="","","SS-"&amp;TEXT(ROW()-4,"0000"))</f>
        <v/>
      </c>
      <c r="B202" s="9" t="n"/>
      <c r="C202" s="9" t="n"/>
      <c r="D202" s="9" t="n"/>
      <c r="E202" s="10" t="n"/>
      <c r="F202" s="11" t="n"/>
      <c r="G202" s="12">
        <f>IF($F202="","",IF($F202&gt;31,$F202,IF($AB202="","",DATE(YEAR($AB202),MONTH($AB202),$F202))))</f>
        <v/>
      </c>
      <c r="H202" s="9" t="n"/>
      <c r="I202" s="11" t="n"/>
      <c r="J202" s="12">
        <f>IF($I202="","",IF($I202&gt;31,$I202,IF($G202="","",IF(DATE(YEAR($G202),MONTH($G202),$I202)&gt;=$G202,DATE(YEAR($G202),MONTH($G202),$I202),DATE(YEAR($G202),MONTH($G202)+1,$I202)))))</f>
        <v/>
      </c>
      <c r="K202" s="9" t="n"/>
      <c r="L202" s="13" t="n"/>
      <c r="M202" s="13" t="n"/>
      <c r="N202" s="13" t="n"/>
      <c r="O202" s="8">
        <f>IF(OR($G202="",$J202=""),"",$J202-$G202+1)</f>
        <v/>
      </c>
      <c r="P202" s="8">
        <f>IF(OR($G202="",$J202=""),"",$J202-$G202)</f>
        <v/>
      </c>
      <c r="Q202" s="9" t="n"/>
      <c r="R202" s="9" t="n"/>
      <c r="S202" s="9" t="n"/>
      <c r="T202" s="9" t="n"/>
      <c r="U202" s="9" t="n"/>
      <c r="V202" s="9" t="n"/>
      <c r="W202" s="14" t="n"/>
      <c r="X202" s="9" t="n"/>
      <c r="Y202" s="8">
        <f>IF($G202="","",IF($D202="","⚠部屋が未選択",IF(COUNTIF('M_部屋'!$A$4:$A$20,$D202)=0,"⚠部屋が未登録",IF(OR($J202="",$Q202="キャンセル"),"",IF(SUMPRODUCT(($D$5:$D$404=$D202)*($G$5:$G$404&lt;&gt;"")*($J$5:$J$404&lt;&gt;"")*($Q$5:$Q$404&lt;&gt;"キャンセル")*($G$5:$G$404&lt;$J202)*($J$5:$J$404&gt;$G202))&gt;1,"⚠重複","")))))</f>
        <v/>
      </c>
      <c r="Z202" s="8">
        <f>IF(OR($B202="",$G202=""),"",IF(SUMPRODUCT(('利用者マスタ'!$A$4:$A$60=$B202)*('利用者マスタ'!$B$4:$B$60&lt;&gt;""))=0,"",IF(SUMIFS($AA$5:$AA$404,$B$5:$B$404,$B202,$G$5:$G$404,"&gt;="&amp;DATE(YEAR($G202),MONTH($G202),1),$G$5:$G$404,"&lt;="&amp;EOMONTH($G202,0))&gt;SUMIFS('利用者マスタ'!$B$4:$B$60,'利用者マスタ'!$A$4:$A$60,$B202),"⚠支給量超過","")))</f>
        <v/>
      </c>
      <c r="AA202" s="8">
        <f>IF(OR($G202="",$J202="",$Q202="キャンセル"),0,IF(IFERROR(INDEX('M_区分'!$B$4:$B$20,MATCH($C202,'M_区分'!$A$4:$A$20,0)),"○")="○",$J202-$G202+1,0))</f>
        <v/>
      </c>
      <c r="AB202" s="8">
        <f>IF($E202&lt;&gt;"",$E202,$AB201)</f>
        <v/>
      </c>
      <c r="AC202" s="8">
        <f>IF(OR($G202="",$J202=""),"",IF(AND($G202&lt;=EOMONTH('02_カレンダー'!$B$4,0),$J202&gt;='02_カレンダー'!$B$4),$G202*10000+ROW(),""))</f>
        <v/>
      </c>
      <c r="AD202" s="8">
        <f>IF($H202="","",IF(ISNUMBER($H202),IF(AND($H202=INT($H202),$H202&gt;=0,$H202&lt;=24),TEXT(INT($H202),"00")&amp;":00",TEXT($H202,"hh:mm")),$H202))</f>
        <v/>
      </c>
      <c r="AE202" s="8">
        <f>IF($K202="","",IF(ISNUMBER($K202),IF(AND($K202=INT($K202),$K202&gt;=0,$K202&lt;=24),TEXT(INT($K202),"00")&amp;":00",TEXT($K202,"hh:mm")),$K202))</f>
        <v/>
      </c>
      <c r="AF202" s="8">
        <f>IF($G202="",0,$G202)</f>
        <v/>
      </c>
      <c r="AG202" s="8">
        <f>IF($J202="",0,$J202)</f>
        <v/>
      </c>
    </row>
    <row r="203">
      <c r="A203" s="8">
        <f>IF($G203="","","SS-"&amp;TEXT(ROW()-4,"0000"))</f>
        <v/>
      </c>
      <c r="B203" s="9" t="n"/>
      <c r="C203" s="9" t="n"/>
      <c r="D203" s="9" t="n"/>
      <c r="E203" s="10" t="n"/>
      <c r="F203" s="11" t="n"/>
      <c r="G203" s="12">
        <f>IF($F203="","",IF($F203&gt;31,$F203,IF($AB203="","",DATE(YEAR($AB203),MONTH($AB203),$F203))))</f>
        <v/>
      </c>
      <c r="H203" s="9" t="n"/>
      <c r="I203" s="11" t="n"/>
      <c r="J203" s="12">
        <f>IF($I203="","",IF($I203&gt;31,$I203,IF($G203="","",IF(DATE(YEAR($G203),MONTH($G203),$I203)&gt;=$G203,DATE(YEAR($G203),MONTH($G203),$I203),DATE(YEAR($G203),MONTH($G203)+1,$I203)))))</f>
        <v/>
      </c>
      <c r="K203" s="9" t="n"/>
      <c r="L203" s="13" t="n"/>
      <c r="M203" s="13" t="n"/>
      <c r="N203" s="13" t="n"/>
      <c r="O203" s="8">
        <f>IF(OR($G203="",$J203=""),"",$J203-$G203+1)</f>
        <v/>
      </c>
      <c r="P203" s="8">
        <f>IF(OR($G203="",$J203=""),"",$J203-$G203)</f>
        <v/>
      </c>
      <c r="Q203" s="9" t="n"/>
      <c r="R203" s="9" t="n"/>
      <c r="S203" s="9" t="n"/>
      <c r="T203" s="9" t="n"/>
      <c r="U203" s="9" t="n"/>
      <c r="V203" s="9" t="n"/>
      <c r="W203" s="14" t="n"/>
      <c r="X203" s="9" t="n"/>
      <c r="Y203" s="8">
        <f>IF($G203="","",IF($D203="","⚠部屋が未選択",IF(COUNTIF('M_部屋'!$A$4:$A$20,$D203)=0,"⚠部屋が未登録",IF(OR($J203="",$Q203="キャンセル"),"",IF(SUMPRODUCT(($D$5:$D$404=$D203)*($G$5:$G$404&lt;&gt;"")*($J$5:$J$404&lt;&gt;"")*($Q$5:$Q$404&lt;&gt;"キャンセル")*($G$5:$G$404&lt;$J203)*($J$5:$J$404&gt;$G203))&gt;1,"⚠重複","")))))</f>
        <v/>
      </c>
      <c r="Z203" s="8">
        <f>IF(OR($B203="",$G203=""),"",IF(SUMPRODUCT(('利用者マスタ'!$A$4:$A$60=$B203)*('利用者マスタ'!$B$4:$B$60&lt;&gt;""))=0,"",IF(SUMIFS($AA$5:$AA$404,$B$5:$B$404,$B203,$G$5:$G$404,"&gt;="&amp;DATE(YEAR($G203),MONTH($G203),1),$G$5:$G$404,"&lt;="&amp;EOMONTH($G203,0))&gt;SUMIFS('利用者マスタ'!$B$4:$B$60,'利用者マスタ'!$A$4:$A$60,$B203),"⚠支給量超過","")))</f>
        <v/>
      </c>
      <c r="AA203" s="8">
        <f>IF(OR($G203="",$J203="",$Q203="キャンセル"),0,IF(IFERROR(INDEX('M_区分'!$B$4:$B$20,MATCH($C203,'M_区分'!$A$4:$A$20,0)),"○")="○",$J203-$G203+1,0))</f>
        <v/>
      </c>
      <c r="AB203" s="8">
        <f>IF($E203&lt;&gt;"",$E203,$AB202)</f>
        <v/>
      </c>
      <c r="AC203" s="8">
        <f>IF(OR($G203="",$J203=""),"",IF(AND($G203&lt;=EOMONTH('02_カレンダー'!$B$4,0),$J203&gt;='02_カレンダー'!$B$4),$G203*10000+ROW(),""))</f>
        <v/>
      </c>
      <c r="AD203" s="8">
        <f>IF($H203="","",IF(ISNUMBER($H203),IF(AND($H203=INT($H203),$H203&gt;=0,$H203&lt;=24),TEXT(INT($H203),"00")&amp;":00",TEXT($H203,"hh:mm")),$H203))</f>
        <v/>
      </c>
      <c r="AE203" s="8">
        <f>IF($K203="","",IF(ISNUMBER($K203),IF(AND($K203=INT($K203),$K203&gt;=0,$K203&lt;=24),TEXT(INT($K203),"00")&amp;":00",TEXT($K203,"hh:mm")),$K203))</f>
        <v/>
      </c>
      <c r="AF203" s="8">
        <f>IF($G203="",0,$G203)</f>
        <v/>
      </c>
      <c r="AG203" s="8">
        <f>IF($J203="",0,$J203)</f>
        <v/>
      </c>
    </row>
    <row r="204">
      <c r="A204" s="8">
        <f>IF($G204="","","SS-"&amp;TEXT(ROW()-4,"0000"))</f>
        <v/>
      </c>
      <c r="B204" s="9" t="n"/>
      <c r="C204" s="9" t="n"/>
      <c r="D204" s="9" t="n"/>
      <c r="E204" s="10" t="n"/>
      <c r="F204" s="11" t="n"/>
      <c r="G204" s="12">
        <f>IF($F204="","",IF($F204&gt;31,$F204,IF($AB204="","",DATE(YEAR($AB204),MONTH($AB204),$F204))))</f>
        <v/>
      </c>
      <c r="H204" s="9" t="n"/>
      <c r="I204" s="11" t="n"/>
      <c r="J204" s="12">
        <f>IF($I204="","",IF($I204&gt;31,$I204,IF($G204="","",IF(DATE(YEAR($G204),MONTH($G204),$I204)&gt;=$G204,DATE(YEAR($G204),MONTH($G204),$I204),DATE(YEAR($G204),MONTH($G204)+1,$I204)))))</f>
        <v/>
      </c>
      <c r="K204" s="9" t="n"/>
      <c r="L204" s="13" t="n"/>
      <c r="M204" s="13" t="n"/>
      <c r="N204" s="13" t="n"/>
      <c r="O204" s="8">
        <f>IF(OR($G204="",$J204=""),"",$J204-$G204+1)</f>
        <v/>
      </c>
      <c r="P204" s="8">
        <f>IF(OR($G204="",$J204=""),"",$J204-$G204)</f>
        <v/>
      </c>
      <c r="Q204" s="9" t="n"/>
      <c r="R204" s="9" t="n"/>
      <c r="S204" s="9" t="n"/>
      <c r="T204" s="9" t="n"/>
      <c r="U204" s="9" t="n"/>
      <c r="V204" s="9" t="n"/>
      <c r="W204" s="14" t="n"/>
      <c r="X204" s="9" t="n"/>
      <c r="Y204" s="8">
        <f>IF($G204="","",IF($D204="","⚠部屋が未選択",IF(COUNTIF('M_部屋'!$A$4:$A$20,$D204)=0,"⚠部屋が未登録",IF(OR($J204="",$Q204="キャンセル"),"",IF(SUMPRODUCT(($D$5:$D$404=$D204)*($G$5:$G$404&lt;&gt;"")*($J$5:$J$404&lt;&gt;"")*($Q$5:$Q$404&lt;&gt;"キャンセル")*($G$5:$G$404&lt;$J204)*($J$5:$J$404&gt;$G204))&gt;1,"⚠重複","")))))</f>
        <v/>
      </c>
      <c r="Z204" s="8">
        <f>IF(OR($B204="",$G204=""),"",IF(SUMPRODUCT(('利用者マスタ'!$A$4:$A$60=$B204)*('利用者マスタ'!$B$4:$B$60&lt;&gt;""))=0,"",IF(SUMIFS($AA$5:$AA$404,$B$5:$B$404,$B204,$G$5:$G$404,"&gt;="&amp;DATE(YEAR($G204),MONTH($G204),1),$G$5:$G$404,"&lt;="&amp;EOMONTH($G204,0))&gt;SUMIFS('利用者マスタ'!$B$4:$B$60,'利用者マスタ'!$A$4:$A$60,$B204),"⚠支給量超過","")))</f>
        <v/>
      </c>
      <c r="AA204" s="8">
        <f>IF(OR($G204="",$J204="",$Q204="キャンセル"),0,IF(IFERROR(INDEX('M_区分'!$B$4:$B$20,MATCH($C204,'M_区分'!$A$4:$A$20,0)),"○")="○",$J204-$G204+1,0))</f>
        <v/>
      </c>
      <c r="AB204" s="8">
        <f>IF($E204&lt;&gt;"",$E204,$AB203)</f>
        <v/>
      </c>
      <c r="AC204" s="8">
        <f>IF(OR($G204="",$J204=""),"",IF(AND($G204&lt;=EOMONTH('02_カレンダー'!$B$4,0),$J204&gt;='02_カレンダー'!$B$4),$G204*10000+ROW(),""))</f>
        <v/>
      </c>
      <c r="AD204" s="8">
        <f>IF($H204="","",IF(ISNUMBER($H204),IF(AND($H204=INT($H204),$H204&gt;=0,$H204&lt;=24),TEXT(INT($H204),"00")&amp;":00",TEXT($H204,"hh:mm")),$H204))</f>
        <v/>
      </c>
      <c r="AE204" s="8">
        <f>IF($K204="","",IF(ISNUMBER($K204),IF(AND($K204=INT($K204),$K204&gt;=0,$K204&lt;=24),TEXT(INT($K204),"00")&amp;":00",TEXT($K204,"hh:mm")),$K204))</f>
        <v/>
      </c>
      <c r="AF204" s="8">
        <f>IF($G204="",0,$G204)</f>
        <v/>
      </c>
      <c r="AG204" s="8">
        <f>IF($J204="",0,$J204)</f>
        <v/>
      </c>
    </row>
    <row r="205">
      <c r="A205" s="8">
        <f>IF($G205="","","SS-"&amp;TEXT(ROW()-4,"0000"))</f>
        <v/>
      </c>
      <c r="B205" s="9" t="n"/>
      <c r="C205" s="9" t="n"/>
      <c r="D205" s="9" t="n"/>
      <c r="E205" s="10" t="n"/>
      <c r="F205" s="11" t="n"/>
      <c r="G205" s="12">
        <f>IF($F205="","",IF($F205&gt;31,$F205,IF($AB205="","",DATE(YEAR($AB205),MONTH($AB205),$F205))))</f>
        <v/>
      </c>
      <c r="H205" s="9" t="n"/>
      <c r="I205" s="11" t="n"/>
      <c r="J205" s="12">
        <f>IF($I205="","",IF($I205&gt;31,$I205,IF($G205="","",IF(DATE(YEAR($G205),MONTH($G205),$I205)&gt;=$G205,DATE(YEAR($G205),MONTH($G205),$I205),DATE(YEAR($G205),MONTH($G205)+1,$I205)))))</f>
        <v/>
      </c>
      <c r="K205" s="9" t="n"/>
      <c r="L205" s="13" t="n"/>
      <c r="M205" s="13" t="n"/>
      <c r="N205" s="13" t="n"/>
      <c r="O205" s="8">
        <f>IF(OR($G205="",$J205=""),"",$J205-$G205+1)</f>
        <v/>
      </c>
      <c r="P205" s="8">
        <f>IF(OR($G205="",$J205=""),"",$J205-$G205)</f>
        <v/>
      </c>
      <c r="Q205" s="9" t="n"/>
      <c r="R205" s="9" t="n"/>
      <c r="S205" s="9" t="n"/>
      <c r="T205" s="9" t="n"/>
      <c r="U205" s="9" t="n"/>
      <c r="V205" s="9" t="n"/>
      <c r="W205" s="14" t="n"/>
      <c r="X205" s="9" t="n"/>
      <c r="Y205" s="8">
        <f>IF($G205="","",IF($D205="","⚠部屋が未選択",IF(COUNTIF('M_部屋'!$A$4:$A$20,$D205)=0,"⚠部屋が未登録",IF(OR($J205="",$Q205="キャンセル"),"",IF(SUMPRODUCT(($D$5:$D$404=$D205)*($G$5:$G$404&lt;&gt;"")*($J$5:$J$404&lt;&gt;"")*($Q$5:$Q$404&lt;&gt;"キャンセル")*($G$5:$G$404&lt;$J205)*($J$5:$J$404&gt;$G205))&gt;1,"⚠重複","")))))</f>
        <v/>
      </c>
      <c r="Z205" s="8">
        <f>IF(OR($B205="",$G205=""),"",IF(SUMPRODUCT(('利用者マスタ'!$A$4:$A$60=$B205)*('利用者マスタ'!$B$4:$B$60&lt;&gt;""))=0,"",IF(SUMIFS($AA$5:$AA$404,$B$5:$B$404,$B205,$G$5:$G$404,"&gt;="&amp;DATE(YEAR($G205),MONTH($G205),1),$G$5:$G$404,"&lt;="&amp;EOMONTH($G205,0))&gt;SUMIFS('利用者マスタ'!$B$4:$B$60,'利用者マスタ'!$A$4:$A$60,$B205),"⚠支給量超過","")))</f>
        <v/>
      </c>
      <c r="AA205" s="8">
        <f>IF(OR($G205="",$J205="",$Q205="キャンセル"),0,IF(IFERROR(INDEX('M_区分'!$B$4:$B$20,MATCH($C205,'M_区分'!$A$4:$A$20,0)),"○")="○",$J205-$G205+1,0))</f>
        <v/>
      </c>
      <c r="AB205" s="8">
        <f>IF($E205&lt;&gt;"",$E205,$AB204)</f>
        <v/>
      </c>
      <c r="AC205" s="8">
        <f>IF(OR($G205="",$J205=""),"",IF(AND($G205&lt;=EOMONTH('02_カレンダー'!$B$4,0),$J205&gt;='02_カレンダー'!$B$4),$G205*10000+ROW(),""))</f>
        <v/>
      </c>
      <c r="AD205" s="8">
        <f>IF($H205="","",IF(ISNUMBER($H205),IF(AND($H205=INT($H205),$H205&gt;=0,$H205&lt;=24),TEXT(INT($H205),"00")&amp;":00",TEXT($H205,"hh:mm")),$H205))</f>
        <v/>
      </c>
      <c r="AE205" s="8">
        <f>IF($K205="","",IF(ISNUMBER($K205),IF(AND($K205=INT($K205),$K205&gt;=0,$K205&lt;=24),TEXT(INT($K205),"00")&amp;":00",TEXT($K205,"hh:mm")),$K205))</f>
        <v/>
      </c>
      <c r="AF205" s="8">
        <f>IF($G205="",0,$G205)</f>
        <v/>
      </c>
      <c r="AG205" s="8">
        <f>IF($J205="",0,$J205)</f>
        <v/>
      </c>
    </row>
    <row r="206">
      <c r="A206" s="8">
        <f>IF($G206="","","SS-"&amp;TEXT(ROW()-4,"0000"))</f>
        <v/>
      </c>
      <c r="B206" s="9" t="n"/>
      <c r="C206" s="9" t="n"/>
      <c r="D206" s="9" t="n"/>
      <c r="E206" s="10" t="n"/>
      <c r="F206" s="11" t="n"/>
      <c r="G206" s="12">
        <f>IF($F206="","",IF($F206&gt;31,$F206,IF($AB206="","",DATE(YEAR($AB206),MONTH($AB206),$F206))))</f>
        <v/>
      </c>
      <c r="H206" s="9" t="n"/>
      <c r="I206" s="11" t="n"/>
      <c r="J206" s="12">
        <f>IF($I206="","",IF($I206&gt;31,$I206,IF($G206="","",IF(DATE(YEAR($G206),MONTH($G206),$I206)&gt;=$G206,DATE(YEAR($G206),MONTH($G206),$I206),DATE(YEAR($G206),MONTH($G206)+1,$I206)))))</f>
        <v/>
      </c>
      <c r="K206" s="9" t="n"/>
      <c r="L206" s="13" t="n"/>
      <c r="M206" s="13" t="n"/>
      <c r="N206" s="13" t="n"/>
      <c r="O206" s="8">
        <f>IF(OR($G206="",$J206=""),"",$J206-$G206+1)</f>
        <v/>
      </c>
      <c r="P206" s="8">
        <f>IF(OR($G206="",$J206=""),"",$J206-$G206)</f>
        <v/>
      </c>
      <c r="Q206" s="9" t="n"/>
      <c r="R206" s="9" t="n"/>
      <c r="S206" s="9" t="n"/>
      <c r="T206" s="9" t="n"/>
      <c r="U206" s="9" t="n"/>
      <c r="V206" s="9" t="n"/>
      <c r="W206" s="14" t="n"/>
      <c r="X206" s="9" t="n"/>
      <c r="Y206" s="8">
        <f>IF($G206="","",IF($D206="","⚠部屋が未選択",IF(COUNTIF('M_部屋'!$A$4:$A$20,$D206)=0,"⚠部屋が未登録",IF(OR($J206="",$Q206="キャンセル"),"",IF(SUMPRODUCT(($D$5:$D$404=$D206)*($G$5:$G$404&lt;&gt;"")*($J$5:$J$404&lt;&gt;"")*($Q$5:$Q$404&lt;&gt;"キャンセル")*($G$5:$G$404&lt;$J206)*($J$5:$J$404&gt;$G206))&gt;1,"⚠重複","")))))</f>
        <v/>
      </c>
      <c r="Z206" s="8">
        <f>IF(OR($B206="",$G206=""),"",IF(SUMPRODUCT(('利用者マスタ'!$A$4:$A$60=$B206)*('利用者マスタ'!$B$4:$B$60&lt;&gt;""))=0,"",IF(SUMIFS($AA$5:$AA$404,$B$5:$B$404,$B206,$G$5:$G$404,"&gt;="&amp;DATE(YEAR($G206),MONTH($G206),1),$G$5:$G$404,"&lt;="&amp;EOMONTH($G206,0))&gt;SUMIFS('利用者マスタ'!$B$4:$B$60,'利用者マスタ'!$A$4:$A$60,$B206),"⚠支給量超過","")))</f>
        <v/>
      </c>
      <c r="AA206" s="8">
        <f>IF(OR($G206="",$J206="",$Q206="キャンセル"),0,IF(IFERROR(INDEX('M_区分'!$B$4:$B$20,MATCH($C206,'M_区分'!$A$4:$A$20,0)),"○")="○",$J206-$G206+1,0))</f>
        <v/>
      </c>
      <c r="AB206" s="8">
        <f>IF($E206&lt;&gt;"",$E206,$AB205)</f>
        <v/>
      </c>
      <c r="AC206" s="8">
        <f>IF(OR($G206="",$J206=""),"",IF(AND($G206&lt;=EOMONTH('02_カレンダー'!$B$4,0),$J206&gt;='02_カレンダー'!$B$4),$G206*10000+ROW(),""))</f>
        <v/>
      </c>
      <c r="AD206" s="8">
        <f>IF($H206="","",IF(ISNUMBER($H206),IF(AND($H206=INT($H206),$H206&gt;=0,$H206&lt;=24),TEXT(INT($H206),"00")&amp;":00",TEXT($H206,"hh:mm")),$H206))</f>
        <v/>
      </c>
      <c r="AE206" s="8">
        <f>IF($K206="","",IF(ISNUMBER($K206),IF(AND($K206=INT($K206),$K206&gt;=0,$K206&lt;=24),TEXT(INT($K206),"00")&amp;":00",TEXT($K206,"hh:mm")),$K206))</f>
        <v/>
      </c>
      <c r="AF206" s="8">
        <f>IF($G206="",0,$G206)</f>
        <v/>
      </c>
      <c r="AG206" s="8">
        <f>IF($J206="",0,$J206)</f>
        <v/>
      </c>
    </row>
    <row r="207">
      <c r="A207" s="8">
        <f>IF($G207="","","SS-"&amp;TEXT(ROW()-4,"0000"))</f>
        <v/>
      </c>
      <c r="B207" s="9" t="n"/>
      <c r="C207" s="9" t="n"/>
      <c r="D207" s="9" t="n"/>
      <c r="E207" s="10" t="n"/>
      <c r="F207" s="11" t="n"/>
      <c r="G207" s="12">
        <f>IF($F207="","",IF($F207&gt;31,$F207,IF($AB207="","",DATE(YEAR($AB207),MONTH($AB207),$F207))))</f>
        <v/>
      </c>
      <c r="H207" s="9" t="n"/>
      <c r="I207" s="11" t="n"/>
      <c r="J207" s="12">
        <f>IF($I207="","",IF($I207&gt;31,$I207,IF($G207="","",IF(DATE(YEAR($G207),MONTH($G207),$I207)&gt;=$G207,DATE(YEAR($G207),MONTH($G207),$I207),DATE(YEAR($G207),MONTH($G207)+1,$I207)))))</f>
        <v/>
      </c>
      <c r="K207" s="9" t="n"/>
      <c r="L207" s="13" t="n"/>
      <c r="M207" s="13" t="n"/>
      <c r="N207" s="13" t="n"/>
      <c r="O207" s="8">
        <f>IF(OR($G207="",$J207=""),"",$J207-$G207+1)</f>
        <v/>
      </c>
      <c r="P207" s="8">
        <f>IF(OR($G207="",$J207=""),"",$J207-$G207)</f>
        <v/>
      </c>
      <c r="Q207" s="9" t="n"/>
      <c r="R207" s="9" t="n"/>
      <c r="S207" s="9" t="n"/>
      <c r="T207" s="9" t="n"/>
      <c r="U207" s="9" t="n"/>
      <c r="V207" s="9" t="n"/>
      <c r="W207" s="14" t="n"/>
      <c r="X207" s="9" t="n"/>
      <c r="Y207" s="8">
        <f>IF($G207="","",IF($D207="","⚠部屋が未選択",IF(COUNTIF('M_部屋'!$A$4:$A$20,$D207)=0,"⚠部屋が未登録",IF(OR($J207="",$Q207="キャンセル"),"",IF(SUMPRODUCT(($D$5:$D$404=$D207)*($G$5:$G$404&lt;&gt;"")*($J$5:$J$404&lt;&gt;"")*($Q$5:$Q$404&lt;&gt;"キャンセル")*($G$5:$G$404&lt;$J207)*($J$5:$J$404&gt;$G207))&gt;1,"⚠重複","")))))</f>
        <v/>
      </c>
      <c r="Z207" s="8">
        <f>IF(OR($B207="",$G207=""),"",IF(SUMPRODUCT(('利用者マスタ'!$A$4:$A$60=$B207)*('利用者マスタ'!$B$4:$B$60&lt;&gt;""))=0,"",IF(SUMIFS($AA$5:$AA$404,$B$5:$B$404,$B207,$G$5:$G$404,"&gt;="&amp;DATE(YEAR($G207),MONTH($G207),1),$G$5:$G$404,"&lt;="&amp;EOMONTH($G207,0))&gt;SUMIFS('利用者マスタ'!$B$4:$B$60,'利用者マスタ'!$A$4:$A$60,$B207),"⚠支給量超過","")))</f>
        <v/>
      </c>
      <c r="AA207" s="8">
        <f>IF(OR($G207="",$J207="",$Q207="キャンセル"),0,IF(IFERROR(INDEX('M_区分'!$B$4:$B$20,MATCH($C207,'M_区分'!$A$4:$A$20,0)),"○")="○",$J207-$G207+1,0))</f>
        <v/>
      </c>
      <c r="AB207" s="8">
        <f>IF($E207&lt;&gt;"",$E207,$AB206)</f>
        <v/>
      </c>
      <c r="AC207" s="8">
        <f>IF(OR($G207="",$J207=""),"",IF(AND($G207&lt;=EOMONTH('02_カレンダー'!$B$4,0),$J207&gt;='02_カレンダー'!$B$4),$G207*10000+ROW(),""))</f>
        <v/>
      </c>
      <c r="AD207" s="8">
        <f>IF($H207="","",IF(ISNUMBER($H207),IF(AND($H207=INT($H207),$H207&gt;=0,$H207&lt;=24),TEXT(INT($H207),"00")&amp;":00",TEXT($H207,"hh:mm")),$H207))</f>
        <v/>
      </c>
      <c r="AE207" s="8">
        <f>IF($K207="","",IF(ISNUMBER($K207),IF(AND($K207=INT($K207),$K207&gt;=0,$K207&lt;=24),TEXT(INT($K207),"00")&amp;":00",TEXT($K207,"hh:mm")),$K207))</f>
        <v/>
      </c>
      <c r="AF207" s="8">
        <f>IF($G207="",0,$G207)</f>
        <v/>
      </c>
      <c r="AG207" s="8">
        <f>IF($J207="",0,$J207)</f>
        <v/>
      </c>
    </row>
    <row r="208">
      <c r="A208" s="8">
        <f>IF($G208="","","SS-"&amp;TEXT(ROW()-4,"0000"))</f>
        <v/>
      </c>
      <c r="B208" s="9" t="n"/>
      <c r="C208" s="9" t="n"/>
      <c r="D208" s="9" t="n"/>
      <c r="E208" s="10" t="n"/>
      <c r="F208" s="11" t="n"/>
      <c r="G208" s="12">
        <f>IF($F208="","",IF($F208&gt;31,$F208,IF($AB208="","",DATE(YEAR($AB208),MONTH($AB208),$F208))))</f>
        <v/>
      </c>
      <c r="H208" s="9" t="n"/>
      <c r="I208" s="11" t="n"/>
      <c r="J208" s="12">
        <f>IF($I208="","",IF($I208&gt;31,$I208,IF($G208="","",IF(DATE(YEAR($G208),MONTH($G208),$I208)&gt;=$G208,DATE(YEAR($G208),MONTH($G208),$I208),DATE(YEAR($G208),MONTH($G208)+1,$I208)))))</f>
        <v/>
      </c>
      <c r="K208" s="9" t="n"/>
      <c r="L208" s="13" t="n"/>
      <c r="M208" s="13" t="n"/>
      <c r="N208" s="13" t="n"/>
      <c r="O208" s="8">
        <f>IF(OR($G208="",$J208=""),"",$J208-$G208+1)</f>
        <v/>
      </c>
      <c r="P208" s="8">
        <f>IF(OR($G208="",$J208=""),"",$J208-$G208)</f>
        <v/>
      </c>
      <c r="Q208" s="9" t="n"/>
      <c r="R208" s="9" t="n"/>
      <c r="S208" s="9" t="n"/>
      <c r="T208" s="9" t="n"/>
      <c r="U208" s="9" t="n"/>
      <c r="V208" s="9" t="n"/>
      <c r="W208" s="14" t="n"/>
      <c r="X208" s="9" t="n"/>
      <c r="Y208" s="8">
        <f>IF($G208="","",IF($D208="","⚠部屋が未選択",IF(COUNTIF('M_部屋'!$A$4:$A$20,$D208)=0,"⚠部屋が未登録",IF(OR($J208="",$Q208="キャンセル"),"",IF(SUMPRODUCT(($D$5:$D$404=$D208)*($G$5:$G$404&lt;&gt;"")*($J$5:$J$404&lt;&gt;"")*($Q$5:$Q$404&lt;&gt;"キャンセル")*($G$5:$G$404&lt;$J208)*($J$5:$J$404&gt;$G208))&gt;1,"⚠重複","")))))</f>
        <v/>
      </c>
      <c r="Z208" s="8">
        <f>IF(OR($B208="",$G208=""),"",IF(SUMPRODUCT(('利用者マスタ'!$A$4:$A$60=$B208)*('利用者マスタ'!$B$4:$B$60&lt;&gt;""))=0,"",IF(SUMIFS($AA$5:$AA$404,$B$5:$B$404,$B208,$G$5:$G$404,"&gt;="&amp;DATE(YEAR($G208),MONTH($G208),1),$G$5:$G$404,"&lt;="&amp;EOMONTH($G208,0))&gt;SUMIFS('利用者マスタ'!$B$4:$B$60,'利用者マスタ'!$A$4:$A$60,$B208),"⚠支給量超過","")))</f>
        <v/>
      </c>
      <c r="AA208" s="8">
        <f>IF(OR($G208="",$J208="",$Q208="キャンセル"),0,IF(IFERROR(INDEX('M_区分'!$B$4:$B$20,MATCH($C208,'M_区分'!$A$4:$A$20,0)),"○")="○",$J208-$G208+1,0))</f>
        <v/>
      </c>
      <c r="AB208" s="8">
        <f>IF($E208&lt;&gt;"",$E208,$AB207)</f>
        <v/>
      </c>
      <c r="AC208" s="8">
        <f>IF(OR($G208="",$J208=""),"",IF(AND($G208&lt;=EOMONTH('02_カレンダー'!$B$4,0),$J208&gt;='02_カレンダー'!$B$4),$G208*10000+ROW(),""))</f>
        <v/>
      </c>
      <c r="AD208" s="8">
        <f>IF($H208="","",IF(ISNUMBER($H208),IF(AND($H208=INT($H208),$H208&gt;=0,$H208&lt;=24),TEXT(INT($H208),"00")&amp;":00",TEXT($H208,"hh:mm")),$H208))</f>
        <v/>
      </c>
      <c r="AE208" s="8">
        <f>IF($K208="","",IF(ISNUMBER($K208),IF(AND($K208=INT($K208),$K208&gt;=0,$K208&lt;=24),TEXT(INT($K208),"00")&amp;":00",TEXT($K208,"hh:mm")),$K208))</f>
        <v/>
      </c>
      <c r="AF208" s="8">
        <f>IF($G208="",0,$G208)</f>
        <v/>
      </c>
      <c r="AG208" s="8">
        <f>IF($J208="",0,$J208)</f>
        <v/>
      </c>
    </row>
    <row r="209">
      <c r="A209" s="8">
        <f>IF($G209="","","SS-"&amp;TEXT(ROW()-4,"0000"))</f>
        <v/>
      </c>
      <c r="B209" s="9" t="n"/>
      <c r="C209" s="9" t="n"/>
      <c r="D209" s="9" t="n"/>
      <c r="E209" s="10" t="n"/>
      <c r="F209" s="11" t="n"/>
      <c r="G209" s="12">
        <f>IF($F209="","",IF($F209&gt;31,$F209,IF($AB209="","",DATE(YEAR($AB209),MONTH($AB209),$F209))))</f>
        <v/>
      </c>
      <c r="H209" s="9" t="n"/>
      <c r="I209" s="11" t="n"/>
      <c r="J209" s="12">
        <f>IF($I209="","",IF($I209&gt;31,$I209,IF($G209="","",IF(DATE(YEAR($G209),MONTH($G209),$I209)&gt;=$G209,DATE(YEAR($G209),MONTH($G209),$I209),DATE(YEAR($G209),MONTH($G209)+1,$I209)))))</f>
        <v/>
      </c>
      <c r="K209" s="9" t="n"/>
      <c r="L209" s="13" t="n"/>
      <c r="M209" s="13" t="n"/>
      <c r="N209" s="13" t="n"/>
      <c r="O209" s="8">
        <f>IF(OR($G209="",$J209=""),"",$J209-$G209+1)</f>
        <v/>
      </c>
      <c r="P209" s="8">
        <f>IF(OR($G209="",$J209=""),"",$J209-$G209)</f>
        <v/>
      </c>
      <c r="Q209" s="9" t="n"/>
      <c r="R209" s="9" t="n"/>
      <c r="S209" s="9" t="n"/>
      <c r="T209" s="9" t="n"/>
      <c r="U209" s="9" t="n"/>
      <c r="V209" s="9" t="n"/>
      <c r="W209" s="14" t="n"/>
      <c r="X209" s="9" t="n"/>
      <c r="Y209" s="8">
        <f>IF($G209="","",IF($D209="","⚠部屋が未選択",IF(COUNTIF('M_部屋'!$A$4:$A$20,$D209)=0,"⚠部屋が未登録",IF(OR($J209="",$Q209="キャンセル"),"",IF(SUMPRODUCT(($D$5:$D$404=$D209)*($G$5:$G$404&lt;&gt;"")*($J$5:$J$404&lt;&gt;"")*($Q$5:$Q$404&lt;&gt;"キャンセル")*($G$5:$G$404&lt;$J209)*($J$5:$J$404&gt;$G209))&gt;1,"⚠重複","")))))</f>
        <v/>
      </c>
      <c r="Z209" s="8">
        <f>IF(OR($B209="",$G209=""),"",IF(SUMPRODUCT(('利用者マスタ'!$A$4:$A$60=$B209)*('利用者マスタ'!$B$4:$B$60&lt;&gt;""))=0,"",IF(SUMIFS($AA$5:$AA$404,$B$5:$B$404,$B209,$G$5:$G$404,"&gt;="&amp;DATE(YEAR($G209),MONTH($G209),1),$G$5:$G$404,"&lt;="&amp;EOMONTH($G209,0))&gt;SUMIFS('利用者マスタ'!$B$4:$B$60,'利用者マスタ'!$A$4:$A$60,$B209),"⚠支給量超過","")))</f>
        <v/>
      </c>
      <c r="AA209" s="8">
        <f>IF(OR($G209="",$J209="",$Q209="キャンセル"),0,IF(IFERROR(INDEX('M_区分'!$B$4:$B$20,MATCH($C209,'M_区分'!$A$4:$A$20,0)),"○")="○",$J209-$G209+1,0))</f>
        <v/>
      </c>
      <c r="AB209" s="8">
        <f>IF($E209&lt;&gt;"",$E209,$AB208)</f>
        <v/>
      </c>
      <c r="AC209" s="8">
        <f>IF(OR($G209="",$J209=""),"",IF(AND($G209&lt;=EOMONTH('02_カレンダー'!$B$4,0),$J209&gt;='02_カレンダー'!$B$4),$G209*10000+ROW(),""))</f>
        <v/>
      </c>
      <c r="AD209" s="8">
        <f>IF($H209="","",IF(ISNUMBER($H209),IF(AND($H209=INT($H209),$H209&gt;=0,$H209&lt;=24),TEXT(INT($H209),"00")&amp;":00",TEXT($H209,"hh:mm")),$H209))</f>
        <v/>
      </c>
      <c r="AE209" s="8">
        <f>IF($K209="","",IF(ISNUMBER($K209),IF(AND($K209=INT($K209),$K209&gt;=0,$K209&lt;=24),TEXT(INT($K209),"00")&amp;":00",TEXT($K209,"hh:mm")),$K209))</f>
        <v/>
      </c>
      <c r="AF209" s="8">
        <f>IF($G209="",0,$G209)</f>
        <v/>
      </c>
      <c r="AG209" s="8">
        <f>IF($J209="",0,$J209)</f>
        <v/>
      </c>
    </row>
    <row r="210">
      <c r="A210" s="8">
        <f>IF($G210="","","SS-"&amp;TEXT(ROW()-4,"0000"))</f>
        <v/>
      </c>
      <c r="B210" s="9" t="n"/>
      <c r="C210" s="9" t="n"/>
      <c r="D210" s="9" t="n"/>
      <c r="E210" s="10" t="n"/>
      <c r="F210" s="11" t="n"/>
      <c r="G210" s="12">
        <f>IF($F210="","",IF($F210&gt;31,$F210,IF($AB210="","",DATE(YEAR($AB210),MONTH($AB210),$F210))))</f>
        <v/>
      </c>
      <c r="H210" s="9" t="n"/>
      <c r="I210" s="11" t="n"/>
      <c r="J210" s="12">
        <f>IF($I210="","",IF($I210&gt;31,$I210,IF($G210="","",IF(DATE(YEAR($G210),MONTH($G210),$I210)&gt;=$G210,DATE(YEAR($G210),MONTH($G210),$I210),DATE(YEAR($G210),MONTH($G210)+1,$I210)))))</f>
        <v/>
      </c>
      <c r="K210" s="9" t="n"/>
      <c r="L210" s="13" t="n"/>
      <c r="M210" s="13" t="n"/>
      <c r="N210" s="13" t="n"/>
      <c r="O210" s="8">
        <f>IF(OR($G210="",$J210=""),"",$J210-$G210+1)</f>
        <v/>
      </c>
      <c r="P210" s="8">
        <f>IF(OR($G210="",$J210=""),"",$J210-$G210)</f>
        <v/>
      </c>
      <c r="Q210" s="9" t="n"/>
      <c r="R210" s="9" t="n"/>
      <c r="S210" s="9" t="n"/>
      <c r="T210" s="9" t="n"/>
      <c r="U210" s="9" t="n"/>
      <c r="V210" s="9" t="n"/>
      <c r="W210" s="14" t="n"/>
      <c r="X210" s="9" t="n"/>
      <c r="Y210" s="8">
        <f>IF($G210="","",IF($D210="","⚠部屋が未選択",IF(COUNTIF('M_部屋'!$A$4:$A$20,$D210)=0,"⚠部屋が未登録",IF(OR($J210="",$Q210="キャンセル"),"",IF(SUMPRODUCT(($D$5:$D$404=$D210)*($G$5:$G$404&lt;&gt;"")*($J$5:$J$404&lt;&gt;"")*($Q$5:$Q$404&lt;&gt;"キャンセル")*($G$5:$G$404&lt;$J210)*($J$5:$J$404&gt;$G210))&gt;1,"⚠重複","")))))</f>
        <v/>
      </c>
      <c r="Z210" s="8">
        <f>IF(OR($B210="",$G210=""),"",IF(SUMPRODUCT(('利用者マスタ'!$A$4:$A$60=$B210)*('利用者マスタ'!$B$4:$B$60&lt;&gt;""))=0,"",IF(SUMIFS($AA$5:$AA$404,$B$5:$B$404,$B210,$G$5:$G$404,"&gt;="&amp;DATE(YEAR($G210),MONTH($G210),1),$G$5:$G$404,"&lt;="&amp;EOMONTH($G210,0))&gt;SUMIFS('利用者マスタ'!$B$4:$B$60,'利用者マスタ'!$A$4:$A$60,$B210),"⚠支給量超過","")))</f>
        <v/>
      </c>
      <c r="AA210" s="8">
        <f>IF(OR($G210="",$J210="",$Q210="キャンセル"),0,IF(IFERROR(INDEX('M_区分'!$B$4:$B$20,MATCH($C210,'M_区分'!$A$4:$A$20,0)),"○")="○",$J210-$G210+1,0))</f>
        <v/>
      </c>
      <c r="AB210" s="8">
        <f>IF($E210&lt;&gt;"",$E210,$AB209)</f>
        <v/>
      </c>
      <c r="AC210" s="8">
        <f>IF(OR($G210="",$J210=""),"",IF(AND($G210&lt;=EOMONTH('02_カレンダー'!$B$4,0),$J210&gt;='02_カレンダー'!$B$4),$G210*10000+ROW(),""))</f>
        <v/>
      </c>
      <c r="AD210" s="8">
        <f>IF($H210="","",IF(ISNUMBER($H210),IF(AND($H210=INT($H210),$H210&gt;=0,$H210&lt;=24),TEXT(INT($H210),"00")&amp;":00",TEXT($H210,"hh:mm")),$H210))</f>
        <v/>
      </c>
      <c r="AE210" s="8">
        <f>IF($K210="","",IF(ISNUMBER($K210),IF(AND($K210=INT($K210),$K210&gt;=0,$K210&lt;=24),TEXT(INT($K210),"00")&amp;":00",TEXT($K210,"hh:mm")),$K210))</f>
        <v/>
      </c>
      <c r="AF210" s="8">
        <f>IF($G210="",0,$G210)</f>
        <v/>
      </c>
      <c r="AG210" s="8">
        <f>IF($J210="",0,$J210)</f>
        <v/>
      </c>
    </row>
    <row r="211">
      <c r="A211" s="8">
        <f>IF($G211="","","SS-"&amp;TEXT(ROW()-4,"0000"))</f>
        <v/>
      </c>
      <c r="B211" s="9" t="n"/>
      <c r="C211" s="9" t="n"/>
      <c r="D211" s="9" t="n"/>
      <c r="E211" s="10" t="n"/>
      <c r="F211" s="11" t="n"/>
      <c r="G211" s="12">
        <f>IF($F211="","",IF($F211&gt;31,$F211,IF($AB211="","",DATE(YEAR($AB211),MONTH($AB211),$F211))))</f>
        <v/>
      </c>
      <c r="H211" s="9" t="n"/>
      <c r="I211" s="11" t="n"/>
      <c r="J211" s="12">
        <f>IF($I211="","",IF($I211&gt;31,$I211,IF($G211="","",IF(DATE(YEAR($G211),MONTH($G211),$I211)&gt;=$G211,DATE(YEAR($G211),MONTH($G211),$I211),DATE(YEAR($G211),MONTH($G211)+1,$I211)))))</f>
        <v/>
      </c>
      <c r="K211" s="9" t="n"/>
      <c r="L211" s="13" t="n"/>
      <c r="M211" s="13" t="n"/>
      <c r="N211" s="13" t="n"/>
      <c r="O211" s="8">
        <f>IF(OR($G211="",$J211=""),"",$J211-$G211+1)</f>
        <v/>
      </c>
      <c r="P211" s="8">
        <f>IF(OR($G211="",$J211=""),"",$J211-$G211)</f>
        <v/>
      </c>
      <c r="Q211" s="9" t="n"/>
      <c r="R211" s="9" t="n"/>
      <c r="S211" s="9" t="n"/>
      <c r="T211" s="9" t="n"/>
      <c r="U211" s="9" t="n"/>
      <c r="V211" s="9" t="n"/>
      <c r="W211" s="14" t="n"/>
      <c r="X211" s="9" t="n"/>
      <c r="Y211" s="8">
        <f>IF($G211="","",IF($D211="","⚠部屋が未選択",IF(COUNTIF('M_部屋'!$A$4:$A$20,$D211)=0,"⚠部屋が未登録",IF(OR($J211="",$Q211="キャンセル"),"",IF(SUMPRODUCT(($D$5:$D$404=$D211)*($G$5:$G$404&lt;&gt;"")*($J$5:$J$404&lt;&gt;"")*($Q$5:$Q$404&lt;&gt;"キャンセル")*($G$5:$G$404&lt;$J211)*($J$5:$J$404&gt;$G211))&gt;1,"⚠重複","")))))</f>
        <v/>
      </c>
      <c r="Z211" s="8">
        <f>IF(OR($B211="",$G211=""),"",IF(SUMPRODUCT(('利用者マスタ'!$A$4:$A$60=$B211)*('利用者マスタ'!$B$4:$B$60&lt;&gt;""))=0,"",IF(SUMIFS($AA$5:$AA$404,$B$5:$B$404,$B211,$G$5:$G$404,"&gt;="&amp;DATE(YEAR($G211),MONTH($G211),1),$G$5:$G$404,"&lt;="&amp;EOMONTH($G211,0))&gt;SUMIFS('利用者マスタ'!$B$4:$B$60,'利用者マスタ'!$A$4:$A$60,$B211),"⚠支給量超過","")))</f>
        <v/>
      </c>
      <c r="AA211" s="8">
        <f>IF(OR($G211="",$J211="",$Q211="キャンセル"),0,IF(IFERROR(INDEX('M_区分'!$B$4:$B$20,MATCH($C211,'M_区分'!$A$4:$A$20,0)),"○")="○",$J211-$G211+1,0))</f>
        <v/>
      </c>
      <c r="AB211" s="8">
        <f>IF($E211&lt;&gt;"",$E211,$AB210)</f>
        <v/>
      </c>
      <c r="AC211" s="8">
        <f>IF(OR($G211="",$J211=""),"",IF(AND($G211&lt;=EOMONTH('02_カレンダー'!$B$4,0),$J211&gt;='02_カレンダー'!$B$4),$G211*10000+ROW(),""))</f>
        <v/>
      </c>
      <c r="AD211" s="8">
        <f>IF($H211="","",IF(ISNUMBER($H211),IF(AND($H211=INT($H211),$H211&gt;=0,$H211&lt;=24),TEXT(INT($H211),"00")&amp;":00",TEXT($H211,"hh:mm")),$H211))</f>
        <v/>
      </c>
      <c r="AE211" s="8">
        <f>IF($K211="","",IF(ISNUMBER($K211),IF(AND($K211=INT($K211),$K211&gt;=0,$K211&lt;=24),TEXT(INT($K211),"00")&amp;":00",TEXT($K211,"hh:mm")),$K211))</f>
        <v/>
      </c>
      <c r="AF211" s="8">
        <f>IF($G211="",0,$G211)</f>
        <v/>
      </c>
      <c r="AG211" s="8">
        <f>IF($J211="",0,$J211)</f>
        <v/>
      </c>
    </row>
    <row r="212">
      <c r="A212" s="8">
        <f>IF($G212="","","SS-"&amp;TEXT(ROW()-4,"0000"))</f>
        <v/>
      </c>
      <c r="B212" s="9" t="n"/>
      <c r="C212" s="9" t="n"/>
      <c r="D212" s="9" t="n"/>
      <c r="E212" s="10" t="n"/>
      <c r="F212" s="11" t="n"/>
      <c r="G212" s="12">
        <f>IF($F212="","",IF($F212&gt;31,$F212,IF($AB212="","",DATE(YEAR($AB212),MONTH($AB212),$F212))))</f>
        <v/>
      </c>
      <c r="H212" s="9" t="n"/>
      <c r="I212" s="11" t="n"/>
      <c r="J212" s="12">
        <f>IF($I212="","",IF($I212&gt;31,$I212,IF($G212="","",IF(DATE(YEAR($G212),MONTH($G212),$I212)&gt;=$G212,DATE(YEAR($G212),MONTH($G212),$I212),DATE(YEAR($G212),MONTH($G212)+1,$I212)))))</f>
        <v/>
      </c>
      <c r="K212" s="9" t="n"/>
      <c r="L212" s="13" t="n"/>
      <c r="M212" s="13" t="n"/>
      <c r="N212" s="13" t="n"/>
      <c r="O212" s="8">
        <f>IF(OR($G212="",$J212=""),"",$J212-$G212+1)</f>
        <v/>
      </c>
      <c r="P212" s="8">
        <f>IF(OR($G212="",$J212=""),"",$J212-$G212)</f>
        <v/>
      </c>
      <c r="Q212" s="9" t="n"/>
      <c r="R212" s="9" t="n"/>
      <c r="S212" s="9" t="n"/>
      <c r="T212" s="9" t="n"/>
      <c r="U212" s="9" t="n"/>
      <c r="V212" s="9" t="n"/>
      <c r="W212" s="14" t="n"/>
      <c r="X212" s="9" t="n"/>
      <c r="Y212" s="8">
        <f>IF($G212="","",IF($D212="","⚠部屋が未選択",IF(COUNTIF('M_部屋'!$A$4:$A$20,$D212)=0,"⚠部屋が未登録",IF(OR($J212="",$Q212="キャンセル"),"",IF(SUMPRODUCT(($D$5:$D$404=$D212)*($G$5:$G$404&lt;&gt;"")*($J$5:$J$404&lt;&gt;"")*($Q$5:$Q$404&lt;&gt;"キャンセル")*($G$5:$G$404&lt;$J212)*($J$5:$J$404&gt;$G212))&gt;1,"⚠重複","")))))</f>
        <v/>
      </c>
      <c r="Z212" s="8">
        <f>IF(OR($B212="",$G212=""),"",IF(SUMPRODUCT(('利用者マスタ'!$A$4:$A$60=$B212)*('利用者マスタ'!$B$4:$B$60&lt;&gt;""))=0,"",IF(SUMIFS($AA$5:$AA$404,$B$5:$B$404,$B212,$G$5:$G$404,"&gt;="&amp;DATE(YEAR($G212),MONTH($G212),1),$G$5:$G$404,"&lt;="&amp;EOMONTH($G212,0))&gt;SUMIFS('利用者マスタ'!$B$4:$B$60,'利用者マスタ'!$A$4:$A$60,$B212),"⚠支給量超過","")))</f>
        <v/>
      </c>
      <c r="AA212" s="8">
        <f>IF(OR($G212="",$J212="",$Q212="キャンセル"),0,IF(IFERROR(INDEX('M_区分'!$B$4:$B$20,MATCH($C212,'M_区分'!$A$4:$A$20,0)),"○")="○",$J212-$G212+1,0))</f>
        <v/>
      </c>
      <c r="AB212" s="8">
        <f>IF($E212&lt;&gt;"",$E212,$AB211)</f>
        <v/>
      </c>
      <c r="AC212" s="8">
        <f>IF(OR($G212="",$J212=""),"",IF(AND($G212&lt;=EOMONTH('02_カレンダー'!$B$4,0),$J212&gt;='02_カレンダー'!$B$4),$G212*10000+ROW(),""))</f>
        <v/>
      </c>
      <c r="AD212" s="8">
        <f>IF($H212="","",IF(ISNUMBER($H212),IF(AND($H212=INT($H212),$H212&gt;=0,$H212&lt;=24),TEXT(INT($H212),"00")&amp;":00",TEXT($H212,"hh:mm")),$H212))</f>
        <v/>
      </c>
      <c r="AE212" s="8">
        <f>IF($K212="","",IF(ISNUMBER($K212),IF(AND($K212=INT($K212),$K212&gt;=0,$K212&lt;=24),TEXT(INT($K212),"00")&amp;":00",TEXT($K212,"hh:mm")),$K212))</f>
        <v/>
      </c>
      <c r="AF212" s="8">
        <f>IF($G212="",0,$G212)</f>
        <v/>
      </c>
      <c r="AG212" s="8">
        <f>IF($J212="",0,$J212)</f>
        <v/>
      </c>
    </row>
    <row r="213">
      <c r="A213" s="8">
        <f>IF($G213="","","SS-"&amp;TEXT(ROW()-4,"0000"))</f>
        <v/>
      </c>
      <c r="B213" s="9" t="n"/>
      <c r="C213" s="9" t="n"/>
      <c r="D213" s="9" t="n"/>
      <c r="E213" s="10" t="n"/>
      <c r="F213" s="11" t="n"/>
      <c r="G213" s="12">
        <f>IF($F213="","",IF($F213&gt;31,$F213,IF($AB213="","",DATE(YEAR($AB213),MONTH($AB213),$F213))))</f>
        <v/>
      </c>
      <c r="H213" s="9" t="n"/>
      <c r="I213" s="11" t="n"/>
      <c r="J213" s="12">
        <f>IF($I213="","",IF($I213&gt;31,$I213,IF($G213="","",IF(DATE(YEAR($G213),MONTH($G213),$I213)&gt;=$G213,DATE(YEAR($G213),MONTH($G213),$I213),DATE(YEAR($G213),MONTH($G213)+1,$I213)))))</f>
        <v/>
      </c>
      <c r="K213" s="9" t="n"/>
      <c r="L213" s="13" t="n"/>
      <c r="M213" s="13" t="n"/>
      <c r="N213" s="13" t="n"/>
      <c r="O213" s="8">
        <f>IF(OR($G213="",$J213=""),"",$J213-$G213+1)</f>
        <v/>
      </c>
      <c r="P213" s="8">
        <f>IF(OR($G213="",$J213=""),"",$J213-$G213)</f>
        <v/>
      </c>
      <c r="Q213" s="9" t="n"/>
      <c r="R213" s="9" t="n"/>
      <c r="S213" s="9" t="n"/>
      <c r="T213" s="9" t="n"/>
      <c r="U213" s="9" t="n"/>
      <c r="V213" s="9" t="n"/>
      <c r="W213" s="14" t="n"/>
      <c r="X213" s="9" t="n"/>
      <c r="Y213" s="8">
        <f>IF($G213="","",IF($D213="","⚠部屋が未選択",IF(COUNTIF('M_部屋'!$A$4:$A$20,$D213)=0,"⚠部屋が未登録",IF(OR($J213="",$Q213="キャンセル"),"",IF(SUMPRODUCT(($D$5:$D$404=$D213)*($G$5:$G$404&lt;&gt;"")*($J$5:$J$404&lt;&gt;"")*($Q$5:$Q$404&lt;&gt;"キャンセル")*($G$5:$G$404&lt;$J213)*($J$5:$J$404&gt;$G213))&gt;1,"⚠重複","")))))</f>
        <v/>
      </c>
      <c r="Z213" s="8">
        <f>IF(OR($B213="",$G213=""),"",IF(SUMPRODUCT(('利用者マスタ'!$A$4:$A$60=$B213)*('利用者マスタ'!$B$4:$B$60&lt;&gt;""))=0,"",IF(SUMIFS($AA$5:$AA$404,$B$5:$B$404,$B213,$G$5:$G$404,"&gt;="&amp;DATE(YEAR($G213),MONTH($G213),1),$G$5:$G$404,"&lt;="&amp;EOMONTH($G213,0))&gt;SUMIFS('利用者マスタ'!$B$4:$B$60,'利用者マスタ'!$A$4:$A$60,$B213),"⚠支給量超過","")))</f>
        <v/>
      </c>
      <c r="AA213" s="8">
        <f>IF(OR($G213="",$J213="",$Q213="キャンセル"),0,IF(IFERROR(INDEX('M_区分'!$B$4:$B$20,MATCH($C213,'M_区分'!$A$4:$A$20,0)),"○")="○",$J213-$G213+1,0))</f>
        <v/>
      </c>
      <c r="AB213" s="8">
        <f>IF($E213&lt;&gt;"",$E213,$AB212)</f>
        <v/>
      </c>
      <c r="AC213" s="8">
        <f>IF(OR($G213="",$J213=""),"",IF(AND($G213&lt;=EOMONTH('02_カレンダー'!$B$4,0),$J213&gt;='02_カレンダー'!$B$4),$G213*10000+ROW(),""))</f>
        <v/>
      </c>
      <c r="AD213" s="8">
        <f>IF($H213="","",IF(ISNUMBER($H213),IF(AND($H213=INT($H213),$H213&gt;=0,$H213&lt;=24),TEXT(INT($H213),"00")&amp;":00",TEXT($H213,"hh:mm")),$H213))</f>
        <v/>
      </c>
      <c r="AE213" s="8">
        <f>IF($K213="","",IF(ISNUMBER($K213),IF(AND($K213=INT($K213),$K213&gt;=0,$K213&lt;=24),TEXT(INT($K213),"00")&amp;":00",TEXT($K213,"hh:mm")),$K213))</f>
        <v/>
      </c>
      <c r="AF213" s="8">
        <f>IF($G213="",0,$G213)</f>
        <v/>
      </c>
      <c r="AG213" s="8">
        <f>IF($J213="",0,$J213)</f>
        <v/>
      </c>
    </row>
    <row r="214">
      <c r="A214" s="8">
        <f>IF($G214="","","SS-"&amp;TEXT(ROW()-4,"0000"))</f>
        <v/>
      </c>
      <c r="B214" s="9" t="n"/>
      <c r="C214" s="9" t="n"/>
      <c r="D214" s="9" t="n"/>
      <c r="E214" s="10" t="n"/>
      <c r="F214" s="11" t="n"/>
      <c r="G214" s="12">
        <f>IF($F214="","",IF($F214&gt;31,$F214,IF($AB214="","",DATE(YEAR($AB214),MONTH($AB214),$F214))))</f>
        <v/>
      </c>
      <c r="H214" s="9" t="n"/>
      <c r="I214" s="11" t="n"/>
      <c r="J214" s="12">
        <f>IF($I214="","",IF($I214&gt;31,$I214,IF($G214="","",IF(DATE(YEAR($G214),MONTH($G214),$I214)&gt;=$G214,DATE(YEAR($G214),MONTH($G214),$I214),DATE(YEAR($G214),MONTH($G214)+1,$I214)))))</f>
        <v/>
      </c>
      <c r="K214" s="9" t="n"/>
      <c r="L214" s="13" t="n"/>
      <c r="M214" s="13" t="n"/>
      <c r="N214" s="13" t="n"/>
      <c r="O214" s="8">
        <f>IF(OR($G214="",$J214=""),"",$J214-$G214+1)</f>
        <v/>
      </c>
      <c r="P214" s="8">
        <f>IF(OR($G214="",$J214=""),"",$J214-$G214)</f>
        <v/>
      </c>
      <c r="Q214" s="9" t="n"/>
      <c r="R214" s="9" t="n"/>
      <c r="S214" s="9" t="n"/>
      <c r="T214" s="9" t="n"/>
      <c r="U214" s="9" t="n"/>
      <c r="V214" s="9" t="n"/>
      <c r="W214" s="14" t="n"/>
      <c r="X214" s="9" t="n"/>
      <c r="Y214" s="8">
        <f>IF($G214="","",IF($D214="","⚠部屋が未選択",IF(COUNTIF('M_部屋'!$A$4:$A$20,$D214)=0,"⚠部屋が未登録",IF(OR($J214="",$Q214="キャンセル"),"",IF(SUMPRODUCT(($D$5:$D$404=$D214)*($G$5:$G$404&lt;&gt;"")*($J$5:$J$404&lt;&gt;"")*($Q$5:$Q$404&lt;&gt;"キャンセル")*($G$5:$G$404&lt;$J214)*($J$5:$J$404&gt;$G214))&gt;1,"⚠重複","")))))</f>
        <v/>
      </c>
      <c r="Z214" s="8">
        <f>IF(OR($B214="",$G214=""),"",IF(SUMPRODUCT(('利用者マスタ'!$A$4:$A$60=$B214)*('利用者マスタ'!$B$4:$B$60&lt;&gt;""))=0,"",IF(SUMIFS($AA$5:$AA$404,$B$5:$B$404,$B214,$G$5:$G$404,"&gt;="&amp;DATE(YEAR($G214),MONTH($G214),1),$G$5:$G$404,"&lt;="&amp;EOMONTH($G214,0))&gt;SUMIFS('利用者マスタ'!$B$4:$B$60,'利用者マスタ'!$A$4:$A$60,$B214),"⚠支給量超過","")))</f>
        <v/>
      </c>
      <c r="AA214" s="8">
        <f>IF(OR($G214="",$J214="",$Q214="キャンセル"),0,IF(IFERROR(INDEX('M_区分'!$B$4:$B$20,MATCH($C214,'M_区分'!$A$4:$A$20,0)),"○")="○",$J214-$G214+1,0))</f>
        <v/>
      </c>
      <c r="AB214" s="8">
        <f>IF($E214&lt;&gt;"",$E214,$AB213)</f>
        <v/>
      </c>
      <c r="AC214" s="8">
        <f>IF(OR($G214="",$J214=""),"",IF(AND($G214&lt;=EOMONTH('02_カレンダー'!$B$4,0),$J214&gt;='02_カレンダー'!$B$4),$G214*10000+ROW(),""))</f>
        <v/>
      </c>
      <c r="AD214" s="8">
        <f>IF($H214="","",IF(ISNUMBER($H214),IF(AND($H214=INT($H214),$H214&gt;=0,$H214&lt;=24),TEXT(INT($H214),"00")&amp;":00",TEXT($H214,"hh:mm")),$H214))</f>
        <v/>
      </c>
      <c r="AE214" s="8">
        <f>IF($K214="","",IF(ISNUMBER($K214),IF(AND($K214=INT($K214),$K214&gt;=0,$K214&lt;=24),TEXT(INT($K214),"00")&amp;":00",TEXT($K214,"hh:mm")),$K214))</f>
        <v/>
      </c>
      <c r="AF214" s="8">
        <f>IF($G214="",0,$G214)</f>
        <v/>
      </c>
      <c r="AG214" s="8">
        <f>IF($J214="",0,$J214)</f>
        <v/>
      </c>
    </row>
    <row r="215">
      <c r="A215" s="8">
        <f>IF($G215="","","SS-"&amp;TEXT(ROW()-4,"0000"))</f>
        <v/>
      </c>
      <c r="B215" s="9" t="n"/>
      <c r="C215" s="9" t="n"/>
      <c r="D215" s="9" t="n"/>
      <c r="E215" s="10" t="n"/>
      <c r="F215" s="11" t="n"/>
      <c r="G215" s="12">
        <f>IF($F215="","",IF($F215&gt;31,$F215,IF($AB215="","",DATE(YEAR($AB215),MONTH($AB215),$F215))))</f>
        <v/>
      </c>
      <c r="H215" s="9" t="n"/>
      <c r="I215" s="11" t="n"/>
      <c r="J215" s="12">
        <f>IF($I215="","",IF($I215&gt;31,$I215,IF($G215="","",IF(DATE(YEAR($G215),MONTH($G215),$I215)&gt;=$G215,DATE(YEAR($G215),MONTH($G215),$I215),DATE(YEAR($G215),MONTH($G215)+1,$I215)))))</f>
        <v/>
      </c>
      <c r="K215" s="9" t="n"/>
      <c r="L215" s="13" t="n"/>
      <c r="M215" s="13" t="n"/>
      <c r="N215" s="13" t="n"/>
      <c r="O215" s="8">
        <f>IF(OR($G215="",$J215=""),"",$J215-$G215+1)</f>
        <v/>
      </c>
      <c r="P215" s="8">
        <f>IF(OR($G215="",$J215=""),"",$J215-$G215)</f>
        <v/>
      </c>
      <c r="Q215" s="9" t="n"/>
      <c r="R215" s="9" t="n"/>
      <c r="S215" s="9" t="n"/>
      <c r="T215" s="9" t="n"/>
      <c r="U215" s="9" t="n"/>
      <c r="V215" s="9" t="n"/>
      <c r="W215" s="14" t="n"/>
      <c r="X215" s="9" t="n"/>
      <c r="Y215" s="8">
        <f>IF($G215="","",IF($D215="","⚠部屋が未選択",IF(COUNTIF('M_部屋'!$A$4:$A$20,$D215)=0,"⚠部屋が未登録",IF(OR($J215="",$Q215="キャンセル"),"",IF(SUMPRODUCT(($D$5:$D$404=$D215)*($G$5:$G$404&lt;&gt;"")*($J$5:$J$404&lt;&gt;"")*($Q$5:$Q$404&lt;&gt;"キャンセル")*($G$5:$G$404&lt;$J215)*($J$5:$J$404&gt;$G215))&gt;1,"⚠重複","")))))</f>
        <v/>
      </c>
      <c r="Z215" s="8">
        <f>IF(OR($B215="",$G215=""),"",IF(SUMPRODUCT(('利用者マスタ'!$A$4:$A$60=$B215)*('利用者マスタ'!$B$4:$B$60&lt;&gt;""))=0,"",IF(SUMIFS($AA$5:$AA$404,$B$5:$B$404,$B215,$G$5:$G$404,"&gt;="&amp;DATE(YEAR($G215),MONTH($G215),1),$G$5:$G$404,"&lt;="&amp;EOMONTH($G215,0))&gt;SUMIFS('利用者マスタ'!$B$4:$B$60,'利用者マスタ'!$A$4:$A$60,$B215),"⚠支給量超過","")))</f>
        <v/>
      </c>
      <c r="AA215" s="8">
        <f>IF(OR($G215="",$J215="",$Q215="キャンセル"),0,IF(IFERROR(INDEX('M_区分'!$B$4:$B$20,MATCH($C215,'M_区分'!$A$4:$A$20,0)),"○")="○",$J215-$G215+1,0))</f>
        <v/>
      </c>
      <c r="AB215" s="8">
        <f>IF($E215&lt;&gt;"",$E215,$AB214)</f>
        <v/>
      </c>
      <c r="AC215" s="8">
        <f>IF(OR($G215="",$J215=""),"",IF(AND($G215&lt;=EOMONTH('02_カレンダー'!$B$4,0),$J215&gt;='02_カレンダー'!$B$4),$G215*10000+ROW(),""))</f>
        <v/>
      </c>
      <c r="AD215" s="8">
        <f>IF($H215="","",IF(ISNUMBER($H215),IF(AND($H215=INT($H215),$H215&gt;=0,$H215&lt;=24),TEXT(INT($H215),"00")&amp;":00",TEXT($H215,"hh:mm")),$H215))</f>
        <v/>
      </c>
      <c r="AE215" s="8">
        <f>IF($K215="","",IF(ISNUMBER($K215),IF(AND($K215=INT($K215),$K215&gt;=0,$K215&lt;=24),TEXT(INT($K215),"00")&amp;":00",TEXT($K215,"hh:mm")),$K215))</f>
        <v/>
      </c>
      <c r="AF215" s="8">
        <f>IF($G215="",0,$G215)</f>
        <v/>
      </c>
      <c r="AG215" s="8">
        <f>IF($J215="",0,$J215)</f>
        <v/>
      </c>
    </row>
    <row r="216">
      <c r="A216" s="8">
        <f>IF($G216="","","SS-"&amp;TEXT(ROW()-4,"0000"))</f>
        <v/>
      </c>
      <c r="B216" s="9" t="n"/>
      <c r="C216" s="9" t="n"/>
      <c r="D216" s="9" t="n"/>
      <c r="E216" s="10" t="n"/>
      <c r="F216" s="11" t="n"/>
      <c r="G216" s="12">
        <f>IF($F216="","",IF($F216&gt;31,$F216,IF($AB216="","",DATE(YEAR($AB216),MONTH($AB216),$F216))))</f>
        <v/>
      </c>
      <c r="H216" s="9" t="n"/>
      <c r="I216" s="11" t="n"/>
      <c r="J216" s="12">
        <f>IF($I216="","",IF($I216&gt;31,$I216,IF($G216="","",IF(DATE(YEAR($G216),MONTH($G216),$I216)&gt;=$G216,DATE(YEAR($G216),MONTH($G216),$I216),DATE(YEAR($G216),MONTH($G216)+1,$I216)))))</f>
        <v/>
      </c>
      <c r="K216" s="9" t="n"/>
      <c r="L216" s="13" t="n"/>
      <c r="M216" s="13" t="n"/>
      <c r="N216" s="13" t="n"/>
      <c r="O216" s="8">
        <f>IF(OR($G216="",$J216=""),"",$J216-$G216+1)</f>
        <v/>
      </c>
      <c r="P216" s="8">
        <f>IF(OR($G216="",$J216=""),"",$J216-$G216)</f>
        <v/>
      </c>
      <c r="Q216" s="9" t="n"/>
      <c r="R216" s="9" t="n"/>
      <c r="S216" s="9" t="n"/>
      <c r="T216" s="9" t="n"/>
      <c r="U216" s="9" t="n"/>
      <c r="V216" s="9" t="n"/>
      <c r="W216" s="14" t="n"/>
      <c r="X216" s="9" t="n"/>
      <c r="Y216" s="8">
        <f>IF($G216="","",IF($D216="","⚠部屋が未選択",IF(COUNTIF('M_部屋'!$A$4:$A$20,$D216)=0,"⚠部屋が未登録",IF(OR($J216="",$Q216="キャンセル"),"",IF(SUMPRODUCT(($D$5:$D$404=$D216)*($G$5:$G$404&lt;&gt;"")*($J$5:$J$404&lt;&gt;"")*($Q$5:$Q$404&lt;&gt;"キャンセル")*($G$5:$G$404&lt;$J216)*($J$5:$J$404&gt;$G216))&gt;1,"⚠重複","")))))</f>
        <v/>
      </c>
      <c r="Z216" s="8">
        <f>IF(OR($B216="",$G216=""),"",IF(SUMPRODUCT(('利用者マスタ'!$A$4:$A$60=$B216)*('利用者マスタ'!$B$4:$B$60&lt;&gt;""))=0,"",IF(SUMIFS($AA$5:$AA$404,$B$5:$B$404,$B216,$G$5:$G$404,"&gt;="&amp;DATE(YEAR($G216),MONTH($G216),1),$G$5:$G$404,"&lt;="&amp;EOMONTH($G216,0))&gt;SUMIFS('利用者マスタ'!$B$4:$B$60,'利用者マスタ'!$A$4:$A$60,$B216),"⚠支給量超過","")))</f>
        <v/>
      </c>
      <c r="AA216" s="8">
        <f>IF(OR($G216="",$J216="",$Q216="キャンセル"),0,IF(IFERROR(INDEX('M_区分'!$B$4:$B$20,MATCH($C216,'M_区分'!$A$4:$A$20,0)),"○")="○",$J216-$G216+1,0))</f>
        <v/>
      </c>
      <c r="AB216" s="8">
        <f>IF($E216&lt;&gt;"",$E216,$AB215)</f>
        <v/>
      </c>
      <c r="AC216" s="8">
        <f>IF(OR($G216="",$J216=""),"",IF(AND($G216&lt;=EOMONTH('02_カレンダー'!$B$4,0),$J216&gt;='02_カレンダー'!$B$4),$G216*10000+ROW(),""))</f>
        <v/>
      </c>
      <c r="AD216" s="8">
        <f>IF($H216="","",IF(ISNUMBER($H216),IF(AND($H216=INT($H216),$H216&gt;=0,$H216&lt;=24),TEXT(INT($H216),"00")&amp;":00",TEXT($H216,"hh:mm")),$H216))</f>
        <v/>
      </c>
      <c r="AE216" s="8">
        <f>IF($K216="","",IF(ISNUMBER($K216),IF(AND($K216=INT($K216),$K216&gt;=0,$K216&lt;=24),TEXT(INT($K216),"00")&amp;":00",TEXT($K216,"hh:mm")),$K216))</f>
        <v/>
      </c>
      <c r="AF216" s="8">
        <f>IF($G216="",0,$G216)</f>
        <v/>
      </c>
      <c r="AG216" s="8">
        <f>IF($J216="",0,$J216)</f>
        <v/>
      </c>
    </row>
    <row r="217">
      <c r="A217" s="8">
        <f>IF($G217="","","SS-"&amp;TEXT(ROW()-4,"0000"))</f>
        <v/>
      </c>
      <c r="B217" s="9" t="n"/>
      <c r="C217" s="9" t="n"/>
      <c r="D217" s="9" t="n"/>
      <c r="E217" s="10" t="n"/>
      <c r="F217" s="11" t="n"/>
      <c r="G217" s="12">
        <f>IF($F217="","",IF($F217&gt;31,$F217,IF($AB217="","",DATE(YEAR($AB217),MONTH($AB217),$F217))))</f>
        <v/>
      </c>
      <c r="H217" s="9" t="n"/>
      <c r="I217" s="11" t="n"/>
      <c r="J217" s="12">
        <f>IF($I217="","",IF($I217&gt;31,$I217,IF($G217="","",IF(DATE(YEAR($G217),MONTH($G217),$I217)&gt;=$G217,DATE(YEAR($G217),MONTH($G217),$I217),DATE(YEAR($G217),MONTH($G217)+1,$I217)))))</f>
        <v/>
      </c>
      <c r="K217" s="9" t="n"/>
      <c r="L217" s="13" t="n"/>
      <c r="M217" s="13" t="n"/>
      <c r="N217" s="13" t="n"/>
      <c r="O217" s="8">
        <f>IF(OR($G217="",$J217=""),"",$J217-$G217+1)</f>
        <v/>
      </c>
      <c r="P217" s="8">
        <f>IF(OR($G217="",$J217=""),"",$J217-$G217)</f>
        <v/>
      </c>
      <c r="Q217" s="9" t="n"/>
      <c r="R217" s="9" t="n"/>
      <c r="S217" s="9" t="n"/>
      <c r="T217" s="9" t="n"/>
      <c r="U217" s="9" t="n"/>
      <c r="V217" s="9" t="n"/>
      <c r="W217" s="14" t="n"/>
      <c r="X217" s="9" t="n"/>
      <c r="Y217" s="8">
        <f>IF($G217="","",IF($D217="","⚠部屋が未選択",IF(COUNTIF('M_部屋'!$A$4:$A$20,$D217)=0,"⚠部屋が未登録",IF(OR($J217="",$Q217="キャンセル"),"",IF(SUMPRODUCT(($D$5:$D$404=$D217)*($G$5:$G$404&lt;&gt;"")*($J$5:$J$404&lt;&gt;"")*($Q$5:$Q$404&lt;&gt;"キャンセル")*($G$5:$G$404&lt;$J217)*($J$5:$J$404&gt;$G217))&gt;1,"⚠重複","")))))</f>
        <v/>
      </c>
      <c r="Z217" s="8">
        <f>IF(OR($B217="",$G217=""),"",IF(SUMPRODUCT(('利用者マスタ'!$A$4:$A$60=$B217)*('利用者マスタ'!$B$4:$B$60&lt;&gt;""))=0,"",IF(SUMIFS($AA$5:$AA$404,$B$5:$B$404,$B217,$G$5:$G$404,"&gt;="&amp;DATE(YEAR($G217),MONTH($G217),1),$G$5:$G$404,"&lt;="&amp;EOMONTH($G217,0))&gt;SUMIFS('利用者マスタ'!$B$4:$B$60,'利用者マスタ'!$A$4:$A$60,$B217),"⚠支給量超過","")))</f>
        <v/>
      </c>
      <c r="AA217" s="8">
        <f>IF(OR($G217="",$J217="",$Q217="キャンセル"),0,IF(IFERROR(INDEX('M_区分'!$B$4:$B$20,MATCH($C217,'M_区分'!$A$4:$A$20,0)),"○")="○",$J217-$G217+1,0))</f>
        <v/>
      </c>
      <c r="AB217" s="8">
        <f>IF($E217&lt;&gt;"",$E217,$AB216)</f>
        <v/>
      </c>
      <c r="AC217" s="8">
        <f>IF(OR($G217="",$J217=""),"",IF(AND($G217&lt;=EOMONTH('02_カレンダー'!$B$4,0),$J217&gt;='02_カレンダー'!$B$4),$G217*10000+ROW(),""))</f>
        <v/>
      </c>
      <c r="AD217" s="8">
        <f>IF($H217="","",IF(ISNUMBER($H217),IF(AND($H217=INT($H217),$H217&gt;=0,$H217&lt;=24),TEXT(INT($H217),"00")&amp;":00",TEXT($H217,"hh:mm")),$H217))</f>
        <v/>
      </c>
      <c r="AE217" s="8">
        <f>IF($K217="","",IF(ISNUMBER($K217),IF(AND($K217=INT($K217),$K217&gt;=0,$K217&lt;=24),TEXT(INT($K217),"00")&amp;":00",TEXT($K217,"hh:mm")),$K217))</f>
        <v/>
      </c>
      <c r="AF217" s="8">
        <f>IF($G217="",0,$G217)</f>
        <v/>
      </c>
      <c r="AG217" s="8">
        <f>IF($J217="",0,$J217)</f>
        <v/>
      </c>
    </row>
    <row r="218">
      <c r="A218" s="8">
        <f>IF($G218="","","SS-"&amp;TEXT(ROW()-4,"0000"))</f>
        <v/>
      </c>
      <c r="B218" s="9" t="n"/>
      <c r="C218" s="9" t="n"/>
      <c r="D218" s="9" t="n"/>
      <c r="E218" s="10" t="n"/>
      <c r="F218" s="11" t="n"/>
      <c r="G218" s="12">
        <f>IF($F218="","",IF($F218&gt;31,$F218,IF($AB218="","",DATE(YEAR($AB218),MONTH($AB218),$F218))))</f>
        <v/>
      </c>
      <c r="H218" s="9" t="n"/>
      <c r="I218" s="11" t="n"/>
      <c r="J218" s="12">
        <f>IF($I218="","",IF($I218&gt;31,$I218,IF($G218="","",IF(DATE(YEAR($G218),MONTH($G218),$I218)&gt;=$G218,DATE(YEAR($G218),MONTH($G218),$I218),DATE(YEAR($G218),MONTH($G218)+1,$I218)))))</f>
        <v/>
      </c>
      <c r="K218" s="9" t="n"/>
      <c r="L218" s="13" t="n"/>
      <c r="M218" s="13" t="n"/>
      <c r="N218" s="13" t="n"/>
      <c r="O218" s="8">
        <f>IF(OR($G218="",$J218=""),"",$J218-$G218+1)</f>
        <v/>
      </c>
      <c r="P218" s="8">
        <f>IF(OR($G218="",$J218=""),"",$J218-$G218)</f>
        <v/>
      </c>
      <c r="Q218" s="9" t="n"/>
      <c r="R218" s="9" t="n"/>
      <c r="S218" s="9" t="n"/>
      <c r="T218" s="9" t="n"/>
      <c r="U218" s="9" t="n"/>
      <c r="V218" s="9" t="n"/>
      <c r="W218" s="14" t="n"/>
      <c r="X218" s="9" t="n"/>
      <c r="Y218" s="8">
        <f>IF($G218="","",IF($D218="","⚠部屋が未選択",IF(COUNTIF('M_部屋'!$A$4:$A$20,$D218)=0,"⚠部屋が未登録",IF(OR($J218="",$Q218="キャンセル"),"",IF(SUMPRODUCT(($D$5:$D$404=$D218)*($G$5:$G$404&lt;&gt;"")*($J$5:$J$404&lt;&gt;"")*($Q$5:$Q$404&lt;&gt;"キャンセル")*($G$5:$G$404&lt;$J218)*($J$5:$J$404&gt;$G218))&gt;1,"⚠重複","")))))</f>
        <v/>
      </c>
      <c r="Z218" s="8">
        <f>IF(OR($B218="",$G218=""),"",IF(SUMPRODUCT(('利用者マスタ'!$A$4:$A$60=$B218)*('利用者マスタ'!$B$4:$B$60&lt;&gt;""))=0,"",IF(SUMIFS($AA$5:$AA$404,$B$5:$B$404,$B218,$G$5:$G$404,"&gt;="&amp;DATE(YEAR($G218),MONTH($G218),1),$G$5:$G$404,"&lt;="&amp;EOMONTH($G218,0))&gt;SUMIFS('利用者マスタ'!$B$4:$B$60,'利用者マスタ'!$A$4:$A$60,$B218),"⚠支給量超過","")))</f>
        <v/>
      </c>
      <c r="AA218" s="8">
        <f>IF(OR($G218="",$J218="",$Q218="キャンセル"),0,IF(IFERROR(INDEX('M_区分'!$B$4:$B$20,MATCH($C218,'M_区分'!$A$4:$A$20,0)),"○")="○",$J218-$G218+1,0))</f>
        <v/>
      </c>
      <c r="AB218" s="8">
        <f>IF($E218&lt;&gt;"",$E218,$AB217)</f>
        <v/>
      </c>
      <c r="AC218" s="8">
        <f>IF(OR($G218="",$J218=""),"",IF(AND($G218&lt;=EOMONTH('02_カレンダー'!$B$4,0),$J218&gt;='02_カレンダー'!$B$4),$G218*10000+ROW(),""))</f>
        <v/>
      </c>
      <c r="AD218" s="8">
        <f>IF($H218="","",IF(ISNUMBER($H218),IF(AND($H218=INT($H218),$H218&gt;=0,$H218&lt;=24),TEXT(INT($H218),"00")&amp;":00",TEXT($H218,"hh:mm")),$H218))</f>
        <v/>
      </c>
      <c r="AE218" s="8">
        <f>IF($K218="","",IF(ISNUMBER($K218),IF(AND($K218=INT($K218),$K218&gt;=0,$K218&lt;=24),TEXT(INT($K218),"00")&amp;":00",TEXT($K218,"hh:mm")),$K218))</f>
        <v/>
      </c>
      <c r="AF218" s="8">
        <f>IF($G218="",0,$G218)</f>
        <v/>
      </c>
      <c r="AG218" s="8">
        <f>IF($J218="",0,$J218)</f>
        <v/>
      </c>
    </row>
    <row r="219">
      <c r="A219" s="8">
        <f>IF($G219="","","SS-"&amp;TEXT(ROW()-4,"0000"))</f>
        <v/>
      </c>
      <c r="B219" s="9" t="n"/>
      <c r="C219" s="9" t="n"/>
      <c r="D219" s="9" t="n"/>
      <c r="E219" s="10" t="n"/>
      <c r="F219" s="11" t="n"/>
      <c r="G219" s="12">
        <f>IF($F219="","",IF($F219&gt;31,$F219,IF($AB219="","",DATE(YEAR($AB219),MONTH($AB219),$F219))))</f>
        <v/>
      </c>
      <c r="H219" s="9" t="n"/>
      <c r="I219" s="11" t="n"/>
      <c r="J219" s="12">
        <f>IF($I219="","",IF($I219&gt;31,$I219,IF($G219="","",IF(DATE(YEAR($G219),MONTH($G219),$I219)&gt;=$G219,DATE(YEAR($G219),MONTH($G219),$I219),DATE(YEAR($G219),MONTH($G219)+1,$I219)))))</f>
        <v/>
      </c>
      <c r="K219" s="9" t="n"/>
      <c r="L219" s="13" t="n"/>
      <c r="M219" s="13" t="n"/>
      <c r="N219" s="13" t="n"/>
      <c r="O219" s="8">
        <f>IF(OR($G219="",$J219=""),"",$J219-$G219+1)</f>
        <v/>
      </c>
      <c r="P219" s="8">
        <f>IF(OR($G219="",$J219=""),"",$J219-$G219)</f>
        <v/>
      </c>
      <c r="Q219" s="9" t="n"/>
      <c r="R219" s="9" t="n"/>
      <c r="S219" s="9" t="n"/>
      <c r="T219" s="9" t="n"/>
      <c r="U219" s="9" t="n"/>
      <c r="V219" s="9" t="n"/>
      <c r="W219" s="14" t="n"/>
      <c r="X219" s="9" t="n"/>
      <c r="Y219" s="8">
        <f>IF($G219="","",IF($D219="","⚠部屋が未選択",IF(COUNTIF('M_部屋'!$A$4:$A$20,$D219)=0,"⚠部屋が未登録",IF(OR($J219="",$Q219="キャンセル"),"",IF(SUMPRODUCT(($D$5:$D$404=$D219)*($G$5:$G$404&lt;&gt;"")*($J$5:$J$404&lt;&gt;"")*($Q$5:$Q$404&lt;&gt;"キャンセル")*($G$5:$G$404&lt;$J219)*($J$5:$J$404&gt;$G219))&gt;1,"⚠重複","")))))</f>
        <v/>
      </c>
      <c r="Z219" s="8">
        <f>IF(OR($B219="",$G219=""),"",IF(SUMPRODUCT(('利用者マスタ'!$A$4:$A$60=$B219)*('利用者マスタ'!$B$4:$B$60&lt;&gt;""))=0,"",IF(SUMIFS($AA$5:$AA$404,$B$5:$B$404,$B219,$G$5:$G$404,"&gt;="&amp;DATE(YEAR($G219),MONTH($G219),1),$G$5:$G$404,"&lt;="&amp;EOMONTH($G219,0))&gt;SUMIFS('利用者マスタ'!$B$4:$B$60,'利用者マスタ'!$A$4:$A$60,$B219),"⚠支給量超過","")))</f>
        <v/>
      </c>
      <c r="AA219" s="8">
        <f>IF(OR($G219="",$J219="",$Q219="キャンセル"),0,IF(IFERROR(INDEX('M_区分'!$B$4:$B$20,MATCH($C219,'M_区分'!$A$4:$A$20,0)),"○")="○",$J219-$G219+1,0))</f>
        <v/>
      </c>
      <c r="AB219" s="8">
        <f>IF($E219&lt;&gt;"",$E219,$AB218)</f>
        <v/>
      </c>
      <c r="AC219" s="8">
        <f>IF(OR($G219="",$J219=""),"",IF(AND($G219&lt;=EOMONTH('02_カレンダー'!$B$4,0),$J219&gt;='02_カレンダー'!$B$4),$G219*10000+ROW(),""))</f>
        <v/>
      </c>
      <c r="AD219" s="8">
        <f>IF($H219="","",IF(ISNUMBER($H219),IF(AND($H219=INT($H219),$H219&gt;=0,$H219&lt;=24),TEXT(INT($H219),"00")&amp;":00",TEXT($H219,"hh:mm")),$H219))</f>
        <v/>
      </c>
      <c r="AE219" s="8">
        <f>IF($K219="","",IF(ISNUMBER($K219),IF(AND($K219=INT($K219),$K219&gt;=0,$K219&lt;=24),TEXT(INT($K219),"00")&amp;":00",TEXT($K219,"hh:mm")),$K219))</f>
        <v/>
      </c>
      <c r="AF219" s="8">
        <f>IF($G219="",0,$G219)</f>
        <v/>
      </c>
      <c r="AG219" s="8">
        <f>IF($J219="",0,$J219)</f>
        <v/>
      </c>
    </row>
    <row r="220">
      <c r="A220" s="8">
        <f>IF($G220="","","SS-"&amp;TEXT(ROW()-4,"0000"))</f>
        <v/>
      </c>
      <c r="B220" s="9" t="n"/>
      <c r="C220" s="9" t="n"/>
      <c r="D220" s="9" t="n"/>
      <c r="E220" s="10" t="n"/>
      <c r="F220" s="11" t="n"/>
      <c r="G220" s="12">
        <f>IF($F220="","",IF($F220&gt;31,$F220,IF($AB220="","",DATE(YEAR($AB220),MONTH($AB220),$F220))))</f>
        <v/>
      </c>
      <c r="H220" s="9" t="n"/>
      <c r="I220" s="11" t="n"/>
      <c r="J220" s="12">
        <f>IF($I220="","",IF($I220&gt;31,$I220,IF($G220="","",IF(DATE(YEAR($G220),MONTH($G220),$I220)&gt;=$G220,DATE(YEAR($G220),MONTH($G220),$I220),DATE(YEAR($G220),MONTH($G220)+1,$I220)))))</f>
        <v/>
      </c>
      <c r="K220" s="9" t="n"/>
      <c r="L220" s="13" t="n"/>
      <c r="M220" s="13" t="n"/>
      <c r="N220" s="13" t="n"/>
      <c r="O220" s="8">
        <f>IF(OR($G220="",$J220=""),"",$J220-$G220+1)</f>
        <v/>
      </c>
      <c r="P220" s="8">
        <f>IF(OR($G220="",$J220=""),"",$J220-$G220)</f>
        <v/>
      </c>
      <c r="Q220" s="9" t="n"/>
      <c r="R220" s="9" t="n"/>
      <c r="S220" s="9" t="n"/>
      <c r="T220" s="9" t="n"/>
      <c r="U220" s="9" t="n"/>
      <c r="V220" s="9" t="n"/>
      <c r="W220" s="14" t="n"/>
      <c r="X220" s="9" t="n"/>
      <c r="Y220" s="8">
        <f>IF($G220="","",IF($D220="","⚠部屋が未選択",IF(COUNTIF('M_部屋'!$A$4:$A$20,$D220)=0,"⚠部屋が未登録",IF(OR($J220="",$Q220="キャンセル"),"",IF(SUMPRODUCT(($D$5:$D$404=$D220)*($G$5:$G$404&lt;&gt;"")*($J$5:$J$404&lt;&gt;"")*($Q$5:$Q$404&lt;&gt;"キャンセル")*($G$5:$G$404&lt;$J220)*($J$5:$J$404&gt;$G220))&gt;1,"⚠重複","")))))</f>
        <v/>
      </c>
      <c r="Z220" s="8">
        <f>IF(OR($B220="",$G220=""),"",IF(SUMPRODUCT(('利用者マスタ'!$A$4:$A$60=$B220)*('利用者マスタ'!$B$4:$B$60&lt;&gt;""))=0,"",IF(SUMIFS($AA$5:$AA$404,$B$5:$B$404,$B220,$G$5:$G$404,"&gt;="&amp;DATE(YEAR($G220),MONTH($G220),1),$G$5:$G$404,"&lt;="&amp;EOMONTH($G220,0))&gt;SUMIFS('利用者マスタ'!$B$4:$B$60,'利用者マスタ'!$A$4:$A$60,$B220),"⚠支給量超過","")))</f>
        <v/>
      </c>
      <c r="AA220" s="8">
        <f>IF(OR($G220="",$J220="",$Q220="キャンセル"),0,IF(IFERROR(INDEX('M_区分'!$B$4:$B$20,MATCH($C220,'M_区分'!$A$4:$A$20,0)),"○")="○",$J220-$G220+1,0))</f>
        <v/>
      </c>
      <c r="AB220" s="8">
        <f>IF($E220&lt;&gt;"",$E220,$AB219)</f>
        <v/>
      </c>
      <c r="AC220" s="8">
        <f>IF(OR($G220="",$J220=""),"",IF(AND($G220&lt;=EOMONTH('02_カレンダー'!$B$4,0),$J220&gt;='02_カレンダー'!$B$4),$G220*10000+ROW(),""))</f>
        <v/>
      </c>
      <c r="AD220" s="8">
        <f>IF($H220="","",IF(ISNUMBER($H220),IF(AND($H220=INT($H220),$H220&gt;=0,$H220&lt;=24),TEXT(INT($H220),"00")&amp;":00",TEXT($H220,"hh:mm")),$H220))</f>
        <v/>
      </c>
      <c r="AE220" s="8">
        <f>IF($K220="","",IF(ISNUMBER($K220),IF(AND($K220=INT($K220),$K220&gt;=0,$K220&lt;=24),TEXT(INT($K220),"00")&amp;":00",TEXT($K220,"hh:mm")),$K220))</f>
        <v/>
      </c>
      <c r="AF220" s="8">
        <f>IF($G220="",0,$G220)</f>
        <v/>
      </c>
      <c r="AG220" s="8">
        <f>IF($J220="",0,$J220)</f>
        <v/>
      </c>
    </row>
    <row r="221">
      <c r="A221" s="8">
        <f>IF($G221="","","SS-"&amp;TEXT(ROW()-4,"0000"))</f>
        <v/>
      </c>
      <c r="B221" s="9" t="n"/>
      <c r="C221" s="9" t="n"/>
      <c r="D221" s="9" t="n"/>
      <c r="E221" s="10" t="n"/>
      <c r="F221" s="11" t="n"/>
      <c r="G221" s="12">
        <f>IF($F221="","",IF($F221&gt;31,$F221,IF($AB221="","",DATE(YEAR($AB221),MONTH($AB221),$F221))))</f>
        <v/>
      </c>
      <c r="H221" s="9" t="n"/>
      <c r="I221" s="11" t="n"/>
      <c r="J221" s="12">
        <f>IF($I221="","",IF($I221&gt;31,$I221,IF($G221="","",IF(DATE(YEAR($G221),MONTH($G221),$I221)&gt;=$G221,DATE(YEAR($G221),MONTH($G221),$I221),DATE(YEAR($G221),MONTH($G221)+1,$I221)))))</f>
        <v/>
      </c>
      <c r="K221" s="9" t="n"/>
      <c r="L221" s="13" t="n"/>
      <c r="M221" s="13" t="n"/>
      <c r="N221" s="13" t="n"/>
      <c r="O221" s="8">
        <f>IF(OR($G221="",$J221=""),"",$J221-$G221+1)</f>
        <v/>
      </c>
      <c r="P221" s="8">
        <f>IF(OR($G221="",$J221=""),"",$J221-$G221)</f>
        <v/>
      </c>
      <c r="Q221" s="9" t="n"/>
      <c r="R221" s="9" t="n"/>
      <c r="S221" s="9" t="n"/>
      <c r="T221" s="9" t="n"/>
      <c r="U221" s="9" t="n"/>
      <c r="V221" s="9" t="n"/>
      <c r="W221" s="14" t="n"/>
      <c r="X221" s="9" t="n"/>
      <c r="Y221" s="8">
        <f>IF($G221="","",IF($D221="","⚠部屋が未選択",IF(COUNTIF('M_部屋'!$A$4:$A$20,$D221)=0,"⚠部屋が未登録",IF(OR($J221="",$Q221="キャンセル"),"",IF(SUMPRODUCT(($D$5:$D$404=$D221)*($G$5:$G$404&lt;&gt;"")*($J$5:$J$404&lt;&gt;"")*($Q$5:$Q$404&lt;&gt;"キャンセル")*($G$5:$G$404&lt;$J221)*($J$5:$J$404&gt;$G221))&gt;1,"⚠重複","")))))</f>
        <v/>
      </c>
      <c r="Z221" s="8">
        <f>IF(OR($B221="",$G221=""),"",IF(SUMPRODUCT(('利用者マスタ'!$A$4:$A$60=$B221)*('利用者マスタ'!$B$4:$B$60&lt;&gt;""))=0,"",IF(SUMIFS($AA$5:$AA$404,$B$5:$B$404,$B221,$G$5:$G$404,"&gt;="&amp;DATE(YEAR($G221),MONTH($G221),1),$G$5:$G$404,"&lt;="&amp;EOMONTH($G221,0))&gt;SUMIFS('利用者マスタ'!$B$4:$B$60,'利用者マスタ'!$A$4:$A$60,$B221),"⚠支給量超過","")))</f>
        <v/>
      </c>
      <c r="AA221" s="8">
        <f>IF(OR($G221="",$J221="",$Q221="キャンセル"),0,IF(IFERROR(INDEX('M_区分'!$B$4:$B$20,MATCH($C221,'M_区分'!$A$4:$A$20,0)),"○")="○",$J221-$G221+1,0))</f>
        <v/>
      </c>
      <c r="AB221" s="8">
        <f>IF($E221&lt;&gt;"",$E221,$AB220)</f>
        <v/>
      </c>
      <c r="AC221" s="8">
        <f>IF(OR($G221="",$J221=""),"",IF(AND($G221&lt;=EOMONTH('02_カレンダー'!$B$4,0),$J221&gt;='02_カレンダー'!$B$4),$G221*10000+ROW(),""))</f>
        <v/>
      </c>
      <c r="AD221" s="8">
        <f>IF($H221="","",IF(ISNUMBER($H221),IF(AND($H221=INT($H221),$H221&gt;=0,$H221&lt;=24),TEXT(INT($H221),"00")&amp;":00",TEXT($H221,"hh:mm")),$H221))</f>
        <v/>
      </c>
      <c r="AE221" s="8">
        <f>IF($K221="","",IF(ISNUMBER($K221),IF(AND($K221=INT($K221),$K221&gt;=0,$K221&lt;=24),TEXT(INT($K221),"00")&amp;":00",TEXT($K221,"hh:mm")),$K221))</f>
        <v/>
      </c>
      <c r="AF221" s="8">
        <f>IF($G221="",0,$G221)</f>
        <v/>
      </c>
      <c r="AG221" s="8">
        <f>IF($J221="",0,$J221)</f>
        <v/>
      </c>
    </row>
    <row r="222">
      <c r="A222" s="8">
        <f>IF($G222="","","SS-"&amp;TEXT(ROW()-4,"0000"))</f>
        <v/>
      </c>
      <c r="B222" s="9" t="n"/>
      <c r="C222" s="9" t="n"/>
      <c r="D222" s="9" t="n"/>
      <c r="E222" s="10" t="n"/>
      <c r="F222" s="11" t="n"/>
      <c r="G222" s="12">
        <f>IF($F222="","",IF($F222&gt;31,$F222,IF($AB222="","",DATE(YEAR($AB222),MONTH($AB222),$F222))))</f>
        <v/>
      </c>
      <c r="H222" s="9" t="n"/>
      <c r="I222" s="11" t="n"/>
      <c r="J222" s="12">
        <f>IF($I222="","",IF($I222&gt;31,$I222,IF($G222="","",IF(DATE(YEAR($G222),MONTH($G222),$I222)&gt;=$G222,DATE(YEAR($G222),MONTH($G222),$I222),DATE(YEAR($G222),MONTH($G222)+1,$I222)))))</f>
        <v/>
      </c>
      <c r="K222" s="9" t="n"/>
      <c r="L222" s="13" t="n"/>
      <c r="M222" s="13" t="n"/>
      <c r="N222" s="13" t="n"/>
      <c r="O222" s="8">
        <f>IF(OR($G222="",$J222=""),"",$J222-$G222+1)</f>
        <v/>
      </c>
      <c r="P222" s="8">
        <f>IF(OR($G222="",$J222=""),"",$J222-$G222)</f>
        <v/>
      </c>
      <c r="Q222" s="9" t="n"/>
      <c r="R222" s="9" t="n"/>
      <c r="S222" s="9" t="n"/>
      <c r="T222" s="9" t="n"/>
      <c r="U222" s="9" t="n"/>
      <c r="V222" s="9" t="n"/>
      <c r="W222" s="14" t="n"/>
      <c r="X222" s="9" t="n"/>
      <c r="Y222" s="8">
        <f>IF($G222="","",IF($D222="","⚠部屋が未選択",IF(COUNTIF('M_部屋'!$A$4:$A$20,$D222)=0,"⚠部屋が未登録",IF(OR($J222="",$Q222="キャンセル"),"",IF(SUMPRODUCT(($D$5:$D$404=$D222)*($G$5:$G$404&lt;&gt;"")*($J$5:$J$404&lt;&gt;"")*($Q$5:$Q$404&lt;&gt;"キャンセル")*($G$5:$G$404&lt;$J222)*($J$5:$J$404&gt;$G222))&gt;1,"⚠重複","")))))</f>
        <v/>
      </c>
      <c r="Z222" s="8">
        <f>IF(OR($B222="",$G222=""),"",IF(SUMPRODUCT(('利用者マスタ'!$A$4:$A$60=$B222)*('利用者マスタ'!$B$4:$B$60&lt;&gt;""))=0,"",IF(SUMIFS($AA$5:$AA$404,$B$5:$B$404,$B222,$G$5:$G$404,"&gt;="&amp;DATE(YEAR($G222),MONTH($G222),1),$G$5:$G$404,"&lt;="&amp;EOMONTH($G222,0))&gt;SUMIFS('利用者マスタ'!$B$4:$B$60,'利用者マスタ'!$A$4:$A$60,$B222),"⚠支給量超過","")))</f>
        <v/>
      </c>
      <c r="AA222" s="8">
        <f>IF(OR($G222="",$J222="",$Q222="キャンセル"),0,IF(IFERROR(INDEX('M_区分'!$B$4:$B$20,MATCH($C222,'M_区分'!$A$4:$A$20,0)),"○")="○",$J222-$G222+1,0))</f>
        <v/>
      </c>
      <c r="AB222" s="8">
        <f>IF($E222&lt;&gt;"",$E222,$AB221)</f>
        <v/>
      </c>
      <c r="AC222" s="8">
        <f>IF(OR($G222="",$J222=""),"",IF(AND($G222&lt;=EOMONTH('02_カレンダー'!$B$4,0),$J222&gt;='02_カレンダー'!$B$4),$G222*10000+ROW(),""))</f>
        <v/>
      </c>
      <c r="AD222" s="8">
        <f>IF($H222="","",IF(ISNUMBER($H222),IF(AND($H222=INT($H222),$H222&gt;=0,$H222&lt;=24),TEXT(INT($H222),"00")&amp;":00",TEXT($H222,"hh:mm")),$H222))</f>
        <v/>
      </c>
      <c r="AE222" s="8">
        <f>IF($K222="","",IF(ISNUMBER($K222),IF(AND($K222=INT($K222),$K222&gt;=0,$K222&lt;=24),TEXT(INT($K222),"00")&amp;":00",TEXT($K222,"hh:mm")),$K222))</f>
        <v/>
      </c>
      <c r="AF222" s="8">
        <f>IF($G222="",0,$G222)</f>
        <v/>
      </c>
      <c r="AG222" s="8">
        <f>IF($J222="",0,$J222)</f>
        <v/>
      </c>
    </row>
    <row r="223">
      <c r="A223" s="8">
        <f>IF($G223="","","SS-"&amp;TEXT(ROW()-4,"0000"))</f>
        <v/>
      </c>
      <c r="B223" s="9" t="n"/>
      <c r="C223" s="9" t="n"/>
      <c r="D223" s="9" t="n"/>
      <c r="E223" s="10" t="n"/>
      <c r="F223" s="11" t="n"/>
      <c r="G223" s="12">
        <f>IF($F223="","",IF($F223&gt;31,$F223,IF($AB223="","",DATE(YEAR($AB223),MONTH($AB223),$F223))))</f>
        <v/>
      </c>
      <c r="H223" s="9" t="n"/>
      <c r="I223" s="11" t="n"/>
      <c r="J223" s="12">
        <f>IF($I223="","",IF($I223&gt;31,$I223,IF($G223="","",IF(DATE(YEAR($G223),MONTH($G223),$I223)&gt;=$G223,DATE(YEAR($G223),MONTH($G223),$I223),DATE(YEAR($G223),MONTH($G223)+1,$I223)))))</f>
        <v/>
      </c>
      <c r="K223" s="9" t="n"/>
      <c r="L223" s="13" t="n"/>
      <c r="M223" s="13" t="n"/>
      <c r="N223" s="13" t="n"/>
      <c r="O223" s="8">
        <f>IF(OR($G223="",$J223=""),"",$J223-$G223+1)</f>
        <v/>
      </c>
      <c r="P223" s="8">
        <f>IF(OR($G223="",$J223=""),"",$J223-$G223)</f>
        <v/>
      </c>
      <c r="Q223" s="9" t="n"/>
      <c r="R223" s="9" t="n"/>
      <c r="S223" s="9" t="n"/>
      <c r="T223" s="9" t="n"/>
      <c r="U223" s="9" t="n"/>
      <c r="V223" s="9" t="n"/>
      <c r="W223" s="14" t="n"/>
      <c r="X223" s="9" t="n"/>
      <c r="Y223" s="8">
        <f>IF($G223="","",IF($D223="","⚠部屋が未選択",IF(COUNTIF('M_部屋'!$A$4:$A$20,$D223)=0,"⚠部屋が未登録",IF(OR($J223="",$Q223="キャンセル"),"",IF(SUMPRODUCT(($D$5:$D$404=$D223)*($G$5:$G$404&lt;&gt;"")*($J$5:$J$404&lt;&gt;"")*($Q$5:$Q$404&lt;&gt;"キャンセル")*($G$5:$G$404&lt;$J223)*($J$5:$J$404&gt;$G223))&gt;1,"⚠重複","")))))</f>
        <v/>
      </c>
      <c r="Z223" s="8">
        <f>IF(OR($B223="",$G223=""),"",IF(SUMPRODUCT(('利用者マスタ'!$A$4:$A$60=$B223)*('利用者マスタ'!$B$4:$B$60&lt;&gt;""))=0,"",IF(SUMIFS($AA$5:$AA$404,$B$5:$B$404,$B223,$G$5:$G$404,"&gt;="&amp;DATE(YEAR($G223),MONTH($G223),1),$G$5:$G$404,"&lt;="&amp;EOMONTH($G223,0))&gt;SUMIFS('利用者マスタ'!$B$4:$B$60,'利用者マスタ'!$A$4:$A$60,$B223),"⚠支給量超過","")))</f>
        <v/>
      </c>
      <c r="AA223" s="8">
        <f>IF(OR($G223="",$J223="",$Q223="キャンセル"),0,IF(IFERROR(INDEX('M_区分'!$B$4:$B$20,MATCH($C223,'M_区分'!$A$4:$A$20,0)),"○")="○",$J223-$G223+1,0))</f>
        <v/>
      </c>
      <c r="AB223" s="8">
        <f>IF($E223&lt;&gt;"",$E223,$AB222)</f>
        <v/>
      </c>
      <c r="AC223" s="8">
        <f>IF(OR($G223="",$J223=""),"",IF(AND($G223&lt;=EOMONTH('02_カレンダー'!$B$4,0),$J223&gt;='02_カレンダー'!$B$4),$G223*10000+ROW(),""))</f>
        <v/>
      </c>
      <c r="AD223" s="8">
        <f>IF($H223="","",IF(ISNUMBER($H223),IF(AND($H223=INT($H223),$H223&gt;=0,$H223&lt;=24),TEXT(INT($H223),"00")&amp;":00",TEXT($H223,"hh:mm")),$H223))</f>
        <v/>
      </c>
      <c r="AE223" s="8">
        <f>IF($K223="","",IF(ISNUMBER($K223),IF(AND($K223=INT($K223),$K223&gt;=0,$K223&lt;=24),TEXT(INT($K223),"00")&amp;":00",TEXT($K223,"hh:mm")),$K223))</f>
        <v/>
      </c>
      <c r="AF223" s="8">
        <f>IF($G223="",0,$G223)</f>
        <v/>
      </c>
      <c r="AG223" s="8">
        <f>IF($J223="",0,$J223)</f>
        <v/>
      </c>
    </row>
    <row r="224">
      <c r="A224" s="8">
        <f>IF($G224="","","SS-"&amp;TEXT(ROW()-4,"0000"))</f>
        <v/>
      </c>
      <c r="B224" s="9" t="n"/>
      <c r="C224" s="9" t="n"/>
      <c r="D224" s="9" t="n"/>
      <c r="E224" s="10" t="n"/>
      <c r="F224" s="11" t="n"/>
      <c r="G224" s="12">
        <f>IF($F224="","",IF($F224&gt;31,$F224,IF($AB224="","",DATE(YEAR($AB224),MONTH($AB224),$F224))))</f>
        <v/>
      </c>
      <c r="H224" s="9" t="n"/>
      <c r="I224" s="11" t="n"/>
      <c r="J224" s="12">
        <f>IF($I224="","",IF($I224&gt;31,$I224,IF($G224="","",IF(DATE(YEAR($G224),MONTH($G224),$I224)&gt;=$G224,DATE(YEAR($G224),MONTH($G224),$I224),DATE(YEAR($G224),MONTH($G224)+1,$I224)))))</f>
        <v/>
      </c>
      <c r="K224" s="9" t="n"/>
      <c r="L224" s="13" t="n"/>
      <c r="M224" s="13" t="n"/>
      <c r="N224" s="13" t="n"/>
      <c r="O224" s="8">
        <f>IF(OR($G224="",$J224=""),"",$J224-$G224+1)</f>
        <v/>
      </c>
      <c r="P224" s="8">
        <f>IF(OR($G224="",$J224=""),"",$J224-$G224)</f>
        <v/>
      </c>
      <c r="Q224" s="9" t="n"/>
      <c r="R224" s="9" t="n"/>
      <c r="S224" s="9" t="n"/>
      <c r="T224" s="9" t="n"/>
      <c r="U224" s="9" t="n"/>
      <c r="V224" s="9" t="n"/>
      <c r="W224" s="14" t="n"/>
      <c r="X224" s="9" t="n"/>
      <c r="Y224" s="8">
        <f>IF($G224="","",IF($D224="","⚠部屋が未選択",IF(COUNTIF('M_部屋'!$A$4:$A$20,$D224)=0,"⚠部屋が未登録",IF(OR($J224="",$Q224="キャンセル"),"",IF(SUMPRODUCT(($D$5:$D$404=$D224)*($G$5:$G$404&lt;&gt;"")*($J$5:$J$404&lt;&gt;"")*($Q$5:$Q$404&lt;&gt;"キャンセル")*($G$5:$G$404&lt;$J224)*($J$5:$J$404&gt;$G224))&gt;1,"⚠重複","")))))</f>
        <v/>
      </c>
      <c r="Z224" s="8">
        <f>IF(OR($B224="",$G224=""),"",IF(SUMPRODUCT(('利用者マスタ'!$A$4:$A$60=$B224)*('利用者マスタ'!$B$4:$B$60&lt;&gt;""))=0,"",IF(SUMIFS($AA$5:$AA$404,$B$5:$B$404,$B224,$G$5:$G$404,"&gt;="&amp;DATE(YEAR($G224),MONTH($G224),1),$G$5:$G$404,"&lt;="&amp;EOMONTH($G224,0))&gt;SUMIFS('利用者マスタ'!$B$4:$B$60,'利用者マスタ'!$A$4:$A$60,$B224),"⚠支給量超過","")))</f>
        <v/>
      </c>
      <c r="AA224" s="8">
        <f>IF(OR($G224="",$J224="",$Q224="キャンセル"),0,IF(IFERROR(INDEX('M_区分'!$B$4:$B$20,MATCH($C224,'M_区分'!$A$4:$A$20,0)),"○")="○",$J224-$G224+1,0))</f>
        <v/>
      </c>
      <c r="AB224" s="8">
        <f>IF($E224&lt;&gt;"",$E224,$AB223)</f>
        <v/>
      </c>
      <c r="AC224" s="8">
        <f>IF(OR($G224="",$J224=""),"",IF(AND($G224&lt;=EOMONTH('02_カレンダー'!$B$4,0),$J224&gt;='02_カレンダー'!$B$4),$G224*10000+ROW(),""))</f>
        <v/>
      </c>
      <c r="AD224" s="8">
        <f>IF($H224="","",IF(ISNUMBER($H224),IF(AND($H224=INT($H224),$H224&gt;=0,$H224&lt;=24),TEXT(INT($H224),"00")&amp;":00",TEXT($H224,"hh:mm")),$H224))</f>
        <v/>
      </c>
      <c r="AE224" s="8">
        <f>IF($K224="","",IF(ISNUMBER($K224),IF(AND($K224=INT($K224),$K224&gt;=0,$K224&lt;=24),TEXT(INT($K224),"00")&amp;":00",TEXT($K224,"hh:mm")),$K224))</f>
        <v/>
      </c>
      <c r="AF224" s="8">
        <f>IF($G224="",0,$G224)</f>
        <v/>
      </c>
      <c r="AG224" s="8">
        <f>IF($J224="",0,$J224)</f>
        <v/>
      </c>
    </row>
    <row r="225">
      <c r="A225" s="8">
        <f>IF($G225="","","SS-"&amp;TEXT(ROW()-4,"0000"))</f>
        <v/>
      </c>
      <c r="B225" s="9" t="n"/>
      <c r="C225" s="9" t="n"/>
      <c r="D225" s="9" t="n"/>
      <c r="E225" s="10" t="n"/>
      <c r="F225" s="11" t="n"/>
      <c r="G225" s="12">
        <f>IF($F225="","",IF($F225&gt;31,$F225,IF($AB225="","",DATE(YEAR($AB225),MONTH($AB225),$F225))))</f>
        <v/>
      </c>
      <c r="H225" s="9" t="n"/>
      <c r="I225" s="11" t="n"/>
      <c r="J225" s="12">
        <f>IF($I225="","",IF($I225&gt;31,$I225,IF($G225="","",IF(DATE(YEAR($G225),MONTH($G225),$I225)&gt;=$G225,DATE(YEAR($G225),MONTH($G225),$I225),DATE(YEAR($G225),MONTH($G225)+1,$I225)))))</f>
        <v/>
      </c>
      <c r="K225" s="9" t="n"/>
      <c r="L225" s="13" t="n"/>
      <c r="M225" s="13" t="n"/>
      <c r="N225" s="13" t="n"/>
      <c r="O225" s="8">
        <f>IF(OR($G225="",$J225=""),"",$J225-$G225+1)</f>
        <v/>
      </c>
      <c r="P225" s="8">
        <f>IF(OR($G225="",$J225=""),"",$J225-$G225)</f>
        <v/>
      </c>
      <c r="Q225" s="9" t="n"/>
      <c r="R225" s="9" t="n"/>
      <c r="S225" s="9" t="n"/>
      <c r="T225" s="9" t="n"/>
      <c r="U225" s="9" t="n"/>
      <c r="V225" s="9" t="n"/>
      <c r="W225" s="14" t="n"/>
      <c r="X225" s="9" t="n"/>
      <c r="Y225" s="8">
        <f>IF($G225="","",IF($D225="","⚠部屋が未選択",IF(COUNTIF('M_部屋'!$A$4:$A$20,$D225)=0,"⚠部屋が未登録",IF(OR($J225="",$Q225="キャンセル"),"",IF(SUMPRODUCT(($D$5:$D$404=$D225)*($G$5:$G$404&lt;&gt;"")*($J$5:$J$404&lt;&gt;"")*($Q$5:$Q$404&lt;&gt;"キャンセル")*($G$5:$G$404&lt;$J225)*($J$5:$J$404&gt;$G225))&gt;1,"⚠重複","")))))</f>
        <v/>
      </c>
      <c r="Z225" s="8">
        <f>IF(OR($B225="",$G225=""),"",IF(SUMPRODUCT(('利用者マスタ'!$A$4:$A$60=$B225)*('利用者マスタ'!$B$4:$B$60&lt;&gt;""))=0,"",IF(SUMIFS($AA$5:$AA$404,$B$5:$B$404,$B225,$G$5:$G$404,"&gt;="&amp;DATE(YEAR($G225),MONTH($G225),1),$G$5:$G$404,"&lt;="&amp;EOMONTH($G225,0))&gt;SUMIFS('利用者マスタ'!$B$4:$B$60,'利用者マスタ'!$A$4:$A$60,$B225),"⚠支給量超過","")))</f>
        <v/>
      </c>
      <c r="AA225" s="8">
        <f>IF(OR($G225="",$J225="",$Q225="キャンセル"),0,IF(IFERROR(INDEX('M_区分'!$B$4:$B$20,MATCH($C225,'M_区分'!$A$4:$A$20,0)),"○")="○",$J225-$G225+1,0))</f>
        <v/>
      </c>
      <c r="AB225" s="8">
        <f>IF($E225&lt;&gt;"",$E225,$AB224)</f>
        <v/>
      </c>
      <c r="AC225" s="8">
        <f>IF(OR($G225="",$J225=""),"",IF(AND($G225&lt;=EOMONTH('02_カレンダー'!$B$4,0),$J225&gt;='02_カレンダー'!$B$4),$G225*10000+ROW(),""))</f>
        <v/>
      </c>
      <c r="AD225" s="8">
        <f>IF($H225="","",IF(ISNUMBER($H225),IF(AND($H225=INT($H225),$H225&gt;=0,$H225&lt;=24),TEXT(INT($H225),"00")&amp;":00",TEXT($H225,"hh:mm")),$H225))</f>
        <v/>
      </c>
      <c r="AE225" s="8">
        <f>IF($K225="","",IF(ISNUMBER($K225),IF(AND($K225=INT($K225),$K225&gt;=0,$K225&lt;=24),TEXT(INT($K225),"00")&amp;":00",TEXT($K225,"hh:mm")),$K225))</f>
        <v/>
      </c>
      <c r="AF225" s="8">
        <f>IF($G225="",0,$G225)</f>
        <v/>
      </c>
      <c r="AG225" s="8">
        <f>IF($J225="",0,$J225)</f>
        <v/>
      </c>
    </row>
    <row r="226">
      <c r="A226" s="8">
        <f>IF($G226="","","SS-"&amp;TEXT(ROW()-4,"0000"))</f>
        <v/>
      </c>
      <c r="B226" s="9" t="n"/>
      <c r="C226" s="9" t="n"/>
      <c r="D226" s="9" t="n"/>
      <c r="E226" s="10" t="n"/>
      <c r="F226" s="11" t="n"/>
      <c r="G226" s="12">
        <f>IF($F226="","",IF($F226&gt;31,$F226,IF($AB226="","",DATE(YEAR($AB226),MONTH($AB226),$F226))))</f>
        <v/>
      </c>
      <c r="H226" s="9" t="n"/>
      <c r="I226" s="11" t="n"/>
      <c r="J226" s="12">
        <f>IF($I226="","",IF($I226&gt;31,$I226,IF($G226="","",IF(DATE(YEAR($G226),MONTH($G226),$I226)&gt;=$G226,DATE(YEAR($G226),MONTH($G226),$I226),DATE(YEAR($G226),MONTH($G226)+1,$I226)))))</f>
        <v/>
      </c>
      <c r="K226" s="9" t="n"/>
      <c r="L226" s="13" t="n"/>
      <c r="M226" s="13" t="n"/>
      <c r="N226" s="13" t="n"/>
      <c r="O226" s="8">
        <f>IF(OR($G226="",$J226=""),"",$J226-$G226+1)</f>
        <v/>
      </c>
      <c r="P226" s="8">
        <f>IF(OR($G226="",$J226=""),"",$J226-$G226)</f>
        <v/>
      </c>
      <c r="Q226" s="9" t="n"/>
      <c r="R226" s="9" t="n"/>
      <c r="S226" s="9" t="n"/>
      <c r="T226" s="9" t="n"/>
      <c r="U226" s="9" t="n"/>
      <c r="V226" s="9" t="n"/>
      <c r="W226" s="14" t="n"/>
      <c r="X226" s="9" t="n"/>
      <c r="Y226" s="8">
        <f>IF($G226="","",IF($D226="","⚠部屋が未選択",IF(COUNTIF('M_部屋'!$A$4:$A$20,$D226)=0,"⚠部屋が未登録",IF(OR($J226="",$Q226="キャンセル"),"",IF(SUMPRODUCT(($D$5:$D$404=$D226)*($G$5:$G$404&lt;&gt;"")*($J$5:$J$404&lt;&gt;"")*($Q$5:$Q$404&lt;&gt;"キャンセル")*($G$5:$G$404&lt;$J226)*($J$5:$J$404&gt;$G226))&gt;1,"⚠重複","")))))</f>
        <v/>
      </c>
      <c r="Z226" s="8">
        <f>IF(OR($B226="",$G226=""),"",IF(SUMPRODUCT(('利用者マスタ'!$A$4:$A$60=$B226)*('利用者マスタ'!$B$4:$B$60&lt;&gt;""))=0,"",IF(SUMIFS($AA$5:$AA$404,$B$5:$B$404,$B226,$G$5:$G$404,"&gt;="&amp;DATE(YEAR($G226),MONTH($G226),1),$G$5:$G$404,"&lt;="&amp;EOMONTH($G226,0))&gt;SUMIFS('利用者マスタ'!$B$4:$B$60,'利用者マスタ'!$A$4:$A$60,$B226),"⚠支給量超過","")))</f>
        <v/>
      </c>
      <c r="AA226" s="8">
        <f>IF(OR($G226="",$J226="",$Q226="キャンセル"),0,IF(IFERROR(INDEX('M_区分'!$B$4:$B$20,MATCH($C226,'M_区分'!$A$4:$A$20,0)),"○")="○",$J226-$G226+1,0))</f>
        <v/>
      </c>
      <c r="AB226" s="8">
        <f>IF($E226&lt;&gt;"",$E226,$AB225)</f>
        <v/>
      </c>
      <c r="AC226" s="8">
        <f>IF(OR($G226="",$J226=""),"",IF(AND($G226&lt;=EOMONTH('02_カレンダー'!$B$4,0),$J226&gt;='02_カレンダー'!$B$4),$G226*10000+ROW(),""))</f>
        <v/>
      </c>
      <c r="AD226" s="8">
        <f>IF($H226="","",IF(ISNUMBER($H226),IF(AND($H226=INT($H226),$H226&gt;=0,$H226&lt;=24),TEXT(INT($H226),"00")&amp;":00",TEXT($H226,"hh:mm")),$H226))</f>
        <v/>
      </c>
      <c r="AE226" s="8">
        <f>IF($K226="","",IF(ISNUMBER($K226),IF(AND($K226=INT($K226),$K226&gt;=0,$K226&lt;=24),TEXT(INT($K226),"00")&amp;":00",TEXT($K226,"hh:mm")),$K226))</f>
        <v/>
      </c>
      <c r="AF226" s="8">
        <f>IF($G226="",0,$G226)</f>
        <v/>
      </c>
      <c r="AG226" s="8">
        <f>IF($J226="",0,$J226)</f>
        <v/>
      </c>
    </row>
    <row r="227">
      <c r="A227" s="8">
        <f>IF($G227="","","SS-"&amp;TEXT(ROW()-4,"0000"))</f>
        <v/>
      </c>
      <c r="B227" s="9" t="n"/>
      <c r="C227" s="9" t="n"/>
      <c r="D227" s="9" t="n"/>
      <c r="E227" s="10" t="n"/>
      <c r="F227" s="11" t="n"/>
      <c r="G227" s="12">
        <f>IF($F227="","",IF($F227&gt;31,$F227,IF($AB227="","",DATE(YEAR($AB227),MONTH($AB227),$F227))))</f>
        <v/>
      </c>
      <c r="H227" s="9" t="n"/>
      <c r="I227" s="11" t="n"/>
      <c r="J227" s="12">
        <f>IF($I227="","",IF($I227&gt;31,$I227,IF($G227="","",IF(DATE(YEAR($G227),MONTH($G227),$I227)&gt;=$G227,DATE(YEAR($G227),MONTH($G227),$I227),DATE(YEAR($G227),MONTH($G227)+1,$I227)))))</f>
        <v/>
      </c>
      <c r="K227" s="9" t="n"/>
      <c r="L227" s="13" t="n"/>
      <c r="M227" s="13" t="n"/>
      <c r="N227" s="13" t="n"/>
      <c r="O227" s="8">
        <f>IF(OR($G227="",$J227=""),"",$J227-$G227+1)</f>
        <v/>
      </c>
      <c r="P227" s="8">
        <f>IF(OR($G227="",$J227=""),"",$J227-$G227)</f>
        <v/>
      </c>
      <c r="Q227" s="9" t="n"/>
      <c r="R227" s="9" t="n"/>
      <c r="S227" s="9" t="n"/>
      <c r="T227" s="9" t="n"/>
      <c r="U227" s="9" t="n"/>
      <c r="V227" s="9" t="n"/>
      <c r="W227" s="14" t="n"/>
      <c r="X227" s="9" t="n"/>
      <c r="Y227" s="8">
        <f>IF($G227="","",IF($D227="","⚠部屋が未選択",IF(COUNTIF('M_部屋'!$A$4:$A$20,$D227)=0,"⚠部屋が未登録",IF(OR($J227="",$Q227="キャンセル"),"",IF(SUMPRODUCT(($D$5:$D$404=$D227)*($G$5:$G$404&lt;&gt;"")*($J$5:$J$404&lt;&gt;"")*($Q$5:$Q$404&lt;&gt;"キャンセル")*($G$5:$G$404&lt;$J227)*($J$5:$J$404&gt;$G227))&gt;1,"⚠重複","")))))</f>
        <v/>
      </c>
      <c r="Z227" s="8">
        <f>IF(OR($B227="",$G227=""),"",IF(SUMPRODUCT(('利用者マスタ'!$A$4:$A$60=$B227)*('利用者マスタ'!$B$4:$B$60&lt;&gt;""))=0,"",IF(SUMIFS($AA$5:$AA$404,$B$5:$B$404,$B227,$G$5:$G$404,"&gt;="&amp;DATE(YEAR($G227),MONTH($G227),1),$G$5:$G$404,"&lt;="&amp;EOMONTH($G227,0))&gt;SUMIFS('利用者マスタ'!$B$4:$B$60,'利用者マスタ'!$A$4:$A$60,$B227),"⚠支給量超過","")))</f>
        <v/>
      </c>
      <c r="AA227" s="8">
        <f>IF(OR($G227="",$J227="",$Q227="キャンセル"),0,IF(IFERROR(INDEX('M_区分'!$B$4:$B$20,MATCH($C227,'M_区分'!$A$4:$A$20,0)),"○")="○",$J227-$G227+1,0))</f>
        <v/>
      </c>
      <c r="AB227" s="8">
        <f>IF($E227&lt;&gt;"",$E227,$AB226)</f>
        <v/>
      </c>
      <c r="AC227" s="8">
        <f>IF(OR($G227="",$J227=""),"",IF(AND($G227&lt;=EOMONTH('02_カレンダー'!$B$4,0),$J227&gt;='02_カレンダー'!$B$4),$G227*10000+ROW(),""))</f>
        <v/>
      </c>
      <c r="AD227" s="8">
        <f>IF($H227="","",IF(ISNUMBER($H227),IF(AND($H227=INT($H227),$H227&gt;=0,$H227&lt;=24),TEXT(INT($H227),"00")&amp;":00",TEXT($H227,"hh:mm")),$H227))</f>
        <v/>
      </c>
      <c r="AE227" s="8">
        <f>IF($K227="","",IF(ISNUMBER($K227),IF(AND($K227=INT($K227),$K227&gt;=0,$K227&lt;=24),TEXT(INT($K227),"00")&amp;":00",TEXT($K227,"hh:mm")),$K227))</f>
        <v/>
      </c>
      <c r="AF227" s="8">
        <f>IF($G227="",0,$G227)</f>
        <v/>
      </c>
      <c r="AG227" s="8">
        <f>IF($J227="",0,$J227)</f>
        <v/>
      </c>
    </row>
    <row r="228">
      <c r="A228" s="8">
        <f>IF($G228="","","SS-"&amp;TEXT(ROW()-4,"0000"))</f>
        <v/>
      </c>
      <c r="B228" s="9" t="n"/>
      <c r="C228" s="9" t="n"/>
      <c r="D228" s="9" t="n"/>
      <c r="E228" s="10" t="n"/>
      <c r="F228" s="11" t="n"/>
      <c r="G228" s="12">
        <f>IF($F228="","",IF($F228&gt;31,$F228,IF($AB228="","",DATE(YEAR($AB228),MONTH($AB228),$F228))))</f>
        <v/>
      </c>
      <c r="H228" s="9" t="n"/>
      <c r="I228" s="11" t="n"/>
      <c r="J228" s="12">
        <f>IF($I228="","",IF($I228&gt;31,$I228,IF($G228="","",IF(DATE(YEAR($G228),MONTH($G228),$I228)&gt;=$G228,DATE(YEAR($G228),MONTH($G228),$I228),DATE(YEAR($G228),MONTH($G228)+1,$I228)))))</f>
        <v/>
      </c>
      <c r="K228" s="9" t="n"/>
      <c r="L228" s="13" t="n"/>
      <c r="M228" s="13" t="n"/>
      <c r="N228" s="13" t="n"/>
      <c r="O228" s="8">
        <f>IF(OR($G228="",$J228=""),"",$J228-$G228+1)</f>
        <v/>
      </c>
      <c r="P228" s="8">
        <f>IF(OR($G228="",$J228=""),"",$J228-$G228)</f>
        <v/>
      </c>
      <c r="Q228" s="9" t="n"/>
      <c r="R228" s="9" t="n"/>
      <c r="S228" s="9" t="n"/>
      <c r="T228" s="9" t="n"/>
      <c r="U228" s="9" t="n"/>
      <c r="V228" s="9" t="n"/>
      <c r="W228" s="14" t="n"/>
      <c r="X228" s="9" t="n"/>
      <c r="Y228" s="8">
        <f>IF($G228="","",IF($D228="","⚠部屋が未選択",IF(COUNTIF('M_部屋'!$A$4:$A$20,$D228)=0,"⚠部屋が未登録",IF(OR($J228="",$Q228="キャンセル"),"",IF(SUMPRODUCT(($D$5:$D$404=$D228)*($G$5:$G$404&lt;&gt;"")*($J$5:$J$404&lt;&gt;"")*($Q$5:$Q$404&lt;&gt;"キャンセル")*($G$5:$G$404&lt;$J228)*($J$5:$J$404&gt;$G228))&gt;1,"⚠重複","")))))</f>
        <v/>
      </c>
      <c r="Z228" s="8">
        <f>IF(OR($B228="",$G228=""),"",IF(SUMPRODUCT(('利用者マスタ'!$A$4:$A$60=$B228)*('利用者マスタ'!$B$4:$B$60&lt;&gt;""))=0,"",IF(SUMIFS($AA$5:$AA$404,$B$5:$B$404,$B228,$G$5:$G$404,"&gt;="&amp;DATE(YEAR($G228),MONTH($G228),1),$G$5:$G$404,"&lt;="&amp;EOMONTH($G228,0))&gt;SUMIFS('利用者マスタ'!$B$4:$B$60,'利用者マスタ'!$A$4:$A$60,$B228),"⚠支給量超過","")))</f>
        <v/>
      </c>
      <c r="AA228" s="8">
        <f>IF(OR($G228="",$J228="",$Q228="キャンセル"),0,IF(IFERROR(INDEX('M_区分'!$B$4:$B$20,MATCH($C228,'M_区分'!$A$4:$A$20,0)),"○")="○",$J228-$G228+1,0))</f>
        <v/>
      </c>
      <c r="AB228" s="8">
        <f>IF($E228&lt;&gt;"",$E228,$AB227)</f>
        <v/>
      </c>
      <c r="AC228" s="8">
        <f>IF(OR($G228="",$J228=""),"",IF(AND($G228&lt;=EOMONTH('02_カレンダー'!$B$4,0),$J228&gt;='02_カレンダー'!$B$4),$G228*10000+ROW(),""))</f>
        <v/>
      </c>
      <c r="AD228" s="8">
        <f>IF($H228="","",IF(ISNUMBER($H228),IF(AND($H228=INT($H228),$H228&gt;=0,$H228&lt;=24),TEXT(INT($H228),"00")&amp;":00",TEXT($H228,"hh:mm")),$H228))</f>
        <v/>
      </c>
      <c r="AE228" s="8">
        <f>IF($K228="","",IF(ISNUMBER($K228),IF(AND($K228=INT($K228),$K228&gt;=0,$K228&lt;=24),TEXT(INT($K228),"00")&amp;":00",TEXT($K228,"hh:mm")),$K228))</f>
        <v/>
      </c>
      <c r="AF228" s="8">
        <f>IF($G228="",0,$G228)</f>
        <v/>
      </c>
      <c r="AG228" s="8">
        <f>IF($J228="",0,$J228)</f>
        <v/>
      </c>
    </row>
    <row r="229">
      <c r="A229" s="8">
        <f>IF($G229="","","SS-"&amp;TEXT(ROW()-4,"0000"))</f>
        <v/>
      </c>
      <c r="B229" s="9" t="n"/>
      <c r="C229" s="9" t="n"/>
      <c r="D229" s="9" t="n"/>
      <c r="E229" s="10" t="n"/>
      <c r="F229" s="11" t="n"/>
      <c r="G229" s="12">
        <f>IF($F229="","",IF($F229&gt;31,$F229,IF($AB229="","",DATE(YEAR($AB229),MONTH($AB229),$F229))))</f>
        <v/>
      </c>
      <c r="H229" s="9" t="n"/>
      <c r="I229" s="11" t="n"/>
      <c r="J229" s="12">
        <f>IF($I229="","",IF($I229&gt;31,$I229,IF($G229="","",IF(DATE(YEAR($G229),MONTH($G229),$I229)&gt;=$G229,DATE(YEAR($G229),MONTH($G229),$I229),DATE(YEAR($G229),MONTH($G229)+1,$I229)))))</f>
        <v/>
      </c>
      <c r="K229" s="9" t="n"/>
      <c r="L229" s="13" t="n"/>
      <c r="M229" s="13" t="n"/>
      <c r="N229" s="13" t="n"/>
      <c r="O229" s="8">
        <f>IF(OR($G229="",$J229=""),"",$J229-$G229+1)</f>
        <v/>
      </c>
      <c r="P229" s="8">
        <f>IF(OR($G229="",$J229=""),"",$J229-$G229)</f>
        <v/>
      </c>
      <c r="Q229" s="9" t="n"/>
      <c r="R229" s="9" t="n"/>
      <c r="S229" s="9" t="n"/>
      <c r="T229" s="9" t="n"/>
      <c r="U229" s="9" t="n"/>
      <c r="V229" s="9" t="n"/>
      <c r="W229" s="14" t="n"/>
      <c r="X229" s="9" t="n"/>
      <c r="Y229" s="8">
        <f>IF($G229="","",IF($D229="","⚠部屋が未選択",IF(COUNTIF('M_部屋'!$A$4:$A$20,$D229)=0,"⚠部屋が未登録",IF(OR($J229="",$Q229="キャンセル"),"",IF(SUMPRODUCT(($D$5:$D$404=$D229)*($G$5:$G$404&lt;&gt;"")*($J$5:$J$404&lt;&gt;"")*($Q$5:$Q$404&lt;&gt;"キャンセル")*($G$5:$G$404&lt;$J229)*($J$5:$J$404&gt;$G229))&gt;1,"⚠重複","")))))</f>
        <v/>
      </c>
      <c r="Z229" s="8">
        <f>IF(OR($B229="",$G229=""),"",IF(SUMPRODUCT(('利用者マスタ'!$A$4:$A$60=$B229)*('利用者マスタ'!$B$4:$B$60&lt;&gt;""))=0,"",IF(SUMIFS($AA$5:$AA$404,$B$5:$B$404,$B229,$G$5:$G$404,"&gt;="&amp;DATE(YEAR($G229),MONTH($G229),1),$G$5:$G$404,"&lt;="&amp;EOMONTH($G229,0))&gt;SUMIFS('利用者マスタ'!$B$4:$B$60,'利用者マスタ'!$A$4:$A$60,$B229),"⚠支給量超過","")))</f>
        <v/>
      </c>
      <c r="AA229" s="8">
        <f>IF(OR($G229="",$J229="",$Q229="キャンセル"),0,IF(IFERROR(INDEX('M_区分'!$B$4:$B$20,MATCH($C229,'M_区分'!$A$4:$A$20,0)),"○")="○",$J229-$G229+1,0))</f>
        <v/>
      </c>
      <c r="AB229" s="8">
        <f>IF($E229&lt;&gt;"",$E229,$AB228)</f>
        <v/>
      </c>
      <c r="AC229" s="8">
        <f>IF(OR($G229="",$J229=""),"",IF(AND($G229&lt;=EOMONTH('02_カレンダー'!$B$4,0),$J229&gt;='02_カレンダー'!$B$4),$G229*10000+ROW(),""))</f>
        <v/>
      </c>
      <c r="AD229" s="8">
        <f>IF($H229="","",IF(ISNUMBER($H229),IF(AND($H229=INT($H229),$H229&gt;=0,$H229&lt;=24),TEXT(INT($H229),"00")&amp;":00",TEXT($H229,"hh:mm")),$H229))</f>
        <v/>
      </c>
      <c r="AE229" s="8">
        <f>IF($K229="","",IF(ISNUMBER($K229),IF(AND($K229=INT($K229),$K229&gt;=0,$K229&lt;=24),TEXT(INT($K229),"00")&amp;":00",TEXT($K229,"hh:mm")),$K229))</f>
        <v/>
      </c>
      <c r="AF229" s="8">
        <f>IF($G229="",0,$G229)</f>
        <v/>
      </c>
      <c r="AG229" s="8">
        <f>IF($J229="",0,$J229)</f>
        <v/>
      </c>
    </row>
    <row r="230">
      <c r="A230" s="8">
        <f>IF($G230="","","SS-"&amp;TEXT(ROW()-4,"0000"))</f>
        <v/>
      </c>
      <c r="B230" s="9" t="n"/>
      <c r="C230" s="9" t="n"/>
      <c r="D230" s="9" t="n"/>
      <c r="E230" s="10" t="n"/>
      <c r="F230" s="11" t="n"/>
      <c r="G230" s="12">
        <f>IF($F230="","",IF($F230&gt;31,$F230,IF($AB230="","",DATE(YEAR($AB230),MONTH($AB230),$F230))))</f>
        <v/>
      </c>
      <c r="H230" s="9" t="n"/>
      <c r="I230" s="11" t="n"/>
      <c r="J230" s="12">
        <f>IF($I230="","",IF($I230&gt;31,$I230,IF($G230="","",IF(DATE(YEAR($G230),MONTH($G230),$I230)&gt;=$G230,DATE(YEAR($G230),MONTH($G230),$I230),DATE(YEAR($G230),MONTH($G230)+1,$I230)))))</f>
        <v/>
      </c>
      <c r="K230" s="9" t="n"/>
      <c r="L230" s="13" t="n"/>
      <c r="M230" s="13" t="n"/>
      <c r="N230" s="13" t="n"/>
      <c r="O230" s="8">
        <f>IF(OR($G230="",$J230=""),"",$J230-$G230+1)</f>
        <v/>
      </c>
      <c r="P230" s="8">
        <f>IF(OR($G230="",$J230=""),"",$J230-$G230)</f>
        <v/>
      </c>
      <c r="Q230" s="9" t="n"/>
      <c r="R230" s="9" t="n"/>
      <c r="S230" s="9" t="n"/>
      <c r="T230" s="9" t="n"/>
      <c r="U230" s="9" t="n"/>
      <c r="V230" s="9" t="n"/>
      <c r="W230" s="14" t="n"/>
      <c r="X230" s="9" t="n"/>
      <c r="Y230" s="8">
        <f>IF($G230="","",IF($D230="","⚠部屋が未選択",IF(COUNTIF('M_部屋'!$A$4:$A$20,$D230)=0,"⚠部屋が未登録",IF(OR($J230="",$Q230="キャンセル"),"",IF(SUMPRODUCT(($D$5:$D$404=$D230)*($G$5:$G$404&lt;&gt;"")*($J$5:$J$404&lt;&gt;"")*($Q$5:$Q$404&lt;&gt;"キャンセル")*($G$5:$G$404&lt;$J230)*($J$5:$J$404&gt;$G230))&gt;1,"⚠重複","")))))</f>
        <v/>
      </c>
      <c r="Z230" s="8">
        <f>IF(OR($B230="",$G230=""),"",IF(SUMPRODUCT(('利用者マスタ'!$A$4:$A$60=$B230)*('利用者マスタ'!$B$4:$B$60&lt;&gt;""))=0,"",IF(SUMIFS($AA$5:$AA$404,$B$5:$B$404,$B230,$G$5:$G$404,"&gt;="&amp;DATE(YEAR($G230),MONTH($G230),1),$G$5:$G$404,"&lt;="&amp;EOMONTH($G230,0))&gt;SUMIFS('利用者マスタ'!$B$4:$B$60,'利用者マスタ'!$A$4:$A$60,$B230),"⚠支給量超過","")))</f>
        <v/>
      </c>
      <c r="AA230" s="8">
        <f>IF(OR($G230="",$J230="",$Q230="キャンセル"),0,IF(IFERROR(INDEX('M_区分'!$B$4:$B$20,MATCH($C230,'M_区分'!$A$4:$A$20,0)),"○")="○",$J230-$G230+1,0))</f>
        <v/>
      </c>
      <c r="AB230" s="8">
        <f>IF($E230&lt;&gt;"",$E230,$AB229)</f>
        <v/>
      </c>
      <c r="AC230" s="8">
        <f>IF(OR($G230="",$J230=""),"",IF(AND($G230&lt;=EOMONTH('02_カレンダー'!$B$4,0),$J230&gt;='02_カレンダー'!$B$4),$G230*10000+ROW(),""))</f>
        <v/>
      </c>
      <c r="AD230" s="8">
        <f>IF($H230="","",IF(ISNUMBER($H230),IF(AND($H230=INT($H230),$H230&gt;=0,$H230&lt;=24),TEXT(INT($H230),"00")&amp;":00",TEXT($H230,"hh:mm")),$H230))</f>
        <v/>
      </c>
      <c r="AE230" s="8">
        <f>IF($K230="","",IF(ISNUMBER($K230),IF(AND($K230=INT($K230),$K230&gt;=0,$K230&lt;=24),TEXT(INT($K230),"00")&amp;":00",TEXT($K230,"hh:mm")),$K230))</f>
        <v/>
      </c>
      <c r="AF230" s="8">
        <f>IF($G230="",0,$G230)</f>
        <v/>
      </c>
      <c r="AG230" s="8">
        <f>IF($J230="",0,$J230)</f>
        <v/>
      </c>
    </row>
    <row r="231">
      <c r="A231" s="8">
        <f>IF($G231="","","SS-"&amp;TEXT(ROW()-4,"0000"))</f>
        <v/>
      </c>
      <c r="B231" s="9" t="n"/>
      <c r="C231" s="9" t="n"/>
      <c r="D231" s="9" t="n"/>
      <c r="E231" s="10" t="n"/>
      <c r="F231" s="11" t="n"/>
      <c r="G231" s="12">
        <f>IF($F231="","",IF($F231&gt;31,$F231,IF($AB231="","",DATE(YEAR($AB231),MONTH($AB231),$F231))))</f>
        <v/>
      </c>
      <c r="H231" s="9" t="n"/>
      <c r="I231" s="11" t="n"/>
      <c r="J231" s="12">
        <f>IF($I231="","",IF($I231&gt;31,$I231,IF($G231="","",IF(DATE(YEAR($G231),MONTH($G231),$I231)&gt;=$G231,DATE(YEAR($G231),MONTH($G231),$I231),DATE(YEAR($G231),MONTH($G231)+1,$I231)))))</f>
        <v/>
      </c>
      <c r="K231" s="9" t="n"/>
      <c r="L231" s="13" t="n"/>
      <c r="M231" s="13" t="n"/>
      <c r="N231" s="13" t="n"/>
      <c r="O231" s="8">
        <f>IF(OR($G231="",$J231=""),"",$J231-$G231+1)</f>
        <v/>
      </c>
      <c r="P231" s="8">
        <f>IF(OR($G231="",$J231=""),"",$J231-$G231)</f>
        <v/>
      </c>
      <c r="Q231" s="9" t="n"/>
      <c r="R231" s="9" t="n"/>
      <c r="S231" s="9" t="n"/>
      <c r="T231" s="9" t="n"/>
      <c r="U231" s="9" t="n"/>
      <c r="V231" s="9" t="n"/>
      <c r="W231" s="14" t="n"/>
      <c r="X231" s="9" t="n"/>
      <c r="Y231" s="8">
        <f>IF($G231="","",IF($D231="","⚠部屋が未選択",IF(COUNTIF('M_部屋'!$A$4:$A$20,$D231)=0,"⚠部屋が未登録",IF(OR($J231="",$Q231="キャンセル"),"",IF(SUMPRODUCT(($D$5:$D$404=$D231)*($G$5:$G$404&lt;&gt;"")*($J$5:$J$404&lt;&gt;"")*($Q$5:$Q$404&lt;&gt;"キャンセル")*($G$5:$G$404&lt;$J231)*($J$5:$J$404&gt;$G231))&gt;1,"⚠重複","")))))</f>
        <v/>
      </c>
      <c r="Z231" s="8">
        <f>IF(OR($B231="",$G231=""),"",IF(SUMPRODUCT(('利用者マスタ'!$A$4:$A$60=$B231)*('利用者マスタ'!$B$4:$B$60&lt;&gt;""))=0,"",IF(SUMIFS($AA$5:$AA$404,$B$5:$B$404,$B231,$G$5:$G$404,"&gt;="&amp;DATE(YEAR($G231),MONTH($G231),1),$G$5:$G$404,"&lt;="&amp;EOMONTH($G231,0))&gt;SUMIFS('利用者マスタ'!$B$4:$B$60,'利用者マスタ'!$A$4:$A$60,$B231),"⚠支給量超過","")))</f>
        <v/>
      </c>
      <c r="AA231" s="8">
        <f>IF(OR($G231="",$J231="",$Q231="キャンセル"),0,IF(IFERROR(INDEX('M_区分'!$B$4:$B$20,MATCH($C231,'M_区分'!$A$4:$A$20,0)),"○")="○",$J231-$G231+1,0))</f>
        <v/>
      </c>
      <c r="AB231" s="8">
        <f>IF($E231&lt;&gt;"",$E231,$AB230)</f>
        <v/>
      </c>
      <c r="AC231" s="8">
        <f>IF(OR($G231="",$J231=""),"",IF(AND($G231&lt;=EOMONTH('02_カレンダー'!$B$4,0),$J231&gt;='02_カレンダー'!$B$4),$G231*10000+ROW(),""))</f>
        <v/>
      </c>
      <c r="AD231" s="8">
        <f>IF($H231="","",IF(ISNUMBER($H231),IF(AND($H231=INT($H231),$H231&gt;=0,$H231&lt;=24),TEXT(INT($H231),"00")&amp;":00",TEXT($H231,"hh:mm")),$H231))</f>
        <v/>
      </c>
      <c r="AE231" s="8">
        <f>IF($K231="","",IF(ISNUMBER($K231),IF(AND($K231=INT($K231),$K231&gt;=0,$K231&lt;=24),TEXT(INT($K231),"00")&amp;":00",TEXT($K231,"hh:mm")),$K231))</f>
        <v/>
      </c>
      <c r="AF231" s="8">
        <f>IF($G231="",0,$G231)</f>
        <v/>
      </c>
      <c r="AG231" s="8">
        <f>IF($J231="",0,$J231)</f>
        <v/>
      </c>
    </row>
    <row r="232">
      <c r="A232" s="8">
        <f>IF($G232="","","SS-"&amp;TEXT(ROW()-4,"0000"))</f>
        <v/>
      </c>
      <c r="B232" s="9" t="n"/>
      <c r="C232" s="9" t="n"/>
      <c r="D232" s="9" t="n"/>
      <c r="E232" s="10" t="n"/>
      <c r="F232" s="11" t="n"/>
      <c r="G232" s="12">
        <f>IF($F232="","",IF($F232&gt;31,$F232,IF($AB232="","",DATE(YEAR($AB232),MONTH($AB232),$F232))))</f>
        <v/>
      </c>
      <c r="H232" s="9" t="n"/>
      <c r="I232" s="11" t="n"/>
      <c r="J232" s="12">
        <f>IF($I232="","",IF($I232&gt;31,$I232,IF($G232="","",IF(DATE(YEAR($G232),MONTH($G232),$I232)&gt;=$G232,DATE(YEAR($G232),MONTH($G232),$I232),DATE(YEAR($G232),MONTH($G232)+1,$I232)))))</f>
        <v/>
      </c>
      <c r="K232" s="9" t="n"/>
      <c r="L232" s="13" t="n"/>
      <c r="M232" s="13" t="n"/>
      <c r="N232" s="13" t="n"/>
      <c r="O232" s="8">
        <f>IF(OR($G232="",$J232=""),"",$J232-$G232+1)</f>
        <v/>
      </c>
      <c r="P232" s="8">
        <f>IF(OR($G232="",$J232=""),"",$J232-$G232)</f>
        <v/>
      </c>
      <c r="Q232" s="9" t="n"/>
      <c r="R232" s="9" t="n"/>
      <c r="S232" s="9" t="n"/>
      <c r="T232" s="9" t="n"/>
      <c r="U232" s="9" t="n"/>
      <c r="V232" s="9" t="n"/>
      <c r="W232" s="14" t="n"/>
      <c r="X232" s="9" t="n"/>
      <c r="Y232" s="8">
        <f>IF($G232="","",IF($D232="","⚠部屋が未選択",IF(COUNTIF('M_部屋'!$A$4:$A$20,$D232)=0,"⚠部屋が未登録",IF(OR($J232="",$Q232="キャンセル"),"",IF(SUMPRODUCT(($D$5:$D$404=$D232)*($G$5:$G$404&lt;&gt;"")*($J$5:$J$404&lt;&gt;"")*($Q$5:$Q$404&lt;&gt;"キャンセル")*($G$5:$G$404&lt;$J232)*($J$5:$J$404&gt;$G232))&gt;1,"⚠重複","")))))</f>
        <v/>
      </c>
      <c r="Z232" s="8">
        <f>IF(OR($B232="",$G232=""),"",IF(SUMPRODUCT(('利用者マスタ'!$A$4:$A$60=$B232)*('利用者マスタ'!$B$4:$B$60&lt;&gt;""))=0,"",IF(SUMIFS($AA$5:$AA$404,$B$5:$B$404,$B232,$G$5:$G$404,"&gt;="&amp;DATE(YEAR($G232),MONTH($G232),1),$G$5:$G$404,"&lt;="&amp;EOMONTH($G232,0))&gt;SUMIFS('利用者マスタ'!$B$4:$B$60,'利用者マスタ'!$A$4:$A$60,$B232),"⚠支給量超過","")))</f>
        <v/>
      </c>
      <c r="AA232" s="8">
        <f>IF(OR($G232="",$J232="",$Q232="キャンセル"),0,IF(IFERROR(INDEX('M_区分'!$B$4:$B$20,MATCH($C232,'M_区分'!$A$4:$A$20,0)),"○")="○",$J232-$G232+1,0))</f>
        <v/>
      </c>
      <c r="AB232" s="8">
        <f>IF($E232&lt;&gt;"",$E232,$AB231)</f>
        <v/>
      </c>
      <c r="AC232" s="8">
        <f>IF(OR($G232="",$J232=""),"",IF(AND($G232&lt;=EOMONTH('02_カレンダー'!$B$4,0),$J232&gt;='02_カレンダー'!$B$4),$G232*10000+ROW(),""))</f>
        <v/>
      </c>
      <c r="AD232" s="8">
        <f>IF($H232="","",IF(ISNUMBER($H232),IF(AND($H232=INT($H232),$H232&gt;=0,$H232&lt;=24),TEXT(INT($H232),"00")&amp;":00",TEXT($H232,"hh:mm")),$H232))</f>
        <v/>
      </c>
      <c r="AE232" s="8">
        <f>IF($K232="","",IF(ISNUMBER($K232),IF(AND($K232=INT($K232),$K232&gt;=0,$K232&lt;=24),TEXT(INT($K232),"00")&amp;":00",TEXT($K232,"hh:mm")),$K232))</f>
        <v/>
      </c>
      <c r="AF232" s="8">
        <f>IF($G232="",0,$G232)</f>
        <v/>
      </c>
      <c r="AG232" s="8">
        <f>IF($J232="",0,$J232)</f>
        <v/>
      </c>
    </row>
    <row r="233">
      <c r="A233" s="8">
        <f>IF($G233="","","SS-"&amp;TEXT(ROW()-4,"0000"))</f>
        <v/>
      </c>
      <c r="B233" s="9" t="n"/>
      <c r="C233" s="9" t="n"/>
      <c r="D233" s="9" t="n"/>
      <c r="E233" s="10" t="n"/>
      <c r="F233" s="11" t="n"/>
      <c r="G233" s="12">
        <f>IF($F233="","",IF($F233&gt;31,$F233,IF($AB233="","",DATE(YEAR($AB233),MONTH($AB233),$F233))))</f>
        <v/>
      </c>
      <c r="H233" s="9" t="n"/>
      <c r="I233" s="11" t="n"/>
      <c r="J233" s="12">
        <f>IF($I233="","",IF($I233&gt;31,$I233,IF($G233="","",IF(DATE(YEAR($G233),MONTH($G233),$I233)&gt;=$G233,DATE(YEAR($G233),MONTH($G233),$I233),DATE(YEAR($G233),MONTH($G233)+1,$I233)))))</f>
        <v/>
      </c>
      <c r="K233" s="9" t="n"/>
      <c r="L233" s="13" t="n"/>
      <c r="M233" s="13" t="n"/>
      <c r="N233" s="13" t="n"/>
      <c r="O233" s="8">
        <f>IF(OR($G233="",$J233=""),"",$J233-$G233+1)</f>
        <v/>
      </c>
      <c r="P233" s="8">
        <f>IF(OR($G233="",$J233=""),"",$J233-$G233)</f>
        <v/>
      </c>
      <c r="Q233" s="9" t="n"/>
      <c r="R233" s="9" t="n"/>
      <c r="S233" s="9" t="n"/>
      <c r="T233" s="9" t="n"/>
      <c r="U233" s="9" t="n"/>
      <c r="V233" s="9" t="n"/>
      <c r="W233" s="14" t="n"/>
      <c r="X233" s="9" t="n"/>
      <c r="Y233" s="8">
        <f>IF($G233="","",IF($D233="","⚠部屋が未選択",IF(COUNTIF('M_部屋'!$A$4:$A$20,$D233)=0,"⚠部屋が未登録",IF(OR($J233="",$Q233="キャンセル"),"",IF(SUMPRODUCT(($D$5:$D$404=$D233)*($G$5:$G$404&lt;&gt;"")*($J$5:$J$404&lt;&gt;"")*($Q$5:$Q$404&lt;&gt;"キャンセル")*($G$5:$G$404&lt;$J233)*($J$5:$J$404&gt;$G233))&gt;1,"⚠重複","")))))</f>
        <v/>
      </c>
      <c r="Z233" s="8">
        <f>IF(OR($B233="",$G233=""),"",IF(SUMPRODUCT(('利用者マスタ'!$A$4:$A$60=$B233)*('利用者マスタ'!$B$4:$B$60&lt;&gt;""))=0,"",IF(SUMIFS($AA$5:$AA$404,$B$5:$B$404,$B233,$G$5:$G$404,"&gt;="&amp;DATE(YEAR($G233),MONTH($G233),1),$G$5:$G$404,"&lt;="&amp;EOMONTH($G233,0))&gt;SUMIFS('利用者マスタ'!$B$4:$B$60,'利用者マスタ'!$A$4:$A$60,$B233),"⚠支給量超過","")))</f>
        <v/>
      </c>
      <c r="AA233" s="8">
        <f>IF(OR($G233="",$J233="",$Q233="キャンセル"),0,IF(IFERROR(INDEX('M_区分'!$B$4:$B$20,MATCH($C233,'M_区分'!$A$4:$A$20,0)),"○")="○",$J233-$G233+1,0))</f>
        <v/>
      </c>
      <c r="AB233" s="8">
        <f>IF($E233&lt;&gt;"",$E233,$AB232)</f>
        <v/>
      </c>
      <c r="AC233" s="8">
        <f>IF(OR($G233="",$J233=""),"",IF(AND($G233&lt;=EOMONTH('02_カレンダー'!$B$4,0),$J233&gt;='02_カレンダー'!$B$4),$G233*10000+ROW(),""))</f>
        <v/>
      </c>
      <c r="AD233" s="8">
        <f>IF($H233="","",IF(ISNUMBER($H233),IF(AND($H233=INT($H233),$H233&gt;=0,$H233&lt;=24),TEXT(INT($H233),"00")&amp;":00",TEXT($H233,"hh:mm")),$H233))</f>
        <v/>
      </c>
      <c r="AE233" s="8">
        <f>IF($K233="","",IF(ISNUMBER($K233),IF(AND($K233=INT($K233),$K233&gt;=0,$K233&lt;=24),TEXT(INT($K233),"00")&amp;":00",TEXT($K233,"hh:mm")),$K233))</f>
        <v/>
      </c>
      <c r="AF233" s="8">
        <f>IF($G233="",0,$G233)</f>
        <v/>
      </c>
      <c r="AG233" s="8">
        <f>IF($J233="",0,$J233)</f>
        <v/>
      </c>
    </row>
    <row r="234">
      <c r="A234" s="8">
        <f>IF($G234="","","SS-"&amp;TEXT(ROW()-4,"0000"))</f>
        <v/>
      </c>
      <c r="B234" s="9" t="n"/>
      <c r="C234" s="9" t="n"/>
      <c r="D234" s="9" t="n"/>
      <c r="E234" s="10" t="n"/>
      <c r="F234" s="11" t="n"/>
      <c r="G234" s="12">
        <f>IF($F234="","",IF($F234&gt;31,$F234,IF($AB234="","",DATE(YEAR($AB234),MONTH($AB234),$F234))))</f>
        <v/>
      </c>
      <c r="H234" s="9" t="n"/>
      <c r="I234" s="11" t="n"/>
      <c r="J234" s="12">
        <f>IF($I234="","",IF($I234&gt;31,$I234,IF($G234="","",IF(DATE(YEAR($G234),MONTH($G234),$I234)&gt;=$G234,DATE(YEAR($G234),MONTH($G234),$I234),DATE(YEAR($G234),MONTH($G234)+1,$I234)))))</f>
        <v/>
      </c>
      <c r="K234" s="9" t="n"/>
      <c r="L234" s="13" t="n"/>
      <c r="M234" s="13" t="n"/>
      <c r="N234" s="13" t="n"/>
      <c r="O234" s="8">
        <f>IF(OR($G234="",$J234=""),"",$J234-$G234+1)</f>
        <v/>
      </c>
      <c r="P234" s="8">
        <f>IF(OR($G234="",$J234=""),"",$J234-$G234)</f>
        <v/>
      </c>
      <c r="Q234" s="9" t="n"/>
      <c r="R234" s="9" t="n"/>
      <c r="S234" s="9" t="n"/>
      <c r="T234" s="9" t="n"/>
      <c r="U234" s="9" t="n"/>
      <c r="V234" s="9" t="n"/>
      <c r="W234" s="14" t="n"/>
      <c r="X234" s="9" t="n"/>
      <c r="Y234" s="8">
        <f>IF($G234="","",IF($D234="","⚠部屋が未選択",IF(COUNTIF('M_部屋'!$A$4:$A$20,$D234)=0,"⚠部屋が未登録",IF(OR($J234="",$Q234="キャンセル"),"",IF(SUMPRODUCT(($D$5:$D$404=$D234)*($G$5:$G$404&lt;&gt;"")*($J$5:$J$404&lt;&gt;"")*($Q$5:$Q$404&lt;&gt;"キャンセル")*($G$5:$G$404&lt;$J234)*($J$5:$J$404&gt;$G234))&gt;1,"⚠重複","")))))</f>
        <v/>
      </c>
      <c r="Z234" s="8">
        <f>IF(OR($B234="",$G234=""),"",IF(SUMPRODUCT(('利用者マスタ'!$A$4:$A$60=$B234)*('利用者マスタ'!$B$4:$B$60&lt;&gt;""))=0,"",IF(SUMIFS($AA$5:$AA$404,$B$5:$B$404,$B234,$G$5:$G$404,"&gt;="&amp;DATE(YEAR($G234),MONTH($G234),1),$G$5:$G$404,"&lt;="&amp;EOMONTH($G234,0))&gt;SUMIFS('利用者マスタ'!$B$4:$B$60,'利用者マスタ'!$A$4:$A$60,$B234),"⚠支給量超過","")))</f>
        <v/>
      </c>
      <c r="AA234" s="8">
        <f>IF(OR($G234="",$J234="",$Q234="キャンセル"),0,IF(IFERROR(INDEX('M_区分'!$B$4:$B$20,MATCH($C234,'M_区分'!$A$4:$A$20,0)),"○")="○",$J234-$G234+1,0))</f>
        <v/>
      </c>
      <c r="AB234" s="8">
        <f>IF($E234&lt;&gt;"",$E234,$AB233)</f>
        <v/>
      </c>
      <c r="AC234" s="8">
        <f>IF(OR($G234="",$J234=""),"",IF(AND($G234&lt;=EOMONTH('02_カレンダー'!$B$4,0),$J234&gt;='02_カレンダー'!$B$4),$G234*10000+ROW(),""))</f>
        <v/>
      </c>
      <c r="AD234" s="8">
        <f>IF($H234="","",IF(ISNUMBER($H234),IF(AND($H234=INT($H234),$H234&gt;=0,$H234&lt;=24),TEXT(INT($H234),"00")&amp;":00",TEXT($H234,"hh:mm")),$H234))</f>
        <v/>
      </c>
      <c r="AE234" s="8">
        <f>IF($K234="","",IF(ISNUMBER($K234),IF(AND($K234=INT($K234),$K234&gt;=0,$K234&lt;=24),TEXT(INT($K234),"00")&amp;":00",TEXT($K234,"hh:mm")),$K234))</f>
        <v/>
      </c>
      <c r="AF234" s="8">
        <f>IF($G234="",0,$G234)</f>
        <v/>
      </c>
      <c r="AG234" s="8">
        <f>IF($J234="",0,$J234)</f>
        <v/>
      </c>
    </row>
    <row r="235">
      <c r="A235" s="8">
        <f>IF($G235="","","SS-"&amp;TEXT(ROW()-4,"0000"))</f>
        <v/>
      </c>
      <c r="B235" s="9" t="n"/>
      <c r="C235" s="9" t="n"/>
      <c r="D235" s="9" t="n"/>
      <c r="E235" s="10" t="n"/>
      <c r="F235" s="11" t="n"/>
      <c r="G235" s="12">
        <f>IF($F235="","",IF($F235&gt;31,$F235,IF($AB235="","",DATE(YEAR($AB235),MONTH($AB235),$F235))))</f>
        <v/>
      </c>
      <c r="H235" s="9" t="n"/>
      <c r="I235" s="11" t="n"/>
      <c r="J235" s="12">
        <f>IF($I235="","",IF($I235&gt;31,$I235,IF($G235="","",IF(DATE(YEAR($G235),MONTH($G235),$I235)&gt;=$G235,DATE(YEAR($G235),MONTH($G235),$I235),DATE(YEAR($G235),MONTH($G235)+1,$I235)))))</f>
        <v/>
      </c>
      <c r="K235" s="9" t="n"/>
      <c r="L235" s="13" t="n"/>
      <c r="M235" s="13" t="n"/>
      <c r="N235" s="13" t="n"/>
      <c r="O235" s="8">
        <f>IF(OR($G235="",$J235=""),"",$J235-$G235+1)</f>
        <v/>
      </c>
      <c r="P235" s="8">
        <f>IF(OR($G235="",$J235=""),"",$J235-$G235)</f>
        <v/>
      </c>
      <c r="Q235" s="9" t="n"/>
      <c r="R235" s="9" t="n"/>
      <c r="S235" s="9" t="n"/>
      <c r="T235" s="9" t="n"/>
      <c r="U235" s="9" t="n"/>
      <c r="V235" s="9" t="n"/>
      <c r="W235" s="14" t="n"/>
      <c r="X235" s="9" t="n"/>
      <c r="Y235" s="8">
        <f>IF($G235="","",IF($D235="","⚠部屋が未選択",IF(COUNTIF('M_部屋'!$A$4:$A$20,$D235)=0,"⚠部屋が未登録",IF(OR($J235="",$Q235="キャンセル"),"",IF(SUMPRODUCT(($D$5:$D$404=$D235)*($G$5:$G$404&lt;&gt;"")*($J$5:$J$404&lt;&gt;"")*($Q$5:$Q$404&lt;&gt;"キャンセル")*($G$5:$G$404&lt;$J235)*($J$5:$J$404&gt;$G235))&gt;1,"⚠重複","")))))</f>
        <v/>
      </c>
      <c r="Z235" s="8">
        <f>IF(OR($B235="",$G235=""),"",IF(SUMPRODUCT(('利用者マスタ'!$A$4:$A$60=$B235)*('利用者マスタ'!$B$4:$B$60&lt;&gt;""))=0,"",IF(SUMIFS($AA$5:$AA$404,$B$5:$B$404,$B235,$G$5:$G$404,"&gt;="&amp;DATE(YEAR($G235),MONTH($G235),1),$G$5:$G$404,"&lt;="&amp;EOMONTH($G235,0))&gt;SUMIFS('利用者マスタ'!$B$4:$B$60,'利用者マスタ'!$A$4:$A$60,$B235),"⚠支給量超過","")))</f>
        <v/>
      </c>
      <c r="AA235" s="8">
        <f>IF(OR($G235="",$J235="",$Q235="キャンセル"),0,IF(IFERROR(INDEX('M_区分'!$B$4:$B$20,MATCH($C235,'M_区分'!$A$4:$A$20,0)),"○")="○",$J235-$G235+1,0))</f>
        <v/>
      </c>
      <c r="AB235" s="8">
        <f>IF($E235&lt;&gt;"",$E235,$AB234)</f>
        <v/>
      </c>
      <c r="AC235" s="8">
        <f>IF(OR($G235="",$J235=""),"",IF(AND($G235&lt;=EOMONTH('02_カレンダー'!$B$4,0),$J235&gt;='02_カレンダー'!$B$4),$G235*10000+ROW(),""))</f>
        <v/>
      </c>
      <c r="AD235" s="8">
        <f>IF($H235="","",IF(ISNUMBER($H235),IF(AND($H235=INT($H235),$H235&gt;=0,$H235&lt;=24),TEXT(INT($H235),"00")&amp;":00",TEXT($H235,"hh:mm")),$H235))</f>
        <v/>
      </c>
      <c r="AE235" s="8">
        <f>IF($K235="","",IF(ISNUMBER($K235),IF(AND($K235=INT($K235),$K235&gt;=0,$K235&lt;=24),TEXT(INT($K235),"00")&amp;":00",TEXT($K235,"hh:mm")),$K235))</f>
        <v/>
      </c>
      <c r="AF235" s="8">
        <f>IF($G235="",0,$G235)</f>
        <v/>
      </c>
      <c r="AG235" s="8">
        <f>IF($J235="",0,$J235)</f>
        <v/>
      </c>
    </row>
    <row r="236">
      <c r="A236" s="8">
        <f>IF($G236="","","SS-"&amp;TEXT(ROW()-4,"0000"))</f>
        <v/>
      </c>
      <c r="B236" s="9" t="n"/>
      <c r="C236" s="9" t="n"/>
      <c r="D236" s="9" t="n"/>
      <c r="E236" s="10" t="n"/>
      <c r="F236" s="11" t="n"/>
      <c r="G236" s="12">
        <f>IF($F236="","",IF($F236&gt;31,$F236,IF($AB236="","",DATE(YEAR($AB236),MONTH($AB236),$F236))))</f>
        <v/>
      </c>
      <c r="H236" s="9" t="n"/>
      <c r="I236" s="11" t="n"/>
      <c r="J236" s="12">
        <f>IF($I236="","",IF($I236&gt;31,$I236,IF($G236="","",IF(DATE(YEAR($G236),MONTH($G236),$I236)&gt;=$G236,DATE(YEAR($G236),MONTH($G236),$I236),DATE(YEAR($G236),MONTH($G236)+1,$I236)))))</f>
        <v/>
      </c>
      <c r="K236" s="9" t="n"/>
      <c r="L236" s="13" t="n"/>
      <c r="M236" s="13" t="n"/>
      <c r="N236" s="13" t="n"/>
      <c r="O236" s="8">
        <f>IF(OR($G236="",$J236=""),"",$J236-$G236+1)</f>
        <v/>
      </c>
      <c r="P236" s="8">
        <f>IF(OR($G236="",$J236=""),"",$J236-$G236)</f>
        <v/>
      </c>
      <c r="Q236" s="9" t="n"/>
      <c r="R236" s="9" t="n"/>
      <c r="S236" s="9" t="n"/>
      <c r="T236" s="9" t="n"/>
      <c r="U236" s="9" t="n"/>
      <c r="V236" s="9" t="n"/>
      <c r="W236" s="14" t="n"/>
      <c r="X236" s="9" t="n"/>
      <c r="Y236" s="8">
        <f>IF($G236="","",IF($D236="","⚠部屋が未選択",IF(COUNTIF('M_部屋'!$A$4:$A$20,$D236)=0,"⚠部屋が未登録",IF(OR($J236="",$Q236="キャンセル"),"",IF(SUMPRODUCT(($D$5:$D$404=$D236)*($G$5:$G$404&lt;&gt;"")*($J$5:$J$404&lt;&gt;"")*($Q$5:$Q$404&lt;&gt;"キャンセル")*($G$5:$G$404&lt;$J236)*($J$5:$J$404&gt;$G236))&gt;1,"⚠重複","")))))</f>
        <v/>
      </c>
      <c r="Z236" s="8">
        <f>IF(OR($B236="",$G236=""),"",IF(SUMPRODUCT(('利用者マスタ'!$A$4:$A$60=$B236)*('利用者マスタ'!$B$4:$B$60&lt;&gt;""))=0,"",IF(SUMIFS($AA$5:$AA$404,$B$5:$B$404,$B236,$G$5:$G$404,"&gt;="&amp;DATE(YEAR($G236),MONTH($G236),1),$G$5:$G$404,"&lt;="&amp;EOMONTH($G236,0))&gt;SUMIFS('利用者マスタ'!$B$4:$B$60,'利用者マスタ'!$A$4:$A$60,$B236),"⚠支給量超過","")))</f>
        <v/>
      </c>
      <c r="AA236" s="8">
        <f>IF(OR($G236="",$J236="",$Q236="キャンセル"),0,IF(IFERROR(INDEX('M_区分'!$B$4:$B$20,MATCH($C236,'M_区分'!$A$4:$A$20,0)),"○")="○",$J236-$G236+1,0))</f>
        <v/>
      </c>
      <c r="AB236" s="8">
        <f>IF($E236&lt;&gt;"",$E236,$AB235)</f>
        <v/>
      </c>
      <c r="AC236" s="8">
        <f>IF(OR($G236="",$J236=""),"",IF(AND($G236&lt;=EOMONTH('02_カレンダー'!$B$4,0),$J236&gt;='02_カレンダー'!$B$4),$G236*10000+ROW(),""))</f>
        <v/>
      </c>
      <c r="AD236" s="8">
        <f>IF($H236="","",IF(ISNUMBER($H236),IF(AND($H236=INT($H236),$H236&gt;=0,$H236&lt;=24),TEXT(INT($H236),"00")&amp;":00",TEXT($H236,"hh:mm")),$H236))</f>
        <v/>
      </c>
      <c r="AE236" s="8">
        <f>IF($K236="","",IF(ISNUMBER($K236),IF(AND($K236=INT($K236),$K236&gt;=0,$K236&lt;=24),TEXT(INT($K236),"00")&amp;":00",TEXT($K236,"hh:mm")),$K236))</f>
        <v/>
      </c>
      <c r="AF236" s="8">
        <f>IF($G236="",0,$G236)</f>
        <v/>
      </c>
      <c r="AG236" s="8">
        <f>IF($J236="",0,$J236)</f>
        <v/>
      </c>
    </row>
    <row r="237">
      <c r="A237" s="8">
        <f>IF($G237="","","SS-"&amp;TEXT(ROW()-4,"0000"))</f>
        <v/>
      </c>
      <c r="B237" s="9" t="n"/>
      <c r="C237" s="9" t="n"/>
      <c r="D237" s="9" t="n"/>
      <c r="E237" s="10" t="n"/>
      <c r="F237" s="11" t="n"/>
      <c r="G237" s="12">
        <f>IF($F237="","",IF($F237&gt;31,$F237,IF($AB237="","",DATE(YEAR($AB237),MONTH($AB237),$F237))))</f>
        <v/>
      </c>
      <c r="H237" s="9" t="n"/>
      <c r="I237" s="11" t="n"/>
      <c r="J237" s="12">
        <f>IF($I237="","",IF($I237&gt;31,$I237,IF($G237="","",IF(DATE(YEAR($G237),MONTH($G237),$I237)&gt;=$G237,DATE(YEAR($G237),MONTH($G237),$I237),DATE(YEAR($G237),MONTH($G237)+1,$I237)))))</f>
        <v/>
      </c>
      <c r="K237" s="9" t="n"/>
      <c r="L237" s="13" t="n"/>
      <c r="M237" s="13" t="n"/>
      <c r="N237" s="13" t="n"/>
      <c r="O237" s="8">
        <f>IF(OR($G237="",$J237=""),"",$J237-$G237+1)</f>
        <v/>
      </c>
      <c r="P237" s="8">
        <f>IF(OR($G237="",$J237=""),"",$J237-$G237)</f>
        <v/>
      </c>
      <c r="Q237" s="9" t="n"/>
      <c r="R237" s="9" t="n"/>
      <c r="S237" s="9" t="n"/>
      <c r="T237" s="9" t="n"/>
      <c r="U237" s="9" t="n"/>
      <c r="V237" s="9" t="n"/>
      <c r="W237" s="14" t="n"/>
      <c r="X237" s="9" t="n"/>
      <c r="Y237" s="8">
        <f>IF($G237="","",IF($D237="","⚠部屋が未選択",IF(COUNTIF('M_部屋'!$A$4:$A$20,$D237)=0,"⚠部屋が未登録",IF(OR($J237="",$Q237="キャンセル"),"",IF(SUMPRODUCT(($D$5:$D$404=$D237)*($G$5:$G$404&lt;&gt;"")*($J$5:$J$404&lt;&gt;"")*($Q$5:$Q$404&lt;&gt;"キャンセル")*($G$5:$G$404&lt;$J237)*($J$5:$J$404&gt;$G237))&gt;1,"⚠重複","")))))</f>
        <v/>
      </c>
      <c r="Z237" s="8">
        <f>IF(OR($B237="",$G237=""),"",IF(SUMPRODUCT(('利用者マスタ'!$A$4:$A$60=$B237)*('利用者マスタ'!$B$4:$B$60&lt;&gt;""))=0,"",IF(SUMIFS($AA$5:$AA$404,$B$5:$B$404,$B237,$G$5:$G$404,"&gt;="&amp;DATE(YEAR($G237),MONTH($G237),1),$G$5:$G$404,"&lt;="&amp;EOMONTH($G237,0))&gt;SUMIFS('利用者マスタ'!$B$4:$B$60,'利用者マスタ'!$A$4:$A$60,$B237),"⚠支給量超過","")))</f>
        <v/>
      </c>
      <c r="AA237" s="8">
        <f>IF(OR($G237="",$J237="",$Q237="キャンセル"),0,IF(IFERROR(INDEX('M_区分'!$B$4:$B$20,MATCH($C237,'M_区分'!$A$4:$A$20,0)),"○")="○",$J237-$G237+1,0))</f>
        <v/>
      </c>
      <c r="AB237" s="8">
        <f>IF($E237&lt;&gt;"",$E237,$AB236)</f>
        <v/>
      </c>
      <c r="AC237" s="8">
        <f>IF(OR($G237="",$J237=""),"",IF(AND($G237&lt;=EOMONTH('02_カレンダー'!$B$4,0),$J237&gt;='02_カレンダー'!$B$4),$G237*10000+ROW(),""))</f>
        <v/>
      </c>
      <c r="AD237" s="8">
        <f>IF($H237="","",IF(ISNUMBER($H237),IF(AND($H237=INT($H237),$H237&gt;=0,$H237&lt;=24),TEXT(INT($H237),"00")&amp;":00",TEXT($H237,"hh:mm")),$H237))</f>
        <v/>
      </c>
      <c r="AE237" s="8">
        <f>IF($K237="","",IF(ISNUMBER($K237),IF(AND($K237=INT($K237),$K237&gt;=0,$K237&lt;=24),TEXT(INT($K237),"00")&amp;":00",TEXT($K237,"hh:mm")),$K237))</f>
        <v/>
      </c>
      <c r="AF237" s="8">
        <f>IF($G237="",0,$G237)</f>
        <v/>
      </c>
      <c r="AG237" s="8">
        <f>IF($J237="",0,$J237)</f>
        <v/>
      </c>
    </row>
    <row r="238">
      <c r="A238" s="8">
        <f>IF($G238="","","SS-"&amp;TEXT(ROW()-4,"0000"))</f>
        <v/>
      </c>
      <c r="B238" s="9" t="n"/>
      <c r="C238" s="9" t="n"/>
      <c r="D238" s="9" t="n"/>
      <c r="E238" s="10" t="n"/>
      <c r="F238" s="11" t="n"/>
      <c r="G238" s="12">
        <f>IF($F238="","",IF($F238&gt;31,$F238,IF($AB238="","",DATE(YEAR($AB238),MONTH($AB238),$F238))))</f>
        <v/>
      </c>
      <c r="H238" s="9" t="n"/>
      <c r="I238" s="11" t="n"/>
      <c r="J238" s="12">
        <f>IF($I238="","",IF($I238&gt;31,$I238,IF($G238="","",IF(DATE(YEAR($G238),MONTH($G238),$I238)&gt;=$G238,DATE(YEAR($G238),MONTH($G238),$I238),DATE(YEAR($G238),MONTH($G238)+1,$I238)))))</f>
        <v/>
      </c>
      <c r="K238" s="9" t="n"/>
      <c r="L238" s="13" t="n"/>
      <c r="M238" s="13" t="n"/>
      <c r="N238" s="13" t="n"/>
      <c r="O238" s="8">
        <f>IF(OR($G238="",$J238=""),"",$J238-$G238+1)</f>
        <v/>
      </c>
      <c r="P238" s="8">
        <f>IF(OR($G238="",$J238=""),"",$J238-$G238)</f>
        <v/>
      </c>
      <c r="Q238" s="9" t="n"/>
      <c r="R238" s="9" t="n"/>
      <c r="S238" s="9" t="n"/>
      <c r="T238" s="9" t="n"/>
      <c r="U238" s="9" t="n"/>
      <c r="V238" s="9" t="n"/>
      <c r="W238" s="14" t="n"/>
      <c r="X238" s="9" t="n"/>
      <c r="Y238" s="8">
        <f>IF($G238="","",IF($D238="","⚠部屋が未選択",IF(COUNTIF('M_部屋'!$A$4:$A$20,$D238)=0,"⚠部屋が未登録",IF(OR($J238="",$Q238="キャンセル"),"",IF(SUMPRODUCT(($D$5:$D$404=$D238)*($G$5:$G$404&lt;&gt;"")*($J$5:$J$404&lt;&gt;"")*($Q$5:$Q$404&lt;&gt;"キャンセル")*($G$5:$G$404&lt;$J238)*($J$5:$J$404&gt;$G238))&gt;1,"⚠重複","")))))</f>
        <v/>
      </c>
      <c r="Z238" s="8">
        <f>IF(OR($B238="",$G238=""),"",IF(SUMPRODUCT(('利用者マスタ'!$A$4:$A$60=$B238)*('利用者マスタ'!$B$4:$B$60&lt;&gt;""))=0,"",IF(SUMIFS($AA$5:$AA$404,$B$5:$B$404,$B238,$G$5:$G$404,"&gt;="&amp;DATE(YEAR($G238),MONTH($G238),1),$G$5:$G$404,"&lt;="&amp;EOMONTH($G238,0))&gt;SUMIFS('利用者マスタ'!$B$4:$B$60,'利用者マスタ'!$A$4:$A$60,$B238),"⚠支給量超過","")))</f>
        <v/>
      </c>
      <c r="AA238" s="8">
        <f>IF(OR($G238="",$J238="",$Q238="キャンセル"),0,IF(IFERROR(INDEX('M_区分'!$B$4:$B$20,MATCH($C238,'M_区分'!$A$4:$A$20,0)),"○")="○",$J238-$G238+1,0))</f>
        <v/>
      </c>
      <c r="AB238" s="8">
        <f>IF($E238&lt;&gt;"",$E238,$AB237)</f>
        <v/>
      </c>
      <c r="AC238" s="8">
        <f>IF(OR($G238="",$J238=""),"",IF(AND($G238&lt;=EOMONTH('02_カレンダー'!$B$4,0),$J238&gt;='02_カレンダー'!$B$4),$G238*10000+ROW(),""))</f>
        <v/>
      </c>
      <c r="AD238" s="8">
        <f>IF($H238="","",IF(ISNUMBER($H238),IF(AND($H238=INT($H238),$H238&gt;=0,$H238&lt;=24),TEXT(INT($H238),"00")&amp;":00",TEXT($H238,"hh:mm")),$H238))</f>
        <v/>
      </c>
      <c r="AE238" s="8">
        <f>IF($K238="","",IF(ISNUMBER($K238),IF(AND($K238=INT($K238),$K238&gt;=0,$K238&lt;=24),TEXT(INT($K238),"00")&amp;":00",TEXT($K238,"hh:mm")),$K238))</f>
        <v/>
      </c>
      <c r="AF238" s="8">
        <f>IF($G238="",0,$G238)</f>
        <v/>
      </c>
      <c r="AG238" s="8">
        <f>IF($J238="",0,$J238)</f>
        <v/>
      </c>
    </row>
    <row r="239">
      <c r="A239" s="8">
        <f>IF($G239="","","SS-"&amp;TEXT(ROW()-4,"0000"))</f>
        <v/>
      </c>
      <c r="B239" s="9" t="n"/>
      <c r="C239" s="9" t="n"/>
      <c r="D239" s="9" t="n"/>
      <c r="E239" s="10" t="n"/>
      <c r="F239" s="11" t="n"/>
      <c r="G239" s="12">
        <f>IF($F239="","",IF($F239&gt;31,$F239,IF($AB239="","",DATE(YEAR($AB239),MONTH($AB239),$F239))))</f>
        <v/>
      </c>
      <c r="H239" s="9" t="n"/>
      <c r="I239" s="11" t="n"/>
      <c r="J239" s="12">
        <f>IF($I239="","",IF($I239&gt;31,$I239,IF($G239="","",IF(DATE(YEAR($G239),MONTH($G239),$I239)&gt;=$G239,DATE(YEAR($G239),MONTH($G239),$I239),DATE(YEAR($G239),MONTH($G239)+1,$I239)))))</f>
        <v/>
      </c>
      <c r="K239" s="9" t="n"/>
      <c r="L239" s="13" t="n"/>
      <c r="M239" s="13" t="n"/>
      <c r="N239" s="13" t="n"/>
      <c r="O239" s="8">
        <f>IF(OR($G239="",$J239=""),"",$J239-$G239+1)</f>
        <v/>
      </c>
      <c r="P239" s="8">
        <f>IF(OR($G239="",$J239=""),"",$J239-$G239)</f>
        <v/>
      </c>
      <c r="Q239" s="9" t="n"/>
      <c r="R239" s="9" t="n"/>
      <c r="S239" s="9" t="n"/>
      <c r="T239" s="9" t="n"/>
      <c r="U239" s="9" t="n"/>
      <c r="V239" s="9" t="n"/>
      <c r="W239" s="14" t="n"/>
      <c r="X239" s="9" t="n"/>
      <c r="Y239" s="8">
        <f>IF($G239="","",IF($D239="","⚠部屋が未選択",IF(COUNTIF('M_部屋'!$A$4:$A$20,$D239)=0,"⚠部屋が未登録",IF(OR($J239="",$Q239="キャンセル"),"",IF(SUMPRODUCT(($D$5:$D$404=$D239)*($G$5:$G$404&lt;&gt;"")*($J$5:$J$404&lt;&gt;"")*($Q$5:$Q$404&lt;&gt;"キャンセル")*($G$5:$G$404&lt;$J239)*($J$5:$J$404&gt;$G239))&gt;1,"⚠重複","")))))</f>
        <v/>
      </c>
      <c r="Z239" s="8">
        <f>IF(OR($B239="",$G239=""),"",IF(SUMPRODUCT(('利用者マスタ'!$A$4:$A$60=$B239)*('利用者マスタ'!$B$4:$B$60&lt;&gt;""))=0,"",IF(SUMIFS($AA$5:$AA$404,$B$5:$B$404,$B239,$G$5:$G$404,"&gt;="&amp;DATE(YEAR($G239),MONTH($G239),1),$G$5:$G$404,"&lt;="&amp;EOMONTH($G239,0))&gt;SUMIFS('利用者マスタ'!$B$4:$B$60,'利用者マスタ'!$A$4:$A$60,$B239),"⚠支給量超過","")))</f>
        <v/>
      </c>
      <c r="AA239" s="8">
        <f>IF(OR($G239="",$J239="",$Q239="キャンセル"),0,IF(IFERROR(INDEX('M_区分'!$B$4:$B$20,MATCH($C239,'M_区分'!$A$4:$A$20,0)),"○")="○",$J239-$G239+1,0))</f>
        <v/>
      </c>
      <c r="AB239" s="8">
        <f>IF($E239&lt;&gt;"",$E239,$AB238)</f>
        <v/>
      </c>
      <c r="AC239" s="8">
        <f>IF(OR($G239="",$J239=""),"",IF(AND($G239&lt;=EOMONTH('02_カレンダー'!$B$4,0),$J239&gt;='02_カレンダー'!$B$4),$G239*10000+ROW(),""))</f>
        <v/>
      </c>
      <c r="AD239" s="8">
        <f>IF($H239="","",IF(ISNUMBER($H239),IF(AND($H239=INT($H239),$H239&gt;=0,$H239&lt;=24),TEXT(INT($H239),"00")&amp;":00",TEXT($H239,"hh:mm")),$H239))</f>
        <v/>
      </c>
      <c r="AE239" s="8">
        <f>IF($K239="","",IF(ISNUMBER($K239),IF(AND($K239=INT($K239),$K239&gt;=0,$K239&lt;=24),TEXT(INT($K239),"00")&amp;":00",TEXT($K239,"hh:mm")),$K239))</f>
        <v/>
      </c>
      <c r="AF239" s="8">
        <f>IF($G239="",0,$G239)</f>
        <v/>
      </c>
      <c r="AG239" s="8">
        <f>IF($J239="",0,$J239)</f>
        <v/>
      </c>
    </row>
    <row r="240">
      <c r="A240" s="8">
        <f>IF($G240="","","SS-"&amp;TEXT(ROW()-4,"0000"))</f>
        <v/>
      </c>
      <c r="B240" s="9" t="n"/>
      <c r="C240" s="9" t="n"/>
      <c r="D240" s="9" t="n"/>
      <c r="E240" s="10" t="n"/>
      <c r="F240" s="11" t="n"/>
      <c r="G240" s="12">
        <f>IF($F240="","",IF($F240&gt;31,$F240,IF($AB240="","",DATE(YEAR($AB240),MONTH($AB240),$F240))))</f>
        <v/>
      </c>
      <c r="H240" s="9" t="n"/>
      <c r="I240" s="11" t="n"/>
      <c r="J240" s="12">
        <f>IF($I240="","",IF($I240&gt;31,$I240,IF($G240="","",IF(DATE(YEAR($G240),MONTH($G240),$I240)&gt;=$G240,DATE(YEAR($G240),MONTH($G240),$I240),DATE(YEAR($G240),MONTH($G240)+1,$I240)))))</f>
        <v/>
      </c>
      <c r="K240" s="9" t="n"/>
      <c r="L240" s="13" t="n"/>
      <c r="M240" s="13" t="n"/>
      <c r="N240" s="13" t="n"/>
      <c r="O240" s="8">
        <f>IF(OR($G240="",$J240=""),"",$J240-$G240+1)</f>
        <v/>
      </c>
      <c r="P240" s="8">
        <f>IF(OR($G240="",$J240=""),"",$J240-$G240)</f>
        <v/>
      </c>
      <c r="Q240" s="9" t="n"/>
      <c r="R240" s="9" t="n"/>
      <c r="S240" s="9" t="n"/>
      <c r="T240" s="9" t="n"/>
      <c r="U240" s="9" t="n"/>
      <c r="V240" s="9" t="n"/>
      <c r="W240" s="14" t="n"/>
      <c r="X240" s="9" t="n"/>
      <c r="Y240" s="8">
        <f>IF($G240="","",IF($D240="","⚠部屋が未選択",IF(COUNTIF('M_部屋'!$A$4:$A$20,$D240)=0,"⚠部屋が未登録",IF(OR($J240="",$Q240="キャンセル"),"",IF(SUMPRODUCT(($D$5:$D$404=$D240)*($G$5:$G$404&lt;&gt;"")*($J$5:$J$404&lt;&gt;"")*($Q$5:$Q$404&lt;&gt;"キャンセル")*($G$5:$G$404&lt;$J240)*($J$5:$J$404&gt;$G240))&gt;1,"⚠重複","")))))</f>
        <v/>
      </c>
      <c r="Z240" s="8">
        <f>IF(OR($B240="",$G240=""),"",IF(SUMPRODUCT(('利用者マスタ'!$A$4:$A$60=$B240)*('利用者マスタ'!$B$4:$B$60&lt;&gt;""))=0,"",IF(SUMIFS($AA$5:$AA$404,$B$5:$B$404,$B240,$G$5:$G$404,"&gt;="&amp;DATE(YEAR($G240),MONTH($G240),1),$G$5:$G$404,"&lt;="&amp;EOMONTH($G240,0))&gt;SUMIFS('利用者マスタ'!$B$4:$B$60,'利用者マスタ'!$A$4:$A$60,$B240),"⚠支給量超過","")))</f>
        <v/>
      </c>
      <c r="AA240" s="8">
        <f>IF(OR($G240="",$J240="",$Q240="キャンセル"),0,IF(IFERROR(INDEX('M_区分'!$B$4:$B$20,MATCH($C240,'M_区分'!$A$4:$A$20,0)),"○")="○",$J240-$G240+1,0))</f>
        <v/>
      </c>
      <c r="AB240" s="8">
        <f>IF($E240&lt;&gt;"",$E240,$AB239)</f>
        <v/>
      </c>
      <c r="AC240" s="8">
        <f>IF(OR($G240="",$J240=""),"",IF(AND($G240&lt;=EOMONTH('02_カレンダー'!$B$4,0),$J240&gt;='02_カレンダー'!$B$4),$G240*10000+ROW(),""))</f>
        <v/>
      </c>
      <c r="AD240" s="8">
        <f>IF($H240="","",IF(ISNUMBER($H240),IF(AND($H240=INT($H240),$H240&gt;=0,$H240&lt;=24),TEXT(INT($H240),"00")&amp;":00",TEXT($H240,"hh:mm")),$H240))</f>
        <v/>
      </c>
      <c r="AE240" s="8">
        <f>IF($K240="","",IF(ISNUMBER($K240),IF(AND($K240=INT($K240),$K240&gt;=0,$K240&lt;=24),TEXT(INT($K240),"00")&amp;":00",TEXT($K240,"hh:mm")),$K240))</f>
        <v/>
      </c>
      <c r="AF240" s="8">
        <f>IF($G240="",0,$G240)</f>
        <v/>
      </c>
      <c r="AG240" s="8">
        <f>IF($J240="",0,$J240)</f>
        <v/>
      </c>
    </row>
    <row r="241">
      <c r="A241" s="8">
        <f>IF($G241="","","SS-"&amp;TEXT(ROW()-4,"0000"))</f>
        <v/>
      </c>
      <c r="B241" s="9" t="n"/>
      <c r="C241" s="9" t="n"/>
      <c r="D241" s="9" t="n"/>
      <c r="E241" s="10" t="n"/>
      <c r="F241" s="11" t="n"/>
      <c r="G241" s="12">
        <f>IF($F241="","",IF($F241&gt;31,$F241,IF($AB241="","",DATE(YEAR($AB241),MONTH($AB241),$F241))))</f>
        <v/>
      </c>
      <c r="H241" s="9" t="n"/>
      <c r="I241" s="11" t="n"/>
      <c r="J241" s="12">
        <f>IF($I241="","",IF($I241&gt;31,$I241,IF($G241="","",IF(DATE(YEAR($G241),MONTH($G241),$I241)&gt;=$G241,DATE(YEAR($G241),MONTH($G241),$I241),DATE(YEAR($G241),MONTH($G241)+1,$I241)))))</f>
        <v/>
      </c>
      <c r="K241" s="9" t="n"/>
      <c r="L241" s="13" t="n"/>
      <c r="M241" s="13" t="n"/>
      <c r="N241" s="13" t="n"/>
      <c r="O241" s="8">
        <f>IF(OR($G241="",$J241=""),"",$J241-$G241+1)</f>
        <v/>
      </c>
      <c r="P241" s="8">
        <f>IF(OR($G241="",$J241=""),"",$J241-$G241)</f>
        <v/>
      </c>
      <c r="Q241" s="9" t="n"/>
      <c r="R241" s="9" t="n"/>
      <c r="S241" s="9" t="n"/>
      <c r="T241" s="9" t="n"/>
      <c r="U241" s="9" t="n"/>
      <c r="V241" s="9" t="n"/>
      <c r="W241" s="14" t="n"/>
      <c r="X241" s="9" t="n"/>
      <c r="Y241" s="8">
        <f>IF($G241="","",IF($D241="","⚠部屋が未選択",IF(COUNTIF('M_部屋'!$A$4:$A$20,$D241)=0,"⚠部屋が未登録",IF(OR($J241="",$Q241="キャンセル"),"",IF(SUMPRODUCT(($D$5:$D$404=$D241)*($G$5:$G$404&lt;&gt;"")*($J$5:$J$404&lt;&gt;"")*($Q$5:$Q$404&lt;&gt;"キャンセル")*($G$5:$G$404&lt;$J241)*($J$5:$J$404&gt;$G241))&gt;1,"⚠重複","")))))</f>
        <v/>
      </c>
      <c r="Z241" s="8">
        <f>IF(OR($B241="",$G241=""),"",IF(SUMPRODUCT(('利用者マスタ'!$A$4:$A$60=$B241)*('利用者マスタ'!$B$4:$B$60&lt;&gt;""))=0,"",IF(SUMIFS($AA$5:$AA$404,$B$5:$B$404,$B241,$G$5:$G$404,"&gt;="&amp;DATE(YEAR($G241),MONTH($G241),1),$G$5:$G$404,"&lt;="&amp;EOMONTH($G241,0))&gt;SUMIFS('利用者マスタ'!$B$4:$B$60,'利用者マスタ'!$A$4:$A$60,$B241),"⚠支給量超過","")))</f>
        <v/>
      </c>
      <c r="AA241" s="8">
        <f>IF(OR($G241="",$J241="",$Q241="キャンセル"),0,IF(IFERROR(INDEX('M_区分'!$B$4:$B$20,MATCH($C241,'M_区分'!$A$4:$A$20,0)),"○")="○",$J241-$G241+1,0))</f>
        <v/>
      </c>
      <c r="AB241" s="8">
        <f>IF($E241&lt;&gt;"",$E241,$AB240)</f>
        <v/>
      </c>
      <c r="AC241" s="8">
        <f>IF(OR($G241="",$J241=""),"",IF(AND($G241&lt;=EOMONTH('02_カレンダー'!$B$4,0),$J241&gt;='02_カレンダー'!$B$4),$G241*10000+ROW(),""))</f>
        <v/>
      </c>
      <c r="AD241" s="8">
        <f>IF($H241="","",IF(ISNUMBER($H241),IF(AND($H241=INT($H241),$H241&gt;=0,$H241&lt;=24),TEXT(INT($H241),"00")&amp;":00",TEXT($H241,"hh:mm")),$H241))</f>
        <v/>
      </c>
      <c r="AE241" s="8">
        <f>IF($K241="","",IF(ISNUMBER($K241),IF(AND($K241=INT($K241),$K241&gt;=0,$K241&lt;=24),TEXT(INT($K241),"00")&amp;":00",TEXT($K241,"hh:mm")),$K241))</f>
        <v/>
      </c>
      <c r="AF241" s="8">
        <f>IF($G241="",0,$G241)</f>
        <v/>
      </c>
      <c r="AG241" s="8">
        <f>IF($J241="",0,$J241)</f>
        <v/>
      </c>
    </row>
    <row r="242">
      <c r="A242" s="8">
        <f>IF($G242="","","SS-"&amp;TEXT(ROW()-4,"0000"))</f>
        <v/>
      </c>
      <c r="B242" s="9" t="n"/>
      <c r="C242" s="9" t="n"/>
      <c r="D242" s="9" t="n"/>
      <c r="E242" s="10" t="n"/>
      <c r="F242" s="11" t="n"/>
      <c r="G242" s="12">
        <f>IF($F242="","",IF($F242&gt;31,$F242,IF($AB242="","",DATE(YEAR($AB242),MONTH($AB242),$F242))))</f>
        <v/>
      </c>
      <c r="H242" s="9" t="n"/>
      <c r="I242" s="11" t="n"/>
      <c r="J242" s="12">
        <f>IF($I242="","",IF($I242&gt;31,$I242,IF($G242="","",IF(DATE(YEAR($G242),MONTH($G242),$I242)&gt;=$G242,DATE(YEAR($G242),MONTH($G242),$I242),DATE(YEAR($G242),MONTH($G242)+1,$I242)))))</f>
        <v/>
      </c>
      <c r="K242" s="9" t="n"/>
      <c r="L242" s="13" t="n"/>
      <c r="M242" s="13" t="n"/>
      <c r="N242" s="13" t="n"/>
      <c r="O242" s="8">
        <f>IF(OR($G242="",$J242=""),"",$J242-$G242+1)</f>
        <v/>
      </c>
      <c r="P242" s="8">
        <f>IF(OR($G242="",$J242=""),"",$J242-$G242)</f>
        <v/>
      </c>
      <c r="Q242" s="9" t="n"/>
      <c r="R242" s="9" t="n"/>
      <c r="S242" s="9" t="n"/>
      <c r="T242" s="9" t="n"/>
      <c r="U242" s="9" t="n"/>
      <c r="V242" s="9" t="n"/>
      <c r="W242" s="14" t="n"/>
      <c r="X242" s="9" t="n"/>
      <c r="Y242" s="8">
        <f>IF($G242="","",IF($D242="","⚠部屋が未選択",IF(COUNTIF('M_部屋'!$A$4:$A$20,$D242)=0,"⚠部屋が未登録",IF(OR($J242="",$Q242="キャンセル"),"",IF(SUMPRODUCT(($D$5:$D$404=$D242)*($G$5:$G$404&lt;&gt;"")*($J$5:$J$404&lt;&gt;"")*($Q$5:$Q$404&lt;&gt;"キャンセル")*($G$5:$G$404&lt;$J242)*($J$5:$J$404&gt;$G242))&gt;1,"⚠重複","")))))</f>
        <v/>
      </c>
      <c r="Z242" s="8">
        <f>IF(OR($B242="",$G242=""),"",IF(SUMPRODUCT(('利用者マスタ'!$A$4:$A$60=$B242)*('利用者マスタ'!$B$4:$B$60&lt;&gt;""))=0,"",IF(SUMIFS($AA$5:$AA$404,$B$5:$B$404,$B242,$G$5:$G$404,"&gt;="&amp;DATE(YEAR($G242),MONTH($G242),1),$G$5:$G$404,"&lt;="&amp;EOMONTH($G242,0))&gt;SUMIFS('利用者マスタ'!$B$4:$B$60,'利用者マスタ'!$A$4:$A$60,$B242),"⚠支給量超過","")))</f>
        <v/>
      </c>
      <c r="AA242" s="8">
        <f>IF(OR($G242="",$J242="",$Q242="キャンセル"),0,IF(IFERROR(INDEX('M_区分'!$B$4:$B$20,MATCH($C242,'M_区分'!$A$4:$A$20,0)),"○")="○",$J242-$G242+1,0))</f>
        <v/>
      </c>
      <c r="AB242" s="8">
        <f>IF($E242&lt;&gt;"",$E242,$AB241)</f>
        <v/>
      </c>
      <c r="AC242" s="8">
        <f>IF(OR($G242="",$J242=""),"",IF(AND($G242&lt;=EOMONTH('02_カレンダー'!$B$4,0),$J242&gt;='02_カレンダー'!$B$4),$G242*10000+ROW(),""))</f>
        <v/>
      </c>
      <c r="AD242" s="8">
        <f>IF($H242="","",IF(ISNUMBER($H242),IF(AND($H242=INT($H242),$H242&gt;=0,$H242&lt;=24),TEXT(INT($H242),"00")&amp;":00",TEXT($H242,"hh:mm")),$H242))</f>
        <v/>
      </c>
      <c r="AE242" s="8">
        <f>IF($K242="","",IF(ISNUMBER($K242),IF(AND($K242=INT($K242),$K242&gt;=0,$K242&lt;=24),TEXT(INT($K242),"00")&amp;":00",TEXT($K242,"hh:mm")),$K242))</f>
        <v/>
      </c>
      <c r="AF242" s="8">
        <f>IF($G242="",0,$G242)</f>
        <v/>
      </c>
      <c r="AG242" s="8">
        <f>IF($J242="",0,$J242)</f>
        <v/>
      </c>
    </row>
    <row r="243">
      <c r="A243" s="8">
        <f>IF($G243="","","SS-"&amp;TEXT(ROW()-4,"0000"))</f>
        <v/>
      </c>
      <c r="B243" s="9" t="n"/>
      <c r="C243" s="9" t="n"/>
      <c r="D243" s="9" t="n"/>
      <c r="E243" s="10" t="n"/>
      <c r="F243" s="11" t="n"/>
      <c r="G243" s="12">
        <f>IF($F243="","",IF($F243&gt;31,$F243,IF($AB243="","",DATE(YEAR($AB243),MONTH($AB243),$F243))))</f>
        <v/>
      </c>
      <c r="H243" s="9" t="n"/>
      <c r="I243" s="11" t="n"/>
      <c r="J243" s="12">
        <f>IF($I243="","",IF($I243&gt;31,$I243,IF($G243="","",IF(DATE(YEAR($G243),MONTH($G243),$I243)&gt;=$G243,DATE(YEAR($G243),MONTH($G243),$I243),DATE(YEAR($G243),MONTH($G243)+1,$I243)))))</f>
        <v/>
      </c>
      <c r="K243" s="9" t="n"/>
      <c r="L243" s="13" t="n"/>
      <c r="M243" s="13" t="n"/>
      <c r="N243" s="13" t="n"/>
      <c r="O243" s="8">
        <f>IF(OR($G243="",$J243=""),"",$J243-$G243+1)</f>
        <v/>
      </c>
      <c r="P243" s="8">
        <f>IF(OR($G243="",$J243=""),"",$J243-$G243)</f>
        <v/>
      </c>
      <c r="Q243" s="9" t="n"/>
      <c r="R243" s="9" t="n"/>
      <c r="S243" s="9" t="n"/>
      <c r="T243" s="9" t="n"/>
      <c r="U243" s="9" t="n"/>
      <c r="V243" s="9" t="n"/>
      <c r="W243" s="14" t="n"/>
      <c r="X243" s="9" t="n"/>
      <c r="Y243" s="8">
        <f>IF($G243="","",IF($D243="","⚠部屋が未選択",IF(COUNTIF('M_部屋'!$A$4:$A$20,$D243)=0,"⚠部屋が未登録",IF(OR($J243="",$Q243="キャンセル"),"",IF(SUMPRODUCT(($D$5:$D$404=$D243)*($G$5:$G$404&lt;&gt;"")*($J$5:$J$404&lt;&gt;"")*($Q$5:$Q$404&lt;&gt;"キャンセル")*($G$5:$G$404&lt;$J243)*($J$5:$J$404&gt;$G243))&gt;1,"⚠重複","")))))</f>
        <v/>
      </c>
      <c r="Z243" s="8">
        <f>IF(OR($B243="",$G243=""),"",IF(SUMPRODUCT(('利用者マスタ'!$A$4:$A$60=$B243)*('利用者マスタ'!$B$4:$B$60&lt;&gt;""))=0,"",IF(SUMIFS($AA$5:$AA$404,$B$5:$B$404,$B243,$G$5:$G$404,"&gt;="&amp;DATE(YEAR($G243),MONTH($G243),1),$G$5:$G$404,"&lt;="&amp;EOMONTH($G243,0))&gt;SUMIFS('利用者マスタ'!$B$4:$B$60,'利用者マスタ'!$A$4:$A$60,$B243),"⚠支給量超過","")))</f>
        <v/>
      </c>
      <c r="AA243" s="8">
        <f>IF(OR($G243="",$J243="",$Q243="キャンセル"),0,IF(IFERROR(INDEX('M_区分'!$B$4:$B$20,MATCH($C243,'M_区分'!$A$4:$A$20,0)),"○")="○",$J243-$G243+1,0))</f>
        <v/>
      </c>
      <c r="AB243" s="8">
        <f>IF($E243&lt;&gt;"",$E243,$AB242)</f>
        <v/>
      </c>
      <c r="AC243" s="8">
        <f>IF(OR($G243="",$J243=""),"",IF(AND($G243&lt;=EOMONTH('02_カレンダー'!$B$4,0),$J243&gt;='02_カレンダー'!$B$4),$G243*10000+ROW(),""))</f>
        <v/>
      </c>
      <c r="AD243" s="8">
        <f>IF($H243="","",IF(ISNUMBER($H243),IF(AND($H243=INT($H243),$H243&gt;=0,$H243&lt;=24),TEXT(INT($H243),"00")&amp;":00",TEXT($H243,"hh:mm")),$H243))</f>
        <v/>
      </c>
      <c r="AE243" s="8">
        <f>IF($K243="","",IF(ISNUMBER($K243),IF(AND($K243=INT($K243),$K243&gt;=0,$K243&lt;=24),TEXT(INT($K243),"00")&amp;":00",TEXT($K243,"hh:mm")),$K243))</f>
        <v/>
      </c>
      <c r="AF243" s="8">
        <f>IF($G243="",0,$G243)</f>
        <v/>
      </c>
      <c r="AG243" s="8">
        <f>IF($J243="",0,$J243)</f>
        <v/>
      </c>
    </row>
    <row r="244">
      <c r="A244" s="8">
        <f>IF($G244="","","SS-"&amp;TEXT(ROW()-4,"0000"))</f>
        <v/>
      </c>
      <c r="B244" s="9" t="n"/>
      <c r="C244" s="9" t="n"/>
      <c r="D244" s="9" t="n"/>
      <c r="E244" s="10" t="n"/>
      <c r="F244" s="11" t="n"/>
      <c r="G244" s="12">
        <f>IF($F244="","",IF($F244&gt;31,$F244,IF($AB244="","",DATE(YEAR($AB244),MONTH($AB244),$F244))))</f>
        <v/>
      </c>
      <c r="H244" s="9" t="n"/>
      <c r="I244" s="11" t="n"/>
      <c r="J244" s="12">
        <f>IF($I244="","",IF($I244&gt;31,$I244,IF($G244="","",IF(DATE(YEAR($G244),MONTH($G244),$I244)&gt;=$G244,DATE(YEAR($G244),MONTH($G244),$I244),DATE(YEAR($G244),MONTH($G244)+1,$I244)))))</f>
        <v/>
      </c>
      <c r="K244" s="9" t="n"/>
      <c r="L244" s="13" t="n"/>
      <c r="M244" s="13" t="n"/>
      <c r="N244" s="13" t="n"/>
      <c r="O244" s="8">
        <f>IF(OR($G244="",$J244=""),"",$J244-$G244+1)</f>
        <v/>
      </c>
      <c r="P244" s="8">
        <f>IF(OR($G244="",$J244=""),"",$J244-$G244)</f>
        <v/>
      </c>
      <c r="Q244" s="9" t="n"/>
      <c r="R244" s="9" t="n"/>
      <c r="S244" s="9" t="n"/>
      <c r="T244" s="9" t="n"/>
      <c r="U244" s="9" t="n"/>
      <c r="V244" s="9" t="n"/>
      <c r="W244" s="14" t="n"/>
      <c r="X244" s="9" t="n"/>
      <c r="Y244" s="8">
        <f>IF($G244="","",IF($D244="","⚠部屋が未選択",IF(COUNTIF('M_部屋'!$A$4:$A$20,$D244)=0,"⚠部屋が未登録",IF(OR($J244="",$Q244="キャンセル"),"",IF(SUMPRODUCT(($D$5:$D$404=$D244)*($G$5:$G$404&lt;&gt;"")*($J$5:$J$404&lt;&gt;"")*($Q$5:$Q$404&lt;&gt;"キャンセル")*($G$5:$G$404&lt;$J244)*($J$5:$J$404&gt;$G244))&gt;1,"⚠重複","")))))</f>
        <v/>
      </c>
      <c r="Z244" s="8">
        <f>IF(OR($B244="",$G244=""),"",IF(SUMPRODUCT(('利用者マスタ'!$A$4:$A$60=$B244)*('利用者マスタ'!$B$4:$B$60&lt;&gt;""))=0,"",IF(SUMIFS($AA$5:$AA$404,$B$5:$B$404,$B244,$G$5:$G$404,"&gt;="&amp;DATE(YEAR($G244),MONTH($G244),1),$G$5:$G$404,"&lt;="&amp;EOMONTH($G244,0))&gt;SUMIFS('利用者マスタ'!$B$4:$B$60,'利用者マスタ'!$A$4:$A$60,$B244),"⚠支給量超過","")))</f>
        <v/>
      </c>
      <c r="AA244" s="8">
        <f>IF(OR($G244="",$J244="",$Q244="キャンセル"),0,IF(IFERROR(INDEX('M_区分'!$B$4:$B$20,MATCH($C244,'M_区分'!$A$4:$A$20,0)),"○")="○",$J244-$G244+1,0))</f>
        <v/>
      </c>
      <c r="AB244" s="8">
        <f>IF($E244&lt;&gt;"",$E244,$AB243)</f>
        <v/>
      </c>
      <c r="AC244" s="8">
        <f>IF(OR($G244="",$J244=""),"",IF(AND($G244&lt;=EOMONTH('02_カレンダー'!$B$4,0),$J244&gt;='02_カレンダー'!$B$4),$G244*10000+ROW(),""))</f>
        <v/>
      </c>
      <c r="AD244" s="8">
        <f>IF($H244="","",IF(ISNUMBER($H244),IF(AND($H244=INT($H244),$H244&gt;=0,$H244&lt;=24),TEXT(INT($H244),"00")&amp;":00",TEXT($H244,"hh:mm")),$H244))</f>
        <v/>
      </c>
      <c r="AE244" s="8">
        <f>IF($K244="","",IF(ISNUMBER($K244),IF(AND($K244=INT($K244),$K244&gt;=0,$K244&lt;=24),TEXT(INT($K244),"00")&amp;":00",TEXT($K244,"hh:mm")),$K244))</f>
        <v/>
      </c>
      <c r="AF244" s="8">
        <f>IF($G244="",0,$G244)</f>
        <v/>
      </c>
      <c r="AG244" s="8">
        <f>IF($J244="",0,$J244)</f>
        <v/>
      </c>
    </row>
    <row r="245">
      <c r="A245" s="8">
        <f>IF($G245="","","SS-"&amp;TEXT(ROW()-4,"0000"))</f>
        <v/>
      </c>
      <c r="B245" s="9" t="n"/>
      <c r="C245" s="9" t="n"/>
      <c r="D245" s="9" t="n"/>
      <c r="E245" s="10" t="n"/>
      <c r="F245" s="11" t="n"/>
      <c r="G245" s="12">
        <f>IF($F245="","",IF($F245&gt;31,$F245,IF($AB245="","",DATE(YEAR($AB245),MONTH($AB245),$F245))))</f>
        <v/>
      </c>
      <c r="H245" s="9" t="n"/>
      <c r="I245" s="11" t="n"/>
      <c r="J245" s="12">
        <f>IF($I245="","",IF($I245&gt;31,$I245,IF($G245="","",IF(DATE(YEAR($G245),MONTH($G245),$I245)&gt;=$G245,DATE(YEAR($G245),MONTH($G245),$I245),DATE(YEAR($G245),MONTH($G245)+1,$I245)))))</f>
        <v/>
      </c>
      <c r="K245" s="9" t="n"/>
      <c r="L245" s="13" t="n"/>
      <c r="M245" s="13" t="n"/>
      <c r="N245" s="13" t="n"/>
      <c r="O245" s="8">
        <f>IF(OR($G245="",$J245=""),"",$J245-$G245+1)</f>
        <v/>
      </c>
      <c r="P245" s="8">
        <f>IF(OR($G245="",$J245=""),"",$J245-$G245)</f>
        <v/>
      </c>
      <c r="Q245" s="9" t="n"/>
      <c r="R245" s="9" t="n"/>
      <c r="S245" s="9" t="n"/>
      <c r="T245" s="9" t="n"/>
      <c r="U245" s="9" t="n"/>
      <c r="V245" s="9" t="n"/>
      <c r="W245" s="14" t="n"/>
      <c r="X245" s="9" t="n"/>
      <c r="Y245" s="8">
        <f>IF($G245="","",IF($D245="","⚠部屋が未選択",IF(COUNTIF('M_部屋'!$A$4:$A$20,$D245)=0,"⚠部屋が未登録",IF(OR($J245="",$Q245="キャンセル"),"",IF(SUMPRODUCT(($D$5:$D$404=$D245)*($G$5:$G$404&lt;&gt;"")*($J$5:$J$404&lt;&gt;"")*($Q$5:$Q$404&lt;&gt;"キャンセル")*($G$5:$G$404&lt;$J245)*($J$5:$J$404&gt;$G245))&gt;1,"⚠重複","")))))</f>
        <v/>
      </c>
      <c r="Z245" s="8">
        <f>IF(OR($B245="",$G245=""),"",IF(SUMPRODUCT(('利用者マスタ'!$A$4:$A$60=$B245)*('利用者マスタ'!$B$4:$B$60&lt;&gt;""))=0,"",IF(SUMIFS($AA$5:$AA$404,$B$5:$B$404,$B245,$G$5:$G$404,"&gt;="&amp;DATE(YEAR($G245),MONTH($G245),1),$G$5:$G$404,"&lt;="&amp;EOMONTH($G245,0))&gt;SUMIFS('利用者マスタ'!$B$4:$B$60,'利用者マスタ'!$A$4:$A$60,$B245),"⚠支給量超過","")))</f>
        <v/>
      </c>
      <c r="AA245" s="8">
        <f>IF(OR($G245="",$J245="",$Q245="キャンセル"),0,IF(IFERROR(INDEX('M_区分'!$B$4:$B$20,MATCH($C245,'M_区分'!$A$4:$A$20,0)),"○")="○",$J245-$G245+1,0))</f>
        <v/>
      </c>
      <c r="AB245" s="8">
        <f>IF($E245&lt;&gt;"",$E245,$AB244)</f>
        <v/>
      </c>
      <c r="AC245" s="8">
        <f>IF(OR($G245="",$J245=""),"",IF(AND($G245&lt;=EOMONTH('02_カレンダー'!$B$4,0),$J245&gt;='02_カレンダー'!$B$4),$G245*10000+ROW(),""))</f>
        <v/>
      </c>
      <c r="AD245" s="8">
        <f>IF($H245="","",IF(ISNUMBER($H245),IF(AND($H245=INT($H245),$H245&gt;=0,$H245&lt;=24),TEXT(INT($H245),"00")&amp;":00",TEXT($H245,"hh:mm")),$H245))</f>
        <v/>
      </c>
      <c r="AE245" s="8">
        <f>IF($K245="","",IF(ISNUMBER($K245),IF(AND($K245=INT($K245),$K245&gt;=0,$K245&lt;=24),TEXT(INT($K245),"00")&amp;":00",TEXT($K245,"hh:mm")),$K245))</f>
        <v/>
      </c>
      <c r="AF245" s="8">
        <f>IF($G245="",0,$G245)</f>
        <v/>
      </c>
      <c r="AG245" s="8">
        <f>IF($J245="",0,$J245)</f>
        <v/>
      </c>
    </row>
    <row r="246">
      <c r="A246" s="8">
        <f>IF($G246="","","SS-"&amp;TEXT(ROW()-4,"0000"))</f>
        <v/>
      </c>
      <c r="B246" s="9" t="n"/>
      <c r="C246" s="9" t="n"/>
      <c r="D246" s="9" t="n"/>
      <c r="E246" s="10" t="n"/>
      <c r="F246" s="11" t="n"/>
      <c r="G246" s="12">
        <f>IF($F246="","",IF($F246&gt;31,$F246,IF($AB246="","",DATE(YEAR($AB246),MONTH($AB246),$F246))))</f>
        <v/>
      </c>
      <c r="H246" s="9" t="n"/>
      <c r="I246" s="11" t="n"/>
      <c r="J246" s="12">
        <f>IF($I246="","",IF($I246&gt;31,$I246,IF($G246="","",IF(DATE(YEAR($G246),MONTH($G246),$I246)&gt;=$G246,DATE(YEAR($G246),MONTH($G246),$I246),DATE(YEAR($G246),MONTH($G246)+1,$I246)))))</f>
        <v/>
      </c>
      <c r="K246" s="9" t="n"/>
      <c r="L246" s="13" t="n"/>
      <c r="M246" s="13" t="n"/>
      <c r="N246" s="13" t="n"/>
      <c r="O246" s="8">
        <f>IF(OR($G246="",$J246=""),"",$J246-$G246+1)</f>
        <v/>
      </c>
      <c r="P246" s="8">
        <f>IF(OR($G246="",$J246=""),"",$J246-$G246)</f>
        <v/>
      </c>
      <c r="Q246" s="9" t="n"/>
      <c r="R246" s="9" t="n"/>
      <c r="S246" s="9" t="n"/>
      <c r="T246" s="9" t="n"/>
      <c r="U246" s="9" t="n"/>
      <c r="V246" s="9" t="n"/>
      <c r="W246" s="14" t="n"/>
      <c r="X246" s="9" t="n"/>
      <c r="Y246" s="8">
        <f>IF($G246="","",IF($D246="","⚠部屋が未選択",IF(COUNTIF('M_部屋'!$A$4:$A$20,$D246)=0,"⚠部屋が未登録",IF(OR($J246="",$Q246="キャンセル"),"",IF(SUMPRODUCT(($D$5:$D$404=$D246)*($G$5:$G$404&lt;&gt;"")*($J$5:$J$404&lt;&gt;"")*($Q$5:$Q$404&lt;&gt;"キャンセル")*($G$5:$G$404&lt;$J246)*($J$5:$J$404&gt;$G246))&gt;1,"⚠重複","")))))</f>
        <v/>
      </c>
      <c r="Z246" s="8">
        <f>IF(OR($B246="",$G246=""),"",IF(SUMPRODUCT(('利用者マスタ'!$A$4:$A$60=$B246)*('利用者マスタ'!$B$4:$B$60&lt;&gt;""))=0,"",IF(SUMIFS($AA$5:$AA$404,$B$5:$B$404,$B246,$G$5:$G$404,"&gt;="&amp;DATE(YEAR($G246),MONTH($G246),1),$G$5:$G$404,"&lt;="&amp;EOMONTH($G246,0))&gt;SUMIFS('利用者マスタ'!$B$4:$B$60,'利用者マスタ'!$A$4:$A$60,$B246),"⚠支給量超過","")))</f>
        <v/>
      </c>
      <c r="AA246" s="8">
        <f>IF(OR($G246="",$J246="",$Q246="キャンセル"),0,IF(IFERROR(INDEX('M_区分'!$B$4:$B$20,MATCH($C246,'M_区分'!$A$4:$A$20,0)),"○")="○",$J246-$G246+1,0))</f>
        <v/>
      </c>
      <c r="AB246" s="8">
        <f>IF($E246&lt;&gt;"",$E246,$AB245)</f>
        <v/>
      </c>
      <c r="AC246" s="8">
        <f>IF(OR($G246="",$J246=""),"",IF(AND($G246&lt;=EOMONTH('02_カレンダー'!$B$4,0),$J246&gt;='02_カレンダー'!$B$4),$G246*10000+ROW(),""))</f>
        <v/>
      </c>
      <c r="AD246" s="8">
        <f>IF($H246="","",IF(ISNUMBER($H246),IF(AND($H246=INT($H246),$H246&gt;=0,$H246&lt;=24),TEXT(INT($H246),"00")&amp;":00",TEXT($H246,"hh:mm")),$H246))</f>
        <v/>
      </c>
      <c r="AE246" s="8">
        <f>IF($K246="","",IF(ISNUMBER($K246),IF(AND($K246=INT($K246),$K246&gt;=0,$K246&lt;=24),TEXT(INT($K246),"00")&amp;":00",TEXT($K246,"hh:mm")),$K246))</f>
        <v/>
      </c>
      <c r="AF246" s="8">
        <f>IF($G246="",0,$G246)</f>
        <v/>
      </c>
      <c r="AG246" s="8">
        <f>IF($J246="",0,$J246)</f>
        <v/>
      </c>
    </row>
    <row r="247">
      <c r="A247" s="8">
        <f>IF($G247="","","SS-"&amp;TEXT(ROW()-4,"0000"))</f>
        <v/>
      </c>
      <c r="B247" s="9" t="n"/>
      <c r="C247" s="9" t="n"/>
      <c r="D247" s="9" t="n"/>
      <c r="E247" s="10" t="n"/>
      <c r="F247" s="11" t="n"/>
      <c r="G247" s="12">
        <f>IF($F247="","",IF($F247&gt;31,$F247,IF($AB247="","",DATE(YEAR($AB247),MONTH($AB247),$F247))))</f>
        <v/>
      </c>
      <c r="H247" s="9" t="n"/>
      <c r="I247" s="11" t="n"/>
      <c r="J247" s="12">
        <f>IF($I247="","",IF($I247&gt;31,$I247,IF($G247="","",IF(DATE(YEAR($G247),MONTH($G247),$I247)&gt;=$G247,DATE(YEAR($G247),MONTH($G247),$I247),DATE(YEAR($G247),MONTH($G247)+1,$I247)))))</f>
        <v/>
      </c>
      <c r="K247" s="9" t="n"/>
      <c r="L247" s="13" t="n"/>
      <c r="M247" s="13" t="n"/>
      <c r="N247" s="13" t="n"/>
      <c r="O247" s="8">
        <f>IF(OR($G247="",$J247=""),"",$J247-$G247+1)</f>
        <v/>
      </c>
      <c r="P247" s="8">
        <f>IF(OR($G247="",$J247=""),"",$J247-$G247)</f>
        <v/>
      </c>
      <c r="Q247" s="9" t="n"/>
      <c r="R247" s="9" t="n"/>
      <c r="S247" s="9" t="n"/>
      <c r="T247" s="9" t="n"/>
      <c r="U247" s="9" t="n"/>
      <c r="V247" s="9" t="n"/>
      <c r="W247" s="14" t="n"/>
      <c r="X247" s="9" t="n"/>
      <c r="Y247" s="8">
        <f>IF($G247="","",IF($D247="","⚠部屋が未選択",IF(COUNTIF('M_部屋'!$A$4:$A$20,$D247)=0,"⚠部屋が未登録",IF(OR($J247="",$Q247="キャンセル"),"",IF(SUMPRODUCT(($D$5:$D$404=$D247)*($G$5:$G$404&lt;&gt;"")*($J$5:$J$404&lt;&gt;"")*($Q$5:$Q$404&lt;&gt;"キャンセル")*($G$5:$G$404&lt;$J247)*($J$5:$J$404&gt;$G247))&gt;1,"⚠重複","")))))</f>
        <v/>
      </c>
      <c r="Z247" s="8">
        <f>IF(OR($B247="",$G247=""),"",IF(SUMPRODUCT(('利用者マスタ'!$A$4:$A$60=$B247)*('利用者マスタ'!$B$4:$B$60&lt;&gt;""))=0,"",IF(SUMIFS($AA$5:$AA$404,$B$5:$B$404,$B247,$G$5:$G$404,"&gt;="&amp;DATE(YEAR($G247),MONTH($G247),1),$G$5:$G$404,"&lt;="&amp;EOMONTH($G247,0))&gt;SUMIFS('利用者マスタ'!$B$4:$B$60,'利用者マスタ'!$A$4:$A$60,$B247),"⚠支給量超過","")))</f>
        <v/>
      </c>
      <c r="AA247" s="8">
        <f>IF(OR($G247="",$J247="",$Q247="キャンセル"),0,IF(IFERROR(INDEX('M_区分'!$B$4:$B$20,MATCH($C247,'M_区分'!$A$4:$A$20,0)),"○")="○",$J247-$G247+1,0))</f>
        <v/>
      </c>
      <c r="AB247" s="8">
        <f>IF($E247&lt;&gt;"",$E247,$AB246)</f>
        <v/>
      </c>
      <c r="AC247" s="8">
        <f>IF(OR($G247="",$J247=""),"",IF(AND($G247&lt;=EOMONTH('02_カレンダー'!$B$4,0),$J247&gt;='02_カレンダー'!$B$4),$G247*10000+ROW(),""))</f>
        <v/>
      </c>
      <c r="AD247" s="8">
        <f>IF($H247="","",IF(ISNUMBER($H247),IF(AND($H247=INT($H247),$H247&gt;=0,$H247&lt;=24),TEXT(INT($H247),"00")&amp;":00",TEXT($H247,"hh:mm")),$H247))</f>
        <v/>
      </c>
      <c r="AE247" s="8">
        <f>IF($K247="","",IF(ISNUMBER($K247),IF(AND($K247=INT($K247),$K247&gt;=0,$K247&lt;=24),TEXT(INT($K247),"00")&amp;":00",TEXT($K247,"hh:mm")),$K247))</f>
        <v/>
      </c>
      <c r="AF247" s="8">
        <f>IF($G247="",0,$G247)</f>
        <v/>
      </c>
      <c r="AG247" s="8">
        <f>IF($J247="",0,$J247)</f>
        <v/>
      </c>
    </row>
    <row r="248">
      <c r="A248" s="8">
        <f>IF($G248="","","SS-"&amp;TEXT(ROW()-4,"0000"))</f>
        <v/>
      </c>
      <c r="B248" s="9" t="n"/>
      <c r="C248" s="9" t="n"/>
      <c r="D248" s="9" t="n"/>
      <c r="E248" s="10" t="n"/>
      <c r="F248" s="11" t="n"/>
      <c r="G248" s="12">
        <f>IF($F248="","",IF($F248&gt;31,$F248,IF($AB248="","",DATE(YEAR($AB248),MONTH($AB248),$F248))))</f>
        <v/>
      </c>
      <c r="H248" s="9" t="n"/>
      <c r="I248" s="11" t="n"/>
      <c r="J248" s="12">
        <f>IF($I248="","",IF($I248&gt;31,$I248,IF($G248="","",IF(DATE(YEAR($G248),MONTH($G248),$I248)&gt;=$G248,DATE(YEAR($G248),MONTH($G248),$I248),DATE(YEAR($G248),MONTH($G248)+1,$I248)))))</f>
        <v/>
      </c>
      <c r="K248" s="9" t="n"/>
      <c r="L248" s="13" t="n"/>
      <c r="M248" s="13" t="n"/>
      <c r="N248" s="13" t="n"/>
      <c r="O248" s="8">
        <f>IF(OR($G248="",$J248=""),"",$J248-$G248+1)</f>
        <v/>
      </c>
      <c r="P248" s="8">
        <f>IF(OR($G248="",$J248=""),"",$J248-$G248)</f>
        <v/>
      </c>
      <c r="Q248" s="9" t="n"/>
      <c r="R248" s="9" t="n"/>
      <c r="S248" s="9" t="n"/>
      <c r="T248" s="9" t="n"/>
      <c r="U248" s="9" t="n"/>
      <c r="V248" s="9" t="n"/>
      <c r="W248" s="14" t="n"/>
      <c r="X248" s="9" t="n"/>
      <c r="Y248" s="8">
        <f>IF($G248="","",IF($D248="","⚠部屋が未選択",IF(COUNTIF('M_部屋'!$A$4:$A$20,$D248)=0,"⚠部屋が未登録",IF(OR($J248="",$Q248="キャンセル"),"",IF(SUMPRODUCT(($D$5:$D$404=$D248)*($G$5:$G$404&lt;&gt;"")*($J$5:$J$404&lt;&gt;"")*($Q$5:$Q$404&lt;&gt;"キャンセル")*($G$5:$G$404&lt;$J248)*($J$5:$J$404&gt;$G248))&gt;1,"⚠重複","")))))</f>
        <v/>
      </c>
      <c r="Z248" s="8">
        <f>IF(OR($B248="",$G248=""),"",IF(SUMPRODUCT(('利用者マスタ'!$A$4:$A$60=$B248)*('利用者マスタ'!$B$4:$B$60&lt;&gt;""))=0,"",IF(SUMIFS($AA$5:$AA$404,$B$5:$B$404,$B248,$G$5:$G$404,"&gt;="&amp;DATE(YEAR($G248),MONTH($G248),1),$G$5:$G$404,"&lt;="&amp;EOMONTH($G248,0))&gt;SUMIFS('利用者マスタ'!$B$4:$B$60,'利用者マスタ'!$A$4:$A$60,$B248),"⚠支給量超過","")))</f>
        <v/>
      </c>
      <c r="AA248" s="8">
        <f>IF(OR($G248="",$J248="",$Q248="キャンセル"),0,IF(IFERROR(INDEX('M_区分'!$B$4:$B$20,MATCH($C248,'M_区分'!$A$4:$A$20,0)),"○")="○",$J248-$G248+1,0))</f>
        <v/>
      </c>
      <c r="AB248" s="8">
        <f>IF($E248&lt;&gt;"",$E248,$AB247)</f>
        <v/>
      </c>
      <c r="AC248" s="8">
        <f>IF(OR($G248="",$J248=""),"",IF(AND($G248&lt;=EOMONTH('02_カレンダー'!$B$4,0),$J248&gt;='02_カレンダー'!$B$4),$G248*10000+ROW(),""))</f>
        <v/>
      </c>
      <c r="AD248" s="8">
        <f>IF($H248="","",IF(ISNUMBER($H248),IF(AND($H248=INT($H248),$H248&gt;=0,$H248&lt;=24),TEXT(INT($H248),"00")&amp;":00",TEXT($H248,"hh:mm")),$H248))</f>
        <v/>
      </c>
      <c r="AE248" s="8">
        <f>IF($K248="","",IF(ISNUMBER($K248),IF(AND($K248=INT($K248),$K248&gt;=0,$K248&lt;=24),TEXT(INT($K248),"00")&amp;":00",TEXT($K248,"hh:mm")),$K248))</f>
        <v/>
      </c>
      <c r="AF248" s="8">
        <f>IF($G248="",0,$G248)</f>
        <v/>
      </c>
      <c r="AG248" s="8">
        <f>IF($J248="",0,$J248)</f>
        <v/>
      </c>
    </row>
    <row r="249">
      <c r="A249" s="8">
        <f>IF($G249="","","SS-"&amp;TEXT(ROW()-4,"0000"))</f>
        <v/>
      </c>
      <c r="B249" s="9" t="n"/>
      <c r="C249" s="9" t="n"/>
      <c r="D249" s="9" t="n"/>
      <c r="E249" s="10" t="n"/>
      <c r="F249" s="11" t="n"/>
      <c r="G249" s="12">
        <f>IF($F249="","",IF($F249&gt;31,$F249,IF($AB249="","",DATE(YEAR($AB249),MONTH($AB249),$F249))))</f>
        <v/>
      </c>
      <c r="H249" s="9" t="n"/>
      <c r="I249" s="11" t="n"/>
      <c r="J249" s="12">
        <f>IF($I249="","",IF($I249&gt;31,$I249,IF($G249="","",IF(DATE(YEAR($G249),MONTH($G249),$I249)&gt;=$G249,DATE(YEAR($G249),MONTH($G249),$I249),DATE(YEAR($G249),MONTH($G249)+1,$I249)))))</f>
        <v/>
      </c>
      <c r="K249" s="9" t="n"/>
      <c r="L249" s="13" t="n"/>
      <c r="M249" s="13" t="n"/>
      <c r="N249" s="13" t="n"/>
      <c r="O249" s="8">
        <f>IF(OR($G249="",$J249=""),"",$J249-$G249+1)</f>
        <v/>
      </c>
      <c r="P249" s="8">
        <f>IF(OR($G249="",$J249=""),"",$J249-$G249)</f>
        <v/>
      </c>
      <c r="Q249" s="9" t="n"/>
      <c r="R249" s="9" t="n"/>
      <c r="S249" s="9" t="n"/>
      <c r="T249" s="9" t="n"/>
      <c r="U249" s="9" t="n"/>
      <c r="V249" s="9" t="n"/>
      <c r="W249" s="14" t="n"/>
      <c r="X249" s="9" t="n"/>
      <c r="Y249" s="8">
        <f>IF($G249="","",IF($D249="","⚠部屋が未選択",IF(COUNTIF('M_部屋'!$A$4:$A$20,$D249)=0,"⚠部屋が未登録",IF(OR($J249="",$Q249="キャンセル"),"",IF(SUMPRODUCT(($D$5:$D$404=$D249)*($G$5:$G$404&lt;&gt;"")*($J$5:$J$404&lt;&gt;"")*($Q$5:$Q$404&lt;&gt;"キャンセル")*($G$5:$G$404&lt;$J249)*($J$5:$J$404&gt;$G249))&gt;1,"⚠重複","")))))</f>
        <v/>
      </c>
      <c r="Z249" s="8">
        <f>IF(OR($B249="",$G249=""),"",IF(SUMPRODUCT(('利用者マスタ'!$A$4:$A$60=$B249)*('利用者マスタ'!$B$4:$B$60&lt;&gt;""))=0,"",IF(SUMIFS($AA$5:$AA$404,$B$5:$B$404,$B249,$G$5:$G$404,"&gt;="&amp;DATE(YEAR($G249),MONTH($G249),1),$G$5:$G$404,"&lt;="&amp;EOMONTH($G249,0))&gt;SUMIFS('利用者マスタ'!$B$4:$B$60,'利用者マスタ'!$A$4:$A$60,$B249),"⚠支給量超過","")))</f>
        <v/>
      </c>
      <c r="AA249" s="8">
        <f>IF(OR($G249="",$J249="",$Q249="キャンセル"),0,IF(IFERROR(INDEX('M_区分'!$B$4:$B$20,MATCH($C249,'M_区分'!$A$4:$A$20,0)),"○")="○",$J249-$G249+1,0))</f>
        <v/>
      </c>
      <c r="AB249" s="8">
        <f>IF($E249&lt;&gt;"",$E249,$AB248)</f>
        <v/>
      </c>
      <c r="AC249" s="8">
        <f>IF(OR($G249="",$J249=""),"",IF(AND($G249&lt;=EOMONTH('02_カレンダー'!$B$4,0),$J249&gt;='02_カレンダー'!$B$4),$G249*10000+ROW(),""))</f>
        <v/>
      </c>
      <c r="AD249" s="8">
        <f>IF($H249="","",IF(ISNUMBER($H249),IF(AND($H249=INT($H249),$H249&gt;=0,$H249&lt;=24),TEXT(INT($H249),"00")&amp;":00",TEXT($H249,"hh:mm")),$H249))</f>
        <v/>
      </c>
      <c r="AE249" s="8">
        <f>IF($K249="","",IF(ISNUMBER($K249),IF(AND($K249=INT($K249),$K249&gt;=0,$K249&lt;=24),TEXT(INT($K249),"00")&amp;":00",TEXT($K249,"hh:mm")),$K249))</f>
        <v/>
      </c>
      <c r="AF249" s="8">
        <f>IF($G249="",0,$G249)</f>
        <v/>
      </c>
      <c r="AG249" s="8">
        <f>IF($J249="",0,$J249)</f>
        <v/>
      </c>
    </row>
    <row r="250">
      <c r="A250" s="8">
        <f>IF($G250="","","SS-"&amp;TEXT(ROW()-4,"0000"))</f>
        <v/>
      </c>
      <c r="B250" s="9" t="n"/>
      <c r="C250" s="9" t="n"/>
      <c r="D250" s="9" t="n"/>
      <c r="E250" s="10" t="n"/>
      <c r="F250" s="11" t="n"/>
      <c r="G250" s="12">
        <f>IF($F250="","",IF($F250&gt;31,$F250,IF($AB250="","",DATE(YEAR($AB250),MONTH($AB250),$F250))))</f>
        <v/>
      </c>
      <c r="H250" s="9" t="n"/>
      <c r="I250" s="11" t="n"/>
      <c r="J250" s="12">
        <f>IF($I250="","",IF($I250&gt;31,$I250,IF($G250="","",IF(DATE(YEAR($G250),MONTH($G250),$I250)&gt;=$G250,DATE(YEAR($G250),MONTH($G250),$I250),DATE(YEAR($G250),MONTH($G250)+1,$I250)))))</f>
        <v/>
      </c>
      <c r="K250" s="9" t="n"/>
      <c r="L250" s="13" t="n"/>
      <c r="M250" s="13" t="n"/>
      <c r="N250" s="13" t="n"/>
      <c r="O250" s="8">
        <f>IF(OR($G250="",$J250=""),"",$J250-$G250+1)</f>
        <v/>
      </c>
      <c r="P250" s="8">
        <f>IF(OR($G250="",$J250=""),"",$J250-$G250)</f>
        <v/>
      </c>
      <c r="Q250" s="9" t="n"/>
      <c r="R250" s="9" t="n"/>
      <c r="S250" s="9" t="n"/>
      <c r="T250" s="9" t="n"/>
      <c r="U250" s="9" t="n"/>
      <c r="V250" s="9" t="n"/>
      <c r="W250" s="14" t="n"/>
      <c r="X250" s="9" t="n"/>
      <c r="Y250" s="8">
        <f>IF($G250="","",IF($D250="","⚠部屋が未選択",IF(COUNTIF('M_部屋'!$A$4:$A$20,$D250)=0,"⚠部屋が未登録",IF(OR($J250="",$Q250="キャンセル"),"",IF(SUMPRODUCT(($D$5:$D$404=$D250)*($G$5:$G$404&lt;&gt;"")*($J$5:$J$404&lt;&gt;"")*($Q$5:$Q$404&lt;&gt;"キャンセル")*($G$5:$G$404&lt;$J250)*($J$5:$J$404&gt;$G250))&gt;1,"⚠重複","")))))</f>
        <v/>
      </c>
      <c r="Z250" s="8">
        <f>IF(OR($B250="",$G250=""),"",IF(SUMPRODUCT(('利用者マスタ'!$A$4:$A$60=$B250)*('利用者マスタ'!$B$4:$B$60&lt;&gt;""))=0,"",IF(SUMIFS($AA$5:$AA$404,$B$5:$B$404,$B250,$G$5:$G$404,"&gt;="&amp;DATE(YEAR($G250),MONTH($G250),1),$G$5:$G$404,"&lt;="&amp;EOMONTH($G250,0))&gt;SUMIFS('利用者マスタ'!$B$4:$B$60,'利用者マスタ'!$A$4:$A$60,$B250),"⚠支給量超過","")))</f>
        <v/>
      </c>
      <c r="AA250" s="8">
        <f>IF(OR($G250="",$J250="",$Q250="キャンセル"),0,IF(IFERROR(INDEX('M_区分'!$B$4:$B$20,MATCH($C250,'M_区分'!$A$4:$A$20,0)),"○")="○",$J250-$G250+1,0))</f>
        <v/>
      </c>
      <c r="AB250" s="8">
        <f>IF($E250&lt;&gt;"",$E250,$AB249)</f>
        <v/>
      </c>
      <c r="AC250" s="8">
        <f>IF(OR($G250="",$J250=""),"",IF(AND($G250&lt;=EOMONTH('02_カレンダー'!$B$4,0),$J250&gt;='02_カレンダー'!$B$4),$G250*10000+ROW(),""))</f>
        <v/>
      </c>
      <c r="AD250" s="8">
        <f>IF($H250="","",IF(ISNUMBER($H250),IF(AND($H250=INT($H250),$H250&gt;=0,$H250&lt;=24),TEXT(INT($H250),"00")&amp;":00",TEXT($H250,"hh:mm")),$H250))</f>
        <v/>
      </c>
      <c r="AE250" s="8">
        <f>IF($K250="","",IF(ISNUMBER($K250),IF(AND($K250=INT($K250),$K250&gt;=0,$K250&lt;=24),TEXT(INT($K250),"00")&amp;":00",TEXT($K250,"hh:mm")),$K250))</f>
        <v/>
      </c>
      <c r="AF250" s="8">
        <f>IF($G250="",0,$G250)</f>
        <v/>
      </c>
      <c r="AG250" s="8">
        <f>IF($J250="",0,$J250)</f>
        <v/>
      </c>
    </row>
    <row r="251">
      <c r="A251" s="8">
        <f>IF($G251="","","SS-"&amp;TEXT(ROW()-4,"0000"))</f>
        <v/>
      </c>
      <c r="B251" s="9" t="n"/>
      <c r="C251" s="9" t="n"/>
      <c r="D251" s="9" t="n"/>
      <c r="E251" s="10" t="n"/>
      <c r="F251" s="11" t="n"/>
      <c r="G251" s="12">
        <f>IF($F251="","",IF($F251&gt;31,$F251,IF($AB251="","",DATE(YEAR($AB251),MONTH($AB251),$F251))))</f>
        <v/>
      </c>
      <c r="H251" s="9" t="n"/>
      <c r="I251" s="11" t="n"/>
      <c r="J251" s="12">
        <f>IF($I251="","",IF($I251&gt;31,$I251,IF($G251="","",IF(DATE(YEAR($G251),MONTH($G251),$I251)&gt;=$G251,DATE(YEAR($G251),MONTH($G251),$I251),DATE(YEAR($G251),MONTH($G251)+1,$I251)))))</f>
        <v/>
      </c>
      <c r="K251" s="9" t="n"/>
      <c r="L251" s="13" t="n"/>
      <c r="M251" s="13" t="n"/>
      <c r="N251" s="13" t="n"/>
      <c r="O251" s="8">
        <f>IF(OR($G251="",$J251=""),"",$J251-$G251+1)</f>
        <v/>
      </c>
      <c r="P251" s="8">
        <f>IF(OR($G251="",$J251=""),"",$J251-$G251)</f>
        <v/>
      </c>
      <c r="Q251" s="9" t="n"/>
      <c r="R251" s="9" t="n"/>
      <c r="S251" s="9" t="n"/>
      <c r="T251" s="9" t="n"/>
      <c r="U251" s="9" t="n"/>
      <c r="V251" s="9" t="n"/>
      <c r="W251" s="14" t="n"/>
      <c r="X251" s="9" t="n"/>
      <c r="Y251" s="8">
        <f>IF($G251="","",IF($D251="","⚠部屋が未選択",IF(COUNTIF('M_部屋'!$A$4:$A$20,$D251)=0,"⚠部屋が未登録",IF(OR($J251="",$Q251="キャンセル"),"",IF(SUMPRODUCT(($D$5:$D$404=$D251)*($G$5:$G$404&lt;&gt;"")*($J$5:$J$404&lt;&gt;"")*($Q$5:$Q$404&lt;&gt;"キャンセル")*($G$5:$G$404&lt;$J251)*($J$5:$J$404&gt;$G251))&gt;1,"⚠重複","")))))</f>
        <v/>
      </c>
      <c r="Z251" s="8">
        <f>IF(OR($B251="",$G251=""),"",IF(SUMPRODUCT(('利用者マスタ'!$A$4:$A$60=$B251)*('利用者マスタ'!$B$4:$B$60&lt;&gt;""))=0,"",IF(SUMIFS($AA$5:$AA$404,$B$5:$B$404,$B251,$G$5:$G$404,"&gt;="&amp;DATE(YEAR($G251),MONTH($G251),1),$G$5:$G$404,"&lt;="&amp;EOMONTH($G251,0))&gt;SUMIFS('利用者マスタ'!$B$4:$B$60,'利用者マスタ'!$A$4:$A$60,$B251),"⚠支給量超過","")))</f>
        <v/>
      </c>
      <c r="AA251" s="8">
        <f>IF(OR($G251="",$J251="",$Q251="キャンセル"),0,IF(IFERROR(INDEX('M_区分'!$B$4:$B$20,MATCH($C251,'M_区分'!$A$4:$A$20,0)),"○")="○",$J251-$G251+1,0))</f>
        <v/>
      </c>
      <c r="AB251" s="8">
        <f>IF($E251&lt;&gt;"",$E251,$AB250)</f>
        <v/>
      </c>
      <c r="AC251" s="8">
        <f>IF(OR($G251="",$J251=""),"",IF(AND($G251&lt;=EOMONTH('02_カレンダー'!$B$4,0),$J251&gt;='02_カレンダー'!$B$4),$G251*10000+ROW(),""))</f>
        <v/>
      </c>
      <c r="AD251" s="8">
        <f>IF($H251="","",IF(ISNUMBER($H251),IF(AND($H251=INT($H251),$H251&gt;=0,$H251&lt;=24),TEXT(INT($H251),"00")&amp;":00",TEXT($H251,"hh:mm")),$H251))</f>
        <v/>
      </c>
      <c r="AE251" s="8">
        <f>IF($K251="","",IF(ISNUMBER($K251),IF(AND($K251=INT($K251),$K251&gt;=0,$K251&lt;=24),TEXT(INT($K251),"00")&amp;":00",TEXT($K251,"hh:mm")),$K251))</f>
        <v/>
      </c>
      <c r="AF251" s="8">
        <f>IF($G251="",0,$G251)</f>
        <v/>
      </c>
      <c r="AG251" s="8">
        <f>IF($J251="",0,$J251)</f>
        <v/>
      </c>
    </row>
    <row r="252">
      <c r="A252" s="8">
        <f>IF($G252="","","SS-"&amp;TEXT(ROW()-4,"0000"))</f>
        <v/>
      </c>
      <c r="B252" s="9" t="n"/>
      <c r="C252" s="9" t="n"/>
      <c r="D252" s="9" t="n"/>
      <c r="E252" s="10" t="n"/>
      <c r="F252" s="11" t="n"/>
      <c r="G252" s="12">
        <f>IF($F252="","",IF($F252&gt;31,$F252,IF($AB252="","",DATE(YEAR($AB252),MONTH($AB252),$F252))))</f>
        <v/>
      </c>
      <c r="H252" s="9" t="n"/>
      <c r="I252" s="11" t="n"/>
      <c r="J252" s="12">
        <f>IF($I252="","",IF($I252&gt;31,$I252,IF($G252="","",IF(DATE(YEAR($G252),MONTH($G252),$I252)&gt;=$G252,DATE(YEAR($G252),MONTH($G252),$I252),DATE(YEAR($G252),MONTH($G252)+1,$I252)))))</f>
        <v/>
      </c>
      <c r="K252" s="9" t="n"/>
      <c r="L252" s="13" t="n"/>
      <c r="M252" s="13" t="n"/>
      <c r="N252" s="13" t="n"/>
      <c r="O252" s="8">
        <f>IF(OR($G252="",$J252=""),"",$J252-$G252+1)</f>
        <v/>
      </c>
      <c r="P252" s="8">
        <f>IF(OR($G252="",$J252=""),"",$J252-$G252)</f>
        <v/>
      </c>
      <c r="Q252" s="9" t="n"/>
      <c r="R252" s="9" t="n"/>
      <c r="S252" s="9" t="n"/>
      <c r="T252" s="9" t="n"/>
      <c r="U252" s="9" t="n"/>
      <c r="V252" s="9" t="n"/>
      <c r="W252" s="14" t="n"/>
      <c r="X252" s="9" t="n"/>
      <c r="Y252" s="8">
        <f>IF($G252="","",IF($D252="","⚠部屋が未選択",IF(COUNTIF('M_部屋'!$A$4:$A$20,$D252)=0,"⚠部屋が未登録",IF(OR($J252="",$Q252="キャンセル"),"",IF(SUMPRODUCT(($D$5:$D$404=$D252)*($G$5:$G$404&lt;&gt;"")*($J$5:$J$404&lt;&gt;"")*($Q$5:$Q$404&lt;&gt;"キャンセル")*($G$5:$G$404&lt;$J252)*($J$5:$J$404&gt;$G252))&gt;1,"⚠重複","")))))</f>
        <v/>
      </c>
      <c r="Z252" s="8">
        <f>IF(OR($B252="",$G252=""),"",IF(SUMPRODUCT(('利用者マスタ'!$A$4:$A$60=$B252)*('利用者マスタ'!$B$4:$B$60&lt;&gt;""))=0,"",IF(SUMIFS($AA$5:$AA$404,$B$5:$B$404,$B252,$G$5:$G$404,"&gt;="&amp;DATE(YEAR($G252),MONTH($G252),1),$G$5:$G$404,"&lt;="&amp;EOMONTH($G252,0))&gt;SUMIFS('利用者マスタ'!$B$4:$B$60,'利用者マスタ'!$A$4:$A$60,$B252),"⚠支給量超過","")))</f>
        <v/>
      </c>
      <c r="AA252" s="8">
        <f>IF(OR($G252="",$J252="",$Q252="キャンセル"),0,IF(IFERROR(INDEX('M_区分'!$B$4:$B$20,MATCH($C252,'M_区分'!$A$4:$A$20,0)),"○")="○",$J252-$G252+1,0))</f>
        <v/>
      </c>
      <c r="AB252" s="8">
        <f>IF($E252&lt;&gt;"",$E252,$AB251)</f>
        <v/>
      </c>
      <c r="AC252" s="8">
        <f>IF(OR($G252="",$J252=""),"",IF(AND($G252&lt;=EOMONTH('02_カレンダー'!$B$4,0),$J252&gt;='02_カレンダー'!$B$4),$G252*10000+ROW(),""))</f>
        <v/>
      </c>
      <c r="AD252" s="8">
        <f>IF($H252="","",IF(ISNUMBER($H252),IF(AND($H252=INT($H252),$H252&gt;=0,$H252&lt;=24),TEXT(INT($H252),"00")&amp;":00",TEXT($H252,"hh:mm")),$H252))</f>
        <v/>
      </c>
      <c r="AE252" s="8">
        <f>IF($K252="","",IF(ISNUMBER($K252),IF(AND($K252=INT($K252),$K252&gt;=0,$K252&lt;=24),TEXT(INT($K252),"00")&amp;":00",TEXT($K252,"hh:mm")),$K252))</f>
        <v/>
      </c>
      <c r="AF252" s="8">
        <f>IF($G252="",0,$G252)</f>
        <v/>
      </c>
      <c r="AG252" s="8">
        <f>IF($J252="",0,$J252)</f>
        <v/>
      </c>
    </row>
    <row r="253">
      <c r="A253" s="8">
        <f>IF($G253="","","SS-"&amp;TEXT(ROW()-4,"0000"))</f>
        <v/>
      </c>
      <c r="B253" s="9" t="n"/>
      <c r="C253" s="9" t="n"/>
      <c r="D253" s="9" t="n"/>
      <c r="E253" s="10" t="n"/>
      <c r="F253" s="11" t="n"/>
      <c r="G253" s="12">
        <f>IF($F253="","",IF($F253&gt;31,$F253,IF($AB253="","",DATE(YEAR($AB253),MONTH($AB253),$F253))))</f>
        <v/>
      </c>
      <c r="H253" s="9" t="n"/>
      <c r="I253" s="11" t="n"/>
      <c r="J253" s="12">
        <f>IF($I253="","",IF($I253&gt;31,$I253,IF($G253="","",IF(DATE(YEAR($G253),MONTH($G253),$I253)&gt;=$G253,DATE(YEAR($G253),MONTH($G253),$I253),DATE(YEAR($G253),MONTH($G253)+1,$I253)))))</f>
        <v/>
      </c>
      <c r="K253" s="9" t="n"/>
      <c r="L253" s="13" t="n"/>
      <c r="M253" s="13" t="n"/>
      <c r="N253" s="13" t="n"/>
      <c r="O253" s="8">
        <f>IF(OR($G253="",$J253=""),"",$J253-$G253+1)</f>
        <v/>
      </c>
      <c r="P253" s="8">
        <f>IF(OR($G253="",$J253=""),"",$J253-$G253)</f>
        <v/>
      </c>
      <c r="Q253" s="9" t="n"/>
      <c r="R253" s="9" t="n"/>
      <c r="S253" s="9" t="n"/>
      <c r="T253" s="9" t="n"/>
      <c r="U253" s="9" t="n"/>
      <c r="V253" s="9" t="n"/>
      <c r="W253" s="14" t="n"/>
      <c r="X253" s="9" t="n"/>
      <c r="Y253" s="8">
        <f>IF($G253="","",IF($D253="","⚠部屋が未選択",IF(COUNTIF('M_部屋'!$A$4:$A$20,$D253)=0,"⚠部屋が未登録",IF(OR($J253="",$Q253="キャンセル"),"",IF(SUMPRODUCT(($D$5:$D$404=$D253)*($G$5:$G$404&lt;&gt;"")*($J$5:$J$404&lt;&gt;"")*($Q$5:$Q$404&lt;&gt;"キャンセル")*($G$5:$G$404&lt;$J253)*($J$5:$J$404&gt;$G253))&gt;1,"⚠重複","")))))</f>
        <v/>
      </c>
      <c r="Z253" s="8">
        <f>IF(OR($B253="",$G253=""),"",IF(SUMPRODUCT(('利用者マスタ'!$A$4:$A$60=$B253)*('利用者マスタ'!$B$4:$B$60&lt;&gt;""))=0,"",IF(SUMIFS($AA$5:$AA$404,$B$5:$B$404,$B253,$G$5:$G$404,"&gt;="&amp;DATE(YEAR($G253),MONTH($G253),1),$G$5:$G$404,"&lt;="&amp;EOMONTH($G253,0))&gt;SUMIFS('利用者マスタ'!$B$4:$B$60,'利用者マスタ'!$A$4:$A$60,$B253),"⚠支給量超過","")))</f>
        <v/>
      </c>
      <c r="AA253" s="8">
        <f>IF(OR($G253="",$J253="",$Q253="キャンセル"),0,IF(IFERROR(INDEX('M_区分'!$B$4:$B$20,MATCH($C253,'M_区分'!$A$4:$A$20,0)),"○")="○",$J253-$G253+1,0))</f>
        <v/>
      </c>
      <c r="AB253" s="8">
        <f>IF($E253&lt;&gt;"",$E253,$AB252)</f>
        <v/>
      </c>
      <c r="AC253" s="8">
        <f>IF(OR($G253="",$J253=""),"",IF(AND($G253&lt;=EOMONTH('02_カレンダー'!$B$4,0),$J253&gt;='02_カレンダー'!$B$4),$G253*10000+ROW(),""))</f>
        <v/>
      </c>
      <c r="AD253" s="8">
        <f>IF($H253="","",IF(ISNUMBER($H253),IF(AND($H253=INT($H253),$H253&gt;=0,$H253&lt;=24),TEXT(INT($H253),"00")&amp;":00",TEXT($H253,"hh:mm")),$H253))</f>
        <v/>
      </c>
      <c r="AE253" s="8">
        <f>IF($K253="","",IF(ISNUMBER($K253),IF(AND($K253=INT($K253),$K253&gt;=0,$K253&lt;=24),TEXT(INT($K253),"00")&amp;":00",TEXT($K253,"hh:mm")),$K253))</f>
        <v/>
      </c>
      <c r="AF253" s="8">
        <f>IF($G253="",0,$G253)</f>
        <v/>
      </c>
      <c r="AG253" s="8">
        <f>IF($J253="",0,$J253)</f>
        <v/>
      </c>
    </row>
    <row r="254">
      <c r="A254" s="8">
        <f>IF($G254="","","SS-"&amp;TEXT(ROW()-4,"0000"))</f>
        <v/>
      </c>
      <c r="B254" s="9" t="n"/>
      <c r="C254" s="9" t="n"/>
      <c r="D254" s="9" t="n"/>
      <c r="E254" s="10" t="n"/>
      <c r="F254" s="11" t="n"/>
      <c r="G254" s="12">
        <f>IF($F254="","",IF($F254&gt;31,$F254,IF($AB254="","",DATE(YEAR($AB254),MONTH($AB254),$F254))))</f>
        <v/>
      </c>
      <c r="H254" s="9" t="n"/>
      <c r="I254" s="11" t="n"/>
      <c r="J254" s="12">
        <f>IF($I254="","",IF($I254&gt;31,$I254,IF($G254="","",IF(DATE(YEAR($G254),MONTH($G254),$I254)&gt;=$G254,DATE(YEAR($G254),MONTH($G254),$I254),DATE(YEAR($G254),MONTH($G254)+1,$I254)))))</f>
        <v/>
      </c>
      <c r="K254" s="9" t="n"/>
      <c r="L254" s="13" t="n"/>
      <c r="M254" s="13" t="n"/>
      <c r="N254" s="13" t="n"/>
      <c r="O254" s="8">
        <f>IF(OR($G254="",$J254=""),"",$J254-$G254+1)</f>
        <v/>
      </c>
      <c r="P254" s="8">
        <f>IF(OR($G254="",$J254=""),"",$J254-$G254)</f>
        <v/>
      </c>
      <c r="Q254" s="9" t="n"/>
      <c r="R254" s="9" t="n"/>
      <c r="S254" s="9" t="n"/>
      <c r="T254" s="9" t="n"/>
      <c r="U254" s="9" t="n"/>
      <c r="V254" s="9" t="n"/>
      <c r="W254" s="14" t="n"/>
      <c r="X254" s="9" t="n"/>
      <c r="Y254" s="8">
        <f>IF($G254="","",IF($D254="","⚠部屋が未選択",IF(COUNTIF('M_部屋'!$A$4:$A$20,$D254)=0,"⚠部屋が未登録",IF(OR($J254="",$Q254="キャンセル"),"",IF(SUMPRODUCT(($D$5:$D$404=$D254)*($G$5:$G$404&lt;&gt;"")*($J$5:$J$404&lt;&gt;"")*($Q$5:$Q$404&lt;&gt;"キャンセル")*($G$5:$G$404&lt;$J254)*($J$5:$J$404&gt;$G254))&gt;1,"⚠重複","")))))</f>
        <v/>
      </c>
      <c r="Z254" s="8">
        <f>IF(OR($B254="",$G254=""),"",IF(SUMPRODUCT(('利用者マスタ'!$A$4:$A$60=$B254)*('利用者マスタ'!$B$4:$B$60&lt;&gt;""))=0,"",IF(SUMIFS($AA$5:$AA$404,$B$5:$B$404,$B254,$G$5:$G$404,"&gt;="&amp;DATE(YEAR($G254),MONTH($G254),1),$G$5:$G$404,"&lt;="&amp;EOMONTH($G254,0))&gt;SUMIFS('利用者マスタ'!$B$4:$B$60,'利用者マスタ'!$A$4:$A$60,$B254),"⚠支給量超過","")))</f>
        <v/>
      </c>
      <c r="AA254" s="8">
        <f>IF(OR($G254="",$J254="",$Q254="キャンセル"),0,IF(IFERROR(INDEX('M_区分'!$B$4:$B$20,MATCH($C254,'M_区分'!$A$4:$A$20,0)),"○")="○",$J254-$G254+1,0))</f>
        <v/>
      </c>
      <c r="AB254" s="8">
        <f>IF($E254&lt;&gt;"",$E254,$AB253)</f>
        <v/>
      </c>
      <c r="AC254" s="8">
        <f>IF(OR($G254="",$J254=""),"",IF(AND($G254&lt;=EOMONTH('02_カレンダー'!$B$4,0),$J254&gt;='02_カレンダー'!$B$4),$G254*10000+ROW(),""))</f>
        <v/>
      </c>
      <c r="AD254" s="8">
        <f>IF($H254="","",IF(ISNUMBER($H254),IF(AND($H254=INT($H254),$H254&gt;=0,$H254&lt;=24),TEXT(INT($H254),"00")&amp;":00",TEXT($H254,"hh:mm")),$H254))</f>
        <v/>
      </c>
      <c r="AE254" s="8">
        <f>IF($K254="","",IF(ISNUMBER($K254),IF(AND($K254=INT($K254),$K254&gt;=0,$K254&lt;=24),TEXT(INT($K254),"00")&amp;":00",TEXT($K254,"hh:mm")),$K254))</f>
        <v/>
      </c>
      <c r="AF254" s="8">
        <f>IF($G254="",0,$G254)</f>
        <v/>
      </c>
      <c r="AG254" s="8">
        <f>IF($J254="",0,$J254)</f>
        <v/>
      </c>
    </row>
    <row r="255">
      <c r="A255" s="8">
        <f>IF($G255="","","SS-"&amp;TEXT(ROW()-4,"0000"))</f>
        <v/>
      </c>
      <c r="B255" s="9" t="n"/>
      <c r="C255" s="9" t="n"/>
      <c r="D255" s="9" t="n"/>
      <c r="E255" s="10" t="n"/>
      <c r="F255" s="11" t="n"/>
      <c r="G255" s="12">
        <f>IF($F255="","",IF($F255&gt;31,$F255,IF($AB255="","",DATE(YEAR($AB255),MONTH($AB255),$F255))))</f>
        <v/>
      </c>
      <c r="H255" s="9" t="n"/>
      <c r="I255" s="11" t="n"/>
      <c r="J255" s="12">
        <f>IF($I255="","",IF($I255&gt;31,$I255,IF($G255="","",IF(DATE(YEAR($G255),MONTH($G255),$I255)&gt;=$G255,DATE(YEAR($G255),MONTH($G255),$I255),DATE(YEAR($G255),MONTH($G255)+1,$I255)))))</f>
        <v/>
      </c>
      <c r="K255" s="9" t="n"/>
      <c r="L255" s="13" t="n"/>
      <c r="M255" s="13" t="n"/>
      <c r="N255" s="13" t="n"/>
      <c r="O255" s="8">
        <f>IF(OR($G255="",$J255=""),"",$J255-$G255+1)</f>
        <v/>
      </c>
      <c r="P255" s="8">
        <f>IF(OR($G255="",$J255=""),"",$J255-$G255)</f>
        <v/>
      </c>
      <c r="Q255" s="9" t="n"/>
      <c r="R255" s="9" t="n"/>
      <c r="S255" s="9" t="n"/>
      <c r="T255" s="9" t="n"/>
      <c r="U255" s="9" t="n"/>
      <c r="V255" s="9" t="n"/>
      <c r="W255" s="14" t="n"/>
      <c r="X255" s="9" t="n"/>
      <c r="Y255" s="8">
        <f>IF($G255="","",IF($D255="","⚠部屋が未選択",IF(COUNTIF('M_部屋'!$A$4:$A$20,$D255)=0,"⚠部屋が未登録",IF(OR($J255="",$Q255="キャンセル"),"",IF(SUMPRODUCT(($D$5:$D$404=$D255)*($G$5:$G$404&lt;&gt;"")*($J$5:$J$404&lt;&gt;"")*($Q$5:$Q$404&lt;&gt;"キャンセル")*($G$5:$G$404&lt;$J255)*($J$5:$J$404&gt;$G255))&gt;1,"⚠重複","")))))</f>
        <v/>
      </c>
      <c r="Z255" s="8">
        <f>IF(OR($B255="",$G255=""),"",IF(SUMPRODUCT(('利用者マスタ'!$A$4:$A$60=$B255)*('利用者マスタ'!$B$4:$B$60&lt;&gt;""))=0,"",IF(SUMIFS($AA$5:$AA$404,$B$5:$B$404,$B255,$G$5:$G$404,"&gt;="&amp;DATE(YEAR($G255),MONTH($G255),1),$G$5:$G$404,"&lt;="&amp;EOMONTH($G255,0))&gt;SUMIFS('利用者マスタ'!$B$4:$B$60,'利用者マスタ'!$A$4:$A$60,$B255),"⚠支給量超過","")))</f>
        <v/>
      </c>
      <c r="AA255" s="8">
        <f>IF(OR($G255="",$J255="",$Q255="キャンセル"),0,IF(IFERROR(INDEX('M_区分'!$B$4:$B$20,MATCH($C255,'M_区分'!$A$4:$A$20,0)),"○")="○",$J255-$G255+1,0))</f>
        <v/>
      </c>
      <c r="AB255" s="8">
        <f>IF($E255&lt;&gt;"",$E255,$AB254)</f>
        <v/>
      </c>
      <c r="AC255" s="8">
        <f>IF(OR($G255="",$J255=""),"",IF(AND($G255&lt;=EOMONTH('02_カレンダー'!$B$4,0),$J255&gt;='02_カレンダー'!$B$4),$G255*10000+ROW(),""))</f>
        <v/>
      </c>
      <c r="AD255" s="8">
        <f>IF($H255="","",IF(ISNUMBER($H255),IF(AND($H255=INT($H255),$H255&gt;=0,$H255&lt;=24),TEXT(INT($H255),"00")&amp;":00",TEXT($H255,"hh:mm")),$H255))</f>
        <v/>
      </c>
      <c r="AE255" s="8">
        <f>IF($K255="","",IF(ISNUMBER($K255),IF(AND($K255=INT($K255),$K255&gt;=0,$K255&lt;=24),TEXT(INT($K255),"00")&amp;":00",TEXT($K255,"hh:mm")),$K255))</f>
        <v/>
      </c>
      <c r="AF255" s="8">
        <f>IF($G255="",0,$G255)</f>
        <v/>
      </c>
      <c r="AG255" s="8">
        <f>IF($J255="",0,$J255)</f>
        <v/>
      </c>
    </row>
    <row r="256">
      <c r="A256" s="8">
        <f>IF($G256="","","SS-"&amp;TEXT(ROW()-4,"0000"))</f>
        <v/>
      </c>
      <c r="B256" s="9" t="n"/>
      <c r="C256" s="9" t="n"/>
      <c r="D256" s="9" t="n"/>
      <c r="E256" s="10" t="n"/>
      <c r="F256" s="11" t="n"/>
      <c r="G256" s="12">
        <f>IF($F256="","",IF($F256&gt;31,$F256,IF($AB256="","",DATE(YEAR($AB256),MONTH($AB256),$F256))))</f>
        <v/>
      </c>
      <c r="H256" s="9" t="n"/>
      <c r="I256" s="11" t="n"/>
      <c r="J256" s="12">
        <f>IF($I256="","",IF($I256&gt;31,$I256,IF($G256="","",IF(DATE(YEAR($G256),MONTH($G256),$I256)&gt;=$G256,DATE(YEAR($G256),MONTH($G256),$I256),DATE(YEAR($G256),MONTH($G256)+1,$I256)))))</f>
        <v/>
      </c>
      <c r="K256" s="9" t="n"/>
      <c r="L256" s="13" t="n"/>
      <c r="M256" s="13" t="n"/>
      <c r="N256" s="13" t="n"/>
      <c r="O256" s="8">
        <f>IF(OR($G256="",$J256=""),"",$J256-$G256+1)</f>
        <v/>
      </c>
      <c r="P256" s="8">
        <f>IF(OR($G256="",$J256=""),"",$J256-$G256)</f>
        <v/>
      </c>
      <c r="Q256" s="9" t="n"/>
      <c r="R256" s="9" t="n"/>
      <c r="S256" s="9" t="n"/>
      <c r="T256" s="9" t="n"/>
      <c r="U256" s="9" t="n"/>
      <c r="V256" s="9" t="n"/>
      <c r="W256" s="14" t="n"/>
      <c r="X256" s="9" t="n"/>
      <c r="Y256" s="8">
        <f>IF($G256="","",IF($D256="","⚠部屋が未選択",IF(COUNTIF('M_部屋'!$A$4:$A$20,$D256)=0,"⚠部屋が未登録",IF(OR($J256="",$Q256="キャンセル"),"",IF(SUMPRODUCT(($D$5:$D$404=$D256)*($G$5:$G$404&lt;&gt;"")*($J$5:$J$404&lt;&gt;"")*($Q$5:$Q$404&lt;&gt;"キャンセル")*($G$5:$G$404&lt;$J256)*($J$5:$J$404&gt;$G256))&gt;1,"⚠重複","")))))</f>
        <v/>
      </c>
      <c r="Z256" s="8">
        <f>IF(OR($B256="",$G256=""),"",IF(SUMPRODUCT(('利用者マスタ'!$A$4:$A$60=$B256)*('利用者マスタ'!$B$4:$B$60&lt;&gt;""))=0,"",IF(SUMIFS($AA$5:$AA$404,$B$5:$B$404,$B256,$G$5:$G$404,"&gt;="&amp;DATE(YEAR($G256),MONTH($G256),1),$G$5:$G$404,"&lt;="&amp;EOMONTH($G256,0))&gt;SUMIFS('利用者マスタ'!$B$4:$B$60,'利用者マスタ'!$A$4:$A$60,$B256),"⚠支給量超過","")))</f>
        <v/>
      </c>
      <c r="AA256" s="8">
        <f>IF(OR($G256="",$J256="",$Q256="キャンセル"),0,IF(IFERROR(INDEX('M_区分'!$B$4:$B$20,MATCH($C256,'M_区分'!$A$4:$A$20,0)),"○")="○",$J256-$G256+1,0))</f>
        <v/>
      </c>
      <c r="AB256" s="8">
        <f>IF($E256&lt;&gt;"",$E256,$AB255)</f>
        <v/>
      </c>
      <c r="AC256" s="8">
        <f>IF(OR($G256="",$J256=""),"",IF(AND($G256&lt;=EOMONTH('02_カレンダー'!$B$4,0),$J256&gt;='02_カレンダー'!$B$4),$G256*10000+ROW(),""))</f>
        <v/>
      </c>
      <c r="AD256" s="8">
        <f>IF($H256="","",IF(ISNUMBER($H256),IF(AND($H256=INT($H256),$H256&gt;=0,$H256&lt;=24),TEXT(INT($H256),"00")&amp;":00",TEXT($H256,"hh:mm")),$H256))</f>
        <v/>
      </c>
      <c r="AE256" s="8">
        <f>IF($K256="","",IF(ISNUMBER($K256),IF(AND($K256=INT($K256),$K256&gt;=0,$K256&lt;=24),TEXT(INT($K256),"00")&amp;":00",TEXT($K256,"hh:mm")),$K256))</f>
        <v/>
      </c>
      <c r="AF256" s="8">
        <f>IF($G256="",0,$G256)</f>
        <v/>
      </c>
      <c r="AG256" s="8">
        <f>IF($J256="",0,$J256)</f>
        <v/>
      </c>
    </row>
    <row r="257">
      <c r="A257" s="8">
        <f>IF($G257="","","SS-"&amp;TEXT(ROW()-4,"0000"))</f>
        <v/>
      </c>
      <c r="B257" s="9" t="n"/>
      <c r="C257" s="9" t="n"/>
      <c r="D257" s="9" t="n"/>
      <c r="E257" s="10" t="n"/>
      <c r="F257" s="11" t="n"/>
      <c r="G257" s="12">
        <f>IF($F257="","",IF($F257&gt;31,$F257,IF($AB257="","",DATE(YEAR($AB257),MONTH($AB257),$F257))))</f>
        <v/>
      </c>
      <c r="H257" s="9" t="n"/>
      <c r="I257" s="11" t="n"/>
      <c r="J257" s="12">
        <f>IF($I257="","",IF($I257&gt;31,$I257,IF($G257="","",IF(DATE(YEAR($G257),MONTH($G257),$I257)&gt;=$G257,DATE(YEAR($G257),MONTH($G257),$I257),DATE(YEAR($G257),MONTH($G257)+1,$I257)))))</f>
        <v/>
      </c>
      <c r="K257" s="9" t="n"/>
      <c r="L257" s="13" t="n"/>
      <c r="M257" s="13" t="n"/>
      <c r="N257" s="13" t="n"/>
      <c r="O257" s="8">
        <f>IF(OR($G257="",$J257=""),"",$J257-$G257+1)</f>
        <v/>
      </c>
      <c r="P257" s="8">
        <f>IF(OR($G257="",$J257=""),"",$J257-$G257)</f>
        <v/>
      </c>
      <c r="Q257" s="9" t="n"/>
      <c r="R257" s="9" t="n"/>
      <c r="S257" s="9" t="n"/>
      <c r="T257" s="9" t="n"/>
      <c r="U257" s="9" t="n"/>
      <c r="V257" s="9" t="n"/>
      <c r="W257" s="14" t="n"/>
      <c r="X257" s="9" t="n"/>
      <c r="Y257" s="8">
        <f>IF($G257="","",IF($D257="","⚠部屋が未選択",IF(COUNTIF('M_部屋'!$A$4:$A$20,$D257)=0,"⚠部屋が未登録",IF(OR($J257="",$Q257="キャンセル"),"",IF(SUMPRODUCT(($D$5:$D$404=$D257)*($G$5:$G$404&lt;&gt;"")*($J$5:$J$404&lt;&gt;"")*($Q$5:$Q$404&lt;&gt;"キャンセル")*($G$5:$G$404&lt;$J257)*($J$5:$J$404&gt;$G257))&gt;1,"⚠重複","")))))</f>
        <v/>
      </c>
      <c r="Z257" s="8">
        <f>IF(OR($B257="",$G257=""),"",IF(SUMPRODUCT(('利用者マスタ'!$A$4:$A$60=$B257)*('利用者マスタ'!$B$4:$B$60&lt;&gt;""))=0,"",IF(SUMIFS($AA$5:$AA$404,$B$5:$B$404,$B257,$G$5:$G$404,"&gt;="&amp;DATE(YEAR($G257),MONTH($G257),1),$G$5:$G$404,"&lt;="&amp;EOMONTH($G257,0))&gt;SUMIFS('利用者マスタ'!$B$4:$B$60,'利用者マスタ'!$A$4:$A$60,$B257),"⚠支給量超過","")))</f>
        <v/>
      </c>
      <c r="AA257" s="8">
        <f>IF(OR($G257="",$J257="",$Q257="キャンセル"),0,IF(IFERROR(INDEX('M_区分'!$B$4:$B$20,MATCH($C257,'M_区分'!$A$4:$A$20,0)),"○")="○",$J257-$G257+1,0))</f>
        <v/>
      </c>
      <c r="AB257" s="8">
        <f>IF($E257&lt;&gt;"",$E257,$AB256)</f>
        <v/>
      </c>
      <c r="AC257" s="8">
        <f>IF(OR($G257="",$J257=""),"",IF(AND($G257&lt;=EOMONTH('02_カレンダー'!$B$4,0),$J257&gt;='02_カレンダー'!$B$4),$G257*10000+ROW(),""))</f>
        <v/>
      </c>
      <c r="AD257" s="8">
        <f>IF($H257="","",IF(ISNUMBER($H257),IF(AND($H257=INT($H257),$H257&gt;=0,$H257&lt;=24),TEXT(INT($H257),"00")&amp;":00",TEXT($H257,"hh:mm")),$H257))</f>
        <v/>
      </c>
      <c r="AE257" s="8">
        <f>IF($K257="","",IF(ISNUMBER($K257),IF(AND($K257=INT($K257),$K257&gt;=0,$K257&lt;=24),TEXT(INT($K257),"00")&amp;":00",TEXT($K257,"hh:mm")),$K257))</f>
        <v/>
      </c>
      <c r="AF257" s="8">
        <f>IF($G257="",0,$G257)</f>
        <v/>
      </c>
      <c r="AG257" s="8">
        <f>IF($J257="",0,$J257)</f>
        <v/>
      </c>
    </row>
    <row r="258">
      <c r="A258" s="8">
        <f>IF($G258="","","SS-"&amp;TEXT(ROW()-4,"0000"))</f>
        <v/>
      </c>
      <c r="B258" s="9" t="n"/>
      <c r="C258" s="9" t="n"/>
      <c r="D258" s="9" t="n"/>
      <c r="E258" s="10" t="n"/>
      <c r="F258" s="11" t="n"/>
      <c r="G258" s="12">
        <f>IF($F258="","",IF($F258&gt;31,$F258,IF($AB258="","",DATE(YEAR($AB258),MONTH($AB258),$F258))))</f>
        <v/>
      </c>
      <c r="H258" s="9" t="n"/>
      <c r="I258" s="11" t="n"/>
      <c r="J258" s="12">
        <f>IF($I258="","",IF($I258&gt;31,$I258,IF($G258="","",IF(DATE(YEAR($G258),MONTH($G258),$I258)&gt;=$G258,DATE(YEAR($G258),MONTH($G258),$I258),DATE(YEAR($G258),MONTH($G258)+1,$I258)))))</f>
        <v/>
      </c>
      <c r="K258" s="9" t="n"/>
      <c r="L258" s="13" t="n"/>
      <c r="M258" s="13" t="n"/>
      <c r="N258" s="13" t="n"/>
      <c r="O258" s="8">
        <f>IF(OR($G258="",$J258=""),"",$J258-$G258+1)</f>
        <v/>
      </c>
      <c r="P258" s="8">
        <f>IF(OR($G258="",$J258=""),"",$J258-$G258)</f>
        <v/>
      </c>
      <c r="Q258" s="9" t="n"/>
      <c r="R258" s="9" t="n"/>
      <c r="S258" s="9" t="n"/>
      <c r="T258" s="9" t="n"/>
      <c r="U258" s="9" t="n"/>
      <c r="V258" s="9" t="n"/>
      <c r="W258" s="14" t="n"/>
      <c r="X258" s="9" t="n"/>
      <c r="Y258" s="8">
        <f>IF($G258="","",IF($D258="","⚠部屋が未選択",IF(COUNTIF('M_部屋'!$A$4:$A$20,$D258)=0,"⚠部屋が未登録",IF(OR($J258="",$Q258="キャンセル"),"",IF(SUMPRODUCT(($D$5:$D$404=$D258)*($G$5:$G$404&lt;&gt;"")*($J$5:$J$404&lt;&gt;"")*($Q$5:$Q$404&lt;&gt;"キャンセル")*($G$5:$G$404&lt;$J258)*($J$5:$J$404&gt;$G258))&gt;1,"⚠重複","")))))</f>
        <v/>
      </c>
      <c r="Z258" s="8">
        <f>IF(OR($B258="",$G258=""),"",IF(SUMPRODUCT(('利用者マスタ'!$A$4:$A$60=$B258)*('利用者マスタ'!$B$4:$B$60&lt;&gt;""))=0,"",IF(SUMIFS($AA$5:$AA$404,$B$5:$B$404,$B258,$G$5:$G$404,"&gt;="&amp;DATE(YEAR($G258),MONTH($G258),1),$G$5:$G$404,"&lt;="&amp;EOMONTH($G258,0))&gt;SUMIFS('利用者マスタ'!$B$4:$B$60,'利用者マスタ'!$A$4:$A$60,$B258),"⚠支給量超過","")))</f>
        <v/>
      </c>
      <c r="AA258" s="8">
        <f>IF(OR($G258="",$J258="",$Q258="キャンセル"),0,IF(IFERROR(INDEX('M_区分'!$B$4:$B$20,MATCH($C258,'M_区分'!$A$4:$A$20,0)),"○")="○",$J258-$G258+1,0))</f>
        <v/>
      </c>
      <c r="AB258" s="8">
        <f>IF($E258&lt;&gt;"",$E258,$AB257)</f>
        <v/>
      </c>
      <c r="AC258" s="8">
        <f>IF(OR($G258="",$J258=""),"",IF(AND($G258&lt;=EOMONTH('02_カレンダー'!$B$4,0),$J258&gt;='02_カレンダー'!$B$4),$G258*10000+ROW(),""))</f>
        <v/>
      </c>
      <c r="AD258" s="8">
        <f>IF($H258="","",IF(ISNUMBER($H258),IF(AND($H258=INT($H258),$H258&gt;=0,$H258&lt;=24),TEXT(INT($H258),"00")&amp;":00",TEXT($H258,"hh:mm")),$H258))</f>
        <v/>
      </c>
      <c r="AE258" s="8">
        <f>IF($K258="","",IF(ISNUMBER($K258),IF(AND($K258=INT($K258),$K258&gt;=0,$K258&lt;=24),TEXT(INT($K258),"00")&amp;":00",TEXT($K258,"hh:mm")),$K258))</f>
        <v/>
      </c>
      <c r="AF258" s="8">
        <f>IF($G258="",0,$G258)</f>
        <v/>
      </c>
      <c r="AG258" s="8">
        <f>IF($J258="",0,$J258)</f>
        <v/>
      </c>
    </row>
    <row r="259">
      <c r="A259" s="8">
        <f>IF($G259="","","SS-"&amp;TEXT(ROW()-4,"0000"))</f>
        <v/>
      </c>
      <c r="B259" s="9" t="n"/>
      <c r="C259" s="9" t="n"/>
      <c r="D259" s="9" t="n"/>
      <c r="E259" s="10" t="n"/>
      <c r="F259" s="11" t="n"/>
      <c r="G259" s="12">
        <f>IF($F259="","",IF($F259&gt;31,$F259,IF($AB259="","",DATE(YEAR($AB259),MONTH($AB259),$F259))))</f>
        <v/>
      </c>
      <c r="H259" s="9" t="n"/>
      <c r="I259" s="11" t="n"/>
      <c r="J259" s="12">
        <f>IF($I259="","",IF($I259&gt;31,$I259,IF($G259="","",IF(DATE(YEAR($G259),MONTH($G259),$I259)&gt;=$G259,DATE(YEAR($G259),MONTH($G259),$I259),DATE(YEAR($G259),MONTH($G259)+1,$I259)))))</f>
        <v/>
      </c>
      <c r="K259" s="9" t="n"/>
      <c r="L259" s="13" t="n"/>
      <c r="M259" s="13" t="n"/>
      <c r="N259" s="13" t="n"/>
      <c r="O259" s="8">
        <f>IF(OR($G259="",$J259=""),"",$J259-$G259+1)</f>
        <v/>
      </c>
      <c r="P259" s="8">
        <f>IF(OR($G259="",$J259=""),"",$J259-$G259)</f>
        <v/>
      </c>
      <c r="Q259" s="9" t="n"/>
      <c r="R259" s="9" t="n"/>
      <c r="S259" s="9" t="n"/>
      <c r="T259" s="9" t="n"/>
      <c r="U259" s="9" t="n"/>
      <c r="V259" s="9" t="n"/>
      <c r="W259" s="14" t="n"/>
      <c r="X259" s="9" t="n"/>
      <c r="Y259" s="8">
        <f>IF($G259="","",IF($D259="","⚠部屋が未選択",IF(COUNTIF('M_部屋'!$A$4:$A$20,$D259)=0,"⚠部屋が未登録",IF(OR($J259="",$Q259="キャンセル"),"",IF(SUMPRODUCT(($D$5:$D$404=$D259)*($G$5:$G$404&lt;&gt;"")*($J$5:$J$404&lt;&gt;"")*($Q$5:$Q$404&lt;&gt;"キャンセル")*($G$5:$G$404&lt;$J259)*($J$5:$J$404&gt;$G259))&gt;1,"⚠重複","")))))</f>
        <v/>
      </c>
      <c r="Z259" s="8">
        <f>IF(OR($B259="",$G259=""),"",IF(SUMPRODUCT(('利用者マスタ'!$A$4:$A$60=$B259)*('利用者マスタ'!$B$4:$B$60&lt;&gt;""))=0,"",IF(SUMIFS($AA$5:$AA$404,$B$5:$B$404,$B259,$G$5:$G$404,"&gt;="&amp;DATE(YEAR($G259),MONTH($G259),1),$G$5:$G$404,"&lt;="&amp;EOMONTH($G259,0))&gt;SUMIFS('利用者マスタ'!$B$4:$B$60,'利用者マスタ'!$A$4:$A$60,$B259),"⚠支給量超過","")))</f>
        <v/>
      </c>
      <c r="AA259" s="8">
        <f>IF(OR($G259="",$J259="",$Q259="キャンセル"),0,IF(IFERROR(INDEX('M_区分'!$B$4:$B$20,MATCH($C259,'M_区分'!$A$4:$A$20,0)),"○")="○",$J259-$G259+1,0))</f>
        <v/>
      </c>
      <c r="AB259" s="8">
        <f>IF($E259&lt;&gt;"",$E259,$AB258)</f>
        <v/>
      </c>
      <c r="AC259" s="8">
        <f>IF(OR($G259="",$J259=""),"",IF(AND($G259&lt;=EOMONTH('02_カレンダー'!$B$4,0),$J259&gt;='02_カレンダー'!$B$4),$G259*10000+ROW(),""))</f>
        <v/>
      </c>
      <c r="AD259" s="8">
        <f>IF($H259="","",IF(ISNUMBER($H259),IF(AND($H259=INT($H259),$H259&gt;=0,$H259&lt;=24),TEXT(INT($H259),"00")&amp;":00",TEXT($H259,"hh:mm")),$H259))</f>
        <v/>
      </c>
      <c r="AE259" s="8">
        <f>IF($K259="","",IF(ISNUMBER($K259),IF(AND($K259=INT($K259),$K259&gt;=0,$K259&lt;=24),TEXT(INT($K259),"00")&amp;":00",TEXT($K259,"hh:mm")),$K259))</f>
        <v/>
      </c>
      <c r="AF259" s="8">
        <f>IF($G259="",0,$G259)</f>
        <v/>
      </c>
      <c r="AG259" s="8">
        <f>IF($J259="",0,$J259)</f>
        <v/>
      </c>
    </row>
    <row r="260">
      <c r="A260" s="8">
        <f>IF($G260="","","SS-"&amp;TEXT(ROW()-4,"0000"))</f>
        <v/>
      </c>
      <c r="B260" s="9" t="n"/>
      <c r="C260" s="9" t="n"/>
      <c r="D260" s="9" t="n"/>
      <c r="E260" s="10" t="n"/>
      <c r="F260" s="11" t="n"/>
      <c r="G260" s="12">
        <f>IF($F260="","",IF($F260&gt;31,$F260,IF($AB260="","",DATE(YEAR($AB260),MONTH($AB260),$F260))))</f>
        <v/>
      </c>
      <c r="H260" s="9" t="n"/>
      <c r="I260" s="11" t="n"/>
      <c r="J260" s="12">
        <f>IF($I260="","",IF($I260&gt;31,$I260,IF($G260="","",IF(DATE(YEAR($G260),MONTH($G260),$I260)&gt;=$G260,DATE(YEAR($G260),MONTH($G260),$I260),DATE(YEAR($G260),MONTH($G260)+1,$I260)))))</f>
        <v/>
      </c>
      <c r="K260" s="9" t="n"/>
      <c r="L260" s="13" t="n"/>
      <c r="M260" s="13" t="n"/>
      <c r="N260" s="13" t="n"/>
      <c r="O260" s="8">
        <f>IF(OR($G260="",$J260=""),"",$J260-$G260+1)</f>
        <v/>
      </c>
      <c r="P260" s="8">
        <f>IF(OR($G260="",$J260=""),"",$J260-$G260)</f>
        <v/>
      </c>
      <c r="Q260" s="9" t="n"/>
      <c r="R260" s="9" t="n"/>
      <c r="S260" s="9" t="n"/>
      <c r="T260" s="9" t="n"/>
      <c r="U260" s="9" t="n"/>
      <c r="V260" s="9" t="n"/>
      <c r="W260" s="14" t="n"/>
      <c r="X260" s="9" t="n"/>
      <c r="Y260" s="8">
        <f>IF($G260="","",IF($D260="","⚠部屋が未選択",IF(COUNTIF('M_部屋'!$A$4:$A$20,$D260)=0,"⚠部屋が未登録",IF(OR($J260="",$Q260="キャンセル"),"",IF(SUMPRODUCT(($D$5:$D$404=$D260)*($G$5:$G$404&lt;&gt;"")*($J$5:$J$404&lt;&gt;"")*($Q$5:$Q$404&lt;&gt;"キャンセル")*($G$5:$G$404&lt;$J260)*($J$5:$J$404&gt;$G260))&gt;1,"⚠重複","")))))</f>
        <v/>
      </c>
      <c r="Z260" s="8">
        <f>IF(OR($B260="",$G260=""),"",IF(SUMPRODUCT(('利用者マスタ'!$A$4:$A$60=$B260)*('利用者マスタ'!$B$4:$B$60&lt;&gt;""))=0,"",IF(SUMIFS($AA$5:$AA$404,$B$5:$B$404,$B260,$G$5:$G$404,"&gt;="&amp;DATE(YEAR($G260),MONTH($G260),1),$G$5:$G$404,"&lt;="&amp;EOMONTH($G260,0))&gt;SUMIFS('利用者マスタ'!$B$4:$B$60,'利用者マスタ'!$A$4:$A$60,$B260),"⚠支給量超過","")))</f>
        <v/>
      </c>
      <c r="AA260" s="8">
        <f>IF(OR($G260="",$J260="",$Q260="キャンセル"),0,IF(IFERROR(INDEX('M_区分'!$B$4:$B$20,MATCH($C260,'M_区分'!$A$4:$A$20,0)),"○")="○",$J260-$G260+1,0))</f>
        <v/>
      </c>
      <c r="AB260" s="8">
        <f>IF($E260&lt;&gt;"",$E260,$AB259)</f>
        <v/>
      </c>
      <c r="AC260" s="8">
        <f>IF(OR($G260="",$J260=""),"",IF(AND($G260&lt;=EOMONTH('02_カレンダー'!$B$4,0),$J260&gt;='02_カレンダー'!$B$4),$G260*10000+ROW(),""))</f>
        <v/>
      </c>
      <c r="AD260" s="8">
        <f>IF($H260="","",IF(ISNUMBER($H260),IF(AND($H260=INT($H260),$H260&gt;=0,$H260&lt;=24),TEXT(INT($H260),"00")&amp;":00",TEXT($H260,"hh:mm")),$H260))</f>
        <v/>
      </c>
      <c r="AE260" s="8">
        <f>IF($K260="","",IF(ISNUMBER($K260),IF(AND($K260=INT($K260),$K260&gt;=0,$K260&lt;=24),TEXT(INT($K260),"00")&amp;":00",TEXT($K260,"hh:mm")),$K260))</f>
        <v/>
      </c>
      <c r="AF260" s="8">
        <f>IF($G260="",0,$G260)</f>
        <v/>
      </c>
      <c r="AG260" s="8">
        <f>IF($J260="",0,$J260)</f>
        <v/>
      </c>
    </row>
    <row r="261">
      <c r="A261" s="8">
        <f>IF($G261="","","SS-"&amp;TEXT(ROW()-4,"0000"))</f>
        <v/>
      </c>
      <c r="B261" s="9" t="n"/>
      <c r="C261" s="9" t="n"/>
      <c r="D261" s="9" t="n"/>
      <c r="E261" s="10" t="n"/>
      <c r="F261" s="11" t="n"/>
      <c r="G261" s="12">
        <f>IF($F261="","",IF($F261&gt;31,$F261,IF($AB261="","",DATE(YEAR($AB261),MONTH($AB261),$F261))))</f>
        <v/>
      </c>
      <c r="H261" s="9" t="n"/>
      <c r="I261" s="11" t="n"/>
      <c r="J261" s="12">
        <f>IF($I261="","",IF($I261&gt;31,$I261,IF($G261="","",IF(DATE(YEAR($G261),MONTH($G261),$I261)&gt;=$G261,DATE(YEAR($G261),MONTH($G261),$I261),DATE(YEAR($G261),MONTH($G261)+1,$I261)))))</f>
        <v/>
      </c>
      <c r="K261" s="9" t="n"/>
      <c r="L261" s="13" t="n"/>
      <c r="M261" s="13" t="n"/>
      <c r="N261" s="13" t="n"/>
      <c r="O261" s="8">
        <f>IF(OR($G261="",$J261=""),"",$J261-$G261+1)</f>
        <v/>
      </c>
      <c r="P261" s="8">
        <f>IF(OR($G261="",$J261=""),"",$J261-$G261)</f>
        <v/>
      </c>
      <c r="Q261" s="9" t="n"/>
      <c r="R261" s="9" t="n"/>
      <c r="S261" s="9" t="n"/>
      <c r="T261" s="9" t="n"/>
      <c r="U261" s="9" t="n"/>
      <c r="V261" s="9" t="n"/>
      <c r="W261" s="14" t="n"/>
      <c r="X261" s="9" t="n"/>
      <c r="Y261" s="8">
        <f>IF($G261="","",IF($D261="","⚠部屋が未選択",IF(COUNTIF('M_部屋'!$A$4:$A$20,$D261)=0,"⚠部屋が未登録",IF(OR($J261="",$Q261="キャンセル"),"",IF(SUMPRODUCT(($D$5:$D$404=$D261)*($G$5:$G$404&lt;&gt;"")*($J$5:$J$404&lt;&gt;"")*($Q$5:$Q$404&lt;&gt;"キャンセル")*($G$5:$G$404&lt;$J261)*($J$5:$J$404&gt;$G261))&gt;1,"⚠重複","")))))</f>
        <v/>
      </c>
      <c r="Z261" s="8">
        <f>IF(OR($B261="",$G261=""),"",IF(SUMPRODUCT(('利用者マスタ'!$A$4:$A$60=$B261)*('利用者マスタ'!$B$4:$B$60&lt;&gt;""))=0,"",IF(SUMIFS($AA$5:$AA$404,$B$5:$B$404,$B261,$G$5:$G$404,"&gt;="&amp;DATE(YEAR($G261),MONTH($G261),1),$G$5:$G$404,"&lt;="&amp;EOMONTH($G261,0))&gt;SUMIFS('利用者マスタ'!$B$4:$B$60,'利用者マスタ'!$A$4:$A$60,$B261),"⚠支給量超過","")))</f>
        <v/>
      </c>
      <c r="AA261" s="8">
        <f>IF(OR($G261="",$J261="",$Q261="キャンセル"),0,IF(IFERROR(INDEX('M_区分'!$B$4:$B$20,MATCH($C261,'M_区分'!$A$4:$A$20,0)),"○")="○",$J261-$G261+1,0))</f>
        <v/>
      </c>
      <c r="AB261" s="8">
        <f>IF($E261&lt;&gt;"",$E261,$AB260)</f>
        <v/>
      </c>
      <c r="AC261" s="8">
        <f>IF(OR($G261="",$J261=""),"",IF(AND($G261&lt;=EOMONTH('02_カレンダー'!$B$4,0),$J261&gt;='02_カレンダー'!$B$4),$G261*10000+ROW(),""))</f>
        <v/>
      </c>
      <c r="AD261" s="8">
        <f>IF($H261="","",IF(ISNUMBER($H261),IF(AND($H261=INT($H261),$H261&gt;=0,$H261&lt;=24),TEXT(INT($H261),"00")&amp;":00",TEXT($H261,"hh:mm")),$H261))</f>
        <v/>
      </c>
      <c r="AE261" s="8">
        <f>IF($K261="","",IF(ISNUMBER($K261),IF(AND($K261=INT($K261),$K261&gt;=0,$K261&lt;=24),TEXT(INT($K261),"00")&amp;":00",TEXT($K261,"hh:mm")),$K261))</f>
        <v/>
      </c>
      <c r="AF261" s="8">
        <f>IF($G261="",0,$G261)</f>
        <v/>
      </c>
      <c r="AG261" s="8">
        <f>IF($J261="",0,$J261)</f>
        <v/>
      </c>
    </row>
    <row r="262">
      <c r="A262" s="8">
        <f>IF($G262="","","SS-"&amp;TEXT(ROW()-4,"0000"))</f>
        <v/>
      </c>
      <c r="B262" s="9" t="n"/>
      <c r="C262" s="9" t="n"/>
      <c r="D262" s="9" t="n"/>
      <c r="E262" s="10" t="n"/>
      <c r="F262" s="11" t="n"/>
      <c r="G262" s="12">
        <f>IF($F262="","",IF($F262&gt;31,$F262,IF($AB262="","",DATE(YEAR($AB262),MONTH($AB262),$F262))))</f>
        <v/>
      </c>
      <c r="H262" s="9" t="n"/>
      <c r="I262" s="11" t="n"/>
      <c r="J262" s="12">
        <f>IF($I262="","",IF($I262&gt;31,$I262,IF($G262="","",IF(DATE(YEAR($G262),MONTH($G262),$I262)&gt;=$G262,DATE(YEAR($G262),MONTH($G262),$I262),DATE(YEAR($G262),MONTH($G262)+1,$I262)))))</f>
        <v/>
      </c>
      <c r="K262" s="9" t="n"/>
      <c r="L262" s="13" t="n"/>
      <c r="M262" s="13" t="n"/>
      <c r="N262" s="13" t="n"/>
      <c r="O262" s="8">
        <f>IF(OR($G262="",$J262=""),"",$J262-$G262+1)</f>
        <v/>
      </c>
      <c r="P262" s="8">
        <f>IF(OR($G262="",$J262=""),"",$J262-$G262)</f>
        <v/>
      </c>
      <c r="Q262" s="9" t="n"/>
      <c r="R262" s="9" t="n"/>
      <c r="S262" s="9" t="n"/>
      <c r="T262" s="9" t="n"/>
      <c r="U262" s="9" t="n"/>
      <c r="V262" s="9" t="n"/>
      <c r="W262" s="14" t="n"/>
      <c r="X262" s="9" t="n"/>
      <c r="Y262" s="8">
        <f>IF($G262="","",IF($D262="","⚠部屋が未選択",IF(COUNTIF('M_部屋'!$A$4:$A$20,$D262)=0,"⚠部屋が未登録",IF(OR($J262="",$Q262="キャンセル"),"",IF(SUMPRODUCT(($D$5:$D$404=$D262)*($G$5:$G$404&lt;&gt;"")*($J$5:$J$404&lt;&gt;"")*($Q$5:$Q$404&lt;&gt;"キャンセル")*($G$5:$G$404&lt;$J262)*($J$5:$J$404&gt;$G262))&gt;1,"⚠重複","")))))</f>
        <v/>
      </c>
      <c r="Z262" s="8">
        <f>IF(OR($B262="",$G262=""),"",IF(SUMPRODUCT(('利用者マスタ'!$A$4:$A$60=$B262)*('利用者マスタ'!$B$4:$B$60&lt;&gt;""))=0,"",IF(SUMIFS($AA$5:$AA$404,$B$5:$B$404,$B262,$G$5:$G$404,"&gt;="&amp;DATE(YEAR($G262),MONTH($G262),1),$G$5:$G$404,"&lt;="&amp;EOMONTH($G262,0))&gt;SUMIFS('利用者マスタ'!$B$4:$B$60,'利用者マスタ'!$A$4:$A$60,$B262),"⚠支給量超過","")))</f>
        <v/>
      </c>
      <c r="AA262" s="8">
        <f>IF(OR($G262="",$J262="",$Q262="キャンセル"),0,IF(IFERROR(INDEX('M_区分'!$B$4:$B$20,MATCH($C262,'M_区分'!$A$4:$A$20,0)),"○")="○",$J262-$G262+1,0))</f>
        <v/>
      </c>
      <c r="AB262" s="8">
        <f>IF($E262&lt;&gt;"",$E262,$AB261)</f>
        <v/>
      </c>
      <c r="AC262" s="8">
        <f>IF(OR($G262="",$J262=""),"",IF(AND($G262&lt;=EOMONTH('02_カレンダー'!$B$4,0),$J262&gt;='02_カレンダー'!$B$4),$G262*10000+ROW(),""))</f>
        <v/>
      </c>
      <c r="AD262" s="8">
        <f>IF($H262="","",IF(ISNUMBER($H262),IF(AND($H262=INT($H262),$H262&gt;=0,$H262&lt;=24),TEXT(INT($H262),"00")&amp;":00",TEXT($H262,"hh:mm")),$H262))</f>
        <v/>
      </c>
      <c r="AE262" s="8">
        <f>IF($K262="","",IF(ISNUMBER($K262),IF(AND($K262=INT($K262),$K262&gt;=0,$K262&lt;=24),TEXT(INT($K262),"00")&amp;":00",TEXT($K262,"hh:mm")),$K262))</f>
        <v/>
      </c>
      <c r="AF262" s="8">
        <f>IF($G262="",0,$G262)</f>
        <v/>
      </c>
      <c r="AG262" s="8">
        <f>IF($J262="",0,$J262)</f>
        <v/>
      </c>
    </row>
    <row r="263">
      <c r="A263" s="8">
        <f>IF($G263="","","SS-"&amp;TEXT(ROW()-4,"0000"))</f>
        <v/>
      </c>
      <c r="B263" s="9" t="n"/>
      <c r="C263" s="9" t="n"/>
      <c r="D263" s="9" t="n"/>
      <c r="E263" s="10" t="n"/>
      <c r="F263" s="11" t="n"/>
      <c r="G263" s="12">
        <f>IF($F263="","",IF($F263&gt;31,$F263,IF($AB263="","",DATE(YEAR($AB263),MONTH($AB263),$F263))))</f>
        <v/>
      </c>
      <c r="H263" s="9" t="n"/>
      <c r="I263" s="11" t="n"/>
      <c r="J263" s="12">
        <f>IF($I263="","",IF($I263&gt;31,$I263,IF($G263="","",IF(DATE(YEAR($G263),MONTH($G263),$I263)&gt;=$G263,DATE(YEAR($G263),MONTH($G263),$I263),DATE(YEAR($G263),MONTH($G263)+1,$I263)))))</f>
        <v/>
      </c>
      <c r="K263" s="9" t="n"/>
      <c r="L263" s="13" t="n"/>
      <c r="M263" s="13" t="n"/>
      <c r="N263" s="13" t="n"/>
      <c r="O263" s="8">
        <f>IF(OR($G263="",$J263=""),"",$J263-$G263+1)</f>
        <v/>
      </c>
      <c r="P263" s="8">
        <f>IF(OR($G263="",$J263=""),"",$J263-$G263)</f>
        <v/>
      </c>
      <c r="Q263" s="9" t="n"/>
      <c r="R263" s="9" t="n"/>
      <c r="S263" s="9" t="n"/>
      <c r="T263" s="9" t="n"/>
      <c r="U263" s="9" t="n"/>
      <c r="V263" s="9" t="n"/>
      <c r="W263" s="14" t="n"/>
      <c r="X263" s="9" t="n"/>
      <c r="Y263" s="8">
        <f>IF($G263="","",IF($D263="","⚠部屋が未選択",IF(COUNTIF('M_部屋'!$A$4:$A$20,$D263)=0,"⚠部屋が未登録",IF(OR($J263="",$Q263="キャンセル"),"",IF(SUMPRODUCT(($D$5:$D$404=$D263)*($G$5:$G$404&lt;&gt;"")*($J$5:$J$404&lt;&gt;"")*($Q$5:$Q$404&lt;&gt;"キャンセル")*($G$5:$G$404&lt;$J263)*($J$5:$J$404&gt;$G263))&gt;1,"⚠重複","")))))</f>
        <v/>
      </c>
      <c r="Z263" s="8">
        <f>IF(OR($B263="",$G263=""),"",IF(SUMPRODUCT(('利用者マスタ'!$A$4:$A$60=$B263)*('利用者マスタ'!$B$4:$B$60&lt;&gt;""))=0,"",IF(SUMIFS($AA$5:$AA$404,$B$5:$B$404,$B263,$G$5:$G$404,"&gt;="&amp;DATE(YEAR($G263),MONTH($G263),1),$G$5:$G$404,"&lt;="&amp;EOMONTH($G263,0))&gt;SUMIFS('利用者マスタ'!$B$4:$B$60,'利用者マスタ'!$A$4:$A$60,$B263),"⚠支給量超過","")))</f>
        <v/>
      </c>
      <c r="AA263" s="8">
        <f>IF(OR($G263="",$J263="",$Q263="キャンセル"),0,IF(IFERROR(INDEX('M_区分'!$B$4:$B$20,MATCH($C263,'M_区分'!$A$4:$A$20,0)),"○")="○",$J263-$G263+1,0))</f>
        <v/>
      </c>
      <c r="AB263" s="8">
        <f>IF($E263&lt;&gt;"",$E263,$AB262)</f>
        <v/>
      </c>
      <c r="AC263" s="8">
        <f>IF(OR($G263="",$J263=""),"",IF(AND($G263&lt;=EOMONTH('02_カレンダー'!$B$4,0),$J263&gt;='02_カレンダー'!$B$4),$G263*10000+ROW(),""))</f>
        <v/>
      </c>
      <c r="AD263" s="8">
        <f>IF($H263="","",IF(ISNUMBER($H263),IF(AND($H263=INT($H263),$H263&gt;=0,$H263&lt;=24),TEXT(INT($H263),"00")&amp;":00",TEXT($H263,"hh:mm")),$H263))</f>
        <v/>
      </c>
      <c r="AE263" s="8">
        <f>IF($K263="","",IF(ISNUMBER($K263),IF(AND($K263=INT($K263),$K263&gt;=0,$K263&lt;=24),TEXT(INT($K263),"00")&amp;":00",TEXT($K263,"hh:mm")),$K263))</f>
        <v/>
      </c>
      <c r="AF263" s="8">
        <f>IF($G263="",0,$G263)</f>
        <v/>
      </c>
      <c r="AG263" s="8">
        <f>IF($J263="",0,$J263)</f>
        <v/>
      </c>
    </row>
    <row r="264">
      <c r="A264" s="8">
        <f>IF($G264="","","SS-"&amp;TEXT(ROW()-4,"0000"))</f>
        <v/>
      </c>
      <c r="B264" s="9" t="n"/>
      <c r="C264" s="9" t="n"/>
      <c r="D264" s="9" t="n"/>
      <c r="E264" s="10" t="n"/>
      <c r="F264" s="11" t="n"/>
      <c r="G264" s="12">
        <f>IF($F264="","",IF($F264&gt;31,$F264,IF($AB264="","",DATE(YEAR($AB264),MONTH($AB264),$F264))))</f>
        <v/>
      </c>
      <c r="H264" s="9" t="n"/>
      <c r="I264" s="11" t="n"/>
      <c r="J264" s="12">
        <f>IF($I264="","",IF($I264&gt;31,$I264,IF($G264="","",IF(DATE(YEAR($G264),MONTH($G264),$I264)&gt;=$G264,DATE(YEAR($G264),MONTH($G264),$I264),DATE(YEAR($G264),MONTH($G264)+1,$I264)))))</f>
        <v/>
      </c>
      <c r="K264" s="9" t="n"/>
      <c r="L264" s="13" t="n"/>
      <c r="M264" s="13" t="n"/>
      <c r="N264" s="13" t="n"/>
      <c r="O264" s="8">
        <f>IF(OR($G264="",$J264=""),"",$J264-$G264+1)</f>
        <v/>
      </c>
      <c r="P264" s="8">
        <f>IF(OR($G264="",$J264=""),"",$J264-$G264)</f>
        <v/>
      </c>
      <c r="Q264" s="9" t="n"/>
      <c r="R264" s="9" t="n"/>
      <c r="S264" s="9" t="n"/>
      <c r="T264" s="9" t="n"/>
      <c r="U264" s="9" t="n"/>
      <c r="V264" s="9" t="n"/>
      <c r="W264" s="14" t="n"/>
      <c r="X264" s="9" t="n"/>
      <c r="Y264" s="8">
        <f>IF($G264="","",IF($D264="","⚠部屋が未選択",IF(COUNTIF('M_部屋'!$A$4:$A$20,$D264)=0,"⚠部屋が未登録",IF(OR($J264="",$Q264="キャンセル"),"",IF(SUMPRODUCT(($D$5:$D$404=$D264)*($G$5:$G$404&lt;&gt;"")*($J$5:$J$404&lt;&gt;"")*($Q$5:$Q$404&lt;&gt;"キャンセル")*($G$5:$G$404&lt;$J264)*($J$5:$J$404&gt;$G264))&gt;1,"⚠重複","")))))</f>
        <v/>
      </c>
      <c r="Z264" s="8">
        <f>IF(OR($B264="",$G264=""),"",IF(SUMPRODUCT(('利用者マスタ'!$A$4:$A$60=$B264)*('利用者マスタ'!$B$4:$B$60&lt;&gt;""))=0,"",IF(SUMIFS($AA$5:$AA$404,$B$5:$B$404,$B264,$G$5:$G$404,"&gt;="&amp;DATE(YEAR($G264),MONTH($G264),1),$G$5:$G$404,"&lt;="&amp;EOMONTH($G264,0))&gt;SUMIFS('利用者マスタ'!$B$4:$B$60,'利用者マスタ'!$A$4:$A$60,$B264),"⚠支給量超過","")))</f>
        <v/>
      </c>
      <c r="AA264" s="8">
        <f>IF(OR($G264="",$J264="",$Q264="キャンセル"),0,IF(IFERROR(INDEX('M_区分'!$B$4:$B$20,MATCH($C264,'M_区分'!$A$4:$A$20,0)),"○")="○",$J264-$G264+1,0))</f>
        <v/>
      </c>
      <c r="AB264" s="8">
        <f>IF($E264&lt;&gt;"",$E264,$AB263)</f>
        <v/>
      </c>
      <c r="AC264" s="8">
        <f>IF(OR($G264="",$J264=""),"",IF(AND($G264&lt;=EOMONTH('02_カレンダー'!$B$4,0),$J264&gt;='02_カレンダー'!$B$4),$G264*10000+ROW(),""))</f>
        <v/>
      </c>
      <c r="AD264" s="8">
        <f>IF($H264="","",IF(ISNUMBER($H264),IF(AND($H264=INT($H264),$H264&gt;=0,$H264&lt;=24),TEXT(INT($H264),"00")&amp;":00",TEXT($H264,"hh:mm")),$H264))</f>
        <v/>
      </c>
      <c r="AE264" s="8">
        <f>IF($K264="","",IF(ISNUMBER($K264),IF(AND($K264=INT($K264),$K264&gt;=0,$K264&lt;=24),TEXT(INT($K264),"00")&amp;":00",TEXT($K264,"hh:mm")),$K264))</f>
        <v/>
      </c>
      <c r="AF264" s="8">
        <f>IF($G264="",0,$G264)</f>
        <v/>
      </c>
      <c r="AG264" s="8">
        <f>IF($J264="",0,$J264)</f>
        <v/>
      </c>
    </row>
    <row r="265">
      <c r="A265" s="8">
        <f>IF($G265="","","SS-"&amp;TEXT(ROW()-4,"0000"))</f>
        <v/>
      </c>
      <c r="B265" s="9" t="n"/>
      <c r="C265" s="9" t="n"/>
      <c r="D265" s="9" t="n"/>
      <c r="E265" s="10" t="n"/>
      <c r="F265" s="11" t="n"/>
      <c r="G265" s="12">
        <f>IF($F265="","",IF($F265&gt;31,$F265,IF($AB265="","",DATE(YEAR($AB265),MONTH($AB265),$F265))))</f>
        <v/>
      </c>
      <c r="H265" s="9" t="n"/>
      <c r="I265" s="11" t="n"/>
      <c r="J265" s="12">
        <f>IF($I265="","",IF($I265&gt;31,$I265,IF($G265="","",IF(DATE(YEAR($G265),MONTH($G265),$I265)&gt;=$G265,DATE(YEAR($G265),MONTH($G265),$I265),DATE(YEAR($G265),MONTH($G265)+1,$I265)))))</f>
        <v/>
      </c>
      <c r="K265" s="9" t="n"/>
      <c r="L265" s="13" t="n"/>
      <c r="M265" s="13" t="n"/>
      <c r="N265" s="13" t="n"/>
      <c r="O265" s="8">
        <f>IF(OR($G265="",$J265=""),"",$J265-$G265+1)</f>
        <v/>
      </c>
      <c r="P265" s="8">
        <f>IF(OR($G265="",$J265=""),"",$J265-$G265)</f>
        <v/>
      </c>
      <c r="Q265" s="9" t="n"/>
      <c r="R265" s="9" t="n"/>
      <c r="S265" s="9" t="n"/>
      <c r="T265" s="9" t="n"/>
      <c r="U265" s="9" t="n"/>
      <c r="V265" s="9" t="n"/>
      <c r="W265" s="14" t="n"/>
      <c r="X265" s="9" t="n"/>
      <c r="Y265" s="8">
        <f>IF($G265="","",IF($D265="","⚠部屋が未選択",IF(COUNTIF('M_部屋'!$A$4:$A$20,$D265)=0,"⚠部屋が未登録",IF(OR($J265="",$Q265="キャンセル"),"",IF(SUMPRODUCT(($D$5:$D$404=$D265)*($G$5:$G$404&lt;&gt;"")*($J$5:$J$404&lt;&gt;"")*($Q$5:$Q$404&lt;&gt;"キャンセル")*($G$5:$G$404&lt;$J265)*($J$5:$J$404&gt;$G265))&gt;1,"⚠重複","")))))</f>
        <v/>
      </c>
      <c r="Z265" s="8">
        <f>IF(OR($B265="",$G265=""),"",IF(SUMPRODUCT(('利用者マスタ'!$A$4:$A$60=$B265)*('利用者マスタ'!$B$4:$B$60&lt;&gt;""))=0,"",IF(SUMIFS($AA$5:$AA$404,$B$5:$B$404,$B265,$G$5:$G$404,"&gt;="&amp;DATE(YEAR($G265),MONTH($G265),1),$G$5:$G$404,"&lt;="&amp;EOMONTH($G265,0))&gt;SUMIFS('利用者マスタ'!$B$4:$B$60,'利用者マスタ'!$A$4:$A$60,$B265),"⚠支給量超過","")))</f>
        <v/>
      </c>
      <c r="AA265" s="8">
        <f>IF(OR($G265="",$J265="",$Q265="キャンセル"),0,IF(IFERROR(INDEX('M_区分'!$B$4:$B$20,MATCH($C265,'M_区分'!$A$4:$A$20,0)),"○")="○",$J265-$G265+1,0))</f>
        <v/>
      </c>
      <c r="AB265" s="8">
        <f>IF($E265&lt;&gt;"",$E265,$AB264)</f>
        <v/>
      </c>
      <c r="AC265" s="8">
        <f>IF(OR($G265="",$J265=""),"",IF(AND($G265&lt;=EOMONTH('02_カレンダー'!$B$4,0),$J265&gt;='02_カレンダー'!$B$4),$G265*10000+ROW(),""))</f>
        <v/>
      </c>
      <c r="AD265" s="8">
        <f>IF($H265="","",IF(ISNUMBER($H265),IF(AND($H265=INT($H265),$H265&gt;=0,$H265&lt;=24),TEXT(INT($H265),"00")&amp;":00",TEXT($H265,"hh:mm")),$H265))</f>
        <v/>
      </c>
      <c r="AE265" s="8">
        <f>IF($K265="","",IF(ISNUMBER($K265),IF(AND($K265=INT($K265),$K265&gt;=0,$K265&lt;=24),TEXT(INT($K265),"00")&amp;":00",TEXT($K265,"hh:mm")),$K265))</f>
        <v/>
      </c>
      <c r="AF265" s="8">
        <f>IF($G265="",0,$G265)</f>
        <v/>
      </c>
      <c r="AG265" s="8">
        <f>IF($J265="",0,$J265)</f>
        <v/>
      </c>
    </row>
    <row r="266">
      <c r="A266" s="8">
        <f>IF($G266="","","SS-"&amp;TEXT(ROW()-4,"0000"))</f>
        <v/>
      </c>
      <c r="B266" s="9" t="n"/>
      <c r="C266" s="9" t="n"/>
      <c r="D266" s="9" t="n"/>
      <c r="E266" s="10" t="n"/>
      <c r="F266" s="11" t="n"/>
      <c r="G266" s="12">
        <f>IF($F266="","",IF($F266&gt;31,$F266,IF($AB266="","",DATE(YEAR($AB266),MONTH($AB266),$F266))))</f>
        <v/>
      </c>
      <c r="H266" s="9" t="n"/>
      <c r="I266" s="11" t="n"/>
      <c r="J266" s="12">
        <f>IF($I266="","",IF($I266&gt;31,$I266,IF($G266="","",IF(DATE(YEAR($G266),MONTH($G266),$I266)&gt;=$G266,DATE(YEAR($G266),MONTH($G266),$I266),DATE(YEAR($G266),MONTH($G266)+1,$I266)))))</f>
        <v/>
      </c>
      <c r="K266" s="9" t="n"/>
      <c r="L266" s="13" t="n"/>
      <c r="M266" s="13" t="n"/>
      <c r="N266" s="13" t="n"/>
      <c r="O266" s="8">
        <f>IF(OR($G266="",$J266=""),"",$J266-$G266+1)</f>
        <v/>
      </c>
      <c r="P266" s="8">
        <f>IF(OR($G266="",$J266=""),"",$J266-$G266)</f>
        <v/>
      </c>
      <c r="Q266" s="9" t="n"/>
      <c r="R266" s="9" t="n"/>
      <c r="S266" s="9" t="n"/>
      <c r="T266" s="9" t="n"/>
      <c r="U266" s="9" t="n"/>
      <c r="V266" s="9" t="n"/>
      <c r="W266" s="14" t="n"/>
      <c r="X266" s="9" t="n"/>
      <c r="Y266" s="8">
        <f>IF($G266="","",IF($D266="","⚠部屋が未選択",IF(COUNTIF('M_部屋'!$A$4:$A$20,$D266)=0,"⚠部屋が未登録",IF(OR($J266="",$Q266="キャンセル"),"",IF(SUMPRODUCT(($D$5:$D$404=$D266)*($G$5:$G$404&lt;&gt;"")*($J$5:$J$404&lt;&gt;"")*($Q$5:$Q$404&lt;&gt;"キャンセル")*($G$5:$G$404&lt;$J266)*($J$5:$J$404&gt;$G266))&gt;1,"⚠重複","")))))</f>
        <v/>
      </c>
      <c r="Z266" s="8">
        <f>IF(OR($B266="",$G266=""),"",IF(SUMPRODUCT(('利用者マスタ'!$A$4:$A$60=$B266)*('利用者マスタ'!$B$4:$B$60&lt;&gt;""))=0,"",IF(SUMIFS($AA$5:$AA$404,$B$5:$B$404,$B266,$G$5:$G$404,"&gt;="&amp;DATE(YEAR($G266),MONTH($G266),1),$G$5:$G$404,"&lt;="&amp;EOMONTH($G266,0))&gt;SUMIFS('利用者マスタ'!$B$4:$B$60,'利用者マスタ'!$A$4:$A$60,$B266),"⚠支給量超過","")))</f>
        <v/>
      </c>
      <c r="AA266" s="8">
        <f>IF(OR($G266="",$J266="",$Q266="キャンセル"),0,IF(IFERROR(INDEX('M_区分'!$B$4:$B$20,MATCH($C266,'M_区分'!$A$4:$A$20,0)),"○")="○",$J266-$G266+1,0))</f>
        <v/>
      </c>
      <c r="AB266" s="8">
        <f>IF($E266&lt;&gt;"",$E266,$AB265)</f>
        <v/>
      </c>
      <c r="AC266" s="8">
        <f>IF(OR($G266="",$J266=""),"",IF(AND($G266&lt;=EOMONTH('02_カレンダー'!$B$4,0),$J266&gt;='02_カレンダー'!$B$4),$G266*10000+ROW(),""))</f>
        <v/>
      </c>
      <c r="AD266" s="8">
        <f>IF($H266="","",IF(ISNUMBER($H266),IF(AND($H266=INT($H266),$H266&gt;=0,$H266&lt;=24),TEXT(INT($H266),"00")&amp;":00",TEXT($H266,"hh:mm")),$H266))</f>
        <v/>
      </c>
      <c r="AE266" s="8">
        <f>IF($K266="","",IF(ISNUMBER($K266),IF(AND($K266=INT($K266),$K266&gt;=0,$K266&lt;=24),TEXT(INT($K266),"00")&amp;":00",TEXT($K266,"hh:mm")),$K266))</f>
        <v/>
      </c>
      <c r="AF266" s="8">
        <f>IF($G266="",0,$G266)</f>
        <v/>
      </c>
      <c r="AG266" s="8">
        <f>IF($J266="",0,$J266)</f>
        <v/>
      </c>
    </row>
    <row r="267">
      <c r="A267" s="8">
        <f>IF($G267="","","SS-"&amp;TEXT(ROW()-4,"0000"))</f>
        <v/>
      </c>
      <c r="B267" s="9" t="n"/>
      <c r="C267" s="9" t="n"/>
      <c r="D267" s="9" t="n"/>
      <c r="E267" s="10" t="n"/>
      <c r="F267" s="11" t="n"/>
      <c r="G267" s="12">
        <f>IF($F267="","",IF($F267&gt;31,$F267,IF($AB267="","",DATE(YEAR($AB267),MONTH($AB267),$F267))))</f>
        <v/>
      </c>
      <c r="H267" s="9" t="n"/>
      <c r="I267" s="11" t="n"/>
      <c r="J267" s="12">
        <f>IF($I267="","",IF($I267&gt;31,$I267,IF($G267="","",IF(DATE(YEAR($G267),MONTH($G267),$I267)&gt;=$G267,DATE(YEAR($G267),MONTH($G267),$I267),DATE(YEAR($G267),MONTH($G267)+1,$I267)))))</f>
        <v/>
      </c>
      <c r="K267" s="9" t="n"/>
      <c r="L267" s="13" t="n"/>
      <c r="M267" s="13" t="n"/>
      <c r="N267" s="13" t="n"/>
      <c r="O267" s="8">
        <f>IF(OR($G267="",$J267=""),"",$J267-$G267+1)</f>
        <v/>
      </c>
      <c r="P267" s="8">
        <f>IF(OR($G267="",$J267=""),"",$J267-$G267)</f>
        <v/>
      </c>
      <c r="Q267" s="9" t="n"/>
      <c r="R267" s="9" t="n"/>
      <c r="S267" s="9" t="n"/>
      <c r="T267" s="9" t="n"/>
      <c r="U267" s="9" t="n"/>
      <c r="V267" s="9" t="n"/>
      <c r="W267" s="14" t="n"/>
      <c r="X267" s="9" t="n"/>
      <c r="Y267" s="8">
        <f>IF($G267="","",IF($D267="","⚠部屋が未選択",IF(COUNTIF('M_部屋'!$A$4:$A$20,$D267)=0,"⚠部屋が未登録",IF(OR($J267="",$Q267="キャンセル"),"",IF(SUMPRODUCT(($D$5:$D$404=$D267)*($G$5:$G$404&lt;&gt;"")*($J$5:$J$404&lt;&gt;"")*($Q$5:$Q$404&lt;&gt;"キャンセル")*($G$5:$G$404&lt;$J267)*($J$5:$J$404&gt;$G267))&gt;1,"⚠重複","")))))</f>
        <v/>
      </c>
      <c r="Z267" s="8">
        <f>IF(OR($B267="",$G267=""),"",IF(SUMPRODUCT(('利用者マスタ'!$A$4:$A$60=$B267)*('利用者マスタ'!$B$4:$B$60&lt;&gt;""))=0,"",IF(SUMIFS($AA$5:$AA$404,$B$5:$B$404,$B267,$G$5:$G$404,"&gt;="&amp;DATE(YEAR($G267),MONTH($G267),1),$G$5:$G$404,"&lt;="&amp;EOMONTH($G267,0))&gt;SUMIFS('利用者マスタ'!$B$4:$B$60,'利用者マスタ'!$A$4:$A$60,$B267),"⚠支給量超過","")))</f>
        <v/>
      </c>
      <c r="AA267" s="8">
        <f>IF(OR($G267="",$J267="",$Q267="キャンセル"),0,IF(IFERROR(INDEX('M_区分'!$B$4:$B$20,MATCH($C267,'M_区分'!$A$4:$A$20,0)),"○")="○",$J267-$G267+1,0))</f>
        <v/>
      </c>
      <c r="AB267" s="8">
        <f>IF($E267&lt;&gt;"",$E267,$AB266)</f>
        <v/>
      </c>
      <c r="AC267" s="8">
        <f>IF(OR($G267="",$J267=""),"",IF(AND($G267&lt;=EOMONTH('02_カレンダー'!$B$4,0),$J267&gt;='02_カレンダー'!$B$4),$G267*10000+ROW(),""))</f>
        <v/>
      </c>
      <c r="AD267" s="8">
        <f>IF($H267="","",IF(ISNUMBER($H267),IF(AND($H267=INT($H267),$H267&gt;=0,$H267&lt;=24),TEXT(INT($H267),"00")&amp;":00",TEXT($H267,"hh:mm")),$H267))</f>
        <v/>
      </c>
      <c r="AE267" s="8">
        <f>IF($K267="","",IF(ISNUMBER($K267),IF(AND($K267=INT($K267),$K267&gt;=0,$K267&lt;=24),TEXT(INT($K267),"00")&amp;":00",TEXT($K267,"hh:mm")),$K267))</f>
        <v/>
      </c>
      <c r="AF267" s="8">
        <f>IF($G267="",0,$G267)</f>
        <v/>
      </c>
      <c r="AG267" s="8">
        <f>IF($J267="",0,$J267)</f>
        <v/>
      </c>
    </row>
    <row r="268">
      <c r="A268" s="8">
        <f>IF($G268="","","SS-"&amp;TEXT(ROW()-4,"0000"))</f>
        <v/>
      </c>
      <c r="B268" s="9" t="n"/>
      <c r="C268" s="9" t="n"/>
      <c r="D268" s="9" t="n"/>
      <c r="E268" s="10" t="n"/>
      <c r="F268" s="11" t="n"/>
      <c r="G268" s="12">
        <f>IF($F268="","",IF($F268&gt;31,$F268,IF($AB268="","",DATE(YEAR($AB268),MONTH($AB268),$F268))))</f>
        <v/>
      </c>
      <c r="H268" s="9" t="n"/>
      <c r="I268" s="11" t="n"/>
      <c r="J268" s="12">
        <f>IF($I268="","",IF($I268&gt;31,$I268,IF($G268="","",IF(DATE(YEAR($G268),MONTH($G268),$I268)&gt;=$G268,DATE(YEAR($G268),MONTH($G268),$I268),DATE(YEAR($G268),MONTH($G268)+1,$I268)))))</f>
        <v/>
      </c>
      <c r="K268" s="9" t="n"/>
      <c r="L268" s="13" t="n"/>
      <c r="M268" s="13" t="n"/>
      <c r="N268" s="13" t="n"/>
      <c r="O268" s="8">
        <f>IF(OR($G268="",$J268=""),"",$J268-$G268+1)</f>
        <v/>
      </c>
      <c r="P268" s="8">
        <f>IF(OR($G268="",$J268=""),"",$J268-$G268)</f>
        <v/>
      </c>
      <c r="Q268" s="9" t="n"/>
      <c r="R268" s="9" t="n"/>
      <c r="S268" s="9" t="n"/>
      <c r="T268" s="9" t="n"/>
      <c r="U268" s="9" t="n"/>
      <c r="V268" s="9" t="n"/>
      <c r="W268" s="14" t="n"/>
      <c r="X268" s="9" t="n"/>
      <c r="Y268" s="8">
        <f>IF($G268="","",IF($D268="","⚠部屋が未選択",IF(COUNTIF('M_部屋'!$A$4:$A$20,$D268)=0,"⚠部屋が未登録",IF(OR($J268="",$Q268="キャンセル"),"",IF(SUMPRODUCT(($D$5:$D$404=$D268)*($G$5:$G$404&lt;&gt;"")*($J$5:$J$404&lt;&gt;"")*($Q$5:$Q$404&lt;&gt;"キャンセル")*($G$5:$G$404&lt;$J268)*($J$5:$J$404&gt;$G268))&gt;1,"⚠重複","")))))</f>
        <v/>
      </c>
      <c r="Z268" s="8">
        <f>IF(OR($B268="",$G268=""),"",IF(SUMPRODUCT(('利用者マスタ'!$A$4:$A$60=$B268)*('利用者マスタ'!$B$4:$B$60&lt;&gt;""))=0,"",IF(SUMIFS($AA$5:$AA$404,$B$5:$B$404,$B268,$G$5:$G$404,"&gt;="&amp;DATE(YEAR($G268),MONTH($G268),1),$G$5:$G$404,"&lt;="&amp;EOMONTH($G268,0))&gt;SUMIFS('利用者マスタ'!$B$4:$B$60,'利用者マスタ'!$A$4:$A$60,$B268),"⚠支給量超過","")))</f>
        <v/>
      </c>
      <c r="AA268" s="8">
        <f>IF(OR($G268="",$J268="",$Q268="キャンセル"),0,IF(IFERROR(INDEX('M_区分'!$B$4:$B$20,MATCH($C268,'M_区分'!$A$4:$A$20,0)),"○")="○",$J268-$G268+1,0))</f>
        <v/>
      </c>
      <c r="AB268" s="8">
        <f>IF($E268&lt;&gt;"",$E268,$AB267)</f>
        <v/>
      </c>
      <c r="AC268" s="8">
        <f>IF(OR($G268="",$J268=""),"",IF(AND($G268&lt;=EOMONTH('02_カレンダー'!$B$4,0),$J268&gt;='02_カレンダー'!$B$4),$G268*10000+ROW(),""))</f>
        <v/>
      </c>
      <c r="AD268" s="8">
        <f>IF($H268="","",IF(ISNUMBER($H268),IF(AND($H268=INT($H268),$H268&gt;=0,$H268&lt;=24),TEXT(INT($H268),"00")&amp;":00",TEXT($H268,"hh:mm")),$H268))</f>
        <v/>
      </c>
      <c r="AE268" s="8">
        <f>IF($K268="","",IF(ISNUMBER($K268),IF(AND($K268=INT($K268),$K268&gt;=0,$K268&lt;=24),TEXT(INT($K268),"00")&amp;":00",TEXT($K268,"hh:mm")),$K268))</f>
        <v/>
      </c>
      <c r="AF268" s="8">
        <f>IF($G268="",0,$G268)</f>
        <v/>
      </c>
      <c r="AG268" s="8">
        <f>IF($J268="",0,$J268)</f>
        <v/>
      </c>
    </row>
    <row r="269">
      <c r="A269" s="8">
        <f>IF($G269="","","SS-"&amp;TEXT(ROW()-4,"0000"))</f>
        <v/>
      </c>
      <c r="B269" s="9" t="n"/>
      <c r="C269" s="9" t="n"/>
      <c r="D269" s="9" t="n"/>
      <c r="E269" s="10" t="n"/>
      <c r="F269" s="11" t="n"/>
      <c r="G269" s="12">
        <f>IF($F269="","",IF($F269&gt;31,$F269,IF($AB269="","",DATE(YEAR($AB269),MONTH($AB269),$F269))))</f>
        <v/>
      </c>
      <c r="H269" s="9" t="n"/>
      <c r="I269" s="11" t="n"/>
      <c r="J269" s="12">
        <f>IF($I269="","",IF($I269&gt;31,$I269,IF($G269="","",IF(DATE(YEAR($G269),MONTH($G269),$I269)&gt;=$G269,DATE(YEAR($G269),MONTH($G269),$I269),DATE(YEAR($G269),MONTH($G269)+1,$I269)))))</f>
        <v/>
      </c>
      <c r="K269" s="9" t="n"/>
      <c r="L269" s="13" t="n"/>
      <c r="M269" s="13" t="n"/>
      <c r="N269" s="13" t="n"/>
      <c r="O269" s="8">
        <f>IF(OR($G269="",$J269=""),"",$J269-$G269+1)</f>
        <v/>
      </c>
      <c r="P269" s="8">
        <f>IF(OR($G269="",$J269=""),"",$J269-$G269)</f>
        <v/>
      </c>
      <c r="Q269" s="9" t="n"/>
      <c r="R269" s="9" t="n"/>
      <c r="S269" s="9" t="n"/>
      <c r="T269" s="9" t="n"/>
      <c r="U269" s="9" t="n"/>
      <c r="V269" s="9" t="n"/>
      <c r="W269" s="14" t="n"/>
      <c r="X269" s="9" t="n"/>
      <c r="Y269" s="8">
        <f>IF($G269="","",IF($D269="","⚠部屋が未選択",IF(COUNTIF('M_部屋'!$A$4:$A$20,$D269)=0,"⚠部屋が未登録",IF(OR($J269="",$Q269="キャンセル"),"",IF(SUMPRODUCT(($D$5:$D$404=$D269)*($G$5:$G$404&lt;&gt;"")*($J$5:$J$404&lt;&gt;"")*($Q$5:$Q$404&lt;&gt;"キャンセル")*($G$5:$G$404&lt;$J269)*($J$5:$J$404&gt;$G269))&gt;1,"⚠重複","")))))</f>
        <v/>
      </c>
      <c r="Z269" s="8">
        <f>IF(OR($B269="",$G269=""),"",IF(SUMPRODUCT(('利用者マスタ'!$A$4:$A$60=$B269)*('利用者マスタ'!$B$4:$B$60&lt;&gt;""))=0,"",IF(SUMIFS($AA$5:$AA$404,$B$5:$B$404,$B269,$G$5:$G$404,"&gt;="&amp;DATE(YEAR($G269),MONTH($G269),1),$G$5:$G$404,"&lt;="&amp;EOMONTH($G269,0))&gt;SUMIFS('利用者マスタ'!$B$4:$B$60,'利用者マスタ'!$A$4:$A$60,$B269),"⚠支給量超過","")))</f>
        <v/>
      </c>
      <c r="AA269" s="8">
        <f>IF(OR($G269="",$J269="",$Q269="キャンセル"),0,IF(IFERROR(INDEX('M_区分'!$B$4:$B$20,MATCH($C269,'M_区分'!$A$4:$A$20,0)),"○")="○",$J269-$G269+1,0))</f>
        <v/>
      </c>
      <c r="AB269" s="8">
        <f>IF($E269&lt;&gt;"",$E269,$AB268)</f>
        <v/>
      </c>
      <c r="AC269" s="8">
        <f>IF(OR($G269="",$J269=""),"",IF(AND($G269&lt;=EOMONTH('02_カレンダー'!$B$4,0),$J269&gt;='02_カレンダー'!$B$4),$G269*10000+ROW(),""))</f>
        <v/>
      </c>
      <c r="AD269" s="8">
        <f>IF($H269="","",IF(ISNUMBER($H269),IF(AND($H269=INT($H269),$H269&gt;=0,$H269&lt;=24),TEXT(INT($H269),"00")&amp;":00",TEXT($H269,"hh:mm")),$H269))</f>
        <v/>
      </c>
      <c r="AE269" s="8">
        <f>IF($K269="","",IF(ISNUMBER($K269),IF(AND($K269=INT($K269),$K269&gt;=0,$K269&lt;=24),TEXT(INT($K269),"00")&amp;":00",TEXT($K269,"hh:mm")),$K269))</f>
        <v/>
      </c>
      <c r="AF269" s="8">
        <f>IF($G269="",0,$G269)</f>
        <v/>
      </c>
      <c r="AG269" s="8">
        <f>IF($J269="",0,$J269)</f>
        <v/>
      </c>
    </row>
    <row r="270">
      <c r="A270" s="8">
        <f>IF($G270="","","SS-"&amp;TEXT(ROW()-4,"0000"))</f>
        <v/>
      </c>
      <c r="B270" s="9" t="n"/>
      <c r="C270" s="9" t="n"/>
      <c r="D270" s="9" t="n"/>
      <c r="E270" s="10" t="n"/>
      <c r="F270" s="11" t="n"/>
      <c r="G270" s="12">
        <f>IF($F270="","",IF($F270&gt;31,$F270,IF($AB270="","",DATE(YEAR($AB270),MONTH($AB270),$F270))))</f>
        <v/>
      </c>
      <c r="H270" s="9" t="n"/>
      <c r="I270" s="11" t="n"/>
      <c r="J270" s="12">
        <f>IF($I270="","",IF($I270&gt;31,$I270,IF($G270="","",IF(DATE(YEAR($G270),MONTH($G270),$I270)&gt;=$G270,DATE(YEAR($G270),MONTH($G270),$I270),DATE(YEAR($G270),MONTH($G270)+1,$I270)))))</f>
        <v/>
      </c>
      <c r="K270" s="9" t="n"/>
      <c r="L270" s="13" t="n"/>
      <c r="M270" s="13" t="n"/>
      <c r="N270" s="13" t="n"/>
      <c r="O270" s="8">
        <f>IF(OR($G270="",$J270=""),"",$J270-$G270+1)</f>
        <v/>
      </c>
      <c r="P270" s="8">
        <f>IF(OR($G270="",$J270=""),"",$J270-$G270)</f>
        <v/>
      </c>
      <c r="Q270" s="9" t="n"/>
      <c r="R270" s="9" t="n"/>
      <c r="S270" s="9" t="n"/>
      <c r="T270" s="9" t="n"/>
      <c r="U270" s="9" t="n"/>
      <c r="V270" s="9" t="n"/>
      <c r="W270" s="14" t="n"/>
      <c r="X270" s="9" t="n"/>
      <c r="Y270" s="8">
        <f>IF($G270="","",IF($D270="","⚠部屋が未選択",IF(COUNTIF('M_部屋'!$A$4:$A$20,$D270)=0,"⚠部屋が未登録",IF(OR($J270="",$Q270="キャンセル"),"",IF(SUMPRODUCT(($D$5:$D$404=$D270)*($G$5:$G$404&lt;&gt;"")*($J$5:$J$404&lt;&gt;"")*($Q$5:$Q$404&lt;&gt;"キャンセル")*($G$5:$G$404&lt;$J270)*($J$5:$J$404&gt;$G270))&gt;1,"⚠重複","")))))</f>
        <v/>
      </c>
      <c r="Z270" s="8">
        <f>IF(OR($B270="",$G270=""),"",IF(SUMPRODUCT(('利用者マスタ'!$A$4:$A$60=$B270)*('利用者マスタ'!$B$4:$B$60&lt;&gt;""))=0,"",IF(SUMIFS($AA$5:$AA$404,$B$5:$B$404,$B270,$G$5:$G$404,"&gt;="&amp;DATE(YEAR($G270),MONTH($G270),1),$G$5:$G$404,"&lt;="&amp;EOMONTH($G270,0))&gt;SUMIFS('利用者マスタ'!$B$4:$B$60,'利用者マスタ'!$A$4:$A$60,$B270),"⚠支給量超過","")))</f>
        <v/>
      </c>
      <c r="AA270" s="8">
        <f>IF(OR($G270="",$J270="",$Q270="キャンセル"),0,IF(IFERROR(INDEX('M_区分'!$B$4:$B$20,MATCH($C270,'M_区分'!$A$4:$A$20,0)),"○")="○",$J270-$G270+1,0))</f>
        <v/>
      </c>
      <c r="AB270" s="8">
        <f>IF($E270&lt;&gt;"",$E270,$AB269)</f>
        <v/>
      </c>
      <c r="AC270" s="8">
        <f>IF(OR($G270="",$J270=""),"",IF(AND($G270&lt;=EOMONTH('02_カレンダー'!$B$4,0),$J270&gt;='02_カレンダー'!$B$4),$G270*10000+ROW(),""))</f>
        <v/>
      </c>
      <c r="AD270" s="8">
        <f>IF($H270="","",IF(ISNUMBER($H270),IF(AND($H270=INT($H270),$H270&gt;=0,$H270&lt;=24),TEXT(INT($H270),"00")&amp;":00",TEXT($H270,"hh:mm")),$H270))</f>
        <v/>
      </c>
      <c r="AE270" s="8">
        <f>IF($K270="","",IF(ISNUMBER($K270),IF(AND($K270=INT($K270),$K270&gt;=0,$K270&lt;=24),TEXT(INT($K270),"00")&amp;":00",TEXT($K270,"hh:mm")),$K270))</f>
        <v/>
      </c>
      <c r="AF270" s="8">
        <f>IF($G270="",0,$G270)</f>
        <v/>
      </c>
      <c r="AG270" s="8">
        <f>IF($J270="",0,$J270)</f>
        <v/>
      </c>
    </row>
    <row r="271">
      <c r="A271" s="8">
        <f>IF($G271="","","SS-"&amp;TEXT(ROW()-4,"0000"))</f>
        <v/>
      </c>
      <c r="B271" s="9" t="n"/>
      <c r="C271" s="9" t="n"/>
      <c r="D271" s="9" t="n"/>
      <c r="E271" s="10" t="n"/>
      <c r="F271" s="11" t="n"/>
      <c r="G271" s="12">
        <f>IF($F271="","",IF($F271&gt;31,$F271,IF($AB271="","",DATE(YEAR($AB271),MONTH($AB271),$F271))))</f>
        <v/>
      </c>
      <c r="H271" s="9" t="n"/>
      <c r="I271" s="11" t="n"/>
      <c r="J271" s="12">
        <f>IF($I271="","",IF($I271&gt;31,$I271,IF($G271="","",IF(DATE(YEAR($G271),MONTH($G271),$I271)&gt;=$G271,DATE(YEAR($G271),MONTH($G271),$I271),DATE(YEAR($G271),MONTH($G271)+1,$I271)))))</f>
        <v/>
      </c>
      <c r="K271" s="9" t="n"/>
      <c r="L271" s="13" t="n"/>
      <c r="M271" s="13" t="n"/>
      <c r="N271" s="13" t="n"/>
      <c r="O271" s="8">
        <f>IF(OR($G271="",$J271=""),"",$J271-$G271+1)</f>
        <v/>
      </c>
      <c r="P271" s="8">
        <f>IF(OR($G271="",$J271=""),"",$J271-$G271)</f>
        <v/>
      </c>
      <c r="Q271" s="9" t="n"/>
      <c r="R271" s="9" t="n"/>
      <c r="S271" s="9" t="n"/>
      <c r="T271" s="9" t="n"/>
      <c r="U271" s="9" t="n"/>
      <c r="V271" s="9" t="n"/>
      <c r="W271" s="14" t="n"/>
      <c r="X271" s="9" t="n"/>
      <c r="Y271" s="8">
        <f>IF($G271="","",IF($D271="","⚠部屋が未選択",IF(COUNTIF('M_部屋'!$A$4:$A$20,$D271)=0,"⚠部屋が未登録",IF(OR($J271="",$Q271="キャンセル"),"",IF(SUMPRODUCT(($D$5:$D$404=$D271)*($G$5:$G$404&lt;&gt;"")*($J$5:$J$404&lt;&gt;"")*($Q$5:$Q$404&lt;&gt;"キャンセル")*($G$5:$G$404&lt;$J271)*($J$5:$J$404&gt;$G271))&gt;1,"⚠重複","")))))</f>
        <v/>
      </c>
      <c r="Z271" s="8">
        <f>IF(OR($B271="",$G271=""),"",IF(SUMPRODUCT(('利用者マスタ'!$A$4:$A$60=$B271)*('利用者マスタ'!$B$4:$B$60&lt;&gt;""))=0,"",IF(SUMIFS($AA$5:$AA$404,$B$5:$B$404,$B271,$G$5:$G$404,"&gt;="&amp;DATE(YEAR($G271),MONTH($G271),1),$G$5:$G$404,"&lt;="&amp;EOMONTH($G271,0))&gt;SUMIFS('利用者マスタ'!$B$4:$B$60,'利用者マスタ'!$A$4:$A$60,$B271),"⚠支給量超過","")))</f>
        <v/>
      </c>
      <c r="AA271" s="8">
        <f>IF(OR($G271="",$J271="",$Q271="キャンセル"),0,IF(IFERROR(INDEX('M_区分'!$B$4:$B$20,MATCH($C271,'M_区分'!$A$4:$A$20,0)),"○")="○",$J271-$G271+1,0))</f>
        <v/>
      </c>
      <c r="AB271" s="8">
        <f>IF($E271&lt;&gt;"",$E271,$AB270)</f>
        <v/>
      </c>
      <c r="AC271" s="8">
        <f>IF(OR($G271="",$J271=""),"",IF(AND($G271&lt;=EOMONTH('02_カレンダー'!$B$4,0),$J271&gt;='02_カレンダー'!$B$4),$G271*10000+ROW(),""))</f>
        <v/>
      </c>
      <c r="AD271" s="8">
        <f>IF($H271="","",IF(ISNUMBER($H271),IF(AND($H271=INT($H271),$H271&gt;=0,$H271&lt;=24),TEXT(INT($H271),"00")&amp;":00",TEXT($H271,"hh:mm")),$H271))</f>
        <v/>
      </c>
      <c r="AE271" s="8">
        <f>IF($K271="","",IF(ISNUMBER($K271),IF(AND($K271=INT($K271),$K271&gt;=0,$K271&lt;=24),TEXT(INT($K271),"00")&amp;":00",TEXT($K271,"hh:mm")),$K271))</f>
        <v/>
      </c>
      <c r="AF271" s="8">
        <f>IF($G271="",0,$G271)</f>
        <v/>
      </c>
      <c r="AG271" s="8">
        <f>IF($J271="",0,$J271)</f>
        <v/>
      </c>
    </row>
    <row r="272">
      <c r="A272" s="8">
        <f>IF($G272="","","SS-"&amp;TEXT(ROW()-4,"0000"))</f>
        <v/>
      </c>
      <c r="B272" s="9" t="n"/>
      <c r="C272" s="9" t="n"/>
      <c r="D272" s="9" t="n"/>
      <c r="E272" s="10" t="n"/>
      <c r="F272" s="11" t="n"/>
      <c r="G272" s="12">
        <f>IF($F272="","",IF($F272&gt;31,$F272,IF($AB272="","",DATE(YEAR($AB272),MONTH($AB272),$F272))))</f>
        <v/>
      </c>
      <c r="H272" s="9" t="n"/>
      <c r="I272" s="11" t="n"/>
      <c r="J272" s="12">
        <f>IF($I272="","",IF($I272&gt;31,$I272,IF($G272="","",IF(DATE(YEAR($G272),MONTH($G272),$I272)&gt;=$G272,DATE(YEAR($G272),MONTH($G272),$I272),DATE(YEAR($G272),MONTH($G272)+1,$I272)))))</f>
        <v/>
      </c>
      <c r="K272" s="9" t="n"/>
      <c r="L272" s="13" t="n"/>
      <c r="M272" s="13" t="n"/>
      <c r="N272" s="13" t="n"/>
      <c r="O272" s="8">
        <f>IF(OR($G272="",$J272=""),"",$J272-$G272+1)</f>
        <v/>
      </c>
      <c r="P272" s="8">
        <f>IF(OR($G272="",$J272=""),"",$J272-$G272)</f>
        <v/>
      </c>
      <c r="Q272" s="9" t="n"/>
      <c r="R272" s="9" t="n"/>
      <c r="S272" s="9" t="n"/>
      <c r="T272" s="9" t="n"/>
      <c r="U272" s="9" t="n"/>
      <c r="V272" s="9" t="n"/>
      <c r="W272" s="14" t="n"/>
      <c r="X272" s="9" t="n"/>
      <c r="Y272" s="8">
        <f>IF($G272="","",IF($D272="","⚠部屋が未選択",IF(COUNTIF('M_部屋'!$A$4:$A$20,$D272)=0,"⚠部屋が未登録",IF(OR($J272="",$Q272="キャンセル"),"",IF(SUMPRODUCT(($D$5:$D$404=$D272)*($G$5:$G$404&lt;&gt;"")*($J$5:$J$404&lt;&gt;"")*($Q$5:$Q$404&lt;&gt;"キャンセル")*($G$5:$G$404&lt;$J272)*($J$5:$J$404&gt;$G272))&gt;1,"⚠重複","")))))</f>
        <v/>
      </c>
      <c r="Z272" s="8">
        <f>IF(OR($B272="",$G272=""),"",IF(SUMPRODUCT(('利用者マスタ'!$A$4:$A$60=$B272)*('利用者マスタ'!$B$4:$B$60&lt;&gt;""))=0,"",IF(SUMIFS($AA$5:$AA$404,$B$5:$B$404,$B272,$G$5:$G$404,"&gt;="&amp;DATE(YEAR($G272),MONTH($G272),1),$G$5:$G$404,"&lt;="&amp;EOMONTH($G272,0))&gt;SUMIFS('利用者マスタ'!$B$4:$B$60,'利用者マスタ'!$A$4:$A$60,$B272),"⚠支給量超過","")))</f>
        <v/>
      </c>
      <c r="AA272" s="8">
        <f>IF(OR($G272="",$J272="",$Q272="キャンセル"),0,IF(IFERROR(INDEX('M_区分'!$B$4:$B$20,MATCH($C272,'M_区分'!$A$4:$A$20,0)),"○")="○",$J272-$G272+1,0))</f>
        <v/>
      </c>
      <c r="AB272" s="8">
        <f>IF($E272&lt;&gt;"",$E272,$AB271)</f>
        <v/>
      </c>
      <c r="AC272" s="8">
        <f>IF(OR($G272="",$J272=""),"",IF(AND($G272&lt;=EOMONTH('02_カレンダー'!$B$4,0),$J272&gt;='02_カレンダー'!$B$4),$G272*10000+ROW(),""))</f>
        <v/>
      </c>
      <c r="AD272" s="8">
        <f>IF($H272="","",IF(ISNUMBER($H272),IF(AND($H272=INT($H272),$H272&gt;=0,$H272&lt;=24),TEXT(INT($H272),"00")&amp;":00",TEXT($H272,"hh:mm")),$H272))</f>
        <v/>
      </c>
      <c r="AE272" s="8">
        <f>IF($K272="","",IF(ISNUMBER($K272),IF(AND($K272=INT($K272),$K272&gt;=0,$K272&lt;=24),TEXT(INT($K272),"00")&amp;":00",TEXT($K272,"hh:mm")),$K272))</f>
        <v/>
      </c>
      <c r="AF272" s="8">
        <f>IF($G272="",0,$G272)</f>
        <v/>
      </c>
      <c r="AG272" s="8">
        <f>IF($J272="",0,$J272)</f>
        <v/>
      </c>
    </row>
    <row r="273">
      <c r="A273" s="8">
        <f>IF($G273="","","SS-"&amp;TEXT(ROW()-4,"0000"))</f>
        <v/>
      </c>
      <c r="B273" s="9" t="n"/>
      <c r="C273" s="9" t="n"/>
      <c r="D273" s="9" t="n"/>
      <c r="E273" s="10" t="n"/>
      <c r="F273" s="11" t="n"/>
      <c r="G273" s="12">
        <f>IF($F273="","",IF($F273&gt;31,$F273,IF($AB273="","",DATE(YEAR($AB273),MONTH($AB273),$F273))))</f>
        <v/>
      </c>
      <c r="H273" s="9" t="n"/>
      <c r="I273" s="11" t="n"/>
      <c r="J273" s="12">
        <f>IF($I273="","",IF($I273&gt;31,$I273,IF($G273="","",IF(DATE(YEAR($G273),MONTH($G273),$I273)&gt;=$G273,DATE(YEAR($G273),MONTH($G273),$I273),DATE(YEAR($G273),MONTH($G273)+1,$I273)))))</f>
        <v/>
      </c>
      <c r="K273" s="9" t="n"/>
      <c r="L273" s="13" t="n"/>
      <c r="M273" s="13" t="n"/>
      <c r="N273" s="13" t="n"/>
      <c r="O273" s="8">
        <f>IF(OR($G273="",$J273=""),"",$J273-$G273+1)</f>
        <v/>
      </c>
      <c r="P273" s="8">
        <f>IF(OR($G273="",$J273=""),"",$J273-$G273)</f>
        <v/>
      </c>
      <c r="Q273" s="9" t="n"/>
      <c r="R273" s="9" t="n"/>
      <c r="S273" s="9" t="n"/>
      <c r="T273" s="9" t="n"/>
      <c r="U273" s="9" t="n"/>
      <c r="V273" s="9" t="n"/>
      <c r="W273" s="14" t="n"/>
      <c r="X273" s="9" t="n"/>
      <c r="Y273" s="8">
        <f>IF($G273="","",IF($D273="","⚠部屋が未選択",IF(COUNTIF('M_部屋'!$A$4:$A$20,$D273)=0,"⚠部屋が未登録",IF(OR($J273="",$Q273="キャンセル"),"",IF(SUMPRODUCT(($D$5:$D$404=$D273)*($G$5:$G$404&lt;&gt;"")*($J$5:$J$404&lt;&gt;"")*($Q$5:$Q$404&lt;&gt;"キャンセル")*($G$5:$G$404&lt;$J273)*($J$5:$J$404&gt;$G273))&gt;1,"⚠重複","")))))</f>
        <v/>
      </c>
      <c r="Z273" s="8">
        <f>IF(OR($B273="",$G273=""),"",IF(SUMPRODUCT(('利用者マスタ'!$A$4:$A$60=$B273)*('利用者マスタ'!$B$4:$B$60&lt;&gt;""))=0,"",IF(SUMIFS($AA$5:$AA$404,$B$5:$B$404,$B273,$G$5:$G$404,"&gt;="&amp;DATE(YEAR($G273),MONTH($G273),1),$G$5:$G$404,"&lt;="&amp;EOMONTH($G273,0))&gt;SUMIFS('利用者マスタ'!$B$4:$B$60,'利用者マスタ'!$A$4:$A$60,$B273),"⚠支給量超過","")))</f>
        <v/>
      </c>
      <c r="AA273" s="8">
        <f>IF(OR($G273="",$J273="",$Q273="キャンセル"),0,IF(IFERROR(INDEX('M_区分'!$B$4:$B$20,MATCH($C273,'M_区分'!$A$4:$A$20,0)),"○")="○",$J273-$G273+1,0))</f>
        <v/>
      </c>
      <c r="AB273" s="8">
        <f>IF($E273&lt;&gt;"",$E273,$AB272)</f>
        <v/>
      </c>
      <c r="AC273" s="8">
        <f>IF(OR($G273="",$J273=""),"",IF(AND($G273&lt;=EOMONTH('02_カレンダー'!$B$4,0),$J273&gt;='02_カレンダー'!$B$4),$G273*10000+ROW(),""))</f>
        <v/>
      </c>
      <c r="AD273" s="8">
        <f>IF($H273="","",IF(ISNUMBER($H273),IF(AND($H273=INT($H273),$H273&gt;=0,$H273&lt;=24),TEXT(INT($H273),"00")&amp;":00",TEXT($H273,"hh:mm")),$H273))</f>
        <v/>
      </c>
      <c r="AE273" s="8">
        <f>IF($K273="","",IF(ISNUMBER($K273),IF(AND($K273=INT($K273),$K273&gt;=0,$K273&lt;=24),TEXT(INT($K273),"00")&amp;":00",TEXT($K273,"hh:mm")),$K273))</f>
        <v/>
      </c>
      <c r="AF273" s="8">
        <f>IF($G273="",0,$G273)</f>
        <v/>
      </c>
      <c r="AG273" s="8">
        <f>IF($J273="",0,$J273)</f>
        <v/>
      </c>
    </row>
    <row r="274">
      <c r="A274" s="8">
        <f>IF($G274="","","SS-"&amp;TEXT(ROW()-4,"0000"))</f>
        <v/>
      </c>
      <c r="B274" s="9" t="n"/>
      <c r="C274" s="9" t="n"/>
      <c r="D274" s="9" t="n"/>
      <c r="E274" s="10" t="n"/>
      <c r="F274" s="11" t="n"/>
      <c r="G274" s="12">
        <f>IF($F274="","",IF($F274&gt;31,$F274,IF($AB274="","",DATE(YEAR($AB274),MONTH($AB274),$F274))))</f>
        <v/>
      </c>
      <c r="H274" s="9" t="n"/>
      <c r="I274" s="11" t="n"/>
      <c r="J274" s="12">
        <f>IF($I274="","",IF($I274&gt;31,$I274,IF($G274="","",IF(DATE(YEAR($G274),MONTH($G274),$I274)&gt;=$G274,DATE(YEAR($G274),MONTH($G274),$I274),DATE(YEAR($G274),MONTH($G274)+1,$I274)))))</f>
        <v/>
      </c>
      <c r="K274" s="9" t="n"/>
      <c r="L274" s="13" t="n"/>
      <c r="M274" s="13" t="n"/>
      <c r="N274" s="13" t="n"/>
      <c r="O274" s="8">
        <f>IF(OR($G274="",$J274=""),"",$J274-$G274+1)</f>
        <v/>
      </c>
      <c r="P274" s="8">
        <f>IF(OR($G274="",$J274=""),"",$J274-$G274)</f>
        <v/>
      </c>
      <c r="Q274" s="9" t="n"/>
      <c r="R274" s="9" t="n"/>
      <c r="S274" s="9" t="n"/>
      <c r="T274" s="9" t="n"/>
      <c r="U274" s="9" t="n"/>
      <c r="V274" s="9" t="n"/>
      <c r="W274" s="14" t="n"/>
      <c r="X274" s="9" t="n"/>
      <c r="Y274" s="8">
        <f>IF($G274="","",IF($D274="","⚠部屋が未選択",IF(COUNTIF('M_部屋'!$A$4:$A$20,$D274)=0,"⚠部屋が未登録",IF(OR($J274="",$Q274="キャンセル"),"",IF(SUMPRODUCT(($D$5:$D$404=$D274)*($G$5:$G$404&lt;&gt;"")*($J$5:$J$404&lt;&gt;"")*($Q$5:$Q$404&lt;&gt;"キャンセル")*($G$5:$G$404&lt;$J274)*($J$5:$J$404&gt;$G274))&gt;1,"⚠重複","")))))</f>
        <v/>
      </c>
      <c r="Z274" s="8">
        <f>IF(OR($B274="",$G274=""),"",IF(SUMPRODUCT(('利用者マスタ'!$A$4:$A$60=$B274)*('利用者マスタ'!$B$4:$B$60&lt;&gt;""))=0,"",IF(SUMIFS($AA$5:$AA$404,$B$5:$B$404,$B274,$G$5:$G$404,"&gt;="&amp;DATE(YEAR($G274),MONTH($G274),1),$G$5:$G$404,"&lt;="&amp;EOMONTH($G274,0))&gt;SUMIFS('利用者マスタ'!$B$4:$B$60,'利用者マスタ'!$A$4:$A$60,$B274),"⚠支給量超過","")))</f>
        <v/>
      </c>
      <c r="AA274" s="8">
        <f>IF(OR($G274="",$J274="",$Q274="キャンセル"),0,IF(IFERROR(INDEX('M_区分'!$B$4:$B$20,MATCH($C274,'M_区分'!$A$4:$A$20,0)),"○")="○",$J274-$G274+1,0))</f>
        <v/>
      </c>
      <c r="AB274" s="8">
        <f>IF($E274&lt;&gt;"",$E274,$AB273)</f>
        <v/>
      </c>
      <c r="AC274" s="8">
        <f>IF(OR($G274="",$J274=""),"",IF(AND($G274&lt;=EOMONTH('02_カレンダー'!$B$4,0),$J274&gt;='02_カレンダー'!$B$4),$G274*10000+ROW(),""))</f>
        <v/>
      </c>
      <c r="AD274" s="8">
        <f>IF($H274="","",IF(ISNUMBER($H274),IF(AND($H274=INT($H274),$H274&gt;=0,$H274&lt;=24),TEXT(INT($H274),"00")&amp;":00",TEXT($H274,"hh:mm")),$H274))</f>
        <v/>
      </c>
      <c r="AE274" s="8">
        <f>IF($K274="","",IF(ISNUMBER($K274),IF(AND($K274=INT($K274),$K274&gt;=0,$K274&lt;=24),TEXT(INT($K274),"00")&amp;":00",TEXT($K274,"hh:mm")),$K274))</f>
        <v/>
      </c>
      <c r="AF274" s="8">
        <f>IF($G274="",0,$G274)</f>
        <v/>
      </c>
      <c r="AG274" s="8">
        <f>IF($J274="",0,$J274)</f>
        <v/>
      </c>
    </row>
    <row r="275">
      <c r="A275" s="8">
        <f>IF($G275="","","SS-"&amp;TEXT(ROW()-4,"0000"))</f>
        <v/>
      </c>
      <c r="B275" s="9" t="n"/>
      <c r="C275" s="9" t="n"/>
      <c r="D275" s="9" t="n"/>
      <c r="E275" s="10" t="n"/>
      <c r="F275" s="11" t="n"/>
      <c r="G275" s="12">
        <f>IF($F275="","",IF($F275&gt;31,$F275,IF($AB275="","",DATE(YEAR($AB275),MONTH($AB275),$F275))))</f>
        <v/>
      </c>
      <c r="H275" s="9" t="n"/>
      <c r="I275" s="11" t="n"/>
      <c r="J275" s="12">
        <f>IF($I275="","",IF($I275&gt;31,$I275,IF($G275="","",IF(DATE(YEAR($G275),MONTH($G275),$I275)&gt;=$G275,DATE(YEAR($G275),MONTH($G275),$I275),DATE(YEAR($G275),MONTH($G275)+1,$I275)))))</f>
        <v/>
      </c>
      <c r="K275" s="9" t="n"/>
      <c r="L275" s="13" t="n"/>
      <c r="M275" s="13" t="n"/>
      <c r="N275" s="13" t="n"/>
      <c r="O275" s="8">
        <f>IF(OR($G275="",$J275=""),"",$J275-$G275+1)</f>
        <v/>
      </c>
      <c r="P275" s="8">
        <f>IF(OR($G275="",$J275=""),"",$J275-$G275)</f>
        <v/>
      </c>
      <c r="Q275" s="9" t="n"/>
      <c r="R275" s="9" t="n"/>
      <c r="S275" s="9" t="n"/>
      <c r="T275" s="9" t="n"/>
      <c r="U275" s="9" t="n"/>
      <c r="V275" s="9" t="n"/>
      <c r="W275" s="14" t="n"/>
      <c r="X275" s="9" t="n"/>
      <c r="Y275" s="8">
        <f>IF($G275="","",IF($D275="","⚠部屋が未選択",IF(COUNTIF('M_部屋'!$A$4:$A$20,$D275)=0,"⚠部屋が未登録",IF(OR($J275="",$Q275="キャンセル"),"",IF(SUMPRODUCT(($D$5:$D$404=$D275)*($G$5:$G$404&lt;&gt;"")*($J$5:$J$404&lt;&gt;"")*($Q$5:$Q$404&lt;&gt;"キャンセル")*($G$5:$G$404&lt;$J275)*($J$5:$J$404&gt;$G275))&gt;1,"⚠重複","")))))</f>
        <v/>
      </c>
      <c r="Z275" s="8">
        <f>IF(OR($B275="",$G275=""),"",IF(SUMPRODUCT(('利用者マスタ'!$A$4:$A$60=$B275)*('利用者マスタ'!$B$4:$B$60&lt;&gt;""))=0,"",IF(SUMIFS($AA$5:$AA$404,$B$5:$B$404,$B275,$G$5:$G$404,"&gt;="&amp;DATE(YEAR($G275),MONTH($G275),1),$G$5:$G$404,"&lt;="&amp;EOMONTH($G275,0))&gt;SUMIFS('利用者マスタ'!$B$4:$B$60,'利用者マスタ'!$A$4:$A$60,$B275),"⚠支給量超過","")))</f>
        <v/>
      </c>
      <c r="AA275" s="8">
        <f>IF(OR($G275="",$J275="",$Q275="キャンセル"),0,IF(IFERROR(INDEX('M_区分'!$B$4:$B$20,MATCH($C275,'M_区分'!$A$4:$A$20,0)),"○")="○",$J275-$G275+1,0))</f>
        <v/>
      </c>
      <c r="AB275" s="8">
        <f>IF($E275&lt;&gt;"",$E275,$AB274)</f>
        <v/>
      </c>
      <c r="AC275" s="8">
        <f>IF(OR($G275="",$J275=""),"",IF(AND($G275&lt;=EOMONTH('02_カレンダー'!$B$4,0),$J275&gt;='02_カレンダー'!$B$4),$G275*10000+ROW(),""))</f>
        <v/>
      </c>
      <c r="AD275" s="8">
        <f>IF($H275="","",IF(ISNUMBER($H275),IF(AND($H275=INT($H275),$H275&gt;=0,$H275&lt;=24),TEXT(INT($H275),"00")&amp;":00",TEXT($H275,"hh:mm")),$H275))</f>
        <v/>
      </c>
      <c r="AE275" s="8">
        <f>IF($K275="","",IF(ISNUMBER($K275),IF(AND($K275=INT($K275),$K275&gt;=0,$K275&lt;=24),TEXT(INT($K275),"00")&amp;":00",TEXT($K275,"hh:mm")),$K275))</f>
        <v/>
      </c>
      <c r="AF275" s="8">
        <f>IF($G275="",0,$G275)</f>
        <v/>
      </c>
      <c r="AG275" s="8">
        <f>IF($J275="",0,$J275)</f>
        <v/>
      </c>
    </row>
    <row r="276">
      <c r="A276" s="8">
        <f>IF($G276="","","SS-"&amp;TEXT(ROW()-4,"0000"))</f>
        <v/>
      </c>
      <c r="B276" s="9" t="n"/>
      <c r="C276" s="9" t="n"/>
      <c r="D276" s="9" t="n"/>
      <c r="E276" s="10" t="n"/>
      <c r="F276" s="11" t="n"/>
      <c r="G276" s="12">
        <f>IF($F276="","",IF($F276&gt;31,$F276,IF($AB276="","",DATE(YEAR($AB276),MONTH($AB276),$F276))))</f>
        <v/>
      </c>
      <c r="H276" s="9" t="n"/>
      <c r="I276" s="11" t="n"/>
      <c r="J276" s="12">
        <f>IF($I276="","",IF($I276&gt;31,$I276,IF($G276="","",IF(DATE(YEAR($G276),MONTH($G276),$I276)&gt;=$G276,DATE(YEAR($G276),MONTH($G276),$I276),DATE(YEAR($G276),MONTH($G276)+1,$I276)))))</f>
        <v/>
      </c>
      <c r="K276" s="9" t="n"/>
      <c r="L276" s="13" t="n"/>
      <c r="M276" s="13" t="n"/>
      <c r="N276" s="13" t="n"/>
      <c r="O276" s="8">
        <f>IF(OR($G276="",$J276=""),"",$J276-$G276+1)</f>
        <v/>
      </c>
      <c r="P276" s="8">
        <f>IF(OR($G276="",$J276=""),"",$J276-$G276)</f>
        <v/>
      </c>
      <c r="Q276" s="9" t="n"/>
      <c r="R276" s="9" t="n"/>
      <c r="S276" s="9" t="n"/>
      <c r="T276" s="9" t="n"/>
      <c r="U276" s="9" t="n"/>
      <c r="V276" s="9" t="n"/>
      <c r="W276" s="14" t="n"/>
      <c r="X276" s="9" t="n"/>
      <c r="Y276" s="8">
        <f>IF($G276="","",IF($D276="","⚠部屋が未選択",IF(COUNTIF('M_部屋'!$A$4:$A$20,$D276)=0,"⚠部屋が未登録",IF(OR($J276="",$Q276="キャンセル"),"",IF(SUMPRODUCT(($D$5:$D$404=$D276)*($G$5:$G$404&lt;&gt;"")*($J$5:$J$404&lt;&gt;"")*($Q$5:$Q$404&lt;&gt;"キャンセル")*($G$5:$G$404&lt;$J276)*($J$5:$J$404&gt;$G276))&gt;1,"⚠重複","")))))</f>
        <v/>
      </c>
      <c r="Z276" s="8">
        <f>IF(OR($B276="",$G276=""),"",IF(SUMPRODUCT(('利用者マスタ'!$A$4:$A$60=$B276)*('利用者マスタ'!$B$4:$B$60&lt;&gt;""))=0,"",IF(SUMIFS($AA$5:$AA$404,$B$5:$B$404,$B276,$G$5:$G$404,"&gt;="&amp;DATE(YEAR($G276),MONTH($G276),1),$G$5:$G$404,"&lt;="&amp;EOMONTH($G276,0))&gt;SUMIFS('利用者マスタ'!$B$4:$B$60,'利用者マスタ'!$A$4:$A$60,$B276),"⚠支給量超過","")))</f>
        <v/>
      </c>
      <c r="AA276" s="8">
        <f>IF(OR($G276="",$J276="",$Q276="キャンセル"),0,IF(IFERROR(INDEX('M_区分'!$B$4:$B$20,MATCH($C276,'M_区分'!$A$4:$A$20,0)),"○")="○",$J276-$G276+1,0))</f>
        <v/>
      </c>
      <c r="AB276" s="8">
        <f>IF($E276&lt;&gt;"",$E276,$AB275)</f>
        <v/>
      </c>
      <c r="AC276" s="8">
        <f>IF(OR($G276="",$J276=""),"",IF(AND($G276&lt;=EOMONTH('02_カレンダー'!$B$4,0),$J276&gt;='02_カレンダー'!$B$4),$G276*10000+ROW(),""))</f>
        <v/>
      </c>
      <c r="AD276" s="8">
        <f>IF($H276="","",IF(ISNUMBER($H276),IF(AND($H276=INT($H276),$H276&gt;=0,$H276&lt;=24),TEXT(INT($H276),"00")&amp;":00",TEXT($H276,"hh:mm")),$H276))</f>
        <v/>
      </c>
      <c r="AE276" s="8">
        <f>IF($K276="","",IF(ISNUMBER($K276),IF(AND($K276=INT($K276),$K276&gt;=0,$K276&lt;=24),TEXT(INT($K276),"00")&amp;":00",TEXT($K276,"hh:mm")),$K276))</f>
        <v/>
      </c>
      <c r="AF276" s="8">
        <f>IF($G276="",0,$G276)</f>
        <v/>
      </c>
      <c r="AG276" s="8">
        <f>IF($J276="",0,$J276)</f>
        <v/>
      </c>
    </row>
    <row r="277">
      <c r="A277" s="8">
        <f>IF($G277="","","SS-"&amp;TEXT(ROW()-4,"0000"))</f>
        <v/>
      </c>
      <c r="B277" s="9" t="n"/>
      <c r="C277" s="9" t="n"/>
      <c r="D277" s="9" t="n"/>
      <c r="E277" s="10" t="n"/>
      <c r="F277" s="11" t="n"/>
      <c r="G277" s="12">
        <f>IF($F277="","",IF($F277&gt;31,$F277,IF($AB277="","",DATE(YEAR($AB277),MONTH($AB277),$F277))))</f>
        <v/>
      </c>
      <c r="H277" s="9" t="n"/>
      <c r="I277" s="11" t="n"/>
      <c r="J277" s="12">
        <f>IF($I277="","",IF($I277&gt;31,$I277,IF($G277="","",IF(DATE(YEAR($G277),MONTH($G277),$I277)&gt;=$G277,DATE(YEAR($G277),MONTH($G277),$I277),DATE(YEAR($G277),MONTH($G277)+1,$I277)))))</f>
        <v/>
      </c>
      <c r="K277" s="9" t="n"/>
      <c r="L277" s="13" t="n"/>
      <c r="M277" s="13" t="n"/>
      <c r="N277" s="13" t="n"/>
      <c r="O277" s="8">
        <f>IF(OR($G277="",$J277=""),"",$J277-$G277+1)</f>
        <v/>
      </c>
      <c r="P277" s="8">
        <f>IF(OR($G277="",$J277=""),"",$J277-$G277)</f>
        <v/>
      </c>
      <c r="Q277" s="9" t="n"/>
      <c r="R277" s="9" t="n"/>
      <c r="S277" s="9" t="n"/>
      <c r="T277" s="9" t="n"/>
      <c r="U277" s="9" t="n"/>
      <c r="V277" s="9" t="n"/>
      <c r="W277" s="14" t="n"/>
      <c r="X277" s="9" t="n"/>
      <c r="Y277" s="8">
        <f>IF($G277="","",IF($D277="","⚠部屋が未選択",IF(COUNTIF('M_部屋'!$A$4:$A$20,$D277)=0,"⚠部屋が未登録",IF(OR($J277="",$Q277="キャンセル"),"",IF(SUMPRODUCT(($D$5:$D$404=$D277)*($G$5:$G$404&lt;&gt;"")*($J$5:$J$404&lt;&gt;"")*($Q$5:$Q$404&lt;&gt;"キャンセル")*($G$5:$G$404&lt;$J277)*($J$5:$J$404&gt;$G277))&gt;1,"⚠重複","")))))</f>
        <v/>
      </c>
      <c r="Z277" s="8">
        <f>IF(OR($B277="",$G277=""),"",IF(SUMPRODUCT(('利用者マスタ'!$A$4:$A$60=$B277)*('利用者マスタ'!$B$4:$B$60&lt;&gt;""))=0,"",IF(SUMIFS($AA$5:$AA$404,$B$5:$B$404,$B277,$G$5:$G$404,"&gt;="&amp;DATE(YEAR($G277),MONTH($G277),1),$G$5:$G$404,"&lt;="&amp;EOMONTH($G277,0))&gt;SUMIFS('利用者マスタ'!$B$4:$B$60,'利用者マスタ'!$A$4:$A$60,$B277),"⚠支給量超過","")))</f>
        <v/>
      </c>
      <c r="AA277" s="8">
        <f>IF(OR($G277="",$J277="",$Q277="キャンセル"),0,IF(IFERROR(INDEX('M_区分'!$B$4:$B$20,MATCH($C277,'M_区分'!$A$4:$A$20,0)),"○")="○",$J277-$G277+1,0))</f>
        <v/>
      </c>
      <c r="AB277" s="8">
        <f>IF($E277&lt;&gt;"",$E277,$AB276)</f>
        <v/>
      </c>
      <c r="AC277" s="8">
        <f>IF(OR($G277="",$J277=""),"",IF(AND($G277&lt;=EOMONTH('02_カレンダー'!$B$4,0),$J277&gt;='02_カレンダー'!$B$4),$G277*10000+ROW(),""))</f>
        <v/>
      </c>
      <c r="AD277" s="8">
        <f>IF($H277="","",IF(ISNUMBER($H277),IF(AND($H277=INT($H277),$H277&gt;=0,$H277&lt;=24),TEXT(INT($H277),"00")&amp;":00",TEXT($H277,"hh:mm")),$H277))</f>
        <v/>
      </c>
      <c r="AE277" s="8">
        <f>IF($K277="","",IF(ISNUMBER($K277),IF(AND($K277=INT($K277),$K277&gt;=0,$K277&lt;=24),TEXT(INT($K277),"00")&amp;":00",TEXT($K277,"hh:mm")),$K277))</f>
        <v/>
      </c>
      <c r="AF277" s="8">
        <f>IF($G277="",0,$G277)</f>
        <v/>
      </c>
      <c r="AG277" s="8">
        <f>IF($J277="",0,$J277)</f>
        <v/>
      </c>
    </row>
    <row r="278">
      <c r="A278" s="8">
        <f>IF($G278="","","SS-"&amp;TEXT(ROW()-4,"0000"))</f>
        <v/>
      </c>
      <c r="B278" s="9" t="n"/>
      <c r="C278" s="9" t="n"/>
      <c r="D278" s="9" t="n"/>
      <c r="E278" s="10" t="n"/>
      <c r="F278" s="11" t="n"/>
      <c r="G278" s="12">
        <f>IF($F278="","",IF($F278&gt;31,$F278,IF($AB278="","",DATE(YEAR($AB278),MONTH($AB278),$F278))))</f>
        <v/>
      </c>
      <c r="H278" s="9" t="n"/>
      <c r="I278" s="11" t="n"/>
      <c r="J278" s="12">
        <f>IF($I278="","",IF($I278&gt;31,$I278,IF($G278="","",IF(DATE(YEAR($G278),MONTH($G278),$I278)&gt;=$G278,DATE(YEAR($G278),MONTH($G278),$I278),DATE(YEAR($G278),MONTH($G278)+1,$I278)))))</f>
        <v/>
      </c>
      <c r="K278" s="9" t="n"/>
      <c r="L278" s="13" t="n"/>
      <c r="M278" s="13" t="n"/>
      <c r="N278" s="13" t="n"/>
      <c r="O278" s="8">
        <f>IF(OR($G278="",$J278=""),"",$J278-$G278+1)</f>
        <v/>
      </c>
      <c r="P278" s="8">
        <f>IF(OR($G278="",$J278=""),"",$J278-$G278)</f>
        <v/>
      </c>
      <c r="Q278" s="9" t="n"/>
      <c r="R278" s="9" t="n"/>
      <c r="S278" s="9" t="n"/>
      <c r="T278" s="9" t="n"/>
      <c r="U278" s="9" t="n"/>
      <c r="V278" s="9" t="n"/>
      <c r="W278" s="14" t="n"/>
      <c r="X278" s="9" t="n"/>
      <c r="Y278" s="8">
        <f>IF($G278="","",IF($D278="","⚠部屋が未選択",IF(COUNTIF('M_部屋'!$A$4:$A$20,$D278)=0,"⚠部屋が未登録",IF(OR($J278="",$Q278="キャンセル"),"",IF(SUMPRODUCT(($D$5:$D$404=$D278)*($G$5:$G$404&lt;&gt;"")*($J$5:$J$404&lt;&gt;"")*($Q$5:$Q$404&lt;&gt;"キャンセル")*($G$5:$G$404&lt;$J278)*($J$5:$J$404&gt;$G278))&gt;1,"⚠重複","")))))</f>
        <v/>
      </c>
      <c r="Z278" s="8">
        <f>IF(OR($B278="",$G278=""),"",IF(SUMPRODUCT(('利用者マスタ'!$A$4:$A$60=$B278)*('利用者マスタ'!$B$4:$B$60&lt;&gt;""))=0,"",IF(SUMIFS($AA$5:$AA$404,$B$5:$B$404,$B278,$G$5:$G$404,"&gt;="&amp;DATE(YEAR($G278),MONTH($G278),1),$G$5:$G$404,"&lt;="&amp;EOMONTH($G278,0))&gt;SUMIFS('利用者マスタ'!$B$4:$B$60,'利用者マスタ'!$A$4:$A$60,$B278),"⚠支給量超過","")))</f>
        <v/>
      </c>
      <c r="AA278" s="8">
        <f>IF(OR($G278="",$J278="",$Q278="キャンセル"),0,IF(IFERROR(INDEX('M_区分'!$B$4:$B$20,MATCH($C278,'M_区分'!$A$4:$A$20,0)),"○")="○",$J278-$G278+1,0))</f>
        <v/>
      </c>
      <c r="AB278" s="8">
        <f>IF($E278&lt;&gt;"",$E278,$AB277)</f>
        <v/>
      </c>
      <c r="AC278" s="8">
        <f>IF(OR($G278="",$J278=""),"",IF(AND($G278&lt;=EOMONTH('02_カレンダー'!$B$4,0),$J278&gt;='02_カレンダー'!$B$4),$G278*10000+ROW(),""))</f>
        <v/>
      </c>
      <c r="AD278" s="8">
        <f>IF($H278="","",IF(ISNUMBER($H278),IF(AND($H278=INT($H278),$H278&gt;=0,$H278&lt;=24),TEXT(INT($H278),"00")&amp;":00",TEXT($H278,"hh:mm")),$H278))</f>
        <v/>
      </c>
      <c r="AE278" s="8">
        <f>IF($K278="","",IF(ISNUMBER($K278),IF(AND($K278=INT($K278),$K278&gt;=0,$K278&lt;=24),TEXT(INT($K278),"00")&amp;":00",TEXT($K278,"hh:mm")),$K278))</f>
        <v/>
      </c>
      <c r="AF278" s="8">
        <f>IF($G278="",0,$G278)</f>
        <v/>
      </c>
      <c r="AG278" s="8">
        <f>IF($J278="",0,$J278)</f>
        <v/>
      </c>
    </row>
    <row r="279">
      <c r="A279" s="8">
        <f>IF($G279="","","SS-"&amp;TEXT(ROW()-4,"0000"))</f>
        <v/>
      </c>
      <c r="B279" s="9" t="n"/>
      <c r="C279" s="9" t="n"/>
      <c r="D279" s="9" t="n"/>
      <c r="E279" s="10" t="n"/>
      <c r="F279" s="11" t="n"/>
      <c r="G279" s="12">
        <f>IF($F279="","",IF($F279&gt;31,$F279,IF($AB279="","",DATE(YEAR($AB279),MONTH($AB279),$F279))))</f>
        <v/>
      </c>
      <c r="H279" s="9" t="n"/>
      <c r="I279" s="11" t="n"/>
      <c r="J279" s="12">
        <f>IF($I279="","",IF($I279&gt;31,$I279,IF($G279="","",IF(DATE(YEAR($G279),MONTH($G279),$I279)&gt;=$G279,DATE(YEAR($G279),MONTH($G279),$I279),DATE(YEAR($G279),MONTH($G279)+1,$I279)))))</f>
        <v/>
      </c>
      <c r="K279" s="9" t="n"/>
      <c r="L279" s="13" t="n"/>
      <c r="M279" s="13" t="n"/>
      <c r="N279" s="13" t="n"/>
      <c r="O279" s="8">
        <f>IF(OR($G279="",$J279=""),"",$J279-$G279+1)</f>
        <v/>
      </c>
      <c r="P279" s="8">
        <f>IF(OR($G279="",$J279=""),"",$J279-$G279)</f>
        <v/>
      </c>
      <c r="Q279" s="9" t="n"/>
      <c r="R279" s="9" t="n"/>
      <c r="S279" s="9" t="n"/>
      <c r="T279" s="9" t="n"/>
      <c r="U279" s="9" t="n"/>
      <c r="V279" s="9" t="n"/>
      <c r="W279" s="14" t="n"/>
      <c r="X279" s="9" t="n"/>
      <c r="Y279" s="8">
        <f>IF($G279="","",IF($D279="","⚠部屋が未選択",IF(COUNTIF('M_部屋'!$A$4:$A$20,$D279)=0,"⚠部屋が未登録",IF(OR($J279="",$Q279="キャンセル"),"",IF(SUMPRODUCT(($D$5:$D$404=$D279)*($G$5:$G$404&lt;&gt;"")*($J$5:$J$404&lt;&gt;"")*($Q$5:$Q$404&lt;&gt;"キャンセル")*($G$5:$G$404&lt;$J279)*($J$5:$J$404&gt;$G279))&gt;1,"⚠重複","")))))</f>
        <v/>
      </c>
      <c r="Z279" s="8">
        <f>IF(OR($B279="",$G279=""),"",IF(SUMPRODUCT(('利用者マスタ'!$A$4:$A$60=$B279)*('利用者マスタ'!$B$4:$B$60&lt;&gt;""))=0,"",IF(SUMIFS($AA$5:$AA$404,$B$5:$B$404,$B279,$G$5:$G$404,"&gt;="&amp;DATE(YEAR($G279),MONTH($G279),1),$G$5:$G$404,"&lt;="&amp;EOMONTH($G279,0))&gt;SUMIFS('利用者マスタ'!$B$4:$B$60,'利用者マスタ'!$A$4:$A$60,$B279),"⚠支給量超過","")))</f>
        <v/>
      </c>
      <c r="AA279" s="8">
        <f>IF(OR($G279="",$J279="",$Q279="キャンセル"),0,IF(IFERROR(INDEX('M_区分'!$B$4:$B$20,MATCH($C279,'M_区分'!$A$4:$A$20,0)),"○")="○",$J279-$G279+1,0))</f>
        <v/>
      </c>
      <c r="AB279" s="8">
        <f>IF($E279&lt;&gt;"",$E279,$AB278)</f>
        <v/>
      </c>
      <c r="AC279" s="8">
        <f>IF(OR($G279="",$J279=""),"",IF(AND($G279&lt;=EOMONTH('02_カレンダー'!$B$4,0),$J279&gt;='02_カレンダー'!$B$4),$G279*10000+ROW(),""))</f>
        <v/>
      </c>
      <c r="AD279" s="8">
        <f>IF($H279="","",IF(ISNUMBER($H279),IF(AND($H279=INT($H279),$H279&gt;=0,$H279&lt;=24),TEXT(INT($H279),"00")&amp;":00",TEXT($H279,"hh:mm")),$H279))</f>
        <v/>
      </c>
      <c r="AE279" s="8">
        <f>IF($K279="","",IF(ISNUMBER($K279),IF(AND($K279=INT($K279),$K279&gt;=0,$K279&lt;=24),TEXT(INT($K279),"00")&amp;":00",TEXT($K279,"hh:mm")),$K279))</f>
        <v/>
      </c>
      <c r="AF279" s="8">
        <f>IF($G279="",0,$G279)</f>
        <v/>
      </c>
      <c r="AG279" s="8">
        <f>IF($J279="",0,$J279)</f>
        <v/>
      </c>
    </row>
    <row r="280">
      <c r="A280" s="8">
        <f>IF($G280="","","SS-"&amp;TEXT(ROW()-4,"0000"))</f>
        <v/>
      </c>
      <c r="B280" s="9" t="n"/>
      <c r="C280" s="9" t="n"/>
      <c r="D280" s="9" t="n"/>
      <c r="E280" s="10" t="n"/>
      <c r="F280" s="11" t="n"/>
      <c r="G280" s="12">
        <f>IF($F280="","",IF($F280&gt;31,$F280,IF($AB280="","",DATE(YEAR($AB280),MONTH($AB280),$F280))))</f>
        <v/>
      </c>
      <c r="H280" s="9" t="n"/>
      <c r="I280" s="11" t="n"/>
      <c r="J280" s="12">
        <f>IF($I280="","",IF($I280&gt;31,$I280,IF($G280="","",IF(DATE(YEAR($G280),MONTH($G280),$I280)&gt;=$G280,DATE(YEAR($G280),MONTH($G280),$I280),DATE(YEAR($G280),MONTH($G280)+1,$I280)))))</f>
        <v/>
      </c>
      <c r="K280" s="9" t="n"/>
      <c r="L280" s="13" t="n"/>
      <c r="M280" s="13" t="n"/>
      <c r="N280" s="13" t="n"/>
      <c r="O280" s="8">
        <f>IF(OR($G280="",$J280=""),"",$J280-$G280+1)</f>
        <v/>
      </c>
      <c r="P280" s="8">
        <f>IF(OR($G280="",$J280=""),"",$J280-$G280)</f>
        <v/>
      </c>
      <c r="Q280" s="9" t="n"/>
      <c r="R280" s="9" t="n"/>
      <c r="S280" s="9" t="n"/>
      <c r="T280" s="9" t="n"/>
      <c r="U280" s="9" t="n"/>
      <c r="V280" s="9" t="n"/>
      <c r="W280" s="14" t="n"/>
      <c r="X280" s="9" t="n"/>
      <c r="Y280" s="8">
        <f>IF($G280="","",IF($D280="","⚠部屋が未選択",IF(COUNTIF('M_部屋'!$A$4:$A$20,$D280)=0,"⚠部屋が未登録",IF(OR($J280="",$Q280="キャンセル"),"",IF(SUMPRODUCT(($D$5:$D$404=$D280)*($G$5:$G$404&lt;&gt;"")*($J$5:$J$404&lt;&gt;"")*($Q$5:$Q$404&lt;&gt;"キャンセル")*($G$5:$G$404&lt;$J280)*($J$5:$J$404&gt;$G280))&gt;1,"⚠重複","")))))</f>
        <v/>
      </c>
      <c r="Z280" s="8">
        <f>IF(OR($B280="",$G280=""),"",IF(SUMPRODUCT(('利用者マスタ'!$A$4:$A$60=$B280)*('利用者マスタ'!$B$4:$B$60&lt;&gt;""))=0,"",IF(SUMIFS($AA$5:$AA$404,$B$5:$B$404,$B280,$G$5:$G$404,"&gt;="&amp;DATE(YEAR($G280),MONTH($G280),1),$G$5:$G$404,"&lt;="&amp;EOMONTH($G280,0))&gt;SUMIFS('利用者マスタ'!$B$4:$B$60,'利用者マスタ'!$A$4:$A$60,$B280),"⚠支給量超過","")))</f>
        <v/>
      </c>
      <c r="AA280" s="8">
        <f>IF(OR($G280="",$J280="",$Q280="キャンセル"),0,IF(IFERROR(INDEX('M_区分'!$B$4:$B$20,MATCH($C280,'M_区分'!$A$4:$A$20,0)),"○")="○",$J280-$G280+1,0))</f>
        <v/>
      </c>
      <c r="AB280" s="8">
        <f>IF($E280&lt;&gt;"",$E280,$AB279)</f>
        <v/>
      </c>
      <c r="AC280" s="8">
        <f>IF(OR($G280="",$J280=""),"",IF(AND($G280&lt;=EOMONTH('02_カレンダー'!$B$4,0),$J280&gt;='02_カレンダー'!$B$4),$G280*10000+ROW(),""))</f>
        <v/>
      </c>
      <c r="AD280" s="8">
        <f>IF($H280="","",IF(ISNUMBER($H280),IF(AND($H280=INT($H280),$H280&gt;=0,$H280&lt;=24),TEXT(INT($H280),"00")&amp;":00",TEXT($H280,"hh:mm")),$H280))</f>
        <v/>
      </c>
      <c r="AE280" s="8">
        <f>IF($K280="","",IF(ISNUMBER($K280),IF(AND($K280=INT($K280),$K280&gt;=0,$K280&lt;=24),TEXT(INT($K280),"00")&amp;":00",TEXT($K280,"hh:mm")),$K280))</f>
        <v/>
      </c>
      <c r="AF280" s="8">
        <f>IF($G280="",0,$G280)</f>
        <v/>
      </c>
      <c r="AG280" s="8">
        <f>IF($J280="",0,$J280)</f>
        <v/>
      </c>
    </row>
    <row r="281">
      <c r="A281" s="8">
        <f>IF($G281="","","SS-"&amp;TEXT(ROW()-4,"0000"))</f>
        <v/>
      </c>
      <c r="B281" s="9" t="n"/>
      <c r="C281" s="9" t="n"/>
      <c r="D281" s="9" t="n"/>
      <c r="E281" s="10" t="n"/>
      <c r="F281" s="11" t="n"/>
      <c r="G281" s="12">
        <f>IF($F281="","",IF($F281&gt;31,$F281,IF($AB281="","",DATE(YEAR($AB281),MONTH($AB281),$F281))))</f>
        <v/>
      </c>
      <c r="H281" s="9" t="n"/>
      <c r="I281" s="11" t="n"/>
      <c r="J281" s="12">
        <f>IF($I281="","",IF($I281&gt;31,$I281,IF($G281="","",IF(DATE(YEAR($G281),MONTH($G281),$I281)&gt;=$G281,DATE(YEAR($G281),MONTH($G281),$I281),DATE(YEAR($G281),MONTH($G281)+1,$I281)))))</f>
        <v/>
      </c>
      <c r="K281" s="9" t="n"/>
      <c r="L281" s="13" t="n"/>
      <c r="M281" s="13" t="n"/>
      <c r="N281" s="13" t="n"/>
      <c r="O281" s="8">
        <f>IF(OR($G281="",$J281=""),"",$J281-$G281+1)</f>
        <v/>
      </c>
      <c r="P281" s="8">
        <f>IF(OR($G281="",$J281=""),"",$J281-$G281)</f>
        <v/>
      </c>
      <c r="Q281" s="9" t="n"/>
      <c r="R281" s="9" t="n"/>
      <c r="S281" s="9" t="n"/>
      <c r="T281" s="9" t="n"/>
      <c r="U281" s="9" t="n"/>
      <c r="V281" s="9" t="n"/>
      <c r="W281" s="14" t="n"/>
      <c r="X281" s="9" t="n"/>
      <c r="Y281" s="8">
        <f>IF($G281="","",IF($D281="","⚠部屋が未選択",IF(COUNTIF('M_部屋'!$A$4:$A$20,$D281)=0,"⚠部屋が未登録",IF(OR($J281="",$Q281="キャンセル"),"",IF(SUMPRODUCT(($D$5:$D$404=$D281)*($G$5:$G$404&lt;&gt;"")*($J$5:$J$404&lt;&gt;"")*($Q$5:$Q$404&lt;&gt;"キャンセル")*($G$5:$G$404&lt;$J281)*($J$5:$J$404&gt;$G281))&gt;1,"⚠重複","")))))</f>
        <v/>
      </c>
      <c r="Z281" s="8">
        <f>IF(OR($B281="",$G281=""),"",IF(SUMPRODUCT(('利用者マスタ'!$A$4:$A$60=$B281)*('利用者マスタ'!$B$4:$B$60&lt;&gt;""))=0,"",IF(SUMIFS($AA$5:$AA$404,$B$5:$B$404,$B281,$G$5:$G$404,"&gt;="&amp;DATE(YEAR($G281),MONTH($G281),1),$G$5:$G$404,"&lt;="&amp;EOMONTH($G281,0))&gt;SUMIFS('利用者マスタ'!$B$4:$B$60,'利用者マスタ'!$A$4:$A$60,$B281),"⚠支給量超過","")))</f>
        <v/>
      </c>
      <c r="AA281" s="8">
        <f>IF(OR($G281="",$J281="",$Q281="キャンセル"),0,IF(IFERROR(INDEX('M_区分'!$B$4:$B$20,MATCH($C281,'M_区分'!$A$4:$A$20,0)),"○")="○",$J281-$G281+1,0))</f>
        <v/>
      </c>
      <c r="AB281" s="8">
        <f>IF($E281&lt;&gt;"",$E281,$AB280)</f>
        <v/>
      </c>
      <c r="AC281" s="8">
        <f>IF(OR($G281="",$J281=""),"",IF(AND($G281&lt;=EOMONTH('02_カレンダー'!$B$4,0),$J281&gt;='02_カレンダー'!$B$4),$G281*10000+ROW(),""))</f>
        <v/>
      </c>
      <c r="AD281" s="8">
        <f>IF($H281="","",IF(ISNUMBER($H281),IF(AND($H281=INT($H281),$H281&gt;=0,$H281&lt;=24),TEXT(INT($H281),"00")&amp;":00",TEXT($H281,"hh:mm")),$H281))</f>
        <v/>
      </c>
      <c r="AE281" s="8">
        <f>IF($K281="","",IF(ISNUMBER($K281),IF(AND($K281=INT($K281),$K281&gt;=0,$K281&lt;=24),TEXT(INT($K281),"00")&amp;":00",TEXT($K281,"hh:mm")),$K281))</f>
        <v/>
      </c>
      <c r="AF281" s="8">
        <f>IF($G281="",0,$G281)</f>
        <v/>
      </c>
      <c r="AG281" s="8">
        <f>IF($J281="",0,$J281)</f>
        <v/>
      </c>
    </row>
    <row r="282">
      <c r="A282" s="8">
        <f>IF($G282="","","SS-"&amp;TEXT(ROW()-4,"0000"))</f>
        <v/>
      </c>
      <c r="B282" s="9" t="n"/>
      <c r="C282" s="9" t="n"/>
      <c r="D282" s="9" t="n"/>
      <c r="E282" s="10" t="n"/>
      <c r="F282" s="11" t="n"/>
      <c r="G282" s="12">
        <f>IF($F282="","",IF($F282&gt;31,$F282,IF($AB282="","",DATE(YEAR($AB282),MONTH($AB282),$F282))))</f>
        <v/>
      </c>
      <c r="H282" s="9" t="n"/>
      <c r="I282" s="11" t="n"/>
      <c r="J282" s="12">
        <f>IF($I282="","",IF($I282&gt;31,$I282,IF($G282="","",IF(DATE(YEAR($G282),MONTH($G282),$I282)&gt;=$G282,DATE(YEAR($G282),MONTH($G282),$I282),DATE(YEAR($G282),MONTH($G282)+1,$I282)))))</f>
        <v/>
      </c>
      <c r="K282" s="9" t="n"/>
      <c r="L282" s="13" t="n"/>
      <c r="M282" s="13" t="n"/>
      <c r="N282" s="13" t="n"/>
      <c r="O282" s="8">
        <f>IF(OR($G282="",$J282=""),"",$J282-$G282+1)</f>
        <v/>
      </c>
      <c r="P282" s="8">
        <f>IF(OR($G282="",$J282=""),"",$J282-$G282)</f>
        <v/>
      </c>
      <c r="Q282" s="9" t="n"/>
      <c r="R282" s="9" t="n"/>
      <c r="S282" s="9" t="n"/>
      <c r="T282" s="9" t="n"/>
      <c r="U282" s="9" t="n"/>
      <c r="V282" s="9" t="n"/>
      <c r="W282" s="14" t="n"/>
      <c r="X282" s="9" t="n"/>
      <c r="Y282" s="8">
        <f>IF($G282="","",IF($D282="","⚠部屋が未選択",IF(COUNTIF('M_部屋'!$A$4:$A$20,$D282)=0,"⚠部屋が未登録",IF(OR($J282="",$Q282="キャンセル"),"",IF(SUMPRODUCT(($D$5:$D$404=$D282)*($G$5:$G$404&lt;&gt;"")*($J$5:$J$404&lt;&gt;"")*($Q$5:$Q$404&lt;&gt;"キャンセル")*($G$5:$G$404&lt;$J282)*($J$5:$J$404&gt;$G282))&gt;1,"⚠重複","")))))</f>
        <v/>
      </c>
      <c r="Z282" s="8">
        <f>IF(OR($B282="",$G282=""),"",IF(SUMPRODUCT(('利用者マスタ'!$A$4:$A$60=$B282)*('利用者マスタ'!$B$4:$B$60&lt;&gt;""))=0,"",IF(SUMIFS($AA$5:$AA$404,$B$5:$B$404,$B282,$G$5:$G$404,"&gt;="&amp;DATE(YEAR($G282),MONTH($G282),1),$G$5:$G$404,"&lt;="&amp;EOMONTH($G282,0))&gt;SUMIFS('利用者マスタ'!$B$4:$B$60,'利用者マスタ'!$A$4:$A$60,$B282),"⚠支給量超過","")))</f>
        <v/>
      </c>
      <c r="AA282" s="8">
        <f>IF(OR($G282="",$J282="",$Q282="キャンセル"),0,IF(IFERROR(INDEX('M_区分'!$B$4:$B$20,MATCH($C282,'M_区分'!$A$4:$A$20,0)),"○")="○",$J282-$G282+1,0))</f>
        <v/>
      </c>
      <c r="AB282" s="8">
        <f>IF($E282&lt;&gt;"",$E282,$AB281)</f>
        <v/>
      </c>
      <c r="AC282" s="8">
        <f>IF(OR($G282="",$J282=""),"",IF(AND($G282&lt;=EOMONTH('02_カレンダー'!$B$4,0),$J282&gt;='02_カレンダー'!$B$4),$G282*10000+ROW(),""))</f>
        <v/>
      </c>
      <c r="AD282" s="8">
        <f>IF($H282="","",IF(ISNUMBER($H282),IF(AND($H282=INT($H282),$H282&gt;=0,$H282&lt;=24),TEXT(INT($H282),"00")&amp;":00",TEXT($H282,"hh:mm")),$H282))</f>
        <v/>
      </c>
      <c r="AE282" s="8">
        <f>IF($K282="","",IF(ISNUMBER($K282),IF(AND($K282=INT($K282),$K282&gt;=0,$K282&lt;=24),TEXT(INT($K282),"00")&amp;":00",TEXT($K282,"hh:mm")),$K282))</f>
        <v/>
      </c>
      <c r="AF282" s="8">
        <f>IF($G282="",0,$G282)</f>
        <v/>
      </c>
      <c r="AG282" s="8">
        <f>IF($J282="",0,$J282)</f>
        <v/>
      </c>
    </row>
    <row r="283">
      <c r="A283" s="8">
        <f>IF($G283="","","SS-"&amp;TEXT(ROW()-4,"0000"))</f>
        <v/>
      </c>
      <c r="B283" s="9" t="n"/>
      <c r="C283" s="9" t="n"/>
      <c r="D283" s="9" t="n"/>
      <c r="E283" s="10" t="n"/>
      <c r="F283" s="11" t="n"/>
      <c r="G283" s="12">
        <f>IF($F283="","",IF($F283&gt;31,$F283,IF($AB283="","",DATE(YEAR($AB283),MONTH($AB283),$F283))))</f>
        <v/>
      </c>
      <c r="H283" s="9" t="n"/>
      <c r="I283" s="11" t="n"/>
      <c r="J283" s="12">
        <f>IF($I283="","",IF($I283&gt;31,$I283,IF($G283="","",IF(DATE(YEAR($G283),MONTH($G283),$I283)&gt;=$G283,DATE(YEAR($G283),MONTH($G283),$I283),DATE(YEAR($G283),MONTH($G283)+1,$I283)))))</f>
        <v/>
      </c>
      <c r="K283" s="9" t="n"/>
      <c r="L283" s="13" t="n"/>
      <c r="M283" s="13" t="n"/>
      <c r="N283" s="13" t="n"/>
      <c r="O283" s="8">
        <f>IF(OR($G283="",$J283=""),"",$J283-$G283+1)</f>
        <v/>
      </c>
      <c r="P283" s="8">
        <f>IF(OR($G283="",$J283=""),"",$J283-$G283)</f>
        <v/>
      </c>
      <c r="Q283" s="9" t="n"/>
      <c r="R283" s="9" t="n"/>
      <c r="S283" s="9" t="n"/>
      <c r="T283" s="9" t="n"/>
      <c r="U283" s="9" t="n"/>
      <c r="V283" s="9" t="n"/>
      <c r="W283" s="14" t="n"/>
      <c r="X283" s="9" t="n"/>
      <c r="Y283" s="8">
        <f>IF($G283="","",IF($D283="","⚠部屋が未選択",IF(COUNTIF('M_部屋'!$A$4:$A$20,$D283)=0,"⚠部屋が未登録",IF(OR($J283="",$Q283="キャンセル"),"",IF(SUMPRODUCT(($D$5:$D$404=$D283)*($G$5:$G$404&lt;&gt;"")*($J$5:$J$404&lt;&gt;"")*($Q$5:$Q$404&lt;&gt;"キャンセル")*($G$5:$G$404&lt;$J283)*($J$5:$J$404&gt;$G283))&gt;1,"⚠重複","")))))</f>
        <v/>
      </c>
      <c r="Z283" s="8">
        <f>IF(OR($B283="",$G283=""),"",IF(SUMPRODUCT(('利用者マスタ'!$A$4:$A$60=$B283)*('利用者マスタ'!$B$4:$B$60&lt;&gt;""))=0,"",IF(SUMIFS($AA$5:$AA$404,$B$5:$B$404,$B283,$G$5:$G$404,"&gt;="&amp;DATE(YEAR($G283),MONTH($G283),1),$G$5:$G$404,"&lt;="&amp;EOMONTH($G283,0))&gt;SUMIFS('利用者マスタ'!$B$4:$B$60,'利用者マスタ'!$A$4:$A$60,$B283),"⚠支給量超過","")))</f>
        <v/>
      </c>
      <c r="AA283" s="8">
        <f>IF(OR($G283="",$J283="",$Q283="キャンセル"),0,IF(IFERROR(INDEX('M_区分'!$B$4:$B$20,MATCH($C283,'M_区分'!$A$4:$A$20,0)),"○")="○",$J283-$G283+1,0))</f>
        <v/>
      </c>
      <c r="AB283" s="8">
        <f>IF($E283&lt;&gt;"",$E283,$AB282)</f>
        <v/>
      </c>
      <c r="AC283" s="8">
        <f>IF(OR($G283="",$J283=""),"",IF(AND($G283&lt;=EOMONTH('02_カレンダー'!$B$4,0),$J283&gt;='02_カレンダー'!$B$4),$G283*10000+ROW(),""))</f>
        <v/>
      </c>
      <c r="AD283" s="8">
        <f>IF($H283="","",IF(ISNUMBER($H283),IF(AND($H283=INT($H283),$H283&gt;=0,$H283&lt;=24),TEXT(INT($H283),"00")&amp;":00",TEXT($H283,"hh:mm")),$H283))</f>
        <v/>
      </c>
      <c r="AE283" s="8">
        <f>IF($K283="","",IF(ISNUMBER($K283),IF(AND($K283=INT($K283),$K283&gt;=0,$K283&lt;=24),TEXT(INT($K283),"00")&amp;":00",TEXT($K283,"hh:mm")),$K283))</f>
        <v/>
      </c>
      <c r="AF283" s="8">
        <f>IF($G283="",0,$G283)</f>
        <v/>
      </c>
      <c r="AG283" s="8">
        <f>IF($J283="",0,$J283)</f>
        <v/>
      </c>
    </row>
    <row r="284">
      <c r="A284" s="8">
        <f>IF($G284="","","SS-"&amp;TEXT(ROW()-4,"0000"))</f>
        <v/>
      </c>
      <c r="B284" s="9" t="n"/>
      <c r="C284" s="9" t="n"/>
      <c r="D284" s="9" t="n"/>
      <c r="E284" s="10" t="n"/>
      <c r="F284" s="11" t="n"/>
      <c r="G284" s="12">
        <f>IF($F284="","",IF($F284&gt;31,$F284,IF($AB284="","",DATE(YEAR($AB284),MONTH($AB284),$F284))))</f>
        <v/>
      </c>
      <c r="H284" s="9" t="n"/>
      <c r="I284" s="11" t="n"/>
      <c r="J284" s="12">
        <f>IF($I284="","",IF($I284&gt;31,$I284,IF($G284="","",IF(DATE(YEAR($G284),MONTH($G284),$I284)&gt;=$G284,DATE(YEAR($G284),MONTH($G284),$I284),DATE(YEAR($G284),MONTH($G284)+1,$I284)))))</f>
        <v/>
      </c>
      <c r="K284" s="9" t="n"/>
      <c r="L284" s="13" t="n"/>
      <c r="M284" s="13" t="n"/>
      <c r="N284" s="13" t="n"/>
      <c r="O284" s="8">
        <f>IF(OR($G284="",$J284=""),"",$J284-$G284+1)</f>
        <v/>
      </c>
      <c r="P284" s="8">
        <f>IF(OR($G284="",$J284=""),"",$J284-$G284)</f>
        <v/>
      </c>
      <c r="Q284" s="9" t="n"/>
      <c r="R284" s="9" t="n"/>
      <c r="S284" s="9" t="n"/>
      <c r="T284" s="9" t="n"/>
      <c r="U284" s="9" t="n"/>
      <c r="V284" s="9" t="n"/>
      <c r="W284" s="14" t="n"/>
      <c r="X284" s="9" t="n"/>
      <c r="Y284" s="8">
        <f>IF($G284="","",IF($D284="","⚠部屋が未選択",IF(COUNTIF('M_部屋'!$A$4:$A$20,$D284)=0,"⚠部屋が未登録",IF(OR($J284="",$Q284="キャンセル"),"",IF(SUMPRODUCT(($D$5:$D$404=$D284)*($G$5:$G$404&lt;&gt;"")*($J$5:$J$404&lt;&gt;"")*($Q$5:$Q$404&lt;&gt;"キャンセル")*($G$5:$G$404&lt;$J284)*($J$5:$J$404&gt;$G284))&gt;1,"⚠重複","")))))</f>
        <v/>
      </c>
      <c r="Z284" s="8">
        <f>IF(OR($B284="",$G284=""),"",IF(SUMPRODUCT(('利用者マスタ'!$A$4:$A$60=$B284)*('利用者マスタ'!$B$4:$B$60&lt;&gt;""))=0,"",IF(SUMIFS($AA$5:$AA$404,$B$5:$B$404,$B284,$G$5:$G$404,"&gt;="&amp;DATE(YEAR($G284),MONTH($G284),1),$G$5:$G$404,"&lt;="&amp;EOMONTH($G284,0))&gt;SUMIFS('利用者マスタ'!$B$4:$B$60,'利用者マスタ'!$A$4:$A$60,$B284),"⚠支給量超過","")))</f>
        <v/>
      </c>
      <c r="AA284" s="8">
        <f>IF(OR($G284="",$J284="",$Q284="キャンセル"),0,IF(IFERROR(INDEX('M_区分'!$B$4:$B$20,MATCH($C284,'M_区分'!$A$4:$A$20,0)),"○")="○",$J284-$G284+1,0))</f>
        <v/>
      </c>
      <c r="AB284" s="8">
        <f>IF($E284&lt;&gt;"",$E284,$AB283)</f>
        <v/>
      </c>
      <c r="AC284" s="8">
        <f>IF(OR($G284="",$J284=""),"",IF(AND($G284&lt;=EOMONTH('02_カレンダー'!$B$4,0),$J284&gt;='02_カレンダー'!$B$4),$G284*10000+ROW(),""))</f>
        <v/>
      </c>
      <c r="AD284" s="8">
        <f>IF($H284="","",IF(ISNUMBER($H284),IF(AND($H284=INT($H284),$H284&gt;=0,$H284&lt;=24),TEXT(INT($H284),"00")&amp;":00",TEXT($H284,"hh:mm")),$H284))</f>
        <v/>
      </c>
      <c r="AE284" s="8">
        <f>IF($K284="","",IF(ISNUMBER($K284),IF(AND($K284=INT($K284),$K284&gt;=0,$K284&lt;=24),TEXT(INT($K284),"00")&amp;":00",TEXT($K284,"hh:mm")),$K284))</f>
        <v/>
      </c>
      <c r="AF284" s="8">
        <f>IF($G284="",0,$G284)</f>
        <v/>
      </c>
      <c r="AG284" s="8">
        <f>IF($J284="",0,$J284)</f>
        <v/>
      </c>
    </row>
    <row r="285">
      <c r="A285" s="8">
        <f>IF($G285="","","SS-"&amp;TEXT(ROW()-4,"0000"))</f>
        <v/>
      </c>
      <c r="B285" s="9" t="n"/>
      <c r="C285" s="9" t="n"/>
      <c r="D285" s="9" t="n"/>
      <c r="E285" s="10" t="n"/>
      <c r="F285" s="11" t="n"/>
      <c r="G285" s="12">
        <f>IF($F285="","",IF($F285&gt;31,$F285,IF($AB285="","",DATE(YEAR($AB285),MONTH($AB285),$F285))))</f>
        <v/>
      </c>
      <c r="H285" s="9" t="n"/>
      <c r="I285" s="11" t="n"/>
      <c r="J285" s="12">
        <f>IF($I285="","",IF($I285&gt;31,$I285,IF($G285="","",IF(DATE(YEAR($G285),MONTH($G285),$I285)&gt;=$G285,DATE(YEAR($G285),MONTH($G285),$I285),DATE(YEAR($G285),MONTH($G285)+1,$I285)))))</f>
        <v/>
      </c>
      <c r="K285" s="9" t="n"/>
      <c r="L285" s="13" t="n"/>
      <c r="M285" s="13" t="n"/>
      <c r="N285" s="13" t="n"/>
      <c r="O285" s="8">
        <f>IF(OR($G285="",$J285=""),"",$J285-$G285+1)</f>
        <v/>
      </c>
      <c r="P285" s="8">
        <f>IF(OR($G285="",$J285=""),"",$J285-$G285)</f>
        <v/>
      </c>
      <c r="Q285" s="9" t="n"/>
      <c r="R285" s="9" t="n"/>
      <c r="S285" s="9" t="n"/>
      <c r="T285" s="9" t="n"/>
      <c r="U285" s="9" t="n"/>
      <c r="V285" s="9" t="n"/>
      <c r="W285" s="14" t="n"/>
      <c r="X285" s="9" t="n"/>
      <c r="Y285" s="8">
        <f>IF($G285="","",IF($D285="","⚠部屋が未選択",IF(COUNTIF('M_部屋'!$A$4:$A$20,$D285)=0,"⚠部屋が未登録",IF(OR($J285="",$Q285="キャンセル"),"",IF(SUMPRODUCT(($D$5:$D$404=$D285)*($G$5:$G$404&lt;&gt;"")*($J$5:$J$404&lt;&gt;"")*($Q$5:$Q$404&lt;&gt;"キャンセル")*($G$5:$G$404&lt;$J285)*($J$5:$J$404&gt;$G285))&gt;1,"⚠重複","")))))</f>
        <v/>
      </c>
      <c r="Z285" s="8">
        <f>IF(OR($B285="",$G285=""),"",IF(SUMPRODUCT(('利用者マスタ'!$A$4:$A$60=$B285)*('利用者マスタ'!$B$4:$B$60&lt;&gt;""))=0,"",IF(SUMIFS($AA$5:$AA$404,$B$5:$B$404,$B285,$G$5:$G$404,"&gt;="&amp;DATE(YEAR($G285),MONTH($G285),1),$G$5:$G$404,"&lt;="&amp;EOMONTH($G285,0))&gt;SUMIFS('利用者マスタ'!$B$4:$B$60,'利用者マスタ'!$A$4:$A$60,$B285),"⚠支給量超過","")))</f>
        <v/>
      </c>
      <c r="AA285" s="8">
        <f>IF(OR($G285="",$J285="",$Q285="キャンセル"),0,IF(IFERROR(INDEX('M_区分'!$B$4:$B$20,MATCH($C285,'M_区分'!$A$4:$A$20,0)),"○")="○",$J285-$G285+1,0))</f>
        <v/>
      </c>
      <c r="AB285" s="8">
        <f>IF($E285&lt;&gt;"",$E285,$AB284)</f>
        <v/>
      </c>
      <c r="AC285" s="8">
        <f>IF(OR($G285="",$J285=""),"",IF(AND($G285&lt;=EOMONTH('02_カレンダー'!$B$4,0),$J285&gt;='02_カレンダー'!$B$4),$G285*10000+ROW(),""))</f>
        <v/>
      </c>
      <c r="AD285" s="8">
        <f>IF($H285="","",IF(ISNUMBER($H285),IF(AND($H285=INT($H285),$H285&gt;=0,$H285&lt;=24),TEXT(INT($H285),"00")&amp;":00",TEXT($H285,"hh:mm")),$H285))</f>
        <v/>
      </c>
      <c r="AE285" s="8">
        <f>IF($K285="","",IF(ISNUMBER($K285),IF(AND($K285=INT($K285),$K285&gt;=0,$K285&lt;=24),TEXT(INT($K285),"00")&amp;":00",TEXT($K285,"hh:mm")),$K285))</f>
        <v/>
      </c>
      <c r="AF285" s="8">
        <f>IF($G285="",0,$G285)</f>
        <v/>
      </c>
      <c r="AG285" s="8">
        <f>IF($J285="",0,$J285)</f>
        <v/>
      </c>
    </row>
    <row r="286">
      <c r="A286" s="8">
        <f>IF($G286="","","SS-"&amp;TEXT(ROW()-4,"0000"))</f>
        <v/>
      </c>
      <c r="B286" s="9" t="n"/>
      <c r="C286" s="9" t="n"/>
      <c r="D286" s="9" t="n"/>
      <c r="E286" s="10" t="n"/>
      <c r="F286" s="11" t="n"/>
      <c r="G286" s="12">
        <f>IF($F286="","",IF($F286&gt;31,$F286,IF($AB286="","",DATE(YEAR($AB286),MONTH($AB286),$F286))))</f>
        <v/>
      </c>
      <c r="H286" s="9" t="n"/>
      <c r="I286" s="11" t="n"/>
      <c r="J286" s="12">
        <f>IF($I286="","",IF($I286&gt;31,$I286,IF($G286="","",IF(DATE(YEAR($G286),MONTH($G286),$I286)&gt;=$G286,DATE(YEAR($G286),MONTH($G286),$I286),DATE(YEAR($G286),MONTH($G286)+1,$I286)))))</f>
        <v/>
      </c>
      <c r="K286" s="9" t="n"/>
      <c r="L286" s="13" t="n"/>
      <c r="M286" s="13" t="n"/>
      <c r="N286" s="13" t="n"/>
      <c r="O286" s="8">
        <f>IF(OR($G286="",$J286=""),"",$J286-$G286+1)</f>
        <v/>
      </c>
      <c r="P286" s="8">
        <f>IF(OR($G286="",$J286=""),"",$J286-$G286)</f>
        <v/>
      </c>
      <c r="Q286" s="9" t="n"/>
      <c r="R286" s="9" t="n"/>
      <c r="S286" s="9" t="n"/>
      <c r="T286" s="9" t="n"/>
      <c r="U286" s="9" t="n"/>
      <c r="V286" s="9" t="n"/>
      <c r="W286" s="14" t="n"/>
      <c r="X286" s="9" t="n"/>
      <c r="Y286" s="8">
        <f>IF($G286="","",IF($D286="","⚠部屋が未選択",IF(COUNTIF('M_部屋'!$A$4:$A$20,$D286)=0,"⚠部屋が未登録",IF(OR($J286="",$Q286="キャンセル"),"",IF(SUMPRODUCT(($D$5:$D$404=$D286)*($G$5:$G$404&lt;&gt;"")*($J$5:$J$404&lt;&gt;"")*($Q$5:$Q$404&lt;&gt;"キャンセル")*($G$5:$G$404&lt;$J286)*($J$5:$J$404&gt;$G286))&gt;1,"⚠重複","")))))</f>
        <v/>
      </c>
      <c r="Z286" s="8">
        <f>IF(OR($B286="",$G286=""),"",IF(SUMPRODUCT(('利用者マスタ'!$A$4:$A$60=$B286)*('利用者マスタ'!$B$4:$B$60&lt;&gt;""))=0,"",IF(SUMIFS($AA$5:$AA$404,$B$5:$B$404,$B286,$G$5:$G$404,"&gt;="&amp;DATE(YEAR($G286),MONTH($G286),1),$G$5:$G$404,"&lt;="&amp;EOMONTH($G286,0))&gt;SUMIFS('利用者マスタ'!$B$4:$B$60,'利用者マスタ'!$A$4:$A$60,$B286),"⚠支給量超過","")))</f>
        <v/>
      </c>
      <c r="AA286" s="8">
        <f>IF(OR($G286="",$J286="",$Q286="キャンセル"),0,IF(IFERROR(INDEX('M_区分'!$B$4:$B$20,MATCH($C286,'M_区分'!$A$4:$A$20,0)),"○")="○",$J286-$G286+1,0))</f>
        <v/>
      </c>
      <c r="AB286" s="8">
        <f>IF($E286&lt;&gt;"",$E286,$AB285)</f>
        <v/>
      </c>
      <c r="AC286" s="8">
        <f>IF(OR($G286="",$J286=""),"",IF(AND($G286&lt;=EOMONTH('02_カレンダー'!$B$4,0),$J286&gt;='02_カレンダー'!$B$4),$G286*10000+ROW(),""))</f>
        <v/>
      </c>
      <c r="AD286" s="8">
        <f>IF($H286="","",IF(ISNUMBER($H286),IF(AND($H286=INT($H286),$H286&gt;=0,$H286&lt;=24),TEXT(INT($H286),"00")&amp;":00",TEXT($H286,"hh:mm")),$H286))</f>
        <v/>
      </c>
      <c r="AE286" s="8">
        <f>IF($K286="","",IF(ISNUMBER($K286),IF(AND($K286=INT($K286),$K286&gt;=0,$K286&lt;=24),TEXT(INT($K286),"00")&amp;":00",TEXT($K286,"hh:mm")),$K286))</f>
        <v/>
      </c>
      <c r="AF286" s="8">
        <f>IF($G286="",0,$G286)</f>
        <v/>
      </c>
      <c r="AG286" s="8">
        <f>IF($J286="",0,$J286)</f>
        <v/>
      </c>
    </row>
    <row r="287">
      <c r="A287" s="8">
        <f>IF($G287="","","SS-"&amp;TEXT(ROW()-4,"0000"))</f>
        <v/>
      </c>
      <c r="B287" s="9" t="n"/>
      <c r="C287" s="9" t="n"/>
      <c r="D287" s="9" t="n"/>
      <c r="E287" s="10" t="n"/>
      <c r="F287" s="11" t="n"/>
      <c r="G287" s="12">
        <f>IF($F287="","",IF($F287&gt;31,$F287,IF($AB287="","",DATE(YEAR($AB287),MONTH($AB287),$F287))))</f>
        <v/>
      </c>
      <c r="H287" s="9" t="n"/>
      <c r="I287" s="11" t="n"/>
      <c r="J287" s="12">
        <f>IF($I287="","",IF($I287&gt;31,$I287,IF($G287="","",IF(DATE(YEAR($G287),MONTH($G287),$I287)&gt;=$G287,DATE(YEAR($G287),MONTH($G287),$I287),DATE(YEAR($G287),MONTH($G287)+1,$I287)))))</f>
        <v/>
      </c>
      <c r="K287" s="9" t="n"/>
      <c r="L287" s="13" t="n"/>
      <c r="M287" s="13" t="n"/>
      <c r="N287" s="13" t="n"/>
      <c r="O287" s="8">
        <f>IF(OR($G287="",$J287=""),"",$J287-$G287+1)</f>
        <v/>
      </c>
      <c r="P287" s="8">
        <f>IF(OR($G287="",$J287=""),"",$J287-$G287)</f>
        <v/>
      </c>
      <c r="Q287" s="9" t="n"/>
      <c r="R287" s="9" t="n"/>
      <c r="S287" s="9" t="n"/>
      <c r="T287" s="9" t="n"/>
      <c r="U287" s="9" t="n"/>
      <c r="V287" s="9" t="n"/>
      <c r="W287" s="14" t="n"/>
      <c r="X287" s="9" t="n"/>
      <c r="Y287" s="8">
        <f>IF($G287="","",IF($D287="","⚠部屋が未選択",IF(COUNTIF('M_部屋'!$A$4:$A$20,$D287)=0,"⚠部屋が未登録",IF(OR($J287="",$Q287="キャンセル"),"",IF(SUMPRODUCT(($D$5:$D$404=$D287)*($G$5:$G$404&lt;&gt;"")*($J$5:$J$404&lt;&gt;"")*($Q$5:$Q$404&lt;&gt;"キャンセル")*($G$5:$G$404&lt;$J287)*($J$5:$J$404&gt;$G287))&gt;1,"⚠重複","")))))</f>
        <v/>
      </c>
      <c r="Z287" s="8">
        <f>IF(OR($B287="",$G287=""),"",IF(SUMPRODUCT(('利用者マスタ'!$A$4:$A$60=$B287)*('利用者マスタ'!$B$4:$B$60&lt;&gt;""))=0,"",IF(SUMIFS($AA$5:$AA$404,$B$5:$B$404,$B287,$G$5:$G$404,"&gt;="&amp;DATE(YEAR($G287),MONTH($G287),1),$G$5:$G$404,"&lt;="&amp;EOMONTH($G287,0))&gt;SUMIFS('利用者マスタ'!$B$4:$B$60,'利用者マスタ'!$A$4:$A$60,$B287),"⚠支給量超過","")))</f>
        <v/>
      </c>
      <c r="AA287" s="8">
        <f>IF(OR($G287="",$J287="",$Q287="キャンセル"),0,IF(IFERROR(INDEX('M_区分'!$B$4:$B$20,MATCH($C287,'M_区分'!$A$4:$A$20,0)),"○")="○",$J287-$G287+1,0))</f>
        <v/>
      </c>
      <c r="AB287" s="8">
        <f>IF($E287&lt;&gt;"",$E287,$AB286)</f>
        <v/>
      </c>
      <c r="AC287" s="8">
        <f>IF(OR($G287="",$J287=""),"",IF(AND($G287&lt;=EOMONTH('02_カレンダー'!$B$4,0),$J287&gt;='02_カレンダー'!$B$4),$G287*10000+ROW(),""))</f>
        <v/>
      </c>
      <c r="AD287" s="8">
        <f>IF($H287="","",IF(ISNUMBER($H287),IF(AND($H287=INT($H287),$H287&gt;=0,$H287&lt;=24),TEXT(INT($H287),"00")&amp;":00",TEXT($H287,"hh:mm")),$H287))</f>
        <v/>
      </c>
      <c r="AE287" s="8">
        <f>IF($K287="","",IF(ISNUMBER($K287),IF(AND($K287=INT($K287),$K287&gt;=0,$K287&lt;=24),TEXT(INT($K287),"00")&amp;":00",TEXT($K287,"hh:mm")),$K287))</f>
        <v/>
      </c>
      <c r="AF287" s="8">
        <f>IF($G287="",0,$G287)</f>
        <v/>
      </c>
      <c r="AG287" s="8">
        <f>IF($J287="",0,$J287)</f>
        <v/>
      </c>
    </row>
    <row r="288">
      <c r="A288" s="8">
        <f>IF($G288="","","SS-"&amp;TEXT(ROW()-4,"0000"))</f>
        <v/>
      </c>
      <c r="B288" s="9" t="n"/>
      <c r="C288" s="9" t="n"/>
      <c r="D288" s="9" t="n"/>
      <c r="E288" s="10" t="n"/>
      <c r="F288" s="11" t="n"/>
      <c r="G288" s="12">
        <f>IF($F288="","",IF($F288&gt;31,$F288,IF($AB288="","",DATE(YEAR($AB288),MONTH($AB288),$F288))))</f>
        <v/>
      </c>
      <c r="H288" s="9" t="n"/>
      <c r="I288" s="11" t="n"/>
      <c r="J288" s="12">
        <f>IF($I288="","",IF($I288&gt;31,$I288,IF($G288="","",IF(DATE(YEAR($G288),MONTH($G288),$I288)&gt;=$G288,DATE(YEAR($G288),MONTH($G288),$I288),DATE(YEAR($G288),MONTH($G288)+1,$I288)))))</f>
        <v/>
      </c>
      <c r="K288" s="9" t="n"/>
      <c r="L288" s="13" t="n"/>
      <c r="M288" s="13" t="n"/>
      <c r="N288" s="13" t="n"/>
      <c r="O288" s="8">
        <f>IF(OR($G288="",$J288=""),"",$J288-$G288+1)</f>
        <v/>
      </c>
      <c r="P288" s="8">
        <f>IF(OR($G288="",$J288=""),"",$J288-$G288)</f>
        <v/>
      </c>
      <c r="Q288" s="9" t="n"/>
      <c r="R288" s="9" t="n"/>
      <c r="S288" s="9" t="n"/>
      <c r="T288" s="9" t="n"/>
      <c r="U288" s="9" t="n"/>
      <c r="V288" s="9" t="n"/>
      <c r="W288" s="14" t="n"/>
      <c r="X288" s="9" t="n"/>
      <c r="Y288" s="8">
        <f>IF($G288="","",IF($D288="","⚠部屋が未選択",IF(COUNTIF('M_部屋'!$A$4:$A$20,$D288)=0,"⚠部屋が未登録",IF(OR($J288="",$Q288="キャンセル"),"",IF(SUMPRODUCT(($D$5:$D$404=$D288)*($G$5:$G$404&lt;&gt;"")*($J$5:$J$404&lt;&gt;"")*($Q$5:$Q$404&lt;&gt;"キャンセル")*($G$5:$G$404&lt;$J288)*($J$5:$J$404&gt;$G288))&gt;1,"⚠重複","")))))</f>
        <v/>
      </c>
      <c r="Z288" s="8">
        <f>IF(OR($B288="",$G288=""),"",IF(SUMPRODUCT(('利用者マスタ'!$A$4:$A$60=$B288)*('利用者マスタ'!$B$4:$B$60&lt;&gt;""))=0,"",IF(SUMIFS($AA$5:$AA$404,$B$5:$B$404,$B288,$G$5:$G$404,"&gt;="&amp;DATE(YEAR($G288),MONTH($G288),1),$G$5:$G$404,"&lt;="&amp;EOMONTH($G288,0))&gt;SUMIFS('利用者マスタ'!$B$4:$B$60,'利用者マスタ'!$A$4:$A$60,$B288),"⚠支給量超過","")))</f>
        <v/>
      </c>
      <c r="AA288" s="8">
        <f>IF(OR($G288="",$J288="",$Q288="キャンセル"),0,IF(IFERROR(INDEX('M_区分'!$B$4:$B$20,MATCH($C288,'M_区分'!$A$4:$A$20,0)),"○")="○",$J288-$G288+1,0))</f>
        <v/>
      </c>
      <c r="AB288" s="8">
        <f>IF($E288&lt;&gt;"",$E288,$AB287)</f>
        <v/>
      </c>
      <c r="AC288" s="8">
        <f>IF(OR($G288="",$J288=""),"",IF(AND($G288&lt;=EOMONTH('02_カレンダー'!$B$4,0),$J288&gt;='02_カレンダー'!$B$4),$G288*10000+ROW(),""))</f>
        <v/>
      </c>
      <c r="AD288" s="8">
        <f>IF($H288="","",IF(ISNUMBER($H288),IF(AND($H288=INT($H288),$H288&gt;=0,$H288&lt;=24),TEXT(INT($H288),"00")&amp;":00",TEXT($H288,"hh:mm")),$H288))</f>
        <v/>
      </c>
      <c r="AE288" s="8">
        <f>IF($K288="","",IF(ISNUMBER($K288),IF(AND($K288=INT($K288),$K288&gt;=0,$K288&lt;=24),TEXT(INT($K288),"00")&amp;":00",TEXT($K288,"hh:mm")),$K288))</f>
        <v/>
      </c>
      <c r="AF288" s="8">
        <f>IF($G288="",0,$G288)</f>
        <v/>
      </c>
      <c r="AG288" s="8">
        <f>IF($J288="",0,$J288)</f>
        <v/>
      </c>
    </row>
    <row r="289">
      <c r="A289" s="8">
        <f>IF($G289="","","SS-"&amp;TEXT(ROW()-4,"0000"))</f>
        <v/>
      </c>
      <c r="B289" s="9" t="n"/>
      <c r="C289" s="9" t="n"/>
      <c r="D289" s="9" t="n"/>
      <c r="E289" s="10" t="n"/>
      <c r="F289" s="11" t="n"/>
      <c r="G289" s="12">
        <f>IF($F289="","",IF($F289&gt;31,$F289,IF($AB289="","",DATE(YEAR($AB289),MONTH($AB289),$F289))))</f>
        <v/>
      </c>
      <c r="H289" s="9" t="n"/>
      <c r="I289" s="11" t="n"/>
      <c r="J289" s="12">
        <f>IF($I289="","",IF($I289&gt;31,$I289,IF($G289="","",IF(DATE(YEAR($G289),MONTH($G289),$I289)&gt;=$G289,DATE(YEAR($G289),MONTH($G289),$I289),DATE(YEAR($G289),MONTH($G289)+1,$I289)))))</f>
        <v/>
      </c>
      <c r="K289" s="9" t="n"/>
      <c r="L289" s="13" t="n"/>
      <c r="M289" s="13" t="n"/>
      <c r="N289" s="13" t="n"/>
      <c r="O289" s="8">
        <f>IF(OR($G289="",$J289=""),"",$J289-$G289+1)</f>
        <v/>
      </c>
      <c r="P289" s="8">
        <f>IF(OR($G289="",$J289=""),"",$J289-$G289)</f>
        <v/>
      </c>
      <c r="Q289" s="9" t="n"/>
      <c r="R289" s="9" t="n"/>
      <c r="S289" s="9" t="n"/>
      <c r="T289" s="9" t="n"/>
      <c r="U289" s="9" t="n"/>
      <c r="V289" s="9" t="n"/>
      <c r="W289" s="14" t="n"/>
      <c r="X289" s="9" t="n"/>
      <c r="Y289" s="8">
        <f>IF($G289="","",IF($D289="","⚠部屋が未選択",IF(COUNTIF('M_部屋'!$A$4:$A$20,$D289)=0,"⚠部屋が未登録",IF(OR($J289="",$Q289="キャンセル"),"",IF(SUMPRODUCT(($D$5:$D$404=$D289)*($G$5:$G$404&lt;&gt;"")*($J$5:$J$404&lt;&gt;"")*($Q$5:$Q$404&lt;&gt;"キャンセル")*($G$5:$G$404&lt;$J289)*($J$5:$J$404&gt;$G289))&gt;1,"⚠重複","")))))</f>
        <v/>
      </c>
      <c r="Z289" s="8">
        <f>IF(OR($B289="",$G289=""),"",IF(SUMPRODUCT(('利用者マスタ'!$A$4:$A$60=$B289)*('利用者マスタ'!$B$4:$B$60&lt;&gt;""))=0,"",IF(SUMIFS($AA$5:$AA$404,$B$5:$B$404,$B289,$G$5:$G$404,"&gt;="&amp;DATE(YEAR($G289),MONTH($G289),1),$G$5:$G$404,"&lt;="&amp;EOMONTH($G289,0))&gt;SUMIFS('利用者マスタ'!$B$4:$B$60,'利用者マスタ'!$A$4:$A$60,$B289),"⚠支給量超過","")))</f>
        <v/>
      </c>
      <c r="AA289" s="8">
        <f>IF(OR($G289="",$J289="",$Q289="キャンセル"),0,IF(IFERROR(INDEX('M_区分'!$B$4:$B$20,MATCH($C289,'M_区分'!$A$4:$A$20,0)),"○")="○",$J289-$G289+1,0))</f>
        <v/>
      </c>
      <c r="AB289" s="8">
        <f>IF($E289&lt;&gt;"",$E289,$AB288)</f>
        <v/>
      </c>
      <c r="AC289" s="8">
        <f>IF(OR($G289="",$J289=""),"",IF(AND($G289&lt;=EOMONTH('02_カレンダー'!$B$4,0),$J289&gt;='02_カレンダー'!$B$4),$G289*10000+ROW(),""))</f>
        <v/>
      </c>
      <c r="AD289" s="8">
        <f>IF($H289="","",IF(ISNUMBER($H289),IF(AND($H289=INT($H289),$H289&gt;=0,$H289&lt;=24),TEXT(INT($H289),"00")&amp;":00",TEXT($H289,"hh:mm")),$H289))</f>
        <v/>
      </c>
      <c r="AE289" s="8">
        <f>IF($K289="","",IF(ISNUMBER($K289),IF(AND($K289=INT($K289),$K289&gt;=0,$K289&lt;=24),TEXT(INT($K289),"00")&amp;":00",TEXT($K289,"hh:mm")),$K289))</f>
        <v/>
      </c>
      <c r="AF289" s="8">
        <f>IF($G289="",0,$G289)</f>
        <v/>
      </c>
      <c r="AG289" s="8">
        <f>IF($J289="",0,$J289)</f>
        <v/>
      </c>
    </row>
    <row r="290">
      <c r="A290" s="8">
        <f>IF($G290="","","SS-"&amp;TEXT(ROW()-4,"0000"))</f>
        <v/>
      </c>
      <c r="B290" s="9" t="n"/>
      <c r="C290" s="9" t="n"/>
      <c r="D290" s="9" t="n"/>
      <c r="E290" s="10" t="n"/>
      <c r="F290" s="11" t="n"/>
      <c r="G290" s="12">
        <f>IF($F290="","",IF($F290&gt;31,$F290,IF($AB290="","",DATE(YEAR($AB290),MONTH($AB290),$F290))))</f>
        <v/>
      </c>
      <c r="H290" s="9" t="n"/>
      <c r="I290" s="11" t="n"/>
      <c r="J290" s="12">
        <f>IF($I290="","",IF($I290&gt;31,$I290,IF($G290="","",IF(DATE(YEAR($G290),MONTH($G290),$I290)&gt;=$G290,DATE(YEAR($G290),MONTH($G290),$I290),DATE(YEAR($G290),MONTH($G290)+1,$I290)))))</f>
        <v/>
      </c>
      <c r="K290" s="9" t="n"/>
      <c r="L290" s="13" t="n"/>
      <c r="M290" s="13" t="n"/>
      <c r="N290" s="13" t="n"/>
      <c r="O290" s="8">
        <f>IF(OR($G290="",$J290=""),"",$J290-$G290+1)</f>
        <v/>
      </c>
      <c r="P290" s="8">
        <f>IF(OR($G290="",$J290=""),"",$J290-$G290)</f>
        <v/>
      </c>
      <c r="Q290" s="9" t="n"/>
      <c r="R290" s="9" t="n"/>
      <c r="S290" s="9" t="n"/>
      <c r="T290" s="9" t="n"/>
      <c r="U290" s="9" t="n"/>
      <c r="V290" s="9" t="n"/>
      <c r="W290" s="14" t="n"/>
      <c r="X290" s="9" t="n"/>
      <c r="Y290" s="8">
        <f>IF($G290="","",IF($D290="","⚠部屋が未選択",IF(COUNTIF('M_部屋'!$A$4:$A$20,$D290)=0,"⚠部屋が未登録",IF(OR($J290="",$Q290="キャンセル"),"",IF(SUMPRODUCT(($D$5:$D$404=$D290)*($G$5:$G$404&lt;&gt;"")*($J$5:$J$404&lt;&gt;"")*($Q$5:$Q$404&lt;&gt;"キャンセル")*($G$5:$G$404&lt;$J290)*($J$5:$J$404&gt;$G290))&gt;1,"⚠重複","")))))</f>
        <v/>
      </c>
      <c r="Z290" s="8">
        <f>IF(OR($B290="",$G290=""),"",IF(SUMPRODUCT(('利用者マスタ'!$A$4:$A$60=$B290)*('利用者マスタ'!$B$4:$B$60&lt;&gt;""))=0,"",IF(SUMIFS($AA$5:$AA$404,$B$5:$B$404,$B290,$G$5:$G$404,"&gt;="&amp;DATE(YEAR($G290),MONTH($G290),1),$G$5:$G$404,"&lt;="&amp;EOMONTH($G290,0))&gt;SUMIFS('利用者マスタ'!$B$4:$B$60,'利用者マスタ'!$A$4:$A$60,$B290),"⚠支給量超過","")))</f>
        <v/>
      </c>
      <c r="AA290" s="8">
        <f>IF(OR($G290="",$J290="",$Q290="キャンセル"),0,IF(IFERROR(INDEX('M_区分'!$B$4:$B$20,MATCH($C290,'M_区分'!$A$4:$A$20,0)),"○")="○",$J290-$G290+1,0))</f>
        <v/>
      </c>
      <c r="AB290" s="8">
        <f>IF($E290&lt;&gt;"",$E290,$AB289)</f>
        <v/>
      </c>
      <c r="AC290" s="8">
        <f>IF(OR($G290="",$J290=""),"",IF(AND($G290&lt;=EOMONTH('02_カレンダー'!$B$4,0),$J290&gt;='02_カレンダー'!$B$4),$G290*10000+ROW(),""))</f>
        <v/>
      </c>
      <c r="AD290" s="8">
        <f>IF($H290="","",IF(ISNUMBER($H290),IF(AND($H290=INT($H290),$H290&gt;=0,$H290&lt;=24),TEXT(INT($H290),"00")&amp;":00",TEXT($H290,"hh:mm")),$H290))</f>
        <v/>
      </c>
      <c r="AE290" s="8">
        <f>IF($K290="","",IF(ISNUMBER($K290),IF(AND($K290=INT($K290),$K290&gt;=0,$K290&lt;=24),TEXT(INT($K290),"00")&amp;":00",TEXT($K290,"hh:mm")),$K290))</f>
        <v/>
      </c>
      <c r="AF290" s="8">
        <f>IF($G290="",0,$G290)</f>
        <v/>
      </c>
      <c r="AG290" s="8">
        <f>IF($J290="",0,$J290)</f>
        <v/>
      </c>
    </row>
    <row r="291">
      <c r="A291" s="8">
        <f>IF($G291="","","SS-"&amp;TEXT(ROW()-4,"0000"))</f>
        <v/>
      </c>
      <c r="B291" s="9" t="n"/>
      <c r="C291" s="9" t="n"/>
      <c r="D291" s="9" t="n"/>
      <c r="E291" s="10" t="n"/>
      <c r="F291" s="11" t="n"/>
      <c r="G291" s="12">
        <f>IF($F291="","",IF($F291&gt;31,$F291,IF($AB291="","",DATE(YEAR($AB291),MONTH($AB291),$F291))))</f>
        <v/>
      </c>
      <c r="H291" s="9" t="n"/>
      <c r="I291" s="11" t="n"/>
      <c r="J291" s="12">
        <f>IF($I291="","",IF($I291&gt;31,$I291,IF($G291="","",IF(DATE(YEAR($G291),MONTH($G291),$I291)&gt;=$G291,DATE(YEAR($G291),MONTH($G291),$I291),DATE(YEAR($G291),MONTH($G291)+1,$I291)))))</f>
        <v/>
      </c>
      <c r="K291" s="9" t="n"/>
      <c r="L291" s="13" t="n"/>
      <c r="M291" s="13" t="n"/>
      <c r="N291" s="13" t="n"/>
      <c r="O291" s="8">
        <f>IF(OR($G291="",$J291=""),"",$J291-$G291+1)</f>
        <v/>
      </c>
      <c r="P291" s="8">
        <f>IF(OR($G291="",$J291=""),"",$J291-$G291)</f>
        <v/>
      </c>
      <c r="Q291" s="9" t="n"/>
      <c r="R291" s="9" t="n"/>
      <c r="S291" s="9" t="n"/>
      <c r="T291" s="9" t="n"/>
      <c r="U291" s="9" t="n"/>
      <c r="V291" s="9" t="n"/>
      <c r="W291" s="14" t="n"/>
      <c r="X291" s="9" t="n"/>
      <c r="Y291" s="8">
        <f>IF($G291="","",IF($D291="","⚠部屋が未選択",IF(COUNTIF('M_部屋'!$A$4:$A$20,$D291)=0,"⚠部屋が未登録",IF(OR($J291="",$Q291="キャンセル"),"",IF(SUMPRODUCT(($D$5:$D$404=$D291)*($G$5:$G$404&lt;&gt;"")*($J$5:$J$404&lt;&gt;"")*($Q$5:$Q$404&lt;&gt;"キャンセル")*($G$5:$G$404&lt;$J291)*($J$5:$J$404&gt;$G291))&gt;1,"⚠重複","")))))</f>
        <v/>
      </c>
      <c r="Z291" s="8">
        <f>IF(OR($B291="",$G291=""),"",IF(SUMPRODUCT(('利用者マスタ'!$A$4:$A$60=$B291)*('利用者マスタ'!$B$4:$B$60&lt;&gt;""))=0,"",IF(SUMIFS($AA$5:$AA$404,$B$5:$B$404,$B291,$G$5:$G$404,"&gt;="&amp;DATE(YEAR($G291),MONTH($G291),1),$G$5:$G$404,"&lt;="&amp;EOMONTH($G291,0))&gt;SUMIFS('利用者マスタ'!$B$4:$B$60,'利用者マスタ'!$A$4:$A$60,$B291),"⚠支給量超過","")))</f>
        <v/>
      </c>
      <c r="AA291" s="8">
        <f>IF(OR($G291="",$J291="",$Q291="キャンセル"),0,IF(IFERROR(INDEX('M_区分'!$B$4:$B$20,MATCH($C291,'M_区分'!$A$4:$A$20,0)),"○")="○",$J291-$G291+1,0))</f>
        <v/>
      </c>
      <c r="AB291" s="8">
        <f>IF($E291&lt;&gt;"",$E291,$AB290)</f>
        <v/>
      </c>
      <c r="AC291" s="8">
        <f>IF(OR($G291="",$J291=""),"",IF(AND($G291&lt;=EOMONTH('02_カレンダー'!$B$4,0),$J291&gt;='02_カレンダー'!$B$4),$G291*10000+ROW(),""))</f>
        <v/>
      </c>
      <c r="AD291" s="8">
        <f>IF($H291="","",IF(ISNUMBER($H291),IF(AND($H291=INT($H291),$H291&gt;=0,$H291&lt;=24),TEXT(INT($H291),"00")&amp;":00",TEXT($H291,"hh:mm")),$H291))</f>
        <v/>
      </c>
      <c r="AE291" s="8">
        <f>IF($K291="","",IF(ISNUMBER($K291),IF(AND($K291=INT($K291),$K291&gt;=0,$K291&lt;=24),TEXT(INT($K291),"00")&amp;":00",TEXT($K291,"hh:mm")),$K291))</f>
        <v/>
      </c>
      <c r="AF291" s="8">
        <f>IF($G291="",0,$G291)</f>
        <v/>
      </c>
      <c r="AG291" s="8">
        <f>IF($J291="",0,$J291)</f>
        <v/>
      </c>
    </row>
    <row r="292">
      <c r="A292" s="8">
        <f>IF($G292="","","SS-"&amp;TEXT(ROW()-4,"0000"))</f>
        <v/>
      </c>
      <c r="B292" s="9" t="n"/>
      <c r="C292" s="9" t="n"/>
      <c r="D292" s="9" t="n"/>
      <c r="E292" s="10" t="n"/>
      <c r="F292" s="11" t="n"/>
      <c r="G292" s="12">
        <f>IF($F292="","",IF($F292&gt;31,$F292,IF($AB292="","",DATE(YEAR($AB292),MONTH($AB292),$F292))))</f>
        <v/>
      </c>
      <c r="H292" s="9" t="n"/>
      <c r="I292" s="11" t="n"/>
      <c r="J292" s="12">
        <f>IF($I292="","",IF($I292&gt;31,$I292,IF($G292="","",IF(DATE(YEAR($G292),MONTH($G292),$I292)&gt;=$G292,DATE(YEAR($G292),MONTH($G292),$I292),DATE(YEAR($G292),MONTH($G292)+1,$I292)))))</f>
        <v/>
      </c>
      <c r="K292" s="9" t="n"/>
      <c r="L292" s="13" t="n"/>
      <c r="M292" s="13" t="n"/>
      <c r="N292" s="13" t="n"/>
      <c r="O292" s="8">
        <f>IF(OR($G292="",$J292=""),"",$J292-$G292+1)</f>
        <v/>
      </c>
      <c r="P292" s="8">
        <f>IF(OR($G292="",$J292=""),"",$J292-$G292)</f>
        <v/>
      </c>
      <c r="Q292" s="9" t="n"/>
      <c r="R292" s="9" t="n"/>
      <c r="S292" s="9" t="n"/>
      <c r="T292" s="9" t="n"/>
      <c r="U292" s="9" t="n"/>
      <c r="V292" s="9" t="n"/>
      <c r="W292" s="14" t="n"/>
      <c r="X292" s="9" t="n"/>
      <c r="Y292" s="8">
        <f>IF($G292="","",IF($D292="","⚠部屋が未選択",IF(COUNTIF('M_部屋'!$A$4:$A$20,$D292)=0,"⚠部屋が未登録",IF(OR($J292="",$Q292="キャンセル"),"",IF(SUMPRODUCT(($D$5:$D$404=$D292)*($G$5:$G$404&lt;&gt;"")*($J$5:$J$404&lt;&gt;"")*($Q$5:$Q$404&lt;&gt;"キャンセル")*($G$5:$G$404&lt;$J292)*($J$5:$J$404&gt;$G292))&gt;1,"⚠重複","")))))</f>
        <v/>
      </c>
      <c r="Z292" s="8">
        <f>IF(OR($B292="",$G292=""),"",IF(SUMPRODUCT(('利用者マスタ'!$A$4:$A$60=$B292)*('利用者マスタ'!$B$4:$B$60&lt;&gt;""))=0,"",IF(SUMIFS($AA$5:$AA$404,$B$5:$B$404,$B292,$G$5:$G$404,"&gt;="&amp;DATE(YEAR($G292),MONTH($G292),1),$G$5:$G$404,"&lt;="&amp;EOMONTH($G292,0))&gt;SUMIFS('利用者マスタ'!$B$4:$B$60,'利用者マスタ'!$A$4:$A$60,$B292),"⚠支給量超過","")))</f>
        <v/>
      </c>
      <c r="AA292" s="8">
        <f>IF(OR($G292="",$J292="",$Q292="キャンセル"),0,IF(IFERROR(INDEX('M_区分'!$B$4:$B$20,MATCH($C292,'M_区分'!$A$4:$A$20,0)),"○")="○",$J292-$G292+1,0))</f>
        <v/>
      </c>
      <c r="AB292" s="8">
        <f>IF($E292&lt;&gt;"",$E292,$AB291)</f>
        <v/>
      </c>
      <c r="AC292" s="8">
        <f>IF(OR($G292="",$J292=""),"",IF(AND($G292&lt;=EOMONTH('02_カレンダー'!$B$4,0),$J292&gt;='02_カレンダー'!$B$4),$G292*10000+ROW(),""))</f>
        <v/>
      </c>
      <c r="AD292" s="8">
        <f>IF($H292="","",IF(ISNUMBER($H292),IF(AND($H292=INT($H292),$H292&gt;=0,$H292&lt;=24),TEXT(INT($H292),"00")&amp;":00",TEXT($H292,"hh:mm")),$H292))</f>
        <v/>
      </c>
      <c r="AE292" s="8">
        <f>IF($K292="","",IF(ISNUMBER($K292),IF(AND($K292=INT($K292),$K292&gt;=0,$K292&lt;=24),TEXT(INT($K292),"00")&amp;":00",TEXT($K292,"hh:mm")),$K292))</f>
        <v/>
      </c>
      <c r="AF292" s="8">
        <f>IF($G292="",0,$G292)</f>
        <v/>
      </c>
      <c r="AG292" s="8">
        <f>IF($J292="",0,$J292)</f>
        <v/>
      </c>
    </row>
    <row r="293">
      <c r="A293" s="8">
        <f>IF($G293="","","SS-"&amp;TEXT(ROW()-4,"0000"))</f>
        <v/>
      </c>
      <c r="B293" s="9" t="n"/>
      <c r="C293" s="9" t="n"/>
      <c r="D293" s="9" t="n"/>
      <c r="E293" s="10" t="n"/>
      <c r="F293" s="11" t="n"/>
      <c r="G293" s="12">
        <f>IF($F293="","",IF($F293&gt;31,$F293,IF($AB293="","",DATE(YEAR($AB293),MONTH($AB293),$F293))))</f>
        <v/>
      </c>
      <c r="H293" s="9" t="n"/>
      <c r="I293" s="11" t="n"/>
      <c r="J293" s="12">
        <f>IF($I293="","",IF($I293&gt;31,$I293,IF($G293="","",IF(DATE(YEAR($G293),MONTH($G293),$I293)&gt;=$G293,DATE(YEAR($G293),MONTH($G293),$I293),DATE(YEAR($G293),MONTH($G293)+1,$I293)))))</f>
        <v/>
      </c>
      <c r="K293" s="9" t="n"/>
      <c r="L293" s="13" t="n"/>
      <c r="M293" s="13" t="n"/>
      <c r="N293" s="13" t="n"/>
      <c r="O293" s="8">
        <f>IF(OR($G293="",$J293=""),"",$J293-$G293+1)</f>
        <v/>
      </c>
      <c r="P293" s="8">
        <f>IF(OR($G293="",$J293=""),"",$J293-$G293)</f>
        <v/>
      </c>
      <c r="Q293" s="9" t="n"/>
      <c r="R293" s="9" t="n"/>
      <c r="S293" s="9" t="n"/>
      <c r="T293" s="9" t="n"/>
      <c r="U293" s="9" t="n"/>
      <c r="V293" s="9" t="n"/>
      <c r="W293" s="14" t="n"/>
      <c r="X293" s="9" t="n"/>
      <c r="Y293" s="8">
        <f>IF($G293="","",IF($D293="","⚠部屋が未選択",IF(COUNTIF('M_部屋'!$A$4:$A$20,$D293)=0,"⚠部屋が未登録",IF(OR($J293="",$Q293="キャンセル"),"",IF(SUMPRODUCT(($D$5:$D$404=$D293)*($G$5:$G$404&lt;&gt;"")*($J$5:$J$404&lt;&gt;"")*($Q$5:$Q$404&lt;&gt;"キャンセル")*($G$5:$G$404&lt;$J293)*($J$5:$J$404&gt;$G293))&gt;1,"⚠重複","")))))</f>
        <v/>
      </c>
      <c r="Z293" s="8">
        <f>IF(OR($B293="",$G293=""),"",IF(SUMPRODUCT(('利用者マスタ'!$A$4:$A$60=$B293)*('利用者マスタ'!$B$4:$B$60&lt;&gt;""))=0,"",IF(SUMIFS($AA$5:$AA$404,$B$5:$B$404,$B293,$G$5:$G$404,"&gt;="&amp;DATE(YEAR($G293),MONTH($G293),1),$G$5:$G$404,"&lt;="&amp;EOMONTH($G293,0))&gt;SUMIFS('利用者マスタ'!$B$4:$B$60,'利用者マスタ'!$A$4:$A$60,$B293),"⚠支給量超過","")))</f>
        <v/>
      </c>
      <c r="AA293" s="8">
        <f>IF(OR($G293="",$J293="",$Q293="キャンセル"),0,IF(IFERROR(INDEX('M_区分'!$B$4:$B$20,MATCH($C293,'M_区分'!$A$4:$A$20,0)),"○")="○",$J293-$G293+1,0))</f>
        <v/>
      </c>
      <c r="AB293" s="8">
        <f>IF($E293&lt;&gt;"",$E293,$AB292)</f>
        <v/>
      </c>
      <c r="AC293" s="8">
        <f>IF(OR($G293="",$J293=""),"",IF(AND($G293&lt;=EOMONTH('02_カレンダー'!$B$4,0),$J293&gt;='02_カレンダー'!$B$4),$G293*10000+ROW(),""))</f>
        <v/>
      </c>
      <c r="AD293" s="8">
        <f>IF($H293="","",IF(ISNUMBER($H293),IF(AND($H293=INT($H293),$H293&gt;=0,$H293&lt;=24),TEXT(INT($H293),"00")&amp;":00",TEXT($H293,"hh:mm")),$H293))</f>
        <v/>
      </c>
      <c r="AE293" s="8">
        <f>IF($K293="","",IF(ISNUMBER($K293),IF(AND($K293=INT($K293),$K293&gt;=0,$K293&lt;=24),TEXT(INT($K293),"00")&amp;":00",TEXT($K293,"hh:mm")),$K293))</f>
        <v/>
      </c>
      <c r="AF293" s="8">
        <f>IF($G293="",0,$G293)</f>
        <v/>
      </c>
      <c r="AG293" s="8">
        <f>IF($J293="",0,$J293)</f>
        <v/>
      </c>
    </row>
    <row r="294">
      <c r="A294" s="8">
        <f>IF($G294="","","SS-"&amp;TEXT(ROW()-4,"0000"))</f>
        <v/>
      </c>
      <c r="B294" s="9" t="n"/>
      <c r="C294" s="9" t="n"/>
      <c r="D294" s="9" t="n"/>
      <c r="E294" s="10" t="n"/>
      <c r="F294" s="11" t="n"/>
      <c r="G294" s="12">
        <f>IF($F294="","",IF($F294&gt;31,$F294,IF($AB294="","",DATE(YEAR($AB294),MONTH($AB294),$F294))))</f>
        <v/>
      </c>
      <c r="H294" s="9" t="n"/>
      <c r="I294" s="11" t="n"/>
      <c r="J294" s="12">
        <f>IF($I294="","",IF($I294&gt;31,$I294,IF($G294="","",IF(DATE(YEAR($G294),MONTH($G294),$I294)&gt;=$G294,DATE(YEAR($G294),MONTH($G294),$I294),DATE(YEAR($G294),MONTH($G294)+1,$I294)))))</f>
        <v/>
      </c>
      <c r="K294" s="9" t="n"/>
      <c r="L294" s="13" t="n"/>
      <c r="M294" s="13" t="n"/>
      <c r="N294" s="13" t="n"/>
      <c r="O294" s="8">
        <f>IF(OR($G294="",$J294=""),"",$J294-$G294+1)</f>
        <v/>
      </c>
      <c r="P294" s="8">
        <f>IF(OR($G294="",$J294=""),"",$J294-$G294)</f>
        <v/>
      </c>
      <c r="Q294" s="9" t="n"/>
      <c r="R294" s="9" t="n"/>
      <c r="S294" s="9" t="n"/>
      <c r="T294" s="9" t="n"/>
      <c r="U294" s="9" t="n"/>
      <c r="V294" s="9" t="n"/>
      <c r="W294" s="14" t="n"/>
      <c r="X294" s="9" t="n"/>
      <c r="Y294" s="8">
        <f>IF($G294="","",IF($D294="","⚠部屋が未選択",IF(COUNTIF('M_部屋'!$A$4:$A$20,$D294)=0,"⚠部屋が未登録",IF(OR($J294="",$Q294="キャンセル"),"",IF(SUMPRODUCT(($D$5:$D$404=$D294)*($G$5:$G$404&lt;&gt;"")*($J$5:$J$404&lt;&gt;"")*($Q$5:$Q$404&lt;&gt;"キャンセル")*($G$5:$G$404&lt;$J294)*($J$5:$J$404&gt;$G294))&gt;1,"⚠重複","")))))</f>
        <v/>
      </c>
      <c r="Z294" s="8">
        <f>IF(OR($B294="",$G294=""),"",IF(SUMPRODUCT(('利用者マスタ'!$A$4:$A$60=$B294)*('利用者マスタ'!$B$4:$B$60&lt;&gt;""))=0,"",IF(SUMIFS($AA$5:$AA$404,$B$5:$B$404,$B294,$G$5:$G$404,"&gt;="&amp;DATE(YEAR($G294),MONTH($G294),1),$G$5:$G$404,"&lt;="&amp;EOMONTH($G294,0))&gt;SUMIFS('利用者マスタ'!$B$4:$B$60,'利用者マスタ'!$A$4:$A$60,$B294),"⚠支給量超過","")))</f>
        <v/>
      </c>
      <c r="AA294" s="8">
        <f>IF(OR($G294="",$J294="",$Q294="キャンセル"),0,IF(IFERROR(INDEX('M_区分'!$B$4:$B$20,MATCH($C294,'M_区分'!$A$4:$A$20,0)),"○")="○",$J294-$G294+1,0))</f>
        <v/>
      </c>
      <c r="AB294" s="8">
        <f>IF($E294&lt;&gt;"",$E294,$AB293)</f>
        <v/>
      </c>
      <c r="AC294" s="8">
        <f>IF(OR($G294="",$J294=""),"",IF(AND($G294&lt;=EOMONTH('02_カレンダー'!$B$4,0),$J294&gt;='02_カレンダー'!$B$4),$G294*10000+ROW(),""))</f>
        <v/>
      </c>
      <c r="AD294" s="8">
        <f>IF($H294="","",IF(ISNUMBER($H294),IF(AND($H294=INT($H294),$H294&gt;=0,$H294&lt;=24),TEXT(INT($H294),"00")&amp;":00",TEXT($H294,"hh:mm")),$H294))</f>
        <v/>
      </c>
      <c r="AE294" s="8">
        <f>IF($K294="","",IF(ISNUMBER($K294),IF(AND($K294=INT($K294),$K294&gt;=0,$K294&lt;=24),TEXT(INT($K294),"00")&amp;":00",TEXT($K294,"hh:mm")),$K294))</f>
        <v/>
      </c>
      <c r="AF294" s="8">
        <f>IF($G294="",0,$G294)</f>
        <v/>
      </c>
      <c r="AG294" s="8">
        <f>IF($J294="",0,$J294)</f>
        <v/>
      </c>
    </row>
    <row r="295">
      <c r="A295" s="8">
        <f>IF($G295="","","SS-"&amp;TEXT(ROW()-4,"0000"))</f>
        <v/>
      </c>
      <c r="B295" s="9" t="n"/>
      <c r="C295" s="9" t="n"/>
      <c r="D295" s="9" t="n"/>
      <c r="E295" s="10" t="n"/>
      <c r="F295" s="11" t="n"/>
      <c r="G295" s="12">
        <f>IF($F295="","",IF($F295&gt;31,$F295,IF($AB295="","",DATE(YEAR($AB295),MONTH($AB295),$F295))))</f>
        <v/>
      </c>
      <c r="H295" s="9" t="n"/>
      <c r="I295" s="11" t="n"/>
      <c r="J295" s="12">
        <f>IF($I295="","",IF($I295&gt;31,$I295,IF($G295="","",IF(DATE(YEAR($G295),MONTH($G295),$I295)&gt;=$G295,DATE(YEAR($G295),MONTH($G295),$I295),DATE(YEAR($G295),MONTH($G295)+1,$I295)))))</f>
        <v/>
      </c>
      <c r="K295" s="9" t="n"/>
      <c r="L295" s="13" t="n"/>
      <c r="M295" s="13" t="n"/>
      <c r="N295" s="13" t="n"/>
      <c r="O295" s="8">
        <f>IF(OR($G295="",$J295=""),"",$J295-$G295+1)</f>
        <v/>
      </c>
      <c r="P295" s="8">
        <f>IF(OR($G295="",$J295=""),"",$J295-$G295)</f>
        <v/>
      </c>
      <c r="Q295" s="9" t="n"/>
      <c r="R295" s="9" t="n"/>
      <c r="S295" s="9" t="n"/>
      <c r="T295" s="9" t="n"/>
      <c r="U295" s="9" t="n"/>
      <c r="V295" s="9" t="n"/>
      <c r="W295" s="14" t="n"/>
      <c r="X295" s="9" t="n"/>
      <c r="Y295" s="8">
        <f>IF($G295="","",IF($D295="","⚠部屋が未選択",IF(COUNTIF('M_部屋'!$A$4:$A$20,$D295)=0,"⚠部屋が未登録",IF(OR($J295="",$Q295="キャンセル"),"",IF(SUMPRODUCT(($D$5:$D$404=$D295)*($G$5:$G$404&lt;&gt;"")*($J$5:$J$404&lt;&gt;"")*($Q$5:$Q$404&lt;&gt;"キャンセル")*($G$5:$G$404&lt;$J295)*($J$5:$J$404&gt;$G295))&gt;1,"⚠重複","")))))</f>
        <v/>
      </c>
      <c r="Z295" s="8">
        <f>IF(OR($B295="",$G295=""),"",IF(SUMPRODUCT(('利用者マスタ'!$A$4:$A$60=$B295)*('利用者マスタ'!$B$4:$B$60&lt;&gt;""))=0,"",IF(SUMIFS($AA$5:$AA$404,$B$5:$B$404,$B295,$G$5:$G$404,"&gt;="&amp;DATE(YEAR($G295),MONTH($G295),1),$G$5:$G$404,"&lt;="&amp;EOMONTH($G295,0))&gt;SUMIFS('利用者マスタ'!$B$4:$B$60,'利用者マスタ'!$A$4:$A$60,$B295),"⚠支給量超過","")))</f>
        <v/>
      </c>
      <c r="AA295" s="8">
        <f>IF(OR($G295="",$J295="",$Q295="キャンセル"),0,IF(IFERROR(INDEX('M_区分'!$B$4:$B$20,MATCH($C295,'M_区分'!$A$4:$A$20,0)),"○")="○",$J295-$G295+1,0))</f>
        <v/>
      </c>
      <c r="AB295" s="8">
        <f>IF($E295&lt;&gt;"",$E295,$AB294)</f>
        <v/>
      </c>
      <c r="AC295" s="8">
        <f>IF(OR($G295="",$J295=""),"",IF(AND($G295&lt;=EOMONTH('02_カレンダー'!$B$4,0),$J295&gt;='02_カレンダー'!$B$4),$G295*10000+ROW(),""))</f>
        <v/>
      </c>
      <c r="AD295" s="8">
        <f>IF($H295="","",IF(ISNUMBER($H295),IF(AND($H295=INT($H295),$H295&gt;=0,$H295&lt;=24),TEXT(INT($H295),"00")&amp;":00",TEXT($H295,"hh:mm")),$H295))</f>
        <v/>
      </c>
      <c r="AE295" s="8">
        <f>IF($K295="","",IF(ISNUMBER($K295),IF(AND($K295=INT($K295),$K295&gt;=0,$K295&lt;=24),TEXT(INT($K295),"00")&amp;":00",TEXT($K295,"hh:mm")),$K295))</f>
        <v/>
      </c>
      <c r="AF295" s="8">
        <f>IF($G295="",0,$G295)</f>
        <v/>
      </c>
      <c r="AG295" s="8">
        <f>IF($J295="",0,$J295)</f>
        <v/>
      </c>
    </row>
    <row r="296">
      <c r="A296" s="8">
        <f>IF($G296="","","SS-"&amp;TEXT(ROW()-4,"0000"))</f>
        <v/>
      </c>
      <c r="B296" s="9" t="n"/>
      <c r="C296" s="9" t="n"/>
      <c r="D296" s="9" t="n"/>
      <c r="E296" s="10" t="n"/>
      <c r="F296" s="11" t="n"/>
      <c r="G296" s="12">
        <f>IF($F296="","",IF($F296&gt;31,$F296,IF($AB296="","",DATE(YEAR($AB296),MONTH($AB296),$F296))))</f>
        <v/>
      </c>
      <c r="H296" s="9" t="n"/>
      <c r="I296" s="11" t="n"/>
      <c r="J296" s="12">
        <f>IF($I296="","",IF($I296&gt;31,$I296,IF($G296="","",IF(DATE(YEAR($G296),MONTH($G296),$I296)&gt;=$G296,DATE(YEAR($G296),MONTH($G296),$I296),DATE(YEAR($G296),MONTH($G296)+1,$I296)))))</f>
        <v/>
      </c>
      <c r="K296" s="9" t="n"/>
      <c r="L296" s="13" t="n"/>
      <c r="M296" s="13" t="n"/>
      <c r="N296" s="13" t="n"/>
      <c r="O296" s="8">
        <f>IF(OR($G296="",$J296=""),"",$J296-$G296+1)</f>
        <v/>
      </c>
      <c r="P296" s="8">
        <f>IF(OR($G296="",$J296=""),"",$J296-$G296)</f>
        <v/>
      </c>
      <c r="Q296" s="9" t="n"/>
      <c r="R296" s="9" t="n"/>
      <c r="S296" s="9" t="n"/>
      <c r="T296" s="9" t="n"/>
      <c r="U296" s="9" t="n"/>
      <c r="V296" s="9" t="n"/>
      <c r="W296" s="14" t="n"/>
      <c r="X296" s="9" t="n"/>
      <c r="Y296" s="8">
        <f>IF($G296="","",IF($D296="","⚠部屋が未選択",IF(COUNTIF('M_部屋'!$A$4:$A$20,$D296)=0,"⚠部屋が未登録",IF(OR($J296="",$Q296="キャンセル"),"",IF(SUMPRODUCT(($D$5:$D$404=$D296)*($G$5:$G$404&lt;&gt;"")*($J$5:$J$404&lt;&gt;"")*($Q$5:$Q$404&lt;&gt;"キャンセル")*($G$5:$G$404&lt;$J296)*($J$5:$J$404&gt;$G296))&gt;1,"⚠重複","")))))</f>
        <v/>
      </c>
      <c r="Z296" s="8">
        <f>IF(OR($B296="",$G296=""),"",IF(SUMPRODUCT(('利用者マスタ'!$A$4:$A$60=$B296)*('利用者マスタ'!$B$4:$B$60&lt;&gt;""))=0,"",IF(SUMIFS($AA$5:$AA$404,$B$5:$B$404,$B296,$G$5:$G$404,"&gt;="&amp;DATE(YEAR($G296),MONTH($G296),1),$G$5:$G$404,"&lt;="&amp;EOMONTH($G296,0))&gt;SUMIFS('利用者マスタ'!$B$4:$B$60,'利用者マスタ'!$A$4:$A$60,$B296),"⚠支給量超過","")))</f>
        <v/>
      </c>
      <c r="AA296" s="8">
        <f>IF(OR($G296="",$J296="",$Q296="キャンセル"),0,IF(IFERROR(INDEX('M_区分'!$B$4:$B$20,MATCH($C296,'M_区分'!$A$4:$A$20,0)),"○")="○",$J296-$G296+1,0))</f>
        <v/>
      </c>
      <c r="AB296" s="8">
        <f>IF($E296&lt;&gt;"",$E296,$AB295)</f>
        <v/>
      </c>
      <c r="AC296" s="8">
        <f>IF(OR($G296="",$J296=""),"",IF(AND($G296&lt;=EOMONTH('02_カレンダー'!$B$4,0),$J296&gt;='02_カレンダー'!$B$4),$G296*10000+ROW(),""))</f>
        <v/>
      </c>
      <c r="AD296" s="8">
        <f>IF($H296="","",IF(ISNUMBER($H296),IF(AND($H296=INT($H296),$H296&gt;=0,$H296&lt;=24),TEXT(INT($H296),"00")&amp;":00",TEXT($H296,"hh:mm")),$H296))</f>
        <v/>
      </c>
      <c r="AE296" s="8">
        <f>IF($K296="","",IF(ISNUMBER($K296),IF(AND($K296=INT($K296),$K296&gt;=0,$K296&lt;=24),TEXT(INT($K296),"00")&amp;":00",TEXT($K296,"hh:mm")),$K296))</f>
        <v/>
      </c>
      <c r="AF296" s="8">
        <f>IF($G296="",0,$G296)</f>
        <v/>
      </c>
      <c r="AG296" s="8">
        <f>IF($J296="",0,$J296)</f>
        <v/>
      </c>
    </row>
    <row r="297">
      <c r="A297" s="8">
        <f>IF($G297="","","SS-"&amp;TEXT(ROW()-4,"0000"))</f>
        <v/>
      </c>
      <c r="B297" s="9" t="n"/>
      <c r="C297" s="9" t="n"/>
      <c r="D297" s="9" t="n"/>
      <c r="E297" s="10" t="n"/>
      <c r="F297" s="11" t="n"/>
      <c r="G297" s="12">
        <f>IF($F297="","",IF($F297&gt;31,$F297,IF($AB297="","",DATE(YEAR($AB297),MONTH($AB297),$F297))))</f>
        <v/>
      </c>
      <c r="H297" s="9" t="n"/>
      <c r="I297" s="11" t="n"/>
      <c r="J297" s="12">
        <f>IF($I297="","",IF($I297&gt;31,$I297,IF($G297="","",IF(DATE(YEAR($G297),MONTH($G297),$I297)&gt;=$G297,DATE(YEAR($G297),MONTH($G297),$I297),DATE(YEAR($G297),MONTH($G297)+1,$I297)))))</f>
        <v/>
      </c>
      <c r="K297" s="9" t="n"/>
      <c r="L297" s="13" t="n"/>
      <c r="M297" s="13" t="n"/>
      <c r="N297" s="13" t="n"/>
      <c r="O297" s="8">
        <f>IF(OR($G297="",$J297=""),"",$J297-$G297+1)</f>
        <v/>
      </c>
      <c r="P297" s="8">
        <f>IF(OR($G297="",$J297=""),"",$J297-$G297)</f>
        <v/>
      </c>
      <c r="Q297" s="9" t="n"/>
      <c r="R297" s="9" t="n"/>
      <c r="S297" s="9" t="n"/>
      <c r="T297" s="9" t="n"/>
      <c r="U297" s="9" t="n"/>
      <c r="V297" s="9" t="n"/>
      <c r="W297" s="14" t="n"/>
      <c r="X297" s="9" t="n"/>
      <c r="Y297" s="8">
        <f>IF($G297="","",IF($D297="","⚠部屋が未選択",IF(COUNTIF('M_部屋'!$A$4:$A$20,$D297)=0,"⚠部屋が未登録",IF(OR($J297="",$Q297="キャンセル"),"",IF(SUMPRODUCT(($D$5:$D$404=$D297)*($G$5:$G$404&lt;&gt;"")*($J$5:$J$404&lt;&gt;"")*($Q$5:$Q$404&lt;&gt;"キャンセル")*($G$5:$G$404&lt;$J297)*($J$5:$J$404&gt;$G297))&gt;1,"⚠重複","")))))</f>
        <v/>
      </c>
      <c r="Z297" s="8">
        <f>IF(OR($B297="",$G297=""),"",IF(SUMPRODUCT(('利用者マスタ'!$A$4:$A$60=$B297)*('利用者マスタ'!$B$4:$B$60&lt;&gt;""))=0,"",IF(SUMIFS($AA$5:$AA$404,$B$5:$B$404,$B297,$G$5:$G$404,"&gt;="&amp;DATE(YEAR($G297),MONTH($G297),1),$G$5:$G$404,"&lt;="&amp;EOMONTH($G297,0))&gt;SUMIFS('利用者マスタ'!$B$4:$B$60,'利用者マスタ'!$A$4:$A$60,$B297),"⚠支給量超過","")))</f>
        <v/>
      </c>
      <c r="AA297" s="8">
        <f>IF(OR($G297="",$J297="",$Q297="キャンセル"),0,IF(IFERROR(INDEX('M_区分'!$B$4:$B$20,MATCH($C297,'M_区分'!$A$4:$A$20,0)),"○")="○",$J297-$G297+1,0))</f>
        <v/>
      </c>
      <c r="AB297" s="8">
        <f>IF($E297&lt;&gt;"",$E297,$AB296)</f>
        <v/>
      </c>
      <c r="AC297" s="8">
        <f>IF(OR($G297="",$J297=""),"",IF(AND($G297&lt;=EOMONTH('02_カレンダー'!$B$4,0),$J297&gt;='02_カレンダー'!$B$4),$G297*10000+ROW(),""))</f>
        <v/>
      </c>
      <c r="AD297" s="8">
        <f>IF($H297="","",IF(ISNUMBER($H297),IF(AND($H297=INT($H297),$H297&gt;=0,$H297&lt;=24),TEXT(INT($H297),"00")&amp;":00",TEXT($H297,"hh:mm")),$H297))</f>
        <v/>
      </c>
      <c r="AE297" s="8">
        <f>IF($K297="","",IF(ISNUMBER($K297),IF(AND($K297=INT($K297),$K297&gt;=0,$K297&lt;=24),TEXT(INT($K297),"00")&amp;":00",TEXT($K297,"hh:mm")),$K297))</f>
        <v/>
      </c>
      <c r="AF297" s="8">
        <f>IF($G297="",0,$G297)</f>
        <v/>
      </c>
      <c r="AG297" s="8">
        <f>IF($J297="",0,$J297)</f>
        <v/>
      </c>
    </row>
    <row r="298">
      <c r="A298" s="8">
        <f>IF($G298="","","SS-"&amp;TEXT(ROW()-4,"0000"))</f>
        <v/>
      </c>
      <c r="B298" s="9" t="n"/>
      <c r="C298" s="9" t="n"/>
      <c r="D298" s="9" t="n"/>
      <c r="E298" s="10" t="n"/>
      <c r="F298" s="11" t="n"/>
      <c r="G298" s="12">
        <f>IF($F298="","",IF($F298&gt;31,$F298,IF($AB298="","",DATE(YEAR($AB298),MONTH($AB298),$F298))))</f>
        <v/>
      </c>
      <c r="H298" s="9" t="n"/>
      <c r="I298" s="11" t="n"/>
      <c r="J298" s="12">
        <f>IF($I298="","",IF($I298&gt;31,$I298,IF($G298="","",IF(DATE(YEAR($G298),MONTH($G298),$I298)&gt;=$G298,DATE(YEAR($G298),MONTH($G298),$I298),DATE(YEAR($G298),MONTH($G298)+1,$I298)))))</f>
        <v/>
      </c>
      <c r="K298" s="9" t="n"/>
      <c r="L298" s="13" t="n"/>
      <c r="M298" s="13" t="n"/>
      <c r="N298" s="13" t="n"/>
      <c r="O298" s="8">
        <f>IF(OR($G298="",$J298=""),"",$J298-$G298+1)</f>
        <v/>
      </c>
      <c r="P298" s="8">
        <f>IF(OR($G298="",$J298=""),"",$J298-$G298)</f>
        <v/>
      </c>
      <c r="Q298" s="9" t="n"/>
      <c r="R298" s="9" t="n"/>
      <c r="S298" s="9" t="n"/>
      <c r="T298" s="9" t="n"/>
      <c r="U298" s="9" t="n"/>
      <c r="V298" s="9" t="n"/>
      <c r="W298" s="14" t="n"/>
      <c r="X298" s="9" t="n"/>
      <c r="Y298" s="8">
        <f>IF($G298="","",IF($D298="","⚠部屋が未選択",IF(COUNTIF('M_部屋'!$A$4:$A$20,$D298)=0,"⚠部屋が未登録",IF(OR($J298="",$Q298="キャンセル"),"",IF(SUMPRODUCT(($D$5:$D$404=$D298)*($G$5:$G$404&lt;&gt;"")*($J$5:$J$404&lt;&gt;"")*($Q$5:$Q$404&lt;&gt;"キャンセル")*($G$5:$G$404&lt;$J298)*($J$5:$J$404&gt;$G298))&gt;1,"⚠重複","")))))</f>
        <v/>
      </c>
      <c r="Z298" s="8">
        <f>IF(OR($B298="",$G298=""),"",IF(SUMPRODUCT(('利用者マスタ'!$A$4:$A$60=$B298)*('利用者マスタ'!$B$4:$B$60&lt;&gt;""))=0,"",IF(SUMIFS($AA$5:$AA$404,$B$5:$B$404,$B298,$G$5:$G$404,"&gt;="&amp;DATE(YEAR($G298),MONTH($G298),1),$G$5:$G$404,"&lt;="&amp;EOMONTH($G298,0))&gt;SUMIFS('利用者マスタ'!$B$4:$B$60,'利用者マスタ'!$A$4:$A$60,$B298),"⚠支給量超過","")))</f>
        <v/>
      </c>
      <c r="AA298" s="8">
        <f>IF(OR($G298="",$J298="",$Q298="キャンセル"),0,IF(IFERROR(INDEX('M_区分'!$B$4:$B$20,MATCH($C298,'M_区分'!$A$4:$A$20,0)),"○")="○",$J298-$G298+1,0))</f>
        <v/>
      </c>
      <c r="AB298" s="8">
        <f>IF($E298&lt;&gt;"",$E298,$AB297)</f>
        <v/>
      </c>
      <c r="AC298" s="8">
        <f>IF(OR($G298="",$J298=""),"",IF(AND($G298&lt;=EOMONTH('02_カレンダー'!$B$4,0),$J298&gt;='02_カレンダー'!$B$4),$G298*10000+ROW(),""))</f>
        <v/>
      </c>
      <c r="AD298" s="8">
        <f>IF($H298="","",IF(ISNUMBER($H298),IF(AND($H298=INT($H298),$H298&gt;=0,$H298&lt;=24),TEXT(INT($H298),"00")&amp;":00",TEXT($H298,"hh:mm")),$H298))</f>
        <v/>
      </c>
      <c r="AE298" s="8">
        <f>IF($K298="","",IF(ISNUMBER($K298),IF(AND($K298=INT($K298),$K298&gt;=0,$K298&lt;=24),TEXT(INT($K298),"00")&amp;":00",TEXT($K298,"hh:mm")),$K298))</f>
        <v/>
      </c>
      <c r="AF298" s="8">
        <f>IF($G298="",0,$G298)</f>
        <v/>
      </c>
      <c r="AG298" s="8">
        <f>IF($J298="",0,$J298)</f>
        <v/>
      </c>
    </row>
    <row r="299">
      <c r="A299" s="8">
        <f>IF($G299="","","SS-"&amp;TEXT(ROW()-4,"0000"))</f>
        <v/>
      </c>
      <c r="B299" s="9" t="n"/>
      <c r="C299" s="9" t="n"/>
      <c r="D299" s="9" t="n"/>
      <c r="E299" s="10" t="n"/>
      <c r="F299" s="11" t="n"/>
      <c r="G299" s="12">
        <f>IF($F299="","",IF($F299&gt;31,$F299,IF($AB299="","",DATE(YEAR($AB299),MONTH($AB299),$F299))))</f>
        <v/>
      </c>
      <c r="H299" s="9" t="n"/>
      <c r="I299" s="11" t="n"/>
      <c r="J299" s="12">
        <f>IF($I299="","",IF($I299&gt;31,$I299,IF($G299="","",IF(DATE(YEAR($G299),MONTH($G299),$I299)&gt;=$G299,DATE(YEAR($G299),MONTH($G299),$I299),DATE(YEAR($G299),MONTH($G299)+1,$I299)))))</f>
        <v/>
      </c>
      <c r="K299" s="9" t="n"/>
      <c r="L299" s="13" t="n"/>
      <c r="M299" s="13" t="n"/>
      <c r="N299" s="13" t="n"/>
      <c r="O299" s="8">
        <f>IF(OR($G299="",$J299=""),"",$J299-$G299+1)</f>
        <v/>
      </c>
      <c r="P299" s="8">
        <f>IF(OR($G299="",$J299=""),"",$J299-$G299)</f>
        <v/>
      </c>
      <c r="Q299" s="9" t="n"/>
      <c r="R299" s="9" t="n"/>
      <c r="S299" s="9" t="n"/>
      <c r="T299" s="9" t="n"/>
      <c r="U299" s="9" t="n"/>
      <c r="V299" s="9" t="n"/>
      <c r="W299" s="14" t="n"/>
      <c r="X299" s="9" t="n"/>
      <c r="Y299" s="8">
        <f>IF($G299="","",IF($D299="","⚠部屋が未選択",IF(COUNTIF('M_部屋'!$A$4:$A$20,$D299)=0,"⚠部屋が未登録",IF(OR($J299="",$Q299="キャンセル"),"",IF(SUMPRODUCT(($D$5:$D$404=$D299)*($G$5:$G$404&lt;&gt;"")*($J$5:$J$404&lt;&gt;"")*($Q$5:$Q$404&lt;&gt;"キャンセル")*($G$5:$G$404&lt;$J299)*($J$5:$J$404&gt;$G299))&gt;1,"⚠重複","")))))</f>
        <v/>
      </c>
      <c r="Z299" s="8">
        <f>IF(OR($B299="",$G299=""),"",IF(SUMPRODUCT(('利用者マスタ'!$A$4:$A$60=$B299)*('利用者マスタ'!$B$4:$B$60&lt;&gt;""))=0,"",IF(SUMIFS($AA$5:$AA$404,$B$5:$B$404,$B299,$G$5:$G$404,"&gt;="&amp;DATE(YEAR($G299),MONTH($G299),1),$G$5:$G$404,"&lt;="&amp;EOMONTH($G299,0))&gt;SUMIFS('利用者マスタ'!$B$4:$B$60,'利用者マスタ'!$A$4:$A$60,$B299),"⚠支給量超過","")))</f>
        <v/>
      </c>
      <c r="AA299" s="8">
        <f>IF(OR($G299="",$J299="",$Q299="キャンセル"),0,IF(IFERROR(INDEX('M_区分'!$B$4:$B$20,MATCH($C299,'M_区分'!$A$4:$A$20,0)),"○")="○",$J299-$G299+1,0))</f>
        <v/>
      </c>
      <c r="AB299" s="8">
        <f>IF($E299&lt;&gt;"",$E299,$AB298)</f>
        <v/>
      </c>
      <c r="AC299" s="8">
        <f>IF(OR($G299="",$J299=""),"",IF(AND($G299&lt;=EOMONTH('02_カレンダー'!$B$4,0),$J299&gt;='02_カレンダー'!$B$4),$G299*10000+ROW(),""))</f>
        <v/>
      </c>
      <c r="AD299" s="8">
        <f>IF($H299="","",IF(ISNUMBER($H299),IF(AND($H299=INT($H299),$H299&gt;=0,$H299&lt;=24),TEXT(INT($H299),"00")&amp;":00",TEXT($H299,"hh:mm")),$H299))</f>
        <v/>
      </c>
      <c r="AE299" s="8">
        <f>IF($K299="","",IF(ISNUMBER($K299),IF(AND($K299=INT($K299),$K299&gt;=0,$K299&lt;=24),TEXT(INT($K299),"00")&amp;":00",TEXT($K299,"hh:mm")),$K299))</f>
        <v/>
      </c>
      <c r="AF299" s="8">
        <f>IF($G299="",0,$G299)</f>
        <v/>
      </c>
      <c r="AG299" s="8">
        <f>IF($J299="",0,$J299)</f>
        <v/>
      </c>
    </row>
    <row r="300">
      <c r="A300" s="8">
        <f>IF($G300="","","SS-"&amp;TEXT(ROW()-4,"0000"))</f>
        <v/>
      </c>
      <c r="B300" s="9" t="n"/>
      <c r="C300" s="9" t="n"/>
      <c r="D300" s="9" t="n"/>
      <c r="E300" s="10" t="n"/>
      <c r="F300" s="11" t="n"/>
      <c r="G300" s="12">
        <f>IF($F300="","",IF($F300&gt;31,$F300,IF($AB300="","",DATE(YEAR($AB300),MONTH($AB300),$F300))))</f>
        <v/>
      </c>
      <c r="H300" s="9" t="n"/>
      <c r="I300" s="11" t="n"/>
      <c r="J300" s="12">
        <f>IF($I300="","",IF($I300&gt;31,$I300,IF($G300="","",IF(DATE(YEAR($G300),MONTH($G300),$I300)&gt;=$G300,DATE(YEAR($G300),MONTH($G300),$I300),DATE(YEAR($G300),MONTH($G300)+1,$I300)))))</f>
        <v/>
      </c>
      <c r="K300" s="9" t="n"/>
      <c r="L300" s="13" t="n"/>
      <c r="M300" s="13" t="n"/>
      <c r="N300" s="13" t="n"/>
      <c r="O300" s="8">
        <f>IF(OR($G300="",$J300=""),"",$J300-$G300+1)</f>
        <v/>
      </c>
      <c r="P300" s="8">
        <f>IF(OR($G300="",$J300=""),"",$J300-$G300)</f>
        <v/>
      </c>
      <c r="Q300" s="9" t="n"/>
      <c r="R300" s="9" t="n"/>
      <c r="S300" s="9" t="n"/>
      <c r="T300" s="9" t="n"/>
      <c r="U300" s="9" t="n"/>
      <c r="V300" s="9" t="n"/>
      <c r="W300" s="14" t="n"/>
      <c r="X300" s="9" t="n"/>
      <c r="Y300" s="8">
        <f>IF($G300="","",IF($D300="","⚠部屋が未選択",IF(COUNTIF('M_部屋'!$A$4:$A$20,$D300)=0,"⚠部屋が未登録",IF(OR($J300="",$Q300="キャンセル"),"",IF(SUMPRODUCT(($D$5:$D$404=$D300)*($G$5:$G$404&lt;&gt;"")*($J$5:$J$404&lt;&gt;"")*($Q$5:$Q$404&lt;&gt;"キャンセル")*($G$5:$G$404&lt;$J300)*($J$5:$J$404&gt;$G300))&gt;1,"⚠重複","")))))</f>
        <v/>
      </c>
      <c r="Z300" s="8">
        <f>IF(OR($B300="",$G300=""),"",IF(SUMPRODUCT(('利用者マスタ'!$A$4:$A$60=$B300)*('利用者マスタ'!$B$4:$B$60&lt;&gt;""))=0,"",IF(SUMIFS($AA$5:$AA$404,$B$5:$B$404,$B300,$G$5:$G$404,"&gt;="&amp;DATE(YEAR($G300),MONTH($G300),1),$G$5:$G$404,"&lt;="&amp;EOMONTH($G300,0))&gt;SUMIFS('利用者マスタ'!$B$4:$B$60,'利用者マスタ'!$A$4:$A$60,$B300),"⚠支給量超過","")))</f>
        <v/>
      </c>
      <c r="AA300" s="8">
        <f>IF(OR($G300="",$J300="",$Q300="キャンセル"),0,IF(IFERROR(INDEX('M_区分'!$B$4:$B$20,MATCH($C300,'M_区分'!$A$4:$A$20,0)),"○")="○",$J300-$G300+1,0))</f>
        <v/>
      </c>
      <c r="AB300" s="8">
        <f>IF($E300&lt;&gt;"",$E300,$AB299)</f>
        <v/>
      </c>
      <c r="AC300" s="8">
        <f>IF(OR($G300="",$J300=""),"",IF(AND($G300&lt;=EOMONTH('02_カレンダー'!$B$4,0),$J300&gt;='02_カレンダー'!$B$4),$G300*10000+ROW(),""))</f>
        <v/>
      </c>
      <c r="AD300" s="8">
        <f>IF($H300="","",IF(ISNUMBER($H300),IF(AND($H300=INT($H300),$H300&gt;=0,$H300&lt;=24),TEXT(INT($H300),"00")&amp;":00",TEXT($H300,"hh:mm")),$H300))</f>
        <v/>
      </c>
      <c r="AE300" s="8">
        <f>IF($K300="","",IF(ISNUMBER($K300),IF(AND($K300=INT($K300),$K300&gt;=0,$K300&lt;=24),TEXT(INT($K300),"00")&amp;":00",TEXT($K300,"hh:mm")),$K300))</f>
        <v/>
      </c>
      <c r="AF300" s="8">
        <f>IF($G300="",0,$G300)</f>
        <v/>
      </c>
      <c r="AG300" s="8">
        <f>IF($J300="",0,$J300)</f>
        <v/>
      </c>
    </row>
    <row r="301">
      <c r="A301" s="8">
        <f>IF($G301="","","SS-"&amp;TEXT(ROW()-4,"0000"))</f>
        <v/>
      </c>
      <c r="B301" s="9" t="n"/>
      <c r="C301" s="9" t="n"/>
      <c r="D301" s="9" t="n"/>
      <c r="E301" s="10" t="n"/>
      <c r="F301" s="11" t="n"/>
      <c r="G301" s="12">
        <f>IF($F301="","",IF($F301&gt;31,$F301,IF($AB301="","",DATE(YEAR($AB301),MONTH($AB301),$F301))))</f>
        <v/>
      </c>
      <c r="H301" s="9" t="n"/>
      <c r="I301" s="11" t="n"/>
      <c r="J301" s="12">
        <f>IF($I301="","",IF($I301&gt;31,$I301,IF($G301="","",IF(DATE(YEAR($G301),MONTH($G301),$I301)&gt;=$G301,DATE(YEAR($G301),MONTH($G301),$I301),DATE(YEAR($G301),MONTH($G301)+1,$I301)))))</f>
        <v/>
      </c>
      <c r="K301" s="9" t="n"/>
      <c r="L301" s="13" t="n"/>
      <c r="M301" s="13" t="n"/>
      <c r="N301" s="13" t="n"/>
      <c r="O301" s="8">
        <f>IF(OR($G301="",$J301=""),"",$J301-$G301+1)</f>
        <v/>
      </c>
      <c r="P301" s="8">
        <f>IF(OR($G301="",$J301=""),"",$J301-$G301)</f>
        <v/>
      </c>
      <c r="Q301" s="9" t="n"/>
      <c r="R301" s="9" t="n"/>
      <c r="S301" s="9" t="n"/>
      <c r="T301" s="9" t="n"/>
      <c r="U301" s="9" t="n"/>
      <c r="V301" s="9" t="n"/>
      <c r="W301" s="14" t="n"/>
      <c r="X301" s="9" t="n"/>
      <c r="Y301" s="8">
        <f>IF($G301="","",IF($D301="","⚠部屋が未選択",IF(COUNTIF('M_部屋'!$A$4:$A$20,$D301)=0,"⚠部屋が未登録",IF(OR($J301="",$Q301="キャンセル"),"",IF(SUMPRODUCT(($D$5:$D$404=$D301)*($G$5:$G$404&lt;&gt;"")*($J$5:$J$404&lt;&gt;"")*($Q$5:$Q$404&lt;&gt;"キャンセル")*($G$5:$G$404&lt;$J301)*($J$5:$J$404&gt;$G301))&gt;1,"⚠重複","")))))</f>
        <v/>
      </c>
      <c r="Z301" s="8">
        <f>IF(OR($B301="",$G301=""),"",IF(SUMPRODUCT(('利用者マスタ'!$A$4:$A$60=$B301)*('利用者マスタ'!$B$4:$B$60&lt;&gt;""))=0,"",IF(SUMIFS($AA$5:$AA$404,$B$5:$B$404,$B301,$G$5:$G$404,"&gt;="&amp;DATE(YEAR($G301),MONTH($G301),1),$G$5:$G$404,"&lt;="&amp;EOMONTH($G301,0))&gt;SUMIFS('利用者マスタ'!$B$4:$B$60,'利用者マスタ'!$A$4:$A$60,$B301),"⚠支給量超過","")))</f>
        <v/>
      </c>
      <c r="AA301" s="8">
        <f>IF(OR($G301="",$J301="",$Q301="キャンセル"),0,IF(IFERROR(INDEX('M_区分'!$B$4:$B$20,MATCH($C301,'M_区分'!$A$4:$A$20,0)),"○")="○",$J301-$G301+1,0))</f>
        <v/>
      </c>
      <c r="AB301" s="8">
        <f>IF($E301&lt;&gt;"",$E301,$AB300)</f>
        <v/>
      </c>
      <c r="AC301" s="8">
        <f>IF(OR($G301="",$J301=""),"",IF(AND($G301&lt;=EOMONTH('02_カレンダー'!$B$4,0),$J301&gt;='02_カレンダー'!$B$4),$G301*10000+ROW(),""))</f>
        <v/>
      </c>
      <c r="AD301" s="8">
        <f>IF($H301="","",IF(ISNUMBER($H301),IF(AND($H301=INT($H301),$H301&gt;=0,$H301&lt;=24),TEXT(INT($H301),"00")&amp;":00",TEXT($H301,"hh:mm")),$H301))</f>
        <v/>
      </c>
      <c r="AE301" s="8">
        <f>IF($K301="","",IF(ISNUMBER($K301),IF(AND($K301=INT($K301),$K301&gt;=0,$K301&lt;=24),TEXT(INT($K301),"00")&amp;":00",TEXT($K301,"hh:mm")),$K301))</f>
        <v/>
      </c>
      <c r="AF301" s="8">
        <f>IF($G301="",0,$G301)</f>
        <v/>
      </c>
      <c r="AG301" s="8">
        <f>IF($J301="",0,$J301)</f>
        <v/>
      </c>
    </row>
    <row r="302">
      <c r="A302" s="8">
        <f>IF($G302="","","SS-"&amp;TEXT(ROW()-4,"0000"))</f>
        <v/>
      </c>
      <c r="B302" s="9" t="n"/>
      <c r="C302" s="9" t="n"/>
      <c r="D302" s="9" t="n"/>
      <c r="E302" s="10" t="n"/>
      <c r="F302" s="11" t="n"/>
      <c r="G302" s="12">
        <f>IF($F302="","",IF($F302&gt;31,$F302,IF($AB302="","",DATE(YEAR($AB302),MONTH($AB302),$F302))))</f>
        <v/>
      </c>
      <c r="H302" s="9" t="n"/>
      <c r="I302" s="11" t="n"/>
      <c r="J302" s="12">
        <f>IF($I302="","",IF($I302&gt;31,$I302,IF($G302="","",IF(DATE(YEAR($G302),MONTH($G302),$I302)&gt;=$G302,DATE(YEAR($G302),MONTH($G302),$I302),DATE(YEAR($G302),MONTH($G302)+1,$I302)))))</f>
        <v/>
      </c>
      <c r="K302" s="9" t="n"/>
      <c r="L302" s="13" t="n"/>
      <c r="M302" s="13" t="n"/>
      <c r="N302" s="13" t="n"/>
      <c r="O302" s="8">
        <f>IF(OR($G302="",$J302=""),"",$J302-$G302+1)</f>
        <v/>
      </c>
      <c r="P302" s="8">
        <f>IF(OR($G302="",$J302=""),"",$J302-$G302)</f>
        <v/>
      </c>
      <c r="Q302" s="9" t="n"/>
      <c r="R302" s="9" t="n"/>
      <c r="S302" s="9" t="n"/>
      <c r="T302" s="9" t="n"/>
      <c r="U302" s="9" t="n"/>
      <c r="V302" s="9" t="n"/>
      <c r="W302" s="14" t="n"/>
      <c r="X302" s="9" t="n"/>
      <c r="Y302" s="8">
        <f>IF($G302="","",IF($D302="","⚠部屋が未選択",IF(COUNTIF('M_部屋'!$A$4:$A$20,$D302)=0,"⚠部屋が未登録",IF(OR($J302="",$Q302="キャンセル"),"",IF(SUMPRODUCT(($D$5:$D$404=$D302)*($G$5:$G$404&lt;&gt;"")*($J$5:$J$404&lt;&gt;"")*($Q$5:$Q$404&lt;&gt;"キャンセル")*($G$5:$G$404&lt;$J302)*($J$5:$J$404&gt;$G302))&gt;1,"⚠重複","")))))</f>
        <v/>
      </c>
      <c r="Z302" s="8">
        <f>IF(OR($B302="",$G302=""),"",IF(SUMPRODUCT(('利用者マスタ'!$A$4:$A$60=$B302)*('利用者マスタ'!$B$4:$B$60&lt;&gt;""))=0,"",IF(SUMIFS($AA$5:$AA$404,$B$5:$B$404,$B302,$G$5:$G$404,"&gt;="&amp;DATE(YEAR($G302),MONTH($G302),1),$G$5:$G$404,"&lt;="&amp;EOMONTH($G302,0))&gt;SUMIFS('利用者マスタ'!$B$4:$B$60,'利用者マスタ'!$A$4:$A$60,$B302),"⚠支給量超過","")))</f>
        <v/>
      </c>
      <c r="AA302" s="8">
        <f>IF(OR($G302="",$J302="",$Q302="キャンセル"),0,IF(IFERROR(INDEX('M_区分'!$B$4:$B$20,MATCH($C302,'M_区分'!$A$4:$A$20,0)),"○")="○",$J302-$G302+1,0))</f>
        <v/>
      </c>
      <c r="AB302" s="8">
        <f>IF($E302&lt;&gt;"",$E302,$AB301)</f>
        <v/>
      </c>
      <c r="AC302" s="8">
        <f>IF(OR($G302="",$J302=""),"",IF(AND($G302&lt;=EOMONTH('02_カレンダー'!$B$4,0),$J302&gt;='02_カレンダー'!$B$4),$G302*10000+ROW(),""))</f>
        <v/>
      </c>
      <c r="AD302" s="8">
        <f>IF($H302="","",IF(ISNUMBER($H302),IF(AND($H302=INT($H302),$H302&gt;=0,$H302&lt;=24),TEXT(INT($H302),"00")&amp;":00",TEXT($H302,"hh:mm")),$H302))</f>
        <v/>
      </c>
      <c r="AE302" s="8">
        <f>IF($K302="","",IF(ISNUMBER($K302),IF(AND($K302=INT($K302),$K302&gt;=0,$K302&lt;=24),TEXT(INT($K302),"00")&amp;":00",TEXT($K302,"hh:mm")),$K302))</f>
        <v/>
      </c>
      <c r="AF302" s="8">
        <f>IF($G302="",0,$G302)</f>
        <v/>
      </c>
      <c r="AG302" s="8">
        <f>IF($J302="",0,$J302)</f>
        <v/>
      </c>
    </row>
    <row r="303">
      <c r="A303" s="8">
        <f>IF($G303="","","SS-"&amp;TEXT(ROW()-4,"0000"))</f>
        <v/>
      </c>
      <c r="B303" s="9" t="n"/>
      <c r="C303" s="9" t="n"/>
      <c r="D303" s="9" t="n"/>
      <c r="E303" s="10" t="n"/>
      <c r="F303" s="11" t="n"/>
      <c r="G303" s="12">
        <f>IF($F303="","",IF($F303&gt;31,$F303,IF($AB303="","",DATE(YEAR($AB303),MONTH($AB303),$F303))))</f>
        <v/>
      </c>
      <c r="H303" s="9" t="n"/>
      <c r="I303" s="11" t="n"/>
      <c r="J303" s="12">
        <f>IF($I303="","",IF($I303&gt;31,$I303,IF($G303="","",IF(DATE(YEAR($G303),MONTH($G303),$I303)&gt;=$G303,DATE(YEAR($G303),MONTH($G303),$I303),DATE(YEAR($G303),MONTH($G303)+1,$I303)))))</f>
        <v/>
      </c>
      <c r="K303" s="9" t="n"/>
      <c r="L303" s="13" t="n"/>
      <c r="M303" s="13" t="n"/>
      <c r="N303" s="13" t="n"/>
      <c r="O303" s="8">
        <f>IF(OR($G303="",$J303=""),"",$J303-$G303+1)</f>
        <v/>
      </c>
      <c r="P303" s="8">
        <f>IF(OR($G303="",$J303=""),"",$J303-$G303)</f>
        <v/>
      </c>
      <c r="Q303" s="9" t="n"/>
      <c r="R303" s="9" t="n"/>
      <c r="S303" s="9" t="n"/>
      <c r="T303" s="9" t="n"/>
      <c r="U303" s="9" t="n"/>
      <c r="V303" s="9" t="n"/>
      <c r="W303" s="14" t="n"/>
      <c r="X303" s="9" t="n"/>
      <c r="Y303" s="8">
        <f>IF($G303="","",IF($D303="","⚠部屋が未選択",IF(COUNTIF('M_部屋'!$A$4:$A$20,$D303)=0,"⚠部屋が未登録",IF(OR($J303="",$Q303="キャンセル"),"",IF(SUMPRODUCT(($D$5:$D$404=$D303)*($G$5:$G$404&lt;&gt;"")*($J$5:$J$404&lt;&gt;"")*($Q$5:$Q$404&lt;&gt;"キャンセル")*($G$5:$G$404&lt;$J303)*($J$5:$J$404&gt;$G303))&gt;1,"⚠重複","")))))</f>
        <v/>
      </c>
      <c r="Z303" s="8">
        <f>IF(OR($B303="",$G303=""),"",IF(SUMPRODUCT(('利用者マスタ'!$A$4:$A$60=$B303)*('利用者マスタ'!$B$4:$B$60&lt;&gt;""))=0,"",IF(SUMIFS($AA$5:$AA$404,$B$5:$B$404,$B303,$G$5:$G$404,"&gt;="&amp;DATE(YEAR($G303),MONTH($G303),1),$G$5:$G$404,"&lt;="&amp;EOMONTH($G303,0))&gt;SUMIFS('利用者マスタ'!$B$4:$B$60,'利用者マスタ'!$A$4:$A$60,$B303),"⚠支給量超過","")))</f>
        <v/>
      </c>
      <c r="AA303" s="8">
        <f>IF(OR($G303="",$J303="",$Q303="キャンセル"),0,IF(IFERROR(INDEX('M_区分'!$B$4:$B$20,MATCH($C303,'M_区分'!$A$4:$A$20,0)),"○")="○",$J303-$G303+1,0))</f>
        <v/>
      </c>
      <c r="AB303" s="8">
        <f>IF($E303&lt;&gt;"",$E303,$AB302)</f>
        <v/>
      </c>
      <c r="AC303" s="8">
        <f>IF(OR($G303="",$J303=""),"",IF(AND($G303&lt;=EOMONTH('02_カレンダー'!$B$4,0),$J303&gt;='02_カレンダー'!$B$4),$G303*10000+ROW(),""))</f>
        <v/>
      </c>
      <c r="AD303" s="8">
        <f>IF($H303="","",IF(ISNUMBER($H303),IF(AND($H303=INT($H303),$H303&gt;=0,$H303&lt;=24),TEXT(INT($H303),"00")&amp;":00",TEXT($H303,"hh:mm")),$H303))</f>
        <v/>
      </c>
      <c r="AE303" s="8">
        <f>IF($K303="","",IF(ISNUMBER($K303),IF(AND($K303=INT($K303),$K303&gt;=0,$K303&lt;=24),TEXT(INT($K303),"00")&amp;":00",TEXT($K303,"hh:mm")),$K303))</f>
        <v/>
      </c>
      <c r="AF303" s="8">
        <f>IF($G303="",0,$G303)</f>
        <v/>
      </c>
      <c r="AG303" s="8">
        <f>IF($J303="",0,$J303)</f>
        <v/>
      </c>
    </row>
    <row r="304">
      <c r="A304" s="8">
        <f>IF($G304="","","SS-"&amp;TEXT(ROW()-4,"0000"))</f>
        <v/>
      </c>
      <c r="B304" s="9" t="n"/>
      <c r="C304" s="9" t="n"/>
      <c r="D304" s="9" t="n"/>
      <c r="E304" s="10" t="n"/>
      <c r="F304" s="11" t="n"/>
      <c r="G304" s="12">
        <f>IF($F304="","",IF($F304&gt;31,$F304,IF($AB304="","",DATE(YEAR($AB304),MONTH($AB304),$F304))))</f>
        <v/>
      </c>
      <c r="H304" s="9" t="n"/>
      <c r="I304" s="11" t="n"/>
      <c r="J304" s="12">
        <f>IF($I304="","",IF($I304&gt;31,$I304,IF($G304="","",IF(DATE(YEAR($G304),MONTH($G304),$I304)&gt;=$G304,DATE(YEAR($G304),MONTH($G304),$I304),DATE(YEAR($G304),MONTH($G304)+1,$I304)))))</f>
        <v/>
      </c>
      <c r="K304" s="9" t="n"/>
      <c r="L304" s="13" t="n"/>
      <c r="M304" s="13" t="n"/>
      <c r="N304" s="13" t="n"/>
      <c r="O304" s="8">
        <f>IF(OR($G304="",$J304=""),"",$J304-$G304+1)</f>
        <v/>
      </c>
      <c r="P304" s="8">
        <f>IF(OR($G304="",$J304=""),"",$J304-$G304)</f>
        <v/>
      </c>
      <c r="Q304" s="9" t="n"/>
      <c r="R304" s="9" t="n"/>
      <c r="S304" s="9" t="n"/>
      <c r="T304" s="9" t="n"/>
      <c r="U304" s="9" t="n"/>
      <c r="V304" s="9" t="n"/>
      <c r="W304" s="14" t="n"/>
      <c r="X304" s="9" t="n"/>
      <c r="Y304" s="8">
        <f>IF($G304="","",IF($D304="","⚠部屋が未選択",IF(COUNTIF('M_部屋'!$A$4:$A$20,$D304)=0,"⚠部屋が未登録",IF(OR($J304="",$Q304="キャンセル"),"",IF(SUMPRODUCT(($D$5:$D$404=$D304)*($G$5:$G$404&lt;&gt;"")*($J$5:$J$404&lt;&gt;"")*($Q$5:$Q$404&lt;&gt;"キャンセル")*($G$5:$G$404&lt;$J304)*($J$5:$J$404&gt;$G304))&gt;1,"⚠重複","")))))</f>
        <v/>
      </c>
      <c r="Z304" s="8">
        <f>IF(OR($B304="",$G304=""),"",IF(SUMPRODUCT(('利用者マスタ'!$A$4:$A$60=$B304)*('利用者マスタ'!$B$4:$B$60&lt;&gt;""))=0,"",IF(SUMIFS($AA$5:$AA$404,$B$5:$B$404,$B304,$G$5:$G$404,"&gt;="&amp;DATE(YEAR($G304),MONTH($G304),1),$G$5:$G$404,"&lt;="&amp;EOMONTH($G304,0))&gt;SUMIFS('利用者マスタ'!$B$4:$B$60,'利用者マスタ'!$A$4:$A$60,$B304),"⚠支給量超過","")))</f>
        <v/>
      </c>
      <c r="AA304" s="8">
        <f>IF(OR($G304="",$J304="",$Q304="キャンセル"),0,IF(IFERROR(INDEX('M_区分'!$B$4:$B$20,MATCH($C304,'M_区分'!$A$4:$A$20,0)),"○")="○",$J304-$G304+1,0))</f>
        <v/>
      </c>
      <c r="AB304" s="8">
        <f>IF($E304&lt;&gt;"",$E304,$AB303)</f>
        <v/>
      </c>
      <c r="AC304" s="8">
        <f>IF(OR($G304="",$J304=""),"",IF(AND($G304&lt;=EOMONTH('02_カレンダー'!$B$4,0),$J304&gt;='02_カレンダー'!$B$4),$G304*10000+ROW(),""))</f>
        <v/>
      </c>
      <c r="AD304" s="8">
        <f>IF($H304="","",IF(ISNUMBER($H304),IF(AND($H304=INT($H304),$H304&gt;=0,$H304&lt;=24),TEXT(INT($H304),"00")&amp;":00",TEXT($H304,"hh:mm")),$H304))</f>
        <v/>
      </c>
      <c r="AE304" s="8">
        <f>IF($K304="","",IF(ISNUMBER($K304),IF(AND($K304=INT($K304),$K304&gt;=0,$K304&lt;=24),TEXT(INT($K304),"00")&amp;":00",TEXT($K304,"hh:mm")),$K304))</f>
        <v/>
      </c>
      <c r="AF304" s="8">
        <f>IF($G304="",0,$G304)</f>
        <v/>
      </c>
      <c r="AG304" s="8">
        <f>IF($J304="",0,$J304)</f>
        <v/>
      </c>
    </row>
    <row r="305">
      <c r="A305" s="8">
        <f>IF($G305="","","SS-"&amp;TEXT(ROW()-4,"0000"))</f>
        <v/>
      </c>
      <c r="B305" s="9" t="n"/>
      <c r="C305" s="9" t="n"/>
      <c r="D305" s="9" t="n"/>
      <c r="E305" s="10" t="n"/>
      <c r="F305" s="11" t="n"/>
      <c r="G305" s="12">
        <f>IF($F305="","",IF($F305&gt;31,$F305,IF($AB305="","",DATE(YEAR($AB305),MONTH($AB305),$F305))))</f>
        <v/>
      </c>
      <c r="H305" s="9" t="n"/>
      <c r="I305" s="11" t="n"/>
      <c r="J305" s="12">
        <f>IF($I305="","",IF($I305&gt;31,$I305,IF($G305="","",IF(DATE(YEAR($G305),MONTH($G305),$I305)&gt;=$G305,DATE(YEAR($G305),MONTH($G305),$I305),DATE(YEAR($G305),MONTH($G305)+1,$I305)))))</f>
        <v/>
      </c>
      <c r="K305" s="9" t="n"/>
      <c r="L305" s="13" t="n"/>
      <c r="M305" s="13" t="n"/>
      <c r="N305" s="13" t="n"/>
      <c r="O305" s="8">
        <f>IF(OR($G305="",$J305=""),"",$J305-$G305+1)</f>
        <v/>
      </c>
      <c r="P305" s="8">
        <f>IF(OR($G305="",$J305=""),"",$J305-$G305)</f>
        <v/>
      </c>
      <c r="Q305" s="9" t="n"/>
      <c r="R305" s="9" t="n"/>
      <c r="S305" s="9" t="n"/>
      <c r="T305" s="9" t="n"/>
      <c r="U305" s="9" t="n"/>
      <c r="V305" s="9" t="n"/>
      <c r="W305" s="14" t="n"/>
      <c r="X305" s="9" t="n"/>
      <c r="Y305" s="8">
        <f>IF($G305="","",IF($D305="","⚠部屋が未選択",IF(COUNTIF('M_部屋'!$A$4:$A$20,$D305)=0,"⚠部屋が未登録",IF(OR($J305="",$Q305="キャンセル"),"",IF(SUMPRODUCT(($D$5:$D$404=$D305)*($G$5:$G$404&lt;&gt;"")*($J$5:$J$404&lt;&gt;"")*($Q$5:$Q$404&lt;&gt;"キャンセル")*($G$5:$G$404&lt;$J305)*($J$5:$J$404&gt;$G305))&gt;1,"⚠重複","")))))</f>
        <v/>
      </c>
      <c r="Z305" s="8">
        <f>IF(OR($B305="",$G305=""),"",IF(SUMPRODUCT(('利用者マスタ'!$A$4:$A$60=$B305)*('利用者マスタ'!$B$4:$B$60&lt;&gt;""))=0,"",IF(SUMIFS($AA$5:$AA$404,$B$5:$B$404,$B305,$G$5:$G$404,"&gt;="&amp;DATE(YEAR($G305),MONTH($G305),1),$G$5:$G$404,"&lt;="&amp;EOMONTH($G305,0))&gt;SUMIFS('利用者マスタ'!$B$4:$B$60,'利用者マスタ'!$A$4:$A$60,$B305),"⚠支給量超過","")))</f>
        <v/>
      </c>
      <c r="AA305" s="8">
        <f>IF(OR($G305="",$J305="",$Q305="キャンセル"),0,IF(IFERROR(INDEX('M_区分'!$B$4:$B$20,MATCH($C305,'M_区分'!$A$4:$A$20,0)),"○")="○",$J305-$G305+1,0))</f>
        <v/>
      </c>
      <c r="AB305" s="8">
        <f>IF($E305&lt;&gt;"",$E305,$AB304)</f>
        <v/>
      </c>
      <c r="AC305" s="8">
        <f>IF(OR($G305="",$J305=""),"",IF(AND($G305&lt;=EOMONTH('02_カレンダー'!$B$4,0),$J305&gt;='02_カレンダー'!$B$4),$G305*10000+ROW(),""))</f>
        <v/>
      </c>
      <c r="AD305" s="8">
        <f>IF($H305="","",IF(ISNUMBER($H305),IF(AND($H305=INT($H305),$H305&gt;=0,$H305&lt;=24),TEXT(INT($H305),"00")&amp;":00",TEXT($H305,"hh:mm")),$H305))</f>
        <v/>
      </c>
      <c r="AE305" s="8">
        <f>IF($K305="","",IF(ISNUMBER($K305),IF(AND($K305=INT($K305),$K305&gt;=0,$K305&lt;=24),TEXT(INT($K305),"00")&amp;":00",TEXT($K305,"hh:mm")),$K305))</f>
        <v/>
      </c>
      <c r="AF305" s="8">
        <f>IF($G305="",0,$G305)</f>
        <v/>
      </c>
      <c r="AG305" s="8">
        <f>IF($J305="",0,$J305)</f>
        <v/>
      </c>
    </row>
    <row r="306">
      <c r="A306" s="8">
        <f>IF($G306="","","SS-"&amp;TEXT(ROW()-4,"0000"))</f>
        <v/>
      </c>
      <c r="B306" s="9" t="n"/>
      <c r="C306" s="9" t="n"/>
      <c r="D306" s="9" t="n"/>
      <c r="E306" s="10" t="n"/>
      <c r="F306" s="11" t="n"/>
      <c r="G306" s="12">
        <f>IF($F306="","",IF($F306&gt;31,$F306,IF($AB306="","",DATE(YEAR($AB306),MONTH($AB306),$F306))))</f>
        <v/>
      </c>
      <c r="H306" s="9" t="n"/>
      <c r="I306" s="11" t="n"/>
      <c r="J306" s="12">
        <f>IF($I306="","",IF($I306&gt;31,$I306,IF($G306="","",IF(DATE(YEAR($G306),MONTH($G306),$I306)&gt;=$G306,DATE(YEAR($G306),MONTH($G306),$I306),DATE(YEAR($G306),MONTH($G306)+1,$I306)))))</f>
        <v/>
      </c>
      <c r="K306" s="9" t="n"/>
      <c r="L306" s="13" t="n"/>
      <c r="M306" s="13" t="n"/>
      <c r="N306" s="13" t="n"/>
      <c r="O306" s="8">
        <f>IF(OR($G306="",$J306=""),"",$J306-$G306+1)</f>
        <v/>
      </c>
      <c r="P306" s="8">
        <f>IF(OR($G306="",$J306=""),"",$J306-$G306)</f>
        <v/>
      </c>
      <c r="Q306" s="9" t="n"/>
      <c r="R306" s="9" t="n"/>
      <c r="S306" s="9" t="n"/>
      <c r="T306" s="9" t="n"/>
      <c r="U306" s="9" t="n"/>
      <c r="V306" s="9" t="n"/>
      <c r="W306" s="14" t="n"/>
      <c r="X306" s="9" t="n"/>
      <c r="Y306" s="8">
        <f>IF($G306="","",IF($D306="","⚠部屋が未選択",IF(COUNTIF('M_部屋'!$A$4:$A$20,$D306)=0,"⚠部屋が未登録",IF(OR($J306="",$Q306="キャンセル"),"",IF(SUMPRODUCT(($D$5:$D$404=$D306)*($G$5:$G$404&lt;&gt;"")*($J$5:$J$404&lt;&gt;"")*($Q$5:$Q$404&lt;&gt;"キャンセル")*($G$5:$G$404&lt;$J306)*($J$5:$J$404&gt;$G306))&gt;1,"⚠重複","")))))</f>
        <v/>
      </c>
      <c r="Z306" s="8">
        <f>IF(OR($B306="",$G306=""),"",IF(SUMPRODUCT(('利用者マスタ'!$A$4:$A$60=$B306)*('利用者マスタ'!$B$4:$B$60&lt;&gt;""))=0,"",IF(SUMIFS($AA$5:$AA$404,$B$5:$B$404,$B306,$G$5:$G$404,"&gt;="&amp;DATE(YEAR($G306),MONTH($G306),1),$G$5:$G$404,"&lt;="&amp;EOMONTH($G306,0))&gt;SUMIFS('利用者マスタ'!$B$4:$B$60,'利用者マスタ'!$A$4:$A$60,$B306),"⚠支給量超過","")))</f>
        <v/>
      </c>
      <c r="AA306" s="8">
        <f>IF(OR($G306="",$J306="",$Q306="キャンセル"),0,IF(IFERROR(INDEX('M_区分'!$B$4:$B$20,MATCH($C306,'M_区分'!$A$4:$A$20,0)),"○")="○",$J306-$G306+1,0))</f>
        <v/>
      </c>
      <c r="AB306" s="8">
        <f>IF($E306&lt;&gt;"",$E306,$AB305)</f>
        <v/>
      </c>
      <c r="AC306" s="8">
        <f>IF(OR($G306="",$J306=""),"",IF(AND($G306&lt;=EOMONTH('02_カレンダー'!$B$4,0),$J306&gt;='02_カレンダー'!$B$4),$G306*10000+ROW(),""))</f>
        <v/>
      </c>
      <c r="AD306" s="8">
        <f>IF($H306="","",IF(ISNUMBER($H306),IF(AND($H306=INT($H306),$H306&gt;=0,$H306&lt;=24),TEXT(INT($H306),"00")&amp;":00",TEXT($H306,"hh:mm")),$H306))</f>
        <v/>
      </c>
      <c r="AE306" s="8">
        <f>IF($K306="","",IF(ISNUMBER($K306),IF(AND($K306=INT($K306),$K306&gt;=0,$K306&lt;=24),TEXT(INT($K306),"00")&amp;":00",TEXT($K306,"hh:mm")),$K306))</f>
        <v/>
      </c>
      <c r="AF306" s="8">
        <f>IF($G306="",0,$G306)</f>
        <v/>
      </c>
      <c r="AG306" s="8">
        <f>IF($J306="",0,$J306)</f>
        <v/>
      </c>
    </row>
    <row r="307">
      <c r="A307" s="8">
        <f>IF($G307="","","SS-"&amp;TEXT(ROW()-4,"0000"))</f>
        <v/>
      </c>
      <c r="B307" s="9" t="n"/>
      <c r="C307" s="9" t="n"/>
      <c r="D307" s="9" t="n"/>
      <c r="E307" s="10" t="n"/>
      <c r="F307" s="11" t="n"/>
      <c r="G307" s="12">
        <f>IF($F307="","",IF($F307&gt;31,$F307,IF($AB307="","",DATE(YEAR($AB307),MONTH($AB307),$F307))))</f>
        <v/>
      </c>
      <c r="H307" s="9" t="n"/>
      <c r="I307" s="11" t="n"/>
      <c r="J307" s="12">
        <f>IF($I307="","",IF($I307&gt;31,$I307,IF($G307="","",IF(DATE(YEAR($G307),MONTH($G307),$I307)&gt;=$G307,DATE(YEAR($G307),MONTH($G307),$I307),DATE(YEAR($G307),MONTH($G307)+1,$I307)))))</f>
        <v/>
      </c>
      <c r="K307" s="9" t="n"/>
      <c r="L307" s="13" t="n"/>
      <c r="M307" s="13" t="n"/>
      <c r="N307" s="13" t="n"/>
      <c r="O307" s="8">
        <f>IF(OR($G307="",$J307=""),"",$J307-$G307+1)</f>
        <v/>
      </c>
      <c r="P307" s="8">
        <f>IF(OR($G307="",$J307=""),"",$J307-$G307)</f>
        <v/>
      </c>
      <c r="Q307" s="9" t="n"/>
      <c r="R307" s="9" t="n"/>
      <c r="S307" s="9" t="n"/>
      <c r="T307" s="9" t="n"/>
      <c r="U307" s="9" t="n"/>
      <c r="V307" s="9" t="n"/>
      <c r="W307" s="14" t="n"/>
      <c r="X307" s="9" t="n"/>
      <c r="Y307" s="8">
        <f>IF($G307="","",IF($D307="","⚠部屋が未選択",IF(COUNTIF('M_部屋'!$A$4:$A$20,$D307)=0,"⚠部屋が未登録",IF(OR($J307="",$Q307="キャンセル"),"",IF(SUMPRODUCT(($D$5:$D$404=$D307)*($G$5:$G$404&lt;&gt;"")*($J$5:$J$404&lt;&gt;"")*($Q$5:$Q$404&lt;&gt;"キャンセル")*($G$5:$G$404&lt;$J307)*($J$5:$J$404&gt;$G307))&gt;1,"⚠重複","")))))</f>
        <v/>
      </c>
      <c r="Z307" s="8">
        <f>IF(OR($B307="",$G307=""),"",IF(SUMPRODUCT(('利用者マスタ'!$A$4:$A$60=$B307)*('利用者マスタ'!$B$4:$B$60&lt;&gt;""))=0,"",IF(SUMIFS($AA$5:$AA$404,$B$5:$B$404,$B307,$G$5:$G$404,"&gt;="&amp;DATE(YEAR($G307),MONTH($G307),1),$G$5:$G$404,"&lt;="&amp;EOMONTH($G307,0))&gt;SUMIFS('利用者マスタ'!$B$4:$B$60,'利用者マスタ'!$A$4:$A$60,$B307),"⚠支給量超過","")))</f>
        <v/>
      </c>
      <c r="AA307" s="8">
        <f>IF(OR($G307="",$J307="",$Q307="キャンセル"),0,IF(IFERROR(INDEX('M_区分'!$B$4:$B$20,MATCH($C307,'M_区分'!$A$4:$A$20,0)),"○")="○",$J307-$G307+1,0))</f>
        <v/>
      </c>
      <c r="AB307" s="8">
        <f>IF($E307&lt;&gt;"",$E307,$AB306)</f>
        <v/>
      </c>
      <c r="AC307" s="8">
        <f>IF(OR($G307="",$J307=""),"",IF(AND($G307&lt;=EOMONTH('02_カレンダー'!$B$4,0),$J307&gt;='02_カレンダー'!$B$4),$G307*10000+ROW(),""))</f>
        <v/>
      </c>
      <c r="AD307" s="8">
        <f>IF($H307="","",IF(ISNUMBER($H307),IF(AND($H307=INT($H307),$H307&gt;=0,$H307&lt;=24),TEXT(INT($H307),"00")&amp;":00",TEXT($H307,"hh:mm")),$H307))</f>
        <v/>
      </c>
      <c r="AE307" s="8">
        <f>IF($K307="","",IF(ISNUMBER($K307),IF(AND($K307=INT($K307),$K307&gt;=0,$K307&lt;=24),TEXT(INT($K307),"00")&amp;":00",TEXT($K307,"hh:mm")),$K307))</f>
        <v/>
      </c>
      <c r="AF307" s="8">
        <f>IF($G307="",0,$G307)</f>
        <v/>
      </c>
      <c r="AG307" s="8">
        <f>IF($J307="",0,$J307)</f>
        <v/>
      </c>
    </row>
    <row r="308">
      <c r="A308" s="8">
        <f>IF($G308="","","SS-"&amp;TEXT(ROW()-4,"0000"))</f>
        <v/>
      </c>
      <c r="B308" s="9" t="n"/>
      <c r="C308" s="9" t="n"/>
      <c r="D308" s="9" t="n"/>
      <c r="E308" s="10" t="n"/>
      <c r="F308" s="11" t="n"/>
      <c r="G308" s="12">
        <f>IF($F308="","",IF($F308&gt;31,$F308,IF($AB308="","",DATE(YEAR($AB308),MONTH($AB308),$F308))))</f>
        <v/>
      </c>
      <c r="H308" s="9" t="n"/>
      <c r="I308" s="11" t="n"/>
      <c r="J308" s="12">
        <f>IF($I308="","",IF($I308&gt;31,$I308,IF($G308="","",IF(DATE(YEAR($G308),MONTH($G308),$I308)&gt;=$G308,DATE(YEAR($G308),MONTH($G308),$I308),DATE(YEAR($G308),MONTH($G308)+1,$I308)))))</f>
        <v/>
      </c>
      <c r="K308" s="9" t="n"/>
      <c r="L308" s="13" t="n"/>
      <c r="M308" s="13" t="n"/>
      <c r="N308" s="13" t="n"/>
      <c r="O308" s="8">
        <f>IF(OR($G308="",$J308=""),"",$J308-$G308+1)</f>
        <v/>
      </c>
      <c r="P308" s="8">
        <f>IF(OR($G308="",$J308=""),"",$J308-$G308)</f>
        <v/>
      </c>
      <c r="Q308" s="9" t="n"/>
      <c r="R308" s="9" t="n"/>
      <c r="S308" s="9" t="n"/>
      <c r="T308" s="9" t="n"/>
      <c r="U308" s="9" t="n"/>
      <c r="V308" s="9" t="n"/>
      <c r="W308" s="14" t="n"/>
      <c r="X308" s="9" t="n"/>
      <c r="Y308" s="8">
        <f>IF($G308="","",IF($D308="","⚠部屋が未選択",IF(COUNTIF('M_部屋'!$A$4:$A$20,$D308)=0,"⚠部屋が未登録",IF(OR($J308="",$Q308="キャンセル"),"",IF(SUMPRODUCT(($D$5:$D$404=$D308)*($G$5:$G$404&lt;&gt;"")*($J$5:$J$404&lt;&gt;"")*($Q$5:$Q$404&lt;&gt;"キャンセル")*($G$5:$G$404&lt;$J308)*($J$5:$J$404&gt;$G308))&gt;1,"⚠重複","")))))</f>
        <v/>
      </c>
      <c r="Z308" s="8">
        <f>IF(OR($B308="",$G308=""),"",IF(SUMPRODUCT(('利用者マスタ'!$A$4:$A$60=$B308)*('利用者マスタ'!$B$4:$B$60&lt;&gt;""))=0,"",IF(SUMIFS($AA$5:$AA$404,$B$5:$B$404,$B308,$G$5:$G$404,"&gt;="&amp;DATE(YEAR($G308),MONTH($G308),1),$G$5:$G$404,"&lt;="&amp;EOMONTH($G308,0))&gt;SUMIFS('利用者マスタ'!$B$4:$B$60,'利用者マスタ'!$A$4:$A$60,$B308),"⚠支給量超過","")))</f>
        <v/>
      </c>
      <c r="AA308" s="8">
        <f>IF(OR($G308="",$J308="",$Q308="キャンセル"),0,IF(IFERROR(INDEX('M_区分'!$B$4:$B$20,MATCH($C308,'M_区分'!$A$4:$A$20,0)),"○")="○",$J308-$G308+1,0))</f>
        <v/>
      </c>
      <c r="AB308" s="8">
        <f>IF($E308&lt;&gt;"",$E308,$AB307)</f>
        <v/>
      </c>
      <c r="AC308" s="8">
        <f>IF(OR($G308="",$J308=""),"",IF(AND($G308&lt;=EOMONTH('02_カレンダー'!$B$4,0),$J308&gt;='02_カレンダー'!$B$4),$G308*10000+ROW(),""))</f>
        <v/>
      </c>
      <c r="AD308" s="8">
        <f>IF($H308="","",IF(ISNUMBER($H308),IF(AND($H308=INT($H308),$H308&gt;=0,$H308&lt;=24),TEXT(INT($H308),"00")&amp;":00",TEXT($H308,"hh:mm")),$H308))</f>
        <v/>
      </c>
      <c r="AE308" s="8">
        <f>IF($K308="","",IF(ISNUMBER($K308),IF(AND($K308=INT($K308),$K308&gt;=0,$K308&lt;=24),TEXT(INT($K308),"00")&amp;":00",TEXT($K308,"hh:mm")),$K308))</f>
        <v/>
      </c>
      <c r="AF308" s="8">
        <f>IF($G308="",0,$G308)</f>
        <v/>
      </c>
      <c r="AG308" s="8">
        <f>IF($J308="",0,$J308)</f>
        <v/>
      </c>
    </row>
    <row r="309">
      <c r="A309" s="8">
        <f>IF($G309="","","SS-"&amp;TEXT(ROW()-4,"0000"))</f>
        <v/>
      </c>
      <c r="B309" s="9" t="n"/>
      <c r="C309" s="9" t="n"/>
      <c r="D309" s="9" t="n"/>
      <c r="E309" s="10" t="n"/>
      <c r="F309" s="11" t="n"/>
      <c r="G309" s="12">
        <f>IF($F309="","",IF($F309&gt;31,$F309,IF($AB309="","",DATE(YEAR($AB309),MONTH($AB309),$F309))))</f>
        <v/>
      </c>
      <c r="H309" s="9" t="n"/>
      <c r="I309" s="11" t="n"/>
      <c r="J309" s="12">
        <f>IF($I309="","",IF($I309&gt;31,$I309,IF($G309="","",IF(DATE(YEAR($G309),MONTH($G309),$I309)&gt;=$G309,DATE(YEAR($G309),MONTH($G309),$I309),DATE(YEAR($G309),MONTH($G309)+1,$I309)))))</f>
        <v/>
      </c>
      <c r="K309" s="9" t="n"/>
      <c r="L309" s="13" t="n"/>
      <c r="M309" s="13" t="n"/>
      <c r="N309" s="13" t="n"/>
      <c r="O309" s="8">
        <f>IF(OR($G309="",$J309=""),"",$J309-$G309+1)</f>
        <v/>
      </c>
      <c r="P309" s="8">
        <f>IF(OR($G309="",$J309=""),"",$J309-$G309)</f>
        <v/>
      </c>
      <c r="Q309" s="9" t="n"/>
      <c r="R309" s="9" t="n"/>
      <c r="S309" s="9" t="n"/>
      <c r="T309" s="9" t="n"/>
      <c r="U309" s="9" t="n"/>
      <c r="V309" s="9" t="n"/>
      <c r="W309" s="14" t="n"/>
      <c r="X309" s="9" t="n"/>
      <c r="Y309" s="8">
        <f>IF($G309="","",IF($D309="","⚠部屋が未選択",IF(COUNTIF('M_部屋'!$A$4:$A$20,$D309)=0,"⚠部屋が未登録",IF(OR($J309="",$Q309="キャンセル"),"",IF(SUMPRODUCT(($D$5:$D$404=$D309)*($G$5:$G$404&lt;&gt;"")*($J$5:$J$404&lt;&gt;"")*($Q$5:$Q$404&lt;&gt;"キャンセル")*($G$5:$G$404&lt;$J309)*($J$5:$J$404&gt;$G309))&gt;1,"⚠重複","")))))</f>
        <v/>
      </c>
      <c r="Z309" s="8">
        <f>IF(OR($B309="",$G309=""),"",IF(SUMPRODUCT(('利用者マスタ'!$A$4:$A$60=$B309)*('利用者マスタ'!$B$4:$B$60&lt;&gt;""))=0,"",IF(SUMIFS($AA$5:$AA$404,$B$5:$B$404,$B309,$G$5:$G$404,"&gt;="&amp;DATE(YEAR($G309),MONTH($G309),1),$G$5:$G$404,"&lt;="&amp;EOMONTH($G309,0))&gt;SUMIFS('利用者マスタ'!$B$4:$B$60,'利用者マスタ'!$A$4:$A$60,$B309),"⚠支給量超過","")))</f>
        <v/>
      </c>
      <c r="AA309" s="8">
        <f>IF(OR($G309="",$J309="",$Q309="キャンセル"),0,IF(IFERROR(INDEX('M_区分'!$B$4:$B$20,MATCH($C309,'M_区分'!$A$4:$A$20,0)),"○")="○",$J309-$G309+1,0))</f>
        <v/>
      </c>
      <c r="AB309" s="8">
        <f>IF($E309&lt;&gt;"",$E309,$AB308)</f>
        <v/>
      </c>
      <c r="AC309" s="8">
        <f>IF(OR($G309="",$J309=""),"",IF(AND($G309&lt;=EOMONTH('02_カレンダー'!$B$4,0),$J309&gt;='02_カレンダー'!$B$4),$G309*10000+ROW(),""))</f>
        <v/>
      </c>
      <c r="AD309" s="8">
        <f>IF($H309="","",IF(ISNUMBER($H309),IF(AND($H309=INT($H309),$H309&gt;=0,$H309&lt;=24),TEXT(INT($H309),"00")&amp;":00",TEXT($H309,"hh:mm")),$H309))</f>
        <v/>
      </c>
      <c r="AE309" s="8">
        <f>IF($K309="","",IF(ISNUMBER($K309),IF(AND($K309=INT($K309),$K309&gt;=0,$K309&lt;=24),TEXT(INT($K309),"00")&amp;":00",TEXT($K309,"hh:mm")),$K309))</f>
        <v/>
      </c>
      <c r="AF309" s="8">
        <f>IF($G309="",0,$G309)</f>
        <v/>
      </c>
      <c r="AG309" s="8">
        <f>IF($J309="",0,$J309)</f>
        <v/>
      </c>
    </row>
    <row r="310">
      <c r="A310" s="8">
        <f>IF($G310="","","SS-"&amp;TEXT(ROW()-4,"0000"))</f>
        <v/>
      </c>
      <c r="B310" s="9" t="n"/>
      <c r="C310" s="9" t="n"/>
      <c r="D310" s="9" t="n"/>
      <c r="E310" s="10" t="n"/>
      <c r="F310" s="11" t="n"/>
      <c r="G310" s="12">
        <f>IF($F310="","",IF($F310&gt;31,$F310,IF($AB310="","",DATE(YEAR($AB310),MONTH($AB310),$F310))))</f>
        <v/>
      </c>
      <c r="H310" s="9" t="n"/>
      <c r="I310" s="11" t="n"/>
      <c r="J310" s="12">
        <f>IF($I310="","",IF($I310&gt;31,$I310,IF($G310="","",IF(DATE(YEAR($G310),MONTH($G310),$I310)&gt;=$G310,DATE(YEAR($G310),MONTH($G310),$I310),DATE(YEAR($G310),MONTH($G310)+1,$I310)))))</f>
        <v/>
      </c>
      <c r="K310" s="9" t="n"/>
      <c r="L310" s="13" t="n"/>
      <c r="M310" s="13" t="n"/>
      <c r="N310" s="13" t="n"/>
      <c r="O310" s="8">
        <f>IF(OR($G310="",$J310=""),"",$J310-$G310+1)</f>
        <v/>
      </c>
      <c r="P310" s="8">
        <f>IF(OR($G310="",$J310=""),"",$J310-$G310)</f>
        <v/>
      </c>
      <c r="Q310" s="9" t="n"/>
      <c r="R310" s="9" t="n"/>
      <c r="S310" s="9" t="n"/>
      <c r="T310" s="9" t="n"/>
      <c r="U310" s="9" t="n"/>
      <c r="V310" s="9" t="n"/>
      <c r="W310" s="14" t="n"/>
      <c r="X310" s="9" t="n"/>
      <c r="Y310" s="8">
        <f>IF($G310="","",IF($D310="","⚠部屋が未選択",IF(COUNTIF('M_部屋'!$A$4:$A$20,$D310)=0,"⚠部屋が未登録",IF(OR($J310="",$Q310="キャンセル"),"",IF(SUMPRODUCT(($D$5:$D$404=$D310)*($G$5:$G$404&lt;&gt;"")*($J$5:$J$404&lt;&gt;"")*($Q$5:$Q$404&lt;&gt;"キャンセル")*($G$5:$G$404&lt;$J310)*($J$5:$J$404&gt;$G310))&gt;1,"⚠重複","")))))</f>
        <v/>
      </c>
      <c r="Z310" s="8">
        <f>IF(OR($B310="",$G310=""),"",IF(SUMPRODUCT(('利用者マスタ'!$A$4:$A$60=$B310)*('利用者マスタ'!$B$4:$B$60&lt;&gt;""))=0,"",IF(SUMIFS($AA$5:$AA$404,$B$5:$B$404,$B310,$G$5:$G$404,"&gt;="&amp;DATE(YEAR($G310),MONTH($G310),1),$G$5:$G$404,"&lt;="&amp;EOMONTH($G310,0))&gt;SUMIFS('利用者マスタ'!$B$4:$B$60,'利用者マスタ'!$A$4:$A$60,$B310),"⚠支給量超過","")))</f>
        <v/>
      </c>
      <c r="AA310" s="8">
        <f>IF(OR($G310="",$J310="",$Q310="キャンセル"),0,IF(IFERROR(INDEX('M_区分'!$B$4:$B$20,MATCH($C310,'M_区分'!$A$4:$A$20,0)),"○")="○",$J310-$G310+1,0))</f>
        <v/>
      </c>
      <c r="AB310" s="8">
        <f>IF($E310&lt;&gt;"",$E310,$AB309)</f>
        <v/>
      </c>
      <c r="AC310" s="8">
        <f>IF(OR($G310="",$J310=""),"",IF(AND($G310&lt;=EOMONTH('02_カレンダー'!$B$4,0),$J310&gt;='02_カレンダー'!$B$4),$G310*10000+ROW(),""))</f>
        <v/>
      </c>
      <c r="AD310" s="8">
        <f>IF($H310="","",IF(ISNUMBER($H310),IF(AND($H310=INT($H310),$H310&gt;=0,$H310&lt;=24),TEXT(INT($H310),"00")&amp;":00",TEXT($H310,"hh:mm")),$H310))</f>
        <v/>
      </c>
      <c r="AE310" s="8">
        <f>IF($K310="","",IF(ISNUMBER($K310),IF(AND($K310=INT($K310),$K310&gt;=0,$K310&lt;=24),TEXT(INT($K310),"00")&amp;":00",TEXT($K310,"hh:mm")),$K310))</f>
        <v/>
      </c>
      <c r="AF310" s="8">
        <f>IF($G310="",0,$G310)</f>
        <v/>
      </c>
      <c r="AG310" s="8">
        <f>IF($J310="",0,$J310)</f>
        <v/>
      </c>
    </row>
    <row r="311">
      <c r="A311" s="8">
        <f>IF($G311="","","SS-"&amp;TEXT(ROW()-4,"0000"))</f>
        <v/>
      </c>
      <c r="B311" s="9" t="n"/>
      <c r="C311" s="9" t="n"/>
      <c r="D311" s="9" t="n"/>
      <c r="E311" s="10" t="n"/>
      <c r="F311" s="11" t="n"/>
      <c r="G311" s="12">
        <f>IF($F311="","",IF($F311&gt;31,$F311,IF($AB311="","",DATE(YEAR($AB311),MONTH($AB311),$F311))))</f>
        <v/>
      </c>
      <c r="H311" s="9" t="n"/>
      <c r="I311" s="11" t="n"/>
      <c r="J311" s="12">
        <f>IF($I311="","",IF($I311&gt;31,$I311,IF($G311="","",IF(DATE(YEAR($G311),MONTH($G311),$I311)&gt;=$G311,DATE(YEAR($G311),MONTH($G311),$I311),DATE(YEAR($G311),MONTH($G311)+1,$I311)))))</f>
        <v/>
      </c>
      <c r="K311" s="9" t="n"/>
      <c r="L311" s="13" t="n"/>
      <c r="M311" s="13" t="n"/>
      <c r="N311" s="13" t="n"/>
      <c r="O311" s="8">
        <f>IF(OR($G311="",$J311=""),"",$J311-$G311+1)</f>
        <v/>
      </c>
      <c r="P311" s="8">
        <f>IF(OR($G311="",$J311=""),"",$J311-$G311)</f>
        <v/>
      </c>
      <c r="Q311" s="9" t="n"/>
      <c r="R311" s="9" t="n"/>
      <c r="S311" s="9" t="n"/>
      <c r="T311" s="9" t="n"/>
      <c r="U311" s="9" t="n"/>
      <c r="V311" s="9" t="n"/>
      <c r="W311" s="14" t="n"/>
      <c r="X311" s="9" t="n"/>
      <c r="Y311" s="8">
        <f>IF($G311="","",IF($D311="","⚠部屋が未選択",IF(COUNTIF('M_部屋'!$A$4:$A$20,$D311)=0,"⚠部屋が未登録",IF(OR($J311="",$Q311="キャンセル"),"",IF(SUMPRODUCT(($D$5:$D$404=$D311)*($G$5:$G$404&lt;&gt;"")*($J$5:$J$404&lt;&gt;"")*($Q$5:$Q$404&lt;&gt;"キャンセル")*($G$5:$G$404&lt;$J311)*($J$5:$J$404&gt;$G311))&gt;1,"⚠重複","")))))</f>
        <v/>
      </c>
      <c r="Z311" s="8">
        <f>IF(OR($B311="",$G311=""),"",IF(SUMPRODUCT(('利用者マスタ'!$A$4:$A$60=$B311)*('利用者マスタ'!$B$4:$B$60&lt;&gt;""))=0,"",IF(SUMIFS($AA$5:$AA$404,$B$5:$B$404,$B311,$G$5:$G$404,"&gt;="&amp;DATE(YEAR($G311),MONTH($G311),1),$G$5:$G$404,"&lt;="&amp;EOMONTH($G311,0))&gt;SUMIFS('利用者マスタ'!$B$4:$B$60,'利用者マスタ'!$A$4:$A$60,$B311),"⚠支給量超過","")))</f>
        <v/>
      </c>
      <c r="AA311" s="8">
        <f>IF(OR($G311="",$J311="",$Q311="キャンセル"),0,IF(IFERROR(INDEX('M_区分'!$B$4:$B$20,MATCH($C311,'M_区分'!$A$4:$A$20,0)),"○")="○",$J311-$G311+1,0))</f>
        <v/>
      </c>
      <c r="AB311" s="8">
        <f>IF($E311&lt;&gt;"",$E311,$AB310)</f>
        <v/>
      </c>
      <c r="AC311" s="8">
        <f>IF(OR($G311="",$J311=""),"",IF(AND($G311&lt;=EOMONTH('02_カレンダー'!$B$4,0),$J311&gt;='02_カレンダー'!$B$4),$G311*10000+ROW(),""))</f>
        <v/>
      </c>
      <c r="AD311" s="8">
        <f>IF($H311="","",IF(ISNUMBER($H311),IF(AND($H311=INT($H311),$H311&gt;=0,$H311&lt;=24),TEXT(INT($H311),"00")&amp;":00",TEXT($H311,"hh:mm")),$H311))</f>
        <v/>
      </c>
      <c r="AE311" s="8">
        <f>IF($K311="","",IF(ISNUMBER($K311),IF(AND($K311=INT($K311),$K311&gt;=0,$K311&lt;=24),TEXT(INT($K311),"00")&amp;":00",TEXT($K311,"hh:mm")),$K311))</f>
        <v/>
      </c>
      <c r="AF311" s="8">
        <f>IF($G311="",0,$G311)</f>
        <v/>
      </c>
      <c r="AG311" s="8">
        <f>IF($J311="",0,$J311)</f>
        <v/>
      </c>
    </row>
    <row r="312">
      <c r="A312" s="8">
        <f>IF($G312="","","SS-"&amp;TEXT(ROW()-4,"0000"))</f>
        <v/>
      </c>
      <c r="B312" s="9" t="n"/>
      <c r="C312" s="9" t="n"/>
      <c r="D312" s="9" t="n"/>
      <c r="E312" s="10" t="n"/>
      <c r="F312" s="11" t="n"/>
      <c r="G312" s="12">
        <f>IF($F312="","",IF($F312&gt;31,$F312,IF($AB312="","",DATE(YEAR($AB312),MONTH($AB312),$F312))))</f>
        <v/>
      </c>
      <c r="H312" s="9" t="n"/>
      <c r="I312" s="11" t="n"/>
      <c r="J312" s="12">
        <f>IF($I312="","",IF($I312&gt;31,$I312,IF($G312="","",IF(DATE(YEAR($G312),MONTH($G312),$I312)&gt;=$G312,DATE(YEAR($G312),MONTH($G312),$I312),DATE(YEAR($G312),MONTH($G312)+1,$I312)))))</f>
        <v/>
      </c>
      <c r="K312" s="9" t="n"/>
      <c r="L312" s="13" t="n"/>
      <c r="M312" s="13" t="n"/>
      <c r="N312" s="13" t="n"/>
      <c r="O312" s="8">
        <f>IF(OR($G312="",$J312=""),"",$J312-$G312+1)</f>
        <v/>
      </c>
      <c r="P312" s="8">
        <f>IF(OR($G312="",$J312=""),"",$J312-$G312)</f>
        <v/>
      </c>
      <c r="Q312" s="9" t="n"/>
      <c r="R312" s="9" t="n"/>
      <c r="S312" s="9" t="n"/>
      <c r="T312" s="9" t="n"/>
      <c r="U312" s="9" t="n"/>
      <c r="V312" s="9" t="n"/>
      <c r="W312" s="14" t="n"/>
      <c r="X312" s="9" t="n"/>
      <c r="Y312" s="8">
        <f>IF($G312="","",IF($D312="","⚠部屋が未選択",IF(COUNTIF('M_部屋'!$A$4:$A$20,$D312)=0,"⚠部屋が未登録",IF(OR($J312="",$Q312="キャンセル"),"",IF(SUMPRODUCT(($D$5:$D$404=$D312)*($G$5:$G$404&lt;&gt;"")*($J$5:$J$404&lt;&gt;"")*($Q$5:$Q$404&lt;&gt;"キャンセル")*($G$5:$G$404&lt;$J312)*($J$5:$J$404&gt;$G312))&gt;1,"⚠重複","")))))</f>
        <v/>
      </c>
      <c r="Z312" s="8">
        <f>IF(OR($B312="",$G312=""),"",IF(SUMPRODUCT(('利用者マスタ'!$A$4:$A$60=$B312)*('利用者マスタ'!$B$4:$B$60&lt;&gt;""))=0,"",IF(SUMIFS($AA$5:$AA$404,$B$5:$B$404,$B312,$G$5:$G$404,"&gt;="&amp;DATE(YEAR($G312),MONTH($G312),1),$G$5:$G$404,"&lt;="&amp;EOMONTH($G312,0))&gt;SUMIFS('利用者マスタ'!$B$4:$B$60,'利用者マスタ'!$A$4:$A$60,$B312),"⚠支給量超過","")))</f>
        <v/>
      </c>
      <c r="AA312" s="8">
        <f>IF(OR($G312="",$J312="",$Q312="キャンセル"),0,IF(IFERROR(INDEX('M_区分'!$B$4:$B$20,MATCH($C312,'M_区分'!$A$4:$A$20,0)),"○")="○",$J312-$G312+1,0))</f>
        <v/>
      </c>
      <c r="AB312" s="8">
        <f>IF($E312&lt;&gt;"",$E312,$AB311)</f>
        <v/>
      </c>
      <c r="AC312" s="8">
        <f>IF(OR($G312="",$J312=""),"",IF(AND($G312&lt;=EOMONTH('02_カレンダー'!$B$4,0),$J312&gt;='02_カレンダー'!$B$4),$G312*10000+ROW(),""))</f>
        <v/>
      </c>
      <c r="AD312" s="8">
        <f>IF($H312="","",IF(ISNUMBER($H312),IF(AND($H312=INT($H312),$H312&gt;=0,$H312&lt;=24),TEXT(INT($H312),"00")&amp;":00",TEXT($H312,"hh:mm")),$H312))</f>
        <v/>
      </c>
      <c r="AE312" s="8">
        <f>IF($K312="","",IF(ISNUMBER($K312),IF(AND($K312=INT($K312),$K312&gt;=0,$K312&lt;=24),TEXT(INT($K312),"00")&amp;":00",TEXT($K312,"hh:mm")),$K312))</f>
        <v/>
      </c>
      <c r="AF312" s="8">
        <f>IF($G312="",0,$G312)</f>
        <v/>
      </c>
      <c r="AG312" s="8">
        <f>IF($J312="",0,$J312)</f>
        <v/>
      </c>
    </row>
    <row r="313">
      <c r="A313" s="8">
        <f>IF($G313="","","SS-"&amp;TEXT(ROW()-4,"0000"))</f>
        <v/>
      </c>
      <c r="B313" s="9" t="n"/>
      <c r="C313" s="9" t="n"/>
      <c r="D313" s="9" t="n"/>
      <c r="E313" s="10" t="n"/>
      <c r="F313" s="11" t="n"/>
      <c r="G313" s="12">
        <f>IF($F313="","",IF($F313&gt;31,$F313,IF($AB313="","",DATE(YEAR($AB313),MONTH($AB313),$F313))))</f>
        <v/>
      </c>
      <c r="H313" s="9" t="n"/>
      <c r="I313" s="11" t="n"/>
      <c r="J313" s="12">
        <f>IF($I313="","",IF($I313&gt;31,$I313,IF($G313="","",IF(DATE(YEAR($G313),MONTH($G313),$I313)&gt;=$G313,DATE(YEAR($G313),MONTH($G313),$I313),DATE(YEAR($G313),MONTH($G313)+1,$I313)))))</f>
        <v/>
      </c>
      <c r="K313" s="9" t="n"/>
      <c r="L313" s="13" t="n"/>
      <c r="M313" s="13" t="n"/>
      <c r="N313" s="13" t="n"/>
      <c r="O313" s="8">
        <f>IF(OR($G313="",$J313=""),"",$J313-$G313+1)</f>
        <v/>
      </c>
      <c r="P313" s="8">
        <f>IF(OR($G313="",$J313=""),"",$J313-$G313)</f>
        <v/>
      </c>
      <c r="Q313" s="9" t="n"/>
      <c r="R313" s="9" t="n"/>
      <c r="S313" s="9" t="n"/>
      <c r="T313" s="9" t="n"/>
      <c r="U313" s="9" t="n"/>
      <c r="V313" s="9" t="n"/>
      <c r="W313" s="14" t="n"/>
      <c r="X313" s="9" t="n"/>
      <c r="Y313" s="8">
        <f>IF($G313="","",IF($D313="","⚠部屋が未選択",IF(COUNTIF('M_部屋'!$A$4:$A$20,$D313)=0,"⚠部屋が未登録",IF(OR($J313="",$Q313="キャンセル"),"",IF(SUMPRODUCT(($D$5:$D$404=$D313)*($G$5:$G$404&lt;&gt;"")*($J$5:$J$404&lt;&gt;"")*($Q$5:$Q$404&lt;&gt;"キャンセル")*($G$5:$G$404&lt;$J313)*($J$5:$J$404&gt;$G313))&gt;1,"⚠重複","")))))</f>
        <v/>
      </c>
      <c r="Z313" s="8">
        <f>IF(OR($B313="",$G313=""),"",IF(SUMPRODUCT(('利用者マスタ'!$A$4:$A$60=$B313)*('利用者マスタ'!$B$4:$B$60&lt;&gt;""))=0,"",IF(SUMIFS($AA$5:$AA$404,$B$5:$B$404,$B313,$G$5:$G$404,"&gt;="&amp;DATE(YEAR($G313),MONTH($G313),1),$G$5:$G$404,"&lt;="&amp;EOMONTH($G313,0))&gt;SUMIFS('利用者マスタ'!$B$4:$B$60,'利用者マスタ'!$A$4:$A$60,$B313),"⚠支給量超過","")))</f>
        <v/>
      </c>
      <c r="AA313" s="8">
        <f>IF(OR($G313="",$J313="",$Q313="キャンセル"),0,IF(IFERROR(INDEX('M_区分'!$B$4:$B$20,MATCH($C313,'M_区分'!$A$4:$A$20,0)),"○")="○",$J313-$G313+1,0))</f>
        <v/>
      </c>
      <c r="AB313" s="8">
        <f>IF($E313&lt;&gt;"",$E313,$AB312)</f>
        <v/>
      </c>
      <c r="AC313" s="8">
        <f>IF(OR($G313="",$J313=""),"",IF(AND($G313&lt;=EOMONTH('02_カレンダー'!$B$4,0),$J313&gt;='02_カレンダー'!$B$4),$G313*10000+ROW(),""))</f>
        <v/>
      </c>
      <c r="AD313" s="8">
        <f>IF($H313="","",IF(ISNUMBER($H313),IF(AND($H313=INT($H313),$H313&gt;=0,$H313&lt;=24),TEXT(INT($H313),"00")&amp;":00",TEXT($H313,"hh:mm")),$H313))</f>
        <v/>
      </c>
      <c r="AE313" s="8">
        <f>IF($K313="","",IF(ISNUMBER($K313),IF(AND($K313=INT($K313),$K313&gt;=0,$K313&lt;=24),TEXT(INT($K313),"00")&amp;":00",TEXT($K313,"hh:mm")),$K313))</f>
        <v/>
      </c>
      <c r="AF313" s="8">
        <f>IF($G313="",0,$G313)</f>
        <v/>
      </c>
      <c r="AG313" s="8">
        <f>IF($J313="",0,$J313)</f>
        <v/>
      </c>
    </row>
    <row r="314">
      <c r="A314" s="8">
        <f>IF($G314="","","SS-"&amp;TEXT(ROW()-4,"0000"))</f>
        <v/>
      </c>
      <c r="B314" s="9" t="n"/>
      <c r="C314" s="9" t="n"/>
      <c r="D314" s="9" t="n"/>
      <c r="E314" s="10" t="n"/>
      <c r="F314" s="11" t="n"/>
      <c r="G314" s="12">
        <f>IF($F314="","",IF($F314&gt;31,$F314,IF($AB314="","",DATE(YEAR($AB314),MONTH($AB314),$F314))))</f>
        <v/>
      </c>
      <c r="H314" s="9" t="n"/>
      <c r="I314" s="11" t="n"/>
      <c r="J314" s="12">
        <f>IF($I314="","",IF($I314&gt;31,$I314,IF($G314="","",IF(DATE(YEAR($G314),MONTH($G314),$I314)&gt;=$G314,DATE(YEAR($G314),MONTH($G314),$I314),DATE(YEAR($G314),MONTH($G314)+1,$I314)))))</f>
        <v/>
      </c>
      <c r="K314" s="9" t="n"/>
      <c r="L314" s="13" t="n"/>
      <c r="M314" s="13" t="n"/>
      <c r="N314" s="13" t="n"/>
      <c r="O314" s="8">
        <f>IF(OR($G314="",$J314=""),"",$J314-$G314+1)</f>
        <v/>
      </c>
      <c r="P314" s="8">
        <f>IF(OR($G314="",$J314=""),"",$J314-$G314)</f>
        <v/>
      </c>
      <c r="Q314" s="9" t="n"/>
      <c r="R314" s="9" t="n"/>
      <c r="S314" s="9" t="n"/>
      <c r="T314" s="9" t="n"/>
      <c r="U314" s="9" t="n"/>
      <c r="V314" s="9" t="n"/>
      <c r="W314" s="14" t="n"/>
      <c r="X314" s="9" t="n"/>
      <c r="Y314" s="8">
        <f>IF($G314="","",IF($D314="","⚠部屋が未選択",IF(COUNTIF('M_部屋'!$A$4:$A$20,$D314)=0,"⚠部屋が未登録",IF(OR($J314="",$Q314="キャンセル"),"",IF(SUMPRODUCT(($D$5:$D$404=$D314)*($G$5:$G$404&lt;&gt;"")*($J$5:$J$404&lt;&gt;"")*($Q$5:$Q$404&lt;&gt;"キャンセル")*($G$5:$G$404&lt;$J314)*($J$5:$J$404&gt;$G314))&gt;1,"⚠重複","")))))</f>
        <v/>
      </c>
      <c r="Z314" s="8">
        <f>IF(OR($B314="",$G314=""),"",IF(SUMPRODUCT(('利用者マスタ'!$A$4:$A$60=$B314)*('利用者マスタ'!$B$4:$B$60&lt;&gt;""))=0,"",IF(SUMIFS($AA$5:$AA$404,$B$5:$B$404,$B314,$G$5:$G$404,"&gt;="&amp;DATE(YEAR($G314),MONTH($G314),1),$G$5:$G$404,"&lt;="&amp;EOMONTH($G314,0))&gt;SUMIFS('利用者マスタ'!$B$4:$B$60,'利用者マスタ'!$A$4:$A$60,$B314),"⚠支給量超過","")))</f>
        <v/>
      </c>
      <c r="AA314" s="8">
        <f>IF(OR($G314="",$J314="",$Q314="キャンセル"),0,IF(IFERROR(INDEX('M_区分'!$B$4:$B$20,MATCH($C314,'M_区分'!$A$4:$A$20,0)),"○")="○",$J314-$G314+1,0))</f>
        <v/>
      </c>
      <c r="AB314" s="8">
        <f>IF($E314&lt;&gt;"",$E314,$AB313)</f>
        <v/>
      </c>
      <c r="AC314" s="8">
        <f>IF(OR($G314="",$J314=""),"",IF(AND($G314&lt;=EOMONTH('02_カレンダー'!$B$4,0),$J314&gt;='02_カレンダー'!$B$4),$G314*10000+ROW(),""))</f>
        <v/>
      </c>
      <c r="AD314" s="8">
        <f>IF($H314="","",IF(ISNUMBER($H314),IF(AND($H314=INT($H314),$H314&gt;=0,$H314&lt;=24),TEXT(INT($H314),"00")&amp;":00",TEXT($H314,"hh:mm")),$H314))</f>
        <v/>
      </c>
      <c r="AE314" s="8">
        <f>IF($K314="","",IF(ISNUMBER($K314),IF(AND($K314=INT($K314),$K314&gt;=0,$K314&lt;=24),TEXT(INT($K314),"00")&amp;":00",TEXT($K314,"hh:mm")),$K314))</f>
        <v/>
      </c>
      <c r="AF314" s="8">
        <f>IF($G314="",0,$G314)</f>
        <v/>
      </c>
      <c r="AG314" s="8">
        <f>IF($J314="",0,$J314)</f>
        <v/>
      </c>
    </row>
    <row r="315">
      <c r="A315" s="8">
        <f>IF($G315="","","SS-"&amp;TEXT(ROW()-4,"0000"))</f>
        <v/>
      </c>
      <c r="B315" s="9" t="n"/>
      <c r="C315" s="9" t="n"/>
      <c r="D315" s="9" t="n"/>
      <c r="E315" s="10" t="n"/>
      <c r="F315" s="11" t="n"/>
      <c r="G315" s="12">
        <f>IF($F315="","",IF($F315&gt;31,$F315,IF($AB315="","",DATE(YEAR($AB315),MONTH($AB315),$F315))))</f>
        <v/>
      </c>
      <c r="H315" s="9" t="n"/>
      <c r="I315" s="11" t="n"/>
      <c r="J315" s="12">
        <f>IF($I315="","",IF($I315&gt;31,$I315,IF($G315="","",IF(DATE(YEAR($G315),MONTH($G315),$I315)&gt;=$G315,DATE(YEAR($G315),MONTH($G315),$I315),DATE(YEAR($G315),MONTH($G315)+1,$I315)))))</f>
        <v/>
      </c>
      <c r="K315" s="9" t="n"/>
      <c r="L315" s="13" t="n"/>
      <c r="M315" s="13" t="n"/>
      <c r="N315" s="13" t="n"/>
      <c r="O315" s="8">
        <f>IF(OR($G315="",$J315=""),"",$J315-$G315+1)</f>
        <v/>
      </c>
      <c r="P315" s="8">
        <f>IF(OR($G315="",$J315=""),"",$J315-$G315)</f>
        <v/>
      </c>
      <c r="Q315" s="9" t="n"/>
      <c r="R315" s="9" t="n"/>
      <c r="S315" s="9" t="n"/>
      <c r="T315" s="9" t="n"/>
      <c r="U315" s="9" t="n"/>
      <c r="V315" s="9" t="n"/>
      <c r="W315" s="14" t="n"/>
      <c r="X315" s="9" t="n"/>
      <c r="Y315" s="8">
        <f>IF($G315="","",IF($D315="","⚠部屋が未選択",IF(COUNTIF('M_部屋'!$A$4:$A$20,$D315)=0,"⚠部屋が未登録",IF(OR($J315="",$Q315="キャンセル"),"",IF(SUMPRODUCT(($D$5:$D$404=$D315)*($G$5:$G$404&lt;&gt;"")*($J$5:$J$404&lt;&gt;"")*($Q$5:$Q$404&lt;&gt;"キャンセル")*($G$5:$G$404&lt;$J315)*($J$5:$J$404&gt;$G315))&gt;1,"⚠重複","")))))</f>
        <v/>
      </c>
      <c r="Z315" s="8">
        <f>IF(OR($B315="",$G315=""),"",IF(SUMPRODUCT(('利用者マスタ'!$A$4:$A$60=$B315)*('利用者マスタ'!$B$4:$B$60&lt;&gt;""))=0,"",IF(SUMIFS($AA$5:$AA$404,$B$5:$B$404,$B315,$G$5:$G$404,"&gt;="&amp;DATE(YEAR($G315),MONTH($G315),1),$G$5:$G$404,"&lt;="&amp;EOMONTH($G315,0))&gt;SUMIFS('利用者マスタ'!$B$4:$B$60,'利用者マスタ'!$A$4:$A$60,$B315),"⚠支給量超過","")))</f>
        <v/>
      </c>
      <c r="AA315" s="8">
        <f>IF(OR($G315="",$J315="",$Q315="キャンセル"),0,IF(IFERROR(INDEX('M_区分'!$B$4:$B$20,MATCH($C315,'M_区分'!$A$4:$A$20,0)),"○")="○",$J315-$G315+1,0))</f>
        <v/>
      </c>
      <c r="AB315" s="8">
        <f>IF($E315&lt;&gt;"",$E315,$AB314)</f>
        <v/>
      </c>
      <c r="AC315" s="8">
        <f>IF(OR($G315="",$J315=""),"",IF(AND($G315&lt;=EOMONTH('02_カレンダー'!$B$4,0),$J315&gt;='02_カレンダー'!$B$4),$G315*10000+ROW(),""))</f>
        <v/>
      </c>
      <c r="AD315" s="8">
        <f>IF($H315="","",IF(ISNUMBER($H315),IF(AND($H315=INT($H315),$H315&gt;=0,$H315&lt;=24),TEXT(INT($H315),"00")&amp;":00",TEXT($H315,"hh:mm")),$H315))</f>
        <v/>
      </c>
      <c r="AE315" s="8">
        <f>IF($K315="","",IF(ISNUMBER($K315),IF(AND($K315=INT($K315),$K315&gt;=0,$K315&lt;=24),TEXT(INT($K315),"00")&amp;":00",TEXT($K315,"hh:mm")),$K315))</f>
        <v/>
      </c>
      <c r="AF315" s="8">
        <f>IF($G315="",0,$G315)</f>
        <v/>
      </c>
      <c r="AG315" s="8">
        <f>IF($J315="",0,$J315)</f>
        <v/>
      </c>
    </row>
    <row r="316">
      <c r="A316" s="8">
        <f>IF($G316="","","SS-"&amp;TEXT(ROW()-4,"0000"))</f>
        <v/>
      </c>
      <c r="B316" s="9" t="n"/>
      <c r="C316" s="9" t="n"/>
      <c r="D316" s="9" t="n"/>
      <c r="E316" s="10" t="n"/>
      <c r="F316" s="11" t="n"/>
      <c r="G316" s="12">
        <f>IF($F316="","",IF($F316&gt;31,$F316,IF($AB316="","",DATE(YEAR($AB316),MONTH($AB316),$F316))))</f>
        <v/>
      </c>
      <c r="H316" s="9" t="n"/>
      <c r="I316" s="11" t="n"/>
      <c r="J316" s="12">
        <f>IF($I316="","",IF($I316&gt;31,$I316,IF($G316="","",IF(DATE(YEAR($G316),MONTH($G316),$I316)&gt;=$G316,DATE(YEAR($G316),MONTH($G316),$I316),DATE(YEAR($G316),MONTH($G316)+1,$I316)))))</f>
        <v/>
      </c>
      <c r="K316" s="9" t="n"/>
      <c r="L316" s="13" t="n"/>
      <c r="M316" s="13" t="n"/>
      <c r="N316" s="13" t="n"/>
      <c r="O316" s="8">
        <f>IF(OR($G316="",$J316=""),"",$J316-$G316+1)</f>
        <v/>
      </c>
      <c r="P316" s="8">
        <f>IF(OR($G316="",$J316=""),"",$J316-$G316)</f>
        <v/>
      </c>
      <c r="Q316" s="9" t="n"/>
      <c r="R316" s="9" t="n"/>
      <c r="S316" s="9" t="n"/>
      <c r="T316" s="9" t="n"/>
      <c r="U316" s="9" t="n"/>
      <c r="V316" s="9" t="n"/>
      <c r="W316" s="14" t="n"/>
      <c r="X316" s="9" t="n"/>
      <c r="Y316" s="8">
        <f>IF($G316="","",IF($D316="","⚠部屋が未選択",IF(COUNTIF('M_部屋'!$A$4:$A$20,$D316)=0,"⚠部屋が未登録",IF(OR($J316="",$Q316="キャンセル"),"",IF(SUMPRODUCT(($D$5:$D$404=$D316)*($G$5:$G$404&lt;&gt;"")*($J$5:$J$404&lt;&gt;"")*($Q$5:$Q$404&lt;&gt;"キャンセル")*($G$5:$G$404&lt;$J316)*($J$5:$J$404&gt;$G316))&gt;1,"⚠重複","")))))</f>
        <v/>
      </c>
      <c r="Z316" s="8">
        <f>IF(OR($B316="",$G316=""),"",IF(SUMPRODUCT(('利用者マスタ'!$A$4:$A$60=$B316)*('利用者マスタ'!$B$4:$B$60&lt;&gt;""))=0,"",IF(SUMIFS($AA$5:$AA$404,$B$5:$B$404,$B316,$G$5:$G$404,"&gt;="&amp;DATE(YEAR($G316),MONTH($G316),1),$G$5:$G$404,"&lt;="&amp;EOMONTH($G316,0))&gt;SUMIFS('利用者マスタ'!$B$4:$B$60,'利用者マスタ'!$A$4:$A$60,$B316),"⚠支給量超過","")))</f>
        <v/>
      </c>
      <c r="AA316" s="8">
        <f>IF(OR($G316="",$J316="",$Q316="キャンセル"),0,IF(IFERROR(INDEX('M_区分'!$B$4:$B$20,MATCH($C316,'M_区分'!$A$4:$A$20,0)),"○")="○",$J316-$G316+1,0))</f>
        <v/>
      </c>
      <c r="AB316" s="8">
        <f>IF($E316&lt;&gt;"",$E316,$AB315)</f>
        <v/>
      </c>
      <c r="AC316" s="8">
        <f>IF(OR($G316="",$J316=""),"",IF(AND($G316&lt;=EOMONTH('02_カレンダー'!$B$4,0),$J316&gt;='02_カレンダー'!$B$4),$G316*10000+ROW(),""))</f>
        <v/>
      </c>
      <c r="AD316" s="8">
        <f>IF($H316="","",IF(ISNUMBER($H316),IF(AND($H316=INT($H316),$H316&gt;=0,$H316&lt;=24),TEXT(INT($H316),"00")&amp;":00",TEXT($H316,"hh:mm")),$H316))</f>
        <v/>
      </c>
      <c r="AE316" s="8">
        <f>IF($K316="","",IF(ISNUMBER($K316),IF(AND($K316=INT($K316),$K316&gt;=0,$K316&lt;=24),TEXT(INT($K316),"00")&amp;":00",TEXT($K316,"hh:mm")),$K316))</f>
        <v/>
      </c>
      <c r="AF316" s="8">
        <f>IF($G316="",0,$G316)</f>
        <v/>
      </c>
      <c r="AG316" s="8">
        <f>IF($J316="",0,$J316)</f>
        <v/>
      </c>
    </row>
    <row r="317">
      <c r="A317" s="8">
        <f>IF($G317="","","SS-"&amp;TEXT(ROW()-4,"0000"))</f>
        <v/>
      </c>
      <c r="B317" s="9" t="n"/>
      <c r="C317" s="9" t="n"/>
      <c r="D317" s="9" t="n"/>
      <c r="E317" s="10" t="n"/>
      <c r="F317" s="11" t="n"/>
      <c r="G317" s="12">
        <f>IF($F317="","",IF($F317&gt;31,$F317,IF($AB317="","",DATE(YEAR($AB317),MONTH($AB317),$F317))))</f>
        <v/>
      </c>
      <c r="H317" s="9" t="n"/>
      <c r="I317" s="11" t="n"/>
      <c r="J317" s="12">
        <f>IF($I317="","",IF($I317&gt;31,$I317,IF($G317="","",IF(DATE(YEAR($G317),MONTH($G317),$I317)&gt;=$G317,DATE(YEAR($G317),MONTH($G317),$I317),DATE(YEAR($G317),MONTH($G317)+1,$I317)))))</f>
        <v/>
      </c>
      <c r="K317" s="9" t="n"/>
      <c r="L317" s="13" t="n"/>
      <c r="M317" s="13" t="n"/>
      <c r="N317" s="13" t="n"/>
      <c r="O317" s="8">
        <f>IF(OR($G317="",$J317=""),"",$J317-$G317+1)</f>
        <v/>
      </c>
      <c r="P317" s="8">
        <f>IF(OR($G317="",$J317=""),"",$J317-$G317)</f>
        <v/>
      </c>
      <c r="Q317" s="9" t="n"/>
      <c r="R317" s="9" t="n"/>
      <c r="S317" s="9" t="n"/>
      <c r="T317" s="9" t="n"/>
      <c r="U317" s="9" t="n"/>
      <c r="V317" s="9" t="n"/>
      <c r="W317" s="14" t="n"/>
      <c r="X317" s="9" t="n"/>
      <c r="Y317" s="8">
        <f>IF($G317="","",IF($D317="","⚠部屋が未選択",IF(COUNTIF('M_部屋'!$A$4:$A$20,$D317)=0,"⚠部屋が未登録",IF(OR($J317="",$Q317="キャンセル"),"",IF(SUMPRODUCT(($D$5:$D$404=$D317)*($G$5:$G$404&lt;&gt;"")*($J$5:$J$404&lt;&gt;"")*($Q$5:$Q$404&lt;&gt;"キャンセル")*($G$5:$G$404&lt;$J317)*($J$5:$J$404&gt;$G317))&gt;1,"⚠重複","")))))</f>
        <v/>
      </c>
      <c r="Z317" s="8">
        <f>IF(OR($B317="",$G317=""),"",IF(SUMPRODUCT(('利用者マスタ'!$A$4:$A$60=$B317)*('利用者マスタ'!$B$4:$B$60&lt;&gt;""))=0,"",IF(SUMIFS($AA$5:$AA$404,$B$5:$B$404,$B317,$G$5:$G$404,"&gt;="&amp;DATE(YEAR($G317),MONTH($G317),1),$G$5:$G$404,"&lt;="&amp;EOMONTH($G317,0))&gt;SUMIFS('利用者マスタ'!$B$4:$B$60,'利用者マスタ'!$A$4:$A$60,$B317),"⚠支給量超過","")))</f>
        <v/>
      </c>
      <c r="AA317" s="8">
        <f>IF(OR($G317="",$J317="",$Q317="キャンセル"),0,IF(IFERROR(INDEX('M_区分'!$B$4:$B$20,MATCH($C317,'M_区分'!$A$4:$A$20,0)),"○")="○",$J317-$G317+1,0))</f>
        <v/>
      </c>
      <c r="AB317" s="8">
        <f>IF($E317&lt;&gt;"",$E317,$AB316)</f>
        <v/>
      </c>
      <c r="AC317" s="8">
        <f>IF(OR($G317="",$J317=""),"",IF(AND($G317&lt;=EOMONTH('02_カレンダー'!$B$4,0),$J317&gt;='02_カレンダー'!$B$4),$G317*10000+ROW(),""))</f>
        <v/>
      </c>
      <c r="AD317" s="8">
        <f>IF($H317="","",IF(ISNUMBER($H317),IF(AND($H317=INT($H317),$H317&gt;=0,$H317&lt;=24),TEXT(INT($H317),"00")&amp;":00",TEXT($H317,"hh:mm")),$H317))</f>
        <v/>
      </c>
      <c r="AE317" s="8">
        <f>IF($K317="","",IF(ISNUMBER($K317),IF(AND($K317=INT($K317),$K317&gt;=0,$K317&lt;=24),TEXT(INT($K317),"00")&amp;":00",TEXT($K317,"hh:mm")),$K317))</f>
        <v/>
      </c>
      <c r="AF317" s="8">
        <f>IF($G317="",0,$G317)</f>
        <v/>
      </c>
      <c r="AG317" s="8">
        <f>IF($J317="",0,$J317)</f>
        <v/>
      </c>
    </row>
    <row r="318">
      <c r="A318" s="8">
        <f>IF($G318="","","SS-"&amp;TEXT(ROW()-4,"0000"))</f>
        <v/>
      </c>
      <c r="B318" s="9" t="n"/>
      <c r="C318" s="9" t="n"/>
      <c r="D318" s="9" t="n"/>
      <c r="E318" s="10" t="n"/>
      <c r="F318" s="11" t="n"/>
      <c r="G318" s="12">
        <f>IF($F318="","",IF($F318&gt;31,$F318,IF($AB318="","",DATE(YEAR($AB318),MONTH($AB318),$F318))))</f>
        <v/>
      </c>
      <c r="H318" s="9" t="n"/>
      <c r="I318" s="11" t="n"/>
      <c r="J318" s="12">
        <f>IF($I318="","",IF($I318&gt;31,$I318,IF($G318="","",IF(DATE(YEAR($G318),MONTH($G318),$I318)&gt;=$G318,DATE(YEAR($G318),MONTH($G318),$I318),DATE(YEAR($G318),MONTH($G318)+1,$I318)))))</f>
        <v/>
      </c>
      <c r="K318" s="9" t="n"/>
      <c r="L318" s="13" t="n"/>
      <c r="M318" s="13" t="n"/>
      <c r="N318" s="13" t="n"/>
      <c r="O318" s="8">
        <f>IF(OR($G318="",$J318=""),"",$J318-$G318+1)</f>
        <v/>
      </c>
      <c r="P318" s="8">
        <f>IF(OR($G318="",$J318=""),"",$J318-$G318)</f>
        <v/>
      </c>
      <c r="Q318" s="9" t="n"/>
      <c r="R318" s="9" t="n"/>
      <c r="S318" s="9" t="n"/>
      <c r="T318" s="9" t="n"/>
      <c r="U318" s="9" t="n"/>
      <c r="V318" s="9" t="n"/>
      <c r="W318" s="14" t="n"/>
      <c r="X318" s="9" t="n"/>
      <c r="Y318" s="8">
        <f>IF($G318="","",IF($D318="","⚠部屋が未選択",IF(COUNTIF('M_部屋'!$A$4:$A$20,$D318)=0,"⚠部屋が未登録",IF(OR($J318="",$Q318="キャンセル"),"",IF(SUMPRODUCT(($D$5:$D$404=$D318)*($G$5:$G$404&lt;&gt;"")*($J$5:$J$404&lt;&gt;"")*($Q$5:$Q$404&lt;&gt;"キャンセル")*($G$5:$G$404&lt;$J318)*($J$5:$J$404&gt;$G318))&gt;1,"⚠重複","")))))</f>
        <v/>
      </c>
      <c r="Z318" s="8">
        <f>IF(OR($B318="",$G318=""),"",IF(SUMPRODUCT(('利用者マスタ'!$A$4:$A$60=$B318)*('利用者マスタ'!$B$4:$B$60&lt;&gt;""))=0,"",IF(SUMIFS($AA$5:$AA$404,$B$5:$B$404,$B318,$G$5:$G$404,"&gt;="&amp;DATE(YEAR($G318),MONTH($G318),1),$G$5:$G$404,"&lt;="&amp;EOMONTH($G318,0))&gt;SUMIFS('利用者マスタ'!$B$4:$B$60,'利用者マスタ'!$A$4:$A$60,$B318),"⚠支給量超過","")))</f>
        <v/>
      </c>
      <c r="AA318" s="8">
        <f>IF(OR($G318="",$J318="",$Q318="キャンセル"),0,IF(IFERROR(INDEX('M_区分'!$B$4:$B$20,MATCH($C318,'M_区分'!$A$4:$A$20,0)),"○")="○",$J318-$G318+1,0))</f>
        <v/>
      </c>
      <c r="AB318" s="8">
        <f>IF($E318&lt;&gt;"",$E318,$AB317)</f>
        <v/>
      </c>
      <c r="AC318" s="8">
        <f>IF(OR($G318="",$J318=""),"",IF(AND($G318&lt;=EOMONTH('02_カレンダー'!$B$4,0),$J318&gt;='02_カレンダー'!$B$4),$G318*10000+ROW(),""))</f>
        <v/>
      </c>
      <c r="AD318" s="8">
        <f>IF($H318="","",IF(ISNUMBER($H318),IF(AND($H318=INT($H318),$H318&gt;=0,$H318&lt;=24),TEXT(INT($H318),"00")&amp;":00",TEXT($H318,"hh:mm")),$H318))</f>
        <v/>
      </c>
      <c r="AE318" s="8">
        <f>IF($K318="","",IF(ISNUMBER($K318),IF(AND($K318=INT($K318),$K318&gt;=0,$K318&lt;=24),TEXT(INT($K318),"00")&amp;":00",TEXT($K318,"hh:mm")),$K318))</f>
        <v/>
      </c>
      <c r="AF318" s="8">
        <f>IF($G318="",0,$G318)</f>
        <v/>
      </c>
      <c r="AG318" s="8">
        <f>IF($J318="",0,$J318)</f>
        <v/>
      </c>
    </row>
    <row r="319">
      <c r="A319" s="8">
        <f>IF($G319="","","SS-"&amp;TEXT(ROW()-4,"0000"))</f>
        <v/>
      </c>
      <c r="B319" s="9" t="n"/>
      <c r="C319" s="9" t="n"/>
      <c r="D319" s="9" t="n"/>
      <c r="E319" s="10" t="n"/>
      <c r="F319" s="11" t="n"/>
      <c r="G319" s="12">
        <f>IF($F319="","",IF($F319&gt;31,$F319,IF($AB319="","",DATE(YEAR($AB319),MONTH($AB319),$F319))))</f>
        <v/>
      </c>
      <c r="H319" s="9" t="n"/>
      <c r="I319" s="11" t="n"/>
      <c r="J319" s="12">
        <f>IF($I319="","",IF($I319&gt;31,$I319,IF($G319="","",IF(DATE(YEAR($G319),MONTH($G319),$I319)&gt;=$G319,DATE(YEAR($G319),MONTH($G319),$I319),DATE(YEAR($G319),MONTH($G319)+1,$I319)))))</f>
        <v/>
      </c>
      <c r="K319" s="9" t="n"/>
      <c r="L319" s="13" t="n"/>
      <c r="M319" s="13" t="n"/>
      <c r="N319" s="13" t="n"/>
      <c r="O319" s="8">
        <f>IF(OR($G319="",$J319=""),"",$J319-$G319+1)</f>
        <v/>
      </c>
      <c r="P319" s="8">
        <f>IF(OR($G319="",$J319=""),"",$J319-$G319)</f>
        <v/>
      </c>
      <c r="Q319" s="9" t="n"/>
      <c r="R319" s="9" t="n"/>
      <c r="S319" s="9" t="n"/>
      <c r="T319" s="9" t="n"/>
      <c r="U319" s="9" t="n"/>
      <c r="V319" s="9" t="n"/>
      <c r="W319" s="14" t="n"/>
      <c r="X319" s="9" t="n"/>
      <c r="Y319" s="8">
        <f>IF($G319="","",IF($D319="","⚠部屋が未選択",IF(COUNTIF('M_部屋'!$A$4:$A$20,$D319)=0,"⚠部屋が未登録",IF(OR($J319="",$Q319="キャンセル"),"",IF(SUMPRODUCT(($D$5:$D$404=$D319)*($G$5:$G$404&lt;&gt;"")*($J$5:$J$404&lt;&gt;"")*($Q$5:$Q$404&lt;&gt;"キャンセル")*($G$5:$G$404&lt;$J319)*($J$5:$J$404&gt;$G319))&gt;1,"⚠重複","")))))</f>
        <v/>
      </c>
      <c r="Z319" s="8">
        <f>IF(OR($B319="",$G319=""),"",IF(SUMPRODUCT(('利用者マスタ'!$A$4:$A$60=$B319)*('利用者マスタ'!$B$4:$B$60&lt;&gt;""))=0,"",IF(SUMIFS($AA$5:$AA$404,$B$5:$B$404,$B319,$G$5:$G$404,"&gt;="&amp;DATE(YEAR($G319),MONTH($G319),1),$G$5:$G$404,"&lt;="&amp;EOMONTH($G319,0))&gt;SUMIFS('利用者マスタ'!$B$4:$B$60,'利用者マスタ'!$A$4:$A$60,$B319),"⚠支給量超過","")))</f>
        <v/>
      </c>
      <c r="AA319" s="8">
        <f>IF(OR($G319="",$J319="",$Q319="キャンセル"),0,IF(IFERROR(INDEX('M_区分'!$B$4:$B$20,MATCH($C319,'M_区分'!$A$4:$A$20,0)),"○")="○",$J319-$G319+1,0))</f>
        <v/>
      </c>
      <c r="AB319" s="8">
        <f>IF($E319&lt;&gt;"",$E319,$AB318)</f>
        <v/>
      </c>
      <c r="AC319" s="8">
        <f>IF(OR($G319="",$J319=""),"",IF(AND($G319&lt;=EOMONTH('02_カレンダー'!$B$4,0),$J319&gt;='02_カレンダー'!$B$4),$G319*10000+ROW(),""))</f>
        <v/>
      </c>
      <c r="AD319" s="8">
        <f>IF($H319="","",IF(ISNUMBER($H319),IF(AND($H319=INT($H319),$H319&gt;=0,$H319&lt;=24),TEXT(INT($H319),"00")&amp;":00",TEXT($H319,"hh:mm")),$H319))</f>
        <v/>
      </c>
      <c r="AE319" s="8">
        <f>IF($K319="","",IF(ISNUMBER($K319),IF(AND($K319=INT($K319),$K319&gt;=0,$K319&lt;=24),TEXT(INT($K319),"00")&amp;":00",TEXT($K319,"hh:mm")),$K319))</f>
        <v/>
      </c>
      <c r="AF319" s="8">
        <f>IF($G319="",0,$G319)</f>
        <v/>
      </c>
      <c r="AG319" s="8">
        <f>IF($J319="",0,$J319)</f>
        <v/>
      </c>
    </row>
    <row r="320">
      <c r="A320" s="8">
        <f>IF($G320="","","SS-"&amp;TEXT(ROW()-4,"0000"))</f>
        <v/>
      </c>
      <c r="B320" s="9" t="n"/>
      <c r="C320" s="9" t="n"/>
      <c r="D320" s="9" t="n"/>
      <c r="E320" s="10" t="n"/>
      <c r="F320" s="11" t="n"/>
      <c r="G320" s="12">
        <f>IF($F320="","",IF($F320&gt;31,$F320,IF($AB320="","",DATE(YEAR($AB320),MONTH($AB320),$F320))))</f>
        <v/>
      </c>
      <c r="H320" s="9" t="n"/>
      <c r="I320" s="11" t="n"/>
      <c r="J320" s="12">
        <f>IF($I320="","",IF($I320&gt;31,$I320,IF($G320="","",IF(DATE(YEAR($G320),MONTH($G320),$I320)&gt;=$G320,DATE(YEAR($G320),MONTH($G320),$I320),DATE(YEAR($G320),MONTH($G320)+1,$I320)))))</f>
        <v/>
      </c>
      <c r="K320" s="9" t="n"/>
      <c r="L320" s="13" t="n"/>
      <c r="M320" s="13" t="n"/>
      <c r="N320" s="13" t="n"/>
      <c r="O320" s="8">
        <f>IF(OR($G320="",$J320=""),"",$J320-$G320+1)</f>
        <v/>
      </c>
      <c r="P320" s="8">
        <f>IF(OR($G320="",$J320=""),"",$J320-$G320)</f>
        <v/>
      </c>
      <c r="Q320" s="9" t="n"/>
      <c r="R320" s="9" t="n"/>
      <c r="S320" s="9" t="n"/>
      <c r="T320" s="9" t="n"/>
      <c r="U320" s="9" t="n"/>
      <c r="V320" s="9" t="n"/>
      <c r="W320" s="14" t="n"/>
      <c r="X320" s="9" t="n"/>
      <c r="Y320" s="8">
        <f>IF($G320="","",IF($D320="","⚠部屋が未選択",IF(COUNTIF('M_部屋'!$A$4:$A$20,$D320)=0,"⚠部屋が未登録",IF(OR($J320="",$Q320="キャンセル"),"",IF(SUMPRODUCT(($D$5:$D$404=$D320)*($G$5:$G$404&lt;&gt;"")*($J$5:$J$404&lt;&gt;"")*($Q$5:$Q$404&lt;&gt;"キャンセル")*($G$5:$G$404&lt;$J320)*($J$5:$J$404&gt;$G320))&gt;1,"⚠重複","")))))</f>
        <v/>
      </c>
      <c r="Z320" s="8">
        <f>IF(OR($B320="",$G320=""),"",IF(SUMPRODUCT(('利用者マスタ'!$A$4:$A$60=$B320)*('利用者マスタ'!$B$4:$B$60&lt;&gt;""))=0,"",IF(SUMIFS($AA$5:$AA$404,$B$5:$B$404,$B320,$G$5:$G$404,"&gt;="&amp;DATE(YEAR($G320),MONTH($G320),1),$G$5:$G$404,"&lt;="&amp;EOMONTH($G320,0))&gt;SUMIFS('利用者マスタ'!$B$4:$B$60,'利用者マスタ'!$A$4:$A$60,$B320),"⚠支給量超過","")))</f>
        <v/>
      </c>
      <c r="AA320" s="8">
        <f>IF(OR($G320="",$J320="",$Q320="キャンセル"),0,IF(IFERROR(INDEX('M_区分'!$B$4:$B$20,MATCH($C320,'M_区分'!$A$4:$A$20,0)),"○")="○",$J320-$G320+1,0))</f>
        <v/>
      </c>
      <c r="AB320" s="8">
        <f>IF($E320&lt;&gt;"",$E320,$AB319)</f>
        <v/>
      </c>
      <c r="AC320" s="8">
        <f>IF(OR($G320="",$J320=""),"",IF(AND($G320&lt;=EOMONTH('02_カレンダー'!$B$4,0),$J320&gt;='02_カレンダー'!$B$4),$G320*10000+ROW(),""))</f>
        <v/>
      </c>
      <c r="AD320" s="8">
        <f>IF($H320="","",IF(ISNUMBER($H320),IF(AND($H320=INT($H320),$H320&gt;=0,$H320&lt;=24),TEXT(INT($H320),"00")&amp;":00",TEXT($H320,"hh:mm")),$H320))</f>
        <v/>
      </c>
      <c r="AE320" s="8">
        <f>IF($K320="","",IF(ISNUMBER($K320),IF(AND($K320=INT($K320),$K320&gt;=0,$K320&lt;=24),TEXT(INT($K320),"00")&amp;":00",TEXT($K320,"hh:mm")),$K320))</f>
        <v/>
      </c>
      <c r="AF320" s="8">
        <f>IF($G320="",0,$G320)</f>
        <v/>
      </c>
      <c r="AG320" s="8">
        <f>IF($J320="",0,$J320)</f>
        <v/>
      </c>
    </row>
    <row r="321">
      <c r="A321" s="8">
        <f>IF($G321="","","SS-"&amp;TEXT(ROW()-4,"0000"))</f>
        <v/>
      </c>
      <c r="B321" s="9" t="n"/>
      <c r="C321" s="9" t="n"/>
      <c r="D321" s="9" t="n"/>
      <c r="E321" s="10" t="n"/>
      <c r="F321" s="11" t="n"/>
      <c r="G321" s="12">
        <f>IF($F321="","",IF($F321&gt;31,$F321,IF($AB321="","",DATE(YEAR($AB321),MONTH($AB321),$F321))))</f>
        <v/>
      </c>
      <c r="H321" s="9" t="n"/>
      <c r="I321" s="11" t="n"/>
      <c r="J321" s="12">
        <f>IF($I321="","",IF($I321&gt;31,$I321,IF($G321="","",IF(DATE(YEAR($G321),MONTH($G321),$I321)&gt;=$G321,DATE(YEAR($G321),MONTH($G321),$I321),DATE(YEAR($G321),MONTH($G321)+1,$I321)))))</f>
        <v/>
      </c>
      <c r="K321" s="9" t="n"/>
      <c r="L321" s="13" t="n"/>
      <c r="M321" s="13" t="n"/>
      <c r="N321" s="13" t="n"/>
      <c r="O321" s="8">
        <f>IF(OR($G321="",$J321=""),"",$J321-$G321+1)</f>
        <v/>
      </c>
      <c r="P321" s="8">
        <f>IF(OR($G321="",$J321=""),"",$J321-$G321)</f>
        <v/>
      </c>
      <c r="Q321" s="9" t="n"/>
      <c r="R321" s="9" t="n"/>
      <c r="S321" s="9" t="n"/>
      <c r="T321" s="9" t="n"/>
      <c r="U321" s="9" t="n"/>
      <c r="V321" s="9" t="n"/>
      <c r="W321" s="14" t="n"/>
      <c r="X321" s="9" t="n"/>
      <c r="Y321" s="8">
        <f>IF($G321="","",IF($D321="","⚠部屋が未選択",IF(COUNTIF('M_部屋'!$A$4:$A$20,$D321)=0,"⚠部屋が未登録",IF(OR($J321="",$Q321="キャンセル"),"",IF(SUMPRODUCT(($D$5:$D$404=$D321)*($G$5:$G$404&lt;&gt;"")*($J$5:$J$404&lt;&gt;"")*($Q$5:$Q$404&lt;&gt;"キャンセル")*($G$5:$G$404&lt;$J321)*($J$5:$J$404&gt;$G321))&gt;1,"⚠重複","")))))</f>
        <v/>
      </c>
      <c r="Z321" s="8">
        <f>IF(OR($B321="",$G321=""),"",IF(SUMPRODUCT(('利用者マスタ'!$A$4:$A$60=$B321)*('利用者マスタ'!$B$4:$B$60&lt;&gt;""))=0,"",IF(SUMIFS($AA$5:$AA$404,$B$5:$B$404,$B321,$G$5:$G$404,"&gt;="&amp;DATE(YEAR($G321),MONTH($G321),1),$G$5:$G$404,"&lt;="&amp;EOMONTH($G321,0))&gt;SUMIFS('利用者マスタ'!$B$4:$B$60,'利用者マスタ'!$A$4:$A$60,$B321),"⚠支給量超過","")))</f>
        <v/>
      </c>
      <c r="AA321" s="8">
        <f>IF(OR($G321="",$J321="",$Q321="キャンセル"),0,IF(IFERROR(INDEX('M_区分'!$B$4:$B$20,MATCH($C321,'M_区分'!$A$4:$A$20,0)),"○")="○",$J321-$G321+1,0))</f>
        <v/>
      </c>
      <c r="AB321" s="8">
        <f>IF($E321&lt;&gt;"",$E321,$AB320)</f>
        <v/>
      </c>
      <c r="AC321" s="8">
        <f>IF(OR($G321="",$J321=""),"",IF(AND($G321&lt;=EOMONTH('02_カレンダー'!$B$4,0),$J321&gt;='02_カレンダー'!$B$4),$G321*10000+ROW(),""))</f>
        <v/>
      </c>
      <c r="AD321" s="8">
        <f>IF($H321="","",IF(ISNUMBER($H321),IF(AND($H321=INT($H321),$H321&gt;=0,$H321&lt;=24),TEXT(INT($H321),"00")&amp;":00",TEXT($H321,"hh:mm")),$H321))</f>
        <v/>
      </c>
      <c r="AE321" s="8">
        <f>IF($K321="","",IF(ISNUMBER($K321),IF(AND($K321=INT($K321),$K321&gt;=0,$K321&lt;=24),TEXT(INT($K321),"00")&amp;":00",TEXT($K321,"hh:mm")),$K321))</f>
        <v/>
      </c>
      <c r="AF321" s="8">
        <f>IF($G321="",0,$G321)</f>
        <v/>
      </c>
      <c r="AG321" s="8">
        <f>IF($J321="",0,$J321)</f>
        <v/>
      </c>
    </row>
    <row r="322">
      <c r="A322" s="8">
        <f>IF($G322="","","SS-"&amp;TEXT(ROW()-4,"0000"))</f>
        <v/>
      </c>
      <c r="B322" s="9" t="n"/>
      <c r="C322" s="9" t="n"/>
      <c r="D322" s="9" t="n"/>
      <c r="E322" s="10" t="n"/>
      <c r="F322" s="11" t="n"/>
      <c r="G322" s="12">
        <f>IF($F322="","",IF($F322&gt;31,$F322,IF($AB322="","",DATE(YEAR($AB322),MONTH($AB322),$F322))))</f>
        <v/>
      </c>
      <c r="H322" s="9" t="n"/>
      <c r="I322" s="11" t="n"/>
      <c r="J322" s="12">
        <f>IF($I322="","",IF($I322&gt;31,$I322,IF($G322="","",IF(DATE(YEAR($G322),MONTH($G322),$I322)&gt;=$G322,DATE(YEAR($G322),MONTH($G322),$I322),DATE(YEAR($G322),MONTH($G322)+1,$I322)))))</f>
        <v/>
      </c>
      <c r="K322" s="9" t="n"/>
      <c r="L322" s="13" t="n"/>
      <c r="M322" s="13" t="n"/>
      <c r="N322" s="13" t="n"/>
      <c r="O322" s="8">
        <f>IF(OR($G322="",$J322=""),"",$J322-$G322+1)</f>
        <v/>
      </c>
      <c r="P322" s="8">
        <f>IF(OR($G322="",$J322=""),"",$J322-$G322)</f>
        <v/>
      </c>
      <c r="Q322" s="9" t="n"/>
      <c r="R322" s="9" t="n"/>
      <c r="S322" s="9" t="n"/>
      <c r="T322" s="9" t="n"/>
      <c r="U322" s="9" t="n"/>
      <c r="V322" s="9" t="n"/>
      <c r="W322" s="14" t="n"/>
      <c r="X322" s="9" t="n"/>
      <c r="Y322" s="8">
        <f>IF($G322="","",IF($D322="","⚠部屋が未選択",IF(COUNTIF('M_部屋'!$A$4:$A$20,$D322)=0,"⚠部屋が未登録",IF(OR($J322="",$Q322="キャンセル"),"",IF(SUMPRODUCT(($D$5:$D$404=$D322)*($G$5:$G$404&lt;&gt;"")*($J$5:$J$404&lt;&gt;"")*($Q$5:$Q$404&lt;&gt;"キャンセル")*($G$5:$G$404&lt;$J322)*($J$5:$J$404&gt;$G322))&gt;1,"⚠重複","")))))</f>
        <v/>
      </c>
      <c r="Z322" s="8">
        <f>IF(OR($B322="",$G322=""),"",IF(SUMPRODUCT(('利用者マスタ'!$A$4:$A$60=$B322)*('利用者マスタ'!$B$4:$B$60&lt;&gt;""))=0,"",IF(SUMIFS($AA$5:$AA$404,$B$5:$B$404,$B322,$G$5:$G$404,"&gt;="&amp;DATE(YEAR($G322),MONTH($G322),1),$G$5:$G$404,"&lt;="&amp;EOMONTH($G322,0))&gt;SUMIFS('利用者マスタ'!$B$4:$B$60,'利用者マスタ'!$A$4:$A$60,$B322),"⚠支給量超過","")))</f>
        <v/>
      </c>
      <c r="AA322" s="8">
        <f>IF(OR($G322="",$J322="",$Q322="キャンセル"),0,IF(IFERROR(INDEX('M_区分'!$B$4:$B$20,MATCH($C322,'M_区分'!$A$4:$A$20,0)),"○")="○",$J322-$G322+1,0))</f>
        <v/>
      </c>
      <c r="AB322" s="8">
        <f>IF($E322&lt;&gt;"",$E322,$AB321)</f>
        <v/>
      </c>
      <c r="AC322" s="8">
        <f>IF(OR($G322="",$J322=""),"",IF(AND($G322&lt;=EOMONTH('02_カレンダー'!$B$4,0),$J322&gt;='02_カレンダー'!$B$4),$G322*10000+ROW(),""))</f>
        <v/>
      </c>
      <c r="AD322" s="8">
        <f>IF($H322="","",IF(ISNUMBER($H322),IF(AND($H322=INT($H322),$H322&gt;=0,$H322&lt;=24),TEXT(INT($H322),"00")&amp;":00",TEXT($H322,"hh:mm")),$H322))</f>
        <v/>
      </c>
      <c r="AE322" s="8">
        <f>IF($K322="","",IF(ISNUMBER($K322),IF(AND($K322=INT($K322),$K322&gt;=0,$K322&lt;=24),TEXT(INT($K322),"00")&amp;":00",TEXT($K322,"hh:mm")),$K322))</f>
        <v/>
      </c>
      <c r="AF322" s="8">
        <f>IF($G322="",0,$G322)</f>
        <v/>
      </c>
      <c r="AG322" s="8">
        <f>IF($J322="",0,$J322)</f>
        <v/>
      </c>
    </row>
    <row r="323">
      <c r="A323" s="8">
        <f>IF($G323="","","SS-"&amp;TEXT(ROW()-4,"0000"))</f>
        <v/>
      </c>
      <c r="B323" s="9" t="n"/>
      <c r="C323" s="9" t="n"/>
      <c r="D323" s="9" t="n"/>
      <c r="E323" s="10" t="n"/>
      <c r="F323" s="11" t="n"/>
      <c r="G323" s="12">
        <f>IF($F323="","",IF($F323&gt;31,$F323,IF($AB323="","",DATE(YEAR($AB323),MONTH($AB323),$F323))))</f>
        <v/>
      </c>
      <c r="H323" s="9" t="n"/>
      <c r="I323" s="11" t="n"/>
      <c r="J323" s="12">
        <f>IF($I323="","",IF($I323&gt;31,$I323,IF($G323="","",IF(DATE(YEAR($G323),MONTH($G323),$I323)&gt;=$G323,DATE(YEAR($G323),MONTH($G323),$I323),DATE(YEAR($G323),MONTH($G323)+1,$I323)))))</f>
        <v/>
      </c>
      <c r="K323" s="9" t="n"/>
      <c r="L323" s="13" t="n"/>
      <c r="M323" s="13" t="n"/>
      <c r="N323" s="13" t="n"/>
      <c r="O323" s="8">
        <f>IF(OR($G323="",$J323=""),"",$J323-$G323+1)</f>
        <v/>
      </c>
      <c r="P323" s="8">
        <f>IF(OR($G323="",$J323=""),"",$J323-$G323)</f>
        <v/>
      </c>
      <c r="Q323" s="9" t="n"/>
      <c r="R323" s="9" t="n"/>
      <c r="S323" s="9" t="n"/>
      <c r="T323" s="9" t="n"/>
      <c r="U323" s="9" t="n"/>
      <c r="V323" s="9" t="n"/>
      <c r="W323" s="14" t="n"/>
      <c r="X323" s="9" t="n"/>
      <c r="Y323" s="8">
        <f>IF($G323="","",IF($D323="","⚠部屋が未選択",IF(COUNTIF('M_部屋'!$A$4:$A$20,$D323)=0,"⚠部屋が未登録",IF(OR($J323="",$Q323="キャンセル"),"",IF(SUMPRODUCT(($D$5:$D$404=$D323)*($G$5:$G$404&lt;&gt;"")*($J$5:$J$404&lt;&gt;"")*($Q$5:$Q$404&lt;&gt;"キャンセル")*($G$5:$G$404&lt;$J323)*($J$5:$J$404&gt;$G323))&gt;1,"⚠重複","")))))</f>
        <v/>
      </c>
      <c r="Z323" s="8">
        <f>IF(OR($B323="",$G323=""),"",IF(SUMPRODUCT(('利用者マスタ'!$A$4:$A$60=$B323)*('利用者マスタ'!$B$4:$B$60&lt;&gt;""))=0,"",IF(SUMIFS($AA$5:$AA$404,$B$5:$B$404,$B323,$G$5:$G$404,"&gt;="&amp;DATE(YEAR($G323),MONTH($G323),1),$G$5:$G$404,"&lt;="&amp;EOMONTH($G323,0))&gt;SUMIFS('利用者マスタ'!$B$4:$B$60,'利用者マスタ'!$A$4:$A$60,$B323),"⚠支給量超過","")))</f>
        <v/>
      </c>
      <c r="AA323" s="8">
        <f>IF(OR($G323="",$J323="",$Q323="キャンセル"),0,IF(IFERROR(INDEX('M_区分'!$B$4:$B$20,MATCH($C323,'M_区分'!$A$4:$A$20,0)),"○")="○",$J323-$G323+1,0))</f>
        <v/>
      </c>
      <c r="AB323" s="8">
        <f>IF($E323&lt;&gt;"",$E323,$AB322)</f>
        <v/>
      </c>
      <c r="AC323" s="8">
        <f>IF(OR($G323="",$J323=""),"",IF(AND($G323&lt;=EOMONTH('02_カレンダー'!$B$4,0),$J323&gt;='02_カレンダー'!$B$4),$G323*10000+ROW(),""))</f>
        <v/>
      </c>
      <c r="AD323" s="8">
        <f>IF($H323="","",IF(ISNUMBER($H323),IF(AND($H323=INT($H323),$H323&gt;=0,$H323&lt;=24),TEXT(INT($H323),"00")&amp;":00",TEXT($H323,"hh:mm")),$H323))</f>
        <v/>
      </c>
      <c r="AE323" s="8">
        <f>IF($K323="","",IF(ISNUMBER($K323),IF(AND($K323=INT($K323),$K323&gt;=0,$K323&lt;=24),TEXT(INT($K323),"00")&amp;":00",TEXT($K323,"hh:mm")),$K323))</f>
        <v/>
      </c>
      <c r="AF323" s="8">
        <f>IF($G323="",0,$G323)</f>
        <v/>
      </c>
      <c r="AG323" s="8">
        <f>IF($J323="",0,$J323)</f>
        <v/>
      </c>
    </row>
    <row r="324">
      <c r="A324" s="8">
        <f>IF($G324="","","SS-"&amp;TEXT(ROW()-4,"0000"))</f>
        <v/>
      </c>
      <c r="B324" s="9" t="n"/>
      <c r="C324" s="9" t="n"/>
      <c r="D324" s="9" t="n"/>
      <c r="E324" s="10" t="n"/>
      <c r="F324" s="11" t="n"/>
      <c r="G324" s="12">
        <f>IF($F324="","",IF($F324&gt;31,$F324,IF($AB324="","",DATE(YEAR($AB324),MONTH($AB324),$F324))))</f>
        <v/>
      </c>
      <c r="H324" s="9" t="n"/>
      <c r="I324" s="11" t="n"/>
      <c r="J324" s="12">
        <f>IF($I324="","",IF($I324&gt;31,$I324,IF($G324="","",IF(DATE(YEAR($G324),MONTH($G324),$I324)&gt;=$G324,DATE(YEAR($G324),MONTH($G324),$I324),DATE(YEAR($G324),MONTH($G324)+1,$I324)))))</f>
        <v/>
      </c>
      <c r="K324" s="9" t="n"/>
      <c r="L324" s="13" t="n"/>
      <c r="M324" s="13" t="n"/>
      <c r="N324" s="13" t="n"/>
      <c r="O324" s="8">
        <f>IF(OR($G324="",$J324=""),"",$J324-$G324+1)</f>
        <v/>
      </c>
      <c r="P324" s="8">
        <f>IF(OR($G324="",$J324=""),"",$J324-$G324)</f>
        <v/>
      </c>
      <c r="Q324" s="9" t="n"/>
      <c r="R324" s="9" t="n"/>
      <c r="S324" s="9" t="n"/>
      <c r="T324" s="9" t="n"/>
      <c r="U324" s="9" t="n"/>
      <c r="V324" s="9" t="n"/>
      <c r="W324" s="14" t="n"/>
      <c r="X324" s="9" t="n"/>
      <c r="Y324" s="8">
        <f>IF($G324="","",IF($D324="","⚠部屋が未選択",IF(COUNTIF('M_部屋'!$A$4:$A$20,$D324)=0,"⚠部屋が未登録",IF(OR($J324="",$Q324="キャンセル"),"",IF(SUMPRODUCT(($D$5:$D$404=$D324)*($G$5:$G$404&lt;&gt;"")*($J$5:$J$404&lt;&gt;"")*($Q$5:$Q$404&lt;&gt;"キャンセル")*($G$5:$G$404&lt;$J324)*($J$5:$J$404&gt;$G324))&gt;1,"⚠重複","")))))</f>
        <v/>
      </c>
      <c r="Z324" s="8">
        <f>IF(OR($B324="",$G324=""),"",IF(SUMPRODUCT(('利用者マスタ'!$A$4:$A$60=$B324)*('利用者マスタ'!$B$4:$B$60&lt;&gt;""))=0,"",IF(SUMIFS($AA$5:$AA$404,$B$5:$B$404,$B324,$G$5:$G$404,"&gt;="&amp;DATE(YEAR($G324),MONTH($G324),1),$G$5:$G$404,"&lt;="&amp;EOMONTH($G324,0))&gt;SUMIFS('利用者マスタ'!$B$4:$B$60,'利用者マスタ'!$A$4:$A$60,$B324),"⚠支給量超過","")))</f>
        <v/>
      </c>
      <c r="AA324" s="8">
        <f>IF(OR($G324="",$J324="",$Q324="キャンセル"),0,IF(IFERROR(INDEX('M_区分'!$B$4:$B$20,MATCH($C324,'M_区分'!$A$4:$A$20,0)),"○")="○",$J324-$G324+1,0))</f>
        <v/>
      </c>
      <c r="AB324" s="8">
        <f>IF($E324&lt;&gt;"",$E324,$AB323)</f>
        <v/>
      </c>
      <c r="AC324" s="8">
        <f>IF(OR($G324="",$J324=""),"",IF(AND($G324&lt;=EOMONTH('02_カレンダー'!$B$4,0),$J324&gt;='02_カレンダー'!$B$4),$G324*10000+ROW(),""))</f>
        <v/>
      </c>
      <c r="AD324" s="8">
        <f>IF($H324="","",IF(ISNUMBER($H324),IF(AND($H324=INT($H324),$H324&gt;=0,$H324&lt;=24),TEXT(INT($H324),"00")&amp;":00",TEXT($H324,"hh:mm")),$H324))</f>
        <v/>
      </c>
      <c r="AE324" s="8">
        <f>IF($K324="","",IF(ISNUMBER($K324),IF(AND($K324=INT($K324),$K324&gt;=0,$K324&lt;=24),TEXT(INT($K324),"00")&amp;":00",TEXT($K324,"hh:mm")),$K324))</f>
        <v/>
      </c>
      <c r="AF324" s="8">
        <f>IF($G324="",0,$G324)</f>
        <v/>
      </c>
      <c r="AG324" s="8">
        <f>IF($J324="",0,$J324)</f>
        <v/>
      </c>
    </row>
    <row r="325">
      <c r="A325" s="8">
        <f>IF($G325="","","SS-"&amp;TEXT(ROW()-4,"0000"))</f>
        <v/>
      </c>
      <c r="B325" s="9" t="n"/>
      <c r="C325" s="9" t="n"/>
      <c r="D325" s="9" t="n"/>
      <c r="E325" s="10" t="n"/>
      <c r="F325" s="11" t="n"/>
      <c r="G325" s="12">
        <f>IF($F325="","",IF($F325&gt;31,$F325,IF($AB325="","",DATE(YEAR($AB325),MONTH($AB325),$F325))))</f>
        <v/>
      </c>
      <c r="H325" s="9" t="n"/>
      <c r="I325" s="11" t="n"/>
      <c r="J325" s="12">
        <f>IF($I325="","",IF($I325&gt;31,$I325,IF($G325="","",IF(DATE(YEAR($G325),MONTH($G325),$I325)&gt;=$G325,DATE(YEAR($G325),MONTH($G325),$I325),DATE(YEAR($G325),MONTH($G325)+1,$I325)))))</f>
        <v/>
      </c>
      <c r="K325" s="9" t="n"/>
      <c r="L325" s="13" t="n"/>
      <c r="M325" s="13" t="n"/>
      <c r="N325" s="13" t="n"/>
      <c r="O325" s="8">
        <f>IF(OR($G325="",$J325=""),"",$J325-$G325+1)</f>
        <v/>
      </c>
      <c r="P325" s="8">
        <f>IF(OR($G325="",$J325=""),"",$J325-$G325)</f>
        <v/>
      </c>
      <c r="Q325" s="9" t="n"/>
      <c r="R325" s="9" t="n"/>
      <c r="S325" s="9" t="n"/>
      <c r="T325" s="9" t="n"/>
      <c r="U325" s="9" t="n"/>
      <c r="V325" s="9" t="n"/>
      <c r="W325" s="14" t="n"/>
      <c r="X325" s="9" t="n"/>
      <c r="Y325" s="8">
        <f>IF($G325="","",IF($D325="","⚠部屋が未選択",IF(COUNTIF('M_部屋'!$A$4:$A$20,$D325)=0,"⚠部屋が未登録",IF(OR($J325="",$Q325="キャンセル"),"",IF(SUMPRODUCT(($D$5:$D$404=$D325)*($G$5:$G$404&lt;&gt;"")*($J$5:$J$404&lt;&gt;"")*($Q$5:$Q$404&lt;&gt;"キャンセル")*($G$5:$G$404&lt;$J325)*($J$5:$J$404&gt;$G325))&gt;1,"⚠重複","")))))</f>
        <v/>
      </c>
      <c r="Z325" s="8">
        <f>IF(OR($B325="",$G325=""),"",IF(SUMPRODUCT(('利用者マスタ'!$A$4:$A$60=$B325)*('利用者マスタ'!$B$4:$B$60&lt;&gt;""))=0,"",IF(SUMIFS($AA$5:$AA$404,$B$5:$B$404,$B325,$G$5:$G$404,"&gt;="&amp;DATE(YEAR($G325),MONTH($G325),1),$G$5:$G$404,"&lt;="&amp;EOMONTH($G325,0))&gt;SUMIFS('利用者マスタ'!$B$4:$B$60,'利用者マスタ'!$A$4:$A$60,$B325),"⚠支給量超過","")))</f>
        <v/>
      </c>
      <c r="AA325" s="8">
        <f>IF(OR($G325="",$J325="",$Q325="キャンセル"),0,IF(IFERROR(INDEX('M_区分'!$B$4:$B$20,MATCH($C325,'M_区分'!$A$4:$A$20,0)),"○")="○",$J325-$G325+1,0))</f>
        <v/>
      </c>
      <c r="AB325" s="8">
        <f>IF($E325&lt;&gt;"",$E325,$AB324)</f>
        <v/>
      </c>
      <c r="AC325" s="8">
        <f>IF(OR($G325="",$J325=""),"",IF(AND($G325&lt;=EOMONTH('02_カレンダー'!$B$4,0),$J325&gt;='02_カレンダー'!$B$4),$G325*10000+ROW(),""))</f>
        <v/>
      </c>
      <c r="AD325" s="8">
        <f>IF($H325="","",IF(ISNUMBER($H325),IF(AND($H325=INT($H325),$H325&gt;=0,$H325&lt;=24),TEXT(INT($H325),"00")&amp;":00",TEXT($H325,"hh:mm")),$H325))</f>
        <v/>
      </c>
      <c r="AE325" s="8">
        <f>IF($K325="","",IF(ISNUMBER($K325),IF(AND($K325=INT($K325),$K325&gt;=0,$K325&lt;=24),TEXT(INT($K325),"00")&amp;":00",TEXT($K325,"hh:mm")),$K325))</f>
        <v/>
      </c>
      <c r="AF325" s="8">
        <f>IF($G325="",0,$G325)</f>
        <v/>
      </c>
      <c r="AG325" s="8">
        <f>IF($J325="",0,$J325)</f>
        <v/>
      </c>
    </row>
    <row r="326">
      <c r="A326" s="8">
        <f>IF($G326="","","SS-"&amp;TEXT(ROW()-4,"0000"))</f>
        <v/>
      </c>
      <c r="B326" s="9" t="n"/>
      <c r="C326" s="9" t="n"/>
      <c r="D326" s="9" t="n"/>
      <c r="E326" s="10" t="n"/>
      <c r="F326" s="11" t="n"/>
      <c r="G326" s="12">
        <f>IF($F326="","",IF($F326&gt;31,$F326,IF($AB326="","",DATE(YEAR($AB326),MONTH($AB326),$F326))))</f>
        <v/>
      </c>
      <c r="H326" s="9" t="n"/>
      <c r="I326" s="11" t="n"/>
      <c r="J326" s="12">
        <f>IF($I326="","",IF($I326&gt;31,$I326,IF($G326="","",IF(DATE(YEAR($G326),MONTH($G326),$I326)&gt;=$G326,DATE(YEAR($G326),MONTH($G326),$I326),DATE(YEAR($G326),MONTH($G326)+1,$I326)))))</f>
        <v/>
      </c>
      <c r="K326" s="9" t="n"/>
      <c r="L326" s="13" t="n"/>
      <c r="M326" s="13" t="n"/>
      <c r="N326" s="13" t="n"/>
      <c r="O326" s="8">
        <f>IF(OR($G326="",$J326=""),"",$J326-$G326+1)</f>
        <v/>
      </c>
      <c r="P326" s="8">
        <f>IF(OR($G326="",$J326=""),"",$J326-$G326)</f>
        <v/>
      </c>
      <c r="Q326" s="9" t="n"/>
      <c r="R326" s="9" t="n"/>
      <c r="S326" s="9" t="n"/>
      <c r="T326" s="9" t="n"/>
      <c r="U326" s="9" t="n"/>
      <c r="V326" s="9" t="n"/>
      <c r="W326" s="14" t="n"/>
      <c r="X326" s="9" t="n"/>
      <c r="Y326" s="8">
        <f>IF($G326="","",IF($D326="","⚠部屋が未選択",IF(COUNTIF('M_部屋'!$A$4:$A$20,$D326)=0,"⚠部屋が未登録",IF(OR($J326="",$Q326="キャンセル"),"",IF(SUMPRODUCT(($D$5:$D$404=$D326)*($G$5:$G$404&lt;&gt;"")*($J$5:$J$404&lt;&gt;"")*($Q$5:$Q$404&lt;&gt;"キャンセル")*($G$5:$G$404&lt;$J326)*($J$5:$J$404&gt;$G326))&gt;1,"⚠重複","")))))</f>
        <v/>
      </c>
      <c r="Z326" s="8">
        <f>IF(OR($B326="",$G326=""),"",IF(SUMPRODUCT(('利用者マスタ'!$A$4:$A$60=$B326)*('利用者マスタ'!$B$4:$B$60&lt;&gt;""))=0,"",IF(SUMIFS($AA$5:$AA$404,$B$5:$B$404,$B326,$G$5:$G$404,"&gt;="&amp;DATE(YEAR($G326),MONTH($G326),1),$G$5:$G$404,"&lt;="&amp;EOMONTH($G326,0))&gt;SUMIFS('利用者マスタ'!$B$4:$B$60,'利用者マスタ'!$A$4:$A$60,$B326),"⚠支給量超過","")))</f>
        <v/>
      </c>
      <c r="AA326" s="8">
        <f>IF(OR($G326="",$J326="",$Q326="キャンセル"),0,IF(IFERROR(INDEX('M_区分'!$B$4:$B$20,MATCH($C326,'M_区分'!$A$4:$A$20,0)),"○")="○",$J326-$G326+1,0))</f>
        <v/>
      </c>
      <c r="AB326" s="8">
        <f>IF($E326&lt;&gt;"",$E326,$AB325)</f>
        <v/>
      </c>
      <c r="AC326" s="8">
        <f>IF(OR($G326="",$J326=""),"",IF(AND($G326&lt;=EOMONTH('02_カレンダー'!$B$4,0),$J326&gt;='02_カレンダー'!$B$4),$G326*10000+ROW(),""))</f>
        <v/>
      </c>
      <c r="AD326" s="8">
        <f>IF($H326="","",IF(ISNUMBER($H326),IF(AND($H326=INT($H326),$H326&gt;=0,$H326&lt;=24),TEXT(INT($H326),"00")&amp;":00",TEXT($H326,"hh:mm")),$H326))</f>
        <v/>
      </c>
      <c r="AE326" s="8">
        <f>IF($K326="","",IF(ISNUMBER($K326),IF(AND($K326=INT($K326),$K326&gt;=0,$K326&lt;=24),TEXT(INT($K326),"00")&amp;":00",TEXT($K326,"hh:mm")),$K326))</f>
        <v/>
      </c>
      <c r="AF326" s="8">
        <f>IF($G326="",0,$G326)</f>
        <v/>
      </c>
      <c r="AG326" s="8">
        <f>IF($J326="",0,$J326)</f>
        <v/>
      </c>
    </row>
    <row r="327">
      <c r="A327" s="8">
        <f>IF($G327="","","SS-"&amp;TEXT(ROW()-4,"0000"))</f>
        <v/>
      </c>
      <c r="B327" s="9" t="n"/>
      <c r="C327" s="9" t="n"/>
      <c r="D327" s="9" t="n"/>
      <c r="E327" s="10" t="n"/>
      <c r="F327" s="11" t="n"/>
      <c r="G327" s="12">
        <f>IF($F327="","",IF($F327&gt;31,$F327,IF($AB327="","",DATE(YEAR($AB327),MONTH($AB327),$F327))))</f>
        <v/>
      </c>
      <c r="H327" s="9" t="n"/>
      <c r="I327" s="11" t="n"/>
      <c r="J327" s="12">
        <f>IF($I327="","",IF($I327&gt;31,$I327,IF($G327="","",IF(DATE(YEAR($G327),MONTH($G327),$I327)&gt;=$G327,DATE(YEAR($G327),MONTH($G327),$I327),DATE(YEAR($G327),MONTH($G327)+1,$I327)))))</f>
        <v/>
      </c>
      <c r="K327" s="9" t="n"/>
      <c r="L327" s="13" t="n"/>
      <c r="M327" s="13" t="n"/>
      <c r="N327" s="13" t="n"/>
      <c r="O327" s="8">
        <f>IF(OR($G327="",$J327=""),"",$J327-$G327+1)</f>
        <v/>
      </c>
      <c r="P327" s="8">
        <f>IF(OR($G327="",$J327=""),"",$J327-$G327)</f>
        <v/>
      </c>
      <c r="Q327" s="9" t="n"/>
      <c r="R327" s="9" t="n"/>
      <c r="S327" s="9" t="n"/>
      <c r="T327" s="9" t="n"/>
      <c r="U327" s="9" t="n"/>
      <c r="V327" s="9" t="n"/>
      <c r="W327" s="14" t="n"/>
      <c r="X327" s="9" t="n"/>
      <c r="Y327" s="8">
        <f>IF($G327="","",IF($D327="","⚠部屋が未選択",IF(COUNTIF('M_部屋'!$A$4:$A$20,$D327)=0,"⚠部屋が未登録",IF(OR($J327="",$Q327="キャンセル"),"",IF(SUMPRODUCT(($D$5:$D$404=$D327)*($G$5:$G$404&lt;&gt;"")*($J$5:$J$404&lt;&gt;"")*($Q$5:$Q$404&lt;&gt;"キャンセル")*($G$5:$G$404&lt;$J327)*($J$5:$J$404&gt;$G327))&gt;1,"⚠重複","")))))</f>
        <v/>
      </c>
      <c r="Z327" s="8">
        <f>IF(OR($B327="",$G327=""),"",IF(SUMPRODUCT(('利用者マスタ'!$A$4:$A$60=$B327)*('利用者マスタ'!$B$4:$B$60&lt;&gt;""))=0,"",IF(SUMIFS($AA$5:$AA$404,$B$5:$B$404,$B327,$G$5:$G$404,"&gt;="&amp;DATE(YEAR($G327),MONTH($G327),1),$G$5:$G$404,"&lt;="&amp;EOMONTH($G327,0))&gt;SUMIFS('利用者マスタ'!$B$4:$B$60,'利用者マスタ'!$A$4:$A$60,$B327),"⚠支給量超過","")))</f>
        <v/>
      </c>
      <c r="AA327" s="8">
        <f>IF(OR($G327="",$J327="",$Q327="キャンセル"),0,IF(IFERROR(INDEX('M_区分'!$B$4:$B$20,MATCH($C327,'M_区分'!$A$4:$A$20,0)),"○")="○",$J327-$G327+1,0))</f>
        <v/>
      </c>
      <c r="AB327" s="8">
        <f>IF($E327&lt;&gt;"",$E327,$AB326)</f>
        <v/>
      </c>
      <c r="AC327" s="8">
        <f>IF(OR($G327="",$J327=""),"",IF(AND($G327&lt;=EOMONTH('02_カレンダー'!$B$4,0),$J327&gt;='02_カレンダー'!$B$4),$G327*10000+ROW(),""))</f>
        <v/>
      </c>
      <c r="AD327" s="8">
        <f>IF($H327="","",IF(ISNUMBER($H327),IF(AND($H327=INT($H327),$H327&gt;=0,$H327&lt;=24),TEXT(INT($H327),"00")&amp;":00",TEXT($H327,"hh:mm")),$H327))</f>
        <v/>
      </c>
      <c r="AE327" s="8">
        <f>IF($K327="","",IF(ISNUMBER($K327),IF(AND($K327=INT($K327),$K327&gt;=0,$K327&lt;=24),TEXT(INT($K327),"00")&amp;":00",TEXT($K327,"hh:mm")),$K327))</f>
        <v/>
      </c>
      <c r="AF327" s="8">
        <f>IF($G327="",0,$G327)</f>
        <v/>
      </c>
      <c r="AG327" s="8">
        <f>IF($J327="",0,$J327)</f>
        <v/>
      </c>
    </row>
    <row r="328">
      <c r="A328" s="8">
        <f>IF($G328="","","SS-"&amp;TEXT(ROW()-4,"0000"))</f>
        <v/>
      </c>
      <c r="B328" s="9" t="n"/>
      <c r="C328" s="9" t="n"/>
      <c r="D328" s="9" t="n"/>
      <c r="E328" s="10" t="n"/>
      <c r="F328" s="11" t="n"/>
      <c r="G328" s="12">
        <f>IF($F328="","",IF($F328&gt;31,$F328,IF($AB328="","",DATE(YEAR($AB328),MONTH($AB328),$F328))))</f>
        <v/>
      </c>
      <c r="H328" s="9" t="n"/>
      <c r="I328" s="11" t="n"/>
      <c r="J328" s="12">
        <f>IF($I328="","",IF($I328&gt;31,$I328,IF($G328="","",IF(DATE(YEAR($G328),MONTH($G328),$I328)&gt;=$G328,DATE(YEAR($G328),MONTH($G328),$I328),DATE(YEAR($G328),MONTH($G328)+1,$I328)))))</f>
        <v/>
      </c>
      <c r="K328" s="9" t="n"/>
      <c r="L328" s="13" t="n"/>
      <c r="M328" s="13" t="n"/>
      <c r="N328" s="13" t="n"/>
      <c r="O328" s="8">
        <f>IF(OR($G328="",$J328=""),"",$J328-$G328+1)</f>
        <v/>
      </c>
      <c r="P328" s="8">
        <f>IF(OR($G328="",$J328=""),"",$J328-$G328)</f>
        <v/>
      </c>
      <c r="Q328" s="9" t="n"/>
      <c r="R328" s="9" t="n"/>
      <c r="S328" s="9" t="n"/>
      <c r="T328" s="9" t="n"/>
      <c r="U328" s="9" t="n"/>
      <c r="V328" s="9" t="n"/>
      <c r="W328" s="14" t="n"/>
      <c r="X328" s="9" t="n"/>
      <c r="Y328" s="8">
        <f>IF($G328="","",IF($D328="","⚠部屋が未選択",IF(COUNTIF('M_部屋'!$A$4:$A$20,$D328)=0,"⚠部屋が未登録",IF(OR($J328="",$Q328="キャンセル"),"",IF(SUMPRODUCT(($D$5:$D$404=$D328)*($G$5:$G$404&lt;&gt;"")*($J$5:$J$404&lt;&gt;"")*($Q$5:$Q$404&lt;&gt;"キャンセル")*($G$5:$G$404&lt;$J328)*($J$5:$J$404&gt;$G328))&gt;1,"⚠重複","")))))</f>
        <v/>
      </c>
      <c r="Z328" s="8">
        <f>IF(OR($B328="",$G328=""),"",IF(SUMPRODUCT(('利用者マスタ'!$A$4:$A$60=$B328)*('利用者マスタ'!$B$4:$B$60&lt;&gt;""))=0,"",IF(SUMIFS($AA$5:$AA$404,$B$5:$B$404,$B328,$G$5:$G$404,"&gt;="&amp;DATE(YEAR($G328),MONTH($G328),1),$G$5:$G$404,"&lt;="&amp;EOMONTH($G328,0))&gt;SUMIFS('利用者マスタ'!$B$4:$B$60,'利用者マスタ'!$A$4:$A$60,$B328),"⚠支給量超過","")))</f>
        <v/>
      </c>
      <c r="AA328" s="8">
        <f>IF(OR($G328="",$J328="",$Q328="キャンセル"),0,IF(IFERROR(INDEX('M_区分'!$B$4:$B$20,MATCH($C328,'M_区分'!$A$4:$A$20,0)),"○")="○",$J328-$G328+1,0))</f>
        <v/>
      </c>
      <c r="AB328" s="8">
        <f>IF($E328&lt;&gt;"",$E328,$AB327)</f>
        <v/>
      </c>
      <c r="AC328" s="8">
        <f>IF(OR($G328="",$J328=""),"",IF(AND($G328&lt;=EOMONTH('02_カレンダー'!$B$4,0),$J328&gt;='02_カレンダー'!$B$4),$G328*10000+ROW(),""))</f>
        <v/>
      </c>
      <c r="AD328" s="8">
        <f>IF($H328="","",IF(ISNUMBER($H328),IF(AND($H328=INT($H328),$H328&gt;=0,$H328&lt;=24),TEXT(INT($H328),"00")&amp;":00",TEXT($H328,"hh:mm")),$H328))</f>
        <v/>
      </c>
      <c r="AE328" s="8">
        <f>IF($K328="","",IF(ISNUMBER($K328),IF(AND($K328=INT($K328),$K328&gt;=0,$K328&lt;=24),TEXT(INT($K328),"00")&amp;":00",TEXT($K328,"hh:mm")),$K328))</f>
        <v/>
      </c>
      <c r="AF328" s="8">
        <f>IF($G328="",0,$G328)</f>
        <v/>
      </c>
      <c r="AG328" s="8">
        <f>IF($J328="",0,$J328)</f>
        <v/>
      </c>
    </row>
    <row r="329">
      <c r="A329" s="8">
        <f>IF($G329="","","SS-"&amp;TEXT(ROW()-4,"0000"))</f>
        <v/>
      </c>
      <c r="B329" s="9" t="n"/>
      <c r="C329" s="9" t="n"/>
      <c r="D329" s="9" t="n"/>
      <c r="E329" s="10" t="n"/>
      <c r="F329" s="11" t="n"/>
      <c r="G329" s="12">
        <f>IF($F329="","",IF($F329&gt;31,$F329,IF($AB329="","",DATE(YEAR($AB329),MONTH($AB329),$F329))))</f>
        <v/>
      </c>
      <c r="H329" s="9" t="n"/>
      <c r="I329" s="11" t="n"/>
      <c r="J329" s="12">
        <f>IF($I329="","",IF($I329&gt;31,$I329,IF($G329="","",IF(DATE(YEAR($G329),MONTH($G329),$I329)&gt;=$G329,DATE(YEAR($G329),MONTH($G329),$I329),DATE(YEAR($G329),MONTH($G329)+1,$I329)))))</f>
        <v/>
      </c>
      <c r="K329" s="9" t="n"/>
      <c r="L329" s="13" t="n"/>
      <c r="M329" s="13" t="n"/>
      <c r="N329" s="13" t="n"/>
      <c r="O329" s="8">
        <f>IF(OR($G329="",$J329=""),"",$J329-$G329+1)</f>
        <v/>
      </c>
      <c r="P329" s="8">
        <f>IF(OR($G329="",$J329=""),"",$J329-$G329)</f>
        <v/>
      </c>
      <c r="Q329" s="9" t="n"/>
      <c r="R329" s="9" t="n"/>
      <c r="S329" s="9" t="n"/>
      <c r="T329" s="9" t="n"/>
      <c r="U329" s="9" t="n"/>
      <c r="V329" s="9" t="n"/>
      <c r="W329" s="14" t="n"/>
      <c r="X329" s="9" t="n"/>
      <c r="Y329" s="8">
        <f>IF($G329="","",IF($D329="","⚠部屋が未選択",IF(COUNTIF('M_部屋'!$A$4:$A$20,$D329)=0,"⚠部屋が未登録",IF(OR($J329="",$Q329="キャンセル"),"",IF(SUMPRODUCT(($D$5:$D$404=$D329)*($G$5:$G$404&lt;&gt;"")*($J$5:$J$404&lt;&gt;"")*($Q$5:$Q$404&lt;&gt;"キャンセル")*($G$5:$G$404&lt;$J329)*($J$5:$J$404&gt;$G329))&gt;1,"⚠重複","")))))</f>
        <v/>
      </c>
      <c r="Z329" s="8">
        <f>IF(OR($B329="",$G329=""),"",IF(SUMPRODUCT(('利用者マスタ'!$A$4:$A$60=$B329)*('利用者マスタ'!$B$4:$B$60&lt;&gt;""))=0,"",IF(SUMIFS($AA$5:$AA$404,$B$5:$B$404,$B329,$G$5:$G$404,"&gt;="&amp;DATE(YEAR($G329),MONTH($G329),1),$G$5:$G$404,"&lt;="&amp;EOMONTH($G329,0))&gt;SUMIFS('利用者マスタ'!$B$4:$B$60,'利用者マスタ'!$A$4:$A$60,$B329),"⚠支給量超過","")))</f>
        <v/>
      </c>
      <c r="AA329" s="8">
        <f>IF(OR($G329="",$J329="",$Q329="キャンセル"),0,IF(IFERROR(INDEX('M_区分'!$B$4:$B$20,MATCH($C329,'M_区分'!$A$4:$A$20,0)),"○")="○",$J329-$G329+1,0))</f>
        <v/>
      </c>
      <c r="AB329" s="8">
        <f>IF($E329&lt;&gt;"",$E329,$AB328)</f>
        <v/>
      </c>
      <c r="AC329" s="8">
        <f>IF(OR($G329="",$J329=""),"",IF(AND($G329&lt;=EOMONTH('02_カレンダー'!$B$4,0),$J329&gt;='02_カレンダー'!$B$4),$G329*10000+ROW(),""))</f>
        <v/>
      </c>
      <c r="AD329" s="8">
        <f>IF($H329="","",IF(ISNUMBER($H329),IF(AND($H329=INT($H329),$H329&gt;=0,$H329&lt;=24),TEXT(INT($H329),"00")&amp;":00",TEXT($H329,"hh:mm")),$H329))</f>
        <v/>
      </c>
      <c r="AE329" s="8">
        <f>IF($K329="","",IF(ISNUMBER($K329),IF(AND($K329=INT($K329),$K329&gt;=0,$K329&lt;=24),TEXT(INT($K329),"00")&amp;":00",TEXT($K329,"hh:mm")),$K329))</f>
        <v/>
      </c>
      <c r="AF329" s="8">
        <f>IF($G329="",0,$G329)</f>
        <v/>
      </c>
      <c r="AG329" s="8">
        <f>IF($J329="",0,$J329)</f>
        <v/>
      </c>
    </row>
    <row r="330">
      <c r="A330" s="8">
        <f>IF($G330="","","SS-"&amp;TEXT(ROW()-4,"0000"))</f>
        <v/>
      </c>
      <c r="B330" s="9" t="n"/>
      <c r="C330" s="9" t="n"/>
      <c r="D330" s="9" t="n"/>
      <c r="E330" s="10" t="n"/>
      <c r="F330" s="11" t="n"/>
      <c r="G330" s="12">
        <f>IF($F330="","",IF($F330&gt;31,$F330,IF($AB330="","",DATE(YEAR($AB330),MONTH($AB330),$F330))))</f>
        <v/>
      </c>
      <c r="H330" s="9" t="n"/>
      <c r="I330" s="11" t="n"/>
      <c r="J330" s="12">
        <f>IF($I330="","",IF($I330&gt;31,$I330,IF($G330="","",IF(DATE(YEAR($G330),MONTH($G330),$I330)&gt;=$G330,DATE(YEAR($G330),MONTH($G330),$I330),DATE(YEAR($G330),MONTH($G330)+1,$I330)))))</f>
        <v/>
      </c>
      <c r="K330" s="9" t="n"/>
      <c r="L330" s="13" t="n"/>
      <c r="M330" s="13" t="n"/>
      <c r="N330" s="13" t="n"/>
      <c r="O330" s="8">
        <f>IF(OR($G330="",$J330=""),"",$J330-$G330+1)</f>
        <v/>
      </c>
      <c r="P330" s="8">
        <f>IF(OR($G330="",$J330=""),"",$J330-$G330)</f>
        <v/>
      </c>
      <c r="Q330" s="9" t="n"/>
      <c r="R330" s="9" t="n"/>
      <c r="S330" s="9" t="n"/>
      <c r="T330" s="9" t="n"/>
      <c r="U330" s="9" t="n"/>
      <c r="V330" s="9" t="n"/>
      <c r="W330" s="14" t="n"/>
      <c r="X330" s="9" t="n"/>
      <c r="Y330" s="8">
        <f>IF($G330="","",IF($D330="","⚠部屋が未選択",IF(COUNTIF('M_部屋'!$A$4:$A$20,$D330)=0,"⚠部屋が未登録",IF(OR($J330="",$Q330="キャンセル"),"",IF(SUMPRODUCT(($D$5:$D$404=$D330)*($G$5:$G$404&lt;&gt;"")*($J$5:$J$404&lt;&gt;"")*($Q$5:$Q$404&lt;&gt;"キャンセル")*($G$5:$G$404&lt;$J330)*($J$5:$J$404&gt;$G330))&gt;1,"⚠重複","")))))</f>
        <v/>
      </c>
      <c r="Z330" s="8">
        <f>IF(OR($B330="",$G330=""),"",IF(SUMPRODUCT(('利用者マスタ'!$A$4:$A$60=$B330)*('利用者マスタ'!$B$4:$B$60&lt;&gt;""))=0,"",IF(SUMIFS($AA$5:$AA$404,$B$5:$B$404,$B330,$G$5:$G$404,"&gt;="&amp;DATE(YEAR($G330),MONTH($G330),1),$G$5:$G$404,"&lt;="&amp;EOMONTH($G330,0))&gt;SUMIFS('利用者マスタ'!$B$4:$B$60,'利用者マスタ'!$A$4:$A$60,$B330),"⚠支給量超過","")))</f>
        <v/>
      </c>
      <c r="AA330" s="8">
        <f>IF(OR($G330="",$J330="",$Q330="キャンセル"),0,IF(IFERROR(INDEX('M_区分'!$B$4:$B$20,MATCH($C330,'M_区分'!$A$4:$A$20,0)),"○")="○",$J330-$G330+1,0))</f>
        <v/>
      </c>
      <c r="AB330" s="8">
        <f>IF($E330&lt;&gt;"",$E330,$AB329)</f>
        <v/>
      </c>
      <c r="AC330" s="8">
        <f>IF(OR($G330="",$J330=""),"",IF(AND($G330&lt;=EOMONTH('02_カレンダー'!$B$4,0),$J330&gt;='02_カレンダー'!$B$4),$G330*10000+ROW(),""))</f>
        <v/>
      </c>
      <c r="AD330" s="8">
        <f>IF($H330="","",IF(ISNUMBER($H330),IF(AND($H330=INT($H330),$H330&gt;=0,$H330&lt;=24),TEXT(INT($H330),"00")&amp;":00",TEXT($H330,"hh:mm")),$H330))</f>
        <v/>
      </c>
      <c r="AE330" s="8">
        <f>IF($K330="","",IF(ISNUMBER($K330),IF(AND($K330=INT($K330),$K330&gt;=0,$K330&lt;=24),TEXT(INT($K330),"00")&amp;":00",TEXT($K330,"hh:mm")),$K330))</f>
        <v/>
      </c>
      <c r="AF330" s="8">
        <f>IF($G330="",0,$G330)</f>
        <v/>
      </c>
      <c r="AG330" s="8">
        <f>IF($J330="",0,$J330)</f>
        <v/>
      </c>
    </row>
    <row r="331">
      <c r="A331" s="8">
        <f>IF($G331="","","SS-"&amp;TEXT(ROW()-4,"0000"))</f>
        <v/>
      </c>
      <c r="B331" s="9" t="n"/>
      <c r="C331" s="9" t="n"/>
      <c r="D331" s="9" t="n"/>
      <c r="E331" s="10" t="n"/>
      <c r="F331" s="11" t="n"/>
      <c r="G331" s="12">
        <f>IF($F331="","",IF($F331&gt;31,$F331,IF($AB331="","",DATE(YEAR($AB331),MONTH($AB331),$F331))))</f>
        <v/>
      </c>
      <c r="H331" s="9" t="n"/>
      <c r="I331" s="11" t="n"/>
      <c r="J331" s="12">
        <f>IF($I331="","",IF($I331&gt;31,$I331,IF($G331="","",IF(DATE(YEAR($G331),MONTH($G331),$I331)&gt;=$G331,DATE(YEAR($G331),MONTH($G331),$I331),DATE(YEAR($G331),MONTH($G331)+1,$I331)))))</f>
        <v/>
      </c>
      <c r="K331" s="9" t="n"/>
      <c r="L331" s="13" t="n"/>
      <c r="M331" s="13" t="n"/>
      <c r="N331" s="13" t="n"/>
      <c r="O331" s="8">
        <f>IF(OR($G331="",$J331=""),"",$J331-$G331+1)</f>
        <v/>
      </c>
      <c r="P331" s="8">
        <f>IF(OR($G331="",$J331=""),"",$J331-$G331)</f>
        <v/>
      </c>
      <c r="Q331" s="9" t="n"/>
      <c r="R331" s="9" t="n"/>
      <c r="S331" s="9" t="n"/>
      <c r="T331" s="9" t="n"/>
      <c r="U331" s="9" t="n"/>
      <c r="V331" s="9" t="n"/>
      <c r="W331" s="14" t="n"/>
      <c r="X331" s="9" t="n"/>
      <c r="Y331" s="8">
        <f>IF($G331="","",IF($D331="","⚠部屋が未選択",IF(COUNTIF('M_部屋'!$A$4:$A$20,$D331)=0,"⚠部屋が未登録",IF(OR($J331="",$Q331="キャンセル"),"",IF(SUMPRODUCT(($D$5:$D$404=$D331)*($G$5:$G$404&lt;&gt;"")*($J$5:$J$404&lt;&gt;"")*($Q$5:$Q$404&lt;&gt;"キャンセル")*($G$5:$G$404&lt;$J331)*($J$5:$J$404&gt;$G331))&gt;1,"⚠重複","")))))</f>
        <v/>
      </c>
      <c r="Z331" s="8">
        <f>IF(OR($B331="",$G331=""),"",IF(SUMPRODUCT(('利用者マスタ'!$A$4:$A$60=$B331)*('利用者マスタ'!$B$4:$B$60&lt;&gt;""))=0,"",IF(SUMIFS($AA$5:$AA$404,$B$5:$B$404,$B331,$G$5:$G$404,"&gt;="&amp;DATE(YEAR($G331),MONTH($G331),1),$G$5:$G$404,"&lt;="&amp;EOMONTH($G331,0))&gt;SUMIFS('利用者マスタ'!$B$4:$B$60,'利用者マスタ'!$A$4:$A$60,$B331),"⚠支給量超過","")))</f>
        <v/>
      </c>
      <c r="AA331" s="8">
        <f>IF(OR($G331="",$J331="",$Q331="キャンセル"),0,IF(IFERROR(INDEX('M_区分'!$B$4:$B$20,MATCH($C331,'M_区分'!$A$4:$A$20,0)),"○")="○",$J331-$G331+1,0))</f>
        <v/>
      </c>
      <c r="AB331" s="8">
        <f>IF($E331&lt;&gt;"",$E331,$AB330)</f>
        <v/>
      </c>
      <c r="AC331" s="8">
        <f>IF(OR($G331="",$J331=""),"",IF(AND($G331&lt;=EOMONTH('02_カレンダー'!$B$4,0),$J331&gt;='02_カレンダー'!$B$4),$G331*10000+ROW(),""))</f>
        <v/>
      </c>
      <c r="AD331" s="8">
        <f>IF($H331="","",IF(ISNUMBER($H331),IF(AND($H331=INT($H331),$H331&gt;=0,$H331&lt;=24),TEXT(INT($H331),"00")&amp;":00",TEXT($H331,"hh:mm")),$H331))</f>
        <v/>
      </c>
      <c r="AE331" s="8">
        <f>IF($K331="","",IF(ISNUMBER($K331),IF(AND($K331=INT($K331),$K331&gt;=0,$K331&lt;=24),TEXT(INT($K331),"00")&amp;":00",TEXT($K331,"hh:mm")),$K331))</f>
        <v/>
      </c>
      <c r="AF331" s="8">
        <f>IF($G331="",0,$G331)</f>
        <v/>
      </c>
      <c r="AG331" s="8">
        <f>IF($J331="",0,$J331)</f>
        <v/>
      </c>
    </row>
    <row r="332">
      <c r="A332" s="8">
        <f>IF($G332="","","SS-"&amp;TEXT(ROW()-4,"0000"))</f>
        <v/>
      </c>
      <c r="B332" s="9" t="n"/>
      <c r="C332" s="9" t="n"/>
      <c r="D332" s="9" t="n"/>
      <c r="E332" s="10" t="n"/>
      <c r="F332" s="11" t="n"/>
      <c r="G332" s="12">
        <f>IF($F332="","",IF($F332&gt;31,$F332,IF($AB332="","",DATE(YEAR($AB332),MONTH($AB332),$F332))))</f>
        <v/>
      </c>
      <c r="H332" s="9" t="n"/>
      <c r="I332" s="11" t="n"/>
      <c r="J332" s="12">
        <f>IF($I332="","",IF($I332&gt;31,$I332,IF($G332="","",IF(DATE(YEAR($G332),MONTH($G332),$I332)&gt;=$G332,DATE(YEAR($G332),MONTH($G332),$I332),DATE(YEAR($G332),MONTH($G332)+1,$I332)))))</f>
        <v/>
      </c>
      <c r="K332" s="9" t="n"/>
      <c r="L332" s="13" t="n"/>
      <c r="M332" s="13" t="n"/>
      <c r="N332" s="13" t="n"/>
      <c r="O332" s="8">
        <f>IF(OR($G332="",$J332=""),"",$J332-$G332+1)</f>
        <v/>
      </c>
      <c r="P332" s="8">
        <f>IF(OR($G332="",$J332=""),"",$J332-$G332)</f>
        <v/>
      </c>
      <c r="Q332" s="9" t="n"/>
      <c r="R332" s="9" t="n"/>
      <c r="S332" s="9" t="n"/>
      <c r="T332" s="9" t="n"/>
      <c r="U332" s="9" t="n"/>
      <c r="V332" s="9" t="n"/>
      <c r="W332" s="14" t="n"/>
      <c r="X332" s="9" t="n"/>
      <c r="Y332" s="8">
        <f>IF($G332="","",IF($D332="","⚠部屋が未選択",IF(COUNTIF('M_部屋'!$A$4:$A$20,$D332)=0,"⚠部屋が未登録",IF(OR($J332="",$Q332="キャンセル"),"",IF(SUMPRODUCT(($D$5:$D$404=$D332)*($G$5:$G$404&lt;&gt;"")*($J$5:$J$404&lt;&gt;"")*($Q$5:$Q$404&lt;&gt;"キャンセル")*($G$5:$G$404&lt;$J332)*($J$5:$J$404&gt;$G332))&gt;1,"⚠重複","")))))</f>
        <v/>
      </c>
      <c r="Z332" s="8">
        <f>IF(OR($B332="",$G332=""),"",IF(SUMPRODUCT(('利用者マスタ'!$A$4:$A$60=$B332)*('利用者マスタ'!$B$4:$B$60&lt;&gt;""))=0,"",IF(SUMIFS($AA$5:$AA$404,$B$5:$B$404,$B332,$G$5:$G$404,"&gt;="&amp;DATE(YEAR($G332),MONTH($G332),1),$G$5:$G$404,"&lt;="&amp;EOMONTH($G332,0))&gt;SUMIFS('利用者マスタ'!$B$4:$B$60,'利用者マスタ'!$A$4:$A$60,$B332),"⚠支給量超過","")))</f>
        <v/>
      </c>
      <c r="AA332" s="8">
        <f>IF(OR($G332="",$J332="",$Q332="キャンセル"),0,IF(IFERROR(INDEX('M_区分'!$B$4:$B$20,MATCH($C332,'M_区分'!$A$4:$A$20,0)),"○")="○",$J332-$G332+1,0))</f>
        <v/>
      </c>
      <c r="AB332" s="8">
        <f>IF($E332&lt;&gt;"",$E332,$AB331)</f>
        <v/>
      </c>
      <c r="AC332" s="8">
        <f>IF(OR($G332="",$J332=""),"",IF(AND($G332&lt;=EOMONTH('02_カレンダー'!$B$4,0),$J332&gt;='02_カレンダー'!$B$4),$G332*10000+ROW(),""))</f>
        <v/>
      </c>
      <c r="AD332" s="8">
        <f>IF($H332="","",IF(ISNUMBER($H332),IF(AND($H332=INT($H332),$H332&gt;=0,$H332&lt;=24),TEXT(INT($H332),"00")&amp;":00",TEXT($H332,"hh:mm")),$H332))</f>
        <v/>
      </c>
      <c r="AE332" s="8">
        <f>IF($K332="","",IF(ISNUMBER($K332),IF(AND($K332=INT($K332),$K332&gt;=0,$K332&lt;=24),TEXT(INT($K332),"00")&amp;":00",TEXT($K332,"hh:mm")),$K332))</f>
        <v/>
      </c>
      <c r="AF332" s="8">
        <f>IF($G332="",0,$G332)</f>
        <v/>
      </c>
      <c r="AG332" s="8">
        <f>IF($J332="",0,$J332)</f>
        <v/>
      </c>
    </row>
    <row r="333">
      <c r="A333" s="8">
        <f>IF($G333="","","SS-"&amp;TEXT(ROW()-4,"0000"))</f>
        <v/>
      </c>
      <c r="B333" s="9" t="n"/>
      <c r="C333" s="9" t="n"/>
      <c r="D333" s="9" t="n"/>
      <c r="E333" s="10" t="n"/>
      <c r="F333" s="11" t="n"/>
      <c r="G333" s="12">
        <f>IF($F333="","",IF($F333&gt;31,$F333,IF($AB333="","",DATE(YEAR($AB333),MONTH($AB333),$F333))))</f>
        <v/>
      </c>
      <c r="H333" s="9" t="n"/>
      <c r="I333" s="11" t="n"/>
      <c r="J333" s="12">
        <f>IF($I333="","",IF($I333&gt;31,$I333,IF($G333="","",IF(DATE(YEAR($G333),MONTH($G333),$I333)&gt;=$G333,DATE(YEAR($G333),MONTH($G333),$I333),DATE(YEAR($G333),MONTH($G333)+1,$I333)))))</f>
        <v/>
      </c>
      <c r="K333" s="9" t="n"/>
      <c r="L333" s="13" t="n"/>
      <c r="M333" s="13" t="n"/>
      <c r="N333" s="13" t="n"/>
      <c r="O333" s="8">
        <f>IF(OR($G333="",$J333=""),"",$J333-$G333+1)</f>
        <v/>
      </c>
      <c r="P333" s="8">
        <f>IF(OR($G333="",$J333=""),"",$J333-$G333)</f>
        <v/>
      </c>
      <c r="Q333" s="9" t="n"/>
      <c r="R333" s="9" t="n"/>
      <c r="S333" s="9" t="n"/>
      <c r="T333" s="9" t="n"/>
      <c r="U333" s="9" t="n"/>
      <c r="V333" s="9" t="n"/>
      <c r="W333" s="14" t="n"/>
      <c r="X333" s="9" t="n"/>
      <c r="Y333" s="8">
        <f>IF($G333="","",IF($D333="","⚠部屋が未選択",IF(COUNTIF('M_部屋'!$A$4:$A$20,$D333)=0,"⚠部屋が未登録",IF(OR($J333="",$Q333="キャンセル"),"",IF(SUMPRODUCT(($D$5:$D$404=$D333)*($G$5:$G$404&lt;&gt;"")*($J$5:$J$404&lt;&gt;"")*($Q$5:$Q$404&lt;&gt;"キャンセル")*($G$5:$G$404&lt;$J333)*($J$5:$J$404&gt;$G333))&gt;1,"⚠重複","")))))</f>
        <v/>
      </c>
      <c r="Z333" s="8">
        <f>IF(OR($B333="",$G333=""),"",IF(SUMPRODUCT(('利用者マスタ'!$A$4:$A$60=$B333)*('利用者マスタ'!$B$4:$B$60&lt;&gt;""))=0,"",IF(SUMIFS($AA$5:$AA$404,$B$5:$B$404,$B333,$G$5:$G$404,"&gt;="&amp;DATE(YEAR($G333),MONTH($G333),1),$G$5:$G$404,"&lt;="&amp;EOMONTH($G333,0))&gt;SUMIFS('利用者マスタ'!$B$4:$B$60,'利用者マスタ'!$A$4:$A$60,$B333),"⚠支給量超過","")))</f>
        <v/>
      </c>
      <c r="AA333" s="8">
        <f>IF(OR($G333="",$J333="",$Q333="キャンセル"),0,IF(IFERROR(INDEX('M_区分'!$B$4:$B$20,MATCH($C333,'M_区分'!$A$4:$A$20,0)),"○")="○",$J333-$G333+1,0))</f>
        <v/>
      </c>
      <c r="AB333" s="8">
        <f>IF($E333&lt;&gt;"",$E333,$AB332)</f>
        <v/>
      </c>
      <c r="AC333" s="8">
        <f>IF(OR($G333="",$J333=""),"",IF(AND($G333&lt;=EOMONTH('02_カレンダー'!$B$4,0),$J333&gt;='02_カレンダー'!$B$4),$G333*10000+ROW(),""))</f>
        <v/>
      </c>
      <c r="AD333" s="8">
        <f>IF($H333="","",IF(ISNUMBER($H333),IF(AND($H333=INT($H333),$H333&gt;=0,$H333&lt;=24),TEXT(INT($H333),"00")&amp;":00",TEXT($H333,"hh:mm")),$H333))</f>
        <v/>
      </c>
      <c r="AE333" s="8">
        <f>IF($K333="","",IF(ISNUMBER($K333),IF(AND($K333=INT($K333),$K333&gt;=0,$K333&lt;=24),TEXT(INT($K333),"00")&amp;":00",TEXT($K333,"hh:mm")),$K333))</f>
        <v/>
      </c>
      <c r="AF333" s="8">
        <f>IF($G333="",0,$G333)</f>
        <v/>
      </c>
      <c r="AG333" s="8">
        <f>IF($J333="",0,$J333)</f>
        <v/>
      </c>
    </row>
    <row r="334">
      <c r="A334" s="8">
        <f>IF($G334="","","SS-"&amp;TEXT(ROW()-4,"0000"))</f>
        <v/>
      </c>
      <c r="B334" s="9" t="n"/>
      <c r="C334" s="9" t="n"/>
      <c r="D334" s="9" t="n"/>
      <c r="E334" s="10" t="n"/>
      <c r="F334" s="11" t="n"/>
      <c r="G334" s="12">
        <f>IF($F334="","",IF($F334&gt;31,$F334,IF($AB334="","",DATE(YEAR($AB334),MONTH($AB334),$F334))))</f>
        <v/>
      </c>
      <c r="H334" s="9" t="n"/>
      <c r="I334" s="11" t="n"/>
      <c r="J334" s="12">
        <f>IF($I334="","",IF($I334&gt;31,$I334,IF($G334="","",IF(DATE(YEAR($G334),MONTH($G334),$I334)&gt;=$G334,DATE(YEAR($G334),MONTH($G334),$I334),DATE(YEAR($G334),MONTH($G334)+1,$I334)))))</f>
        <v/>
      </c>
      <c r="K334" s="9" t="n"/>
      <c r="L334" s="13" t="n"/>
      <c r="M334" s="13" t="n"/>
      <c r="N334" s="13" t="n"/>
      <c r="O334" s="8">
        <f>IF(OR($G334="",$J334=""),"",$J334-$G334+1)</f>
        <v/>
      </c>
      <c r="P334" s="8">
        <f>IF(OR($G334="",$J334=""),"",$J334-$G334)</f>
        <v/>
      </c>
      <c r="Q334" s="9" t="n"/>
      <c r="R334" s="9" t="n"/>
      <c r="S334" s="9" t="n"/>
      <c r="T334" s="9" t="n"/>
      <c r="U334" s="9" t="n"/>
      <c r="V334" s="9" t="n"/>
      <c r="W334" s="14" t="n"/>
      <c r="X334" s="9" t="n"/>
      <c r="Y334" s="8">
        <f>IF($G334="","",IF($D334="","⚠部屋が未選択",IF(COUNTIF('M_部屋'!$A$4:$A$20,$D334)=0,"⚠部屋が未登録",IF(OR($J334="",$Q334="キャンセル"),"",IF(SUMPRODUCT(($D$5:$D$404=$D334)*($G$5:$G$404&lt;&gt;"")*($J$5:$J$404&lt;&gt;"")*($Q$5:$Q$404&lt;&gt;"キャンセル")*($G$5:$G$404&lt;$J334)*($J$5:$J$404&gt;$G334))&gt;1,"⚠重複","")))))</f>
        <v/>
      </c>
      <c r="Z334" s="8">
        <f>IF(OR($B334="",$G334=""),"",IF(SUMPRODUCT(('利用者マスタ'!$A$4:$A$60=$B334)*('利用者マスタ'!$B$4:$B$60&lt;&gt;""))=0,"",IF(SUMIFS($AA$5:$AA$404,$B$5:$B$404,$B334,$G$5:$G$404,"&gt;="&amp;DATE(YEAR($G334),MONTH($G334),1),$G$5:$G$404,"&lt;="&amp;EOMONTH($G334,0))&gt;SUMIFS('利用者マスタ'!$B$4:$B$60,'利用者マスタ'!$A$4:$A$60,$B334),"⚠支給量超過","")))</f>
        <v/>
      </c>
      <c r="AA334" s="8">
        <f>IF(OR($G334="",$J334="",$Q334="キャンセル"),0,IF(IFERROR(INDEX('M_区分'!$B$4:$B$20,MATCH($C334,'M_区分'!$A$4:$A$20,0)),"○")="○",$J334-$G334+1,0))</f>
        <v/>
      </c>
      <c r="AB334" s="8">
        <f>IF($E334&lt;&gt;"",$E334,$AB333)</f>
        <v/>
      </c>
      <c r="AC334" s="8">
        <f>IF(OR($G334="",$J334=""),"",IF(AND($G334&lt;=EOMONTH('02_カレンダー'!$B$4,0),$J334&gt;='02_カレンダー'!$B$4),$G334*10000+ROW(),""))</f>
        <v/>
      </c>
      <c r="AD334" s="8">
        <f>IF($H334="","",IF(ISNUMBER($H334),IF(AND($H334=INT($H334),$H334&gt;=0,$H334&lt;=24),TEXT(INT($H334),"00")&amp;":00",TEXT($H334,"hh:mm")),$H334))</f>
        <v/>
      </c>
      <c r="AE334" s="8">
        <f>IF($K334="","",IF(ISNUMBER($K334),IF(AND($K334=INT($K334),$K334&gt;=0,$K334&lt;=24),TEXT(INT($K334),"00")&amp;":00",TEXT($K334,"hh:mm")),$K334))</f>
        <v/>
      </c>
      <c r="AF334" s="8">
        <f>IF($G334="",0,$G334)</f>
        <v/>
      </c>
      <c r="AG334" s="8">
        <f>IF($J334="",0,$J334)</f>
        <v/>
      </c>
    </row>
    <row r="335">
      <c r="A335" s="8">
        <f>IF($G335="","","SS-"&amp;TEXT(ROW()-4,"0000"))</f>
        <v/>
      </c>
      <c r="B335" s="9" t="n"/>
      <c r="C335" s="9" t="n"/>
      <c r="D335" s="9" t="n"/>
      <c r="E335" s="10" t="n"/>
      <c r="F335" s="11" t="n"/>
      <c r="G335" s="12">
        <f>IF($F335="","",IF($F335&gt;31,$F335,IF($AB335="","",DATE(YEAR($AB335),MONTH($AB335),$F335))))</f>
        <v/>
      </c>
      <c r="H335" s="9" t="n"/>
      <c r="I335" s="11" t="n"/>
      <c r="J335" s="12">
        <f>IF($I335="","",IF($I335&gt;31,$I335,IF($G335="","",IF(DATE(YEAR($G335),MONTH($G335),$I335)&gt;=$G335,DATE(YEAR($G335),MONTH($G335),$I335),DATE(YEAR($G335),MONTH($G335)+1,$I335)))))</f>
        <v/>
      </c>
      <c r="K335" s="9" t="n"/>
      <c r="L335" s="13" t="n"/>
      <c r="M335" s="13" t="n"/>
      <c r="N335" s="13" t="n"/>
      <c r="O335" s="8">
        <f>IF(OR($G335="",$J335=""),"",$J335-$G335+1)</f>
        <v/>
      </c>
      <c r="P335" s="8">
        <f>IF(OR($G335="",$J335=""),"",$J335-$G335)</f>
        <v/>
      </c>
      <c r="Q335" s="9" t="n"/>
      <c r="R335" s="9" t="n"/>
      <c r="S335" s="9" t="n"/>
      <c r="T335" s="9" t="n"/>
      <c r="U335" s="9" t="n"/>
      <c r="V335" s="9" t="n"/>
      <c r="W335" s="14" t="n"/>
      <c r="X335" s="9" t="n"/>
      <c r="Y335" s="8">
        <f>IF($G335="","",IF($D335="","⚠部屋が未選択",IF(COUNTIF('M_部屋'!$A$4:$A$20,$D335)=0,"⚠部屋が未登録",IF(OR($J335="",$Q335="キャンセル"),"",IF(SUMPRODUCT(($D$5:$D$404=$D335)*($G$5:$G$404&lt;&gt;"")*($J$5:$J$404&lt;&gt;"")*($Q$5:$Q$404&lt;&gt;"キャンセル")*($G$5:$G$404&lt;$J335)*($J$5:$J$404&gt;$G335))&gt;1,"⚠重複","")))))</f>
        <v/>
      </c>
      <c r="Z335" s="8">
        <f>IF(OR($B335="",$G335=""),"",IF(SUMPRODUCT(('利用者マスタ'!$A$4:$A$60=$B335)*('利用者マスタ'!$B$4:$B$60&lt;&gt;""))=0,"",IF(SUMIFS($AA$5:$AA$404,$B$5:$B$404,$B335,$G$5:$G$404,"&gt;="&amp;DATE(YEAR($G335),MONTH($G335),1),$G$5:$G$404,"&lt;="&amp;EOMONTH($G335,0))&gt;SUMIFS('利用者マスタ'!$B$4:$B$60,'利用者マスタ'!$A$4:$A$60,$B335),"⚠支給量超過","")))</f>
        <v/>
      </c>
      <c r="AA335" s="8">
        <f>IF(OR($G335="",$J335="",$Q335="キャンセル"),0,IF(IFERROR(INDEX('M_区分'!$B$4:$B$20,MATCH($C335,'M_区分'!$A$4:$A$20,0)),"○")="○",$J335-$G335+1,0))</f>
        <v/>
      </c>
      <c r="AB335" s="8">
        <f>IF($E335&lt;&gt;"",$E335,$AB334)</f>
        <v/>
      </c>
      <c r="AC335" s="8">
        <f>IF(OR($G335="",$J335=""),"",IF(AND($G335&lt;=EOMONTH('02_カレンダー'!$B$4,0),$J335&gt;='02_カレンダー'!$B$4),$G335*10000+ROW(),""))</f>
        <v/>
      </c>
      <c r="AD335" s="8">
        <f>IF($H335="","",IF(ISNUMBER($H335),IF(AND($H335=INT($H335),$H335&gt;=0,$H335&lt;=24),TEXT(INT($H335),"00")&amp;":00",TEXT($H335,"hh:mm")),$H335))</f>
        <v/>
      </c>
      <c r="AE335" s="8">
        <f>IF($K335="","",IF(ISNUMBER($K335),IF(AND($K335=INT($K335),$K335&gt;=0,$K335&lt;=24),TEXT(INT($K335),"00")&amp;":00",TEXT($K335,"hh:mm")),$K335))</f>
        <v/>
      </c>
      <c r="AF335" s="8">
        <f>IF($G335="",0,$G335)</f>
        <v/>
      </c>
      <c r="AG335" s="8">
        <f>IF($J335="",0,$J335)</f>
        <v/>
      </c>
    </row>
    <row r="336">
      <c r="A336" s="8">
        <f>IF($G336="","","SS-"&amp;TEXT(ROW()-4,"0000"))</f>
        <v/>
      </c>
      <c r="B336" s="9" t="n"/>
      <c r="C336" s="9" t="n"/>
      <c r="D336" s="9" t="n"/>
      <c r="E336" s="10" t="n"/>
      <c r="F336" s="11" t="n"/>
      <c r="G336" s="12">
        <f>IF($F336="","",IF($F336&gt;31,$F336,IF($AB336="","",DATE(YEAR($AB336),MONTH($AB336),$F336))))</f>
        <v/>
      </c>
      <c r="H336" s="9" t="n"/>
      <c r="I336" s="11" t="n"/>
      <c r="J336" s="12">
        <f>IF($I336="","",IF($I336&gt;31,$I336,IF($G336="","",IF(DATE(YEAR($G336),MONTH($G336),$I336)&gt;=$G336,DATE(YEAR($G336),MONTH($G336),$I336),DATE(YEAR($G336),MONTH($G336)+1,$I336)))))</f>
        <v/>
      </c>
      <c r="K336" s="9" t="n"/>
      <c r="L336" s="13" t="n"/>
      <c r="M336" s="13" t="n"/>
      <c r="N336" s="13" t="n"/>
      <c r="O336" s="8">
        <f>IF(OR($G336="",$J336=""),"",$J336-$G336+1)</f>
        <v/>
      </c>
      <c r="P336" s="8">
        <f>IF(OR($G336="",$J336=""),"",$J336-$G336)</f>
        <v/>
      </c>
      <c r="Q336" s="9" t="n"/>
      <c r="R336" s="9" t="n"/>
      <c r="S336" s="9" t="n"/>
      <c r="T336" s="9" t="n"/>
      <c r="U336" s="9" t="n"/>
      <c r="V336" s="9" t="n"/>
      <c r="W336" s="14" t="n"/>
      <c r="X336" s="9" t="n"/>
      <c r="Y336" s="8">
        <f>IF($G336="","",IF($D336="","⚠部屋が未選択",IF(COUNTIF('M_部屋'!$A$4:$A$20,$D336)=0,"⚠部屋が未登録",IF(OR($J336="",$Q336="キャンセル"),"",IF(SUMPRODUCT(($D$5:$D$404=$D336)*($G$5:$G$404&lt;&gt;"")*($J$5:$J$404&lt;&gt;"")*($Q$5:$Q$404&lt;&gt;"キャンセル")*($G$5:$G$404&lt;$J336)*($J$5:$J$404&gt;$G336))&gt;1,"⚠重複","")))))</f>
        <v/>
      </c>
      <c r="Z336" s="8">
        <f>IF(OR($B336="",$G336=""),"",IF(SUMPRODUCT(('利用者マスタ'!$A$4:$A$60=$B336)*('利用者マスタ'!$B$4:$B$60&lt;&gt;""))=0,"",IF(SUMIFS($AA$5:$AA$404,$B$5:$B$404,$B336,$G$5:$G$404,"&gt;="&amp;DATE(YEAR($G336),MONTH($G336),1),$G$5:$G$404,"&lt;="&amp;EOMONTH($G336,0))&gt;SUMIFS('利用者マスタ'!$B$4:$B$60,'利用者マスタ'!$A$4:$A$60,$B336),"⚠支給量超過","")))</f>
        <v/>
      </c>
      <c r="AA336" s="8">
        <f>IF(OR($G336="",$J336="",$Q336="キャンセル"),0,IF(IFERROR(INDEX('M_区分'!$B$4:$B$20,MATCH($C336,'M_区分'!$A$4:$A$20,0)),"○")="○",$J336-$G336+1,0))</f>
        <v/>
      </c>
      <c r="AB336" s="8">
        <f>IF($E336&lt;&gt;"",$E336,$AB335)</f>
        <v/>
      </c>
      <c r="AC336" s="8">
        <f>IF(OR($G336="",$J336=""),"",IF(AND($G336&lt;=EOMONTH('02_カレンダー'!$B$4,0),$J336&gt;='02_カレンダー'!$B$4),$G336*10000+ROW(),""))</f>
        <v/>
      </c>
      <c r="AD336" s="8">
        <f>IF($H336="","",IF(ISNUMBER($H336),IF(AND($H336=INT($H336),$H336&gt;=0,$H336&lt;=24),TEXT(INT($H336),"00")&amp;":00",TEXT($H336,"hh:mm")),$H336))</f>
        <v/>
      </c>
      <c r="AE336" s="8">
        <f>IF($K336="","",IF(ISNUMBER($K336),IF(AND($K336=INT($K336),$K336&gt;=0,$K336&lt;=24),TEXT(INT($K336),"00")&amp;":00",TEXT($K336,"hh:mm")),$K336))</f>
        <v/>
      </c>
      <c r="AF336" s="8">
        <f>IF($G336="",0,$G336)</f>
        <v/>
      </c>
      <c r="AG336" s="8">
        <f>IF($J336="",0,$J336)</f>
        <v/>
      </c>
    </row>
    <row r="337">
      <c r="A337" s="8">
        <f>IF($G337="","","SS-"&amp;TEXT(ROW()-4,"0000"))</f>
        <v/>
      </c>
      <c r="B337" s="9" t="n"/>
      <c r="C337" s="9" t="n"/>
      <c r="D337" s="9" t="n"/>
      <c r="E337" s="10" t="n"/>
      <c r="F337" s="11" t="n"/>
      <c r="G337" s="12">
        <f>IF($F337="","",IF($F337&gt;31,$F337,IF($AB337="","",DATE(YEAR($AB337),MONTH($AB337),$F337))))</f>
        <v/>
      </c>
      <c r="H337" s="9" t="n"/>
      <c r="I337" s="11" t="n"/>
      <c r="J337" s="12">
        <f>IF($I337="","",IF($I337&gt;31,$I337,IF($G337="","",IF(DATE(YEAR($G337),MONTH($G337),$I337)&gt;=$G337,DATE(YEAR($G337),MONTH($G337),$I337),DATE(YEAR($G337),MONTH($G337)+1,$I337)))))</f>
        <v/>
      </c>
      <c r="K337" s="9" t="n"/>
      <c r="L337" s="13" t="n"/>
      <c r="M337" s="13" t="n"/>
      <c r="N337" s="13" t="n"/>
      <c r="O337" s="8">
        <f>IF(OR($G337="",$J337=""),"",$J337-$G337+1)</f>
        <v/>
      </c>
      <c r="P337" s="8">
        <f>IF(OR($G337="",$J337=""),"",$J337-$G337)</f>
        <v/>
      </c>
      <c r="Q337" s="9" t="n"/>
      <c r="R337" s="9" t="n"/>
      <c r="S337" s="9" t="n"/>
      <c r="T337" s="9" t="n"/>
      <c r="U337" s="9" t="n"/>
      <c r="V337" s="9" t="n"/>
      <c r="W337" s="14" t="n"/>
      <c r="X337" s="9" t="n"/>
      <c r="Y337" s="8">
        <f>IF($G337="","",IF($D337="","⚠部屋が未選択",IF(COUNTIF('M_部屋'!$A$4:$A$20,$D337)=0,"⚠部屋が未登録",IF(OR($J337="",$Q337="キャンセル"),"",IF(SUMPRODUCT(($D$5:$D$404=$D337)*($G$5:$G$404&lt;&gt;"")*($J$5:$J$404&lt;&gt;"")*($Q$5:$Q$404&lt;&gt;"キャンセル")*($G$5:$G$404&lt;$J337)*($J$5:$J$404&gt;$G337))&gt;1,"⚠重複","")))))</f>
        <v/>
      </c>
      <c r="Z337" s="8">
        <f>IF(OR($B337="",$G337=""),"",IF(SUMPRODUCT(('利用者マスタ'!$A$4:$A$60=$B337)*('利用者マスタ'!$B$4:$B$60&lt;&gt;""))=0,"",IF(SUMIFS($AA$5:$AA$404,$B$5:$B$404,$B337,$G$5:$G$404,"&gt;="&amp;DATE(YEAR($G337),MONTH($G337),1),$G$5:$G$404,"&lt;="&amp;EOMONTH($G337,0))&gt;SUMIFS('利用者マスタ'!$B$4:$B$60,'利用者マスタ'!$A$4:$A$60,$B337),"⚠支給量超過","")))</f>
        <v/>
      </c>
      <c r="AA337" s="8">
        <f>IF(OR($G337="",$J337="",$Q337="キャンセル"),0,IF(IFERROR(INDEX('M_区分'!$B$4:$B$20,MATCH($C337,'M_区分'!$A$4:$A$20,0)),"○")="○",$J337-$G337+1,0))</f>
        <v/>
      </c>
      <c r="AB337" s="8">
        <f>IF($E337&lt;&gt;"",$E337,$AB336)</f>
        <v/>
      </c>
      <c r="AC337" s="8">
        <f>IF(OR($G337="",$J337=""),"",IF(AND($G337&lt;=EOMONTH('02_カレンダー'!$B$4,0),$J337&gt;='02_カレンダー'!$B$4),$G337*10000+ROW(),""))</f>
        <v/>
      </c>
      <c r="AD337" s="8">
        <f>IF($H337="","",IF(ISNUMBER($H337),IF(AND($H337=INT($H337),$H337&gt;=0,$H337&lt;=24),TEXT(INT($H337),"00")&amp;":00",TEXT($H337,"hh:mm")),$H337))</f>
        <v/>
      </c>
      <c r="AE337" s="8">
        <f>IF($K337="","",IF(ISNUMBER($K337),IF(AND($K337=INT($K337),$K337&gt;=0,$K337&lt;=24),TEXT(INT($K337),"00")&amp;":00",TEXT($K337,"hh:mm")),$K337))</f>
        <v/>
      </c>
      <c r="AF337" s="8">
        <f>IF($G337="",0,$G337)</f>
        <v/>
      </c>
      <c r="AG337" s="8">
        <f>IF($J337="",0,$J337)</f>
        <v/>
      </c>
    </row>
    <row r="338">
      <c r="A338" s="8">
        <f>IF($G338="","","SS-"&amp;TEXT(ROW()-4,"0000"))</f>
        <v/>
      </c>
      <c r="B338" s="9" t="n"/>
      <c r="C338" s="9" t="n"/>
      <c r="D338" s="9" t="n"/>
      <c r="E338" s="10" t="n"/>
      <c r="F338" s="11" t="n"/>
      <c r="G338" s="12">
        <f>IF($F338="","",IF($F338&gt;31,$F338,IF($AB338="","",DATE(YEAR($AB338),MONTH($AB338),$F338))))</f>
        <v/>
      </c>
      <c r="H338" s="9" t="n"/>
      <c r="I338" s="11" t="n"/>
      <c r="J338" s="12">
        <f>IF($I338="","",IF($I338&gt;31,$I338,IF($G338="","",IF(DATE(YEAR($G338),MONTH($G338),$I338)&gt;=$G338,DATE(YEAR($G338),MONTH($G338),$I338),DATE(YEAR($G338),MONTH($G338)+1,$I338)))))</f>
        <v/>
      </c>
      <c r="K338" s="9" t="n"/>
      <c r="L338" s="13" t="n"/>
      <c r="M338" s="13" t="n"/>
      <c r="N338" s="13" t="n"/>
      <c r="O338" s="8">
        <f>IF(OR($G338="",$J338=""),"",$J338-$G338+1)</f>
        <v/>
      </c>
      <c r="P338" s="8">
        <f>IF(OR($G338="",$J338=""),"",$J338-$G338)</f>
        <v/>
      </c>
      <c r="Q338" s="9" t="n"/>
      <c r="R338" s="9" t="n"/>
      <c r="S338" s="9" t="n"/>
      <c r="T338" s="9" t="n"/>
      <c r="U338" s="9" t="n"/>
      <c r="V338" s="9" t="n"/>
      <c r="W338" s="14" t="n"/>
      <c r="X338" s="9" t="n"/>
      <c r="Y338" s="8">
        <f>IF($G338="","",IF($D338="","⚠部屋が未選択",IF(COUNTIF('M_部屋'!$A$4:$A$20,$D338)=0,"⚠部屋が未登録",IF(OR($J338="",$Q338="キャンセル"),"",IF(SUMPRODUCT(($D$5:$D$404=$D338)*($G$5:$G$404&lt;&gt;"")*($J$5:$J$404&lt;&gt;"")*($Q$5:$Q$404&lt;&gt;"キャンセル")*($G$5:$G$404&lt;$J338)*($J$5:$J$404&gt;$G338))&gt;1,"⚠重複","")))))</f>
        <v/>
      </c>
      <c r="Z338" s="8">
        <f>IF(OR($B338="",$G338=""),"",IF(SUMPRODUCT(('利用者マスタ'!$A$4:$A$60=$B338)*('利用者マスタ'!$B$4:$B$60&lt;&gt;""))=0,"",IF(SUMIFS($AA$5:$AA$404,$B$5:$B$404,$B338,$G$5:$G$404,"&gt;="&amp;DATE(YEAR($G338),MONTH($G338),1),$G$5:$G$404,"&lt;="&amp;EOMONTH($G338,0))&gt;SUMIFS('利用者マスタ'!$B$4:$B$60,'利用者マスタ'!$A$4:$A$60,$B338),"⚠支給量超過","")))</f>
        <v/>
      </c>
      <c r="AA338" s="8">
        <f>IF(OR($G338="",$J338="",$Q338="キャンセル"),0,IF(IFERROR(INDEX('M_区分'!$B$4:$B$20,MATCH($C338,'M_区分'!$A$4:$A$20,0)),"○")="○",$J338-$G338+1,0))</f>
        <v/>
      </c>
      <c r="AB338" s="8">
        <f>IF($E338&lt;&gt;"",$E338,$AB337)</f>
        <v/>
      </c>
      <c r="AC338" s="8">
        <f>IF(OR($G338="",$J338=""),"",IF(AND($G338&lt;=EOMONTH('02_カレンダー'!$B$4,0),$J338&gt;='02_カレンダー'!$B$4),$G338*10000+ROW(),""))</f>
        <v/>
      </c>
      <c r="AD338" s="8">
        <f>IF($H338="","",IF(ISNUMBER($H338),IF(AND($H338=INT($H338),$H338&gt;=0,$H338&lt;=24),TEXT(INT($H338),"00")&amp;":00",TEXT($H338,"hh:mm")),$H338))</f>
        <v/>
      </c>
      <c r="AE338" s="8">
        <f>IF($K338="","",IF(ISNUMBER($K338),IF(AND($K338=INT($K338),$K338&gt;=0,$K338&lt;=24),TEXT(INT($K338),"00")&amp;":00",TEXT($K338,"hh:mm")),$K338))</f>
        <v/>
      </c>
      <c r="AF338" s="8">
        <f>IF($G338="",0,$G338)</f>
        <v/>
      </c>
      <c r="AG338" s="8">
        <f>IF($J338="",0,$J338)</f>
        <v/>
      </c>
    </row>
    <row r="339">
      <c r="A339" s="8">
        <f>IF($G339="","","SS-"&amp;TEXT(ROW()-4,"0000"))</f>
        <v/>
      </c>
      <c r="B339" s="9" t="n"/>
      <c r="C339" s="9" t="n"/>
      <c r="D339" s="9" t="n"/>
      <c r="E339" s="10" t="n"/>
      <c r="F339" s="11" t="n"/>
      <c r="G339" s="12">
        <f>IF($F339="","",IF($F339&gt;31,$F339,IF($AB339="","",DATE(YEAR($AB339),MONTH($AB339),$F339))))</f>
        <v/>
      </c>
      <c r="H339" s="9" t="n"/>
      <c r="I339" s="11" t="n"/>
      <c r="J339" s="12">
        <f>IF($I339="","",IF($I339&gt;31,$I339,IF($G339="","",IF(DATE(YEAR($G339),MONTH($G339),$I339)&gt;=$G339,DATE(YEAR($G339),MONTH($G339),$I339),DATE(YEAR($G339),MONTH($G339)+1,$I339)))))</f>
        <v/>
      </c>
      <c r="K339" s="9" t="n"/>
      <c r="L339" s="13" t="n"/>
      <c r="M339" s="13" t="n"/>
      <c r="N339" s="13" t="n"/>
      <c r="O339" s="8">
        <f>IF(OR($G339="",$J339=""),"",$J339-$G339+1)</f>
        <v/>
      </c>
      <c r="P339" s="8">
        <f>IF(OR($G339="",$J339=""),"",$J339-$G339)</f>
        <v/>
      </c>
      <c r="Q339" s="9" t="n"/>
      <c r="R339" s="9" t="n"/>
      <c r="S339" s="9" t="n"/>
      <c r="T339" s="9" t="n"/>
      <c r="U339" s="9" t="n"/>
      <c r="V339" s="9" t="n"/>
      <c r="W339" s="14" t="n"/>
      <c r="X339" s="9" t="n"/>
      <c r="Y339" s="8">
        <f>IF($G339="","",IF($D339="","⚠部屋が未選択",IF(COUNTIF('M_部屋'!$A$4:$A$20,$D339)=0,"⚠部屋が未登録",IF(OR($J339="",$Q339="キャンセル"),"",IF(SUMPRODUCT(($D$5:$D$404=$D339)*($G$5:$G$404&lt;&gt;"")*($J$5:$J$404&lt;&gt;"")*($Q$5:$Q$404&lt;&gt;"キャンセル")*($G$5:$G$404&lt;$J339)*($J$5:$J$404&gt;$G339))&gt;1,"⚠重複","")))))</f>
        <v/>
      </c>
      <c r="Z339" s="8">
        <f>IF(OR($B339="",$G339=""),"",IF(SUMPRODUCT(('利用者マスタ'!$A$4:$A$60=$B339)*('利用者マスタ'!$B$4:$B$60&lt;&gt;""))=0,"",IF(SUMIFS($AA$5:$AA$404,$B$5:$B$404,$B339,$G$5:$G$404,"&gt;="&amp;DATE(YEAR($G339),MONTH($G339),1),$G$5:$G$404,"&lt;="&amp;EOMONTH($G339,0))&gt;SUMIFS('利用者マスタ'!$B$4:$B$60,'利用者マスタ'!$A$4:$A$60,$B339),"⚠支給量超過","")))</f>
        <v/>
      </c>
      <c r="AA339" s="8">
        <f>IF(OR($G339="",$J339="",$Q339="キャンセル"),0,IF(IFERROR(INDEX('M_区分'!$B$4:$B$20,MATCH($C339,'M_区分'!$A$4:$A$20,0)),"○")="○",$J339-$G339+1,0))</f>
        <v/>
      </c>
      <c r="AB339" s="8">
        <f>IF($E339&lt;&gt;"",$E339,$AB338)</f>
        <v/>
      </c>
      <c r="AC339" s="8">
        <f>IF(OR($G339="",$J339=""),"",IF(AND($G339&lt;=EOMONTH('02_カレンダー'!$B$4,0),$J339&gt;='02_カレンダー'!$B$4),$G339*10000+ROW(),""))</f>
        <v/>
      </c>
      <c r="AD339" s="8">
        <f>IF($H339="","",IF(ISNUMBER($H339),IF(AND($H339=INT($H339),$H339&gt;=0,$H339&lt;=24),TEXT(INT($H339),"00")&amp;":00",TEXT($H339,"hh:mm")),$H339))</f>
        <v/>
      </c>
      <c r="AE339" s="8">
        <f>IF($K339="","",IF(ISNUMBER($K339),IF(AND($K339=INT($K339),$K339&gt;=0,$K339&lt;=24),TEXT(INT($K339),"00")&amp;":00",TEXT($K339,"hh:mm")),$K339))</f>
        <v/>
      </c>
      <c r="AF339" s="8">
        <f>IF($G339="",0,$G339)</f>
        <v/>
      </c>
      <c r="AG339" s="8">
        <f>IF($J339="",0,$J339)</f>
        <v/>
      </c>
    </row>
    <row r="340">
      <c r="A340" s="8">
        <f>IF($G340="","","SS-"&amp;TEXT(ROW()-4,"0000"))</f>
        <v/>
      </c>
      <c r="B340" s="9" t="n"/>
      <c r="C340" s="9" t="n"/>
      <c r="D340" s="9" t="n"/>
      <c r="E340" s="10" t="n"/>
      <c r="F340" s="11" t="n"/>
      <c r="G340" s="12">
        <f>IF($F340="","",IF($F340&gt;31,$F340,IF($AB340="","",DATE(YEAR($AB340),MONTH($AB340),$F340))))</f>
        <v/>
      </c>
      <c r="H340" s="9" t="n"/>
      <c r="I340" s="11" t="n"/>
      <c r="J340" s="12">
        <f>IF($I340="","",IF($I340&gt;31,$I340,IF($G340="","",IF(DATE(YEAR($G340),MONTH($G340),$I340)&gt;=$G340,DATE(YEAR($G340),MONTH($G340),$I340),DATE(YEAR($G340),MONTH($G340)+1,$I340)))))</f>
        <v/>
      </c>
      <c r="K340" s="9" t="n"/>
      <c r="L340" s="13" t="n"/>
      <c r="M340" s="13" t="n"/>
      <c r="N340" s="13" t="n"/>
      <c r="O340" s="8">
        <f>IF(OR($G340="",$J340=""),"",$J340-$G340+1)</f>
        <v/>
      </c>
      <c r="P340" s="8">
        <f>IF(OR($G340="",$J340=""),"",$J340-$G340)</f>
        <v/>
      </c>
      <c r="Q340" s="9" t="n"/>
      <c r="R340" s="9" t="n"/>
      <c r="S340" s="9" t="n"/>
      <c r="T340" s="9" t="n"/>
      <c r="U340" s="9" t="n"/>
      <c r="V340" s="9" t="n"/>
      <c r="W340" s="14" t="n"/>
      <c r="X340" s="9" t="n"/>
      <c r="Y340" s="8">
        <f>IF($G340="","",IF($D340="","⚠部屋が未選択",IF(COUNTIF('M_部屋'!$A$4:$A$20,$D340)=0,"⚠部屋が未登録",IF(OR($J340="",$Q340="キャンセル"),"",IF(SUMPRODUCT(($D$5:$D$404=$D340)*($G$5:$G$404&lt;&gt;"")*($J$5:$J$404&lt;&gt;"")*($Q$5:$Q$404&lt;&gt;"キャンセル")*($G$5:$G$404&lt;$J340)*($J$5:$J$404&gt;$G340))&gt;1,"⚠重複","")))))</f>
        <v/>
      </c>
      <c r="Z340" s="8">
        <f>IF(OR($B340="",$G340=""),"",IF(SUMPRODUCT(('利用者マスタ'!$A$4:$A$60=$B340)*('利用者マスタ'!$B$4:$B$60&lt;&gt;""))=0,"",IF(SUMIFS($AA$5:$AA$404,$B$5:$B$404,$B340,$G$5:$G$404,"&gt;="&amp;DATE(YEAR($G340),MONTH($G340),1),$G$5:$G$404,"&lt;="&amp;EOMONTH($G340,0))&gt;SUMIFS('利用者マスタ'!$B$4:$B$60,'利用者マスタ'!$A$4:$A$60,$B340),"⚠支給量超過","")))</f>
        <v/>
      </c>
      <c r="AA340" s="8">
        <f>IF(OR($G340="",$J340="",$Q340="キャンセル"),0,IF(IFERROR(INDEX('M_区分'!$B$4:$B$20,MATCH($C340,'M_区分'!$A$4:$A$20,0)),"○")="○",$J340-$G340+1,0))</f>
        <v/>
      </c>
      <c r="AB340" s="8">
        <f>IF($E340&lt;&gt;"",$E340,$AB339)</f>
        <v/>
      </c>
      <c r="AC340" s="8">
        <f>IF(OR($G340="",$J340=""),"",IF(AND($G340&lt;=EOMONTH('02_カレンダー'!$B$4,0),$J340&gt;='02_カレンダー'!$B$4),$G340*10000+ROW(),""))</f>
        <v/>
      </c>
      <c r="AD340" s="8">
        <f>IF($H340="","",IF(ISNUMBER($H340),IF(AND($H340=INT($H340),$H340&gt;=0,$H340&lt;=24),TEXT(INT($H340),"00")&amp;":00",TEXT($H340,"hh:mm")),$H340))</f>
        <v/>
      </c>
      <c r="AE340" s="8">
        <f>IF($K340="","",IF(ISNUMBER($K340),IF(AND($K340=INT($K340),$K340&gt;=0,$K340&lt;=24),TEXT(INT($K340),"00")&amp;":00",TEXT($K340,"hh:mm")),$K340))</f>
        <v/>
      </c>
      <c r="AF340" s="8">
        <f>IF($G340="",0,$G340)</f>
        <v/>
      </c>
      <c r="AG340" s="8">
        <f>IF($J340="",0,$J340)</f>
        <v/>
      </c>
    </row>
    <row r="341">
      <c r="A341" s="8">
        <f>IF($G341="","","SS-"&amp;TEXT(ROW()-4,"0000"))</f>
        <v/>
      </c>
      <c r="B341" s="9" t="n"/>
      <c r="C341" s="9" t="n"/>
      <c r="D341" s="9" t="n"/>
      <c r="E341" s="10" t="n"/>
      <c r="F341" s="11" t="n"/>
      <c r="G341" s="12">
        <f>IF($F341="","",IF($F341&gt;31,$F341,IF($AB341="","",DATE(YEAR($AB341),MONTH($AB341),$F341))))</f>
        <v/>
      </c>
      <c r="H341" s="9" t="n"/>
      <c r="I341" s="11" t="n"/>
      <c r="J341" s="12">
        <f>IF($I341="","",IF($I341&gt;31,$I341,IF($G341="","",IF(DATE(YEAR($G341),MONTH($G341),$I341)&gt;=$G341,DATE(YEAR($G341),MONTH($G341),$I341),DATE(YEAR($G341),MONTH($G341)+1,$I341)))))</f>
        <v/>
      </c>
      <c r="K341" s="9" t="n"/>
      <c r="L341" s="13" t="n"/>
      <c r="M341" s="13" t="n"/>
      <c r="N341" s="13" t="n"/>
      <c r="O341" s="8">
        <f>IF(OR($G341="",$J341=""),"",$J341-$G341+1)</f>
        <v/>
      </c>
      <c r="P341" s="8">
        <f>IF(OR($G341="",$J341=""),"",$J341-$G341)</f>
        <v/>
      </c>
      <c r="Q341" s="9" t="n"/>
      <c r="R341" s="9" t="n"/>
      <c r="S341" s="9" t="n"/>
      <c r="T341" s="9" t="n"/>
      <c r="U341" s="9" t="n"/>
      <c r="V341" s="9" t="n"/>
      <c r="W341" s="14" t="n"/>
      <c r="X341" s="9" t="n"/>
      <c r="Y341" s="8">
        <f>IF($G341="","",IF($D341="","⚠部屋が未選択",IF(COUNTIF('M_部屋'!$A$4:$A$20,$D341)=0,"⚠部屋が未登録",IF(OR($J341="",$Q341="キャンセル"),"",IF(SUMPRODUCT(($D$5:$D$404=$D341)*($G$5:$G$404&lt;&gt;"")*($J$5:$J$404&lt;&gt;"")*($Q$5:$Q$404&lt;&gt;"キャンセル")*($G$5:$G$404&lt;$J341)*($J$5:$J$404&gt;$G341))&gt;1,"⚠重複","")))))</f>
        <v/>
      </c>
      <c r="Z341" s="8">
        <f>IF(OR($B341="",$G341=""),"",IF(SUMPRODUCT(('利用者マスタ'!$A$4:$A$60=$B341)*('利用者マスタ'!$B$4:$B$60&lt;&gt;""))=0,"",IF(SUMIFS($AA$5:$AA$404,$B$5:$B$404,$B341,$G$5:$G$404,"&gt;="&amp;DATE(YEAR($G341),MONTH($G341),1),$G$5:$G$404,"&lt;="&amp;EOMONTH($G341,0))&gt;SUMIFS('利用者マスタ'!$B$4:$B$60,'利用者マスタ'!$A$4:$A$60,$B341),"⚠支給量超過","")))</f>
        <v/>
      </c>
      <c r="AA341" s="8">
        <f>IF(OR($G341="",$J341="",$Q341="キャンセル"),0,IF(IFERROR(INDEX('M_区分'!$B$4:$B$20,MATCH($C341,'M_区分'!$A$4:$A$20,0)),"○")="○",$J341-$G341+1,0))</f>
        <v/>
      </c>
      <c r="AB341" s="8">
        <f>IF($E341&lt;&gt;"",$E341,$AB340)</f>
        <v/>
      </c>
      <c r="AC341" s="8">
        <f>IF(OR($G341="",$J341=""),"",IF(AND($G341&lt;=EOMONTH('02_カレンダー'!$B$4,0),$J341&gt;='02_カレンダー'!$B$4),$G341*10000+ROW(),""))</f>
        <v/>
      </c>
      <c r="AD341" s="8">
        <f>IF($H341="","",IF(ISNUMBER($H341),IF(AND($H341=INT($H341),$H341&gt;=0,$H341&lt;=24),TEXT(INT($H341),"00")&amp;":00",TEXT($H341,"hh:mm")),$H341))</f>
        <v/>
      </c>
      <c r="AE341" s="8">
        <f>IF($K341="","",IF(ISNUMBER($K341),IF(AND($K341=INT($K341),$K341&gt;=0,$K341&lt;=24),TEXT(INT($K341),"00")&amp;":00",TEXT($K341,"hh:mm")),$K341))</f>
        <v/>
      </c>
      <c r="AF341" s="8">
        <f>IF($G341="",0,$G341)</f>
        <v/>
      </c>
      <c r="AG341" s="8">
        <f>IF($J341="",0,$J341)</f>
        <v/>
      </c>
    </row>
    <row r="342">
      <c r="A342" s="8">
        <f>IF($G342="","","SS-"&amp;TEXT(ROW()-4,"0000"))</f>
        <v/>
      </c>
      <c r="B342" s="9" t="n"/>
      <c r="C342" s="9" t="n"/>
      <c r="D342" s="9" t="n"/>
      <c r="E342" s="10" t="n"/>
      <c r="F342" s="11" t="n"/>
      <c r="G342" s="12">
        <f>IF($F342="","",IF($F342&gt;31,$F342,IF($AB342="","",DATE(YEAR($AB342),MONTH($AB342),$F342))))</f>
        <v/>
      </c>
      <c r="H342" s="9" t="n"/>
      <c r="I342" s="11" t="n"/>
      <c r="J342" s="12">
        <f>IF($I342="","",IF($I342&gt;31,$I342,IF($G342="","",IF(DATE(YEAR($G342),MONTH($G342),$I342)&gt;=$G342,DATE(YEAR($G342),MONTH($G342),$I342),DATE(YEAR($G342),MONTH($G342)+1,$I342)))))</f>
        <v/>
      </c>
      <c r="K342" s="9" t="n"/>
      <c r="L342" s="13" t="n"/>
      <c r="M342" s="13" t="n"/>
      <c r="N342" s="13" t="n"/>
      <c r="O342" s="8">
        <f>IF(OR($G342="",$J342=""),"",$J342-$G342+1)</f>
        <v/>
      </c>
      <c r="P342" s="8">
        <f>IF(OR($G342="",$J342=""),"",$J342-$G342)</f>
        <v/>
      </c>
      <c r="Q342" s="9" t="n"/>
      <c r="R342" s="9" t="n"/>
      <c r="S342" s="9" t="n"/>
      <c r="T342" s="9" t="n"/>
      <c r="U342" s="9" t="n"/>
      <c r="V342" s="9" t="n"/>
      <c r="W342" s="14" t="n"/>
      <c r="X342" s="9" t="n"/>
      <c r="Y342" s="8">
        <f>IF($G342="","",IF($D342="","⚠部屋が未選択",IF(COUNTIF('M_部屋'!$A$4:$A$20,$D342)=0,"⚠部屋が未登録",IF(OR($J342="",$Q342="キャンセル"),"",IF(SUMPRODUCT(($D$5:$D$404=$D342)*($G$5:$G$404&lt;&gt;"")*($J$5:$J$404&lt;&gt;"")*($Q$5:$Q$404&lt;&gt;"キャンセル")*($G$5:$G$404&lt;$J342)*($J$5:$J$404&gt;$G342))&gt;1,"⚠重複","")))))</f>
        <v/>
      </c>
      <c r="Z342" s="8">
        <f>IF(OR($B342="",$G342=""),"",IF(SUMPRODUCT(('利用者マスタ'!$A$4:$A$60=$B342)*('利用者マスタ'!$B$4:$B$60&lt;&gt;""))=0,"",IF(SUMIFS($AA$5:$AA$404,$B$5:$B$404,$B342,$G$5:$G$404,"&gt;="&amp;DATE(YEAR($G342),MONTH($G342),1),$G$5:$G$404,"&lt;="&amp;EOMONTH($G342,0))&gt;SUMIFS('利用者マスタ'!$B$4:$B$60,'利用者マスタ'!$A$4:$A$60,$B342),"⚠支給量超過","")))</f>
        <v/>
      </c>
      <c r="AA342" s="8">
        <f>IF(OR($G342="",$J342="",$Q342="キャンセル"),0,IF(IFERROR(INDEX('M_区分'!$B$4:$B$20,MATCH($C342,'M_区分'!$A$4:$A$20,0)),"○")="○",$J342-$G342+1,0))</f>
        <v/>
      </c>
      <c r="AB342" s="8">
        <f>IF($E342&lt;&gt;"",$E342,$AB341)</f>
        <v/>
      </c>
      <c r="AC342" s="8">
        <f>IF(OR($G342="",$J342=""),"",IF(AND($G342&lt;=EOMONTH('02_カレンダー'!$B$4,0),$J342&gt;='02_カレンダー'!$B$4),$G342*10000+ROW(),""))</f>
        <v/>
      </c>
      <c r="AD342" s="8">
        <f>IF($H342="","",IF(ISNUMBER($H342),IF(AND($H342=INT($H342),$H342&gt;=0,$H342&lt;=24),TEXT(INT($H342),"00")&amp;":00",TEXT($H342,"hh:mm")),$H342))</f>
        <v/>
      </c>
      <c r="AE342" s="8">
        <f>IF($K342="","",IF(ISNUMBER($K342),IF(AND($K342=INT($K342),$K342&gt;=0,$K342&lt;=24),TEXT(INT($K342),"00")&amp;":00",TEXT($K342,"hh:mm")),$K342))</f>
        <v/>
      </c>
      <c r="AF342" s="8">
        <f>IF($G342="",0,$G342)</f>
        <v/>
      </c>
      <c r="AG342" s="8">
        <f>IF($J342="",0,$J342)</f>
        <v/>
      </c>
    </row>
    <row r="343">
      <c r="A343" s="8">
        <f>IF($G343="","","SS-"&amp;TEXT(ROW()-4,"0000"))</f>
        <v/>
      </c>
      <c r="B343" s="9" t="n"/>
      <c r="C343" s="9" t="n"/>
      <c r="D343" s="9" t="n"/>
      <c r="E343" s="10" t="n"/>
      <c r="F343" s="11" t="n"/>
      <c r="G343" s="12">
        <f>IF($F343="","",IF($F343&gt;31,$F343,IF($AB343="","",DATE(YEAR($AB343),MONTH($AB343),$F343))))</f>
        <v/>
      </c>
      <c r="H343" s="9" t="n"/>
      <c r="I343" s="11" t="n"/>
      <c r="J343" s="12">
        <f>IF($I343="","",IF($I343&gt;31,$I343,IF($G343="","",IF(DATE(YEAR($G343),MONTH($G343),$I343)&gt;=$G343,DATE(YEAR($G343),MONTH($G343),$I343),DATE(YEAR($G343),MONTH($G343)+1,$I343)))))</f>
        <v/>
      </c>
      <c r="K343" s="9" t="n"/>
      <c r="L343" s="13" t="n"/>
      <c r="M343" s="13" t="n"/>
      <c r="N343" s="13" t="n"/>
      <c r="O343" s="8">
        <f>IF(OR($G343="",$J343=""),"",$J343-$G343+1)</f>
        <v/>
      </c>
      <c r="P343" s="8">
        <f>IF(OR($G343="",$J343=""),"",$J343-$G343)</f>
        <v/>
      </c>
      <c r="Q343" s="9" t="n"/>
      <c r="R343" s="9" t="n"/>
      <c r="S343" s="9" t="n"/>
      <c r="T343" s="9" t="n"/>
      <c r="U343" s="9" t="n"/>
      <c r="V343" s="9" t="n"/>
      <c r="W343" s="14" t="n"/>
      <c r="X343" s="9" t="n"/>
      <c r="Y343" s="8">
        <f>IF($G343="","",IF($D343="","⚠部屋が未選択",IF(COUNTIF('M_部屋'!$A$4:$A$20,$D343)=0,"⚠部屋が未登録",IF(OR($J343="",$Q343="キャンセル"),"",IF(SUMPRODUCT(($D$5:$D$404=$D343)*($G$5:$G$404&lt;&gt;"")*($J$5:$J$404&lt;&gt;"")*($Q$5:$Q$404&lt;&gt;"キャンセル")*($G$5:$G$404&lt;$J343)*($J$5:$J$404&gt;$G343))&gt;1,"⚠重複","")))))</f>
        <v/>
      </c>
      <c r="Z343" s="8">
        <f>IF(OR($B343="",$G343=""),"",IF(SUMPRODUCT(('利用者マスタ'!$A$4:$A$60=$B343)*('利用者マスタ'!$B$4:$B$60&lt;&gt;""))=0,"",IF(SUMIFS($AA$5:$AA$404,$B$5:$B$404,$B343,$G$5:$G$404,"&gt;="&amp;DATE(YEAR($G343),MONTH($G343),1),$G$5:$G$404,"&lt;="&amp;EOMONTH($G343,0))&gt;SUMIFS('利用者マスタ'!$B$4:$B$60,'利用者マスタ'!$A$4:$A$60,$B343),"⚠支給量超過","")))</f>
        <v/>
      </c>
      <c r="AA343" s="8">
        <f>IF(OR($G343="",$J343="",$Q343="キャンセル"),0,IF(IFERROR(INDEX('M_区分'!$B$4:$B$20,MATCH($C343,'M_区分'!$A$4:$A$20,0)),"○")="○",$J343-$G343+1,0))</f>
        <v/>
      </c>
      <c r="AB343" s="8">
        <f>IF($E343&lt;&gt;"",$E343,$AB342)</f>
        <v/>
      </c>
      <c r="AC343" s="8">
        <f>IF(OR($G343="",$J343=""),"",IF(AND($G343&lt;=EOMONTH('02_カレンダー'!$B$4,0),$J343&gt;='02_カレンダー'!$B$4),$G343*10000+ROW(),""))</f>
        <v/>
      </c>
      <c r="AD343" s="8">
        <f>IF($H343="","",IF(ISNUMBER($H343),IF(AND($H343=INT($H343),$H343&gt;=0,$H343&lt;=24),TEXT(INT($H343),"00")&amp;":00",TEXT($H343,"hh:mm")),$H343))</f>
        <v/>
      </c>
      <c r="AE343" s="8">
        <f>IF($K343="","",IF(ISNUMBER($K343),IF(AND($K343=INT($K343),$K343&gt;=0,$K343&lt;=24),TEXT(INT($K343),"00")&amp;":00",TEXT($K343,"hh:mm")),$K343))</f>
        <v/>
      </c>
      <c r="AF343" s="8">
        <f>IF($G343="",0,$G343)</f>
        <v/>
      </c>
      <c r="AG343" s="8">
        <f>IF($J343="",0,$J343)</f>
        <v/>
      </c>
    </row>
    <row r="344">
      <c r="A344" s="8">
        <f>IF($G344="","","SS-"&amp;TEXT(ROW()-4,"0000"))</f>
        <v/>
      </c>
      <c r="B344" s="9" t="n"/>
      <c r="C344" s="9" t="n"/>
      <c r="D344" s="9" t="n"/>
      <c r="E344" s="10" t="n"/>
      <c r="F344" s="11" t="n"/>
      <c r="G344" s="12">
        <f>IF($F344="","",IF($F344&gt;31,$F344,IF($AB344="","",DATE(YEAR($AB344),MONTH($AB344),$F344))))</f>
        <v/>
      </c>
      <c r="H344" s="9" t="n"/>
      <c r="I344" s="11" t="n"/>
      <c r="J344" s="12">
        <f>IF($I344="","",IF($I344&gt;31,$I344,IF($G344="","",IF(DATE(YEAR($G344),MONTH($G344),$I344)&gt;=$G344,DATE(YEAR($G344),MONTH($G344),$I344),DATE(YEAR($G344),MONTH($G344)+1,$I344)))))</f>
        <v/>
      </c>
      <c r="K344" s="9" t="n"/>
      <c r="L344" s="13" t="n"/>
      <c r="M344" s="13" t="n"/>
      <c r="N344" s="13" t="n"/>
      <c r="O344" s="8">
        <f>IF(OR($G344="",$J344=""),"",$J344-$G344+1)</f>
        <v/>
      </c>
      <c r="P344" s="8">
        <f>IF(OR($G344="",$J344=""),"",$J344-$G344)</f>
        <v/>
      </c>
      <c r="Q344" s="9" t="n"/>
      <c r="R344" s="9" t="n"/>
      <c r="S344" s="9" t="n"/>
      <c r="T344" s="9" t="n"/>
      <c r="U344" s="9" t="n"/>
      <c r="V344" s="9" t="n"/>
      <c r="W344" s="14" t="n"/>
      <c r="X344" s="9" t="n"/>
      <c r="Y344" s="8">
        <f>IF($G344="","",IF($D344="","⚠部屋が未選択",IF(COUNTIF('M_部屋'!$A$4:$A$20,$D344)=0,"⚠部屋が未登録",IF(OR($J344="",$Q344="キャンセル"),"",IF(SUMPRODUCT(($D$5:$D$404=$D344)*($G$5:$G$404&lt;&gt;"")*($J$5:$J$404&lt;&gt;"")*($Q$5:$Q$404&lt;&gt;"キャンセル")*($G$5:$G$404&lt;$J344)*($J$5:$J$404&gt;$G344))&gt;1,"⚠重複","")))))</f>
        <v/>
      </c>
      <c r="Z344" s="8">
        <f>IF(OR($B344="",$G344=""),"",IF(SUMPRODUCT(('利用者マスタ'!$A$4:$A$60=$B344)*('利用者マスタ'!$B$4:$B$60&lt;&gt;""))=0,"",IF(SUMIFS($AA$5:$AA$404,$B$5:$B$404,$B344,$G$5:$G$404,"&gt;="&amp;DATE(YEAR($G344),MONTH($G344),1),$G$5:$G$404,"&lt;="&amp;EOMONTH($G344,0))&gt;SUMIFS('利用者マスタ'!$B$4:$B$60,'利用者マスタ'!$A$4:$A$60,$B344),"⚠支給量超過","")))</f>
        <v/>
      </c>
      <c r="AA344" s="8">
        <f>IF(OR($G344="",$J344="",$Q344="キャンセル"),0,IF(IFERROR(INDEX('M_区分'!$B$4:$B$20,MATCH($C344,'M_区分'!$A$4:$A$20,0)),"○")="○",$J344-$G344+1,0))</f>
        <v/>
      </c>
      <c r="AB344" s="8">
        <f>IF($E344&lt;&gt;"",$E344,$AB343)</f>
        <v/>
      </c>
      <c r="AC344" s="8">
        <f>IF(OR($G344="",$J344=""),"",IF(AND($G344&lt;=EOMONTH('02_カレンダー'!$B$4,0),$J344&gt;='02_カレンダー'!$B$4),$G344*10000+ROW(),""))</f>
        <v/>
      </c>
      <c r="AD344" s="8">
        <f>IF($H344="","",IF(ISNUMBER($H344),IF(AND($H344=INT($H344),$H344&gt;=0,$H344&lt;=24),TEXT(INT($H344),"00")&amp;":00",TEXT($H344,"hh:mm")),$H344))</f>
        <v/>
      </c>
      <c r="AE344" s="8">
        <f>IF($K344="","",IF(ISNUMBER($K344),IF(AND($K344=INT($K344),$K344&gt;=0,$K344&lt;=24),TEXT(INT($K344),"00")&amp;":00",TEXT($K344,"hh:mm")),$K344))</f>
        <v/>
      </c>
      <c r="AF344" s="8">
        <f>IF($G344="",0,$G344)</f>
        <v/>
      </c>
      <c r="AG344" s="8">
        <f>IF($J344="",0,$J344)</f>
        <v/>
      </c>
    </row>
    <row r="345">
      <c r="A345" s="8">
        <f>IF($G345="","","SS-"&amp;TEXT(ROW()-4,"0000"))</f>
        <v/>
      </c>
      <c r="B345" s="9" t="n"/>
      <c r="C345" s="9" t="n"/>
      <c r="D345" s="9" t="n"/>
      <c r="E345" s="10" t="n"/>
      <c r="F345" s="11" t="n"/>
      <c r="G345" s="12">
        <f>IF($F345="","",IF($F345&gt;31,$F345,IF($AB345="","",DATE(YEAR($AB345),MONTH($AB345),$F345))))</f>
        <v/>
      </c>
      <c r="H345" s="9" t="n"/>
      <c r="I345" s="11" t="n"/>
      <c r="J345" s="12">
        <f>IF($I345="","",IF($I345&gt;31,$I345,IF($G345="","",IF(DATE(YEAR($G345),MONTH($G345),$I345)&gt;=$G345,DATE(YEAR($G345),MONTH($G345),$I345),DATE(YEAR($G345),MONTH($G345)+1,$I345)))))</f>
        <v/>
      </c>
      <c r="K345" s="9" t="n"/>
      <c r="L345" s="13" t="n"/>
      <c r="M345" s="13" t="n"/>
      <c r="N345" s="13" t="n"/>
      <c r="O345" s="8">
        <f>IF(OR($G345="",$J345=""),"",$J345-$G345+1)</f>
        <v/>
      </c>
      <c r="P345" s="8">
        <f>IF(OR($G345="",$J345=""),"",$J345-$G345)</f>
        <v/>
      </c>
      <c r="Q345" s="9" t="n"/>
      <c r="R345" s="9" t="n"/>
      <c r="S345" s="9" t="n"/>
      <c r="T345" s="9" t="n"/>
      <c r="U345" s="9" t="n"/>
      <c r="V345" s="9" t="n"/>
      <c r="W345" s="14" t="n"/>
      <c r="X345" s="9" t="n"/>
      <c r="Y345" s="8">
        <f>IF($G345="","",IF($D345="","⚠部屋が未選択",IF(COUNTIF('M_部屋'!$A$4:$A$20,$D345)=0,"⚠部屋が未登録",IF(OR($J345="",$Q345="キャンセル"),"",IF(SUMPRODUCT(($D$5:$D$404=$D345)*($G$5:$G$404&lt;&gt;"")*($J$5:$J$404&lt;&gt;"")*($Q$5:$Q$404&lt;&gt;"キャンセル")*($G$5:$G$404&lt;$J345)*($J$5:$J$404&gt;$G345))&gt;1,"⚠重複","")))))</f>
        <v/>
      </c>
      <c r="Z345" s="8">
        <f>IF(OR($B345="",$G345=""),"",IF(SUMPRODUCT(('利用者マスタ'!$A$4:$A$60=$B345)*('利用者マスタ'!$B$4:$B$60&lt;&gt;""))=0,"",IF(SUMIFS($AA$5:$AA$404,$B$5:$B$404,$B345,$G$5:$G$404,"&gt;="&amp;DATE(YEAR($G345),MONTH($G345),1),$G$5:$G$404,"&lt;="&amp;EOMONTH($G345,0))&gt;SUMIFS('利用者マスタ'!$B$4:$B$60,'利用者マスタ'!$A$4:$A$60,$B345),"⚠支給量超過","")))</f>
        <v/>
      </c>
      <c r="AA345" s="8">
        <f>IF(OR($G345="",$J345="",$Q345="キャンセル"),0,IF(IFERROR(INDEX('M_区分'!$B$4:$B$20,MATCH($C345,'M_区分'!$A$4:$A$20,0)),"○")="○",$J345-$G345+1,0))</f>
        <v/>
      </c>
      <c r="AB345" s="8">
        <f>IF($E345&lt;&gt;"",$E345,$AB344)</f>
        <v/>
      </c>
      <c r="AC345" s="8">
        <f>IF(OR($G345="",$J345=""),"",IF(AND($G345&lt;=EOMONTH('02_カレンダー'!$B$4,0),$J345&gt;='02_カレンダー'!$B$4),$G345*10000+ROW(),""))</f>
        <v/>
      </c>
      <c r="AD345" s="8">
        <f>IF($H345="","",IF(ISNUMBER($H345),IF(AND($H345=INT($H345),$H345&gt;=0,$H345&lt;=24),TEXT(INT($H345),"00")&amp;":00",TEXT($H345,"hh:mm")),$H345))</f>
        <v/>
      </c>
      <c r="AE345" s="8">
        <f>IF($K345="","",IF(ISNUMBER($K345),IF(AND($K345=INT($K345),$K345&gt;=0,$K345&lt;=24),TEXT(INT($K345),"00")&amp;":00",TEXT($K345,"hh:mm")),$K345))</f>
        <v/>
      </c>
      <c r="AF345" s="8">
        <f>IF($G345="",0,$G345)</f>
        <v/>
      </c>
      <c r="AG345" s="8">
        <f>IF($J345="",0,$J345)</f>
        <v/>
      </c>
    </row>
    <row r="346">
      <c r="A346" s="8">
        <f>IF($G346="","","SS-"&amp;TEXT(ROW()-4,"0000"))</f>
        <v/>
      </c>
      <c r="B346" s="9" t="n"/>
      <c r="C346" s="9" t="n"/>
      <c r="D346" s="9" t="n"/>
      <c r="E346" s="10" t="n"/>
      <c r="F346" s="11" t="n"/>
      <c r="G346" s="12">
        <f>IF($F346="","",IF($F346&gt;31,$F346,IF($AB346="","",DATE(YEAR($AB346),MONTH($AB346),$F346))))</f>
        <v/>
      </c>
      <c r="H346" s="9" t="n"/>
      <c r="I346" s="11" t="n"/>
      <c r="J346" s="12">
        <f>IF($I346="","",IF($I346&gt;31,$I346,IF($G346="","",IF(DATE(YEAR($G346),MONTH($G346),$I346)&gt;=$G346,DATE(YEAR($G346),MONTH($G346),$I346),DATE(YEAR($G346),MONTH($G346)+1,$I346)))))</f>
        <v/>
      </c>
      <c r="K346" s="9" t="n"/>
      <c r="L346" s="13" t="n"/>
      <c r="M346" s="13" t="n"/>
      <c r="N346" s="13" t="n"/>
      <c r="O346" s="8">
        <f>IF(OR($G346="",$J346=""),"",$J346-$G346+1)</f>
        <v/>
      </c>
      <c r="P346" s="8">
        <f>IF(OR($G346="",$J346=""),"",$J346-$G346)</f>
        <v/>
      </c>
      <c r="Q346" s="9" t="n"/>
      <c r="R346" s="9" t="n"/>
      <c r="S346" s="9" t="n"/>
      <c r="T346" s="9" t="n"/>
      <c r="U346" s="9" t="n"/>
      <c r="V346" s="9" t="n"/>
      <c r="W346" s="14" t="n"/>
      <c r="X346" s="9" t="n"/>
      <c r="Y346" s="8">
        <f>IF($G346="","",IF($D346="","⚠部屋が未選択",IF(COUNTIF('M_部屋'!$A$4:$A$20,$D346)=0,"⚠部屋が未登録",IF(OR($J346="",$Q346="キャンセル"),"",IF(SUMPRODUCT(($D$5:$D$404=$D346)*($G$5:$G$404&lt;&gt;"")*($J$5:$J$404&lt;&gt;"")*($Q$5:$Q$404&lt;&gt;"キャンセル")*($G$5:$G$404&lt;$J346)*($J$5:$J$404&gt;$G346))&gt;1,"⚠重複","")))))</f>
        <v/>
      </c>
      <c r="Z346" s="8">
        <f>IF(OR($B346="",$G346=""),"",IF(SUMPRODUCT(('利用者マスタ'!$A$4:$A$60=$B346)*('利用者マスタ'!$B$4:$B$60&lt;&gt;""))=0,"",IF(SUMIFS($AA$5:$AA$404,$B$5:$B$404,$B346,$G$5:$G$404,"&gt;="&amp;DATE(YEAR($G346),MONTH($G346),1),$G$5:$G$404,"&lt;="&amp;EOMONTH($G346,0))&gt;SUMIFS('利用者マスタ'!$B$4:$B$60,'利用者マスタ'!$A$4:$A$60,$B346),"⚠支給量超過","")))</f>
        <v/>
      </c>
      <c r="AA346" s="8">
        <f>IF(OR($G346="",$J346="",$Q346="キャンセル"),0,IF(IFERROR(INDEX('M_区分'!$B$4:$B$20,MATCH($C346,'M_区分'!$A$4:$A$20,0)),"○")="○",$J346-$G346+1,0))</f>
        <v/>
      </c>
      <c r="AB346" s="8">
        <f>IF($E346&lt;&gt;"",$E346,$AB345)</f>
        <v/>
      </c>
      <c r="AC346" s="8">
        <f>IF(OR($G346="",$J346=""),"",IF(AND($G346&lt;=EOMONTH('02_カレンダー'!$B$4,0),$J346&gt;='02_カレンダー'!$B$4),$G346*10000+ROW(),""))</f>
        <v/>
      </c>
      <c r="AD346" s="8">
        <f>IF($H346="","",IF(ISNUMBER($H346),IF(AND($H346=INT($H346),$H346&gt;=0,$H346&lt;=24),TEXT(INT($H346),"00")&amp;":00",TEXT($H346,"hh:mm")),$H346))</f>
        <v/>
      </c>
      <c r="AE346" s="8">
        <f>IF($K346="","",IF(ISNUMBER($K346),IF(AND($K346=INT($K346),$K346&gt;=0,$K346&lt;=24),TEXT(INT($K346),"00")&amp;":00",TEXT($K346,"hh:mm")),$K346))</f>
        <v/>
      </c>
      <c r="AF346" s="8">
        <f>IF($G346="",0,$G346)</f>
        <v/>
      </c>
      <c r="AG346" s="8">
        <f>IF($J346="",0,$J346)</f>
        <v/>
      </c>
    </row>
    <row r="347">
      <c r="A347" s="8">
        <f>IF($G347="","","SS-"&amp;TEXT(ROW()-4,"0000"))</f>
        <v/>
      </c>
      <c r="B347" s="9" t="n"/>
      <c r="C347" s="9" t="n"/>
      <c r="D347" s="9" t="n"/>
      <c r="E347" s="10" t="n"/>
      <c r="F347" s="11" t="n"/>
      <c r="G347" s="12">
        <f>IF($F347="","",IF($F347&gt;31,$F347,IF($AB347="","",DATE(YEAR($AB347),MONTH($AB347),$F347))))</f>
        <v/>
      </c>
      <c r="H347" s="9" t="n"/>
      <c r="I347" s="11" t="n"/>
      <c r="J347" s="12">
        <f>IF($I347="","",IF($I347&gt;31,$I347,IF($G347="","",IF(DATE(YEAR($G347),MONTH($G347),$I347)&gt;=$G347,DATE(YEAR($G347),MONTH($G347),$I347),DATE(YEAR($G347),MONTH($G347)+1,$I347)))))</f>
        <v/>
      </c>
      <c r="K347" s="9" t="n"/>
      <c r="L347" s="13" t="n"/>
      <c r="M347" s="13" t="n"/>
      <c r="N347" s="13" t="n"/>
      <c r="O347" s="8">
        <f>IF(OR($G347="",$J347=""),"",$J347-$G347+1)</f>
        <v/>
      </c>
      <c r="P347" s="8">
        <f>IF(OR($G347="",$J347=""),"",$J347-$G347)</f>
        <v/>
      </c>
      <c r="Q347" s="9" t="n"/>
      <c r="R347" s="9" t="n"/>
      <c r="S347" s="9" t="n"/>
      <c r="T347" s="9" t="n"/>
      <c r="U347" s="9" t="n"/>
      <c r="V347" s="9" t="n"/>
      <c r="W347" s="14" t="n"/>
      <c r="X347" s="9" t="n"/>
      <c r="Y347" s="8">
        <f>IF($G347="","",IF($D347="","⚠部屋が未選択",IF(COUNTIF('M_部屋'!$A$4:$A$20,$D347)=0,"⚠部屋が未登録",IF(OR($J347="",$Q347="キャンセル"),"",IF(SUMPRODUCT(($D$5:$D$404=$D347)*($G$5:$G$404&lt;&gt;"")*($J$5:$J$404&lt;&gt;"")*($Q$5:$Q$404&lt;&gt;"キャンセル")*($G$5:$G$404&lt;$J347)*($J$5:$J$404&gt;$G347))&gt;1,"⚠重複","")))))</f>
        <v/>
      </c>
      <c r="Z347" s="8">
        <f>IF(OR($B347="",$G347=""),"",IF(SUMPRODUCT(('利用者マスタ'!$A$4:$A$60=$B347)*('利用者マスタ'!$B$4:$B$60&lt;&gt;""))=0,"",IF(SUMIFS($AA$5:$AA$404,$B$5:$B$404,$B347,$G$5:$G$404,"&gt;="&amp;DATE(YEAR($G347),MONTH($G347),1),$G$5:$G$404,"&lt;="&amp;EOMONTH($G347,0))&gt;SUMIFS('利用者マスタ'!$B$4:$B$60,'利用者マスタ'!$A$4:$A$60,$B347),"⚠支給量超過","")))</f>
        <v/>
      </c>
      <c r="AA347" s="8">
        <f>IF(OR($G347="",$J347="",$Q347="キャンセル"),0,IF(IFERROR(INDEX('M_区分'!$B$4:$B$20,MATCH($C347,'M_区分'!$A$4:$A$20,0)),"○")="○",$J347-$G347+1,0))</f>
        <v/>
      </c>
      <c r="AB347" s="8">
        <f>IF($E347&lt;&gt;"",$E347,$AB346)</f>
        <v/>
      </c>
      <c r="AC347" s="8">
        <f>IF(OR($G347="",$J347=""),"",IF(AND($G347&lt;=EOMONTH('02_カレンダー'!$B$4,0),$J347&gt;='02_カレンダー'!$B$4),$G347*10000+ROW(),""))</f>
        <v/>
      </c>
      <c r="AD347" s="8">
        <f>IF($H347="","",IF(ISNUMBER($H347),IF(AND($H347=INT($H347),$H347&gt;=0,$H347&lt;=24),TEXT(INT($H347),"00")&amp;":00",TEXT($H347,"hh:mm")),$H347))</f>
        <v/>
      </c>
      <c r="AE347" s="8">
        <f>IF($K347="","",IF(ISNUMBER($K347),IF(AND($K347=INT($K347),$K347&gt;=0,$K347&lt;=24),TEXT(INT($K347),"00")&amp;":00",TEXT($K347,"hh:mm")),$K347))</f>
        <v/>
      </c>
      <c r="AF347" s="8">
        <f>IF($G347="",0,$G347)</f>
        <v/>
      </c>
      <c r="AG347" s="8">
        <f>IF($J347="",0,$J347)</f>
        <v/>
      </c>
    </row>
    <row r="348">
      <c r="A348" s="8">
        <f>IF($G348="","","SS-"&amp;TEXT(ROW()-4,"0000"))</f>
        <v/>
      </c>
      <c r="B348" s="9" t="n"/>
      <c r="C348" s="9" t="n"/>
      <c r="D348" s="9" t="n"/>
      <c r="E348" s="10" t="n"/>
      <c r="F348" s="11" t="n"/>
      <c r="G348" s="12">
        <f>IF($F348="","",IF($F348&gt;31,$F348,IF($AB348="","",DATE(YEAR($AB348),MONTH($AB348),$F348))))</f>
        <v/>
      </c>
      <c r="H348" s="9" t="n"/>
      <c r="I348" s="11" t="n"/>
      <c r="J348" s="12">
        <f>IF($I348="","",IF($I348&gt;31,$I348,IF($G348="","",IF(DATE(YEAR($G348),MONTH($G348),$I348)&gt;=$G348,DATE(YEAR($G348),MONTH($G348),$I348),DATE(YEAR($G348),MONTH($G348)+1,$I348)))))</f>
        <v/>
      </c>
      <c r="K348" s="9" t="n"/>
      <c r="L348" s="13" t="n"/>
      <c r="M348" s="13" t="n"/>
      <c r="N348" s="13" t="n"/>
      <c r="O348" s="8">
        <f>IF(OR($G348="",$J348=""),"",$J348-$G348+1)</f>
        <v/>
      </c>
      <c r="P348" s="8">
        <f>IF(OR($G348="",$J348=""),"",$J348-$G348)</f>
        <v/>
      </c>
      <c r="Q348" s="9" t="n"/>
      <c r="R348" s="9" t="n"/>
      <c r="S348" s="9" t="n"/>
      <c r="T348" s="9" t="n"/>
      <c r="U348" s="9" t="n"/>
      <c r="V348" s="9" t="n"/>
      <c r="W348" s="14" t="n"/>
      <c r="X348" s="9" t="n"/>
      <c r="Y348" s="8">
        <f>IF($G348="","",IF($D348="","⚠部屋が未選択",IF(COUNTIF('M_部屋'!$A$4:$A$20,$D348)=0,"⚠部屋が未登録",IF(OR($J348="",$Q348="キャンセル"),"",IF(SUMPRODUCT(($D$5:$D$404=$D348)*($G$5:$G$404&lt;&gt;"")*($J$5:$J$404&lt;&gt;"")*($Q$5:$Q$404&lt;&gt;"キャンセル")*($G$5:$G$404&lt;$J348)*($J$5:$J$404&gt;$G348))&gt;1,"⚠重複","")))))</f>
        <v/>
      </c>
      <c r="Z348" s="8">
        <f>IF(OR($B348="",$G348=""),"",IF(SUMPRODUCT(('利用者マスタ'!$A$4:$A$60=$B348)*('利用者マスタ'!$B$4:$B$60&lt;&gt;""))=0,"",IF(SUMIFS($AA$5:$AA$404,$B$5:$B$404,$B348,$G$5:$G$404,"&gt;="&amp;DATE(YEAR($G348),MONTH($G348),1),$G$5:$G$404,"&lt;="&amp;EOMONTH($G348,0))&gt;SUMIFS('利用者マスタ'!$B$4:$B$60,'利用者マスタ'!$A$4:$A$60,$B348),"⚠支給量超過","")))</f>
        <v/>
      </c>
      <c r="AA348" s="8">
        <f>IF(OR($G348="",$J348="",$Q348="キャンセル"),0,IF(IFERROR(INDEX('M_区分'!$B$4:$B$20,MATCH($C348,'M_区分'!$A$4:$A$20,0)),"○")="○",$J348-$G348+1,0))</f>
        <v/>
      </c>
      <c r="AB348" s="8">
        <f>IF($E348&lt;&gt;"",$E348,$AB347)</f>
        <v/>
      </c>
      <c r="AC348" s="8">
        <f>IF(OR($G348="",$J348=""),"",IF(AND($G348&lt;=EOMONTH('02_カレンダー'!$B$4,0),$J348&gt;='02_カレンダー'!$B$4),$G348*10000+ROW(),""))</f>
        <v/>
      </c>
      <c r="AD348" s="8">
        <f>IF($H348="","",IF(ISNUMBER($H348),IF(AND($H348=INT($H348),$H348&gt;=0,$H348&lt;=24),TEXT(INT($H348),"00")&amp;":00",TEXT($H348,"hh:mm")),$H348))</f>
        <v/>
      </c>
      <c r="AE348" s="8">
        <f>IF($K348="","",IF(ISNUMBER($K348),IF(AND($K348=INT($K348),$K348&gt;=0,$K348&lt;=24),TEXT(INT($K348),"00")&amp;":00",TEXT($K348,"hh:mm")),$K348))</f>
        <v/>
      </c>
      <c r="AF348" s="8">
        <f>IF($G348="",0,$G348)</f>
        <v/>
      </c>
      <c r="AG348" s="8">
        <f>IF($J348="",0,$J348)</f>
        <v/>
      </c>
    </row>
    <row r="349">
      <c r="A349" s="8">
        <f>IF($G349="","","SS-"&amp;TEXT(ROW()-4,"0000"))</f>
        <v/>
      </c>
      <c r="B349" s="9" t="n"/>
      <c r="C349" s="9" t="n"/>
      <c r="D349" s="9" t="n"/>
      <c r="E349" s="10" t="n"/>
      <c r="F349" s="11" t="n"/>
      <c r="G349" s="12">
        <f>IF($F349="","",IF($F349&gt;31,$F349,IF($AB349="","",DATE(YEAR($AB349),MONTH($AB349),$F349))))</f>
        <v/>
      </c>
      <c r="H349" s="9" t="n"/>
      <c r="I349" s="11" t="n"/>
      <c r="J349" s="12">
        <f>IF($I349="","",IF($I349&gt;31,$I349,IF($G349="","",IF(DATE(YEAR($G349),MONTH($G349),$I349)&gt;=$G349,DATE(YEAR($G349),MONTH($G349),$I349),DATE(YEAR($G349),MONTH($G349)+1,$I349)))))</f>
        <v/>
      </c>
      <c r="K349" s="9" t="n"/>
      <c r="L349" s="13" t="n"/>
      <c r="M349" s="13" t="n"/>
      <c r="N349" s="13" t="n"/>
      <c r="O349" s="8">
        <f>IF(OR($G349="",$J349=""),"",$J349-$G349+1)</f>
        <v/>
      </c>
      <c r="P349" s="8">
        <f>IF(OR($G349="",$J349=""),"",$J349-$G349)</f>
        <v/>
      </c>
      <c r="Q349" s="9" t="n"/>
      <c r="R349" s="9" t="n"/>
      <c r="S349" s="9" t="n"/>
      <c r="T349" s="9" t="n"/>
      <c r="U349" s="9" t="n"/>
      <c r="V349" s="9" t="n"/>
      <c r="W349" s="14" t="n"/>
      <c r="X349" s="9" t="n"/>
      <c r="Y349" s="8">
        <f>IF($G349="","",IF($D349="","⚠部屋が未選択",IF(COUNTIF('M_部屋'!$A$4:$A$20,$D349)=0,"⚠部屋が未登録",IF(OR($J349="",$Q349="キャンセル"),"",IF(SUMPRODUCT(($D$5:$D$404=$D349)*($G$5:$G$404&lt;&gt;"")*($J$5:$J$404&lt;&gt;"")*($Q$5:$Q$404&lt;&gt;"キャンセル")*($G$5:$G$404&lt;$J349)*($J$5:$J$404&gt;$G349))&gt;1,"⚠重複","")))))</f>
        <v/>
      </c>
      <c r="Z349" s="8">
        <f>IF(OR($B349="",$G349=""),"",IF(SUMPRODUCT(('利用者マスタ'!$A$4:$A$60=$B349)*('利用者マスタ'!$B$4:$B$60&lt;&gt;""))=0,"",IF(SUMIFS($AA$5:$AA$404,$B$5:$B$404,$B349,$G$5:$G$404,"&gt;="&amp;DATE(YEAR($G349),MONTH($G349),1),$G$5:$G$404,"&lt;="&amp;EOMONTH($G349,0))&gt;SUMIFS('利用者マスタ'!$B$4:$B$60,'利用者マスタ'!$A$4:$A$60,$B349),"⚠支給量超過","")))</f>
        <v/>
      </c>
      <c r="AA349" s="8">
        <f>IF(OR($G349="",$J349="",$Q349="キャンセル"),0,IF(IFERROR(INDEX('M_区分'!$B$4:$B$20,MATCH($C349,'M_区分'!$A$4:$A$20,0)),"○")="○",$J349-$G349+1,0))</f>
        <v/>
      </c>
      <c r="AB349" s="8">
        <f>IF($E349&lt;&gt;"",$E349,$AB348)</f>
        <v/>
      </c>
      <c r="AC349" s="8">
        <f>IF(OR($G349="",$J349=""),"",IF(AND($G349&lt;=EOMONTH('02_カレンダー'!$B$4,0),$J349&gt;='02_カレンダー'!$B$4),$G349*10000+ROW(),""))</f>
        <v/>
      </c>
      <c r="AD349" s="8">
        <f>IF($H349="","",IF(ISNUMBER($H349),IF(AND($H349=INT($H349),$H349&gt;=0,$H349&lt;=24),TEXT(INT($H349),"00")&amp;":00",TEXT($H349,"hh:mm")),$H349))</f>
        <v/>
      </c>
      <c r="AE349" s="8">
        <f>IF($K349="","",IF(ISNUMBER($K349),IF(AND($K349=INT($K349),$K349&gt;=0,$K349&lt;=24),TEXT(INT($K349),"00")&amp;":00",TEXT($K349,"hh:mm")),$K349))</f>
        <v/>
      </c>
      <c r="AF349" s="8">
        <f>IF($G349="",0,$G349)</f>
        <v/>
      </c>
      <c r="AG349" s="8">
        <f>IF($J349="",0,$J349)</f>
        <v/>
      </c>
    </row>
    <row r="350">
      <c r="A350" s="8">
        <f>IF($G350="","","SS-"&amp;TEXT(ROW()-4,"0000"))</f>
        <v/>
      </c>
      <c r="B350" s="9" t="n"/>
      <c r="C350" s="9" t="n"/>
      <c r="D350" s="9" t="n"/>
      <c r="E350" s="10" t="n"/>
      <c r="F350" s="11" t="n"/>
      <c r="G350" s="12">
        <f>IF($F350="","",IF($F350&gt;31,$F350,IF($AB350="","",DATE(YEAR($AB350),MONTH($AB350),$F350))))</f>
        <v/>
      </c>
      <c r="H350" s="9" t="n"/>
      <c r="I350" s="11" t="n"/>
      <c r="J350" s="12">
        <f>IF($I350="","",IF($I350&gt;31,$I350,IF($G350="","",IF(DATE(YEAR($G350),MONTH($G350),$I350)&gt;=$G350,DATE(YEAR($G350),MONTH($G350),$I350),DATE(YEAR($G350),MONTH($G350)+1,$I350)))))</f>
        <v/>
      </c>
      <c r="K350" s="9" t="n"/>
      <c r="L350" s="13" t="n"/>
      <c r="M350" s="13" t="n"/>
      <c r="N350" s="13" t="n"/>
      <c r="O350" s="8">
        <f>IF(OR($G350="",$J350=""),"",$J350-$G350+1)</f>
        <v/>
      </c>
      <c r="P350" s="8">
        <f>IF(OR($G350="",$J350=""),"",$J350-$G350)</f>
        <v/>
      </c>
      <c r="Q350" s="9" t="n"/>
      <c r="R350" s="9" t="n"/>
      <c r="S350" s="9" t="n"/>
      <c r="T350" s="9" t="n"/>
      <c r="U350" s="9" t="n"/>
      <c r="V350" s="9" t="n"/>
      <c r="W350" s="14" t="n"/>
      <c r="X350" s="9" t="n"/>
      <c r="Y350" s="8">
        <f>IF($G350="","",IF($D350="","⚠部屋が未選択",IF(COUNTIF('M_部屋'!$A$4:$A$20,$D350)=0,"⚠部屋が未登録",IF(OR($J350="",$Q350="キャンセル"),"",IF(SUMPRODUCT(($D$5:$D$404=$D350)*($G$5:$G$404&lt;&gt;"")*($J$5:$J$404&lt;&gt;"")*($Q$5:$Q$404&lt;&gt;"キャンセル")*($G$5:$G$404&lt;$J350)*($J$5:$J$404&gt;$G350))&gt;1,"⚠重複","")))))</f>
        <v/>
      </c>
      <c r="Z350" s="8">
        <f>IF(OR($B350="",$G350=""),"",IF(SUMPRODUCT(('利用者マスタ'!$A$4:$A$60=$B350)*('利用者マスタ'!$B$4:$B$60&lt;&gt;""))=0,"",IF(SUMIFS($AA$5:$AA$404,$B$5:$B$404,$B350,$G$5:$G$404,"&gt;="&amp;DATE(YEAR($G350),MONTH($G350),1),$G$5:$G$404,"&lt;="&amp;EOMONTH($G350,0))&gt;SUMIFS('利用者マスタ'!$B$4:$B$60,'利用者マスタ'!$A$4:$A$60,$B350),"⚠支給量超過","")))</f>
        <v/>
      </c>
      <c r="AA350" s="8">
        <f>IF(OR($G350="",$J350="",$Q350="キャンセル"),0,IF(IFERROR(INDEX('M_区分'!$B$4:$B$20,MATCH($C350,'M_区分'!$A$4:$A$20,0)),"○")="○",$J350-$G350+1,0))</f>
        <v/>
      </c>
      <c r="AB350" s="8">
        <f>IF($E350&lt;&gt;"",$E350,$AB349)</f>
        <v/>
      </c>
      <c r="AC350" s="8">
        <f>IF(OR($G350="",$J350=""),"",IF(AND($G350&lt;=EOMONTH('02_カレンダー'!$B$4,0),$J350&gt;='02_カレンダー'!$B$4),$G350*10000+ROW(),""))</f>
        <v/>
      </c>
      <c r="AD350" s="8">
        <f>IF($H350="","",IF(ISNUMBER($H350),IF(AND($H350=INT($H350),$H350&gt;=0,$H350&lt;=24),TEXT(INT($H350),"00")&amp;":00",TEXT($H350,"hh:mm")),$H350))</f>
        <v/>
      </c>
      <c r="AE350" s="8">
        <f>IF($K350="","",IF(ISNUMBER($K350),IF(AND($K350=INT($K350),$K350&gt;=0,$K350&lt;=24),TEXT(INT($K350),"00")&amp;":00",TEXT($K350,"hh:mm")),$K350))</f>
        <v/>
      </c>
      <c r="AF350" s="8">
        <f>IF($G350="",0,$G350)</f>
        <v/>
      </c>
      <c r="AG350" s="8">
        <f>IF($J350="",0,$J350)</f>
        <v/>
      </c>
    </row>
    <row r="351">
      <c r="A351" s="8">
        <f>IF($G351="","","SS-"&amp;TEXT(ROW()-4,"0000"))</f>
        <v/>
      </c>
      <c r="B351" s="9" t="n"/>
      <c r="C351" s="9" t="n"/>
      <c r="D351" s="9" t="n"/>
      <c r="E351" s="10" t="n"/>
      <c r="F351" s="11" t="n"/>
      <c r="G351" s="12">
        <f>IF($F351="","",IF($F351&gt;31,$F351,IF($AB351="","",DATE(YEAR($AB351),MONTH($AB351),$F351))))</f>
        <v/>
      </c>
      <c r="H351" s="9" t="n"/>
      <c r="I351" s="11" t="n"/>
      <c r="J351" s="12">
        <f>IF($I351="","",IF($I351&gt;31,$I351,IF($G351="","",IF(DATE(YEAR($G351),MONTH($G351),$I351)&gt;=$G351,DATE(YEAR($G351),MONTH($G351),$I351),DATE(YEAR($G351),MONTH($G351)+1,$I351)))))</f>
        <v/>
      </c>
      <c r="K351" s="9" t="n"/>
      <c r="L351" s="13" t="n"/>
      <c r="M351" s="13" t="n"/>
      <c r="N351" s="13" t="n"/>
      <c r="O351" s="8">
        <f>IF(OR($G351="",$J351=""),"",$J351-$G351+1)</f>
        <v/>
      </c>
      <c r="P351" s="8">
        <f>IF(OR($G351="",$J351=""),"",$J351-$G351)</f>
        <v/>
      </c>
      <c r="Q351" s="9" t="n"/>
      <c r="R351" s="9" t="n"/>
      <c r="S351" s="9" t="n"/>
      <c r="T351" s="9" t="n"/>
      <c r="U351" s="9" t="n"/>
      <c r="V351" s="9" t="n"/>
      <c r="W351" s="14" t="n"/>
      <c r="X351" s="9" t="n"/>
      <c r="Y351" s="8">
        <f>IF($G351="","",IF($D351="","⚠部屋が未選択",IF(COUNTIF('M_部屋'!$A$4:$A$20,$D351)=0,"⚠部屋が未登録",IF(OR($J351="",$Q351="キャンセル"),"",IF(SUMPRODUCT(($D$5:$D$404=$D351)*($G$5:$G$404&lt;&gt;"")*($J$5:$J$404&lt;&gt;"")*($Q$5:$Q$404&lt;&gt;"キャンセル")*($G$5:$G$404&lt;$J351)*($J$5:$J$404&gt;$G351))&gt;1,"⚠重複","")))))</f>
        <v/>
      </c>
      <c r="Z351" s="8">
        <f>IF(OR($B351="",$G351=""),"",IF(SUMPRODUCT(('利用者マスタ'!$A$4:$A$60=$B351)*('利用者マスタ'!$B$4:$B$60&lt;&gt;""))=0,"",IF(SUMIFS($AA$5:$AA$404,$B$5:$B$404,$B351,$G$5:$G$404,"&gt;="&amp;DATE(YEAR($G351),MONTH($G351),1),$G$5:$G$404,"&lt;="&amp;EOMONTH($G351,0))&gt;SUMIFS('利用者マスタ'!$B$4:$B$60,'利用者マスタ'!$A$4:$A$60,$B351),"⚠支給量超過","")))</f>
        <v/>
      </c>
      <c r="AA351" s="8">
        <f>IF(OR($G351="",$J351="",$Q351="キャンセル"),0,IF(IFERROR(INDEX('M_区分'!$B$4:$B$20,MATCH($C351,'M_区分'!$A$4:$A$20,0)),"○")="○",$J351-$G351+1,0))</f>
        <v/>
      </c>
      <c r="AB351" s="8">
        <f>IF($E351&lt;&gt;"",$E351,$AB350)</f>
        <v/>
      </c>
      <c r="AC351" s="8">
        <f>IF(OR($G351="",$J351=""),"",IF(AND($G351&lt;=EOMONTH('02_カレンダー'!$B$4,0),$J351&gt;='02_カレンダー'!$B$4),$G351*10000+ROW(),""))</f>
        <v/>
      </c>
      <c r="AD351" s="8">
        <f>IF($H351="","",IF(ISNUMBER($H351),IF(AND($H351=INT($H351),$H351&gt;=0,$H351&lt;=24),TEXT(INT($H351),"00")&amp;":00",TEXT($H351,"hh:mm")),$H351))</f>
        <v/>
      </c>
      <c r="AE351" s="8">
        <f>IF($K351="","",IF(ISNUMBER($K351),IF(AND($K351=INT($K351),$K351&gt;=0,$K351&lt;=24),TEXT(INT($K351),"00")&amp;":00",TEXT($K351,"hh:mm")),$K351))</f>
        <v/>
      </c>
      <c r="AF351" s="8">
        <f>IF($G351="",0,$G351)</f>
        <v/>
      </c>
      <c r="AG351" s="8">
        <f>IF($J351="",0,$J351)</f>
        <v/>
      </c>
    </row>
    <row r="352">
      <c r="A352" s="8">
        <f>IF($G352="","","SS-"&amp;TEXT(ROW()-4,"0000"))</f>
        <v/>
      </c>
      <c r="B352" s="9" t="n"/>
      <c r="C352" s="9" t="n"/>
      <c r="D352" s="9" t="n"/>
      <c r="E352" s="10" t="n"/>
      <c r="F352" s="11" t="n"/>
      <c r="G352" s="12">
        <f>IF($F352="","",IF($F352&gt;31,$F352,IF($AB352="","",DATE(YEAR($AB352),MONTH($AB352),$F352))))</f>
        <v/>
      </c>
      <c r="H352" s="9" t="n"/>
      <c r="I352" s="11" t="n"/>
      <c r="J352" s="12">
        <f>IF($I352="","",IF($I352&gt;31,$I352,IF($G352="","",IF(DATE(YEAR($G352),MONTH($G352),$I352)&gt;=$G352,DATE(YEAR($G352),MONTH($G352),$I352),DATE(YEAR($G352),MONTH($G352)+1,$I352)))))</f>
        <v/>
      </c>
      <c r="K352" s="9" t="n"/>
      <c r="L352" s="13" t="n"/>
      <c r="M352" s="13" t="n"/>
      <c r="N352" s="13" t="n"/>
      <c r="O352" s="8">
        <f>IF(OR($G352="",$J352=""),"",$J352-$G352+1)</f>
        <v/>
      </c>
      <c r="P352" s="8">
        <f>IF(OR($G352="",$J352=""),"",$J352-$G352)</f>
        <v/>
      </c>
      <c r="Q352" s="9" t="n"/>
      <c r="R352" s="9" t="n"/>
      <c r="S352" s="9" t="n"/>
      <c r="T352" s="9" t="n"/>
      <c r="U352" s="9" t="n"/>
      <c r="V352" s="9" t="n"/>
      <c r="W352" s="14" t="n"/>
      <c r="X352" s="9" t="n"/>
      <c r="Y352" s="8">
        <f>IF($G352="","",IF($D352="","⚠部屋が未選択",IF(COUNTIF('M_部屋'!$A$4:$A$20,$D352)=0,"⚠部屋が未登録",IF(OR($J352="",$Q352="キャンセル"),"",IF(SUMPRODUCT(($D$5:$D$404=$D352)*($G$5:$G$404&lt;&gt;"")*($J$5:$J$404&lt;&gt;"")*($Q$5:$Q$404&lt;&gt;"キャンセル")*($G$5:$G$404&lt;$J352)*($J$5:$J$404&gt;$G352))&gt;1,"⚠重複","")))))</f>
        <v/>
      </c>
      <c r="Z352" s="8">
        <f>IF(OR($B352="",$G352=""),"",IF(SUMPRODUCT(('利用者マスタ'!$A$4:$A$60=$B352)*('利用者マスタ'!$B$4:$B$60&lt;&gt;""))=0,"",IF(SUMIFS($AA$5:$AA$404,$B$5:$B$404,$B352,$G$5:$G$404,"&gt;="&amp;DATE(YEAR($G352),MONTH($G352),1),$G$5:$G$404,"&lt;="&amp;EOMONTH($G352,0))&gt;SUMIFS('利用者マスタ'!$B$4:$B$60,'利用者マスタ'!$A$4:$A$60,$B352),"⚠支給量超過","")))</f>
        <v/>
      </c>
      <c r="AA352" s="8">
        <f>IF(OR($G352="",$J352="",$Q352="キャンセル"),0,IF(IFERROR(INDEX('M_区分'!$B$4:$B$20,MATCH($C352,'M_区分'!$A$4:$A$20,0)),"○")="○",$J352-$G352+1,0))</f>
        <v/>
      </c>
      <c r="AB352" s="8">
        <f>IF($E352&lt;&gt;"",$E352,$AB351)</f>
        <v/>
      </c>
      <c r="AC352" s="8">
        <f>IF(OR($G352="",$J352=""),"",IF(AND($G352&lt;=EOMONTH('02_カレンダー'!$B$4,0),$J352&gt;='02_カレンダー'!$B$4),$G352*10000+ROW(),""))</f>
        <v/>
      </c>
      <c r="AD352" s="8">
        <f>IF($H352="","",IF(ISNUMBER($H352),IF(AND($H352=INT($H352),$H352&gt;=0,$H352&lt;=24),TEXT(INT($H352),"00")&amp;":00",TEXT($H352,"hh:mm")),$H352))</f>
        <v/>
      </c>
      <c r="AE352" s="8">
        <f>IF($K352="","",IF(ISNUMBER($K352),IF(AND($K352=INT($K352),$K352&gt;=0,$K352&lt;=24),TEXT(INT($K352),"00")&amp;":00",TEXT($K352,"hh:mm")),$K352))</f>
        <v/>
      </c>
      <c r="AF352" s="8">
        <f>IF($G352="",0,$G352)</f>
        <v/>
      </c>
      <c r="AG352" s="8">
        <f>IF($J352="",0,$J352)</f>
        <v/>
      </c>
    </row>
    <row r="353">
      <c r="A353" s="8">
        <f>IF($G353="","","SS-"&amp;TEXT(ROW()-4,"0000"))</f>
        <v/>
      </c>
      <c r="B353" s="9" t="n"/>
      <c r="C353" s="9" t="n"/>
      <c r="D353" s="9" t="n"/>
      <c r="E353" s="10" t="n"/>
      <c r="F353" s="11" t="n"/>
      <c r="G353" s="12">
        <f>IF($F353="","",IF($F353&gt;31,$F353,IF($AB353="","",DATE(YEAR($AB353),MONTH($AB353),$F353))))</f>
        <v/>
      </c>
      <c r="H353" s="9" t="n"/>
      <c r="I353" s="11" t="n"/>
      <c r="J353" s="12">
        <f>IF($I353="","",IF($I353&gt;31,$I353,IF($G353="","",IF(DATE(YEAR($G353),MONTH($G353),$I353)&gt;=$G353,DATE(YEAR($G353),MONTH($G353),$I353),DATE(YEAR($G353),MONTH($G353)+1,$I353)))))</f>
        <v/>
      </c>
      <c r="K353" s="9" t="n"/>
      <c r="L353" s="13" t="n"/>
      <c r="M353" s="13" t="n"/>
      <c r="N353" s="13" t="n"/>
      <c r="O353" s="8">
        <f>IF(OR($G353="",$J353=""),"",$J353-$G353+1)</f>
        <v/>
      </c>
      <c r="P353" s="8">
        <f>IF(OR($G353="",$J353=""),"",$J353-$G353)</f>
        <v/>
      </c>
      <c r="Q353" s="9" t="n"/>
      <c r="R353" s="9" t="n"/>
      <c r="S353" s="9" t="n"/>
      <c r="T353" s="9" t="n"/>
      <c r="U353" s="9" t="n"/>
      <c r="V353" s="9" t="n"/>
      <c r="W353" s="14" t="n"/>
      <c r="X353" s="9" t="n"/>
      <c r="Y353" s="8">
        <f>IF($G353="","",IF($D353="","⚠部屋が未選択",IF(COUNTIF('M_部屋'!$A$4:$A$20,$D353)=0,"⚠部屋が未登録",IF(OR($J353="",$Q353="キャンセル"),"",IF(SUMPRODUCT(($D$5:$D$404=$D353)*($G$5:$G$404&lt;&gt;"")*($J$5:$J$404&lt;&gt;"")*($Q$5:$Q$404&lt;&gt;"キャンセル")*($G$5:$G$404&lt;$J353)*($J$5:$J$404&gt;$G353))&gt;1,"⚠重複","")))))</f>
        <v/>
      </c>
      <c r="Z353" s="8">
        <f>IF(OR($B353="",$G353=""),"",IF(SUMPRODUCT(('利用者マスタ'!$A$4:$A$60=$B353)*('利用者マスタ'!$B$4:$B$60&lt;&gt;""))=0,"",IF(SUMIFS($AA$5:$AA$404,$B$5:$B$404,$B353,$G$5:$G$404,"&gt;="&amp;DATE(YEAR($G353),MONTH($G353),1),$G$5:$G$404,"&lt;="&amp;EOMONTH($G353,0))&gt;SUMIFS('利用者マスタ'!$B$4:$B$60,'利用者マスタ'!$A$4:$A$60,$B353),"⚠支給量超過","")))</f>
        <v/>
      </c>
      <c r="AA353" s="8">
        <f>IF(OR($G353="",$J353="",$Q353="キャンセル"),0,IF(IFERROR(INDEX('M_区分'!$B$4:$B$20,MATCH($C353,'M_区分'!$A$4:$A$20,0)),"○")="○",$J353-$G353+1,0))</f>
        <v/>
      </c>
      <c r="AB353" s="8">
        <f>IF($E353&lt;&gt;"",$E353,$AB352)</f>
        <v/>
      </c>
      <c r="AC353" s="8">
        <f>IF(OR($G353="",$J353=""),"",IF(AND($G353&lt;=EOMONTH('02_カレンダー'!$B$4,0),$J353&gt;='02_カレンダー'!$B$4),$G353*10000+ROW(),""))</f>
        <v/>
      </c>
      <c r="AD353" s="8">
        <f>IF($H353="","",IF(ISNUMBER($H353),IF(AND($H353=INT($H353),$H353&gt;=0,$H353&lt;=24),TEXT(INT($H353),"00")&amp;":00",TEXT($H353,"hh:mm")),$H353))</f>
        <v/>
      </c>
      <c r="AE353" s="8">
        <f>IF($K353="","",IF(ISNUMBER($K353),IF(AND($K353=INT($K353),$K353&gt;=0,$K353&lt;=24),TEXT(INT($K353),"00")&amp;":00",TEXT($K353,"hh:mm")),$K353))</f>
        <v/>
      </c>
      <c r="AF353" s="8">
        <f>IF($G353="",0,$G353)</f>
        <v/>
      </c>
      <c r="AG353" s="8">
        <f>IF($J353="",0,$J353)</f>
        <v/>
      </c>
    </row>
    <row r="354">
      <c r="A354" s="8">
        <f>IF($G354="","","SS-"&amp;TEXT(ROW()-4,"0000"))</f>
        <v/>
      </c>
      <c r="B354" s="9" t="n"/>
      <c r="C354" s="9" t="n"/>
      <c r="D354" s="9" t="n"/>
      <c r="E354" s="10" t="n"/>
      <c r="F354" s="11" t="n"/>
      <c r="G354" s="12">
        <f>IF($F354="","",IF($F354&gt;31,$F354,IF($AB354="","",DATE(YEAR($AB354),MONTH($AB354),$F354))))</f>
        <v/>
      </c>
      <c r="H354" s="9" t="n"/>
      <c r="I354" s="11" t="n"/>
      <c r="J354" s="12">
        <f>IF($I354="","",IF($I354&gt;31,$I354,IF($G354="","",IF(DATE(YEAR($G354),MONTH($G354),$I354)&gt;=$G354,DATE(YEAR($G354),MONTH($G354),$I354),DATE(YEAR($G354),MONTH($G354)+1,$I354)))))</f>
        <v/>
      </c>
      <c r="K354" s="9" t="n"/>
      <c r="L354" s="13" t="n"/>
      <c r="M354" s="13" t="n"/>
      <c r="N354" s="13" t="n"/>
      <c r="O354" s="8">
        <f>IF(OR($G354="",$J354=""),"",$J354-$G354+1)</f>
        <v/>
      </c>
      <c r="P354" s="8">
        <f>IF(OR($G354="",$J354=""),"",$J354-$G354)</f>
        <v/>
      </c>
      <c r="Q354" s="9" t="n"/>
      <c r="R354" s="9" t="n"/>
      <c r="S354" s="9" t="n"/>
      <c r="T354" s="9" t="n"/>
      <c r="U354" s="9" t="n"/>
      <c r="V354" s="9" t="n"/>
      <c r="W354" s="14" t="n"/>
      <c r="X354" s="9" t="n"/>
      <c r="Y354" s="8">
        <f>IF($G354="","",IF($D354="","⚠部屋が未選択",IF(COUNTIF('M_部屋'!$A$4:$A$20,$D354)=0,"⚠部屋が未登録",IF(OR($J354="",$Q354="キャンセル"),"",IF(SUMPRODUCT(($D$5:$D$404=$D354)*($G$5:$G$404&lt;&gt;"")*($J$5:$J$404&lt;&gt;"")*($Q$5:$Q$404&lt;&gt;"キャンセル")*($G$5:$G$404&lt;$J354)*($J$5:$J$404&gt;$G354))&gt;1,"⚠重複","")))))</f>
        <v/>
      </c>
      <c r="Z354" s="8">
        <f>IF(OR($B354="",$G354=""),"",IF(SUMPRODUCT(('利用者マスタ'!$A$4:$A$60=$B354)*('利用者マスタ'!$B$4:$B$60&lt;&gt;""))=0,"",IF(SUMIFS($AA$5:$AA$404,$B$5:$B$404,$B354,$G$5:$G$404,"&gt;="&amp;DATE(YEAR($G354),MONTH($G354),1),$G$5:$G$404,"&lt;="&amp;EOMONTH($G354,0))&gt;SUMIFS('利用者マスタ'!$B$4:$B$60,'利用者マスタ'!$A$4:$A$60,$B354),"⚠支給量超過","")))</f>
        <v/>
      </c>
      <c r="AA354" s="8">
        <f>IF(OR($G354="",$J354="",$Q354="キャンセル"),0,IF(IFERROR(INDEX('M_区分'!$B$4:$B$20,MATCH($C354,'M_区分'!$A$4:$A$20,0)),"○")="○",$J354-$G354+1,0))</f>
        <v/>
      </c>
      <c r="AB354" s="8">
        <f>IF($E354&lt;&gt;"",$E354,$AB353)</f>
        <v/>
      </c>
      <c r="AC354" s="8">
        <f>IF(OR($G354="",$J354=""),"",IF(AND($G354&lt;=EOMONTH('02_カレンダー'!$B$4,0),$J354&gt;='02_カレンダー'!$B$4),$G354*10000+ROW(),""))</f>
        <v/>
      </c>
      <c r="AD354" s="8">
        <f>IF($H354="","",IF(ISNUMBER($H354),IF(AND($H354=INT($H354),$H354&gt;=0,$H354&lt;=24),TEXT(INT($H354),"00")&amp;":00",TEXT($H354,"hh:mm")),$H354))</f>
        <v/>
      </c>
      <c r="AE354" s="8">
        <f>IF($K354="","",IF(ISNUMBER($K354),IF(AND($K354=INT($K354),$K354&gt;=0,$K354&lt;=24),TEXT(INT($K354),"00")&amp;":00",TEXT($K354,"hh:mm")),$K354))</f>
        <v/>
      </c>
      <c r="AF354" s="8">
        <f>IF($G354="",0,$G354)</f>
        <v/>
      </c>
      <c r="AG354" s="8">
        <f>IF($J354="",0,$J354)</f>
        <v/>
      </c>
    </row>
    <row r="355">
      <c r="A355" s="8">
        <f>IF($G355="","","SS-"&amp;TEXT(ROW()-4,"0000"))</f>
        <v/>
      </c>
      <c r="B355" s="9" t="n"/>
      <c r="C355" s="9" t="n"/>
      <c r="D355" s="9" t="n"/>
      <c r="E355" s="10" t="n"/>
      <c r="F355" s="11" t="n"/>
      <c r="G355" s="12">
        <f>IF($F355="","",IF($F355&gt;31,$F355,IF($AB355="","",DATE(YEAR($AB355),MONTH($AB355),$F355))))</f>
        <v/>
      </c>
      <c r="H355" s="9" t="n"/>
      <c r="I355" s="11" t="n"/>
      <c r="J355" s="12">
        <f>IF($I355="","",IF($I355&gt;31,$I355,IF($G355="","",IF(DATE(YEAR($G355),MONTH($G355),$I355)&gt;=$G355,DATE(YEAR($G355),MONTH($G355),$I355),DATE(YEAR($G355),MONTH($G355)+1,$I355)))))</f>
        <v/>
      </c>
      <c r="K355" s="9" t="n"/>
      <c r="L355" s="13" t="n"/>
      <c r="M355" s="13" t="n"/>
      <c r="N355" s="13" t="n"/>
      <c r="O355" s="8">
        <f>IF(OR($G355="",$J355=""),"",$J355-$G355+1)</f>
        <v/>
      </c>
      <c r="P355" s="8">
        <f>IF(OR($G355="",$J355=""),"",$J355-$G355)</f>
        <v/>
      </c>
      <c r="Q355" s="9" t="n"/>
      <c r="R355" s="9" t="n"/>
      <c r="S355" s="9" t="n"/>
      <c r="T355" s="9" t="n"/>
      <c r="U355" s="9" t="n"/>
      <c r="V355" s="9" t="n"/>
      <c r="W355" s="14" t="n"/>
      <c r="X355" s="9" t="n"/>
      <c r="Y355" s="8">
        <f>IF($G355="","",IF($D355="","⚠部屋が未選択",IF(COUNTIF('M_部屋'!$A$4:$A$20,$D355)=0,"⚠部屋が未登録",IF(OR($J355="",$Q355="キャンセル"),"",IF(SUMPRODUCT(($D$5:$D$404=$D355)*($G$5:$G$404&lt;&gt;"")*($J$5:$J$404&lt;&gt;"")*($Q$5:$Q$404&lt;&gt;"キャンセル")*($G$5:$G$404&lt;$J355)*($J$5:$J$404&gt;$G355))&gt;1,"⚠重複","")))))</f>
        <v/>
      </c>
      <c r="Z355" s="8">
        <f>IF(OR($B355="",$G355=""),"",IF(SUMPRODUCT(('利用者マスタ'!$A$4:$A$60=$B355)*('利用者マスタ'!$B$4:$B$60&lt;&gt;""))=0,"",IF(SUMIFS($AA$5:$AA$404,$B$5:$B$404,$B355,$G$5:$G$404,"&gt;="&amp;DATE(YEAR($G355),MONTH($G355),1),$G$5:$G$404,"&lt;="&amp;EOMONTH($G355,0))&gt;SUMIFS('利用者マスタ'!$B$4:$B$60,'利用者マスタ'!$A$4:$A$60,$B355),"⚠支給量超過","")))</f>
        <v/>
      </c>
      <c r="AA355" s="8">
        <f>IF(OR($G355="",$J355="",$Q355="キャンセル"),0,IF(IFERROR(INDEX('M_区分'!$B$4:$B$20,MATCH($C355,'M_区分'!$A$4:$A$20,0)),"○")="○",$J355-$G355+1,0))</f>
        <v/>
      </c>
      <c r="AB355" s="8">
        <f>IF($E355&lt;&gt;"",$E355,$AB354)</f>
        <v/>
      </c>
      <c r="AC355" s="8">
        <f>IF(OR($G355="",$J355=""),"",IF(AND($G355&lt;=EOMONTH('02_カレンダー'!$B$4,0),$J355&gt;='02_カレンダー'!$B$4),$G355*10000+ROW(),""))</f>
        <v/>
      </c>
      <c r="AD355" s="8">
        <f>IF($H355="","",IF(ISNUMBER($H355),IF(AND($H355=INT($H355),$H355&gt;=0,$H355&lt;=24),TEXT(INT($H355),"00")&amp;":00",TEXT($H355,"hh:mm")),$H355))</f>
        <v/>
      </c>
      <c r="AE355" s="8">
        <f>IF($K355="","",IF(ISNUMBER($K355),IF(AND($K355=INT($K355),$K355&gt;=0,$K355&lt;=24),TEXT(INT($K355),"00")&amp;":00",TEXT($K355,"hh:mm")),$K355))</f>
        <v/>
      </c>
      <c r="AF355" s="8">
        <f>IF($G355="",0,$G355)</f>
        <v/>
      </c>
      <c r="AG355" s="8">
        <f>IF($J355="",0,$J355)</f>
        <v/>
      </c>
    </row>
    <row r="356">
      <c r="A356" s="8">
        <f>IF($G356="","","SS-"&amp;TEXT(ROW()-4,"0000"))</f>
        <v/>
      </c>
      <c r="B356" s="9" t="n"/>
      <c r="C356" s="9" t="n"/>
      <c r="D356" s="9" t="n"/>
      <c r="E356" s="10" t="n"/>
      <c r="F356" s="11" t="n"/>
      <c r="G356" s="12">
        <f>IF($F356="","",IF($F356&gt;31,$F356,IF($AB356="","",DATE(YEAR($AB356),MONTH($AB356),$F356))))</f>
        <v/>
      </c>
      <c r="H356" s="9" t="n"/>
      <c r="I356" s="11" t="n"/>
      <c r="J356" s="12">
        <f>IF($I356="","",IF($I356&gt;31,$I356,IF($G356="","",IF(DATE(YEAR($G356),MONTH($G356),$I356)&gt;=$G356,DATE(YEAR($G356),MONTH($G356),$I356),DATE(YEAR($G356),MONTH($G356)+1,$I356)))))</f>
        <v/>
      </c>
      <c r="K356" s="9" t="n"/>
      <c r="L356" s="13" t="n"/>
      <c r="M356" s="13" t="n"/>
      <c r="N356" s="13" t="n"/>
      <c r="O356" s="8">
        <f>IF(OR($G356="",$J356=""),"",$J356-$G356+1)</f>
        <v/>
      </c>
      <c r="P356" s="8">
        <f>IF(OR($G356="",$J356=""),"",$J356-$G356)</f>
        <v/>
      </c>
      <c r="Q356" s="9" t="n"/>
      <c r="R356" s="9" t="n"/>
      <c r="S356" s="9" t="n"/>
      <c r="T356" s="9" t="n"/>
      <c r="U356" s="9" t="n"/>
      <c r="V356" s="9" t="n"/>
      <c r="W356" s="14" t="n"/>
      <c r="X356" s="9" t="n"/>
      <c r="Y356" s="8">
        <f>IF($G356="","",IF($D356="","⚠部屋が未選択",IF(COUNTIF('M_部屋'!$A$4:$A$20,$D356)=0,"⚠部屋が未登録",IF(OR($J356="",$Q356="キャンセル"),"",IF(SUMPRODUCT(($D$5:$D$404=$D356)*($G$5:$G$404&lt;&gt;"")*($J$5:$J$404&lt;&gt;"")*($Q$5:$Q$404&lt;&gt;"キャンセル")*($G$5:$G$404&lt;$J356)*($J$5:$J$404&gt;$G356))&gt;1,"⚠重複","")))))</f>
        <v/>
      </c>
      <c r="Z356" s="8">
        <f>IF(OR($B356="",$G356=""),"",IF(SUMPRODUCT(('利用者マスタ'!$A$4:$A$60=$B356)*('利用者マスタ'!$B$4:$B$60&lt;&gt;""))=0,"",IF(SUMIFS($AA$5:$AA$404,$B$5:$B$404,$B356,$G$5:$G$404,"&gt;="&amp;DATE(YEAR($G356),MONTH($G356),1),$G$5:$G$404,"&lt;="&amp;EOMONTH($G356,0))&gt;SUMIFS('利用者マスタ'!$B$4:$B$60,'利用者マスタ'!$A$4:$A$60,$B356),"⚠支給量超過","")))</f>
        <v/>
      </c>
      <c r="AA356" s="8">
        <f>IF(OR($G356="",$J356="",$Q356="キャンセル"),0,IF(IFERROR(INDEX('M_区分'!$B$4:$B$20,MATCH($C356,'M_区分'!$A$4:$A$20,0)),"○")="○",$J356-$G356+1,0))</f>
        <v/>
      </c>
      <c r="AB356" s="8">
        <f>IF($E356&lt;&gt;"",$E356,$AB355)</f>
        <v/>
      </c>
      <c r="AC356" s="8">
        <f>IF(OR($G356="",$J356=""),"",IF(AND($G356&lt;=EOMONTH('02_カレンダー'!$B$4,0),$J356&gt;='02_カレンダー'!$B$4),$G356*10000+ROW(),""))</f>
        <v/>
      </c>
      <c r="AD356" s="8">
        <f>IF($H356="","",IF(ISNUMBER($H356),IF(AND($H356=INT($H356),$H356&gt;=0,$H356&lt;=24),TEXT(INT($H356),"00")&amp;":00",TEXT($H356,"hh:mm")),$H356))</f>
        <v/>
      </c>
      <c r="AE356" s="8">
        <f>IF($K356="","",IF(ISNUMBER($K356),IF(AND($K356=INT($K356),$K356&gt;=0,$K356&lt;=24),TEXT(INT($K356),"00")&amp;":00",TEXT($K356,"hh:mm")),$K356))</f>
        <v/>
      </c>
      <c r="AF356" s="8">
        <f>IF($G356="",0,$G356)</f>
        <v/>
      </c>
      <c r="AG356" s="8">
        <f>IF($J356="",0,$J356)</f>
        <v/>
      </c>
    </row>
    <row r="357">
      <c r="A357" s="8">
        <f>IF($G357="","","SS-"&amp;TEXT(ROW()-4,"0000"))</f>
        <v/>
      </c>
      <c r="B357" s="9" t="n"/>
      <c r="C357" s="9" t="n"/>
      <c r="D357" s="9" t="n"/>
      <c r="E357" s="10" t="n"/>
      <c r="F357" s="11" t="n"/>
      <c r="G357" s="12">
        <f>IF($F357="","",IF($F357&gt;31,$F357,IF($AB357="","",DATE(YEAR($AB357),MONTH($AB357),$F357))))</f>
        <v/>
      </c>
      <c r="H357" s="9" t="n"/>
      <c r="I357" s="11" t="n"/>
      <c r="J357" s="12">
        <f>IF($I357="","",IF($I357&gt;31,$I357,IF($G357="","",IF(DATE(YEAR($G357),MONTH($G357),$I357)&gt;=$G357,DATE(YEAR($G357),MONTH($G357),$I357),DATE(YEAR($G357),MONTH($G357)+1,$I357)))))</f>
        <v/>
      </c>
      <c r="K357" s="9" t="n"/>
      <c r="L357" s="13" t="n"/>
      <c r="M357" s="13" t="n"/>
      <c r="N357" s="13" t="n"/>
      <c r="O357" s="8">
        <f>IF(OR($G357="",$J357=""),"",$J357-$G357+1)</f>
        <v/>
      </c>
      <c r="P357" s="8">
        <f>IF(OR($G357="",$J357=""),"",$J357-$G357)</f>
        <v/>
      </c>
      <c r="Q357" s="9" t="n"/>
      <c r="R357" s="9" t="n"/>
      <c r="S357" s="9" t="n"/>
      <c r="T357" s="9" t="n"/>
      <c r="U357" s="9" t="n"/>
      <c r="V357" s="9" t="n"/>
      <c r="W357" s="14" t="n"/>
      <c r="X357" s="9" t="n"/>
      <c r="Y357" s="8">
        <f>IF($G357="","",IF($D357="","⚠部屋が未選択",IF(COUNTIF('M_部屋'!$A$4:$A$20,$D357)=0,"⚠部屋が未登録",IF(OR($J357="",$Q357="キャンセル"),"",IF(SUMPRODUCT(($D$5:$D$404=$D357)*($G$5:$G$404&lt;&gt;"")*($J$5:$J$404&lt;&gt;"")*($Q$5:$Q$404&lt;&gt;"キャンセル")*($G$5:$G$404&lt;$J357)*($J$5:$J$404&gt;$G357))&gt;1,"⚠重複","")))))</f>
        <v/>
      </c>
      <c r="Z357" s="8">
        <f>IF(OR($B357="",$G357=""),"",IF(SUMPRODUCT(('利用者マスタ'!$A$4:$A$60=$B357)*('利用者マスタ'!$B$4:$B$60&lt;&gt;""))=0,"",IF(SUMIFS($AA$5:$AA$404,$B$5:$B$404,$B357,$G$5:$G$404,"&gt;="&amp;DATE(YEAR($G357),MONTH($G357),1),$G$5:$G$404,"&lt;="&amp;EOMONTH($G357,0))&gt;SUMIFS('利用者マスタ'!$B$4:$B$60,'利用者マスタ'!$A$4:$A$60,$B357),"⚠支給量超過","")))</f>
        <v/>
      </c>
      <c r="AA357" s="8">
        <f>IF(OR($G357="",$J357="",$Q357="キャンセル"),0,IF(IFERROR(INDEX('M_区分'!$B$4:$B$20,MATCH($C357,'M_区分'!$A$4:$A$20,0)),"○")="○",$J357-$G357+1,0))</f>
        <v/>
      </c>
      <c r="AB357" s="8">
        <f>IF($E357&lt;&gt;"",$E357,$AB356)</f>
        <v/>
      </c>
      <c r="AC357" s="8">
        <f>IF(OR($G357="",$J357=""),"",IF(AND($G357&lt;=EOMONTH('02_カレンダー'!$B$4,0),$J357&gt;='02_カレンダー'!$B$4),$G357*10000+ROW(),""))</f>
        <v/>
      </c>
      <c r="AD357" s="8">
        <f>IF($H357="","",IF(ISNUMBER($H357),IF(AND($H357=INT($H357),$H357&gt;=0,$H357&lt;=24),TEXT(INT($H357),"00")&amp;":00",TEXT($H357,"hh:mm")),$H357))</f>
        <v/>
      </c>
      <c r="AE357" s="8">
        <f>IF($K357="","",IF(ISNUMBER($K357),IF(AND($K357=INT($K357),$K357&gt;=0,$K357&lt;=24),TEXT(INT($K357),"00")&amp;":00",TEXT($K357,"hh:mm")),$K357))</f>
        <v/>
      </c>
      <c r="AF357" s="8">
        <f>IF($G357="",0,$G357)</f>
        <v/>
      </c>
      <c r="AG357" s="8">
        <f>IF($J357="",0,$J357)</f>
        <v/>
      </c>
    </row>
    <row r="358">
      <c r="A358" s="8">
        <f>IF($G358="","","SS-"&amp;TEXT(ROW()-4,"0000"))</f>
        <v/>
      </c>
      <c r="B358" s="9" t="n"/>
      <c r="C358" s="9" t="n"/>
      <c r="D358" s="9" t="n"/>
      <c r="E358" s="10" t="n"/>
      <c r="F358" s="11" t="n"/>
      <c r="G358" s="12">
        <f>IF($F358="","",IF($F358&gt;31,$F358,IF($AB358="","",DATE(YEAR($AB358),MONTH($AB358),$F358))))</f>
        <v/>
      </c>
      <c r="H358" s="9" t="n"/>
      <c r="I358" s="11" t="n"/>
      <c r="J358" s="12">
        <f>IF($I358="","",IF($I358&gt;31,$I358,IF($G358="","",IF(DATE(YEAR($G358),MONTH($G358),$I358)&gt;=$G358,DATE(YEAR($G358),MONTH($G358),$I358),DATE(YEAR($G358),MONTH($G358)+1,$I358)))))</f>
        <v/>
      </c>
      <c r="K358" s="9" t="n"/>
      <c r="L358" s="13" t="n"/>
      <c r="M358" s="13" t="n"/>
      <c r="N358" s="13" t="n"/>
      <c r="O358" s="8">
        <f>IF(OR($G358="",$J358=""),"",$J358-$G358+1)</f>
        <v/>
      </c>
      <c r="P358" s="8">
        <f>IF(OR($G358="",$J358=""),"",$J358-$G358)</f>
        <v/>
      </c>
      <c r="Q358" s="9" t="n"/>
      <c r="R358" s="9" t="n"/>
      <c r="S358" s="9" t="n"/>
      <c r="T358" s="9" t="n"/>
      <c r="U358" s="9" t="n"/>
      <c r="V358" s="9" t="n"/>
      <c r="W358" s="14" t="n"/>
      <c r="X358" s="9" t="n"/>
      <c r="Y358" s="8">
        <f>IF($G358="","",IF($D358="","⚠部屋が未選択",IF(COUNTIF('M_部屋'!$A$4:$A$20,$D358)=0,"⚠部屋が未登録",IF(OR($J358="",$Q358="キャンセル"),"",IF(SUMPRODUCT(($D$5:$D$404=$D358)*($G$5:$G$404&lt;&gt;"")*($J$5:$J$404&lt;&gt;"")*($Q$5:$Q$404&lt;&gt;"キャンセル")*($G$5:$G$404&lt;$J358)*($J$5:$J$404&gt;$G358))&gt;1,"⚠重複","")))))</f>
        <v/>
      </c>
      <c r="Z358" s="8">
        <f>IF(OR($B358="",$G358=""),"",IF(SUMPRODUCT(('利用者マスタ'!$A$4:$A$60=$B358)*('利用者マスタ'!$B$4:$B$60&lt;&gt;""))=0,"",IF(SUMIFS($AA$5:$AA$404,$B$5:$B$404,$B358,$G$5:$G$404,"&gt;="&amp;DATE(YEAR($G358),MONTH($G358),1),$G$5:$G$404,"&lt;="&amp;EOMONTH($G358,0))&gt;SUMIFS('利用者マスタ'!$B$4:$B$60,'利用者マスタ'!$A$4:$A$60,$B358),"⚠支給量超過","")))</f>
        <v/>
      </c>
      <c r="AA358" s="8">
        <f>IF(OR($G358="",$J358="",$Q358="キャンセル"),0,IF(IFERROR(INDEX('M_区分'!$B$4:$B$20,MATCH($C358,'M_区分'!$A$4:$A$20,0)),"○")="○",$J358-$G358+1,0))</f>
        <v/>
      </c>
      <c r="AB358" s="8">
        <f>IF($E358&lt;&gt;"",$E358,$AB357)</f>
        <v/>
      </c>
      <c r="AC358" s="8">
        <f>IF(OR($G358="",$J358=""),"",IF(AND($G358&lt;=EOMONTH('02_カレンダー'!$B$4,0),$J358&gt;='02_カレンダー'!$B$4),$G358*10000+ROW(),""))</f>
        <v/>
      </c>
      <c r="AD358" s="8">
        <f>IF($H358="","",IF(ISNUMBER($H358),IF(AND($H358=INT($H358),$H358&gt;=0,$H358&lt;=24),TEXT(INT($H358),"00")&amp;":00",TEXT($H358,"hh:mm")),$H358))</f>
        <v/>
      </c>
      <c r="AE358" s="8">
        <f>IF($K358="","",IF(ISNUMBER($K358),IF(AND($K358=INT($K358),$K358&gt;=0,$K358&lt;=24),TEXT(INT($K358),"00")&amp;":00",TEXT($K358,"hh:mm")),$K358))</f>
        <v/>
      </c>
      <c r="AF358" s="8">
        <f>IF($G358="",0,$G358)</f>
        <v/>
      </c>
      <c r="AG358" s="8">
        <f>IF($J358="",0,$J358)</f>
        <v/>
      </c>
    </row>
    <row r="359">
      <c r="A359" s="8">
        <f>IF($G359="","","SS-"&amp;TEXT(ROW()-4,"0000"))</f>
        <v/>
      </c>
      <c r="B359" s="9" t="n"/>
      <c r="C359" s="9" t="n"/>
      <c r="D359" s="9" t="n"/>
      <c r="E359" s="10" t="n"/>
      <c r="F359" s="11" t="n"/>
      <c r="G359" s="12">
        <f>IF($F359="","",IF($F359&gt;31,$F359,IF($AB359="","",DATE(YEAR($AB359),MONTH($AB359),$F359))))</f>
        <v/>
      </c>
      <c r="H359" s="9" t="n"/>
      <c r="I359" s="11" t="n"/>
      <c r="J359" s="12">
        <f>IF($I359="","",IF($I359&gt;31,$I359,IF($G359="","",IF(DATE(YEAR($G359),MONTH($G359),$I359)&gt;=$G359,DATE(YEAR($G359),MONTH($G359),$I359),DATE(YEAR($G359),MONTH($G359)+1,$I359)))))</f>
        <v/>
      </c>
      <c r="K359" s="9" t="n"/>
      <c r="L359" s="13" t="n"/>
      <c r="M359" s="13" t="n"/>
      <c r="N359" s="13" t="n"/>
      <c r="O359" s="8">
        <f>IF(OR($G359="",$J359=""),"",$J359-$G359+1)</f>
        <v/>
      </c>
      <c r="P359" s="8">
        <f>IF(OR($G359="",$J359=""),"",$J359-$G359)</f>
        <v/>
      </c>
      <c r="Q359" s="9" t="n"/>
      <c r="R359" s="9" t="n"/>
      <c r="S359" s="9" t="n"/>
      <c r="T359" s="9" t="n"/>
      <c r="U359" s="9" t="n"/>
      <c r="V359" s="9" t="n"/>
      <c r="W359" s="14" t="n"/>
      <c r="X359" s="9" t="n"/>
      <c r="Y359" s="8">
        <f>IF($G359="","",IF($D359="","⚠部屋が未選択",IF(COUNTIF('M_部屋'!$A$4:$A$20,$D359)=0,"⚠部屋が未登録",IF(OR($J359="",$Q359="キャンセル"),"",IF(SUMPRODUCT(($D$5:$D$404=$D359)*($G$5:$G$404&lt;&gt;"")*($J$5:$J$404&lt;&gt;"")*($Q$5:$Q$404&lt;&gt;"キャンセル")*($G$5:$G$404&lt;$J359)*($J$5:$J$404&gt;$G359))&gt;1,"⚠重複","")))))</f>
        <v/>
      </c>
      <c r="Z359" s="8">
        <f>IF(OR($B359="",$G359=""),"",IF(SUMPRODUCT(('利用者マスタ'!$A$4:$A$60=$B359)*('利用者マスタ'!$B$4:$B$60&lt;&gt;""))=0,"",IF(SUMIFS($AA$5:$AA$404,$B$5:$B$404,$B359,$G$5:$G$404,"&gt;="&amp;DATE(YEAR($G359),MONTH($G359),1),$G$5:$G$404,"&lt;="&amp;EOMONTH($G359,0))&gt;SUMIFS('利用者マスタ'!$B$4:$B$60,'利用者マスタ'!$A$4:$A$60,$B359),"⚠支給量超過","")))</f>
        <v/>
      </c>
      <c r="AA359" s="8">
        <f>IF(OR($G359="",$J359="",$Q359="キャンセル"),0,IF(IFERROR(INDEX('M_区分'!$B$4:$B$20,MATCH($C359,'M_区分'!$A$4:$A$20,0)),"○")="○",$J359-$G359+1,0))</f>
        <v/>
      </c>
      <c r="AB359" s="8">
        <f>IF($E359&lt;&gt;"",$E359,$AB358)</f>
        <v/>
      </c>
      <c r="AC359" s="8">
        <f>IF(OR($G359="",$J359=""),"",IF(AND($G359&lt;=EOMONTH('02_カレンダー'!$B$4,0),$J359&gt;='02_カレンダー'!$B$4),$G359*10000+ROW(),""))</f>
        <v/>
      </c>
      <c r="AD359" s="8">
        <f>IF($H359="","",IF(ISNUMBER($H359),IF(AND($H359=INT($H359),$H359&gt;=0,$H359&lt;=24),TEXT(INT($H359),"00")&amp;":00",TEXT($H359,"hh:mm")),$H359))</f>
        <v/>
      </c>
      <c r="AE359" s="8">
        <f>IF($K359="","",IF(ISNUMBER($K359),IF(AND($K359=INT($K359),$K359&gt;=0,$K359&lt;=24),TEXT(INT($K359),"00")&amp;":00",TEXT($K359,"hh:mm")),$K359))</f>
        <v/>
      </c>
      <c r="AF359" s="8">
        <f>IF($G359="",0,$G359)</f>
        <v/>
      </c>
      <c r="AG359" s="8">
        <f>IF($J359="",0,$J359)</f>
        <v/>
      </c>
    </row>
    <row r="360">
      <c r="A360" s="8">
        <f>IF($G360="","","SS-"&amp;TEXT(ROW()-4,"0000"))</f>
        <v/>
      </c>
      <c r="B360" s="9" t="n"/>
      <c r="C360" s="9" t="n"/>
      <c r="D360" s="9" t="n"/>
      <c r="E360" s="10" t="n"/>
      <c r="F360" s="11" t="n"/>
      <c r="G360" s="12">
        <f>IF($F360="","",IF($F360&gt;31,$F360,IF($AB360="","",DATE(YEAR($AB360),MONTH($AB360),$F360))))</f>
        <v/>
      </c>
      <c r="H360" s="9" t="n"/>
      <c r="I360" s="11" t="n"/>
      <c r="J360" s="12">
        <f>IF($I360="","",IF($I360&gt;31,$I360,IF($G360="","",IF(DATE(YEAR($G360),MONTH($G360),$I360)&gt;=$G360,DATE(YEAR($G360),MONTH($G360),$I360),DATE(YEAR($G360),MONTH($G360)+1,$I360)))))</f>
        <v/>
      </c>
      <c r="K360" s="9" t="n"/>
      <c r="L360" s="13" t="n"/>
      <c r="M360" s="13" t="n"/>
      <c r="N360" s="13" t="n"/>
      <c r="O360" s="8">
        <f>IF(OR($G360="",$J360=""),"",$J360-$G360+1)</f>
        <v/>
      </c>
      <c r="P360" s="8">
        <f>IF(OR($G360="",$J360=""),"",$J360-$G360)</f>
        <v/>
      </c>
      <c r="Q360" s="9" t="n"/>
      <c r="R360" s="9" t="n"/>
      <c r="S360" s="9" t="n"/>
      <c r="T360" s="9" t="n"/>
      <c r="U360" s="9" t="n"/>
      <c r="V360" s="9" t="n"/>
      <c r="W360" s="14" t="n"/>
      <c r="X360" s="9" t="n"/>
      <c r="Y360" s="8">
        <f>IF($G360="","",IF($D360="","⚠部屋が未選択",IF(COUNTIF('M_部屋'!$A$4:$A$20,$D360)=0,"⚠部屋が未登録",IF(OR($J360="",$Q360="キャンセル"),"",IF(SUMPRODUCT(($D$5:$D$404=$D360)*($G$5:$G$404&lt;&gt;"")*($J$5:$J$404&lt;&gt;"")*($Q$5:$Q$404&lt;&gt;"キャンセル")*($G$5:$G$404&lt;$J360)*($J$5:$J$404&gt;$G360))&gt;1,"⚠重複","")))))</f>
        <v/>
      </c>
      <c r="Z360" s="8">
        <f>IF(OR($B360="",$G360=""),"",IF(SUMPRODUCT(('利用者マスタ'!$A$4:$A$60=$B360)*('利用者マスタ'!$B$4:$B$60&lt;&gt;""))=0,"",IF(SUMIFS($AA$5:$AA$404,$B$5:$B$404,$B360,$G$5:$G$404,"&gt;="&amp;DATE(YEAR($G360),MONTH($G360),1),$G$5:$G$404,"&lt;="&amp;EOMONTH($G360,0))&gt;SUMIFS('利用者マスタ'!$B$4:$B$60,'利用者マスタ'!$A$4:$A$60,$B360),"⚠支給量超過","")))</f>
        <v/>
      </c>
      <c r="AA360" s="8">
        <f>IF(OR($G360="",$J360="",$Q360="キャンセル"),0,IF(IFERROR(INDEX('M_区分'!$B$4:$B$20,MATCH($C360,'M_区分'!$A$4:$A$20,0)),"○")="○",$J360-$G360+1,0))</f>
        <v/>
      </c>
      <c r="AB360" s="8">
        <f>IF($E360&lt;&gt;"",$E360,$AB359)</f>
        <v/>
      </c>
      <c r="AC360" s="8">
        <f>IF(OR($G360="",$J360=""),"",IF(AND($G360&lt;=EOMONTH('02_カレンダー'!$B$4,0),$J360&gt;='02_カレンダー'!$B$4),$G360*10000+ROW(),""))</f>
        <v/>
      </c>
      <c r="AD360" s="8">
        <f>IF($H360="","",IF(ISNUMBER($H360),IF(AND($H360=INT($H360),$H360&gt;=0,$H360&lt;=24),TEXT(INT($H360),"00")&amp;":00",TEXT($H360,"hh:mm")),$H360))</f>
        <v/>
      </c>
      <c r="AE360" s="8">
        <f>IF($K360="","",IF(ISNUMBER($K360),IF(AND($K360=INT($K360),$K360&gt;=0,$K360&lt;=24),TEXT(INT($K360),"00")&amp;":00",TEXT($K360,"hh:mm")),$K360))</f>
        <v/>
      </c>
      <c r="AF360" s="8">
        <f>IF($G360="",0,$G360)</f>
        <v/>
      </c>
      <c r="AG360" s="8">
        <f>IF($J360="",0,$J360)</f>
        <v/>
      </c>
    </row>
    <row r="361">
      <c r="A361" s="8">
        <f>IF($G361="","","SS-"&amp;TEXT(ROW()-4,"0000"))</f>
        <v/>
      </c>
      <c r="B361" s="9" t="n"/>
      <c r="C361" s="9" t="n"/>
      <c r="D361" s="9" t="n"/>
      <c r="E361" s="10" t="n"/>
      <c r="F361" s="11" t="n"/>
      <c r="G361" s="12">
        <f>IF($F361="","",IF($F361&gt;31,$F361,IF($AB361="","",DATE(YEAR($AB361),MONTH($AB361),$F361))))</f>
        <v/>
      </c>
      <c r="H361" s="9" t="n"/>
      <c r="I361" s="11" t="n"/>
      <c r="J361" s="12">
        <f>IF($I361="","",IF($I361&gt;31,$I361,IF($G361="","",IF(DATE(YEAR($G361),MONTH($G361),$I361)&gt;=$G361,DATE(YEAR($G361),MONTH($G361),$I361),DATE(YEAR($G361),MONTH($G361)+1,$I361)))))</f>
        <v/>
      </c>
      <c r="K361" s="9" t="n"/>
      <c r="L361" s="13" t="n"/>
      <c r="M361" s="13" t="n"/>
      <c r="N361" s="13" t="n"/>
      <c r="O361" s="8">
        <f>IF(OR($G361="",$J361=""),"",$J361-$G361+1)</f>
        <v/>
      </c>
      <c r="P361" s="8">
        <f>IF(OR($G361="",$J361=""),"",$J361-$G361)</f>
        <v/>
      </c>
      <c r="Q361" s="9" t="n"/>
      <c r="R361" s="9" t="n"/>
      <c r="S361" s="9" t="n"/>
      <c r="T361" s="9" t="n"/>
      <c r="U361" s="9" t="n"/>
      <c r="V361" s="9" t="n"/>
      <c r="W361" s="14" t="n"/>
      <c r="X361" s="9" t="n"/>
      <c r="Y361" s="8">
        <f>IF($G361="","",IF($D361="","⚠部屋が未選択",IF(COUNTIF('M_部屋'!$A$4:$A$20,$D361)=0,"⚠部屋が未登録",IF(OR($J361="",$Q361="キャンセル"),"",IF(SUMPRODUCT(($D$5:$D$404=$D361)*($G$5:$G$404&lt;&gt;"")*($J$5:$J$404&lt;&gt;"")*($Q$5:$Q$404&lt;&gt;"キャンセル")*($G$5:$G$404&lt;$J361)*($J$5:$J$404&gt;$G361))&gt;1,"⚠重複","")))))</f>
        <v/>
      </c>
      <c r="Z361" s="8">
        <f>IF(OR($B361="",$G361=""),"",IF(SUMPRODUCT(('利用者マスタ'!$A$4:$A$60=$B361)*('利用者マスタ'!$B$4:$B$60&lt;&gt;""))=0,"",IF(SUMIFS($AA$5:$AA$404,$B$5:$B$404,$B361,$G$5:$G$404,"&gt;="&amp;DATE(YEAR($G361),MONTH($G361),1),$G$5:$G$404,"&lt;="&amp;EOMONTH($G361,0))&gt;SUMIFS('利用者マスタ'!$B$4:$B$60,'利用者マスタ'!$A$4:$A$60,$B361),"⚠支給量超過","")))</f>
        <v/>
      </c>
      <c r="AA361" s="8">
        <f>IF(OR($G361="",$J361="",$Q361="キャンセル"),0,IF(IFERROR(INDEX('M_区分'!$B$4:$B$20,MATCH($C361,'M_区分'!$A$4:$A$20,0)),"○")="○",$J361-$G361+1,0))</f>
        <v/>
      </c>
      <c r="AB361" s="8">
        <f>IF($E361&lt;&gt;"",$E361,$AB360)</f>
        <v/>
      </c>
      <c r="AC361" s="8">
        <f>IF(OR($G361="",$J361=""),"",IF(AND($G361&lt;=EOMONTH('02_カレンダー'!$B$4,0),$J361&gt;='02_カレンダー'!$B$4),$G361*10000+ROW(),""))</f>
        <v/>
      </c>
      <c r="AD361" s="8">
        <f>IF($H361="","",IF(ISNUMBER($H361),IF(AND($H361=INT($H361),$H361&gt;=0,$H361&lt;=24),TEXT(INT($H361),"00")&amp;":00",TEXT($H361,"hh:mm")),$H361))</f>
        <v/>
      </c>
      <c r="AE361" s="8">
        <f>IF($K361="","",IF(ISNUMBER($K361),IF(AND($K361=INT($K361),$K361&gt;=0,$K361&lt;=24),TEXT(INT($K361),"00")&amp;":00",TEXT($K361,"hh:mm")),$K361))</f>
        <v/>
      </c>
      <c r="AF361" s="8">
        <f>IF($G361="",0,$G361)</f>
        <v/>
      </c>
      <c r="AG361" s="8">
        <f>IF($J361="",0,$J361)</f>
        <v/>
      </c>
    </row>
    <row r="362">
      <c r="A362" s="8">
        <f>IF($G362="","","SS-"&amp;TEXT(ROW()-4,"0000"))</f>
        <v/>
      </c>
      <c r="B362" s="9" t="n"/>
      <c r="C362" s="9" t="n"/>
      <c r="D362" s="9" t="n"/>
      <c r="E362" s="10" t="n"/>
      <c r="F362" s="11" t="n"/>
      <c r="G362" s="12">
        <f>IF($F362="","",IF($F362&gt;31,$F362,IF($AB362="","",DATE(YEAR($AB362),MONTH($AB362),$F362))))</f>
        <v/>
      </c>
      <c r="H362" s="9" t="n"/>
      <c r="I362" s="11" t="n"/>
      <c r="J362" s="12">
        <f>IF($I362="","",IF($I362&gt;31,$I362,IF($G362="","",IF(DATE(YEAR($G362),MONTH($G362),$I362)&gt;=$G362,DATE(YEAR($G362),MONTH($G362),$I362),DATE(YEAR($G362),MONTH($G362)+1,$I362)))))</f>
        <v/>
      </c>
      <c r="K362" s="9" t="n"/>
      <c r="L362" s="13" t="n"/>
      <c r="M362" s="13" t="n"/>
      <c r="N362" s="13" t="n"/>
      <c r="O362" s="8">
        <f>IF(OR($G362="",$J362=""),"",$J362-$G362+1)</f>
        <v/>
      </c>
      <c r="P362" s="8">
        <f>IF(OR($G362="",$J362=""),"",$J362-$G362)</f>
        <v/>
      </c>
      <c r="Q362" s="9" t="n"/>
      <c r="R362" s="9" t="n"/>
      <c r="S362" s="9" t="n"/>
      <c r="T362" s="9" t="n"/>
      <c r="U362" s="9" t="n"/>
      <c r="V362" s="9" t="n"/>
      <c r="W362" s="14" t="n"/>
      <c r="X362" s="9" t="n"/>
      <c r="Y362" s="8">
        <f>IF($G362="","",IF($D362="","⚠部屋が未選択",IF(COUNTIF('M_部屋'!$A$4:$A$20,$D362)=0,"⚠部屋が未登録",IF(OR($J362="",$Q362="キャンセル"),"",IF(SUMPRODUCT(($D$5:$D$404=$D362)*($G$5:$G$404&lt;&gt;"")*($J$5:$J$404&lt;&gt;"")*($Q$5:$Q$404&lt;&gt;"キャンセル")*($G$5:$G$404&lt;$J362)*($J$5:$J$404&gt;$G362))&gt;1,"⚠重複","")))))</f>
        <v/>
      </c>
      <c r="Z362" s="8">
        <f>IF(OR($B362="",$G362=""),"",IF(SUMPRODUCT(('利用者マスタ'!$A$4:$A$60=$B362)*('利用者マスタ'!$B$4:$B$60&lt;&gt;""))=0,"",IF(SUMIFS($AA$5:$AA$404,$B$5:$B$404,$B362,$G$5:$G$404,"&gt;="&amp;DATE(YEAR($G362),MONTH($G362),1),$G$5:$G$404,"&lt;="&amp;EOMONTH($G362,0))&gt;SUMIFS('利用者マスタ'!$B$4:$B$60,'利用者マスタ'!$A$4:$A$60,$B362),"⚠支給量超過","")))</f>
        <v/>
      </c>
      <c r="AA362" s="8">
        <f>IF(OR($G362="",$J362="",$Q362="キャンセル"),0,IF(IFERROR(INDEX('M_区分'!$B$4:$B$20,MATCH($C362,'M_区分'!$A$4:$A$20,0)),"○")="○",$J362-$G362+1,0))</f>
        <v/>
      </c>
      <c r="AB362" s="8">
        <f>IF($E362&lt;&gt;"",$E362,$AB361)</f>
        <v/>
      </c>
      <c r="AC362" s="8">
        <f>IF(OR($G362="",$J362=""),"",IF(AND($G362&lt;=EOMONTH('02_カレンダー'!$B$4,0),$J362&gt;='02_カレンダー'!$B$4),$G362*10000+ROW(),""))</f>
        <v/>
      </c>
      <c r="AD362" s="8">
        <f>IF($H362="","",IF(ISNUMBER($H362),IF(AND($H362=INT($H362),$H362&gt;=0,$H362&lt;=24),TEXT(INT($H362),"00")&amp;":00",TEXT($H362,"hh:mm")),$H362))</f>
        <v/>
      </c>
      <c r="AE362" s="8">
        <f>IF($K362="","",IF(ISNUMBER($K362),IF(AND($K362=INT($K362),$K362&gt;=0,$K362&lt;=24),TEXT(INT($K362),"00")&amp;":00",TEXT($K362,"hh:mm")),$K362))</f>
        <v/>
      </c>
      <c r="AF362" s="8">
        <f>IF($G362="",0,$G362)</f>
        <v/>
      </c>
      <c r="AG362" s="8">
        <f>IF($J362="",0,$J362)</f>
        <v/>
      </c>
    </row>
    <row r="363">
      <c r="A363" s="8">
        <f>IF($G363="","","SS-"&amp;TEXT(ROW()-4,"0000"))</f>
        <v/>
      </c>
      <c r="B363" s="9" t="n"/>
      <c r="C363" s="9" t="n"/>
      <c r="D363" s="9" t="n"/>
      <c r="E363" s="10" t="n"/>
      <c r="F363" s="11" t="n"/>
      <c r="G363" s="12">
        <f>IF($F363="","",IF($F363&gt;31,$F363,IF($AB363="","",DATE(YEAR($AB363),MONTH($AB363),$F363))))</f>
        <v/>
      </c>
      <c r="H363" s="9" t="n"/>
      <c r="I363" s="11" t="n"/>
      <c r="J363" s="12">
        <f>IF($I363="","",IF($I363&gt;31,$I363,IF($G363="","",IF(DATE(YEAR($G363),MONTH($G363),$I363)&gt;=$G363,DATE(YEAR($G363),MONTH($G363),$I363),DATE(YEAR($G363),MONTH($G363)+1,$I363)))))</f>
        <v/>
      </c>
      <c r="K363" s="9" t="n"/>
      <c r="L363" s="13" t="n"/>
      <c r="M363" s="13" t="n"/>
      <c r="N363" s="13" t="n"/>
      <c r="O363" s="8">
        <f>IF(OR($G363="",$J363=""),"",$J363-$G363+1)</f>
        <v/>
      </c>
      <c r="P363" s="8">
        <f>IF(OR($G363="",$J363=""),"",$J363-$G363)</f>
        <v/>
      </c>
      <c r="Q363" s="9" t="n"/>
      <c r="R363" s="9" t="n"/>
      <c r="S363" s="9" t="n"/>
      <c r="T363" s="9" t="n"/>
      <c r="U363" s="9" t="n"/>
      <c r="V363" s="9" t="n"/>
      <c r="W363" s="14" t="n"/>
      <c r="X363" s="9" t="n"/>
      <c r="Y363" s="8">
        <f>IF($G363="","",IF($D363="","⚠部屋が未選択",IF(COUNTIF('M_部屋'!$A$4:$A$20,$D363)=0,"⚠部屋が未登録",IF(OR($J363="",$Q363="キャンセル"),"",IF(SUMPRODUCT(($D$5:$D$404=$D363)*($G$5:$G$404&lt;&gt;"")*($J$5:$J$404&lt;&gt;"")*($Q$5:$Q$404&lt;&gt;"キャンセル")*($G$5:$G$404&lt;$J363)*($J$5:$J$404&gt;$G363))&gt;1,"⚠重複","")))))</f>
        <v/>
      </c>
      <c r="Z363" s="8">
        <f>IF(OR($B363="",$G363=""),"",IF(SUMPRODUCT(('利用者マスタ'!$A$4:$A$60=$B363)*('利用者マスタ'!$B$4:$B$60&lt;&gt;""))=0,"",IF(SUMIFS($AA$5:$AA$404,$B$5:$B$404,$B363,$G$5:$G$404,"&gt;="&amp;DATE(YEAR($G363),MONTH($G363),1),$G$5:$G$404,"&lt;="&amp;EOMONTH($G363,0))&gt;SUMIFS('利用者マスタ'!$B$4:$B$60,'利用者マスタ'!$A$4:$A$60,$B363),"⚠支給量超過","")))</f>
        <v/>
      </c>
      <c r="AA363" s="8">
        <f>IF(OR($G363="",$J363="",$Q363="キャンセル"),0,IF(IFERROR(INDEX('M_区分'!$B$4:$B$20,MATCH($C363,'M_区分'!$A$4:$A$20,0)),"○")="○",$J363-$G363+1,0))</f>
        <v/>
      </c>
      <c r="AB363" s="8">
        <f>IF($E363&lt;&gt;"",$E363,$AB362)</f>
        <v/>
      </c>
      <c r="AC363" s="8">
        <f>IF(OR($G363="",$J363=""),"",IF(AND($G363&lt;=EOMONTH('02_カレンダー'!$B$4,0),$J363&gt;='02_カレンダー'!$B$4),$G363*10000+ROW(),""))</f>
        <v/>
      </c>
      <c r="AD363" s="8">
        <f>IF($H363="","",IF(ISNUMBER($H363),IF(AND($H363=INT($H363),$H363&gt;=0,$H363&lt;=24),TEXT(INT($H363),"00")&amp;":00",TEXT($H363,"hh:mm")),$H363))</f>
        <v/>
      </c>
      <c r="AE363" s="8">
        <f>IF($K363="","",IF(ISNUMBER($K363),IF(AND($K363=INT($K363),$K363&gt;=0,$K363&lt;=24),TEXT(INT($K363),"00")&amp;":00",TEXT($K363,"hh:mm")),$K363))</f>
        <v/>
      </c>
      <c r="AF363" s="8">
        <f>IF($G363="",0,$G363)</f>
        <v/>
      </c>
      <c r="AG363" s="8">
        <f>IF($J363="",0,$J363)</f>
        <v/>
      </c>
    </row>
    <row r="364">
      <c r="A364" s="8">
        <f>IF($G364="","","SS-"&amp;TEXT(ROW()-4,"0000"))</f>
        <v/>
      </c>
      <c r="B364" s="9" t="n"/>
      <c r="C364" s="9" t="n"/>
      <c r="D364" s="9" t="n"/>
      <c r="E364" s="10" t="n"/>
      <c r="F364" s="11" t="n"/>
      <c r="G364" s="12">
        <f>IF($F364="","",IF($F364&gt;31,$F364,IF($AB364="","",DATE(YEAR($AB364),MONTH($AB364),$F364))))</f>
        <v/>
      </c>
      <c r="H364" s="9" t="n"/>
      <c r="I364" s="11" t="n"/>
      <c r="J364" s="12">
        <f>IF($I364="","",IF($I364&gt;31,$I364,IF($G364="","",IF(DATE(YEAR($G364),MONTH($G364),$I364)&gt;=$G364,DATE(YEAR($G364),MONTH($G364),$I364),DATE(YEAR($G364),MONTH($G364)+1,$I364)))))</f>
        <v/>
      </c>
      <c r="K364" s="9" t="n"/>
      <c r="L364" s="13" t="n"/>
      <c r="M364" s="13" t="n"/>
      <c r="N364" s="13" t="n"/>
      <c r="O364" s="8">
        <f>IF(OR($G364="",$J364=""),"",$J364-$G364+1)</f>
        <v/>
      </c>
      <c r="P364" s="8">
        <f>IF(OR($G364="",$J364=""),"",$J364-$G364)</f>
        <v/>
      </c>
      <c r="Q364" s="9" t="n"/>
      <c r="R364" s="9" t="n"/>
      <c r="S364" s="9" t="n"/>
      <c r="T364" s="9" t="n"/>
      <c r="U364" s="9" t="n"/>
      <c r="V364" s="9" t="n"/>
      <c r="W364" s="14" t="n"/>
      <c r="X364" s="9" t="n"/>
      <c r="Y364" s="8">
        <f>IF($G364="","",IF($D364="","⚠部屋が未選択",IF(COUNTIF('M_部屋'!$A$4:$A$20,$D364)=0,"⚠部屋が未登録",IF(OR($J364="",$Q364="キャンセル"),"",IF(SUMPRODUCT(($D$5:$D$404=$D364)*($G$5:$G$404&lt;&gt;"")*($J$5:$J$404&lt;&gt;"")*($Q$5:$Q$404&lt;&gt;"キャンセル")*($G$5:$G$404&lt;$J364)*($J$5:$J$404&gt;$G364))&gt;1,"⚠重複","")))))</f>
        <v/>
      </c>
      <c r="Z364" s="8">
        <f>IF(OR($B364="",$G364=""),"",IF(SUMPRODUCT(('利用者マスタ'!$A$4:$A$60=$B364)*('利用者マスタ'!$B$4:$B$60&lt;&gt;""))=0,"",IF(SUMIFS($AA$5:$AA$404,$B$5:$B$404,$B364,$G$5:$G$404,"&gt;="&amp;DATE(YEAR($G364),MONTH($G364),1),$G$5:$G$404,"&lt;="&amp;EOMONTH($G364,0))&gt;SUMIFS('利用者マスタ'!$B$4:$B$60,'利用者マスタ'!$A$4:$A$60,$B364),"⚠支給量超過","")))</f>
        <v/>
      </c>
      <c r="AA364" s="8">
        <f>IF(OR($G364="",$J364="",$Q364="キャンセル"),0,IF(IFERROR(INDEX('M_区分'!$B$4:$B$20,MATCH($C364,'M_区分'!$A$4:$A$20,0)),"○")="○",$J364-$G364+1,0))</f>
        <v/>
      </c>
      <c r="AB364" s="8">
        <f>IF($E364&lt;&gt;"",$E364,$AB363)</f>
        <v/>
      </c>
      <c r="AC364" s="8">
        <f>IF(OR($G364="",$J364=""),"",IF(AND($G364&lt;=EOMONTH('02_カレンダー'!$B$4,0),$J364&gt;='02_カレンダー'!$B$4),$G364*10000+ROW(),""))</f>
        <v/>
      </c>
      <c r="AD364" s="8">
        <f>IF($H364="","",IF(ISNUMBER($H364),IF(AND($H364=INT($H364),$H364&gt;=0,$H364&lt;=24),TEXT(INT($H364),"00")&amp;":00",TEXT($H364,"hh:mm")),$H364))</f>
        <v/>
      </c>
      <c r="AE364" s="8">
        <f>IF($K364="","",IF(ISNUMBER($K364),IF(AND($K364=INT($K364),$K364&gt;=0,$K364&lt;=24),TEXT(INT($K364),"00")&amp;":00",TEXT($K364,"hh:mm")),$K364))</f>
        <v/>
      </c>
      <c r="AF364" s="8">
        <f>IF($G364="",0,$G364)</f>
        <v/>
      </c>
      <c r="AG364" s="8">
        <f>IF($J364="",0,$J364)</f>
        <v/>
      </c>
    </row>
    <row r="365">
      <c r="A365" s="8">
        <f>IF($G365="","","SS-"&amp;TEXT(ROW()-4,"0000"))</f>
        <v/>
      </c>
      <c r="B365" s="9" t="n"/>
      <c r="C365" s="9" t="n"/>
      <c r="D365" s="9" t="n"/>
      <c r="E365" s="10" t="n"/>
      <c r="F365" s="11" t="n"/>
      <c r="G365" s="12">
        <f>IF($F365="","",IF($F365&gt;31,$F365,IF($AB365="","",DATE(YEAR($AB365),MONTH($AB365),$F365))))</f>
        <v/>
      </c>
      <c r="H365" s="9" t="n"/>
      <c r="I365" s="11" t="n"/>
      <c r="J365" s="12">
        <f>IF($I365="","",IF($I365&gt;31,$I365,IF($G365="","",IF(DATE(YEAR($G365),MONTH($G365),$I365)&gt;=$G365,DATE(YEAR($G365),MONTH($G365),$I365),DATE(YEAR($G365),MONTH($G365)+1,$I365)))))</f>
        <v/>
      </c>
      <c r="K365" s="9" t="n"/>
      <c r="L365" s="13" t="n"/>
      <c r="M365" s="13" t="n"/>
      <c r="N365" s="13" t="n"/>
      <c r="O365" s="8">
        <f>IF(OR($G365="",$J365=""),"",$J365-$G365+1)</f>
        <v/>
      </c>
      <c r="P365" s="8">
        <f>IF(OR($G365="",$J365=""),"",$J365-$G365)</f>
        <v/>
      </c>
      <c r="Q365" s="9" t="n"/>
      <c r="R365" s="9" t="n"/>
      <c r="S365" s="9" t="n"/>
      <c r="T365" s="9" t="n"/>
      <c r="U365" s="9" t="n"/>
      <c r="V365" s="9" t="n"/>
      <c r="W365" s="14" t="n"/>
      <c r="X365" s="9" t="n"/>
      <c r="Y365" s="8">
        <f>IF($G365="","",IF($D365="","⚠部屋が未選択",IF(COUNTIF('M_部屋'!$A$4:$A$20,$D365)=0,"⚠部屋が未登録",IF(OR($J365="",$Q365="キャンセル"),"",IF(SUMPRODUCT(($D$5:$D$404=$D365)*($G$5:$G$404&lt;&gt;"")*($J$5:$J$404&lt;&gt;"")*($Q$5:$Q$404&lt;&gt;"キャンセル")*($G$5:$G$404&lt;$J365)*($J$5:$J$404&gt;$G365))&gt;1,"⚠重複","")))))</f>
        <v/>
      </c>
      <c r="Z365" s="8">
        <f>IF(OR($B365="",$G365=""),"",IF(SUMPRODUCT(('利用者マスタ'!$A$4:$A$60=$B365)*('利用者マスタ'!$B$4:$B$60&lt;&gt;""))=0,"",IF(SUMIFS($AA$5:$AA$404,$B$5:$B$404,$B365,$G$5:$G$404,"&gt;="&amp;DATE(YEAR($G365),MONTH($G365),1),$G$5:$G$404,"&lt;="&amp;EOMONTH($G365,0))&gt;SUMIFS('利用者マスタ'!$B$4:$B$60,'利用者マスタ'!$A$4:$A$60,$B365),"⚠支給量超過","")))</f>
        <v/>
      </c>
      <c r="AA365" s="8">
        <f>IF(OR($G365="",$J365="",$Q365="キャンセル"),0,IF(IFERROR(INDEX('M_区分'!$B$4:$B$20,MATCH($C365,'M_区分'!$A$4:$A$20,0)),"○")="○",$J365-$G365+1,0))</f>
        <v/>
      </c>
      <c r="AB365" s="8">
        <f>IF($E365&lt;&gt;"",$E365,$AB364)</f>
        <v/>
      </c>
      <c r="AC365" s="8">
        <f>IF(OR($G365="",$J365=""),"",IF(AND($G365&lt;=EOMONTH('02_カレンダー'!$B$4,0),$J365&gt;='02_カレンダー'!$B$4),$G365*10000+ROW(),""))</f>
        <v/>
      </c>
      <c r="AD365" s="8">
        <f>IF($H365="","",IF(ISNUMBER($H365),IF(AND($H365=INT($H365),$H365&gt;=0,$H365&lt;=24),TEXT(INT($H365),"00")&amp;":00",TEXT($H365,"hh:mm")),$H365))</f>
        <v/>
      </c>
      <c r="AE365" s="8">
        <f>IF($K365="","",IF(ISNUMBER($K365),IF(AND($K365=INT($K365),$K365&gt;=0,$K365&lt;=24),TEXT(INT($K365),"00")&amp;":00",TEXT($K365,"hh:mm")),$K365))</f>
        <v/>
      </c>
      <c r="AF365" s="8">
        <f>IF($G365="",0,$G365)</f>
        <v/>
      </c>
      <c r="AG365" s="8">
        <f>IF($J365="",0,$J365)</f>
        <v/>
      </c>
    </row>
    <row r="366">
      <c r="A366" s="8">
        <f>IF($G366="","","SS-"&amp;TEXT(ROW()-4,"0000"))</f>
        <v/>
      </c>
      <c r="B366" s="9" t="n"/>
      <c r="C366" s="9" t="n"/>
      <c r="D366" s="9" t="n"/>
      <c r="E366" s="10" t="n"/>
      <c r="F366" s="11" t="n"/>
      <c r="G366" s="12">
        <f>IF($F366="","",IF($F366&gt;31,$F366,IF($AB366="","",DATE(YEAR($AB366),MONTH($AB366),$F366))))</f>
        <v/>
      </c>
      <c r="H366" s="9" t="n"/>
      <c r="I366" s="11" t="n"/>
      <c r="J366" s="12">
        <f>IF($I366="","",IF($I366&gt;31,$I366,IF($G366="","",IF(DATE(YEAR($G366),MONTH($G366),$I366)&gt;=$G366,DATE(YEAR($G366),MONTH($G366),$I366),DATE(YEAR($G366),MONTH($G366)+1,$I366)))))</f>
        <v/>
      </c>
      <c r="K366" s="9" t="n"/>
      <c r="L366" s="13" t="n"/>
      <c r="M366" s="13" t="n"/>
      <c r="N366" s="13" t="n"/>
      <c r="O366" s="8">
        <f>IF(OR($G366="",$J366=""),"",$J366-$G366+1)</f>
        <v/>
      </c>
      <c r="P366" s="8">
        <f>IF(OR($G366="",$J366=""),"",$J366-$G366)</f>
        <v/>
      </c>
      <c r="Q366" s="9" t="n"/>
      <c r="R366" s="9" t="n"/>
      <c r="S366" s="9" t="n"/>
      <c r="T366" s="9" t="n"/>
      <c r="U366" s="9" t="n"/>
      <c r="V366" s="9" t="n"/>
      <c r="W366" s="14" t="n"/>
      <c r="X366" s="9" t="n"/>
      <c r="Y366" s="8">
        <f>IF($G366="","",IF($D366="","⚠部屋が未選択",IF(COUNTIF('M_部屋'!$A$4:$A$20,$D366)=0,"⚠部屋が未登録",IF(OR($J366="",$Q366="キャンセル"),"",IF(SUMPRODUCT(($D$5:$D$404=$D366)*($G$5:$G$404&lt;&gt;"")*($J$5:$J$404&lt;&gt;"")*($Q$5:$Q$404&lt;&gt;"キャンセル")*($G$5:$G$404&lt;$J366)*($J$5:$J$404&gt;$G366))&gt;1,"⚠重複","")))))</f>
        <v/>
      </c>
      <c r="Z366" s="8">
        <f>IF(OR($B366="",$G366=""),"",IF(SUMPRODUCT(('利用者マスタ'!$A$4:$A$60=$B366)*('利用者マスタ'!$B$4:$B$60&lt;&gt;""))=0,"",IF(SUMIFS($AA$5:$AA$404,$B$5:$B$404,$B366,$G$5:$G$404,"&gt;="&amp;DATE(YEAR($G366),MONTH($G366),1),$G$5:$G$404,"&lt;="&amp;EOMONTH($G366,0))&gt;SUMIFS('利用者マスタ'!$B$4:$B$60,'利用者マスタ'!$A$4:$A$60,$B366),"⚠支給量超過","")))</f>
        <v/>
      </c>
      <c r="AA366" s="8">
        <f>IF(OR($G366="",$J366="",$Q366="キャンセル"),0,IF(IFERROR(INDEX('M_区分'!$B$4:$B$20,MATCH($C366,'M_区分'!$A$4:$A$20,0)),"○")="○",$J366-$G366+1,0))</f>
        <v/>
      </c>
      <c r="AB366" s="8">
        <f>IF($E366&lt;&gt;"",$E366,$AB365)</f>
        <v/>
      </c>
      <c r="AC366" s="8">
        <f>IF(OR($G366="",$J366=""),"",IF(AND($G366&lt;=EOMONTH('02_カレンダー'!$B$4,0),$J366&gt;='02_カレンダー'!$B$4),$G366*10000+ROW(),""))</f>
        <v/>
      </c>
      <c r="AD366" s="8">
        <f>IF($H366="","",IF(ISNUMBER($H366),IF(AND($H366=INT($H366),$H366&gt;=0,$H366&lt;=24),TEXT(INT($H366),"00")&amp;":00",TEXT($H366,"hh:mm")),$H366))</f>
        <v/>
      </c>
      <c r="AE366" s="8">
        <f>IF($K366="","",IF(ISNUMBER($K366),IF(AND($K366=INT($K366),$K366&gt;=0,$K366&lt;=24),TEXT(INT($K366),"00")&amp;":00",TEXT($K366,"hh:mm")),$K366))</f>
        <v/>
      </c>
      <c r="AF366" s="8">
        <f>IF($G366="",0,$G366)</f>
        <v/>
      </c>
      <c r="AG366" s="8">
        <f>IF($J366="",0,$J366)</f>
        <v/>
      </c>
    </row>
    <row r="367">
      <c r="A367" s="8">
        <f>IF($G367="","","SS-"&amp;TEXT(ROW()-4,"0000"))</f>
        <v/>
      </c>
      <c r="B367" s="9" t="n"/>
      <c r="C367" s="9" t="n"/>
      <c r="D367" s="9" t="n"/>
      <c r="E367" s="10" t="n"/>
      <c r="F367" s="11" t="n"/>
      <c r="G367" s="12">
        <f>IF($F367="","",IF($F367&gt;31,$F367,IF($AB367="","",DATE(YEAR($AB367),MONTH($AB367),$F367))))</f>
        <v/>
      </c>
      <c r="H367" s="9" t="n"/>
      <c r="I367" s="11" t="n"/>
      <c r="J367" s="12">
        <f>IF($I367="","",IF($I367&gt;31,$I367,IF($G367="","",IF(DATE(YEAR($G367),MONTH($G367),$I367)&gt;=$G367,DATE(YEAR($G367),MONTH($G367),$I367),DATE(YEAR($G367),MONTH($G367)+1,$I367)))))</f>
        <v/>
      </c>
      <c r="K367" s="9" t="n"/>
      <c r="L367" s="13" t="n"/>
      <c r="M367" s="13" t="n"/>
      <c r="N367" s="13" t="n"/>
      <c r="O367" s="8">
        <f>IF(OR($G367="",$J367=""),"",$J367-$G367+1)</f>
        <v/>
      </c>
      <c r="P367" s="8">
        <f>IF(OR($G367="",$J367=""),"",$J367-$G367)</f>
        <v/>
      </c>
      <c r="Q367" s="9" t="n"/>
      <c r="R367" s="9" t="n"/>
      <c r="S367" s="9" t="n"/>
      <c r="T367" s="9" t="n"/>
      <c r="U367" s="9" t="n"/>
      <c r="V367" s="9" t="n"/>
      <c r="W367" s="14" t="n"/>
      <c r="X367" s="9" t="n"/>
      <c r="Y367" s="8">
        <f>IF($G367="","",IF($D367="","⚠部屋が未選択",IF(COUNTIF('M_部屋'!$A$4:$A$20,$D367)=0,"⚠部屋が未登録",IF(OR($J367="",$Q367="キャンセル"),"",IF(SUMPRODUCT(($D$5:$D$404=$D367)*($G$5:$G$404&lt;&gt;"")*($J$5:$J$404&lt;&gt;"")*($Q$5:$Q$404&lt;&gt;"キャンセル")*($G$5:$G$404&lt;$J367)*($J$5:$J$404&gt;$G367))&gt;1,"⚠重複","")))))</f>
        <v/>
      </c>
      <c r="Z367" s="8">
        <f>IF(OR($B367="",$G367=""),"",IF(SUMPRODUCT(('利用者マスタ'!$A$4:$A$60=$B367)*('利用者マスタ'!$B$4:$B$60&lt;&gt;""))=0,"",IF(SUMIFS($AA$5:$AA$404,$B$5:$B$404,$B367,$G$5:$G$404,"&gt;="&amp;DATE(YEAR($G367),MONTH($G367),1),$G$5:$G$404,"&lt;="&amp;EOMONTH($G367,0))&gt;SUMIFS('利用者マスタ'!$B$4:$B$60,'利用者マスタ'!$A$4:$A$60,$B367),"⚠支給量超過","")))</f>
        <v/>
      </c>
      <c r="AA367" s="8">
        <f>IF(OR($G367="",$J367="",$Q367="キャンセル"),0,IF(IFERROR(INDEX('M_区分'!$B$4:$B$20,MATCH($C367,'M_区分'!$A$4:$A$20,0)),"○")="○",$J367-$G367+1,0))</f>
        <v/>
      </c>
      <c r="AB367" s="8">
        <f>IF($E367&lt;&gt;"",$E367,$AB366)</f>
        <v/>
      </c>
      <c r="AC367" s="8">
        <f>IF(OR($G367="",$J367=""),"",IF(AND($G367&lt;=EOMONTH('02_カレンダー'!$B$4,0),$J367&gt;='02_カレンダー'!$B$4),$G367*10000+ROW(),""))</f>
        <v/>
      </c>
      <c r="AD367" s="8">
        <f>IF($H367="","",IF(ISNUMBER($H367),IF(AND($H367=INT($H367),$H367&gt;=0,$H367&lt;=24),TEXT(INT($H367),"00")&amp;":00",TEXT($H367,"hh:mm")),$H367))</f>
        <v/>
      </c>
      <c r="AE367" s="8">
        <f>IF($K367="","",IF(ISNUMBER($K367),IF(AND($K367=INT($K367),$K367&gt;=0,$K367&lt;=24),TEXT(INT($K367),"00")&amp;":00",TEXT($K367,"hh:mm")),$K367))</f>
        <v/>
      </c>
      <c r="AF367" s="8">
        <f>IF($G367="",0,$G367)</f>
        <v/>
      </c>
      <c r="AG367" s="8">
        <f>IF($J367="",0,$J367)</f>
        <v/>
      </c>
    </row>
    <row r="368">
      <c r="A368" s="8">
        <f>IF($G368="","","SS-"&amp;TEXT(ROW()-4,"0000"))</f>
        <v/>
      </c>
      <c r="B368" s="9" t="n"/>
      <c r="C368" s="9" t="n"/>
      <c r="D368" s="9" t="n"/>
      <c r="E368" s="10" t="n"/>
      <c r="F368" s="11" t="n"/>
      <c r="G368" s="12">
        <f>IF($F368="","",IF($F368&gt;31,$F368,IF($AB368="","",DATE(YEAR($AB368),MONTH($AB368),$F368))))</f>
        <v/>
      </c>
      <c r="H368" s="9" t="n"/>
      <c r="I368" s="11" t="n"/>
      <c r="J368" s="12">
        <f>IF($I368="","",IF($I368&gt;31,$I368,IF($G368="","",IF(DATE(YEAR($G368),MONTH($G368),$I368)&gt;=$G368,DATE(YEAR($G368),MONTH($G368),$I368),DATE(YEAR($G368),MONTH($G368)+1,$I368)))))</f>
        <v/>
      </c>
      <c r="K368" s="9" t="n"/>
      <c r="L368" s="13" t="n"/>
      <c r="M368" s="13" t="n"/>
      <c r="N368" s="13" t="n"/>
      <c r="O368" s="8">
        <f>IF(OR($G368="",$J368=""),"",$J368-$G368+1)</f>
        <v/>
      </c>
      <c r="P368" s="8">
        <f>IF(OR($G368="",$J368=""),"",$J368-$G368)</f>
        <v/>
      </c>
      <c r="Q368" s="9" t="n"/>
      <c r="R368" s="9" t="n"/>
      <c r="S368" s="9" t="n"/>
      <c r="T368" s="9" t="n"/>
      <c r="U368" s="9" t="n"/>
      <c r="V368" s="9" t="n"/>
      <c r="W368" s="14" t="n"/>
      <c r="X368" s="9" t="n"/>
      <c r="Y368" s="8">
        <f>IF($G368="","",IF($D368="","⚠部屋が未選択",IF(COUNTIF('M_部屋'!$A$4:$A$20,$D368)=0,"⚠部屋が未登録",IF(OR($J368="",$Q368="キャンセル"),"",IF(SUMPRODUCT(($D$5:$D$404=$D368)*($G$5:$G$404&lt;&gt;"")*($J$5:$J$404&lt;&gt;"")*($Q$5:$Q$404&lt;&gt;"キャンセル")*($G$5:$G$404&lt;$J368)*($J$5:$J$404&gt;$G368))&gt;1,"⚠重複","")))))</f>
        <v/>
      </c>
      <c r="Z368" s="8">
        <f>IF(OR($B368="",$G368=""),"",IF(SUMPRODUCT(('利用者マスタ'!$A$4:$A$60=$B368)*('利用者マスタ'!$B$4:$B$60&lt;&gt;""))=0,"",IF(SUMIFS($AA$5:$AA$404,$B$5:$B$404,$B368,$G$5:$G$404,"&gt;="&amp;DATE(YEAR($G368),MONTH($G368),1),$G$5:$G$404,"&lt;="&amp;EOMONTH($G368,0))&gt;SUMIFS('利用者マスタ'!$B$4:$B$60,'利用者マスタ'!$A$4:$A$60,$B368),"⚠支給量超過","")))</f>
        <v/>
      </c>
      <c r="AA368" s="8">
        <f>IF(OR($G368="",$J368="",$Q368="キャンセル"),0,IF(IFERROR(INDEX('M_区分'!$B$4:$B$20,MATCH($C368,'M_区分'!$A$4:$A$20,0)),"○")="○",$J368-$G368+1,0))</f>
        <v/>
      </c>
      <c r="AB368" s="8">
        <f>IF($E368&lt;&gt;"",$E368,$AB367)</f>
        <v/>
      </c>
      <c r="AC368" s="8">
        <f>IF(OR($G368="",$J368=""),"",IF(AND($G368&lt;=EOMONTH('02_カレンダー'!$B$4,0),$J368&gt;='02_カレンダー'!$B$4),$G368*10000+ROW(),""))</f>
        <v/>
      </c>
      <c r="AD368" s="8">
        <f>IF($H368="","",IF(ISNUMBER($H368),IF(AND($H368=INT($H368),$H368&gt;=0,$H368&lt;=24),TEXT(INT($H368),"00")&amp;":00",TEXT($H368,"hh:mm")),$H368))</f>
        <v/>
      </c>
      <c r="AE368" s="8">
        <f>IF($K368="","",IF(ISNUMBER($K368),IF(AND($K368=INT($K368),$K368&gt;=0,$K368&lt;=24),TEXT(INT($K368),"00")&amp;":00",TEXT($K368,"hh:mm")),$K368))</f>
        <v/>
      </c>
      <c r="AF368" s="8">
        <f>IF($G368="",0,$G368)</f>
        <v/>
      </c>
      <c r="AG368" s="8">
        <f>IF($J368="",0,$J368)</f>
        <v/>
      </c>
    </row>
    <row r="369">
      <c r="A369" s="8">
        <f>IF($G369="","","SS-"&amp;TEXT(ROW()-4,"0000"))</f>
        <v/>
      </c>
      <c r="B369" s="9" t="n"/>
      <c r="C369" s="9" t="n"/>
      <c r="D369" s="9" t="n"/>
      <c r="E369" s="10" t="n"/>
      <c r="F369" s="11" t="n"/>
      <c r="G369" s="12">
        <f>IF($F369="","",IF($F369&gt;31,$F369,IF($AB369="","",DATE(YEAR($AB369),MONTH($AB369),$F369))))</f>
        <v/>
      </c>
      <c r="H369" s="9" t="n"/>
      <c r="I369" s="11" t="n"/>
      <c r="J369" s="12">
        <f>IF($I369="","",IF($I369&gt;31,$I369,IF($G369="","",IF(DATE(YEAR($G369),MONTH($G369),$I369)&gt;=$G369,DATE(YEAR($G369),MONTH($G369),$I369),DATE(YEAR($G369),MONTH($G369)+1,$I369)))))</f>
        <v/>
      </c>
      <c r="K369" s="9" t="n"/>
      <c r="L369" s="13" t="n"/>
      <c r="M369" s="13" t="n"/>
      <c r="N369" s="13" t="n"/>
      <c r="O369" s="8">
        <f>IF(OR($G369="",$J369=""),"",$J369-$G369+1)</f>
        <v/>
      </c>
      <c r="P369" s="8">
        <f>IF(OR($G369="",$J369=""),"",$J369-$G369)</f>
        <v/>
      </c>
      <c r="Q369" s="9" t="n"/>
      <c r="R369" s="9" t="n"/>
      <c r="S369" s="9" t="n"/>
      <c r="T369" s="9" t="n"/>
      <c r="U369" s="9" t="n"/>
      <c r="V369" s="9" t="n"/>
      <c r="W369" s="14" t="n"/>
      <c r="X369" s="9" t="n"/>
      <c r="Y369" s="8">
        <f>IF($G369="","",IF($D369="","⚠部屋が未選択",IF(COUNTIF('M_部屋'!$A$4:$A$20,$D369)=0,"⚠部屋が未登録",IF(OR($J369="",$Q369="キャンセル"),"",IF(SUMPRODUCT(($D$5:$D$404=$D369)*($G$5:$G$404&lt;&gt;"")*($J$5:$J$404&lt;&gt;"")*($Q$5:$Q$404&lt;&gt;"キャンセル")*($G$5:$G$404&lt;$J369)*($J$5:$J$404&gt;$G369))&gt;1,"⚠重複","")))))</f>
        <v/>
      </c>
      <c r="Z369" s="8">
        <f>IF(OR($B369="",$G369=""),"",IF(SUMPRODUCT(('利用者マスタ'!$A$4:$A$60=$B369)*('利用者マスタ'!$B$4:$B$60&lt;&gt;""))=0,"",IF(SUMIFS($AA$5:$AA$404,$B$5:$B$404,$B369,$G$5:$G$404,"&gt;="&amp;DATE(YEAR($G369),MONTH($G369),1),$G$5:$G$404,"&lt;="&amp;EOMONTH($G369,0))&gt;SUMIFS('利用者マスタ'!$B$4:$B$60,'利用者マスタ'!$A$4:$A$60,$B369),"⚠支給量超過","")))</f>
        <v/>
      </c>
      <c r="AA369" s="8">
        <f>IF(OR($G369="",$J369="",$Q369="キャンセル"),0,IF(IFERROR(INDEX('M_区分'!$B$4:$B$20,MATCH($C369,'M_区分'!$A$4:$A$20,0)),"○")="○",$J369-$G369+1,0))</f>
        <v/>
      </c>
      <c r="AB369" s="8">
        <f>IF($E369&lt;&gt;"",$E369,$AB368)</f>
        <v/>
      </c>
      <c r="AC369" s="8">
        <f>IF(OR($G369="",$J369=""),"",IF(AND($G369&lt;=EOMONTH('02_カレンダー'!$B$4,0),$J369&gt;='02_カレンダー'!$B$4),$G369*10000+ROW(),""))</f>
        <v/>
      </c>
      <c r="AD369" s="8">
        <f>IF($H369="","",IF(ISNUMBER($H369),IF(AND($H369=INT($H369),$H369&gt;=0,$H369&lt;=24),TEXT(INT($H369),"00")&amp;":00",TEXT($H369,"hh:mm")),$H369))</f>
        <v/>
      </c>
      <c r="AE369" s="8">
        <f>IF($K369="","",IF(ISNUMBER($K369),IF(AND($K369=INT($K369),$K369&gt;=0,$K369&lt;=24),TEXT(INT($K369),"00")&amp;":00",TEXT($K369,"hh:mm")),$K369))</f>
        <v/>
      </c>
      <c r="AF369" s="8">
        <f>IF($G369="",0,$G369)</f>
        <v/>
      </c>
      <c r="AG369" s="8">
        <f>IF($J369="",0,$J369)</f>
        <v/>
      </c>
    </row>
    <row r="370">
      <c r="A370" s="8">
        <f>IF($G370="","","SS-"&amp;TEXT(ROW()-4,"0000"))</f>
        <v/>
      </c>
      <c r="B370" s="9" t="n"/>
      <c r="C370" s="9" t="n"/>
      <c r="D370" s="9" t="n"/>
      <c r="E370" s="10" t="n"/>
      <c r="F370" s="11" t="n"/>
      <c r="G370" s="12">
        <f>IF($F370="","",IF($F370&gt;31,$F370,IF($AB370="","",DATE(YEAR($AB370),MONTH($AB370),$F370))))</f>
        <v/>
      </c>
      <c r="H370" s="9" t="n"/>
      <c r="I370" s="11" t="n"/>
      <c r="J370" s="12">
        <f>IF($I370="","",IF($I370&gt;31,$I370,IF($G370="","",IF(DATE(YEAR($G370),MONTH($G370),$I370)&gt;=$G370,DATE(YEAR($G370),MONTH($G370),$I370),DATE(YEAR($G370),MONTH($G370)+1,$I370)))))</f>
        <v/>
      </c>
      <c r="K370" s="9" t="n"/>
      <c r="L370" s="13" t="n"/>
      <c r="M370" s="13" t="n"/>
      <c r="N370" s="13" t="n"/>
      <c r="O370" s="8">
        <f>IF(OR($G370="",$J370=""),"",$J370-$G370+1)</f>
        <v/>
      </c>
      <c r="P370" s="8">
        <f>IF(OR($G370="",$J370=""),"",$J370-$G370)</f>
        <v/>
      </c>
      <c r="Q370" s="9" t="n"/>
      <c r="R370" s="9" t="n"/>
      <c r="S370" s="9" t="n"/>
      <c r="T370" s="9" t="n"/>
      <c r="U370" s="9" t="n"/>
      <c r="V370" s="9" t="n"/>
      <c r="W370" s="14" t="n"/>
      <c r="X370" s="9" t="n"/>
      <c r="Y370" s="8">
        <f>IF($G370="","",IF($D370="","⚠部屋が未選択",IF(COUNTIF('M_部屋'!$A$4:$A$20,$D370)=0,"⚠部屋が未登録",IF(OR($J370="",$Q370="キャンセル"),"",IF(SUMPRODUCT(($D$5:$D$404=$D370)*($G$5:$G$404&lt;&gt;"")*($J$5:$J$404&lt;&gt;"")*($Q$5:$Q$404&lt;&gt;"キャンセル")*($G$5:$G$404&lt;$J370)*($J$5:$J$404&gt;$G370))&gt;1,"⚠重複","")))))</f>
        <v/>
      </c>
      <c r="Z370" s="8">
        <f>IF(OR($B370="",$G370=""),"",IF(SUMPRODUCT(('利用者マスタ'!$A$4:$A$60=$B370)*('利用者マスタ'!$B$4:$B$60&lt;&gt;""))=0,"",IF(SUMIFS($AA$5:$AA$404,$B$5:$B$404,$B370,$G$5:$G$404,"&gt;="&amp;DATE(YEAR($G370),MONTH($G370),1),$G$5:$G$404,"&lt;="&amp;EOMONTH($G370,0))&gt;SUMIFS('利用者マスタ'!$B$4:$B$60,'利用者マスタ'!$A$4:$A$60,$B370),"⚠支給量超過","")))</f>
        <v/>
      </c>
      <c r="AA370" s="8">
        <f>IF(OR($G370="",$J370="",$Q370="キャンセル"),0,IF(IFERROR(INDEX('M_区分'!$B$4:$B$20,MATCH($C370,'M_区分'!$A$4:$A$20,0)),"○")="○",$J370-$G370+1,0))</f>
        <v/>
      </c>
      <c r="AB370" s="8">
        <f>IF($E370&lt;&gt;"",$E370,$AB369)</f>
        <v/>
      </c>
      <c r="AC370" s="8">
        <f>IF(OR($G370="",$J370=""),"",IF(AND($G370&lt;=EOMONTH('02_カレンダー'!$B$4,0),$J370&gt;='02_カレンダー'!$B$4),$G370*10000+ROW(),""))</f>
        <v/>
      </c>
      <c r="AD370" s="8">
        <f>IF($H370="","",IF(ISNUMBER($H370),IF(AND($H370=INT($H370),$H370&gt;=0,$H370&lt;=24),TEXT(INT($H370),"00")&amp;":00",TEXT($H370,"hh:mm")),$H370))</f>
        <v/>
      </c>
      <c r="AE370" s="8">
        <f>IF($K370="","",IF(ISNUMBER($K370),IF(AND($K370=INT($K370),$K370&gt;=0,$K370&lt;=24),TEXT(INT($K370),"00")&amp;":00",TEXT($K370,"hh:mm")),$K370))</f>
        <v/>
      </c>
      <c r="AF370" s="8">
        <f>IF($G370="",0,$G370)</f>
        <v/>
      </c>
      <c r="AG370" s="8">
        <f>IF($J370="",0,$J370)</f>
        <v/>
      </c>
    </row>
    <row r="371">
      <c r="A371" s="8">
        <f>IF($G371="","","SS-"&amp;TEXT(ROW()-4,"0000"))</f>
        <v/>
      </c>
      <c r="B371" s="9" t="n"/>
      <c r="C371" s="9" t="n"/>
      <c r="D371" s="9" t="n"/>
      <c r="E371" s="10" t="n"/>
      <c r="F371" s="11" t="n"/>
      <c r="G371" s="12">
        <f>IF($F371="","",IF($F371&gt;31,$F371,IF($AB371="","",DATE(YEAR($AB371),MONTH($AB371),$F371))))</f>
        <v/>
      </c>
      <c r="H371" s="9" t="n"/>
      <c r="I371" s="11" t="n"/>
      <c r="J371" s="12">
        <f>IF($I371="","",IF($I371&gt;31,$I371,IF($G371="","",IF(DATE(YEAR($G371),MONTH($G371),$I371)&gt;=$G371,DATE(YEAR($G371),MONTH($G371),$I371),DATE(YEAR($G371),MONTH($G371)+1,$I371)))))</f>
        <v/>
      </c>
      <c r="K371" s="9" t="n"/>
      <c r="L371" s="13" t="n"/>
      <c r="M371" s="13" t="n"/>
      <c r="N371" s="13" t="n"/>
      <c r="O371" s="8">
        <f>IF(OR($G371="",$J371=""),"",$J371-$G371+1)</f>
        <v/>
      </c>
      <c r="P371" s="8">
        <f>IF(OR($G371="",$J371=""),"",$J371-$G371)</f>
        <v/>
      </c>
      <c r="Q371" s="9" t="n"/>
      <c r="R371" s="9" t="n"/>
      <c r="S371" s="9" t="n"/>
      <c r="T371" s="9" t="n"/>
      <c r="U371" s="9" t="n"/>
      <c r="V371" s="9" t="n"/>
      <c r="W371" s="14" t="n"/>
      <c r="X371" s="9" t="n"/>
      <c r="Y371" s="8">
        <f>IF($G371="","",IF($D371="","⚠部屋が未選択",IF(COUNTIF('M_部屋'!$A$4:$A$20,$D371)=0,"⚠部屋が未登録",IF(OR($J371="",$Q371="キャンセル"),"",IF(SUMPRODUCT(($D$5:$D$404=$D371)*($G$5:$G$404&lt;&gt;"")*($J$5:$J$404&lt;&gt;"")*($Q$5:$Q$404&lt;&gt;"キャンセル")*($G$5:$G$404&lt;$J371)*($J$5:$J$404&gt;$G371))&gt;1,"⚠重複","")))))</f>
        <v/>
      </c>
      <c r="Z371" s="8">
        <f>IF(OR($B371="",$G371=""),"",IF(SUMPRODUCT(('利用者マスタ'!$A$4:$A$60=$B371)*('利用者マスタ'!$B$4:$B$60&lt;&gt;""))=0,"",IF(SUMIFS($AA$5:$AA$404,$B$5:$B$404,$B371,$G$5:$G$404,"&gt;="&amp;DATE(YEAR($G371),MONTH($G371),1),$G$5:$G$404,"&lt;="&amp;EOMONTH($G371,0))&gt;SUMIFS('利用者マスタ'!$B$4:$B$60,'利用者マスタ'!$A$4:$A$60,$B371),"⚠支給量超過","")))</f>
        <v/>
      </c>
      <c r="AA371" s="8">
        <f>IF(OR($G371="",$J371="",$Q371="キャンセル"),0,IF(IFERROR(INDEX('M_区分'!$B$4:$B$20,MATCH($C371,'M_区分'!$A$4:$A$20,0)),"○")="○",$J371-$G371+1,0))</f>
        <v/>
      </c>
      <c r="AB371" s="8">
        <f>IF($E371&lt;&gt;"",$E371,$AB370)</f>
        <v/>
      </c>
      <c r="AC371" s="8">
        <f>IF(OR($G371="",$J371=""),"",IF(AND($G371&lt;=EOMONTH('02_カレンダー'!$B$4,0),$J371&gt;='02_カレンダー'!$B$4),$G371*10000+ROW(),""))</f>
        <v/>
      </c>
      <c r="AD371" s="8">
        <f>IF($H371="","",IF(ISNUMBER($H371),IF(AND($H371=INT($H371),$H371&gt;=0,$H371&lt;=24),TEXT(INT($H371),"00")&amp;":00",TEXT($H371,"hh:mm")),$H371))</f>
        <v/>
      </c>
      <c r="AE371" s="8">
        <f>IF($K371="","",IF(ISNUMBER($K371),IF(AND($K371=INT($K371),$K371&gt;=0,$K371&lt;=24),TEXT(INT($K371),"00")&amp;":00",TEXT($K371,"hh:mm")),$K371))</f>
        <v/>
      </c>
      <c r="AF371" s="8">
        <f>IF($G371="",0,$G371)</f>
        <v/>
      </c>
      <c r="AG371" s="8">
        <f>IF($J371="",0,$J371)</f>
        <v/>
      </c>
    </row>
    <row r="372">
      <c r="A372" s="8">
        <f>IF($G372="","","SS-"&amp;TEXT(ROW()-4,"0000"))</f>
        <v/>
      </c>
      <c r="B372" s="9" t="n"/>
      <c r="C372" s="9" t="n"/>
      <c r="D372" s="9" t="n"/>
      <c r="E372" s="10" t="n"/>
      <c r="F372" s="11" t="n"/>
      <c r="G372" s="12">
        <f>IF($F372="","",IF($F372&gt;31,$F372,IF($AB372="","",DATE(YEAR($AB372),MONTH($AB372),$F372))))</f>
        <v/>
      </c>
      <c r="H372" s="9" t="n"/>
      <c r="I372" s="11" t="n"/>
      <c r="J372" s="12">
        <f>IF($I372="","",IF($I372&gt;31,$I372,IF($G372="","",IF(DATE(YEAR($G372),MONTH($G372),$I372)&gt;=$G372,DATE(YEAR($G372),MONTH($G372),$I372),DATE(YEAR($G372),MONTH($G372)+1,$I372)))))</f>
        <v/>
      </c>
      <c r="K372" s="9" t="n"/>
      <c r="L372" s="13" t="n"/>
      <c r="M372" s="13" t="n"/>
      <c r="N372" s="13" t="n"/>
      <c r="O372" s="8">
        <f>IF(OR($G372="",$J372=""),"",$J372-$G372+1)</f>
        <v/>
      </c>
      <c r="P372" s="8">
        <f>IF(OR($G372="",$J372=""),"",$J372-$G372)</f>
        <v/>
      </c>
      <c r="Q372" s="9" t="n"/>
      <c r="R372" s="9" t="n"/>
      <c r="S372" s="9" t="n"/>
      <c r="T372" s="9" t="n"/>
      <c r="U372" s="9" t="n"/>
      <c r="V372" s="9" t="n"/>
      <c r="W372" s="14" t="n"/>
      <c r="X372" s="9" t="n"/>
      <c r="Y372" s="8">
        <f>IF($G372="","",IF($D372="","⚠部屋が未選択",IF(COUNTIF('M_部屋'!$A$4:$A$20,$D372)=0,"⚠部屋が未登録",IF(OR($J372="",$Q372="キャンセル"),"",IF(SUMPRODUCT(($D$5:$D$404=$D372)*($G$5:$G$404&lt;&gt;"")*($J$5:$J$404&lt;&gt;"")*($Q$5:$Q$404&lt;&gt;"キャンセル")*($G$5:$G$404&lt;$J372)*($J$5:$J$404&gt;$G372))&gt;1,"⚠重複","")))))</f>
        <v/>
      </c>
      <c r="Z372" s="8">
        <f>IF(OR($B372="",$G372=""),"",IF(SUMPRODUCT(('利用者マスタ'!$A$4:$A$60=$B372)*('利用者マスタ'!$B$4:$B$60&lt;&gt;""))=0,"",IF(SUMIFS($AA$5:$AA$404,$B$5:$B$404,$B372,$G$5:$G$404,"&gt;="&amp;DATE(YEAR($G372),MONTH($G372),1),$G$5:$G$404,"&lt;="&amp;EOMONTH($G372,0))&gt;SUMIFS('利用者マスタ'!$B$4:$B$60,'利用者マスタ'!$A$4:$A$60,$B372),"⚠支給量超過","")))</f>
        <v/>
      </c>
      <c r="AA372" s="8">
        <f>IF(OR($G372="",$J372="",$Q372="キャンセル"),0,IF(IFERROR(INDEX('M_区分'!$B$4:$B$20,MATCH($C372,'M_区分'!$A$4:$A$20,0)),"○")="○",$J372-$G372+1,0))</f>
        <v/>
      </c>
      <c r="AB372" s="8">
        <f>IF($E372&lt;&gt;"",$E372,$AB371)</f>
        <v/>
      </c>
      <c r="AC372" s="8">
        <f>IF(OR($G372="",$J372=""),"",IF(AND($G372&lt;=EOMONTH('02_カレンダー'!$B$4,0),$J372&gt;='02_カレンダー'!$B$4),$G372*10000+ROW(),""))</f>
        <v/>
      </c>
      <c r="AD372" s="8">
        <f>IF($H372="","",IF(ISNUMBER($H372),IF(AND($H372=INT($H372),$H372&gt;=0,$H372&lt;=24),TEXT(INT($H372),"00")&amp;":00",TEXT($H372,"hh:mm")),$H372))</f>
        <v/>
      </c>
      <c r="AE372" s="8">
        <f>IF($K372="","",IF(ISNUMBER($K372),IF(AND($K372=INT($K372),$K372&gt;=0,$K372&lt;=24),TEXT(INT($K372),"00")&amp;":00",TEXT($K372,"hh:mm")),$K372))</f>
        <v/>
      </c>
      <c r="AF372" s="8">
        <f>IF($G372="",0,$G372)</f>
        <v/>
      </c>
      <c r="AG372" s="8">
        <f>IF($J372="",0,$J372)</f>
        <v/>
      </c>
    </row>
    <row r="373">
      <c r="A373" s="8">
        <f>IF($G373="","","SS-"&amp;TEXT(ROW()-4,"0000"))</f>
        <v/>
      </c>
      <c r="B373" s="9" t="n"/>
      <c r="C373" s="9" t="n"/>
      <c r="D373" s="9" t="n"/>
      <c r="E373" s="10" t="n"/>
      <c r="F373" s="11" t="n"/>
      <c r="G373" s="12">
        <f>IF($F373="","",IF($F373&gt;31,$F373,IF($AB373="","",DATE(YEAR($AB373),MONTH($AB373),$F373))))</f>
        <v/>
      </c>
      <c r="H373" s="9" t="n"/>
      <c r="I373" s="11" t="n"/>
      <c r="J373" s="12">
        <f>IF($I373="","",IF($I373&gt;31,$I373,IF($G373="","",IF(DATE(YEAR($G373),MONTH($G373),$I373)&gt;=$G373,DATE(YEAR($G373),MONTH($G373),$I373),DATE(YEAR($G373),MONTH($G373)+1,$I373)))))</f>
        <v/>
      </c>
      <c r="K373" s="9" t="n"/>
      <c r="L373" s="13" t="n"/>
      <c r="M373" s="13" t="n"/>
      <c r="N373" s="13" t="n"/>
      <c r="O373" s="8">
        <f>IF(OR($G373="",$J373=""),"",$J373-$G373+1)</f>
        <v/>
      </c>
      <c r="P373" s="8">
        <f>IF(OR($G373="",$J373=""),"",$J373-$G373)</f>
        <v/>
      </c>
      <c r="Q373" s="9" t="n"/>
      <c r="R373" s="9" t="n"/>
      <c r="S373" s="9" t="n"/>
      <c r="T373" s="9" t="n"/>
      <c r="U373" s="9" t="n"/>
      <c r="V373" s="9" t="n"/>
      <c r="W373" s="14" t="n"/>
      <c r="X373" s="9" t="n"/>
      <c r="Y373" s="8">
        <f>IF($G373="","",IF($D373="","⚠部屋が未選択",IF(COUNTIF('M_部屋'!$A$4:$A$20,$D373)=0,"⚠部屋が未登録",IF(OR($J373="",$Q373="キャンセル"),"",IF(SUMPRODUCT(($D$5:$D$404=$D373)*($G$5:$G$404&lt;&gt;"")*($J$5:$J$404&lt;&gt;"")*($Q$5:$Q$404&lt;&gt;"キャンセル")*($G$5:$G$404&lt;$J373)*($J$5:$J$404&gt;$G373))&gt;1,"⚠重複","")))))</f>
        <v/>
      </c>
      <c r="Z373" s="8">
        <f>IF(OR($B373="",$G373=""),"",IF(SUMPRODUCT(('利用者マスタ'!$A$4:$A$60=$B373)*('利用者マスタ'!$B$4:$B$60&lt;&gt;""))=0,"",IF(SUMIFS($AA$5:$AA$404,$B$5:$B$404,$B373,$G$5:$G$404,"&gt;="&amp;DATE(YEAR($G373),MONTH($G373),1),$G$5:$G$404,"&lt;="&amp;EOMONTH($G373,0))&gt;SUMIFS('利用者マスタ'!$B$4:$B$60,'利用者マスタ'!$A$4:$A$60,$B373),"⚠支給量超過","")))</f>
        <v/>
      </c>
      <c r="AA373" s="8">
        <f>IF(OR($G373="",$J373="",$Q373="キャンセル"),0,IF(IFERROR(INDEX('M_区分'!$B$4:$B$20,MATCH($C373,'M_区分'!$A$4:$A$20,0)),"○")="○",$J373-$G373+1,0))</f>
        <v/>
      </c>
      <c r="AB373" s="8">
        <f>IF($E373&lt;&gt;"",$E373,$AB372)</f>
        <v/>
      </c>
      <c r="AC373" s="8">
        <f>IF(OR($G373="",$J373=""),"",IF(AND($G373&lt;=EOMONTH('02_カレンダー'!$B$4,0),$J373&gt;='02_カレンダー'!$B$4),$G373*10000+ROW(),""))</f>
        <v/>
      </c>
      <c r="AD373" s="8">
        <f>IF($H373="","",IF(ISNUMBER($H373),IF(AND($H373=INT($H373),$H373&gt;=0,$H373&lt;=24),TEXT(INT($H373),"00")&amp;":00",TEXT($H373,"hh:mm")),$H373))</f>
        <v/>
      </c>
      <c r="AE373" s="8">
        <f>IF($K373="","",IF(ISNUMBER($K373),IF(AND($K373=INT($K373),$K373&gt;=0,$K373&lt;=24),TEXT(INT($K373),"00")&amp;":00",TEXT($K373,"hh:mm")),$K373))</f>
        <v/>
      </c>
      <c r="AF373" s="8">
        <f>IF($G373="",0,$G373)</f>
        <v/>
      </c>
      <c r="AG373" s="8">
        <f>IF($J373="",0,$J373)</f>
        <v/>
      </c>
    </row>
    <row r="374">
      <c r="A374" s="8">
        <f>IF($G374="","","SS-"&amp;TEXT(ROW()-4,"0000"))</f>
        <v/>
      </c>
      <c r="B374" s="9" t="n"/>
      <c r="C374" s="9" t="n"/>
      <c r="D374" s="9" t="n"/>
      <c r="E374" s="10" t="n"/>
      <c r="F374" s="11" t="n"/>
      <c r="G374" s="12">
        <f>IF($F374="","",IF($F374&gt;31,$F374,IF($AB374="","",DATE(YEAR($AB374),MONTH($AB374),$F374))))</f>
        <v/>
      </c>
      <c r="H374" s="9" t="n"/>
      <c r="I374" s="11" t="n"/>
      <c r="J374" s="12">
        <f>IF($I374="","",IF($I374&gt;31,$I374,IF($G374="","",IF(DATE(YEAR($G374),MONTH($G374),$I374)&gt;=$G374,DATE(YEAR($G374),MONTH($G374),$I374),DATE(YEAR($G374),MONTH($G374)+1,$I374)))))</f>
        <v/>
      </c>
      <c r="K374" s="9" t="n"/>
      <c r="L374" s="13" t="n"/>
      <c r="M374" s="13" t="n"/>
      <c r="N374" s="13" t="n"/>
      <c r="O374" s="8">
        <f>IF(OR($G374="",$J374=""),"",$J374-$G374+1)</f>
        <v/>
      </c>
      <c r="P374" s="8">
        <f>IF(OR($G374="",$J374=""),"",$J374-$G374)</f>
        <v/>
      </c>
      <c r="Q374" s="9" t="n"/>
      <c r="R374" s="9" t="n"/>
      <c r="S374" s="9" t="n"/>
      <c r="T374" s="9" t="n"/>
      <c r="U374" s="9" t="n"/>
      <c r="V374" s="9" t="n"/>
      <c r="W374" s="14" t="n"/>
      <c r="X374" s="9" t="n"/>
      <c r="Y374" s="8">
        <f>IF($G374="","",IF($D374="","⚠部屋が未選択",IF(COUNTIF('M_部屋'!$A$4:$A$20,$D374)=0,"⚠部屋が未登録",IF(OR($J374="",$Q374="キャンセル"),"",IF(SUMPRODUCT(($D$5:$D$404=$D374)*($G$5:$G$404&lt;&gt;"")*($J$5:$J$404&lt;&gt;"")*($Q$5:$Q$404&lt;&gt;"キャンセル")*($G$5:$G$404&lt;$J374)*($J$5:$J$404&gt;$G374))&gt;1,"⚠重複","")))))</f>
        <v/>
      </c>
      <c r="Z374" s="8">
        <f>IF(OR($B374="",$G374=""),"",IF(SUMPRODUCT(('利用者マスタ'!$A$4:$A$60=$B374)*('利用者マスタ'!$B$4:$B$60&lt;&gt;""))=0,"",IF(SUMIFS($AA$5:$AA$404,$B$5:$B$404,$B374,$G$5:$G$404,"&gt;="&amp;DATE(YEAR($G374),MONTH($G374),1),$G$5:$G$404,"&lt;="&amp;EOMONTH($G374,0))&gt;SUMIFS('利用者マスタ'!$B$4:$B$60,'利用者マスタ'!$A$4:$A$60,$B374),"⚠支給量超過","")))</f>
        <v/>
      </c>
      <c r="AA374" s="8">
        <f>IF(OR($G374="",$J374="",$Q374="キャンセル"),0,IF(IFERROR(INDEX('M_区分'!$B$4:$B$20,MATCH($C374,'M_区分'!$A$4:$A$20,0)),"○")="○",$J374-$G374+1,0))</f>
        <v/>
      </c>
      <c r="AB374" s="8">
        <f>IF($E374&lt;&gt;"",$E374,$AB373)</f>
        <v/>
      </c>
      <c r="AC374" s="8">
        <f>IF(OR($G374="",$J374=""),"",IF(AND($G374&lt;=EOMONTH('02_カレンダー'!$B$4,0),$J374&gt;='02_カレンダー'!$B$4),$G374*10000+ROW(),""))</f>
        <v/>
      </c>
      <c r="AD374" s="8">
        <f>IF($H374="","",IF(ISNUMBER($H374),IF(AND($H374=INT($H374),$H374&gt;=0,$H374&lt;=24),TEXT(INT($H374),"00")&amp;":00",TEXT($H374,"hh:mm")),$H374))</f>
        <v/>
      </c>
      <c r="AE374" s="8">
        <f>IF($K374="","",IF(ISNUMBER($K374),IF(AND($K374=INT($K374),$K374&gt;=0,$K374&lt;=24),TEXT(INT($K374),"00")&amp;":00",TEXT($K374,"hh:mm")),$K374))</f>
        <v/>
      </c>
      <c r="AF374" s="8">
        <f>IF($G374="",0,$G374)</f>
        <v/>
      </c>
      <c r="AG374" s="8">
        <f>IF($J374="",0,$J374)</f>
        <v/>
      </c>
    </row>
    <row r="375">
      <c r="A375" s="8">
        <f>IF($G375="","","SS-"&amp;TEXT(ROW()-4,"0000"))</f>
        <v/>
      </c>
      <c r="B375" s="9" t="n"/>
      <c r="C375" s="9" t="n"/>
      <c r="D375" s="9" t="n"/>
      <c r="E375" s="10" t="n"/>
      <c r="F375" s="11" t="n"/>
      <c r="G375" s="12">
        <f>IF($F375="","",IF($F375&gt;31,$F375,IF($AB375="","",DATE(YEAR($AB375),MONTH($AB375),$F375))))</f>
        <v/>
      </c>
      <c r="H375" s="9" t="n"/>
      <c r="I375" s="11" t="n"/>
      <c r="J375" s="12">
        <f>IF($I375="","",IF($I375&gt;31,$I375,IF($G375="","",IF(DATE(YEAR($G375),MONTH($G375),$I375)&gt;=$G375,DATE(YEAR($G375),MONTH($G375),$I375),DATE(YEAR($G375),MONTH($G375)+1,$I375)))))</f>
        <v/>
      </c>
      <c r="K375" s="9" t="n"/>
      <c r="L375" s="13" t="n"/>
      <c r="M375" s="13" t="n"/>
      <c r="N375" s="13" t="n"/>
      <c r="O375" s="8">
        <f>IF(OR($G375="",$J375=""),"",$J375-$G375+1)</f>
        <v/>
      </c>
      <c r="P375" s="8">
        <f>IF(OR($G375="",$J375=""),"",$J375-$G375)</f>
        <v/>
      </c>
      <c r="Q375" s="9" t="n"/>
      <c r="R375" s="9" t="n"/>
      <c r="S375" s="9" t="n"/>
      <c r="T375" s="9" t="n"/>
      <c r="U375" s="9" t="n"/>
      <c r="V375" s="9" t="n"/>
      <c r="W375" s="14" t="n"/>
      <c r="X375" s="9" t="n"/>
      <c r="Y375" s="8">
        <f>IF($G375="","",IF($D375="","⚠部屋が未選択",IF(COUNTIF('M_部屋'!$A$4:$A$20,$D375)=0,"⚠部屋が未登録",IF(OR($J375="",$Q375="キャンセル"),"",IF(SUMPRODUCT(($D$5:$D$404=$D375)*($G$5:$G$404&lt;&gt;"")*($J$5:$J$404&lt;&gt;"")*($Q$5:$Q$404&lt;&gt;"キャンセル")*($G$5:$G$404&lt;$J375)*($J$5:$J$404&gt;$G375))&gt;1,"⚠重複","")))))</f>
        <v/>
      </c>
      <c r="Z375" s="8">
        <f>IF(OR($B375="",$G375=""),"",IF(SUMPRODUCT(('利用者マスタ'!$A$4:$A$60=$B375)*('利用者マスタ'!$B$4:$B$60&lt;&gt;""))=0,"",IF(SUMIFS($AA$5:$AA$404,$B$5:$B$404,$B375,$G$5:$G$404,"&gt;="&amp;DATE(YEAR($G375),MONTH($G375),1),$G$5:$G$404,"&lt;="&amp;EOMONTH($G375,0))&gt;SUMIFS('利用者マスタ'!$B$4:$B$60,'利用者マスタ'!$A$4:$A$60,$B375),"⚠支給量超過","")))</f>
        <v/>
      </c>
      <c r="AA375" s="8">
        <f>IF(OR($G375="",$J375="",$Q375="キャンセル"),0,IF(IFERROR(INDEX('M_区分'!$B$4:$B$20,MATCH($C375,'M_区分'!$A$4:$A$20,0)),"○")="○",$J375-$G375+1,0))</f>
        <v/>
      </c>
      <c r="AB375" s="8">
        <f>IF($E375&lt;&gt;"",$E375,$AB374)</f>
        <v/>
      </c>
      <c r="AC375" s="8">
        <f>IF(OR($G375="",$J375=""),"",IF(AND($G375&lt;=EOMONTH('02_カレンダー'!$B$4,0),$J375&gt;='02_カレンダー'!$B$4),$G375*10000+ROW(),""))</f>
        <v/>
      </c>
      <c r="AD375" s="8">
        <f>IF($H375="","",IF(ISNUMBER($H375),IF(AND($H375=INT($H375),$H375&gt;=0,$H375&lt;=24),TEXT(INT($H375),"00")&amp;":00",TEXT($H375,"hh:mm")),$H375))</f>
        <v/>
      </c>
      <c r="AE375" s="8">
        <f>IF($K375="","",IF(ISNUMBER($K375),IF(AND($K375=INT($K375),$K375&gt;=0,$K375&lt;=24),TEXT(INT($K375),"00")&amp;":00",TEXT($K375,"hh:mm")),$K375))</f>
        <v/>
      </c>
      <c r="AF375" s="8">
        <f>IF($G375="",0,$G375)</f>
        <v/>
      </c>
      <c r="AG375" s="8">
        <f>IF($J375="",0,$J375)</f>
        <v/>
      </c>
    </row>
    <row r="376">
      <c r="A376" s="8">
        <f>IF($G376="","","SS-"&amp;TEXT(ROW()-4,"0000"))</f>
        <v/>
      </c>
      <c r="B376" s="9" t="n"/>
      <c r="C376" s="9" t="n"/>
      <c r="D376" s="9" t="n"/>
      <c r="E376" s="10" t="n"/>
      <c r="F376" s="11" t="n"/>
      <c r="G376" s="12">
        <f>IF($F376="","",IF($F376&gt;31,$F376,IF($AB376="","",DATE(YEAR($AB376),MONTH($AB376),$F376))))</f>
        <v/>
      </c>
      <c r="H376" s="9" t="n"/>
      <c r="I376" s="11" t="n"/>
      <c r="J376" s="12">
        <f>IF($I376="","",IF($I376&gt;31,$I376,IF($G376="","",IF(DATE(YEAR($G376),MONTH($G376),$I376)&gt;=$G376,DATE(YEAR($G376),MONTH($G376),$I376),DATE(YEAR($G376),MONTH($G376)+1,$I376)))))</f>
        <v/>
      </c>
      <c r="K376" s="9" t="n"/>
      <c r="L376" s="13" t="n"/>
      <c r="M376" s="13" t="n"/>
      <c r="N376" s="13" t="n"/>
      <c r="O376" s="8">
        <f>IF(OR($G376="",$J376=""),"",$J376-$G376+1)</f>
        <v/>
      </c>
      <c r="P376" s="8">
        <f>IF(OR($G376="",$J376=""),"",$J376-$G376)</f>
        <v/>
      </c>
      <c r="Q376" s="9" t="n"/>
      <c r="R376" s="9" t="n"/>
      <c r="S376" s="9" t="n"/>
      <c r="T376" s="9" t="n"/>
      <c r="U376" s="9" t="n"/>
      <c r="V376" s="9" t="n"/>
      <c r="W376" s="14" t="n"/>
      <c r="X376" s="9" t="n"/>
      <c r="Y376" s="8">
        <f>IF($G376="","",IF($D376="","⚠部屋が未選択",IF(COUNTIF('M_部屋'!$A$4:$A$20,$D376)=0,"⚠部屋が未登録",IF(OR($J376="",$Q376="キャンセル"),"",IF(SUMPRODUCT(($D$5:$D$404=$D376)*($G$5:$G$404&lt;&gt;"")*($J$5:$J$404&lt;&gt;"")*($Q$5:$Q$404&lt;&gt;"キャンセル")*($G$5:$G$404&lt;$J376)*($J$5:$J$404&gt;$G376))&gt;1,"⚠重複","")))))</f>
        <v/>
      </c>
      <c r="Z376" s="8">
        <f>IF(OR($B376="",$G376=""),"",IF(SUMPRODUCT(('利用者マスタ'!$A$4:$A$60=$B376)*('利用者マスタ'!$B$4:$B$60&lt;&gt;""))=0,"",IF(SUMIFS($AA$5:$AA$404,$B$5:$B$404,$B376,$G$5:$G$404,"&gt;="&amp;DATE(YEAR($G376),MONTH($G376),1),$G$5:$G$404,"&lt;="&amp;EOMONTH($G376,0))&gt;SUMIFS('利用者マスタ'!$B$4:$B$60,'利用者マスタ'!$A$4:$A$60,$B376),"⚠支給量超過","")))</f>
        <v/>
      </c>
      <c r="AA376" s="8">
        <f>IF(OR($G376="",$J376="",$Q376="キャンセル"),0,IF(IFERROR(INDEX('M_区分'!$B$4:$B$20,MATCH($C376,'M_区分'!$A$4:$A$20,0)),"○")="○",$J376-$G376+1,0))</f>
        <v/>
      </c>
      <c r="AB376" s="8">
        <f>IF($E376&lt;&gt;"",$E376,$AB375)</f>
        <v/>
      </c>
      <c r="AC376" s="8">
        <f>IF(OR($G376="",$J376=""),"",IF(AND($G376&lt;=EOMONTH('02_カレンダー'!$B$4,0),$J376&gt;='02_カレンダー'!$B$4),$G376*10000+ROW(),""))</f>
        <v/>
      </c>
      <c r="AD376" s="8">
        <f>IF($H376="","",IF(ISNUMBER($H376),IF(AND($H376=INT($H376),$H376&gt;=0,$H376&lt;=24),TEXT(INT($H376),"00")&amp;":00",TEXT($H376,"hh:mm")),$H376))</f>
        <v/>
      </c>
      <c r="AE376" s="8">
        <f>IF($K376="","",IF(ISNUMBER($K376),IF(AND($K376=INT($K376),$K376&gt;=0,$K376&lt;=24),TEXT(INT($K376),"00")&amp;":00",TEXT($K376,"hh:mm")),$K376))</f>
        <v/>
      </c>
      <c r="AF376" s="8">
        <f>IF($G376="",0,$G376)</f>
        <v/>
      </c>
      <c r="AG376" s="8">
        <f>IF($J376="",0,$J376)</f>
        <v/>
      </c>
    </row>
    <row r="377">
      <c r="A377" s="8">
        <f>IF($G377="","","SS-"&amp;TEXT(ROW()-4,"0000"))</f>
        <v/>
      </c>
      <c r="B377" s="9" t="n"/>
      <c r="C377" s="9" t="n"/>
      <c r="D377" s="9" t="n"/>
      <c r="E377" s="10" t="n"/>
      <c r="F377" s="11" t="n"/>
      <c r="G377" s="12">
        <f>IF($F377="","",IF($F377&gt;31,$F377,IF($AB377="","",DATE(YEAR($AB377),MONTH($AB377),$F377))))</f>
        <v/>
      </c>
      <c r="H377" s="9" t="n"/>
      <c r="I377" s="11" t="n"/>
      <c r="J377" s="12">
        <f>IF($I377="","",IF($I377&gt;31,$I377,IF($G377="","",IF(DATE(YEAR($G377),MONTH($G377),$I377)&gt;=$G377,DATE(YEAR($G377),MONTH($G377),$I377),DATE(YEAR($G377),MONTH($G377)+1,$I377)))))</f>
        <v/>
      </c>
      <c r="K377" s="9" t="n"/>
      <c r="L377" s="13" t="n"/>
      <c r="M377" s="13" t="n"/>
      <c r="N377" s="13" t="n"/>
      <c r="O377" s="8">
        <f>IF(OR($G377="",$J377=""),"",$J377-$G377+1)</f>
        <v/>
      </c>
      <c r="P377" s="8">
        <f>IF(OR($G377="",$J377=""),"",$J377-$G377)</f>
        <v/>
      </c>
      <c r="Q377" s="9" t="n"/>
      <c r="R377" s="9" t="n"/>
      <c r="S377" s="9" t="n"/>
      <c r="T377" s="9" t="n"/>
      <c r="U377" s="9" t="n"/>
      <c r="V377" s="9" t="n"/>
      <c r="W377" s="14" t="n"/>
      <c r="X377" s="9" t="n"/>
      <c r="Y377" s="8">
        <f>IF($G377="","",IF($D377="","⚠部屋が未選択",IF(COUNTIF('M_部屋'!$A$4:$A$20,$D377)=0,"⚠部屋が未登録",IF(OR($J377="",$Q377="キャンセル"),"",IF(SUMPRODUCT(($D$5:$D$404=$D377)*($G$5:$G$404&lt;&gt;"")*($J$5:$J$404&lt;&gt;"")*($Q$5:$Q$404&lt;&gt;"キャンセル")*($G$5:$G$404&lt;$J377)*($J$5:$J$404&gt;$G377))&gt;1,"⚠重複","")))))</f>
        <v/>
      </c>
      <c r="Z377" s="8">
        <f>IF(OR($B377="",$G377=""),"",IF(SUMPRODUCT(('利用者マスタ'!$A$4:$A$60=$B377)*('利用者マスタ'!$B$4:$B$60&lt;&gt;""))=0,"",IF(SUMIFS($AA$5:$AA$404,$B$5:$B$404,$B377,$G$5:$G$404,"&gt;="&amp;DATE(YEAR($G377),MONTH($G377),1),$G$5:$G$404,"&lt;="&amp;EOMONTH($G377,0))&gt;SUMIFS('利用者マスタ'!$B$4:$B$60,'利用者マスタ'!$A$4:$A$60,$B377),"⚠支給量超過","")))</f>
        <v/>
      </c>
      <c r="AA377" s="8">
        <f>IF(OR($G377="",$J377="",$Q377="キャンセル"),0,IF(IFERROR(INDEX('M_区分'!$B$4:$B$20,MATCH($C377,'M_区分'!$A$4:$A$20,0)),"○")="○",$J377-$G377+1,0))</f>
        <v/>
      </c>
      <c r="AB377" s="8">
        <f>IF($E377&lt;&gt;"",$E377,$AB376)</f>
        <v/>
      </c>
      <c r="AC377" s="8">
        <f>IF(OR($G377="",$J377=""),"",IF(AND($G377&lt;=EOMONTH('02_カレンダー'!$B$4,0),$J377&gt;='02_カレンダー'!$B$4),$G377*10000+ROW(),""))</f>
        <v/>
      </c>
      <c r="AD377" s="8">
        <f>IF($H377="","",IF(ISNUMBER($H377),IF(AND($H377=INT($H377),$H377&gt;=0,$H377&lt;=24),TEXT(INT($H377),"00")&amp;":00",TEXT($H377,"hh:mm")),$H377))</f>
        <v/>
      </c>
      <c r="AE377" s="8">
        <f>IF($K377="","",IF(ISNUMBER($K377),IF(AND($K377=INT($K377),$K377&gt;=0,$K377&lt;=24),TEXT(INT($K377),"00")&amp;":00",TEXT($K377,"hh:mm")),$K377))</f>
        <v/>
      </c>
      <c r="AF377" s="8">
        <f>IF($G377="",0,$G377)</f>
        <v/>
      </c>
      <c r="AG377" s="8">
        <f>IF($J377="",0,$J377)</f>
        <v/>
      </c>
    </row>
    <row r="378">
      <c r="A378" s="8">
        <f>IF($G378="","","SS-"&amp;TEXT(ROW()-4,"0000"))</f>
        <v/>
      </c>
      <c r="B378" s="9" t="n"/>
      <c r="C378" s="9" t="n"/>
      <c r="D378" s="9" t="n"/>
      <c r="E378" s="10" t="n"/>
      <c r="F378" s="11" t="n"/>
      <c r="G378" s="12">
        <f>IF($F378="","",IF($F378&gt;31,$F378,IF($AB378="","",DATE(YEAR($AB378),MONTH($AB378),$F378))))</f>
        <v/>
      </c>
      <c r="H378" s="9" t="n"/>
      <c r="I378" s="11" t="n"/>
      <c r="J378" s="12">
        <f>IF($I378="","",IF($I378&gt;31,$I378,IF($G378="","",IF(DATE(YEAR($G378),MONTH($G378),$I378)&gt;=$G378,DATE(YEAR($G378),MONTH($G378),$I378),DATE(YEAR($G378),MONTH($G378)+1,$I378)))))</f>
        <v/>
      </c>
      <c r="K378" s="9" t="n"/>
      <c r="L378" s="13" t="n"/>
      <c r="M378" s="13" t="n"/>
      <c r="N378" s="13" t="n"/>
      <c r="O378" s="8">
        <f>IF(OR($G378="",$J378=""),"",$J378-$G378+1)</f>
        <v/>
      </c>
      <c r="P378" s="8">
        <f>IF(OR($G378="",$J378=""),"",$J378-$G378)</f>
        <v/>
      </c>
      <c r="Q378" s="9" t="n"/>
      <c r="R378" s="9" t="n"/>
      <c r="S378" s="9" t="n"/>
      <c r="T378" s="9" t="n"/>
      <c r="U378" s="9" t="n"/>
      <c r="V378" s="9" t="n"/>
      <c r="W378" s="14" t="n"/>
      <c r="X378" s="9" t="n"/>
      <c r="Y378" s="8">
        <f>IF($G378="","",IF($D378="","⚠部屋が未選択",IF(COUNTIF('M_部屋'!$A$4:$A$20,$D378)=0,"⚠部屋が未登録",IF(OR($J378="",$Q378="キャンセル"),"",IF(SUMPRODUCT(($D$5:$D$404=$D378)*($G$5:$G$404&lt;&gt;"")*($J$5:$J$404&lt;&gt;"")*($Q$5:$Q$404&lt;&gt;"キャンセル")*($G$5:$G$404&lt;$J378)*($J$5:$J$404&gt;$G378))&gt;1,"⚠重複","")))))</f>
        <v/>
      </c>
      <c r="Z378" s="8">
        <f>IF(OR($B378="",$G378=""),"",IF(SUMPRODUCT(('利用者マスタ'!$A$4:$A$60=$B378)*('利用者マスタ'!$B$4:$B$60&lt;&gt;""))=0,"",IF(SUMIFS($AA$5:$AA$404,$B$5:$B$404,$B378,$G$5:$G$404,"&gt;="&amp;DATE(YEAR($G378),MONTH($G378),1),$G$5:$G$404,"&lt;="&amp;EOMONTH($G378,0))&gt;SUMIFS('利用者マスタ'!$B$4:$B$60,'利用者マスタ'!$A$4:$A$60,$B378),"⚠支給量超過","")))</f>
        <v/>
      </c>
      <c r="AA378" s="8">
        <f>IF(OR($G378="",$J378="",$Q378="キャンセル"),0,IF(IFERROR(INDEX('M_区分'!$B$4:$B$20,MATCH($C378,'M_区分'!$A$4:$A$20,0)),"○")="○",$J378-$G378+1,0))</f>
        <v/>
      </c>
      <c r="AB378" s="8">
        <f>IF($E378&lt;&gt;"",$E378,$AB377)</f>
        <v/>
      </c>
      <c r="AC378" s="8">
        <f>IF(OR($G378="",$J378=""),"",IF(AND($G378&lt;=EOMONTH('02_カレンダー'!$B$4,0),$J378&gt;='02_カレンダー'!$B$4),$G378*10000+ROW(),""))</f>
        <v/>
      </c>
      <c r="AD378" s="8">
        <f>IF($H378="","",IF(ISNUMBER($H378),IF(AND($H378=INT($H378),$H378&gt;=0,$H378&lt;=24),TEXT(INT($H378),"00")&amp;":00",TEXT($H378,"hh:mm")),$H378))</f>
        <v/>
      </c>
      <c r="AE378" s="8">
        <f>IF($K378="","",IF(ISNUMBER($K378),IF(AND($K378=INT($K378),$K378&gt;=0,$K378&lt;=24),TEXT(INT($K378),"00")&amp;":00",TEXT($K378,"hh:mm")),$K378))</f>
        <v/>
      </c>
      <c r="AF378" s="8">
        <f>IF($G378="",0,$G378)</f>
        <v/>
      </c>
      <c r="AG378" s="8">
        <f>IF($J378="",0,$J378)</f>
        <v/>
      </c>
    </row>
    <row r="379">
      <c r="A379" s="8">
        <f>IF($G379="","","SS-"&amp;TEXT(ROW()-4,"0000"))</f>
        <v/>
      </c>
      <c r="B379" s="9" t="n"/>
      <c r="C379" s="9" t="n"/>
      <c r="D379" s="9" t="n"/>
      <c r="E379" s="10" t="n"/>
      <c r="F379" s="11" t="n"/>
      <c r="G379" s="12">
        <f>IF($F379="","",IF($F379&gt;31,$F379,IF($AB379="","",DATE(YEAR($AB379),MONTH($AB379),$F379))))</f>
        <v/>
      </c>
      <c r="H379" s="9" t="n"/>
      <c r="I379" s="11" t="n"/>
      <c r="J379" s="12">
        <f>IF($I379="","",IF($I379&gt;31,$I379,IF($G379="","",IF(DATE(YEAR($G379),MONTH($G379),$I379)&gt;=$G379,DATE(YEAR($G379),MONTH($G379),$I379),DATE(YEAR($G379),MONTH($G379)+1,$I379)))))</f>
        <v/>
      </c>
      <c r="K379" s="9" t="n"/>
      <c r="L379" s="13" t="n"/>
      <c r="M379" s="13" t="n"/>
      <c r="N379" s="13" t="n"/>
      <c r="O379" s="8">
        <f>IF(OR($G379="",$J379=""),"",$J379-$G379+1)</f>
        <v/>
      </c>
      <c r="P379" s="8">
        <f>IF(OR($G379="",$J379=""),"",$J379-$G379)</f>
        <v/>
      </c>
      <c r="Q379" s="9" t="n"/>
      <c r="R379" s="9" t="n"/>
      <c r="S379" s="9" t="n"/>
      <c r="T379" s="9" t="n"/>
      <c r="U379" s="9" t="n"/>
      <c r="V379" s="9" t="n"/>
      <c r="W379" s="14" t="n"/>
      <c r="X379" s="9" t="n"/>
      <c r="Y379" s="8">
        <f>IF($G379="","",IF($D379="","⚠部屋が未選択",IF(COUNTIF('M_部屋'!$A$4:$A$20,$D379)=0,"⚠部屋が未登録",IF(OR($J379="",$Q379="キャンセル"),"",IF(SUMPRODUCT(($D$5:$D$404=$D379)*($G$5:$G$404&lt;&gt;"")*($J$5:$J$404&lt;&gt;"")*($Q$5:$Q$404&lt;&gt;"キャンセル")*($G$5:$G$404&lt;$J379)*($J$5:$J$404&gt;$G379))&gt;1,"⚠重複","")))))</f>
        <v/>
      </c>
      <c r="Z379" s="8">
        <f>IF(OR($B379="",$G379=""),"",IF(SUMPRODUCT(('利用者マスタ'!$A$4:$A$60=$B379)*('利用者マスタ'!$B$4:$B$60&lt;&gt;""))=0,"",IF(SUMIFS($AA$5:$AA$404,$B$5:$B$404,$B379,$G$5:$G$404,"&gt;="&amp;DATE(YEAR($G379),MONTH($G379),1),$G$5:$G$404,"&lt;="&amp;EOMONTH($G379,0))&gt;SUMIFS('利用者マスタ'!$B$4:$B$60,'利用者マスタ'!$A$4:$A$60,$B379),"⚠支給量超過","")))</f>
        <v/>
      </c>
      <c r="AA379" s="8">
        <f>IF(OR($G379="",$J379="",$Q379="キャンセル"),0,IF(IFERROR(INDEX('M_区分'!$B$4:$B$20,MATCH($C379,'M_区分'!$A$4:$A$20,0)),"○")="○",$J379-$G379+1,0))</f>
        <v/>
      </c>
      <c r="AB379" s="8">
        <f>IF($E379&lt;&gt;"",$E379,$AB378)</f>
        <v/>
      </c>
      <c r="AC379" s="8">
        <f>IF(OR($G379="",$J379=""),"",IF(AND($G379&lt;=EOMONTH('02_カレンダー'!$B$4,0),$J379&gt;='02_カレンダー'!$B$4),$G379*10000+ROW(),""))</f>
        <v/>
      </c>
      <c r="AD379" s="8">
        <f>IF($H379="","",IF(ISNUMBER($H379),IF(AND($H379=INT($H379),$H379&gt;=0,$H379&lt;=24),TEXT(INT($H379),"00")&amp;":00",TEXT($H379,"hh:mm")),$H379))</f>
        <v/>
      </c>
      <c r="AE379" s="8">
        <f>IF($K379="","",IF(ISNUMBER($K379),IF(AND($K379=INT($K379),$K379&gt;=0,$K379&lt;=24),TEXT(INT($K379),"00")&amp;":00",TEXT($K379,"hh:mm")),$K379))</f>
        <v/>
      </c>
      <c r="AF379" s="8">
        <f>IF($G379="",0,$G379)</f>
        <v/>
      </c>
      <c r="AG379" s="8">
        <f>IF($J379="",0,$J379)</f>
        <v/>
      </c>
    </row>
    <row r="380">
      <c r="A380" s="8">
        <f>IF($G380="","","SS-"&amp;TEXT(ROW()-4,"0000"))</f>
        <v/>
      </c>
      <c r="B380" s="9" t="n"/>
      <c r="C380" s="9" t="n"/>
      <c r="D380" s="9" t="n"/>
      <c r="E380" s="10" t="n"/>
      <c r="F380" s="11" t="n"/>
      <c r="G380" s="12">
        <f>IF($F380="","",IF($F380&gt;31,$F380,IF($AB380="","",DATE(YEAR($AB380),MONTH($AB380),$F380))))</f>
        <v/>
      </c>
      <c r="H380" s="9" t="n"/>
      <c r="I380" s="11" t="n"/>
      <c r="J380" s="12">
        <f>IF($I380="","",IF($I380&gt;31,$I380,IF($G380="","",IF(DATE(YEAR($G380),MONTH($G380),$I380)&gt;=$G380,DATE(YEAR($G380),MONTH($G380),$I380),DATE(YEAR($G380),MONTH($G380)+1,$I380)))))</f>
        <v/>
      </c>
      <c r="K380" s="9" t="n"/>
      <c r="L380" s="13" t="n"/>
      <c r="M380" s="13" t="n"/>
      <c r="N380" s="13" t="n"/>
      <c r="O380" s="8">
        <f>IF(OR($G380="",$J380=""),"",$J380-$G380+1)</f>
        <v/>
      </c>
      <c r="P380" s="8">
        <f>IF(OR($G380="",$J380=""),"",$J380-$G380)</f>
        <v/>
      </c>
      <c r="Q380" s="9" t="n"/>
      <c r="R380" s="9" t="n"/>
      <c r="S380" s="9" t="n"/>
      <c r="T380" s="9" t="n"/>
      <c r="U380" s="9" t="n"/>
      <c r="V380" s="9" t="n"/>
      <c r="W380" s="14" t="n"/>
      <c r="X380" s="9" t="n"/>
      <c r="Y380" s="8">
        <f>IF($G380="","",IF($D380="","⚠部屋が未選択",IF(COUNTIF('M_部屋'!$A$4:$A$20,$D380)=0,"⚠部屋が未登録",IF(OR($J380="",$Q380="キャンセル"),"",IF(SUMPRODUCT(($D$5:$D$404=$D380)*($G$5:$G$404&lt;&gt;"")*($J$5:$J$404&lt;&gt;"")*($Q$5:$Q$404&lt;&gt;"キャンセル")*($G$5:$G$404&lt;$J380)*($J$5:$J$404&gt;$G380))&gt;1,"⚠重複","")))))</f>
        <v/>
      </c>
      <c r="Z380" s="8">
        <f>IF(OR($B380="",$G380=""),"",IF(SUMPRODUCT(('利用者マスタ'!$A$4:$A$60=$B380)*('利用者マスタ'!$B$4:$B$60&lt;&gt;""))=0,"",IF(SUMIFS($AA$5:$AA$404,$B$5:$B$404,$B380,$G$5:$G$404,"&gt;="&amp;DATE(YEAR($G380),MONTH($G380),1),$G$5:$G$404,"&lt;="&amp;EOMONTH($G380,0))&gt;SUMIFS('利用者マスタ'!$B$4:$B$60,'利用者マスタ'!$A$4:$A$60,$B380),"⚠支給量超過","")))</f>
        <v/>
      </c>
      <c r="AA380" s="8">
        <f>IF(OR($G380="",$J380="",$Q380="キャンセル"),0,IF(IFERROR(INDEX('M_区分'!$B$4:$B$20,MATCH($C380,'M_区分'!$A$4:$A$20,0)),"○")="○",$J380-$G380+1,0))</f>
        <v/>
      </c>
      <c r="AB380" s="8">
        <f>IF($E380&lt;&gt;"",$E380,$AB379)</f>
        <v/>
      </c>
      <c r="AC380" s="8">
        <f>IF(OR($G380="",$J380=""),"",IF(AND($G380&lt;=EOMONTH('02_カレンダー'!$B$4,0),$J380&gt;='02_カレンダー'!$B$4),$G380*10000+ROW(),""))</f>
        <v/>
      </c>
      <c r="AD380" s="8">
        <f>IF($H380="","",IF(ISNUMBER($H380),IF(AND($H380=INT($H380),$H380&gt;=0,$H380&lt;=24),TEXT(INT($H380),"00")&amp;":00",TEXT($H380,"hh:mm")),$H380))</f>
        <v/>
      </c>
      <c r="AE380" s="8">
        <f>IF($K380="","",IF(ISNUMBER($K380),IF(AND($K380=INT($K380),$K380&gt;=0,$K380&lt;=24),TEXT(INT($K380),"00")&amp;":00",TEXT($K380,"hh:mm")),$K380))</f>
        <v/>
      </c>
      <c r="AF380" s="8">
        <f>IF($G380="",0,$G380)</f>
        <v/>
      </c>
      <c r="AG380" s="8">
        <f>IF($J380="",0,$J380)</f>
        <v/>
      </c>
    </row>
    <row r="381">
      <c r="A381" s="8">
        <f>IF($G381="","","SS-"&amp;TEXT(ROW()-4,"0000"))</f>
        <v/>
      </c>
      <c r="B381" s="9" t="n"/>
      <c r="C381" s="9" t="n"/>
      <c r="D381" s="9" t="n"/>
      <c r="E381" s="10" t="n"/>
      <c r="F381" s="11" t="n"/>
      <c r="G381" s="12">
        <f>IF($F381="","",IF($F381&gt;31,$F381,IF($AB381="","",DATE(YEAR($AB381),MONTH($AB381),$F381))))</f>
        <v/>
      </c>
      <c r="H381" s="9" t="n"/>
      <c r="I381" s="11" t="n"/>
      <c r="J381" s="12">
        <f>IF($I381="","",IF($I381&gt;31,$I381,IF($G381="","",IF(DATE(YEAR($G381),MONTH($G381),$I381)&gt;=$G381,DATE(YEAR($G381),MONTH($G381),$I381),DATE(YEAR($G381),MONTH($G381)+1,$I381)))))</f>
        <v/>
      </c>
      <c r="K381" s="9" t="n"/>
      <c r="L381" s="13" t="n"/>
      <c r="M381" s="13" t="n"/>
      <c r="N381" s="13" t="n"/>
      <c r="O381" s="8">
        <f>IF(OR($G381="",$J381=""),"",$J381-$G381+1)</f>
        <v/>
      </c>
      <c r="P381" s="8">
        <f>IF(OR($G381="",$J381=""),"",$J381-$G381)</f>
        <v/>
      </c>
      <c r="Q381" s="9" t="n"/>
      <c r="R381" s="9" t="n"/>
      <c r="S381" s="9" t="n"/>
      <c r="T381" s="9" t="n"/>
      <c r="U381" s="9" t="n"/>
      <c r="V381" s="9" t="n"/>
      <c r="W381" s="14" t="n"/>
      <c r="X381" s="9" t="n"/>
      <c r="Y381" s="8">
        <f>IF($G381="","",IF($D381="","⚠部屋が未選択",IF(COUNTIF('M_部屋'!$A$4:$A$20,$D381)=0,"⚠部屋が未登録",IF(OR($J381="",$Q381="キャンセル"),"",IF(SUMPRODUCT(($D$5:$D$404=$D381)*($G$5:$G$404&lt;&gt;"")*($J$5:$J$404&lt;&gt;"")*($Q$5:$Q$404&lt;&gt;"キャンセル")*($G$5:$G$404&lt;$J381)*($J$5:$J$404&gt;$G381))&gt;1,"⚠重複","")))))</f>
        <v/>
      </c>
      <c r="Z381" s="8">
        <f>IF(OR($B381="",$G381=""),"",IF(SUMPRODUCT(('利用者マスタ'!$A$4:$A$60=$B381)*('利用者マスタ'!$B$4:$B$60&lt;&gt;""))=0,"",IF(SUMIFS($AA$5:$AA$404,$B$5:$B$404,$B381,$G$5:$G$404,"&gt;="&amp;DATE(YEAR($G381),MONTH($G381),1),$G$5:$G$404,"&lt;="&amp;EOMONTH($G381,0))&gt;SUMIFS('利用者マスタ'!$B$4:$B$60,'利用者マスタ'!$A$4:$A$60,$B381),"⚠支給量超過","")))</f>
        <v/>
      </c>
      <c r="AA381" s="8">
        <f>IF(OR($G381="",$J381="",$Q381="キャンセル"),0,IF(IFERROR(INDEX('M_区分'!$B$4:$B$20,MATCH($C381,'M_区分'!$A$4:$A$20,0)),"○")="○",$J381-$G381+1,0))</f>
        <v/>
      </c>
      <c r="AB381" s="8">
        <f>IF($E381&lt;&gt;"",$E381,$AB380)</f>
        <v/>
      </c>
      <c r="AC381" s="8">
        <f>IF(OR($G381="",$J381=""),"",IF(AND($G381&lt;=EOMONTH('02_カレンダー'!$B$4,0),$J381&gt;='02_カレンダー'!$B$4),$G381*10000+ROW(),""))</f>
        <v/>
      </c>
      <c r="AD381" s="8">
        <f>IF($H381="","",IF(ISNUMBER($H381),IF(AND($H381=INT($H381),$H381&gt;=0,$H381&lt;=24),TEXT(INT($H381),"00")&amp;":00",TEXT($H381,"hh:mm")),$H381))</f>
        <v/>
      </c>
      <c r="AE381" s="8">
        <f>IF($K381="","",IF(ISNUMBER($K381),IF(AND($K381=INT($K381),$K381&gt;=0,$K381&lt;=24),TEXT(INT($K381),"00")&amp;":00",TEXT($K381,"hh:mm")),$K381))</f>
        <v/>
      </c>
      <c r="AF381" s="8">
        <f>IF($G381="",0,$G381)</f>
        <v/>
      </c>
      <c r="AG381" s="8">
        <f>IF($J381="",0,$J381)</f>
        <v/>
      </c>
    </row>
    <row r="382">
      <c r="A382" s="8">
        <f>IF($G382="","","SS-"&amp;TEXT(ROW()-4,"0000"))</f>
        <v/>
      </c>
      <c r="B382" s="9" t="n"/>
      <c r="C382" s="9" t="n"/>
      <c r="D382" s="9" t="n"/>
      <c r="E382" s="10" t="n"/>
      <c r="F382" s="11" t="n"/>
      <c r="G382" s="12">
        <f>IF($F382="","",IF($F382&gt;31,$F382,IF($AB382="","",DATE(YEAR($AB382),MONTH($AB382),$F382))))</f>
        <v/>
      </c>
      <c r="H382" s="9" t="n"/>
      <c r="I382" s="11" t="n"/>
      <c r="J382" s="12">
        <f>IF($I382="","",IF($I382&gt;31,$I382,IF($G382="","",IF(DATE(YEAR($G382),MONTH($G382),$I382)&gt;=$G382,DATE(YEAR($G382),MONTH($G382),$I382),DATE(YEAR($G382),MONTH($G382)+1,$I382)))))</f>
        <v/>
      </c>
      <c r="K382" s="9" t="n"/>
      <c r="L382" s="13" t="n"/>
      <c r="M382" s="13" t="n"/>
      <c r="N382" s="13" t="n"/>
      <c r="O382" s="8">
        <f>IF(OR($G382="",$J382=""),"",$J382-$G382+1)</f>
        <v/>
      </c>
      <c r="P382" s="8">
        <f>IF(OR($G382="",$J382=""),"",$J382-$G382)</f>
        <v/>
      </c>
      <c r="Q382" s="9" t="n"/>
      <c r="R382" s="9" t="n"/>
      <c r="S382" s="9" t="n"/>
      <c r="T382" s="9" t="n"/>
      <c r="U382" s="9" t="n"/>
      <c r="V382" s="9" t="n"/>
      <c r="W382" s="14" t="n"/>
      <c r="X382" s="9" t="n"/>
      <c r="Y382" s="8">
        <f>IF($G382="","",IF($D382="","⚠部屋が未選択",IF(COUNTIF('M_部屋'!$A$4:$A$20,$D382)=0,"⚠部屋が未登録",IF(OR($J382="",$Q382="キャンセル"),"",IF(SUMPRODUCT(($D$5:$D$404=$D382)*($G$5:$G$404&lt;&gt;"")*($J$5:$J$404&lt;&gt;"")*($Q$5:$Q$404&lt;&gt;"キャンセル")*($G$5:$G$404&lt;$J382)*($J$5:$J$404&gt;$G382))&gt;1,"⚠重複","")))))</f>
        <v/>
      </c>
      <c r="Z382" s="8">
        <f>IF(OR($B382="",$G382=""),"",IF(SUMPRODUCT(('利用者マスタ'!$A$4:$A$60=$B382)*('利用者マスタ'!$B$4:$B$60&lt;&gt;""))=0,"",IF(SUMIFS($AA$5:$AA$404,$B$5:$B$404,$B382,$G$5:$G$404,"&gt;="&amp;DATE(YEAR($G382),MONTH($G382),1),$G$5:$G$404,"&lt;="&amp;EOMONTH($G382,0))&gt;SUMIFS('利用者マスタ'!$B$4:$B$60,'利用者マスタ'!$A$4:$A$60,$B382),"⚠支給量超過","")))</f>
        <v/>
      </c>
      <c r="AA382" s="8">
        <f>IF(OR($G382="",$J382="",$Q382="キャンセル"),0,IF(IFERROR(INDEX('M_区分'!$B$4:$B$20,MATCH($C382,'M_区分'!$A$4:$A$20,0)),"○")="○",$J382-$G382+1,0))</f>
        <v/>
      </c>
      <c r="AB382" s="8">
        <f>IF($E382&lt;&gt;"",$E382,$AB381)</f>
        <v/>
      </c>
      <c r="AC382" s="8">
        <f>IF(OR($G382="",$J382=""),"",IF(AND($G382&lt;=EOMONTH('02_カレンダー'!$B$4,0),$J382&gt;='02_カレンダー'!$B$4),$G382*10000+ROW(),""))</f>
        <v/>
      </c>
      <c r="AD382" s="8">
        <f>IF($H382="","",IF(ISNUMBER($H382),IF(AND($H382=INT($H382),$H382&gt;=0,$H382&lt;=24),TEXT(INT($H382),"00")&amp;":00",TEXT($H382,"hh:mm")),$H382))</f>
        <v/>
      </c>
      <c r="AE382" s="8">
        <f>IF($K382="","",IF(ISNUMBER($K382),IF(AND($K382=INT($K382),$K382&gt;=0,$K382&lt;=24),TEXT(INT($K382),"00")&amp;":00",TEXT($K382,"hh:mm")),$K382))</f>
        <v/>
      </c>
      <c r="AF382" s="8">
        <f>IF($G382="",0,$G382)</f>
        <v/>
      </c>
      <c r="AG382" s="8">
        <f>IF($J382="",0,$J382)</f>
        <v/>
      </c>
    </row>
    <row r="383">
      <c r="A383" s="8">
        <f>IF($G383="","","SS-"&amp;TEXT(ROW()-4,"0000"))</f>
        <v/>
      </c>
      <c r="B383" s="9" t="n"/>
      <c r="C383" s="9" t="n"/>
      <c r="D383" s="9" t="n"/>
      <c r="E383" s="10" t="n"/>
      <c r="F383" s="11" t="n"/>
      <c r="G383" s="12">
        <f>IF($F383="","",IF($F383&gt;31,$F383,IF($AB383="","",DATE(YEAR($AB383),MONTH($AB383),$F383))))</f>
        <v/>
      </c>
      <c r="H383" s="9" t="n"/>
      <c r="I383" s="11" t="n"/>
      <c r="J383" s="12">
        <f>IF($I383="","",IF($I383&gt;31,$I383,IF($G383="","",IF(DATE(YEAR($G383),MONTH($G383),$I383)&gt;=$G383,DATE(YEAR($G383),MONTH($G383),$I383),DATE(YEAR($G383),MONTH($G383)+1,$I383)))))</f>
        <v/>
      </c>
      <c r="K383" s="9" t="n"/>
      <c r="L383" s="13" t="n"/>
      <c r="M383" s="13" t="n"/>
      <c r="N383" s="13" t="n"/>
      <c r="O383" s="8">
        <f>IF(OR($G383="",$J383=""),"",$J383-$G383+1)</f>
        <v/>
      </c>
      <c r="P383" s="8">
        <f>IF(OR($G383="",$J383=""),"",$J383-$G383)</f>
        <v/>
      </c>
      <c r="Q383" s="9" t="n"/>
      <c r="R383" s="9" t="n"/>
      <c r="S383" s="9" t="n"/>
      <c r="T383" s="9" t="n"/>
      <c r="U383" s="9" t="n"/>
      <c r="V383" s="9" t="n"/>
      <c r="W383" s="14" t="n"/>
      <c r="X383" s="9" t="n"/>
      <c r="Y383" s="8">
        <f>IF($G383="","",IF($D383="","⚠部屋が未選択",IF(COUNTIF('M_部屋'!$A$4:$A$20,$D383)=0,"⚠部屋が未登録",IF(OR($J383="",$Q383="キャンセル"),"",IF(SUMPRODUCT(($D$5:$D$404=$D383)*($G$5:$G$404&lt;&gt;"")*($J$5:$J$404&lt;&gt;"")*($Q$5:$Q$404&lt;&gt;"キャンセル")*($G$5:$G$404&lt;$J383)*($J$5:$J$404&gt;$G383))&gt;1,"⚠重複","")))))</f>
        <v/>
      </c>
      <c r="Z383" s="8">
        <f>IF(OR($B383="",$G383=""),"",IF(SUMPRODUCT(('利用者マスタ'!$A$4:$A$60=$B383)*('利用者マスタ'!$B$4:$B$60&lt;&gt;""))=0,"",IF(SUMIFS($AA$5:$AA$404,$B$5:$B$404,$B383,$G$5:$G$404,"&gt;="&amp;DATE(YEAR($G383),MONTH($G383),1),$G$5:$G$404,"&lt;="&amp;EOMONTH($G383,0))&gt;SUMIFS('利用者マスタ'!$B$4:$B$60,'利用者マスタ'!$A$4:$A$60,$B383),"⚠支給量超過","")))</f>
        <v/>
      </c>
      <c r="AA383" s="8">
        <f>IF(OR($G383="",$J383="",$Q383="キャンセル"),0,IF(IFERROR(INDEX('M_区分'!$B$4:$B$20,MATCH($C383,'M_区分'!$A$4:$A$20,0)),"○")="○",$J383-$G383+1,0))</f>
        <v/>
      </c>
      <c r="AB383" s="8">
        <f>IF($E383&lt;&gt;"",$E383,$AB382)</f>
        <v/>
      </c>
      <c r="AC383" s="8">
        <f>IF(OR($G383="",$J383=""),"",IF(AND($G383&lt;=EOMONTH('02_カレンダー'!$B$4,0),$J383&gt;='02_カレンダー'!$B$4),$G383*10000+ROW(),""))</f>
        <v/>
      </c>
      <c r="AD383" s="8">
        <f>IF($H383="","",IF(ISNUMBER($H383),IF(AND($H383=INT($H383),$H383&gt;=0,$H383&lt;=24),TEXT(INT($H383),"00")&amp;":00",TEXT($H383,"hh:mm")),$H383))</f>
        <v/>
      </c>
      <c r="AE383" s="8">
        <f>IF($K383="","",IF(ISNUMBER($K383),IF(AND($K383=INT($K383),$K383&gt;=0,$K383&lt;=24),TEXT(INT($K383),"00")&amp;":00",TEXT($K383,"hh:mm")),$K383))</f>
        <v/>
      </c>
      <c r="AF383" s="8">
        <f>IF($G383="",0,$G383)</f>
        <v/>
      </c>
      <c r="AG383" s="8">
        <f>IF($J383="",0,$J383)</f>
        <v/>
      </c>
    </row>
    <row r="384">
      <c r="A384" s="8">
        <f>IF($G384="","","SS-"&amp;TEXT(ROW()-4,"0000"))</f>
        <v/>
      </c>
      <c r="B384" s="9" t="n"/>
      <c r="C384" s="9" t="n"/>
      <c r="D384" s="9" t="n"/>
      <c r="E384" s="10" t="n"/>
      <c r="F384" s="11" t="n"/>
      <c r="G384" s="12">
        <f>IF($F384="","",IF($F384&gt;31,$F384,IF($AB384="","",DATE(YEAR($AB384),MONTH($AB384),$F384))))</f>
        <v/>
      </c>
      <c r="H384" s="9" t="n"/>
      <c r="I384" s="11" t="n"/>
      <c r="J384" s="12">
        <f>IF($I384="","",IF($I384&gt;31,$I384,IF($G384="","",IF(DATE(YEAR($G384),MONTH($G384),$I384)&gt;=$G384,DATE(YEAR($G384),MONTH($G384),$I384),DATE(YEAR($G384),MONTH($G384)+1,$I384)))))</f>
        <v/>
      </c>
      <c r="K384" s="9" t="n"/>
      <c r="L384" s="13" t="n"/>
      <c r="M384" s="13" t="n"/>
      <c r="N384" s="13" t="n"/>
      <c r="O384" s="8">
        <f>IF(OR($G384="",$J384=""),"",$J384-$G384+1)</f>
        <v/>
      </c>
      <c r="P384" s="8">
        <f>IF(OR($G384="",$J384=""),"",$J384-$G384)</f>
        <v/>
      </c>
      <c r="Q384" s="9" t="n"/>
      <c r="R384" s="9" t="n"/>
      <c r="S384" s="9" t="n"/>
      <c r="T384" s="9" t="n"/>
      <c r="U384" s="9" t="n"/>
      <c r="V384" s="9" t="n"/>
      <c r="W384" s="14" t="n"/>
      <c r="X384" s="9" t="n"/>
      <c r="Y384" s="8">
        <f>IF($G384="","",IF($D384="","⚠部屋が未選択",IF(COUNTIF('M_部屋'!$A$4:$A$20,$D384)=0,"⚠部屋が未登録",IF(OR($J384="",$Q384="キャンセル"),"",IF(SUMPRODUCT(($D$5:$D$404=$D384)*($G$5:$G$404&lt;&gt;"")*($J$5:$J$404&lt;&gt;"")*($Q$5:$Q$404&lt;&gt;"キャンセル")*($G$5:$G$404&lt;$J384)*($J$5:$J$404&gt;$G384))&gt;1,"⚠重複","")))))</f>
        <v/>
      </c>
      <c r="Z384" s="8">
        <f>IF(OR($B384="",$G384=""),"",IF(SUMPRODUCT(('利用者マスタ'!$A$4:$A$60=$B384)*('利用者マスタ'!$B$4:$B$60&lt;&gt;""))=0,"",IF(SUMIFS($AA$5:$AA$404,$B$5:$B$404,$B384,$G$5:$G$404,"&gt;="&amp;DATE(YEAR($G384),MONTH($G384),1),$G$5:$G$404,"&lt;="&amp;EOMONTH($G384,0))&gt;SUMIFS('利用者マスタ'!$B$4:$B$60,'利用者マスタ'!$A$4:$A$60,$B384),"⚠支給量超過","")))</f>
        <v/>
      </c>
      <c r="AA384" s="8">
        <f>IF(OR($G384="",$J384="",$Q384="キャンセル"),0,IF(IFERROR(INDEX('M_区分'!$B$4:$B$20,MATCH($C384,'M_区分'!$A$4:$A$20,0)),"○")="○",$J384-$G384+1,0))</f>
        <v/>
      </c>
      <c r="AB384" s="8">
        <f>IF($E384&lt;&gt;"",$E384,$AB383)</f>
        <v/>
      </c>
      <c r="AC384" s="8">
        <f>IF(OR($G384="",$J384=""),"",IF(AND($G384&lt;=EOMONTH('02_カレンダー'!$B$4,0),$J384&gt;='02_カレンダー'!$B$4),$G384*10000+ROW(),""))</f>
        <v/>
      </c>
      <c r="AD384" s="8">
        <f>IF($H384="","",IF(ISNUMBER($H384),IF(AND($H384=INT($H384),$H384&gt;=0,$H384&lt;=24),TEXT(INT($H384),"00")&amp;":00",TEXT($H384,"hh:mm")),$H384))</f>
        <v/>
      </c>
      <c r="AE384" s="8">
        <f>IF($K384="","",IF(ISNUMBER($K384),IF(AND($K384=INT($K384),$K384&gt;=0,$K384&lt;=24),TEXT(INT($K384),"00")&amp;":00",TEXT($K384,"hh:mm")),$K384))</f>
        <v/>
      </c>
      <c r="AF384" s="8">
        <f>IF($G384="",0,$G384)</f>
        <v/>
      </c>
      <c r="AG384" s="8">
        <f>IF($J384="",0,$J384)</f>
        <v/>
      </c>
    </row>
    <row r="385">
      <c r="A385" s="8">
        <f>IF($G385="","","SS-"&amp;TEXT(ROW()-4,"0000"))</f>
        <v/>
      </c>
      <c r="B385" s="9" t="n"/>
      <c r="C385" s="9" t="n"/>
      <c r="D385" s="9" t="n"/>
      <c r="E385" s="10" t="n"/>
      <c r="F385" s="11" t="n"/>
      <c r="G385" s="12">
        <f>IF($F385="","",IF($F385&gt;31,$F385,IF($AB385="","",DATE(YEAR($AB385),MONTH($AB385),$F385))))</f>
        <v/>
      </c>
      <c r="H385" s="9" t="n"/>
      <c r="I385" s="11" t="n"/>
      <c r="J385" s="12">
        <f>IF($I385="","",IF($I385&gt;31,$I385,IF($G385="","",IF(DATE(YEAR($G385),MONTH($G385),$I385)&gt;=$G385,DATE(YEAR($G385),MONTH($G385),$I385),DATE(YEAR($G385),MONTH($G385)+1,$I385)))))</f>
        <v/>
      </c>
      <c r="K385" s="9" t="n"/>
      <c r="L385" s="13" t="n"/>
      <c r="M385" s="13" t="n"/>
      <c r="N385" s="13" t="n"/>
      <c r="O385" s="8">
        <f>IF(OR($G385="",$J385=""),"",$J385-$G385+1)</f>
        <v/>
      </c>
      <c r="P385" s="8">
        <f>IF(OR($G385="",$J385=""),"",$J385-$G385)</f>
        <v/>
      </c>
      <c r="Q385" s="9" t="n"/>
      <c r="R385" s="9" t="n"/>
      <c r="S385" s="9" t="n"/>
      <c r="T385" s="9" t="n"/>
      <c r="U385" s="9" t="n"/>
      <c r="V385" s="9" t="n"/>
      <c r="W385" s="14" t="n"/>
      <c r="X385" s="9" t="n"/>
      <c r="Y385" s="8">
        <f>IF($G385="","",IF($D385="","⚠部屋が未選択",IF(COUNTIF('M_部屋'!$A$4:$A$20,$D385)=0,"⚠部屋が未登録",IF(OR($J385="",$Q385="キャンセル"),"",IF(SUMPRODUCT(($D$5:$D$404=$D385)*($G$5:$G$404&lt;&gt;"")*($J$5:$J$404&lt;&gt;"")*($Q$5:$Q$404&lt;&gt;"キャンセル")*($G$5:$G$404&lt;$J385)*($J$5:$J$404&gt;$G385))&gt;1,"⚠重複","")))))</f>
        <v/>
      </c>
      <c r="Z385" s="8">
        <f>IF(OR($B385="",$G385=""),"",IF(SUMPRODUCT(('利用者マスタ'!$A$4:$A$60=$B385)*('利用者マスタ'!$B$4:$B$60&lt;&gt;""))=0,"",IF(SUMIFS($AA$5:$AA$404,$B$5:$B$404,$B385,$G$5:$G$404,"&gt;="&amp;DATE(YEAR($G385),MONTH($G385),1),$G$5:$G$404,"&lt;="&amp;EOMONTH($G385,0))&gt;SUMIFS('利用者マスタ'!$B$4:$B$60,'利用者マスタ'!$A$4:$A$60,$B385),"⚠支給量超過","")))</f>
        <v/>
      </c>
      <c r="AA385" s="8">
        <f>IF(OR($G385="",$J385="",$Q385="キャンセル"),0,IF(IFERROR(INDEX('M_区分'!$B$4:$B$20,MATCH($C385,'M_区分'!$A$4:$A$20,0)),"○")="○",$J385-$G385+1,0))</f>
        <v/>
      </c>
      <c r="AB385" s="8">
        <f>IF($E385&lt;&gt;"",$E385,$AB384)</f>
        <v/>
      </c>
      <c r="AC385" s="8">
        <f>IF(OR($G385="",$J385=""),"",IF(AND($G385&lt;=EOMONTH('02_カレンダー'!$B$4,0),$J385&gt;='02_カレンダー'!$B$4),$G385*10000+ROW(),""))</f>
        <v/>
      </c>
      <c r="AD385" s="8">
        <f>IF($H385="","",IF(ISNUMBER($H385),IF(AND($H385=INT($H385),$H385&gt;=0,$H385&lt;=24),TEXT(INT($H385),"00")&amp;":00",TEXT($H385,"hh:mm")),$H385))</f>
        <v/>
      </c>
      <c r="AE385" s="8">
        <f>IF($K385="","",IF(ISNUMBER($K385),IF(AND($K385=INT($K385),$K385&gt;=0,$K385&lt;=24),TEXT(INT($K385),"00")&amp;":00",TEXT($K385,"hh:mm")),$K385))</f>
        <v/>
      </c>
      <c r="AF385" s="8">
        <f>IF($G385="",0,$G385)</f>
        <v/>
      </c>
      <c r="AG385" s="8">
        <f>IF($J385="",0,$J385)</f>
        <v/>
      </c>
    </row>
    <row r="386">
      <c r="A386" s="8">
        <f>IF($G386="","","SS-"&amp;TEXT(ROW()-4,"0000"))</f>
        <v/>
      </c>
      <c r="B386" s="9" t="n"/>
      <c r="C386" s="9" t="n"/>
      <c r="D386" s="9" t="n"/>
      <c r="E386" s="10" t="n"/>
      <c r="F386" s="11" t="n"/>
      <c r="G386" s="12">
        <f>IF($F386="","",IF($F386&gt;31,$F386,IF($AB386="","",DATE(YEAR($AB386),MONTH($AB386),$F386))))</f>
        <v/>
      </c>
      <c r="H386" s="9" t="n"/>
      <c r="I386" s="11" t="n"/>
      <c r="J386" s="12">
        <f>IF($I386="","",IF($I386&gt;31,$I386,IF($G386="","",IF(DATE(YEAR($G386),MONTH($G386),$I386)&gt;=$G386,DATE(YEAR($G386),MONTH($G386),$I386),DATE(YEAR($G386),MONTH($G386)+1,$I386)))))</f>
        <v/>
      </c>
      <c r="K386" s="9" t="n"/>
      <c r="L386" s="13" t="n"/>
      <c r="M386" s="13" t="n"/>
      <c r="N386" s="13" t="n"/>
      <c r="O386" s="8">
        <f>IF(OR($G386="",$J386=""),"",$J386-$G386+1)</f>
        <v/>
      </c>
      <c r="P386" s="8">
        <f>IF(OR($G386="",$J386=""),"",$J386-$G386)</f>
        <v/>
      </c>
      <c r="Q386" s="9" t="n"/>
      <c r="R386" s="9" t="n"/>
      <c r="S386" s="9" t="n"/>
      <c r="T386" s="9" t="n"/>
      <c r="U386" s="9" t="n"/>
      <c r="V386" s="9" t="n"/>
      <c r="W386" s="14" t="n"/>
      <c r="X386" s="9" t="n"/>
      <c r="Y386" s="8">
        <f>IF($G386="","",IF($D386="","⚠部屋が未選択",IF(COUNTIF('M_部屋'!$A$4:$A$20,$D386)=0,"⚠部屋が未登録",IF(OR($J386="",$Q386="キャンセル"),"",IF(SUMPRODUCT(($D$5:$D$404=$D386)*($G$5:$G$404&lt;&gt;"")*($J$5:$J$404&lt;&gt;"")*($Q$5:$Q$404&lt;&gt;"キャンセル")*($G$5:$G$404&lt;$J386)*($J$5:$J$404&gt;$G386))&gt;1,"⚠重複","")))))</f>
        <v/>
      </c>
      <c r="Z386" s="8">
        <f>IF(OR($B386="",$G386=""),"",IF(SUMPRODUCT(('利用者マスタ'!$A$4:$A$60=$B386)*('利用者マスタ'!$B$4:$B$60&lt;&gt;""))=0,"",IF(SUMIFS($AA$5:$AA$404,$B$5:$B$404,$B386,$G$5:$G$404,"&gt;="&amp;DATE(YEAR($G386),MONTH($G386),1),$G$5:$G$404,"&lt;="&amp;EOMONTH($G386,0))&gt;SUMIFS('利用者マスタ'!$B$4:$B$60,'利用者マスタ'!$A$4:$A$60,$B386),"⚠支給量超過","")))</f>
        <v/>
      </c>
      <c r="AA386" s="8">
        <f>IF(OR($G386="",$J386="",$Q386="キャンセル"),0,IF(IFERROR(INDEX('M_区分'!$B$4:$B$20,MATCH($C386,'M_区分'!$A$4:$A$20,0)),"○")="○",$J386-$G386+1,0))</f>
        <v/>
      </c>
      <c r="AB386" s="8">
        <f>IF($E386&lt;&gt;"",$E386,$AB385)</f>
        <v/>
      </c>
      <c r="AC386" s="8">
        <f>IF(OR($G386="",$J386=""),"",IF(AND($G386&lt;=EOMONTH('02_カレンダー'!$B$4,0),$J386&gt;='02_カレンダー'!$B$4),$G386*10000+ROW(),""))</f>
        <v/>
      </c>
      <c r="AD386" s="8">
        <f>IF($H386="","",IF(ISNUMBER($H386),IF(AND($H386=INT($H386),$H386&gt;=0,$H386&lt;=24),TEXT(INT($H386),"00")&amp;":00",TEXT($H386,"hh:mm")),$H386))</f>
        <v/>
      </c>
      <c r="AE386" s="8">
        <f>IF($K386="","",IF(ISNUMBER($K386),IF(AND($K386=INT($K386),$K386&gt;=0,$K386&lt;=24),TEXT(INT($K386),"00")&amp;":00",TEXT($K386,"hh:mm")),$K386))</f>
        <v/>
      </c>
      <c r="AF386" s="8">
        <f>IF($G386="",0,$G386)</f>
        <v/>
      </c>
      <c r="AG386" s="8">
        <f>IF($J386="",0,$J386)</f>
        <v/>
      </c>
    </row>
    <row r="387">
      <c r="A387" s="8">
        <f>IF($G387="","","SS-"&amp;TEXT(ROW()-4,"0000"))</f>
        <v/>
      </c>
      <c r="B387" s="9" t="n"/>
      <c r="C387" s="9" t="n"/>
      <c r="D387" s="9" t="n"/>
      <c r="E387" s="10" t="n"/>
      <c r="F387" s="11" t="n"/>
      <c r="G387" s="12">
        <f>IF($F387="","",IF($F387&gt;31,$F387,IF($AB387="","",DATE(YEAR($AB387),MONTH($AB387),$F387))))</f>
        <v/>
      </c>
      <c r="H387" s="9" t="n"/>
      <c r="I387" s="11" t="n"/>
      <c r="J387" s="12">
        <f>IF($I387="","",IF($I387&gt;31,$I387,IF($G387="","",IF(DATE(YEAR($G387),MONTH($G387),$I387)&gt;=$G387,DATE(YEAR($G387),MONTH($G387),$I387),DATE(YEAR($G387),MONTH($G387)+1,$I387)))))</f>
        <v/>
      </c>
      <c r="K387" s="9" t="n"/>
      <c r="L387" s="13" t="n"/>
      <c r="M387" s="13" t="n"/>
      <c r="N387" s="13" t="n"/>
      <c r="O387" s="8">
        <f>IF(OR($G387="",$J387=""),"",$J387-$G387+1)</f>
        <v/>
      </c>
      <c r="P387" s="8">
        <f>IF(OR($G387="",$J387=""),"",$J387-$G387)</f>
        <v/>
      </c>
      <c r="Q387" s="9" t="n"/>
      <c r="R387" s="9" t="n"/>
      <c r="S387" s="9" t="n"/>
      <c r="T387" s="9" t="n"/>
      <c r="U387" s="9" t="n"/>
      <c r="V387" s="9" t="n"/>
      <c r="W387" s="14" t="n"/>
      <c r="X387" s="9" t="n"/>
      <c r="Y387" s="8">
        <f>IF($G387="","",IF($D387="","⚠部屋が未選択",IF(COUNTIF('M_部屋'!$A$4:$A$20,$D387)=0,"⚠部屋が未登録",IF(OR($J387="",$Q387="キャンセル"),"",IF(SUMPRODUCT(($D$5:$D$404=$D387)*($G$5:$G$404&lt;&gt;"")*($J$5:$J$404&lt;&gt;"")*($Q$5:$Q$404&lt;&gt;"キャンセル")*($G$5:$G$404&lt;$J387)*($J$5:$J$404&gt;$G387))&gt;1,"⚠重複","")))))</f>
        <v/>
      </c>
      <c r="Z387" s="8">
        <f>IF(OR($B387="",$G387=""),"",IF(SUMPRODUCT(('利用者マスタ'!$A$4:$A$60=$B387)*('利用者マスタ'!$B$4:$B$60&lt;&gt;""))=0,"",IF(SUMIFS($AA$5:$AA$404,$B$5:$B$404,$B387,$G$5:$G$404,"&gt;="&amp;DATE(YEAR($G387),MONTH($G387),1),$G$5:$G$404,"&lt;="&amp;EOMONTH($G387,0))&gt;SUMIFS('利用者マスタ'!$B$4:$B$60,'利用者マスタ'!$A$4:$A$60,$B387),"⚠支給量超過","")))</f>
        <v/>
      </c>
      <c r="AA387" s="8">
        <f>IF(OR($G387="",$J387="",$Q387="キャンセル"),0,IF(IFERROR(INDEX('M_区分'!$B$4:$B$20,MATCH($C387,'M_区分'!$A$4:$A$20,0)),"○")="○",$J387-$G387+1,0))</f>
        <v/>
      </c>
      <c r="AB387" s="8">
        <f>IF($E387&lt;&gt;"",$E387,$AB386)</f>
        <v/>
      </c>
      <c r="AC387" s="8">
        <f>IF(OR($G387="",$J387=""),"",IF(AND($G387&lt;=EOMONTH('02_カレンダー'!$B$4,0),$J387&gt;='02_カレンダー'!$B$4),$G387*10000+ROW(),""))</f>
        <v/>
      </c>
      <c r="AD387" s="8">
        <f>IF($H387="","",IF(ISNUMBER($H387),IF(AND($H387=INT($H387),$H387&gt;=0,$H387&lt;=24),TEXT(INT($H387),"00")&amp;":00",TEXT($H387,"hh:mm")),$H387))</f>
        <v/>
      </c>
      <c r="AE387" s="8">
        <f>IF($K387="","",IF(ISNUMBER($K387),IF(AND($K387=INT($K387),$K387&gt;=0,$K387&lt;=24),TEXT(INT($K387),"00")&amp;":00",TEXT($K387,"hh:mm")),$K387))</f>
        <v/>
      </c>
      <c r="AF387" s="8">
        <f>IF($G387="",0,$G387)</f>
        <v/>
      </c>
      <c r="AG387" s="8">
        <f>IF($J387="",0,$J387)</f>
        <v/>
      </c>
    </row>
    <row r="388">
      <c r="A388" s="8">
        <f>IF($G388="","","SS-"&amp;TEXT(ROW()-4,"0000"))</f>
        <v/>
      </c>
      <c r="B388" s="9" t="n"/>
      <c r="C388" s="9" t="n"/>
      <c r="D388" s="9" t="n"/>
      <c r="E388" s="10" t="n"/>
      <c r="F388" s="11" t="n"/>
      <c r="G388" s="12">
        <f>IF($F388="","",IF($F388&gt;31,$F388,IF($AB388="","",DATE(YEAR($AB388),MONTH($AB388),$F388))))</f>
        <v/>
      </c>
      <c r="H388" s="9" t="n"/>
      <c r="I388" s="11" t="n"/>
      <c r="J388" s="12">
        <f>IF($I388="","",IF($I388&gt;31,$I388,IF($G388="","",IF(DATE(YEAR($G388),MONTH($G388),$I388)&gt;=$G388,DATE(YEAR($G388),MONTH($G388),$I388),DATE(YEAR($G388),MONTH($G388)+1,$I388)))))</f>
        <v/>
      </c>
      <c r="K388" s="9" t="n"/>
      <c r="L388" s="13" t="n"/>
      <c r="M388" s="13" t="n"/>
      <c r="N388" s="13" t="n"/>
      <c r="O388" s="8">
        <f>IF(OR($G388="",$J388=""),"",$J388-$G388+1)</f>
        <v/>
      </c>
      <c r="P388" s="8">
        <f>IF(OR($G388="",$J388=""),"",$J388-$G388)</f>
        <v/>
      </c>
      <c r="Q388" s="9" t="n"/>
      <c r="R388" s="9" t="n"/>
      <c r="S388" s="9" t="n"/>
      <c r="T388" s="9" t="n"/>
      <c r="U388" s="9" t="n"/>
      <c r="V388" s="9" t="n"/>
      <c r="W388" s="14" t="n"/>
      <c r="X388" s="9" t="n"/>
      <c r="Y388" s="8">
        <f>IF($G388="","",IF($D388="","⚠部屋が未選択",IF(COUNTIF('M_部屋'!$A$4:$A$20,$D388)=0,"⚠部屋が未登録",IF(OR($J388="",$Q388="キャンセル"),"",IF(SUMPRODUCT(($D$5:$D$404=$D388)*($G$5:$G$404&lt;&gt;"")*($J$5:$J$404&lt;&gt;"")*($Q$5:$Q$404&lt;&gt;"キャンセル")*($G$5:$G$404&lt;$J388)*($J$5:$J$404&gt;$G388))&gt;1,"⚠重複","")))))</f>
        <v/>
      </c>
      <c r="Z388" s="8">
        <f>IF(OR($B388="",$G388=""),"",IF(SUMPRODUCT(('利用者マスタ'!$A$4:$A$60=$B388)*('利用者マスタ'!$B$4:$B$60&lt;&gt;""))=0,"",IF(SUMIFS($AA$5:$AA$404,$B$5:$B$404,$B388,$G$5:$G$404,"&gt;="&amp;DATE(YEAR($G388),MONTH($G388),1),$G$5:$G$404,"&lt;="&amp;EOMONTH($G388,0))&gt;SUMIFS('利用者マスタ'!$B$4:$B$60,'利用者マスタ'!$A$4:$A$60,$B388),"⚠支給量超過","")))</f>
        <v/>
      </c>
      <c r="AA388" s="8">
        <f>IF(OR($G388="",$J388="",$Q388="キャンセル"),0,IF(IFERROR(INDEX('M_区分'!$B$4:$B$20,MATCH($C388,'M_区分'!$A$4:$A$20,0)),"○")="○",$J388-$G388+1,0))</f>
        <v/>
      </c>
      <c r="AB388" s="8">
        <f>IF($E388&lt;&gt;"",$E388,$AB387)</f>
        <v/>
      </c>
      <c r="AC388" s="8">
        <f>IF(OR($G388="",$J388=""),"",IF(AND($G388&lt;=EOMONTH('02_カレンダー'!$B$4,0),$J388&gt;='02_カレンダー'!$B$4),$G388*10000+ROW(),""))</f>
        <v/>
      </c>
      <c r="AD388" s="8">
        <f>IF($H388="","",IF(ISNUMBER($H388),IF(AND($H388=INT($H388),$H388&gt;=0,$H388&lt;=24),TEXT(INT($H388),"00")&amp;":00",TEXT($H388,"hh:mm")),$H388))</f>
        <v/>
      </c>
      <c r="AE388" s="8">
        <f>IF($K388="","",IF(ISNUMBER($K388),IF(AND($K388=INT($K388),$K388&gt;=0,$K388&lt;=24),TEXT(INT($K388),"00")&amp;":00",TEXT($K388,"hh:mm")),$K388))</f>
        <v/>
      </c>
      <c r="AF388" s="8">
        <f>IF($G388="",0,$G388)</f>
        <v/>
      </c>
      <c r="AG388" s="8">
        <f>IF($J388="",0,$J388)</f>
        <v/>
      </c>
    </row>
    <row r="389">
      <c r="A389" s="8">
        <f>IF($G389="","","SS-"&amp;TEXT(ROW()-4,"0000"))</f>
        <v/>
      </c>
      <c r="B389" s="9" t="n"/>
      <c r="C389" s="9" t="n"/>
      <c r="D389" s="9" t="n"/>
      <c r="E389" s="10" t="n"/>
      <c r="F389" s="11" t="n"/>
      <c r="G389" s="12">
        <f>IF($F389="","",IF($F389&gt;31,$F389,IF($AB389="","",DATE(YEAR($AB389),MONTH($AB389),$F389))))</f>
        <v/>
      </c>
      <c r="H389" s="9" t="n"/>
      <c r="I389" s="11" t="n"/>
      <c r="J389" s="12">
        <f>IF($I389="","",IF($I389&gt;31,$I389,IF($G389="","",IF(DATE(YEAR($G389),MONTH($G389),$I389)&gt;=$G389,DATE(YEAR($G389),MONTH($G389),$I389),DATE(YEAR($G389),MONTH($G389)+1,$I389)))))</f>
        <v/>
      </c>
      <c r="K389" s="9" t="n"/>
      <c r="L389" s="13" t="n"/>
      <c r="M389" s="13" t="n"/>
      <c r="N389" s="13" t="n"/>
      <c r="O389" s="8">
        <f>IF(OR($G389="",$J389=""),"",$J389-$G389+1)</f>
        <v/>
      </c>
      <c r="P389" s="8">
        <f>IF(OR($G389="",$J389=""),"",$J389-$G389)</f>
        <v/>
      </c>
      <c r="Q389" s="9" t="n"/>
      <c r="R389" s="9" t="n"/>
      <c r="S389" s="9" t="n"/>
      <c r="T389" s="9" t="n"/>
      <c r="U389" s="9" t="n"/>
      <c r="V389" s="9" t="n"/>
      <c r="W389" s="14" t="n"/>
      <c r="X389" s="9" t="n"/>
      <c r="Y389" s="8">
        <f>IF($G389="","",IF($D389="","⚠部屋が未選択",IF(COUNTIF('M_部屋'!$A$4:$A$20,$D389)=0,"⚠部屋が未登録",IF(OR($J389="",$Q389="キャンセル"),"",IF(SUMPRODUCT(($D$5:$D$404=$D389)*($G$5:$G$404&lt;&gt;"")*($J$5:$J$404&lt;&gt;"")*($Q$5:$Q$404&lt;&gt;"キャンセル")*($G$5:$G$404&lt;$J389)*($J$5:$J$404&gt;$G389))&gt;1,"⚠重複","")))))</f>
        <v/>
      </c>
      <c r="Z389" s="8">
        <f>IF(OR($B389="",$G389=""),"",IF(SUMPRODUCT(('利用者マスタ'!$A$4:$A$60=$B389)*('利用者マスタ'!$B$4:$B$60&lt;&gt;""))=0,"",IF(SUMIFS($AA$5:$AA$404,$B$5:$B$404,$B389,$G$5:$G$404,"&gt;="&amp;DATE(YEAR($G389),MONTH($G389),1),$G$5:$G$404,"&lt;="&amp;EOMONTH($G389,0))&gt;SUMIFS('利用者マスタ'!$B$4:$B$60,'利用者マスタ'!$A$4:$A$60,$B389),"⚠支給量超過","")))</f>
        <v/>
      </c>
      <c r="AA389" s="8">
        <f>IF(OR($G389="",$J389="",$Q389="キャンセル"),0,IF(IFERROR(INDEX('M_区分'!$B$4:$B$20,MATCH($C389,'M_区分'!$A$4:$A$20,0)),"○")="○",$J389-$G389+1,0))</f>
        <v/>
      </c>
      <c r="AB389" s="8">
        <f>IF($E389&lt;&gt;"",$E389,$AB388)</f>
        <v/>
      </c>
      <c r="AC389" s="8">
        <f>IF(OR($G389="",$J389=""),"",IF(AND($G389&lt;=EOMONTH('02_カレンダー'!$B$4,0),$J389&gt;='02_カレンダー'!$B$4),$G389*10000+ROW(),""))</f>
        <v/>
      </c>
      <c r="AD389" s="8">
        <f>IF($H389="","",IF(ISNUMBER($H389),IF(AND($H389=INT($H389),$H389&gt;=0,$H389&lt;=24),TEXT(INT($H389),"00")&amp;":00",TEXT($H389,"hh:mm")),$H389))</f>
        <v/>
      </c>
      <c r="AE389" s="8">
        <f>IF($K389="","",IF(ISNUMBER($K389),IF(AND($K389=INT($K389),$K389&gt;=0,$K389&lt;=24),TEXT(INT($K389),"00")&amp;":00",TEXT($K389,"hh:mm")),$K389))</f>
        <v/>
      </c>
      <c r="AF389" s="8">
        <f>IF($G389="",0,$G389)</f>
        <v/>
      </c>
      <c r="AG389" s="8">
        <f>IF($J389="",0,$J389)</f>
        <v/>
      </c>
    </row>
    <row r="390">
      <c r="A390" s="8">
        <f>IF($G390="","","SS-"&amp;TEXT(ROW()-4,"0000"))</f>
        <v/>
      </c>
      <c r="B390" s="9" t="n"/>
      <c r="C390" s="9" t="n"/>
      <c r="D390" s="9" t="n"/>
      <c r="E390" s="10" t="n"/>
      <c r="F390" s="11" t="n"/>
      <c r="G390" s="12">
        <f>IF($F390="","",IF($F390&gt;31,$F390,IF($AB390="","",DATE(YEAR($AB390),MONTH($AB390),$F390))))</f>
        <v/>
      </c>
      <c r="H390" s="9" t="n"/>
      <c r="I390" s="11" t="n"/>
      <c r="J390" s="12">
        <f>IF($I390="","",IF($I390&gt;31,$I390,IF($G390="","",IF(DATE(YEAR($G390),MONTH($G390),$I390)&gt;=$G390,DATE(YEAR($G390),MONTH($G390),$I390),DATE(YEAR($G390),MONTH($G390)+1,$I390)))))</f>
        <v/>
      </c>
      <c r="K390" s="9" t="n"/>
      <c r="L390" s="13" t="n"/>
      <c r="M390" s="13" t="n"/>
      <c r="N390" s="13" t="n"/>
      <c r="O390" s="8">
        <f>IF(OR($G390="",$J390=""),"",$J390-$G390+1)</f>
        <v/>
      </c>
      <c r="P390" s="8">
        <f>IF(OR($G390="",$J390=""),"",$J390-$G390)</f>
        <v/>
      </c>
      <c r="Q390" s="9" t="n"/>
      <c r="R390" s="9" t="n"/>
      <c r="S390" s="9" t="n"/>
      <c r="T390" s="9" t="n"/>
      <c r="U390" s="9" t="n"/>
      <c r="V390" s="9" t="n"/>
      <c r="W390" s="14" t="n"/>
      <c r="X390" s="9" t="n"/>
      <c r="Y390" s="8">
        <f>IF($G390="","",IF($D390="","⚠部屋が未選択",IF(COUNTIF('M_部屋'!$A$4:$A$20,$D390)=0,"⚠部屋が未登録",IF(OR($J390="",$Q390="キャンセル"),"",IF(SUMPRODUCT(($D$5:$D$404=$D390)*($G$5:$G$404&lt;&gt;"")*($J$5:$J$404&lt;&gt;"")*($Q$5:$Q$404&lt;&gt;"キャンセル")*($G$5:$G$404&lt;$J390)*($J$5:$J$404&gt;$G390))&gt;1,"⚠重複","")))))</f>
        <v/>
      </c>
      <c r="Z390" s="8">
        <f>IF(OR($B390="",$G390=""),"",IF(SUMPRODUCT(('利用者マスタ'!$A$4:$A$60=$B390)*('利用者マスタ'!$B$4:$B$60&lt;&gt;""))=0,"",IF(SUMIFS($AA$5:$AA$404,$B$5:$B$404,$B390,$G$5:$G$404,"&gt;="&amp;DATE(YEAR($G390),MONTH($G390),1),$G$5:$G$404,"&lt;="&amp;EOMONTH($G390,0))&gt;SUMIFS('利用者マスタ'!$B$4:$B$60,'利用者マスタ'!$A$4:$A$60,$B390),"⚠支給量超過","")))</f>
        <v/>
      </c>
      <c r="AA390" s="8">
        <f>IF(OR($G390="",$J390="",$Q390="キャンセル"),0,IF(IFERROR(INDEX('M_区分'!$B$4:$B$20,MATCH($C390,'M_区分'!$A$4:$A$20,0)),"○")="○",$J390-$G390+1,0))</f>
        <v/>
      </c>
      <c r="AB390" s="8">
        <f>IF($E390&lt;&gt;"",$E390,$AB389)</f>
        <v/>
      </c>
      <c r="AC390" s="8">
        <f>IF(OR($G390="",$J390=""),"",IF(AND($G390&lt;=EOMONTH('02_カレンダー'!$B$4,0),$J390&gt;='02_カレンダー'!$B$4),$G390*10000+ROW(),""))</f>
        <v/>
      </c>
      <c r="AD390" s="8">
        <f>IF($H390="","",IF(ISNUMBER($H390),IF(AND($H390=INT($H390),$H390&gt;=0,$H390&lt;=24),TEXT(INT($H390),"00")&amp;":00",TEXT($H390,"hh:mm")),$H390))</f>
        <v/>
      </c>
      <c r="AE390" s="8">
        <f>IF($K390="","",IF(ISNUMBER($K390),IF(AND($K390=INT($K390),$K390&gt;=0,$K390&lt;=24),TEXT(INT($K390),"00")&amp;":00",TEXT($K390,"hh:mm")),$K390))</f>
        <v/>
      </c>
      <c r="AF390" s="8">
        <f>IF($G390="",0,$G390)</f>
        <v/>
      </c>
      <c r="AG390" s="8">
        <f>IF($J390="",0,$J390)</f>
        <v/>
      </c>
    </row>
    <row r="391">
      <c r="A391" s="8">
        <f>IF($G391="","","SS-"&amp;TEXT(ROW()-4,"0000"))</f>
        <v/>
      </c>
      <c r="B391" s="9" t="n"/>
      <c r="C391" s="9" t="n"/>
      <c r="D391" s="9" t="n"/>
      <c r="E391" s="10" t="n"/>
      <c r="F391" s="11" t="n"/>
      <c r="G391" s="12">
        <f>IF($F391="","",IF($F391&gt;31,$F391,IF($AB391="","",DATE(YEAR($AB391),MONTH($AB391),$F391))))</f>
        <v/>
      </c>
      <c r="H391" s="9" t="n"/>
      <c r="I391" s="11" t="n"/>
      <c r="J391" s="12">
        <f>IF($I391="","",IF($I391&gt;31,$I391,IF($G391="","",IF(DATE(YEAR($G391),MONTH($G391),$I391)&gt;=$G391,DATE(YEAR($G391),MONTH($G391),$I391),DATE(YEAR($G391),MONTH($G391)+1,$I391)))))</f>
        <v/>
      </c>
      <c r="K391" s="9" t="n"/>
      <c r="L391" s="13" t="n"/>
      <c r="M391" s="13" t="n"/>
      <c r="N391" s="13" t="n"/>
      <c r="O391" s="8">
        <f>IF(OR($G391="",$J391=""),"",$J391-$G391+1)</f>
        <v/>
      </c>
      <c r="P391" s="8">
        <f>IF(OR($G391="",$J391=""),"",$J391-$G391)</f>
        <v/>
      </c>
      <c r="Q391" s="9" t="n"/>
      <c r="R391" s="9" t="n"/>
      <c r="S391" s="9" t="n"/>
      <c r="T391" s="9" t="n"/>
      <c r="U391" s="9" t="n"/>
      <c r="V391" s="9" t="n"/>
      <c r="W391" s="14" t="n"/>
      <c r="X391" s="9" t="n"/>
      <c r="Y391" s="8">
        <f>IF($G391="","",IF($D391="","⚠部屋が未選択",IF(COUNTIF('M_部屋'!$A$4:$A$20,$D391)=0,"⚠部屋が未登録",IF(OR($J391="",$Q391="キャンセル"),"",IF(SUMPRODUCT(($D$5:$D$404=$D391)*($G$5:$G$404&lt;&gt;"")*($J$5:$J$404&lt;&gt;"")*($Q$5:$Q$404&lt;&gt;"キャンセル")*($G$5:$G$404&lt;$J391)*($J$5:$J$404&gt;$G391))&gt;1,"⚠重複","")))))</f>
        <v/>
      </c>
      <c r="Z391" s="8">
        <f>IF(OR($B391="",$G391=""),"",IF(SUMPRODUCT(('利用者マスタ'!$A$4:$A$60=$B391)*('利用者マスタ'!$B$4:$B$60&lt;&gt;""))=0,"",IF(SUMIFS($AA$5:$AA$404,$B$5:$B$404,$B391,$G$5:$G$404,"&gt;="&amp;DATE(YEAR($G391),MONTH($G391),1),$G$5:$G$404,"&lt;="&amp;EOMONTH($G391,0))&gt;SUMIFS('利用者マスタ'!$B$4:$B$60,'利用者マスタ'!$A$4:$A$60,$B391),"⚠支給量超過","")))</f>
        <v/>
      </c>
      <c r="AA391" s="8">
        <f>IF(OR($G391="",$J391="",$Q391="キャンセル"),0,IF(IFERROR(INDEX('M_区分'!$B$4:$B$20,MATCH($C391,'M_区分'!$A$4:$A$20,0)),"○")="○",$J391-$G391+1,0))</f>
        <v/>
      </c>
      <c r="AB391" s="8">
        <f>IF($E391&lt;&gt;"",$E391,$AB390)</f>
        <v/>
      </c>
      <c r="AC391" s="8">
        <f>IF(OR($G391="",$J391=""),"",IF(AND($G391&lt;=EOMONTH('02_カレンダー'!$B$4,0),$J391&gt;='02_カレンダー'!$B$4),$G391*10000+ROW(),""))</f>
        <v/>
      </c>
      <c r="AD391" s="8">
        <f>IF($H391="","",IF(ISNUMBER($H391),IF(AND($H391=INT($H391),$H391&gt;=0,$H391&lt;=24),TEXT(INT($H391),"00")&amp;":00",TEXT($H391,"hh:mm")),$H391))</f>
        <v/>
      </c>
      <c r="AE391" s="8">
        <f>IF($K391="","",IF(ISNUMBER($K391),IF(AND($K391=INT($K391),$K391&gt;=0,$K391&lt;=24),TEXT(INT($K391),"00")&amp;":00",TEXT($K391,"hh:mm")),$K391))</f>
        <v/>
      </c>
      <c r="AF391" s="8">
        <f>IF($G391="",0,$G391)</f>
        <v/>
      </c>
      <c r="AG391" s="8">
        <f>IF($J391="",0,$J391)</f>
        <v/>
      </c>
    </row>
    <row r="392">
      <c r="A392" s="8">
        <f>IF($G392="","","SS-"&amp;TEXT(ROW()-4,"0000"))</f>
        <v/>
      </c>
      <c r="B392" s="9" t="n"/>
      <c r="C392" s="9" t="n"/>
      <c r="D392" s="9" t="n"/>
      <c r="E392" s="10" t="n"/>
      <c r="F392" s="11" t="n"/>
      <c r="G392" s="12">
        <f>IF($F392="","",IF($F392&gt;31,$F392,IF($AB392="","",DATE(YEAR($AB392),MONTH($AB392),$F392))))</f>
        <v/>
      </c>
      <c r="H392" s="9" t="n"/>
      <c r="I392" s="11" t="n"/>
      <c r="J392" s="12">
        <f>IF($I392="","",IF($I392&gt;31,$I392,IF($G392="","",IF(DATE(YEAR($G392),MONTH($G392),$I392)&gt;=$G392,DATE(YEAR($G392),MONTH($G392),$I392),DATE(YEAR($G392),MONTH($G392)+1,$I392)))))</f>
        <v/>
      </c>
      <c r="K392" s="9" t="n"/>
      <c r="L392" s="13" t="n"/>
      <c r="M392" s="13" t="n"/>
      <c r="N392" s="13" t="n"/>
      <c r="O392" s="8">
        <f>IF(OR($G392="",$J392=""),"",$J392-$G392+1)</f>
        <v/>
      </c>
      <c r="P392" s="8">
        <f>IF(OR($G392="",$J392=""),"",$J392-$G392)</f>
        <v/>
      </c>
      <c r="Q392" s="9" t="n"/>
      <c r="R392" s="9" t="n"/>
      <c r="S392" s="9" t="n"/>
      <c r="T392" s="9" t="n"/>
      <c r="U392" s="9" t="n"/>
      <c r="V392" s="9" t="n"/>
      <c r="W392" s="14" t="n"/>
      <c r="X392" s="9" t="n"/>
      <c r="Y392" s="8">
        <f>IF($G392="","",IF($D392="","⚠部屋が未選択",IF(COUNTIF('M_部屋'!$A$4:$A$20,$D392)=0,"⚠部屋が未登録",IF(OR($J392="",$Q392="キャンセル"),"",IF(SUMPRODUCT(($D$5:$D$404=$D392)*($G$5:$G$404&lt;&gt;"")*($J$5:$J$404&lt;&gt;"")*($Q$5:$Q$404&lt;&gt;"キャンセル")*($G$5:$G$404&lt;$J392)*($J$5:$J$404&gt;$G392))&gt;1,"⚠重複","")))))</f>
        <v/>
      </c>
      <c r="Z392" s="8">
        <f>IF(OR($B392="",$G392=""),"",IF(SUMPRODUCT(('利用者マスタ'!$A$4:$A$60=$B392)*('利用者マスタ'!$B$4:$B$60&lt;&gt;""))=0,"",IF(SUMIFS($AA$5:$AA$404,$B$5:$B$404,$B392,$G$5:$G$404,"&gt;="&amp;DATE(YEAR($G392),MONTH($G392),1),$G$5:$G$404,"&lt;="&amp;EOMONTH($G392,0))&gt;SUMIFS('利用者マスタ'!$B$4:$B$60,'利用者マスタ'!$A$4:$A$60,$B392),"⚠支給量超過","")))</f>
        <v/>
      </c>
      <c r="AA392" s="8">
        <f>IF(OR($G392="",$J392="",$Q392="キャンセル"),0,IF(IFERROR(INDEX('M_区分'!$B$4:$B$20,MATCH($C392,'M_区分'!$A$4:$A$20,0)),"○")="○",$J392-$G392+1,0))</f>
        <v/>
      </c>
      <c r="AB392" s="8">
        <f>IF($E392&lt;&gt;"",$E392,$AB391)</f>
        <v/>
      </c>
      <c r="AC392" s="8">
        <f>IF(OR($G392="",$J392=""),"",IF(AND($G392&lt;=EOMONTH('02_カレンダー'!$B$4,0),$J392&gt;='02_カレンダー'!$B$4),$G392*10000+ROW(),""))</f>
        <v/>
      </c>
      <c r="AD392" s="8">
        <f>IF($H392="","",IF(ISNUMBER($H392),IF(AND($H392=INT($H392),$H392&gt;=0,$H392&lt;=24),TEXT(INT($H392),"00")&amp;":00",TEXT($H392,"hh:mm")),$H392))</f>
        <v/>
      </c>
      <c r="AE392" s="8">
        <f>IF($K392="","",IF(ISNUMBER($K392),IF(AND($K392=INT($K392),$K392&gt;=0,$K392&lt;=24),TEXT(INT($K392),"00")&amp;":00",TEXT($K392,"hh:mm")),$K392))</f>
        <v/>
      </c>
      <c r="AF392" s="8">
        <f>IF($G392="",0,$G392)</f>
        <v/>
      </c>
      <c r="AG392" s="8">
        <f>IF($J392="",0,$J392)</f>
        <v/>
      </c>
    </row>
    <row r="393">
      <c r="A393" s="8">
        <f>IF($G393="","","SS-"&amp;TEXT(ROW()-4,"0000"))</f>
        <v/>
      </c>
      <c r="B393" s="9" t="n"/>
      <c r="C393" s="9" t="n"/>
      <c r="D393" s="9" t="n"/>
      <c r="E393" s="10" t="n"/>
      <c r="F393" s="11" t="n"/>
      <c r="G393" s="12">
        <f>IF($F393="","",IF($F393&gt;31,$F393,IF($AB393="","",DATE(YEAR($AB393),MONTH($AB393),$F393))))</f>
        <v/>
      </c>
      <c r="H393" s="9" t="n"/>
      <c r="I393" s="11" t="n"/>
      <c r="J393" s="12">
        <f>IF($I393="","",IF($I393&gt;31,$I393,IF($G393="","",IF(DATE(YEAR($G393),MONTH($G393),$I393)&gt;=$G393,DATE(YEAR($G393),MONTH($G393),$I393),DATE(YEAR($G393),MONTH($G393)+1,$I393)))))</f>
        <v/>
      </c>
      <c r="K393" s="9" t="n"/>
      <c r="L393" s="13" t="n"/>
      <c r="M393" s="13" t="n"/>
      <c r="N393" s="13" t="n"/>
      <c r="O393" s="8">
        <f>IF(OR($G393="",$J393=""),"",$J393-$G393+1)</f>
        <v/>
      </c>
      <c r="P393" s="8">
        <f>IF(OR($G393="",$J393=""),"",$J393-$G393)</f>
        <v/>
      </c>
      <c r="Q393" s="9" t="n"/>
      <c r="R393" s="9" t="n"/>
      <c r="S393" s="9" t="n"/>
      <c r="T393" s="9" t="n"/>
      <c r="U393" s="9" t="n"/>
      <c r="V393" s="9" t="n"/>
      <c r="W393" s="14" t="n"/>
      <c r="X393" s="9" t="n"/>
      <c r="Y393" s="8">
        <f>IF($G393="","",IF($D393="","⚠部屋が未選択",IF(COUNTIF('M_部屋'!$A$4:$A$20,$D393)=0,"⚠部屋が未登録",IF(OR($J393="",$Q393="キャンセル"),"",IF(SUMPRODUCT(($D$5:$D$404=$D393)*($G$5:$G$404&lt;&gt;"")*($J$5:$J$404&lt;&gt;"")*($Q$5:$Q$404&lt;&gt;"キャンセル")*($G$5:$G$404&lt;$J393)*($J$5:$J$404&gt;$G393))&gt;1,"⚠重複","")))))</f>
        <v/>
      </c>
      <c r="Z393" s="8">
        <f>IF(OR($B393="",$G393=""),"",IF(SUMPRODUCT(('利用者マスタ'!$A$4:$A$60=$B393)*('利用者マスタ'!$B$4:$B$60&lt;&gt;""))=0,"",IF(SUMIFS($AA$5:$AA$404,$B$5:$B$404,$B393,$G$5:$G$404,"&gt;="&amp;DATE(YEAR($G393),MONTH($G393),1),$G$5:$G$404,"&lt;="&amp;EOMONTH($G393,0))&gt;SUMIFS('利用者マスタ'!$B$4:$B$60,'利用者マスタ'!$A$4:$A$60,$B393),"⚠支給量超過","")))</f>
        <v/>
      </c>
      <c r="AA393" s="8">
        <f>IF(OR($G393="",$J393="",$Q393="キャンセル"),0,IF(IFERROR(INDEX('M_区分'!$B$4:$B$20,MATCH($C393,'M_区分'!$A$4:$A$20,0)),"○")="○",$J393-$G393+1,0))</f>
        <v/>
      </c>
      <c r="AB393" s="8">
        <f>IF($E393&lt;&gt;"",$E393,$AB392)</f>
        <v/>
      </c>
      <c r="AC393" s="8">
        <f>IF(OR($G393="",$J393=""),"",IF(AND($G393&lt;=EOMONTH('02_カレンダー'!$B$4,0),$J393&gt;='02_カレンダー'!$B$4),$G393*10000+ROW(),""))</f>
        <v/>
      </c>
      <c r="AD393" s="8">
        <f>IF($H393="","",IF(ISNUMBER($H393),IF(AND($H393=INT($H393),$H393&gt;=0,$H393&lt;=24),TEXT(INT($H393),"00")&amp;":00",TEXT($H393,"hh:mm")),$H393))</f>
        <v/>
      </c>
      <c r="AE393" s="8">
        <f>IF($K393="","",IF(ISNUMBER($K393),IF(AND($K393=INT($K393),$K393&gt;=0,$K393&lt;=24),TEXT(INT($K393),"00")&amp;":00",TEXT($K393,"hh:mm")),$K393))</f>
        <v/>
      </c>
      <c r="AF393" s="8">
        <f>IF($G393="",0,$G393)</f>
        <v/>
      </c>
      <c r="AG393" s="8">
        <f>IF($J393="",0,$J393)</f>
        <v/>
      </c>
    </row>
    <row r="394">
      <c r="A394" s="8">
        <f>IF($G394="","","SS-"&amp;TEXT(ROW()-4,"0000"))</f>
        <v/>
      </c>
      <c r="B394" s="9" t="n"/>
      <c r="C394" s="9" t="n"/>
      <c r="D394" s="9" t="n"/>
      <c r="E394" s="10" t="n"/>
      <c r="F394" s="11" t="n"/>
      <c r="G394" s="12">
        <f>IF($F394="","",IF($F394&gt;31,$F394,IF($AB394="","",DATE(YEAR($AB394),MONTH($AB394),$F394))))</f>
        <v/>
      </c>
      <c r="H394" s="9" t="n"/>
      <c r="I394" s="11" t="n"/>
      <c r="J394" s="12">
        <f>IF($I394="","",IF($I394&gt;31,$I394,IF($G394="","",IF(DATE(YEAR($G394),MONTH($G394),$I394)&gt;=$G394,DATE(YEAR($G394),MONTH($G394),$I394),DATE(YEAR($G394),MONTH($G394)+1,$I394)))))</f>
        <v/>
      </c>
      <c r="K394" s="9" t="n"/>
      <c r="L394" s="13" t="n"/>
      <c r="M394" s="13" t="n"/>
      <c r="N394" s="13" t="n"/>
      <c r="O394" s="8">
        <f>IF(OR($G394="",$J394=""),"",$J394-$G394+1)</f>
        <v/>
      </c>
      <c r="P394" s="8">
        <f>IF(OR($G394="",$J394=""),"",$J394-$G394)</f>
        <v/>
      </c>
      <c r="Q394" s="9" t="n"/>
      <c r="R394" s="9" t="n"/>
      <c r="S394" s="9" t="n"/>
      <c r="T394" s="9" t="n"/>
      <c r="U394" s="9" t="n"/>
      <c r="V394" s="9" t="n"/>
      <c r="W394" s="14" t="n"/>
      <c r="X394" s="9" t="n"/>
      <c r="Y394" s="8">
        <f>IF($G394="","",IF($D394="","⚠部屋が未選択",IF(COUNTIF('M_部屋'!$A$4:$A$20,$D394)=0,"⚠部屋が未登録",IF(OR($J394="",$Q394="キャンセル"),"",IF(SUMPRODUCT(($D$5:$D$404=$D394)*($G$5:$G$404&lt;&gt;"")*($J$5:$J$404&lt;&gt;"")*($Q$5:$Q$404&lt;&gt;"キャンセル")*($G$5:$G$404&lt;$J394)*($J$5:$J$404&gt;$G394))&gt;1,"⚠重複","")))))</f>
        <v/>
      </c>
      <c r="Z394" s="8">
        <f>IF(OR($B394="",$G394=""),"",IF(SUMPRODUCT(('利用者マスタ'!$A$4:$A$60=$B394)*('利用者マスタ'!$B$4:$B$60&lt;&gt;""))=0,"",IF(SUMIFS($AA$5:$AA$404,$B$5:$B$404,$B394,$G$5:$G$404,"&gt;="&amp;DATE(YEAR($G394),MONTH($G394),1),$G$5:$G$404,"&lt;="&amp;EOMONTH($G394,0))&gt;SUMIFS('利用者マスタ'!$B$4:$B$60,'利用者マスタ'!$A$4:$A$60,$B394),"⚠支給量超過","")))</f>
        <v/>
      </c>
      <c r="AA394" s="8">
        <f>IF(OR($G394="",$J394="",$Q394="キャンセル"),0,IF(IFERROR(INDEX('M_区分'!$B$4:$B$20,MATCH($C394,'M_区分'!$A$4:$A$20,0)),"○")="○",$J394-$G394+1,0))</f>
        <v/>
      </c>
      <c r="AB394" s="8">
        <f>IF($E394&lt;&gt;"",$E394,$AB393)</f>
        <v/>
      </c>
      <c r="AC394" s="8">
        <f>IF(OR($G394="",$J394=""),"",IF(AND($G394&lt;=EOMONTH('02_カレンダー'!$B$4,0),$J394&gt;='02_カレンダー'!$B$4),$G394*10000+ROW(),""))</f>
        <v/>
      </c>
      <c r="AD394" s="8">
        <f>IF($H394="","",IF(ISNUMBER($H394),IF(AND($H394=INT($H394),$H394&gt;=0,$H394&lt;=24),TEXT(INT($H394),"00")&amp;":00",TEXT($H394,"hh:mm")),$H394))</f>
        <v/>
      </c>
      <c r="AE394" s="8">
        <f>IF($K394="","",IF(ISNUMBER($K394),IF(AND($K394=INT($K394),$K394&gt;=0,$K394&lt;=24),TEXT(INT($K394),"00")&amp;":00",TEXT($K394,"hh:mm")),$K394))</f>
        <v/>
      </c>
      <c r="AF394" s="8">
        <f>IF($G394="",0,$G394)</f>
        <v/>
      </c>
      <c r="AG394" s="8">
        <f>IF($J394="",0,$J394)</f>
        <v/>
      </c>
    </row>
    <row r="395">
      <c r="A395" s="8">
        <f>IF($G395="","","SS-"&amp;TEXT(ROW()-4,"0000"))</f>
        <v/>
      </c>
      <c r="B395" s="9" t="n"/>
      <c r="C395" s="9" t="n"/>
      <c r="D395" s="9" t="n"/>
      <c r="E395" s="10" t="n"/>
      <c r="F395" s="11" t="n"/>
      <c r="G395" s="12">
        <f>IF($F395="","",IF($F395&gt;31,$F395,IF($AB395="","",DATE(YEAR($AB395),MONTH($AB395),$F395))))</f>
        <v/>
      </c>
      <c r="H395" s="9" t="n"/>
      <c r="I395" s="11" t="n"/>
      <c r="J395" s="12">
        <f>IF($I395="","",IF($I395&gt;31,$I395,IF($G395="","",IF(DATE(YEAR($G395),MONTH($G395),$I395)&gt;=$G395,DATE(YEAR($G395),MONTH($G395),$I395),DATE(YEAR($G395),MONTH($G395)+1,$I395)))))</f>
        <v/>
      </c>
      <c r="K395" s="9" t="n"/>
      <c r="L395" s="13" t="n"/>
      <c r="M395" s="13" t="n"/>
      <c r="N395" s="13" t="n"/>
      <c r="O395" s="8">
        <f>IF(OR($G395="",$J395=""),"",$J395-$G395+1)</f>
        <v/>
      </c>
      <c r="P395" s="8">
        <f>IF(OR($G395="",$J395=""),"",$J395-$G395)</f>
        <v/>
      </c>
      <c r="Q395" s="9" t="n"/>
      <c r="R395" s="9" t="n"/>
      <c r="S395" s="9" t="n"/>
      <c r="T395" s="9" t="n"/>
      <c r="U395" s="9" t="n"/>
      <c r="V395" s="9" t="n"/>
      <c r="W395" s="14" t="n"/>
      <c r="X395" s="9" t="n"/>
      <c r="Y395" s="8">
        <f>IF($G395="","",IF($D395="","⚠部屋が未選択",IF(COUNTIF('M_部屋'!$A$4:$A$20,$D395)=0,"⚠部屋が未登録",IF(OR($J395="",$Q395="キャンセル"),"",IF(SUMPRODUCT(($D$5:$D$404=$D395)*($G$5:$G$404&lt;&gt;"")*($J$5:$J$404&lt;&gt;"")*($Q$5:$Q$404&lt;&gt;"キャンセル")*($G$5:$G$404&lt;$J395)*($J$5:$J$404&gt;$G395))&gt;1,"⚠重複","")))))</f>
        <v/>
      </c>
      <c r="Z395" s="8">
        <f>IF(OR($B395="",$G395=""),"",IF(SUMPRODUCT(('利用者マスタ'!$A$4:$A$60=$B395)*('利用者マスタ'!$B$4:$B$60&lt;&gt;""))=0,"",IF(SUMIFS($AA$5:$AA$404,$B$5:$B$404,$B395,$G$5:$G$404,"&gt;="&amp;DATE(YEAR($G395),MONTH($G395),1),$G$5:$G$404,"&lt;="&amp;EOMONTH($G395,0))&gt;SUMIFS('利用者マスタ'!$B$4:$B$60,'利用者マスタ'!$A$4:$A$60,$B395),"⚠支給量超過","")))</f>
        <v/>
      </c>
      <c r="AA395" s="8">
        <f>IF(OR($G395="",$J395="",$Q395="キャンセル"),0,IF(IFERROR(INDEX('M_区分'!$B$4:$B$20,MATCH($C395,'M_区分'!$A$4:$A$20,0)),"○")="○",$J395-$G395+1,0))</f>
        <v/>
      </c>
      <c r="AB395" s="8">
        <f>IF($E395&lt;&gt;"",$E395,$AB394)</f>
        <v/>
      </c>
      <c r="AC395" s="8">
        <f>IF(OR($G395="",$J395=""),"",IF(AND($G395&lt;=EOMONTH('02_カレンダー'!$B$4,0),$J395&gt;='02_カレンダー'!$B$4),$G395*10000+ROW(),""))</f>
        <v/>
      </c>
      <c r="AD395" s="8">
        <f>IF($H395="","",IF(ISNUMBER($H395),IF(AND($H395=INT($H395),$H395&gt;=0,$H395&lt;=24),TEXT(INT($H395),"00")&amp;":00",TEXT($H395,"hh:mm")),$H395))</f>
        <v/>
      </c>
      <c r="AE395" s="8">
        <f>IF($K395="","",IF(ISNUMBER($K395),IF(AND($K395=INT($K395),$K395&gt;=0,$K395&lt;=24),TEXT(INT($K395),"00")&amp;":00",TEXT($K395,"hh:mm")),$K395))</f>
        <v/>
      </c>
      <c r="AF395" s="8">
        <f>IF($G395="",0,$G395)</f>
        <v/>
      </c>
      <c r="AG395" s="8">
        <f>IF($J395="",0,$J395)</f>
        <v/>
      </c>
    </row>
    <row r="396">
      <c r="A396" s="8">
        <f>IF($G396="","","SS-"&amp;TEXT(ROW()-4,"0000"))</f>
        <v/>
      </c>
      <c r="B396" s="9" t="n"/>
      <c r="C396" s="9" t="n"/>
      <c r="D396" s="9" t="n"/>
      <c r="E396" s="10" t="n"/>
      <c r="F396" s="11" t="n"/>
      <c r="G396" s="12">
        <f>IF($F396="","",IF($F396&gt;31,$F396,IF($AB396="","",DATE(YEAR($AB396),MONTH($AB396),$F396))))</f>
        <v/>
      </c>
      <c r="H396" s="9" t="n"/>
      <c r="I396" s="11" t="n"/>
      <c r="J396" s="12">
        <f>IF($I396="","",IF($I396&gt;31,$I396,IF($G396="","",IF(DATE(YEAR($G396),MONTH($G396),$I396)&gt;=$G396,DATE(YEAR($G396),MONTH($G396),$I396),DATE(YEAR($G396),MONTH($G396)+1,$I396)))))</f>
        <v/>
      </c>
      <c r="K396" s="9" t="n"/>
      <c r="L396" s="13" t="n"/>
      <c r="M396" s="13" t="n"/>
      <c r="N396" s="13" t="n"/>
      <c r="O396" s="8">
        <f>IF(OR($G396="",$J396=""),"",$J396-$G396+1)</f>
        <v/>
      </c>
      <c r="P396" s="8">
        <f>IF(OR($G396="",$J396=""),"",$J396-$G396)</f>
        <v/>
      </c>
      <c r="Q396" s="9" t="n"/>
      <c r="R396" s="9" t="n"/>
      <c r="S396" s="9" t="n"/>
      <c r="T396" s="9" t="n"/>
      <c r="U396" s="9" t="n"/>
      <c r="V396" s="9" t="n"/>
      <c r="W396" s="14" t="n"/>
      <c r="X396" s="9" t="n"/>
      <c r="Y396" s="8">
        <f>IF($G396="","",IF($D396="","⚠部屋が未選択",IF(COUNTIF('M_部屋'!$A$4:$A$20,$D396)=0,"⚠部屋が未登録",IF(OR($J396="",$Q396="キャンセル"),"",IF(SUMPRODUCT(($D$5:$D$404=$D396)*($G$5:$G$404&lt;&gt;"")*($J$5:$J$404&lt;&gt;"")*($Q$5:$Q$404&lt;&gt;"キャンセル")*($G$5:$G$404&lt;$J396)*($J$5:$J$404&gt;$G396))&gt;1,"⚠重複","")))))</f>
        <v/>
      </c>
      <c r="Z396" s="8">
        <f>IF(OR($B396="",$G396=""),"",IF(SUMPRODUCT(('利用者マスタ'!$A$4:$A$60=$B396)*('利用者マスタ'!$B$4:$B$60&lt;&gt;""))=0,"",IF(SUMIFS($AA$5:$AA$404,$B$5:$B$404,$B396,$G$5:$G$404,"&gt;="&amp;DATE(YEAR($G396),MONTH($G396),1),$G$5:$G$404,"&lt;="&amp;EOMONTH($G396,0))&gt;SUMIFS('利用者マスタ'!$B$4:$B$60,'利用者マスタ'!$A$4:$A$60,$B396),"⚠支給量超過","")))</f>
        <v/>
      </c>
      <c r="AA396" s="8">
        <f>IF(OR($G396="",$J396="",$Q396="キャンセル"),0,IF(IFERROR(INDEX('M_区分'!$B$4:$B$20,MATCH($C396,'M_区分'!$A$4:$A$20,0)),"○")="○",$J396-$G396+1,0))</f>
        <v/>
      </c>
      <c r="AB396" s="8">
        <f>IF($E396&lt;&gt;"",$E396,$AB395)</f>
        <v/>
      </c>
      <c r="AC396" s="8">
        <f>IF(OR($G396="",$J396=""),"",IF(AND($G396&lt;=EOMONTH('02_カレンダー'!$B$4,0),$J396&gt;='02_カレンダー'!$B$4),$G396*10000+ROW(),""))</f>
        <v/>
      </c>
      <c r="AD396" s="8">
        <f>IF($H396="","",IF(ISNUMBER($H396),IF(AND($H396=INT($H396),$H396&gt;=0,$H396&lt;=24),TEXT(INT($H396),"00")&amp;":00",TEXT($H396,"hh:mm")),$H396))</f>
        <v/>
      </c>
      <c r="AE396" s="8">
        <f>IF($K396="","",IF(ISNUMBER($K396),IF(AND($K396=INT($K396),$K396&gt;=0,$K396&lt;=24),TEXT(INT($K396),"00")&amp;":00",TEXT($K396,"hh:mm")),$K396))</f>
        <v/>
      </c>
      <c r="AF396" s="8">
        <f>IF($G396="",0,$G396)</f>
        <v/>
      </c>
      <c r="AG396" s="8">
        <f>IF($J396="",0,$J396)</f>
        <v/>
      </c>
    </row>
    <row r="397">
      <c r="A397" s="8">
        <f>IF($G397="","","SS-"&amp;TEXT(ROW()-4,"0000"))</f>
        <v/>
      </c>
      <c r="B397" s="9" t="n"/>
      <c r="C397" s="9" t="n"/>
      <c r="D397" s="9" t="n"/>
      <c r="E397" s="10" t="n"/>
      <c r="F397" s="11" t="n"/>
      <c r="G397" s="12">
        <f>IF($F397="","",IF($F397&gt;31,$F397,IF($AB397="","",DATE(YEAR($AB397),MONTH($AB397),$F397))))</f>
        <v/>
      </c>
      <c r="H397" s="9" t="n"/>
      <c r="I397" s="11" t="n"/>
      <c r="J397" s="12">
        <f>IF($I397="","",IF($I397&gt;31,$I397,IF($G397="","",IF(DATE(YEAR($G397),MONTH($G397),$I397)&gt;=$G397,DATE(YEAR($G397),MONTH($G397),$I397),DATE(YEAR($G397),MONTH($G397)+1,$I397)))))</f>
        <v/>
      </c>
      <c r="K397" s="9" t="n"/>
      <c r="L397" s="13" t="n"/>
      <c r="M397" s="13" t="n"/>
      <c r="N397" s="13" t="n"/>
      <c r="O397" s="8">
        <f>IF(OR($G397="",$J397=""),"",$J397-$G397+1)</f>
        <v/>
      </c>
      <c r="P397" s="8">
        <f>IF(OR($G397="",$J397=""),"",$J397-$G397)</f>
        <v/>
      </c>
      <c r="Q397" s="9" t="n"/>
      <c r="R397" s="9" t="n"/>
      <c r="S397" s="9" t="n"/>
      <c r="T397" s="9" t="n"/>
      <c r="U397" s="9" t="n"/>
      <c r="V397" s="9" t="n"/>
      <c r="W397" s="14" t="n"/>
      <c r="X397" s="9" t="n"/>
      <c r="Y397" s="8">
        <f>IF($G397="","",IF($D397="","⚠部屋が未選択",IF(COUNTIF('M_部屋'!$A$4:$A$20,$D397)=0,"⚠部屋が未登録",IF(OR($J397="",$Q397="キャンセル"),"",IF(SUMPRODUCT(($D$5:$D$404=$D397)*($G$5:$G$404&lt;&gt;"")*($J$5:$J$404&lt;&gt;"")*($Q$5:$Q$404&lt;&gt;"キャンセル")*($G$5:$G$404&lt;$J397)*($J$5:$J$404&gt;$G397))&gt;1,"⚠重複","")))))</f>
        <v/>
      </c>
      <c r="Z397" s="8">
        <f>IF(OR($B397="",$G397=""),"",IF(SUMPRODUCT(('利用者マスタ'!$A$4:$A$60=$B397)*('利用者マスタ'!$B$4:$B$60&lt;&gt;""))=0,"",IF(SUMIFS($AA$5:$AA$404,$B$5:$B$404,$B397,$G$5:$G$404,"&gt;="&amp;DATE(YEAR($G397),MONTH($G397),1),$G$5:$G$404,"&lt;="&amp;EOMONTH($G397,0))&gt;SUMIFS('利用者マスタ'!$B$4:$B$60,'利用者マスタ'!$A$4:$A$60,$B397),"⚠支給量超過","")))</f>
        <v/>
      </c>
      <c r="AA397" s="8">
        <f>IF(OR($G397="",$J397="",$Q397="キャンセル"),0,IF(IFERROR(INDEX('M_区分'!$B$4:$B$20,MATCH($C397,'M_区分'!$A$4:$A$20,0)),"○")="○",$J397-$G397+1,0))</f>
        <v/>
      </c>
      <c r="AB397" s="8">
        <f>IF($E397&lt;&gt;"",$E397,$AB396)</f>
        <v/>
      </c>
      <c r="AC397" s="8">
        <f>IF(OR($G397="",$J397=""),"",IF(AND($G397&lt;=EOMONTH('02_カレンダー'!$B$4,0),$J397&gt;='02_カレンダー'!$B$4),$G397*10000+ROW(),""))</f>
        <v/>
      </c>
      <c r="AD397" s="8">
        <f>IF($H397="","",IF(ISNUMBER($H397),IF(AND($H397=INT($H397),$H397&gt;=0,$H397&lt;=24),TEXT(INT($H397),"00")&amp;":00",TEXT($H397,"hh:mm")),$H397))</f>
        <v/>
      </c>
      <c r="AE397" s="8">
        <f>IF($K397="","",IF(ISNUMBER($K397),IF(AND($K397=INT($K397),$K397&gt;=0,$K397&lt;=24),TEXT(INT($K397),"00")&amp;":00",TEXT($K397,"hh:mm")),$K397))</f>
        <v/>
      </c>
      <c r="AF397" s="8">
        <f>IF($G397="",0,$G397)</f>
        <v/>
      </c>
      <c r="AG397" s="8">
        <f>IF($J397="",0,$J397)</f>
        <v/>
      </c>
    </row>
    <row r="398">
      <c r="A398" s="8">
        <f>IF($G398="","","SS-"&amp;TEXT(ROW()-4,"0000"))</f>
        <v/>
      </c>
      <c r="B398" s="9" t="n"/>
      <c r="C398" s="9" t="n"/>
      <c r="D398" s="9" t="n"/>
      <c r="E398" s="10" t="n"/>
      <c r="F398" s="11" t="n"/>
      <c r="G398" s="12">
        <f>IF($F398="","",IF($F398&gt;31,$F398,IF($AB398="","",DATE(YEAR($AB398),MONTH($AB398),$F398))))</f>
        <v/>
      </c>
      <c r="H398" s="9" t="n"/>
      <c r="I398" s="11" t="n"/>
      <c r="J398" s="12">
        <f>IF($I398="","",IF($I398&gt;31,$I398,IF($G398="","",IF(DATE(YEAR($G398),MONTH($G398),$I398)&gt;=$G398,DATE(YEAR($G398),MONTH($G398),$I398),DATE(YEAR($G398),MONTH($G398)+1,$I398)))))</f>
        <v/>
      </c>
      <c r="K398" s="9" t="n"/>
      <c r="L398" s="13" t="n"/>
      <c r="M398" s="13" t="n"/>
      <c r="N398" s="13" t="n"/>
      <c r="O398" s="8">
        <f>IF(OR($G398="",$J398=""),"",$J398-$G398+1)</f>
        <v/>
      </c>
      <c r="P398" s="8">
        <f>IF(OR($G398="",$J398=""),"",$J398-$G398)</f>
        <v/>
      </c>
      <c r="Q398" s="9" t="n"/>
      <c r="R398" s="9" t="n"/>
      <c r="S398" s="9" t="n"/>
      <c r="T398" s="9" t="n"/>
      <c r="U398" s="9" t="n"/>
      <c r="V398" s="9" t="n"/>
      <c r="W398" s="14" t="n"/>
      <c r="X398" s="9" t="n"/>
      <c r="Y398" s="8">
        <f>IF($G398="","",IF($D398="","⚠部屋が未選択",IF(COUNTIF('M_部屋'!$A$4:$A$20,$D398)=0,"⚠部屋が未登録",IF(OR($J398="",$Q398="キャンセル"),"",IF(SUMPRODUCT(($D$5:$D$404=$D398)*($G$5:$G$404&lt;&gt;"")*($J$5:$J$404&lt;&gt;"")*($Q$5:$Q$404&lt;&gt;"キャンセル")*($G$5:$G$404&lt;$J398)*($J$5:$J$404&gt;$G398))&gt;1,"⚠重複","")))))</f>
        <v/>
      </c>
      <c r="Z398" s="8">
        <f>IF(OR($B398="",$G398=""),"",IF(SUMPRODUCT(('利用者マスタ'!$A$4:$A$60=$B398)*('利用者マスタ'!$B$4:$B$60&lt;&gt;""))=0,"",IF(SUMIFS($AA$5:$AA$404,$B$5:$B$404,$B398,$G$5:$G$404,"&gt;="&amp;DATE(YEAR($G398),MONTH($G398),1),$G$5:$G$404,"&lt;="&amp;EOMONTH($G398,0))&gt;SUMIFS('利用者マスタ'!$B$4:$B$60,'利用者マスタ'!$A$4:$A$60,$B398),"⚠支給量超過","")))</f>
        <v/>
      </c>
      <c r="AA398" s="8">
        <f>IF(OR($G398="",$J398="",$Q398="キャンセル"),0,IF(IFERROR(INDEX('M_区分'!$B$4:$B$20,MATCH($C398,'M_区分'!$A$4:$A$20,0)),"○")="○",$J398-$G398+1,0))</f>
        <v/>
      </c>
      <c r="AB398" s="8">
        <f>IF($E398&lt;&gt;"",$E398,$AB397)</f>
        <v/>
      </c>
      <c r="AC398" s="8">
        <f>IF(OR($G398="",$J398=""),"",IF(AND($G398&lt;=EOMONTH('02_カレンダー'!$B$4,0),$J398&gt;='02_カレンダー'!$B$4),$G398*10000+ROW(),""))</f>
        <v/>
      </c>
      <c r="AD398" s="8">
        <f>IF($H398="","",IF(ISNUMBER($H398),IF(AND($H398=INT($H398),$H398&gt;=0,$H398&lt;=24),TEXT(INT($H398),"00")&amp;":00",TEXT($H398,"hh:mm")),$H398))</f>
        <v/>
      </c>
      <c r="AE398" s="8">
        <f>IF($K398="","",IF(ISNUMBER($K398),IF(AND($K398=INT($K398),$K398&gt;=0,$K398&lt;=24),TEXT(INT($K398),"00")&amp;":00",TEXT($K398,"hh:mm")),$K398))</f>
        <v/>
      </c>
      <c r="AF398" s="8">
        <f>IF($G398="",0,$G398)</f>
        <v/>
      </c>
      <c r="AG398" s="8">
        <f>IF($J398="",0,$J398)</f>
        <v/>
      </c>
    </row>
    <row r="399">
      <c r="A399" s="8">
        <f>IF($G399="","","SS-"&amp;TEXT(ROW()-4,"0000"))</f>
        <v/>
      </c>
      <c r="B399" s="9" t="n"/>
      <c r="C399" s="9" t="n"/>
      <c r="D399" s="9" t="n"/>
      <c r="E399" s="10" t="n"/>
      <c r="F399" s="11" t="n"/>
      <c r="G399" s="12">
        <f>IF($F399="","",IF($F399&gt;31,$F399,IF($AB399="","",DATE(YEAR($AB399),MONTH($AB399),$F399))))</f>
        <v/>
      </c>
      <c r="H399" s="9" t="n"/>
      <c r="I399" s="11" t="n"/>
      <c r="J399" s="12">
        <f>IF($I399="","",IF($I399&gt;31,$I399,IF($G399="","",IF(DATE(YEAR($G399),MONTH($G399),$I399)&gt;=$G399,DATE(YEAR($G399),MONTH($G399),$I399),DATE(YEAR($G399),MONTH($G399)+1,$I399)))))</f>
        <v/>
      </c>
      <c r="K399" s="9" t="n"/>
      <c r="L399" s="13" t="n"/>
      <c r="M399" s="13" t="n"/>
      <c r="N399" s="13" t="n"/>
      <c r="O399" s="8">
        <f>IF(OR($G399="",$J399=""),"",$J399-$G399+1)</f>
        <v/>
      </c>
      <c r="P399" s="8">
        <f>IF(OR($G399="",$J399=""),"",$J399-$G399)</f>
        <v/>
      </c>
      <c r="Q399" s="9" t="n"/>
      <c r="R399" s="9" t="n"/>
      <c r="S399" s="9" t="n"/>
      <c r="T399" s="9" t="n"/>
      <c r="U399" s="9" t="n"/>
      <c r="V399" s="9" t="n"/>
      <c r="W399" s="14" t="n"/>
      <c r="X399" s="9" t="n"/>
      <c r="Y399" s="8">
        <f>IF($G399="","",IF($D399="","⚠部屋が未選択",IF(COUNTIF('M_部屋'!$A$4:$A$20,$D399)=0,"⚠部屋が未登録",IF(OR($J399="",$Q399="キャンセル"),"",IF(SUMPRODUCT(($D$5:$D$404=$D399)*($G$5:$G$404&lt;&gt;"")*($J$5:$J$404&lt;&gt;"")*($Q$5:$Q$404&lt;&gt;"キャンセル")*($G$5:$G$404&lt;$J399)*($J$5:$J$404&gt;$G399))&gt;1,"⚠重複","")))))</f>
        <v/>
      </c>
      <c r="Z399" s="8">
        <f>IF(OR($B399="",$G399=""),"",IF(SUMPRODUCT(('利用者マスタ'!$A$4:$A$60=$B399)*('利用者マスタ'!$B$4:$B$60&lt;&gt;""))=0,"",IF(SUMIFS($AA$5:$AA$404,$B$5:$B$404,$B399,$G$5:$G$404,"&gt;="&amp;DATE(YEAR($G399),MONTH($G399),1),$G$5:$G$404,"&lt;="&amp;EOMONTH($G399,0))&gt;SUMIFS('利用者マスタ'!$B$4:$B$60,'利用者マスタ'!$A$4:$A$60,$B399),"⚠支給量超過","")))</f>
        <v/>
      </c>
      <c r="AA399" s="8">
        <f>IF(OR($G399="",$J399="",$Q399="キャンセル"),0,IF(IFERROR(INDEX('M_区分'!$B$4:$B$20,MATCH($C399,'M_区分'!$A$4:$A$20,0)),"○")="○",$J399-$G399+1,0))</f>
        <v/>
      </c>
      <c r="AB399" s="8">
        <f>IF($E399&lt;&gt;"",$E399,$AB398)</f>
        <v/>
      </c>
      <c r="AC399" s="8">
        <f>IF(OR($G399="",$J399=""),"",IF(AND($G399&lt;=EOMONTH('02_カレンダー'!$B$4,0),$J399&gt;='02_カレンダー'!$B$4),$G399*10000+ROW(),""))</f>
        <v/>
      </c>
      <c r="AD399" s="8">
        <f>IF($H399="","",IF(ISNUMBER($H399),IF(AND($H399=INT($H399),$H399&gt;=0,$H399&lt;=24),TEXT(INT($H399),"00")&amp;":00",TEXT($H399,"hh:mm")),$H399))</f>
        <v/>
      </c>
      <c r="AE399" s="8">
        <f>IF($K399="","",IF(ISNUMBER($K399),IF(AND($K399=INT($K399),$K399&gt;=0,$K399&lt;=24),TEXT(INT($K399),"00")&amp;":00",TEXT($K399,"hh:mm")),$K399))</f>
        <v/>
      </c>
      <c r="AF399" s="8">
        <f>IF($G399="",0,$G399)</f>
        <v/>
      </c>
      <c r="AG399" s="8">
        <f>IF($J399="",0,$J399)</f>
        <v/>
      </c>
    </row>
    <row r="400">
      <c r="A400" s="8">
        <f>IF($G400="","","SS-"&amp;TEXT(ROW()-4,"0000"))</f>
        <v/>
      </c>
      <c r="B400" s="9" t="n"/>
      <c r="C400" s="9" t="n"/>
      <c r="D400" s="9" t="n"/>
      <c r="E400" s="10" t="n"/>
      <c r="F400" s="11" t="n"/>
      <c r="G400" s="12">
        <f>IF($F400="","",IF($F400&gt;31,$F400,IF($AB400="","",DATE(YEAR($AB400),MONTH($AB400),$F400))))</f>
        <v/>
      </c>
      <c r="H400" s="9" t="n"/>
      <c r="I400" s="11" t="n"/>
      <c r="J400" s="12">
        <f>IF($I400="","",IF($I400&gt;31,$I400,IF($G400="","",IF(DATE(YEAR($G400),MONTH($G400),$I400)&gt;=$G400,DATE(YEAR($G400),MONTH($G400),$I400),DATE(YEAR($G400),MONTH($G400)+1,$I400)))))</f>
        <v/>
      </c>
      <c r="K400" s="9" t="n"/>
      <c r="L400" s="13" t="n"/>
      <c r="M400" s="13" t="n"/>
      <c r="N400" s="13" t="n"/>
      <c r="O400" s="8">
        <f>IF(OR($G400="",$J400=""),"",$J400-$G400+1)</f>
        <v/>
      </c>
      <c r="P400" s="8">
        <f>IF(OR($G400="",$J400=""),"",$J400-$G400)</f>
        <v/>
      </c>
      <c r="Q400" s="9" t="n"/>
      <c r="R400" s="9" t="n"/>
      <c r="S400" s="9" t="n"/>
      <c r="T400" s="9" t="n"/>
      <c r="U400" s="9" t="n"/>
      <c r="V400" s="9" t="n"/>
      <c r="W400" s="14" t="n"/>
      <c r="X400" s="9" t="n"/>
      <c r="Y400" s="8">
        <f>IF($G400="","",IF($D400="","⚠部屋が未選択",IF(COUNTIF('M_部屋'!$A$4:$A$20,$D400)=0,"⚠部屋が未登録",IF(OR($J400="",$Q400="キャンセル"),"",IF(SUMPRODUCT(($D$5:$D$404=$D400)*($G$5:$G$404&lt;&gt;"")*($J$5:$J$404&lt;&gt;"")*($Q$5:$Q$404&lt;&gt;"キャンセル")*($G$5:$G$404&lt;$J400)*($J$5:$J$404&gt;$G400))&gt;1,"⚠重複","")))))</f>
        <v/>
      </c>
      <c r="Z400" s="8">
        <f>IF(OR($B400="",$G400=""),"",IF(SUMPRODUCT(('利用者マスタ'!$A$4:$A$60=$B400)*('利用者マスタ'!$B$4:$B$60&lt;&gt;""))=0,"",IF(SUMIFS($AA$5:$AA$404,$B$5:$B$404,$B400,$G$5:$G$404,"&gt;="&amp;DATE(YEAR($G400),MONTH($G400),1),$G$5:$G$404,"&lt;="&amp;EOMONTH($G400,0))&gt;SUMIFS('利用者マスタ'!$B$4:$B$60,'利用者マスタ'!$A$4:$A$60,$B400),"⚠支給量超過","")))</f>
        <v/>
      </c>
      <c r="AA400" s="8">
        <f>IF(OR($G400="",$J400="",$Q400="キャンセル"),0,IF(IFERROR(INDEX('M_区分'!$B$4:$B$20,MATCH($C400,'M_区分'!$A$4:$A$20,0)),"○")="○",$J400-$G400+1,0))</f>
        <v/>
      </c>
      <c r="AB400" s="8">
        <f>IF($E400&lt;&gt;"",$E400,$AB399)</f>
        <v/>
      </c>
      <c r="AC400" s="8">
        <f>IF(OR($G400="",$J400=""),"",IF(AND($G400&lt;=EOMONTH('02_カレンダー'!$B$4,0),$J400&gt;='02_カレンダー'!$B$4),$G400*10000+ROW(),""))</f>
        <v/>
      </c>
      <c r="AD400" s="8">
        <f>IF($H400="","",IF(ISNUMBER($H400),IF(AND($H400=INT($H400),$H400&gt;=0,$H400&lt;=24),TEXT(INT($H400),"00")&amp;":00",TEXT($H400,"hh:mm")),$H400))</f>
        <v/>
      </c>
      <c r="AE400" s="8">
        <f>IF($K400="","",IF(ISNUMBER($K400),IF(AND($K400=INT($K400),$K400&gt;=0,$K400&lt;=24),TEXT(INT($K400),"00")&amp;":00",TEXT($K400,"hh:mm")),$K400))</f>
        <v/>
      </c>
      <c r="AF400" s="8">
        <f>IF($G400="",0,$G400)</f>
        <v/>
      </c>
      <c r="AG400" s="8">
        <f>IF($J400="",0,$J400)</f>
        <v/>
      </c>
    </row>
    <row r="401">
      <c r="A401" s="8">
        <f>IF($G401="","","SS-"&amp;TEXT(ROW()-4,"0000"))</f>
        <v/>
      </c>
      <c r="B401" s="9" t="n"/>
      <c r="C401" s="9" t="n"/>
      <c r="D401" s="9" t="n"/>
      <c r="E401" s="10" t="n"/>
      <c r="F401" s="11" t="n"/>
      <c r="G401" s="12">
        <f>IF($F401="","",IF($F401&gt;31,$F401,IF($AB401="","",DATE(YEAR($AB401),MONTH($AB401),$F401))))</f>
        <v/>
      </c>
      <c r="H401" s="9" t="n"/>
      <c r="I401" s="11" t="n"/>
      <c r="J401" s="12">
        <f>IF($I401="","",IF($I401&gt;31,$I401,IF($G401="","",IF(DATE(YEAR($G401),MONTH($G401),$I401)&gt;=$G401,DATE(YEAR($G401),MONTH($G401),$I401),DATE(YEAR($G401),MONTH($G401)+1,$I401)))))</f>
        <v/>
      </c>
      <c r="K401" s="9" t="n"/>
      <c r="L401" s="13" t="n"/>
      <c r="M401" s="13" t="n"/>
      <c r="N401" s="13" t="n"/>
      <c r="O401" s="8">
        <f>IF(OR($G401="",$J401=""),"",$J401-$G401+1)</f>
        <v/>
      </c>
      <c r="P401" s="8">
        <f>IF(OR($G401="",$J401=""),"",$J401-$G401)</f>
        <v/>
      </c>
      <c r="Q401" s="9" t="n"/>
      <c r="R401" s="9" t="n"/>
      <c r="S401" s="9" t="n"/>
      <c r="T401" s="9" t="n"/>
      <c r="U401" s="9" t="n"/>
      <c r="V401" s="9" t="n"/>
      <c r="W401" s="14" t="n"/>
      <c r="X401" s="9" t="n"/>
      <c r="Y401" s="8">
        <f>IF($G401="","",IF($D401="","⚠部屋が未選択",IF(COUNTIF('M_部屋'!$A$4:$A$20,$D401)=0,"⚠部屋が未登録",IF(OR($J401="",$Q401="キャンセル"),"",IF(SUMPRODUCT(($D$5:$D$404=$D401)*($G$5:$G$404&lt;&gt;"")*($J$5:$J$404&lt;&gt;"")*($Q$5:$Q$404&lt;&gt;"キャンセル")*($G$5:$G$404&lt;$J401)*($J$5:$J$404&gt;$G401))&gt;1,"⚠重複","")))))</f>
        <v/>
      </c>
      <c r="Z401" s="8">
        <f>IF(OR($B401="",$G401=""),"",IF(SUMPRODUCT(('利用者マスタ'!$A$4:$A$60=$B401)*('利用者マスタ'!$B$4:$B$60&lt;&gt;""))=0,"",IF(SUMIFS($AA$5:$AA$404,$B$5:$B$404,$B401,$G$5:$G$404,"&gt;="&amp;DATE(YEAR($G401),MONTH($G401),1),$G$5:$G$404,"&lt;="&amp;EOMONTH($G401,0))&gt;SUMIFS('利用者マスタ'!$B$4:$B$60,'利用者マスタ'!$A$4:$A$60,$B401),"⚠支給量超過","")))</f>
        <v/>
      </c>
      <c r="AA401" s="8">
        <f>IF(OR($G401="",$J401="",$Q401="キャンセル"),0,IF(IFERROR(INDEX('M_区分'!$B$4:$B$20,MATCH($C401,'M_区分'!$A$4:$A$20,0)),"○")="○",$J401-$G401+1,0))</f>
        <v/>
      </c>
      <c r="AB401" s="8">
        <f>IF($E401&lt;&gt;"",$E401,$AB400)</f>
        <v/>
      </c>
      <c r="AC401" s="8">
        <f>IF(OR($G401="",$J401=""),"",IF(AND($G401&lt;=EOMONTH('02_カレンダー'!$B$4,0),$J401&gt;='02_カレンダー'!$B$4),$G401*10000+ROW(),""))</f>
        <v/>
      </c>
      <c r="AD401" s="8">
        <f>IF($H401="","",IF(ISNUMBER($H401),IF(AND($H401=INT($H401),$H401&gt;=0,$H401&lt;=24),TEXT(INT($H401),"00")&amp;":00",TEXT($H401,"hh:mm")),$H401))</f>
        <v/>
      </c>
      <c r="AE401" s="8">
        <f>IF($K401="","",IF(ISNUMBER($K401),IF(AND($K401=INT($K401),$K401&gt;=0,$K401&lt;=24),TEXT(INT($K401),"00")&amp;":00",TEXT($K401,"hh:mm")),$K401))</f>
        <v/>
      </c>
      <c r="AF401" s="8">
        <f>IF($G401="",0,$G401)</f>
        <v/>
      </c>
      <c r="AG401" s="8">
        <f>IF($J401="",0,$J401)</f>
        <v/>
      </c>
    </row>
    <row r="402">
      <c r="A402" s="8">
        <f>IF($G402="","","SS-"&amp;TEXT(ROW()-4,"0000"))</f>
        <v/>
      </c>
      <c r="B402" s="9" t="n"/>
      <c r="C402" s="9" t="n"/>
      <c r="D402" s="9" t="n"/>
      <c r="E402" s="10" t="n"/>
      <c r="F402" s="11" t="n"/>
      <c r="G402" s="12">
        <f>IF($F402="","",IF($F402&gt;31,$F402,IF($AB402="","",DATE(YEAR($AB402),MONTH($AB402),$F402))))</f>
        <v/>
      </c>
      <c r="H402" s="9" t="n"/>
      <c r="I402" s="11" t="n"/>
      <c r="J402" s="12">
        <f>IF($I402="","",IF($I402&gt;31,$I402,IF($G402="","",IF(DATE(YEAR($G402),MONTH($G402),$I402)&gt;=$G402,DATE(YEAR($G402),MONTH($G402),$I402),DATE(YEAR($G402),MONTH($G402)+1,$I402)))))</f>
        <v/>
      </c>
      <c r="K402" s="9" t="n"/>
      <c r="L402" s="13" t="n"/>
      <c r="M402" s="13" t="n"/>
      <c r="N402" s="13" t="n"/>
      <c r="O402" s="8">
        <f>IF(OR($G402="",$J402=""),"",$J402-$G402+1)</f>
        <v/>
      </c>
      <c r="P402" s="8">
        <f>IF(OR($G402="",$J402=""),"",$J402-$G402)</f>
        <v/>
      </c>
      <c r="Q402" s="9" t="n"/>
      <c r="R402" s="9" t="n"/>
      <c r="S402" s="9" t="n"/>
      <c r="T402" s="9" t="n"/>
      <c r="U402" s="9" t="n"/>
      <c r="V402" s="9" t="n"/>
      <c r="W402" s="14" t="n"/>
      <c r="X402" s="9" t="n"/>
      <c r="Y402" s="8">
        <f>IF($G402="","",IF($D402="","⚠部屋が未選択",IF(COUNTIF('M_部屋'!$A$4:$A$20,$D402)=0,"⚠部屋が未登録",IF(OR($J402="",$Q402="キャンセル"),"",IF(SUMPRODUCT(($D$5:$D$404=$D402)*($G$5:$G$404&lt;&gt;"")*($J$5:$J$404&lt;&gt;"")*($Q$5:$Q$404&lt;&gt;"キャンセル")*($G$5:$G$404&lt;$J402)*($J$5:$J$404&gt;$G402))&gt;1,"⚠重複","")))))</f>
        <v/>
      </c>
      <c r="Z402" s="8">
        <f>IF(OR($B402="",$G402=""),"",IF(SUMPRODUCT(('利用者マスタ'!$A$4:$A$60=$B402)*('利用者マスタ'!$B$4:$B$60&lt;&gt;""))=0,"",IF(SUMIFS($AA$5:$AA$404,$B$5:$B$404,$B402,$G$5:$G$404,"&gt;="&amp;DATE(YEAR($G402),MONTH($G402),1),$G$5:$G$404,"&lt;="&amp;EOMONTH($G402,0))&gt;SUMIFS('利用者マスタ'!$B$4:$B$60,'利用者マスタ'!$A$4:$A$60,$B402),"⚠支給量超過","")))</f>
        <v/>
      </c>
      <c r="AA402" s="8">
        <f>IF(OR($G402="",$J402="",$Q402="キャンセル"),0,IF(IFERROR(INDEX('M_区分'!$B$4:$B$20,MATCH($C402,'M_区分'!$A$4:$A$20,0)),"○")="○",$J402-$G402+1,0))</f>
        <v/>
      </c>
      <c r="AB402" s="8">
        <f>IF($E402&lt;&gt;"",$E402,$AB401)</f>
        <v/>
      </c>
      <c r="AC402" s="8">
        <f>IF(OR($G402="",$J402=""),"",IF(AND($G402&lt;=EOMONTH('02_カレンダー'!$B$4,0),$J402&gt;='02_カレンダー'!$B$4),$G402*10000+ROW(),""))</f>
        <v/>
      </c>
      <c r="AD402" s="8">
        <f>IF($H402="","",IF(ISNUMBER($H402),IF(AND($H402=INT($H402),$H402&gt;=0,$H402&lt;=24),TEXT(INT($H402),"00")&amp;":00",TEXT($H402,"hh:mm")),$H402))</f>
        <v/>
      </c>
      <c r="AE402" s="8">
        <f>IF($K402="","",IF(ISNUMBER($K402),IF(AND($K402=INT($K402),$K402&gt;=0,$K402&lt;=24),TEXT(INT($K402),"00")&amp;":00",TEXT($K402,"hh:mm")),$K402))</f>
        <v/>
      </c>
      <c r="AF402" s="8">
        <f>IF($G402="",0,$G402)</f>
        <v/>
      </c>
      <c r="AG402" s="8">
        <f>IF($J402="",0,$J402)</f>
        <v/>
      </c>
    </row>
    <row r="403">
      <c r="A403" s="8">
        <f>IF($G403="","","SS-"&amp;TEXT(ROW()-4,"0000"))</f>
        <v/>
      </c>
      <c r="B403" s="9" t="n"/>
      <c r="C403" s="9" t="n"/>
      <c r="D403" s="9" t="n"/>
      <c r="E403" s="10" t="n"/>
      <c r="F403" s="11" t="n"/>
      <c r="G403" s="12">
        <f>IF($F403="","",IF($F403&gt;31,$F403,IF($AB403="","",DATE(YEAR($AB403),MONTH($AB403),$F403))))</f>
        <v/>
      </c>
      <c r="H403" s="9" t="n"/>
      <c r="I403" s="11" t="n"/>
      <c r="J403" s="12">
        <f>IF($I403="","",IF($I403&gt;31,$I403,IF($G403="","",IF(DATE(YEAR($G403),MONTH($G403),$I403)&gt;=$G403,DATE(YEAR($G403),MONTH($G403),$I403),DATE(YEAR($G403),MONTH($G403)+1,$I403)))))</f>
        <v/>
      </c>
      <c r="K403" s="9" t="n"/>
      <c r="L403" s="13" t="n"/>
      <c r="M403" s="13" t="n"/>
      <c r="N403" s="13" t="n"/>
      <c r="O403" s="8">
        <f>IF(OR($G403="",$J403=""),"",$J403-$G403+1)</f>
        <v/>
      </c>
      <c r="P403" s="8">
        <f>IF(OR($G403="",$J403=""),"",$J403-$G403)</f>
        <v/>
      </c>
      <c r="Q403" s="9" t="n"/>
      <c r="R403" s="9" t="n"/>
      <c r="S403" s="9" t="n"/>
      <c r="T403" s="9" t="n"/>
      <c r="U403" s="9" t="n"/>
      <c r="V403" s="9" t="n"/>
      <c r="W403" s="14" t="n"/>
      <c r="X403" s="9" t="n"/>
      <c r="Y403" s="8">
        <f>IF($G403="","",IF($D403="","⚠部屋が未選択",IF(COUNTIF('M_部屋'!$A$4:$A$20,$D403)=0,"⚠部屋が未登録",IF(OR($J403="",$Q403="キャンセル"),"",IF(SUMPRODUCT(($D$5:$D$404=$D403)*($G$5:$G$404&lt;&gt;"")*($J$5:$J$404&lt;&gt;"")*($Q$5:$Q$404&lt;&gt;"キャンセル")*($G$5:$G$404&lt;$J403)*($J$5:$J$404&gt;$G403))&gt;1,"⚠重複","")))))</f>
        <v/>
      </c>
      <c r="Z403" s="8">
        <f>IF(OR($B403="",$G403=""),"",IF(SUMPRODUCT(('利用者マスタ'!$A$4:$A$60=$B403)*('利用者マスタ'!$B$4:$B$60&lt;&gt;""))=0,"",IF(SUMIFS($AA$5:$AA$404,$B$5:$B$404,$B403,$G$5:$G$404,"&gt;="&amp;DATE(YEAR($G403),MONTH($G403),1),$G$5:$G$404,"&lt;="&amp;EOMONTH($G403,0))&gt;SUMIFS('利用者マスタ'!$B$4:$B$60,'利用者マスタ'!$A$4:$A$60,$B403),"⚠支給量超過","")))</f>
        <v/>
      </c>
      <c r="AA403" s="8">
        <f>IF(OR($G403="",$J403="",$Q403="キャンセル"),0,IF(IFERROR(INDEX('M_区分'!$B$4:$B$20,MATCH($C403,'M_区分'!$A$4:$A$20,0)),"○")="○",$J403-$G403+1,0))</f>
        <v/>
      </c>
      <c r="AB403" s="8">
        <f>IF($E403&lt;&gt;"",$E403,$AB402)</f>
        <v/>
      </c>
      <c r="AC403" s="8">
        <f>IF(OR($G403="",$J403=""),"",IF(AND($G403&lt;=EOMONTH('02_カレンダー'!$B$4,0),$J403&gt;='02_カレンダー'!$B$4),$G403*10000+ROW(),""))</f>
        <v/>
      </c>
      <c r="AD403" s="8">
        <f>IF($H403="","",IF(ISNUMBER($H403),IF(AND($H403=INT($H403),$H403&gt;=0,$H403&lt;=24),TEXT(INT($H403),"00")&amp;":00",TEXT($H403,"hh:mm")),$H403))</f>
        <v/>
      </c>
      <c r="AE403" s="8">
        <f>IF($K403="","",IF(ISNUMBER($K403),IF(AND($K403=INT($K403),$K403&gt;=0,$K403&lt;=24),TEXT(INT($K403),"00")&amp;":00",TEXT($K403,"hh:mm")),$K403))</f>
        <v/>
      </c>
      <c r="AF403" s="8">
        <f>IF($G403="",0,$G403)</f>
        <v/>
      </c>
      <c r="AG403" s="8">
        <f>IF($J403="",0,$J403)</f>
        <v/>
      </c>
    </row>
    <row r="404">
      <c r="A404" s="8">
        <f>IF($G404="","","SS-"&amp;TEXT(ROW()-4,"0000"))</f>
        <v/>
      </c>
      <c r="B404" s="9" t="n"/>
      <c r="C404" s="9" t="n"/>
      <c r="D404" s="9" t="n"/>
      <c r="E404" s="10" t="n"/>
      <c r="F404" s="11" t="n"/>
      <c r="G404" s="12">
        <f>IF($F404="","",IF($F404&gt;31,$F404,IF($AB404="","",DATE(YEAR($AB404),MONTH($AB404),$F404))))</f>
        <v/>
      </c>
      <c r="H404" s="9" t="n"/>
      <c r="I404" s="11" t="n"/>
      <c r="J404" s="12">
        <f>IF($I404="","",IF($I404&gt;31,$I404,IF($G404="","",IF(DATE(YEAR($G404),MONTH($G404),$I404)&gt;=$G404,DATE(YEAR($G404),MONTH($G404),$I404),DATE(YEAR($G404),MONTH($G404)+1,$I404)))))</f>
        <v/>
      </c>
      <c r="K404" s="9" t="n"/>
      <c r="L404" s="13" t="n"/>
      <c r="M404" s="13" t="n"/>
      <c r="N404" s="13" t="n"/>
      <c r="O404" s="8">
        <f>IF(OR($G404="",$J404=""),"",$J404-$G404+1)</f>
        <v/>
      </c>
      <c r="P404" s="8">
        <f>IF(OR($G404="",$J404=""),"",$J404-$G404)</f>
        <v/>
      </c>
      <c r="Q404" s="9" t="n"/>
      <c r="R404" s="9" t="n"/>
      <c r="S404" s="9" t="n"/>
      <c r="T404" s="9" t="n"/>
      <c r="U404" s="9" t="n"/>
      <c r="V404" s="9" t="n"/>
      <c r="W404" s="14" t="n"/>
      <c r="X404" s="9" t="n"/>
      <c r="Y404" s="8">
        <f>IF($G404="","",IF($D404="","⚠部屋が未選択",IF(COUNTIF('M_部屋'!$A$4:$A$20,$D404)=0,"⚠部屋が未登録",IF(OR($J404="",$Q404="キャンセル"),"",IF(SUMPRODUCT(($D$5:$D$404=$D404)*($G$5:$G$404&lt;&gt;"")*($J$5:$J$404&lt;&gt;"")*($Q$5:$Q$404&lt;&gt;"キャンセル")*($G$5:$G$404&lt;$J404)*($J$5:$J$404&gt;$G404))&gt;1,"⚠重複","")))))</f>
        <v/>
      </c>
      <c r="Z404" s="8">
        <f>IF(OR($B404="",$G404=""),"",IF(SUMPRODUCT(('利用者マスタ'!$A$4:$A$60=$B404)*('利用者マスタ'!$B$4:$B$60&lt;&gt;""))=0,"",IF(SUMIFS($AA$5:$AA$404,$B$5:$B$404,$B404,$G$5:$G$404,"&gt;="&amp;DATE(YEAR($G404),MONTH($G404),1),$G$5:$G$404,"&lt;="&amp;EOMONTH($G404,0))&gt;SUMIFS('利用者マスタ'!$B$4:$B$60,'利用者マスタ'!$A$4:$A$60,$B404),"⚠支給量超過","")))</f>
        <v/>
      </c>
      <c r="AA404" s="8">
        <f>IF(OR($G404="",$J404="",$Q404="キャンセル"),0,IF(IFERROR(INDEX('M_区分'!$B$4:$B$20,MATCH($C404,'M_区分'!$A$4:$A$20,0)),"○")="○",$J404-$G404+1,0))</f>
        <v/>
      </c>
      <c r="AB404" s="8">
        <f>IF($E404&lt;&gt;"",$E404,$AB403)</f>
        <v/>
      </c>
      <c r="AC404" s="8">
        <f>IF(OR($G404="",$J404=""),"",IF(AND($G404&lt;=EOMONTH('02_カレンダー'!$B$4,0),$J404&gt;='02_カレンダー'!$B$4),$G404*10000+ROW(),""))</f>
        <v/>
      </c>
      <c r="AD404" s="8">
        <f>IF($H404="","",IF(ISNUMBER($H404),IF(AND($H404=INT($H404),$H404&gt;=0,$H404&lt;=24),TEXT(INT($H404),"00")&amp;":00",TEXT($H404,"hh:mm")),$H404))</f>
        <v/>
      </c>
      <c r="AE404" s="8">
        <f>IF($K404="","",IF(ISNUMBER($K404),IF(AND($K404=INT($K404),$K404&gt;=0,$K404&lt;=24),TEXT(INT($K404),"00")&amp;":00",TEXT($K404,"hh:mm")),$K404))</f>
        <v/>
      </c>
      <c r="AF404" s="8">
        <f>IF($G404="",0,$G404)</f>
        <v/>
      </c>
      <c r="AG404" s="8">
        <f>IF($J404="",0,$J404)</f>
        <v/>
      </c>
    </row>
  </sheetData>
  <autoFilter ref="A4:AA404"/>
  <conditionalFormatting sqref="A5:AA404">
    <cfRule type="expression" priority="1" dxfId="0" stopIfTrue="1">
      <formula>$Q5="キャンセル"</formula>
    </cfRule>
    <cfRule type="expression" priority="2" dxfId="1" stopIfTrue="1">
      <formula>$Y5&lt;&gt;""</formula>
    </cfRule>
    <cfRule type="expression" priority="3" dxfId="2" stopIfTrue="1">
      <formula>$Z5&lt;&gt;""</formula>
    </cfRule>
    <cfRule type="expression" priority="4" dxfId="3">
      <formula>OR($Q5="仮予約",$Q5="調整中")</formula>
    </cfRule>
  </conditionalFormatting>
  <dataValidations count="6">
    <dataValidation sqref="B5:B404" showDropDown="0" showInputMessage="0" showErrorMessage="0" allowBlank="1" errorTitle="入力できません" error="一覧にない値です。マスタに登録してから選んでください。" type="list">
      <formula1>=氏名一覧</formula1>
    </dataValidation>
    <dataValidation sqref="C5:C404" showDropDown="0" showInputMessage="0" showErrorMessage="0" allowBlank="1" errorTitle="入力できません" error="一覧にない値です。マスタに登録してから選んでください。" type="list">
      <formula1>=区分一覧</formula1>
    </dataValidation>
    <dataValidation sqref="D5:D404" showDropDown="0" showInputMessage="0" showErrorMessage="0" allowBlank="1" errorTitle="入力できません" error="一覧にない値です。マスタに登録してから選んでください。" type="list">
      <formula1>=部屋一覧</formula1>
    </dataValidation>
    <dataValidation sqref="Q5:Q404" showDropDown="0" showInputMessage="0" showErrorMessage="0" allowBlank="1" errorTitle="入力できません" error="一覧にない値です。マスタに登録してから選んでください。" type="list">
      <formula1>=状態一覧</formula1>
    </dataValidation>
    <dataValidation sqref="R5:R404" showDropDown="0" showInputMessage="0" showErrorMessage="0" allowBlank="1" errorTitle="入力できません" error="一覧にない値です。マスタに登録してから選んでください。" type="list">
      <formula1>=送迎一覧</formula1>
    </dataValidation>
    <dataValidation sqref="L5:N404" showDropDown="0" showInputMessage="1" showErrorMessage="0" allowBlank="1" errorTitle="入力できません" error="○（全日出す）か ×（出さない）を選んでください。標準どおりでよければ空欄のままにします。" promptTitle="食事" prompt="空欄=標準 ／ ○=全ての利用日で出す ／ ×=出さない" type="list">
      <formula1>"○,×"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83"/>
  <sheetViews>
    <sheetView showGridLines="0" workbookViewId="0">
      <pane xSplit="1" ySplit="8" topLeftCell="B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</cols>
  <sheetData>
    <row r="1">
      <c r="A1" s="1" t="inlineStr">
        <is>
          <t>カレンダー</t>
        </is>
      </c>
    </row>
    <row r="2">
      <c r="A2" s="2" t="inlineStr">
        <is>
          <t>★対象月を変えると、03_帯表・04_月間表・06_食数表・09_FAX空き表 も同じ月になります。</t>
        </is>
      </c>
    </row>
    <row r="3">
      <c r="A3" s="15" t="inlineStr">
        <is>
          <t>対象月</t>
        </is>
      </c>
      <c r="B3" s="16" t="n">
        <v>46235</v>
      </c>
      <c r="C3" s="2">
        <f>"その月の日付ならどれでも可。　　【今日は "&amp;YEAR(TODAY())&amp;"年"&amp;MONTH(TODAY())&amp;"月"&amp;DAY(TODAY())&amp;"日】　"&amp;IF(TEXT($B$3,"yyyymm")=TEXT(TODAY(),"yyyymm"),"（今月を表示しています）","← 今月に切り替えるときはここを直します")</f>
        <v/>
      </c>
    </row>
    <row r="4">
      <c r="A4" s="15" t="inlineStr">
        <is>
          <t>月初</t>
        </is>
      </c>
      <c r="B4" s="17">
        <f>DATE(YEAR($B$3),MONTH($B$3),1)</f>
        <v/>
      </c>
      <c r="C4" s="2" t="inlineStr">
        <is>
          <t>自動</t>
        </is>
      </c>
    </row>
    <row r="5">
      <c r="A5" s="15" t="inlineStr">
        <is>
          <t>時刻を表示</t>
        </is>
      </c>
      <c r="B5" s="18" t="inlineStr">
        <is>
          <t>○</t>
        </is>
      </c>
      <c r="C5" s="2" t="inlineStr">
        <is>
          <t>○で入室・退室時刻を表示。狭く感じるときは空欄に</t>
        </is>
      </c>
    </row>
    <row r="6">
      <c r="A6" s="15" t="inlineStr">
        <is>
          <t>食事を表示</t>
        </is>
      </c>
      <c r="B6" s="18" t="inlineStr">
        <is>
          <t>○</t>
        </is>
      </c>
      <c r="C6" s="2" t="inlineStr">
        <is>
          <t>○で各週の下に朝・昼・夕の食数を表示。個別の調整はこのシートの下部で</t>
        </is>
      </c>
    </row>
    <row r="7">
      <c r="A7" s="15" t="inlineStr">
        <is>
          <t>確認</t>
        </is>
      </c>
      <c r="B7" s="19">
        <f>IF(SUMPRODUCT(('01_予約入力'!$D$5:$D$404="")*('01_予約入力'!$G$5:$G$404&lt;&gt;""))=0,"✓ 部屋の指定もれはありません","⚠ 部屋が未選択の予約が "&amp;SUMPRODUCT(('01_予約入力'!$D$5:$D$404="")*('01_予約入力'!$G$5:$G$404&lt;&gt;""))&amp;" 件あります。部屋の行には出ませんが「空き」の判定には数えています。01_予約入力 のV列（赤）をご確認ください。")</f>
        <v/>
      </c>
    </row>
    <row r="8" ht="24" customHeight="1">
      <c r="A8" s="20" t="inlineStr">
        <is>
          <t>記号</t>
        </is>
      </c>
      <c r="B8" s="21" t="inlineStr">
        <is>
          <t>日</t>
        </is>
      </c>
      <c r="C8" s="22" t="inlineStr">
        <is>
          <t>月</t>
        </is>
      </c>
      <c r="D8" s="22" t="inlineStr">
        <is>
          <t>火</t>
        </is>
      </c>
      <c r="E8" s="22" t="inlineStr">
        <is>
          <t>水</t>
        </is>
      </c>
      <c r="F8" s="22" t="inlineStr">
        <is>
          <t>木</t>
        </is>
      </c>
      <c r="G8" s="22" t="inlineStr">
        <is>
          <t>金</t>
        </is>
      </c>
      <c r="H8" s="23" t="inlineStr">
        <is>
          <t>土</t>
        </is>
      </c>
    </row>
    <row r="9" ht="22" customHeight="1">
      <c r="A9" s="24" t="inlineStr">
        <is>
          <t>第1週</t>
        </is>
      </c>
      <c r="B9" s="118">
        <f>IF(MONTH($B$4-WEEKDAY($B$4)+1+0)&lt;&gt;MONTH($B$4),"",$B$4-WEEKDAY($B$4)+1+0)</f>
        <v/>
      </c>
      <c r="C9" s="119">
        <f>IF(MONTH($B$4-WEEKDAY($B$4)+1+1)&lt;&gt;MONTH($B$4),"",$B$4-WEEKDAY($B$4)+1+1)</f>
        <v/>
      </c>
      <c r="D9" s="119">
        <f>IF(MONTH($B$4-WEEKDAY($B$4)+1+2)&lt;&gt;MONTH($B$4),"",$B$4-WEEKDAY($B$4)+1+2)</f>
        <v/>
      </c>
      <c r="E9" s="119">
        <f>IF(MONTH($B$4-WEEKDAY($B$4)+1+3)&lt;&gt;MONTH($B$4),"",$B$4-WEEKDAY($B$4)+1+3)</f>
        <v/>
      </c>
      <c r="F9" s="119">
        <f>IF(MONTH($B$4-WEEKDAY($B$4)+1+4)&lt;&gt;MONTH($B$4),"",$B$4-WEEKDAY($B$4)+1+4)</f>
        <v/>
      </c>
      <c r="G9" s="119">
        <f>IF(MONTH($B$4-WEEKDAY($B$4)+1+5)&lt;&gt;MONTH($B$4),"",$B$4-WEEKDAY($B$4)+1+5)</f>
        <v/>
      </c>
      <c r="H9" s="120">
        <f>IF(MONTH($B$4-WEEKDAY($B$4)+1+6)&lt;&gt;MONTH($B$4),"",$B$4-WEEKDAY($B$4)+1+6)</f>
        <v/>
      </c>
    </row>
    <row r="10" ht="21" customHeight="1">
      <c r="A10" s="28">
        <f>IF(COUNTA('M_部屋'!$A$4:$A$20)&gt;=1,INDEX('M_部屋'!$A$4:$A$20,1),"")</f>
        <v/>
      </c>
      <c r="B10" s="29">
        <f>IF(B9="","",IFERROR(INDEX('04_月間表'!C$7:C$37,MATCH(B9,'04_月間表'!$A$7:$A$37,0)),""))</f>
        <v/>
      </c>
      <c r="C10" s="29">
        <f>IF(C9="","",IFERROR(INDEX('04_月間表'!C$7:C$37,MATCH(C9,'04_月間表'!$A$7:$A$37,0)),""))</f>
        <v/>
      </c>
      <c r="D10" s="29">
        <f>IF(D9="","",IFERROR(INDEX('04_月間表'!C$7:C$37,MATCH(D9,'04_月間表'!$A$7:$A$37,0)),""))</f>
        <v/>
      </c>
      <c r="E10" s="29">
        <f>IF(E9="","",IFERROR(INDEX('04_月間表'!C$7:C$37,MATCH(E9,'04_月間表'!$A$7:$A$37,0)),""))</f>
        <v/>
      </c>
      <c r="F10" s="29">
        <f>IF(F9="","",IFERROR(INDEX('04_月間表'!C$7:C$37,MATCH(F9,'04_月間表'!$A$7:$A$37,0)),""))</f>
        <v/>
      </c>
      <c r="G10" s="29">
        <f>IF(G9="","",IFERROR(INDEX('04_月間表'!C$7:C$37,MATCH(G9,'04_月間表'!$A$7:$A$37,0)),""))</f>
        <v/>
      </c>
      <c r="H10" s="29">
        <f>IF(H9="","",IFERROR(INDEX('04_月間表'!C$7:C$37,MATCH(H9,'04_月間表'!$A$7:$A$37,0)),""))</f>
        <v/>
      </c>
      <c r="J10">
        <f>IF(B9="","",IFERROR(INDEX('04_月間表'!X$7:X$37,MATCH(B9,'04_月間表'!$A$7:$A$37,0)),""))</f>
        <v/>
      </c>
      <c r="K10">
        <f>IF(C9="","",IFERROR(INDEX('04_月間表'!X$7:X$37,MATCH(C9,'04_月間表'!$A$7:$A$37,0)),""))</f>
        <v/>
      </c>
      <c r="L10">
        <f>IF(D9="","",IFERROR(INDEX('04_月間表'!X$7:X$37,MATCH(D9,'04_月間表'!$A$7:$A$37,0)),""))</f>
        <v/>
      </c>
      <c r="M10">
        <f>IF(E9="","",IFERROR(INDEX('04_月間表'!X$7:X$37,MATCH(E9,'04_月間表'!$A$7:$A$37,0)),""))</f>
        <v/>
      </c>
      <c r="N10">
        <f>IF(F9="","",IFERROR(INDEX('04_月間表'!X$7:X$37,MATCH(F9,'04_月間表'!$A$7:$A$37,0)),""))</f>
        <v/>
      </c>
      <c r="O10">
        <f>IF(G9="","",IFERROR(INDEX('04_月間表'!X$7:X$37,MATCH(G9,'04_月間表'!$A$7:$A$37,0)),""))</f>
        <v/>
      </c>
      <c r="P10">
        <f>IF(H9="","",IFERROR(INDEX('04_月間表'!X$7:X$37,MATCH(H9,'04_月間表'!$A$7:$A$37,0)),""))</f>
        <v/>
      </c>
    </row>
    <row r="11" ht="21" customHeight="1">
      <c r="A11" s="28">
        <f>IF(COUNTA('M_部屋'!$A$4:$A$20)&gt;=2,INDEX('M_部屋'!$A$4:$A$20,2),"")</f>
        <v/>
      </c>
      <c r="B11" s="29">
        <f>IF(B9="","",IFERROR(INDEX('04_月間表'!D$7:D$37,MATCH(B9,'04_月間表'!$A$7:$A$37,0)),""))</f>
        <v/>
      </c>
      <c r="C11" s="29">
        <f>IF(C9="","",IFERROR(INDEX('04_月間表'!D$7:D$37,MATCH(C9,'04_月間表'!$A$7:$A$37,0)),""))</f>
        <v/>
      </c>
      <c r="D11" s="29">
        <f>IF(D9="","",IFERROR(INDEX('04_月間表'!D$7:D$37,MATCH(D9,'04_月間表'!$A$7:$A$37,0)),""))</f>
        <v/>
      </c>
      <c r="E11" s="29">
        <f>IF(E9="","",IFERROR(INDEX('04_月間表'!D$7:D$37,MATCH(E9,'04_月間表'!$A$7:$A$37,0)),""))</f>
        <v/>
      </c>
      <c r="F11" s="29">
        <f>IF(F9="","",IFERROR(INDEX('04_月間表'!D$7:D$37,MATCH(F9,'04_月間表'!$A$7:$A$37,0)),""))</f>
        <v/>
      </c>
      <c r="G11" s="29">
        <f>IF(G9="","",IFERROR(INDEX('04_月間表'!D$7:D$37,MATCH(G9,'04_月間表'!$A$7:$A$37,0)),""))</f>
        <v/>
      </c>
      <c r="H11" s="29">
        <f>IF(H9="","",IFERROR(INDEX('04_月間表'!D$7:D$37,MATCH(H9,'04_月間表'!$A$7:$A$37,0)),""))</f>
        <v/>
      </c>
      <c r="J11">
        <f>IF(B9="","",IFERROR(INDEX('04_月間表'!Y$7:Y$37,MATCH(B9,'04_月間表'!$A$7:$A$37,0)),""))</f>
        <v/>
      </c>
      <c r="K11">
        <f>IF(C9="","",IFERROR(INDEX('04_月間表'!Y$7:Y$37,MATCH(C9,'04_月間表'!$A$7:$A$37,0)),""))</f>
        <v/>
      </c>
      <c r="L11">
        <f>IF(D9="","",IFERROR(INDEX('04_月間表'!Y$7:Y$37,MATCH(D9,'04_月間表'!$A$7:$A$37,0)),""))</f>
        <v/>
      </c>
      <c r="M11">
        <f>IF(E9="","",IFERROR(INDEX('04_月間表'!Y$7:Y$37,MATCH(E9,'04_月間表'!$A$7:$A$37,0)),""))</f>
        <v/>
      </c>
      <c r="N11">
        <f>IF(F9="","",IFERROR(INDEX('04_月間表'!Y$7:Y$37,MATCH(F9,'04_月間表'!$A$7:$A$37,0)),""))</f>
        <v/>
      </c>
      <c r="O11">
        <f>IF(G9="","",IFERROR(INDEX('04_月間表'!Y$7:Y$37,MATCH(G9,'04_月間表'!$A$7:$A$37,0)),""))</f>
        <v/>
      </c>
      <c r="P11">
        <f>IF(H9="","",IFERROR(INDEX('04_月間表'!Y$7:Y$37,MATCH(H9,'04_月間表'!$A$7:$A$37,0)),""))</f>
        <v/>
      </c>
    </row>
    <row r="12" ht="21" customHeight="1">
      <c r="A12" s="28">
        <f>IF(COUNTA('M_部屋'!$A$4:$A$20)&gt;=3,INDEX('M_部屋'!$A$4:$A$20,3),"")</f>
        <v/>
      </c>
      <c r="B12" s="29">
        <f>IF(B9="","",IFERROR(INDEX('04_月間表'!E$7:E$37,MATCH(B9,'04_月間表'!$A$7:$A$37,0)),""))</f>
        <v/>
      </c>
      <c r="C12" s="29">
        <f>IF(C9="","",IFERROR(INDEX('04_月間表'!E$7:E$37,MATCH(C9,'04_月間表'!$A$7:$A$37,0)),""))</f>
        <v/>
      </c>
      <c r="D12" s="29">
        <f>IF(D9="","",IFERROR(INDEX('04_月間表'!E$7:E$37,MATCH(D9,'04_月間表'!$A$7:$A$37,0)),""))</f>
        <v/>
      </c>
      <c r="E12" s="29">
        <f>IF(E9="","",IFERROR(INDEX('04_月間表'!E$7:E$37,MATCH(E9,'04_月間表'!$A$7:$A$37,0)),""))</f>
        <v/>
      </c>
      <c r="F12" s="29">
        <f>IF(F9="","",IFERROR(INDEX('04_月間表'!E$7:E$37,MATCH(F9,'04_月間表'!$A$7:$A$37,0)),""))</f>
        <v/>
      </c>
      <c r="G12" s="29">
        <f>IF(G9="","",IFERROR(INDEX('04_月間表'!E$7:E$37,MATCH(G9,'04_月間表'!$A$7:$A$37,0)),""))</f>
        <v/>
      </c>
      <c r="H12" s="29">
        <f>IF(H9="","",IFERROR(INDEX('04_月間表'!E$7:E$37,MATCH(H9,'04_月間表'!$A$7:$A$37,0)),""))</f>
        <v/>
      </c>
      <c r="J12">
        <f>IF(B9="","",IFERROR(INDEX('04_月間表'!Z$7:Z$37,MATCH(B9,'04_月間表'!$A$7:$A$37,0)),""))</f>
        <v/>
      </c>
      <c r="K12">
        <f>IF(C9="","",IFERROR(INDEX('04_月間表'!Z$7:Z$37,MATCH(C9,'04_月間表'!$A$7:$A$37,0)),""))</f>
        <v/>
      </c>
      <c r="L12">
        <f>IF(D9="","",IFERROR(INDEX('04_月間表'!Z$7:Z$37,MATCH(D9,'04_月間表'!$A$7:$A$37,0)),""))</f>
        <v/>
      </c>
      <c r="M12">
        <f>IF(E9="","",IFERROR(INDEX('04_月間表'!Z$7:Z$37,MATCH(E9,'04_月間表'!$A$7:$A$37,0)),""))</f>
        <v/>
      </c>
      <c r="N12">
        <f>IF(F9="","",IFERROR(INDEX('04_月間表'!Z$7:Z$37,MATCH(F9,'04_月間表'!$A$7:$A$37,0)),""))</f>
        <v/>
      </c>
      <c r="O12">
        <f>IF(G9="","",IFERROR(INDEX('04_月間表'!Z$7:Z$37,MATCH(G9,'04_月間表'!$A$7:$A$37,0)),""))</f>
        <v/>
      </c>
      <c r="P12">
        <f>IF(H9="","",IFERROR(INDEX('04_月間表'!Z$7:Z$37,MATCH(H9,'04_月間表'!$A$7:$A$37,0)),""))</f>
        <v/>
      </c>
    </row>
    <row r="13" ht="21" customHeight="1">
      <c r="A13" s="28">
        <f>IF(COUNTA('M_部屋'!$A$4:$A$20)&gt;=4,INDEX('M_部屋'!$A$4:$A$20,4),"")</f>
        <v/>
      </c>
      <c r="B13" s="29">
        <f>IF(B9="","",IFERROR(INDEX('04_月間表'!F$7:F$37,MATCH(B9,'04_月間表'!$A$7:$A$37,0)),""))</f>
        <v/>
      </c>
      <c r="C13" s="29">
        <f>IF(C9="","",IFERROR(INDEX('04_月間表'!F$7:F$37,MATCH(C9,'04_月間表'!$A$7:$A$37,0)),""))</f>
        <v/>
      </c>
      <c r="D13" s="29">
        <f>IF(D9="","",IFERROR(INDEX('04_月間表'!F$7:F$37,MATCH(D9,'04_月間表'!$A$7:$A$37,0)),""))</f>
        <v/>
      </c>
      <c r="E13" s="29">
        <f>IF(E9="","",IFERROR(INDEX('04_月間表'!F$7:F$37,MATCH(E9,'04_月間表'!$A$7:$A$37,0)),""))</f>
        <v/>
      </c>
      <c r="F13" s="29">
        <f>IF(F9="","",IFERROR(INDEX('04_月間表'!F$7:F$37,MATCH(F9,'04_月間表'!$A$7:$A$37,0)),""))</f>
        <v/>
      </c>
      <c r="G13" s="29">
        <f>IF(G9="","",IFERROR(INDEX('04_月間表'!F$7:F$37,MATCH(G9,'04_月間表'!$A$7:$A$37,0)),""))</f>
        <v/>
      </c>
      <c r="H13" s="29">
        <f>IF(H9="","",IFERROR(INDEX('04_月間表'!F$7:F$37,MATCH(H9,'04_月間表'!$A$7:$A$37,0)),""))</f>
        <v/>
      </c>
      <c r="J13">
        <f>IF(B9="","",IFERROR(INDEX('04_月間表'!AA$7:AA$37,MATCH(B9,'04_月間表'!$A$7:$A$37,0)),""))</f>
        <v/>
      </c>
      <c r="K13">
        <f>IF(C9="","",IFERROR(INDEX('04_月間表'!AA$7:AA$37,MATCH(C9,'04_月間表'!$A$7:$A$37,0)),""))</f>
        <v/>
      </c>
      <c r="L13">
        <f>IF(D9="","",IFERROR(INDEX('04_月間表'!AA$7:AA$37,MATCH(D9,'04_月間表'!$A$7:$A$37,0)),""))</f>
        <v/>
      </c>
      <c r="M13">
        <f>IF(E9="","",IFERROR(INDEX('04_月間表'!AA$7:AA$37,MATCH(E9,'04_月間表'!$A$7:$A$37,0)),""))</f>
        <v/>
      </c>
      <c r="N13">
        <f>IF(F9="","",IFERROR(INDEX('04_月間表'!AA$7:AA$37,MATCH(F9,'04_月間表'!$A$7:$A$37,0)),""))</f>
        <v/>
      </c>
      <c r="O13">
        <f>IF(G9="","",IFERROR(INDEX('04_月間表'!AA$7:AA$37,MATCH(G9,'04_月間表'!$A$7:$A$37,0)),""))</f>
        <v/>
      </c>
      <c r="P13">
        <f>IF(H9="","",IFERROR(INDEX('04_月間表'!AA$7:AA$37,MATCH(H9,'04_月間表'!$A$7:$A$37,0)),""))</f>
        <v/>
      </c>
    </row>
    <row r="14" ht="22" customHeight="1">
      <c r="A14" s="28" t="inlineStr">
        <is>
          <t>空き</t>
        </is>
      </c>
      <c r="B14" s="30">
        <f>IF(B9="","",IFERROR(INDEX('04_月間表'!$J$7:$J$37,MATCH(B9,'04_月間表'!$A$7:$A$37,0)),""))</f>
        <v/>
      </c>
      <c r="C14" s="30">
        <f>IF(C9="","",IFERROR(INDEX('04_月間表'!$J$7:$J$37,MATCH(C9,'04_月間表'!$A$7:$A$37,0)),""))</f>
        <v/>
      </c>
      <c r="D14" s="30">
        <f>IF(D9="","",IFERROR(INDEX('04_月間表'!$J$7:$J$37,MATCH(D9,'04_月間表'!$A$7:$A$37,0)),""))</f>
        <v/>
      </c>
      <c r="E14" s="30">
        <f>IF(E9="","",IFERROR(INDEX('04_月間表'!$J$7:$J$37,MATCH(E9,'04_月間表'!$A$7:$A$37,0)),""))</f>
        <v/>
      </c>
      <c r="F14" s="30">
        <f>IF(F9="","",IFERROR(INDEX('04_月間表'!$J$7:$J$37,MATCH(F9,'04_月間表'!$A$7:$A$37,0)),""))</f>
        <v/>
      </c>
      <c r="G14" s="30">
        <f>IF(G9="","",IFERROR(INDEX('04_月間表'!$J$7:$J$37,MATCH(G9,'04_月間表'!$A$7:$A$37,0)),""))</f>
        <v/>
      </c>
      <c r="H14" s="30">
        <f>IF(H9="","",IFERROR(INDEX('04_月間表'!$J$7:$J$37,MATCH(H9,'04_月間表'!$A$7:$A$37,0)),""))</f>
        <v/>
      </c>
    </row>
    <row r="15" ht="17" customHeight="1">
      <c r="A15" s="31" t="inlineStr">
        <is>
          <t>食事</t>
        </is>
      </c>
      <c r="B15" s="32">
        <f>IF(OR(B9="",$B$6&lt;&gt;"○"),"",IFERROR(INDEX('04_月間表'!$AI$7:$AI$37,MATCH(B9,'04_月間表'!$A$7:$A$37,0)),""))</f>
        <v/>
      </c>
      <c r="C15" s="32">
        <f>IF(OR(C9="",$B$6&lt;&gt;"○"),"",IFERROR(INDEX('04_月間表'!$AI$7:$AI$37,MATCH(C9,'04_月間表'!$A$7:$A$37,0)),""))</f>
        <v/>
      </c>
      <c r="D15" s="32">
        <f>IF(OR(D9="",$B$6&lt;&gt;"○"),"",IFERROR(INDEX('04_月間表'!$AI$7:$AI$37,MATCH(D9,'04_月間表'!$A$7:$A$37,0)),""))</f>
        <v/>
      </c>
      <c r="E15" s="32">
        <f>IF(OR(E9="",$B$6&lt;&gt;"○"),"",IFERROR(INDEX('04_月間表'!$AI$7:$AI$37,MATCH(E9,'04_月間表'!$A$7:$A$37,0)),""))</f>
        <v/>
      </c>
      <c r="F15" s="32">
        <f>IF(OR(F9="",$B$6&lt;&gt;"○"),"",IFERROR(INDEX('04_月間表'!$AI$7:$AI$37,MATCH(F9,'04_月間表'!$A$7:$A$37,0)),""))</f>
        <v/>
      </c>
      <c r="G15" s="32">
        <f>IF(OR(G9="",$B$6&lt;&gt;"○"),"",IFERROR(INDEX('04_月間表'!$AI$7:$AI$37,MATCH(G9,'04_月間表'!$A$7:$A$37,0)),""))</f>
        <v/>
      </c>
      <c r="H15" s="32">
        <f>IF(OR(H9="",$B$6&lt;&gt;"○"),"",IFERROR(INDEX('04_月間表'!$AI$7:$AI$37,MATCH(H9,'04_月間表'!$A$7:$A$37,0)),""))</f>
        <v/>
      </c>
    </row>
    <row r="17" ht="22" customHeight="1">
      <c r="A17" s="24" t="inlineStr">
        <is>
          <t>第2週</t>
        </is>
      </c>
      <c r="B17" s="118">
        <f>IF(MONTH($B$4-WEEKDAY($B$4)+1+7)&lt;&gt;MONTH($B$4),"",$B$4-WEEKDAY($B$4)+1+7)</f>
        <v/>
      </c>
      <c r="C17" s="119">
        <f>IF(MONTH($B$4-WEEKDAY($B$4)+1+8)&lt;&gt;MONTH($B$4),"",$B$4-WEEKDAY($B$4)+1+8)</f>
        <v/>
      </c>
      <c r="D17" s="119">
        <f>IF(MONTH($B$4-WEEKDAY($B$4)+1+9)&lt;&gt;MONTH($B$4),"",$B$4-WEEKDAY($B$4)+1+9)</f>
        <v/>
      </c>
      <c r="E17" s="119">
        <f>IF(MONTH($B$4-WEEKDAY($B$4)+1+10)&lt;&gt;MONTH($B$4),"",$B$4-WEEKDAY($B$4)+1+10)</f>
        <v/>
      </c>
      <c r="F17" s="119">
        <f>IF(MONTH($B$4-WEEKDAY($B$4)+1+11)&lt;&gt;MONTH($B$4),"",$B$4-WEEKDAY($B$4)+1+11)</f>
        <v/>
      </c>
      <c r="G17" s="119">
        <f>IF(MONTH($B$4-WEEKDAY($B$4)+1+12)&lt;&gt;MONTH($B$4),"",$B$4-WEEKDAY($B$4)+1+12)</f>
        <v/>
      </c>
      <c r="H17" s="120">
        <f>IF(MONTH($B$4-WEEKDAY($B$4)+1+13)&lt;&gt;MONTH($B$4),"",$B$4-WEEKDAY($B$4)+1+13)</f>
        <v/>
      </c>
    </row>
    <row r="18" ht="21" customHeight="1">
      <c r="A18" s="28">
        <f>IF(COUNTA('M_部屋'!$A$4:$A$20)&gt;=1,INDEX('M_部屋'!$A$4:$A$20,1),"")</f>
        <v/>
      </c>
      <c r="B18" s="29">
        <f>IF(B17="","",IFERROR(INDEX('04_月間表'!C$7:C$37,MATCH(B17,'04_月間表'!$A$7:$A$37,0)),""))</f>
        <v/>
      </c>
      <c r="C18" s="29">
        <f>IF(C17="","",IFERROR(INDEX('04_月間表'!C$7:C$37,MATCH(C17,'04_月間表'!$A$7:$A$37,0)),""))</f>
        <v/>
      </c>
      <c r="D18" s="29">
        <f>IF(D17="","",IFERROR(INDEX('04_月間表'!C$7:C$37,MATCH(D17,'04_月間表'!$A$7:$A$37,0)),""))</f>
        <v/>
      </c>
      <c r="E18" s="29">
        <f>IF(E17="","",IFERROR(INDEX('04_月間表'!C$7:C$37,MATCH(E17,'04_月間表'!$A$7:$A$37,0)),""))</f>
        <v/>
      </c>
      <c r="F18" s="29">
        <f>IF(F17="","",IFERROR(INDEX('04_月間表'!C$7:C$37,MATCH(F17,'04_月間表'!$A$7:$A$37,0)),""))</f>
        <v/>
      </c>
      <c r="G18" s="29">
        <f>IF(G17="","",IFERROR(INDEX('04_月間表'!C$7:C$37,MATCH(G17,'04_月間表'!$A$7:$A$37,0)),""))</f>
        <v/>
      </c>
      <c r="H18" s="29">
        <f>IF(H17="","",IFERROR(INDEX('04_月間表'!C$7:C$37,MATCH(H17,'04_月間表'!$A$7:$A$37,0)),""))</f>
        <v/>
      </c>
      <c r="J18">
        <f>IF(B17="","",IFERROR(INDEX('04_月間表'!X$7:X$37,MATCH(B17,'04_月間表'!$A$7:$A$37,0)),""))</f>
        <v/>
      </c>
      <c r="K18">
        <f>IF(C17="","",IFERROR(INDEX('04_月間表'!X$7:X$37,MATCH(C17,'04_月間表'!$A$7:$A$37,0)),""))</f>
        <v/>
      </c>
      <c r="L18">
        <f>IF(D17="","",IFERROR(INDEX('04_月間表'!X$7:X$37,MATCH(D17,'04_月間表'!$A$7:$A$37,0)),""))</f>
        <v/>
      </c>
      <c r="M18">
        <f>IF(E17="","",IFERROR(INDEX('04_月間表'!X$7:X$37,MATCH(E17,'04_月間表'!$A$7:$A$37,0)),""))</f>
        <v/>
      </c>
      <c r="N18">
        <f>IF(F17="","",IFERROR(INDEX('04_月間表'!X$7:X$37,MATCH(F17,'04_月間表'!$A$7:$A$37,0)),""))</f>
        <v/>
      </c>
      <c r="O18">
        <f>IF(G17="","",IFERROR(INDEX('04_月間表'!X$7:X$37,MATCH(G17,'04_月間表'!$A$7:$A$37,0)),""))</f>
        <v/>
      </c>
      <c r="P18">
        <f>IF(H17="","",IFERROR(INDEX('04_月間表'!X$7:X$37,MATCH(H17,'04_月間表'!$A$7:$A$37,0)),""))</f>
        <v/>
      </c>
    </row>
    <row r="19" ht="21" customHeight="1">
      <c r="A19" s="28">
        <f>IF(COUNTA('M_部屋'!$A$4:$A$20)&gt;=2,INDEX('M_部屋'!$A$4:$A$20,2),"")</f>
        <v/>
      </c>
      <c r="B19" s="29">
        <f>IF(B17="","",IFERROR(INDEX('04_月間表'!D$7:D$37,MATCH(B17,'04_月間表'!$A$7:$A$37,0)),""))</f>
        <v/>
      </c>
      <c r="C19" s="29">
        <f>IF(C17="","",IFERROR(INDEX('04_月間表'!D$7:D$37,MATCH(C17,'04_月間表'!$A$7:$A$37,0)),""))</f>
        <v/>
      </c>
      <c r="D19" s="29">
        <f>IF(D17="","",IFERROR(INDEX('04_月間表'!D$7:D$37,MATCH(D17,'04_月間表'!$A$7:$A$37,0)),""))</f>
        <v/>
      </c>
      <c r="E19" s="29">
        <f>IF(E17="","",IFERROR(INDEX('04_月間表'!D$7:D$37,MATCH(E17,'04_月間表'!$A$7:$A$37,0)),""))</f>
        <v/>
      </c>
      <c r="F19" s="29">
        <f>IF(F17="","",IFERROR(INDEX('04_月間表'!D$7:D$37,MATCH(F17,'04_月間表'!$A$7:$A$37,0)),""))</f>
        <v/>
      </c>
      <c r="G19" s="29">
        <f>IF(G17="","",IFERROR(INDEX('04_月間表'!D$7:D$37,MATCH(G17,'04_月間表'!$A$7:$A$37,0)),""))</f>
        <v/>
      </c>
      <c r="H19" s="29">
        <f>IF(H17="","",IFERROR(INDEX('04_月間表'!D$7:D$37,MATCH(H17,'04_月間表'!$A$7:$A$37,0)),""))</f>
        <v/>
      </c>
      <c r="J19">
        <f>IF(B17="","",IFERROR(INDEX('04_月間表'!Y$7:Y$37,MATCH(B17,'04_月間表'!$A$7:$A$37,0)),""))</f>
        <v/>
      </c>
      <c r="K19">
        <f>IF(C17="","",IFERROR(INDEX('04_月間表'!Y$7:Y$37,MATCH(C17,'04_月間表'!$A$7:$A$37,0)),""))</f>
        <v/>
      </c>
      <c r="L19">
        <f>IF(D17="","",IFERROR(INDEX('04_月間表'!Y$7:Y$37,MATCH(D17,'04_月間表'!$A$7:$A$37,0)),""))</f>
        <v/>
      </c>
      <c r="M19">
        <f>IF(E17="","",IFERROR(INDEX('04_月間表'!Y$7:Y$37,MATCH(E17,'04_月間表'!$A$7:$A$37,0)),""))</f>
        <v/>
      </c>
      <c r="N19">
        <f>IF(F17="","",IFERROR(INDEX('04_月間表'!Y$7:Y$37,MATCH(F17,'04_月間表'!$A$7:$A$37,0)),""))</f>
        <v/>
      </c>
      <c r="O19">
        <f>IF(G17="","",IFERROR(INDEX('04_月間表'!Y$7:Y$37,MATCH(G17,'04_月間表'!$A$7:$A$37,0)),""))</f>
        <v/>
      </c>
      <c r="P19">
        <f>IF(H17="","",IFERROR(INDEX('04_月間表'!Y$7:Y$37,MATCH(H17,'04_月間表'!$A$7:$A$37,0)),""))</f>
        <v/>
      </c>
    </row>
    <row r="20" ht="21" customHeight="1">
      <c r="A20" s="28">
        <f>IF(COUNTA('M_部屋'!$A$4:$A$20)&gt;=3,INDEX('M_部屋'!$A$4:$A$20,3),"")</f>
        <v/>
      </c>
      <c r="B20" s="29">
        <f>IF(B17="","",IFERROR(INDEX('04_月間表'!E$7:E$37,MATCH(B17,'04_月間表'!$A$7:$A$37,0)),""))</f>
        <v/>
      </c>
      <c r="C20" s="29">
        <f>IF(C17="","",IFERROR(INDEX('04_月間表'!E$7:E$37,MATCH(C17,'04_月間表'!$A$7:$A$37,0)),""))</f>
        <v/>
      </c>
      <c r="D20" s="29">
        <f>IF(D17="","",IFERROR(INDEX('04_月間表'!E$7:E$37,MATCH(D17,'04_月間表'!$A$7:$A$37,0)),""))</f>
        <v/>
      </c>
      <c r="E20" s="29">
        <f>IF(E17="","",IFERROR(INDEX('04_月間表'!E$7:E$37,MATCH(E17,'04_月間表'!$A$7:$A$37,0)),""))</f>
        <v/>
      </c>
      <c r="F20" s="29">
        <f>IF(F17="","",IFERROR(INDEX('04_月間表'!E$7:E$37,MATCH(F17,'04_月間表'!$A$7:$A$37,0)),""))</f>
        <v/>
      </c>
      <c r="G20" s="29">
        <f>IF(G17="","",IFERROR(INDEX('04_月間表'!E$7:E$37,MATCH(G17,'04_月間表'!$A$7:$A$37,0)),""))</f>
        <v/>
      </c>
      <c r="H20" s="29">
        <f>IF(H17="","",IFERROR(INDEX('04_月間表'!E$7:E$37,MATCH(H17,'04_月間表'!$A$7:$A$37,0)),""))</f>
        <v/>
      </c>
      <c r="J20">
        <f>IF(B17="","",IFERROR(INDEX('04_月間表'!Z$7:Z$37,MATCH(B17,'04_月間表'!$A$7:$A$37,0)),""))</f>
        <v/>
      </c>
      <c r="K20">
        <f>IF(C17="","",IFERROR(INDEX('04_月間表'!Z$7:Z$37,MATCH(C17,'04_月間表'!$A$7:$A$37,0)),""))</f>
        <v/>
      </c>
      <c r="L20">
        <f>IF(D17="","",IFERROR(INDEX('04_月間表'!Z$7:Z$37,MATCH(D17,'04_月間表'!$A$7:$A$37,0)),""))</f>
        <v/>
      </c>
      <c r="M20">
        <f>IF(E17="","",IFERROR(INDEX('04_月間表'!Z$7:Z$37,MATCH(E17,'04_月間表'!$A$7:$A$37,0)),""))</f>
        <v/>
      </c>
      <c r="N20">
        <f>IF(F17="","",IFERROR(INDEX('04_月間表'!Z$7:Z$37,MATCH(F17,'04_月間表'!$A$7:$A$37,0)),""))</f>
        <v/>
      </c>
      <c r="O20">
        <f>IF(G17="","",IFERROR(INDEX('04_月間表'!Z$7:Z$37,MATCH(G17,'04_月間表'!$A$7:$A$37,0)),""))</f>
        <v/>
      </c>
      <c r="P20">
        <f>IF(H17="","",IFERROR(INDEX('04_月間表'!Z$7:Z$37,MATCH(H17,'04_月間表'!$A$7:$A$37,0)),""))</f>
        <v/>
      </c>
    </row>
    <row r="21" ht="21" customHeight="1">
      <c r="A21" s="28">
        <f>IF(COUNTA('M_部屋'!$A$4:$A$20)&gt;=4,INDEX('M_部屋'!$A$4:$A$20,4),"")</f>
        <v/>
      </c>
      <c r="B21" s="29">
        <f>IF(B17="","",IFERROR(INDEX('04_月間表'!F$7:F$37,MATCH(B17,'04_月間表'!$A$7:$A$37,0)),""))</f>
        <v/>
      </c>
      <c r="C21" s="29">
        <f>IF(C17="","",IFERROR(INDEX('04_月間表'!F$7:F$37,MATCH(C17,'04_月間表'!$A$7:$A$37,0)),""))</f>
        <v/>
      </c>
      <c r="D21" s="29">
        <f>IF(D17="","",IFERROR(INDEX('04_月間表'!F$7:F$37,MATCH(D17,'04_月間表'!$A$7:$A$37,0)),""))</f>
        <v/>
      </c>
      <c r="E21" s="29">
        <f>IF(E17="","",IFERROR(INDEX('04_月間表'!F$7:F$37,MATCH(E17,'04_月間表'!$A$7:$A$37,0)),""))</f>
        <v/>
      </c>
      <c r="F21" s="29">
        <f>IF(F17="","",IFERROR(INDEX('04_月間表'!F$7:F$37,MATCH(F17,'04_月間表'!$A$7:$A$37,0)),""))</f>
        <v/>
      </c>
      <c r="G21" s="29">
        <f>IF(G17="","",IFERROR(INDEX('04_月間表'!F$7:F$37,MATCH(G17,'04_月間表'!$A$7:$A$37,0)),""))</f>
        <v/>
      </c>
      <c r="H21" s="29">
        <f>IF(H17="","",IFERROR(INDEX('04_月間表'!F$7:F$37,MATCH(H17,'04_月間表'!$A$7:$A$37,0)),""))</f>
        <v/>
      </c>
      <c r="J21">
        <f>IF(B17="","",IFERROR(INDEX('04_月間表'!AA$7:AA$37,MATCH(B17,'04_月間表'!$A$7:$A$37,0)),""))</f>
        <v/>
      </c>
      <c r="K21">
        <f>IF(C17="","",IFERROR(INDEX('04_月間表'!AA$7:AA$37,MATCH(C17,'04_月間表'!$A$7:$A$37,0)),""))</f>
        <v/>
      </c>
      <c r="L21">
        <f>IF(D17="","",IFERROR(INDEX('04_月間表'!AA$7:AA$37,MATCH(D17,'04_月間表'!$A$7:$A$37,0)),""))</f>
        <v/>
      </c>
      <c r="M21">
        <f>IF(E17="","",IFERROR(INDEX('04_月間表'!AA$7:AA$37,MATCH(E17,'04_月間表'!$A$7:$A$37,0)),""))</f>
        <v/>
      </c>
      <c r="N21">
        <f>IF(F17="","",IFERROR(INDEX('04_月間表'!AA$7:AA$37,MATCH(F17,'04_月間表'!$A$7:$A$37,0)),""))</f>
        <v/>
      </c>
      <c r="O21">
        <f>IF(G17="","",IFERROR(INDEX('04_月間表'!AA$7:AA$37,MATCH(G17,'04_月間表'!$A$7:$A$37,0)),""))</f>
        <v/>
      </c>
      <c r="P21">
        <f>IF(H17="","",IFERROR(INDEX('04_月間表'!AA$7:AA$37,MATCH(H17,'04_月間表'!$A$7:$A$37,0)),""))</f>
        <v/>
      </c>
    </row>
    <row r="22" ht="22" customHeight="1">
      <c r="A22" s="28" t="inlineStr">
        <is>
          <t>空き</t>
        </is>
      </c>
      <c r="B22" s="30">
        <f>IF(B17="","",IFERROR(INDEX('04_月間表'!$J$7:$J$37,MATCH(B17,'04_月間表'!$A$7:$A$37,0)),""))</f>
        <v/>
      </c>
      <c r="C22" s="30">
        <f>IF(C17="","",IFERROR(INDEX('04_月間表'!$J$7:$J$37,MATCH(C17,'04_月間表'!$A$7:$A$37,0)),""))</f>
        <v/>
      </c>
      <c r="D22" s="30">
        <f>IF(D17="","",IFERROR(INDEX('04_月間表'!$J$7:$J$37,MATCH(D17,'04_月間表'!$A$7:$A$37,0)),""))</f>
        <v/>
      </c>
      <c r="E22" s="30">
        <f>IF(E17="","",IFERROR(INDEX('04_月間表'!$J$7:$J$37,MATCH(E17,'04_月間表'!$A$7:$A$37,0)),""))</f>
        <v/>
      </c>
      <c r="F22" s="30">
        <f>IF(F17="","",IFERROR(INDEX('04_月間表'!$J$7:$J$37,MATCH(F17,'04_月間表'!$A$7:$A$37,0)),""))</f>
        <v/>
      </c>
      <c r="G22" s="30">
        <f>IF(G17="","",IFERROR(INDEX('04_月間表'!$J$7:$J$37,MATCH(G17,'04_月間表'!$A$7:$A$37,0)),""))</f>
        <v/>
      </c>
      <c r="H22" s="30">
        <f>IF(H17="","",IFERROR(INDEX('04_月間表'!$J$7:$J$37,MATCH(H17,'04_月間表'!$A$7:$A$37,0)),""))</f>
        <v/>
      </c>
    </row>
    <row r="23" ht="17" customHeight="1">
      <c r="A23" s="31" t="inlineStr">
        <is>
          <t>食事</t>
        </is>
      </c>
      <c r="B23" s="32">
        <f>IF(OR(B17="",$B$6&lt;&gt;"○"),"",IFERROR(INDEX('04_月間表'!$AI$7:$AI$37,MATCH(B17,'04_月間表'!$A$7:$A$37,0)),""))</f>
        <v/>
      </c>
      <c r="C23" s="32">
        <f>IF(OR(C17="",$B$6&lt;&gt;"○"),"",IFERROR(INDEX('04_月間表'!$AI$7:$AI$37,MATCH(C17,'04_月間表'!$A$7:$A$37,0)),""))</f>
        <v/>
      </c>
      <c r="D23" s="32">
        <f>IF(OR(D17="",$B$6&lt;&gt;"○"),"",IFERROR(INDEX('04_月間表'!$AI$7:$AI$37,MATCH(D17,'04_月間表'!$A$7:$A$37,0)),""))</f>
        <v/>
      </c>
      <c r="E23" s="32">
        <f>IF(OR(E17="",$B$6&lt;&gt;"○"),"",IFERROR(INDEX('04_月間表'!$AI$7:$AI$37,MATCH(E17,'04_月間表'!$A$7:$A$37,0)),""))</f>
        <v/>
      </c>
      <c r="F23" s="32">
        <f>IF(OR(F17="",$B$6&lt;&gt;"○"),"",IFERROR(INDEX('04_月間表'!$AI$7:$AI$37,MATCH(F17,'04_月間表'!$A$7:$A$37,0)),""))</f>
        <v/>
      </c>
      <c r="G23" s="32">
        <f>IF(OR(G17="",$B$6&lt;&gt;"○"),"",IFERROR(INDEX('04_月間表'!$AI$7:$AI$37,MATCH(G17,'04_月間表'!$A$7:$A$37,0)),""))</f>
        <v/>
      </c>
      <c r="H23" s="32">
        <f>IF(OR(H17="",$B$6&lt;&gt;"○"),"",IFERROR(INDEX('04_月間表'!$AI$7:$AI$37,MATCH(H17,'04_月間表'!$A$7:$A$37,0)),""))</f>
        <v/>
      </c>
    </row>
    <row r="25" ht="22" customHeight="1">
      <c r="A25" s="24" t="inlineStr">
        <is>
          <t>第3週</t>
        </is>
      </c>
      <c r="B25" s="118">
        <f>IF(MONTH($B$4-WEEKDAY($B$4)+1+14)&lt;&gt;MONTH($B$4),"",$B$4-WEEKDAY($B$4)+1+14)</f>
        <v/>
      </c>
      <c r="C25" s="119">
        <f>IF(MONTH($B$4-WEEKDAY($B$4)+1+15)&lt;&gt;MONTH($B$4),"",$B$4-WEEKDAY($B$4)+1+15)</f>
        <v/>
      </c>
      <c r="D25" s="119">
        <f>IF(MONTH($B$4-WEEKDAY($B$4)+1+16)&lt;&gt;MONTH($B$4),"",$B$4-WEEKDAY($B$4)+1+16)</f>
        <v/>
      </c>
      <c r="E25" s="119">
        <f>IF(MONTH($B$4-WEEKDAY($B$4)+1+17)&lt;&gt;MONTH($B$4),"",$B$4-WEEKDAY($B$4)+1+17)</f>
        <v/>
      </c>
      <c r="F25" s="119">
        <f>IF(MONTH($B$4-WEEKDAY($B$4)+1+18)&lt;&gt;MONTH($B$4),"",$B$4-WEEKDAY($B$4)+1+18)</f>
        <v/>
      </c>
      <c r="G25" s="119">
        <f>IF(MONTH($B$4-WEEKDAY($B$4)+1+19)&lt;&gt;MONTH($B$4),"",$B$4-WEEKDAY($B$4)+1+19)</f>
        <v/>
      </c>
      <c r="H25" s="120">
        <f>IF(MONTH($B$4-WEEKDAY($B$4)+1+20)&lt;&gt;MONTH($B$4),"",$B$4-WEEKDAY($B$4)+1+20)</f>
        <v/>
      </c>
    </row>
    <row r="26" ht="21" customHeight="1">
      <c r="A26" s="28">
        <f>IF(COUNTA('M_部屋'!$A$4:$A$20)&gt;=1,INDEX('M_部屋'!$A$4:$A$20,1),"")</f>
        <v/>
      </c>
      <c r="B26" s="29">
        <f>IF(B25="","",IFERROR(INDEX('04_月間表'!C$7:C$37,MATCH(B25,'04_月間表'!$A$7:$A$37,0)),""))</f>
        <v/>
      </c>
      <c r="C26" s="29">
        <f>IF(C25="","",IFERROR(INDEX('04_月間表'!C$7:C$37,MATCH(C25,'04_月間表'!$A$7:$A$37,0)),""))</f>
        <v/>
      </c>
      <c r="D26" s="29">
        <f>IF(D25="","",IFERROR(INDEX('04_月間表'!C$7:C$37,MATCH(D25,'04_月間表'!$A$7:$A$37,0)),""))</f>
        <v/>
      </c>
      <c r="E26" s="29">
        <f>IF(E25="","",IFERROR(INDEX('04_月間表'!C$7:C$37,MATCH(E25,'04_月間表'!$A$7:$A$37,0)),""))</f>
        <v/>
      </c>
      <c r="F26" s="29">
        <f>IF(F25="","",IFERROR(INDEX('04_月間表'!C$7:C$37,MATCH(F25,'04_月間表'!$A$7:$A$37,0)),""))</f>
        <v/>
      </c>
      <c r="G26" s="29">
        <f>IF(G25="","",IFERROR(INDEX('04_月間表'!C$7:C$37,MATCH(G25,'04_月間表'!$A$7:$A$37,0)),""))</f>
        <v/>
      </c>
      <c r="H26" s="29">
        <f>IF(H25="","",IFERROR(INDEX('04_月間表'!C$7:C$37,MATCH(H25,'04_月間表'!$A$7:$A$37,0)),""))</f>
        <v/>
      </c>
      <c r="J26">
        <f>IF(B25="","",IFERROR(INDEX('04_月間表'!X$7:X$37,MATCH(B25,'04_月間表'!$A$7:$A$37,0)),""))</f>
        <v/>
      </c>
      <c r="K26">
        <f>IF(C25="","",IFERROR(INDEX('04_月間表'!X$7:X$37,MATCH(C25,'04_月間表'!$A$7:$A$37,0)),""))</f>
        <v/>
      </c>
      <c r="L26">
        <f>IF(D25="","",IFERROR(INDEX('04_月間表'!X$7:X$37,MATCH(D25,'04_月間表'!$A$7:$A$37,0)),""))</f>
        <v/>
      </c>
      <c r="M26">
        <f>IF(E25="","",IFERROR(INDEX('04_月間表'!X$7:X$37,MATCH(E25,'04_月間表'!$A$7:$A$37,0)),""))</f>
        <v/>
      </c>
      <c r="N26">
        <f>IF(F25="","",IFERROR(INDEX('04_月間表'!X$7:X$37,MATCH(F25,'04_月間表'!$A$7:$A$37,0)),""))</f>
        <v/>
      </c>
      <c r="O26">
        <f>IF(G25="","",IFERROR(INDEX('04_月間表'!X$7:X$37,MATCH(G25,'04_月間表'!$A$7:$A$37,0)),""))</f>
        <v/>
      </c>
      <c r="P26">
        <f>IF(H25="","",IFERROR(INDEX('04_月間表'!X$7:X$37,MATCH(H25,'04_月間表'!$A$7:$A$37,0)),""))</f>
        <v/>
      </c>
    </row>
    <row r="27" ht="21" customHeight="1">
      <c r="A27" s="28">
        <f>IF(COUNTA('M_部屋'!$A$4:$A$20)&gt;=2,INDEX('M_部屋'!$A$4:$A$20,2),"")</f>
        <v/>
      </c>
      <c r="B27" s="29">
        <f>IF(B25="","",IFERROR(INDEX('04_月間表'!D$7:D$37,MATCH(B25,'04_月間表'!$A$7:$A$37,0)),""))</f>
        <v/>
      </c>
      <c r="C27" s="29">
        <f>IF(C25="","",IFERROR(INDEX('04_月間表'!D$7:D$37,MATCH(C25,'04_月間表'!$A$7:$A$37,0)),""))</f>
        <v/>
      </c>
      <c r="D27" s="29">
        <f>IF(D25="","",IFERROR(INDEX('04_月間表'!D$7:D$37,MATCH(D25,'04_月間表'!$A$7:$A$37,0)),""))</f>
        <v/>
      </c>
      <c r="E27" s="29">
        <f>IF(E25="","",IFERROR(INDEX('04_月間表'!D$7:D$37,MATCH(E25,'04_月間表'!$A$7:$A$37,0)),""))</f>
        <v/>
      </c>
      <c r="F27" s="29">
        <f>IF(F25="","",IFERROR(INDEX('04_月間表'!D$7:D$37,MATCH(F25,'04_月間表'!$A$7:$A$37,0)),""))</f>
        <v/>
      </c>
      <c r="G27" s="29">
        <f>IF(G25="","",IFERROR(INDEX('04_月間表'!D$7:D$37,MATCH(G25,'04_月間表'!$A$7:$A$37,0)),""))</f>
        <v/>
      </c>
      <c r="H27" s="29">
        <f>IF(H25="","",IFERROR(INDEX('04_月間表'!D$7:D$37,MATCH(H25,'04_月間表'!$A$7:$A$37,0)),""))</f>
        <v/>
      </c>
      <c r="J27">
        <f>IF(B25="","",IFERROR(INDEX('04_月間表'!Y$7:Y$37,MATCH(B25,'04_月間表'!$A$7:$A$37,0)),""))</f>
        <v/>
      </c>
      <c r="K27">
        <f>IF(C25="","",IFERROR(INDEX('04_月間表'!Y$7:Y$37,MATCH(C25,'04_月間表'!$A$7:$A$37,0)),""))</f>
        <v/>
      </c>
      <c r="L27">
        <f>IF(D25="","",IFERROR(INDEX('04_月間表'!Y$7:Y$37,MATCH(D25,'04_月間表'!$A$7:$A$37,0)),""))</f>
        <v/>
      </c>
      <c r="M27">
        <f>IF(E25="","",IFERROR(INDEX('04_月間表'!Y$7:Y$37,MATCH(E25,'04_月間表'!$A$7:$A$37,0)),""))</f>
        <v/>
      </c>
      <c r="N27">
        <f>IF(F25="","",IFERROR(INDEX('04_月間表'!Y$7:Y$37,MATCH(F25,'04_月間表'!$A$7:$A$37,0)),""))</f>
        <v/>
      </c>
      <c r="O27">
        <f>IF(G25="","",IFERROR(INDEX('04_月間表'!Y$7:Y$37,MATCH(G25,'04_月間表'!$A$7:$A$37,0)),""))</f>
        <v/>
      </c>
      <c r="P27">
        <f>IF(H25="","",IFERROR(INDEX('04_月間表'!Y$7:Y$37,MATCH(H25,'04_月間表'!$A$7:$A$37,0)),""))</f>
        <v/>
      </c>
    </row>
    <row r="28" ht="21" customHeight="1">
      <c r="A28" s="28">
        <f>IF(COUNTA('M_部屋'!$A$4:$A$20)&gt;=3,INDEX('M_部屋'!$A$4:$A$20,3),"")</f>
        <v/>
      </c>
      <c r="B28" s="29">
        <f>IF(B25="","",IFERROR(INDEX('04_月間表'!E$7:E$37,MATCH(B25,'04_月間表'!$A$7:$A$37,0)),""))</f>
        <v/>
      </c>
      <c r="C28" s="29">
        <f>IF(C25="","",IFERROR(INDEX('04_月間表'!E$7:E$37,MATCH(C25,'04_月間表'!$A$7:$A$37,0)),""))</f>
        <v/>
      </c>
      <c r="D28" s="29">
        <f>IF(D25="","",IFERROR(INDEX('04_月間表'!E$7:E$37,MATCH(D25,'04_月間表'!$A$7:$A$37,0)),""))</f>
        <v/>
      </c>
      <c r="E28" s="29">
        <f>IF(E25="","",IFERROR(INDEX('04_月間表'!E$7:E$37,MATCH(E25,'04_月間表'!$A$7:$A$37,0)),""))</f>
        <v/>
      </c>
      <c r="F28" s="29">
        <f>IF(F25="","",IFERROR(INDEX('04_月間表'!E$7:E$37,MATCH(F25,'04_月間表'!$A$7:$A$37,0)),""))</f>
        <v/>
      </c>
      <c r="G28" s="29">
        <f>IF(G25="","",IFERROR(INDEX('04_月間表'!E$7:E$37,MATCH(G25,'04_月間表'!$A$7:$A$37,0)),""))</f>
        <v/>
      </c>
      <c r="H28" s="29">
        <f>IF(H25="","",IFERROR(INDEX('04_月間表'!E$7:E$37,MATCH(H25,'04_月間表'!$A$7:$A$37,0)),""))</f>
        <v/>
      </c>
      <c r="J28">
        <f>IF(B25="","",IFERROR(INDEX('04_月間表'!Z$7:Z$37,MATCH(B25,'04_月間表'!$A$7:$A$37,0)),""))</f>
        <v/>
      </c>
      <c r="K28">
        <f>IF(C25="","",IFERROR(INDEX('04_月間表'!Z$7:Z$37,MATCH(C25,'04_月間表'!$A$7:$A$37,0)),""))</f>
        <v/>
      </c>
      <c r="L28">
        <f>IF(D25="","",IFERROR(INDEX('04_月間表'!Z$7:Z$37,MATCH(D25,'04_月間表'!$A$7:$A$37,0)),""))</f>
        <v/>
      </c>
      <c r="M28">
        <f>IF(E25="","",IFERROR(INDEX('04_月間表'!Z$7:Z$37,MATCH(E25,'04_月間表'!$A$7:$A$37,0)),""))</f>
        <v/>
      </c>
      <c r="N28">
        <f>IF(F25="","",IFERROR(INDEX('04_月間表'!Z$7:Z$37,MATCH(F25,'04_月間表'!$A$7:$A$37,0)),""))</f>
        <v/>
      </c>
      <c r="O28">
        <f>IF(G25="","",IFERROR(INDEX('04_月間表'!Z$7:Z$37,MATCH(G25,'04_月間表'!$A$7:$A$37,0)),""))</f>
        <v/>
      </c>
      <c r="P28">
        <f>IF(H25="","",IFERROR(INDEX('04_月間表'!Z$7:Z$37,MATCH(H25,'04_月間表'!$A$7:$A$37,0)),""))</f>
        <v/>
      </c>
    </row>
    <row r="29" ht="21" customHeight="1">
      <c r="A29" s="28">
        <f>IF(COUNTA('M_部屋'!$A$4:$A$20)&gt;=4,INDEX('M_部屋'!$A$4:$A$20,4),"")</f>
        <v/>
      </c>
      <c r="B29" s="29">
        <f>IF(B25="","",IFERROR(INDEX('04_月間表'!F$7:F$37,MATCH(B25,'04_月間表'!$A$7:$A$37,0)),""))</f>
        <v/>
      </c>
      <c r="C29" s="29">
        <f>IF(C25="","",IFERROR(INDEX('04_月間表'!F$7:F$37,MATCH(C25,'04_月間表'!$A$7:$A$37,0)),""))</f>
        <v/>
      </c>
      <c r="D29" s="29">
        <f>IF(D25="","",IFERROR(INDEX('04_月間表'!F$7:F$37,MATCH(D25,'04_月間表'!$A$7:$A$37,0)),""))</f>
        <v/>
      </c>
      <c r="E29" s="29">
        <f>IF(E25="","",IFERROR(INDEX('04_月間表'!F$7:F$37,MATCH(E25,'04_月間表'!$A$7:$A$37,0)),""))</f>
        <v/>
      </c>
      <c r="F29" s="29">
        <f>IF(F25="","",IFERROR(INDEX('04_月間表'!F$7:F$37,MATCH(F25,'04_月間表'!$A$7:$A$37,0)),""))</f>
        <v/>
      </c>
      <c r="G29" s="29">
        <f>IF(G25="","",IFERROR(INDEX('04_月間表'!F$7:F$37,MATCH(G25,'04_月間表'!$A$7:$A$37,0)),""))</f>
        <v/>
      </c>
      <c r="H29" s="29">
        <f>IF(H25="","",IFERROR(INDEX('04_月間表'!F$7:F$37,MATCH(H25,'04_月間表'!$A$7:$A$37,0)),""))</f>
        <v/>
      </c>
      <c r="J29">
        <f>IF(B25="","",IFERROR(INDEX('04_月間表'!AA$7:AA$37,MATCH(B25,'04_月間表'!$A$7:$A$37,0)),""))</f>
        <v/>
      </c>
      <c r="K29">
        <f>IF(C25="","",IFERROR(INDEX('04_月間表'!AA$7:AA$37,MATCH(C25,'04_月間表'!$A$7:$A$37,0)),""))</f>
        <v/>
      </c>
      <c r="L29">
        <f>IF(D25="","",IFERROR(INDEX('04_月間表'!AA$7:AA$37,MATCH(D25,'04_月間表'!$A$7:$A$37,0)),""))</f>
        <v/>
      </c>
      <c r="M29">
        <f>IF(E25="","",IFERROR(INDEX('04_月間表'!AA$7:AA$37,MATCH(E25,'04_月間表'!$A$7:$A$37,0)),""))</f>
        <v/>
      </c>
      <c r="N29">
        <f>IF(F25="","",IFERROR(INDEX('04_月間表'!AA$7:AA$37,MATCH(F25,'04_月間表'!$A$7:$A$37,0)),""))</f>
        <v/>
      </c>
      <c r="O29">
        <f>IF(G25="","",IFERROR(INDEX('04_月間表'!AA$7:AA$37,MATCH(G25,'04_月間表'!$A$7:$A$37,0)),""))</f>
        <v/>
      </c>
      <c r="P29">
        <f>IF(H25="","",IFERROR(INDEX('04_月間表'!AA$7:AA$37,MATCH(H25,'04_月間表'!$A$7:$A$37,0)),""))</f>
        <v/>
      </c>
    </row>
    <row r="30" ht="22" customHeight="1">
      <c r="A30" s="28" t="inlineStr">
        <is>
          <t>空き</t>
        </is>
      </c>
      <c r="B30" s="30">
        <f>IF(B25="","",IFERROR(INDEX('04_月間表'!$J$7:$J$37,MATCH(B25,'04_月間表'!$A$7:$A$37,0)),""))</f>
        <v/>
      </c>
      <c r="C30" s="30">
        <f>IF(C25="","",IFERROR(INDEX('04_月間表'!$J$7:$J$37,MATCH(C25,'04_月間表'!$A$7:$A$37,0)),""))</f>
        <v/>
      </c>
      <c r="D30" s="30">
        <f>IF(D25="","",IFERROR(INDEX('04_月間表'!$J$7:$J$37,MATCH(D25,'04_月間表'!$A$7:$A$37,0)),""))</f>
        <v/>
      </c>
      <c r="E30" s="30">
        <f>IF(E25="","",IFERROR(INDEX('04_月間表'!$J$7:$J$37,MATCH(E25,'04_月間表'!$A$7:$A$37,0)),""))</f>
        <v/>
      </c>
      <c r="F30" s="30">
        <f>IF(F25="","",IFERROR(INDEX('04_月間表'!$J$7:$J$37,MATCH(F25,'04_月間表'!$A$7:$A$37,0)),""))</f>
        <v/>
      </c>
      <c r="G30" s="30">
        <f>IF(G25="","",IFERROR(INDEX('04_月間表'!$J$7:$J$37,MATCH(G25,'04_月間表'!$A$7:$A$37,0)),""))</f>
        <v/>
      </c>
      <c r="H30" s="30">
        <f>IF(H25="","",IFERROR(INDEX('04_月間表'!$J$7:$J$37,MATCH(H25,'04_月間表'!$A$7:$A$37,0)),""))</f>
        <v/>
      </c>
    </row>
    <row r="31" ht="17" customHeight="1">
      <c r="A31" s="31" t="inlineStr">
        <is>
          <t>食事</t>
        </is>
      </c>
      <c r="B31" s="32">
        <f>IF(OR(B25="",$B$6&lt;&gt;"○"),"",IFERROR(INDEX('04_月間表'!$AI$7:$AI$37,MATCH(B25,'04_月間表'!$A$7:$A$37,0)),""))</f>
        <v/>
      </c>
      <c r="C31" s="32">
        <f>IF(OR(C25="",$B$6&lt;&gt;"○"),"",IFERROR(INDEX('04_月間表'!$AI$7:$AI$37,MATCH(C25,'04_月間表'!$A$7:$A$37,0)),""))</f>
        <v/>
      </c>
      <c r="D31" s="32">
        <f>IF(OR(D25="",$B$6&lt;&gt;"○"),"",IFERROR(INDEX('04_月間表'!$AI$7:$AI$37,MATCH(D25,'04_月間表'!$A$7:$A$37,0)),""))</f>
        <v/>
      </c>
      <c r="E31" s="32">
        <f>IF(OR(E25="",$B$6&lt;&gt;"○"),"",IFERROR(INDEX('04_月間表'!$AI$7:$AI$37,MATCH(E25,'04_月間表'!$A$7:$A$37,0)),""))</f>
        <v/>
      </c>
      <c r="F31" s="32">
        <f>IF(OR(F25="",$B$6&lt;&gt;"○"),"",IFERROR(INDEX('04_月間表'!$AI$7:$AI$37,MATCH(F25,'04_月間表'!$A$7:$A$37,0)),""))</f>
        <v/>
      </c>
      <c r="G31" s="32">
        <f>IF(OR(G25="",$B$6&lt;&gt;"○"),"",IFERROR(INDEX('04_月間表'!$AI$7:$AI$37,MATCH(G25,'04_月間表'!$A$7:$A$37,0)),""))</f>
        <v/>
      </c>
      <c r="H31" s="32">
        <f>IF(OR(H25="",$B$6&lt;&gt;"○"),"",IFERROR(INDEX('04_月間表'!$AI$7:$AI$37,MATCH(H25,'04_月間表'!$A$7:$A$37,0)),""))</f>
        <v/>
      </c>
    </row>
    <row r="33" ht="22" customHeight="1">
      <c r="A33" s="24" t="inlineStr">
        <is>
          <t>第4週</t>
        </is>
      </c>
      <c r="B33" s="118">
        <f>IF(MONTH($B$4-WEEKDAY($B$4)+1+21)&lt;&gt;MONTH($B$4),"",$B$4-WEEKDAY($B$4)+1+21)</f>
        <v/>
      </c>
      <c r="C33" s="119">
        <f>IF(MONTH($B$4-WEEKDAY($B$4)+1+22)&lt;&gt;MONTH($B$4),"",$B$4-WEEKDAY($B$4)+1+22)</f>
        <v/>
      </c>
      <c r="D33" s="119">
        <f>IF(MONTH($B$4-WEEKDAY($B$4)+1+23)&lt;&gt;MONTH($B$4),"",$B$4-WEEKDAY($B$4)+1+23)</f>
        <v/>
      </c>
      <c r="E33" s="119">
        <f>IF(MONTH($B$4-WEEKDAY($B$4)+1+24)&lt;&gt;MONTH($B$4),"",$B$4-WEEKDAY($B$4)+1+24)</f>
        <v/>
      </c>
      <c r="F33" s="119">
        <f>IF(MONTH($B$4-WEEKDAY($B$4)+1+25)&lt;&gt;MONTH($B$4),"",$B$4-WEEKDAY($B$4)+1+25)</f>
        <v/>
      </c>
      <c r="G33" s="119">
        <f>IF(MONTH($B$4-WEEKDAY($B$4)+1+26)&lt;&gt;MONTH($B$4),"",$B$4-WEEKDAY($B$4)+1+26)</f>
        <v/>
      </c>
      <c r="H33" s="120">
        <f>IF(MONTH($B$4-WEEKDAY($B$4)+1+27)&lt;&gt;MONTH($B$4),"",$B$4-WEEKDAY($B$4)+1+27)</f>
        <v/>
      </c>
    </row>
    <row r="34" ht="21" customHeight="1">
      <c r="A34" s="28">
        <f>IF(COUNTA('M_部屋'!$A$4:$A$20)&gt;=1,INDEX('M_部屋'!$A$4:$A$20,1),"")</f>
        <v/>
      </c>
      <c r="B34" s="29">
        <f>IF(B33="","",IFERROR(INDEX('04_月間表'!C$7:C$37,MATCH(B33,'04_月間表'!$A$7:$A$37,0)),""))</f>
        <v/>
      </c>
      <c r="C34" s="29">
        <f>IF(C33="","",IFERROR(INDEX('04_月間表'!C$7:C$37,MATCH(C33,'04_月間表'!$A$7:$A$37,0)),""))</f>
        <v/>
      </c>
      <c r="D34" s="29">
        <f>IF(D33="","",IFERROR(INDEX('04_月間表'!C$7:C$37,MATCH(D33,'04_月間表'!$A$7:$A$37,0)),""))</f>
        <v/>
      </c>
      <c r="E34" s="29">
        <f>IF(E33="","",IFERROR(INDEX('04_月間表'!C$7:C$37,MATCH(E33,'04_月間表'!$A$7:$A$37,0)),""))</f>
        <v/>
      </c>
      <c r="F34" s="29">
        <f>IF(F33="","",IFERROR(INDEX('04_月間表'!C$7:C$37,MATCH(F33,'04_月間表'!$A$7:$A$37,0)),""))</f>
        <v/>
      </c>
      <c r="G34" s="29">
        <f>IF(G33="","",IFERROR(INDEX('04_月間表'!C$7:C$37,MATCH(G33,'04_月間表'!$A$7:$A$37,0)),""))</f>
        <v/>
      </c>
      <c r="H34" s="29">
        <f>IF(H33="","",IFERROR(INDEX('04_月間表'!C$7:C$37,MATCH(H33,'04_月間表'!$A$7:$A$37,0)),""))</f>
        <v/>
      </c>
      <c r="J34">
        <f>IF(B33="","",IFERROR(INDEX('04_月間表'!X$7:X$37,MATCH(B33,'04_月間表'!$A$7:$A$37,0)),""))</f>
        <v/>
      </c>
      <c r="K34">
        <f>IF(C33="","",IFERROR(INDEX('04_月間表'!X$7:X$37,MATCH(C33,'04_月間表'!$A$7:$A$37,0)),""))</f>
        <v/>
      </c>
      <c r="L34">
        <f>IF(D33="","",IFERROR(INDEX('04_月間表'!X$7:X$37,MATCH(D33,'04_月間表'!$A$7:$A$37,0)),""))</f>
        <v/>
      </c>
      <c r="M34">
        <f>IF(E33="","",IFERROR(INDEX('04_月間表'!X$7:X$37,MATCH(E33,'04_月間表'!$A$7:$A$37,0)),""))</f>
        <v/>
      </c>
      <c r="N34">
        <f>IF(F33="","",IFERROR(INDEX('04_月間表'!X$7:X$37,MATCH(F33,'04_月間表'!$A$7:$A$37,0)),""))</f>
        <v/>
      </c>
      <c r="O34">
        <f>IF(G33="","",IFERROR(INDEX('04_月間表'!X$7:X$37,MATCH(G33,'04_月間表'!$A$7:$A$37,0)),""))</f>
        <v/>
      </c>
      <c r="P34">
        <f>IF(H33="","",IFERROR(INDEX('04_月間表'!X$7:X$37,MATCH(H33,'04_月間表'!$A$7:$A$37,0)),""))</f>
        <v/>
      </c>
    </row>
    <row r="35" ht="21" customHeight="1">
      <c r="A35" s="28">
        <f>IF(COUNTA('M_部屋'!$A$4:$A$20)&gt;=2,INDEX('M_部屋'!$A$4:$A$20,2),"")</f>
        <v/>
      </c>
      <c r="B35" s="29">
        <f>IF(B33="","",IFERROR(INDEX('04_月間表'!D$7:D$37,MATCH(B33,'04_月間表'!$A$7:$A$37,0)),""))</f>
        <v/>
      </c>
      <c r="C35" s="29">
        <f>IF(C33="","",IFERROR(INDEX('04_月間表'!D$7:D$37,MATCH(C33,'04_月間表'!$A$7:$A$37,0)),""))</f>
        <v/>
      </c>
      <c r="D35" s="29">
        <f>IF(D33="","",IFERROR(INDEX('04_月間表'!D$7:D$37,MATCH(D33,'04_月間表'!$A$7:$A$37,0)),""))</f>
        <v/>
      </c>
      <c r="E35" s="29">
        <f>IF(E33="","",IFERROR(INDEX('04_月間表'!D$7:D$37,MATCH(E33,'04_月間表'!$A$7:$A$37,0)),""))</f>
        <v/>
      </c>
      <c r="F35" s="29">
        <f>IF(F33="","",IFERROR(INDEX('04_月間表'!D$7:D$37,MATCH(F33,'04_月間表'!$A$7:$A$37,0)),""))</f>
        <v/>
      </c>
      <c r="G35" s="29">
        <f>IF(G33="","",IFERROR(INDEX('04_月間表'!D$7:D$37,MATCH(G33,'04_月間表'!$A$7:$A$37,0)),""))</f>
        <v/>
      </c>
      <c r="H35" s="29">
        <f>IF(H33="","",IFERROR(INDEX('04_月間表'!D$7:D$37,MATCH(H33,'04_月間表'!$A$7:$A$37,0)),""))</f>
        <v/>
      </c>
      <c r="J35">
        <f>IF(B33="","",IFERROR(INDEX('04_月間表'!Y$7:Y$37,MATCH(B33,'04_月間表'!$A$7:$A$37,0)),""))</f>
        <v/>
      </c>
      <c r="K35">
        <f>IF(C33="","",IFERROR(INDEX('04_月間表'!Y$7:Y$37,MATCH(C33,'04_月間表'!$A$7:$A$37,0)),""))</f>
        <v/>
      </c>
      <c r="L35">
        <f>IF(D33="","",IFERROR(INDEX('04_月間表'!Y$7:Y$37,MATCH(D33,'04_月間表'!$A$7:$A$37,0)),""))</f>
        <v/>
      </c>
      <c r="M35">
        <f>IF(E33="","",IFERROR(INDEX('04_月間表'!Y$7:Y$37,MATCH(E33,'04_月間表'!$A$7:$A$37,0)),""))</f>
        <v/>
      </c>
      <c r="N35">
        <f>IF(F33="","",IFERROR(INDEX('04_月間表'!Y$7:Y$37,MATCH(F33,'04_月間表'!$A$7:$A$37,0)),""))</f>
        <v/>
      </c>
      <c r="O35">
        <f>IF(G33="","",IFERROR(INDEX('04_月間表'!Y$7:Y$37,MATCH(G33,'04_月間表'!$A$7:$A$37,0)),""))</f>
        <v/>
      </c>
      <c r="P35">
        <f>IF(H33="","",IFERROR(INDEX('04_月間表'!Y$7:Y$37,MATCH(H33,'04_月間表'!$A$7:$A$37,0)),""))</f>
        <v/>
      </c>
    </row>
    <row r="36" ht="21" customHeight="1">
      <c r="A36" s="28">
        <f>IF(COUNTA('M_部屋'!$A$4:$A$20)&gt;=3,INDEX('M_部屋'!$A$4:$A$20,3),"")</f>
        <v/>
      </c>
      <c r="B36" s="29">
        <f>IF(B33="","",IFERROR(INDEX('04_月間表'!E$7:E$37,MATCH(B33,'04_月間表'!$A$7:$A$37,0)),""))</f>
        <v/>
      </c>
      <c r="C36" s="29">
        <f>IF(C33="","",IFERROR(INDEX('04_月間表'!E$7:E$37,MATCH(C33,'04_月間表'!$A$7:$A$37,0)),""))</f>
        <v/>
      </c>
      <c r="D36" s="29">
        <f>IF(D33="","",IFERROR(INDEX('04_月間表'!E$7:E$37,MATCH(D33,'04_月間表'!$A$7:$A$37,0)),""))</f>
        <v/>
      </c>
      <c r="E36" s="29">
        <f>IF(E33="","",IFERROR(INDEX('04_月間表'!E$7:E$37,MATCH(E33,'04_月間表'!$A$7:$A$37,0)),""))</f>
        <v/>
      </c>
      <c r="F36" s="29">
        <f>IF(F33="","",IFERROR(INDEX('04_月間表'!E$7:E$37,MATCH(F33,'04_月間表'!$A$7:$A$37,0)),""))</f>
        <v/>
      </c>
      <c r="G36" s="29">
        <f>IF(G33="","",IFERROR(INDEX('04_月間表'!E$7:E$37,MATCH(G33,'04_月間表'!$A$7:$A$37,0)),""))</f>
        <v/>
      </c>
      <c r="H36" s="29">
        <f>IF(H33="","",IFERROR(INDEX('04_月間表'!E$7:E$37,MATCH(H33,'04_月間表'!$A$7:$A$37,0)),""))</f>
        <v/>
      </c>
      <c r="J36">
        <f>IF(B33="","",IFERROR(INDEX('04_月間表'!Z$7:Z$37,MATCH(B33,'04_月間表'!$A$7:$A$37,0)),""))</f>
        <v/>
      </c>
      <c r="K36">
        <f>IF(C33="","",IFERROR(INDEX('04_月間表'!Z$7:Z$37,MATCH(C33,'04_月間表'!$A$7:$A$37,0)),""))</f>
        <v/>
      </c>
      <c r="L36">
        <f>IF(D33="","",IFERROR(INDEX('04_月間表'!Z$7:Z$37,MATCH(D33,'04_月間表'!$A$7:$A$37,0)),""))</f>
        <v/>
      </c>
      <c r="M36">
        <f>IF(E33="","",IFERROR(INDEX('04_月間表'!Z$7:Z$37,MATCH(E33,'04_月間表'!$A$7:$A$37,0)),""))</f>
        <v/>
      </c>
      <c r="N36">
        <f>IF(F33="","",IFERROR(INDEX('04_月間表'!Z$7:Z$37,MATCH(F33,'04_月間表'!$A$7:$A$37,0)),""))</f>
        <v/>
      </c>
      <c r="O36">
        <f>IF(G33="","",IFERROR(INDEX('04_月間表'!Z$7:Z$37,MATCH(G33,'04_月間表'!$A$7:$A$37,0)),""))</f>
        <v/>
      </c>
      <c r="P36">
        <f>IF(H33="","",IFERROR(INDEX('04_月間表'!Z$7:Z$37,MATCH(H33,'04_月間表'!$A$7:$A$37,0)),""))</f>
        <v/>
      </c>
    </row>
    <row r="37" ht="21" customHeight="1">
      <c r="A37" s="28">
        <f>IF(COUNTA('M_部屋'!$A$4:$A$20)&gt;=4,INDEX('M_部屋'!$A$4:$A$20,4),"")</f>
        <v/>
      </c>
      <c r="B37" s="29">
        <f>IF(B33="","",IFERROR(INDEX('04_月間表'!F$7:F$37,MATCH(B33,'04_月間表'!$A$7:$A$37,0)),""))</f>
        <v/>
      </c>
      <c r="C37" s="29">
        <f>IF(C33="","",IFERROR(INDEX('04_月間表'!F$7:F$37,MATCH(C33,'04_月間表'!$A$7:$A$37,0)),""))</f>
        <v/>
      </c>
      <c r="D37" s="29">
        <f>IF(D33="","",IFERROR(INDEX('04_月間表'!F$7:F$37,MATCH(D33,'04_月間表'!$A$7:$A$37,0)),""))</f>
        <v/>
      </c>
      <c r="E37" s="29">
        <f>IF(E33="","",IFERROR(INDEX('04_月間表'!F$7:F$37,MATCH(E33,'04_月間表'!$A$7:$A$37,0)),""))</f>
        <v/>
      </c>
      <c r="F37" s="29">
        <f>IF(F33="","",IFERROR(INDEX('04_月間表'!F$7:F$37,MATCH(F33,'04_月間表'!$A$7:$A$37,0)),""))</f>
        <v/>
      </c>
      <c r="G37" s="29">
        <f>IF(G33="","",IFERROR(INDEX('04_月間表'!F$7:F$37,MATCH(G33,'04_月間表'!$A$7:$A$37,0)),""))</f>
        <v/>
      </c>
      <c r="H37" s="29">
        <f>IF(H33="","",IFERROR(INDEX('04_月間表'!F$7:F$37,MATCH(H33,'04_月間表'!$A$7:$A$37,0)),""))</f>
        <v/>
      </c>
      <c r="J37">
        <f>IF(B33="","",IFERROR(INDEX('04_月間表'!AA$7:AA$37,MATCH(B33,'04_月間表'!$A$7:$A$37,0)),""))</f>
        <v/>
      </c>
      <c r="K37">
        <f>IF(C33="","",IFERROR(INDEX('04_月間表'!AA$7:AA$37,MATCH(C33,'04_月間表'!$A$7:$A$37,0)),""))</f>
        <v/>
      </c>
      <c r="L37">
        <f>IF(D33="","",IFERROR(INDEX('04_月間表'!AA$7:AA$37,MATCH(D33,'04_月間表'!$A$7:$A$37,0)),""))</f>
        <v/>
      </c>
      <c r="M37">
        <f>IF(E33="","",IFERROR(INDEX('04_月間表'!AA$7:AA$37,MATCH(E33,'04_月間表'!$A$7:$A$37,0)),""))</f>
        <v/>
      </c>
      <c r="N37">
        <f>IF(F33="","",IFERROR(INDEX('04_月間表'!AA$7:AA$37,MATCH(F33,'04_月間表'!$A$7:$A$37,0)),""))</f>
        <v/>
      </c>
      <c r="O37">
        <f>IF(G33="","",IFERROR(INDEX('04_月間表'!AA$7:AA$37,MATCH(G33,'04_月間表'!$A$7:$A$37,0)),""))</f>
        <v/>
      </c>
      <c r="P37">
        <f>IF(H33="","",IFERROR(INDEX('04_月間表'!AA$7:AA$37,MATCH(H33,'04_月間表'!$A$7:$A$37,0)),""))</f>
        <v/>
      </c>
    </row>
    <row r="38" ht="22" customHeight="1">
      <c r="A38" s="28" t="inlineStr">
        <is>
          <t>空き</t>
        </is>
      </c>
      <c r="B38" s="30">
        <f>IF(B33="","",IFERROR(INDEX('04_月間表'!$J$7:$J$37,MATCH(B33,'04_月間表'!$A$7:$A$37,0)),""))</f>
        <v/>
      </c>
      <c r="C38" s="30">
        <f>IF(C33="","",IFERROR(INDEX('04_月間表'!$J$7:$J$37,MATCH(C33,'04_月間表'!$A$7:$A$37,0)),""))</f>
        <v/>
      </c>
      <c r="D38" s="30">
        <f>IF(D33="","",IFERROR(INDEX('04_月間表'!$J$7:$J$37,MATCH(D33,'04_月間表'!$A$7:$A$37,0)),""))</f>
        <v/>
      </c>
      <c r="E38" s="30">
        <f>IF(E33="","",IFERROR(INDEX('04_月間表'!$J$7:$J$37,MATCH(E33,'04_月間表'!$A$7:$A$37,0)),""))</f>
        <v/>
      </c>
      <c r="F38" s="30">
        <f>IF(F33="","",IFERROR(INDEX('04_月間表'!$J$7:$J$37,MATCH(F33,'04_月間表'!$A$7:$A$37,0)),""))</f>
        <v/>
      </c>
      <c r="G38" s="30">
        <f>IF(G33="","",IFERROR(INDEX('04_月間表'!$J$7:$J$37,MATCH(G33,'04_月間表'!$A$7:$A$37,0)),""))</f>
        <v/>
      </c>
      <c r="H38" s="30">
        <f>IF(H33="","",IFERROR(INDEX('04_月間表'!$J$7:$J$37,MATCH(H33,'04_月間表'!$A$7:$A$37,0)),""))</f>
        <v/>
      </c>
    </row>
    <row r="39" ht="17" customHeight="1">
      <c r="A39" s="31" t="inlineStr">
        <is>
          <t>食事</t>
        </is>
      </c>
      <c r="B39" s="32">
        <f>IF(OR(B33="",$B$6&lt;&gt;"○"),"",IFERROR(INDEX('04_月間表'!$AI$7:$AI$37,MATCH(B33,'04_月間表'!$A$7:$A$37,0)),""))</f>
        <v/>
      </c>
      <c r="C39" s="32">
        <f>IF(OR(C33="",$B$6&lt;&gt;"○"),"",IFERROR(INDEX('04_月間表'!$AI$7:$AI$37,MATCH(C33,'04_月間表'!$A$7:$A$37,0)),""))</f>
        <v/>
      </c>
      <c r="D39" s="32">
        <f>IF(OR(D33="",$B$6&lt;&gt;"○"),"",IFERROR(INDEX('04_月間表'!$AI$7:$AI$37,MATCH(D33,'04_月間表'!$A$7:$A$37,0)),""))</f>
        <v/>
      </c>
      <c r="E39" s="32">
        <f>IF(OR(E33="",$B$6&lt;&gt;"○"),"",IFERROR(INDEX('04_月間表'!$AI$7:$AI$37,MATCH(E33,'04_月間表'!$A$7:$A$37,0)),""))</f>
        <v/>
      </c>
      <c r="F39" s="32">
        <f>IF(OR(F33="",$B$6&lt;&gt;"○"),"",IFERROR(INDEX('04_月間表'!$AI$7:$AI$37,MATCH(F33,'04_月間表'!$A$7:$A$37,0)),""))</f>
        <v/>
      </c>
      <c r="G39" s="32">
        <f>IF(OR(G33="",$B$6&lt;&gt;"○"),"",IFERROR(INDEX('04_月間表'!$AI$7:$AI$37,MATCH(G33,'04_月間表'!$A$7:$A$37,0)),""))</f>
        <v/>
      </c>
      <c r="H39" s="32">
        <f>IF(OR(H33="",$B$6&lt;&gt;"○"),"",IFERROR(INDEX('04_月間表'!$AI$7:$AI$37,MATCH(H33,'04_月間表'!$A$7:$A$37,0)),""))</f>
        <v/>
      </c>
    </row>
    <row r="41" ht="22" customHeight="1">
      <c r="A41" s="24" t="inlineStr">
        <is>
          <t>第5週</t>
        </is>
      </c>
      <c r="B41" s="118">
        <f>IF(MONTH($B$4-WEEKDAY($B$4)+1+28)&lt;&gt;MONTH($B$4),"",$B$4-WEEKDAY($B$4)+1+28)</f>
        <v/>
      </c>
      <c r="C41" s="119">
        <f>IF(MONTH($B$4-WEEKDAY($B$4)+1+29)&lt;&gt;MONTH($B$4),"",$B$4-WEEKDAY($B$4)+1+29)</f>
        <v/>
      </c>
      <c r="D41" s="119">
        <f>IF(MONTH($B$4-WEEKDAY($B$4)+1+30)&lt;&gt;MONTH($B$4),"",$B$4-WEEKDAY($B$4)+1+30)</f>
        <v/>
      </c>
      <c r="E41" s="119">
        <f>IF(MONTH($B$4-WEEKDAY($B$4)+1+31)&lt;&gt;MONTH($B$4),"",$B$4-WEEKDAY($B$4)+1+31)</f>
        <v/>
      </c>
      <c r="F41" s="119">
        <f>IF(MONTH($B$4-WEEKDAY($B$4)+1+32)&lt;&gt;MONTH($B$4),"",$B$4-WEEKDAY($B$4)+1+32)</f>
        <v/>
      </c>
      <c r="G41" s="119">
        <f>IF(MONTH($B$4-WEEKDAY($B$4)+1+33)&lt;&gt;MONTH($B$4),"",$B$4-WEEKDAY($B$4)+1+33)</f>
        <v/>
      </c>
      <c r="H41" s="120">
        <f>IF(MONTH($B$4-WEEKDAY($B$4)+1+34)&lt;&gt;MONTH($B$4),"",$B$4-WEEKDAY($B$4)+1+34)</f>
        <v/>
      </c>
    </row>
    <row r="42" ht="21" customHeight="1">
      <c r="A42" s="28">
        <f>IF(COUNTA('M_部屋'!$A$4:$A$20)&gt;=1,INDEX('M_部屋'!$A$4:$A$20,1),"")</f>
        <v/>
      </c>
      <c r="B42" s="29">
        <f>IF(B41="","",IFERROR(INDEX('04_月間表'!C$7:C$37,MATCH(B41,'04_月間表'!$A$7:$A$37,0)),""))</f>
        <v/>
      </c>
      <c r="C42" s="29">
        <f>IF(C41="","",IFERROR(INDEX('04_月間表'!C$7:C$37,MATCH(C41,'04_月間表'!$A$7:$A$37,0)),""))</f>
        <v/>
      </c>
      <c r="D42" s="29">
        <f>IF(D41="","",IFERROR(INDEX('04_月間表'!C$7:C$37,MATCH(D41,'04_月間表'!$A$7:$A$37,0)),""))</f>
        <v/>
      </c>
      <c r="E42" s="29">
        <f>IF(E41="","",IFERROR(INDEX('04_月間表'!C$7:C$37,MATCH(E41,'04_月間表'!$A$7:$A$37,0)),""))</f>
        <v/>
      </c>
      <c r="F42" s="29">
        <f>IF(F41="","",IFERROR(INDEX('04_月間表'!C$7:C$37,MATCH(F41,'04_月間表'!$A$7:$A$37,0)),""))</f>
        <v/>
      </c>
      <c r="G42" s="29">
        <f>IF(G41="","",IFERROR(INDEX('04_月間表'!C$7:C$37,MATCH(G41,'04_月間表'!$A$7:$A$37,0)),""))</f>
        <v/>
      </c>
      <c r="H42" s="29">
        <f>IF(H41="","",IFERROR(INDEX('04_月間表'!C$7:C$37,MATCH(H41,'04_月間表'!$A$7:$A$37,0)),""))</f>
        <v/>
      </c>
      <c r="J42">
        <f>IF(B41="","",IFERROR(INDEX('04_月間表'!X$7:X$37,MATCH(B41,'04_月間表'!$A$7:$A$37,0)),""))</f>
        <v/>
      </c>
      <c r="K42">
        <f>IF(C41="","",IFERROR(INDEX('04_月間表'!X$7:X$37,MATCH(C41,'04_月間表'!$A$7:$A$37,0)),""))</f>
        <v/>
      </c>
      <c r="L42">
        <f>IF(D41="","",IFERROR(INDEX('04_月間表'!X$7:X$37,MATCH(D41,'04_月間表'!$A$7:$A$37,0)),""))</f>
        <v/>
      </c>
      <c r="M42">
        <f>IF(E41="","",IFERROR(INDEX('04_月間表'!X$7:X$37,MATCH(E41,'04_月間表'!$A$7:$A$37,0)),""))</f>
        <v/>
      </c>
      <c r="N42">
        <f>IF(F41="","",IFERROR(INDEX('04_月間表'!X$7:X$37,MATCH(F41,'04_月間表'!$A$7:$A$37,0)),""))</f>
        <v/>
      </c>
      <c r="O42">
        <f>IF(G41="","",IFERROR(INDEX('04_月間表'!X$7:X$37,MATCH(G41,'04_月間表'!$A$7:$A$37,0)),""))</f>
        <v/>
      </c>
      <c r="P42">
        <f>IF(H41="","",IFERROR(INDEX('04_月間表'!X$7:X$37,MATCH(H41,'04_月間表'!$A$7:$A$37,0)),""))</f>
        <v/>
      </c>
    </row>
    <row r="43" ht="21" customHeight="1">
      <c r="A43" s="28">
        <f>IF(COUNTA('M_部屋'!$A$4:$A$20)&gt;=2,INDEX('M_部屋'!$A$4:$A$20,2),"")</f>
        <v/>
      </c>
      <c r="B43" s="29">
        <f>IF(B41="","",IFERROR(INDEX('04_月間表'!D$7:D$37,MATCH(B41,'04_月間表'!$A$7:$A$37,0)),""))</f>
        <v/>
      </c>
      <c r="C43" s="29">
        <f>IF(C41="","",IFERROR(INDEX('04_月間表'!D$7:D$37,MATCH(C41,'04_月間表'!$A$7:$A$37,0)),""))</f>
        <v/>
      </c>
      <c r="D43" s="29">
        <f>IF(D41="","",IFERROR(INDEX('04_月間表'!D$7:D$37,MATCH(D41,'04_月間表'!$A$7:$A$37,0)),""))</f>
        <v/>
      </c>
      <c r="E43" s="29">
        <f>IF(E41="","",IFERROR(INDEX('04_月間表'!D$7:D$37,MATCH(E41,'04_月間表'!$A$7:$A$37,0)),""))</f>
        <v/>
      </c>
      <c r="F43" s="29">
        <f>IF(F41="","",IFERROR(INDEX('04_月間表'!D$7:D$37,MATCH(F41,'04_月間表'!$A$7:$A$37,0)),""))</f>
        <v/>
      </c>
      <c r="G43" s="29">
        <f>IF(G41="","",IFERROR(INDEX('04_月間表'!D$7:D$37,MATCH(G41,'04_月間表'!$A$7:$A$37,0)),""))</f>
        <v/>
      </c>
      <c r="H43" s="29">
        <f>IF(H41="","",IFERROR(INDEX('04_月間表'!D$7:D$37,MATCH(H41,'04_月間表'!$A$7:$A$37,0)),""))</f>
        <v/>
      </c>
      <c r="J43">
        <f>IF(B41="","",IFERROR(INDEX('04_月間表'!Y$7:Y$37,MATCH(B41,'04_月間表'!$A$7:$A$37,0)),""))</f>
        <v/>
      </c>
      <c r="K43">
        <f>IF(C41="","",IFERROR(INDEX('04_月間表'!Y$7:Y$37,MATCH(C41,'04_月間表'!$A$7:$A$37,0)),""))</f>
        <v/>
      </c>
      <c r="L43">
        <f>IF(D41="","",IFERROR(INDEX('04_月間表'!Y$7:Y$37,MATCH(D41,'04_月間表'!$A$7:$A$37,0)),""))</f>
        <v/>
      </c>
      <c r="M43">
        <f>IF(E41="","",IFERROR(INDEX('04_月間表'!Y$7:Y$37,MATCH(E41,'04_月間表'!$A$7:$A$37,0)),""))</f>
        <v/>
      </c>
      <c r="N43">
        <f>IF(F41="","",IFERROR(INDEX('04_月間表'!Y$7:Y$37,MATCH(F41,'04_月間表'!$A$7:$A$37,0)),""))</f>
        <v/>
      </c>
      <c r="O43">
        <f>IF(G41="","",IFERROR(INDEX('04_月間表'!Y$7:Y$37,MATCH(G41,'04_月間表'!$A$7:$A$37,0)),""))</f>
        <v/>
      </c>
      <c r="P43">
        <f>IF(H41="","",IFERROR(INDEX('04_月間表'!Y$7:Y$37,MATCH(H41,'04_月間表'!$A$7:$A$37,0)),""))</f>
        <v/>
      </c>
    </row>
    <row r="44" ht="21" customHeight="1">
      <c r="A44" s="28">
        <f>IF(COUNTA('M_部屋'!$A$4:$A$20)&gt;=3,INDEX('M_部屋'!$A$4:$A$20,3),"")</f>
        <v/>
      </c>
      <c r="B44" s="29">
        <f>IF(B41="","",IFERROR(INDEX('04_月間表'!E$7:E$37,MATCH(B41,'04_月間表'!$A$7:$A$37,0)),""))</f>
        <v/>
      </c>
      <c r="C44" s="29">
        <f>IF(C41="","",IFERROR(INDEX('04_月間表'!E$7:E$37,MATCH(C41,'04_月間表'!$A$7:$A$37,0)),""))</f>
        <v/>
      </c>
      <c r="D44" s="29">
        <f>IF(D41="","",IFERROR(INDEX('04_月間表'!E$7:E$37,MATCH(D41,'04_月間表'!$A$7:$A$37,0)),""))</f>
        <v/>
      </c>
      <c r="E44" s="29">
        <f>IF(E41="","",IFERROR(INDEX('04_月間表'!E$7:E$37,MATCH(E41,'04_月間表'!$A$7:$A$37,0)),""))</f>
        <v/>
      </c>
      <c r="F44" s="29">
        <f>IF(F41="","",IFERROR(INDEX('04_月間表'!E$7:E$37,MATCH(F41,'04_月間表'!$A$7:$A$37,0)),""))</f>
        <v/>
      </c>
      <c r="G44" s="29">
        <f>IF(G41="","",IFERROR(INDEX('04_月間表'!E$7:E$37,MATCH(G41,'04_月間表'!$A$7:$A$37,0)),""))</f>
        <v/>
      </c>
      <c r="H44" s="29">
        <f>IF(H41="","",IFERROR(INDEX('04_月間表'!E$7:E$37,MATCH(H41,'04_月間表'!$A$7:$A$37,0)),""))</f>
        <v/>
      </c>
      <c r="J44">
        <f>IF(B41="","",IFERROR(INDEX('04_月間表'!Z$7:Z$37,MATCH(B41,'04_月間表'!$A$7:$A$37,0)),""))</f>
        <v/>
      </c>
      <c r="K44">
        <f>IF(C41="","",IFERROR(INDEX('04_月間表'!Z$7:Z$37,MATCH(C41,'04_月間表'!$A$7:$A$37,0)),""))</f>
        <v/>
      </c>
      <c r="L44">
        <f>IF(D41="","",IFERROR(INDEX('04_月間表'!Z$7:Z$37,MATCH(D41,'04_月間表'!$A$7:$A$37,0)),""))</f>
        <v/>
      </c>
      <c r="M44">
        <f>IF(E41="","",IFERROR(INDEX('04_月間表'!Z$7:Z$37,MATCH(E41,'04_月間表'!$A$7:$A$37,0)),""))</f>
        <v/>
      </c>
      <c r="N44">
        <f>IF(F41="","",IFERROR(INDEX('04_月間表'!Z$7:Z$37,MATCH(F41,'04_月間表'!$A$7:$A$37,0)),""))</f>
        <v/>
      </c>
      <c r="O44">
        <f>IF(G41="","",IFERROR(INDEX('04_月間表'!Z$7:Z$37,MATCH(G41,'04_月間表'!$A$7:$A$37,0)),""))</f>
        <v/>
      </c>
      <c r="P44">
        <f>IF(H41="","",IFERROR(INDEX('04_月間表'!Z$7:Z$37,MATCH(H41,'04_月間表'!$A$7:$A$37,0)),""))</f>
        <v/>
      </c>
    </row>
    <row r="45" ht="21" customHeight="1">
      <c r="A45" s="28">
        <f>IF(COUNTA('M_部屋'!$A$4:$A$20)&gt;=4,INDEX('M_部屋'!$A$4:$A$20,4),"")</f>
        <v/>
      </c>
      <c r="B45" s="29">
        <f>IF(B41="","",IFERROR(INDEX('04_月間表'!F$7:F$37,MATCH(B41,'04_月間表'!$A$7:$A$37,0)),""))</f>
        <v/>
      </c>
      <c r="C45" s="29">
        <f>IF(C41="","",IFERROR(INDEX('04_月間表'!F$7:F$37,MATCH(C41,'04_月間表'!$A$7:$A$37,0)),""))</f>
        <v/>
      </c>
      <c r="D45" s="29">
        <f>IF(D41="","",IFERROR(INDEX('04_月間表'!F$7:F$37,MATCH(D41,'04_月間表'!$A$7:$A$37,0)),""))</f>
        <v/>
      </c>
      <c r="E45" s="29">
        <f>IF(E41="","",IFERROR(INDEX('04_月間表'!F$7:F$37,MATCH(E41,'04_月間表'!$A$7:$A$37,0)),""))</f>
        <v/>
      </c>
      <c r="F45" s="29">
        <f>IF(F41="","",IFERROR(INDEX('04_月間表'!F$7:F$37,MATCH(F41,'04_月間表'!$A$7:$A$37,0)),""))</f>
        <v/>
      </c>
      <c r="G45" s="29">
        <f>IF(G41="","",IFERROR(INDEX('04_月間表'!F$7:F$37,MATCH(G41,'04_月間表'!$A$7:$A$37,0)),""))</f>
        <v/>
      </c>
      <c r="H45" s="29">
        <f>IF(H41="","",IFERROR(INDEX('04_月間表'!F$7:F$37,MATCH(H41,'04_月間表'!$A$7:$A$37,0)),""))</f>
        <v/>
      </c>
      <c r="J45">
        <f>IF(B41="","",IFERROR(INDEX('04_月間表'!AA$7:AA$37,MATCH(B41,'04_月間表'!$A$7:$A$37,0)),""))</f>
        <v/>
      </c>
      <c r="K45">
        <f>IF(C41="","",IFERROR(INDEX('04_月間表'!AA$7:AA$37,MATCH(C41,'04_月間表'!$A$7:$A$37,0)),""))</f>
        <v/>
      </c>
      <c r="L45">
        <f>IF(D41="","",IFERROR(INDEX('04_月間表'!AA$7:AA$37,MATCH(D41,'04_月間表'!$A$7:$A$37,0)),""))</f>
        <v/>
      </c>
      <c r="M45">
        <f>IF(E41="","",IFERROR(INDEX('04_月間表'!AA$7:AA$37,MATCH(E41,'04_月間表'!$A$7:$A$37,0)),""))</f>
        <v/>
      </c>
      <c r="N45">
        <f>IF(F41="","",IFERROR(INDEX('04_月間表'!AA$7:AA$37,MATCH(F41,'04_月間表'!$A$7:$A$37,0)),""))</f>
        <v/>
      </c>
      <c r="O45">
        <f>IF(G41="","",IFERROR(INDEX('04_月間表'!AA$7:AA$37,MATCH(G41,'04_月間表'!$A$7:$A$37,0)),""))</f>
        <v/>
      </c>
      <c r="P45">
        <f>IF(H41="","",IFERROR(INDEX('04_月間表'!AA$7:AA$37,MATCH(H41,'04_月間表'!$A$7:$A$37,0)),""))</f>
        <v/>
      </c>
    </row>
    <row r="46" ht="22" customHeight="1">
      <c r="A46" s="28" t="inlineStr">
        <is>
          <t>空き</t>
        </is>
      </c>
      <c r="B46" s="30">
        <f>IF(B41="","",IFERROR(INDEX('04_月間表'!$J$7:$J$37,MATCH(B41,'04_月間表'!$A$7:$A$37,0)),""))</f>
        <v/>
      </c>
      <c r="C46" s="30">
        <f>IF(C41="","",IFERROR(INDEX('04_月間表'!$J$7:$J$37,MATCH(C41,'04_月間表'!$A$7:$A$37,0)),""))</f>
        <v/>
      </c>
      <c r="D46" s="30">
        <f>IF(D41="","",IFERROR(INDEX('04_月間表'!$J$7:$J$37,MATCH(D41,'04_月間表'!$A$7:$A$37,0)),""))</f>
        <v/>
      </c>
      <c r="E46" s="30">
        <f>IF(E41="","",IFERROR(INDEX('04_月間表'!$J$7:$J$37,MATCH(E41,'04_月間表'!$A$7:$A$37,0)),""))</f>
        <v/>
      </c>
      <c r="F46" s="30">
        <f>IF(F41="","",IFERROR(INDEX('04_月間表'!$J$7:$J$37,MATCH(F41,'04_月間表'!$A$7:$A$37,0)),""))</f>
        <v/>
      </c>
      <c r="G46" s="30">
        <f>IF(G41="","",IFERROR(INDEX('04_月間表'!$J$7:$J$37,MATCH(G41,'04_月間表'!$A$7:$A$37,0)),""))</f>
        <v/>
      </c>
      <c r="H46" s="30">
        <f>IF(H41="","",IFERROR(INDEX('04_月間表'!$J$7:$J$37,MATCH(H41,'04_月間表'!$A$7:$A$37,0)),""))</f>
        <v/>
      </c>
    </row>
    <row r="47" ht="17" customHeight="1">
      <c r="A47" s="31" t="inlineStr">
        <is>
          <t>食事</t>
        </is>
      </c>
      <c r="B47" s="32">
        <f>IF(OR(B41="",$B$6&lt;&gt;"○"),"",IFERROR(INDEX('04_月間表'!$AI$7:$AI$37,MATCH(B41,'04_月間表'!$A$7:$A$37,0)),""))</f>
        <v/>
      </c>
      <c r="C47" s="32">
        <f>IF(OR(C41="",$B$6&lt;&gt;"○"),"",IFERROR(INDEX('04_月間表'!$AI$7:$AI$37,MATCH(C41,'04_月間表'!$A$7:$A$37,0)),""))</f>
        <v/>
      </c>
      <c r="D47" s="32">
        <f>IF(OR(D41="",$B$6&lt;&gt;"○"),"",IFERROR(INDEX('04_月間表'!$AI$7:$AI$37,MATCH(D41,'04_月間表'!$A$7:$A$37,0)),""))</f>
        <v/>
      </c>
      <c r="E47" s="32">
        <f>IF(OR(E41="",$B$6&lt;&gt;"○"),"",IFERROR(INDEX('04_月間表'!$AI$7:$AI$37,MATCH(E41,'04_月間表'!$A$7:$A$37,0)),""))</f>
        <v/>
      </c>
      <c r="F47" s="32">
        <f>IF(OR(F41="",$B$6&lt;&gt;"○"),"",IFERROR(INDEX('04_月間表'!$AI$7:$AI$37,MATCH(F41,'04_月間表'!$A$7:$A$37,0)),""))</f>
        <v/>
      </c>
      <c r="G47" s="32">
        <f>IF(OR(G41="",$B$6&lt;&gt;"○"),"",IFERROR(INDEX('04_月間表'!$AI$7:$AI$37,MATCH(G41,'04_月間表'!$A$7:$A$37,0)),""))</f>
        <v/>
      </c>
      <c r="H47" s="32">
        <f>IF(OR(H41="",$B$6&lt;&gt;"○"),"",IFERROR(INDEX('04_月間表'!$AI$7:$AI$37,MATCH(H41,'04_月間表'!$A$7:$A$37,0)),""))</f>
        <v/>
      </c>
    </row>
    <row r="49" ht="22" customHeight="1">
      <c r="A49" s="24" t="inlineStr">
        <is>
          <t>第6週</t>
        </is>
      </c>
      <c r="B49" s="118">
        <f>IF(MONTH($B$4-WEEKDAY($B$4)+1+35)&lt;&gt;MONTH($B$4),"",$B$4-WEEKDAY($B$4)+1+35)</f>
        <v/>
      </c>
      <c r="C49" s="119">
        <f>IF(MONTH($B$4-WEEKDAY($B$4)+1+36)&lt;&gt;MONTH($B$4),"",$B$4-WEEKDAY($B$4)+1+36)</f>
        <v/>
      </c>
      <c r="D49" s="119">
        <f>IF(MONTH($B$4-WEEKDAY($B$4)+1+37)&lt;&gt;MONTH($B$4),"",$B$4-WEEKDAY($B$4)+1+37)</f>
        <v/>
      </c>
      <c r="E49" s="119">
        <f>IF(MONTH($B$4-WEEKDAY($B$4)+1+38)&lt;&gt;MONTH($B$4),"",$B$4-WEEKDAY($B$4)+1+38)</f>
        <v/>
      </c>
      <c r="F49" s="119">
        <f>IF(MONTH($B$4-WEEKDAY($B$4)+1+39)&lt;&gt;MONTH($B$4),"",$B$4-WEEKDAY($B$4)+1+39)</f>
        <v/>
      </c>
      <c r="G49" s="119">
        <f>IF(MONTH($B$4-WEEKDAY($B$4)+1+40)&lt;&gt;MONTH($B$4),"",$B$4-WEEKDAY($B$4)+1+40)</f>
        <v/>
      </c>
      <c r="H49" s="120">
        <f>IF(MONTH($B$4-WEEKDAY($B$4)+1+41)&lt;&gt;MONTH($B$4),"",$B$4-WEEKDAY($B$4)+1+41)</f>
        <v/>
      </c>
    </row>
    <row r="50" ht="21" customHeight="1">
      <c r="A50" s="28">
        <f>IF(COUNTA('M_部屋'!$A$4:$A$20)&gt;=1,INDEX('M_部屋'!$A$4:$A$20,1),"")</f>
        <v/>
      </c>
      <c r="B50" s="29">
        <f>IF(B49="","",IFERROR(INDEX('04_月間表'!C$7:C$37,MATCH(B49,'04_月間表'!$A$7:$A$37,0)),""))</f>
        <v/>
      </c>
      <c r="C50" s="29">
        <f>IF(C49="","",IFERROR(INDEX('04_月間表'!C$7:C$37,MATCH(C49,'04_月間表'!$A$7:$A$37,0)),""))</f>
        <v/>
      </c>
      <c r="D50" s="29">
        <f>IF(D49="","",IFERROR(INDEX('04_月間表'!C$7:C$37,MATCH(D49,'04_月間表'!$A$7:$A$37,0)),""))</f>
        <v/>
      </c>
      <c r="E50" s="29">
        <f>IF(E49="","",IFERROR(INDEX('04_月間表'!C$7:C$37,MATCH(E49,'04_月間表'!$A$7:$A$37,0)),""))</f>
        <v/>
      </c>
      <c r="F50" s="29">
        <f>IF(F49="","",IFERROR(INDEX('04_月間表'!C$7:C$37,MATCH(F49,'04_月間表'!$A$7:$A$37,0)),""))</f>
        <v/>
      </c>
      <c r="G50" s="29">
        <f>IF(G49="","",IFERROR(INDEX('04_月間表'!C$7:C$37,MATCH(G49,'04_月間表'!$A$7:$A$37,0)),""))</f>
        <v/>
      </c>
      <c r="H50" s="29">
        <f>IF(H49="","",IFERROR(INDEX('04_月間表'!C$7:C$37,MATCH(H49,'04_月間表'!$A$7:$A$37,0)),""))</f>
        <v/>
      </c>
      <c r="J50">
        <f>IF(B49="","",IFERROR(INDEX('04_月間表'!X$7:X$37,MATCH(B49,'04_月間表'!$A$7:$A$37,0)),""))</f>
        <v/>
      </c>
      <c r="K50">
        <f>IF(C49="","",IFERROR(INDEX('04_月間表'!X$7:X$37,MATCH(C49,'04_月間表'!$A$7:$A$37,0)),""))</f>
        <v/>
      </c>
      <c r="L50">
        <f>IF(D49="","",IFERROR(INDEX('04_月間表'!X$7:X$37,MATCH(D49,'04_月間表'!$A$7:$A$37,0)),""))</f>
        <v/>
      </c>
      <c r="M50">
        <f>IF(E49="","",IFERROR(INDEX('04_月間表'!X$7:X$37,MATCH(E49,'04_月間表'!$A$7:$A$37,0)),""))</f>
        <v/>
      </c>
      <c r="N50">
        <f>IF(F49="","",IFERROR(INDEX('04_月間表'!X$7:X$37,MATCH(F49,'04_月間表'!$A$7:$A$37,0)),""))</f>
        <v/>
      </c>
      <c r="O50">
        <f>IF(G49="","",IFERROR(INDEX('04_月間表'!X$7:X$37,MATCH(G49,'04_月間表'!$A$7:$A$37,0)),""))</f>
        <v/>
      </c>
      <c r="P50">
        <f>IF(H49="","",IFERROR(INDEX('04_月間表'!X$7:X$37,MATCH(H49,'04_月間表'!$A$7:$A$37,0)),""))</f>
        <v/>
      </c>
    </row>
    <row r="51" ht="21" customHeight="1">
      <c r="A51" s="28">
        <f>IF(COUNTA('M_部屋'!$A$4:$A$20)&gt;=2,INDEX('M_部屋'!$A$4:$A$20,2),"")</f>
        <v/>
      </c>
      <c r="B51" s="29">
        <f>IF(B49="","",IFERROR(INDEX('04_月間表'!D$7:D$37,MATCH(B49,'04_月間表'!$A$7:$A$37,0)),""))</f>
        <v/>
      </c>
      <c r="C51" s="29">
        <f>IF(C49="","",IFERROR(INDEX('04_月間表'!D$7:D$37,MATCH(C49,'04_月間表'!$A$7:$A$37,0)),""))</f>
        <v/>
      </c>
      <c r="D51" s="29">
        <f>IF(D49="","",IFERROR(INDEX('04_月間表'!D$7:D$37,MATCH(D49,'04_月間表'!$A$7:$A$37,0)),""))</f>
        <v/>
      </c>
      <c r="E51" s="29">
        <f>IF(E49="","",IFERROR(INDEX('04_月間表'!D$7:D$37,MATCH(E49,'04_月間表'!$A$7:$A$37,0)),""))</f>
        <v/>
      </c>
      <c r="F51" s="29">
        <f>IF(F49="","",IFERROR(INDEX('04_月間表'!D$7:D$37,MATCH(F49,'04_月間表'!$A$7:$A$37,0)),""))</f>
        <v/>
      </c>
      <c r="G51" s="29">
        <f>IF(G49="","",IFERROR(INDEX('04_月間表'!D$7:D$37,MATCH(G49,'04_月間表'!$A$7:$A$37,0)),""))</f>
        <v/>
      </c>
      <c r="H51" s="29">
        <f>IF(H49="","",IFERROR(INDEX('04_月間表'!D$7:D$37,MATCH(H49,'04_月間表'!$A$7:$A$37,0)),""))</f>
        <v/>
      </c>
      <c r="J51">
        <f>IF(B49="","",IFERROR(INDEX('04_月間表'!Y$7:Y$37,MATCH(B49,'04_月間表'!$A$7:$A$37,0)),""))</f>
        <v/>
      </c>
      <c r="K51">
        <f>IF(C49="","",IFERROR(INDEX('04_月間表'!Y$7:Y$37,MATCH(C49,'04_月間表'!$A$7:$A$37,0)),""))</f>
        <v/>
      </c>
      <c r="L51">
        <f>IF(D49="","",IFERROR(INDEX('04_月間表'!Y$7:Y$37,MATCH(D49,'04_月間表'!$A$7:$A$37,0)),""))</f>
        <v/>
      </c>
      <c r="M51">
        <f>IF(E49="","",IFERROR(INDEX('04_月間表'!Y$7:Y$37,MATCH(E49,'04_月間表'!$A$7:$A$37,0)),""))</f>
        <v/>
      </c>
      <c r="N51">
        <f>IF(F49="","",IFERROR(INDEX('04_月間表'!Y$7:Y$37,MATCH(F49,'04_月間表'!$A$7:$A$37,0)),""))</f>
        <v/>
      </c>
      <c r="O51">
        <f>IF(G49="","",IFERROR(INDEX('04_月間表'!Y$7:Y$37,MATCH(G49,'04_月間表'!$A$7:$A$37,0)),""))</f>
        <v/>
      </c>
      <c r="P51">
        <f>IF(H49="","",IFERROR(INDEX('04_月間表'!Y$7:Y$37,MATCH(H49,'04_月間表'!$A$7:$A$37,0)),""))</f>
        <v/>
      </c>
    </row>
    <row r="52" ht="21" customHeight="1">
      <c r="A52" s="28">
        <f>IF(COUNTA('M_部屋'!$A$4:$A$20)&gt;=3,INDEX('M_部屋'!$A$4:$A$20,3),"")</f>
        <v/>
      </c>
      <c r="B52" s="29">
        <f>IF(B49="","",IFERROR(INDEX('04_月間表'!E$7:E$37,MATCH(B49,'04_月間表'!$A$7:$A$37,0)),""))</f>
        <v/>
      </c>
      <c r="C52" s="29">
        <f>IF(C49="","",IFERROR(INDEX('04_月間表'!E$7:E$37,MATCH(C49,'04_月間表'!$A$7:$A$37,0)),""))</f>
        <v/>
      </c>
      <c r="D52" s="29">
        <f>IF(D49="","",IFERROR(INDEX('04_月間表'!E$7:E$37,MATCH(D49,'04_月間表'!$A$7:$A$37,0)),""))</f>
        <v/>
      </c>
      <c r="E52" s="29">
        <f>IF(E49="","",IFERROR(INDEX('04_月間表'!E$7:E$37,MATCH(E49,'04_月間表'!$A$7:$A$37,0)),""))</f>
        <v/>
      </c>
      <c r="F52" s="29">
        <f>IF(F49="","",IFERROR(INDEX('04_月間表'!E$7:E$37,MATCH(F49,'04_月間表'!$A$7:$A$37,0)),""))</f>
        <v/>
      </c>
      <c r="G52" s="29">
        <f>IF(G49="","",IFERROR(INDEX('04_月間表'!E$7:E$37,MATCH(G49,'04_月間表'!$A$7:$A$37,0)),""))</f>
        <v/>
      </c>
      <c r="H52" s="29">
        <f>IF(H49="","",IFERROR(INDEX('04_月間表'!E$7:E$37,MATCH(H49,'04_月間表'!$A$7:$A$37,0)),""))</f>
        <v/>
      </c>
      <c r="J52">
        <f>IF(B49="","",IFERROR(INDEX('04_月間表'!Z$7:Z$37,MATCH(B49,'04_月間表'!$A$7:$A$37,0)),""))</f>
        <v/>
      </c>
      <c r="K52">
        <f>IF(C49="","",IFERROR(INDEX('04_月間表'!Z$7:Z$37,MATCH(C49,'04_月間表'!$A$7:$A$37,0)),""))</f>
        <v/>
      </c>
      <c r="L52">
        <f>IF(D49="","",IFERROR(INDEX('04_月間表'!Z$7:Z$37,MATCH(D49,'04_月間表'!$A$7:$A$37,0)),""))</f>
        <v/>
      </c>
      <c r="M52">
        <f>IF(E49="","",IFERROR(INDEX('04_月間表'!Z$7:Z$37,MATCH(E49,'04_月間表'!$A$7:$A$37,0)),""))</f>
        <v/>
      </c>
      <c r="N52">
        <f>IF(F49="","",IFERROR(INDEX('04_月間表'!Z$7:Z$37,MATCH(F49,'04_月間表'!$A$7:$A$37,0)),""))</f>
        <v/>
      </c>
      <c r="O52">
        <f>IF(G49="","",IFERROR(INDEX('04_月間表'!Z$7:Z$37,MATCH(G49,'04_月間表'!$A$7:$A$37,0)),""))</f>
        <v/>
      </c>
      <c r="P52">
        <f>IF(H49="","",IFERROR(INDEX('04_月間表'!Z$7:Z$37,MATCH(H49,'04_月間表'!$A$7:$A$37,0)),""))</f>
        <v/>
      </c>
    </row>
    <row r="53" ht="21" customHeight="1">
      <c r="A53" s="28">
        <f>IF(COUNTA('M_部屋'!$A$4:$A$20)&gt;=4,INDEX('M_部屋'!$A$4:$A$20,4),"")</f>
        <v/>
      </c>
      <c r="B53" s="29">
        <f>IF(B49="","",IFERROR(INDEX('04_月間表'!F$7:F$37,MATCH(B49,'04_月間表'!$A$7:$A$37,0)),""))</f>
        <v/>
      </c>
      <c r="C53" s="29">
        <f>IF(C49="","",IFERROR(INDEX('04_月間表'!F$7:F$37,MATCH(C49,'04_月間表'!$A$7:$A$37,0)),""))</f>
        <v/>
      </c>
      <c r="D53" s="29">
        <f>IF(D49="","",IFERROR(INDEX('04_月間表'!F$7:F$37,MATCH(D49,'04_月間表'!$A$7:$A$37,0)),""))</f>
        <v/>
      </c>
      <c r="E53" s="29">
        <f>IF(E49="","",IFERROR(INDEX('04_月間表'!F$7:F$37,MATCH(E49,'04_月間表'!$A$7:$A$37,0)),""))</f>
        <v/>
      </c>
      <c r="F53" s="29">
        <f>IF(F49="","",IFERROR(INDEX('04_月間表'!F$7:F$37,MATCH(F49,'04_月間表'!$A$7:$A$37,0)),""))</f>
        <v/>
      </c>
      <c r="G53" s="29">
        <f>IF(G49="","",IFERROR(INDEX('04_月間表'!F$7:F$37,MATCH(G49,'04_月間表'!$A$7:$A$37,0)),""))</f>
        <v/>
      </c>
      <c r="H53" s="29">
        <f>IF(H49="","",IFERROR(INDEX('04_月間表'!F$7:F$37,MATCH(H49,'04_月間表'!$A$7:$A$37,0)),""))</f>
        <v/>
      </c>
      <c r="J53">
        <f>IF(B49="","",IFERROR(INDEX('04_月間表'!AA$7:AA$37,MATCH(B49,'04_月間表'!$A$7:$A$37,0)),""))</f>
        <v/>
      </c>
      <c r="K53">
        <f>IF(C49="","",IFERROR(INDEX('04_月間表'!AA$7:AA$37,MATCH(C49,'04_月間表'!$A$7:$A$37,0)),""))</f>
        <v/>
      </c>
      <c r="L53">
        <f>IF(D49="","",IFERROR(INDEX('04_月間表'!AA$7:AA$37,MATCH(D49,'04_月間表'!$A$7:$A$37,0)),""))</f>
        <v/>
      </c>
      <c r="M53">
        <f>IF(E49="","",IFERROR(INDEX('04_月間表'!AA$7:AA$37,MATCH(E49,'04_月間表'!$A$7:$A$37,0)),""))</f>
        <v/>
      </c>
      <c r="N53">
        <f>IF(F49="","",IFERROR(INDEX('04_月間表'!AA$7:AA$37,MATCH(F49,'04_月間表'!$A$7:$A$37,0)),""))</f>
        <v/>
      </c>
      <c r="O53">
        <f>IF(G49="","",IFERROR(INDEX('04_月間表'!AA$7:AA$37,MATCH(G49,'04_月間表'!$A$7:$A$37,0)),""))</f>
        <v/>
      </c>
      <c r="P53">
        <f>IF(H49="","",IFERROR(INDEX('04_月間表'!AA$7:AA$37,MATCH(H49,'04_月間表'!$A$7:$A$37,0)),""))</f>
        <v/>
      </c>
    </row>
    <row r="54" ht="22" customHeight="1">
      <c r="A54" s="28" t="inlineStr">
        <is>
          <t>空き</t>
        </is>
      </c>
      <c r="B54" s="30">
        <f>IF(B49="","",IFERROR(INDEX('04_月間表'!$J$7:$J$37,MATCH(B49,'04_月間表'!$A$7:$A$37,0)),""))</f>
        <v/>
      </c>
      <c r="C54" s="30">
        <f>IF(C49="","",IFERROR(INDEX('04_月間表'!$J$7:$J$37,MATCH(C49,'04_月間表'!$A$7:$A$37,0)),""))</f>
        <v/>
      </c>
      <c r="D54" s="30">
        <f>IF(D49="","",IFERROR(INDEX('04_月間表'!$J$7:$J$37,MATCH(D49,'04_月間表'!$A$7:$A$37,0)),""))</f>
        <v/>
      </c>
      <c r="E54" s="30">
        <f>IF(E49="","",IFERROR(INDEX('04_月間表'!$J$7:$J$37,MATCH(E49,'04_月間表'!$A$7:$A$37,0)),""))</f>
        <v/>
      </c>
      <c r="F54" s="30">
        <f>IF(F49="","",IFERROR(INDEX('04_月間表'!$J$7:$J$37,MATCH(F49,'04_月間表'!$A$7:$A$37,0)),""))</f>
        <v/>
      </c>
      <c r="G54" s="30">
        <f>IF(G49="","",IFERROR(INDEX('04_月間表'!$J$7:$J$37,MATCH(G49,'04_月間表'!$A$7:$A$37,0)),""))</f>
        <v/>
      </c>
      <c r="H54" s="30">
        <f>IF(H49="","",IFERROR(INDEX('04_月間表'!$J$7:$J$37,MATCH(H49,'04_月間表'!$A$7:$A$37,0)),""))</f>
        <v/>
      </c>
    </row>
    <row r="55" ht="17" customHeight="1">
      <c r="A55" s="31" t="inlineStr">
        <is>
          <t>食事</t>
        </is>
      </c>
      <c r="B55" s="32">
        <f>IF(OR(B49="",$B$6&lt;&gt;"○"),"",IFERROR(INDEX('04_月間表'!$AI$7:$AI$37,MATCH(B49,'04_月間表'!$A$7:$A$37,0)),""))</f>
        <v/>
      </c>
      <c r="C55" s="32">
        <f>IF(OR(C49="",$B$6&lt;&gt;"○"),"",IFERROR(INDEX('04_月間表'!$AI$7:$AI$37,MATCH(C49,'04_月間表'!$A$7:$A$37,0)),""))</f>
        <v/>
      </c>
      <c r="D55" s="32">
        <f>IF(OR(D49="",$B$6&lt;&gt;"○"),"",IFERROR(INDEX('04_月間表'!$AI$7:$AI$37,MATCH(D49,'04_月間表'!$A$7:$A$37,0)),""))</f>
        <v/>
      </c>
      <c r="E55" s="32">
        <f>IF(OR(E49="",$B$6&lt;&gt;"○"),"",IFERROR(INDEX('04_月間表'!$AI$7:$AI$37,MATCH(E49,'04_月間表'!$A$7:$A$37,0)),""))</f>
        <v/>
      </c>
      <c r="F55" s="32">
        <f>IF(OR(F49="",$B$6&lt;&gt;"○"),"",IFERROR(INDEX('04_月間表'!$AI$7:$AI$37,MATCH(F49,'04_月間表'!$A$7:$A$37,0)),""))</f>
        <v/>
      </c>
      <c r="G55" s="32">
        <f>IF(OR(G49="",$B$6&lt;&gt;"○"),"",IFERROR(INDEX('04_月間表'!$AI$7:$AI$37,MATCH(G49,'04_月間表'!$A$7:$A$37,0)),""))</f>
        <v/>
      </c>
      <c r="H55" s="32">
        <f>IF(OR(H49="",$B$6&lt;&gt;"○"),"",IFERROR(INDEX('04_月間表'!$AI$7:$AI$37,MATCH(H49,'04_月間表'!$A$7:$A$37,0)),""))</f>
        <v/>
      </c>
    </row>
    <row r="57">
      <c r="A57" s="20" t="inlineStr">
        <is>
          <t>■ 食事の個別調整（既定と違う日だけ入れてください）</t>
        </is>
      </c>
    </row>
    <row r="58">
      <c r="A58" s="2" t="inlineStr">
        <is>
          <t>使い方</t>
        </is>
      </c>
      <c r="B58" s="33" t="inlineStr">
        <is>
          <t>日付</t>
        </is>
      </c>
      <c r="C58" s="33" t="inlineStr">
        <is>
          <t>朝</t>
        </is>
      </c>
      <c r="D58" s="33" t="inlineStr">
        <is>
          <t>昼</t>
        </is>
      </c>
      <c r="E58" s="33" t="inlineStr">
        <is>
          <t>夕</t>
        </is>
      </c>
      <c r="F58" s="33" t="inlineStr">
        <is>
          <t>メモ</t>
        </is>
      </c>
    </row>
    <row r="59">
      <c r="A59" s="34">
        <f>IF($B59="","",IF(MONTH($B59)&lt;&gt;MONTH($B$4),"（他の月）",IF(COUNTIF($B$59:$B$78,$B59)&gt;1,"⚠日付が重複","✓")))</f>
        <v/>
      </c>
      <c r="B59" s="35" t="n"/>
      <c r="C59" s="36" t="n"/>
      <c r="D59" s="36" t="n"/>
      <c r="E59" s="36" t="n"/>
      <c r="F59" s="37" t="n"/>
    </row>
    <row r="60">
      <c r="A60" s="34">
        <f>IF($B60="","",IF(MONTH($B60)&lt;&gt;MONTH($B$4),"（他の月）",IF(COUNTIF($B$59:$B$78,$B60)&gt;1,"⚠日付が重複","✓")))</f>
        <v/>
      </c>
      <c r="B60" s="35" t="n"/>
      <c r="C60" s="36" t="n"/>
      <c r="D60" s="36" t="n"/>
      <c r="E60" s="36" t="n"/>
      <c r="F60" s="37" t="n"/>
    </row>
    <row r="61">
      <c r="A61" s="34">
        <f>IF($B61="","",IF(MONTH($B61)&lt;&gt;MONTH($B$4),"（他の月）",IF(COUNTIF($B$59:$B$78,$B61)&gt;1,"⚠日付が重複","✓")))</f>
        <v/>
      </c>
      <c r="B61" s="35" t="n"/>
      <c r="C61" s="36" t="n"/>
      <c r="D61" s="36" t="n"/>
      <c r="E61" s="36" t="n"/>
      <c r="F61" s="37" t="n"/>
    </row>
    <row r="62">
      <c r="A62" s="34">
        <f>IF($B62="","",IF(MONTH($B62)&lt;&gt;MONTH($B$4),"（他の月）",IF(COUNTIF($B$59:$B$78,$B62)&gt;1,"⚠日付が重複","✓")))</f>
        <v/>
      </c>
      <c r="B62" s="35" t="n"/>
      <c r="C62" s="36" t="n"/>
      <c r="D62" s="36" t="n"/>
      <c r="E62" s="36" t="n"/>
      <c r="F62" s="37" t="n"/>
    </row>
    <row r="63">
      <c r="A63" s="34">
        <f>IF($B63="","",IF(MONTH($B63)&lt;&gt;MONTH($B$4),"（他の月）",IF(COUNTIF($B$59:$B$78,$B63)&gt;1,"⚠日付が重複","✓")))</f>
        <v/>
      </c>
      <c r="B63" s="35" t="n"/>
      <c r="C63" s="36" t="n"/>
      <c r="D63" s="36" t="n"/>
      <c r="E63" s="36" t="n"/>
      <c r="F63" s="37" t="n"/>
    </row>
    <row r="64">
      <c r="A64" s="34">
        <f>IF($B64="","",IF(MONTH($B64)&lt;&gt;MONTH($B$4),"（他の月）",IF(COUNTIF($B$59:$B$78,$B64)&gt;1,"⚠日付が重複","✓")))</f>
        <v/>
      </c>
      <c r="B64" s="35" t="n"/>
      <c r="C64" s="36" t="n"/>
      <c r="D64" s="36" t="n"/>
      <c r="E64" s="36" t="n"/>
      <c r="F64" s="37" t="n"/>
    </row>
    <row r="65">
      <c r="A65" s="34">
        <f>IF($B65="","",IF(MONTH($B65)&lt;&gt;MONTH($B$4),"（他の月）",IF(COUNTIF($B$59:$B$78,$B65)&gt;1,"⚠日付が重複","✓")))</f>
        <v/>
      </c>
      <c r="B65" s="35" t="n"/>
      <c r="C65" s="36" t="n"/>
      <c r="D65" s="36" t="n"/>
      <c r="E65" s="36" t="n"/>
      <c r="F65" s="37" t="n"/>
    </row>
    <row r="66">
      <c r="A66" s="34">
        <f>IF($B66="","",IF(MONTH($B66)&lt;&gt;MONTH($B$4),"（他の月）",IF(COUNTIF($B$59:$B$78,$B66)&gt;1,"⚠日付が重複","✓")))</f>
        <v/>
      </c>
      <c r="B66" s="35" t="n"/>
      <c r="C66" s="36" t="n"/>
      <c r="D66" s="36" t="n"/>
      <c r="E66" s="36" t="n"/>
      <c r="F66" s="37" t="n"/>
    </row>
    <row r="67">
      <c r="A67" s="34">
        <f>IF($B67="","",IF(MONTH($B67)&lt;&gt;MONTH($B$4),"（他の月）",IF(COUNTIF($B$59:$B$78,$B67)&gt;1,"⚠日付が重複","✓")))</f>
        <v/>
      </c>
      <c r="B67" s="35" t="n"/>
      <c r="C67" s="36" t="n"/>
      <c r="D67" s="36" t="n"/>
      <c r="E67" s="36" t="n"/>
      <c r="F67" s="37" t="n"/>
    </row>
    <row r="68">
      <c r="A68" s="34">
        <f>IF($B68="","",IF(MONTH($B68)&lt;&gt;MONTH($B$4),"（他の月）",IF(COUNTIF($B$59:$B$78,$B68)&gt;1,"⚠日付が重複","✓")))</f>
        <v/>
      </c>
      <c r="B68" s="35" t="n"/>
      <c r="C68" s="36" t="n"/>
      <c r="D68" s="36" t="n"/>
      <c r="E68" s="36" t="n"/>
      <c r="F68" s="37" t="n"/>
    </row>
    <row r="69">
      <c r="A69" s="34">
        <f>IF($B69="","",IF(MONTH($B69)&lt;&gt;MONTH($B$4),"（他の月）",IF(COUNTIF($B$59:$B$78,$B69)&gt;1,"⚠日付が重複","✓")))</f>
        <v/>
      </c>
      <c r="B69" s="35" t="n"/>
      <c r="C69" s="36" t="n"/>
      <c r="D69" s="36" t="n"/>
      <c r="E69" s="36" t="n"/>
      <c r="F69" s="37" t="n"/>
    </row>
    <row r="70">
      <c r="A70" s="34">
        <f>IF($B70="","",IF(MONTH($B70)&lt;&gt;MONTH($B$4),"（他の月）",IF(COUNTIF($B$59:$B$78,$B70)&gt;1,"⚠日付が重複","✓")))</f>
        <v/>
      </c>
      <c r="B70" s="35" t="n"/>
      <c r="C70" s="36" t="n"/>
      <c r="D70" s="36" t="n"/>
      <c r="E70" s="36" t="n"/>
      <c r="F70" s="37" t="n"/>
    </row>
    <row r="71">
      <c r="A71" s="34">
        <f>IF($B71="","",IF(MONTH($B71)&lt;&gt;MONTH($B$4),"（他の月）",IF(COUNTIF($B$59:$B$78,$B71)&gt;1,"⚠日付が重複","✓")))</f>
        <v/>
      </c>
      <c r="B71" s="35" t="n"/>
      <c r="C71" s="36" t="n"/>
      <c r="D71" s="36" t="n"/>
      <c r="E71" s="36" t="n"/>
      <c r="F71" s="37" t="n"/>
    </row>
    <row r="72">
      <c r="A72" s="34">
        <f>IF($B72="","",IF(MONTH($B72)&lt;&gt;MONTH($B$4),"（他の月）",IF(COUNTIF($B$59:$B$78,$B72)&gt;1,"⚠日付が重複","✓")))</f>
        <v/>
      </c>
      <c r="B72" s="35" t="n"/>
      <c r="C72" s="36" t="n"/>
      <c r="D72" s="36" t="n"/>
      <c r="E72" s="36" t="n"/>
      <c r="F72" s="37" t="n"/>
    </row>
    <row r="73">
      <c r="A73" s="34">
        <f>IF($B73="","",IF(MONTH($B73)&lt;&gt;MONTH($B$4),"（他の月）",IF(COUNTIF($B$59:$B$78,$B73)&gt;1,"⚠日付が重複","✓")))</f>
        <v/>
      </c>
      <c r="B73" s="35" t="n"/>
      <c r="C73" s="36" t="n"/>
      <c r="D73" s="36" t="n"/>
      <c r="E73" s="36" t="n"/>
      <c r="F73" s="37" t="n"/>
    </row>
    <row r="74">
      <c r="A74" s="34">
        <f>IF($B74="","",IF(MONTH($B74)&lt;&gt;MONTH($B$4),"（他の月）",IF(COUNTIF($B$59:$B$78,$B74)&gt;1,"⚠日付が重複","✓")))</f>
        <v/>
      </c>
      <c r="B74" s="35" t="n"/>
      <c r="C74" s="36" t="n"/>
      <c r="D74" s="36" t="n"/>
      <c r="E74" s="36" t="n"/>
      <c r="F74" s="37" t="n"/>
    </row>
    <row r="75">
      <c r="A75" s="34">
        <f>IF($B75="","",IF(MONTH($B75)&lt;&gt;MONTH($B$4),"（他の月）",IF(COUNTIF($B$59:$B$78,$B75)&gt;1,"⚠日付が重複","✓")))</f>
        <v/>
      </c>
      <c r="B75" s="35" t="n"/>
      <c r="C75" s="36" t="n"/>
      <c r="D75" s="36" t="n"/>
      <c r="E75" s="36" t="n"/>
      <c r="F75" s="37" t="n"/>
    </row>
    <row r="76">
      <c r="A76" s="34">
        <f>IF($B76="","",IF(MONTH($B76)&lt;&gt;MONTH($B$4),"（他の月）",IF(COUNTIF($B$59:$B$78,$B76)&gt;1,"⚠日付が重複","✓")))</f>
        <v/>
      </c>
      <c r="B76" s="35" t="n"/>
      <c r="C76" s="36" t="n"/>
      <c r="D76" s="36" t="n"/>
      <c r="E76" s="36" t="n"/>
      <c r="F76" s="37" t="n"/>
    </row>
    <row r="77">
      <c r="A77" s="34">
        <f>IF($B77="","",IF(MONTH($B77)&lt;&gt;MONTH($B$4),"（他の月）",IF(COUNTIF($B$59:$B$78,$B77)&gt;1,"⚠日付が重複","✓")))</f>
        <v/>
      </c>
      <c r="B77" s="35" t="n"/>
      <c r="C77" s="36" t="n"/>
      <c r="D77" s="36" t="n"/>
      <c r="E77" s="36" t="n"/>
      <c r="F77" s="37" t="n"/>
    </row>
    <row r="78">
      <c r="A78" s="34">
        <f>IF($B78="","",IF(MONTH($B78)&lt;&gt;MONTH($B$4),"（他の月）",IF(COUNTIF($B$59:$B$78,$B78)&gt;1,"⚠日付が重複","✓")))</f>
        <v/>
      </c>
      <c r="B78" s="35" t="n"/>
      <c r="C78" s="36" t="n"/>
      <c r="D78" s="36" t="n"/>
      <c r="E78" s="36" t="n"/>
      <c r="F78" s="37" t="n"/>
    </row>
    <row r="80">
      <c r="A80" s="2" t="inlineStr">
        <is>
          <t>※ 使わない部屋の行（部屋名が空欄の行）は、6週ぶんまとめて選んで 右クリック→非表示 にしてください。</t>
        </is>
      </c>
    </row>
    <row r="81">
      <c r="A81" s="2" t="inlineStr">
        <is>
          <t>※ J〜P列は色分け用の隠し列です。編集しないでください。</t>
        </is>
      </c>
    </row>
    <row r="82">
      <c r="A82" s="2" t="inlineStr">
        <is>
          <t>※ 退所日に名前が出ていても、その日の夜は空いています（「空き」行の記号が正です）。</t>
        </is>
      </c>
    </row>
    <row r="83">
      <c r="A83" s="2" t="inlineStr">
        <is>
          <t>※ 食事の調整は日付で結び付けているので、対象月を切り替えても他の月に影響しません。</t>
        </is>
      </c>
    </row>
  </sheetData>
  <conditionalFormatting sqref="B9:H55">
    <cfRule type="expression" priority="1" dxfId="4" stopIfTrue="1">
      <formula>AND(B9&lt;&gt;"",J9="仮")</formula>
    </cfRule>
    <cfRule type="expression" priority="2" dxfId="5" stopIfTrue="1">
      <formula>AND(B9&lt;&gt;"",'M_区分'!$A$4&lt;&gt;"",J9='M_区分'!$A$4)</formula>
    </cfRule>
    <cfRule type="expression" priority="3" dxfId="6" stopIfTrue="1">
      <formula>AND(B9&lt;&gt;"",'M_区分'!$A$5&lt;&gt;"",J9='M_区分'!$A$5)</formula>
    </cfRule>
    <cfRule type="expression" priority="4" dxfId="7" stopIfTrue="1">
      <formula>AND(B9&lt;&gt;"",'M_区分'!$A$6&lt;&gt;"",J9='M_区分'!$A$6)</formula>
    </cfRule>
    <cfRule type="expression" priority="5" dxfId="8" stopIfTrue="1">
      <formula>AND(B9&lt;&gt;"",'M_区分'!$A$7&lt;&gt;"",J9='M_区分'!$A$7)</formula>
    </cfRule>
  </conditionalFormatting>
  <conditionalFormatting sqref="B14:H14">
    <cfRule type="expression" priority="6" dxfId="1">
      <formula>B14="×"</formula>
    </cfRule>
    <cfRule type="expression" priority="7" dxfId="2">
      <formula>B14="△"</formula>
    </cfRule>
    <cfRule type="expression" priority="8" dxfId="3">
      <formula>B14="仮"</formula>
    </cfRule>
    <cfRule type="expression" priority="9" dxfId="9">
      <formula>B14="○"</formula>
    </cfRule>
  </conditionalFormatting>
  <conditionalFormatting sqref="B22:H22">
    <cfRule type="expression" priority="10" dxfId="1">
      <formula>B22="×"</formula>
    </cfRule>
    <cfRule type="expression" priority="11" dxfId="2">
      <formula>B22="△"</formula>
    </cfRule>
    <cfRule type="expression" priority="12" dxfId="3">
      <formula>B22="仮"</formula>
    </cfRule>
    <cfRule type="expression" priority="13" dxfId="9">
      <formula>B22="○"</formula>
    </cfRule>
  </conditionalFormatting>
  <conditionalFormatting sqref="B30:H30">
    <cfRule type="expression" priority="14" dxfId="1">
      <formula>B30="×"</formula>
    </cfRule>
    <cfRule type="expression" priority="15" dxfId="2">
      <formula>B30="△"</formula>
    </cfRule>
    <cfRule type="expression" priority="16" dxfId="3">
      <formula>B30="仮"</formula>
    </cfRule>
    <cfRule type="expression" priority="17" dxfId="9">
      <formula>B30="○"</formula>
    </cfRule>
  </conditionalFormatting>
  <conditionalFormatting sqref="B38:H38">
    <cfRule type="expression" priority="18" dxfId="1">
      <formula>B38="×"</formula>
    </cfRule>
    <cfRule type="expression" priority="19" dxfId="2">
      <formula>B38="△"</formula>
    </cfRule>
    <cfRule type="expression" priority="20" dxfId="3">
      <formula>B38="仮"</formula>
    </cfRule>
    <cfRule type="expression" priority="21" dxfId="9">
      <formula>B38="○"</formula>
    </cfRule>
  </conditionalFormatting>
  <conditionalFormatting sqref="B46:H46">
    <cfRule type="expression" priority="22" dxfId="1">
      <formula>B46="×"</formula>
    </cfRule>
    <cfRule type="expression" priority="23" dxfId="2">
      <formula>B46="△"</formula>
    </cfRule>
    <cfRule type="expression" priority="24" dxfId="3">
      <formula>B46="仮"</formula>
    </cfRule>
    <cfRule type="expression" priority="25" dxfId="9">
      <formula>B46="○"</formula>
    </cfRule>
  </conditionalFormatting>
  <conditionalFormatting sqref="B54:H54">
    <cfRule type="expression" priority="26" dxfId="1">
      <formula>B54="×"</formula>
    </cfRule>
    <cfRule type="expression" priority="27" dxfId="2">
      <formula>B54="△"</formula>
    </cfRule>
    <cfRule type="expression" priority="28" dxfId="3">
      <formula>B54="仮"</formula>
    </cfRule>
    <cfRule type="expression" priority="29" dxfId="9">
      <formula>B54="○"</formula>
    </cfRule>
  </conditionalFormatting>
  <conditionalFormatting sqref="A59:F78">
    <cfRule type="expression" priority="30" dxfId="1">
      <formula>$A59="⚠日付が重複"</formula>
    </cfRule>
  </conditionalFormatting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T75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.4" customWidth="1" min="2" max="2"/>
    <col width="3.4" customWidth="1" min="3" max="3"/>
    <col width="3.4" customWidth="1" min="4" max="4"/>
    <col width="3.4" customWidth="1" min="5" max="5"/>
    <col width="3.4" customWidth="1" min="6" max="6"/>
    <col width="3.4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10" customWidth="1" min="33" max="33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</cols>
  <sheetData>
    <row r="1">
      <c r="A1" s="1" t="inlineStr">
        <is>
          <t>帯表（だれが・いつから・いつまで）</t>
        </is>
      </c>
    </row>
    <row r="2">
      <c r="A2" s="2" t="inlineStr">
        <is>
          <t>1人1行、横軸が1〜31日。▶入所　■連泊　◀退所　◆日帰り。白抜き（▷□◁◇）は仮予約・調整中です。</t>
        </is>
      </c>
    </row>
    <row r="3">
      <c r="A3" s="28" t="inlineStr">
        <is>
          <t>対象月</t>
        </is>
      </c>
      <c r="B3" s="38">
        <f>'02_カレンダー'!$B$4</f>
        <v/>
      </c>
      <c r="C3" s="121" t="n"/>
      <c r="D3" s="121" t="n"/>
      <c r="E3" s="121" t="n"/>
      <c r="F3" s="122" t="n"/>
      <c r="G3" s="40" t="inlineStr">
        <is>
          <t>02_カレンダー の対象月に連動します</t>
        </is>
      </c>
    </row>
    <row r="4" hidden="1">
      <c r="A4" s="28" t="inlineStr">
        <is>
          <t>日付</t>
        </is>
      </c>
      <c r="B4">
        <f>IF(MONTH('02_カレンダー'!$B$4+0)&lt;&gt;MONTH('02_カレンダー'!$B$4),"",'02_カレンダー'!$B$4+0)</f>
        <v/>
      </c>
      <c r="C4">
        <f>IF(MONTH('02_カレンダー'!$B$4+1)&lt;&gt;MONTH('02_カレンダー'!$B$4),"",'02_カレンダー'!$B$4+1)</f>
        <v/>
      </c>
      <c r="D4">
        <f>IF(MONTH('02_カレンダー'!$B$4+2)&lt;&gt;MONTH('02_カレンダー'!$B$4),"",'02_カレンダー'!$B$4+2)</f>
        <v/>
      </c>
      <c r="E4">
        <f>IF(MONTH('02_カレンダー'!$B$4+3)&lt;&gt;MONTH('02_カレンダー'!$B$4),"",'02_カレンダー'!$B$4+3)</f>
        <v/>
      </c>
      <c r="F4">
        <f>IF(MONTH('02_カレンダー'!$B$4+4)&lt;&gt;MONTH('02_カレンダー'!$B$4),"",'02_カレンダー'!$B$4+4)</f>
        <v/>
      </c>
      <c r="G4">
        <f>IF(MONTH('02_カレンダー'!$B$4+5)&lt;&gt;MONTH('02_カレンダー'!$B$4),"",'02_カレンダー'!$B$4+5)</f>
        <v/>
      </c>
      <c r="H4">
        <f>IF(MONTH('02_カレンダー'!$B$4+6)&lt;&gt;MONTH('02_カレンダー'!$B$4),"",'02_カレンダー'!$B$4+6)</f>
        <v/>
      </c>
      <c r="I4">
        <f>IF(MONTH('02_カレンダー'!$B$4+7)&lt;&gt;MONTH('02_カレンダー'!$B$4),"",'02_カレンダー'!$B$4+7)</f>
        <v/>
      </c>
      <c r="J4">
        <f>IF(MONTH('02_カレンダー'!$B$4+8)&lt;&gt;MONTH('02_カレンダー'!$B$4),"",'02_カレンダー'!$B$4+8)</f>
        <v/>
      </c>
      <c r="K4">
        <f>IF(MONTH('02_カレンダー'!$B$4+9)&lt;&gt;MONTH('02_カレンダー'!$B$4),"",'02_カレンダー'!$B$4+9)</f>
        <v/>
      </c>
      <c r="L4">
        <f>IF(MONTH('02_カレンダー'!$B$4+10)&lt;&gt;MONTH('02_カレンダー'!$B$4),"",'02_カレンダー'!$B$4+10)</f>
        <v/>
      </c>
      <c r="M4">
        <f>IF(MONTH('02_カレンダー'!$B$4+11)&lt;&gt;MONTH('02_カレンダー'!$B$4),"",'02_カレンダー'!$B$4+11)</f>
        <v/>
      </c>
      <c r="N4">
        <f>IF(MONTH('02_カレンダー'!$B$4+12)&lt;&gt;MONTH('02_カレンダー'!$B$4),"",'02_カレンダー'!$B$4+12)</f>
        <v/>
      </c>
      <c r="O4">
        <f>IF(MONTH('02_カレンダー'!$B$4+13)&lt;&gt;MONTH('02_カレンダー'!$B$4),"",'02_カレンダー'!$B$4+13)</f>
        <v/>
      </c>
      <c r="P4">
        <f>IF(MONTH('02_カレンダー'!$B$4+14)&lt;&gt;MONTH('02_カレンダー'!$B$4),"",'02_カレンダー'!$B$4+14)</f>
        <v/>
      </c>
      <c r="Q4">
        <f>IF(MONTH('02_カレンダー'!$B$4+15)&lt;&gt;MONTH('02_カレンダー'!$B$4),"",'02_カレンダー'!$B$4+15)</f>
        <v/>
      </c>
      <c r="R4">
        <f>IF(MONTH('02_カレンダー'!$B$4+16)&lt;&gt;MONTH('02_カレンダー'!$B$4),"",'02_カレンダー'!$B$4+16)</f>
        <v/>
      </c>
      <c r="S4">
        <f>IF(MONTH('02_カレンダー'!$B$4+17)&lt;&gt;MONTH('02_カレンダー'!$B$4),"",'02_カレンダー'!$B$4+17)</f>
        <v/>
      </c>
      <c r="T4">
        <f>IF(MONTH('02_カレンダー'!$B$4+18)&lt;&gt;MONTH('02_カレンダー'!$B$4),"",'02_カレンダー'!$B$4+18)</f>
        <v/>
      </c>
      <c r="U4">
        <f>IF(MONTH('02_カレンダー'!$B$4+19)&lt;&gt;MONTH('02_カレンダー'!$B$4),"",'02_カレンダー'!$B$4+19)</f>
        <v/>
      </c>
      <c r="V4">
        <f>IF(MONTH('02_カレンダー'!$B$4+20)&lt;&gt;MONTH('02_カレンダー'!$B$4),"",'02_カレンダー'!$B$4+20)</f>
        <v/>
      </c>
      <c r="W4">
        <f>IF(MONTH('02_カレンダー'!$B$4+21)&lt;&gt;MONTH('02_カレンダー'!$B$4),"",'02_カレンダー'!$B$4+21)</f>
        <v/>
      </c>
      <c r="X4">
        <f>IF(MONTH('02_カレンダー'!$B$4+22)&lt;&gt;MONTH('02_カレンダー'!$B$4),"",'02_カレンダー'!$B$4+22)</f>
        <v/>
      </c>
      <c r="Y4">
        <f>IF(MONTH('02_カレンダー'!$B$4+23)&lt;&gt;MONTH('02_カレンダー'!$B$4),"",'02_カレンダー'!$B$4+23)</f>
        <v/>
      </c>
      <c r="Z4">
        <f>IF(MONTH('02_カレンダー'!$B$4+24)&lt;&gt;MONTH('02_カレンダー'!$B$4),"",'02_カレンダー'!$B$4+24)</f>
        <v/>
      </c>
      <c r="AA4">
        <f>IF(MONTH('02_カレンダー'!$B$4+25)&lt;&gt;MONTH('02_カレンダー'!$B$4),"",'02_カレンダー'!$B$4+25)</f>
        <v/>
      </c>
      <c r="AB4">
        <f>IF(MONTH('02_カレンダー'!$B$4+26)&lt;&gt;MONTH('02_カレンダー'!$B$4),"",'02_カレンダー'!$B$4+26)</f>
        <v/>
      </c>
      <c r="AC4">
        <f>IF(MONTH('02_カレンダー'!$B$4+27)&lt;&gt;MONTH('02_カレンダー'!$B$4),"",'02_カレンダー'!$B$4+27)</f>
        <v/>
      </c>
      <c r="AD4">
        <f>IF(MONTH('02_カレンダー'!$B$4+28)&lt;&gt;MONTH('02_カレンダー'!$B$4),"",'02_カレンダー'!$B$4+28)</f>
        <v/>
      </c>
      <c r="AE4">
        <f>IF(MONTH('02_カレンダー'!$B$4+29)&lt;&gt;MONTH('02_カレンダー'!$B$4),"",'02_カレンダー'!$B$4+29)</f>
        <v/>
      </c>
      <c r="AF4">
        <f>IF(MONTH('02_カレンダー'!$B$4+30)&lt;&gt;MONTH('02_カレンダー'!$B$4),"",'02_カレンダー'!$B$4+30)</f>
        <v/>
      </c>
    </row>
    <row r="5">
      <c r="A5" s="28" t="inlineStr">
        <is>
          <t>日</t>
        </is>
      </c>
      <c r="B5" s="41">
        <f>IF(B4="","",DAY(B4))</f>
        <v/>
      </c>
      <c r="C5" s="41">
        <f>IF(C4="","",DAY(C4))</f>
        <v/>
      </c>
      <c r="D5" s="41">
        <f>IF(D4="","",DAY(D4))</f>
        <v/>
      </c>
      <c r="E5" s="41">
        <f>IF(E4="","",DAY(E4))</f>
        <v/>
      </c>
      <c r="F5" s="41">
        <f>IF(F4="","",DAY(F4))</f>
        <v/>
      </c>
      <c r="G5" s="41">
        <f>IF(G4="","",DAY(G4))</f>
        <v/>
      </c>
      <c r="H5" s="41">
        <f>IF(H4="","",DAY(H4))</f>
        <v/>
      </c>
      <c r="I5" s="41">
        <f>IF(I4="","",DAY(I4))</f>
        <v/>
      </c>
      <c r="J5" s="41">
        <f>IF(J4="","",DAY(J4))</f>
        <v/>
      </c>
      <c r="K5" s="41">
        <f>IF(K4="","",DAY(K4))</f>
        <v/>
      </c>
      <c r="L5" s="41">
        <f>IF(L4="","",DAY(L4))</f>
        <v/>
      </c>
      <c r="M5" s="41">
        <f>IF(M4="","",DAY(M4))</f>
        <v/>
      </c>
      <c r="N5" s="41">
        <f>IF(N4="","",DAY(N4))</f>
        <v/>
      </c>
      <c r="O5" s="41">
        <f>IF(O4="","",DAY(O4))</f>
        <v/>
      </c>
      <c r="P5" s="41">
        <f>IF(P4="","",DAY(P4))</f>
        <v/>
      </c>
      <c r="Q5" s="41">
        <f>IF(Q4="","",DAY(Q4))</f>
        <v/>
      </c>
      <c r="R5" s="41">
        <f>IF(R4="","",DAY(R4))</f>
        <v/>
      </c>
      <c r="S5" s="41">
        <f>IF(S4="","",DAY(S4))</f>
        <v/>
      </c>
      <c r="T5" s="41">
        <f>IF(T4="","",DAY(T4))</f>
        <v/>
      </c>
      <c r="U5" s="41">
        <f>IF(U4="","",DAY(U4))</f>
        <v/>
      </c>
      <c r="V5" s="41">
        <f>IF(V4="","",DAY(V4))</f>
        <v/>
      </c>
      <c r="W5" s="41">
        <f>IF(W4="","",DAY(W4))</f>
        <v/>
      </c>
      <c r="X5" s="41">
        <f>IF(X4="","",DAY(X4))</f>
        <v/>
      </c>
      <c r="Y5" s="41">
        <f>IF(Y4="","",DAY(Y4))</f>
        <v/>
      </c>
      <c r="Z5" s="41">
        <f>IF(Z4="","",DAY(Z4))</f>
        <v/>
      </c>
      <c r="AA5" s="41">
        <f>IF(AA4="","",DAY(AA4))</f>
        <v/>
      </c>
      <c r="AB5" s="41">
        <f>IF(AB4="","",DAY(AB4))</f>
        <v/>
      </c>
      <c r="AC5" s="41">
        <f>IF(AC4="","",DAY(AC4))</f>
        <v/>
      </c>
      <c r="AD5" s="41">
        <f>IF(AD4="","",DAY(AD4))</f>
        <v/>
      </c>
      <c r="AE5" s="41">
        <f>IF(AE4="","",DAY(AE4))</f>
        <v/>
      </c>
      <c r="AF5" s="41">
        <f>IF(AF4="","",DAY(AF4))</f>
        <v/>
      </c>
      <c r="AG5" s="28" t="inlineStr">
        <is>
          <t>当月</t>
        </is>
      </c>
    </row>
    <row r="6">
      <c r="A6" s="28" t="inlineStr">
        <is>
          <t>曜日</t>
        </is>
      </c>
      <c r="B6" s="42">
        <f>IF(B4="","",MID("日月火水木金土",WEEKDAY(B4),1))</f>
        <v/>
      </c>
      <c r="C6" s="42">
        <f>IF(C4="","",MID("日月火水木金土",WEEKDAY(C4),1))</f>
        <v/>
      </c>
      <c r="D6" s="42">
        <f>IF(D4="","",MID("日月火水木金土",WEEKDAY(D4),1))</f>
        <v/>
      </c>
      <c r="E6" s="42">
        <f>IF(E4="","",MID("日月火水木金土",WEEKDAY(E4),1))</f>
        <v/>
      </c>
      <c r="F6" s="42">
        <f>IF(F4="","",MID("日月火水木金土",WEEKDAY(F4),1))</f>
        <v/>
      </c>
      <c r="G6" s="42">
        <f>IF(G4="","",MID("日月火水木金土",WEEKDAY(G4),1))</f>
        <v/>
      </c>
      <c r="H6" s="42">
        <f>IF(H4="","",MID("日月火水木金土",WEEKDAY(H4),1))</f>
        <v/>
      </c>
      <c r="I6" s="42">
        <f>IF(I4="","",MID("日月火水木金土",WEEKDAY(I4),1))</f>
        <v/>
      </c>
      <c r="J6" s="42">
        <f>IF(J4="","",MID("日月火水木金土",WEEKDAY(J4),1))</f>
        <v/>
      </c>
      <c r="K6" s="42">
        <f>IF(K4="","",MID("日月火水木金土",WEEKDAY(K4),1))</f>
        <v/>
      </c>
      <c r="L6" s="42">
        <f>IF(L4="","",MID("日月火水木金土",WEEKDAY(L4),1))</f>
        <v/>
      </c>
      <c r="M6" s="42">
        <f>IF(M4="","",MID("日月火水木金土",WEEKDAY(M4),1))</f>
        <v/>
      </c>
      <c r="N6" s="42">
        <f>IF(N4="","",MID("日月火水木金土",WEEKDAY(N4),1))</f>
        <v/>
      </c>
      <c r="O6" s="42">
        <f>IF(O4="","",MID("日月火水木金土",WEEKDAY(O4),1))</f>
        <v/>
      </c>
      <c r="P6" s="42">
        <f>IF(P4="","",MID("日月火水木金土",WEEKDAY(P4),1))</f>
        <v/>
      </c>
      <c r="Q6" s="42">
        <f>IF(Q4="","",MID("日月火水木金土",WEEKDAY(Q4),1))</f>
        <v/>
      </c>
      <c r="R6" s="42">
        <f>IF(R4="","",MID("日月火水木金土",WEEKDAY(R4),1))</f>
        <v/>
      </c>
      <c r="S6" s="42">
        <f>IF(S4="","",MID("日月火水木金土",WEEKDAY(S4),1))</f>
        <v/>
      </c>
      <c r="T6" s="42">
        <f>IF(T4="","",MID("日月火水木金土",WEEKDAY(T4),1))</f>
        <v/>
      </c>
      <c r="U6" s="42">
        <f>IF(U4="","",MID("日月火水木金土",WEEKDAY(U4),1))</f>
        <v/>
      </c>
      <c r="V6" s="42">
        <f>IF(V4="","",MID("日月火水木金土",WEEKDAY(V4),1))</f>
        <v/>
      </c>
      <c r="W6" s="42">
        <f>IF(W4="","",MID("日月火水木金土",WEEKDAY(W4),1))</f>
        <v/>
      </c>
      <c r="X6" s="42">
        <f>IF(X4="","",MID("日月火水木金土",WEEKDAY(X4),1))</f>
        <v/>
      </c>
      <c r="Y6" s="42">
        <f>IF(Y4="","",MID("日月火水木金土",WEEKDAY(Y4),1))</f>
        <v/>
      </c>
      <c r="Z6" s="42">
        <f>IF(Z4="","",MID("日月火水木金土",WEEKDAY(Z4),1))</f>
        <v/>
      </c>
      <c r="AA6" s="42">
        <f>IF(AA4="","",MID("日月火水木金土",WEEKDAY(AA4),1))</f>
        <v/>
      </c>
      <c r="AB6" s="42">
        <f>IF(AB4="","",MID("日月火水木金土",WEEKDAY(AB4),1))</f>
        <v/>
      </c>
      <c r="AC6" s="42">
        <f>IF(AC4="","",MID("日月火水木金土",WEEKDAY(AC4),1))</f>
        <v/>
      </c>
      <c r="AD6" s="42">
        <f>IF(AD4="","",MID("日月火水木金土",WEEKDAY(AD4),1))</f>
        <v/>
      </c>
      <c r="AE6" s="42">
        <f>IF(AE4="","",MID("日月火水木金土",WEEKDAY(AE4),1))</f>
        <v/>
      </c>
      <c r="AF6" s="42">
        <f>IF(AF4="","",MID("日月火水木金土",WEEKDAY(AF4),1))</f>
        <v/>
      </c>
      <c r="AG6" s="28" t="inlineStr">
        <is>
          <t>利用日数</t>
        </is>
      </c>
    </row>
    <row r="7" ht="19" customHeight="1">
      <c r="A7" s="43">
        <f>IF(COUNTA('利用者マスタ'!$A$4:$A$60)&gt;=1,INDEX('利用者マスタ'!$A$4:$A$60,1),"")</f>
        <v/>
      </c>
      <c r="B7" s="44">
        <f>IF($AP7=0,"",IF(MOD($AP7,8)=7,IF($AP7&gt;=8,"◇","◆"),IF(MOD($AP7,8)=3,IF($AP7&gt;=8,"▷","▶"),IF(MOD($AP7,8)=5,IF($AP7&gt;=8,"◁","◀"),IF($AP7&gt;=8,"□","■")))))</f>
        <v/>
      </c>
      <c r="C7" s="44">
        <f>IF($AQ7=0,"",IF(MOD($AQ7,8)=7,IF($AQ7&gt;=8,"◇","◆"),IF(MOD($AQ7,8)=3,IF($AQ7&gt;=8,"▷","▶"),IF(MOD($AQ7,8)=5,IF($AQ7&gt;=8,"◁","◀"),IF($AQ7&gt;=8,"□","■")))))</f>
        <v/>
      </c>
      <c r="D7" s="44">
        <f>IF($AR7=0,"",IF(MOD($AR7,8)=7,IF($AR7&gt;=8,"◇","◆"),IF(MOD($AR7,8)=3,IF($AR7&gt;=8,"▷","▶"),IF(MOD($AR7,8)=5,IF($AR7&gt;=8,"◁","◀"),IF($AR7&gt;=8,"□","■")))))</f>
        <v/>
      </c>
      <c r="E7" s="44">
        <f>IF($AS7=0,"",IF(MOD($AS7,8)=7,IF($AS7&gt;=8,"◇","◆"),IF(MOD($AS7,8)=3,IF($AS7&gt;=8,"▷","▶"),IF(MOD($AS7,8)=5,IF($AS7&gt;=8,"◁","◀"),IF($AS7&gt;=8,"□","■")))))</f>
        <v/>
      </c>
      <c r="F7" s="44">
        <f>IF($AT7=0,"",IF(MOD($AT7,8)=7,IF($AT7&gt;=8,"◇","◆"),IF(MOD($AT7,8)=3,IF($AT7&gt;=8,"▷","▶"),IF(MOD($AT7,8)=5,IF($AT7&gt;=8,"◁","◀"),IF($AT7&gt;=8,"□","■")))))</f>
        <v/>
      </c>
      <c r="G7" s="44">
        <f>IF($AU7=0,"",IF(MOD($AU7,8)=7,IF($AU7&gt;=8,"◇","◆"),IF(MOD($AU7,8)=3,IF($AU7&gt;=8,"▷","▶"),IF(MOD($AU7,8)=5,IF($AU7&gt;=8,"◁","◀"),IF($AU7&gt;=8,"□","■")))))</f>
        <v/>
      </c>
      <c r="H7" s="44">
        <f>IF($AV7=0,"",IF(MOD($AV7,8)=7,IF($AV7&gt;=8,"◇","◆"),IF(MOD($AV7,8)=3,IF($AV7&gt;=8,"▷","▶"),IF(MOD($AV7,8)=5,IF($AV7&gt;=8,"◁","◀"),IF($AV7&gt;=8,"□","■")))))</f>
        <v/>
      </c>
      <c r="I7" s="44">
        <f>IF($AW7=0,"",IF(MOD($AW7,8)=7,IF($AW7&gt;=8,"◇","◆"),IF(MOD($AW7,8)=3,IF($AW7&gt;=8,"▷","▶"),IF(MOD($AW7,8)=5,IF($AW7&gt;=8,"◁","◀"),IF($AW7&gt;=8,"□","■")))))</f>
        <v/>
      </c>
      <c r="J7" s="44">
        <f>IF($AX7=0,"",IF(MOD($AX7,8)=7,IF($AX7&gt;=8,"◇","◆"),IF(MOD($AX7,8)=3,IF($AX7&gt;=8,"▷","▶"),IF(MOD($AX7,8)=5,IF($AX7&gt;=8,"◁","◀"),IF($AX7&gt;=8,"□","■")))))</f>
        <v/>
      </c>
      <c r="K7" s="44">
        <f>IF($AY7=0,"",IF(MOD($AY7,8)=7,IF($AY7&gt;=8,"◇","◆"),IF(MOD($AY7,8)=3,IF($AY7&gt;=8,"▷","▶"),IF(MOD($AY7,8)=5,IF($AY7&gt;=8,"◁","◀"),IF($AY7&gt;=8,"□","■")))))</f>
        <v/>
      </c>
      <c r="L7" s="44">
        <f>IF($AZ7=0,"",IF(MOD($AZ7,8)=7,IF($AZ7&gt;=8,"◇","◆"),IF(MOD($AZ7,8)=3,IF($AZ7&gt;=8,"▷","▶"),IF(MOD($AZ7,8)=5,IF($AZ7&gt;=8,"◁","◀"),IF($AZ7&gt;=8,"□","■")))))</f>
        <v/>
      </c>
      <c r="M7" s="44">
        <f>IF($BA7=0,"",IF(MOD($BA7,8)=7,IF($BA7&gt;=8,"◇","◆"),IF(MOD($BA7,8)=3,IF($BA7&gt;=8,"▷","▶"),IF(MOD($BA7,8)=5,IF($BA7&gt;=8,"◁","◀"),IF($BA7&gt;=8,"□","■")))))</f>
        <v/>
      </c>
      <c r="N7" s="44">
        <f>IF($BB7=0,"",IF(MOD($BB7,8)=7,IF($BB7&gt;=8,"◇","◆"),IF(MOD($BB7,8)=3,IF($BB7&gt;=8,"▷","▶"),IF(MOD($BB7,8)=5,IF($BB7&gt;=8,"◁","◀"),IF($BB7&gt;=8,"□","■")))))</f>
        <v/>
      </c>
      <c r="O7" s="44">
        <f>IF($BC7=0,"",IF(MOD($BC7,8)=7,IF($BC7&gt;=8,"◇","◆"),IF(MOD($BC7,8)=3,IF($BC7&gt;=8,"▷","▶"),IF(MOD($BC7,8)=5,IF($BC7&gt;=8,"◁","◀"),IF($BC7&gt;=8,"□","■")))))</f>
        <v/>
      </c>
      <c r="P7" s="44">
        <f>IF($BD7=0,"",IF(MOD($BD7,8)=7,IF($BD7&gt;=8,"◇","◆"),IF(MOD($BD7,8)=3,IF($BD7&gt;=8,"▷","▶"),IF(MOD($BD7,8)=5,IF($BD7&gt;=8,"◁","◀"),IF($BD7&gt;=8,"□","■")))))</f>
        <v/>
      </c>
      <c r="Q7" s="44">
        <f>IF($BE7=0,"",IF(MOD($BE7,8)=7,IF($BE7&gt;=8,"◇","◆"),IF(MOD($BE7,8)=3,IF($BE7&gt;=8,"▷","▶"),IF(MOD($BE7,8)=5,IF($BE7&gt;=8,"◁","◀"),IF($BE7&gt;=8,"□","■")))))</f>
        <v/>
      </c>
      <c r="R7" s="44">
        <f>IF($BF7=0,"",IF(MOD($BF7,8)=7,IF($BF7&gt;=8,"◇","◆"),IF(MOD($BF7,8)=3,IF($BF7&gt;=8,"▷","▶"),IF(MOD($BF7,8)=5,IF($BF7&gt;=8,"◁","◀"),IF($BF7&gt;=8,"□","■")))))</f>
        <v/>
      </c>
      <c r="S7" s="44">
        <f>IF($BG7=0,"",IF(MOD($BG7,8)=7,IF($BG7&gt;=8,"◇","◆"),IF(MOD($BG7,8)=3,IF($BG7&gt;=8,"▷","▶"),IF(MOD($BG7,8)=5,IF($BG7&gt;=8,"◁","◀"),IF($BG7&gt;=8,"□","■")))))</f>
        <v/>
      </c>
      <c r="T7" s="44">
        <f>IF($BH7=0,"",IF(MOD($BH7,8)=7,IF($BH7&gt;=8,"◇","◆"),IF(MOD($BH7,8)=3,IF($BH7&gt;=8,"▷","▶"),IF(MOD($BH7,8)=5,IF($BH7&gt;=8,"◁","◀"),IF($BH7&gt;=8,"□","■")))))</f>
        <v/>
      </c>
      <c r="U7" s="44">
        <f>IF($BI7=0,"",IF(MOD($BI7,8)=7,IF($BI7&gt;=8,"◇","◆"),IF(MOD($BI7,8)=3,IF($BI7&gt;=8,"▷","▶"),IF(MOD($BI7,8)=5,IF($BI7&gt;=8,"◁","◀"),IF($BI7&gt;=8,"□","■")))))</f>
        <v/>
      </c>
      <c r="V7" s="44">
        <f>IF($BJ7=0,"",IF(MOD($BJ7,8)=7,IF($BJ7&gt;=8,"◇","◆"),IF(MOD($BJ7,8)=3,IF($BJ7&gt;=8,"▷","▶"),IF(MOD($BJ7,8)=5,IF($BJ7&gt;=8,"◁","◀"),IF($BJ7&gt;=8,"□","■")))))</f>
        <v/>
      </c>
      <c r="W7" s="44">
        <f>IF($BK7=0,"",IF(MOD($BK7,8)=7,IF($BK7&gt;=8,"◇","◆"),IF(MOD($BK7,8)=3,IF($BK7&gt;=8,"▷","▶"),IF(MOD($BK7,8)=5,IF($BK7&gt;=8,"◁","◀"),IF($BK7&gt;=8,"□","■")))))</f>
        <v/>
      </c>
      <c r="X7" s="44">
        <f>IF($BL7=0,"",IF(MOD($BL7,8)=7,IF($BL7&gt;=8,"◇","◆"),IF(MOD($BL7,8)=3,IF($BL7&gt;=8,"▷","▶"),IF(MOD($BL7,8)=5,IF($BL7&gt;=8,"◁","◀"),IF($BL7&gt;=8,"□","■")))))</f>
        <v/>
      </c>
      <c r="Y7" s="44">
        <f>IF($BM7=0,"",IF(MOD($BM7,8)=7,IF($BM7&gt;=8,"◇","◆"),IF(MOD($BM7,8)=3,IF($BM7&gt;=8,"▷","▶"),IF(MOD($BM7,8)=5,IF($BM7&gt;=8,"◁","◀"),IF($BM7&gt;=8,"□","■")))))</f>
        <v/>
      </c>
      <c r="Z7" s="44">
        <f>IF($BN7=0,"",IF(MOD($BN7,8)=7,IF($BN7&gt;=8,"◇","◆"),IF(MOD($BN7,8)=3,IF($BN7&gt;=8,"▷","▶"),IF(MOD($BN7,8)=5,IF($BN7&gt;=8,"◁","◀"),IF($BN7&gt;=8,"□","■")))))</f>
        <v/>
      </c>
      <c r="AA7" s="44">
        <f>IF($BO7=0,"",IF(MOD($BO7,8)=7,IF($BO7&gt;=8,"◇","◆"),IF(MOD($BO7,8)=3,IF($BO7&gt;=8,"▷","▶"),IF(MOD($BO7,8)=5,IF($BO7&gt;=8,"◁","◀"),IF($BO7&gt;=8,"□","■")))))</f>
        <v/>
      </c>
      <c r="AB7" s="44">
        <f>IF($BP7=0,"",IF(MOD($BP7,8)=7,IF($BP7&gt;=8,"◇","◆"),IF(MOD($BP7,8)=3,IF($BP7&gt;=8,"▷","▶"),IF(MOD($BP7,8)=5,IF($BP7&gt;=8,"◁","◀"),IF($BP7&gt;=8,"□","■")))))</f>
        <v/>
      </c>
      <c r="AC7" s="44">
        <f>IF($BQ7=0,"",IF(MOD($BQ7,8)=7,IF($BQ7&gt;=8,"◇","◆"),IF(MOD($BQ7,8)=3,IF($BQ7&gt;=8,"▷","▶"),IF(MOD($BQ7,8)=5,IF($BQ7&gt;=8,"◁","◀"),IF($BQ7&gt;=8,"□","■")))))</f>
        <v/>
      </c>
      <c r="AD7" s="44">
        <f>IF($BR7=0,"",IF(MOD($BR7,8)=7,IF($BR7&gt;=8,"◇","◆"),IF(MOD($BR7,8)=3,IF($BR7&gt;=8,"▷","▶"),IF(MOD($BR7,8)=5,IF($BR7&gt;=8,"◁","◀"),IF($BR7&gt;=8,"□","■")))))</f>
        <v/>
      </c>
      <c r="AE7" s="44">
        <f>IF($BS7=0,"",IF(MOD($BS7,8)=7,IF($BS7&gt;=8,"◇","◆"),IF(MOD($BS7,8)=3,IF($BS7&gt;=8,"▷","▶"),IF(MOD($BS7,8)=5,IF($BS7&gt;=8,"◁","◀"),IF($BS7&gt;=8,"□","■")))))</f>
        <v/>
      </c>
      <c r="AF7" s="44">
        <f>IF($BT7=0,"",IF(MOD($BT7,8)=7,IF($BT7&gt;=8,"◇","◆"),IF(MOD($BT7,8)=3,IF($BT7&gt;=8,"▷","▶"),IF(MOD($BT7,8)=5,IF($BT7&gt;=8,"◁","◀"),IF($BT7&gt;=8,"□","■")))))</f>
        <v/>
      </c>
      <c r="AG7" s="45">
        <f>IF($A7="","",COUNTIF($AP7:$BT7,"&gt;0"))</f>
        <v/>
      </c>
      <c r="AP7">
        <f>IF(OR($A7="",B$4=""),0,SUMPRODUCT(('01_予約入力'!$G$5:$G$404&lt;&gt;"")*('01_予約入力'!$Q$5:$Q$404&lt;&gt;"キャンセル")*('01_予約入力'!$B$5:$B$404=$A7)*('01_予約入力'!$G$5:$G$404&lt;=B$4)*('01_予約入力'!$J$5:$J$404&gt;=B$4)*(1+2*('01_予約入力'!$G$5:$G$404=B$4)+4*('01_予約入力'!$J$5:$J$404=B$4)+8*(('01_予約入力'!$Q$5:$Q$404="仮予約")+('01_予約入力'!$Q$5:$Q$404="調整中")))))</f>
        <v/>
      </c>
      <c r="AQ7">
        <f>IF(OR($A7="",C$4=""),0,SUMPRODUCT(('01_予約入力'!$G$5:$G$404&lt;&gt;"")*('01_予約入力'!$Q$5:$Q$404&lt;&gt;"キャンセル")*('01_予約入力'!$B$5:$B$404=$A7)*('01_予約入力'!$G$5:$G$404&lt;=C$4)*('01_予約入力'!$J$5:$J$404&gt;=C$4)*(1+2*('01_予約入力'!$G$5:$G$404=C$4)+4*('01_予約入力'!$J$5:$J$404=C$4)+8*(('01_予約入力'!$Q$5:$Q$404="仮予約")+('01_予約入力'!$Q$5:$Q$404="調整中")))))</f>
        <v/>
      </c>
      <c r="AR7">
        <f>IF(OR($A7="",D$4=""),0,SUMPRODUCT(('01_予約入力'!$G$5:$G$404&lt;&gt;"")*('01_予約入力'!$Q$5:$Q$404&lt;&gt;"キャンセル")*('01_予約入力'!$B$5:$B$404=$A7)*('01_予約入力'!$G$5:$G$404&lt;=D$4)*('01_予約入力'!$J$5:$J$404&gt;=D$4)*(1+2*('01_予約入力'!$G$5:$G$404=D$4)+4*('01_予約入力'!$J$5:$J$404=D$4)+8*(('01_予約入力'!$Q$5:$Q$404="仮予約")+('01_予約入力'!$Q$5:$Q$404="調整中")))))</f>
        <v/>
      </c>
      <c r="AS7">
        <f>IF(OR($A7="",E$4=""),0,SUMPRODUCT(('01_予約入力'!$G$5:$G$404&lt;&gt;"")*('01_予約入力'!$Q$5:$Q$404&lt;&gt;"キャンセル")*('01_予約入力'!$B$5:$B$404=$A7)*('01_予約入力'!$G$5:$G$404&lt;=E$4)*('01_予約入力'!$J$5:$J$404&gt;=E$4)*(1+2*('01_予約入力'!$G$5:$G$404=E$4)+4*('01_予約入力'!$J$5:$J$404=E$4)+8*(('01_予約入力'!$Q$5:$Q$404="仮予約")+('01_予約入力'!$Q$5:$Q$404="調整中")))))</f>
        <v/>
      </c>
      <c r="AT7">
        <f>IF(OR($A7="",F$4=""),0,SUMPRODUCT(('01_予約入力'!$G$5:$G$404&lt;&gt;"")*('01_予約入力'!$Q$5:$Q$404&lt;&gt;"キャンセル")*('01_予約入力'!$B$5:$B$404=$A7)*('01_予約入力'!$G$5:$G$404&lt;=F$4)*('01_予約入力'!$J$5:$J$404&gt;=F$4)*(1+2*('01_予約入力'!$G$5:$G$404=F$4)+4*('01_予約入力'!$J$5:$J$404=F$4)+8*(('01_予約入力'!$Q$5:$Q$404="仮予約")+('01_予約入力'!$Q$5:$Q$404="調整中")))))</f>
        <v/>
      </c>
      <c r="AU7">
        <f>IF(OR($A7="",G$4=""),0,SUMPRODUCT(('01_予約入力'!$G$5:$G$404&lt;&gt;"")*('01_予約入力'!$Q$5:$Q$404&lt;&gt;"キャンセル")*('01_予約入力'!$B$5:$B$404=$A7)*('01_予約入力'!$G$5:$G$404&lt;=G$4)*('01_予約入力'!$J$5:$J$404&gt;=G$4)*(1+2*('01_予約入力'!$G$5:$G$404=G$4)+4*('01_予約入力'!$J$5:$J$404=G$4)+8*(('01_予約入力'!$Q$5:$Q$404="仮予約")+('01_予約入力'!$Q$5:$Q$404="調整中")))))</f>
        <v/>
      </c>
      <c r="AV7">
        <f>IF(OR($A7="",H$4=""),0,SUMPRODUCT(('01_予約入力'!$G$5:$G$404&lt;&gt;"")*('01_予約入力'!$Q$5:$Q$404&lt;&gt;"キャンセル")*('01_予約入力'!$B$5:$B$404=$A7)*('01_予約入力'!$G$5:$G$404&lt;=H$4)*('01_予約入力'!$J$5:$J$404&gt;=H$4)*(1+2*('01_予約入力'!$G$5:$G$404=H$4)+4*('01_予約入力'!$J$5:$J$404=H$4)+8*(('01_予約入力'!$Q$5:$Q$404="仮予約")+('01_予約入力'!$Q$5:$Q$404="調整中")))))</f>
        <v/>
      </c>
      <c r="AW7">
        <f>IF(OR($A7="",I$4=""),0,SUMPRODUCT(('01_予約入力'!$G$5:$G$404&lt;&gt;"")*('01_予約入力'!$Q$5:$Q$404&lt;&gt;"キャンセル")*('01_予約入力'!$B$5:$B$404=$A7)*('01_予約入力'!$G$5:$G$404&lt;=I$4)*('01_予約入力'!$J$5:$J$404&gt;=I$4)*(1+2*('01_予約入力'!$G$5:$G$404=I$4)+4*('01_予約入力'!$J$5:$J$404=I$4)+8*(('01_予約入力'!$Q$5:$Q$404="仮予約")+('01_予約入力'!$Q$5:$Q$404="調整中")))))</f>
        <v/>
      </c>
      <c r="AX7">
        <f>IF(OR($A7="",J$4=""),0,SUMPRODUCT(('01_予約入力'!$G$5:$G$404&lt;&gt;"")*('01_予約入力'!$Q$5:$Q$404&lt;&gt;"キャンセル")*('01_予約入力'!$B$5:$B$404=$A7)*('01_予約入力'!$G$5:$G$404&lt;=J$4)*('01_予約入力'!$J$5:$J$404&gt;=J$4)*(1+2*('01_予約入力'!$G$5:$G$404=J$4)+4*('01_予約入力'!$J$5:$J$404=J$4)+8*(('01_予約入力'!$Q$5:$Q$404="仮予約")+('01_予約入力'!$Q$5:$Q$404="調整中")))))</f>
        <v/>
      </c>
      <c r="AY7">
        <f>IF(OR($A7="",K$4=""),0,SUMPRODUCT(('01_予約入力'!$G$5:$G$404&lt;&gt;"")*('01_予約入力'!$Q$5:$Q$404&lt;&gt;"キャンセル")*('01_予約入力'!$B$5:$B$404=$A7)*('01_予約入力'!$G$5:$G$404&lt;=K$4)*('01_予約入力'!$J$5:$J$404&gt;=K$4)*(1+2*('01_予約入力'!$G$5:$G$404=K$4)+4*('01_予約入力'!$J$5:$J$404=K$4)+8*(('01_予約入力'!$Q$5:$Q$404="仮予約")+('01_予約入力'!$Q$5:$Q$404="調整中")))))</f>
        <v/>
      </c>
      <c r="AZ7">
        <f>IF(OR($A7="",L$4=""),0,SUMPRODUCT(('01_予約入力'!$G$5:$G$404&lt;&gt;"")*('01_予約入力'!$Q$5:$Q$404&lt;&gt;"キャンセル")*('01_予約入力'!$B$5:$B$404=$A7)*('01_予約入力'!$G$5:$G$404&lt;=L$4)*('01_予約入力'!$J$5:$J$404&gt;=L$4)*(1+2*('01_予約入力'!$G$5:$G$404=L$4)+4*('01_予約入力'!$J$5:$J$404=L$4)+8*(('01_予約入力'!$Q$5:$Q$404="仮予約")+('01_予約入力'!$Q$5:$Q$404="調整中")))))</f>
        <v/>
      </c>
      <c r="BA7">
        <f>IF(OR($A7="",M$4=""),0,SUMPRODUCT(('01_予約入力'!$G$5:$G$404&lt;&gt;"")*('01_予約入力'!$Q$5:$Q$404&lt;&gt;"キャンセル")*('01_予約入力'!$B$5:$B$404=$A7)*('01_予約入力'!$G$5:$G$404&lt;=M$4)*('01_予約入力'!$J$5:$J$404&gt;=M$4)*(1+2*('01_予約入力'!$G$5:$G$404=M$4)+4*('01_予約入力'!$J$5:$J$404=M$4)+8*(('01_予約入力'!$Q$5:$Q$404="仮予約")+('01_予約入力'!$Q$5:$Q$404="調整中")))))</f>
        <v/>
      </c>
      <c r="BB7">
        <f>IF(OR($A7="",N$4=""),0,SUMPRODUCT(('01_予約入力'!$G$5:$G$404&lt;&gt;"")*('01_予約入力'!$Q$5:$Q$404&lt;&gt;"キャンセル")*('01_予約入力'!$B$5:$B$404=$A7)*('01_予約入力'!$G$5:$G$404&lt;=N$4)*('01_予約入力'!$J$5:$J$404&gt;=N$4)*(1+2*('01_予約入力'!$G$5:$G$404=N$4)+4*('01_予約入力'!$J$5:$J$404=N$4)+8*(('01_予約入力'!$Q$5:$Q$404="仮予約")+('01_予約入力'!$Q$5:$Q$404="調整中")))))</f>
        <v/>
      </c>
      <c r="BC7">
        <f>IF(OR($A7="",O$4=""),0,SUMPRODUCT(('01_予約入力'!$G$5:$G$404&lt;&gt;"")*('01_予約入力'!$Q$5:$Q$404&lt;&gt;"キャンセル")*('01_予約入力'!$B$5:$B$404=$A7)*('01_予約入力'!$G$5:$G$404&lt;=O$4)*('01_予約入力'!$J$5:$J$404&gt;=O$4)*(1+2*('01_予約入力'!$G$5:$G$404=O$4)+4*('01_予約入力'!$J$5:$J$404=O$4)+8*(('01_予約入力'!$Q$5:$Q$404="仮予約")+('01_予約入力'!$Q$5:$Q$404="調整中")))))</f>
        <v/>
      </c>
      <c r="BD7">
        <f>IF(OR($A7="",P$4=""),0,SUMPRODUCT(('01_予約入力'!$G$5:$G$404&lt;&gt;"")*('01_予約入力'!$Q$5:$Q$404&lt;&gt;"キャンセル")*('01_予約入力'!$B$5:$B$404=$A7)*('01_予約入力'!$G$5:$G$404&lt;=P$4)*('01_予約入力'!$J$5:$J$404&gt;=P$4)*(1+2*('01_予約入力'!$G$5:$G$404=P$4)+4*('01_予約入力'!$J$5:$J$404=P$4)+8*(('01_予約入力'!$Q$5:$Q$404="仮予約")+('01_予約入力'!$Q$5:$Q$404="調整中")))))</f>
        <v/>
      </c>
      <c r="BE7">
        <f>IF(OR($A7="",Q$4=""),0,SUMPRODUCT(('01_予約入力'!$G$5:$G$404&lt;&gt;"")*('01_予約入力'!$Q$5:$Q$404&lt;&gt;"キャンセル")*('01_予約入力'!$B$5:$B$404=$A7)*('01_予約入力'!$G$5:$G$404&lt;=Q$4)*('01_予約入力'!$J$5:$J$404&gt;=Q$4)*(1+2*('01_予約入力'!$G$5:$G$404=Q$4)+4*('01_予約入力'!$J$5:$J$404=Q$4)+8*(('01_予約入力'!$Q$5:$Q$404="仮予約")+('01_予約入力'!$Q$5:$Q$404="調整中")))))</f>
        <v/>
      </c>
      <c r="BF7">
        <f>IF(OR($A7="",R$4=""),0,SUMPRODUCT(('01_予約入力'!$G$5:$G$404&lt;&gt;"")*('01_予約入力'!$Q$5:$Q$404&lt;&gt;"キャンセル")*('01_予約入力'!$B$5:$B$404=$A7)*('01_予約入力'!$G$5:$G$404&lt;=R$4)*('01_予約入力'!$J$5:$J$404&gt;=R$4)*(1+2*('01_予約入力'!$G$5:$G$404=R$4)+4*('01_予約入力'!$J$5:$J$404=R$4)+8*(('01_予約入力'!$Q$5:$Q$404="仮予約")+('01_予約入力'!$Q$5:$Q$404="調整中")))))</f>
        <v/>
      </c>
      <c r="BG7">
        <f>IF(OR($A7="",S$4=""),0,SUMPRODUCT(('01_予約入力'!$G$5:$G$404&lt;&gt;"")*('01_予約入力'!$Q$5:$Q$404&lt;&gt;"キャンセル")*('01_予約入力'!$B$5:$B$404=$A7)*('01_予約入力'!$G$5:$G$404&lt;=S$4)*('01_予約入力'!$J$5:$J$404&gt;=S$4)*(1+2*('01_予約入力'!$G$5:$G$404=S$4)+4*('01_予約入力'!$J$5:$J$404=S$4)+8*(('01_予約入力'!$Q$5:$Q$404="仮予約")+('01_予約入力'!$Q$5:$Q$404="調整中")))))</f>
        <v/>
      </c>
      <c r="BH7">
        <f>IF(OR($A7="",T$4=""),0,SUMPRODUCT(('01_予約入力'!$G$5:$G$404&lt;&gt;"")*('01_予約入力'!$Q$5:$Q$404&lt;&gt;"キャンセル")*('01_予約入力'!$B$5:$B$404=$A7)*('01_予約入力'!$G$5:$G$404&lt;=T$4)*('01_予約入力'!$J$5:$J$404&gt;=T$4)*(1+2*('01_予約入力'!$G$5:$G$404=T$4)+4*('01_予約入力'!$J$5:$J$404=T$4)+8*(('01_予約入力'!$Q$5:$Q$404="仮予約")+('01_予約入力'!$Q$5:$Q$404="調整中")))))</f>
        <v/>
      </c>
      <c r="BI7">
        <f>IF(OR($A7="",U$4=""),0,SUMPRODUCT(('01_予約入力'!$G$5:$G$404&lt;&gt;"")*('01_予約入力'!$Q$5:$Q$404&lt;&gt;"キャンセル")*('01_予約入力'!$B$5:$B$404=$A7)*('01_予約入力'!$G$5:$G$404&lt;=U$4)*('01_予約入力'!$J$5:$J$404&gt;=U$4)*(1+2*('01_予約入力'!$G$5:$G$404=U$4)+4*('01_予約入力'!$J$5:$J$404=U$4)+8*(('01_予約入力'!$Q$5:$Q$404="仮予約")+('01_予約入力'!$Q$5:$Q$404="調整中")))))</f>
        <v/>
      </c>
      <c r="BJ7">
        <f>IF(OR($A7="",V$4=""),0,SUMPRODUCT(('01_予約入力'!$G$5:$G$404&lt;&gt;"")*('01_予約入力'!$Q$5:$Q$404&lt;&gt;"キャンセル")*('01_予約入力'!$B$5:$B$404=$A7)*('01_予約入力'!$G$5:$G$404&lt;=V$4)*('01_予約入力'!$J$5:$J$404&gt;=V$4)*(1+2*('01_予約入力'!$G$5:$G$404=V$4)+4*('01_予約入力'!$J$5:$J$404=V$4)+8*(('01_予約入力'!$Q$5:$Q$404="仮予約")+('01_予約入力'!$Q$5:$Q$404="調整中")))))</f>
        <v/>
      </c>
      <c r="BK7">
        <f>IF(OR($A7="",W$4=""),0,SUMPRODUCT(('01_予約入力'!$G$5:$G$404&lt;&gt;"")*('01_予約入力'!$Q$5:$Q$404&lt;&gt;"キャンセル")*('01_予約入力'!$B$5:$B$404=$A7)*('01_予約入力'!$G$5:$G$404&lt;=W$4)*('01_予約入力'!$J$5:$J$404&gt;=W$4)*(1+2*('01_予約入力'!$G$5:$G$404=W$4)+4*('01_予約入力'!$J$5:$J$404=W$4)+8*(('01_予約入力'!$Q$5:$Q$404="仮予約")+('01_予約入力'!$Q$5:$Q$404="調整中")))))</f>
        <v/>
      </c>
      <c r="BL7">
        <f>IF(OR($A7="",X$4=""),0,SUMPRODUCT(('01_予約入力'!$G$5:$G$404&lt;&gt;"")*('01_予約入力'!$Q$5:$Q$404&lt;&gt;"キャンセル")*('01_予約入力'!$B$5:$B$404=$A7)*('01_予約入力'!$G$5:$G$404&lt;=X$4)*('01_予約入力'!$J$5:$J$404&gt;=X$4)*(1+2*('01_予約入力'!$G$5:$G$404=X$4)+4*('01_予約入力'!$J$5:$J$404=X$4)+8*(('01_予約入力'!$Q$5:$Q$404="仮予約")+('01_予約入力'!$Q$5:$Q$404="調整中")))))</f>
        <v/>
      </c>
      <c r="BM7">
        <f>IF(OR($A7="",Y$4=""),0,SUMPRODUCT(('01_予約入力'!$G$5:$G$404&lt;&gt;"")*('01_予約入力'!$Q$5:$Q$404&lt;&gt;"キャンセル")*('01_予約入力'!$B$5:$B$404=$A7)*('01_予約入力'!$G$5:$G$404&lt;=Y$4)*('01_予約入力'!$J$5:$J$404&gt;=Y$4)*(1+2*('01_予約入力'!$G$5:$G$404=Y$4)+4*('01_予約入力'!$J$5:$J$404=Y$4)+8*(('01_予約入力'!$Q$5:$Q$404="仮予約")+('01_予約入力'!$Q$5:$Q$404="調整中")))))</f>
        <v/>
      </c>
      <c r="BN7">
        <f>IF(OR($A7="",Z$4=""),0,SUMPRODUCT(('01_予約入力'!$G$5:$G$404&lt;&gt;"")*('01_予約入力'!$Q$5:$Q$404&lt;&gt;"キャンセル")*('01_予約入力'!$B$5:$B$404=$A7)*('01_予約入力'!$G$5:$G$404&lt;=Z$4)*('01_予約入力'!$J$5:$J$404&gt;=Z$4)*(1+2*('01_予約入力'!$G$5:$G$404=Z$4)+4*('01_予約入力'!$J$5:$J$404=Z$4)+8*(('01_予約入力'!$Q$5:$Q$404="仮予約")+('01_予約入力'!$Q$5:$Q$404="調整中")))))</f>
        <v/>
      </c>
      <c r="BO7">
        <f>IF(OR($A7="",AA$4=""),0,SUMPRODUCT(('01_予約入力'!$G$5:$G$404&lt;&gt;"")*('01_予約入力'!$Q$5:$Q$404&lt;&gt;"キャンセル")*('01_予約入力'!$B$5:$B$404=$A7)*('01_予約入力'!$G$5:$G$404&lt;=AA$4)*('01_予約入力'!$J$5:$J$404&gt;=AA$4)*(1+2*('01_予約入力'!$G$5:$G$404=AA$4)+4*('01_予約入力'!$J$5:$J$404=AA$4)+8*(('01_予約入力'!$Q$5:$Q$404="仮予約")+('01_予約入力'!$Q$5:$Q$404="調整中")))))</f>
        <v/>
      </c>
      <c r="BP7">
        <f>IF(OR($A7="",AB$4=""),0,SUMPRODUCT(('01_予約入力'!$G$5:$G$404&lt;&gt;"")*('01_予約入力'!$Q$5:$Q$404&lt;&gt;"キャンセル")*('01_予約入力'!$B$5:$B$404=$A7)*('01_予約入力'!$G$5:$G$404&lt;=AB$4)*('01_予約入力'!$J$5:$J$404&gt;=AB$4)*(1+2*('01_予約入力'!$G$5:$G$404=AB$4)+4*('01_予約入力'!$J$5:$J$404=AB$4)+8*(('01_予約入力'!$Q$5:$Q$404="仮予約")+('01_予約入力'!$Q$5:$Q$404="調整中")))))</f>
        <v/>
      </c>
      <c r="BQ7">
        <f>IF(OR($A7="",AC$4=""),0,SUMPRODUCT(('01_予約入力'!$G$5:$G$404&lt;&gt;"")*('01_予約入力'!$Q$5:$Q$404&lt;&gt;"キャンセル")*('01_予約入力'!$B$5:$B$404=$A7)*('01_予約入力'!$G$5:$G$404&lt;=AC$4)*('01_予約入力'!$J$5:$J$404&gt;=AC$4)*(1+2*('01_予約入力'!$G$5:$G$404=AC$4)+4*('01_予約入力'!$J$5:$J$404=AC$4)+8*(('01_予約入力'!$Q$5:$Q$404="仮予約")+('01_予約入力'!$Q$5:$Q$404="調整中")))))</f>
        <v/>
      </c>
      <c r="BR7">
        <f>IF(OR($A7="",AD$4=""),0,SUMPRODUCT(('01_予約入力'!$G$5:$G$404&lt;&gt;"")*('01_予約入力'!$Q$5:$Q$404&lt;&gt;"キャンセル")*('01_予約入力'!$B$5:$B$404=$A7)*('01_予約入力'!$G$5:$G$404&lt;=AD$4)*('01_予約入力'!$J$5:$J$404&gt;=AD$4)*(1+2*('01_予約入力'!$G$5:$G$404=AD$4)+4*('01_予約入力'!$J$5:$J$404=AD$4)+8*(('01_予約入力'!$Q$5:$Q$404="仮予約")+('01_予約入力'!$Q$5:$Q$404="調整中")))))</f>
        <v/>
      </c>
      <c r="BS7">
        <f>IF(OR($A7="",AE$4=""),0,SUMPRODUCT(('01_予約入力'!$G$5:$G$404&lt;&gt;"")*('01_予約入力'!$Q$5:$Q$404&lt;&gt;"キャンセル")*('01_予約入力'!$B$5:$B$404=$A7)*('01_予約入力'!$G$5:$G$404&lt;=AE$4)*('01_予約入力'!$J$5:$J$404&gt;=AE$4)*(1+2*('01_予約入力'!$G$5:$G$404=AE$4)+4*('01_予約入力'!$J$5:$J$404=AE$4)+8*(('01_予約入力'!$Q$5:$Q$404="仮予約")+('01_予約入力'!$Q$5:$Q$404="調整中")))))</f>
        <v/>
      </c>
      <c r="BT7">
        <f>IF(OR($A7="",AF$4=""),0,SUMPRODUCT(('01_予約入力'!$G$5:$G$404&lt;&gt;"")*('01_予約入力'!$Q$5:$Q$404&lt;&gt;"キャンセル")*('01_予約入力'!$B$5:$B$404=$A7)*('01_予約入力'!$G$5:$G$404&lt;=AF$4)*('01_予約入力'!$J$5:$J$404&gt;=AF$4)*(1+2*('01_予約入力'!$G$5:$G$404=AF$4)+4*('01_予約入力'!$J$5:$J$404=AF$4)+8*(('01_予約入力'!$Q$5:$Q$404="仮予約")+('01_予約入力'!$Q$5:$Q$404="調整中")))))</f>
        <v/>
      </c>
    </row>
    <row r="8" ht="19" customHeight="1">
      <c r="A8" s="43">
        <f>IF(COUNTA('利用者マスタ'!$A$4:$A$60)&gt;=2,INDEX('利用者マスタ'!$A$4:$A$60,2),"")</f>
        <v/>
      </c>
      <c r="B8" s="44">
        <f>IF($AP8=0,"",IF(MOD($AP8,8)=7,IF($AP8&gt;=8,"◇","◆"),IF(MOD($AP8,8)=3,IF($AP8&gt;=8,"▷","▶"),IF(MOD($AP8,8)=5,IF($AP8&gt;=8,"◁","◀"),IF($AP8&gt;=8,"□","■")))))</f>
        <v/>
      </c>
      <c r="C8" s="44">
        <f>IF($AQ8=0,"",IF(MOD($AQ8,8)=7,IF($AQ8&gt;=8,"◇","◆"),IF(MOD($AQ8,8)=3,IF($AQ8&gt;=8,"▷","▶"),IF(MOD($AQ8,8)=5,IF($AQ8&gt;=8,"◁","◀"),IF($AQ8&gt;=8,"□","■")))))</f>
        <v/>
      </c>
      <c r="D8" s="44">
        <f>IF($AR8=0,"",IF(MOD($AR8,8)=7,IF($AR8&gt;=8,"◇","◆"),IF(MOD($AR8,8)=3,IF($AR8&gt;=8,"▷","▶"),IF(MOD($AR8,8)=5,IF($AR8&gt;=8,"◁","◀"),IF($AR8&gt;=8,"□","■")))))</f>
        <v/>
      </c>
      <c r="E8" s="44">
        <f>IF($AS8=0,"",IF(MOD($AS8,8)=7,IF($AS8&gt;=8,"◇","◆"),IF(MOD($AS8,8)=3,IF($AS8&gt;=8,"▷","▶"),IF(MOD($AS8,8)=5,IF($AS8&gt;=8,"◁","◀"),IF($AS8&gt;=8,"□","■")))))</f>
        <v/>
      </c>
      <c r="F8" s="44">
        <f>IF($AT8=0,"",IF(MOD($AT8,8)=7,IF($AT8&gt;=8,"◇","◆"),IF(MOD($AT8,8)=3,IF($AT8&gt;=8,"▷","▶"),IF(MOD($AT8,8)=5,IF($AT8&gt;=8,"◁","◀"),IF($AT8&gt;=8,"□","■")))))</f>
        <v/>
      </c>
      <c r="G8" s="44">
        <f>IF($AU8=0,"",IF(MOD($AU8,8)=7,IF($AU8&gt;=8,"◇","◆"),IF(MOD($AU8,8)=3,IF($AU8&gt;=8,"▷","▶"),IF(MOD($AU8,8)=5,IF($AU8&gt;=8,"◁","◀"),IF($AU8&gt;=8,"□","■")))))</f>
        <v/>
      </c>
      <c r="H8" s="44">
        <f>IF($AV8=0,"",IF(MOD($AV8,8)=7,IF($AV8&gt;=8,"◇","◆"),IF(MOD($AV8,8)=3,IF($AV8&gt;=8,"▷","▶"),IF(MOD($AV8,8)=5,IF($AV8&gt;=8,"◁","◀"),IF($AV8&gt;=8,"□","■")))))</f>
        <v/>
      </c>
      <c r="I8" s="44">
        <f>IF($AW8=0,"",IF(MOD($AW8,8)=7,IF($AW8&gt;=8,"◇","◆"),IF(MOD($AW8,8)=3,IF($AW8&gt;=8,"▷","▶"),IF(MOD($AW8,8)=5,IF($AW8&gt;=8,"◁","◀"),IF($AW8&gt;=8,"□","■")))))</f>
        <v/>
      </c>
      <c r="J8" s="44">
        <f>IF($AX8=0,"",IF(MOD($AX8,8)=7,IF($AX8&gt;=8,"◇","◆"),IF(MOD($AX8,8)=3,IF($AX8&gt;=8,"▷","▶"),IF(MOD($AX8,8)=5,IF($AX8&gt;=8,"◁","◀"),IF($AX8&gt;=8,"□","■")))))</f>
        <v/>
      </c>
      <c r="K8" s="44">
        <f>IF($AY8=0,"",IF(MOD($AY8,8)=7,IF($AY8&gt;=8,"◇","◆"),IF(MOD($AY8,8)=3,IF($AY8&gt;=8,"▷","▶"),IF(MOD($AY8,8)=5,IF($AY8&gt;=8,"◁","◀"),IF($AY8&gt;=8,"□","■")))))</f>
        <v/>
      </c>
      <c r="L8" s="44">
        <f>IF($AZ8=0,"",IF(MOD($AZ8,8)=7,IF($AZ8&gt;=8,"◇","◆"),IF(MOD($AZ8,8)=3,IF($AZ8&gt;=8,"▷","▶"),IF(MOD($AZ8,8)=5,IF($AZ8&gt;=8,"◁","◀"),IF($AZ8&gt;=8,"□","■")))))</f>
        <v/>
      </c>
      <c r="M8" s="44">
        <f>IF($BA8=0,"",IF(MOD($BA8,8)=7,IF($BA8&gt;=8,"◇","◆"),IF(MOD($BA8,8)=3,IF($BA8&gt;=8,"▷","▶"),IF(MOD($BA8,8)=5,IF($BA8&gt;=8,"◁","◀"),IF($BA8&gt;=8,"□","■")))))</f>
        <v/>
      </c>
      <c r="N8" s="44">
        <f>IF($BB8=0,"",IF(MOD($BB8,8)=7,IF($BB8&gt;=8,"◇","◆"),IF(MOD($BB8,8)=3,IF($BB8&gt;=8,"▷","▶"),IF(MOD($BB8,8)=5,IF($BB8&gt;=8,"◁","◀"),IF($BB8&gt;=8,"□","■")))))</f>
        <v/>
      </c>
      <c r="O8" s="44">
        <f>IF($BC8=0,"",IF(MOD($BC8,8)=7,IF($BC8&gt;=8,"◇","◆"),IF(MOD($BC8,8)=3,IF($BC8&gt;=8,"▷","▶"),IF(MOD($BC8,8)=5,IF($BC8&gt;=8,"◁","◀"),IF($BC8&gt;=8,"□","■")))))</f>
        <v/>
      </c>
      <c r="P8" s="44">
        <f>IF($BD8=0,"",IF(MOD($BD8,8)=7,IF($BD8&gt;=8,"◇","◆"),IF(MOD($BD8,8)=3,IF($BD8&gt;=8,"▷","▶"),IF(MOD($BD8,8)=5,IF($BD8&gt;=8,"◁","◀"),IF($BD8&gt;=8,"□","■")))))</f>
        <v/>
      </c>
      <c r="Q8" s="44">
        <f>IF($BE8=0,"",IF(MOD($BE8,8)=7,IF($BE8&gt;=8,"◇","◆"),IF(MOD($BE8,8)=3,IF($BE8&gt;=8,"▷","▶"),IF(MOD($BE8,8)=5,IF($BE8&gt;=8,"◁","◀"),IF($BE8&gt;=8,"□","■")))))</f>
        <v/>
      </c>
      <c r="R8" s="44">
        <f>IF($BF8=0,"",IF(MOD($BF8,8)=7,IF($BF8&gt;=8,"◇","◆"),IF(MOD($BF8,8)=3,IF($BF8&gt;=8,"▷","▶"),IF(MOD($BF8,8)=5,IF($BF8&gt;=8,"◁","◀"),IF($BF8&gt;=8,"□","■")))))</f>
        <v/>
      </c>
      <c r="S8" s="44">
        <f>IF($BG8=0,"",IF(MOD($BG8,8)=7,IF($BG8&gt;=8,"◇","◆"),IF(MOD($BG8,8)=3,IF($BG8&gt;=8,"▷","▶"),IF(MOD($BG8,8)=5,IF($BG8&gt;=8,"◁","◀"),IF($BG8&gt;=8,"□","■")))))</f>
        <v/>
      </c>
      <c r="T8" s="44">
        <f>IF($BH8=0,"",IF(MOD($BH8,8)=7,IF($BH8&gt;=8,"◇","◆"),IF(MOD($BH8,8)=3,IF($BH8&gt;=8,"▷","▶"),IF(MOD($BH8,8)=5,IF($BH8&gt;=8,"◁","◀"),IF($BH8&gt;=8,"□","■")))))</f>
        <v/>
      </c>
      <c r="U8" s="44">
        <f>IF($BI8=0,"",IF(MOD($BI8,8)=7,IF($BI8&gt;=8,"◇","◆"),IF(MOD($BI8,8)=3,IF($BI8&gt;=8,"▷","▶"),IF(MOD($BI8,8)=5,IF($BI8&gt;=8,"◁","◀"),IF($BI8&gt;=8,"□","■")))))</f>
        <v/>
      </c>
      <c r="V8" s="44">
        <f>IF($BJ8=0,"",IF(MOD($BJ8,8)=7,IF($BJ8&gt;=8,"◇","◆"),IF(MOD($BJ8,8)=3,IF($BJ8&gt;=8,"▷","▶"),IF(MOD($BJ8,8)=5,IF($BJ8&gt;=8,"◁","◀"),IF($BJ8&gt;=8,"□","■")))))</f>
        <v/>
      </c>
      <c r="W8" s="44">
        <f>IF($BK8=0,"",IF(MOD($BK8,8)=7,IF($BK8&gt;=8,"◇","◆"),IF(MOD($BK8,8)=3,IF($BK8&gt;=8,"▷","▶"),IF(MOD($BK8,8)=5,IF($BK8&gt;=8,"◁","◀"),IF($BK8&gt;=8,"□","■")))))</f>
        <v/>
      </c>
      <c r="X8" s="44">
        <f>IF($BL8=0,"",IF(MOD($BL8,8)=7,IF($BL8&gt;=8,"◇","◆"),IF(MOD($BL8,8)=3,IF($BL8&gt;=8,"▷","▶"),IF(MOD($BL8,8)=5,IF($BL8&gt;=8,"◁","◀"),IF($BL8&gt;=8,"□","■")))))</f>
        <v/>
      </c>
      <c r="Y8" s="44">
        <f>IF($BM8=0,"",IF(MOD($BM8,8)=7,IF($BM8&gt;=8,"◇","◆"),IF(MOD($BM8,8)=3,IF($BM8&gt;=8,"▷","▶"),IF(MOD($BM8,8)=5,IF($BM8&gt;=8,"◁","◀"),IF($BM8&gt;=8,"□","■")))))</f>
        <v/>
      </c>
      <c r="Z8" s="44">
        <f>IF($BN8=0,"",IF(MOD($BN8,8)=7,IF($BN8&gt;=8,"◇","◆"),IF(MOD($BN8,8)=3,IF($BN8&gt;=8,"▷","▶"),IF(MOD($BN8,8)=5,IF($BN8&gt;=8,"◁","◀"),IF($BN8&gt;=8,"□","■")))))</f>
        <v/>
      </c>
      <c r="AA8" s="44">
        <f>IF($BO8=0,"",IF(MOD($BO8,8)=7,IF($BO8&gt;=8,"◇","◆"),IF(MOD($BO8,8)=3,IF($BO8&gt;=8,"▷","▶"),IF(MOD($BO8,8)=5,IF($BO8&gt;=8,"◁","◀"),IF($BO8&gt;=8,"□","■")))))</f>
        <v/>
      </c>
      <c r="AB8" s="44">
        <f>IF($BP8=0,"",IF(MOD($BP8,8)=7,IF($BP8&gt;=8,"◇","◆"),IF(MOD($BP8,8)=3,IF($BP8&gt;=8,"▷","▶"),IF(MOD($BP8,8)=5,IF($BP8&gt;=8,"◁","◀"),IF($BP8&gt;=8,"□","■")))))</f>
        <v/>
      </c>
      <c r="AC8" s="44">
        <f>IF($BQ8=0,"",IF(MOD($BQ8,8)=7,IF($BQ8&gt;=8,"◇","◆"),IF(MOD($BQ8,8)=3,IF($BQ8&gt;=8,"▷","▶"),IF(MOD($BQ8,8)=5,IF($BQ8&gt;=8,"◁","◀"),IF($BQ8&gt;=8,"□","■")))))</f>
        <v/>
      </c>
      <c r="AD8" s="44">
        <f>IF($BR8=0,"",IF(MOD($BR8,8)=7,IF($BR8&gt;=8,"◇","◆"),IF(MOD($BR8,8)=3,IF($BR8&gt;=8,"▷","▶"),IF(MOD($BR8,8)=5,IF($BR8&gt;=8,"◁","◀"),IF($BR8&gt;=8,"□","■")))))</f>
        <v/>
      </c>
      <c r="AE8" s="44">
        <f>IF($BS8=0,"",IF(MOD($BS8,8)=7,IF($BS8&gt;=8,"◇","◆"),IF(MOD($BS8,8)=3,IF($BS8&gt;=8,"▷","▶"),IF(MOD($BS8,8)=5,IF($BS8&gt;=8,"◁","◀"),IF($BS8&gt;=8,"□","■")))))</f>
        <v/>
      </c>
      <c r="AF8" s="44">
        <f>IF($BT8=0,"",IF(MOD($BT8,8)=7,IF($BT8&gt;=8,"◇","◆"),IF(MOD($BT8,8)=3,IF($BT8&gt;=8,"▷","▶"),IF(MOD($BT8,8)=5,IF($BT8&gt;=8,"◁","◀"),IF($BT8&gt;=8,"□","■")))))</f>
        <v/>
      </c>
      <c r="AG8" s="45">
        <f>IF($A8="","",COUNTIF($AP8:$BT8,"&gt;0"))</f>
        <v/>
      </c>
      <c r="AP8">
        <f>IF(OR($A8="",B$4=""),0,SUMPRODUCT(('01_予約入力'!$G$5:$G$404&lt;&gt;"")*('01_予約入力'!$Q$5:$Q$404&lt;&gt;"キャンセル")*('01_予約入力'!$B$5:$B$404=$A8)*('01_予約入力'!$G$5:$G$404&lt;=B$4)*('01_予約入力'!$J$5:$J$404&gt;=B$4)*(1+2*('01_予約入力'!$G$5:$G$404=B$4)+4*('01_予約入力'!$J$5:$J$404=B$4)+8*(('01_予約入力'!$Q$5:$Q$404="仮予約")+('01_予約入力'!$Q$5:$Q$404="調整中")))))</f>
        <v/>
      </c>
      <c r="AQ8">
        <f>IF(OR($A8="",C$4=""),0,SUMPRODUCT(('01_予約入力'!$G$5:$G$404&lt;&gt;"")*('01_予約入力'!$Q$5:$Q$404&lt;&gt;"キャンセル")*('01_予約入力'!$B$5:$B$404=$A8)*('01_予約入力'!$G$5:$G$404&lt;=C$4)*('01_予約入力'!$J$5:$J$404&gt;=C$4)*(1+2*('01_予約入力'!$G$5:$G$404=C$4)+4*('01_予約入力'!$J$5:$J$404=C$4)+8*(('01_予約入力'!$Q$5:$Q$404="仮予約")+('01_予約入力'!$Q$5:$Q$404="調整中")))))</f>
        <v/>
      </c>
      <c r="AR8">
        <f>IF(OR($A8="",D$4=""),0,SUMPRODUCT(('01_予約入力'!$G$5:$G$404&lt;&gt;"")*('01_予約入力'!$Q$5:$Q$404&lt;&gt;"キャンセル")*('01_予約入力'!$B$5:$B$404=$A8)*('01_予約入力'!$G$5:$G$404&lt;=D$4)*('01_予約入力'!$J$5:$J$404&gt;=D$4)*(1+2*('01_予約入力'!$G$5:$G$404=D$4)+4*('01_予約入力'!$J$5:$J$404=D$4)+8*(('01_予約入力'!$Q$5:$Q$404="仮予約")+('01_予約入力'!$Q$5:$Q$404="調整中")))))</f>
        <v/>
      </c>
      <c r="AS8">
        <f>IF(OR($A8="",E$4=""),0,SUMPRODUCT(('01_予約入力'!$G$5:$G$404&lt;&gt;"")*('01_予約入力'!$Q$5:$Q$404&lt;&gt;"キャンセル")*('01_予約入力'!$B$5:$B$404=$A8)*('01_予約入力'!$G$5:$G$404&lt;=E$4)*('01_予約入力'!$J$5:$J$404&gt;=E$4)*(1+2*('01_予約入力'!$G$5:$G$404=E$4)+4*('01_予約入力'!$J$5:$J$404=E$4)+8*(('01_予約入力'!$Q$5:$Q$404="仮予約")+('01_予約入力'!$Q$5:$Q$404="調整中")))))</f>
        <v/>
      </c>
      <c r="AT8">
        <f>IF(OR($A8="",F$4=""),0,SUMPRODUCT(('01_予約入力'!$G$5:$G$404&lt;&gt;"")*('01_予約入力'!$Q$5:$Q$404&lt;&gt;"キャンセル")*('01_予約入力'!$B$5:$B$404=$A8)*('01_予約入力'!$G$5:$G$404&lt;=F$4)*('01_予約入力'!$J$5:$J$404&gt;=F$4)*(1+2*('01_予約入力'!$G$5:$G$404=F$4)+4*('01_予約入力'!$J$5:$J$404=F$4)+8*(('01_予約入力'!$Q$5:$Q$404="仮予約")+('01_予約入力'!$Q$5:$Q$404="調整中")))))</f>
        <v/>
      </c>
      <c r="AU8">
        <f>IF(OR($A8="",G$4=""),0,SUMPRODUCT(('01_予約入力'!$G$5:$G$404&lt;&gt;"")*('01_予約入力'!$Q$5:$Q$404&lt;&gt;"キャンセル")*('01_予約入力'!$B$5:$B$404=$A8)*('01_予約入力'!$G$5:$G$404&lt;=G$4)*('01_予約入力'!$J$5:$J$404&gt;=G$4)*(1+2*('01_予約入力'!$G$5:$G$404=G$4)+4*('01_予約入力'!$J$5:$J$404=G$4)+8*(('01_予約入力'!$Q$5:$Q$404="仮予約")+('01_予約入力'!$Q$5:$Q$404="調整中")))))</f>
        <v/>
      </c>
      <c r="AV8">
        <f>IF(OR($A8="",H$4=""),0,SUMPRODUCT(('01_予約入力'!$G$5:$G$404&lt;&gt;"")*('01_予約入力'!$Q$5:$Q$404&lt;&gt;"キャンセル")*('01_予約入力'!$B$5:$B$404=$A8)*('01_予約入力'!$G$5:$G$404&lt;=H$4)*('01_予約入力'!$J$5:$J$404&gt;=H$4)*(1+2*('01_予約入力'!$G$5:$G$404=H$4)+4*('01_予約入力'!$J$5:$J$404=H$4)+8*(('01_予約入力'!$Q$5:$Q$404="仮予約")+('01_予約入力'!$Q$5:$Q$404="調整中")))))</f>
        <v/>
      </c>
      <c r="AW8">
        <f>IF(OR($A8="",I$4=""),0,SUMPRODUCT(('01_予約入力'!$G$5:$G$404&lt;&gt;"")*('01_予約入力'!$Q$5:$Q$404&lt;&gt;"キャンセル")*('01_予約入力'!$B$5:$B$404=$A8)*('01_予約入力'!$G$5:$G$404&lt;=I$4)*('01_予約入力'!$J$5:$J$404&gt;=I$4)*(1+2*('01_予約入力'!$G$5:$G$404=I$4)+4*('01_予約入力'!$J$5:$J$404=I$4)+8*(('01_予約入力'!$Q$5:$Q$404="仮予約")+('01_予約入力'!$Q$5:$Q$404="調整中")))))</f>
        <v/>
      </c>
      <c r="AX8">
        <f>IF(OR($A8="",J$4=""),0,SUMPRODUCT(('01_予約入力'!$G$5:$G$404&lt;&gt;"")*('01_予約入力'!$Q$5:$Q$404&lt;&gt;"キャンセル")*('01_予約入力'!$B$5:$B$404=$A8)*('01_予約入力'!$G$5:$G$404&lt;=J$4)*('01_予約入力'!$J$5:$J$404&gt;=J$4)*(1+2*('01_予約入力'!$G$5:$G$404=J$4)+4*('01_予約入力'!$J$5:$J$404=J$4)+8*(('01_予約入力'!$Q$5:$Q$404="仮予約")+('01_予約入力'!$Q$5:$Q$404="調整中")))))</f>
        <v/>
      </c>
      <c r="AY8">
        <f>IF(OR($A8="",K$4=""),0,SUMPRODUCT(('01_予約入力'!$G$5:$G$404&lt;&gt;"")*('01_予約入力'!$Q$5:$Q$404&lt;&gt;"キャンセル")*('01_予約入力'!$B$5:$B$404=$A8)*('01_予約入力'!$G$5:$G$404&lt;=K$4)*('01_予約入力'!$J$5:$J$404&gt;=K$4)*(1+2*('01_予約入力'!$G$5:$G$404=K$4)+4*('01_予約入力'!$J$5:$J$404=K$4)+8*(('01_予約入力'!$Q$5:$Q$404="仮予約")+('01_予約入力'!$Q$5:$Q$404="調整中")))))</f>
        <v/>
      </c>
      <c r="AZ8">
        <f>IF(OR($A8="",L$4=""),0,SUMPRODUCT(('01_予約入力'!$G$5:$G$404&lt;&gt;"")*('01_予約入力'!$Q$5:$Q$404&lt;&gt;"キャンセル")*('01_予約入力'!$B$5:$B$404=$A8)*('01_予約入力'!$G$5:$G$404&lt;=L$4)*('01_予約入力'!$J$5:$J$404&gt;=L$4)*(1+2*('01_予約入力'!$G$5:$G$404=L$4)+4*('01_予約入力'!$J$5:$J$404=L$4)+8*(('01_予約入力'!$Q$5:$Q$404="仮予約")+('01_予約入力'!$Q$5:$Q$404="調整中")))))</f>
        <v/>
      </c>
      <c r="BA8">
        <f>IF(OR($A8="",M$4=""),0,SUMPRODUCT(('01_予約入力'!$G$5:$G$404&lt;&gt;"")*('01_予約入力'!$Q$5:$Q$404&lt;&gt;"キャンセル")*('01_予約入力'!$B$5:$B$404=$A8)*('01_予約入力'!$G$5:$G$404&lt;=M$4)*('01_予約入力'!$J$5:$J$404&gt;=M$4)*(1+2*('01_予約入力'!$G$5:$G$404=M$4)+4*('01_予約入力'!$J$5:$J$404=M$4)+8*(('01_予約入力'!$Q$5:$Q$404="仮予約")+('01_予約入力'!$Q$5:$Q$404="調整中")))))</f>
        <v/>
      </c>
      <c r="BB8">
        <f>IF(OR($A8="",N$4=""),0,SUMPRODUCT(('01_予約入力'!$G$5:$G$404&lt;&gt;"")*('01_予約入力'!$Q$5:$Q$404&lt;&gt;"キャンセル")*('01_予約入力'!$B$5:$B$404=$A8)*('01_予約入力'!$G$5:$G$404&lt;=N$4)*('01_予約入力'!$J$5:$J$404&gt;=N$4)*(1+2*('01_予約入力'!$G$5:$G$404=N$4)+4*('01_予約入力'!$J$5:$J$404=N$4)+8*(('01_予約入力'!$Q$5:$Q$404="仮予約")+('01_予約入力'!$Q$5:$Q$404="調整中")))))</f>
        <v/>
      </c>
      <c r="BC8">
        <f>IF(OR($A8="",O$4=""),0,SUMPRODUCT(('01_予約入力'!$G$5:$G$404&lt;&gt;"")*('01_予約入力'!$Q$5:$Q$404&lt;&gt;"キャンセル")*('01_予約入力'!$B$5:$B$404=$A8)*('01_予約入力'!$G$5:$G$404&lt;=O$4)*('01_予約入力'!$J$5:$J$404&gt;=O$4)*(1+2*('01_予約入力'!$G$5:$G$404=O$4)+4*('01_予約入力'!$J$5:$J$404=O$4)+8*(('01_予約入力'!$Q$5:$Q$404="仮予約")+('01_予約入力'!$Q$5:$Q$404="調整中")))))</f>
        <v/>
      </c>
      <c r="BD8">
        <f>IF(OR($A8="",P$4=""),0,SUMPRODUCT(('01_予約入力'!$G$5:$G$404&lt;&gt;"")*('01_予約入力'!$Q$5:$Q$404&lt;&gt;"キャンセル")*('01_予約入力'!$B$5:$B$404=$A8)*('01_予約入力'!$G$5:$G$404&lt;=P$4)*('01_予約入力'!$J$5:$J$404&gt;=P$4)*(1+2*('01_予約入力'!$G$5:$G$404=P$4)+4*('01_予約入力'!$J$5:$J$404=P$4)+8*(('01_予約入力'!$Q$5:$Q$404="仮予約")+('01_予約入力'!$Q$5:$Q$404="調整中")))))</f>
        <v/>
      </c>
      <c r="BE8">
        <f>IF(OR($A8="",Q$4=""),0,SUMPRODUCT(('01_予約入力'!$G$5:$G$404&lt;&gt;"")*('01_予約入力'!$Q$5:$Q$404&lt;&gt;"キャンセル")*('01_予約入力'!$B$5:$B$404=$A8)*('01_予約入力'!$G$5:$G$404&lt;=Q$4)*('01_予約入力'!$J$5:$J$404&gt;=Q$4)*(1+2*('01_予約入力'!$G$5:$G$404=Q$4)+4*('01_予約入力'!$J$5:$J$404=Q$4)+8*(('01_予約入力'!$Q$5:$Q$404="仮予約")+('01_予約入力'!$Q$5:$Q$404="調整中")))))</f>
        <v/>
      </c>
      <c r="BF8">
        <f>IF(OR($A8="",R$4=""),0,SUMPRODUCT(('01_予約入力'!$G$5:$G$404&lt;&gt;"")*('01_予約入力'!$Q$5:$Q$404&lt;&gt;"キャンセル")*('01_予約入力'!$B$5:$B$404=$A8)*('01_予約入力'!$G$5:$G$404&lt;=R$4)*('01_予約入力'!$J$5:$J$404&gt;=R$4)*(1+2*('01_予約入力'!$G$5:$G$404=R$4)+4*('01_予約入力'!$J$5:$J$404=R$4)+8*(('01_予約入力'!$Q$5:$Q$404="仮予約")+('01_予約入力'!$Q$5:$Q$404="調整中")))))</f>
        <v/>
      </c>
      <c r="BG8">
        <f>IF(OR($A8="",S$4=""),0,SUMPRODUCT(('01_予約入力'!$G$5:$G$404&lt;&gt;"")*('01_予約入力'!$Q$5:$Q$404&lt;&gt;"キャンセル")*('01_予約入力'!$B$5:$B$404=$A8)*('01_予約入力'!$G$5:$G$404&lt;=S$4)*('01_予約入力'!$J$5:$J$404&gt;=S$4)*(1+2*('01_予約入力'!$G$5:$G$404=S$4)+4*('01_予約入力'!$J$5:$J$404=S$4)+8*(('01_予約入力'!$Q$5:$Q$404="仮予約")+('01_予約入力'!$Q$5:$Q$404="調整中")))))</f>
        <v/>
      </c>
      <c r="BH8">
        <f>IF(OR($A8="",T$4=""),0,SUMPRODUCT(('01_予約入力'!$G$5:$G$404&lt;&gt;"")*('01_予約入力'!$Q$5:$Q$404&lt;&gt;"キャンセル")*('01_予約入力'!$B$5:$B$404=$A8)*('01_予約入力'!$G$5:$G$404&lt;=T$4)*('01_予約入力'!$J$5:$J$404&gt;=T$4)*(1+2*('01_予約入力'!$G$5:$G$404=T$4)+4*('01_予約入力'!$J$5:$J$404=T$4)+8*(('01_予約入力'!$Q$5:$Q$404="仮予約")+('01_予約入力'!$Q$5:$Q$404="調整中")))))</f>
        <v/>
      </c>
      <c r="BI8">
        <f>IF(OR($A8="",U$4=""),0,SUMPRODUCT(('01_予約入力'!$G$5:$G$404&lt;&gt;"")*('01_予約入力'!$Q$5:$Q$404&lt;&gt;"キャンセル")*('01_予約入力'!$B$5:$B$404=$A8)*('01_予約入力'!$G$5:$G$404&lt;=U$4)*('01_予約入力'!$J$5:$J$404&gt;=U$4)*(1+2*('01_予約入力'!$G$5:$G$404=U$4)+4*('01_予約入力'!$J$5:$J$404=U$4)+8*(('01_予約入力'!$Q$5:$Q$404="仮予約")+('01_予約入力'!$Q$5:$Q$404="調整中")))))</f>
        <v/>
      </c>
      <c r="BJ8">
        <f>IF(OR($A8="",V$4=""),0,SUMPRODUCT(('01_予約入力'!$G$5:$G$404&lt;&gt;"")*('01_予約入力'!$Q$5:$Q$404&lt;&gt;"キャンセル")*('01_予約入力'!$B$5:$B$404=$A8)*('01_予約入力'!$G$5:$G$404&lt;=V$4)*('01_予約入力'!$J$5:$J$404&gt;=V$4)*(1+2*('01_予約入力'!$G$5:$G$404=V$4)+4*('01_予約入力'!$J$5:$J$404=V$4)+8*(('01_予約入力'!$Q$5:$Q$404="仮予約")+('01_予約入力'!$Q$5:$Q$404="調整中")))))</f>
        <v/>
      </c>
      <c r="BK8">
        <f>IF(OR($A8="",W$4=""),0,SUMPRODUCT(('01_予約入力'!$G$5:$G$404&lt;&gt;"")*('01_予約入力'!$Q$5:$Q$404&lt;&gt;"キャンセル")*('01_予約入力'!$B$5:$B$404=$A8)*('01_予約入力'!$G$5:$G$404&lt;=W$4)*('01_予約入力'!$J$5:$J$404&gt;=W$4)*(1+2*('01_予約入力'!$G$5:$G$404=W$4)+4*('01_予約入力'!$J$5:$J$404=W$4)+8*(('01_予約入力'!$Q$5:$Q$404="仮予約")+('01_予約入力'!$Q$5:$Q$404="調整中")))))</f>
        <v/>
      </c>
      <c r="BL8">
        <f>IF(OR($A8="",X$4=""),0,SUMPRODUCT(('01_予約入力'!$G$5:$G$404&lt;&gt;"")*('01_予約入力'!$Q$5:$Q$404&lt;&gt;"キャンセル")*('01_予約入力'!$B$5:$B$404=$A8)*('01_予約入力'!$G$5:$G$404&lt;=X$4)*('01_予約入力'!$J$5:$J$404&gt;=X$4)*(1+2*('01_予約入力'!$G$5:$G$404=X$4)+4*('01_予約入力'!$J$5:$J$404=X$4)+8*(('01_予約入力'!$Q$5:$Q$404="仮予約")+('01_予約入力'!$Q$5:$Q$404="調整中")))))</f>
        <v/>
      </c>
      <c r="BM8">
        <f>IF(OR($A8="",Y$4=""),0,SUMPRODUCT(('01_予約入力'!$G$5:$G$404&lt;&gt;"")*('01_予約入力'!$Q$5:$Q$404&lt;&gt;"キャンセル")*('01_予約入力'!$B$5:$B$404=$A8)*('01_予約入力'!$G$5:$G$404&lt;=Y$4)*('01_予約入力'!$J$5:$J$404&gt;=Y$4)*(1+2*('01_予約入力'!$G$5:$G$404=Y$4)+4*('01_予約入力'!$J$5:$J$404=Y$4)+8*(('01_予約入力'!$Q$5:$Q$404="仮予約")+('01_予約入力'!$Q$5:$Q$404="調整中")))))</f>
        <v/>
      </c>
      <c r="BN8">
        <f>IF(OR($A8="",Z$4=""),0,SUMPRODUCT(('01_予約入力'!$G$5:$G$404&lt;&gt;"")*('01_予約入力'!$Q$5:$Q$404&lt;&gt;"キャンセル")*('01_予約入力'!$B$5:$B$404=$A8)*('01_予約入力'!$G$5:$G$404&lt;=Z$4)*('01_予約入力'!$J$5:$J$404&gt;=Z$4)*(1+2*('01_予約入力'!$G$5:$G$404=Z$4)+4*('01_予約入力'!$J$5:$J$404=Z$4)+8*(('01_予約入力'!$Q$5:$Q$404="仮予約")+('01_予約入力'!$Q$5:$Q$404="調整中")))))</f>
        <v/>
      </c>
      <c r="BO8">
        <f>IF(OR($A8="",AA$4=""),0,SUMPRODUCT(('01_予約入力'!$G$5:$G$404&lt;&gt;"")*('01_予約入力'!$Q$5:$Q$404&lt;&gt;"キャンセル")*('01_予約入力'!$B$5:$B$404=$A8)*('01_予約入力'!$G$5:$G$404&lt;=AA$4)*('01_予約入力'!$J$5:$J$404&gt;=AA$4)*(1+2*('01_予約入力'!$G$5:$G$404=AA$4)+4*('01_予約入力'!$J$5:$J$404=AA$4)+8*(('01_予約入力'!$Q$5:$Q$404="仮予約")+('01_予約入力'!$Q$5:$Q$404="調整中")))))</f>
        <v/>
      </c>
      <c r="BP8">
        <f>IF(OR($A8="",AB$4=""),0,SUMPRODUCT(('01_予約入力'!$G$5:$G$404&lt;&gt;"")*('01_予約入力'!$Q$5:$Q$404&lt;&gt;"キャンセル")*('01_予約入力'!$B$5:$B$404=$A8)*('01_予約入力'!$G$5:$G$404&lt;=AB$4)*('01_予約入力'!$J$5:$J$404&gt;=AB$4)*(1+2*('01_予約入力'!$G$5:$G$404=AB$4)+4*('01_予約入力'!$J$5:$J$404=AB$4)+8*(('01_予約入力'!$Q$5:$Q$404="仮予約")+('01_予約入力'!$Q$5:$Q$404="調整中")))))</f>
        <v/>
      </c>
      <c r="BQ8">
        <f>IF(OR($A8="",AC$4=""),0,SUMPRODUCT(('01_予約入力'!$G$5:$G$404&lt;&gt;"")*('01_予約入力'!$Q$5:$Q$404&lt;&gt;"キャンセル")*('01_予約入力'!$B$5:$B$404=$A8)*('01_予約入力'!$G$5:$G$404&lt;=AC$4)*('01_予約入力'!$J$5:$J$404&gt;=AC$4)*(1+2*('01_予約入力'!$G$5:$G$404=AC$4)+4*('01_予約入力'!$J$5:$J$404=AC$4)+8*(('01_予約入力'!$Q$5:$Q$404="仮予約")+('01_予約入力'!$Q$5:$Q$404="調整中")))))</f>
        <v/>
      </c>
      <c r="BR8">
        <f>IF(OR($A8="",AD$4=""),0,SUMPRODUCT(('01_予約入力'!$G$5:$G$404&lt;&gt;"")*('01_予約入力'!$Q$5:$Q$404&lt;&gt;"キャンセル")*('01_予約入力'!$B$5:$B$404=$A8)*('01_予約入力'!$G$5:$G$404&lt;=AD$4)*('01_予約入力'!$J$5:$J$404&gt;=AD$4)*(1+2*('01_予約入力'!$G$5:$G$404=AD$4)+4*('01_予約入力'!$J$5:$J$404=AD$4)+8*(('01_予約入力'!$Q$5:$Q$404="仮予約")+('01_予約入力'!$Q$5:$Q$404="調整中")))))</f>
        <v/>
      </c>
      <c r="BS8">
        <f>IF(OR($A8="",AE$4=""),0,SUMPRODUCT(('01_予約入力'!$G$5:$G$404&lt;&gt;"")*('01_予約入力'!$Q$5:$Q$404&lt;&gt;"キャンセル")*('01_予約入力'!$B$5:$B$404=$A8)*('01_予約入力'!$G$5:$G$404&lt;=AE$4)*('01_予約入力'!$J$5:$J$404&gt;=AE$4)*(1+2*('01_予約入力'!$G$5:$G$404=AE$4)+4*('01_予約入力'!$J$5:$J$404=AE$4)+8*(('01_予約入力'!$Q$5:$Q$404="仮予約")+('01_予約入力'!$Q$5:$Q$404="調整中")))))</f>
        <v/>
      </c>
      <c r="BT8">
        <f>IF(OR($A8="",AF$4=""),0,SUMPRODUCT(('01_予約入力'!$G$5:$G$404&lt;&gt;"")*('01_予約入力'!$Q$5:$Q$404&lt;&gt;"キャンセル")*('01_予約入力'!$B$5:$B$404=$A8)*('01_予約入力'!$G$5:$G$404&lt;=AF$4)*('01_予約入力'!$J$5:$J$404&gt;=AF$4)*(1+2*('01_予約入力'!$G$5:$G$404=AF$4)+4*('01_予約入力'!$J$5:$J$404=AF$4)+8*(('01_予約入力'!$Q$5:$Q$404="仮予約")+('01_予約入力'!$Q$5:$Q$404="調整中")))))</f>
        <v/>
      </c>
    </row>
    <row r="9" ht="19" customHeight="1">
      <c r="A9" s="43">
        <f>IF(COUNTA('利用者マスタ'!$A$4:$A$60)&gt;=3,INDEX('利用者マスタ'!$A$4:$A$60,3),"")</f>
        <v/>
      </c>
      <c r="B9" s="44">
        <f>IF($AP9=0,"",IF(MOD($AP9,8)=7,IF($AP9&gt;=8,"◇","◆"),IF(MOD($AP9,8)=3,IF($AP9&gt;=8,"▷","▶"),IF(MOD($AP9,8)=5,IF($AP9&gt;=8,"◁","◀"),IF($AP9&gt;=8,"□","■")))))</f>
        <v/>
      </c>
      <c r="C9" s="44">
        <f>IF($AQ9=0,"",IF(MOD($AQ9,8)=7,IF($AQ9&gt;=8,"◇","◆"),IF(MOD($AQ9,8)=3,IF($AQ9&gt;=8,"▷","▶"),IF(MOD($AQ9,8)=5,IF($AQ9&gt;=8,"◁","◀"),IF($AQ9&gt;=8,"□","■")))))</f>
        <v/>
      </c>
      <c r="D9" s="44">
        <f>IF($AR9=0,"",IF(MOD($AR9,8)=7,IF($AR9&gt;=8,"◇","◆"),IF(MOD($AR9,8)=3,IF($AR9&gt;=8,"▷","▶"),IF(MOD($AR9,8)=5,IF($AR9&gt;=8,"◁","◀"),IF($AR9&gt;=8,"□","■")))))</f>
        <v/>
      </c>
      <c r="E9" s="44">
        <f>IF($AS9=0,"",IF(MOD($AS9,8)=7,IF($AS9&gt;=8,"◇","◆"),IF(MOD($AS9,8)=3,IF($AS9&gt;=8,"▷","▶"),IF(MOD($AS9,8)=5,IF($AS9&gt;=8,"◁","◀"),IF($AS9&gt;=8,"□","■")))))</f>
        <v/>
      </c>
      <c r="F9" s="44">
        <f>IF($AT9=0,"",IF(MOD($AT9,8)=7,IF($AT9&gt;=8,"◇","◆"),IF(MOD($AT9,8)=3,IF($AT9&gt;=8,"▷","▶"),IF(MOD($AT9,8)=5,IF($AT9&gt;=8,"◁","◀"),IF($AT9&gt;=8,"□","■")))))</f>
        <v/>
      </c>
      <c r="G9" s="44">
        <f>IF($AU9=0,"",IF(MOD($AU9,8)=7,IF($AU9&gt;=8,"◇","◆"),IF(MOD($AU9,8)=3,IF($AU9&gt;=8,"▷","▶"),IF(MOD($AU9,8)=5,IF($AU9&gt;=8,"◁","◀"),IF($AU9&gt;=8,"□","■")))))</f>
        <v/>
      </c>
      <c r="H9" s="44">
        <f>IF($AV9=0,"",IF(MOD($AV9,8)=7,IF($AV9&gt;=8,"◇","◆"),IF(MOD($AV9,8)=3,IF($AV9&gt;=8,"▷","▶"),IF(MOD($AV9,8)=5,IF($AV9&gt;=8,"◁","◀"),IF($AV9&gt;=8,"□","■")))))</f>
        <v/>
      </c>
      <c r="I9" s="44">
        <f>IF($AW9=0,"",IF(MOD($AW9,8)=7,IF($AW9&gt;=8,"◇","◆"),IF(MOD($AW9,8)=3,IF($AW9&gt;=8,"▷","▶"),IF(MOD($AW9,8)=5,IF($AW9&gt;=8,"◁","◀"),IF($AW9&gt;=8,"□","■")))))</f>
        <v/>
      </c>
      <c r="J9" s="44">
        <f>IF($AX9=0,"",IF(MOD($AX9,8)=7,IF($AX9&gt;=8,"◇","◆"),IF(MOD($AX9,8)=3,IF($AX9&gt;=8,"▷","▶"),IF(MOD($AX9,8)=5,IF($AX9&gt;=8,"◁","◀"),IF($AX9&gt;=8,"□","■")))))</f>
        <v/>
      </c>
      <c r="K9" s="44">
        <f>IF($AY9=0,"",IF(MOD($AY9,8)=7,IF($AY9&gt;=8,"◇","◆"),IF(MOD($AY9,8)=3,IF($AY9&gt;=8,"▷","▶"),IF(MOD($AY9,8)=5,IF($AY9&gt;=8,"◁","◀"),IF($AY9&gt;=8,"□","■")))))</f>
        <v/>
      </c>
      <c r="L9" s="44">
        <f>IF($AZ9=0,"",IF(MOD($AZ9,8)=7,IF($AZ9&gt;=8,"◇","◆"),IF(MOD($AZ9,8)=3,IF($AZ9&gt;=8,"▷","▶"),IF(MOD($AZ9,8)=5,IF($AZ9&gt;=8,"◁","◀"),IF($AZ9&gt;=8,"□","■")))))</f>
        <v/>
      </c>
      <c r="M9" s="44">
        <f>IF($BA9=0,"",IF(MOD($BA9,8)=7,IF($BA9&gt;=8,"◇","◆"),IF(MOD($BA9,8)=3,IF($BA9&gt;=8,"▷","▶"),IF(MOD($BA9,8)=5,IF($BA9&gt;=8,"◁","◀"),IF($BA9&gt;=8,"□","■")))))</f>
        <v/>
      </c>
      <c r="N9" s="44">
        <f>IF($BB9=0,"",IF(MOD($BB9,8)=7,IF($BB9&gt;=8,"◇","◆"),IF(MOD($BB9,8)=3,IF($BB9&gt;=8,"▷","▶"),IF(MOD($BB9,8)=5,IF($BB9&gt;=8,"◁","◀"),IF($BB9&gt;=8,"□","■")))))</f>
        <v/>
      </c>
      <c r="O9" s="44">
        <f>IF($BC9=0,"",IF(MOD($BC9,8)=7,IF($BC9&gt;=8,"◇","◆"),IF(MOD($BC9,8)=3,IF($BC9&gt;=8,"▷","▶"),IF(MOD($BC9,8)=5,IF($BC9&gt;=8,"◁","◀"),IF($BC9&gt;=8,"□","■")))))</f>
        <v/>
      </c>
      <c r="P9" s="44">
        <f>IF($BD9=0,"",IF(MOD($BD9,8)=7,IF($BD9&gt;=8,"◇","◆"),IF(MOD($BD9,8)=3,IF($BD9&gt;=8,"▷","▶"),IF(MOD($BD9,8)=5,IF($BD9&gt;=8,"◁","◀"),IF($BD9&gt;=8,"□","■")))))</f>
        <v/>
      </c>
      <c r="Q9" s="44">
        <f>IF($BE9=0,"",IF(MOD($BE9,8)=7,IF($BE9&gt;=8,"◇","◆"),IF(MOD($BE9,8)=3,IF($BE9&gt;=8,"▷","▶"),IF(MOD($BE9,8)=5,IF($BE9&gt;=8,"◁","◀"),IF($BE9&gt;=8,"□","■")))))</f>
        <v/>
      </c>
      <c r="R9" s="44">
        <f>IF($BF9=0,"",IF(MOD($BF9,8)=7,IF($BF9&gt;=8,"◇","◆"),IF(MOD($BF9,8)=3,IF($BF9&gt;=8,"▷","▶"),IF(MOD($BF9,8)=5,IF($BF9&gt;=8,"◁","◀"),IF($BF9&gt;=8,"□","■")))))</f>
        <v/>
      </c>
      <c r="S9" s="44">
        <f>IF($BG9=0,"",IF(MOD($BG9,8)=7,IF($BG9&gt;=8,"◇","◆"),IF(MOD($BG9,8)=3,IF($BG9&gt;=8,"▷","▶"),IF(MOD($BG9,8)=5,IF($BG9&gt;=8,"◁","◀"),IF($BG9&gt;=8,"□","■")))))</f>
        <v/>
      </c>
      <c r="T9" s="44">
        <f>IF($BH9=0,"",IF(MOD($BH9,8)=7,IF($BH9&gt;=8,"◇","◆"),IF(MOD($BH9,8)=3,IF($BH9&gt;=8,"▷","▶"),IF(MOD($BH9,8)=5,IF($BH9&gt;=8,"◁","◀"),IF($BH9&gt;=8,"□","■")))))</f>
        <v/>
      </c>
      <c r="U9" s="44">
        <f>IF($BI9=0,"",IF(MOD($BI9,8)=7,IF($BI9&gt;=8,"◇","◆"),IF(MOD($BI9,8)=3,IF($BI9&gt;=8,"▷","▶"),IF(MOD($BI9,8)=5,IF($BI9&gt;=8,"◁","◀"),IF($BI9&gt;=8,"□","■")))))</f>
        <v/>
      </c>
      <c r="V9" s="44">
        <f>IF($BJ9=0,"",IF(MOD($BJ9,8)=7,IF($BJ9&gt;=8,"◇","◆"),IF(MOD($BJ9,8)=3,IF($BJ9&gt;=8,"▷","▶"),IF(MOD($BJ9,8)=5,IF($BJ9&gt;=8,"◁","◀"),IF($BJ9&gt;=8,"□","■")))))</f>
        <v/>
      </c>
      <c r="W9" s="44">
        <f>IF($BK9=0,"",IF(MOD($BK9,8)=7,IF($BK9&gt;=8,"◇","◆"),IF(MOD($BK9,8)=3,IF($BK9&gt;=8,"▷","▶"),IF(MOD($BK9,8)=5,IF($BK9&gt;=8,"◁","◀"),IF($BK9&gt;=8,"□","■")))))</f>
        <v/>
      </c>
      <c r="X9" s="44">
        <f>IF($BL9=0,"",IF(MOD($BL9,8)=7,IF($BL9&gt;=8,"◇","◆"),IF(MOD($BL9,8)=3,IF($BL9&gt;=8,"▷","▶"),IF(MOD($BL9,8)=5,IF($BL9&gt;=8,"◁","◀"),IF($BL9&gt;=8,"□","■")))))</f>
        <v/>
      </c>
      <c r="Y9" s="44">
        <f>IF($BM9=0,"",IF(MOD($BM9,8)=7,IF($BM9&gt;=8,"◇","◆"),IF(MOD($BM9,8)=3,IF($BM9&gt;=8,"▷","▶"),IF(MOD($BM9,8)=5,IF($BM9&gt;=8,"◁","◀"),IF($BM9&gt;=8,"□","■")))))</f>
        <v/>
      </c>
      <c r="Z9" s="44">
        <f>IF($BN9=0,"",IF(MOD($BN9,8)=7,IF($BN9&gt;=8,"◇","◆"),IF(MOD($BN9,8)=3,IF($BN9&gt;=8,"▷","▶"),IF(MOD($BN9,8)=5,IF($BN9&gt;=8,"◁","◀"),IF($BN9&gt;=8,"□","■")))))</f>
        <v/>
      </c>
      <c r="AA9" s="44">
        <f>IF($BO9=0,"",IF(MOD($BO9,8)=7,IF($BO9&gt;=8,"◇","◆"),IF(MOD($BO9,8)=3,IF($BO9&gt;=8,"▷","▶"),IF(MOD($BO9,8)=5,IF($BO9&gt;=8,"◁","◀"),IF($BO9&gt;=8,"□","■")))))</f>
        <v/>
      </c>
      <c r="AB9" s="44">
        <f>IF($BP9=0,"",IF(MOD($BP9,8)=7,IF($BP9&gt;=8,"◇","◆"),IF(MOD($BP9,8)=3,IF($BP9&gt;=8,"▷","▶"),IF(MOD($BP9,8)=5,IF($BP9&gt;=8,"◁","◀"),IF($BP9&gt;=8,"□","■")))))</f>
        <v/>
      </c>
      <c r="AC9" s="44">
        <f>IF($BQ9=0,"",IF(MOD($BQ9,8)=7,IF($BQ9&gt;=8,"◇","◆"),IF(MOD($BQ9,8)=3,IF($BQ9&gt;=8,"▷","▶"),IF(MOD($BQ9,8)=5,IF($BQ9&gt;=8,"◁","◀"),IF($BQ9&gt;=8,"□","■")))))</f>
        <v/>
      </c>
      <c r="AD9" s="44">
        <f>IF($BR9=0,"",IF(MOD($BR9,8)=7,IF($BR9&gt;=8,"◇","◆"),IF(MOD($BR9,8)=3,IF($BR9&gt;=8,"▷","▶"),IF(MOD($BR9,8)=5,IF($BR9&gt;=8,"◁","◀"),IF($BR9&gt;=8,"□","■")))))</f>
        <v/>
      </c>
      <c r="AE9" s="44">
        <f>IF($BS9=0,"",IF(MOD($BS9,8)=7,IF($BS9&gt;=8,"◇","◆"),IF(MOD($BS9,8)=3,IF($BS9&gt;=8,"▷","▶"),IF(MOD($BS9,8)=5,IF($BS9&gt;=8,"◁","◀"),IF($BS9&gt;=8,"□","■")))))</f>
        <v/>
      </c>
      <c r="AF9" s="44">
        <f>IF($BT9=0,"",IF(MOD($BT9,8)=7,IF($BT9&gt;=8,"◇","◆"),IF(MOD($BT9,8)=3,IF($BT9&gt;=8,"▷","▶"),IF(MOD($BT9,8)=5,IF($BT9&gt;=8,"◁","◀"),IF($BT9&gt;=8,"□","■")))))</f>
        <v/>
      </c>
      <c r="AG9" s="45">
        <f>IF($A9="","",COUNTIF($AP9:$BT9,"&gt;0"))</f>
        <v/>
      </c>
      <c r="AP9">
        <f>IF(OR($A9="",B$4=""),0,SUMPRODUCT(('01_予約入力'!$G$5:$G$404&lt;&gt;"")*('01_予約入力'!$Q$5:$Q$404&lt;&gt;"キャンセル")*('01_予約入力'!$B$5:$B$404=$A9)*('01_予約入力'!$G$5:$G$404&lt;=B$4)*('01_予約入力'!$J$5:$J$404&gt;=B$4)*(1+2*('01_予約入力'!$G$5:$G$404=B$4)+4*('01_予約入力'!$J$5:$J$404=B$4)+8*(('01_予約入力'!$Q$5:$Q$404="仮予約")+('01_予約入力'!$Q$5:$Q$404="調整中")))))</f>
        <v/>
      </c>
      <c r="AQ9">
        <f>IF(OR($A9="",C$4=""),0,SUMPRODUCT(('01_予約入力'!$G$5:$G$404&lt;&gt;"")*('01_予約入力'!$Q$5:$Q$404&lt;&gt;"キャンセル")*('01_予約入力'!$B$5:$B$404=$A9)*('01_予約入力'!$G$5:$G$404&lt;=C$4)*('01_予約入力'!$J$5:$J$404&gt;=C$4)*(1+2*('01_予約入力'!$G$5:$G$404=C$4)+4*('01_予約入力'!$J$5:$J$404=C$4)+8*(('01_予約入力'!$Q$5:$Q$404="仮予約")+('01_予約入力'!$Q$5:$Q$404="調整中")))))</f>
        <v/>
      </c>
      <c r="AR9">
        <f>IF(OR($A9="",D$4=""),0,SUMPRODUCT(('01_予約入力'!$G$5:$G$404&lt;&gt;"")*('01_予約入力'!$Q$5:$Q$404&lt;&gt;"キャンセル")*('01_予約入力'!$B$5:$B$404=$A9)*('01_予約入力'!$G$5:$G$404&lt;=D$4)*('01_予約入力'!$J$5:$J$404&gt;=D$4)*(1+2*('01_予約入力'!$G$5:$G$404=D$4)+4*('01_予約入力'!$J$5:$J$404=D$4)+8*(('01_予約入力'!$Q$5:$Q$404="仮予約")+('01_予約入力'!$Q$5:$Q$404="調整中")))))</f>
        <v/>
      </c>
      <c r="AS9">
        <f>IF(OR($A9="",E$4=""),0,SUMPRODUCT(('01_予約入力'!$G$5:$G$404&lt;&gt;"")*('01_予約入力'!$Q$5:$Q$404&lt;&gt;"キャンセル")*('01_予約入力'!$B$5:$B$404=$A9)*('01_予約入力'!$G$5:$G$404&lt;=E$4)*('01_予約入力'!$J$5:$J$404&gt;=E$4)*(1+2*('01_予約入力'!$G$5:$G$404=E$4)+4*('01_予約入力'!$J$5:$J$404=E$4)+8*(('01_予約入力'!$Q$5:$Q$404="仮予約")+('01_予約入力'!$Q$5:$Q$404="調整中")))))</f>
        <v/>
      </c>
      <c r="AT9">
        <f>IF(OR($A9="",F$4=""),0,SUMPRODUCT(('01_予約入力'!$G$5:$G$404&lt;&gt;"")*('01_予約入力'!$Q$5:$Q$404&lt;&gt;"キャンセル")*('01_予約入力'!$B$5:$B$404=$A9)*('01_予約入力'!$G$5:$G$404&lt;=F$4)*('01_予約入力'!$J$5:$J$404&gt;=F$4)*(1+2*('01_予約入力'!$G$5:$G$404=F$4)+4*('01_予約入力'!$J$5:$J$404=F$4)+8*(('01_予約入力'!$Q$5:$Q$404="仮予約")+('01_予約入力'!$Q$5:$Q$404="調整中")))))</f>
        <v/>
      </c>
      <c r="AU9">
        <f>IF(OR($A9="",G$4=""),0,SUMPRODUCT(('01_予約入力'!$G$5:$G$404&lt;&gt;"")*('01_予約入力'!$Q$5:$Q$404&lt;&gt;"キャンセル")*('01_予約入力'!$B$5:$B$404=$A9)*('01_予約入力'!$G$5:$G$404&lt;=G$4)*('01_予約入力'!$J$5:$J$404&gt;=G$4)*(1+2*('01_予約入力'!$G$5:$G$404=G$4)+4*('01_予約入力'!$J$5:$J$404=G$4)+8*(('01_予約入力'!$Q$5:$Q$404="仮予約")+('01_予約入力'!$Q$5:$Q$404="調整中")))))</f>
        <v/>
      </c>
      <c r="AV9">
        <f>IF(OR($A9="",H$4=""),0,SUMPRODUCT(('01_予約入力'!$G$5:$G$404&lt;&gt;"")*('01_予約入力'!$Q$5:$Q$404&lt;&gt;"キャンセル")*('01_予約入力'!$B$5:$B$404=$A9)*('01_予約入力'!$G$5:$G$404&lt;=H$4)*('01_予約入力'!$J$5:$J$404&gt;=H$4)*(1+2*('01_予約入力'!$G$5:$G$404=H$4)+4*('01_予約入力'!$J$5:$J$404=H$4)+8*(('01_予約入力'!$Q$5:$Q$404="仮予約")+('01_予約入力'!$Q$5:$Q$404="調整中")))))</f>
        <v/>
      </c>
      <c r="AW9">
        <f>IF(OR($A9="",I$4=""),0,SUMPRODUCT(('01_予約入力'!$G$5:$G$404&lt;&gt;"")*('01_予約入力'!$Q$5:$Q$404&lt;&gt;"キャンセル")*('01_予約入力'!$B$5:$B$404=$A9)*('01_予約入力'!$G$5:$G$404&lt;=I$4)*('01_予約入力'!$J$5:$J$404&gt;=I$4)*(1+2*('01_予約入力'!$G$5:$G$404=I$4)+4*('01_予約入力'!$J$5:$J$404=I$4)+8*(('01_予約入力'!$Q$5:$Q$404="仮予約")+('01_予約入力'!$Q$5:$Q$404="調整中")))))</f>
        <v/>
      </c>
      <c r="AX9">
        <f>IF(OR($A9="",J$4=""),0,SUMPRODUCT(('01_予約入力'!$G$5:$G$404&lt;&gt;"")*('01_予約入力'!$Q$5:$Q$404&lt;&gt;"キャンセル")*('01_予約入力'!$B$5:$B$404=$A9)*('01_予約入力'!$G$5:$G$404&lt;=J$4)*('01_予約入力'!$J$5:$J$404&gt;=J$4)*(1+2*('01_予約入力'!$G$5:$G$404=J$4)+4*('01_予約入力'!$J$5:$J$404=J$4)+8*(('01_予約入力'!$Q$5:$Q$404="仮予約")+('01_予約入力'!$Q$5:$Q$404="調整中")))))</f>
        <v/>
      </c>
      <c r="AY9">
        <f>IF(OR($A9="",K$4=""),0,SUMPRODUCT(('01_予約入力'!$G$5:$G$404&lt;&gt;"")*('01_予約入力'!$Q$5:$Q$404&lt;&gt;"キャンセル")*('01_予約入力'!$B$5:$B$404=$A9)*('01_予約入力'!$G$5:$G$404&lt;=K$4)*('01_予約入力'!$J$5:$J$404&gt;=K$4)*(1+2*('01_予約入力'!$G$5:$G$404=K$4)+4*('01_予約入力'!$J$5:$J$404=K$4)+8*(('01_予約入力'!$Q$5:$Q$404="仮予約")+('01_予約入力'!$Q$5:$Q$404="調整中")))))</f>
        <v/>
      </c>
      <c r="AZ9">
        <f>IF(OR($A9="",L$4=""),0,SUMPRODUCT(('01_予約入力'!$G$5:$G$404&lt;&gt;"")*('01_予約入力'!$Q$5:$Q$404&lt;&gt;"キャンセル")*('01_予約入力'!$B$5:$B$404=$A9)*('01_予約入力'!$G$5:$G$404&lt;=L$4)*('01_予約入力'!$J$5:$J$404&gt;=L$4)*(1+2*('01_予約入力'!$G$5:$G$404=L$4)+4*('01_予約入力'!$J$5:$J$404=L$4)+8*(('01_予約入力'!$Q$5:$Q$404="仮予約")+('01_予約入力'!$Q$5:$Q$404="調整中")))))</f>
        <v/>
      </c>
      <c r="BA9">
        <f>IF(OR($A9="",M$4=""),0,SUMPRODUCT(('01_予約入力'!$G$5:$G$404&lt;&gt;"")*('01_予約入力'!$Q$5:$Q$404&lt;&gt;"キャンセル")*('01_予約入力'!$B$5:$B$404=$A9)*('01_予約入力'!$G$5:$G$404&lt;=M$4)*('01_予約入力'!$J$5:$J$404&gt;=M$4)*(1+2*('01_予約入力'!$G$5:$G$404=M$4)+4*('01_予約入力'!$J$5:$J$404=M$4)+8*(('01_予約入力'!$Q$5:$Q$404="仮予約")+('01_予約入力'!$Q$5:$Q$404="調整中")))))</f>
        <v/>
      </c>
      <c r="BB9">
        <f>IF(OR($A9="",N$4=""),0,SUMPRODUCT(('01_予約入力'!$G$5:$G$404&lt;&gt;"")*('01_予約入力'!$Q$5:$Q$404&lt;&gt;"キャンセル")*('01_予約入力'!$B$5:$B$404=$A9)*('01_予約入力'!$G$5:$G$404&lt;=N$4)*('01_予約入力'!$J$5:$J$404&gt;=N$4)*(1+2*('01_予約入力'!$G$5:$G$404=N$4)+4*('01_予約入力'!$J$5:$J$404=N$4)+8*(('01_予約入力'!$Q$5:$Q$404="仮予約")+('01_予約入力'!$Q$5:$Q$404="調整中")))))</f>
        <v/>
      </c>
      <c r="BC9">
        <f>IF(OR($A9="",O$4=""),0,SUMPRODUCT(('01_予約入力'!$G$5:$G$404&lt;&gt;"")*('01_予約入力'!$Q$5:$Q$404&lt;&gt;"キャンセル")*('01_予約入力'!$B$5:$B$404=$A9)*('01_予約入力'!$G$5:$G$404&lt;=O$4)*('01_予約入力'!$J$5:$J$404&gt;=O$4)*(1+2*('01_予約入力'!$G$5:$G$404=O$4)+4*('01_予約入力'!$J$5:$J$404=O$4)+8*(('01_予約入力'!$Q$5:$Q$404="仮予約")+('01_予約入力'!$Q$5:$Q$404="調整中")))))</f>
        <v/>
      </c>
      <c r="BD9">
        <f>IF(OR($A9="",P$4=""),0,SUMPRODUCT(('01_予約入力'!$G$5:$G$404&lt;&gt;"")*('01_予約入力'!$Q$5:$Q$404&lt;&gt;"キャンセル")*('01_予約入力'!$B$5:$B$404=$A9)*('01_予約入力'!$G$5:$G$404&lt;=P$4)*('01_予約入力'!$J$5:$J$404&gt;=P$4)*(1+2*('01_予約入力'!$G$5:$G$404=P$4)+4*('01_予約入力'!$J$5:$J$404=P$4)+8*(('01_予約入力'!$Q$5:$Q$404="仮予約")+('01_予約入力'!$Q$5:$Q$404="調整中")))))</f>
        <v/>
      </c>
      <c r="BE9">
        <f>IF(OR($A9="",Q$4=""),0,SUMPRODUCT(('01_予約入力'!$G$5:$G$404&lt;&gt;"")*('01_予約入力'!$Q$5:$Q$404&lt;&gt;"キャンセル")*('01_予約入力'!$B$5:$B$404=$A9)*('01_予約入力'!$G$5:$G$404&lt;=Q$4)*('01_予約入力'!$J$5:$J$404&gt;=Q$4)*(1+2*('01_予約入力'!$G$5:$G$404=Q$4)+4*('01_予約入力'!$J$5:$J$404=Q$4)+8*(('01_予約入力'!$Q$5:$Q$404="仮予約")+('01_予約入力'!$Q$5:$Q$404="調整中")))))</f>
        <v/>
      </c>
      <c r="BF9">
        <f>IF(OR($A9="",R$4=""),0,SUMPRODUCT(('01_予約入力'!$G$5:$G$404&lt;&gt;"")*('01_予約入力'!$Q$5:$Q$404&lt;&gt;"キャンセル")*('01_予約入力'!$B$5:$B$404=$A9)*('01_予約入力'!$G$5:$G$404&lt;=R$4)*('01_予約入力'!$J$5:$J$404&gt;=R$4)*(1+2*('01_予約入力'!$G$5:$G$404=R$4)+4*('01_予約入力'!$J$5:$J$404=R$4)+8*(('01_予約入力'!$Q$5:$Q$404="仮予約")+('01_予約入力'!$Q$5:$Q$404="調整中")))))</f>
        <v/>
      </c>
      <c r="BG9">
        <f>IF(OR($A9="",S$4=""),0,SUMPRODUCT(('01_予約入力'!$G$5:$G$404&lt;&gt;"")*('01_予約入力'!$Q$5:$Q$404&lt;&gt;"キャンセル")*('01_予約入力'!$B$5:$B$404=$A9)*('01_予約入力'!$G$5:$G$404&lt;=S$4)*('01_予約入力'!$J$5:$J$404&gt;=S$4)*(1+2*('01_予約入力'!$G$5:$G$404=S$4)+4*('01_予約入力'!$J$5:$J$404=S$4)+8*(('01_予約入力'!$Q$5:$Q$404="仮予約")+('01_予約入力'!$Q$5:$Q$404="調整中")))))</f>
        <v/>
      </c>
      <c r="BH9">
        <f>IF(OR($A9="",T$4=""),0,SUMPRODUCT(('01_予約入力'!$G$5:$G$404&lt;&gt;"")*('01_予約入力'!$Q$5:$Q$404&lt;&gt;"キャンセル")*('01_予約入力'!$B$5:$B$404=$A9)*('01_予約入力'!$G$5:$G$404&lt;=T$4)*('01_予約入力'!$J$5:$J$404&gt;=T$4)*(1+2*('01_予約入力'!$G$5:$G$404=T$4)+4*('01_予約入力'!$J$5:$J$404=T$4)+8*(('01_予約入力'!$Q$5:$Q$404="仮予約")+('01_予約入力'!$Q$5:$Q$404="調整中")))))</f>
        <v/>
      </c>
      <c r="BI9">
        <f>IF(OR($A9="",U$4=""),0,SUMPRODUCT(('01_予約入力'!$G$5:$G$404&lt;&gt;"")*('01_予約入力'!$Q$5:$Q$404&lt;&gt;"キャンセル")*('01_予約入力'!$B$5:$B$404=$A9)*('01_予約入力'!$G$5:$G$404&lt;=U$4)*('01_予約入力'!$J$5:$J$404&gt;=U$4)*(1+2*('01_予約入力'!$G$5:$G$404=U$4)+4*('01_予約入力'!$J$5:$J$404=U$4)+8*(('01_予約入力'!$Q$5:$Q$404="仮予約")+('01_予約入力'!$Q$5:$Q$404="調整中")))))</f>
        <v/>
      </c>
      <c r="BJ9">
        <f>IF(OR($A9="",V$4=""),0,SUMPRODUCT(('01_予約入力'!$G$5:$G$404&lt;&gt;"")*('01_予約入力'!$Q$5:$Q$404&lt;&gt;"キャンセル")*('01_予約入力'!$B$5:$B$404=$A9)*('01_予約入力'!$G$5:$G$404&lt;=V$4)*('01_予約入力'!$J$5:$J$404&gt;=V$4)*(1+2*('01_予約入力'!$G$5:$G$404=V$4)+4*('01_予約入力'!$J$5:$J$404=V$4)+8*(('01_予約入力'!$Q$5:$Q$404="仮予約")+('01_予約入力'!$Q$5:$Q$404="調整中")))))</f>
        <v/>
      </c>
      <c r="BK9">
        <f>IF(OR($A9="",W$4=""),0,SUMPRODUCT(('01_予約入力'!$G$5:$G$404&lt;&gt;"")*('01_予約入力'!$Q$5:$Q$404&lt;&gt;"キャンセル")*('01_予約入力'!$B$5:$B$404=$A9)*('01_予約入力'!$G$5:$G$404&lt;=W$4)*('01_予約入力'!$J$5:$J$404&gt;=W$4)*(1+2*('01_予約入力'!$G$5:$G$404=W$4)+4*('01_予約入力'!$J$5:$J$404=W$4)+8*(('01_予約入力'!$Q$5:$Q$404="仮予約")+('01_予約入力'!$Q$5:$Q$404="調整中")))))</f>
        <v/>
      </c>
      <c r="BL9">
        <f>IF(OR($A9="",X$4=""),0,SUMPRODUCT(('01_予約入力'!$G$5:$G$404&lt;&gt;"")*('01_予約入力'!$Q$5:$Q$404&lt;&gt;"キャンセル")*('01_予約入力'!$B$5:$B$404=$A9)*('01_予約入力'!$G$5:$G$404&lt;=X$4)*('01_予約入力'!$J$5:$J$404&gt;=X$4)*(1+2*('01_予約入力'!$G$5:$G$404=X$4)+4*('01_予約入力'!$J$5:$J$404=X$4)+8*(('01_予約入力'!$Q$5:$Q$404="仮予約")+('01_予約入力'!$Q$5:$Q$404="調整中")))))</f>
        <v/>
      </c>
      <c r="BM9">
        <f>IF(OR($A9="",Y$4=""),0,SUMPRODUCT(('01_予約入力'!$G$5:$G$404&lt;&gt;"")*('01_予約入力'!$Q$5:$Q$404&lt;&gt;"キャンセル")*('01_予約入力'!$B$5:$B$404=$A9)*('01_予約入力'!$G$5:$G$404&lt;=Y$4)*('01_予約入力'!$J$5:$J$404&gt;=Y$4)*(1+2*('01_予約入力'!$G$5:$G$404=Y$4)+4*('01_予約入力'!$J$5:$J$404=Y$4)+8*(('01_予約入力'!$Q$5:$Q$404="仮予約")+('01_予約入力'!$Q$5:$Q$404="調整中")))))</f>
        <v/>
      </c>
      <c r="BN9">
        <f>IF(OR($A9="",Z$4=""),0,SUMPRODUCT(('01_予約入力'!$G$5:$G$404&lt;&gt;"")*('01_予約入力'!$Q$5:$Q$404&lt;&gt;"キャンセル")*('01_予約入力'!$B$5:$B$404=$A9)*('01_予約入力'!$G$5:$G$404&lt;=Z$4)*('01_予約入力'!$J$5:$J$404&gt;=Z$4)*(1+2*('01_予約入力'!$G$5:$G$404=Z$4)+4*('01_予約入力'!$J$5:$J$404=Z$4)+8*(('01_予約入力'!$Q$5:$Q$404="仮予約")+('01_予約入力'!$Q$5:$Q$404="調整中")))))</f>
        <v/>
      </c>
      <c r="BO9">
        <f>IF(OR($A9="",AA$4=""),0,SUMPRODUCT(('01_予約入力'!$G$5:$G$404&lt;&gt;"")*('01_予約入力'!$Q$5:$Q$404&lt;&gt;"キャンセル")*('01_予約入力'!$B$5:$B$404=$A9)*('01_予約入力'!$G$5:$G$404&lt;=AA$4)*('01_予約入力'!$J$5:$J$404&gt;=AA$4)*(1+2*('01_予約入力'!$G$5:$G$404=AA$4)+4*('01_予約入力'!$J$5:$J$404=AA$4)+8*(('01_予約入力'!$Q$5:$Q$404="仮予約")+('01_予約入力'!$Q$5:$Q$404="調整中")))))</f>
        <v/>
      </c>
      <c r="BP9">
        <f>IF(OR($A9="",AB$4=""),0,SUMPRODUCT(('01_予約入力'!$G$5:$G$404&lt;&gt;"")*('01_予約入力'!$Q$5:$Q$404&lt;&gt;"キャンセル")*('01_予約入力'!$B$5:$B$404=$A9)*('01_予約入力'!$G$5:$G$404&lt;=AB$4)*('01_予約入力'!$J$5:$J$404&gt;=AB$4)*(1+2*('01_予約入力'!$G$5:$G$404=AB$4)+4*('01_予約入力'!$J$5:$J$404=AB$4)+8*(('01_予約入力'!$Q$5:$Q$404="仮予約")+('01_予約入力'!$Q$5:$Q$404="調整中")))))</f>
        <v/>
      </c>
      <c r="BQ9">
        <f>IF(OR($A9="",AC$4=""),0,SUMPRODUCT(('01_予約入力'!$G$5:$G$404&lt;&gt;"")*('01_予約入力'!$Q$5:$Q$404&lt;&gt;"キャンセル")*('01_予約入力'!$B$5:$B$404=$A9)*('01_予約入力'!$G$5:$G$404&lt;=AC$4)*('01_予約入力'!$J$5:$J$404&gt;=AC$4)*(1+2*('01_予約入力'!$G$5:$G$404=AC$4)+4*('01_予約入力'!$J$5:$J$404=AC$4)+8*(('01_予約入力'!$Q$5:$Q$404="仮予約")+('01_予約入力'!$Q$5:$Q$404="調整中")))))</f>
        <v/>
      </c>
      <c r="BR9">
        <f>IF(OR($A9="",AD$4=""),0,SUMPRODUCT(('01_予約入力'!$G$5:$G$404&lt;&gt;"")*('01_予約入力'!$Q$5:$Q$404&lt;&gt;"キャンセル")*('01_予約入力'!$B$5:$B$404=$A9)*('01_予約入力'!$G$5:$G$404&lt;=AD$4)*('01_予約入力'!$J$5:$J$404&gt;=AD$4)*(1+2*('01_予約入力'!$G$5:$G$404=AD$4)+4*('01_予約入力'!$J$5:$J$404=AD$4)+8*(('01_予約入力'!$Q$5:$Q$404="仮予約")+('01_予約入力'!$Q$5:$Q$404="調整中")))))</f>
        <v/>
      </c>
      <c r="BS9">
        <f>IF(OR($A9="",AE$4=""),0,SUMPRODUCT(('01_予約入力'!$G$5:$G$404&lt;&gt;"")*('01_予約入力'!$Q$5:$Q$404&lt;&gt;"キャンセル")*('01_予約入力'!$B$5:$B$404=$A9)*('01_予約入力'!$G$5:$G$404&lt;=AE$4)*('01_予約入力'!$J$5:$J$404&gt;=AE$4)*(1+2*('01_予約入力'!$G$5:$G$404=AE$4)+4*('01_予約入力'!$J$5:$J$404=AE$4)+8*(('01_予約入力'!$Q$5:$Q$404="仮予約")+('01_予約入力'!$Q$5:$Q$404="調整中")))))</f>
        <v/>
      </c>
      <c r="BT9">
        <f>IF(OR($A9="",AF$4=""),0,SUMPRODUCT(('01_予約入力'!$G$5:$G$404&lt;&gt;"")*('01_予約入力'!$Q$5:$Q$404&lt;&gt;"キャンセル")*('01_予約入力'!$B$5:$B$404=$A9)*('01_予約入力'!$G$5:$G$404&lt;=AF$4)*('01_予約入力'!$J$5:$J$404&gt;=AF$4)*(1+2*('01_予約入力'!$G$5:$G$404=AF$4)+4*('01_予約入力'!$J$5:$J$404=AF$4)+8*(('01_予約入力'!$Q$5:$Q$404="仮予約")+('01_予約入力'!$Q$5:$Q$404="調整中")))))</f>
        <v/>
      </c>
    </row>
    <row r="10" ht="19" customHeight="1">
      <c r="A10" s="43">
        <f>IF(COUNTA('利用者マスタ'!$A$4:$A$60)&gt;=4,INDEX('利用者マスタ'!$A$4:$A$60,4),"")</f>
        <v/>
      </c>
      <c r="B10" s="44">
        <f>IF($AP10=0,"",IF(MOD($AP10,8)=7,IF($AP10&gt;=8,"◇","◆"),IF(MOD($AP10,8)=3,IF($AP10&gt;=8,"▷","▶"),IF(MOD($AP10,8)=5,IF($AP10&gt;=8,"◁","◀"),IF($AP10&gt;=8,"□","■")))))</f>
        <v/>
      </c>
      <c r="C10" s="44">
        <f>IF($AQ10=0,"",IF(MOD($AQ10,8)=7,IF($AQ10&gt;=8,"◇","◆"),IF(MOD($AQ10,8)=3,IF($AQ10&gt;=8,"▷","▶"),IF(MOD($AQ10,8)=5,IF($AQ10&gt;=8,"◁","◀"),IF($AQ10&gt;=8,"□","■")))))</f>
        <v/>
      </c>
      <c r="D10" s="44">
        <f>IF($AR10=0,"",IF(MOD($AR10,8)=7,IF($AR10&gt;=8,"◇","◆"),IF(MOD($AR10,8)=3,IF($AR10&gt;=8,"▷","▶"),IF(MOD($AR10,8)=5,IF($AR10&gt;=8,"◁","◀"),IF($AR10&gt;=8,"□","■")))))</f>
        <v/>
      </c>
      <c r="E10" s="44">
        <f>IF($AS10=0,"",IF(MOD($AS10,8)=7,IF($AS10&gt;=8,"◇","◆"),IF(MOD($AS10,8)=3,IF($AS10&gt;=8,"▷","▶"),IF(MOD($AS10,8)=5,IF($AS10&gt;=8,"◁","◀"),IF($AS10&gt;=8,"□","■")))))</f>
        <v/>
      </c>
      <c r="F10" s="44">
        <f>IF($AT10=0,"",IF(MOD($AT10,8)=7,IF($AT10&gt;=8,"◇","◆"),IF(MOD($AT10,8)=3,IF($AT10&gt;=8,"▷","▶"),IF(MOD($AT10,8)=5,IF($AT10&gt;=8,"◁","◀"),IF($AT10&gt;=8,"□","■")))))</f>
        <v/>
      </c>
      <c r="G10" s="44">
        <f>IF($AU10=0,"",IF(MOD($AU10,8)=7,IF($AU10&gt;=8,"◇","◆"),IF(MOD($AU10,8)=3,IF($AU10&gt;=8,"▷","▶"),IF(MOD($AU10,8)=5,IF($AU10&gt;=8,"◁","◀"),IF($AU10&gt;=8,"□","■")))))</f>
        <v/>
      </c>
      <c r="H10" s="44">
        <f>IF($AV10=0,"",IF(MOD($AV10,8)=7,IF($AV10&gt;=8,"◇","◆"),IF(MOD($AV10,8)=3,IF($AV10&gt;=8,"▷","▶"),IF(MOD($AV10,8)=5,IF($AV10&gt;=8,"◁","◀"),IF($AV10&gt;=8,"□","■")))))</f>
        <v/>
      </c>
      <c r="I10" s="44">
        <f>IF($AW10=0,"",IF(MOD($AW10,8)=7,IF($AW10&gt;=8,"◇","◆"),IF(MOD($AW10,8)=3,IF($AW10&gt;=8,"▷","▶"),IF(MOD($AW10,8)=5,IF($AW10&gt;=8,"◁","◀"),IF($AW10&gt;=8,"□","■")))))</f>
        <v/>
      </c>
      <c r="J10" s="44">
        <f>IF($AX10=0,"",IF(MOD($AX10,8)=7,IF($AX10&gt;=8,"◇","◆"),IF(MOD($AX10,8)=3,IF($AX10&gt;=8,"▷","▶"),IF(MOD($AX10,8)=5,IF($AX10&gt;=8,"◁","◀"),IF($AX10&gt;=8,"□","■")))))</f>
        <v/>
      </c>
      <c r="K10" s="44">
        <f>IF($AY10=0,"",IF(MOD($AY10,8)=7,IF($AY10&gt;=8,"◇","◆"),IF(MOD($AY10,8)=3,IF($AY10&gt;=8,"▷","▶"),IF(MOD($AY10,8)=5,IF($AY10&gt;=8,"◁","◀"),IF($AY10&gt;=8,"□","■")))))</f>
        <v/>
      </c>
      <c r="L10" s="44">
        <f>IF($AZ10=0,"",IF(MOD($AZ10,8)=7,IF($AZ10&gt;=8,"◇","◆"),IF(MOD($AZ10,8)=3,IF($AZ10&gt;=8,"▷","▶"),IF(MOD($AZ10,8)=5,IF($AZ10&gt;=8,"◁","◀"),IF($AZ10&gt;=8,"□","■")))))</f>
        <v/>
      </c>
      <c r="M10" s="44">
        <f>IF($BA10=0,"",IF(MOD($BA10,8)=7,IF($BA10&gt;=8,"◇","◆"),IF(MOD($BA10,8)=3,IF($BA10&gt;=8,"▷","▶"),IF(MOD($BA10,8)=5,IF($BA10&gt;=8,"◁","◀"),IF($BA10&gt;=8,"□","■")))))</f>
        <v/>
      </c>
      <c r="N10" s="44">
        <f>IF($BB10=0,"",IF(MOD($BB10,8)=7,IF($BB10&gt;=8,"◇","◆"),IF(MOD($BB10,8)=3,IF($BB10&gt;=8,"▷","▶"),IF(MOD($BB10,8)=5,IF($BB10&gt;=8,"◁","◀"),IF($BB10&gt;=8,"□","■")))))</f>
        <v/>
      </c>
      <c r="O10" s="44">
        <f>IF($BC10=0,"",IF(MOD($BC10,8)=7,IF($BC10&gt;=8,"◇","◆"),IF(MOD($BC10,8)=3,IF($BC10&gt;=8,"▷","▶"),IF(MOD($BC10,8)=5,IF($BC10&gt;=8,"◁","◀"),IF($BC10&gt;=8,"□","■")))))</f>
        <v/>
      </c>
      <c r="P10" s="44">
        <f>IF($BD10=0,"",IF(MOD($BD10,8)=7,IF($BD10&gt;=8,"◇","◆"),IF(MOD($BD10,8)=3,IF($BD10&gt;=8,"▷","▶"),IF(MOD($BD10,8)=5,IF($BD10&gt;=8,"◁","◀"),IF($BD10&gt;=8,"□","■")))))</f>
        <v/>
      </c>
      <c r="Q10" s="44">
        <f>IF($BE10=0,"",IF(MOD($BE10,8)=7,IF($BE10&gt;=8,"◇","◆"),IF(MOD($BE10,8)=3,IF($BE10&gt;=8,"▷","▶"),IF(MOD($BE10,8)=5,IF($BE10&gt;=8,"◁","◀"),IF($BE10&gt;=8,"□","■")))))</f>
        <v/>
      </c>
      <c r="R10" s="44">
        <f>IF($BF10=0,"",IF(MOD($BF10,8)=7,IF($BF10&gt;=8,"◇","◆"),IF(MOD($BF10,8)=3,IF($BF10&gt;=8,"▷","▶"),IF(MOD($BF10,8)=5,IF($BF10&gt;=8,"◁","◀"),IF($BF10&gt;=8,"□","■")))))</f>
        <v/>
      </c>
      <c r="S10" s="44">
        <f>IF($BG10=0,"",IF(MOD($BG10,8)=7,IF($BG10&gt;=8,"◇","◆"),IF(MOD($BG10,8)=3,IF($BG10&gt;=8,"▷","▶"),IF(MOD($BG10,8)=5,IF($BG10&gt;=8,"◁","◀"),IF($BG10&gt;=8,"□","■")))))</f>
        <v/>
      </c>
      <c r="T10" s="44">
        <f>IF($BH10=0,"",IF(MOD($BH10,8)=7,IF($BH10&gt;=8,"◇","◆"),IF(MOD($BH10,8)=3,IF($BH10&gt;=8,"▷","▶"),IF(MOD($BH10,8)=5,IF($BH10&gt;=8,"◁","◀"),IF($BH10&gt;=8,"□","■")))))</f>
        <v/>
      </c>
      <c r="U10" s="44">
        <f>IF($BI10=0,"",IF(MOD($BI10,8)=7,IF($BI10&gt;=8,"◇","◆"),IF(MOD($BI10,8)=3,IF($BI10&gt;=8,"▷","▶"),IF(MOD($BI10,8)=5,IF($BI10&gt;=8,"◁","◀"),IF($BI10&gt;=8,"□","■")))))</f>
        <v/>
      </c>
      <c r="V10" s="44">
        <f>IF($BJ10=0,"",IF(MOD($BJ10,8)=7,IF($BJ10&gt;=8,"◇","◆"),IF(MOD($BJ10,8)=3,IF($BJ10&gt;=8,"▷","▶"),IF(MOD($BJ10,8)=5,IF($BJ10&gt;=8,"◁","◀"),IF($BJ10&gt;=8,"□","■")))))</f>
        <v/>
      </c>
      <c r="W10" s="44">
        <f>IF($BK10=0,"",IF(MOD($BK10,8)=7,IF($BK10&gt;=8,"◇","◆"),IF(MOD($BK10,8)=3,IF($BK10&gt;=8,"▷","▶"),IF(MOD($BK10,8)=5,IF($BK10&gt;=8,"◁","◀"),IF($BK10&gt;=8,"□","■")))))</f>
        <v/>
      </c>
      <c r="X10" s="44">
        <f>IF($BL10=0,"",IF(MOD($BL10,8)=7,IF($BL10&gt;=8,"◇","◆"),IF(MOD($BL10,8)=3,IF($BL10&gt;=8,"▷","▶"),IF(MOD($BL10,8)=5,IF($BL10&gt;=8,"◁","◀"),IF($BL10&gt;=8,"□","■")))))</f>
        <v/>
      </c>
      <c r="Y10" s="44">
        <f>IF($BM10=0,"",IF(MOD($BM10,8)=7,IF($BM10&gt;=8,"◇","◆"),IF(MOD($BM10,8)=3,IF($BM10&gt;=8,"▷","▶"),IF(MOD($BM10,8)=5,IF($BM10&gt;=8,"◁","◀"),IF($BM10&gt;=8,"□","■")))))</f>
        <v/>
      </c>
      <c r="Z10" s="44">
        <f>IF($BN10=0,"",IF(MOD($BN10,8)=7,IF($BN10&gt;=8,"◇","◆"),IF(MOD($BN10,8)=3,IF($BN10&gt;=8,"▷","▶"),IF(MOD($BN10,8)=5,IF($BN10&gt;=8,"◁","◀"),IF($BN10&gt;=8,"□","■")))))</f>
        <v/>
      </c>
      <c r="AA10" s="44">
        <f>IF($BO10=0,"",IF(MOD($BO10,8)=7,IF($BO10&gt;=8,"◇","◆"),IF(MOD($BO10,8)=3,IF($BO10&gt;=8,"▷","▶"),IF(MOD($BO10,8)=5,IF($BO10&gt;=8,"◁","◀"),IF($BO10&gt;=8,"□","■")))))</f>
        <v/>
      </c>
      <c r="AB10" s="44">
        <f>IF($BP10=0,"",IF(MOD($BP10,8)=7,IF($BP10&gt;=8,"◇","◆"),IF(MOD($BP10,8)=3,IF($BP10&gt;=8,"▷","▶"),IF(MOD($BP10,8)=5,IF($BP10&gt;=8,"◁","◀"),IF($BP10&gt;=8,"□","■")))))</f>
        <v/>
      </c>
      <c r="AC10" s="44">
        <f>IF($BQ10=0,"",IF(MOD($BQ10,8)=7,IF($BQ10&gt;=8,"◇","◆"),IF(MOD($BQ10,8)=3,IF($BQ10&gt;=8,"▷","▶"),IF(MOD($BQ10,8)=5,IF($BQ10&gt;=8,"◁","◀"),IF($BQ10&gt;=8,"□","■")))))</f>
        <v/>
      </c>
      <c r="AD10" s="44">
        <f>IF($BR10=0,"",IF(MOD($BR10,8)=7,IF($BR10&gt;=8,"◇","◆"),IF(MOD($BR10,8)=3,IF($BR10&gt;=8,"▷","▶"),IF(MOD($BR10,8)=5,IF($BR10&gt;=8,"◁","◀"),IF($BR10&gt;=8,"□","■")))))</f>
        <v/>
      </c>
      <c r="AE10" s="44">
        <f>IF($BS10=0,"",IF(MOD($BS10,8)=7,IF($BS10&gt;=8,"◇","◆"),IF(MOD($BS10,8)=3,IF($BS10&gt;=8,"▷","▶"),IF(MOD($BS10,8)=5,IF($BS10&gt;=8,"◁","◀"),IF($BS10&gt;=8,"□","■")))))</f>
        <v/>
      </c>
      <c r="AF10" s="44">
        <f>IF($BT10=0,"",IF(MOD($BT10,8)=7,IF($BT10&gt;=8,"◇","◆"),IF(MOD($BT10,8)=3,IF($BT10&gt;=8,"▷","▶"),IF(MOD($BT10,8)=5,IF($BT10&gt;=8,"◁","◀"),IF($BT10&gt;=8,"□","■")))))</f>
        <v/>
      </c>
      <c r="AG10" s="45">
        <f>IF($A10="","",COUNTIF($AP10:$BT10,"&gt;0"))</f>
        <v/>
      </c>
      <c r="AP10">
        <f>IF(OR($A10="",B$4=""),0,SUMPRODUCT(('01_予約入力'!$G$5:$G$404&lt;&gt;"")*('01_予約入力'!$Q$5:$Q$404&lt;&gt;"キャンセル")*('01_予約入力'!$B$5:$B$404=$A10)*('01_予約入力'!$G$5:$G$404&lt;=B$4)*('01_予約入力'!$J$5:$J$404&gt;=B$4)*(1+2*('01_予約入力'!$G$5:$G$404=B$4)+4*('01_予約入力'!$J$5:$J$404=B$4)+8*(('01_予約入力'!$Q$5:$Q$404="仮予約")+('01_予約入力'!$Q$5:$Q$404="調整中")))))</f>
        <v/>
      </c>
      <c r="AQ10">
        <f>IF(OR($A10="",C$4=""),0,SUMPRODUCT(('01_予約入力'!$G$5:$G$404&lt;&gt;"")*('01_予約入力'!$Q$5:$Q$404&lt;&gt;"キャンセル")*('01_予約入力'!$B$5:$B$404=$A10)*('01_予約入力'!$G$5:$G$404&lt;=C$4)*('01_予約入力'!$J$5:$J$404&gt;=C$4)*(1+2*('01_予約入力'!$G$5:$G$404=C$4)+4*('01_予約入力'!$J$5:$J$404=C$4)+8*(('01_予約入力'!$Q$5:$Q$404="仮予約")+('01_予約入力'!$Q$5:$Q$404="調整中")))))</f>
        <v/>
      </c>
      <c r="AR10">
        <f>IF(OR($A10="",D$4=""),0,SUMPRODUCT(('01_予約入力'!$G$5:$G$404&lt;&gt;"")*('01_予約入力'!$Q$5:$Q$404&lt;&gt;"キャンセル")*('01_予約入力'!$B$5:$B$404=$A10)*('01_予約入力'!$G$5:$G$404&lt;=D$4)*('01_予約入力'!$J$5:$J$404&gt;=D$4)*(1+2*('01_予約入力'!$G$5:$G$404=D$4)+4*('01_予約入力'!$J$5:$J$404=D$4)+8*(('01_予約入力'!$Q$5:$Q$404="仮予約")+('01_予約入力'!$Q$5:$Q$404="調整中")))))</f>
        <v/>
      </c>
      <c r="AS10">
        <f>IF(OR($A10="",E$4=""),0,SUMPRODUCT(('01_予約入力'!$G$5:$G$404&lt;&gt;"")*('01_予約入力'!$Q$5:$Q$404&lt;&gt;"キャンセル")*('01_予約入力'!$B$5:$B$404=$A10)*('01_予約入力'!$G$5:$G$404&lt;=E$4)*('01_予約入力'!$J$5:$J$404&gt;=E$4)*(1+2*('01_予約入力'!$G$5:$G$404=E$4)+4*('01_予約入力'!$J$5:$J$404=E$4)+8*(('01_予約入力'!$Q$5:$Q$404="仮予約")+('01_予約入力'!$Q$5:$Q$404="調整中")))))</f>
        <v/>
      </c>
      <c r="AT10">
        <f>IF(OR($A10="",F$4=""),0,SUMPRODUCT(('01_予約入力'!$G$5:$G$404&lt;&gt;"")*('01_予約入力'!$Q$5:$Q$404&lt;&gt;"キャンセル")*('01_予約入力'!$B$5:$B$404=$A10)*('01_予約入力'!$G$5:$G$404&lt;=F$4)*('01_予約入力'!$J$5:$J$404&gt;=F$4)*(1+2*('01_予約入力'!$G$5:$G$404=F$4)+4*('01_予約入力'!$J$5:$J$404=F$4)+8*(('01_予約入力'!$Q$5:$Q$404="仮予約")+('01_予約入力'!$Q$5:$Q$404="調整中")))))</f>
        <v/>
      </c>
      <c r="AU10">
        <f>IF(OR($A10="",G$4=""),0,SUMPRODUCT(('01_予約入力'!$G$5:$G$404&lt;&gt;"")*('01_予約入力'!$Q$5:$Q$404&lt;&gt;"キャンセル")*('01_予約入力'!$B$5:$B$404=$A10)*('01_予約入力'!$G$5:$G$404&lt;=G$4)*('01_予約入力'!$J$5:$J$404&gt;=G$4)*(1+2*('01_予約入力'!$G$5:$G$404=G$4)+4*('01_予約入力'!$J$5:$J$404=G$4)+8*(('01_予約入力'!$Q$5:$Q$404="仮予約")+('01_予約入力'!$Q$5:$Q$404="調整中")))))</f>
        <v/>
      </c>
      <c r="AV10">
        <f>IF(OR($A10="",H$4=""),0,SUMPRODUCT(('01_予約入力'!$G$5:$G$404&lt;&gt;"")*('01_予約入力'!$Q$5:$Q$404&lt;&gt;"キャンセル")*('01_予約入力'!$B$5:$B$404=$A10)*('01_予約入力'!$G$5:$G$404&lt;=H$4)*('01_予約入力'!$J$5:$J$404&gt;=H$4)*(1+2*('01_予約入力'!$G$5:$G$404=H$4)+4*('01_予約入力'!$J$5:$J$404=H$4)+8*(('01_予約入力'!$Q$5:$Q$404="仮予約")+('01_予約入力'!$Q$5:$Q$404="調整中")))))</f>
        <v/>
      </c>
      <c r="AW10">
        <f>IF(OR($A10="",I$4=""),0,SUMPRODUCT(('01_予約入力'!$G$5:$G$404&lt;&gt;"")*('01_予約入力'!$Q$5:$Q$404&lt;&gt;"キャンセル")*('01_予約入力'!$B$5:$B$404=$A10)*('01_予約入力'!$G$5:$G$404&lt;=I$4)*('01_予約入力'!$J$5:$J$404&gt;=I$4)*(1+2*('01_予約入力'!$G$5:$G$404=I$4)+4*('01_予約入力'!$J$5:$J$404=I$4)+8*(('01_予約入力'!$Q$5:$Q$404="仮予約")+('01_予約入力'!$Q$5:$Q$404="調整中")))))</f>
        <v/>
      </c>
      <c r="AX10">
        <f>IF(OR($A10="",J$4=""),0,SUMPRODUCT(('01_予約入力'!$G$5:$G$404&lt;&gt;"")*('01_予約入力'!$Q$5:$Q$404&lt;&gt;"キャンセル")*('01_予約入力'!$B$5:$B$404=$A10)*('01_予約入力'!$G$5:$G$404&lt;=J$4)*('01_予約入力'!$J$5:$J$404&gt;=J$4)*(1+2*('01_予約入力'!$G$5:$G$404=J$4)+4*('01_予約入力'!$J$5:$J$404=J$4)+8*(('01_予約入力'!$Q$5:$Q$404="仮予約")+('01_予約入力'!$Q$5:$Q$404="調整中")))))</f>
        <v/>
      </c>
      <c r="AY10">
        <f>IF(OR($A10="",K$4=""),0,SUMPRODUCT(('01_予約入力'!$G$5:$G$404&lt;&gt;"")*('01_予約入力'!$Q$5:$Q$404&lt;&gt;"キャンセル")*('01_予約入力'!$B$5:$B$404=$A10)*('01_予約入力'!$G$5:$G$404&lt;=K$4)*('01_予約入力'!$J$5:$J$404&gt;=K$4)*(1+2*('01_予約入力'!$G$5:$G$404=K$4)+4*('01_予約入力'!$J$5:$J$404=K$4)+8*(('01_予約入力'!$Q$5:$Q$404="仮予約")+('01_予約入力'!$Q$5:$Q$404="調整中")))))</f>
        <v/>
      </c>
      <c r="AZ10">
        <f>IF(OR($A10="",L$4=""),0,SUMPRODUCT(('01_予約入力'!$G$5:$G$404&lt;&gt;"")*('01_予約入力'!$Q$5:$Q$404&lt;&gt;"キャンセル")*('01_予約入力'!$B$5:$B$404=$A10)*('01_予約入力'!$G$5:$G$404&lt;=L$4)*('01_予約入力'!$J$5:$J$404&gt;=L$4)*(1+2*('01_予約入力'!$G$5:$G$404=L$4)+4*('01_予約入力'!$J$5:$J$404=L$4)+8*(('01_予約入力'!$Q$5:$Q$404="仮予約")+('01_予約入力'!$Q$5:$Q$404="調整中")))))</f>
        <v/>
      </c>
      <c r="BA10">
        <f>IF(OR($A10="",M$4=""),0,SUMPRODUCT(('01_予約入力'!$G$5:$G$404&lt;&gt;"")*('01_予約入力'!$Q$5:$Q$404&lt;&gt;"キャンセル")*('01_予約入力'!$B$5:$B$404=$A10)*('01_予約入力'!$G$5:$G$404&lt;=M$4)*('01_予約入力'!$J$5:$J$404&gt;=M$4)*(1+2*('01_予約入力'!$G$5:$G$404=M$4)+4*('01_予約入力'!$J$5:$J$404=M$4)+8*(('01_予約入力'!$Q$5:$Q$404="仮予約")+('01_予約入力'!$Q$5:$Q$404="調整中")))))</f>
        <v/>
      </c>
      <c r="BB10">
        <f>IF(OR($A10="",N$4=""),0,SUMPRODUCT(('01_予約入力'!$G$5:$G$404&lt;&gt;"")*('01_予約入力'!$Q$5:$Q$404&lt;&gt;"キャンセル")*('01_予約入力'!$B$5:$B$404=$A10)*('01_予約入力'!$G$5:$G$404&lt;=N$4)*('01_予約入力'!$J$5:$J$404&gt;=N$4)*(1+2*('01_予約入力'!$G$5:$G$404=N$4)+4*('01_予約入力'!$J$5:$J$404=N$4)+8*(('01_予約入力'!$Q$5:$Q$404="仮予約")+('01_予約入力'!$Q$5:$Q$404="調整中")))))</f>
        <v/>
      </c>
      <c r="BC10">
        <f>IF(OR($A10="",O$4=""),0,SUMPRODUCT(('01_予約入力'!$G$5:$G$404&lt;&gt;"")*('01_予約入力'!$Q$5:$Q$404&lt;&gt;"キャンセル")*('01_予約入力'!$B$5:$B$404=$A10)*('01_予約入力'!$G$5:$G$404&lt;=O$4)*('01_予約入力'!$J$5:$J$404&gt;=O$4)*(1+2*('01_予約入力'!$G$5:$G$404=O$4)+4*('01_予約入力'!$J$5:$J$404=O$4)+8*(('01_予約入力'!$Q$5:$Q$404="仮予約")+('01_予約入力'!$Q$5:$Q$404="調整中")))))</f>
        <v/>
      </c>
      <c r="BD10">
        <f>IF(OR($A10="",P$4=""),0,SUMPRODUCT(('01_予約入力'!$G$5:$G$404&lt;&gt;"")*('01_予約入力'!$Q$5:$Q$404&lt;&gt;"キャンセル")*('01_予約入力'!$B$5:$B$404=$A10)*('01_予約入力'!$G$5:$G$404&lt;=P$4)*('01_予約入力'!$J$5:$J$404&gt;=P$4)*(1+2*('01_予約入力'!$G$5:$G$404=P$4)+4*('01_予約入力'!$J$5:$J$404=P$4)+8*(('01_予約入力'!$Q$5:$Q$404="仮予約")+('01_予約入力'!$Q$5:$Q$404="調整中")))))</f>
        <v/>
      </c>
      <c r="BE10">
        <f>IF(OR($A10="",Q$4=""),0,SUMPRODUCT(('01_予約入力'!$G$5:$G$404&lt;&gt;"")*('01_予約入力'!$Q$5:$Q$404&lt;&gt;"キャンセル")*('01_予約入力'!$B$5:$B$404=$A10)*('01_予約入力'!$G$5:$G$404&lt;=Q$4)*('01_予約入力'!$J$5:$J$404&gt;=Q$4)*(1+2*('01_予約入力'!$G$5:$G$404=Q$4)+4*('01_予約入力'!$J$5:$J$404=Q$4)+8*(('01_予約入力'!$Q$5:$Q$404="仮予約")+('01_予約入力'!$Q$5:$Q$404="調整中")))))</f>
        <v/>
      </c>
      <c r="BF10">
        <f>IF(OR($A10="",R$4=""),0,SUMPRODUCT(('01_予約入力'!$G$5:$G$404&lt;&gt;"")*('01_予約入力'!$Q$5:$Q$404&lt;&gt;"キャンセル")*('01_予約入力'!$B$5:$B$404=$A10)*('01_予約入力'!$G$5:$G$404&lt;=R$4)*('01_予約入力'!$J$5:$J$404&gt;=R$4)*(1+2*('01_予約入力'!$G$5:$G$404=R$4)+4*('01_予約入力'!$J$5:$J$404=R$4)+8*(('01_予約入力'!$Q$5:$Q$404="仮予約")+('01_予約入力'!$Q$5:$Q$404="調整中")))))</f>
        <v/>
      </c>
      <c r="BG10">
        <f>IF(OR($A10="",S$4=""),0,SUMPRODUCT(('01_予約入力'!$G$5:$G$404&lt;&gt;"")*('01_予約入力'!$Q$5:$Q$404&lt;&gt;"キャンセル")*('01_予約入力'!$B$5:$B$404=$A10)*('01_予約入力'!$G$5:$G$404&lt;=S$4)*('01_予約入力'!$J$5:$J$404&gt;=S$4)*(1+2*('01_予約入力'!$G$5:$G$404=S$4)+4*('01_予約入力'!$J$5:$J$404=S$4)+8*(('01_予約入力'!$Q$5:$Q$404="仮予約")+('01_予約入力'!$Q$5:$Q$404="調整中")))))</f>
        <v/>
      </c>
      <c r="BH10">
        <f>IF(OR($A10="",T$4=""),0,SUMPRODUCT(('01_予約入力'!$G$5:$G$404&lt;&gt;"")*('01_予約入力'!$Q$5:$Q$404&lt;&gt;"キャンセル")*('01_予約入力'!$B$5:$B$404=$A10)*('01_予約入力'!$G$5:$G$404&lt;=T$4)*('01_予約入力'!$J$5:$J$404&gt;=T$4)*(1+2*('01_予約入力'!$G$5:$G$404=T$4)+4*('01_予約入力'!$J$5:$J$404=T$4)+8*(('01_予約入力'!$Q$5:$Q$404="仮予約")+('01_予約入力'!$Q$5:$Q$404="調整中")))))</f>
        <v/>
      </c>
      <c r="BI10">
        <f>IF(OR($A10="",U$4=""),0,SUMPRODUCT(('01_予約入力'!$G$5:$G$404&lt;&gt;"")*('01_予約入力'!$Q$5:$Q$404&lt;&gt;"キャンセル")*('01_予約入力'!$B$5:$B$404=$A10)*('01_予約入力'!$G$5:$G$404&lt;=U$4)*('01_予約入力'!$J$5:$J$404&gt;=U$4)*(1+2*('01_予約入力'!$G$5:$G$404=U$4)+4*('01_予約入力'!$J$5:$J$404=U$4)+8*(('01_予約入力'!$Q$5:$Q$404="仮予約")+('01_予約入力'!$Q$5:$Q$404="調整中")))))</f>
        <v/>
      </c>
      <c r="BJ10">
        <f>IF(OR($A10="",V$4=""),0,SUMPRODUCT(('01_予約入力'!$G$5:$G$404&lt;&gt;"")*('01_予約入力'!$Q$5:$Q$404&lt;&gt;"キャンセル")*('01_予約入力'!$B$5:$B$404=$A10)*('01_予約入力'!$G$5:$G$404&lt;=V$4)*('01_予約入力'!$J$5:$J$404&gt;=V$4)*(1+2*('01_予約入力'!$G$5:$G$404=V$4)+4*('01_予約入力'!$J$5:$J$404=V$4)+8*(('01_予約入力'!$Q$5:$Q$404="仮予約")+('01_予約入力'!$Q$5:$Q$404="調整中")))))</f>
        <v/>
      </c>
      <c r="BK10">
        <f>IF(OR($A10="",W$4=""),0,SUMPRODUCT(('01_予約入力'!$G$5:$G$404&lt;&gt;"")*('01_予約入力'!$Q$5:$Q$404&lt;&gt;"キャンセル")*('01_予約入力'!$B$5:$B$404=$A10)*('01_予約入力'!$G$5:$G$404&lt;=W$4)*('01_予約入力'!$J$5:$J$404&gt;=W$4)*(1+2*('01_予約入力'!$G$5:$G$404=W$4)+4*('01_予約入力'!$J$5:$J$404=W$4)+8*(('01_予約入力'!$Q$5:$Q$404="仮予約")+('01_予約入力'!$Q$5:$Q$404="調整中")))))</f>
        <v/>
      </c>
      <c r="BL10">
        <f>IF(OR($A10="",X$4=""),0,SUMPRODUCT(('01_予約入力'!$G$5:$G$404&lt;&gt;"")*('01_予約入力'!$Q$5:$Q$404&lt;&gt;"キャンセル")*('01_予約入力'!$B$5:$B$404=$A10)*('01_予約入力'!$G$5:$G$404&lt;=X$4)*('01_予約入力'!$J$5:$J$404&gt;=X$4)*(1+2*('01_予約入力'!$G$5:$G$404=X$4)+4*('01_予約入力'!$J$5:$J$404=X$4)+8*(('01_予約入力'!$Q$5:$Q$404="仮予約")+('01_予約入力'!$Q$5:$Q$404="調整中")))))</f>
        <v/>
      </c>
      <c r="BM10">
        <f>IF(OR($A10="",Y$4=""),0,SUMPRODUCT(('01_予約入力'!$G$5:$G$404&lt;&gt;"")*('01_予約入力'!$Q$5:$Q$404&lt;&gt;"キャンセル")*('01_予約入力'!$B$5:$B$404=$A10)*('01_予約入力'!$G$5:$G$404&lt;=Y$4)*('01_予約入力'!$J$5:$J$404&gt;=Y$4)*(1+2*('01_予約入力'!$G$5:$G$404=Y$4)+4*('01_予約入力'!$J$5:$J$404=Y$4)+8*(('01_予約入力'!$Q$5:$Q$404="仮予約")+('01_予約入力'!$Q$5:$Q$404="調整中")))))</f>
        <v/>
      </c>
      <c r="BN10">
        <f>IF(OR($A10="",Z$4=""),0,SUMPRODUCT(('01_予約入力'!$G$5:$G$404&lt;&gt;"")*('01_予約入力'!$Q$5:$Q$404&lt;&gt;"キャンセル")*('01_予約入力'!$B$5:$B$404=$A10)*('01_予約入力'!$G$5:$G$404&lt;=Z$4)*('01_予約入力'!$J$5:$J$404&gt;=Z$4)*(1+2*('01_予約入力'!$G$5:$G$404=Z$4)+4*('01_予約入力'!$J$5:$J$404=Z$4)+8*(('01_予約入力'!$Q$5:$Q$404="仮予約")+('01_予約入力'!$Q$5:$Q$404="調整中")))))</f>
        <v/>
      </c>
      <c r="BO10">
        <f>IF(OR($A10="",AA$4=""),0,SUMPRODUCT(('01_予約入力'!$G$5:$G$404&lt;&gt;"")*('01_予約入力'!$Q$5:$Q$404&lt;&gt;"キャンセル")*('01_予約入力'!$B$5:$B$404=$A10)*('01_予約入力'!$G$5:$G$404&lt;=AA$4)*('01_予約入力'!$J$5:$J$404&gt;=AA$4)*(1+2*('01_予約入力'!$G$5:$G$404=AA$4)+4*('01_予約入力'!$J$5:$J$404=AA$4)+8*(('01_予約入力'!$Q$5:$Q$404="仮予約")+('01_予約入力'!$Q$5:$Q$404="調整中")))))</f>
        <v/>
      </c>
      <c r="BP10">
        <f>IF(OR($A10="",AB$4=""),0,SUMPRODUCT(('01_予約入力'!$G$5:$G$404&lt;&gt;"")*('01_予約入力'!$Q$5:$Q$404&lt;&gt;"キャンセル")*('01_予約入力'!$B$5:$B$404=$A10)*('01_予約入力'!$G$5:$G$404&lt;=AB$4)*('01_予約入力'!$J$5:$J$404&gt;=AB$4)*(1+2*('01_予約入力'!$G$5:$G$404=AB$4)+4*('01_予約入力'!$J$5:$J$404=AB$4)+8*(('01_予約入力'!$Q$5:$Q$404="仮予約")+('01_予約入力'!$Q$5:$Q$404="調整中")))))</f>
        <v/>
      </c>
      <c r="BQ10">
        <f>IF(OR($A10="",AC$4=""),0,SUMPRODUCT(('01_予約入力'!$G$5:$G$404&lt;&gt;"")*('01_予約入力'!$Q$5:$Q$404&lt;&gt;"キャンセル")*('01_予約入力'!$B$5:$B$404=$A10)*('01_予約入力'!$G$5:$G$404&lt;=AC$4)*('01_予約入力'!$J$5:$J$404&gt;=AC$4)*(1+2*('01_予約入力'!$G$5:$G$404=AC$4)+4*('01_予約入力'!$J$5:$J$404=AC$4)+8*(('01_予約入力'!$Q$5:$Q$404="仮予約")+('01_予約入力'!$Q$5:$Q$404="調整中")))))</f>
        <v/>
      </c>
      <c r="BR10">
        <f>IF(OR($A10="",AD$4=""),0,SUMPRODUCT(('01_予約入力'!$G$5:$G$404&lt;&gt;"")*('01_予約入力'!$Q$5:$Q$404&lt;&gt;"キャンセル")*('01_予約入力'!$B$5:$B$404=$A10)*('01_予約入力'!$G$5:$G$404&lt;=AD$4)*('01_予約入力'!$J$5:$J$404&gt;=AD$4)*(1+2*('01_予約入力'!$G$5:$G$404=AD$4)+4*('01_予約入力'!$J$5:$J$404=AD$4)+8*(('01_予約入力'!$Q$5:$Q$404="仮予約")+('01_予約入力'!$Q$5:$Q$404="調整中")))))</f>
        <v/>
      </c>
      <c r="BS10">
        <f>IF(OR($A10="",AE$4=""),0,SUMPRODUCT(('01_予約入力'!$G$5:$G$404&lt;&gt;"")*('01_予約入力'!$Q$5:$Q$404&lt;&gt;"キャンセル")*('01_予約入力'!$B$5:$B$404=$A10)*('01_予約入力'!$G$5:$G$404&lt;=AE$4)*('01_予約入力'!$J$5:$J$404&gt;=AE$4)*(1+2*('01_予約入力'!$G$5:$G$404=AE$4)+4*('01_予約入力'!$J$5:$J$404=AE$4)+8*(('01_予約入力'!$Q$5:$Q$404="仮予約")+('01_予約入力'!$Q$5:$Q$404="調整中")))))</f>
        <v/>
      </c>
      <c r="BT10">
        <f>IF(OR($A10="",AF$4=""),0,SUMPRODUCT(('01_予約入力'!$G$5:$G$404&lt;&gt;"")*('01_予約入力'!$Q$5:$Q$404&lt;&gt;"キャンセル")*('01_予約入力'!$B$5:$B$404=$A10)*('01_予約入力'!$G$5:$G$404&lt;=AF$4)*('01_予約入力'!$J$5:$J$404&gt;=AF$4)*(1+2*('01_予約入力'!$G$5:$G$404=AF$4)+4*('01_予約入力'!$J$5:$J$404=AF$4)+8*(('01_予約入力'!$Q$5:$Q$404="仮予約")+('01_予約入力'!$Q$5:$Q$404="調整中")))))</f>
        <v/>
      </c>
    </row>
    <row r="11" ht="19" customHeight="1">
      <c r="A11" s="43">
        <f>IF(COUNTA('利用者マスタ'!$A$4:$A$60)&gt;=5,INDEX('利用者マスタ'!$A$4:$A$60,5),"")</f>
        <v/>
      </c>
      <c r="B11" s="44">
        <f>IF($AP11=0,"",IF(MOD($AP11,8)=7,IF($AP11&gt;=8,"◇","◆"),IF(MOD($AP11,8)=3,IF($AP11&gt;=8,"▷","▶"),IF(MOD($AP11,8)=5,IF($AP11&gt;=8,"◁","◀"),IF($AP11&gt;=8,"□","■")))))</f>
        <v/>
      </c>
      <c r="C11" s="44">
        <f>IF($AQ11=0,"",IF(MOD($AQ11,8)=7,IF($AQ11&gt;=8,"◇","◆"),IF(MOD($AQ11,8)=3,IF($AQ11&gt;=8,"▷","▶"),IF(MOD($AQ11,8)=5,IF($AQ11&gt;=8,"◁","◀"),IF($AQ11&gt;=8,"□","■")))))</f>
        <v/>
      </c>
      <c r="D11" s="44">
        <f>IF($AR11=0,"",IF(MOD($AR11,8)=7,IF($AR11&gt;=8,"◇","◆"),IF(MOD($AR11,8)=3,IF($AR11&gt;=8,"▷","▶"),IF(MOD($AR11,8)=5,IF($AR11&gt;=8,"◁","◀"),IF($AR11&gt;=8,"□","■")))))</f>
        <v/>
      </c>
      <c r="E11" s="44">
        <f>IF($AS11=0,"",IF(MOD($AS11,8)=7,IF($AS11&gt;=8,"◇","◆"),IF(MOD($AS11,8)=3,IF($AS11&gt;=8,"▷","▶"),IF(MOD($AS11,8)=5,IF($AS11&gt;=8,"◁","◀"),IF($AS11&gt;=8,"□","■")))))</f>
        <v/>
      </c>
      <c r="F11" s="44">
        <f>IF($AT11=0,"",IF(MOD($AT11,8)=7,IF($AT11&gt;=8,"◇","◆"),IF(MOD($AT11,8)=3,IF($AT11&gt;=8,"▷","▶"),IF(MOD($AT11,8)=5,IF($AT11&gt;=8,"◁","◀"),IF($AT11&gt;=8,"□","■")))))</f>
        <v/>
      </c>
      <c r="G11" s="44">
        <f>IF($AU11=0,"",IF(MOD($AU11,8)=7,IF($AU11&gt;=8,"◇","◆"),IF(MOD($AU11,8)=3,IF($AU11&gt;=8,"▷","▶"),IF(MOD($AU11,8)=5,IF($AU11&gt;=8,"◁","◀"),IF($AU11&gt;=8,"□","■")))))</f>
        <v/>
      </c>
      <c r="H11" s="44">
        <f>IF($AV11=0,"",IF(MOD($AV11,8)=7,IF($AV11&gt;=8,"◇","◆"),IF(MOD($AV11,8)=3,IF($AV11&gt;=8,"▷","▶"),IF(MOD($AV11,8)=5,IF($AV11&gt;=8,"◁","◀"),IF($AV11&gt;=8,"□","■")))))</f>
        <v/>
      </c>
      <c r="I11" s="44">
        <f>IF($AW11=0,"",IF(MOD($AW11,8)=7,IF($AW11&gt;=8,"◇","◆"),IF(MOD($AW11,8)=3,IF($AW11&gt;=8,"▷","▶"),IF(MOD($AW11,8)=5,IF($AW11&gt;=8,"◁","◀"),IF($AW11&gt;=8,"□","■")))))</f>
        <v/>
      </c>
      <c r="J11" s="44">
        <f>IF($AX11=0,"",IF(MOD($AX11,8)=7,IF($AX11&gt;=8,"◇","◆"),IF(MOD($AX11,8)=3,IF($AX11&gt;=8,"▷","▶"),IF(MOD($AX11,8)=5,IF($AX11&gt;=8,"◁","◀"),IF($AX11&gt;=8,"□","■")))))</f>
        <v/>
      </c>
      <c r="K11" s="44">
        <f>IF($AY11=0,"",IF(MOD($AY11,8)=7,IF($AY11&gt;=8,"◇","◆"),IF(MOD($AY11,8)=3,IF($AY11&gt;=8,"▷","▶"),IF(MOD($AY11,8)=5,IF($AY11&gt;=8,"◁","◀"),IF($AY11&gt;=8,"□","■")))))</f>
        <v/>
      </c>
      <c r="L11" s="44">
        <f>IF($AZ11=0,"",IF(MOD($AZ11,8)=7,IF($AZ11&gt;=8,"◇","◆"),IF(MOD($AZ11,8)=3,IF($AZ11&gt;=8,"▷","▶"),IF(MOD($AZ11,8)=5,IF($AZ11&gt;=8,"◁","◀"),IF($AZ11&gt;=8,"□","■")))))</f>
        <v/>
      </c>
      <c r="M11" s="44">
        <f>IF($BA11=0,"",IF(MOD($BA11,8)=7,IF($BA11&gt;=8,"◇","◆"),IF(MOD($BA11,8)=3,IF($BA11&gt;=8,"▷","▶"),IF(MOD($BA11,8)=5,IF($BA11&gt;=8,"◁","◀"),IF($BA11&gt;=8,"□","■")))))</f>
        <v/>
      </c>
      <c r="N11" s="44">
        <f>IF($BB11=0,"",IF(MOD($BB11,8)=7,IF($BB11&gt;=8,"◇","◆"),IF(MOD($BB11,8)=3,IF($BB11&gt;=8,"▷","▶"),IF(MOD($BB11,8)=5,IF($BB11&gt;=8,"◁","◀"),IF($BB11&gt;=8,"□","■")))))</f>
        <v/>
      </c>
      <c r="O11" s="44">
        <f>IF($BC11=0,"",IF(MOD($BC11,8)=7,IF($BC11&gt;=8,"◇","◆"),IF(MOD($BC11,8)=3,IF($BC11&gt;=8,"▷","▶"),IF(MOD($BC11,8)=5,IF($BC11&gt;=8,"◁","◀"),IF($BC11&gt;=8,"□","■")))))</f>
        <v/>
      </c>
      <c r="P11" s="44">
        <f>IF($BD11=0,"",IF(MOD($BD11,8)=7,IF($BD11&gt;=8,"◇","◆"),IF(MOD($BD11,8)=3,IF($BD11&gt;=8,"▷","▶"),IF(MOD($BD11,8)=5,IF($BD11&gt;=8,"◁","◀"),IF($BD11&gt;=8,"□","■")))))</f>
        <v/>
      </c>
      <c r="Q11" s="44">
        <f>IF($BE11=0,"",IF(MOD($BE11,8)=7,IF($BE11&gt;=8,"◇","◆"),IF(MOD($BE11,8)=3,IF($BE11&gt;=8,"▷","▶"),IF(MOD($BE11,8)=5,IF($BE11&gt;=8,"◁","◀"),IF($BE11&gt;=8,"□","■")))))</f>
        <v/>
      </c>
      <c r="R11" s="44">
        <f>IF($BF11=0,"",IF(MOD($BF11,8)=7,IF($BF11&gt;=8,"◇","◆"),IF(MOD($BF11,8)=3,IF($BF11&gt;=8,"▷","▶"),IF(MOD($BF11,8)=5,IF($BF11&gt;=8,"◁","◀"),IF($BF11&gt;=8,"□","■")))))</f>
        <v/>
      </c>
      <c r="S11" s="44">
        <f>IF($BG11=0,"",IF(MOD($BG11,8)=7,IF($BG11&gt;=8,"◇","◆"),IF(MOD($BG11,8)=3,IF($BG11&gt;=8,"▷","▶"),IF(MOD($BG11,8)=5,IF($BG11&gt;=8,"◁","◀"),IF($BG11&gt;=8,"□","■")))))</f>
        <v/>
      </c>
      <c r="T11" s="44">
        <f>IF($BH11=0,"",IF(MOD($BH11,8)=7,IF($BH11&gt;=8,"◇","◆"),IF(MOD($BH11,8)=3,IF($BH11&gt;=8,"▷","▶"),IF(MOD($BH11,8)=5,IF($BH11&gt;=8,"◁","◀"),IF($BH11&gt;=8,"□","■")))))</f>
        <v/>
      </c>
      <c r="U11" s="44">
        <f>IF($BI11=0,"",IF(MOD($BI11,8)=7,IF($BI11&gt;=8,"◇","◆"),IF(MOD($BI11,8)=3,IF($BI11&gt;=8,"▷","▶"),IF(MOD($BI11,8)=5,IF($BI11&gt;=8,"◁","◀"),IF($BI11&gt;=8,"□","■")))))</f>
        <v/>
      </c>
      <c r="V11" s="44">
        <f>IF($BJ11=0,"",IF(MOD($BJ11,8)=7,IF($BJ11&gt;=8,"◇","◆"),IF(MOD($BJ11,8)=3,IF($BJ11&gt;=8,"▷","▶"),IF(MOD($BJ11,8)=5,IF($BJ11&gt;=8,"◁","◀"),IF($BJ11&gt;=8,"□","■")))))</f>
        <v/>
      </c>
      <c r="W11" s="44">
        <f>IF($BK11=0,"",IF(MOD($BK11,8)=7,IF($BK11&gt;=8,"◇","◆"),IF(MOD($BK11,8)=3,IF($BK11&gt;=8,"▷","▶"),IF(MOD($BK11,8)=5,IF($BK11&gt;=8,"◁","◀"),IF($BK11&gt;=8,"□","■")))))</f>
        <v/>
      </c>
      <c r="X11" s="44">
        <f>IF($BL11=0,"",IF(MOD($BL11,8)=7,IF($BL11&gt;=8,"◇","◆"),IF(MOD($BL11,8)=3,IF($BL11&gt;=8,"▷","▶"),IF(MOD($BL11,8)=5,IF($BL11&gt;=8,"◁","◀"),IF($BL11&gt;=8,"□","■")))))</f>
        <v/>
      </c>
      <c r="Y11" s="44">
        <f>IF($BM11=0,"",IF(MOD($BM11,8)=7,IF($BM11&gt;=8,"◇","◆"),IF(MOD($BM11,8)=3,IF($BM11&gt;=8,"▷","▶"),IF(MOD($BM11,8)=5,IF($BM11&gt;=8,"◁","◀"),IF($BM11&gt;=8,"□","■")))))</f>
        <v/>
      </c>
      <c r="Z11" s="44">
        <f>IF($BN11=0,"",IF(MOD($BN11,8)=7,IF($BN11&gt;=8,"◇","◆"),IF(MOD($BN11,8)=3,IF($BN11&gt;=8,"▷","▶"),IF(MOD($BN11,8)=5,IF($BN11&gt;=8,"◁","◀"),IF($BN11&gt;=8,"□","■")))))</f>
        <v/>
      </c>
      <c r="AA11" s="44">
        <f>IF($BO11=0,"",IF(MOD($BO11,8)=7,IF($BO11&gt;=8,"◇","◆"),IF(MOD($BO11,8)=3,IF($BO11&gt;=8,"▷","▶"),IF(MOD($BO11,8)=5,IF($BO11&gt;=8,"◁","◀"),IF($BO11&gt;=8,"□","■")))))</f>
        <v/>
      </c>
      <c r="AB11" s="44">
        <f>IF($BP11=0,"",IF(MOD($BP11,8)=7,IF($BP11&gt;=8,"◇","◆"),IF(MOD($BP11,8)=3,IF($BP11&gt;=8,"▷","▶"),IF(MOD($BP11,8)=5,IF($BP11&gt;=8,"◁","◀"),IF($BP11&gt;=8,"□","■")))))</f>
        <v/>
      </c>
      <c r="AC11" s="44">
        <f>IF($BQ11=0,"",IF(MOD($BQ11,8)=7,IF($BQ11&gt;=8,"◇","◆"),IF(MOD($BQ11,8)=3,IF($BQ11&gt;=8,"▷","▶"),IF(MOD($BQ11,8)=5,IF($BQ11&gt;=8,"◁","◀"),IF($BQ11&gt;=8,"□","■")))))</f>
        <v/>
      </c>
      <c r="AD11" s="44">
        <f>IF($BR11=0,"",IF(MOD($BR11,8)=7,IF($BR11&gt;=8,"◇","◆"),IF(MOD($BR11,8)=3,IF($BR11&gt;=8,"▷","▶"),IF(MOD($BR11,8)=5,IF($BR11&gt;=8,"◁","◀"),IF($BR11&gt;=8,"□","■")))))</f>
        <v/>
      </c>
      <c r="AE11" s="44">
        <f>IF($BS11=0,"",IF(MOD($BS11,8)=7,IF($BS11&gt;=8,"◇","◆"),IF(MOD($BS11,8)=3,IF($BS11&gt;=8,"▷","▶"),IF(MOD($BS11,8)=5,IF($BS11&gt;=8,"◁","◀"),IF($BS11&gt;=8,"□","■")))))</f>
        <v/>
      </c>
      <c r="AF11" s="44">
        <f>IF($BT11=0,"",IF(MOD($BT11,8)=7,IF($BT11&gt;=8,"◇","◆"),IF(MOD($BT11,8)=3,IF($BT11&gt;=8,"▷","▶"),IF(MOD($BT11,8)=5,IF($BT11&gt;=8,"◁","◀"),IF($BT11&gt;=8,"□","■")))))</f>
        <v/>
      </c>
      <c r="AG11" s="45">
        <f>IF($A11="","",COUNTIF($AP11:$BT11,"&gt;0"))</f>
        <v/>
      </c>
      <c r="AP11">
        <f>IF(OR($A11="",B$4=""),0,SUMPRODUCT(('01_予約入力'!$G$5:$G$404&lt;&gt;"")*('01_予約入力'!$Q$5:$Q$404&lt;&gt;"キャンセル")*('01_予約入力'!$B$5:$B$404=$A11)*('01_予約入力'!$G$5:$G$404&lt;=B$4)*('01_予約入力'!$J$5:$J$404&gt;=B$4)*(1+2*('01_予約入力'!$G$5:$G$404=B$4)+4*('01_予約入力'!$J$5:$J$404=B$4)+8*(('01_予約入力'!$Q$5:$Q$404="仮予約")+('01_予約入力'!$Q$5:$Q$404="調整中")))))</f>
        <v/>
      </c>
      <c r="AQ11">
        <f>IF(OR($A11="",C$4=""),0,SUMPRODUCT(('01_予約入力'!$G$5:$G$404&lt;&gt;"")*('01_予約入力'!$Q$5:$Q$404&lt;&gt;"キャンセル")*('01_予約入力'!$B$5:$B$404=$A11)*('01_予約入力'!$G$5:$G$404&lt;=C$4)*('01_予約入力'!$J$5:$J$404&gt;=C$4)*(1+2*('01_予約入力'!$G$5:$G$404=C$4)+4*('01_予約入力'!$J$5:$J$404=C$4)+8*(('01_予約入力'!$Q$5:$Q$404="仮予約")+('01_予約入力'!$Q$5:$Q$404="調整中")))))</f>
        <v/>
      </c>
      <c r="AR11">
        <f>IF(OR($A11="",D$4=""),0,SUMPRODUCT(('01_予約入力'!$G$5:$G$404&lt;&gt;"")*('01_予約入力'!$Q$5:$Q$404&lt;&gt;"キャンセル")*('01_予約入力'!$B$5:$B$404=$A11)*('01_予約入力'!$G$5:$G$404&lt;=D$4)*('01_予約入力'!$J$5:$J$404&gt;=D$4)*(1+2*('01_予約入力'!$G$5:$G$404=D$4)+4*('01_予約入力'!$J$5:$J$404=D$4)+8*(('01_予約入力'!$Q$5:$Q$404="仮予約")+('01_予約入力'!$Q$5:$Q$404="調整中")))))</f>
        <v/>
      </c>
      <c r="AS11">
        <f>IF(OR($A11="",E$4=""),0,SUMPRODUCT(('01_予約入力'!$G$5:$G$404&lt;&gt;"")*('01_予約入力'!$Q$5:$Q$404&lt;&gt;"キャンセル")*('01_予約入力'!$B$5:$B$404=$A11)*('01_予約入力'!$G$5:$G$404&lt;=E$4)*('01_予約入力'!$J$5:$J$404&gt;=E$4)*(1+2*('01_予約入力'!$G$5:$G$404=E$4)+4*('01_予約入力'!$J$5:$J$404=E$4)+8*(('01_予約入力'!$Q$5:$Q$404="仮予約")+('01_予約入力'!$Q$5:$Q$404="調整中")))))</f>
        <v/>
      </c>
      <c r="AT11">
        <f>IF(OR($A11="",F$4=""),0,SUMPRODUCT(('01_予約入力'!$G$5:$G$404&lt;&gt;"")*('01_予約入力'!$Q$5:$Q$404&lt;&gt;"キャンセル")*('01_予約入力'!$B$5:$B$404=$A11)*('01_予約入力'!$G$5:$G$404&lt;=F$4)*('01_予約入力'!$J$5:$J$404&gt;=F$4)*(1+2*('01_予約入力'!$G$5:$G$404=F$4)+4*('01_予約入力'!$J$5:$J$404=F$4)+8*(('01_予約入力'!$Q$5:$Q$404="仮予約")+('01_予約入力'!$Q$5:$Q$404="調整中")))))</f>
        <v/>
      </c>
      <c r="AU11">
        <f>IF(OR($A11="",G$4=""),0,SUMPRODUCT(('01_予約入力'!$G$5:$G$404&lt;&gt;"")*('01_予約入力'!$Q$5:$Q$404&lt;&gt;"キャンセル")*('01_予約入力'!$B$5:$B$404=$A11)*('01_予約入力'!$G$5:$G$404&lt;=G$4)*('01_予約入力'!$J$5:$J$404&gt;=G$4)*(1+2*('01_予約入力'!$G$5:$G$404=G$4)+4*('01_予約入力'!$J$5:$J$404=G$4)+8*(('01_予約入力'!$Q$5:$Q$404="仮予約")+('01_予約入力'!$Q$5:$Q$404="調整中")))))</f>
        <v/>
      </c>
      <c r="AV11">
        <f>IF(OR($A11="",H$4=""),0,SUMPRODUCT(('01_予約入力'!$G$5:$G$404&lt;&gt;"")*('01_予約入力'!$Q$5:$Q$404&lt;&gt;"キャンセル")*('01_予約入力'!$B$5:$B$404=$A11)*('01_予約入力'!$G$5:$G$404&lt;=H$4)*('01_予約入力'!$J$5:$J$404&gt;=H$4)*(1+2*('01_予約入力'!$G$5:$G$404=H$4)+4*('01_予約入力'!$J$5:$J$404=H$4)+8*(('01_予約入力'!$Q$5:$Q$404="仮予約")+('01_予約入力'!$Q$5:$Q$404="調整中")))))</f>
        <v/>
      </c>
      <c r="AW11">
        <f>IF(OR($A11="",I$4=""),0,SUMPRODUCT(('01_予約入力'!$G$5:$G$404&lt;&gt;"")*('01_予約入力'!$Q$5:$Q$404&lt;&gt;"キャンセル")*('01_予約入力'!$B$5:$B$404=$A11)*('01_予約入力'!$G$5:$G$404&lt;=I$4)*('01_予約入力'!$J$5:$J$404&gt;=I$4)*(1+2*('01_予約入力'!$G$5:$G$404=I$4)+4*('01_予約入力'!$J$5:$J$404=I$4)+8*(('01_予約入力'!$Q$5:$Q$404="仮予約")+('01_予約入力'!$Q$5:$Q$404="調整中")))))</f>
        <v/>
      </c>
      <c r="AX11">
        <f>IF(OR($A11="",J$4=""),0,SUMPRODUCT(('01_予約入力'!$G$5:$G$404&lt;&gt;"")*('01_予約入力'!$Q$5:$Q$404&lt;&gt;"キャンセル")*('01_予約入力'!$B$5:$B$404=$A11)*('01_予約入力'!$G$5:$G$404&lt;=J$4)*('01_予約入力'!$J$5:$J$404&gt;=J$4)*(1+2*('01_予約入力'!$G$5:$G$404=J$4)+4*('01_予約入力'!$J$5:$J$404=J$4)+8*(('01_予約入力'!$Q$5:$Q$404="仮予約")+('01_予約入力'!$Q$5:$Q$404="調整中")))))</f>
        <v/>
      </c>
      <c r="AY11">
        <f>IF(OR($A11="",K$4=""),0,SUMPRODUCT(('01_予約入力'!$G$5:$G$404&lt;&gt;"")*('01_予約入力'!$Q$5:$Q$404&lt;&gt;"キャンセル")*('01_予約入力'!$B$5:$B$404=$A11)*('01_予約入力'!$G$5:$G$404&lt;=K$4)*('01_予約入力'!$J$5:$J$404&gt;=K$4)*(1+2*('01_予約入力'!$G$5:$G$404=K$4)+4*('01_予約入力'!$J$5:$J$404=K$4)+8*(('01_予約入力'!$Q$5:$Q$404="仮予約")+('01_予約入力'!$Q$5:$Q$404="調整中")))))</f>
        <v/>
      </c>
      <c r="AZ11">
        <f>IF(OR($A11="",L$4=""),0,SUMPRODUCT(('01_予約入力'!$G$5:$G$404&lt;&gt;"")*('01_予約入力'!$Q$5:$Q$404&lt;&gt;"キャンセル")*('01_予約入力'!$B$5:$B$404=$A11)*('01_予約入力'!$G$5:$G$404&lt;=L$4)*('01_予約入力'!$J$5:$J$404&gt;=L$4)*(1+2*('01_予約入力'!$G$5:$G$404=L$4)+4*('01_予約入力'!$J$5:$J$404=L$4)+8*(('01_予約入力'!$Q$5:$Q$404="仮予約")+('01_予約入力'!$Q$5:$Q$404="調整中")))))</f>
        <v/>
      </c>
      <c r="BA11">
        <f>IF(OR($A11="",M$4=""),0,SUMPRODUCT(('01_予約入力'!$G$5:$G$404&lt;&gt;"")*('01_予約入力'!$Q$5:$Q$404&lt;&gt;"キャンセル")*('01_予約入力'!$B$5:$B$404=$A11)*('01_予約入力'!$G$5:$G$404&lt;=M$4)*('01_予約入力'!$J$5:$J$404&gt;=M$4)*(1+2*('01_予約入力'!$G$5:$G$404=M$4)+4*('01_予約入力'!$J$5:$J$404=M$4)+8*(('01_予約入力'!$Q$5:$Q$404="仮予約")+('01_予約入力'!$Q$5:$Q$404="調整中")))))</f>
        <v/>
      </c>
      <c r="BB11">
        <f>IF(OR($A11="",N$4=""),0,SUMPRODUCT(('01_予約入力'!$G$5:$G$404&lt;&gt;"")*('01_予約入力'!$Q$5:$Q$404&lt;&gt;"キャンセル")*('01_予約入力'!$B$5:$B$404=$A11)*('01_予約入力'!$G$5:$G$404&lt;=N$4)*('01_予約入力'!$J$5:$J$404&gt;=N$4)*(1+2*('01_予約入力'!$G$5:$G$404=N$4)+4*('01_予約入力'!$J$5:$J$404=N$4)+8*(('01_予約入力'!$Q$5:$Q$404="仮予約")+('01_予約入力'!$Q$5:$Q$404="調整中")))))</f>
        <v/>
      </c>
      <c r="BC11">
        <f>IF(OR($A11="",O$4=""),0,SUMPRODUCT(('01_予約入力'!$G$5:$G$404&lt;&gt;"")*('01_予約入力'!$Q$5:$Q$404&lt;&gt;"キャンセル")*('01_予約入力'!$B$5:$B$404=$A11)*('01_予約入力'!$G$5:$G$404&lt;=O$4)*('01_予約入力'!$J$5:$J$404&gt;=O$4)*(1+2*('01_予約入力'!$G$5:$G$404=O$4)+4*('01_予約入力'!$J$5:$J$404=O$4)+8*(('01_予約入力'!$Q$5:$Q$404="仮予約")+('01_予約入力'!$Q$5:$Q$404="調整中")))))</f>
        <v/>
      </c>
      <c r="BD11">
        <f>IF(OR($A11="",P$4=""),0,SUMPRODUCT(('01_予約入力'!$G$5:$G$404&lt;&gt;"")*('01_予約入力'!$Q$5:$Q$404&lt;&gt;"キャンセル")*('01_予約入力'!$B$5:$B$404=$A11)*('01_予約入力'!$G$5:$G$404&lt;=P$4)*('01_予約入力'!$J$5:$J$404&gt;=P$4)*(1+2*('01_予約入力'!$G$5:$G$404=P$4)+4*('01_予約入力'!$J$5:$J$404=P$4)+8*(('01_予約入力'!$Q$5:$Q$404="仮予約")+('01_予約入力'!$Q$5:$Q$404="調整中")))))</f>
        <v/>
      </c>
      <c r="BE11">
        <f>IF(OR($A11="",Q$4=""),0,SUMPRODUCT(('01_予約入力'!$G$5:$G$404&lt;&gt;"")*('01_予約入力'!$Q$5:$Q$404&lt;&gt;"キャンセル")*('01_予約入力'!$B$5:$B$404=$A11)*('01_予約入力'!$G$5:$G$404&lt;=Q$4)*('01_予約入力'!$J$5:$J$404&gt;=Q$4)*(1+2*('01_予約入力'!$G$5:$G$404=Q$4)+4*('01_予約入力'!$J$5:$J$404=Q$4)+8*(('01_予約入力'!$Q$5:$Q$404="仮予約")+('01_予約入力'!$Q$5:$Q$404="調整中")))))</f>
        <v/>
      </c>
      <c r="BF11">
        <f>IF(OR($A11="",R$4=""),0,SUMPRODUCT(('01_予約入力'!$G$5:$G$404&lt;&gt;"")*('01_予約入力'!$Q$5:$Q$404&lt;&gt;"キャンセル")*('01_予約入力'!$B$5:$B$404=$A11)*('01_予約入力'!$G$5:$G$404&lt;=R$4)*('01_予約入力'!$J$5:$J$404&gt;=R$4)*(1+2*('01_予約入力'!$G$5:$G$404=R$4)+4*('01_予約入力'!$J$5:$J$404=R$4)+8*(('01_予約入力'!$Q$5:$Q$404="仮予約")+('01_予約入力'!$Q$5:$Q$404="調整中")))))</f>
        <v/>
      </c>
      <c r="BG11">
        <f>IF(OR($A11="",S$4=""),0,SUMPRODUCT(('01_予約入力'!$G$5:$G$404&lt;&gt;"")*('01_予約入力'!$Q$5:$Q$404&lt;&gt;"キャンセル")*('01_予約入力'!$B$5:$B$404=$A11)*('01_予約入力'!$G$5:$G$404&lt;=S$4)*('01_予約入力'!$J$5:$J$404&gt;=S$4)*(1+2*('01_予約入力'!$G$5:$G$404=S$4)+4*('01_予約入力'!$J$5:$J$404=S$4)+8*(('01_予約入力'!$Q$5:$Q$404="仮予約")+('01_予約入力'!$Q$5:$Q$404="調整中")))))</f>
        <v/>
      </c>
      <c r="BH11">
        <f>IF(OR($A11="",T$4=""),0,SUMPRODUCT(('01_予約入力'!$G$5:$G$404&lt;&gt;"")*('01_予約入力'!$Q$5:$Q$404&lt;&gt;"キャンセル")*('01_予約入力'!$B$5:$B$404=$A11)*('01_予約入力'!$G$5:$G$404&lt;=T$4)*('01_予約入力'!$J$5:$J$404&gt;=T$4)*(1+2*('01_予約入力'!$G$5:$G$404=T$4)+4*('01_予約入力'!$J$5:$J$404=T$4)+8*(('01_予約入力'!$Q$5:$Q$404="仮予約")+('01_予約入力'!$Q$5:$Q$404="調整中")))))</f>
        <v/>
      </c>
      <c r="BI11">
        <f>IF(OR($A11="",U$4=""),0,SUMPRODUCT(('01_予約入力'!$G$5:$G$404&lt;&gt;"")*('01_予約入力'!$Q$5:$Q$404&lt;&gt;"キャンセル")*('01_予約入力'!$B$5:$B$404=$A11)*('01_予約入力'!$G$5:$G$404&lt;=U$4)*('01_予約入力'!$J$5:$J$404&gt;=U$4)*(1+2*('01_予約入力'!$G$5:$G$404=U$4)+4*('01_予約入力'!$J$5:$J$404=U$4)+8*(('01_予約入力'!$Q$5:$Q$404="仮予約")+('01_予約入力'!$Q$5:$Q$404="調整中")))))</f>
        <v/>
      </c>
      <c r="BJ11">
        <f>IF(OR($A11="",V$4=""),0,SUMPRODUCT(('01_予約入力'!$G$5:$G$404&lt;&gt;"")*('01_予約入力'!$Q$5:$Q$404&lt;&gt;"キャンセル")*('01_予約入力'!$B$5:$B$404=$A11)*('01_予約入力'!$G$5:$G$404&lt;=V$4)*('01_予約入力'!$J$5:$J$404&gt;=V$4)*(1+2*('01_予約入力'!$G$5:$G$404=V$4)+4*('01_予約入力'!$J$5:$J$404=V$4)+8*(('01_予約入力'!$Q$5:$Q$404="仮予約")+('01_予約入力'!$Q$5:$Q$404="調整中")))))</f>
        <v/>
      </c>
      <c r="BK11">
        <f>IF(OR($A11="",W$4=""),0,SUMPRODUCT(('01_予約入力'!$G$5:$G$404&lt;&gt;"")*('01_予約入力'!$Q$5:$Q$404&lt;&gt;"キャンセル")*('01_予約入力'!$B$5:$B$404=$A11)*('01_予約入力'!$G$5:$G$404&lt;=W$4)*('01_予約入力'!$J$5:$J$404&gt;=W$4)*(1+2*('01_予約入力'!$G$5:$G$404=W$4)+4*('01_予約入力'!$J$5:$J$404=W$4)+8*(('01_予約入力'!$Q$5:$Q$404="仮予約")+('01_予約入力'!$Q$5:$Q$404="調整中")))))</f>
        <v/>
      </c>
      <c r="BL11">
        <f>IF(OR($A11="",X$4=""),0,SUMPRODUCT(('01_予約入力'!$G$5:$G$404&lt;&gt;"")*('01_予約入力'!$Q$5:$Q$404&lt;&gt;"キャンセル")*('01_予約入力'!$B$5:$B$404=$A11)*('01_予約入力'!$G$5:$G$404&lt;=X$4)*('01_予約入力'!$J$5:$J$404&gt;=X$4)*(1+2*('01_予約入力'!$G$5:$G$404=X$4)+4*('01_予約入力'!$J$5:$J$404=X$4)+8*(('01_予約入力'!$Q$5:$Q$404="仮予約")+('01_予約入力'!$Q$5:$Q$404="調整中")))))</f>
        <v/>
      </c>
      <c r="BM11">
        <f>IF(OR($A11="",Y$4=""),0,SUMPRODUCT(('01_予約入力'!$G$5:$G$404&lt;&gt;"")*('01_予約入力'!$Q$5:$Q$404&lt;&gt;"キャンセル")*('01_予約入力'!$B$5:$B$404=$A11)*('01_予約入力'!$G$5:$G$404&lt;=Y$4)*('01_予約入力'!$J$5:$J$404&gt;=Y$4)*(1+2*('01_予約入力'!$G$5:$G$404=Y$4)+4*('01_予約入力'!$J$5:$J$404=Y$4)+8*(('01_予約入力'!$Q$5:$Q$404="仮予約")+('01_予約入力'!$Q$5:$Q$404="調整中")))))</f>
        <v/>
      </c>
      <c r="BN11">
        <f>IF(OR($A11="",Z$4=""),0,SUMPRODUCT(('01_予約入力'!$G$5:$G$404&lt;&gt;"")*('01_予約入力'!$Q$5:$Q$404&lt;&gt;"キャンセル")*('01_予約入力'!$B$5:$B$404=$A11)*('01_予約入力'!$G$5:$G$404&lt;=Z$4)*('01_予約入力'!$J$5:$J$404&gt;=Z$4)*(1+2*('01_予約入力'!$G$5:$G$404=Z$4)+4*('01_予約入力'!$J$5:$J$404=Z$4)+8*(('01_予約入力'!$Q$5:$Q$404="仮予約")+('01_予約入力'!$Q$5:$Q$404="調整中")))))</f>
        <v/>
      </c>
      <c r="BO11">
        <f>IF(OR($A11="",AA$4=""),0,SUMPRODUCT(('01_予約入力'!$G$5:$G$404&lt;&gt;"")*('01_予約入力'!$Q$5:$Q$404&lt;&gt;"キャンセル")*('01_予約入力'!$B$5:$B$404=$A11)*('01_予約入力'!$G$5:$G$404&lt;=AA$4)*('01_予約入力'!$J$5:$J$404&gt;=AA$4)*(1+2*('01_予約入力'!$G$5:$G$404=AA$4)+4*('01_予約入力'!$J$5:$J$404=AA$4)+8*(('01_予約入力'!$Q$5:$Q$404="仮予約")+('01_予約入力'!$Q$5:$Q$404="調整中")))))</f>
        <v/>
      </c>
      <c r="BP11">
        <f>IF(OR($A11="",AB$4=""),0,SUMPRODUCT(('01_予約入力'!$G$5:$G$404&lt;&gt;"")*('01_予約入力'!$Q$5:$Q$404&lt;&gt;"キャンセル")*('01_予約入力'!$B$5:$B$404=$A11)*('01_予約入力'!$G$5:$G$404&lt;=AB$4)*('01_予約入力'!$J$5:$J$404&gt;=AB$4)*(1+2*('01_予約入力'!$G$5:$G$404=AB$4)+4*('01_予約入力'!$J$5:$J$404=AB$4)+8*(('01_予約入力'!$Q$5:$Q$404="仮予約")+('01_予約入力'!$Q$5:$Q$404="調整中")))))</f>
        <v/>
      </c>
      <c r="BQ11">
        <f>IF(OR($A11="",AC$4=""),0,SUMPRODUCT(('01_予約入力'!$G$5:$G$404&lt;&gt;"")*('01_予約入力'!$Q$5:$Q$404&lt;&gt;"キャンセル")*('01_予約入力'!$B$5:$B$404=$A11)*('01_予約入力'!$G$5:$G$404&lt;=AC$4)*('01_予約入力'!$J$5:$J$404&gt;=AC$4)*(1+2*('01_予約入力'!$G$5:$G$404=AC$4)+4*('01_予約入力'!$J$5:$J$404=AC$4)+8*(('01_予約入力'!$Q$5:$Q$404="仮予約")+('01_予約入力'!$Q$5:$Q$404="調整中")))))</f>
        <v/>
      </c>
      <c r="BR11">
        <f>IF(OR($A11="",AD$4=""),0,SUMPRODUCT(('01_予約入力'!$G$5:$G$404&lt;&gt;"")*('01_予約入力'!$Q$5:$Q$404&lt;&gt;"キャンセル")*('01_予約入力'!$B$5:$B$404=$A11)*('01_予約入力'!$G$5:$G$404&lt;=AD$4)*('01_予約入力'!$J$5:$J$404&gt;=AD$4)*(1+2*('01_予約入力'!$G$5:$G$404=AD$4)+4*('01_予約入力'!$J$5:$J$404=AD$4)+8*(('01_予約入力'!$Q$5:$Q$404="仮予約")+('01_予約入力'!$Q$5:$Q$404="調整中")))))</f>
        <v/>
      </c>
      <c r="BS11">
        <f>IF(OR($A11="",AE$4=""),0,SUMPRODUCT(('01_予約入力'!$G$5:$G$404&lt;&gt;"")*('01_予約入力'!$Q$5:$Q$404&lt;&gt;"キャンセル")*('01_予約入力'!$B$5:$B$404=$A11)*('01_予約入力'!$G$5:$G$404&lt;=AE$4)*('01_予約入力'!$J$5:$J$404&gt;=AE$4)*(1+2*('01_予約入力'!$G$5:$G$404=AE$4)+4*('01_予約入力'!$J$5:$J$404=AE$4)+8*(('01_予約入力'!$Q$5:$Q$404="仮予約")+('01_予約入力'!$Q$5:$Q$404="調整中")))))</f>
        <v/>
      </c>
      <c r="BT11">
        <f>IF(OR($A11="",AF$4=""),0,SUMPRODUCT(('01_予約入力'!$G$5:$G$404&lt;&gt;"")*('01_予約入力'!$Q$5:$Q$404&lt;&gt;"キャンセル")*('01_予約入力'!$B$5:$B$404=$A11)*('01_予約入力'!$G$5:$G$404&lt;=AF$4)*('01_予約入力'!$J$5:$J$404&gt;=AF$4)*(1+2*('01_予約入力'!$G$5:$G$404=AF$4)+4*('01_予約入力'!$J$5:$J$404=AF$4)+8*(('01_予約入力'!$Q$5:$Q$404="仮予約")+('01_予約入力'!$Q$5:$Q$404="調整中")))))</f>
        <v/>
      </c>
    </row>
    <row r="12" ht="19" customHeight="1">
      <c r="A12" s="43">
        <f>IF(COUNTA('利用者マスタ'!$A$4:$A$60)&gt;=6,INDEX('利用者マスタ'!$A$4:$A$60,6),"")</f>
        <v/>
      </c>
      <c r="B12" s="44">
        <f>IF($AP12=0,"",IF(MOD($AP12,8)=7,IF($AP12&gt;=8,"◇","◆"),IF(MOD($AP12,8)=3,IF($AP12&gt;=8,"▷","▶"),IF(MOD($AP12,8)=5,IF($AP12&gt;=8,"◁","◀"),IF($AP12&gt;=8,"□","■")))))</f>
        <v/>
      </c>
      <c r="C12" s="44">
        <f>IF($AQ12=0,"",IF(MOD($AQ12,8)=7,IF($AQ12&gt;=8,"◇","◆"),IF(MOD($AQ12,8)=3,IF($AQ12&gt;=8,"▷","▶"),IF(MOD($AQ12,8)=5,IF($AQ12&gt;=8,"◁","◀"),IF($AQ12&gt;=8,"□","■")))))</f>
        <v/>
      </c>
      <c r="D12" s="44">
        <f>IF($AR12=0,"",IF(MOD($AR12,8)=7,IF($AR12&gt;=8,"◇","◆"),IF(MOD($AR12,8)=3,IF($AR12&gt;=8,"▷","▶"),IF(MOD($AR12,8)=5,IF($AR12&gt;=8,"◁","◀"),IF($AR12&gt;=8,"□","■")))))</f>
        <v/>
      </c>
      <c r="E12" s="44">
        <f>IF($AS12=0,"",IF(MOD($AS12,8)=7,IF($AS12&gt;=8,"◇","◆"),IF(MOD($AS12,8)=3,IF($AS12&gt;=8,"▷","▶"),IF(MOD($AS12,8)=5,IF($AS12&gt;=8,"◁","◀"),IF($AS12&gt;=8,"□","■")))))</f>
        <v/>
      </c>
      <c r="F12" s="44">
        <f>IF($AT12=0,"",IF(MOD($AT12,8)=7,IF($AT12&gt;=8,"◇","◆"),IF(MOD($AT12,8)=3,IF($AT12&gt;=8,"▷","▶"),IF(MOD($AT12,8)=5,IF($AT12&gt;=8,"◁","◀"),IF($AT12&gt;=8,"□","■")))))</f>
        <v/>
      </c>
      <c r="G12" s="44">
        <f>IF($AU12=0,"",IF(MOD($AU12,8)=7,IF($AU12&gt;=8,"◇","◆"),IF(MOD($AU12,8)=3,IF($AU12&gt;=8,"▷","▶"),IF(MOD($AU12,8)=5,IF($AU12&gt;=8,"◁","◀"),IF($AU12&gt;=8,"□","■")))))</f>
        <v/>
      </c>
      <c r="H12" s="44">
        <f>IF($AV12=0,"",IF(MOD($AV12,8)=7,IF($AV12&gt;=8,"◇","◆"),IF(MOD($AV12,8)=3,IF($AV12&gt;=8,"▷","▶"),IF(MOD($AV12,8)=5,IF($AV12&gt;=8,"◁","◀"),IF($AV12&gt;=8,"□","■")))))</f>
        <v/>
      </c>
      <c r="I12" s="44">
        <f>IF($AW12=0,"",IF(MOD($AW12,8)=7,IF($AW12&gt;=8,"◇","◆"),IF(MOD($AW12,8)=3,IF($AW12&gt;=8,"▷","▶"),IF(MOD($AW12,8)=5,IF($AW12&gt;=8,"◁","◀"),IF($AW12&gt;=8,"□","■")))))</f>
        <v/>
      </c>
      <c r="J12" s="44">
        <f>IF($AX12=0,"",IF(MOD($AX12,8)=7,IF($AX12&gt;=8,"◇","◆"),IF(MOD($AX12,8)=3,IF($AX12&gt;=8,"▷","▶"),IF(MOD($AX12,8)=5,IF($AX12&gt;=8,"◁","◀"),IF($AX12&gt;=8,"□","■")))))</f>
        <v/>
      </c>
      <c r="K12" s="44">
        <f>IF($AY12=0,"",IF(MOD($AY12,8)=7,IF($AY12&gt;=8,"◇","◆"),IF(MOD($AY12,8)=3,IF($AY12&gt;=8,"▷","▶"),IF(MOD($AY12,8)=5,IF($AY12&gt;=8,"◁","◀"),IF($AY12&gt;=8,"□","■")))))</f>
        <v/>
      </c>
      <c r="L12" s="44">
        <f>IF($AZ12=0,"",IF(MOD($AZ12,8)=7,IF($AZ12&gt;=8,"◇","◆"),IF(MOD($AZ12,8)=3,IF($AZ12&gt;=8,"▷","▶"),IF(MOD($AZ12,8)=5,IF($AZ12&gt;=8,"◁","◀"),IF($AZ12&gt;=8,"□","■")))))</f>
        <v/>
      </c>
      <c r="M12" s="44">
        <f>IF($BA12=0,"",IF(MOD($BA12,8)=7,IF($BA12&gt;=8,"◇","◆"),IF(MOD($BA12,8)=3,IF($BA12&gt;=8,"▷","▶"),IF(MOD($BA12,8)=5,IF($BA12&gt;=8,"◁","◀"),IF($BA12&gt;=8,"□","■")))))</f>
        <v/>
      </c>
      <c r="N12" s="44">
        <f>IF($BB12=0,"",IF(MOD($BB12,8)=7,IF($BB12&gt;=8,"◇","◆"),IF(MOD($BB12,8)=3,IF($BB12&gt;=8,"▷","▶"),IF(MOD($BB12,8)=5,IF($BB12&gt;=8,"◁","◀"),IF($BB12&gt;=8,"□","■")))))</f>
        <v/>
      </c>
      <c r="O12" s="44">
        <f>IF($BC12=0,"",IF(MOD($BC12,8)=7,IF($BC12&gt;=8,"◇","◆"),IF(MOD($BC12,8)=3,IF($BC12&gt;=8,"▷","▶"),IF(MOD($BC12,8)=5,IF($BC12&gt;=8,"◁","◀"),IF($BC12&gt;=8,"□","■")))))</f>
        <v/>
      </c>
      <c r="P12" s="44">
        <f>IF($BD12=0,"",IF(MOD($BD12,8)=7,IF($BD12&gt;=8,"◇","◆"),IF(MOD($BD12,8)=3,IF($BD12&gt;=8,"▷","▶"),IF(MOD($BD12,8)=5,IF($BD12&gt;=8,"◁","◀"),IF($BD12&gt;=8,"□","■")))))</f>
        <v/>
      </c>
      <c r="Q12" s="44">
        <f>IF($BE12=0,"",IF(MOD($BE12,8)=7,IF($BE12&gt;=8,"◇","◆"),IF(MOD($BE12,8)=3,IF($BE12&gt;=8,"▷","▶"),IF(MOD($BE12,8)=5,IF($BE12&gt;=8,"◁","◀"),IF($BE12&gt;=8,"□","■")))))</f>
        <v/>
      </c>
      <c r="R12" s="44">
        <f>IF($BF12=0,"",IF(MOD($BF12,8)=7,IF($BF12&gt;=8,"◇","◆"),IF(MOD($BF12,8)=3,IF($BF12&gt;=8,"▷","▶"),IF(MOD($BF12,8)=5,IF($BF12&gt;=8,"◁","◀"),IF($BF12&gt;=8,"□","■")))))</f>
        <v/>
      </c>
      <c r="S12" s="44">
        <f>IF($BG12=0,"",IF(MOD($BG12,8)=7,IF($BG12&gt;=8,"◇","◆"),IF(MOD($BG12,8)=3,IF($BG12&gt;=8,"▷","▶"),IF(MOD($BG12,8)=5,IF($BG12&gt;=8,"◁","◀"),IF($BG12&gt;=8,"□","■")))))</f>
        <v/>
      </c>
      <c r="T12" s="44">
        <f>IF($BH12=0,"",IF(MOD($BH12,8)=7,IF($BH12&gt;=8,"◇","◆"),IF(MOD($BH12,8)=3,IF($BH12&gt;=8,"▷","▶"),IF(MOD($BH12,8)=5,IF($BH12&gt;=8,"◁","◀"),IF($BH12&gt;=8,"□","■")))))</f>
        <v/>
      </c>
      <c r="U12" s="44">
        <f>IF($BI12=0,"",IF(MOD($BI12,8)=7,IF($BI12&gt;=8,"◇","◆"),IF(MOD($BI12,8)=3,IF($BI12&gt;=8,"▷","▶"),IF(MOD($BI12,8)=5,IF($BI12&gt;=8,"◁","◀"),IF($BI12&gt;=8,"□","■")))))</f>
        <v/>
      </c>
      <c r="V12" s="44">
        <f>IF($BJ12=0,"",IF(MOD($BJ12,8)=7,IF($BJ12&gt;=8,"◇","◆"),IF(MOD($BJ12,8)=3,IF($BJ12&gt;=8,"▷","▶"),IF(MOD($BJ12,8)=5,IF($BJ12&gt;=8,"◁","◀"),IF($BJ12&gt;=8,"□","■")))))</f>
        <v/>
      </c>
      <c r="W12" s="44">
        <f>IF($BK12=0,"",IF(MOD($BK12,8)=7,IF($BK12&gt;=8,"◇","◆"),IF(MOD($BK12,8)=3,IF($BK12&gt;=8,"▷","▶"),IF(MOD($BK12,8)=5,IF($BK12&gt;=8,"◁","◀"),IF($BK12&gt;=8,"□","■")))))</f>
        <v/>
      </c>
      <c r="X12" s="44">
        <f>IF($BL12=0,"",IF(MOD($BL12,8)=7,IF($BL12&gt;=8,"◇","◆"),IF(MOD($BL12,8)=3,IF($BL12&gt;=8,"▷","▶"),IF(MOD($BL12,8)=5,IF($BL12&gt;=8,"◁","◀"),IF($BL12&gt;=8,"□","■")))))</f>
        <v/>
      </c>
      <c r="Y12" s="44">
        <f>IF($BM12=0,"",IF(MOD($BM12,8)=7,IF($BM12&gt;=8,"◇","◆"),IF(MOD($BM12,8)=3,IF($BM12&gt;=8,"▷","▶"),IF(MOD($BM12,8)=5,IF($BM12&gt;=8,"◁","◀"),IF($BM12&gt;=8,"□","■")))))</f>
        <v/>
      </c>
      <c r="Z12" s="44">
        <f>IF($BN12=0,"",IF(MOD($BN12,8)=7,IF($BN12&gt;=8,"◇","◆"),IF(MOD($BN12,8)=3,IF($BN12&gt;=8,"▷","▶"),IF(MOD($BN12,8)=5,IF($BN12&gt;=8,"◁","◀"),IF($BN12&gt;=8,"□","■")))))</f>
        <v/>
      </c>
      <c r="AA12" s="44">
        <f>IF($BO12=0,"",IF(MOD($BO12,8)=7,IF($BO12&gt;=8,"◇","◆"),IF(MOD($BO12,8)=3,IF($BO12&gt;=8,"▷","▶"),IF(MOD($BO12,8)=5,IF($BO12&gt;=8,"◁","◀"),IF($BO12&gt;=8,"□","■")))))</f>
        <v/>
      </c>
      <c r="AB12" s="44">
        <f>IF($BP12=0,"",IF(MOD($BP12,8)=7,IF($BP12&gt;=8,"◇","◆"),IF(MOD($BP12,8)=3,IF($BP12&gt;=8,"▷","▶"),IF(MOD($BP12,8)=5,IF($BP12&gt;=8,"◁","◀"),IF($BP12&gt;=8,"□","■")))))</f>
        <v/>
      </c>
      <c r="AC12" s="44">
        <f>IF($BQ12=0,"",IF(MOD($BQ12,8)=7,IF($BQ12&gt;=8,"◇","◆"),IF(MOD($BQ12,8)=3,IF($BQ12&gt;=8,"▷","▶"),IF(MOD($BQ12,8)=5,IF($BQ12&gt;=8,"◁","◀"),IF($BQ12&gt;=8,"□","■")))))</f>
        <v/>
      </c>
      <c r="AD12" s="44">
        <f>IF($BR12=0,"",IF(MOD($BR12,8)=7,IF($BR12&gt;=8,"◇","◆"),IF(MOD($BR12,8)=3,IF($BR12&gt;=8,"▷","▶"),IF(MOD($BR12,8)=5,IF($BR12&gt;=8,"◁","◀"),IF($BR12&gt;=8,"□","■")))))</f>
        <v/>
      </c>
      <c r="AE12" s="44">
        <f>IF($BS12=0,"",IF(MOD($BS12,8)=7,IF($BS12&gt;=8,"◇","◆"),IF(MOD($BS12,8)=3,IF($BS12&gt;=8,"▷","▶"),IF(MOD($BS12,8)=5,IF($BS12&gt;=8,"◁","◀"),IF($BS12&gt;=8,"□","■")))))</f>
        <v/>
      </c>
      <c r="AF12" s="44">
        <f>IF($BT12=0,"",IF(MOD($BT12,8)=7,IF($BT12&gt;=8,"◇","◆"),IF(MOD($BT12,8)=3,IF($BT12&gt;=8,"▷","▶"),IF(MOD($BT12,8)=5,IF($BT12&gt;=8,"◁","◀"),IF($BT12&gt;=8,"□","■")))))</f>
        <v/>
      </c>
      <c r="AG12" s="45">
        <f>IF($A12="","",COUNTIF($AP12:$BT12,"&gt;0"))</f>
        <v/>
      </c>
      <c r="AP12">
        <f>IF(OR($A12="",B$4=""),0,SUMPRODUCT(('01_予約入力'!$G$5:$G$404&lt;&gt;"")*('01_予約入力'!$Q$5:$Q$404&lt;&gt;"キャンセル")*('01_予約入力'!$B$5:$B$404=$A12)*('01_予約入力'!$G$5:$G$404&lt;=B$4)*('01_予約入力'!$J$5:$J$404&gt;=B$4)*(1+2*('01_予約入力'!$G$5:$G$404=B$4)+4*('01_予約入力'!$J$5:$J$404=B$4)+8*(('01_予約入力'!$Q$5:$Q$404="仮予約")+('01_予約入力'!$Q$5:$Q$404="調整中")))))</f>
        <v/>
      </c>
      <c r="AQ12">
        <f>IF(OR($A12="",C$4=""),0,SUMPRODUCT(('01_予約入力'!$G$5:$G$404&lt;&gt;"")*('01_予約入力'!$Q$5:$Q$404&lt;&gt;"キャンセル")*('01_予約入力'!$B$5:$B$404=$A12)*('01_予約入力'!$G$5:$G$404&lt;=C$4)*('01_予約入力'!$J$5:$J$404&gt;=C$4)*(1+2*('01_予約入力'!$G$5:$G$404=C$4)+4*('01_予約入力'!$J$5:$J$404=C$4)+8*(('01_予約入力'!$Q$5:$Q$404="仮予約")+('01_予約入力'!$Q$5:$Q$404="調整中")))))</f>
        <v/>
      </c>
      <c r="AR12">
        <f>IF(OR($A12="",D$4=""),0,SUMPRODUCT(('01_予約入力'!$G$5:$G$404&lt;&gt;"")*('01_予約入力'!$Q$5:$Q$404&lt;&gt;"キャンセル")*('01_予約入力'!$B$5:$B$404=$A12)*('01_予約入力'!$G$5:$G$404&lt;=D$4)*('01_予約入力'!$J$5:$J$404&gt;=D$4)*(1+2*('01_予約入力'!$G$5:$G$404=D$4)+4*('01_予約入力'!$J$5:$J$404=D$4)+8*(('01_予約入力'!$Q$5:$Q$404="仮予約")+('01_予約入力'!$Q$5:$Q$404="調整中")))))</f>
        <v/>
      </c>
      <c r="AS12">
        <f>IF(OR($A12="",E$4=""),0,SUMPRODUCT(('01_予約入力'!$G$5:$G$404&lt;&gt;"")*('01_予約入力'!$Q$5:$Q$404&lt;&gt;"キャンセル")*('01_予約入力'!$B$5:$B$404=$A12)*('01_予約入力'!$G$5:$G$404&lt;=E$4)*('01_予約入力'!$J$5:$J$404&gt;=E$4)*(1+2*('01_予約入力'!$G$5:$G$404=E$4)+4*('01_予約入力'!$J$5:$J$404=E$4)+8*(('01_予約入力'!$Q$5:$Q$404="仮予約")+('01_予約入力'!$Q$5:$Q$404="調整中")))))</f>
        <v/>
      </c>
      <c r="AT12">
        <f>IF(OR($A12="",F$4=""),0,SUMPRODUCT(('01_予約入力'!$G$5:$G$404&lt;&gt;"")*('01_予約入力'!$Q$5:$Q$404&lt;&gt;"キャンセル")*('01_予約入力'!$B$5:$B$404=$A12)*('01_予約入力'!$G$5:$G$404&lt;=F$4)*('01_予約入力'!$J$5:$J$404&gt;=F$4)*(1+2*('01_予約入力'!$G$5:$G$404=F$4)+4*('01_予約入力'!$J$5:$J$404=F$4)+8*(('01_予約入力'!$Q$5:$Q$404="仮予約")+('01_予約入力'!$Q$5:$Q$404="調整中")))))</f>
        <v/>
      </c>
      <c r="AU12">
        <f>IF(OR($A12="",G$4=""),0,SUMPRODUCT(('01_予約入力'!$G$5:$G$404&lt;&gt;"")*('01_予約入力'!$Q$5:$Q$404&lt;&gt;"キャンセル")*('01_予約入力'!$B$5:$B$404=$A12)*('01_予約入力'!$G$5:$G$404&lt;=G$4)*('01_予約入力'!$J$5:$J$404&gt;=G$4)*(1+2*('01_予約入力'!$G$5:$G$404=G$4)+4*('01_予約入力'!$J$5:$J$404=G$4)+8*(('01_予約入力'!$Q$5:$Q$404="仮予約")+('01_予約入力'!$Q$5:$Q$404="調整中")))))</f>
        <v/>
      </c>
      <c r="AV12">
        <f>IF(OR($A12="",H$4=""),0,SUMPRODUCT(('01_予約入力'!$G$5:$G$404&lt;&gt;"")*('01_予約入力'!$Q$5:$Q$404&lt;&gt;"キャンセル")*('01_予約入力'!$B$5:$B$404=$A12)*('01_予約入力'!$G$5:$G$404&lt;=H$4)*('01_予約入力'!$J$5:$J$404&gt;=H$4)*(1+2*('01_予約入力'!$G$5:$G$404=H$4)+4*('01_予約入力'!$J$5:$J$404=H$4)+8*(('01_予約入力'!$Q$5:$Q$404="仮予約")+('01_予約入力'!$Q$5:$Q$404="調整中")))))</f>
        <v/>
      </c>
      <c r="AW12">
        <f>IF(OR($A12="",I$4=""),0,SUMPRODUCT(('01_予約入力'!$G$5:$G$404&lt;&gt;"")*('01_予約入力'!$Q$5:$Q$404&lt;&gt;"キャンセル")*('01_予約入力'!$B$5:$B$404=$A12)*('01_予約入力'!$G$5:$G$404&lt;=I$4)*('01_予約入力'!$J$5:$J$404&gt;=I$4)*(1+2*('01_予約入力'!$G$5:$G$404=I$4)+4*('01_予約入力'!$J$5:$J$404=I$4)+8*(('01_予約入力'!$Q$5:$Q$404="仮予約")+('01_予約入力'!$Q$5:$Q$404="調整中")))))</f>
        <v/>
      </c>
      <c r="AX12">
        <f>IF(OR($A12="",J$4=""),0,SUMPRODUCT(('01_予約入力'!$G$5:$G$404&lt;&gt;"")*('01_予約入力'!$Q$5:$Q$404&lt;&gt;"キャンセル")*('01_予約入力'!$B$5:$B$404=$A12)*('01_予約入力'!$G$5:$G$404&lt;=J$4)*('01_予約入力'!$J$5:$J$404&gt;=J$4)*(1+2*('01_予約入力'!$G$5:$G$404=J$4)+4*('01_予約入力'!$J$5:$J$404=J$4)+8*(('01_予約入力'!$Q$5:$Q$404="仮予約")+('01_予約入力'!$Q$5:$Q$404="調整中")))))</f>
        <v/>
      </c>
      <c r="AY12">
        <f>IF(OR($A12="",K$4=""),0,SUMPRODUCT(('01_予約入力'!$G$5:$G$404&lt;&gt;"")*('01_予約入力'!$Q$5:$Q$404&lt;&gt;"キャンセル")*('01_予約入力'!$B$5:$B$404=$A12)*('01_予約入力'!$G$5:$G$404&lt;=K$4)*('01_予約入力'!$J$5:$J$404&gt;=K$4)*(1+2*('01_予約入力'!$G$5:$G$404=K$4)+4*('01_予約入力'!$J$5:$J$404=K$4)+8*(('01_予約入力'!$Q$5:$Q$404="仮予約")+('01_予約入力'!$Q$5:$Q$404="調整中")))))</f>
        <v/>
      </c>
      <c r="AZ12">
        <f>IF(OR($A12="",L$4=""),0,SUMPRODUCT(('01_予約入力'!$G$5:$G$404&lt;&gt;"")*('01_予約入力'!$Q$5:$Q$404&lt;&gt;"キャンセル")*('01_予約入力'!$B$5:$B$404=$A12)*('01_予約入力'!$G$5:$G$404&lt;=L$4)*('01_予約入力'!$J$5:$J$404&gt;=L$4)*(1+2*('01_予約入力'!$G$5:$G$404=L$4)+4*('01_予約入力'!$J$5:$J$404=L$4)+8*(('01_予約入力'!$Q$5:$Q$404="仮予約")+('01_予約入力'!$Q$5:$Q$404="調整中")))))</f>
        <v/>
      </c>
      <c r="BA12">
        <f>IF(OR($A12="",M$4=""),0,SUMPRODUCT(('01_予約入力'!$G$5:$G$404&lt;&gt;"")*('01_予約入力'!$Q$5:$Q$404&lt;&gt;"キャンセル")*('01_予約入力'!$B$5:$B$404=$A12)*('01_予約入力'!$G$5:$G$404&lt;=M$4)*('01_予約入力'!$J$5:$J$404&gt;=M$4)*(1+2*('01_予約入力'!$G$5:$G$404=M$4)+4*('01_予約入力'!$J$5:$J$404=M$4)+8*(('01_予約入力'!$Q$5:$Q$404="仮予約")+('01_予約入力'!$Q$5:$Q$404="調整中")))))</f>
        <v/>
      </c>
      <c r="BB12">
        <f>IF(OR($A12="",N$4=""),0,SUMPRODUCT(('01_予約入力'!$G$5:$G$404&lt;&gt;"")*('01_予約入力'!$Q$5:$Q$404&lt;&gt;"キャンセル")*('01_予約入力'!$B$5:$B$404=$A12)*('01_予約入力'!$G$5:$G$404&lt;=N$4)*('01_予約入力'!$J$5:$J$404&gt;=N$4)*(1+2*('01_予約入力'!$G$5:$G$404=N$4)+4*('01_予約入力'!$J$5:$J$404=N$4)+8*(('01_予約入力'!$Q$5:$Q$404="仮予約")+('01_予約入力'!$Q$5:$Q$404="調整中")))))</f>
        <v/>
      </c>
      <c r="BC12">
        <f>IF(OR($A12="",O$4=""),0,SUMPRODUCT(('01_予約入力'!$G$5:$G$404&lt;&gt;"")*('01_予約入力'!$Q$5:$Q$404&lt;&gt;"キャンセル")*('01_予約入力'!$B$5:$B$404=$A12)*('01_予約入力'!$G$5:$G$404&lt;=O$4)*('01_予約入力'!$J$5:$J$404&gt;=O$4)*(1+2*('01_予約入力'!$G$5:$G$404=O$4)+4*('01_予約入力'!$J$5:$J$404=O$4)+8*(('01_予約入力'!$Q$5:$Q$404="仮予約")+('01_予約入力'!$Q$5:$Q$404="調整中")))))</f>
        <v/>
      </c>
      <c r="BD12">
        <f>IF(OR($A12="",P$4=""),0,SUMPRODUCT(('01_予約入力'!$G$5:$G$404&lt;&gt;"")*('01_予約入力'!$Q$5:$Q$404&lt;&gt;"キャンセル")*('01_予約入力'!$B$5:$B$404=$A12)*('01_予約入力'!$G$5:$G$404&lt;=P$4)*('01_予約入力'!$J$5:$J$404&gt;=P$4)*(1+2*('01_予約入力'!$G$5:$G$404=P$4)+4*('01_予約入力'!$J$5:$J$404=P$4)+8*(('01_予約入力'!$Q$5:$Q$404="仮予約")+('01_予約入力'!$Q$5:$Q$404="調整中")))))</f>
        <v/>
      </c>
      <c r="BE12">
        <f>IF(OR($A12="",Q$4=""),0,SUMPRODUCT(('01_予約入力'!$G$5:$G$404&lt;&gt;"")*('01_予約入力'!$Q$5:$Q$404&lt;&gt;"キャンセル")*('01_予約入力'!$B$5:$B$404=$A12)*('01_予約入力'!$G$5:$G$404&lt;=Q$4)*('01_予約入力'!$J$5:$J$404&gt;=Q$4)*(1+2*('01_予約入力'!$G$5:$G$404=Q$4)+4*('01_予約入力'!$J$5:$J$404=Q$4)+8*(('01_予約入力'!$Q$5:$Q$404="仮予約")+('01_予約入力'!$Q$5:$Q$404="調整中")))))</f>
        <v/>
      </c>
      <c r="BF12">
        <f>IF(OR($A12="",R$4=""),0,SUMPRODUCT(('01_予約入力'!$G$5:$G$404&lt;&gt;"")*('01_予約入力'!$Q$5:$Q$404&lt;&gt;"キャンセル")*('01_予約入力'!$B$5:$B$404=$A12)*('01_予約入力'!$G$5:$G$404&lt;=R$4)*('01_予約入力'!$J$5:$J$404&gt;=R$4)*(1+2*('01_予約入力'!$G$5:$G$404=R$4)+4*('01_予約入力'!$J$5:$J$404=R$4)+8*(('01_予約入力'!$Q$5:$Q$404="仮予約")+('01_予約入力'!$Q$5:$Q$404="調整中")))))</f>
        <v/>
      </c>
      <c r="BG12">
        <f>IF(OR($A12="",S$4=""),0,SUMPRODUCT(('01_予約入力'!$G$5:$G$404&lt;&gt;"")*('01_予約入力'!$Q$5:$Q$404&lt;&gt;"キャンセル")*('01_予約入力'!$B$5:$B$404=$A12)*('01_予約入力'!$G$5:$G$404&lt;=S$4)*('01_予約入力'!$J$5:$J$404&gt;=S$4)*(1+2*('01_予約入力'!$G$5:$G$404=S$4)+4*('01_予約入力'!$J$5:$J$404=S$4)+8*(('01_予約入力'!$Q$5:$Q$404="仮予約")+('01_予約入力'!$Q$5:$Q$404="調整中")))))</f>
        <v/>
      </c>
      <c r="BH12">
        <f>IF(OR($A12="",T$4=""),0,SUMPRODUCT(('01_予約入力'!$G$5:$G$404&lt;&gt;"")*('01_予約入力'!$Q$5:$Q$404&lt;&gt;"キャンセル")*('01_予約入力'!$B$5:$B$404=$A12)*('01_予約入力'!$G$5:$G$404&lt;=T$4)*('01_予約入力'!$J$5:$J$404&gt;=T$4)*(1+2*('01_予約入力'!$G$5:$G$404=T$4)+4*('01_予約入力'!$J$5:$J$404=T$4)+8*(('01_予約入力'!$Q$5:$Q$404="仮予約")+('01_予約入力'!$Q$5:$Q$404="調整中")))))</f>
        <v/>
      </c>
      <c r="BI12">
        <f>IF(OR($A12="",U$4=""),0,SUMPRODUCT(('01_予約入力'!$G$5:$G$404&lt;&gt;"")*('01_予約入力'!$Q$5:$Q$404&lt;&gt;"キャンセル")*('01_予約入力'!$B$5:$B$404=$A12)*('01_予約入力'!$G$5:$G$404&lt;=U$4)*('01_予約入力'!$J$5:$J$404&gt;=U$4)*(1+2*('01_予約入力'!$G$5:$G$404=U$4)+4*('01_予約入力'!$J$5:$J$404=U$4)+8*(('01_予約入力'!$Q$5:$Q$404="仮予約")+('01_予約入力'!$Q$5:$Q$404="調整中")))))</f>
        <v/>
      </c>
      <c r="BJ12">
        <f>IF(OR($A12="",V$4=""),0,SUMPRODUCT(('01_予約入力'!$G$5:$G$404&lt;&gt;"")*('01_予約入力'!$Q$5:$Q$404&lt;&gt;"キャンセル")*('01_予約入力'!$B$5:$B$404=$A12)*('01_予約入力'!$G$5:$G$404&lt;=V$4)*('01_予約入力'!$J$5:$J$404&gt;=V$4)*(1+2*('01_予約入力'!$G$5:$G$404=V$4)+4*('01_予約入力'!$J$5:$J$404=V$4)+8*(('01_予約入力'!$Q$5:$Q$404="仮予約")+('01_予約入力'!$Q$5:$Q$404="調整中")))))</f>
        <v/>
      </c>
      <c r="BK12">
        <f>IF(OR($A12="",W$4=""),0,SUMPRODUCT(('01_予約入力'!$G$5:$G$404&lt;&gt;"")*('01_予約入力'!$Q$5:$Q$404&lt;&gt;"キャンセル")*('01_予約入力'!$B$5:$B$404=$A12)*('01_予約入力'!$G$5:$G$404&lt;=W$4)*('01_予約入力'!$J$5:$J$404&gt;=W$4)*(1+2*('01_予約入力'!$G$5:$G$404=W$4)+4*('01_予約入力'!$J$5:$J$404=W$4)+8*(('01_予約入力'!$Q$5:$Q$404="仮予約")+('01_予約入力'!$Q$5:$Q$404="調整中")))))</f>
        <v/>
      </c>
      <c r="BL12">
        <f>IF(OR($A12="",X$4=""),0,SUMPRODUCT(('01_予約入力'!$G$5:$G$404&lt;&gt;"")*('01_予約入力'!$Q$5:$Q$404&lt;&gt;"キャンセル")*('01_予約入力'!$B$5:$B$404=$A12)*('01_予約入力'!$G$5:$G$404&lt;=X$4)*('01_予約入力'!$J$5:$J$404&gt;=X$4)*(1+2*('01_予約入力'!$G$5:$G$404=X$4)+4*('01_予約入力'!$J$5:$J$404=X$4)+8*(('01_予約入力'!$Q$5:$Q$404="仮予約")+('01_予約入力'!$Q$5:$Q$404="調整中")))))</f>
        <v/>
      </c>
      <c r="BM12">
        <f>IF(OR($A12="",Y$4=""),0,SUMPRODUCT(('01_予約入力'!$G$5:$G$404&lt;&gt;"")*('01_予約入力'!$Q$5:$Q$404&lt;&gt;"キャンセル")*('01_予約入力'!$B$5:$B$404=$A12)*('01_予約入力'!$G$5:$G$404&lt;=Y$4)*('01_予約入力'!$J$5:$J$404&gt;=Y$4)*(1+2*('01_予約入力'!$G$5:$G$404=Y$4)+4*('01_予約入力'!$J$5:$J$404=Y$4)+8*(('01_予約入力'!$Q$5:$Q$404="仮予約")+('01_予約入力'!$Q$5:$Q$404="調整中")))))</f>
        <v/>
      </c>
      <c r="BN12">
        <f>IF(OR($A12="",Z$4=""),0,SUMPRODUCT(('01_予約入力'!$G$5:$G$404&lt;&gt;"")*('01_予約入力'!$Q$5:$Q$404&lt;&gt;"キャンセル")*('01_予約入力'!$B$5:$B$404=$A12)*('01_予約入力'!$G$5:$G$404&lt;=Z$4)*('01_予約入力'!$J$5:$J$404&gt;=Z$4)*(1+2*('01_予約入力'!$G$5:$G$404=Z$4)+4*('01_予約入力'!$J$5:$J$404=Z$4)+8*(('01_予約入力'!$Q$5:$Q$404="仮予約")+('01_予約入力'!$Q$5:$Q$404="調整中")))))</f>
        <v/>
      </c>
      <c r="BO12">
        <f>IF(OR($A12="",AA$4=""),0,SUMPRODUCT(('01_予約入力'!$G$5:$G$404&lt;&gt;"")*('01_予約入力'!$Q$5:$Q$404&lt;&gt;"キャンセル")*('01_予約入力'!$B$5:$B$404=$A12)*('01_予約入力'!$G$5:$G$404&lt;=AA$4)*('01_予約入力'!$J$5:$J$404&gt;=AA$4)*(1+2*('01_予約入力'!$G$5:$G$404=AA$4)+4*('01_予約入力'!$J$5:$J$404=AA$4)+8*(('01_予約入力'!$Q$5:$Q$404="仮予約")+('01_予約入力'!$Q$5:$Q$404="調整中")))))</f>
        <v/>
      </c>
      <c r="BP12">
        <f>IF(OR($A12="",AB$4=""),0,SUMPRODUCT(('01_予約入力'!$G$5:$G$404&lt;&gt;"")*('01_予約入力'!$Q$5:$Q$404&lt;&gt;"キャンセル")*('01_予約入力'!$B$5:$B$404=$A12)*('01_予約入力'!$G$5:$G$404&lt;=AB$4)*('01_予約入力'!$J$5:$J$404&gt;=AB$4)*(1+2*('01_予約入力'!$G$5:$G$404=AB$4)+4*('01_予約入力'!$J$5:$J$404=AB$4)+8*(('01_予約入力'!$Q$5:$Q$404="仮予約")+('01_予約入力'!$Q$5:$Q$404="調整中")))))</f>
        <v/>
      </c>
      <c r="BQ12">
        <f>IF(OR($A12="",AC$4=""),0,SUMPRODUCT(('01_予約入力'!$G$5:$G$404&lt;&gt;"")*('01_予約入力'!$Q$5:$Q$404&lt;&gt;"キャンセル")*('01_予約入力'!$B$5:$B$404=$A12)*('01_予約入力'!$G$5:$G$404&lt;=AC$4)*('01_予約入力'!$J$5:$J$404&gt;=AC$4)*(1+2*('01_予約入力'!$G$5:$G$404=AC$4)+4*('01_予約入力'!$J$5:$J$404=AC$4)+8*(('01_予約入力'!$Q$5:$Q$404="仮予約")+('01_予約入力'!$Q$5:$Q$404="調整中")))))</f>
        <v/>
      </c>
      <c r="BR12">
        <f>IF(OR($A12="",AD$4=""),0,SUMPRODUCT(('01_予約入力'!$G$5:$G$404&lt;&gt;"")*('01_予約入力'!$Q$5:$Q$404&lt;&gt;"キャンセル")*('01_予約入力'!$B$5:$B$404=$A12)*('01_予約入力'!$G$5:$G$404&lt;=AD$4)*('01_予約入力'!$J$5:$J$404&gt;=AD$4)*(1+2*('01_予約入力'!$G$5:$G$404=AD$4)+4*('01_予約入力'!$J$5:$J$404=AD$4)+8*(('01_予約入力'!$Q$5:$Q$404="仮予約")+('01_予約入力'!$Q$5:$Q$404="調整中")))))</f>
        <v/>
      </c>
      <c r="BS12">
        <f>IF(OR($A12="",AE$4=""),0,SUMPRODUCT(('01_予約入力'!$G$5:$G$404&lt;&gt;"")*('01_予約入力'!$Q$5:$Q$404&lt;&gt;"キャンセル")*('01_予約入力'!$B$5:$B$404=$A12)*('01_予約入力'!$G$5:$G$404&lt;=AE$4)*('01_予約入力'!$J$5:$J$404&gt;=AE$4)*(1+2*('01_予約入力'!$G$5:$G$404=AE$4)+4*('01_予約入力'!$J$5:$J$404=AE$4)+8*(('01_予約入力'!$Q$5:$Q$404="仮予約")+('01_予約入力'!$Q$5:$Q$404="調整中")))))</f>
        <v/>
      </c>
      <c r="BT12">
        <f>IF(OR($A12="",AF$4=""),0,SUMPRODUCT(('01_予約入力'!$G$5:$G$404&lt;&gt;"")*('01_予約入力'!$Q$5:$Q$404&lt;&gt;"キャンセル")*('01_予約入力'!$B$5:$B$404=$A12)*('01_予約入力'!$G$5:$G$404&lt;=AF$4)*('01_予約入力'!$J$5:$J$404&gt;=AF$4)*(1+2*('01_予約入力'!$G$5:$G$404=AF$4)+4*('01_予約入力'!$J$5:$J$404=AF$4)+8*(('01_予約入力'!$Q$5:$Q$404="仮予約")+('01_予約入力'!$Q$5:$Q$404="調整中")))))</f>
        <v/>
      </c>
    </row>
    <row r="13" ht="19" customHeight="1">
      <c r="A13" s="43">
        <f>IF(COUNTA('利用者マスタ'!$A$4:$A$60)&gt;=7,INDEX('利用者マスタ'!$A$4:$A$60,7),"")</f>
        <v/>
      </c>
      <c r="B13" s="44">
        <f>IF($AP13=0,"",IF(MOD($AP13,8)=7,IF($AP13&gt;=8,"◇","◆"),IF(MOD($AP13,8)=3,IF($AP13&gt;=8,"▷","▶"),IF(MOD($AP13,8)=5,IF($AP13&gt;=8,"◁","◀"),IF($AP13&gt;=8,"□","■")))))</f>
        <v/>
      </c>
      <c r="C13" s="44">
        <f>IF($AQ13=0,"",IF(MOD($AQ13,8)=7,IF($AQ13&gt;=8,"◇","◆"),IF(MOD($AQ13,8)=3,IF($AQ13&gt;=8,"▷","▶"),IF(MOD($AQ13,8)=5,IF($AQ13&gt;=8,"◁","◀"),IF($AQ13&gt;=8,"□","■")))))</f>
        <v/>
      </c>
      <c r="D13" s="44">
        <f>IF($AR13=0,"",IF(MOD($AR13,8)=7,IF($AR13&gt;=8,"◇","◆"),IF(MOD($AR13,8)=3,IF($AR13&gt;=8,"▷","▶"),IF(MOD($AR13,8)=5,IF($AR13&gt;=8,"◁","◀"),IF($AR13&gt;=8,"□","■")))))</f>
        <v/>
      </c>
      <c r="E13" s="44">
        <f>IF($AS13=0,"",IF(MOD($AS13,8)=7,IF($AS13&gt;=8,"◇","◆"),IF(MOD($AS13,8)=3,IF($AS13&gt;=8,"▷","▶"),IF(MOD($AS13,8)=5,IF($AS13&gt;=8,"◁","◀"),IF($AS13&gt;=8,"□","■")))))</f>
        <v/>
      </c>
      <c r="F13" s="44">
        <f>IF($AT13=0,"",IF(MOD($AT13,8)=7,IF($AT13&gt;=8,"◇","◆"),IF(MOD($AT13,8)=3,IF($AT13&gt;=8,"▷","▶"),IF(MOD($AT13,8)=5,IF($AT13&gt;=8,"◁","◀"),IF($AT13&gt;=8,"□","■")))))</f>
        <v/>
      </c>
      <c r="G13" s="44">
        <f>IF($AU13=0,"",IF(MOD($AU13,8)=7,IF($AU13&gt;=8,"◇","◆"),IF(MOD($AU13,8)=3,IF($AU13&gt;=8,"▷","▶"),IF(MOD($AU13,8)=5,IF($AU13&gt;=8,"◁","◀"),IF($AU13&gt;=8,"□","■")))))</f>
        <v/>
      </c>
      <c r="H13" s="44">
        <f>IF($AV13=0,"",IF(MOD($AV13,8)=7,IF($AV13&gt;=8,"◇","◆"),IF(MOD($AV13,8)=3,IF($AV13&gt;=8,"▷","▶"),IF(MOD($AV13,8)=5,IF($AV13&gt;=8,"◁","◀"),IF($AV13&gt;=8,"□","■")))))</f>
        <v/>
      </c>
      <c r="I13" s="44">
        <f>IF($AW13=0,"",IF(MOD($AW13,8)=7,IF($AW13&gt;=8,"◇","◆"),IF(MOD($AW13,8)=3,IF($AW13&gt;=8,"▷","▶"),IF(MOD($AW13,8)=5,IF($AW13&gt;=8,"◁","◀"),IF($AW13&gt;=8,"□","■")))))</f>
        <v/>
      </c>
      <c r="J13" s="44">
        <f>IF($AX13=0,"",IF(MOD($AX13,8)=7,IF($AX13&gt;=8,"◇","◆"),IF(MOD($AX13,8)=3,IF($AX13&gt;=8,"▷","▶"),IF(MOD($AX13,8)=5,IF($AX13&gt;=8,"◁","◀"),IF($AX13&gt;=8,"□","■")))))</f>
        <v/>
      </c>
      <c r="K13" s="44">
        <f>IF($AY13=0,"",IF(MOD($AY13,8)=7,IF($AY13&gt;=8,"◇","◆"),IF(MOD($AY13,8)=3,IF($AY13&gt;=8,"▷","▶"),IF(MOD($AY13,8)=5,IF($AY13&gt;=8,"◁","◀"),IF($AY13&gt;=8,"□","■")))))</f>
        <v/>
      </c>
      <c r="L13" s="44">
        <f>IF($AZ13=0,"",IF(MOD($AZ13,8)=7,IF($AZ13&gt;=8,"◇","◆"),IF(MOD($AZ13,8)=3,IF($AZ13&gt;=8,"▷","▶"),IF(MOD($AZ13,8)=5,IF($AZ13&gt;=8,"◁","◀"),IF($AZ13&gt;=8,"□","■")))))</f>
        <v/>
      </c>
      <c r="M13" s="44">
        <f>IF($BA13=0,"",IF(MOD($BA13,8)=7,IF($BA13&gt;=8,"◇","◆"),IF(MOD($BA13,8)=3,IF($BA13&gt;=8,"▷","▶"),IF(MOD($BA13,8)=5,IF($BA13&gt;=8,"◁","◀"),IF($BA13&gt;=8,"□","■")))))</f>
        <v/>
      </c>
      <c r="N13" s="44">
        <f>IF($BB13=0,"",IF(MOD($BB13,8)=7,IF($BB13&gt;=8,"◇","◆"),IF(MOD($BB13,8)=3,IF($BB13&gt;=8,"▷","▶"),IF(MOD($BB13,8)=5,IF($BB13&gt;=8,"◁","◀"),IF($BB13&gt;=8,"□","■")))))</f>
        <v/>
      </c>
      <c r="O13" s="44">
        <f>IF($BC13=0,"",IF(MOD($BC13,8)=7,IF($BC13&gt;=8,"◇","◆"),IF(MOD($BC13,8)=3,IF($BC13&gt;=8,"▷","▶"),IF(MOD($BC13,8)=5,IF($BC13&gt;=8,"◁","◀"),IF($BC13&gt;=8,"□","■")))))</f>
        <v/>
      </c>
      <c r="P13" s="44">
        <f>IF($BD13=0,"",IF(MOD($BD13,8)=7,IF($BD13&gt;=8,"◇","◆"),IF(MOD($BD13,8)=3,IF($BD13&gt;=8,"▷","▶"),IF(MOD($BD13,8)=5,IF($BD13&gt;=8,"◁","◀"),IF($BD13&gt;=8,"□","■")))))</f>
        <v/>
      </c>
      <c r="Q13" s="44">
        <f>IF($BE13=0,"",IF(MOD($BE13,8)=7,IF($BE13&gt;=8,"◇","◆"),IF(MOD($BE13,8)=3,IF($BE13&gt;=8,"▷","▶"),IF(MOD($BE13,8)=5,IF($BE13&gt;=8,"◁","◀"),IF($BE13&gt;=8,"□","■")))))</f>
        <v/>
      </c>
      <c r="R13" s="44">
        <f>IF($BF13=0,"",IF(MOD($BF13,8)=7,IF($BF13&gt;=8,"◇","◆"),IF(MOD($BF13,8)=3,IF($BF13&gt;=8,"▷","▶"),IF(MOD($BF13,8)=5,IF($BF13&gt;=8,"◁","◀"),IF($BF13&gt;=8,"□","■")))))</f>
        <v/>
      </c>
      <c r="S13" s="44">
        <f>IF($BG13=0,"",IF(MOD($BG13,8)=7,IF($BG13&gt;=8,"◇","◆"),IF(MOD($BG13,8)=3,IF($BG13&gt;=8,"▷","▶"),IF(MOD($BG13,8)=5,IF($BG13&gt;=8,"◁","◀"),IF($BG13&gt;=8,"□","■")))))</f>
        <v/>
      </c>
      <c r="T13" s="44">
        <f>IF($BH13=0,"",IF(MOD($BH13,8)=7,IF($BH13&gt;=8,"◇","◆"),IF(MOD($BH13,8)=3,IF($BH13&gt;=8,"▷","▶"),IF(MOD($BH13,8)=5,IF($BH13&gt;=8,"◁","◀"),IF($BH13&gt;=8,"□","■")))))</f>
        <v/>
      </c>
      <c r="U13" s="44">
        <f>IF($BI13=0,"",IF(MOD($BI13,8)=7,IF($BI13&gt;=8,"◇","◆"),IF(MOD($BI13,8)=3,IF($BI13&gt;=8,"▷","▶"),IF(MOD($BI13,8)=5,IF($BI13&gt;=8,"◁","◀"),IF($BI13&gt;=8,"□","■")))))</f>
        <v/>
      </c>
      <c r="V13" s="44">
        <f>IF($BJ13=0,"",IF(MOD($BJ13,8)=7,IF($BJ13&gt;=8,"◇","◆"),IF(MOD($BJ13,8)=3,IF($BJ13&gt;=8,"▷","▶"),IF(MOD($BJ13,8)=5,IF($BJ13&gt;=8,"◁","◀"),IF($BJ13&gt;=8,"□","■")))))</f>
        <v/>
      </c>
      <c r="W13" s="44">
        <f>IF($BK13=0,"",IF(MOD($BK13,8)=7,IF($BK13&gt;=8,"◇","◆"),IF(MOD($BK13,8)=3,IF($BK13&gt;=8,"▷","▶"),IF(MOD($BK13,8)=5,IF($BK13&gt;=8,"◁","◀"),IF($BK13&gt;=8,"□","■")))))</f>
        <v/>
      </c>
      <c r="X13" s="44">
        <f>IF($BL13=0,"",IF(MOD($BL13,8)=7,IF($BL13&gt;=8,"◇","◆"),IF(MOD($BL13,8)=3,IF($BL13&gt;=8,"▷","▶"),IF(MOD($BL13,8)=5,IF($BL13&gt;=8,"◁","◀"),IF($BL13&gt;=8,"□","■")))))</f>
        <v/>
      </c>
      <c r="Y13" s="44">
        <f>IF($BM13=0,"",IF(MOD($BM13,8)=7,IF($BM13&gt;=8,"◇","◆"),IF(MOD($BM13,8)=3,IF($BM13&gt;=8,"▷","▶"),IF(MOD($BM13,8)=5,IF($BM13&gt;=8,"◁","◀"),IF($BM13&gt;=8,"□","■")))))</f>
        <v/>
      </c>
      <c r="Z13" s="44">
        <f>IF($BN13=0,"",IF(MOD($BN13,8)=7,IF($BN13&gt;=8,"◇","◆"),IF(MOD($BN13,8)=3,IF($BN13&gt;=8,"▷","▶"),IF(MOD($BN13,8)=5,IF($BN13&gt;=8,"◁","◀"),IF($BN13&gt;=8,"□","■")))))</f>
        <v/>
      </c>
      <c r="AA13" s="44">
        <f>IF($BO13=0,"",IF(MOD($BO13,8)=7,IF($BO13&gt;=8,"◇","◆"),IF(MOD($BO13,8)=3,IF($BO13&gt;=8,"▷","▶"),IF(MOD($BO13,8)=5,IF($BO13&gt;=8,"◁","◀"),IF($BO13&gt;=8,"□","■")))))</f>
        <v/>
      </c>
      <c r="AB13" s="44">
        <f>IF($BP13=0,"",IF(MOD($BP13,8)=7,IF($BP13&gt;=8,"◇","◆"),IF(MOD($BP13,8)=3,IF($BP13&gt;=8,"▷","▶"),IF(MOD($BP13,8)=5,IF($BP13&gt;=8,"◁","◀"),IF($BP13&gt;=8,"□","■")))))</f>
        <v/>
      </c>
      <c r="AC13" s="44">
        <f>IF($BQ13=0,"",IF(MOD($BQ13,8)=7,IF($BQ13&gt;=8,"◇","◆"),IF(MOD($BQ13,8)=3,IF($BQ13&gt;=8,"▷","▶"),IF(MOD($BQ13,8)=5,IF($BQ13&gt;=8,"◁","◀"),IF($BQ13&gt;=8,"□","■")))))</f>
        <v/>
      </c>
      <c r="AD13" s="44">
        <f>IF($BR13=0,"",IF(MOD($BR13,8)=7,IF($BR13&gt;=8,"◇","◆"),IF(MOD($BR13,8)=3,IF($BR13&gt;=8,"▷","▶"),IF(MOD($BR13,8)=5,IF($BR13&gt;=8,"◁","◀"),IF($BR13&gt;=8,"□","■")))))</f>
        <v/>
      </c>
      <c r="AE13" s="44">
        <f>IF($BS13=0,"",IF(MOD($BS13,8)=7,IF($BS13&gt;=8,"◇","◆"),IF(MOD($BS13,8)=3,IF($BS13&gt;=8,"▷","▶"),IF(MOD($BS13,8)=5,IF($BS13&gt;=8,"◁","◀"),IF($BS13&gt;=8,"□","■")))))</f>
        <v/>
      </c>
      <c r="AF13" s="44">
        <f>IF($BT13=0,"",IF(MOD($BT13,8)=7,IF($BT13&gt;=8,"◇","◆"),IF(MOD($BT13,8)=3,IF($BT13&gt;=8,"▷","▶"),IF(MOD($BT13,8)=5,IF($BT13&gt;=8,"◁","◀"),IF($BT13&gt;=8,"□","■")))))</f>
        <v/>
      </c>
      <c r="AG13" s="45">
        <f>IF($A13="","",COUNTIF($AP13:$BT13,"&gt;0"))</f>
        <v/>
      </c>
      <c r="AP13">
        <f>IF(OR($A13="",B$4=""),0,SUMPRODUCT(('01_予約入力'!$G$5:$G$404&lt;&gt;"")*('01_予約入力'!$Q$5:$Q$404&lt;&gt;"キャンセル")*('01_予約入力'!$B$5:$B$404=$A13)*('01_予約入力'!$G$5:$G$404&lt;=B$4)*('01_予約入力'!$J$5:$J$404&gt;=B$4)*(1+2*('01_予約入力'!$G$5:$G$404=B$4)+4*('01_予約入力'!$J$5:$J$404=B$4)+8*(('01_予約入力'!$Q$5:$Q$404="仮予約")+('01_予約入力'!$Q$5:$Q$404="調整中")))))</f>
        <v/>
      </c>
      <c r="AQ13">
        <f>IF(OR($A13="",C$4=""),0,SUMPRODUCT(('01_予約入力'!$G$5:$G$404&lt;&gt;"")*('01_予約入力'!$Q$5:$Q$404&lt;&gt;"キャンセル")*('01_予約入力'!$B$5:$B$404=$A13)*('01_予約入力'!$G$5:$G$404&lt;=C$4)*('01_予約入力'!$J$5:$J$404&gt;=C$4)*(1+2*('01_予約入力'!$G$5:$G$404=C$4)+4*('01_予約入力'!$J$5:$J$404=C$4)+8*(('01_予約入力'!$Q$5:$Q$404="仮予約")+('01_予約入力'!$Q$5:$Q$404="調整中")))))</f>
        <v/>
      </c>
      <c r="AR13">
        <f>IF(OR($A13="",D$4=""),0,SUMPRODUCT(('01_予約入力'!$G$5:$G$404&lt;&gt;"")*('01_予約入力'!$Q$5:$Q$404&lt;&gt;"キャンセル")*('01_予約入力'!$B$5:$B$404=$A13)*('01_予約入力'!$G$5:$G$404&lt;=D$4)*('01_予約入力'!$J$5:$J$404&gt;=D$4)*(1+2*('01_予約入力'!$G$5:$G$404=D$4)+4*('01_予約入力'!$J$5:$J$404=D$4)+8*(('01_予約入力'!$Q$5:$Q$404="仮予約")+('01_予約入力'!$Q$5:$Q$404="調整中")))))</f>
        <v/>
      </c>
      <c r="AS13">
        <f>IF(OR($A13="",E$4=""),0,SUMPRODUCT(('01_予約入力'!$G$5:$G$404&lt;&gt;"")*('01_予約入力'!$Q$5:$Q$404&lt;&gt;"キャンセル")*('01_予約入力'!$B$5:$B$404=$A13)*('01_予約入力'!$G$5:$G$404&lt;=E$4)*('01_予約入力'!$J$5:$J$404&gt;=E$4)*(1+2*('01_予約入力'!$G$5:$G$404=E$4)+4*('01_予約入力'!$J$5:$J$404=E$4)+8*(('01_予約入力'!$Q$5:$Q$404="仮予約")+('01_予約入力'!$Q$5:$Q$404="調整中")))))</f>
        <v/>
      </c>
      <c r="AT13">
        <f>IF(OR($A13="",F$4=""),0,SUMPRODUCT(('01_予約入力'!$G$5:$G$404&lt;&gt;"")*('01_予約入力'!$Q$5:$Q$404&lt;&gt;"キャンセル")*('01_予約入力'!$B$5:$B$404=$A13)*('01_予約入力'!$G$5:$G$404&lt;=F$4)*('01_予約入力'!$J$5:$J$404&gt;=F$4)*(1+2*('01_予約入力'!$G$5:$G$404=F$4)+4*('01_予約入力'!$J$5:$J$404=F$4)+8*(('01_予約入力'!$Q$5:$Q$404="仮予約")+('01_予約入力'!$Q$5:$Q$404="調整中")))))</f>
        <v/>
      </c>
      <c r="AU13">
        <f>IF(OR($A13="",G$4=""),0,SUMPRODUCT(('01_予約入力'!$G$5:$G$404&lt;&gt;"")*('01_予約入力'!$Q$5:$Q$404&lt;&gt;"キャンセル")*('01_予約入力'!$B$5:$B$404=$A13)*('01_予約入力'!$G$5:$G$404&lt;=G$4)*('01_予約入力'!$J$5:$J$404&gt;=G$4)*(1+2*('01_予約入力'!$G$5:$G$404=G$4)+4*('01_予約入力'!$J$5:$J$404=G$4)+8*(('01_予約入力'!$Q$5:$Q$404="仮予約")+('01_予約入力'!$Q$5:$Q$404="調整中")))))</f>
        <v/>
      </c>
      <c r="AV13">
        <f>IF(OR($A13="",H$4=""),0,SUMPRODUCT(('01_予約入力'!$G$5:$G$404&lt;&gt;"")*('01_予約入力'!$Q$5:$Q$404&lt;&gt;"キャンセル")*('01_予約入力'!$B$5:$B$404=$A13)*('01_予約入力'!$G$5:$G$404&lt;=H$4)*('01_予約入力'!$J$5:$J$404&gt;=H$4)*(1+2*('01_予約入力'!$G$5:$G$404=H$4)+4*('01_予約入力'!$J$5:$J$404=H$4)+8*(('01_予約入力'!$Q$5:$Q$404="仮予約")+('01_予約入力'!$Q$5:$Q$404="調整中")))))</f>
        <v/>
      </c>
      <c r="AW13">
        <f>IF(OR($A13="",I$4=""),0,SUMPRODUCT(('01_予約入力'!$G$5:$G$404&lt;&gt;"")*('01_予約入力'!$Q$5:$Q$404&lt;&gt;"キャンセル")*('01_予約入力'!$B$5:$B$404=$A13)*('01_予約入力'!$G$5:$G$404&lt;=I$4)*('01_予約入力'!$J$5:$J$404&gt;=I$4)*(1+2*('01_予約入力'!$G$5:$G$404=I$4)+4*('01_予約入力'!$J$5:$J$404=I$4)+8*(('01_予約入力'!$Q$5:$Q$404="仮予約")+('01_予約入力'!$Q$5:$Q$404="調整中")))))</f>
        <v/>
      </c>
      <c r="AX13">
        <f>IF(OR($A13="",J$4=""),0,SUMPRODUCT(('01_予約入力'!$G$5:$G$404&lt;&gt;"")*('01_予約入力'!$Q$5:$Q$404&lt;&gt;"キャンセル")*('01_予約入力'!$B$5:$B$404=$A13)*('01_予約入力'!$G$5:$G$404&lt;=J$4)*('01_予約入力'!$J$5:$J$404&gt;=J$4)*(1+2*('01_予約入力'!$G$5:$G$404=J$4)+4*('01_予約入力'!$J$5:$J$404=J$4)+8*(('01_予約入力'!$Q$5:$Q$404="仮予約")+('01_予約入力'!$Q$5:$Q$404="調整中")))))</f>
        <v/>
      </c>
      <c r="AY13">
        <f>IF(OR($A13="",K$4=""),0,SUMPRODUCT(('01_予約入力'!$G$5:$G$404&lt;&gt;"")*('01_予約入力'!$Q$5:$Q$404&lt;&gt;"キャンセル")*('01_予約入力'!$B$5:$B$404=$A13)*('01_予約入力'!$G$5:$G$404&lt;=K$4)*('01_予約入力'!$J$5:$J$404&gt;=K$4)*(1+2*('01_予約入力'!$G$5:$G$404=K$4)+4*('01_予約入力'!$J$5:$J$404=K$4)+8*(('01_予約入力'!$Q$5:$Q$404="仮予約")+('01_予約入力'!$Q$5:$Q$404="調整中")))))</f>
        <v/>
      </c>
      <c r="AZ13">
        <f>IF(OR($A13="",L$4=""),0,SUMPRODUCT(('01_予約入力'!$G$5:$G$404&lt;&gt;"")*('01_予約入力'!$Q$5:$Q$404&lt;&gt;"キャンセル")*('01_予約入力'!$B$5:$B$404=$A13)*('01_予約入力'!$G$5:$G$404&lt;=L$4)*('01_予約入力'!$J$5:$J$404&gt;=L$4)*(1+2*('01_予約入力'!$G$5:$G$404=L$4)+4*('01_予約入力'!$J$5:$J$404=L$4)+8*(('01_予約入力'!$Q$5:$Q$404="仮予約")+('01_予約入力'!$Q$5:$Q$404="調整中")))))</f>
        <v/>
      </c>
      <c r="BA13">
        <f>IF(OR($A13="",M$4=""),0,SUMPRODUCT(('01_予約入力'!$G$5:$G$404&lt;&gt;"")*('01_予約入力'!$Q$5:$Q$404&lt;&gt;"キャンセル")*('01_予約入力'!$B$5:$B$404=$A13)*('01_予約入力'!$G$5:$G$404&lt;=M$4)*('01_予約入力'!$J$5:$J$404&gt;=M$4)*(1+2*('01_予約入力'!$G$5:$G$404=M$4)+4*('01_予約入力'!$J$5:$J$404=M$4)+8*(('01_予約入力'!$Q$5:$Q$404="仮予約")+('01_予約入力'!$Q$5:$Q$404="調整中")))))</f>
        <v/>
      </c>
      <c r="BB13">
        <f>IF(OR($A13="",N$4=""),0,SUMPRODUCT(('01_予約入力'!$G$5:$G$404&lt;&gt;"")*('01_予約入力'!$Q$5:$Q$404&lt;&gt;"キャンセル")*('01_予約入力'!$B$5:$B$404=$A13)*('01_予約入力'!$G$5:$G$404&lt;=N$4)*('01_予約入力'!$J$5:$J$404&gt;=N$4)*(1+2*('01_予約入力'!$G$5:$G$404=N$4)+4*('01_予約入力'!$J$5:$J$404=N$4)+8*(('01_予約入力'!$Q$5:$Q$404="仮予約")+('01_予約入力'!$Q$5:$Q$404="調整中")))))</f>
        <v/>
      </c>
      <c r="BC13">
        <f>IF(OR($A13="",O$4=""),0,SUMPRODUCT(('01_予約入力'!$G$5:$G$404&lt;&gt;"")*('01_予約入力'!$Q$5:$Q$404&lt;&gt;"キャンセル")*('01_予約入力'!$B$5:$B$404=$A13)*('01_予約入力'!$G$5:$G$404&lt;=O$4)*('01_予約入力'!$J$5:$J$404&gt;=O$4)*(1+2*('01_予約入力'!$G$5:$G$404=O$4)+4*('01_予約入力'!$J$5:$J$404=O$4)+8*(('01_予約入力'!$Q$5:$Q$404="仮予約")+('01_予約入力'!$Q$5:$Q$404="調整中")))))</f>
        <v/>
      </c>
      <c r="BD13">
        <f>IF(OR($A13="",P$4=""),0,SUMPRODUCT(('01_予約入力'!$G$5:$G$404&lt;&gt;"")*('01_予約入力'!$Q$5:$Q$404&lt;&gt;"キャンセル")*('01_予約入力'!$B$5:$B$404=$A13)*('01_予約入力'!$G$5:$G$404&lt;=P$4)*('01_予約入力'!$J$5:$J$404&gt;=P$4)*(1+2*('01_予約入力'!$G$5:$G$404=P$4)+4*('01_予約入力'!$J$5:$J$404=P$4)+8*(('01_予約入力'!$Q$5:$Q$404="仮予約")+('01_予約入力'!$Q$5:$Q$404="調整中")))))</f>
        <v/>
      </c>
      <c r="BE13">
        <f>IF(OR($A13="",Q$4=""),0,SUMPRODUCT(('01_予約入力'!$G$5:$G$404&lt;&gt;"")*('01_予約入力'!$Q$5:$Q$404&lt;&gt;"キャンセル")*('01_予約入力'!$B$5:$B$404=$A13)*('01_予約入力'!$G$5:$G$404&lt;=Q$4)*('01_予約入力'!$J$5:$J$404&gt;=Q$4)*(1+2*('01_予約入力'!$G$5:$G$404=Q$4)+4*('01_予約入力'!$J$5:$J$404=Q$4)+8*(('01_予約入力'!$Q$5:$Q$404="仮予約")+('01_予約入力'!$Q$5:$Q$404="調整中")))))</f>
        <v/>
      </c>
      <c r="BF13">
        <f>IF(OR($A13="",R$4=""),0,SUMPRODUCT(('01_予約入力'!$G$5:$G$404&lt;&gt;"")*('01_予約入力'!$Q$5:$Q$404&lt;&gt;"キャンセル")*('01_予約入力'!$B$5:$B$404=$A13)*('01_予約入力'!$G$5:$G$404&lt;=R$4)*('01_予約入力'!$J$5:$J$404&gt;=R$4)*(1+2*('01_予約入力'!$G$5:$G$404=R$4)+4*('01_予約入力'!$J$5:$J$404=R$4)+8*(('01_予約入力'!$Q$5:$Q$404="仮予約")+('01_予約入力'!$Q$5:$Q$404="調整中")))))</f>
        <v/>
      </c>
      <c r="BG13">
        <f>IF(OR($A13="",S$4=""),0,SUMPRODUCT(('01_予約入力'!$G$5:$G$404&lt;&gt;"")*('01_予約入力'!$Q$5:$Q$404&lt;&gt;"キャンセル")*('01_予約入力'!$B$5:$B$404=$A13)*('01_予約入力'!$G$5:$G$404&lt;=S$4)*('01_予約入力'!$J$5:$J$404&gt;=S$4)*(1+2*('01_予約入力'!$G$5:$G$404=S$4)+4*('01_予約入力'!$J$5:$J$404=S$4)+8*(('01_予約入力'!$Q$5:$Q$404="仮予約")+('01_予約入力'!$Q$5:$Q$404="調整中")))))</f>
        <v/>
      </c>
      <c r="BH13">
        <f>IF(OR($A13="",T$4=""),0,SUMPRODUCT(('01_予約入力'!$G$5:$G$404&lt;&gt;"")*('01_予約入力'!$Q$5:$Q$404&lt;&gt;"キャンセル")*('01_予約入力'!$B$5:$B$404=$A13)*('01_予約入力'!$G$5:$G$404&lt;=T$4)*('01_予約入力'!$J$5:$J$404&gt;=T$4)*(1+2*('01_予約入力'!$G$5:$G$404=T$4)+4*('01_予約入力'!$J$5:$J$404=T$4)+8*(('01_予約入力'!$Q$5:$Q$404="仮予約")+('01_予約入力'!$Q$5:$Q$404="調整中")))))</f>
        <v/>
      </c>
      <c r="BI13">
        <f>IF(OR($A13="",U$4=""),0,SUMPRODUCT(('01_予約入力'!$G$5:$G$404&lt;&gt;"")*('01_予約入力'!$Q$5:$Q$404&lt;&gt;"キャンセル")*('01_予約入力'!$B$5:$B$404=$A13)*('01_予約入力'!$G$5:$G$404&lt;=U$4)*('01_予約入力'!$J$5:$J$404&gt;=U$4)*(1+2*('01_予約入力'!$G$5:$G$404=U$4)+4*('01_予約入力'!$J$5:$J$404=U$4)+8*(('01_予約入力'!$Q$5:$Q$404="仮予約")+('01_予約入力'!$Q$5:$Q$404="調整中")))))</f>
        <v/>
      </c>
      <c r="BJ13">
        <f>IF(OR($A13="",V$4=""),0,SUMPRODUCT(('01_予約入力'!$G$5:$G$404&lt;&gt;"")*('01_予約入力'!$Q$5:$Q$404&lt;&gt;"キャンセル")*('01_予約入力'!$B$5:$B$404=$A13)*('01_予約入力'!$G$5:$G$404&lt;=V$4)*('01_予約入力'!$J$5:$J$404&gt;=V$4)*(1+2*('01_予約入力'!$G$5:$G$404=V$4)+4*('01_予約入力'!$J$5:$J$404=V$4)+8*(('01_予約入力'!$Q$5:$Q$404="仮予約")+('01_予約入力'!$Q$5:$Q$404="調整中")))))</f>
        <v/>
      </c>
      <c r="BK13">
        <f>IF(OR($A13="",W$4=""),0,SUMPRODUCT(('01_予約入力'!$G$5:$G$404&lt;&gt;"")*('01_予約入力'!$Q$5:$Q$404&lt;&gt;"キャンセル")*('01_予約入力'!$B$5:$B$404=$A13)*('01_予約入力'!$G$5:$G$404&lt;=W$4)*('01_予約入力'!$J$5:$J$404&gt;=W$4)*(1+2*('01_予約入力'!$G$5:$G$404=W$4)+4*('01_予約入力'!$J$5:$J$404=W$4)+8*(('01_予約入力'!$Q$5:$Q$404="仮予約")+('01_予約入力'!$Q$5:$Q$404="調整中")))))</f>
        <v/>
      </c>
      <c r="BL13">
        <f>IF(OR($A13="",X$4=""),0,SUMPRODUCT(('01_予約入力'!$G$5:$G$404&lt;&gt;"")*('01_予約入力'!$Q$5:$Q$404&lt;&gt;"キャンセル")*('01_予約入力'!$B$5:$B$404=$A13)*('01_予約入力'!$G$5:$G$404&lt;=X$4)*('01_予約入力'!$J$5:$J$404&gt;=X$4)*(1+2*('01_予約入力'!$G$5:$G$404=X$4)+4*('01_予約入力'!$J$5:$J$404=X$4)+8*(('01_予約入力'!$Q$5:$Q$404="仮予約")+('01_予約入力'!$Q$5:$Q$404="調整中")))))</f>
        <v/>
      </c>
      <c r="BM13">
        <f>IF(OR($A13="",Y$4=""),0,SUMPRODUCT(('01_予約入力'!$G$5:$G$404&lt;&gt;"")*('01_予約入力'!$Q$5:$Q$404&lt;&gt;"キャンセル")*('01_予約入力'!$B$5:$B$404=$A13)*('01_予約入力'!$G$5:$G$404&lt;=Y$4)*('01_予約入力'!$J$5:$J$404&gt;=Y$4)*(1+2*('01_予約入力'!$G$5:$G$404=Y$4)+4*('01_予約入力'!$J$5:$J$404=Y$4)+8*(('01_予約入力'!$Q$5:$Q$404="仮予約")+('01_予約入力'!$Q$5:$Q$404="調整中")))))</f>
        <v/>
      </c>
      <c r="BN13">
        <f>IF(OR($A13="",Z$4=""),0,SUMPRODUCT(('01_予約入力'!$G$5:$G$404&lt;&gt;"")*('01_予約入力'!$Q$5:$Q$404&lt;&gt;"キャンセル")*('01_予約入力'!$B$5:$B$404=$A13)*('01_予約入力'!$G$5:$G$404&lt;=Z$4)*('01_予約入力'!$J$5:$J$404&gt;=Z$4)*(1+2*('01_予約入力'!$G$5:$G$404=Z$4)+4*('01_予約入力'!$J$5:$J$404=Z$4)+8*(('01_予約入力'!$Q$5:$Q$404="仮予約")+('01_予約入力'!$Q$5:$Q$404="調整中")))))</f>
        <v/>
      </c>
      <c r="BO13">
        <f>IF(OR($A13="",AA$4=""),0,SUMPRODUCT(('01_予約入力'!$G$5:$G$404&lt;&gt;"")*('01_予約入力'!$Q$5:$Q$404&lt;&gt;"キャンセル")*('01_予約入力'!$B$5:$B$404=$A13)*('01_予約入力'!$G$5:$G$404&lt;=AA$4)*('01_予約入力'!$J$5:$J$404&gt;=AA$4)*(1+2*('01_予約入力'!$G$5:$G$404=AA$4)+4*('01_予約入力'!$J$5:$J$404=AA$4)+8*(('01_予約入力'!$Q$5:$Q$404="仮予約")+('01_予約入力'!$Q$5:$Q$404="調整中")))))</f>
        <v/>
      </c>
      <c r="BP13">
        <f>IF(OR($A13="",AB$4=""),0,SUMPRODUCT(('01_予約入力'!$G$5:$G$404&lt;&gt;"")*('01_予約入力'!$Q$5:$Q$404&lt;&gt;"キャンセル")*('01_予約入力'!$B$5:$B$404=$A13)*('01_予約入力'!$G$5:$G$404&lt;=AB$4)*('01_予約入力'!$J$5:$J$404&gt;=AB$4)*(1+2*('01_予約入力'!$G$5:$G$404=AB$4)+4*('01_予約入力'!$J$5:$J$404=AB$4)+8*(('01_予約入力'!$Q$5:$Q$404="仮予約")+('01_予約入力'!$Q$5:$Q$404="調整中")))))</f>
        <v/>
      </c>
      <c r="BQ13">
        <f>IF(OR($A13="",AC$4=""),0,SUMPRODUCT(('01_予約入力'!$G$5:$G$404&lt;&gt;"")*('01_予約入力'!$Q$5:$Q$404&lt;&gt;"キャンセル")*('01_予約入力'!$B$5:$B$404=$A13)*('01_予約入力'!$G$5:$G$404&lt;=AC$4)*('01_予約入力'!$J$5:$J$404&gt;=AC$4)*(1+2*('01_予約入力'!$G$5:$G$404=AC$4)+4*('01_予約入力'!$J$5:$J$404=AC$4)+8*(('01_予約入力'!$Q$5:$Q$404="仮予約")+('01_予約入力'!$Q$5:$Q$404="調整中")))))</f>
        <v/>
      </c>
      <c r="BR13">
        <f>IF(OR($A13="",AD$4=""),0,SUMPRODUCT(('01_予約入力'!$G$5:$G$404&lt;&gt;"")*('01_予約入力'!$Q$5:$Q$404&lt;&gt;"キャンセル")*('01_予約入力'!$B$5:$B$404=$A13)*('01_予約入力'!$G$5:$G$404&lt;=AD$4)*('01_予約入力'!$J$5:$J$404&gt;=AD$4)*(1+2*('01_予約入力'!$G$5:$G$404=AD$4)+4*('01_予約入力'!$J$5:$J$404=AD$4)+8*(('01_予約入力'!$Q$5:$Q$404="仮予約")+('01_予約入力'!$Q$5:$Q$404="調整中")))))</f>
        <v/>
      </c>
      <c r="BS13">
        <f>IF(OR($A13="",AE$4=""),0,SUMPRODUCT(('01_予約入力'!$G$5:$G$404&lt;&gt;"")*('01_予約入力'!$Q$5:$Q$404&lt;&gt;"キャンセル")*('01_予約入力'!$B$5:$B$404=$A13)*('01_予約入力'!$G$5:$G$404&lt;=AE$4)*('01_予約入力'!$J$5:$J$404&gt;=AE$4)*(1+2*('01_予約入力'!$G$5:$G$404=AE$4)+4*('01_予約入力'!$J$5:$J$404=AE$4)+8*(('01_予約入力'!$Q$5:$Q$404="仮予約")+('01_予約入力'!$Q$5:$Q$404="調整中")))))</f>
        <v/>
      </c>
      <c r="BT13">
        <f>IF(OR($A13="",AF$4=""),0,SUMPRODUCT(('01_予約入力'!$G$5:$G$404&lt;&gt;"")*('01_予約入力'!$Q$5:$Q$404&lt;&gt;"キャンセル")*('01_予約入力'!$B$5:$B$404=$A13)*('01_予約入力'!$G$5:$G$404&lt;=AF$4)*('01_予約入力'!$J$5:$J$404&gt;=AF$4)*(1+2*('01_予約入力'!$G$5:$G$404=AF$4)+4*('01_予約入力'!$J$5:$J$404=AF$4)+8*(('01_予約入力'!$Q$5:$Q$404="仮予約")+('01_予約入力'!$Q$5:$Q$404="調整中")))))</f>
        <v/>
      </c>
    </row>
    <row r="14" ht="19" customHeight="1">
      <c r="A14" s="43">
        <f>IF(COUNTA('利用者マスタ'!$A$4:$A$60)&gt;=8,INDEX('利用者マスタ'!$A$4:$A$60,8),"")</f>
        <v/>
      </c>
      <c r="B14" s="44">
        <f>IF($AP14=0,"",IF(MOD($AP14,8)=7,IF($AP14&gt;=8,"◇","◆"),IF(MOD($AP14,8)=3,IF($AP14&gt;=8,"▷","▶"),IF(MOD($AP14,8)=5,IF($AP14&gt;=8,"◁","◀"),IF($AP14&gt;=8,"□","■")))))</f>
        <v/>
      </c>
      <c r="C14" s="44">
        <f>IF($AQ14=0,"",IF(MOD($AQ14,8)=7,IF($AQ14&gt;=8,"◇","◆"),IF(MOD($AQ14,8)=3,IF($AQ14&gt;=8,"▷","▶"),IF(MOD($AQ14,8)=5,IF($AQ14&gt;=8,"◁","◀"),IF($AQ14&gt;=8,"□","■")))))</f>
        <v/>
      </c>
      <c r="D14" s="44">
        <f>IF($AR14=0,"",IF(MOD($AR14,8)=7,IF($AR14&gt;=8,"◇","◆"),IF(MOD($AR14,8)=3,IF($AR14&gt;=8,"▷","▶"),IF(MOD($AR14,8)=5,IF($AR14&gt;=8,"◁","◀"),IF($AR14&gt;=8,"□","■")))))</f>
        <v/>
      </c>
      <c r="E14" s="44">
        <f>IF($AS14=0,"",IF(MOD($AS14,8)=7,IF($AS14&gt;=8,"◇","◆"),IF(MOD($AS14,8)=3,IF($AS14&gt;=8,"▷","▶"),IF(MOD($AS14,8)=5,IF($AS14&gt;=8,"◁","◀"),IF($AS14&gt;=8,"□","■")))))</f>
        <v/>
      </c>
      <c r="F14" s="44">
        <f>IF($AT14=0,"",IF(MOD($AT14,8)=7,IF($AT14&gt;=8,"◇","◆"),IF(MOD($AT14,8)=3,IF($AT14&gt;=8,"▷","▶"),IF(MOD($AT14,8)=5,IF($AT14&gt;=8,"◁","◀"),IF($AT14&gt;=8,"□","■")))))</f>
        <v/>
      </c>
      <c r="G14" s="44">
        <f>IF($AU14=0,"",IF(MOD($AU14,8)=7,IF($AU14&gt;=8,"◇","◆"),IF(MOD($AU14,8)=3,IF($AU14&gt;=8,"▷","▶"),IF(MOD($AU14,8)=5,IF($AU14&gt;=8,"◁","◀"),IF($AU14&gt;=8,"□","■")))))</f>
        <v/>
      </c>
      <c r="H14" s="44">
        <f>IF($AV14=0,"",IF(MOD($AV14,8)=7,IF($AV14&gt;=8,"◇","◆"),IF(MOD($AV14,8)=3,IF($AV14&gt;=8,"▷","▶"),IF(MOD($AV14,8)=5,IF($AV14&gt;=8,"◁","◀"),IF($AV14&gt;=8,"□","■")))))</f>
        <v/>
      </c>
      <c r="I14" s="44">
        <f>IF($AW14=0,"",IF(MOD($AW14,8)=7,IF($AW14&gt;=8,"◇","◆"),IF(MOD($AW14,8)=3,IF($AW14&gt;=8,"▷","▶"),IF(MOD($AW14,8)=5,IF($AW14&gt;=8,"◁","◀"),IF($AW14&gt;=8,"□","■")))))</f>
        <v/>
      </c>
      <c r="J14" s="44">
        <f>IF($AX14=0,"",IF(MOD($AX14,8)=7,IF($AX14&gt;=8,"◇","◆"),IF(MOD($AX14,8)=3,IF($AX14&gt;=8,"▷","▶"),IF(MOD($AX14,8)=5,IF($AX14&gt;=8,"◁","◀"),IF($AX14&gt;=8,"□","■")))))</f>
        <v/>
      </c>
      <c r="K14" s="44">
        <f>IF($AY14=0,"",IF(MOD($AY14,8)=7,IF($AY14&gt;=8,"◇","◆"),IF(MOD($AY14,8)=3,IF($AY14&gt;=8,"▷","▶"),IF(MOD($AY14,8)=5,IF($AY14&gt;=8,"◁","◀"),IF($AY14&gt;=8,"□","■")))))</f>
        <v/>
      </c>
      <c r="L14" s="44">
        <f>IF($AZ14=0,"",IF(MOD($AZ14,8)=7,IF($AZ14&gt;=8,"◇","◆"),IF(MOD($AZ14,8)=3,IF($AZ14&gt;=8,"▷","▶"),IF(MOD($AZ14,8)=5,IF($AZ14&gt;=8,"◁","◀"),IF($AZ14&gt;=8,"□","■")))))</f>
        <v/>
      </c>
      <c r="M14" s="44">
        <f>IF($BA14=0,"",IF(MOD($BA14,8)=7,IF($BA14&gt;=8,"◇","◆"),IF(MOD($BA14,8)=3,IF($BA14&gt;=8,"▷","▶"),IF(MOD($BA14,8)=5,IF($BA14&gt;=8,"◁","◀"),IF($BA14&gt;=8,"□","■")))))</f>
        <v/>
      </c>
      <c r="N14" s="44">
        <f>IF($BB14=0,"",IF(MOD($BB14,8)=7,IF($BB14&gt;=8,"◇","◆"),IF(MOD($BB14,8)=3,IF($BB14&gt;=8,"▷","▶"),IF(MOD($BB14,8)=5,IF($BB14&gt;=8,"◁","◀"),IF($BB14&gt;=8,"□","■")))))</f>
        <v/>
      </c>
      <c r="O14" s="44">
        <f>IF($BC14=0,"",IF(MOD($BC14,8)=7,IF($BC14&gt;=8,"◇","◆"),IF(MOD($BC14,8)=3,IF($BC14&gt;=8,"▷","▶"),IF(MOD($BC14,8)=5,IF($BC14&gt;=8,"◁","◀"),IF($BC14&gt;=8,"□","■")))))</f>
        <v/>
      </c>
      <c r="P14" s="44">
        <f>IF($BD14=0,"",IF(MOD($BD14,8)=7,IF($BD14&gt;=8,"◇","◆"),IF(MOD($BD14,8)=3,IF($BD14&gt;=8,"▷","▶"),IF(MOD($BD14,8)=5,IF($BD14&gt;=8,"◁","◀"),IF($BD14&gt;=8,"□","■")))))</f>
        <v/>
      </c>
      <c r="Q14" s="44">
        <f>IF($BE14=0,"",IF(MOD($BE14,8)=7,IF($BE14&gt;=8,"◇","◆"),IF(MOD($BE14,8)=3,IF($BE14&gt;=8,"▷","▶"),IF(MOD($BE14,8)=5,IF($BE14&gt;=8,"◁","◀"),IF($BE14&gt;=8,"□","■")))))</f>
        <v/>
      </c>
      <c r="R14" s="44">
        <f>IF($BF14=0,"",IF(MOD($BF14,8)=7,IF($BF14&gt;=8,"◇","◆"),IF(MOD($BF14,8)=3,IF($BF14&gt;=8,"▷","▶"),IF(MOD($BF14,8)=5,IF($BF14&gt;=8,"◁","◀"),IF($BF14&gt;=8,"□","■")))))</f>
        <v/>
      </c>
      <c r="S14" s="44">
        <f>IF($BG14=0,"",IF(MOD($BG14,8)=7,IF($BG14&gt;=8,"◇","◆"),IF(MOD($BG14,8)=3,IF($BG14&gt;=8,"▷","▶"),IF(MOD($BG14,8)=5,IF($BG14&gt;=8,"◁","◀"),IF($BG14&gt;=8,"□","■")))))</f>
        <v/>
      </c>
      <c r="T14" s="44">
        <f>IF($BH14=0,"",IF(MOD($BH14,8)=7,IF($BH14&gt;=8,"◇","◆"),IF(MOD($BH14,8)=3,IF($BH14&gt;=8,"▷","▶"),IF(MOD($BH14,8)=5,IF($BH14&gt;=8,"◁","◀"),IF($BH14&gt;=8,"□","■")))))</f>
        <v/>
      </c>
      <c r="U14" s="44">
        <f>IF($BI14=0,"",IF(MOD($BI14,8)=7,IF($BI14&gt;=8,"◇","◆"),IF(MOD($BI14,8)=3,IF($BI14&gt;=8,"▷","▶"),IF(MOD($BI14,8)=5,IF($BI14&gt;=8,"◁","◀"),IF($BI14&gt;=8,"□","■")))))</f>
        <v/>
      </c>
      <c r="V14" s="44">
        <f>IF($BJ14=0,"",IF(MOD($BJ14,8)=7,IF($BJ14&gt;=8,"◇","◆"),IF(MOD($BJ14,8)=3,IF($BJ14&gt;=8,"▷","▶"),IF(MOD($BJ14,8)=5,IF($BJ14&gt;=8,"◁","◀"),IF($BJ14&gt;=8,"□","■")))))</f>
        <v/>
      </c>
      <c r="W14" s="44">
        <f>IF($BK14=0,"",IF(MOD($BK14,8)=7,IF($BK14&gt;=8,"◇","◆"),IF(MOD($BK14,8)=3,IF($BK14&gt;=8,"▷","▶"),IF(MOD($BK14,8)=5,IF($BK14&gt;=8,"◁","◀"),IF($BK14&gt;=8,"□","■")))))</f>
        <v/>
      </c>
      <c r="X14" s="44">
        <f>IF($BL14=0,"",IF(MOD($BL14,8)=7,IF($BL14&gt;=8,"◇","◆"),IF(MOD($BL14,8)=3,IF($BL14&gt;=8,"▷","▶"),IF(MOD($BL14,8)=5,IF($BL14&gt;=8,"◁","◀"),IF($BL14&gt;=8,"□","■")))))</f>
        <v/>
      </c>
      <c r="Y14" s="44">
        <f>IF($BM14=0,"",IF(MOD($BM14,8)=7,IF($BM14&gt;=8,"◇","◆"),IF(MOD($BM14,8)=3,IF($BM14&gt;=8,"▷","▶"),IF(MOD($BM14,8)=5,IF($BM14&gt;=8,"◁","◀"),IF($BM14&gt;=8,"□","■")))))</f>
        <v/>
      </c>
      <c r="Z14" s="44">
        <f>IF($BN14=0,"",IF(MOD($BN14,8)=7,IF($BN14&gt;=8,"◇","◆"),IF(MOD($BN14,8)=3,IF($BN14&gt;=8,"▷","▶"),IF(MOD($BN14,8)=5,IF($BN14&gt;=8,"◁","◀"),IF($BN14&gt;=8,"□","■")))))</f>
        <v/>
      </c>
      <c r="AA14" s="44">
        <f>IF($BO14=0,"",IF(MOD($BO14,8)=7,IF($BO14&gt;=8,"◇","◆"),IF(MOD($BO14,8)=3,IF($BO14&gt;=8,"▷","▶"),IF(MOD($BO14,8)=5,IF($BO14&gt;=8,"◁","◀"),IF($BO14&gt;=8,"□","■")))))</f>
        <v/>
      </c>
      <c r="AB14" s="44">
        <f>IF($BP14=0,"",IF(MOD($BP14,8)=7,IF($BP14&gt;=8,"◇","◆"),IF(MOD($BP14,8)=3,IF($BP14&gt;=8,"▷","▶"),IF(MOD($BP14,8)=5,IF($BP14&gt;=8,"◁","◀"),IF($BP14&gt;=8,"□","■")))))</f>
        <v/>
      </c>
      <c r="AC14" s="44">
        <f>IF($BQ14=0,"",IF(MOD($BQ14,8)=7,IF($BQ14&gt;=8,"◇","◆"),IF(MOD($BQ14,8)=3,IF($BQ14&gt;=8,"▷","▶"),IF(MOD($BQ14,8)=5,IF($BQ14&gt;=8,"◁","◀"),IF($BQ14&gt;=8,"□","■")))))</f>
        <v/>
      </c>
      <c r="AD14" s="44">
        <f>IF($BR14=0,"",IF(MOD($BR14,8)=7,IF($BR14&gt;=8,"◇","◆"),IF(MOD($BR14,8)=3,IF($BR14&gt;=8,"▷","▶"),IF(MOD($BR14,8)=5,IF($BR14&gt;=8,"◁","◀"),IF($BR14&gt;=8,"□","■")))))</f>
        <v/>
      </c>
      <c r="AE14" s="44">
        <f>IF($BS14=0,"",IF(MOD($BS14,8)=7,IF($BS14&gt;=8,"◇","◆"),IF(MOD($BS14,8)=3,IF($BS14&gt;=8,"▷","▶"),IF(MOD($BS14,8)=5,IF($BS14&gt;=8,"◁","◀"),IF($BS14&gt;=8,"□","■")))))</f>
        <v/>
      </c>
      <c r="AF14" s="44">
        <f>IF($BT14=0,"",IF(MOD($BT14,8)=7,IF($BT14&gt;=8,"◇","◆"),IF(MOD($BT14,8)=3,IF($BT14&gt;=8,"▷","▶"),IF(MOD($BT14,8)=5,IF($BT14&gt;=8,"◁","◀"),IF($BT14&gt;=8,"□","■")))))</f>
        <v/>
      </c>
      <c r="AG14" s="45">
        <f>IF($A14="","",COUNTIF($AP14:$BT14,"&gt;0"))</f>
        <v/>
      </c>
      <c r="AP14">
        <f>IF(OR($A14="",B$4=""),0,SUMPRODUCT(('01_予約入力'!$G$5:$G$404&lt;&gt;"")*('01_予約入力'!$Q$5:$Q$404&lt;&gt;"キャンセル")*('01_予約入力'!$B$5:$B$404=$A14)*('01_予約入力'!$G$5:$G$404&lt;=B$4)*('01_予約入力'!$J$5:$J$404&gt;=B$4)*(1+2*('01_予約入力'!$G$5:$G$404=B$4)+4*('01_予約入力'!$J$5:$J$404=B$4)+8*(('01_予約入力'!$Q$5:$Q$404="仮予約")+('01_予約入力'!$Q$5:$Q$404="調整中")))))</f>
        <v/>
      </c>
      <c r="AQ14">
        <f>IF(OR($A14="",C$4=""),0,SUMPRODUCT(('01_予約入力'!$G$5:$G$404&lt;&gt;"")*('01_予約入力'!$Q$5:$Q$404&lt;&gt;"キャンセル")*('01_予約入力'!$B$5:$B$404=$A14)*('01_予約入力'!$G$5:$G$404&lt;=C$4)*('01_予約入力'!$J$5:$J$404&gt;=C$4)*(1+2*('01_予約入力'!$G$5:$G$404=C$4)+4*('01_予約入力'!$J$5:$J$404=C$4)+8*(('01_予約入力'!$Q$5:$Q$404="仮予約")+('01_予約入力'!$Q$5:$Q$404="調整中")))))</f>
        <v/>
      </c>
      <c r="AR14">
        <f>IF(OR($A14="",D$4=""),0,SUMPRODUCT(('01_予約入力'!$G$5:$G$404&lt;&gt;"")*('01_予約入力'!$Q$5:$Q$404&lt;&gt;"キャンセル")*('01_予約入力'!$B$5:$B$404=$A14)*('01_予約入力'!$G$5:$G$404&lt;=D$4)*('01_予約入力'!$J$5:$J$404&gt;=D$4)*(1+2*('01_予約入力'!$G$5:$G$404=D$4)+4*('01_予約入力'!$J$5:$J$404=D$4)+8*(('01_予約入力'!$Q$5:$Q$404="仮予約")+('01_予約入力'!$Q$5:$Q$404="調整中")))))</f>
        <v/>
      </c>
      <c r="AS14">
        <f>IF(OR($A14="",E$4=""),0,SUMPRODUCT(('01_予約入力'!$G$5:$G$404&lt;&gt;"")*('01_予約入力'!$Q$5:$Q$404&lt;&gt;"キャンセル")*('01_予約入力'!$B$5:$B$404=$A14)*('01_予約入力'!$G$5:$G$404&lt;=E$4)*('01_予約入力'!$J$5:$J$404&gt;=E$4)*(1+2*('01_予約入力'!$G$5:$G$404=E$4)+4*('01_予約入力'!$J$5:$J$404=E$4)+8*(('01_予約入力'!$Q$5:$Q$404="仮予約")+('01_予約入力'!$Q$5:$Q$404="調整中")))))</f>
        <v/>
      </c>
      <c r="AT14">
        <f>IF(OR($A14="",F$4=""),0,SUMPRODUCT(('01_予約入力'!$G$5:$G$404&lt;&gt;"")*('01_予約入力'!$Q$5:$Q$404&lt;&gt;"キャンセル")*('01_予約入力'!$B$5:$B$404=$A14)*('01_予約入力'!$G$5:$G$404&lt;=F$4)*('01_予約入力'!$J$5:$J$404&gt;=F$4)*(1+2*('01_予約入力'!$G$5:$G$404=F$4)+4*('01_予約入力'!$J$5:$J$404=F$4)+8*(('01_予約入力'!$Q$5:$Q$404="仮予約")+('01_予約入力'!$Q$5:$Q$404="調整中")))))</f>
        <v/>
      </c>
      <c r="AU14">
        <f>IF(OR($A14="",G$4=""),0,SUMPRODUCT(('01_予約入力'!$G$5:$G$404&lt;&gt;"")*('01_予約入力'!$Q$5:$Q$404&lt;&gt;"キャンセル")*('01_予約入力'!$B$5:$B$404=$A14)*('01_予約入力'!$G$5:$G$404&lt;=G$4)*('01_予約入力'!$J$5:$J$404&gt;=G$4)*(1+2*('01_予約入力'!$G$5:$G$404=G$4)+4*('01_予約入力'!$J$5:$J$404=G$4)+8*(('01_予約入力'!$Q$5:$Q$404="仮予約")+('01_予約入力'!$Q$5:$Q$404="調整中")))))</f>
        <v/>
      </c>
      <c r="AV14">
        <f>IF(OR($A14="",H$4=""),0,SUMPRODUCT(('01_予約入力'!$G$5:$G$404&lt;&gt;"")*('01_予約入力'!$Q$5:$Q$404&lt;&gt;"キャンセル")*('01_予約入力'!$B$5:$B$404=$A14)*('01_予約入力'!$G$5:$G$404&lt;=H$4)*('01_予約入力'!$J$5:$J$404&gt;=H$4)*(1+2*('01_予約入力'!$G$5:$G$404=H$4)+4*('01_予約入力'!$J$5:$J$404=H$4)+8*(('01_予約入力'!$Q$5:$Q$404="仮予約")+('01_予約入力'!$Q$5:$Q$404="調整中")))))</f>
        <v/>
      </c>
      <c r="AW14">
        <f>IF(OR($A14="",I$4=""),0,SUMPRODUCT(('01_予約入力'!$G$5:$G$404&lt;&gt;"")*('01_予約入力'!$Q$5:$Q$404&lt;&gt;"キャンセル")*('01_予約入力'!$B$5:$B$404=$A14)*('01_予約入力'!$G$5:$G$404&lt;=I$4)*('01_予約入力'!$J$5:$J$404&gt;=I$4)*(1+2*('01_予約入力'!$G$5:$G$404=I$4)+4*('01_予約入力'!$J$5:$J$404=I$4)+8*(('01_予約入力'!$Q$5:$Q$404="仮予約")+('01_予約入力'!$Q$5:$Q$404="調整中")))))</f>
        <v/>
      </c>
      <c r="AX14">
        <f>IF(OR($A14="",J$4=""),0,SUMPRODUCT(('01_予約入力'!$G$5:$G$404&lt;&gt;"")*('01_予約入力'!$Q$5:$Q$404&lt;&gt;"キャンセル")*('01_予約入力'!$B$5:$B$404=$A14)*('01_予約入力'!$G$5:$G$404&lt;=J$4)*('01_予約入力'!$J$5:$J$404&gt;=J$4)*(1+2*('01_予約入力'!$G$5:$G$404=J$4)+4*('01_予約入力'!$J$5:$J$404=J$4)+8*(('01_予約入力'!$Q$5:$Q$404="仮予約")+('01_予約入力'!$Q$5:$Q$404="調整中")))))</f>
        <v/>
      </c>
      <c r="AY14">
        <f>IF(OR($A14="",K$4=""),0,SUMPRODUCT(('01_予約入力'!$G$5:$G$404&lt;&gt;"")*('01_予約入力'!$Q$5:$Q$404&lt;&gt;"キャンセル")*('01_予約入力'!$B$5:$B$404=$A14)*('01_予約入力'!$G$5:$G$404&lt;=K$4)*('01_予約入力'!$J$5:$J$404&gt;=K$4)*(1+2*('01_予約入力'!$G$5:$G$404=K$4)+4*('01_予約入力'!$J$5:$J$404=K$4)+8*(('01_予約入力'!$Q$5:$Q$404="仮予約")+('01_予約入力'!$Q$5:$Q$404="調整中")))))</f>
        <v/>
      </c>
      <c r="AZ14">
        <f>IF(OR($A14="",L$4=""),0,SUMPRODUCT(('01_予約入力'!$G$5:$G$404&lt;&gt;"")*('01_予約入力'!$Q$5:$Q$404&lt;&gt;"キャンセル")*('01_予約入力'!$B$5:$B$404=$A14)*('01_予約入力'!$G$5:$G$404&lt;=L$4)*('01_予約入力'!$J$5:$J$404&gt;=L$4)*(1+2*('01_予約入力'!$G$5:$G$404=L$4)+4*('01_予約入力'!$J$5:$J$404=L$4)+8*(('01_予約入力'!$Q$5:$Q$404="仮予約")+('01_予約入力'!$Q$5:$Q$404="調整中")))))</f>
        <v/>
      </c>
      <c r="BA14">
        <f>IF(OR($A14="",M$4=""),0,SUMPRODUCT(('01_予約入力'!$G$5:$G$404&lt;&gt;"")*('01_予約入力'!$Q$5:$Q$404&lt;&gt;"キャンセル")*('01_予約入力'!$B$5:$B$404=$A14)*('01_予約入力'!$G$5:$G$404&lt;=M$4)*('01_予約入力'!$J$5:$J$404&gt;=M$4)*(1+2*('01_予約入力'!$G$5:$G$404=M$4)+4*('01_予約入力'!$J$5:$J$404=M$4)+8*(('01_予約入力'!$Q$5:$Q$404="仮予約")+('01_予約入力'!$Q$5:$Q$404="調整中")))))</f>
        <v/>
      </c>
      <c r="BB14">
        <f>IF(OR($A14="",N$4=""),0,SUMPRODUCT(('01_予約入力'!$G$5:$G$404&lt;&gt;"")*('01_予約入力'!$Q$5:$Q$404&lt;&gt;"キャンセル")*('01_予約入力'!$B$5:$B$404=$A14)*('01_予約入力'!$G$5:$G$404&lt;=N$4)*('01_予約入力'!$J$5:$J$404&gt;=N$4)*(1+2*('01_予約入力'!$G$5:$G$404=N$4)+4*('01_予約入力'!$J$5:$J$404=N$4)+8*(('01_予約入力'!$Q$5:$Q$404="仮予約")+('01_予約入力'!$Q$5:$Q$404="調整中")))))</f>
        <v/>
      </c>
      <c r="BC14">
        <f>IF(OR($A14="",O$4=""),0,SUMPRODUCT(('01_予約入力'!$G$5:$G$404&lt;&gt;"")*('01_予約入力'!$Q$5:$Q$404&lt;&gt;"キャンセル")*('01_予約入力'!$B$5:$B$404=$A14)*('01_予約入力'!$G$5:$G$404&lt;=O$4)*('01_予約入力'!$J$5:$J$404&gt;=O$4)*(1+2*('01_予約入力'!$G$5:$G$404=O$4)+4*('01_予約入力'!$J$5:$J$404=O$4)+8*(('01_予約入力'!$Q$5:$Q$404="仮予約")+('01_予約入力'!$Q$5:$Q$404="調整中")))))</f>
        <v/>
      </c>
      <c r="BD14">
        <f>IF(OR($A14="",P$4=""),0,SUMPRODUCT(('01_予約入力'!$G$5:$G$404&lt;&gt;"")*('01_予約入力'!$Q$5:$Q$404&lt;&gt;"キャンセル")*('01_予約入力'!$B$5:$B$404=$A14)*('01_予約入力'!$G$5:$G$404&lt;=P$4)*('01_予約入力'!$J$5:$J$404&gt;=P$4)*(1+2*('01_予約入力'!$G$5:$G$404=P$4)+4*('01_予約入力'!$J$5:$J$404=P$4)+8*(('01_予約入力'!$Q$5:$Q$404="仮予約")+('01_予約入力'!$Q$5:$Q$404="調整中")))))</f>
        <v/>
      </c>
      <c r="BE14">
        <f>IF(OR($A14="",Q$4=""),0,SUMPRODUCT(('01_予約入力'!$G$5:$G$404&lt;&gt;"")*('01_予約入力'!$Q$5:$Q$404&lt;&gt;"キャンセル")*('01_予約入力'!$B$5:$B$404=$A14)*('01_予約入力'!$G$5:$G$404&lt;=Q$4)*('01_予約入力'!$J$5:$J$404&gt;=Q$4)*(1+2*('01_予約入力'!$G$5:$G$404=Q$4)+4*('01_予約入力'!$J$5:$J$404=Q$4)+8*(('01_予約入力'!$Q$5:$Q$404="仮予約")+('01_予約入力'!$Q$5:$Q$404="調整中")))))</f>
        <v/>
      </c>
      <c r="BF14">
        <f>IF(OR($A14="",R$4=""),0,SUMPRODUCT(('01_予約入力'!$G$5:$G$404&lt;&gt;"")*('01_予約入力'!$Q$5:$Q$404&lt;&gt;"キャンセル")*('01_予約入力'!$B$5:$B$404=$A14)*('01_予約入力'!$G$5:$G$404&lt;=R$4)*('01_予約入力'!$J$5:$J$404&gt;=R$4)*(1+2*('01_予約入力'!$G$5:$G$404=R$4)+4*('01_予約入力'!$J$5:$J$404=R$4)+8*(('01_予約入力'!$Q$5:$Q$404="仮予約")+('01_予約入力'!$Q$5:$Q$404="調整中")))))</f>
        <v/>
      </c>
      <c r="BG14">
        <f>IF(OR($A14="",S$4=""),0,SUMPRODUCT(('01_予約入力'!$G$5:$G$404&lt;&gt;"")*('01_予約入力'!$Q$5:$Q$404&lt;&gt;"キャンセル")*('01_予約入力'!$B$5:$B$404=$A14)*('01_予約入力'!$G$5:$G$404&lt;=S$4)*('01_予約入力'!$J$5:$J$404&gt;=S$4)*(1+2*('01_予約入力'!$G$5:$G$404=S$4)+4*('01_予約入力'!$J$5:$J$404=S$4)+8*(('01_予約入力'!$Q$5:$Q$404="仮予約")+('01_予約入力'!$Q$5:$Q$404="調整中")))))</f>
        <v/>
      </c>
      <c r="BH14">
        <f>IF(OR($A14="",T$4=""),0,SUMPRODUCT(('01_予約入力'!$G$5:$G$404&lt;&gt;"")*('01_予約入力'!$Q$5:$Q$404&lt;&gt;"キャンセル")*('01_予約入力'!$B$5:$B$404=$A14)*('01_予約入力'!$G$5:$G$404&lt;=T$4)*('01_予約入力'!$J$5:$J$404&gt;=T$4)*(1+2*('01_予約入力'!$G$5:$G$404=T$4)+4*('01_予約入力'!$J$5:$J$404=T$4)+8*(('01_予約入力'!$Q$5:$Q$404="仮予約")+('01_予約入力'!$Q$5:$Q$404="調整中")))))</f>
        <v/>
      </c>
      <c r="BI14">
        <f>IF(OR($A14="",U$4=""),0,SUMPRODUCT(('01_予約入力'!$G$5:$G$404&lt;&gt;"")*('01_予約入力'!$Q$5:$Q$404&lt;&gt;"キャンセル")*('01_予約入力'!$B$5:$B$404=$A14)*('01_予約入力'!$G$5:$G$404&lt;=U$4)*('01_予約入力'!$J$5:$J$404&gt;=U$4)*(1+2*('01_予約入力'!$G$5:$G$404=U$4)+4*('01_予約入力'!$J$5:$J$404=U$4)+8*(('01_予約入力'!$Q$5:$Q$404="仮予約")+('01_予約入力'!$Q$5:$Q$404="調整中")))))</f>
        <v/>
      </c>
      <c r="BJ14">
        <f>IF(OR($A14="",V$4=""),0,SUMPRODUCT(('01_予約入力'!$G$5:$G$404&lt;&gt;"")*('01_予約入力'!$Q$5:$Q$404&lt;&gt;"キャンセル")*('01_予約入力'!$B$5:$B$404=$A14)*('01_予約入力'!$G$5:$G$404&lt;=V$4)*('01_予約入力'!$J$5:$J$404&gt;=V$4)*(1+2*('01_予約入力'!$G$5:$G$404=V$4)+4*('01_予約入力'!$J$5:$J$404=V$4)+8*(('01_予約入力'!$Q$5:$Q$404="仮予約")+('01_予約入力'!$Q$5:$Q$404="調整中")))))</f>
        <v/>
      </c>
      <c r="BK14">
        <f>IF(OR($A14="",W$4=""),0,SUMPRODUCT(('01_予約入力'!$G$5:$G$404&lt;&gt;"")*('01_予約入力'!$Q$5:$Q$404&lt;&gt;"キャンセル")*('01_予約入力'!$B$5:$B$404=$A14)*('01_予約入力'!$G$5:$G$404&lt;=W$4)*('01_予約入力'!$J$5:$J$404&gt;=W$4)*(1+2*('01_予約入力'!$G$5:$G$404=W$4)+4*('01_予約入力'!$J$5:$J$404=W$4)+8*(('01_予約入力'!$Q$5:$Q$404="仮予約")+('01_予約入力'!$Q$5:$Q$404="調整中")))))</f>
        <v/>
      </c>
      <c r="BL14">
        <f>IF(OR($A14="",X$4=""),0,SUMPRODUCT(('01_予約入力'!$G$5:$G$404&lt;&gt;"")*('01_予約入力'!$Q$5:$Q$404&lt;&gt;"キャンセル")*('01_予約入力'!$B$5:$B$404=$A14)*('01_予約入力'!$G$5:$G$404&lt;=X$4)*('01_予約入力'!$J$5:$J$404&gt;=X$4)*(1+2*('01_予約入力'!$G$5:$G$404=X$4)+4*('01_予約入力'!$J$5:$J$404=X$4)+8*(('01_予約入力'!$Q$5:$Q$404="仮予約")+('01_予約入力'!$Q$5:$Q$404="調整中")))))</f>
        <v/>
      </c>
      <c r="BM14">
        <f>IF(OR($A14="",Y$4=""),0,SUMPRODUCT(('01_予約入力'!$G$5:$G$404&lt;&gt;"")*('01_予約入力'!$Q$5:$Q$404&lt;&gt;"キャンセル")*('01_予約入力'!$B$5:$B$404=$A14)*('01_予約入力'!$G$5:$G$404&lt;=Y$4)*('01_予約入力'!$J$5:$J$404&gt;=Y$4)*(1+2*('01_予約入力'!$G$5:$G$404=Y$4)+4*('01_予約入力'!$J$5:$J$404=Y$4)+8*(('01_予約入力'!$Q$5:$Q$404="仮予約")+('01_予約入力'!$Q$5:$Q$404="調整中")))))</f>
        <v/>
      </c>
      <c r="BN14">
        <f>IF(OR($A14="",Z$4=""),0,SUMPRODUCT(('01_予約入力'!$G$5:$G$404&lt;&gt;"")*('01_予約入力'!$Q$5:$Q$404&lt;&gt;"キャンセル")*('01_予約入力'!$B$5:$B$404=$A14)*('01_予約入力'!$G$5:$G$404&lt;=Z$4)*('01_予約入力'!$J$5:$J$404&gt;=Z$4)*(1+2*('01_予約入力'!$G$5:$G$404=Z$4)+4*('01_予約入力'!$J$5:$J$404=Z$4)+8*(('01_予約入力'!$Q$5:$Q$404="仮予約")+('01_予約入力'!$Q$5:$Q$404="調整中")))))</f>
        <v/>
      </c>
      <c r="BO14">
        <f>IF(OR($A14="",AA$4=""),0,SUMPRODUCT(('01_予約入力'!$G$5:$G$404&lt;&gt;"")*('01_予約入力'!$Q$5:$Q$404&lt;&gt;"キャンセル")*('01_予約入力'!$B$5:$B$404=$A14)*('01_予約入力'!$G$5:$G$404&lt;=AA$4)*('01_予約入力'!$J$5:$J$404&gt;=AA$4)*(1+2*('01_予約入力'!$G$5:$G$404=AA$4)+4*('01_予約入力'!$J$5:$J$404=AA$4)+8*(('01_予約入力'!$Q$5:$Q$404="仮予約")+('01_予約入力'!$Q$5:$Q$404="調整中")))))</f>
        <v/>
      </c>
      <c r="BP14">
        <f>IF(OR($A14="",AB$4=""),0,SUMPRODUCT(('01_予約入力'!$G$5:$G$404&lt;&gt;"")*('01_予約入力'!$Q$5:$Q$404&lt;&gt;"キャンセル")*('01_予約入力'!$B$5:$B$404=$A14)*('01_予約入力'!$G$5:$G$404&lt;=AB$4)*('01_予約入力'!$J$5:$J$404&gt;=AB$4)*(1+2*('01_予約入力'!$G$5:$G$404=AB$4)+4*('01_予約入力'!$J$5:$J$404=AB$4)+8*(('01_予約入力'!$Q$5:$Q$404="仮予約")+('01_予約入力'!$Q$5:$Q$404="調整中")))))</f>
        <v/>
      </c>
      <c r="BQ14">
        <f>IF(OR($A14="",AC$4=""),0,SUMPRODUCT(('01_予約入力'!$G$5:$G$404&lt;&gt;"")*('01_予約入力'!$Q$5:$Q$404&lt;&gt;"キャンセル")*('01_予約入力'!$B$5:$B$404=$A14)*('01_予約入力'!$G$5:$G$404&lt;=AC$4)*('01_予約入力'!$J$5:$J$404&gt;=AC$4)*(1+2*('01_予約入力'!$G$5:$G$404=AC$4)+4*('01_予約入力'!$J$5:$J$404=AC$4)+8*(('01_予約入力'!$Q$5:$Q$404="仮予約")+('01_予約入力'!$Q$5:$Q$404="調整中")))))</f>
        <v/>
      </c>
      <c r="BR14">
        <f>IF(OR($A14="",AD$4=""),0,SUMPRODUCT(('01_予約入力'!$G$5:$G$404&lt;&gt;"")*('01_予約入力'!$Q$5:$Q$404&lt;&gt;"キャンセル")*('01_予約入力'!$B$5:$B$404=$A14)*('01_予約入力'!$G$5:$G$404&lt;=AD$4)*('01_予約入力'!$J$5:$J$404&gt;=AD$4)*(1+2*('01_予約入力'!$G$5:$G$404=AD$4)+4*('01_予約入力'!$J$5:$J$404=AD$4)+8*(('01_予約入力'!$Q$5:$Q$404="仮予約")+('01_予約入力'!$Q$5:$Q$404="調整中")))))</f>
        <v/>
      </c>
      <c r="BS14">
        <f>IF(OR($A14="",AE$4=""),0,SUMPRODUCT(('01_予約入力'!$G$5:$G$404&lt;&gt;"")*('01_予約入力'!$Q$5:$Q$404&lt;&gt;"キャンセル")*('01_予約入力'!$B$5:$B$404=$A14)*('01_予約入力'!$G$5:$G$404&lt;=AE$4)*('01_予約入力'!$J$5:$J$404&gt;=AE$4)*(1+2*('01_予約入力'!$G$5:$G$404=AE$4)+4*('01_予約入力'!$J$5:$J$404=AE$4)+8*(('01_予約入力'!$Q$5:$Q$404="仮予約")+('01_予約入力'!$Q$5:$Q$404="調整中")))))</f>
        <v/>
      </c>
      <c r="BT14">
        <f>IF(OR($A14="",AF$4=""),0,SUMPRODUCT(('01_予約入力'!$G$5:$G$404&lt;&gt;"")*('01_予約入力'!$Q$5:$Q$404&lt;&gt;"キャンセル")*('01_予約入力'!$B$5:$B$404=$A14)*('01_予約入力'!$G$5:$G$404&lt;=AF$4)*('01_予約入力'!$J$5:$J$404&gt;=AF$4)*(1+2*('01_予約入力'!$G$5:$G$404=AF$4)+4*('01_予約入力'!$J$5:$J$404=AF$4)+8*(('01_予約入力'!$Q$5:$Q$404="仮予約")+('01_予約入力'!$Q$5:$Q$404="調整中")))))</f>
        <v/>
      </c>
    </row>
    <row r="15" ht="19" customHeight="1">
      <c r="A15" s="43">
        <f>IF(COUNTA('利用者マスタ'!$A$4:$A$60)&gt;=9,INDEX('利用者マスタ'!$A$4:$A$60,9),"")</f>
        <v/>
      </c>
      <c r="B15" s="44">
        <f>IF($AP15=0,"",IF(MOD($AP15,8)=7,IF($AP15&gt;=8,"◇","◆"),IF(MOD($AP15,8)=3,IF($AP15&gt;=8,"▷","▶"),IF(MOD($AP15,8)=5,IF($AP15&gt;=8,"◁","◀"),IF($AP15&gt;=8,"□","■")))))</f>
        <v/>
      </c>
      <c r="C15" s="44">
        <f>IF($AQ15=0,"",IF(MOD($AQ15,8)=7,IF($AQ15&gt;=8,"◇","◆"),IF(MOD($AQ15,8)=3,IF($AQ15&gt;=8,"▷","▶"),IF(MOD($AQ15,8)=5,IF($AQ15&gt;=8,"◁","◀"),IF($AQ15&gt;=8,"□","■")))))</f>
        <v/>
      </c>
      <c r="D15" s="44">
        <f>IF($AR15=0,"",IF(MOD($AR15,8)=7,IF($AR15&gt;=8,"◇","◆"),IF(MOD($AR15,8)=3,IF($AR15&gt;=8,"▷","▶"),IF(MOD($AR15,8)=5,IF($AR15&gt;=8,"◁","◀"),IF($AR15&gt;=8,"□","■")))))</f>
        <v/>
      </c>
      <c r="E15" s="44">
        <f>IF($AS15=0,"",IF(MOD($AS15,8)=7,IF($AS15&gt;=8,"◇","◆"),IF(MOD($AS15,8)=3,IF($AS15&gt;=8,"▷","▶"),IF(MOD($AS15,8)=5,IF($AS15&gt;=8,"◁","◀"),IF($AS15&gt;=8,"□","■")))))</f>
        <v/>
      </c>
      <c r="F15" s="44">
        <f>IF($AT15=0,"",IF(MOD($AT15,8)=7,IF($AT15&gt;=8,"◇","◆"),IF(MOD($AT15,8)=3,IF($AT15&gt;=8,"▷","▶"),IF(MOD($AT15,8)=5,IF($AT15&gt;=8,"◁","◀"),IF($AT15&gt;=8,"□","■")))))</f>
        <v/>
      </c>
      <c r="G15" s="44">
        <f>IF($AU15=0,"",IF(MOD($AU15,8)=7,IF($AU15&gt;=8,"◇","◆"),IF(MOD($AU15,8)=3,IF($AU15&gt;=8,"▷","▶"),IF(MOD($AU15,8)=5,IF($AU15&gt;=8,"◁","◀"),IF($AU15&gt;=8,"□","■")))))</f>
        <v/>
      </c>
      <c r="H15" s="44">
        <f>IF($AV15=0,"",IF(MOD($AV15,8)=7,IF($AV15&gt;=8,"◇","◆"),IF(MOD($AV15,8)=3,IF($AV15&gt;=8,"▷","▶"),IF(MOD($AV15,8)=5,IF($AV15&gt;=8,"◁","◀"),IF($AV15&gt;=8,"□","■")))))</f>
        <v/>
      </c>
      <c r="I15" s="44">
        <f>IF($AW15=0,"",IF(MOD($AW15,8)=7,IF($AW15&gt;=8,"◇","◆"),IF(MOD($AW15,8)=3,IF($AW15&gt;=8,"▷","▶"),IF(MOD($AW15,8)=5,IF($AW15&gt;=8,"◁","◀"),IF($AW15&gt;=8,"□","■")))))</f>
        <v/>
      </c>
      <c r="J15" s="44">
        <f>IF($AX15=0,"",IF(MOD($AX15,8)=7,IF($AX15&gt;=8,"◇","◆"),IF(MOD($AX15,8)=3,IF($AX15&gt;=8,"▷","▶"),IF(MOD($AX15,8)=5,IF($AX15&gt;=8,"◁","◀"),IF($AX15&gt;=8,"□","■")))))</f>
        <v/>
      </c>
      <c r="K15" s="44">
        <f>IF($AY15=0,"",IF(MOD($AY15,8)=7,IF($AY15&gt;=8,"◇","◆"),IF(MOD($AY15,8)=3,IF($AY15&gt;=8,"▷","▶"),IF(MOD($AY15,8)=5,IF($AY15&gt;=8,"◁","◀"),IF($AY15&gt;=8,"□","■")))))</f>
        <v/>
      </c>
      <c r="L15" s="44">
        <f>IF($AZ15=0,"",IF(MOD($AZ15,8)=7,IF($AZ15&gt;=8,"◇","◆"),IF(MOD($AZ15,8)=3,IF($AZ15&gt;=8,"▷","▶"),IF(MOD($AZ15,8)=5,IF($AZ15&gt;=8,"◁","◀"),IF($AZ15&gt;=8,"□","■")))))</f>
        <v/>
      </c>
      <c r="M15" s="44">
        <f>IF($BA15=0,"",IF(MOD($BA15,8)=7,IF($BA15&gt;=8,"◇","◆"),IF(MOD($BA15,8)=3,IF($BA15&gt;=8,"▷","▶"),IF(MOD($BA15,8)=5,IF($BA15&gt;=8,"◁","◀"),IF($BA15&gt;=8,"□","■")))))</f>
        <v/>
      </c>
      <c r="N15" s="44">
        <f>IF($BB15=0,"",IF(MOD($BB15,8)=7,IF($BB15&gt;=8,"◇","◆"),IF(MOD($BB15,8)=3,IF($BB15&gt;=8,"▷","▶"),IF(MOD($BB15,8)=5,IF($BB15&gt;=8,"◁","◀"),IF($BB15&gt;=8,"□","■")))))</f>
        <v/>
      </c>
      <c r="O15" s="44">
        <f>IF($BC15=0,"",IF(MOD($BC15,8)=7,IF($BC15&gt;=8,"◇","◆"),IF(MOD($BC15,8)=3,IF($BC15&gt;=8,"▷","▶"),IF(MOD($BC15,8)=5,IF($BC15&gt;=8,"◁","◀"),IF($BC15&gt;=8,"□","■")))))</f>
        <v/>
      </c>
      <c r="P15" s="44">
        <f>IF($BD15=0,"",IF(MOD($BD15,8)=7,IF($BD15&gt;=8,"◇","◆"),IF(MOD($BD15,8)=3,IF($BD15&gt;=8,"▷","▶"),IF(MOD($BD15,8)=5,IF($BD15&gt;=8,"◁","◀"),IF($BD15&gt;=8,"□","■")))))</f>
        <v/>
      </c>
      <c r="Q15" s="44">
        <f>IF($BE15=0,"",IF(MOD($BE15,8)=7,IF($BE15&gt;=8,"◇","◆"),IF(MOD($BE15,8)=3,IF($BE15&gt;=8,"▷","▶"),IF(MOD($BE15,8)=5,IF($BE15&gt;=8,"◁","◀"),IF($BE15&gt;=8,"□","■")))))</f>
        <v/>
      </c>
      <c r="R15" s="44">
        <f>IF($BF15=0,"",IF(MOD($BF15,8)=7,IF($BF15&gt;=8,"◇","◆"),IF(MOD($BF15,8)=3,IF($BF15&gt;=8,"▷","▶"),IF(MOD($BF15,8)=5,IF($BF15&gt;=8,"◁","◀"),IF($BF15&gt;=8,"□","■")))))</f>
        <v/>
      </c>
      <c r="S15" s="44">
        <f>IF($BG15=0,"",IF(MOD($BG15,8)=7,IF($BG15&gt;=8,"◇","◆"),IF(MOD($BG15,8)=3,IF($BG15&gt;=8,"▷","▶"),IF(MOD($BG15,8)=5,IF($BG15&gt;=8,"◁","◀"),IF($BG15&gt;=8,"□","■")))))</f>
        <v/>
      </c>
      <c r="T15" s="44">
        <f>IF($BH15=0,"",IF(MOD($BH15,8)=7,IF($BH15&gt;=8,"◇","◆"),IF(MOD($BH15,8)=3,IF($BH15&gt;=8,"▷","▶"),IF(MOD($BH15,8)=5,IF($BH15&gt;=8,"◁","◀"),IF($BH15&gt;=8,"□","■")))))</f>
        <v/>
      </c>
      <c r="U15" s="44">
        <f>IF($BI15=0,"",IF(MOD($BI15,8)=7,IF($BI15&gt;=8,"◇","◆"),IF(MOD($BI15,8)=3,IF($BI15&gt;=8,"▷","▶"),IF(MOD($BI15,8)=5,IF($BI15&gt;=8,"◁","◀"),IF($BI15&gt;=8,"□","■")))))</f>
        <v/>
      </c>
      <c r="V15" s="44">
        <f>IF($BJ15=0,"",IF(MOD($BJ15,8)=7,IF($BJ15&gt;=8,"◇","◆"),IF(MOD($BJ15,8)=3,IF($BJ15&gt;=8,"▷","▶"),IF(MOD($BJ15,8)=5,IF($BJ15&gt;=8,"◁","◀"),IF($BJ15&gt;=8,"□","■")))))</f>
        <v/>
      </c>
      <c r="W15" s="44">
        <f>IF($BK15=0,"",IF(MOD($BK15,8)=7,IF($BK15&gt;=8,"◇","◆"),IF(MOD($BK15,8)=3,IF($BK15&gt;=8,"▷","▶"),IF(MOD($BK15,8)=5,IF($BK15&gt;=8,"◁","◀"),IF($BK15&gt;=8,"□","■")))))</f>
        <v/>
      </c>
      <c r="X15" s="44">
        <f>IF($BL15=0,"",IF(MOD($BL15,8)=7,IF($BL15&gt;=8,"◇","◆"),IF(MOD($BL15,8)=3,IF($BL15&gt;=8,"▷","▶"),IF(MOD($BL15,8)=5,IF($BL15&gt;=8,"◁","◀"),IF($BL15&gt;=8,"□","■")))))</f>
        <v/>
      </c>
      <c r="Y15" s="44">
        <f>IF($BM15=0,"",IF(MOD($BM15,8)=7,IF($BM15&gt;=8,"◇","◆"),IF(MOD($BM15,8)=3,IF($BM15&gt;=8,"▷","▶"),IF(MOD($BM15,8)=5,IF($BM15&gt;=8,"◁","◀"),IF($BM15&gt;=8,"□","■")))))</f>
        <v/>
      </c>
      <c r="Z15" s="44">
        <f>IF($BN15=0,"",IF(MOD($BN15,8)=7,IF($BN15&gt;=8,"◇","◆"),IF(MOD($BN15,8)=3,IF($BN15&gt;=8,"▷","▶"),IF(MOD($BN15,8)=5,IF($BN15&gt;=8,"◁","◀"),IF($BN15&gt;=8,"□","■")))))</f>
        <v/>
      </c>
      <c r="AA15" s="44">
        <f>IF($BO15=0,"",IF(MOD($BO15,8)=7,IF($BO15&gt;=8,"◇","◆"),IF(MOD($BO15,8)=3,IF($BO15&gt;=8,"▷","▶"),IF(MOD($BO15,8)=5,IF($BO15&gt;=8,"◁","◀"),IF($BO15&gt;=8,"□","■")))))</f>
        <v/>
      </c>
      <c r="AB15" s="44">
        <f>IF($BP15=0,"",IF(MOD($BP15,8)=7,IF($BP15&gt;=8,"◇","◆"),IF(MOD($BP15,8)=3,IF($BP15&gt;=8,"▷","▶"),IF(MOD($BP15,8)=5,IF($BP15&gt;=8,"◁","◀"),IF($BP15&gt;=8,"□","■")))))</f>
        <v/>
      </c>
      <c r="AC15" s="44">
        <f>IF($BQ15=0,"",IF(MOD($BQ15,8)=7,IF($BQ15&gt;=8,"◇","◆"),IF(MOD($BQ15,8)=3,IF($BQ15&gt;=8,"▷","▶"),IF(MOD($BQ15,8)=5,IF($BQ15&gt;=8,"◁","◀"),IF($BQ15&gt;=8,"□","■")))))</f>
        <v/>
      </c>
      <c r="AD15" s="44">
        <f>IF($BR15=0,"",IF(MOD($BR15,8)=7,IF($BR15&gt;=8,"◇","◆"),IF(MOD($BR15,8)=3,IF($BR15&gt;=8,"▷","▶"),IF(MOD($BR15,8)=5,IF($BR15&gt;=8,"◁","◀"),IF($BR15&gt;=8,"□","■")))))</f>
        <v/>
      </c>
      <c r="AE15" s="44">
        <f>IF($BS15=0,"",IF(MOD($BS15,8)=7,IF($BS15&gt;=8,"◇","◆"),IF(MOD($BS15,8)=3,IF($BS15&gt;=8,"▷","▶"),IF(MOD($BS15,8)=5,IF($BS15&gt;=8,"◁","◀"),IF($BS15&gt;=8,"□","■")))))</f>
        <v/>
      </c>
      <c r="AF15" s="44">
        <f>IF($BT15=0,"",IF(MOD($BT15,8)=7,IF($BT15&gt;=8,"◇","◆"),IF(MOD($BT15,8)=3,IF($BT15&gt;=8,"▷","▶"),IF(MOD($BT15,8)=5,IF($BT15&gt;=8,"◁","◀"),IF($BT15&gt;=8,"□","■")))))</f>
        <v/>
      </c>
      <c r="AG15" s="45">
        <f>IF($A15="","",COUNTIF($AP15:$BT15,"&gt;0"))</f>
        <v/>
      </c>
      <c r="AP15">
        <f>IF(OR($A15="",B$4=""),0,SUMPRODUCT(('01_予約入力'!$G$5:$G$404&lt;&gt;"")*('01_予約入力'!$Q$5:$Q$404&lt;&gt;"キャンセル")*('01_予約入力'!$B$5:$B$404=$A15)*('01_予約入力'!$G$5:$G$404&lt;=B$4)*('01_予約入力'!$J$5:$J$404&gt;=B$4)*(1+2*('01_予約入力'!$G$5:$G$404=B$4)+4*('01_予約入力'!$J$5:$J$404=B$4)+8*(('01_予約入力'!$Q$5:$Q$404="仮予約")+('01_予約入力'!$Q$5:$Q$404="調整中")))))</f>
        <v/>
      </c>
      <c r="AQ15">
        <f>IF(OR($A15="",C$4=""),0,SUMPRODUCT(('01_予約入力'!$G$5:$G$404&lt;&gt;"")*('01_予約入力'!$Q$5:$Q$404&lt;&gt;"キャンセル")*('01_予約入力'!$B$5:$B$404=$A15)*('01_予約入力'!$G$5:$G$404&lt;=C$4)*('01_予約入力'!$J$5:$J$404&gt;=C$4)*(1+2*('01_予約入力'!$G$5:$G$404=C$4)+4*('01_予約入力'!$J$5:$J$404=C$4)+8*(('01_予約入力'!$Q$5:$Q$404="仮予約")+('01_予約入力'!$Q$5:$Q$404="調整中")))))</f>
        <v/>
      </c>
      <c r="AR15">
        <f>IF(OR($A15="",D$4=""),0,SUMPRODUCT(('01_予約入力'!$G$5:$G$404&lt;&gt;"")*('01_予約入力'!$Q$5:$Q$404&lt;&gt;"キャンセル")*('01_予約入力'!$B$5:$B$404=$A15)*('01_予約入力'!$G$5:$G$404&lt;=D$4)*('01_予約入力'!$J$5:$J$404&gt;=D$4)*(1+2*('01_予約入力'!$G$5:$G$404=D$4)+4*('01_予約入力'!$J$5:$J$404=D$4)+8*(('01_予約入力'!$Q$5:$Q$404="仮予約")+('01_予約入力'!$Q$5:$Q$404="調整中")))))</f>
        <v/>
      </c>
      <c r="AS15">
        <f>IF(OR($A15="",E$4=""),0,SUMPRODUCT(('01_予約入力'!$G$5:$G$404&lt;&gt;"")*('01_予約入力'!$Q$5:$Q$404&lt;&gt;"キャンセル")*('01_予約入力'!$B$5:$B$404=$A15)*('01_予約入力'!$G$5:$G$404&lt;=E$4)*('01_予約入力'!$J$5:$J$404&gt;=E$4)*(1+2*('01_予約入力'!$G$5:$G$404=E$4)+4*('01_予約入力'!$J$5:$J$404=E$4)+8*(('01_予約入力'!$Q$5:$Q$404="仮予約")+('01_予約入力'!$Q$5:$Q$404="調整中")))))</f>
        <v/>
      </c>
      <c r="AT15">
        <f>IF(OR($A15="",F$4=""),0,SUMPRODUCT(('01_予約入力'!$G$5:$G$404&lt;&gt;"")*('01_予約入力'!$Q$5:$Q$404&lt;&gt;"キャンセル")*('01_予約入力'!$B$5:$B$404=$A15)*('01_予約入力'!$G$5:$G$404&lt;=F$4)*('01_予約入力'!$J$5:$J$404&gt;=F$4)*(1+2*('01_予約入力'!$G$5:$G$404=F$4)+4*('01_予約入力'!$J$5:$J$404=F$4)+8*(('01_予約入力'!$Q$5:$Q$404="仮予約")+('01_予約入力'!$Q$5:$Q$404="調整中")))))</f>
        <v/>
      </c>
      <c r="AU15">
        <f>IF(OR($A15="",G$4=""),0,SUMPRODUCT(('01_予約入力'!$G$5:$G$404&lt;&gt;"")*('01_予約入力'!$Q$5:$Q$404&lt;&gt;"キャンセル")*('01_予約入力'!$B$5:$B$404=$A15)*('01_予約入力'!$G$5:$G$404&lt;=G$4)*('01_予約入力'!$J$5:$J$404&gt;=G$4)*(1+2*('01_予約入力'!$G$5:$G$404=G$4)+4*('01_予約入力'!$J$5:$J$404=G$4)+8*(('01_予約入力'!$Q$5:$Q$404="仮予約")+('01_予約入力'!$Q$5:$Q$404="調整中")))))</f>
        <v/>
      </c>
      <c r="AV15">
        <f>IF(OR($A15="",H$4=""),0,SUMPRODUCT(('01_予約入力'!$G$5:$G$404&lt;&gt;"")*('01_予約入力'!$Q$5:$Q$404&lt;&gt;"キャンセル")*('01_予約入力'!$B$5:$B$404=$A15)*('01_予約入力'!$G$5:$G$404&lt;=H$4)*('01_予約入力'!$J$5:$J$404&gt;=H$4)*(1+2*('01_予約入力'!$G$5:$G$404=H$4)+4*('01_予約入力'!$J$5:$J$404=H$4)+8*(('01_予約入力'!$Q$5:$Q$404="仮予約")+('01_予約入力'!$Q$5:$Q$404="調整中")))))</f>
        <v/>
      </c>
      <c r="AW15">
        <f>IF(OR($A15="",I$4=""),0,SUMPRODUCT(('01_予約入力'!$G$5:$G$404&lt;&gt;"")*('01_予約入力'!$Q$5:$Q$404&lt;&gt;"キャンセル")*('01_予約入力'!$B$5:$B$404=$A15)*('01_予約入力'!$G$5:$G$404&lt;=I$4)*('01_予約入力'!$J$5:$J$404&gt;=I$4)*(1+2*('01_予約入力'!$G$5:$G$404=I$4)+4*('01_予約入力'!$J$5:$J$404=I$4)+8*(('01_予約入力'!$Q$5:$Q$404="仮予約")+('01_予約入力'!$Q$5:$Q$404="調整中")))))</f>
        <v/>
      </c>
      <c r="AX15">
        <f>IF(OR($A15="",J$4=""),0,SUMPRODUCT(('01_予約入力'!$G$5:$G$404&lt;&gt;"")*('01_予約入力'!$Q$5:$Q$404&lt;&gt;"キャンセル")*('01_予約入力'!$B$5:$B$404=$A15)*('01_予約入力'!$G$5:$G$404&lt;=J$4)*('01_予約入力'!$J$5:$J$404&gt;=J$4)*(1+2*('01_予約入力'!$G$5:$G$404=J$4)+4*('01_予約入力'!$J$5:$J$404=J$4)+8*(('01_予約入力'!$Q$5:$Q$404="仮予約")+('01_予約入力'!$Q$5:$Q$404="調整中")))))</f>
        <v/>
      </c>
      <c r="AY15">
        <f>IF(OR($A15="",K$4=""),0,SUMPRODUCT(('01_予約入力'!$G$5:$G$404&lt;&gt;"")*('01_予約入力'!$Q$5:$Q$404&lt;&gt;"キャンセル")*('01_予約入力'!$B$5:$B$404=$A15)*('01_予約入力'!$G$5:$G$404&lt;=K$4)*('01_予約入力'!$J$5:$J$404&gt;=K$4)*(1+2*('01_予約入力'!$G$5:$G$404=K$4)+4*('01_予約入力'!$J$5:$J$404=K$4)+8*(('01_予約入力'!$Q$5:$Q$404="仮予約")+('01_予約入力'!$Q$5:$Q$404="調整中")))))</f>
        <v/>
      </c>
      <c r="AZ15">
        <f>IF(OR($A15="",L$4=""),0,SUMPRODUCT(('01_予約入力'!$G$5:$G$404&lt;&gt;"")*('01_予約入力'!$Q$5:$Q$404&lt;&gt;"キャンセル")*('01_予約入力'!$B$5:$B$404=$A15)*('01_予約入力'!$G$5:$G$404&lt;=L$4)*('01_予約入力'!$J$5:$J$404&gt;=L$4)*(1+2*('01_予約入力'!$G$5:$G$404=L$4)+4*('01_予約入力'!$J$5:$J$404=L$4)+8*(('01_予約入力'!$Q$5:$Q$404="仮予約")+('01_予約入力'!$Q$5:$Q$404="調整中")))))</f>
        <v/>
      </c>
      <c r="BA15">
        <f>IF(OR($A15="",M$4=""),0,SUMPRODUCT(('01_予約入力'!$G$5:$G$404&lt;&gt;"")*('01_予約入力'!$Q$5:$Q$404&lt;&gt;"キャンセル")*('01_予約入力'!$B$5:$B$404=$A15)*('01_予約入力'!$G$5:$G$404&lt;=M$4)*('01_予約入力'!$J$5:$J$404&gt;=M$4)*(1+2*('01_予約入力'!$G$5:$G$404=M$4)+4*('01_予約入力'!$J$5:$J$404=M$4)+8*(('01_予約入力'!$Q$5:$Q$404="仮予約")+('01_予約入力'!$Q$5:$Q$404="調整中")))))</f>
        <v/>
      </c>
      <c r="BB15">
        <f>IF(OR($A15="",N$4=""),0,SUMPRODUCT(('01_予約入力'!$G$5:$G$404&lt;&gt;"")*('01_予約入力'!$Q$5:$Q$404&lt;&gt;"キャンセル")*('01_予約入力'!$B$5:$B$404=$A15)*('01_予約入力'!$G$5:$G$404&lt;=N$4)*('01_予約入力'!$J$5:$J$404&gt;=N$4)*(1+2*('01_予約入力'!$G$5:$G$404=N$4)+4*('01_予約入力'!$J$5:$J$404=N$4)+8*(('01_予約入力'!$Q$5:$Q$404="仮予約")+('01_予約入力'!$Q$5:$Q$404="調整中")))))</f>
        <v/>
      </c>
      <c r="BC15">
        <f>IF(OR($A15="",O$4=""),0,SUMPRODUCT(('01_予約入力'!$G$5:$G$404&lt;&gt;"")*('01_予約入力'!$Q$5:$Q$404&lt;&gt;"キャンセル")*('01_予約入力'!$B$5:$B$404=$A15)*('01_予約入力'!$G$5:$G$404&lt;=O$4)*('01_予約入力'!$J$5:$J$404&gt;=O$4)*(1+2*('01_予約入力'!$G$5:$G$404=O$4)+4*('01_予約入力'!$J$5:$J$404=O$4)+8*(('01_予約入力'!$Q$5:$Q$404="仮予約")+('01_予約入力'!$Q$5:$Q$404="調整中")))))</f>
        <v/>
      </c>
      <c r="BD15">
        <f>IF(OR($A15="",P$4=""),0,SUMPRODUCT(('01_予約入力'!$G$5:$G$404&lt;&gt;"")*('01_予約入力'!$Q$5:$Q$404&lt;&gt;"キャンセル")*('01_予約入力'!$B$5:$B$404=$A15)*('01_予約入力'!$G$5:$G$404&lt;=P$4)*('01_予約入力'!$J$5:$J$404&gt;=P$4)*(1+2*('01_予約入力'!$G$5:$G$404=P$4)+4*('01_予約入力'!$J$5:$J$404=P$4)+8*(('01_予約入力'!$Q$5:$Q$404="仮予約")+('01_予約入力'!$Q$5:$Q$404="調整中")))))</f>
        <v/>
      </c>
      <c r="BE15">
        <f>IF(OR($A15="",Q$4=""),0,SUMPRODUCT(('01_予約入力'!$G$5:$G$404&lt;&gt;"")*('01_予約入力'!$Q$5:$Q$404&lt;&gt;"キャンセル")*('01_予約入力'!$B$5:$B$404=$A15)*('01_予約入力'!$G$5:$G$404&lt;=Q$4)*('01_予約入力'!$J$5:$J$404&gt;=Q$4)*(1+2*('01_予約入力'!$G$5:$G$404=Q$4)+4*('01_予約入力'!$J$5:$J$404=Q$4)+8*(('01_予約入力'!$Q$5:$Q$404="仮予約")+('01_予約入力'!$Q$5:$Q$404="調整中")))))</f>
        <v/>
      </c>
      <c r="BF15">
        <f>IF(OR($A15="",R$4=""),0,SUMPRODUCT(('01_予約入力'!$G$5:$G$404&lt;&gt;"")*('01_予約入力'!$Q$5:$Q$404&lt;&gt;"キャンセル")*('01_予約入力'!$B$5:$B$404=$A15)*('01_予約入力'!$G$5:$G$404&lt;=R$4)*('01_予約入力'!$J$5:$J$404&gt;=R$4)*(1+2*('01_予約入力'!$G$5:$G$404=R$4)+4*('01_予約入力'!$J$5:$J$404=R$4)+8*(('01_予約入力'!$Q$5:$Q$404="仮予約")+('01_予約入力'!$Q$5:$Q$404="調整中")))))</f>
        <v/>
      </c>
      <c r="BG15">
        <f>IF(OR($A15="",S$4=""),0,SUMPRODUCT(('01_予約入力'!$G$5:$G$404&lt;&gt;"")*('01_予約入力'!$Q$5:$Q$404&lt;&gt;"キャンセル")*('01_予約入力'!$B$5:$B$404=$A15)*('01_予約入力'!$G$5:$G$404&lt;=S$4)*('01_予約入力'!$J$5:$J$404&gt;=S$4)*(1+2*('01_予約入力'!$G$5:$G$404=S$4)+4*('01_予約入力'!$J$5:$J$404=S$4)+8*(('01_予約入力'!$Q$5:$Q$404="仮予約")+('01_予約入力'!$Q$5:$Q$404="調整中")))))</f>
        <v/>
      </c>
      <c r="BH15">
        <f>IF(OR($A15="",T$4=""),0,SUMPRODUCT(('01_予約入力'!$G$5:$G$404&lt;&gt;"")*('01_予約入力'!$Q$5:$Q$404&lt;&gt;"キャンセル")*('01_予約入力'!$B$5:$B$404=$A15)*('01_予約入力'!$G$5:$G$404&lt;=T$4)*('01_予約入力'!$J$5:$J$404&gt;=T$4)*(1+2*('01_予約入力'!$G$5:$G$404=T$4)+4*('01_予約入力'!$J$5:$J$404=T$4)+8*(('01_予約入力'!$Q$5:$Q$404="仮予約")+('01_予約入力'!$Q$5:$Q$404="調整中")))))</f>
        <v/>
      </c>
      <c r="BI15">
        <f>IF(OR($A15="",U$4=""),0,SUMPRODUCT(('01_予約入力'!$G$5:$G$404&lt;&gt;"")*('01_予約入力'!$Q$5:$Q$404&lt;&gt;"キャンセル")*('01_予約入力'!$B$5:$B$404=$A15)*('01_予約入力'!$G$5:$G$404&lt;=U$4)*('01_予約入力'!$J$5:$J$404&gt;=U$4)*(1+2*('01_予約入力'!$G$5:$G$404=U$4)+4*('01_予約入力'!$J$5:$J$404=U$4)+8*(('01_予約入力'!$Q$5:$Q$404="仮予約")+('01_予約入力'!$Q$5:$Q$404="調整中")))))</f>
        <v/>
      </c>
      <c r="BJ15">
        <f>IF(OR($A15="",V$4=""),0,SUMPRODUCT(('01_予約入力'!$G$5:$G$404&lt;&gt;"")*('01_予約入力'!$Q$5:$Q$404&lt;&gt;"キャンセル")*('01_予約入力'!$B$5:$B$404=$A15)*('01_予約入力'!$G$5:$G$404&lt;=V$4)*('01_予約入力'!$J$5:$J$404&gt;=V$4)*(1+2*('01_予約入力'!$G$5:$G$404=V$4)+4*('01_予約入力'!$J$5:$J$404=V$4)+8*(('01_予約入力'!$Q$5:$Q$404="仮予約")+('01_予約入力'!$Q$5:$Q$404="調整中")))))</f>
        <v/>
      </c>
      <c r="BK15">
        <f>IF(OR($A15="",W$4=""),0,SUMPRODUCT(('01_予約入力'!$G$5:$G$404&lt;&gt;"")*('01_予約入力'!$Q$5:$Q$404&lt;&gt;"キャンセル")*('01_予約入力'!$B$5:$B$404=$A15)*('01_予約入力'!$G$5:$G$404&lt;=W$4)*('01_予約入力'!$J$5:$J$404&gt;=W$4)*(1+2*('01_予約入力'!$G$5:$G$404=W$4)+4*('01_予約入力'!$J$5:$J$404=W$4)+8*(('01_予約入力'!$Q$5:$Q$404="仮予約")+('01_予約入力'!$Q$5:$Q$404="調整中")))))</f>
        <v/>
      </c>
      <c r="BL15">
        <f>IF(OR($A15="",X$4=""),0,SUMPRODUCT(('01_予約入力'!$G$5:$G$404&lt;&gt;"")*('01_予約入力'!$Q$5:$Q$404&lt;&gt;"キャンセル")*('01_予約入力'!$B$5:$B$404=$A15)*('01_予約入力'!$G$5:$G$404&lt;=X$4)*('01_予約入力'!$J$5:$J$404&gt;=X$4)*(1+2*('01_予約入力'!$G$5:$G$404=X$4)+4*('01_予約入力'!$J$5:$J$404=X$4)+8*(('01_予約入力'!$Q$5:$Q$404="仮予約")+('01_予約入力'!$Q$5:$Q$404="調整中")))))</f>
        <v/>
      </c>
      <c r="BM15">
        <f>IF(OR($A15="",Y$4=""),0,SUMPRODUCT(('01_予約入力'!$G$5:$G$404&lt;&gt;"")*('01_予約入力'!$Q$5:$Q$404&lt;&gt;"キャンセル")*('01_予約入力'!$B$5:$B$404=$A15)*('01_予約入力'!$G$5:$G$404&lt;=Y$4)*('01_予約入力'!$J$5:$J$404&gt;=Y$4)*(1+2*('01_予約入力'!$G$5:$G$404=Y$4)+4*('01_予約入力'!$J$5:$J$404=Y$4)+8*(('01_予約入力'!$Q$5:$Q$404="仮予約")+('01_予約入力'!$Q$5:$Q$404="調整中")))))</f>
        <v/>
      </c>
      <c r="BN15">
        <f>IF(OR($A15="",Z$4=""),0,SUMPRODUCT(('01_予約入力'!$G$5:$G$404&lt;&gt;"")*('01_予約入力'!$Q$5:$Q$404&lt;&gt;"キャンセル")*('01_予約入力'!$B$5:$B$404=$A15)*('01_予約入力'!$G$5:$G$404&lt;=Z$4)*('01_予約入力'!$J$5:$J$404&gt;=Z$4)*(1+2*('01_予約入力'!$G$5:$G$404=Z$4)+4*('01_予約入力'!$J$5:$J$404=Z$4)+8*(('01_予約入力'!$Q$5:$Q$404="仮予約")+('01_予約入力'!$Q$5:$Q$404="調整中")))))</f>
        <v/>
      </c>
      <c r="BO15">
        <f>IF(OR($A15="",AA$4=""),0,SUMPRODUCT(('01_予約入力'!$G$5:$G$404&lt;&gt;"")*('01_予約入力'!$Q$5:$Q$404&lt;&gt;"キャンセル")*('01_予約入力'!$B$5:$B$404=$A15)*('01_予約入力'!$G$5:$G$404&lt;=AA$4)*('01_予約入力'!$J$5:$J$404&gt;=AA$4)*(1+2*('01_予約入力'!$G$5:$G$404=AA$4)+4*('01_予約入力'!$J$5:$J$404=AA$4)+8*(('01_予約入力'!$Q$5:$Q$404="仮予約")+('01_予約入力'!$Q$5:$Q$404="調整中")))))</f>
        <v/>
      </c>
      <c r="BP15">
        <f>IF(OR($A15="",AB$4=""),0,SUMPRODUCT(('01_予約入力'!$G$5:$G$404&lt;&gt;"")*('01_予約入力'!$Q$5:$Q$404&lt;&gt;"キャンセル")*('01_予約入力'!$B$5:$B$404=$A15)*('01_予約入力'!$G$5:$G$404&lt;=AB$4)*('01_予約入力'!$J$5:$J$404&gt;=AB$4)*(1+2*('01_予約入力'!$G$5:$G$404=AB$4)+4*('01_予約入力'!$J$5:$J$404=AB$4)+8*(('01_予約入力'!$Q$5:$Q$404="仮予約")+('01_予約入力'!$Q$5:$Q$404="調整中")))))</f>
        <v/>
      </c>
      <c r="BQ15">
        <f>IF(OR($A15="",AC$4=""),0,SUMPRODUCT(('01_予約入力'!$G$5:$G$404&lt;&gt;"")*('01_予約入力'!$Q$5:$Q$404&lt;&gt;"キャンセル")*('01_予約入力'!$B$5:$B$404=$A15)*('01_予約入力'!$G$5:$G$404&lt;=AC$4)*('01_予約入力'!$J$5:$J$404&gt;=AC$4)*(1+2*('01_予約入力'!$G$5:$G$404=AC$4)+4*('01_予約入力'!$J$5:$J$404=AC$4)+8*(('01_予約入力'!$Q$5:$Q$404="仮予約")+('01_予約入力'!$Q$5:$Q$404="調整中")))))</f>
        <v/>
      </c>
      <c r="BR15">
        <f>IF(OR($A15="",AD$4=""),0,SUMPRODUCT(('01_予約入力'!$G$5:$G$404&lt;&gt;"")*('01_予約入力'!$Q$5:$Q$404&lt;&gt;"キャンセル")*('01_予約入力'!$B$5:$B$404=$A15)*('01_予約入力'!$G$5:$G$404&lt;=AD$4)*('01_予約入力'!$J$5:$J$404&gt;=AD$4)*(1+2*('01_予約入力'!$G$5:$G$404=AD$4)+4*('01_予約入力'!$J$5:$J$404=AD$4)+8*(('01_予約入力'!$Q$5:$Q$404="仮予約")+('01_予約入力'!$Q$5:$Q$404="調整中")))))</f>
        <v/>
      </c>
      <c r="BS15">
        <f>IF(OR($A15="",AE$4=""),0,SUMPRODUCT(('01_予約入力'!$G$5:$G$404&lt;&gt;"")*('01_予約入力'!$Q$5:$Q$404&lt;&gt;"キャンセル")*('01_予約入力'!$B$5:$B$404=$A15)*('01_予約入力'!$G$5:$G$404&lt;=AE$4)*('01_予約入力'!$J$5:$J$404&gt;=AE$4)*(1+2*('01_予約入力'!$G$5:$G$404=AE$4)+4*('01_予約入力'!$J$5:$J$404=AE$4)+8*(('01_予約入力'!$Q$5:$Q$404="仮予約")+('01_予約入力'!$Q$5:$Q$404="調整中")))))</f>
        <v/>
      </c>
      <c r="BT15">
        <f>IF(OR($A15="",AF$4=""),0,SUMPRODUCT(('01_予約入力'!$G$5:$G$404&lt;&gt;"")*('01_予約入力'!$Q$5:$Q$404&lt;&gt;"キャンセル")*('01_予約入力'!$B$5:$B$404=$A15)*('01_予約入力'!$G$5:$G$404&lt;=AF$4)*('01_予約入力'!$J$5:$J$404&gt;=AF$4)*(1+2*('01_予約入力'!$G$5:$G$404=AF$4)+4*('01_予約入力'!$J$5:$J$404=AF$4)+8*(('01_予約入力'!$Q$5:$Q$404="仮予約")+('01_予約入力'!$Q$5:$Q$404="調整中")))))</f>
        <v/>
      </c>
    </row>
    <row r="16" ht="19" customHeight="1">
      <c r="A16" s="43">
        <f>IF(COUNTA('利用者マスタ'!$A$4:$A$60)&gt;=10,INDEX('利用者マスタ'!$A$4:$A$60,10),"")</f>
        <v/>
      </c>
      <c r="B16" s="44">
        <f>IF($AP16=0,"",IF(MOD($AP16,8)=7,IF($AP16&gt;=8,"◇","◆"),IF(MOD($AP16,8)=3,IF($AP16&gt;=8,"▷","▶"),IF(MOD($AP16,8)=5,IF($AP16&gt;=8,"◁","◀"),IF($AP16&gt;=8,"□","■")))))</f>
        <v/>
      </c>
      <c r="C16" s="44">
        <f>IF($AQ16=0,"",IF(MOD($AQ16,8)=7,IF($AQ16&gt;=8,"◇","◆"),IF(MOD($AQ16,8)=3,IF($AQ16&gt;=8,"▷","▶"),IF(MOD($AQ16,8)=5,IF($AQ16&gt;=8,"◁","◀"),IF($AQ16&gt;=8,"□","■")))))</f>
        <v/>
      </c>
      <c r="D16" s="44">
        <f>IF($AR16=0,"",IF(MOD($AR16,8)=7,IF($AR16&gt;=8,"◇","◆"),IF(MOD($AR16,8)=3,IF($AR16&gt;=8,"▷","▶"),IF(MOD($AR16,8)=5,IF($AR16&gt;=8,"◁","◀"),IF($AR16&gt;=8,"□","■")))))</f>
        <v/>
      </c>
      <c r="E16" s="44">
        <f>IF($AS16=0,"",IF(MOD($AS16,8)=7,IF($AS16&gt;=8,"◇","◆"),IF(MOD($AS16,8)=3,IF($AS16&gt;=8,"▷","▶"),IF(MOD($AS16,8)=5,IF($AS16&gt;=8,"◁","◀"),IF($AS16&gt;=8,"□","■")))))</f>
        <v/>
      </c>
      <c r="F16" s="44">
        <f>IF($AT16=0,"",IF(MOD($AT16,8)=7,IF($AT16&gt;=8,"◇","◆"),IF(MOD($AT16,8)=3,IF($AT16&gt;=8,"▷","▶"),IF(MOD($AT16,8)=5,IF($AT16&gt;=8,"◁","◀"),IF($AT16&gt;=8,"□","■")))))</f>
        <v/>
      </c>
      <c r="G16" s="44">
        <f>IF($AU16=0,"",IF(MOD($AU16,8)=7,IF($AU16&gt;=8,"◇","◆"),IF(MOD($AU16,8)=3,IF($AU16&gt;=8,"▷","▶"),IF(MOD($AU16,8)=5,IF($AU16&gt;=8,"◁","◀"),IF($AU16&gt;=8,"□","■")))))</f>
        <v/>
      </c>
      <c r="H16" s="44">
        <f>IF($AV16=0,"",IF(MOD($AV16,8)=7,IF($AV16&gt;=8,"◇","◆"),IF(MOD($AV16,8)=3,IF($AV16&gt;=8,"▷","▶"),IF(MOD($AV16,8)=5,IF($AV16&gt;=8,"◁","◀"),IF($AV16&gt;=8,"□","■")))))</f>
        <v/>
      </c>
      <c r="I16" s="44">
        <f>IF($AW16=0,"",IF(MOD($AW16,8)=7,IF($AW16&gt;=8,"◇","◆"),IF(MOD($AW16,8)=3,IF($AW16&gt;=8,"▷","▶"),IF(MOD($AW16,8)=5,IF($AW16&gt;=8,"◁","◀"),IF($AW16&gt;=8,"□","■")))))</f>
        <v/>
      </c>
      <c r="J16" s="44">
        <f>IF($AX16=0,"",IF(MOD($AX16,8)=7,IF($AX16&gt;=8,"◇","◆"),IF(MOD($AX16,8)=3,IF($AX16&gt;=8,"▷","▶"),IF(MOD($AX16,8)=5,IF($AX16&gt;=8,"◁","◀"),IF($AX16&gt;=8,"□","■")))))</f>
        <v/>
      </c>
      <c r="K16" s="44">
        <f>IF($AY16=0,"",IF(MOD($AY16,8)=7,IF($AY16&gt;=8,"◇","◆"),IF(MOD($AY16,8)=3,IF($AY16&gt;=8,"▷","▶"),IF(MOD($AY16,8)=5,IF($AY16&gt;=8,"◁","◀"),IF($AY16&gt;=8,"□","■")))))</f>
        <v/>
      </c>
      <c r="L16" s="44">
        <f>IF($AZ16=0,"",IF(MOD($AZ16,8)=7,IF($AZ16&gt;=8,"◇","◆"),IF(MOD($AZ16,8)=3,IF($AZ16&gt;=8,"▷","▶"),IF(MOD($AZ16,8)=5,IF($AZ16&gt;=8,"◁","◀"),IF($AZ16&gt;=8,"□","■")))))</f>
        <v/>
      </c>
      <c r="M16" s="44">
        <f>IF($BA16=0,"",IF(MOD($BA16,8)=7,IF($BA16&gt;=8,"◇","◆"),IF(MOD($BA16,8)=3,IF($BA16&gt;=8,"▷","▶"),IF(MOD($BA16,8)=5,IF($BA16&gt;=8,"◁","◀"),IF($BA16&gt;=8,"□","■")))))</f>
        <v/>
      </c>
      <c r="N16" s="44">
        <f>IF($BB16=0,"",IF(MOD($BB16,8)=7,IF($BB16&gt;=8,"◇","◆"),IF(MOD($BB16,8)=3,IF($BB16&gt;=8,"▷","▶"),IF(MOD($BB16,8)=5,IF($BB16&gt;=8,"◁","◀"),IF($BB16&gt;=8,"□","■")))))</f>
        <v/>
      </c>
      <c r="O16" s="44">
        <f>IF($BC16=0,"",IF(MOD($BC16,8)=7,IF($BC16&gt;=8,"◇","◆"),IF(MOD($BC16,8)=3,IF($BC16&gt;=8,"▷","▶"),IF(MOD($BC16,8)=5,IF($BC16&gt;=8,"◁","◀"),IF($BC16&gt;=8,"□","■")))))</f>
        <v/>
      </c>
      <c r="P16" s="44">
        <f>IF($BD16=0,"",IF(MOD($BD16,8)=7,IF($BD16&gt;=8,"◇","◆"),IF(MOD($BD16,8)=3,IF($BD16&gt;=8,"▷","▶"),IF(MOD($BD16,8)=5,IF($BD16&gt;=8,"◁","◀"),IF($BD16&gt;=8,"□","■")))))</f>
        <v/>
      </c>
      <c r="Q16" s="44">
        <f>IF($BE16=0,"",IF(MOD($BE16,8)=7,IF($BE16&gt;=8,"◇","◆"),IF(MOD($BE16,8)=3,IF($BE16&gt;=8,"▷","▶"),IF(MOD($BE16,8)=5,IF($BE16&gt;=8,"◁","◀"),IF($BE16&gt;=8,"□","■")))))</f>
        <v/>
      </c>
      <c r="R16" s="44">
        <f>IF($BF16=0,"",IF(MOD($BF16,8)=7,IF($BF16&gt;=8,"◇","◆"),IF(MOD($BF16,8)=3,IF($BF16&gt;=8,"▷","▶"),IF(MOD($BF16,8)=5,IF($BF16&gt;=8,"◁","◀"),IF($BF16&gt;=8,"□","■")))))</f>
        <v/>
      </c>
      <c r="S16" s="44">
        <f>IF($BG16=0,"",IF(MOD($BG16,8)=7,IF($BG16&gt;=8,"◇","◆"),IF(MOD($BG16,8)=3,IF($BG16&gt;=8,"▷","▶"),IF(MOD($BG16,8)=5,IF($BG16&gt;=8,"◁","◀"),IF($BG16&gt;=8,"□","■")))))</f>
        <v/>
      </c>
      <c r="T16" s="44">
        <f>IF($BH16=0,"",IF(MOD($BH16,8)=7,IF($BH16&gt;=8,"◇","◆"),IF(MOD($BH16,8)=3,IF($BH16&gt;=8,"▷","▶"),IF(MOD($BH16,8)=5,IF($BH16&gt;=8,"◁","◀"),IF($BH16&gt;=8,"□","■")))))</f>
        <v/>
      </c>
      <c r="U16" s="44">
        <f>IF($BI16=0,"",IF(MOD($BI16,8)=7,IF($BI16&gt;=8,"◇","◆"),IF(MOD($BI16,8)=3,IF($BI16&gt;=8,"▷","▶"),IF(MOD($BI16,8)=5,IF($BI16&gt;=8,"◁","◀"),IF($BI16&gt;=8,"□","■")))))</f>
        <v/>
      </c>
      <c r="V16" s="44">
        <f>IF($BJ16=0,"",IF(MOD($BJ16,8)=7,IF($BJ16&gt;=8,"◇","◆"),IF(MOD($BJ16,8)=3,IF($BJ16&gt;=8,"▷","▶"),IF(MOD($BJ16,8)=5,IF($BJ16&gt;=8,"◁","◀"),IF($BJ16&gt;=8,"□","■")))))</f>
        <v/>
      </c>
      <c r="W16" s="44">
        <f>IF($BK16=0,"",IF(MOD($BK16,8)=7,IF($BK16&gt;=8,"◇","◆"),IF(MOD($BK16,8)=3,IF($BK16&gt;=8,"▷","▶"),IF(MOD($BK16,8)=5,IF($BK16&gt;=8,"◁","◀"),IF($BK16&gt;=8,"□","■")))))</f>
        <v/>
      </c>
      <c r="X16" s="44">
        <f>IF($BL16=0,"",IF(MOD($BL16,8)=7,IF($BL16&gt;=8,"◇","◆"),IF(MOD($BL16,8)=3,IF($BL16&gt;=8,"▷","▶"),IF(MOD($BL16,8)=5,IF($BL16&gt;=8,"◁","◀"),IF($BL16&gt;=8,"□","■")))))</f>
        <v/>
      </c>
      <c r="Y16" s="44">
        <f>IF($BM16=0,"",IF(MOD($BM16,8)=7,IF($BM16&gt;=8,"◇","◆"),IF(MOD($BM16,8)=3,IF($BM16&gt;=8,"▷","▶"),IF(MOD($BM16,8)=5,IF($BM16&gt;=8,"◁","◀"),IF($BM16&gt;=8,"□","■")))))</f>
        <v/>
      </c>
      <c r="Z16" s="44">
        <f>IF($BN16=0,"",IF(MOD($BN16,8)=7,IF($BN16&gt;=8,"◇","◆"),IF(MOD($BN16,8)=3,IF($BN16&gt;=8,"▷","▶"),IF(MOD($BN16,8)=5,IF($BN16&gt;=8,"◁","◀"),IF($BN16&gt;=8,"□","■")))))</f>
        <v/>
      </c>
      <c r="AA16" s="44">
        <f>IF($BO16=0,"",IF(MOD($BO16,8)=7,IF($BO16&gt;=8,"◇","◆"),IF(MOD($BO16,8)=3,IF($BO16&gt;=8,"▷","▶"),IF(MOD($BO16,8)=5,IF($BO16&gt;=8,"◁","◀"),IF($BO16&gt;=8,"□","■")))))</f>
        <v/>
      </c>
      <c r="AB16" s="44">
        <f>IF($BP16=0,"",IF(MOD($BP16,8)=7,IF($BP16&gt;=8,"◇","◆"),IF(MOD($BP16,8)=3,IF($BP16&gt;=8,"▷","▶"),IF(MOD($BP16,8)=5,IF($BP16&gt;=8,"◁","◀"),IF($BP16&gt;=8,"□","■")))))</f>
        <v/>
      </c>
      <c r="AC16" s="44">
        <f>IF($BQ16=0,"",IF(MOD($BQ16,8)=7,IF($BQ16&gt;=8,"◇","◆"),IF(MOD($BQ16,8)=3,IF($BQ16&gt;=8,"▷","▶"),IF(MOD($BQ16,8)=5,IF($BQ16&gt;=8,"◁","◀"),IF($BQ16&gt;=8,"□","■")))))</f>
        <v/>
      </c>
      <c r="AD16" s="44">
        <f>IF($BR16=0,"",IF(MOD($BR16,8)=7,IF($BR16&gt;=8,"◇","◆"),IF(MOD($BR16,8)=3,IF($BR16&gt;=8,"▷","▶"),IF(MOD($BR16,8)=5,IF($BR16&gt;=8,"◁","◀"),IF($BR16&gt;=8,"□","■")))))</f>
        <v/>
      </c>
      <c r="AE16" s="44">
        <f>IF($BS16=0,"",IF(MOD($BS16,8)=7,IF($BS16&gt;=8,"◇","◆"),IF(MOD($BS16,8)=3,IF($BS16&gt;=8,"▷","▶"),IF(MOD($BS16,8)=5,IF($BS16&gt;=8,"◁","◀"),IF($BS16&gt;=8,"□","■")))))</f>
        <v/>
      </c>
      <c r="AF16" s="44">
        <f>IF($BT16=0,"",IF(MOD($BT16,8)=7,IF($BT16&gt;=8,"◇","◆"),IF(MOD($BT16,8)=3,IF($BT16&gt;=8,"▷","▶"),IF(MOD($BT16,8)=5,IF($BT16&gt;=8,"◁","◀"),IF($BT16&gt;=8,"□","■")))))</f>
        <v/>
      </c>
      <c r="AG16" s="45">
        <f>IF($A16="","",COUNTIF($AP16:$BT16,"&gt;0"))</f>
        <v/>
      </c>
      <c r="AP16">
        <f>IF(OR($A16="",B$4=""),0,SUMPRODUCT(('01_予約入力'!$G$5:$G$404&lt;&gt;"")*('01_予約入力'!$Q$5:$Q$404&lt;&gt;"キャンセル")*('01_予約入力'!$B$5:$B$404=$A16)*('01_予約入力'!$G$5:$G$404&lt;=B$4)*('01_予約入力'!$J$5:$J$404&gt;=B$4)*(1+2*('01_予約入力'!$G$5:$G$404=B$4)+4*('01_予約入力'!$J$5:$J$404=B$4)+8*(('01_予約入力'!$Q$5:$Q$404="仮予約")+('01_予約入力'!$Q$5:$Q$404="調整中")))))</f>
        <v/>
      </c>
      <c r="AQ16">
        <f>IF(OR($A16="",C$4=""),0,SUMPRODUCT(('01_予約入力'!$G$5:$G$404&lt;&gt;"")*('01_予約入力'!$Q$5:$Q$404&lt;&gt;"キャンセル")*('01_予約入力'!$B$5:$B$404=$A16)*('01_予約入力'!$G$5:$G$404&lt;=C$4)*('01_予約入力'!$J$5:$J$404&gt;=C$4)*(1+2*('01_予約入力'!$G$5:$G$404=C$4)+4*('01_予約入力'!$J$5:$J$404=C$4)+8*(('01_予約入力'!$Q$5:$Q$404="仮予約")+('01_予約入力'!$Q$5:$Q$404="調整中")))))</f>
        <v/>
      </c>
      <c r="AR16">
        <f>IF(OR($A16="",D$4=""),0,SUMPRODUCT(('01_予約入力'!$G$5:$G$404&lt;&gt;"")*('01_予約入力'!$Q$5:$Q$404&lt;&gt;"キャンセル")*('01_予約入力'!$B$5:$B$404=$A16)*('01_予約入力'!$G$5:$G$404&lt;=D$4)*('01_予約入力'!$J$5:$J$404&gt;=D$4)*(1+2*('01_予約入力'!$G$5:$G$404=D$4)+4*('01_予約入力'!$J$5:$J$404=D$4)+8*(('01_予約入力'!$Q$5:$Q$404="仮予約")+('01_予約入力'!$Q$5:$Q$404="調整中")))))</f>
        <v/>
      </c>
      <c r="AS16">
        <f>IF(OR($A16="",E$4=""),0,SUMPRODUCT(('01_予約入力'!$G$5:$G$404&lt;&gt;"")*('01_予約入力'!$Q$5:$Q$404&lt;&gt;"キャンセル")*('01_予約入力'!$B$5:$B$404=$A16)*('01_予約入力'!$G$5:$G$404&lt;=E$4)*('01_予約入力'!$J$5:$J$404&gt;=E$4)*(1+2*('01_予約入力'!$G$5:$G$404=E$4)+4*('01_予約入力'!$J$5:$J$404=E$4)+8*(('01_予約入力'!$Q$5:$Q$404="仮予約")+('01_予約入力'!$Q$5:$Q$404="調整中")))))</f>
        <v/>
      </c>
      <c r="AT16">
        <f>IF(OR($A16="",F$4=""),0,SUMPRODUCT(('01_予約入力'!$G$5:$G$404&lt;&gt;"")*('01_予約入力'!$Q$5:$Q$404&lt;&gt;"キャンセル")*('01_予約入力'!$B$5:$B$404=$A16)*('01_予約入力'!$G$5:$G$404&lt;=F$4)*('01_予約入力'!$J$5:$J$404&gt;=F$4)*(1+2*('01_予約入力'!$G$5:$G$404=F$4)+4*('01_予約入力'!$J$5:$J$404=F$4)+8*(('01_予約入力'!$Q$5:$Q$404="仮予約")+('01_予約入力'!$Q$5:$Q$404="調整中")))))</f>
        <v/>
      </c>
      <c r="AU16">
        <f>IF(OR($A16="",G$4=""),0,SUMPRODUCT(('01_予約入力'!$G$5:$G$404&lt;&gt;"")*('01_予約入力'!$Q$5:$Q$404&lt;&gt;"キャンセル")*('01_予約入力'!$B$5:$B$404=$A16)*('01_予約入力'!$G$5:$G$404&lt;=G$4)*('01_予約入力'!$J$5:$J$404&gt;=G$4)*(1+2*('01_予約入力'!$G$5:$G$404=G$4)+4*('01_予約入力'!$J$5:$J$404=G$4)+8*(('01_予約入力'!$Q$5:$Q$404="仮予約")+('01_予約入力'!$Q$5:$Q$404="調整中")))))</f>
        <v/>
      </c>
      <c r="AV16">
        <f>IF(OR($A16="",H$4=""),0,SUMPRODUCT(('01_予約入力'!$G$5:$G$404&lt;&gt;"")*('01_予約入力'!$Q$5:$Q$404&lt;&gt;"キャンセル")*('01_予約入力'!$B$5:$B$404=$A16)*('01_予約入力'!$G$5:$G$404&lt;=H$4)*('01_予約入力'!$J$5:$J$404&gt;=H$4)*(1+2*('01_予約入力'!$G$5:$G$404=H$4)+4*('01_予約入力'!$J$5:$J$404=H$4)+8*(('01_予約入力'!$Q$5:$Q$404="仮予約")+('01_予約入力'!$Q$5:$Q$404="調整中")))))</f>
        <v/>
      </c>
      <c r="AW16">
        <f>IF(OR($A16="",I$4=""),0,SUMPRODUCT(('01_予約入力'!$G$5:$G$404&lt;&gt;"")*('01_予約入力'!$Q$5:$Q$404&lt;&gt;"キャンセル")*('01_予約入力'!$B$5:$B$404=$A16)*('01_予約入力'!$G$5:$G$404&lt;=I$4)*('01_予約入力'!$J$5:$J$404&gt;=I$4)*(1+2*('01_予約入力'!$G$5:$G$404=I$4)+4*('01_予約入力'!$J$5:$J$404=I$4)+8*(('01_予約入力'!$Q$5:$Q$404="仮予約")+('01_予約入力'!$Q$5:$Q$404="調整中")))))</f>
        <v/>
      </c>
      <c r="AX16">
        <f>IF(OR($A16="",J$4=""),0,SUMPRODUCT(('01_予約入力'!$G$5:$G$404&lt;&gt;"")*('01_予約入力'!$Q$5:$Q$404&lt;&gt;"キャンセル")*('01_予約入力'!$B$5:$B$404=$A16)*('01_予約入力'!$G$5:$G$404&lt;=J$4)*('01_予約入力'!$J$5:$J$404&gt;=J$4)*(1+2*('01_予約入力'!$G$5:$G$404=J$4)+4*('01_予約入力'!$J$5:$J$404=J$4)+8*(('01_予約入力'!$Q$5:$Q$404="仮予約")+('01_予約入力'!$Q$5:$Q$404="調整中")))))</f>
        <v/>
      </c>
      <c r="AY16">
        <f>IF(OR($A16="",K$4=""),0,SUMPRODUCT(('01_予約入力'!$G$5:$G$404&lt;&gt;"")*('01_予約入力'!$Q$5:$Q$404&lt;&gt;"キャンセル")*('01_予約入力'!$B$5:$B$404=$A16)*('01_予約入力'!$G$5:$G$404&lt;=K$4)*('01_予約入力'!$J$5:$J$404&gt;=K$4)*(1+2*('01_予約入力'!$G$5:$G$404=K$4)+4*('01_予約入力'!$J$5:$J$404=K$4)+8*(('01_予約入力'!$Q$5:$Q$404="仮予約")+('01_予約入力'!$Q$5:$Q$404="調整中")))))</f>
        <v/>
      </c>
      <c r="AZ16">
        <f>IF(OR($A16="",L$4=""),0,SUMPRODUCT(('01_予約入力'!$G$5:$G$404&lt;&gt;"")*('01_予約入力'!$Q$5:$Q$404&lt;&gt;"キャンセル")*('01_予約入力'!$B$5:$B$404=$A16)*('01_予約入力'!$G$5:$G$404&lt;=L$4)*('01_予約入力'!$J$5:$J$404&gt;=L$4)*(1+2*('01_予約入力'!$G$5:$G$404=L$4)+4*('01_予約入力'!$J$5:$J$404=L$4)+8*(('01_予約入力'!$Q$5:$Q$404="仮予約")+('01_予約入力'!$Q$5:$Q$404="調整中")))))</f>
        <v/>
      </c>
      <c r="BA16">
        <f>IF(OR($A16="",M$4=""),0,SUMPRODUCT(('01_予約入力'!$G$5:$G$404&lt;&gt;"")*('01_予約入力'!$Q$5:$Q$404&lt;&gt;"キャンセル")*('01_予約入力'!$B$5:$B$404=$A16)*('01_予約入力'!$G$5:$G$404&lt;=M$4)*('01_予約入力'!$J$5:$J$404&gt;=M$4)*(1+2*('01_予約入力'!$G$5:$G$404=M$4)+4*('01_予約入力'!$J$5:$J$404=M$4)+8*(('01_予約入力'!$Q$5:$Q$404="仮予約")+('01_予約入力'!$Q$5:$Q$404="調整中")))))</f>
        <v/>
      </c>
      <c r="BB16">
        <f>IF(OR($A16="",N$4=""),0,SUMPRODUCT(('01_予約入力'!$G$5:$G$404&lt;&gt;"")*('01_予約入力'!$Q$5:$Q$404&lt;&gt;"キャンセル")*('01_予約入力'!$B$5:$B$404=$A16)*('01_予約入力'!$G$5:$G$404&lt;=N$4)*('01_予約入力'!$J$5:$J$404&gt;=N$4)*(1+2*('01_予約入力'!$G$5:$G$404=N$4)+4*('01_予約入力'!$J$5:$J$404=N$4)+8*(('01_予約入力'!$Q$5:$Q$404="仮予約")+('01_予約入力'!$Q$5:$Q$404="調整中")))))</f>
        <v/>
      </c>
      <c r="BC16">
        <f>IF(OR($A16="",O$4=""),0,SUMPRODUCT(('01_予約入力'!$G$5:$G$404&lt;&gt;"")*('01_予約入力'!$Q$5:$Q$404&lt;&gt;"キャンセル")*('01_予約入力'!$B$5:$B$404=$A16)*('01_予約入力'!$G$5:$G$404&lt;=O$4)*('01_予約入力'!$J$5:$J$404&gt;=O$4)*(1+2*('01_予約入力'!$G$5:$G$404=O$4)+4*('01_予約入力'!$J$5:$J$404=O$4)+8*(('01_予約入力'!$Q$5:$Q$404="仮予約")+('01_予約入力'!$Q$5:$Q$404="調整中")))))</f>
        <v/>
      </c>
      <c r="BD16">
        <f>IF(OR($A16="",P$4=""),0,SUMPRODUCT(('01_予約入力'!$G$5:$G$404&lt;&gt;"")*('01_予約入力'!$Q$5:$Q$404&lt;&gt;"キャンセル")*('01_予約入力'!$B$5:$B$404=$A16)*('01_予約入力'!$G$5:$G$404&lt;=P$4)*('01_予約入力'!$J$5:$J$404&gt;=P$4)*(1+2*('01_予約入力'!$G$5:$G$404=P$4)+4*('01_予約入力'!$J$5:$J$404=P$4)+8*(('01_予約入力'!$Q$5:$Q$404="仮予約")+('01_予約入力'!$Q$5:$Q$404="調整中")))))</f>
        <v/>
      </c>
      <c r="BE16">
        <f>IF(OR($A16="",Q$4=""),0,SUMPRODUCT(('01_予約入力'!$G$5:$G$404&lt;&gt;"")*('01_予約入力'!$Q$5:$Q$404&lt;&gt;"キャンセル")*('01_予約入力'!$B$5:$B$404=$A16)*('01_予約入力'!$G$5:$G$404&lt;=Q$4)*('01_予約入力'!$J$5:$J$404&gt;=Q$4)*(1+2*('01_予約入力'!$G$5:$G$404=Q$4)+4*('01_予約入力'!$J$5:$J$404=Q$4)+8*(('01_予約入力'!$Q$5:$Q$404="仮予約")+('01_予約入力'!$Q$5:$Q$404="調整中")))))</f>
        <v/>
      </c>
      <c r="BF16">
        <f>IF(OR($A16="",R$4=""),0,SUMPRODUCT(('01_予約入力'!$G$5:$G$404&lt;&gt;"")*('01_予約入力'!$Q$5:$Q$404&lt;&gt;"キャンセル")*('01_予約入力'!$B$5:$B$404=$A16)*('01_予約入力'!$G$5:$G$404&lt;=R$4)*('01_予約入力'!$J$5:$J$404&gt;=R$4)*(1+2*('01_予約入力'!$G$5:$G$404=R$4)+4*('01_予約入力'!$J$5:$J$404=R$4)+8*(('01_予約入力'!$Q$5:$Q$404="仮予約")+('01_予約入力'!$Q$5:$Q$404="調整中")))))</f>
        <v/>
      </c>
      <c r="BG16">
        <f>IF(OR($A16="",S$4=""),0,SUMPRODUCT(('01_予約入力'!$G$5:$G$404&lt;&gt;"")*('01_予約入力'!$Q$5:$Q$404&lt;&gt;"キャンセル")*('01_予約入力'!$B$5:$B$404=$A16)*('01_予約入力'!$G$5:$G$404&lt;=S$4)*('01_予約入力'!$J$5:$J$404&gt;=S$4)*(1+2*('01_予約入力'!$G$5:$G$404=S$4)+4*('01_予約入力'!$J$5:$J$404=S$4)+8*(('01_予約入力'!$Q$5:$Q$404="仮予約")+('01_予約入力'!$Q$5:$Q$404="調整中")))))</f>
        <v/>
      </c>
      <c r="BH16">
        <f>IF(OR($A16="",T$4=""),0,SUMPRODUCT(('01_予約入力'!$G$5:$G$404&lt;&gt;"")*('01_予約入力'!$Q$5:$Q$404&lt;&gt;"キャンセル")*('01_予約入力'!$B$5:$B$404=$A16)*('01_予約入力'!$G$5:$G$404&lt;=T$4)*('01_予約入力'!$J$5:$J$404&gt;=T$4)*(1+2*('01_予約入力'!$G$5:$G$404=T$4)+4*('01_予約入力'!$J$5:$J$404=T$4)+8*(('01_予約入力'!$Q$5:$Q$404="仮予約")+('01_予約入力'!$Q$5:$Q$404="調整中")))))</f>
        <v/>
      </c>
      <c r="BI16">
        <f>IF(OR($A16="",U$4=""),0,SUMPRODUCT(('01_予約入力'!$G$5:$G$404&lt;&gt;"")*('01_予約入力'!$Q$5:$Q$404&lt;&gt;"キャンセル")*('01_予約入力'!$B$5:$B$404=$A16)*('01_予約入力'!$G$5:$G$404&lt;=U$4)*('01_予約入力'!$J$5:$J$404&gt;=U$4)*(1+2*('01_予約入力'!$G$5:$G$404=U$4)+4*('01_予約入力'!$J$5:$J$404=U$4)+8*(('01_予約入力'!$Q$5:$Q$404="仮予約")+('01_予約入力'!$Q$5:$Q$404="調整中")))))</f>
        <v/>
      </c>
      <c r="BJ16">
        <f>IF(OR($A16="",V$4=""),0,SUMPRODUCT(('01_予約入力'!$G$5:$G$404&lt;&gt;"")*('01_予約入力'!$Q$5:$Q$404&lt;&gt;"キャンセル")*('01_予約入力'!$B$5:$B$404=$A16)*('01_予約入力'!$G$5:$G$404&lt;=V$4)*('01_予約入力'!$J$5:$J$404&gt;=V$4)*(1+2*('01_予約入力'!$G$5:$G$404=V$4)+4*('01_予約入力'!$J$5:$J$404=V$4)+8*(('01_予約入力'!$Q$5:$Q$404="仮予約")+('01_予約入力'!$Q$5:$Q$404="調整中")))))</f>
        <v/>
      </c>
      <c r="BK16">
        <f>IF(OR($A16="",W$4=""),0,SUMPRODUCT(('01_予約入力'!$G$5:$G$404&lt;&gt;"")*('01_予約入力'!$Q$5:$Q$404&lt;&gt;"キャンセル")*('01_予約入力'!$B$5:$B$404=$A16)*('01_予約入力'!$G$5:$G$404&lt;=W$4)*('01_予約入力'!$J$5:$J$404&gt;=W$4)*(1+2*('01_予約入力'!$G$5:$G$404=W$4)+4*('01_予約入力'!$J$5:$J$404=W$4)+8*(('01_予約入力'!$Q$5:$Q$404="仮予約")+('01_予約入力'!$Q$5:$Q$404="調整中")))))</f>
        <v/>
      </c>
      <c r="BL16">
        <f>IF(OR($A16="",X$4=""),0,SUMPRODUCT(('01_予約入力'!$G$5:$G$404&lt;&gt;"")*('01_予約入力'!$Q$5:$Q$404&lt;&gt;"キャンセル")*('01_予約入力'!$B$5:$B$404=$A16)*('01_予約入力'!$G$5:$G$404&lt;=X$4)*('01_予約入力'!$J$5:$J$404&gt;=X$4)*(1+2*('01_予約入力'!$G$5:$G$404=X$4)+4*('01_予約入力'!$J$5:$J$404=X$4)+8*(('01_予約入力'!$Q$5:$Q$404="仮予約")+('01_予約入力'!$Q$5:$Q$404="調整中")))))</f>
        <v/>
      </c>
      <c r="BM16">
        <f>IF(OR($A16="",Y$4=""),0,SUMPRODUCT(('01_予約入力'!$G$5:$G$404&lt;&gt;"")*('01_予約入力'!$Q$5:$Q$404&lt;&gt;"キャンセル")*('01_予約入力'!$B$5:$B$404=$A16)*('01_予約入力'!$G$5:$G$404&lt;=Y$4)*('01_予約入力'!$J$5:$J$404&gt;=Y$4)*(1+2*('01_予約入力'!$G$5:$G$404=Y$4)+4*('01_予約入力'!$J$5:$J$404=Y$4)+8*(('01_予約入力'!$Q$5:$Q$404="仮予約")+('01_予約入力'!$Q$5:$Q$404="調整中")))))</f>
        <v/>
      </c>
      <c r="BN16">
        <f>IF(OR($A16="",Z$4=""),0,SUMPRODUCT(('01_予約入力'!$G$5:$G$404&lt;&gt;"")*('01_予約入力'!$Q$5:$Q$404&lt;&gt;"キャンセル")*('01_予約入力'!$B$5:$B$404=$A16)*('01_予約入力'!$G$5:$G$404&lt;=Z$4)*('01_予約入力'!$J$5:$J$404&gt;=Z$4)*(1+2*('01_予約入力'!$G$5:$G$404=Z$4)+4*('01_予約入力'!$J$5:$J$404=Z$4)+8*(('01_予約入力'!$Q$5:$Q$404="仮予約")+('01_予約入力'!$Q$5:$Q$404="調整中")))))</f>
        <v/>
      </c>
      <c r="BO16">
        <f>IF(OR($A16="",AA$4=""),0,SUMPRODUCT(('01_予約入力'!$G$5:$G$404&lt;&gt;"")*('01_予約入力'!$Q$5:$Q$404&lt;&gt;"キャンセル")*('01_予約入力'!$B$5:$B$404=$A16)*('01_予約入力'!$G$5:$G$404&lt;=AA$4)*('01_予約入力'!$J$5:$J$404&gt;=AA$4)*(1+2*('01_予約入力'!$G$5:$G$404=AA$4)+4*('01_予約入力'!$J$5:$J$404=AA$4)+8*(('01_予約入力'!$Q$5:$Q$404="仮予約")+('01_予約入力'!$Q$5:$Q$404="調整中")))))</f>
        <v/>
      </c>
      <c r="BP16">
        <f>IF(OR($A16="",AB$4=""),0,SUMPRODUCT(('01_予約入力'!$G$5:$G$404&lt;&gt;"")*('01_予約入力'!$Q$5:$Q$404&lt;&gt;"キャンセル")*('01_予約入力'!$B$5:$B$404=$A16)*('01_予約入力'!$G$5:$G$404&lt;=AB$4)*('01_予約入力'!$J$5:$J$404&gt;=AB$4)*(1+2*('01_予約入力'!$G$5:$G$404=AB$4)+4*('01_予約入力'!$J$5:$J$404=AB$4)+8*(('01_予約入力'!$Q$5:$Q$404="仮予約")+('01_予約入力'!$Q$5:$Q$404="調整中")))))</f>
        <v/>
      </c>
      <c r="BQ16">
        <f>IF(OR($A16="",AC$4=""),0,SUMPRODUCT(('01_予約入力'!$G$5:$G$404&lt;&gt;"")*('01_予約入力'!$Q$5:$Q$404&lt;&gt;"キャンセル")*('01_予約入力'!$B$5:$B$404=$A16)*('01_予約入力'!$G$5:$G$404&lt;=AC$4)*('01_予約入力'!$J$5:$J$404&gt;=AC$4)*(1+2*('01_予約入力'!$G$5:$G$404=AC$4)+4*('01_予約入力'!$J$5:$J$404=AC$4)+8*(('01_予約入力'!$Q$5:$Q$404="仮予約")+('01_予約入力'!$Q$5:$Q$404="調整中")))))</f>
        <v/>
      </c>
      <c r="BR16">
        <f>IF(OR($A16="",AD$4=""),0,SUMPRODUCT(('01_予約入力'!$G$5:$G$404&lt;&gt;"")*('01_予約入力'!$Q$5:$Q$404&lt;&gt;"キャンセル")*('01_予約入力'!$B$5:$B$404=$A16)*('01_予約入力'!$G$5:$G$404&lt;=AD$4)*('01_予約入力'!$J$5:$J$404&gt;=AD$4)*(1+2*('01_予約入力'!$G$5:$G$404=AD$4)+4*('01_予約入力'!$J$5:$J$404=AD$4)+8*(('01_予約入力'!$Q$5:$Q$404="仮予約")+('01_予約入力'!$Q$5:$Q$404="調整中")))))</f>
        <v/>
      </c>
      <c r="BS16">
        <f>IF(OR($A16="",AE$4=""),0,SUMPRODUCT(('01_予約入力'!$G$5:$G$404&lt;&gt;"")*('01_予約入力'!$Q$5:$Q$404&lt;&gt;"キャンセル")*('01_予約入力'!$B$5:$B$404=$A16)*('01_予約入力'!$G$5:$G$404&lt;=AE$4)*('01_予約入力'!$J$5:$J$404&gt;=AE$4)*(1+2*('01_予約入力'!$G$5:$G$404=AE$4)+4*('01_予約入力'!$J$5:$J$404=AE$4)+8*(('01_予約入力'!$Q$5:$Q$404="仮予約")+('01_予約入力'!$Q$5:$Q$404="調整中")))))</f>
        <v/>
      </c>
      <c r="BT16">
        <f>IF(OR($A16="",AF$4=""),0,SUMPRODUCT(('01_予約入力'!$G$5:$G$404&lt;&gt;"")*('01_予約入力'!$Q$5:$Q$404&lt;&gt;"キャンセル")*('01_予約入力'!$B$5:$B$404=$A16)*('01_予約入力'!$G$5:$G$404&lt;=AF$4)*('01_予約入力'!$J$5:$J$404&gt;=AF$4)*(1+2*('01_予約入力'!$G$5:$G$404=AF$4)+4*('01_予約入力'!$J$5:$J$404=AF$4)+8*(('01_予約入力'!$Q$5:$Q$404="仮予約")+('01_予約入力'!$Q$5:$Q$404="調整中")))))</f>
        <v/>
      </c>
    </row>
    <row r="17" ht="19" customHeight="1">
      <c r="A17" s="43">
        <f>IF(COUNTA('利用者マスタ'!$A$4:$A$60)&gt;=11,INDEX('利用者マスタ'!$A$4:$A$60,11),"")</f>
        <v/>
      </c>
      <c r="B17" s="44">
        <f>IF($AP17=0,"",IF(MOD($AP17,8)=7,IF($AP17&gt;=8,"◇","◆"),IF(MOD($AP17,8)=3,IF($AP17&gt;=8,"▷","▶"),IF(MOD($AP17,8)=5,IF($AP17&gt;=8,"◁","◀"),IF($AP17&gt;=8,"□","■")))))</f>
        <v/>
      </c>
      <c r="C17" s="44">
        <f>IF($AQ17=0,"",IF(MOD($AQ17,8)=7,IF($AQ17&gt;=8,"◇","◆"),IF(MOD($AQ17,8)=3,IF($AQ17&gt;=8,"▷","▶"),IF(MOD($AQ17,8)=5,IF($AQ17&gt;=8,"◁","◀"),IF($AQ17&gt;=8,"□","■")))))</f>
        <v/>
      </c>
      <c r="D17" s="44">
        <f>IF($AR17=0,"",IF(MOD($AR17,8)=7,IF($AR17&gt;=8,"◇","◆"),IF(MOD($AR17,8)=3,IF($AR17&gt;=8,"▷","▶"),IF(MOD($AR17,8)=5,IF($AR17&gt;=8,"◁","◀"),IF($AR17&gt;=8,"□","■")))))</f>
        <v/>
      </c>
      <c r="E17" s="44">
        <f>IF($AS17=0,"",IF(MOD($AS17,8)=7,IF($AS17&gt;=8,"◇","◆"),IF(MOD($AS17,8)=3,IF($AS17&gt;=8,"▷","▶"),IF(MOD($AS17,8)=5,IF($AS17&gt;=8,"◁","◀"),IF($AS17&gt;=8,"□","■")))))</f>
        <v/>
      </c>
      <c r="F17" s="44">
        <f>IF($AT17=0,"",IF(MOD($AT17,8)=7,IF($AT17&gt;=8,"◇","◆"),IF(MOD($AT17,8)=3,IF($AT17&gt;=8,"▷","▶"),IF(MOD($AT17,8)=5,IF($AT17&gt;=8,"◁","◀"),IF($AT17&gt;=8,"□","■")))))</f>
        <v/>
      </c>
      <c r="G17" s="44">
        <f>IF($AU17=0,"",IF(MOD($AU17,8)=7,IF($AU17&gt;=8,"◇","◆"),IF(MOD($AU17,8)=3,IF($AU17&gt;=8,"▷","▶"),IF(MOD($AU17,8)=5,IF($AU17&gt;=8,"◁","◀"),IF($AU17&gt;=8,"□","■")))))</f>
        <v/>
      </c>
      <c r="H17" s="44">
        <f>IF($AV17=0,"",IF(MOD($AV17,8)=7,IF($AV17&gt;=8,"◇","◆"),IF(MOD($AV17,8)=3,IF($AV17&gt;=8,"▷","▶"),IF(MOD($AV17,8)=5,IF($AV17&gt;=8,"◁","◀"),IF($AV17&gt;=8,"□","■")))))</f>
        <v/>
      </c>
      <c r="I17" s="44">
        <f>IF($AW17=0,"",IF(MOD($AW17,8)=7,IF($AW17&gt;=8,"◇","◆"),IF(MOD($AW17,8)=3,IF($AW17&gt;=8,"▷","▶"),IF(MOD($AW17,8)=5,IF($AW17&gt;=8,"◁","◀"),IF($AW17&gt;=8,"□","■")))))</f>
        <v/>
      </c>
      <c r="J17" s="44">
        <f>IF($AX17=0,"",IF(MOD($AX17,8)=7,IF($AX17&gt;=8,"◇","◆"),IF(MOD($AX17,8)=3,IF($AX17&gt;=8,"▷","▶"),IF(MOD($AX17,8)=5,IF($AX17&gt;=8,"◁","◀"),IF($AX17&gt;=8,"□","■")))))</f>
        <v/>
      </c>
      <c r="K17" s="44">
        <f>IF($AY17=0,"",IF(MOD($AY17,8)=7,IF($AY17&gt;=8,"◇","◆"),IF(MOD($AY17,8)=3,IF($AY17&gt;=8,"▷","▶"),IF(MOD($AY17,8)=5,IF($AY17&gt;=8,"◁","◀"),IF($AY17&gt;=8,"□","■")))))</f>
        <v/>
      </c>
      <c r="L17" s="44">
        <f>IF($AZ17=0,"",IF(MOD($AZ17,8)=7,IF($AZ17&gt;=8,"◇","◆"),IF(MOD($AZ17,8)=3,IF($AZ17&gt;=8,"▷","▶"),IF(MOD($AZ17,8)=5,IF($AZ17&gt;=8,"◁","◀"),IF($AZ17&gt;=8,"□","■")))))</f>
        <v/>
      </c>
      <c r="M17" s="44">
        <f>IF($BA17=0,"",IF(MOD($BA17,8)=7,IF($BA17&gt;=8,"◇","◆"),IF(MOD($BA17,8)=3,IF($BA17&gt;=8,"▷","▶"),IF(MOD($BA17,8)=5,IF($BA17&gt;=8,"◁","◀"),IF($BA17&gt;=8,"□","■")))))</f>
        <v/>
      </c>
      <c r="N17" s="44">
        <f>IF($BB17=0,"",IF(MOD($BB17,8)=7,IF($BB17&gt;=8,"◇","◆"),IF(MOD($BB17,8)=3,IF($BB17&gt;=8,"▷","▶"),IF(MOD($BB17,8)=5,IF($BB17&gt;=8,"◁","◀"),IF($BB17&gt;=8,"□","■")))))</f>
        <v/>
      </c>
      <c r="O17" s="44">
        <f>IF($BC17=0,"",IF(MOD($BC17,8)=7,IF($BC17&gt;=8,"◇","◆"),IF(MOD($BC17,8)=3,IF($BC17&gt;=8,"▷","▶"),IF(MOD($BC17,8)=5,IF($BC17&gt;=8,"◁","◀"),IF($BC17&gt;=8,"□","■")))))</f>
        <v/>
      </c>
      <c r="P17" s="44">
        <f>IF($BD17=0,"",IF(MOD($BD17,8)=7,IF($BD17&gt;=8,"◇","◆"),IF(MOD($BD17,8)=3,IF($BD17&gt;=8,"▷","▶"),IF(MOD($BD17,8)=5,IF($BD17&gt;=8,"◁","◀"),IF($BD17&gt;=8,"□","■")))))</f>
        <v/>
      </c>
      <c r="Q17" s="44">
        <f>IF($BE17=0,"",IF(MOD($BE17,8)=7,IF($BE17&gt;=8,"◇","◆"),IF(MOD($BE17,8)=3,IF($BE17&gt;=8,"▷","▶"),IF(MOD($BE17,8)=5,IF($BE17&gt;=8,"◁","◀"),IF($BE17&gt;=8,"□","■")))))</f>
        <v/>
      </c>
      <c r="R17" s="44">
        <f>IF($BF17=0,"",IF(MOD($BF17,8)=7,IF($BF17&gt;=8,"◇","◆"),IF(MOD($BF17,8)=3,IF($BF17&gt;=8,"▷","▶"),IF(MOD($BF17,8)=5,IF($BF17&gt;=8,"◁","◀"),IF($BF17&gt;=8,"□","■")))))</f>
        <v/>
      </c>
      <c r="S17" s="44">
        <f>IF($BG17=0,"",IF(MOD($BG17,8)=7,IF($BG17&gt;=8,"◇","◆"),IF(MOD($BG17,8)=3,IF($BG17&gt;=8,"▷","▶"),IF(MOD($BG17,8)=5,IF($BG17&gt;=8,"◁","◀"),IF($BG17&gt;=8,"□","■")))))</f>
        <v/>
      </c>
      <c r="T17" s="44">
        <f>IF($BH17=0,"",IF(MOD($BH17,8)=7,IF($BH17&gt;=8,"◇","◆"),IF(MOD($BH17,8)=3,IF($BH17&gt;=8,"▷","▶"),IF(MOD($BH17,8)=5,IF($BH17&gt;=8,"◁","◀"),IF($BH17&gt;=8,"□","■")))))</f>
        <v/>
      </c>
      <c r="U17" s="44">
        <f>IF($BI17=0,"",IF(MOD($BI17,8)=7,IF($BI17&gt;=8,"◇","◆"),IF(MOD($BI17,8)=3,IF($BI17&gt;=8,"▷","▶"),IF(MOD($BI17,8)=5,IF($BI17&gt;=8,"◁","◀"),IF($BI17&gt;=8,"□","■")))))</f>
        <v/>
      </c>
      <c r="V17" s="44">
        <f>IF($BJ17=0,"",IF(MOD($BJ17,8)=7,IF($BJ17&gt;=8,"◇","◆"),IF(MOD($BJ17,8)=3,IF($BJ17&gt;=8,"▷","▶"),IF(MOD($BJ17,8)=5,IF($BJ17&gt;=8,"◁","◀"),IF($BJ17&gt;=8,"□","■")))))</f>
        <v/>
      </c>
      <c r="W17" s="44">
        <f>IF($BK17=0,"",IF(MOD($BK17,8)=7,IF($BK17&gt;=8,"◇","◆"),IF(MOD($BK17,8)=3,IF($BK17&gt;=8,"▷","▶"),IF(MOD($BK17,8)=5,IF($BK17&gt;=8,"◁","◀"),IF($BK17&gt;=8,"□","■")))))</f>
        <v/>
      </c>
      <c r="X17" s="44">
        <f>IF($BL17=0,"",IF(MOD($BL17,8)=7,IF($BL17&gt;=8,"◇","◆"),IF(MOD($BL17,8)=3,IF($BL17&gt;=8,"▷","▶"),IF(MOD($BL17,8)=5,IF($BL17&gt;=8,"◁","◀"),IF($BL17&gt;=8,"□","■")))))</f>
        <v/>
      </c>
      <c r="Y17" s="44">
        <f>IF($BM17=0,"",IF(MOD($BM17,8)=7,IF($BM17&gt;=8,"◇","◆"),IF(MOD($BM17,8)=3,IF($BM17&gt;=8,"▷","▶"),IF(MOD($BM17,8)=5,IF($BM17&gt;=8,"◁","◀"),IF($BM17&gt;=8,"□","■")))))</f>
        <v/>
      </c>
      <c r="Z17" s="44">
        <f>IF($BN17=0,"",IF(MOD($BN17,8)=7,IF($BN17&gt;=8,"◇","◆"),IF(MOD($BN17,8)=3,IF($BN17&gt;=8,"▷","▶"),IF(MOD($BN17,8)=5,IF($BN17&gt;=8,"◁","◀"),IF($BN17&gt;=8,"□","■")))))</f>
        <v/>
      </c>
      <c r="AA17" s="44">
        <f>IF($BO17=0,"",IF(MOD($BO17,8)=7,IF($BO17&gt;=8,"◇","◆"),IF(MOD($BO17,8)=3,IF($BO17&gt;=8,"▷","▶"),IF(MOD($BO17,8)=5,IF($BO17&gt;=8,"◁","◀"),IF($BO17&gt;=8,"□","■")))))</f>
        <v/>
      </c>
      <c r="AB17" s="44">
        <f>IF($BP17=0,"",IF(MOD($BP17,8)=7,IF($BP17&gt;=8,"◇","◆"),IF(MOD($BP17,8)=3,IF($BP17&gt;=8,"▷","▶"),IF(MOD($BP17,8)=5,IF($BP17&gt;=8,"◁","◀"),IF($BP17&gt;=8,"□","■")))))</f>
        <v/>
      </c>
      <c r="AC17" s="44">
        <f>IF($BQ17=0,"",IF(MOD($BQ17,8)=7,IF($BQ17&gt;=8,"◇","◆"),IF(MOD($BQ17,8)=3,IF($BQ17&gt;=8,"▷","▶"),IF(MOD($BQ17,8)=5,IF($BQ17&gt;=8,"◁","◀"),IF($BQ17&gt;=8,"□","■")))))</f>
        <v/>
      </c>
      <c r="AD17" s="44">
        <f>IF($BR17=0,"",IF(MOD($BR17,8)=7,IF($BR17&gt;=8,"◇","◆"),IF(MOD($BR17,8)=3,IF($BR17&gt;=8,"▷","▶"),IF(MOD($BR17,8)=5,IF($BR17&gt;=8,"◁","◀"),IF($BR17&gt;=8,"□","■")))))</f>
        <v/>
      </c>
      <c r="AE17" s="44">
        <f>IF($BS17=0,"",IF(MOD($BS17,8)=7,IF($BS17&gt;=8,"◇","◆"),IF(MOD($BS17,8)=3,IF($BS17&gt;=8,"▷","▶"),IF(MOD($BS17,8)=5,IF($BS17&gt;=8,"◁","◀"),IF($BS17&gt;=8,"□","■")))))</f>
        <v/>
      </c>
      <c r="AF17" s="44">
        <f>IF($BT17=0,"",IF(MOD($BT17,8)=7,IF($BT17&gt;=8,"◇","◆"),IF(MOD($BT17,8)=3,IF($BT17&gt;=8,"▷","▶"),IF(MOD($BT17,8)=5,IF($BT17&gt;=8,"◁","◀"),IF($BT17&gt;=8,"□","■")))))</f>
        <v/>
      </c>
      <c r="AG17" s="45">
        <f>IF($A17="","",COUNTIF($AP17:$BT17,"&gt;0"))</f>
        <v/>
      </c>
      <c r="AP17">
        <f>IF(OR($A17="",B$4=""),0,SUMPRODUCT(('01_予約入力'!$G$5:$G$404&lt;&gt;"")*('01_予約入力'!$Q$5:$Q$404&lt;&gt;"キャンセル")*('01_予約入力'!$B$5:$B$404=$A17)*('01_予約入力'!$G$5:$G$404&lt;=B$4)*('01_予約入力'!$J$5:$J$404&gt;=B$4)*(1+2*('01_予約入力'!$G$5:$G$404=B$4)+4*('01_予約入力'!$J$5:$J$404=B$4)+8*(('01_予約入力'!$Q$5:$Q$404="仮予約")+('01_予約入力'!$Q$5:$Q$404="調整中")))))</f>
        <v/>
      </c>
      <c r="AQ17">
        <f>IF(OR($A17="",C$4=""),0,SUMPRODUCT(('01_予約入力'!$G$5:$G$404&lt;&gt;"")*('01_予約入力'!$Q$5:$Q$404&lt;&gt;"キャンセル")*('01_予約入力'!$B$5:$B$404=$A17)*('01_予約入力'!$G$5:$G$404&lt;=C$4)*('01_予約入力'!$J$5:$J$404&gt;=C$4)*(1+2*('01_予約入力'!$G$5:$G$404=C$4)+4*('01_予約入力'!$J$5:$J$404=C$4)+8*(('01_予約入力'!$Q$5:$Q$404="仮予約")+('01_予約入力'!$Q$5:$Q$404="調整中")))))</f>
        <v/>
      </c>
      <c r="AR17">
        <f>IF(OR($A17="",D$4=""),0,SUMPRODUCT(('01_予約入力'!$G$5:$G$404&lt;&gt;"")*('01_予約入力'!$Q$5:$Q$404&lt;&gt;"キャンセル")*('01_予約入力'!$B$5:$B$404=$A17)*('01_予約入力'!$G$5:$G$404&lt;=D$4)*('01_予約入力'!$J$5:$J$404&gt;=D$4)*(1+2*('01_予約入力'!$G$5:$G$404=D$4)+4*('01_予約入力'!$J$5:$J$404=D$4)+8*(('01_予約入力'!$Q$5:$Q$404="仮予約")+('01_予約入力'!$Q$5:$Q$404="調整中")))))</f>
        <v/>
      </c>
      <c r="AS17">
        <f>IF(OR($A17="",E$4=""),0,SUMPRODUCT(('01_予約入力'!$G$5:$G$404&lt;&gt;"")*('01_予約入力'!$Q$5:$Q$404&lt;&gt;"キャンセル")*('01_予約入力'!$B$5:$B$404=$A17)*('01_予約入力'!$G$5:$G$404&lt;=E$4)*('01_予約入力'!$J$5:$J$404&gt;=E$4)*(1+2*('01_予約入力'!$G$5:$G$404=E$4)+4*('01_予約入力'!$J$5:$J$404=E$4)+8*(('01_予約入力'!$Q$5:$Q$404="仮予約")+('01_予約入力'!$Q$5:$Q$404="調整中")))))</f>
        <v/>
      </c>
      <c r="AT17">
        <f>IF(OR($A17="",F$4=""),0,SUMPRODUCT(('01_予約入力'!$G$5:$G$404&lt;&gt;"")*('01_予約入力'!$Q$5:$Q$404&lt;&gt;"キャンセル")*('01_予約入力'!$B$5:$B$404=$A17)*('01_予約入力'!$G$5:$G$404&lt;=F$4)*('01_予約入力'!$J$5:$J$404&gt;=F$4)*(1+2*('01_予約入力'!$G$5:$G$404=F$4)+4*('01_予約入力'!$J$5:$J$404=F$4)+8*(('01_予約入力'!$Q$5:$Q$404="仮予約")+('01_予約入力'!$Q$5:$Q$404="調整中")))))</f>
        <v/>
      </c>
      <c r="AU17">
        <f>IF(OR($A17="",G$4=""),0,SUMPRODUCT(('01_予約入力'!$G$5:$G$404&lt;&gt;"")*('01_予約入力'!$Q$5:$Q$404&lt;&gt;"キャンセル")*('01_予約入力'!$B$5:$B$404=$A17)*('01_予約入力'!$G$5:$G$404&lt;=G$4)*('01_予約入力'!$J$5:$J$404&gt;=G$4)*(1+2*('01_予約入力'!$G$5:$G$404=G$4)+4*('01_予約入力'!$J$5:$J$404=G$4)+8*(('01_予約入力'!$Q$5:$Q$404="仮予約")+('01_予約入力'!$Q$5:$Q$404="調整中")))))</f>
        <v/>
      </c>
      <c r="AV17">
        <f>IF(OR($A17="",H$4=""),0,SUMPRODUCT(('01_予約入力'!$G$5:$G$404&lt;&gt;"")*('01_予約入力'!$Q$5:$Q$404&lt;&gt;"キャンセル")*('01_予約入力'!$B$5:$B$404=$A17)*('01_予約入力'!$G$5:$G$404&lt;=H$4)*('01_予約入力'!$J$5:$J$404&gt;=H$4)*(1+2*('01_予約入力'!$G$5:$G$404=H$4)+4*('01_予約入力'!$J$5:$J$404=H$4)+8*(('01_予約入力'!$Q$5:$Q$404="仮予約")+('01_予約入力'!$Q$5:$Q$404="調整中")))))</f>
        <v/>
      </c>
      <c r="AW17">
        <f>IF(OR($A17="",I$4=""),0,SUMPRODUCT(('01_予約入力'!$G$5:$G$404&lt;&gt;"")*('01_予約入力'!$Q$5:$Q$404&lt;&gt;"キャンセル")*('01_予約入力'!$B$5:$B$404=$A17)*('01_予約入力'!$G$5:$G$404&lt;=I$4)*('01_予約入力'!$J$5:$J$404&gt;=I$4)*(1+2*('01_予約入力'!$G$5:$G$404=I$4)+4*('01_予約入力'!$J$5:$J$404=I$4)+8*(('01_予約入力'!$Q$5:$Q$404="仮予約")+('01_予約入力'!$Q$5:$Q$404="調整中")))))</f>
        <v/>
      </c>
      <c r="AX17">
        <f>IF(OR($A17="",J$4=""),0,SUMPRODUCT(('01_予約入力'!$G$5:$G$404&lt;&gt;"")*('01_予約入力'!$Q$5:$Q$404&lt;&gt;"キャンセル")*('01_予約入力'!$B$5:$B$404=$A17)*('01_予約入力'!$G$5:$G$404&lt;=J$4)*('01_予約入力'!$J$5:$J$404&gt;=J$4)*(1+2*('01_予約入力'!$G$5:$G$404=J$4)+4*('01_予約入力'!$J$5:$J$404=J$4)+8*(('01_予約入力'!$Q$5:$Q$404="仮予約")+('01_予約入力'!$Q$5:$Q$404="調整中")))))</f>
        <v/>
      </c>
      <c r="AY17">
        <f>IF(OR($A17="",K$4=""),0,SUMPRODUCT(('01_予約入力'!$G$5:$G$404&lt;&gt;"")*('01_予約入力'!$Q$5:$Q$404&lt;&gt;"キャンセル")*('01_予約入力'!$B$5:$B$404=$A17)*('01_予約入力'!$G$5:$G$404&lt;=K$4)*('01_予約入力'!$J$5:$J$404&gt;=K$4)*(1+2*('01_予約入力'!$G$5:$G$404=K$4)+4*('01_予約入力'!$J$5:$J$404=K$4)+8*(('01_予約入力'!$Q$5:$Q$404="仮予約")+('01_予約入力'!$Q$5:$Q$404="調整中")))))</f>
        <v/>
      </c>
      <c r="AZ17">
        <f>IF(OR($A17="",L$4=""),0,SUMPRODUCT(('01_予約入力'!$G$5:$G$404&lt;&gt;"")*('01_予約入力'!$Q$5:$Q$404&lt;&gt;"キャンセル")*('01_予約入力'!$B$5:$B$404=$A17)*('01_予約入力'!$G$5:$G$404&lt;=L$4)*('01_予約入力'!$J$5:$J$404&gt;=L$4)*(1+2*('01_予約入力'!$G$5:$G$404=L$4)+4*('01_予約入力'!$J$5:$J$404=L$4)+8*(('01_予約入力'!$Q$5:$Q$404="仮予約")+('01_予約入力'!$Q$5:$Q$404="調整中")))))</f>
        <v/>
      </c>
      <c r="BA17">
        <f>IF(OR($A17="",M$4=""),0,SUMPRODUCT(('01_予約入力'!$G$5:$G$404&lt;&gt;"")*('01_予約入力'!$Q$5:$Q$404&lt;&gt;"キャンセル")*('01_予約入力'!$B$5:$B$404=$A17)*('01_予約入力'!$G$5:$G$404&lt;=M$4)*('01_予約入力'!$J$5:$J$404&gt;=M$4)*(1+2*('01_予約入力'!$G$5:$G$404=M$4)+4*('01_予約入力'!$J$5:$J$404=M$4)+8*(('01_予約入力'!$Q$5:$Q$404="仮予約")+('01_予約入力'!$Q$5:$Q$404="調整中")))))</f>
        <v/>
      </c>
      <c r="BB17">
        <f>IF(OR($A17="",N$4=""),0,SUMPRODUCT(('01_予約入力'!$G$5:$G$404&lt;&gt;"")*('01_予約入力'!$Q$5:$Q$404&lt;&gt;"キャンセル")*('01_予約入力'!$B$5:$B$404=$A17)*('01_予約入力'!$G$5:$G$404&lt;=N$4)*('01_予約入力'!$J$5:$J$404&gt;=N$4)*(1+2*('01_予約入力'!$G$5:$G$404=N$4)+4*('01_予約入力'!$J$5:$J$404=N$4)+8*(('01_予約入力'!$Q$5:$Q$404="仮予約")+('01_予約入力'!$Q$5:$Q$404="調整中")))))</f>
        <v/>
      </c>
      <c r="BC17">
        <f>IF(OR($A17="",O$4=""),0,SUMPRODUCT(('01_予約入力'!$G$5:$G$404&lt;&gt;"")*('01_予約入力'!$Q$5:$Q$404&lt;&gt;"キャンセル")*('01_予約入力'!$B$5:$B$404=$A17)*('01_予約入力'!$G$5:$G$404&lt;=O$4)*('01_予約入力'!$J$5:$J$404&gt;=O$4)*(1+2*('01_予約入力'!$G$5:$G$404=O$4)+4*('01_予約入力'!$J$5:$J$404=O$4)+8*(('01_予約入力'!$Q$5:$Q$404="仮予約")+('01_予約入力'!$Q$5:$Q$404="調整中")))))</f>
        <v/>
      </c>
      <c r="BD17">
        <f>IF(OR($A17="",P$4=""),0,SUMPRODUCT(('01_予約入力'!$G$5:$G$404&lt;&gt;"")*('01_予約入力'!$Q$5:$Q$404&lt;&gt;"キャンセル")*('01_予約入力'!$B$5:$B$404=$A17)*('01_予約入力'!$G$5:$G$404&lt;=P$4)*('01_予約入力'!$J$5:$J$404&gt;=P$4)*(1+2*('01_予約入力'!$G$5:$G$404=P$4)+4*('01_予約入力'!$J$5:$J$404=P$4)+8*(('01_予約入力'!$Q$5:$Q$404="仮予約")+('01_予約入力'!$Q$5:$Q$404="調整中")))))</f>
        <v/>
      </c>
      <c r="BE17">
        <f>IF(OR($A17="",Q$4=""),0,SUMPRODUCT(('01_予約入力'!$G$5:$G$404&lt;&gt;"")*('01_予約入力'!$Q$5:$Q$404&lt;&gt;"キャンセル")*('01_予約入力'!$B$5:$B$404=$A17)*('01_予約入力'!$G$5:$G$404&lt;=Q$4)*('01_予約入力'!$J$5:$J$404&gt;=Q$4)*(1+2*('01_予約入力'!$G$5:$G$404=Q$4)+4*('01_予約入力'!$J$5:$J$404=Q$4)+8*(('01_予約入力'!$Q$5:$Q$404="仮予約")+('01_予約入力'!$Q$5:$Q$404="調整中")))))</f>
        <v/>
      </c>
      <c r="BF17">
        <f>IF(OR($A17="",R$4=""),0,SUMPRODUCT(('01_予約入力'!$G$5:$G$404&lt;&gt;"")*('01_予約入力'!$Q$5:$Q$404&lt;&gt;"キャンセル")*('01_予約入力'!$B$5:$B$404=$A17)*('01_予約入力'!$G$5:$G$404&lt;=R$4)*('01_予約入力'!$J$5:$J$404&gt;=R$4)*(1+2*('01_予約入力'!$G$5:$G$404=R$4)+4*('01_予約入力'!$J$5:$J$404=R$4)+8*(('01_予約入力'!$Q$5:$Q$404="仮予約")+('01_予約入力'!$Q$5:$Q$404="調整中")))))</f>
        <v/>
      </c>
      <c r="BG17">
        <f>IF(OR($A17="",S$4=""),0,SUMPRODUCT(('01_予約入力'!$G$5:$G$404&lt;&gt;"")*('01_予約入力'!$Q$5:$Q$404&lt;&gt;"キャンセル")*('01_予約入力'!$B$5:$B$404=$A17)*('01_予約入力'!$G$5:$G$404&lt;=S$4)*('01_予約入力'!$J$5:$J$404&gt;=S$4)*(1+2*('01_予約入力'!$G$5:$G$404=S$4)+4*('01_予約入力'!$J$5:$J$404=S$4)+8*(('01_予約入力'!$Q$5:$Q$404="仮予約")+('01_予約入力'!$Q$5:$Q$404="調整中")))))</f>
        <v/>
      </c>
      <c r="BH17">
        <f>IF(OR($A17="",T$4=""),0,SUMPRODUCT(('01_予約入力'!$G$5:$G$404&lt;&gt;"")*('01_予約入力'!$Q$5:$Q$404&lt;&gt;"キャンセル")*('01_予約入力'!$B$5:$B$404=$A17)*('01_予約入力'!$G$5:$G$404&lt;=T$4)*('01_予約入力'!$J$5:$J$404&gt;=T$4)*(1+2*('01_予約入力'!$G$5:$G$404=T$4)+4*('01_予約入力'!$J$5:$J$404=T$4)+8*(('01_予約入力'!$Q$5:$Q$404="仮予約")+('01_予約入力'!$Q$5:$Q$404="調整中")))))</f>
        <v/>
      </c>
      <c r="BI17">
        <f>IF(OR($A17="",U$4=""),0,SUMPRODUCT(('01_予約入力'!$G$5:$G$404&lt;&gt;"")*('01_予約入力'!$Q$5:$Q$404&lt;&gt;"キャンセル")*('01_予約入力'!$B$5:$B$404=$A17)*('01_予約入力'!$G$5:$G$404&lt;=U$4)*('01_予約入力'!$J$5:$J$404&gt;=U$4)*(1+2*('01_予約入力'!$G$5:$G$404=U$4)+4*('01_予約入力'!$J$5:$J$404=U$4)+8*(('01_予約入力'!$Q$5:$Q$404="仮予約")+('01_予約入力'!$Q$5:$Q$404="調整中")))))</f>
        <v/>
      </c>
      <c r="BJ17">
        <f>IF(OR($A17="",V$4=""),0,SUMPRODUCT(('01_予約入力'!$G$5:$G$404&lt;&gt;"")*('01_予約入力'!$Q$5:$Q$404&lt;&gt;"キャンセル")*('01_予約入力'!$B$5:$B$404=$A17)*('01_予約入力'!$G$5:$G$404&lt;=V$4)*('01_予約入力'!$J$5:$J$404&gt;=V$4)*(1+2*('01_予約入力'!$G$5:$G$404=V$4)+4*('01_予約入力'!$J$5:$J$404=V$4)+8*(('01_予約入力'!$Q$5:$Q$404="仮予約")+('01_予約入力'!$Q$5:$Q$404="調整中")))))</f>
        <v/>
      </c>
      <c r="BK17">
        <f>IF(OR($A17="",W$4=""),0,SUMPRODUCT(('01_予約入力'!$G$5:$G$404&lt;&gt;"")*('01_予約入力'!$Q$5:$Q$404&lt;&gt;"キャンセル")*('01_予約入力'!$B$5:$B$404=$A17)*('01_予約入力'!$G$5:$G$404&lt;=W$4)*('01_予約入力'!$J$5:$J$404&gt;=W$4)*(1+2*('01_予約入力'!$G$5:$G$404=W$4)+4*('01_予約入力'!$J$5:$J$404=W$4)+8*(('01_予約入力'!$Q$5:$Q$404="仮予約")+('01_予約入力'!$Q$5:$Q$404="調整中")))))</f>
        <v/>
      </c>
      <c r="BL17">
        <f>IF(OR($A17="",X$4=""),0,SUMPRODUCT(('01_予約入力'!$G$5:$G$404&lt;&gt;"")*('01_予約入力'!$Q$5:$Q$404&lt;&gt;"キャンセル")*('01_予約入力'!$B$5:$B$404=$A17)*('01_予約入力'!$G$5:$G$404&lt;=X$4)*('01_予約入力'!$J$5:$J$404&gt;=X$4)*(1+2*('01_予約入力'!$G$5:$G$404=X$4)+4*('01_予約入力'!$J$5:$J$404=X$4)+8*(('01_予約入力'!$Q$5:$Q$404="仮予約")+('01_予約入力'!$Q$5:$Q$404="調整中")))))</f>
        <v/>
      </c>
      <c r="BM17">
        <f>IF(OR($A17="",Y$4=""),0,SUMPRODUCT(('01_予約入力'!$G$5:$G$404&lt;&gt;"")*('01_予約入力'!$Q$5:$Q$404&lt;&gt;"キャンセル")*('01_予約入力'!$B$5:$B$404=$A17)*('01_予約入力'!$G$5:$G$404&lt;=Y$4)*('01_予約入力'!$J$5:$J$404&gt;=Y$4)*(1+2*('01_予約入力'!$G$5:$G$404=Y$4)+4*('01_予約入力'!$J$5:$J$404=Y$4)+8*(('01_予約入力'!$Q$5:$Q$404="仮予約")+('01_予約入力'!$Q$5:$Q$404="調整中")))))</f>
        <v/>
      </c>
      <c r="BN17">
        <f>IF(OR($A17="",Z$4=""),0,SUMPRODUCT(('01_予約入力'!$G$5:$G$404&lt;&gt;"")*('01_予約入力'!$Q$5:$Q$404&lt;&gt;"キャンセル")*('01_予約入力'!$B$5:$B$404=$A17)*('01_予約入力'!$G$5:$G$404&lt;=Z$4)*('01_予約入力'!$J$5:$J$404&gt;=Z$4)*(1+2*('01_予約入力'!$G$5:$G$404=Z$4)+4*('01_予約入力'!$J$5:$J$404=Z$4)+8*(('01_予約入力'!$Q$5:$Q$404="仮予約")+('01_予約入力'!$Q$5:$Q$404="調整中")))))</f>
        <v/>
      </c>
      <c r="BO17">
        <f>IF(OR($A17="",AA$4=""),0,SUMPRODUCT(('01_予約入力'!$G$5:$G$404&lt;&gt;"")*('01_予約入力'!$Q$5:$Q$404&lt;&gt;"キャンセル")*('01_予約入力'!$B$5:$B$404=$A17)*('01_予約入力'!$G$5:$G$404&lt;=AA$4)*('01_予約入力'!$J$5:$J$404&gt;=AA$4)*(1+2*('01_予約入力'!$G$5:$G$404=AA$4)+4*('01_予約入力'!$J$5:$J$404=AA$4)+8*(('01_予約入力'!$Q$5:$Q$404="仮予約")+('01_予約入力'!$Q$5:$Q$404="調整中")))))</f>
        <v/>
      </c>
      <c r="BP17">
        <f>IF(OR($A17="",AB$4=""),0,SUMPRODUCT(('01_予約入力'!$G$5:$G$404&lt;&gt;"")*('01_予約入力'!$Q$5:$Q$404&lt;&gt;"キャンセル")*('01_予約入力'!$B$5:$B$404=$A17)*('01_予約入力'!$G$5:$G$404&lt;=AB$4)*('01_予約入力'!$J$5:$J$404&gt;=AB$4)*(1+2*('01_予約入力'!$G$5:$G$404=AB$4)+4*('01_予約入力'!$J$5:$J$404=AB$4)+8*(('01_予約入力'!$Q$5:$Q$404="仮予約")+('01_予約入力'!$Q$5:$Q$404="調整中")))))</f>
        <v/>
      </c>
      <c r="BQ17">
        <f>IF(OR($A17="",AC$4=""),0,SUMPRODUCT(('01_予約入力'!$G$5:$G$404&lt;&gt;"")*('01_予約入力'!$Q$5:$Q$404&lt;&gt;"キャンセル")*('01_予約入力'!$B$5:$B$404=$A17)*('01_予約入力'!$G$5:$G$404&lt;=AC$4)*('01_予約入力'!$J$5:$J$404&gt;=AC$4)*(1+2*('01_予約入力'!$G$5:$G$404=AC$4)+4*('01_予約入力'!$J$5:$J$404=AC$4)+8*(('01_予約入力'!$Q$5:$Q$404="仮予約")+('01_予約入力'!$Q$5:$Q$404="調整中")))))</f>
        <v/>
      </c>
      <c r="BR17">
        <f>IF(OR($A17="",AD$4=""),0,SUMPRODUCT(('01_予約入力'!$G$5:$G$404&lt;&gt;"")*('01_予約入力'!$Q$5:$Q$404&lt;&gt;"キャンセル")*('01_予約入力'!$B$5:$B$404=$A17)*('01_予約入力'!$G$5:$G$404&lt;=AD$4)*('01_予約入力'!$J$5:$J$404&gt;=AD$4)*(1+2*('01_予約入力'!$G$5:$G$404=AD$4)+4*('01_予約入力'!$J$5:$J$404=AD$4)+8*(('01_予約入力'!$Q$5:$Q$404="仮予約")+('01_予約入力'!$Q$5:$Q$404="調整中")))))</f>
        <v/>
      </c>
      <c r="BS17">
        <f>IF(OR($A17="",AE$4=""),0,SUMPRODUCT(('01_予約入力'!$G$5:$G$404&lt;&gt;"")*('01_予約入力'!$Q$5:$Q$404&lt;&gt;"キャンセル")*('01_予約入力'!$B$5:$B$404=$A17)*('01_予約入力'!$G$5:$G$404&lt;=AE$4)*('01_予約入力'!$J$5:$J$404&gt;=AE$4)*(1+2*('01_予約入力'!$G$5:$G$404=AE$4)+4*('01_予約入力'!$J$5:$J$404=AE$4)+8*(('01_予約入力'!$Q$5:$Q$404="仮予約")+('01_予約入力'!$Q$5:$Q$404="調整中")))))</f>
        <v/>
      </c>
      <c r="BT17">
        <f>IF(OR($A17="",AF$4=""),0,SUMPRODUCT(('01_予約入力'!$G$5:$G$404&lt;&gt;"")*('01_予約入力'!$Q$5:$Q$404&lt;&gt;"キャンセル")*('01_予約入力'!$B$5:$B$404=$A17)*('01_予約入力'!$G$5:$G$404&lt;=AF$4)*('01_予約入力'!$J$5:$J$404&gt;=AF$4)*(1+2*('01_予約入力'!$G$5:$G$404=AF$4)+4*('01_予約入力'!$J$5:$J$404=AF$4)+8*(('01_予約入力'!$Q$5:$Q$404="仮予約")+('01_予約入力'!$Q$5:$Q$404="調整中")))))</f>
        <v/>
      </c>
    </row>
    <row r="18" ht="19" customHeight="1">
      <c r="A18" s="43">
        <f>IF(COUNTA('利用者マスタ'!$A$4:$A$60)&gt;=12,INDEX('利用者マスタ'!$A$4:$A$60,12),"")</f>
        <v/>
      </c>
      <c r="B18" s="44">
        <f>IF($AP18=0,"",IF(MOD($AP18,8)=7,IF($AP18&gt;=8,"◇","◆"),IF(MOD($AP18,8)=3,IF($AP18&gt;=8,"▷","▶"),IF(MOD($AP18,8)=5,IF($AP18&gt;=8,"◁","◀"),IF($AP18&gt;=8,"□","■")))))</f>
        <v/>
      </c>
      <c r="C18" s="44">
        <f>IF($AQ18=0,"",IF(MOD($AQ18,8)=7,IF($AQ18&gt;=8,"◇","◆"),IF(MOD($AQ18,8)=3,IF($AQ18&gt;=8,"▷","▶"),IF(MOD($AQ18,8)=5,IF($AQ18&gt;=8,"◁","◀"),IF($AQ18&gt;=8,"□","■")))))</f>
        <v/>
      </c>
      <c r="D18" s="44">
        <f>IF($AR18=0,"",IF(MOD($AR18,8)=7,IF($AR18&gt;=8,"◇","◆"),IF(MOD($AR18,8)=3,IF($AR18&gt;=8,"▷","▶"),IF(MOD($AR18,8)=5,IF($AR18&gt;=8,"◁","◀"),IF($AR18&gt;=8,"□","■")))))</f>
        <v/>
      </c>
      <c r="E18" s="44">
        <f>IF($AS18=0,"",IF(MOD($AS18,8)=7,IF($AS18&gt;=8,"◇","◆"),IF(MOD($AS18,8)=3,IF($AS18&gt;=8,"▷","▶"),IF(MOD($AS18,8)=5,IF($AS18&gt;=8,"◁","◀"),IF($AS18&gt;=8,"□","■")))))</f>
        <v/>
      </c>
      <c r="F18" s="44">
        <f>IF($AT18=0,"",IF(MOD($AT18,8)=7,IF($AT18&gt;=8,"◇","◆"),IF(MOD($AT18,8)=3,IF($AT18&gt;=8,"▷","▶"),IF(MOD($AT18,8)=5,IF($AT18&gt;=8,"◁","◀"),IF($AT18&gt;=8,"□","■")))))</f>
        <v/>
      </c>
      <c r="G18" s="44">
        <f>IF($AU18=0,"",IF(MOD($AU18,8)=7,IF($AU18&gt;=8,"◇","◆"),IF(MOD($AU18,8)=3,IF($AU18&gt;=8,"▷","▶"),IF(MOD($AU18,8)=5,IF($AU18&gt;=8,"◁","◀"),IF($AU18&gt;=8,"□","■")))))</f>
        <v/>
      </c>
      <c r="H18" s="44">
        <f>IF($AV18=0,"",IF(MOD($AV18,8)=7,IF($AV18&gt;=8,"◇","◆"),IF(MOD($AV18,8)=3,IF($AV18&gt;=8,"▷","▶"),IF(MOD($AV18,8)=5,IF($AV18&gt;=8,"◁","◀"),IF($AV18&gt;=8,"□","■")))))</f>
        <v/>
      </c>
      <c r="I18" s="44">
        <f>IF($AW18=0,"",IF(MOD($AW18,8)=7,IF($AW18&gt;=8,"◇","◆"),IF(MOD($AW18,8)=3,IF($AW18&gt;=8,"▷","▶"),IF(MOD($AW18,8)=5,IF($AW18&gt;=8,"◁","◀"),IF($AW18&gt;=8,"□","■")))))</f>
        <v/>
      </c>
      <c r="J18" s="44">
        <f>IF($AX18=0,"",IF(MOD($AX18,8)=7,IF($AX18&gt;=8,"◇","◆"),IF(MOD($AX18,8)=3,IF($AX18&gt;=8,"▷","▶"),IF(MOD($AX18,8)=5,IF($AX18&gt;=8,"◁","◀"),IF($AX18&gt;=8,"□","■")))))</f>
        <v/>
      </c>
      <c r="K18" s="44">
        <f>IF($AY18=0,"",IF(MOD($AY18,8)=7,IF($AY18&gt;=8,"◇","◆"),IF(MOD($AY18,8)=3,IF($AY18&gt;=8,"▷","▶"),IF(MOD($AY18,8)=5,IF($AY18&gt;=8,"◁","◀"),IF($AY18&gt;=8,"□","■")))))</f>
        <v/>
      </c>
      <c r="L18" s="44">
        <f>IF($AZ18=0,"",IF(MOD($AZ18,8)=7,IF($AZ18&gt;=8,"◇","◆"),IF(MOD($AZ18,8)=3,IF($AZ18&gt;=8,"▷","▶"),IF(MOD($AZ18,8)=5,IF($AZ18&gt;=8,"◁","◀"),IF($AZ18&gt;=8,"□","■")))))</f>
        <v/>
      </c>
      <c r="M18" s="44">
        <f>IF($BA18=0,"",IF(MOD($BA18,8)=7,IF($BA18&gt;=8,"◇","◆"),IF(MOD($BA18,8)=3,IF($BA18&gt;=8,"▷","▶"),IF(MOD($BA18,8)=5,IF($BA18&gt;=8,"◁","◀"),IF($BA18&gt;=8,"□","■")))))</f>
        <v/>
      </c>
      <c r="N18" s="44">
        <f>IF($BB18=0,"",IF(MOD($BB18,8)=7,IF($BB18&gt;=8,"◇","◆"),IF(MOD($BB18,8)=3,IF($BB18&gt;=8,"▷","▶"),IF(MOD($BB18,8)=5,IF($BB18&gt;=8,"◁","◀"),IF($BB18&gt;=8,"□","■")))))</f>
        <v/>
      </c>
      <c r="O18" s="44">
        <f>IF($BC18=0,"",IF(MOD($BC18,8)=7,IF($BC18&gt;=8,"◇","◆"),IF(MOD($BC18,8)=3,IF($BC18&gt;=8,"▷","▶"),IF(MOD($BC18,8)=5,IF($BC18&gt;=8,"◁","◀"),IF($BC18&gt;=8,"□","■")))))</f>
        <v/>
      </c>
      <c r="P18" s="44">
        <f>IF($BD18=0,"",IF(MOD($BD18,8)=7,IF($BD18&gt;=8,"◇","◆"),IF(MOD($BD18,8)=3,IF($BD18&gt;=8,"▷","▶"),IF(MOD($BD18,8)=5,IF($BD18&gt;=8,"◁","◀"),IF($BD18&gt;=8,"□","■")))))</f>
        <v/>
      </c>
      <c r="Q18" s="44">
        <f>IF($BE18=0,"",IF(MOD($BE18,8)=7,IF($BE18&gt;=8,"◇","◆"),IF(MOD($BE18,8)=3,IF($BE18&gt;=8,"▷","▶"),IF(MOD($BE18,8)=5,IF($BE18&gt;=8,"◁","◀"),IF($BE18&gt;=8,"□","■")))))</f>
        <v/>
      </c>
      <c r="R18" s="44">
        <f>IF($BF18=0,"",IF(MOD($BF18,8)=7,IF($BF18&gt;=8,"◇","◆"),IF(MOD($BF18,8)=3,IF($BF18&gt;=8,"▷","▶"),IF(MOD($BF18,8)=5,IF($BF18&gt;=8,"◁","◀"),IF($BF18&gt;=8,"□","■")))))</f>
        <v/>
      </c>
      <c r="S18" s="44">
        <f>IF($BG18=0,"",IF(MOD($BG18,8)=7,IF($BG18&gt;=8,"◇","◆"),IF(MOD($BG18,8)=3,IF($BG18&gt;=8,"▷","▶"),IF(MOD($BG18,8)=5,IF($BG18&gt;=8,"◁","◀"),IF($BG18&gt;=8,"□","■")))))</f>
        <v/>
      </c>
      <c r="T18" s="44">
        <f>IF($BH18=0,"",IF(MOD($BH18,8)=7,IF($BH18&gt;=8,"◇","◆"),IF(MOD($BH18,8)=3,IF($BH18&gt;=8,"▷","▶"),IF(MOD($BH18,8)=5,IF($BH18&gt;=8,"◁","◀"),IF($BH18&gt;=8,"□","■")))))</f>
        <v/>
      </c>
      <c r="U18" s="44">
        <f>IF($BI18=0,"",IF(MOD($BI18,8)=7,IF($BI18&gt;=8,"◇","◆"),IF(MOD($BI18,8)=3,IF($BI18&gt;=8,"▷","▶"),IF(MOD($BI18,8)=5,IF($BI18&gt;=8,"◁","◀"),IF($BI18&gt;=8,"□","■")))))</f>
        <v/>
      </c>
      <c r="V18" s="44">
        <f>IF($BJ18=0,"",IF(MOD($BJ18,8)=7,IF($BJ18&gt;=8,"◇","◆"),IF(MOD($BJ18,8)=3,IF($BJ18&gt;=8,"▷","▶"),IF(MOD($BJ18,8)=5,IF($BJ18&gt;=8,"◁","◀"),IF($BJ18&gt;=8,"□","■")))))</f>
        <v/>
      </c>
      <c r="W18" s="44">
        <f>IF($BK18=0,"",IF(MOD($BK18,8)=7,IF($BK18&gt;=8,"◇","◆"),IF(MOD($BK18,8)=3,IF($BK18&gt;=8,"▷","▶"),IF(MOD($BK18,8)=5,IF($BK18&gt;=8,"◁","◀"),IF($BK18&gt;=8,"□","■")))))</f>
        <v/>
      </c>
      <c r="X18" s="44">
        <f>IF($BL18=0,"",IF(MOD($BL18,8)=7,IF($BL18&gt;=8,"◇","◆"),IF(MOD($BL18,8)=3,IF($BL18&gt;=8,"▷","▶"),IF(MOD($BL18,8)=5,IF($BL18&gt;=8,"◁","◀"),IF($BL18&gt;=8,"□","■")))))</f>
        <v/>
      </c>
      <c r="Y18" s="44">
        <f>IF($BM18=0,"",IF(MOD($BM18,8)=7,IF($BM18&gt;=8,"◇","◆"),IF(MOD($BM18,8)=3,IF($BM18&gt;=8,"▷","▶"),IF(MOD($BM18,8)=5,IF($BM18&gt;=8,"◁","◀"),IF($BM18&gt;=8,"□","■")))))</f>
        <v/>
      </c>
      <c r="Z18" s="44">
        <f>IF($BN18=0,"",IF(MOD($BN18,8)=7,IF($BN18&gt;=8,"◇","◆"),IF(MOD($BN18,8)=3,IF($BN18&gt;=8,"▷","▶"),IF(MOD($BN18,8)=5,IF($BN18&gt;=8,"◁","◀"),IF($BN18&gt;=8,"□","■")))))</f>
        <v/>
      </c>
      <c r="AA18" s="44">
        <f>IF($BO18=0,"",IF(MOD($BO18,8)=7,IF($BO18&gt;=8,"◇","◆"),IF(MOD($BO18,8)=3,IF($BO18&gt;=8,"▷","▶"),IF(MOD($BO18,8)=5,IF($BO18&gt;=8,"◁","◀"),IF($BO18&gt;=8,"□","■")))))</f>
        <v/>
      </c>
      <c r="AB18" s="44">
        <f>IF($BP18=0,"",IF(MOD($BP18,8)=7,IF($BP18&gt;=8,"◇","◆"),IF(MOD($BP18,8)=3,IF($BP18&gt;=8,"▷","▶"),IF(MOD($BP18,8)=5,IF($BP18&gt;=8,"◁","◀"),IF($BP18&gt;=8,"□","■")))))</f>
        <v/>
      </c>
      <c r="AC18" s="44">
        <f>IF($BQ18=0,"",IF(MOD($BQ18,8)=7,IF($BQ18&gt;=8,"◇","◆"),IF(MOD($BQ18,8)=3,IF($BQ18&gt;=8,"▷","▶"),IF(MOD($BQ18,8)=5,IF($BQ18&gt;=8,"◁","◀"),IF($BQ18&gt;=8,"□","■")))))</f>
        <v/>
      </c>
      <c r="AD18" s="44">
        <f>IF($BR18=0,"",IF(MOD($BR18,8)=7,IF($BR18&gt;=8,"◇","◆"),IF(MOD($BR18,8)=3,IF($BR18&gt;=8,"▷","▶"),IF(MOD($BR18,8)=5,IF($BR18&gt;=8,"◁","◀"),IF($BR18&gt;=8,"□","■")))))</f>
        <v/>
      </c>
      <c r="AE18" s="44">
        <f>IF($BS18=0,"",IF(MOD($BS18,8)=7,IF($BS18&gt;=8,"◇","◆"),IF(MOD($BS18,8)=3,IF($BS18&gt;=8,"▷","▶"),IF(MOD($BS18,8)=5,IF($BS18&gt;=8,"◁","◀"),IF($BS18&gt;=8,"□","■")))))</f>
        <v/>
      </c>
      <c r="AF18" s="44">
        <f>IF($BT18=0,"",IF(MOD($BT18,8)=7,IF($BT18&gt;=8,"◇","◆"),IF(MOD($BT18,8)=3,IF($BT18&gt;=8,"▷","▶"),IF(MOD($BT18,8)=5,IF($BT18&gt;=8,"◁","◀"),IF($BT18&gt;=8,"□","■")))))</f>
        <v/>
      </c>
      <c r="AG18" s="45">
        <f>IF($A18="","",COUNTIF($AP18:$BT18,"&gt;0"))</f>
        <v/>
      </c>
      <c r="AP18">
        <f>IF(OR($A18="",B$4=""),0,SUMPRODUCT(('01_予約入力'!$G$5:$G$404&lt;&gt;"")*('01_予約入力'!$Q$5:$Q$404&lt;&gt;"キャンセル")*('01_予約入力'!$B$5:$B$404=$A18)*('01_予約入力'!$G$5:$G$404&lt;=B$4)*('01_予約入力'!$J$5:$J$404&gt;=B$4)*(1+2*('01_予約入力'!$G$5:$G$404=B$4)+4*('01_予約入力'!$J$5:$J$404=B$4)+8*(('01_予約入力'!$Q$5:$Q$404="仮予約")+('01_予約入力'!$Q$5:$Q$404="調整中")))))</f>
        <v/>
      </c>
      <c r="AQ18">
        <f>IF(OR($A18="",C$4=""),0,SUMPRODUCT(('01_予約入力'!$G$5:$G$404&lt;&gt;"")*('01_予約入力'!$Q$5:$Q$404&lt;&gt;"キャンセル")*('01_予約入力'!$B$5:$B$404=$A18)*('01_予約入力'!$G$5:$G$404&lt;=C$4)*('01_予約入力'!$J$5:$J$404&gt;=C$4)*(1+2*('01_予約入力'!$G$5:$G$404=C$4)+4*('01_予約入力'!$J$5:$J$404=C$4)+8*(('01_予約入力'!$Q$5:$Q$404="仮予約")+('01_予約入力'!$Q$5:$Q$404="調整中")))))</f>
        <v/>
      </c>
      <c r="AR18">
        <f>IF(OR($A18="",D$4=""),0,SUMPRODUCT(('01_予約入力'!$G$5:$G$404&lt;&gt;"")*('01_予約入力'!$Q$5:$Q$404&lt;&gt;"キャンセル")*('01_予約入力'!$B$5:$B$404=$A18)*('01_予約入力'!$G$5:$G$404&lt;=D$4)*('01_予約入力'!$J$5:$J$404&gt;=D$4)*(1+2*('01_予約入力'!$G$5:$G$404=D$4)+4*('01_予約入力'!$J$5:$J$404=D$4)+8*(('01_予約入力'!$Q$5:$Q$404="仮予約")+('01_予約入力'!$Q$5:$Q$404="調整中")))))</f>
        <v/>
      </c>
      <c r="AS18">
        <f>IF(OR($A18="",E$4=""),0,SUMPRODUCT(('01_予約入力'!$G$5:$G$404&lt;&gt;"")*('01_予約入力'!$Q$5:$Q$404&lt;&gt;"キャンセル")*('01_予約入力'!$B$5:$B$404=$A18)*('01_予約入力'!$G$5:$G$404&lt;=E$4)*('01_予約入力'!$J$5:$J$404&gt;=E$4)*(1+2*('01_予約入力'!$G$5:$G$404=E$4)+4*('01_予約入力'!$J$5:$J$404=E$4)+8*(('01_予約入力'!$Q$5:$Q$404="仮予約")+('01_予約入力'!$Q$5:$Q$404="調整中")))))</f>
        <v/>
      </c>
      <c r="AT18">
        <f>IF(OR($A18="",F$4=""),0,SUMPRODUCT(('01_予約入力'!$G$5:$G$404&lt;&gt;"")*('01_予約入力'!$Q$5:$Q$404&lt;&gt;"キャンセル")*('01_予約入力'!$B$5:$B$404=$A18)*('01_予約入力'!$G$5:$G$404&lt;=F$4)*('01_予約入力'!$J$5:$J$404&gt;=F$4)*(1+2*('01_予約入力'!$G$5:$G$404=F$4)+4*('01_予約入力'!$J$5:$J$404=F$4)+8*(('01_予約入力'!$Q$5:$Q$404="仮予約")+('01_予約入力'!$Q$5:$Q$404="調整中")))))</f>
        <v/>
      </c>
      <c r="AU18">
        <f>IF(OR($A18="",G$4=""),0,SUMPRODUCT(('01_予約入力'!$G$5:$G$404&lt;&gt;"")*('01_予約入力'!$Q$5:$Q$404&lt;&gt;"キャンセル")*('01_予約入力'!$B$5:$B$404=$A18)*('01_予約入力'!$G$5:$G$404&lt;=G$4)*('01_予約入力'!$J$5:$J$404&gt;=G$4)*(1+2*('01_予約入力'!$G$5:$G$404=G$4)+4*('01_予約入力'!$J$5:$J$404=G$4)+8*(('01_予約入力'!$Q$5:$Q$404="仮予約")+('01_予約入力'!$Q$5:$Q$404="調整中")))))</f>
        <v/>
      </c>
      <c r="AV18">
        <f>IF(OR($A18="",H$4=""),0,SUMPRODUCT(('01_予約入力'!$G$5:$G$404&lt;&gt;"")*('01_予約入力'!$Q$5:$Q$404&lt;&gt;"キャンセル")*('01_予約入力'!$B$5:$B$404=$A18)*('01_予約入力'!$G$5:$G$404&lt;=H$4)*('01_予約入力'!$J$5:$J$404&gt;=H$4)*(1+2*('01_予約入力'!$G$5:$G$404=H$4)+4*('01_予約入力'!$J$5:$J$404=H$4)+8*(('01_予約入力'!$Q$5:$Q$404="仮予約")+('01_予約入力'!$Q$5:$Q$404="調整中")))))</f>
        <v/>
      </c>
      <c r="AW18">
        <f>IF(OR($A18="",I$4=""),0,SUMPRODUCT(('01_予約入力'!$G$5:$G$404&lt;&gt;"")*('01_予約入力'!$Q$5:$Q$404&lt;&gt;"キャンセル")*('01_予約入力'!$B$5:$B$404=$A18)*('01_予約入力'!$G$5:$G$404&lt;=I$4)*('01_予約入力'!$J$5:$J$404&gt;=I$4)*(1+2*('01_予約入力'!$G$5:$G$404=I$4)+4*('01_予約入力'!$J$5:$J$404=I$4)+8*(('01_予約入力'!$Q$5:$Q$404="仮予約")+('01_予約入力'!$Q$5:$Q$404="調整中")))))</f>
        <v/>
      </c>
      <c r="AX18">
        <f>IF(OR($A18="",J$4=""),0,SUMPRODUCT(('01_予約入力'!$G$5:$G$404&lt;&gt;"")*('01_予約入力'!$Q$5:$Q$404&lt;&gt;"キャンセル")*('01_予約入力'!$B$5:$B$404=$A18)*('01_予約入力'!$G$5:$G$404&lt;=J$4)*('01_予約入力'!$J$5:$J$404&gt;=J$4)*(1+2*('01_予約入力'!$G$5:$G$404=J$4)+4*('01_予約入力'!$J$5:$J$404=J$4)+8*(('01_予約入力'!$Q$5:$Q$404="仮予約")+('01_予約入力'!$Q$5:$Q$404="調整中")))))</f>
        <v/>
      </c>
      <c r="AY18">
        <f>IF(OR($A18="",K$4=""),0,SUMPRODUCT(('01_予約入力'!$G$5:$G$404&lt;&gt;"")*('01_予約入力'!$Q$5:$Q$404&lt;&gt;"キャンセル")*('01_予約入力'!$B$5:$B$404=$A18)*('01_予約入力'!$G$5:$G$404&lt;=K$4)*('01_予約入力'!$J$5:$J$404&gt;=K$4)*(1+2*('01_予約入力'!$G$5:$G$404=K$4)+4*('01_予約入力'!$J$5:$J$404=K$4)+8*(('01_予約入力'!$Q$5:$Q$404="仮予約")+('01_予約入力'!$Q$5:$Q$404="調整中")))))</f>
        <v/>
      </c>
      <c r="AZ18">
        <f>IF(OR($A18="",L$4=""),0,SUMPRODUCT(('01_予約入力'!$G$5:$G$404&lt;&gt;"")*('01_予約入力'!$Q$5:$Q$404&lt;&gt;"キャンセル")*('01_予約入力'!$B$5:$B$404=$A18)*('01_予約入力'!$G$5:$G$404&lt;=L$4)*('01_予約入力'!$J$5:$J$404&gt;=L$4)*(1+2*('01_予約入力'!$G$5:$G$404=L$4)+4*('01_予約入力'!$J$5:$J$404=L$4)+8*(('01_予約入力'!$Q$5:$Q$404="仮予約")+('01_予約入力'!$Q$5:$Q$404="調整中")))))</f>
        <v/>
      </c>
      <c r="BA18">
        <f>IF(OR($A18="",M$4=""),0,SUMPRODUCT(('01_予約入力'!$G$5:$G$404&lt;&gt;"")*('01_予約入力'!$Q$5:$Q$404&lt;&gt;"キャンセル")*('01_予約入力'!$B$5:$B$404=$A18)*('01_予約入力'!$G$5:$G$404&lt;=M$4)*('01_予約入力'!$J$5:$J$404&gt;=M$4)*(1+2*('01_予約入力'!$G$5:$G$404=M$4)+4*('01_予約入力'!$J$5:$J$404=M$4)+8*(('01_予約入力'!$Q$5:$Q$404="仮予約")+('01_予約入力'!$Q$5:$Q$404="調整中")))))</f>
        <v/>
      </c>
      <c r="BB18">
        <f>IF(OR($A18="",N$4=""),0,SUMPRODUCT(('01_予約入力'!$G$5:$G$404&lt;&gt;"")*('01_予約入力'!$Q$5:$Q$404&lt;&gt;"キャンセル")*('01_予約入力'!$B$5:$B$404=$A18)*('01_予約入力'!$G$5:$G$404&lt;=N$4)*('01_予約入力'!$J$5:$J$404&gt;=N$4)*(1+2*('01_予約入力'!$G$5:$G$404=N$4)+4*('01_予約入力'!$J$5:$J$404=N$4)+8*(('01_予約入力'!$Q$5:$Q$404="仮予約")+('01_予約入力'!$Q$5:$Q$404="調整中")))))</f>
        <v/>
      </c>
      <c r="BC18">
        <f>IF(OR($A18="",O$4=""),0,SUMPRODUCT(('01_予約入力'!$G$5:$G$404&lt;&gt;"")*('01_予約入力'!$Q$5:$Q$404&lt;&gt;"キャンセル")*('01_予約入力'!$B$5:$B$404=$A18)*('01_予約入力'!$G$5:$G$404&lt;=O$4)*('01_予約入力'!$J$5:$J$404&gt;=O$4)*(1+2*('01_予約入力'!$G$5:$G$404=O$4)+4*('01_予約入力'!$J$5:$J$404=O$4)+8*(('01_予約入力'!$Q$5:$Q$404="仮予約")+('01_予約入力'!$Q$5:$Q$404="調整中")))))</f>
        <v/>
      </c>
      <c r="BD18">
        <f>IF(OR($A18="",P$4=""),0,SUMPRODUCT(('01_予約入力'!$G$5:$G$404&lt;&gt;"")*('01_予約入力'!$Q$5:$Q$404&lt;&gt;"キャンセル")*('01_予約入力'!$B$5:$B$404=$A18)*('01_予約入力'!$G$5:$G$404&lt;=P$4)*('01_予約入力'!$J$5:$J$404&gt;=P$4)*(1+2*('01_予約入力'!$G$5:$G$404=P$4)+4*('01_予約入力'!$J$5:$J$404=P$4)+8*(('01_予約入力'!$Q$5:$Q$404="仮予約")+('01_予約入力'!$Q$5:$Q$404="調整中")))))</f>
        <v/>
      </c>
      <c r="BE18">
        <f>IF(OR($A18="",Q$4=""),0,SUMPRODUCT(('01_予約入力'!$G$5:$G$404&lt;&gt;"")*('01_予約入力'!$Q$5:$Q$404&lt;&gt;"キャンセル")*('01_予約入力'!$B$5:$B$404=$A18)*('01_予約入力'!$G$5:$G$404&lt;=Q$4)*('01_予約入力'!$J$5:$J$404&gt;=Q$4)*(1+2*('01_予約入力'!$G$5:$G$404=Q$4)+4*('01_予約入力'!$J$5:$J$404=Q$4)+8*(('01_予約入力'!$Q$5:$Q$404="仮予約")+('01_予約入力'!$Q$5:$Q$404="調整中")))))</f>
        <v/>
      </c>
      <c r="BF18">
        <f>IF(OR($A18="",R$4=""),0,SUMPRODUCT(('01_予約入力'!$G$5:$G$404&lt;&gt;"")*('01_予約入力'!$Q$5:$Q$404&lt;&gt;"キャンセル")*('01_予約入力'!$B$5:$B$404=$A18)*('01_予約入力'!$G$5:$G$404&lt;=R$4)*('01_予約入力'!$J$5:$J$404&gt;=R$4)*(1+2*('01_予約入力'!$G$5:$G$404=R$4)+4*('01_予約入力'!$J$5:$J$404=R$4)+8*(('01_予約入力'!$Q$5:$Q$404="仮予約")+('01_予約入力'!$Q$5:$Q$404="調整中")))))</f>
        <v/>
      </c>
      <c r="BG18">
        <f>IF(OR($A18="",S$4=""),0,SUMPRODUCT(('01_予約入力'!$G$5:$G$404&lt;&gt;"")*('01_予約入力'!$Q$5:$Q$404&lt;&gt;"キャンセル")*('01_予約入力'!$B$5:$B$404=$A18)*('01_予約入力'!$G$5:$G$404&lt;=S$4)*('01_予約入力'!$J$5:$J$404&gt;=S$4)*(1+2*('01_予約入力'!$G$5:$G$404=S$4)+4*('01_予約入力'!$J$5:$J$404=S$4)+8*(('01_予約入力'!$Q$5:$Q$404="仮予約")+('01_予約入力'!$Q$5:$Q$404="調整中")))))</f>
        <v/>
      </c>
      <c r="BH18">
        <f>IF(OR($A18="",T$4=""),0,SUMPRODUCT(('01_予約入力'!$G$5:$G$404&lt;&gt;"")*('01_予約入力'!$Q$5:$Q$404&lt;&gt;"キャンセル")*('01_予約入力'!$B$5:$B$404=$A18)*('01_予約入力'!$G$5:$G$404&lt;=T$4)*('01_予約入力'!$J$5:$J$404&gt;=T$4)*(1+2*('01_予約入力'!$G$5:$G$404=T$4)+4*('01_予約入力'!$J$5:$J$404=T$4)+8*(('01_予約入力'!$Q$5:$Q$404="仮予約")+('01_予約入力'!$Q$5:$Q$404="調整中")))))</f>
        <v/>
      </c>
      <c r="BI18">
        <f>IF(OR($A18="",U$4=""),0,SUMPRODUCT(('01_予約入力'!$G$5:$G$404&lt;&gt;"")*('01_予約入力'!$Q$5:$Q$404&lt;&gt;"キャンセル")*('01_予約入力'!$B$5:$B$404=$A18)*('01_予約入力'!$G$5:$G$404&lt;=U$4)*('01_予約入力'!$J$5:$J$404&gt;=U$4)*(1+2*('01_予約入力'!$G$5:$G$404=U$4)+4*('01_予約入力'!$J$5:$J$404=U$4)+8*(('01_予約入力'!$Q$5:$Q$404="仮予約")+('01_予約入力'!$Q$5:$Q$404="調整中")))))</f>
        <v/>
      </c>
      <c r="BJ18">
        <f>IF(OR($A18="",V$4=""),0,SUMPRODUCT(('01_予約入力'!$G$5:$G$404&lt;&gt;"")*('01_予約入力'!$Q$5:$Q$404&lt;&gt;"キャンセル")*('01_予約入力'!$B$5:$B$404=$A18)*('01_予約入力'!$G$5:$G$404&lt;=V$4)*('01_予約入力'!$J$5:$J$404&gt;=V$4)*(1+2*('01_予約入力'!$G$5:$G$404=V$4)+4*('01_予約入力'!$J$5:$J$404=V$4)+8*(('01_予約入力'!$Q$5:$Q$404="仮予約")+('01_予約入力'!$Q$5:$Q$404="調整中")))))</f>
        <v/>
      </c>
      <c r="BK18">
        <f>IF(OR($A18="",W$4=""),0,SUMPRODUCT(('01_予約入力'!$G$5:$G$404&lt;&gt;"")*('01_予約入力'!$Q$5:$Q$404&lt;&gt;"キャンセル")*('01_予約入力'!$B$5:$B$404=$A18)*('01_予約入力'!$G$5:$G$404&lt;=W$4)*('01_予約入力'!$J$5:$J$404&gt;=W$4)*(1+2*('01_予約入力'!$G$5:$G$404=W$4)+4*('01_予約入力'!$J$5:$J$404=W$4)+8*(('01_予約入力'!$Q$5:$Q$404="仮予約")+('01_予約入力'!$Q$5:$Q$404="調整中")))))</f>
        <v/>
      </c>
      <c r="BL18">
        <f>IF(OR($A18="",X$4=""),0,SUMPRODUCT(('01_予約入力'!$G$5:$G$404&lt;&gt;"")*('01_予約入力'!$Q$5:$Q$404&lt;&gt;"キャンセル")*('01_予約入力'!$B$5:$B$404=$A18)*('01_予約入力'!$G$5:$G$404&lt;=X$4)*('01_予約入力'!$J$5:$J$404&gt;=X$4)*(1+2*('01_予約入力'!$G$5:$G$404=X$4)+4*('01_予約入力'!$J$5:$J$404=X$4)+8*(('01_予約入力'!$Q$5:$Q$404="仮予約")+('01_予約入力'!$Q$5:$Q$404="調整中")))))</f>
        <v/>
      </c>
      <c r="BM18">
        <f>IF(OR($A18="",Y$4=""),0,SUMPRODUCT(('01_予約入力'!$G$5:$G$404&lt;&gt;"")*('01_予約入力'!$Q$5:$Q$404&lt;&gt;"キャンセル")*('01_予約入力'!$B$5:$B$404=$A18)*('01_予約入力'!$G$5:$G$404&lt;=Y$4)*('01_予約入力'!$J$5:$J$404&gt;=Y$4)*(1+2*('01_予約入力'!$G$5:$G$404=Y$4)+4*('01_予約入力'!$J$5:$J$404=Y$4)+8*(('01_予約入力'!$Q$5:$Q$404="仮予約")+('01_予約入力'!$Q$5:$Q$404="調整中")))))</f>
        <v/>
      </c>
      <c r="BN18">
        <f>IF(OR($A18="",Z$4=""),0,SUMPRODUCT(('01_予約入力'!$G$5:$G$404&lt;&gt;"")*('01_予約入力'!$Q$5:$Q$404&lt;&gt;"キャンセル")*('01_予約入力'!$B$5:$B$404=$A18)*('01_予約入力'!$G$5:$G$404&lt;=Z$4)*('01_予約入力'!$J$5:$J$404&gt;=Z$4)*(1+2*('01_予約入力'!$G$5:$G$404=Z$4)+4*('01_予約入力'!$J$5:$J$404=Z$4)+8*(('01_予約入力'!$Q$5:$Q$404="仮予約")+('01_予約入力'!$Q$5:$Q$404="調整中")))))</f>
        <v/>
      </c>
      <c r="BO18">
        <f>IF(OR($A18="",AA$4=""),0,SUMPRODUCT(('01_予約入力'!$G$5:$G$404&lt;&gt;"")*('01_予約入力'!$Q$5:$Q$404&lt;&gt;"キャンセル")*('01_予約入力'!$B$5:$B$404=$A18)*('01_予約入力'!$G$5:$G$404&lt;=AA$4)*('01_予約入力'!$J$5:$J$404&gt;=AA$4)*(1+2*('01_予約入力'!$G$5:$G$404=AA$4)+4*('01_予約入力'!$J$5:$J$404=AA$4)+8*(('01_予約入力'!$Q$5:$Q$404="仮予約")+('01_予約入力'!$Q$5:$Q$404="調整中")))))</f>
        <v/>
      </c>
      <c r="BP18">
        <f>IF(OR($A18="",AB$4=""),0,SUMPRODUCT(('01_予約入力'!$G$5:$G$404&lt;&gt;"")*('01_予約入力'!$Q$5:$Q$404&lt;&gt;"キャンセル")*('01_予約入力'!$B$5:$B$404=$A18)*('01_予約入力'!$G$5:$G$404&lt;=AB$4)*('01_予約入力'!$J$5:$J$404&gt;=AB$4)*(1+2*('01_予約入力'!$G$5:$G$404=AB$4)+4*('01_予約入力'!$J$5:$J$404=AB$4)+8*(('01_予約入力'!$Q$5:$Q$404="仮予約")+('01_予約入力'!$Q$5:$Q$404="調整中")))))</f>
        <v/>
      </c>
      <c r="BQ18">
        <f>IF(OR($A18="",AC$4=""),0,SUMPRODUCT(('01_予約入力'!$G$5:$G$404&lt;&gt;"")*('01_予約入力'!$Q$5:$Q$404&lt;&gt;"キャンセル")*('01_予約入力'!$B$5:$B$404=$A18)*('01_予約入力'!$G$5:$G$404&lt;=AC$4)*('01_予約入力'!$J$5:$J$404&gt;=AC$4)*(1+2*('01_予約入力'!$G$5:$G$404=AC$4)+4*('01_予約入力'!$J$5:$J$404=AC$4)+8*(('01_予約入力'!$Q$5:$Q$404="仮予約")+('01_予約入力'!$Q$5:$Q$404="調整中")))))</f>
        <v/>
      </c>
      <c r="BR18">
        <f>IF(OR($A18="",AD$4=""),0,SUMPRODUCT(('01_予約入力'!$G$5:$G$404&lt;&gt;"")*('01_予約入力'!$Q$5:$Q$404&lt;&gt;"キャンセル")*('01_予約入力'!$B$5:$B$404=$A18)*('01_予約入力'!$G$5:$G$404&lt;=AD$4)*('01_予約入力'!$J$5:$J$404&gt;=AD$4)*(1+2*('01_予約入力'!$G$5:$G$404=AD$4)+4*('01_予約入力'!$J$5:$J$404=AD$4)+8*(('01_予約入力'!$Q$5:$Q$404="仮予約")+('01_予約入力'!$Q$5:$Q$404="調整中")))))</f>
        <v/>
      </c>
      <c r="BS18">
        <f>IF(OR($A18="",AE$4=""),0,SUMPRODUCT(('01_予約入力'!$G$5:$G$404&lt;&gt;"")*('01_予約入力'!$Q$5:$Q$404&lt;&gt;"キャンセル")*('01_予約入力'!$B$5:$B$404=$A18)*('01_予約入力'!$G$5:$G$404&lt;=AE$4)*('01_予約入力'!$J$5:$J$404&gt;=AE$4)*(1+2*('01_予約入力'!$G$5:$G$404=AE$4)+4*('01_予約入力'!$J$5:$J$404=AE$4)+8*(('01_予約入力'!$Q$5:$Q$404="仮予約")+('01_予約入力'!$Q$5:$Q$404="調整中")))))</f>
        <v/>
      </c>
      <c r="BT18">
        <f>IF(OR($A18="",AF$4=""),0,SUMPRODUCT(('01_予約入力'!$G$5:$G$404&lt;&gt;"")*('01_予約入力'!$Q$5:$Q$404&lt;&gt;"キャンセル")*('01_予約入力'!$B$5:$B$404=$A18)*('01_予約入力'!$G$5:$G$404&lt;=AF$4)*('01_予約入力'!$J$5:$J$404&gt;=AF$4)*(1+2*('01_予約入力'!$G$5:$G$404=AF$4)+4*('01_予約入力'!$J$5:$J$404=AF$4)+8*(('01_予約入力'!$Q$5:$Q$404="仮予約")+('01_予約入力'!$Q$5:$Q$404="調整中")))))</f>
        <v/>
      </c>
    </row>
    <row r="19" ht="19" customHeight="1">
      <c r="A19" s="43">
        <f>IF(COUNTA('利用者マスタ'!$A$4:$A$60)&gt;=13,INDEX('利用者マスタ'!$A$4:$A$60,13),"")</f>
        <v/>
      </c>
      <c r="B19" s="44">
        <f>IF($AP19=0,"",IF(MOD($AP19,8)=7,IF($AP19&gt;=8,"◇","◆"),IF(MOD($AP19,8)=3,IF($AP19&gt;=8,"▷","▶"),IF(MOD($AP19,8)=5,IF($AP19&gt;=8,"◁","◀"),IF($AP19&gt;=8,"□","■")))))</f>
        <v/>
      </c>
      <c r="C19" s="44">
        <f>IF($AQ19=0,"",IF(MOD($AQ19,8)=7,IF($AQ19&gt;=8,"◇","◆"),IF(MOD($AQ19,8)=3,IF($AQ19&gt;=8,"▷","▶"),IF(MOD($AQ19,8)=5,IF($AQ19&gt;=8,"◁","◀"),IF($AQ19&gt;=8,"□","■")))))</f>
        <v/>
      </c>
      <c r="D19" s="44">
        <f>IF($AR19=0,"",IF(MOD($AR19,8)=7,IF($AR19&gt;=8,"◇","◆"),IF(MOD($AR19,8)=3,IF($AR19&gt;=8,"▷","▶"),IF(MOD($AR19,8)=5,IF($AR19&gt;=8,"◁","◀"),IF($AR19&gt;=8,"□","■")))))</f>
        <v/>
      </c>
      <c r="E19" s="44">
        <f>IF($AS19=0,"",IF(MOD($AS19,8)=7,IF($AS19&gt;=8,"◇","◆"),IF(MOD($AS19,8)=3,IF($AS19&gt;=8,"▷","▶"),IF(MOD($AS19,8)=5,IF($AS19&gt;=8,"◁","◀"),IF($AS19&gt;=8,"□","■")))))</f>
        <v/>
      </c>
      <c r="F19" s="44">
        <f>IF($AT19=0,"",IF(MOD($AT19,8)=7,IF($AT19&gt;=8,"◇","◆"),IF(MOD($AT19,8)=3,IF($AT19&gt;=8,"▷","▶"),IF(MOD($AT19,8)=5,IF($AT19&gt;=8,"◁","◀"),IF($AT19&gt;=8,"□","■")))))</f>
        <v/>
      </c>
      <c r="G19" s="44">
        <f>IF($AU19=0,"",IF(MOD($AU19,8)=7,IF($AU19&gt;=8,"◇","◆"),IF(MOD($AU19,8)=3,IF($AU19&gt;=8,"▷","▶"),IF(MOD($AU19,8)=5,IF($AU19&gt;=8,"◁","◀"),IF($AU19&gt;=8,"□","■")))))</f>
        <v/>
      </c>
      <c r="H19" s="44">
        <f>IF($AV19=0,"",IF(MOD($AV19,8)=7,IF($AV19&gt;=8,"◇","◆"),IF(MOD($AV19,8)=3,IF($AV19&gt;=8,"▷","▶"),IF(MOD($AV19,8)=5,IF($AV19&gt;=8,"◁","◀"),IF($AV19&gt;=8,"□","■")))))</f>
        <v/>
      </c>
      <c r="I19" s="44">
        <f>IF($AW19=0,"",IF(MOD($AW19,8)=7,IF($AW19&gt;=8,"◇","◆"),IF(MOD($AW19,8)=3,IF($AW19&gt;=8,"▷","▶"),IF(MOD($AW19,8)=5,IF($AW19&gt;=8,"◁","◀"),IF($AW19&gt;=8,"□","■")))))</f>
        <v/>
      </c>
      <c r="J19" s="44">
        <f>IF($AX19=0,"",IF(MOD($AX19,8)=7,IF($AX19&gt;=8,"◇","◆"),IF(MOD($AX19,8)=3,IF($AX19&gt;=8,"▷","▶"),IF(MOD($AX19,8)=5,IF($AX19&gt;=8,"◁","◀"),IF($AX19&gt;=8,"□","■")))))</f>
        <v/>
      </c>
      <c r="K19" s="44">
        <f>IF($AY19=0,"",IF(MOD($AY19,8)=7,IF($AY19&gt;=8,"◇","◆"),IF(MOD($AY19,8)=3,IF($AY19&gt;=8,"▷","▶"),IF(MOD($AY19,8)=5,IF($AY19&gt;=8,"◁","◀"),IF($AY19&gt;=8,"□","■")))))</f>
        <v/>
      </c>
      <c r="L19" s="44">
        <f>IF($AZ19=0,"",IF(MOD($AZ19,8)=7,IF($AZ19&gt;=8,"◇","◆"),IF(MOD($AZ19,8)=3,IF($AZ19&gt;=8,"▷","▶"),IF(MOD($AZ19,8)=5,IF($AZ19&gt;=8,"◁","◀"),IF($AZ19&gt;=8,"□","■")))))</f>
        <v/>
      </c>
      <c r="M19" s="44">
        <f>IF($BA19=0,"",IF(MOD($BA19,8)=7,IF($BA19&gt;=8,"◇","◆"),IF(MOD($BA19,8)=3,IF($BA19&gt;=8,"▷","▶"),IF(MOD($BA19,8)=5,IF($BA19&gt;=8,"◁","◀"),IF($BA19&gt;=8,"□","■")))))</f>
        <v/>
      </c>
      <c r="N19" s="44">
        <f>IF($BB19=0,"",IF(MOD($BB19,8)=7,IF($BB19&gt;=8,"◇","◆"),IF(MOD($BB19,8)=3,IF($BB19&gt;=8,"▷","▶"),IF(MOD($BB19,8)=5,IF($BB19&gt;=8,"◁","◀"),IF($BB19&gt;=8,"□","■")))))</f>
        <v/>
      </c>
      <c r="O19" s="44">
        <f>IF($BC19=0,"",IF(MOD($BC19,8)=7,IF($BC19&gt;=8,"◇","◆"),IF(MOD($BC19,8)=3,IF($BC19&gt;=8,"▷","▶"),IF(MOD($BC19,8)=5,IF($BC19&gt;=8,"◁","◀"),IF($BC19&gt;=8,"□","■")))))</f>
        <v/>
      </c>
      <c r="P19" s="44">
        <f>IF($BD19=0,"",IF(MOD($BD19,8)=7,IF($BD19&gt;=8,"◇","◆"),IF(MOD($BD19,8)=3,IF($BD19&gt;=8,"▷","▶"),IF(MOD($BD19,8)=5,IF($BD19&gt;=8,"◁","◀"),IF($BD19&gt;=8,"□","■")))))</f>
        <v/>
      </c>
      <c r="Q19" s="44">
        <f>IF($BE19=0,"",IF(MOD($BE19,8)=7,IF($BE19&gt;=8,"◇","◆"),IF(MOD($BE19,8)=3,IF($BE19&gt;=8,"▷","▶"),IF(MOD($BE19,8)=5,IF($BE19&gt;=8,"◁","◀"),IF($BE19&gt;=8,"□","■")))))</f>
        <v/>
      </c>
      <c r="R19" s="44">
        <f>IF($BF19=0,"",IF(MOD($BF19,8)=7,IF($BF19&gt;=8,"◇","◆"),IF(MOD($BF19,8)=3,IF($BF19&gt;=8,"▷","▶"),IF(MOD($BF19,8)=5,IF($BF19&gt;=8,"◁","◀"),IF($BF19&gt;=8,"□","■")))))</f>
        <v/>
      </c>
      <c r="S19" s="44">
        <f>IF($BG19=0,"",IF(MOD($BG19,8)=7,IF($BG19&gt;=8,"◇","◆"),IF(MOD($BG19,8)=3,IF($BG19&gt;=8,"▷","▶"),IF(MOD($BG19,8)=5,IF($BG19&gt;=8,"◁","◀"),IF($BG19&gt;=8,"□","■")))))</f>
        <v/>
      </c>
      <c r="T19" s="44">
        <f>IF($BH19=0,"",IF(MOD($BH19,8)=7,IF($BH19&gt;=8,"◇","◆"),IF(MOD($BH19,8)=3,IF($BH19&gt;=8,"▷","▶"),IF(MOD($BH19,8)=5,IF($BH19&gt;=8,"◁","◀"),IF($BH19&gt;=8,"□","■")))))</f>
        <v/>
      </c>
      <c r="U19" s="44">
        <f>IF($BI19=0,"",IF(MOD($BI19,8)=7,IF($BI19&gt;=8,"◇","◆"),IF(MOD($BI19,8)=3,IF($BI19&gt;=8,"▷","▶"),IF(MOD($BI19,8)=5,IF($BI19&gt;=8,"◁","◀"),IF($BI19&gt;=8,"□","■")))))</f>
        <v/>
      </c>
      <c r="V19" s="44">
        <f>IF($BJ19=0,"",IF(MOD($BJ19,8)=7,IF($BJ19&gt;=8,"◇","◆"),IF(MOD($BJ19,8)=3,IF($BJ19&gt;=8,"▷","▶"),IF(MOD($BJ19,8)=5,IF($BJ19&gt;=8,"◁","◀"),IF($BJ19&gt;=8,"□","■")))))</f>
        <v/>
      </c>
      <c r="W19" s="44">
        <f>IF($BK19=0,"",IF(MOD($BK19,8)=7,IF($BK19&gt;=8,"◇","◆"),IF(MOD($BK19,8)=3,IF($BK19&gt;=8,"▷","▶"),IF(MOD($BK19,8)=5,IF($BK19&gt;=8,"◁","◀"),IF($BK19&gt;=8,"□","■")))))</f>
        <v/>
      </c>
      <c r="X19" s="44">
        <f>IF($BL19=0,"",IF(MOD($BL19,8)=7,IF($BL19&gt;=8,"◇","◆"),IF(MOD($BL19,8)=3,IF($BL19&gt;=8,"▷","▶"),IF(MOD($BL19,8)=5,IF($BL19&gt;=8,"◁","◀"),IF($BL19&gt;=8,"□","■")))))</f>
        <v/>
      </c>
      <c r="Y19" s="44">
        <f>IF($BM19=0,"",IF(MOD($BM19,8)=7,IF($BM19&gt;=8,"◇","◆"),IF(MOD($BM19,8)=3,IF($BM19&gt;=8,"▷","▶"),IF(MOD($BM19,8)=5,IF($BM19&gt;=8,"◁","◀"),IF($BM19&gt;=8,"□","■")))))</f>
        <v/>
      </c>
      <c r="Z19" s="44">
        <f>IF($BN19=0,"",IF(MOD($BN19,8)=7,IF($BN19&gt;=8,"◇","◆"),IF(MOD($BN19,8)=3,IF($BN19&gt;=8,"▷","▶"),IF(MOD($BN19,8)=5,IF($BN19&gt;=8,"◁","◀"),IF($BN19&gt;=8,"□","■")))))</f>
        <v/>
      </c>
      <c r="AA19" s="44">
        <f>IF($BO19=0,"",IF(MOD($BO19,8)=7,IF($BO19&gt;=8,"◇","◆"),IF(MOD($BO19,8)=3,IF($BO19&gt;=8,"▷","▶"),IF(MOD($BO19,8)=5,IF($BO19&gt;=8,"◁","◀"),IF($BO19&gt;=8,"□","■")))))</f>
        <v/>
      </c>
      <c r="AB19" s="44">
        <f>IF($BP19=0,"",IF(MOD($BP19,8)=7,IF($BP19&gt;=8,"◇","◆"),IF(MOD($BP19,8)=3,IF($BP19&gt;=8,"▷","▶"),IF(MOD($BP19,8)=5,IF($BP19&gt;=8,"◁","◀"),IF($BP19&gt;=8,"□","■")))))</f>
        <v/>
      </c>
      <c r="AC19" s="44">
        <f>IF($BQ19=0,"",IF(MOD($BQ19,8)=7,IF($BQ19&gt;=8,"◇","◆"),IF(MOD($BQ19,8)=3,IF($BQ19&gt;=8,"▷","▶"),IF(MOD($BQ19,8)=5,IF($BQ19&gt;=8,"◁","◀"),IF($BQ19&gt;=8,"□","■")))))</f>
        <v/>
      </c>
      <c r="AD19" s="44">
        <f>IF($BR19=0,"",IF(MOD($BR19,8)=7,IF($BR19&gt;=8,"◇","◆"),IF(MOD($BR19,8)=3,IF($BR19&gt;=8,"▷","▶"),IF(MOD($BR19,8)=5,IF($BR19&gt;=8,"◁","◀"),IF($BR19&gt;=8,"□","■")))))</f>
        <v/>
      </c>
      <c r="AE19" s="44">
        <f>IF($BS19=0,"",IF(MOD($BS19,8)=7,IF($BS19&gt;=8,"◇","◆"),IF(MOD($BS19,8)=3,IF($BS19&gt;=8,"▷","▶"),IF(MOD($BS19,8)=5,IF($BS19&gt;=8,"◁","◀"),IF($BS19&gt;=8,"□","■")))))</f>
        <v/>
      </c>
      <c r="AF19" s="44">
        <f>IF($BT19=0,"",IF(MOD($BT19,8)=7,IF($BT19&gt;=8,"◇","◆"),IF(MOD($BT19,8)=3,IF($BT19&gt;=8,"▷","▶"),IF(MOD($BT19,8)=5,IF($BT19&gt;=8,"◁","◀"),IF($BT19&gt;=8,"□","■")))))</f>
        <v/>
      </c>
      <c r="AG19" s="45">
        <f>IF($A19="","",COUNTIF($AP19:$BT19,"&gt;0"))</f>
        <v/>
      </c>
      <c r="AP19">
        <f>IF(OR($A19="",B$4=""),0,SUMPRODUCT(('01_予約入力'!$G$5:$G$404&lt;&gt;"")*('01_予約入力'!$Q$5:$Q$404&lt;&gt;"キャンセル")*('01_予約入力'!$B$5:$B$404=$A19)*('01_予約入力'!$G$5:$G$404&lt;=B$4)*('01_予約入力'!$J$5:$J$404&gt;=B$4)*(1+2*('01_予約入力'!$G$5:$G$404=B$4)+4*('01_予約入力'!$J$5:$J$404=B$4)+8*(('01_予約入力'!$Q$5:$Q$404="仮予約")+('01_予約入力'!$Q$5:$Q$404="調整中")))))</f>
        <v/>
      </c>
      <c r="AQ19">
        <f>IF(OR($A19="",C$4=""),0,SUMPRODUCT(('01_予約入力'!$G$5:$G$404&lt;&gt;"")*('01_予約入力'!$Q$5:$Q$404&lt;&gt;"キャンセル")*('01_予約入力'!$B$5:$B$404=$A19)*('01_予約入力'!$G$5:$G$404&lt;=C$4)*('01_予約入力'!$J$5:$J$404&gt;=C$4)*(1+2*('01_予約入力'!$G$5:$G$404=C$4)+4*('01_予約入力'!$J$5:$J$404=C$4)+8*(('01_予約入力'!$Q$5:$Q$404="仮予約")+('01_予約入力'!$Q$5:$Q$404="調整中")))))</f>
        <v/>
      </c>
      <c r="AR19">
        <f>IF(OR($A19="",D$4=""),0,SUMPRODUCT(('01_予約入力'!$G$5:$G$404&lt;&gt;"")*('01_予約入力'!$Q$5:$Q$404&lt;&gt;"キャンセル")*('01_予約入力'!$B$5:$B$404=$A19)*('01_予約入力'!$G$5:$G$404&lt;=D$4)*('01_予約入力'!$J$5:$J$404&gt;=D$4)*(1+2*('01_予約入力'!$G$5:$G$404=D$4)+4*('01_予約入力'!$J$5:$J$404=D$4)+8*(('01_予約入力'!$Q$5:$Q$404="仮予約")+('01_予約入力'!$Q$5:$Q$404="調整中")))))</f>
        <v/>
      </c>
      <c r="AS19">
        <f>IF(OR($A19="",E$4=""),0,SUMPRODUCT(('01_予約入力'!$G$5:$G$404&lt;&gt;"")*('01_予約入力'!$Q$5:$Q$404&lt;&gt;"キャンセル")*('01_予約入力'!$B$5:$B$404=$A19)*('01_予約入力'!$G$5:$G$404&lt;=E$4)*('01_予約入力'!$J$5:$J$404&gt;=E$4)*(1+2*('01_予約入力'!$G$5:$G$404=E$4)+4*('01_予約入力'!$J$5:$J$404=E$4)+8*(('01_予約入力'!$Q$5:$Q$404="仮予約")+('01_予約入力'!$Q$5:$Q$404="調整中")))))</f>
        <v/>
      </c>
      <c r="AT19">
        <f>IF(OR($A19="",F$4=""),0,SUMPRODUCT(('01_予約入力'!$G$5:$G$404&lt;&gt;"")*('01_予約入力'!$Q$5:$Q$404&lt;&gt;"キャンセル")*('01_予約入力'!$B$5:$B$404=$A19)*('01_予約入力'!$G$5:$G$404&lt;=F$4)*('01_予約入力'!$J$5:$J$404&gt;=F$4)*(1+2*('01_予約入力'!$G$5:$G$404=F$4)+4*('01_予約入力'!$J$5:$J$404=F$4)+8*(('01_予約入力'!$Q$5:$Q$404="仮予約")+('01_予約入力'!$Q$5:$Q$404="調整中")))))</f>
        <v/>
      </c>
      <c r="AU19">
        <f>IF(OR($A19="",G$4=""),0,SUMPRODUCT(('01_予約入力'!$G$5:$G$404&lt;&gt;"")*('01_予約入力'!$Q$5:$Q$404&lt;&gt;"キャンセル")*('01_予約入力'!$B$5:$B$404=$A19)*('01_予約入力'!$G$5:$G$404&lt;=G$4)*('01_予約入力'!$J$5:$J$404&gt;=G$4)*(1+2*('01_予約入力'!$G$5:$G$404=G$4)+4*('01_予約入力'!$J$5:$J$404=G$4)+8*(('01_予約入力'!$Q$5:$Q$404="仮予約")+('01_予約入力'!$Q$5:$Q$404="調整中")))))</f>
        <v/>
      </c>
      <c r="AV19">
        <f>IF(OR($A19="",H$4=""),0,SUMPRODUCT(('01_予約入力'!$G$5:$G$404&lt;&gt;"")*('01_予約入力'!$Q$5:$Q$404&lt;&gt;"キャンセル")*('01_予約入力'!$B$5:$B$404=$A19)*('01_予約入力'!$G$5:$G$404&lt;=H$4)*('01_予約入力'!$J$5:$J$404&gt;=H$4)*(1+2*('01_予約入力'!$G$5:$G$404=H$4)+4*('01_予約入力'!$J$5:$J$404=H$4)+8*(('01_予約入力'!$Q$5:$Q$404="仮予約")+('01_予約入力'!$Q$5:$Q$404="調整中")))))</f>
        <v/>
      </c>
      <c r="AW19">
        <f>IF(OR($A19="",I$4=""),0,SUMPRODUCT(('01_予約入力'!$G$5:$G$404&lt;&gt;"")*('01_予約入力'!$Q$5:$Q$404&lt;&gt;"キャンセル")*('01_予約入力'!$B$5:$B$404=$A19)*('01_予約入力'!$G$5:$G$404&lt;=I$4)*('01_予約入力'!$J$5:$J$404&gt;=I$4)*(1+2*('01_予約入力'!$G$5:$G$404=I$4)+4*('01_予約入力'!$J$5:$J$404=I$4)+8*(('01_予約入力'!$Q$5:$Q$404="仮予約")+('01_予約入力'!$Q$5:$Q$404="調整中")))))</f>
        <v/>
      </c>
      <c r="AX19">
        <f>IF(OR($A19="",J$4=""),0,SUMPRODUCT(('01_予約入力'!$G$5:$G$404&lt;&gt;"")*('01_予約入力'!$Q$5:$Q$404&lt;&gt;"キャンセル")*('01_予約入力'!$B$5:$B$404=$A19)*('01_予約入力'!$G$5:$G$404&lt;=J$4)*('01_予約入力'!$J$5:$J$404&gt;=J$4)*(1+2*('01_予約入力'!$G$5:$G$404=J$4)+4*('01_予約入力'!$J$5:$J$404=J$4)+8*(('01_予約入力'!$Q$5:$Q$404="仮予約")+('01_予約入力'!$Q$5:$Q$404="調整中")))))</f>
        <v/>
      </c>
      <c r="AY19">
        <f>IF(OR($A19="",K$4=""),0,SUMPRODUCT(('01_予約入力'!$G$5:$G$404&lt;&gt;"")*('01_予約入力'!$Q$5:$Q$404&lt;&gt;"キャンセル")*('01_予約入力'!$B$5:$B$404=$A19)*('01_予約入力'!$G$5:$G$404&lt;=K$4)*('01_予約入力'!$J$5:$J$404&gt;=K$4)*(1+2*('01_予約入力'!$G$5:$G$404=K$4)+4*('01_予約入力'!$J$5:$J$404=K$4)+8*(('01_予約入力'!$Q$5:$Q$404="仮予約")+('01_予約入力'!$Q$5:$Q$404="調整中")))))</f>
        <v/>
      </c>
      <c r="AZ19">
        <f>IF(OR($A19="",L$4=""),0,SUMPRODUCT(('01_予約入力'!$G$5:$G$404&lt;&gt;"")*('01_予約入力'!$Q$5:$Q$404&lt;&gt;"キャンセル")*('01_予約入力'!$B$5:$B$404=$A19)*('01_予約入力'!$G$5:$G$404&lt;=L$4)*('01_予約入力'!$J$5:$J$404&gt;=L$4)*(1+2*('01_予約入力'!$G$5:$G$404=L$4)+4*('01_予約入力'!$J$5:$J$404=L$4)+8*(('01_予約入力'!$Q$5:$Q$404="仮予約")+('01_予約入力'!$Q$5:$Q$404="調整中")))))</f>
        <v/>
      </c>
      <c r="BA19">
        <f>IF(OR($A19="",M$4=""),0,SUMPRODUCT(('01_予約入力'!$G$5:$G$404&lt;&gt;"")*('01_予約入力'!$Q$5:$Q$404&lt;&gt;"キャンセル")*('01_予約入力'!$B$5:$B$404=$A19)*('01_予約入力'!$G$5:$G$404&lt;=M$4)*('01_予約入力'!$J$5:$J$404&gt;=M$4)*(1+2*('01_予約入力'!$G$5:$G$404=M$4)+4*('01_予約入力'!$J$5:$J$404=M$4)+8*(('01_予約入力'!$Q$5:$Q$404="仮予約")+('01_予約入力'!$Q$5:$Q$404="調整中")))))</f>
        <v/>
      </c>
      <c r="BB19">
        <f>IF(OR($A19="",N$4=""),0,SUMPRODUCT(('01_予約入力'!$G$5:$G$404&lt;&gt;"")*('01_予約入力'!$Q$5:$Q$404&lt;&gt;"キャンセル")*('01_予約入力'!$B$5:$B$404=$A19)*('01_予約入力'!$G$5:$G$404&lt;=N$4)*('01_予約入力'!$J$5:$J$404&gt;=N$4)*(1+2*('01_予約入力'!$G$5:$G$404=N$4)+4*('01_予約入力'!$J$5:$J$404=N$4)+8*(('01_予約入力'!$Q$5:$Q$404="仮予約")+('01_予約入力'!$Q$5:$Q$404="調整中")))))</f>
        <v/>
      </c>
      <c r="BC19">
        <f>IF(OR($A19="",O$4=""),0,SUMPRODUCT(('01_予約入力'!$G$5:$G$404&lt;&gt;"")*('01_予約入力'!$Q$5:$Q$404&lt;&gt;"キャンセル")*('01_予約入力'!$B$5:$B$404=$A19)*('01_予約入力'!$G$5:$G$404&lt;=O$4)*('01_予約入力'!$J$5:$J$404&gt;=O$4)*(1+2*('01_予約入力'!$G$5:$G$404=O$4)+4*('01_予約入力'!$J$5:$J$404=O$4)+8*(('01_予約入力'!$Q$5:$Q$404="仮予約")+('01_予約入力'!$Q$5:$Q$404="調整中")))))</f>
        <v/>
      </c>
      <c r="BD19">
        <f>IF(OR($A19="",P$4=""),0,SUMPRODUCT(('01_予約入力'!$G$5:$G$404&lt;&gt;"")*('01_予約入力'!$Q$5:$Q$404&lt;&gt;"キャンセル")*('01_予約入力'!$B$5:$B$404=$A19)*('01_予約入力'!$G$5:$G$404&lt;=P$4)*('01_予約入力'!$J$5:$J$404&gt;=P$4)*(1+2*('01_予約入力'!$G$5:$G$404=P$4)+4*('01_予約入力'!$J$5:$J$404=P$4)+8*(('01_予約入力'!$Q$5:$Q$404="仮予約")+('01_予約入力'!$Q$5:$Q$404="調整中")))))</f>
        <v/>
      </c>
      <c r="BE19">
        <f>IF(OR($A19="",Q$4=""),0,SUMPRODUCT(('01_予約入力'!$G$5:$G$404&lt;&gt;"")*('01_予約入力'!$Q$5:$Q$404&lt;&gt;"キャンセル")*('01_予約入力'!$B$5:$B$404=$A19)*('01_予約入力'!$G$5:$G$404&lt;=Q$4)*('01_予約入力'!$J$5:$J$404&gt;=Q$4)*(1+2*('01_予約入力'!$G$5:$G$404=Q$4)+4*('01_予約入力'!$J$5:$J$404=Q$4)+8*(('01_予約入力'!$Q$5:$Q$404="仮予約")+('01_予約入力'!$Q$5:$Q$404="調整中")))))</f>
        <v/>
      </c>
      <c r="BF19">
        <f>IF(OR($A19="",R$4=""),0,SUMPRODUCT(('01_予約入力'!$G$5:$G$404&lt;&gt;"")*('01_予約入力'!$Q$5:$Q$404&lt;&gt;"キャンセル")*('01_予約入力'!$B$5:$B$404=$A19)*('01_予約入力'!$G$5:$G$404&lt;=R$4)*('01_予約入力'!$J$5:$J$404&gt;=R$4)*(1+2*('01_予約入力'!$G$5:$G$404=R$4)+4*('01_予約入力'!$J$5:$J$404=R$4)+8*(('01_予約入力'!$Q$5:$Q$404="仮予約")+('01_予約入力'!$Q$5:$Q$404="調整中")))))</f>
        <v/>
      </c>
      <c r="BG19">
        <f>IF(OR($A19="",S$4=""),0,SUMPRODUCT(('01_予約入力'!$G$5:$G$404&lt;&gt;"")*('01_予約入力'!$Q$5:$Q$404&lt;&gt;"キャンセル")*('01_予約入力'!$B$5:$B$404=$A19)*('01_予約入力'!$G$5:$G$404&lt;=S$4)*('01_予約入力'!$J$5:$J$404&gt;=S$4)*(1+2*('01_予約入力'!$G$5:$G$404=S$4)+4*('01_予約入力'!$J$5:$J$404=S$4)+8*(('01_予約入力'!$Q$5:$Q$404="仮予約")+('01_予約入力'!$Q$5:$Q$404="調整中")))))</f>
        <v/>
      </c>
      <c r="BH19">
        <f>IF(OR($A19="",T$4=""),0,SUMPRODUCT(('01_予約入力'!$G$5:$G$404&lt;&gt;"")*('01_予約入力'!$Q$5:$Q$404&lt;&gt;"キャンセル")*('01_予約入力'!$B$5:$B$404=$A19)*('01_予約入力'!$G$5:$G$404&lt;=T$4)*('01_予約入力'!$J$5:$J$404&gt;=T$4)*(1+2*('01_予約入力'!$G$5:$G$404=T$4)+4*('01_予約入力'!$J$5:$J$404=T$4)+8*(('01_予約入力'!$Q$5:$Q$404="仮予約")+('01_予約入力'!$Q$5:$Q$404="調整中")))))</f>
        <v/>
      </c>
      <c r="BI19">
        <f>IF(OR($A19="",U$4=""),0,SUMPRODUCT(('01_予約入力'!$G$5:$G$404&lt;&gt;"")*('01_予約入力'!$Q$5:$Q$404&lt;&gt;"キャンセル")*('01_予約入力'!$B$5:$B$404=$A19)*('01_予約入力'!$G$5:$G$404&lt;=U$4)*('01_予約入力'!$J$5:$J$404&gt;=U$4)*(1+2*('01_予約入力'!$G$5:$G$404=U$4)+4*('01_予約入力'!$J$5:$J$404=U$4)+8*(('01_予約入力'!$Q$5:$Q$404="仮予約")+('01_予約入力'!$Q$5:$Q$404="調整中")))))</f>
        <v/>
      </c>
      <c r="BJ19">
        <f>IF(OR($A19="",V$4=""),0,SUMPRODUCT(('01_予約入力'!$G$5:$G$404&lt;&gt;"")*('01_予約入力'!$Q$5:$Q$404&lt;&gt;"キャンセル")*('01_予約入力'!$B$5:$B$404=$A19)*('01_予約入力'!$G$5:$G$404&lt;=V$4)*('01_予約入力'!$J$5:$J$404&gt;=V$4)*(1+2*('01_予約入力'!$G$5:$G$404=V$4)+4*('01_予約入力'!$J$5:$J$404=V$4)+8*(('01_予約入力'!$Q$5:$Q$404="仮予約")+('01_予約入力'!$Q$5:$Q$404="調整中")))))</f>
        <v/>
      </c>
      <c r="BK19">
        <f>IF(OR($A19="",W$4=""),0,SUMPRODUCT(('01_予約入力'!$G$5:$G$404&lt;&gt;"")*('01_予約入力'!$Q$5:$Q$404&lt;&gt;"キャンセル")*('01_予約入力'!$B$5:$B$404=$A19)*('01_予約入力'!$G$5:$G$404&lt;=W$4)*('01_予約入力'!$J$5:$J$404&gt;=W$4)*(1+2*('01_予約入力'!$G$5:$G$404=W$4)+4*('01_予約入力'!$J$5:$J$404=W$4)+8*(('01_予約入力'!$Q$5:$Q$404="仮予約")+('01_予約入力'!$Q$5:$Q$404="調整中")))))</f>
        <v/>
      </c>
      <c r="BL19">
        <f>IF(OR($A19="",X$4=""),0,SUMPRODUCT(('01_予約入力'!$G$5:$G$404&lt;&gt;"")*('01_予約入力'!$Q$5:$Q$404&lt;&gt;"キャンセル")*('01_予約入力'!$B$5:$B$404=$A19)*('01_予約入力'!$G$5:$G$404&lt;=X$4)*('01_予約入力'!$J$5:$J$404&gt;=X$4)*(1+2*('01_予約入力'!$G$5:$G$404=X$4)+4*('01_予約入力'!$J$5:$J$404=X$4)+8*(('01_予約入力'!$Q$5:$Q$404="仮予約")+('01_予約入力'!$Q$5:$Q$404="調整中")))))</f>
        <v/>
      </c>
      <c r="BM19">
        <f>IF(OR($A19="",Y$4=""),0,SUMPRODUCT(('01_予約入力'!$G$5:$G$404&lt;&gt;"")*('01_予約入力'!$Q$5:$Q$404&lt;&gt;"キャンセル")*('01_予約入力'!$B$5:$B$404=$A19)*('01_予約入力'!$G$5:$G$404&lt;=Y$4)*('01_予約入力'!$J$5:$J$404&gt;=Y$4)*(1+2*('01_予約入力'!$G$5:$G$404=Y$4)+4*('01_予約入力'!$J$5:$J$404=Y$4)+8*(('01_予約入力'!$Q$5:$Q$404="仮予約")+('01_予約入力'!$Q$5:$Q$404="調整中")))))</f>
        <v/>
      </c>
      <c r="BN19">
        <f>IF(OR($A19="",Z$4=""),0,SUMPRODUCT(('01_予約入力'!$G$5:$G$404&lt;&gt;"")*('01_予約入力'!$Q$5:$Q$404&lt;&gt;"キャンセル")*('01_予約入力'!$B$5:$B$404=$A19)*('01_予約入力'!$G$5:$G$404&lt;=Z$4)*('01_予約入力'!$J$5:$J$404&gt;=Z$4)*(1+2*('01_予約入力'!$G$5:$G$404=Z$4)+4*('01_予約入力'!$J$5:$J$404=Z$4)+8*(('01_予約入力'!$Q$5:$Q$404="仮予約")+('01_予約入力'!$Q$5:$Q$404="調整中")))))</f>
        <v/>
      </c>
      <c r="BO19">
        <f>IF(OR($A19="",AA$4=""),0,SUMPRODUCT(('01_予約入力'!$G$5:$G$404&lt;&gt;"")*('01_予約入力'!$Q$5:$Q$404&lt;&gt;"キャンセル")*('01_予約入力'!$B$5:$B$404=$A19)*('01_予約入力'!$G$5:$G$404&lt;=AA$4)*('01_予約入力'!$J$5:$J$404&gt;=AA$4)*(1+2*('01_予約入力'!$G$5:$G$404=AA$4)+4*('01_予約入力'!$J$5:$J$404=AA$4)+8*(('01_予約入力'!$Q$5:$Q$404="仮予約")+('01_予約入力'!$Q$5:$Q$404="調整中")))))</f>
        <v/>
      </c>
      <c r="BP19">
        <f>IF(OR($A19="",AB$4=""),0,SUMPRODUCT(('01_予約入力'!$G$5:$G$404&lt;&gt;"")*('01_予約入力'!$Q$5:$Q$404&lt;&gt;"キャンセル")*('01_予約入力'!$B$5:$B$404=$A19)*('01_予約入力'!$G$5:$G$404&lt;=AB$4)*('01_予約入力'!$J$5:$J$404&gt;=AB$4)*(1+2*('01_予約入力'!$G$5:$G$404=AB$4)+4*('01_予約入力'!$J$5:$J$404=AB$4)+8*(('01_予約入力'!$Q$5:$Q$404="仮予約")+('01_予約入力'!$Q$5:$Q$404="調整中")))))</f>
        <v/>
      </c>
      <c r="BQ19">
        <f>IF(OR($A19="",AC$4=""),0,SUMPRODUCT(('01_予約入力'!$G$5:$G$404&lt;&gt;"")*('01_予約入力'!$Q$5:$Q$404&lt;&gt;"キャンセル")*('01_予約入力'!$B$5:$B$404=$A19)*('01_予約入力'!$G$5:$G$404&lt;=AC$4)*('01_予約入力'!$J$5:$J$404&gt;=AC$4)*(1+2*('01_予約入力'!$G$5:$G$404=AC$4)+4*('01_予約入力'!$J$5:$J$404=AC$4)+8*(('01_予約入力'!$Q$5:$Q$404="仮予約")+('01_予約入力'!$Q$5:$Q$404="調整中")))))</f>
        <v/>
      </c>
      <c r="BR19">
        <f>IF(OR($A19="",AD$4=""),0,SUMPRODUCT(('01_予約入力'!$G$5:$G$404&lt;&gt;"")*('01_予約入力'!$Q$5:$Q$404&lt;&gt;"キャンセル")*('01_予約入力'!$B$5:$B$404=$A19)*('01_予約入力'!$G$5:$G$404&lt;=AD$4)*('01_予約入力'!$J$5:$J$404&gt;=AD$4)*(1+2*('01_予約入力'!$G$5:$G$404=AD$4)+4*('01_予約入力'!$J$5:$J$404=AD$4)+8*(('01_予約入力'!$Q$5:$Q$404="仮予約")+('01_予約入力'!$Q$5:$Q$404="調整中")))))</f>
        <v/>
      </c>
      <c r="BS19">
        <f>IF(OR($A19="",AE$4=""),0,SUMPRODUCT(('01_予約入力'!$G$5:$G$404&lt;&gt;"")*('01_予約入力'!$Q$5:$Q$404&lt;&gt;"キャンセル")*('01_予約入力'!$B$5:$B$404=$A19)*('01_予約入力'!$G$5:$G$404&lt;=AE$4)*('01_予約入力'!$J$5:$J$404&gt;=AE$4)*(1+2*('01_予約入力'!$G$5:$G$404=AE$4)+4*('01_予約入力'!$J$5:$J$404=AE$4)+8*(('01_予約入力'!$Q$5:$Q$404="仮予約")+('01_予約入力'!$Q$5:$Q$404="調整中")))))</f>
        <v/>
      </c>
      <c r="BT19">
        <f>IF(OR($A19="",AF$4=""),0,SUMPRODUCT(('01_予約入力'!$G$5:$G$404&lt;&gt;"")*('01_予約入力'!$Q$5:$Q$404&lt;&gt;"キャンセル")*('01_予約入力'!$B$5:$B$404=$A19)*('01_予約入力'!$G$5:$G$404&lt;=AF$4)*('01_予約入力'!$J$5:$J$404&gt;=AF$4)*(1+2*('01_予約入力'!$G$5:$G$404=AF$4)+4*('01_予約入力'!$J$5:$J$404=AF$4)+8*(('01_予約入力'!$Q$5:$Q$404="仮予約")+('01_予約入力'!$Q$5:$Q$404="調整中")))))</f>
        <v/>
      </c>
    </row>
    <row r="20" ht="19" customHeight="1">
      <c r="A20" s="43">
        <f>IF(COUNTA('利用者マスタ'!$A$4:$A$60)&gt;=14,INDEX('利用者マスタ'!$A$4:$A$60,14),"")</f>
        <v/>
      </c>
      <c r="B20" s="44">
        <f>IF($AP20=0,"",IF(MOD($AP20,8)=7,IF($AP20&gt;=8,"◇","◆"),IF(MOD($AP20,8)=3,IF($AP20&gt;=8,"▷","▶"),IF(MOD($AP20,8)=5,IF($AP20&gt;=8,"◁","◀"),IF($AP20&gt;=8,"□","■")))))</f>
        <v/>
      </c>
      <c r="C20" s="44">
        <f>IF($AQ20=0,"",IF(MOD($AQ20,8)=7,IF($AQ20&gt;=8,"◇","◆"),IF(MOD($AQ20,8)=3,IF($AQ20&gt;=8,"▷","▶"),IF(MOD($AQ20,8)=5,IF($AQ20&gt;=8,"◁","◀"),IF($AQ20&gt;=8,"□","■")))))</f>
        <v/>
      </c>
      <c r="D20" s="44">
        <f>IF($AR20=0,"",IF(MOD($AR20,8)=7,IF($AR20&gt;=8,"◇","◆"),IF(MOD($AR20,8)=3,IF($AR20&gt;=8,"▷","▶"),IF(MOD($AR20,8)=5,IF($AR20&gt;=8,"◁","◀"),IF($AR20&gt;=8,"□","■")))))</f>
        <v/>
      </c>
      <c r="E20" s="44">
        <f>IF($AS20=0,"",IF(MOD($AS20,8)=7,IF($AS20&gt;=8,"◇","◆"),IF(MOD($AS20,8)=3,IF($AS20&gt;=8,"▷","▶"),IF(MOD($AS20,8)=5,IF($AS20&gt;=8,"◁","◀"),IF($AS20&gt;=8,"□","■")))))</f>
        <v/>
      </c>
      <c r="F20" s="44">
        <f>IF($AT20=0,"",IF(MOD($AT20,8)=7,IF($AT20&gt;=8,"◇","◆"),IF(MOD($AT20,8)=3,IF($AT20&gt;=8,"▷","▶"),IF(MOD($AT20,8)=5,IF($AT20&gt;=8,"◁","◀"),IF($AT20&gt;=8,"□","■")))))</f>
        <v/>
      </c>
      <c r="G20" s="44">
        <f>IF($AU20=0,"",IF(MOD($AU20,8)=7,IF($AU20&gt;=8,"◇","◆"),IF(MOD($AU20,8)=3,IF($AU20&gt;=8,"▷","▶"),IF(MOD($AU20,8)=5,IF($AU20&gt;=8,"◁","◀"),IF($AU20&gt;=8,"□","■")))))</f>
        <v/>
      </c>
      <c r="H20" s="44">
        <f>IF($AV20=0,"",IF(MOD($AV20,8)=7,IF($AV20&gt;=8,"◇","◆"),IF(MOD($AV20,8)=3,IF($AV20&gt;=8,"▷","▶"),IF(MOD($AV20,8)=5,IF($AV20&gt;=8,"◁","◀"),IF($AV20&gt;=8,"□","■")))))</f>
        <v/>
      </c>
      <c r="I20" s="44">
        <f>IF($AW20=0,"",IF(MOD($AW20,8)=7,IF($AW20&gt;=8,"◇","◆"),IF(MOD($AW20,8)=3,IF($AW20&gt;=8,"▷","▶"),IF(MOD($AW20,8)=5,IF($AW20&gt;=8,"◁","◀"),IF($AW20&gt;=8,"□","■")))))</f>
        <v/>
      </c>
      <c r="J20" s="44">
        <f>IF($AX20=0,"",IF(MOD($AX20,8)=7,IF($AX20&gt;=8,"◇","◆"),IF(MOD($AX20,8)=3,IF($AX20&gt;=8,"▷","▶"),IF(MOD($AX20,8)=5,IF($AX20&gt;=8,"◁","◀"),IF($AX20&gt;=8,"□","■")))))</f>
        <v/>
      </c>
      <c r="K20" s="44">
        <f>IF($AY20=0,"",IF(MOD($AY20,8)=7,IF($AY20&gt;=8,"◇","◆"),IF(MOD($AY20,8)=3,IF($AY20&gt;=8,"▷","▶"),IF(MOD($AY20,8)=5,IF($AY20&gt;=8,"◁","◀"),IF($AY20&gt;=8,"□","■")))))</f>
        <v/>
      </c>
      <c r="L20" s="44">
        <f>IF($AZ20=0,"",IF(MOD($AZ20,8)=7,IF($AZ20&gt;=8,"◇","◆"),IF(MOD($AZ20,8)=3,IF($AZ20&gt;=8,"▷","▶"),IF(MOD($AZ20,8)=5,IF($AZ20&gt;=8,"◁","◀"),IF($AZ20&gt;=8,"□","■")))))</f>
        <v/>
      </c>
      <c r="M20" s="44">
        <f>IF($BA20=0,"",IF(MOD($BA20,8)=7,IF($BA20&gt;=8,"◇","◆"),IF(MOD($BA20,8)=3,IF($BA20&gt;=8,"▷","▶"),IF(MOD($BA20,8)=5,IF($BA20&gt;=8,"◁","◀"),IF($BA20&gt;=8,"□","■")))))</f>
        <v/>
      </c>
      <c r="N20" s="44">
        <f>IF($BB20=0,"",IF(MOD($BB20,8)=7,IF($BB20&gt;=8,"◇","◆"),IF(MOD($BB20,8)=3,IF($BB20&gt;=8,"▷","▶"),IF(MOD($BB20,8)=5,IF($BB20&gt;=8,"◁","◀"),IF($BB20&gt;=8,"□","■")))))</f>
        <v/>
      </c>
      <c r="O20" s="44">
        <f>IF($BC20=0,"",IF(MOD($BC20,8)=7,IF($BC20&gt;=8,"◇","◆"),IF(MOD($BC20,8)=3,IF($BC20&gt;=8,"▷","▶"),IF(MOD($BC20,8)=5,IF($BC20&gt;=8,"◁","◀"),IF($BC20&gt;=8,"□","■")))))</f>
        <v/>
      </c>
      <c r="P20" s="44">
        <f>IF($BD20=0,"",IF(MOD($BD20,8)=7,IF($BD20&gt;=8,"◇","◆"),IF(MOD($BD20,8)=3,IF($BD20&gt;=8,"▷","▶"),IF(MOD($BD20,8)=5,IF($BD20&gt;=8,"◁","◀"),IF($BD20&gt;=8,"□","■")))))</f>
        <v/>
      </c>
      <c r="Q20" s="44">
        <f>IF($BE20=0,"",IF(MOD($BE20,8)=7,IF($BE20&gt;=8,"◇","◆"),IF(MOD($BE20,8)=3,IF($BE20&gt;=8,"▷","▶"),IF(MOD($BE20,8)=5,IF($BE20&gt;=8,"◁","◀"),IF($BE20&gt;=8,"□","■")))))</f>
        <v/>
      </c>
      <c r="R20" s="44">
        <f>IF($BF20=0,"",IF(MOD($BF20,8)=7,IF($BF20&gt;=8,"◇","◆"),IF(MOD($BF20,8)=3,IF($BF20&gt;=8,"▷","▶"),IF(MOD($BF20,8)=5,IF($BF20&gt;=8,"◁","◀"),IF($BF20&gt;=8,"□","■")))))</f>
        <v/>
      </c>
      <c r="S20" s="44">
        <f>IF($BG20=0,"",IF(MOD($BG20,8)=7,IF($BG20&gt;=8,"◇","◆"),IF(MOD($BG20,8)=3,IF($BG20&gt;=8,"▷","▶"),IF(MOD($BG20,8)=5,IF($BG20&gt;=8,"◁","◀"),IF($BG20&gt;=8,"□","■")))))</f>
        <v/>
      </c>
      <c r="T20" s="44">
        <f>IF($BH20=0,"",IF(MOD($BH20,8)=7,IF($BH20&gt;=8,"◇","◆"),IF(MOD($BH20,8)=3,IF($BH20&gt;=8,"▷","▶"),IF(MOD($BH20,8)=5,IF($BH20&gt;=8,"◁","◀"),IF($BH20&gt;=8,"□","■")))))</f>
        <v/>
      </c>
      <c r="U20" s="44">
        <f>IF($BI20=0,"",IF(MOD($BI20,8)=7,IF($BI20&gt;=8,"◇","◆"),IF(MOD($BI20,8)=3,IF($BI20&gt;=8,"▷","▶"),IF(MOD($BI20,8)=5,IF($BI20&gt;=8,"◁","◀"),IF($BI20&gt;=8,"□","■")))))</f>
        <v/>
      </c>
      <c r="V20" s="44">
        <f>IF($BJ20=0,"",IF(MOD($BJ20,8)=7,IF($BJ20&gt;=8,"◇","◆"),IF(MOD($BJ20,8)=3,IF($BJ20&gt;=8,"▷","▶"),IF(MOD($BJ20,8)=5,IF($BJ20&gt;=8,"◁","◀"),IF($BJ20&gt;=8,"□","■")))))</f>
        <v/>
      </c>
      <c r="W20" s="44">
        <f>IF($BK20=0,"",IF(MOD($BK20,8)=7,IF($BK20&gt;=8,"◇","◆"),IF(MOD($BK20,8)=3,IF($BK20&gt;=8,"▷","▶"),IF(MOD($BK20,8)=5,IF($BK20&gt;=8,"◁","◀"),IF($BK20&gt;=8,"□","■")))))</f>
        <v/>
      </c>
      <c r="X20" s="44">
        <f>IF($BL20=0,"",IF(MOD($BL20,8)=7,IF($BL20&gt;=8,"◇","◆"),IF(MOD($BL20,8)=3,IF($BL20&gt;=8,"▷","▶"),IF(MOD($BL20,8)=5,IF($BL20&gt;=8,"◁","◀"),IF($BL20&gt;=8,"□","■")))))</f>
        <v/>
      </c>
      <c r="Y20" s="44">
        <f>IF($BM20=0,"",IF(MOD($BM20,8)=7,IF($BM20&gt;=8,"◇","◆"),IF(MOD($BM20,8)=3,IF($BM20&gt;=8,"▷","▶"),IF(MOD($BM20,8)=5,IF($BM20&gt;=8,"◁","◀"),IF($BM20&gt;=8,"□","■")))))</f>
        <v/>
      </c>
      <c r="Z20" s="44">
        <f>IF($BN20=0,"",IF(MOD($BN20,8)=7,IF($BN20&gt;=8,"◇","◆"),IF(MOD($BN20,8)=3,IF($BN20&gt;=8,"▷","▶"),IF(MOD($BN20,8)=5,IF($BN20&gt;=8,"◁","◀"),IF($BN20&gt;=8,"□","■")))))</f>
        <v/>
      </c>
      <c r="AA20" s="44">
        <f>IF($BO20=0,"",IF(MOD($BO20,8)=7,IF($BO20&gt;=8,"◇","◆"),IF(MOD($BO20,8)=3,IF($BO20&gt;=8,"▷","▶"),IF(MOD($BO20,8)=5,IF($BO20&gt;=8,"◁","◀"),IF($BO20&gt;=8,"□","■")))))</f>
        <v/>
      </c>
      <c r="AB20" s="44">
        <f>IF($BP20=0,"",IF(MOD($BP20,8)=7,IF($BP20&gt;=8,"◇","◆"),IF(MOD($BP20,8)=3,IF($BP20&gt;=8,"▷","▶"),IF(MOD($BP20,8)=5,IF($BP20&gt;=8,"◁","◀"),IF($BP20&gt;=8,"□","■")))))</f>
        <v/>
      </c>
      <c r="AC20" s="44">
        <f>IF($BQ20=0,"",IF(MOD($BQ20,8)=7,IF($BQ20&gt;=8,"◇","◆"),IF(MOD($BQ20,8)=3,IF($BQ20&gt;=8,"▷","▶"),IF(MOD($BQ20,8)=5,IF($BQ20&gt;=8,"◁","◀"),IF($BQ20&gt;=8,"□","■")))))</f>
        <v/>
      </c>
      <c r="AD20" s="44">
        <f>IF($BR20=0,"",IF(MOD($BR20,8)=7,IF($BR20&gt;=8,"◇","◆"),IF(MOD($BR20,8)=3,IF($BR20&gt;=8,"▷","▶"),IF(MOD($BR20,8)=5,IF($BR20&gt;=8,"◁","◀"),IF($BR20&gt;=8,"□","■")))))</f>
        <v/>
      </c>
      <c r="AE20" s="44">
        <f>IF($BS20=0,"",IF(MOD($BS20,8)=7,IF($BS20&gt;=8,"◇","◆"),IF(MOD($BS20,8)=3,IF($BS20&gt;=8,"▷","▶"),IF(MOD($BS20,8)=5,IF($BS20&gt;=8,"◁","◀"),IF($BS20&gt;=8,"□","■")))))</f>
        <v/>
      </c>
      <c r="AF20" s="44">
        <f>IF($BT20=0,"",IF(MOD($BT20,8)=7,IF($BT20&gt;=8,"◇","◆"),IF(MOD($BT20,8)=3,IF($BT20&gt;=8,"▷","▶"),IF(MOD($BT20,8)=5,IF($BT20&gt;=8,"◁","◀"),IF($BT20&gt;=8,"□","■")))))</f>
        <v/>
      </c>
      <c r="AG20" s="45">
        <f>IF($A20="","",COUNTIF($AP20:$BT20,"&gt;0"))</f>
        <v/>
      </c>
      <c r="AP20">
        <f>IF(OR($A20="",B$4=""),0,SUMPRODUCT(('01_予約入力'!$G$5:$G$404&lt;&gt;"")*('01_予約入力'!$Q$5:$Q$404&lt;&gt;"キャンセル")*('01_予約入力'!$B$5:$B$404=$A20)*('01_予約入力'!$G$5:$G$404&lt;=B$4)*('01_予約入力'!$J$5:$J$404&gt;=B$4)*(1+2*('01_予約入力'!$G$5:$G$404=B$4)+4*('01_予約入力'!$J$5:$J$404=B$4)+8*(('01_予約入力'!$Q$5:$Q$404="仮予約")+('01_予約入力'!$Q$5:$Q$404="調整中")))))</f>
        <v/>
      </c>
      <c r="AQ20">
        <f>IF(OR($A20="",C$4=""),0,SUMPRODUCT(('01_予約入力'!$G$5:$G$404&lt;&gt;"")*('01_予約入力'!$Q$5:$Q$404&lt;&gt;"キャンセル")*('01_予約入力'!$B$5:$B$404=$A20)*('01_予約入力'!$G$5:$G$404&lt;=C$4)*('01_予約入力'!$J$5:$J$404&gt;=C$4)*(1+2*('01_予約入力'!$G$5:$G$404=C$4)+4*('01_予約入力'!$J$5:$J$404=C$4)+8*(('01_予約入力'!$Q$5:$Q$404="仮予約")+('01_予約入力'!$Q$5:$Q$404="調整中")))))</f>
        <v/>
      </c>
      <c r="AR20">
        <f>IF(OR($A20="",D$4=""),0,SUMPRODUCT(('01_予約入力'!$G$5:$G$404&lt;&gt;"")*('01_予約入力'!$Q$5:$Q$404&lt;&gt;"キャンセル")*('01_予約入力'!$B$5:$B$404=$A20)*('01_予約入力'!$G$5:$G$404&lt;=D$4)*('01_予約入力'!$J$5:$J$404&gt;=D$4)*(1+2*('01_予約入力'!$G$5:$G$404=D$4)+4*('01_予約入力'!$J$5:$J$404=D$4)+8*(('01_予約入力'!$Q$5:$Q$404="仮予約")+('01_予約入力'!$Q$5:$Q$404="調整中")))))</f>
        <v/>
      </c>
      <c r="AS20">
        <f>IF(OR($A20="",E$4=""),0,SUMPRODUCT(('01_予約入力'!$G$5:$G$404&lt;&gt;"")*('01_予約入力'!$Q$5:$Q$404&lt;&gt;"キャンセル")*('01_予約入力'!$B$5:$B$404=$A20)*('01_予約入力'!$G$5:$G$404&lt;=E$4)*('01_予約入力'!$J$5:$J$404&gt;=E$4)*(1+2*('01_予約入力'!$G$5:$G$404=E$4)+4*('01_予約入力'!$J$5:$J$404=E$4)+8*(('01_予約入力'!$Q$5:$Q$404="仮予約")+('01_予約入力'!$Q$5:$Q$404="調整中")))))</f>
        <v/>
      </c>
      <c r="AT20">
        <f>IF(OR($A20="",F$4=""),0,SUMPRODUCT(('01_予約入力'!$G$5:$G$404&lt;&gt;"")*('01_予約入力'!$Q$5:$Q$404&lt;&gt;"キャンセル")*('01_予約入力'!$B$5:$B$404=$A20)*('01_予約入力'!$G$5:$G$404&lt;=F$4)*('01_予約入力'!$J$5:$J$404&gt;=F$4)*(1+2*('01_予約入力'!$G$5:$G$404=F$4)+4*('01_予約入力'!$J$5:$J$404=F$4)+8*(('01_予約入力'!$Q$5:$Q$404="仮予約")+('01_予約入力'!$Q$5:$Q$404="調整中")))))</f>
        <v/>
      </c>
      <c r="AU20">
        <f>IF(OR($A20="",G$4=""),0,SUMPRODUCT(('01_予約入力'!$G$5:$G$404&lt;&gt;"")*('01_予約入力'!$Q$5:$Q$404&lt;&gt;"キャンセル")*('01_予約入力'!$B$5:$B$404=$A20)*('01_予約入力'!$G$5:$G$404&lt;=G$4)*('01_予約入力'!$J$5:$J$404&gt;=G$4)*(1+2*('01_予約入力'!$G$5:$G$404=G$4)+4*('01_予約入力'!$J$5:$J$404=G$4)+8*(('01_予約入力'!$Q$5:$Q$404="仮予約")+('01_予約入力'!$Q$5:$Q$404="調整中")))))</f>
        <v/>
      </c>
      <c r="AV20">
        <f>IF(OR($A20="",H$4=""),0,SUMPRODUCT(('01_予約入力'!$G$5:$G$404&lt;&gt;"")*('01_予約入力'!$Q$5:$Q$404&lt;&gt;"キャンセル")*('01_予約入力'!$B$5:$B$404=$A20)*('01_予約入力'!$G$5:$G$404&lt;=H$4)*('01_予約入力'!$J$5:$J$404&gt;=H$4)*(1+2*('01_予約入力'!$G$5:$G$404=H$4)+4*('01_予約入力'!$J$5:$J$404=H$4)+8*(('01_予約入力'!$Q$5:$Q$404="仮予約")+('01_予約入力'!$Q$5:$Q$404="調整中")))))</f>
        <v/>
      </c>
      <c r="AW20">
        <f>IF(OR($A20="",I$4=""),0,SUMPRODUCT(('01_予約入力'!$G$5:$G$404&lt;&gt;"")*('01_予約入力'!$Q$5:$Q$404&lt;&gt;"キャンセル")*('01_予約入力'!$B$5:$B$404=$A20)*('01_予約入力'!$G$5:$G$404&lt;=I$4)*('01_予約入力'!$J$5:$J$404&gt;=I$4)*(1+2*('01_予約入力'!$G$5:$G$404=I$4)+4*('01_予約入力'!$J$5:$J$404=I$4)+8*(('01_予約入力'!$Q$5:$Q$404="仮予約")+('01_予約入力'!$Q$5:$Q$404="調整中")))))</f>
        <v/>
      </c>
      <c r="AX20">
        <f>IF(OR($A20="",J$4=""),0,SUMPRODUCT(('01_予約入力'!$G$5:$G$404&lt;&gt;"")*('01_予約入力'!$Q$5:$Q$404&lt;&gt;"キャンセル")*('01_予約入力'!$B$5:$B$404=$A20)*('01_予約入力'!$G$5:$G$404&lt;=J$4)*('01_予約入力'!$J$5:$J$404&gt;=J$4)*(1+2*('01_予約入力'!$G$5:$G$404=J$4)+4*('01_予約入力'!$J$5:$J$404=J$4)+8*(('01_予約入力'!$Q$5:$Q$404="仮予約")+('01_予約入力'!$Q$5:$Q$404="調整中")))))</f>
        <v/>
      </c>
      <c r="AY20">
        <f>IF(OR($A20="",K$4=""),0,SUMPRODUCT(('01_予約入力'!$G$5:$G$404&lt;&gt;"")*('01_予約入力'!$Q$5:$Q$404&lt;&gt;"キャンセル")*('01_予約入力'!$B$5:$B$404=$A20)*('01_予約入力'!$G$5:$G$404&lt;=K$4)*('01_予約入力'!$J$5:$J$404&gt;=K$4)*(1+2*('01_予約入力'!$G$5:$G$404=K$4)+4*('01_予約入力'!$J$5:$J$404=K$4)+8*(('01_予約入力'!$Q$5:$Q$404="仮予約")+('01_予約入力'!$Q$5:$Q$404="調整中")))))</f>
        <v/>
      </c>
      <c r="AZ20">
        <f>IF(OR($A20="",L$4=""),0,SUMPRODUCT(('01_予約入力'!$G$5:$G$404&lt;&gt;"")*('01_予約入力'!$Q$5:$Q$404&lt;&gt;"キャンセル")*('01_予約入力'!$B$5:$B$404=$A20)*('01_予約入力'!$G$5:$G$404&lt;=L$4)*('01_予約入力'!$J$5:$J$404&gt;=L$4)*(1+2*('01_予約入力'!$G$5:$G$404=L$4)+4*('01_予約入力'!$J$5:$J$404=L$4)+8*(('01_予約入力'!$Q$5:$Q$404="仮予約")+('01_予約入力'!$Q$5:$Q$404="調整中")))))</f>
        <v/>
      </c>
      <c r="BA20">
        <f>IF(OR($A20="",M$4=""),0,SUMPRODUCT(('01_予約入力'!$G$5:$G$404&lt;&gt;"")*('01_予約入力'!$Q$5:$Q$404&lt;&gt;"キャンセル")*('01_予約入力'!$B$5:$B$404=$A20)*('01_予約入力'!$G$5:$G$404&lt;=M$4)*('01_予約入力'!$J$5:$J$404&gt;=M$4)*(1+2*('01_予約入力'!$G$5:$G$404=M$4)+4*('01_予約入力'!$J$5:$J$404=M$4)+8*(('01_予約入力'!$Q$5:$Q$404="仮予約")+('01_予約入力'!$Q$5:$Q$404="調整中")))))</f>
        <v/>
      </c>
      <c r="BB20">
        <f>IF(OR($A20="",N$4=""),0,SUMPRODUCT(('01_予約入力'!$G$5:$G$404&lt;&gt;"")*('01_予約入力'!$Q$5:$Q$404&lt;&gt;"キャンセル")*('01_予約入力'!$B$5:$B$404=$A20)*('01_予約入力'!$G$5:$G$404&lt;=N$4)*('01_予約入力'!$J$5:$J$404&gt;=N$4)*(1+2*('01_予約入力'!$G$5:$G$404=N$4)+4*('01_予約入力'!$J$5:$J$404=N$4)+8*(('01_予約入力'!$Q$5:$Q$404="仮予約")+('01_予約入力'!$Q$5:$Q$404="調整中")))))</f>
        <v/>
      </c>
      <c r="BC20">
        <f>IF(OR($A20="",O$4=""),0,SUMPRODUCT(('01_予約入力'!$G$5:$G$404&lt;&gt;"")*('01_予約入力'!$Q$5:$Q$404&lt;&gt;"キャンセル")*('01_予約入力'!$B$5:$B$404=$A20)*('01_予約入力'!$G$5:$G$404&lt;=O$4)*('01_予約入力'!$J$5:$J$404&gt;=O$4)*(1+2*('01_予約入力'!$G$5:$G$404=O$4)+4*('01_予約入力'!$J$5:$J$404=O$4)+8*(('01_予約入力'!$Q$5:$Q$404="仮予約")+('01_予約入力'!$Q$5:$Q$404="調整中")))))</f>
        <v/>
      </c>
      <c r="BD20">
        <f>IF(OR($A20="",P$4=""),0,SUMPRODUCT(('01_予約入力'!$G$5:$G$404&lt;&gt;"")*('01_予約入力'!$Q$5:$Q$404&lt;&gt;"キャンセル")*('01_予約入力'!$B$5:$B$404=$A20)*('01_予約入力'!$G$5:$G$404&lt;=P$4)*('01_予約入力'!$J$5:$J$404&gt;=P$4)*(1+2*('01_予約入力'!$G$5:$G$404=P$4)+4*('01_予約入力'!$J$5:$J$404=P$4)+8*(('01_予約入力'!$Q$5:$Q$404="仮予約")+('01_予約入力'!$Q$5:$Q$404="調整中")))))</f>
        <v/>
      </c>
      <c r="BE20">
        <f>IF(OR($A20="",Q$4=""),0,SUMPRODUCT(('01_予約入力'!$G$5:$G$404&lt;&gt;"")*('01_予約入力'!$Q$5:$Q$404&lt;&gt;"キャンセル")*('01_予約入力'!$B$5:$B$404=$A20)*('01_予約入力'!$G$5:$G$404&lt;=Q$4)*('01_予約入力'!$J$5:$J$404&gt;=Q$4)*(1+2*('01_予約入力'!$G$5:$G$404=Q$4)+4*('01_予約入力'!$J$5:$J$404=Q$4)+8*(('01_予約入力'!$Q$5:$Q$404="仮予約")+('01_予約入力'!$Q$5:$Q$404="調整中")))))</f>
        <v/>
      </c>
      <c r="BF20">
        <f>IF(OR($A20="",R$4=""),0,SUMPRODUCT(('01_予約入力'!$G$5:$G$404&lt;&gt;"")*('01_予約入力'!$Q$5:$Q$404&lt;&gt;"キャンセル")*('01_予約入力'!$B$5:$B$404=$A20)*('01_予約入力'!$G$5:$G$404&lt;=R$4)*('01_予約入力'!$J$5:$J$404&gt;=R$4)*(1+2*('01_予約入力'!$G$5:$G$404=R$4)+4*('01_予約入力'!$J$5:$J$404=R$4)+8*(('01_予約入力'!$Q$5:$Q$404="仮予約")+('01_予約入力'!$Q$5:$Q$404="調整中")))))</f>
        <v/>
      </c>
      <c r="BG20">
        <f>IF(OR($A20="",S$4=""),0,SUMPRODUCT(('01_予約入力'!$G$5:$G$404&lt;&gt;"")*('01_予約入力'!$Q$5:$Q$404&lt;&gt;"キャンセル")*('01_予約入力'!$B$5:$B$404=$A20)*('01_予約入力'!$G$5:$G$404&lt;=S$4)*('01_予約入力'!$J$5:$J$404&gt;=S$4)*(1+2*('01_予約入力'!$G$5:$G$404=S$4)+4*('01_予約入力'!$J$5:$J$404=S$4)+8*(('01_予約入力'!$Q$5:$Q$404="仮予約")+('01_予約入力'!$Q$5:$Q$404="調整中")))))</f>
        <v/>
      </c>
      <c r="BH20">
        <f>IF(OR($A20="",T$4=""),0,SUMPRODUCT(('01_予約入力'!$G$5:$G$404&lt;&gt;"")*('01_予約入力'!$Q$5:$Q$404&lt;&gt;"キャンセル")*('01_予約入力'!$B$5:$B$404=$A20)*('01_予約入力'!$G$5:$G$404&lt;=T$4)*('01_予約入力'!$J$5:$J$404&gt;=T$4)*(1+2*('01_予約入力'!$G$5:$G$404=T$4)+4*('01_予約入力'!$J$5:$J$404=T$4)+8*(('01_予約入力'!$Q$5:$Q$404="仮予約")+('01_予約入力'!$Q$5:$Q$404="調整中")))))</f>
        <v/>
      </c>
      <c r="BI20">
        <f>IF(OR($A20="",U$4=""),0,SUMPRODUCT(('01_予約入力'!$G$5:$G$404&lt;&gt;"")*('01_予約入力'!$Q$5:$Q$404&lt;&gt;"キャンセル")*('01_予約入力'!$B$5:$B$404=$A20)*('01_予約入力'!$G$5:$G$404&lt;=U$4)*('01_予約入力'!$J$5:$J$404&gt;=U$4)*(1+2*('01_予約入力'!$G$5:$G$404=U$4)+4*('01_予約入力'!$J$5:$J$404=U$4)+8*(('01_予約入力'!$Q$5:$Q$404="仮予約")+('01_予約入力'!$Q$5:$Q$404="調整中")))))</f>
        <v/>
      </c>
      <c r="BJ20">
        <f>IF(OR($A20="",V$4=""),0,SUMPRODUCT(('01_予約入力'!$G$5:$G$404&lt;&gt;"")*('01_予約入力'!$Q$5:$Q$404&lt;&gt;"キャンセル")*('01_予約入力'!$B$5:$B$404=$A20)*('01_予約入力'!$G$5:$G$404&lt;=V$4)*('01_予約入力'!$J$5:$J$404&gt;=V$4)*(1+2*('01_予約入力'!$G$5:$G$404=V$4)+4*('01_予約入力'!$J$5:$J$404=V$4)+8*(('01_予約入力'!$Q$5:$Q$404="仮予約")+('01_予約入力'!$Q$5:$Q$404="調整中")))))</f>
        <v/>
      </c>
      <c r="BK20">
        <f>IF(OR($A20="",W$4=""),0,SUMPRODUCT(('01_予約入力'!$G$5:$G$404&lt;&gt;"")*('01_予約入力'!$Q$5:$Q$404&lt;&gt;"キャンセル")*('01_予約入力'!$B$5:$B$404=$A20)*('01_予約入力'!$G$5:$G$404&lt;=W$4)*('01_予約入力'!$J$5:$J$404&gt;=W$4)*(1+2*('01_予約入力'!$G$5:$G$404=W$4)+4*('01_予約入力'!$J$5:$J$404=W$4)+8*(('01_予約入力'!$Q$5:$Q$404="仮予約")+('01_予約入力'!$Q$5:$Q$404="調整中")))))</f>
        <v/>
      </c>
      <c r="BL20">
        <f>IF(OR($A20="",X$4=""),0,SUMPRODUCT(('01_予約入力'!$G$5:$G$404&lt;&gt;"")*('01_予約入力'!$Q$5:$Q$404&lt;&gt;"キャンセル")*('01_予約入力'!$B$5:$B$404=$A20)*('01_予約入力'!$G$5:$G$404&lt;=X$4)*('01_予約入力'!$J$5:$J$404&gt;=X$4)*(1+2*('01_予約入力'!$G$5:$G$404=X$4)+4*('01_予約入力'!$J$5:$J$404=X$4)+8*(('01_予約入力'!$Q$5:$Q$404="仮予約")+('01_予約入力'!$Q$5:$Q$404="調整中")))))</f>
        <v/>
      </c>
      <c r="BM20">
        <f>IF(OR($A20="",Y$4=""),0,SUMPRODUCT(('01_予約入力'!$G$5:$G$404&lt;&gt;"")*('01_予約入力'!$Q$5:$Q$404&lt;&gt;"キャンセル")*('01_予約入力'!$B$5:$B$404=$A20)*('01_予約入力'!$G$5:$G$404&lt;=Y$4)*('01_予約入力'!$J$5:$J$404&gt;=Y$4)*(1+2*('01_予約入力'!$G$5:$G$404=Y$4)+4*('01_予約入力'!$J$5:$J$404=Y$4)+8*(('01_予約入力'!$Q$5:$Q$404="仮予約")+('01_予約入力'!$Q$5:$Q$404="調整中")))))</f>
        <v/>
      </c>
      <c r="BN20">
        <f>IF(OR($A20="",Z$4=""),0,SUMPRODUCT(('01_予約入力'!$G$5:$G$404&lt;&gt;"")*('01_予約入力'!$Q$5:$Q$404&lt;&gt;"キャンセル")*('01_予約入力'!$B$5:$B$404=$A20)*('01_予約入力'!$G$5:$G$404&lt;=Z$4)*('01_予約入力'!$J$5:$J$404&gt;=Z$4)*(1+2*('01_予約入力'!$G$5:$G$404=Z$4)+4*('01_予約入力'!$J$5:$J$404=Z$4)+8*(('01_予約入力'!$Q$5:$Q$404="仮予約")+('01_予約入力'!$Q$5:$Q$404="調整中")))))</f>
        <v/>
      </c>
      <c r="BO20">
        <f>IF(OR($A20="",AA$4=""),0,SUMPRODUCT(('01_予約入力'!$G$5:$G$404&lt;&gt;"")*('01_予約入力'!$Q$5:$Q$404&lt;&gt;"キャンセル")*('01_予約入力'!$B$5:$B$404=$A20)*('01_予約入力'!$G$5:$G$404&lt;=AA$4)*('01_予約入力'!$J$5:$J$404&gt;=AA$4)*(1+2*('01_予約入力'!$G$5:$G$404=AA$4)+4*('01_予約入力'!$J$5:$J$404=AA$4)+8*(('01_予約入力'!$Q$5:$Q$404="仮予約")+('01_予約入力'!$Q$5:$Q$404="調整中")))))</f>
        <v/>
      </c>
      <c r="BP20">
        <f>IF(OR($A20="",AB$4=""),0,SUMPRODUCT(('01_予約入力'!$G$5:$G$404&lt;&gt;"")*('01_予約入力'!$Q$5:$Q$404&lt;&gt;"キャンセル")*('01_予約入力'!$B$5:$B$404=$A20)*('01_予約入力'!$G$5:$G$404&lt;=AB$4)*('01_予約入力'!$J$5:$J$404&gt;=AB$4)*(1+2*('01_予約入力'!$G$5:$G$404=AB$4)+4*('01_予約入力'!$J$5:$J$404=AB$4)+8*(('01_予約入力'!$Q$5:$Q$404="仮予約")+('01_予約入力'!$Q$5:$Q$404="調整中")))))</f>
        <v/>
      </c>
      <c r="BQ20">
        <f>IF(OR($A20="",AC$4=""),0,SUMPRODUCT(('01_予約入力'!$G$5:$G$404&lt;&gt;"")*('01_予約入力'!$Q$5:$Q$404&lt;&gt;"キャンセル")*('01_予約入力'!$B$5:$B$404=$A20)*('01_予約入力'!$G$5:$G$404&lt;=AC$4)*('01_予約入力'!$J$5:$J$404&gt;=AC$4)*(1+2*('01_予約入力'!$G$5:$G$404=AC$4)+4*('01_予約入力'!$J$5:$J$404=AC$4)+8*(('01_予約入力'!$Q$5:$Q$404="仮予約")+('01_予約入力'!$Q$5:$Q$404="調整中")))))</f>
        <v/>
      </c>
      <c r="BR20">
        <f>IF(OR($A20="",AD$4=""),0,SUMPRODUCT(('01_予約入力'!$G$5:$G$404&lt;&gt;"")*('01_予約入力'!$Q$5:$Q$404&lt;&gt;"キャンセル")*('01_予約入力'!$B$5:$B$404=$A20)*('01_予約入力'!$G$5:$G$404&lt;=AD$4)*('01_予約入力'!$J$5:$J$404&gt;=AD$4)*(1+2*('01_予約入力'!$G$5:$G$404=AD$4)+4*('01_予約入力'!$J$5:$J$404=AD$4)+8*(('01_予約入力'!$Q$5:$Q$404="仮予約")+('01_予約入力'!$Q$5:$Q$404="調整中")))))</f>
        <v/>
      </c>
      <c r="BS20">
        <f>IF(OR($A20="",AE$4=""),0,SUMPRODUCT(('01_予約入力'!$G$5:$G$404&lt;&gt;"")*('01_予約入力'!$Q$5:$Q$404&lt;&gt;"キャンセル")*('01_予約入力'!$B$5:$B$404=$A20)*('01_予約入力'!$G$5:$G$404&lt;=AE$4)*('01_予約入力'!$J$5:$J$404&gt;=AE$4)*(1+2*('01_予約入力'!$G$5:$G$404=AE$4)+4*('01_予約入力'!$J$5:$J$404=AE$4)+8*(('01_予約入力'!$Q$5:$Q$404="仮予約")+('01_予約入力'!$Q$5:$Q$404="調整中")))))</f>
        <v/>
      </c>
      <c r="BT20">
        <f>IF(OR($A20="",AF$4=""),0,SUMPRODUCT(('01_予約入力'!$G$5:$G$404&lt;&gt;"")*('01_予約入力'!$Q$5:$Q$404&lt;&gt;"キャンセル")*('01_予約入力'!$B$5:$B$404=$A20)*('01_予約入力'!$G$5:$G$404&lt;=AF$4)*('01_予約入力'!$J$5:$J$404&gt;=AF$4)*(1+2*('01_予約入力'!$G$5:$G$404=AF$4)+4*('01_予約入力'!$J$5:$J$404=AF$4)+8*(('01_予約入力'!$Q$5:$Q$404="仮予約")+('01_予約入力'!$Q$5:$Q$404="調整中")))))</f>
        <v/>
      </c>
    </row>
    <row r="21" ht="19" customHeight="1">
      <c r="A21" s="43">
        <f>IF(COUNTA('利用者マスタ'!$A$4:$A$60)&gt;=15,INDEX('利用者マスタ'!$A$4:$A$60,15),"")</f>
        <v/>
      </c>
      <c r="B21" s="44">
        <f>IF($AP21=0,"",IF(MOD($AP21,8)=7,IF($AP21&gt;=8,"◇","◆"),IF(MOD($AP21,8)=3,IF($AP21&gt;=8,"▷","▶"),IF(MOD($AP21,8)=5,IF($AP21&gt;=8,"◁","◀"),IF($AP21&gt;=8,"□","■")))))</f>
        <v/>
      </c>
      <c r="C21" s="44">
        <f>IF($AQ21=0,"",IF(MOD($AQ21,8)=7,IF($AQ21&gt;=8,"◇","◆"),IF(MOD($AQ21,8)=3,IF($AQ21&gt;=8,"▷","▶"),IF(MOD($AQ21,8)=5,IF($AQ21&gt;=8,"◁","◀"),IF($AQ21&gt;=8,"□","■")))))</f>
        <v/>
      </c>
      <c r="D21" s="44">
        <f>IF($AR21=0,"",IF(MOD($AR21,8)=7,IF($AR21&gt;=8,"◇","◆"),IF(MOD($AR21,8)=3,IF($AR21&gt;=8,"▷","▶"),IF(MOD($AR21,8)=5,IF($AR21&gt;=8,"◁","◀"),IF($AR21&gt;=8,"□","■")))))</f>
        <v/>
      </c>
      <c r="E21" s="44">
        <f>IF($AS21=0,"",IF(MOD($AS21,8)=7,IF($AS21&gt;=8,"◇","◆"),IF(MOD($AS21,8)=3,IF($AS21&gt;=8,"▷","▶"),IF(MOD($AS21,8)=5,IF($AS21&gt;=8,"◁","◀"),IF($AS21&gt;=8,"□","■")))))</f>
        <v/>
      </c>
      <c r="F21" s="44">
        <f>IF($AT21=0,"",IF(MOD($AT21,8)=7,IF($AT21&gt;=8,"◇","◆"),IF(MOD($AT21,8)=3,IF($AT21&gt;=8,"▷","▶"),IF(MOD($AT21,8)=5,IF($AT21&gt;=8,"◁","◀"),IF($AT21&gt;=8,"□","■")))))</f>
        <v/>
      </c>
      <c r="G21" s="44">
        <f>IF($AU21=0,"",IF(MOD($AU21,8)=7,IF($AU21&gt;=8,"◇","◆"),IF(MOD($AU21,8)=3,IF($AU21&gt;=8,"▷","▶"),IF(MOD($AU21,8)=5,IF($AU21&gt;=8,"◁","◀"),IF($AU21&gt;=8,"□","■")))))</f>
        <v/>
      </c>
      <c r="H21" s="44">
        <f>IF($AV21=0,"",IF(MOD($AV21,8)=7,IF($AV21&gt;=8,"◇","◆"),IF(MOD($AV21,8)=3,IF($AV21&gt;=8,"▷","▶"),IF(MOD($AV21,8)=5,IF($AV21&gt;=8,"◁","◀"),IF($AV21&gt;=8,"□","■")))))</f>
        <v/>
      </c>
      <c r="I21" s="44">
        <f>IF($AW21=0,"",IF(MOD($AW21,8)=7,IF($AW21&gt;=8,"◇","◆"),IF(MOD($AW21,8)=3,IF($AW21&gt;=8,"▷","▶"),IF(MOD($AW21,8)=5,IF($AW21&gt;=8,"◁","◀"),IF($AW21&gt;=8,"□","■")))))</f>
        <v/>
      </c>
      <c r="J21" s="44">
        <f>IF($AX21=0,"",IF(MOD($AX21,8)=7,IF($AX21&gt;=8,"◇","◆"),IF(MOD($AX21,8)=3,IF($AX21&gt;=8,"▷","▶"),IF(MOD($AX21,8)=5,IF($AX21&gt;=8,"◁","◀"),IF($AX21&gt;=8,"□","■")))))</f>
        <v/>
      </c>
      <c r="K21" s="44">
        <f>IF($AY21=0,"",IF(MOD($AY21,8)=7,IF($AY21&gt;=8,"◇","◆"),IF(MOD($AY21,8)=3,IF($AY21&gt;=8,"▷","▶"),IF(MOD($AY21,8)=5,IF($AY21&gt;=8,"◁","◀"),IF($AY21&gt;=8,"□","■")))))</f>
        <v/>
      </c>
      <c r="L21" s="44">
        <f>IF($AZ21=0,"",IF(MOD($AZ21,8)=7,IF($AZ21&gt;=8,"◇","◆"),IF(MOD($AZ21,8)=3,IF($AZ21&gt;=8,"▷","▶"),IF(MOD($AZ21,8)=5,IF($AZ21&gt;=8,"◁","◀"),IF($AZ21&gt;=8,"□","■")))))</f>
        <v/>
      </c>
      <c r="M21" s="44">
        <f>IF($BA21=0,"",IF(MOD($BA21,8)=7,IF($BA21&gt;=8,"◇","◆"),IF(MOD($BA21,8)=3,IF($BA21&gt;=8,"▷","▶"),IF(MOD($BA21,8)=5,IF($BA21&gt;=8,"◁","◀"),IF($BA21&gt;=8,"□","■")))))</f>
        <v/>
      </c>
      <c r="N21" s="44">
        <f>IF($BB21=0,"",IF(MOD($BB21,8)=7,IF($BB21&gt;=8,"◇","◆"),IF(MOD($BB21,8)=3,IF($BB21&gt;=8,"▷","▶"),IF(MOD($BB21,8)=5,IF($BB21&gt;=8,"◁","◀"),IF($BB21&gt;=8,"□","■")))))</f>
        <v/>
      </c>
      <c r="O21" s="44">
        <f>IF($BC21=0,"",IF(MOD($BC21,8)=7,IF($BC21&gt;=8,"◇","◆"),IF(MOD($BC21,8)=3,IF($BC21&gt;=8,"▷","▶"),IF(MOD($BC21,8)=5,IF($BC21&gt;=8,"◁","◀"),IF($BC21&gt;=8,"□","■")))))</f>
        <v/>
      </c>
      <c r="P21" s="44">
        <f>IF($BD21=0,"",IF(MOD($BD21,8)=7,IF($BD21&gt;=8,"◇","◆"),IF(MOD($BD21,8)=3,IF($BD21&gt;=8,"▷","▶"),IF(MOD($BD21,8)=5,IF($BD21&gt;=8,"◁","◀"),IF($BD21&gt;=8,"□","■")))))</f>
        <v/>
      </c>
      <c r="Q21" s="44">
        <f>IF($BE21=0,"",IF(MOD($BE21,8)=7,IF($BE21&gt;=8,"◇","◆"),IF(MOD($BE21,8)=3,IF($BE21&gt;=8,"▷","▶"),IF(MOD($BE21,8)=5,IF($BE21&gt;=8,"◁","◀"),IF($BE21&gt;=8,"□","■")))))</f>
        <v/>
      </c>
      <c r="R21" s="44">
        <f>IF($BF21=0,"",IF(MOD($BF21,8)=7,IF($BF21&gt;=8,"◇","◆"),IF(MOD($BF21,8)=3,IF($BF21&gt;=8,"▷","▶"),IF(MOD($BF21,8)=5,IF($BF21&gt;=8,"◁","◀"),IF($BF21&gt;=8,"□","■")))))</f>
        <v/>
      </c>
      <c r="S21" s="44">
        <f>IF($BG21=0,"",IF(MOD($BG21,8)=7,IF($BG21&gt;=8,"◇","◆"),IF(MOD($BG21,8)=3,IF($BG21&gt;=8,"▷","▶"),IF(MOD($BG21,8)=5,IF($BG21&gt;=8,"◁","◀"),IF($BG21&gt;=8,"□","■")))))</f>
        <v/>
      </c>
      <c r="T21" s="44">
        <f>IF($BH21=0,"",IF(MOD($BH21,8)=7,IF($BH21&gt;=8,"◇","◆"),IF(MOD($BH21,8)=3,IF($BH21&gt;=8,"▷","▶"),IF(MOD($BH21,8)=5,IF($BH21&gt;=8,"◁","◀"),IF($BH21&gt;=8,"□","■")))))</f>
        <v/>
      </c>
      <c r="U21" s="44">
        <f>IF($BI21=0,"",IF(MOD($BI21,8)=7,IF($BI21&gt;=8,"◇","◆"),IF(MOD($BI21,8)=3,IF($BI21&gt;=8,"▷","▶"),IF(MOD($BI21,8)=5,IF($BI21&gt;=8,"◁","◀"),IF($BI21&gt;=8,"□","■")))))</f>
        <v/>
      </c>
      <c r="V21" s="44">
        <f>IF($BJ21=0,"",IF(MOD($BJ21,8)=7,IF($BJ21&gt;=8,"◇","◆"),IF(MOD($BJ21,8)=3,IF($BJ21&gt;=8,"▷","▶"),IF(MOD($BJ21,8)=5,IF($BJ21&gt;=8,"◁","◀"),IF($BJ21&gt;=8,"□","■")))))</f>
        <v/>
      </c>
      <c r="W21" s="44">
        <f>IF($BK21=0,"",IF(MOD($BK21,8)=7,IF($BK21&gt;=8,"◇","◆"),IF(MOD($BK21,8)=3,IF($BK21&gt;=8,"▷","▶"),IF(MOD($BK21,8)=5,IF($BK21&gt;=8,"◁","◀"),IF($BK21&gt;=8,"□","■")))))</f>
        <v/>
      </c>
      <c r="X21" s="44">
        <f>IF($BL21=0,"",IF(MOD($BL21,8)=7,IF($BL21&gt;=8,"◇","◆"),IF(MOD($BL21,8)=3,IF($BL21&gt;=8,"▷","▶"),IF(MOD($BL21,8)=5,IF($BL21&gt;=8,"◁","◀"),IF($BL21&gt;=8,"□","■")))))</f>
        <v/>
      </c>
      <c r="Y21" s="44">
        <f>IF($BM21=0,"",IF(MOD($BM21,8)=7,IF($BM21&gt;=8,"◇","◆"),IF(MOD($BM21,8)=3,IF($BM21&gt;=8,"▷","▶"),IF(MOD($BM21,8)=5,IF($BM21&gt;=8,"◁","◀"),IF($BM21&gt;=8,"□","■")))))</f>
        <v/>
      </c>
      <c r="Z21" s="44">
        <f>IF($BN21=0,"",IF(MOD($BN21,8)=7,IF($BN21&gt;=8,"◇","◆"),IF(MOD($BN21,8)=3,IF($BN21&gt;=8,"▷","▶"),IF(MOD($BN21,8)=5,IF($BN21&gt;=8,"◁","◀"),IF($BN21&gt;=8,"□","■")))))</f>
        <v/>
      </c>
      <c r="AA21" s="44">
        <f>IF($BO21=0,"",IF(MOD($BO21,8)=7,IF($BO21&gt;=8,"◇","◆"),IF(MOD($BO21,8)=3,IF($BO21&gt;=8,"▷","▶"),IF(MOD($BO21,8)=5,IF($BO21&gt;=8,"◁","◀"),IF($BO21&gt;=8,"□","■")))))</f>
        <v/>
      </c>
      <c r="AB21" s="44">
        <f>IF($BP21=0,"",IF(MOD($BP21,8)=7,IF($BP21&gt;=8,"◇","◆"),IF(MOD($BP21,8)=3,IF($BP21&gt;=8,"▷","▶"),IF(MOD($BP21,8)=5,IF($BP21&gt;=8,"◁","◀"),IF($BP21&gt;=8,"□","■")))))</f>
        <v/>
      </c>
      <c r="AC21" s="44">
        <f>IF($BQ21=0,"",IF(MOD($BQ21,8)=7,IF($BQ21&gt;=8,"◇","◆"),IF(MOD($BQ21,8)=3,IF($BQ21&gt;=8,"▷","▶"),IF(MOD($BQ21,8)=5,IF($BQ21&gt;=8,"◁","◀"),IF($BQ21&gt;=8,"□","■")))))</f>
        <v/>
      </c>
      <c r="AD21" s="44">
        <f>IF($BR21=0,"",IF(MOD($BR21,8)=7,IF($BR21&gt;=8,"◇","◆"),IF(MOD($BR21,8)=3,IF($BR21&gt;=8,"▷","▶"),IF(MOD($BR21,8)=5,IF($BR21&gt;=8,"◁","◀"),IF($BR21&gt;=8,"□","■")))))</f>
        <v/>
      </c>
      <c r="AE21" s="44">
        <f>IF($BS21=0,"",IF(MOD($BS21,8)=7,IF($BS21&gt;=8,"◇","◆"),IF(MOD($BS21,8)=3,IF($BS21&gt;=8,"▷","▶"),IF(MOD($BS21,8)=5,IF($BS21&gt;=8,"◁","◀"),IF($BS21&gt;=8,"□","■")))))</f>
        <v/>
      </c>
      <c r="AF21" s="44">
        <f>IF($BT21=0,"",IF(MOD($BT21,8)=7,IF($BT21&gt;=8,"◇","◆"),IF(MOD($BT21,8)=3,IF($BT21&gt;=8,"▷","▶"),IF(MOD($BT21,8)=5,IF($BT21&gt;=8,"◁","◀"),IF($BT21&gt;=8,"□","■")))))</f>
        <v/>
      </c>
      <c r="AG21" s="45">
        <f>IF($A21="","",COUNTIF($AP21:$BT21,"&gt;0"))</f>
        <v/>
      </c>
      <c r="AP21">
        <f>IF(OR($A21="",B$4=""),0,SUMPRODUCT(('01_予約入力'!$G$5:$G$404&lt;&gt;"")*('01_予約入力'!$Q$5:$Q$404&lt;&gt;"キャンセル")*('01_予約入力'!$B$5:$B$404=$A21)*('01_予約入力'!$G$5:$G$404&lt;=B$4)*('01_予約入力'!$J$5:$J$404&gt;=B$4)*(1+2*('01_予約入力'!$G$5:$G$404=B$4)+4*('01_予約入力'!$J$5:$J$404=B$4)+8*(('01_予約入力'!$Q$5:$Q$404="仮予約")+('01_予約入力'!$Q$5:$Q$404="調整中")))))</f>
        <v/>
      </c>
      <c r="AQ21">
        <f>IF(OR($A21="",C$4=""),0,SUMPRODUCT(('01_予約入力'!$G$5:$G$404&lt;&gt;"")*('01_予約入力'!$Q$5:$Q$404&lt;&gt;"キャンセル")*('01_予約入力'!$B$5:$B$404=$A21)*('01_予約入力'!$G$5:$G$404&lt;=C$4)*('01_予約入力'!$J$5:$J$404&gt;=C$4)*(1+2*('01_予約入力'!$G$5:$G$404=C$4)+4*('01_予約入力'!$J$5:$J$404=C$4)+8*(('01_予約入力'!$Q$5:$Q$404="仮予約")+('01_予約入力'!$Q$5:$Q$404="調整中")))))</f>
        <v/>
      </c>
      <c r="AR21">
        <f>IF(OR($A21="",D$4=""),0,SUMPRODUCT(('01_予約入力'!$G$5:$G$404&lt;&gt;"")*('01_予約入力'!$Q$5:$Q$404&lt;&gt;"キャンセル")*('01_予約入力'!$B$5:$B$404=$A21)*('01_予約入力'!$G$5:$G$404&lt;=D$4)*('01_予約入力'!$J$5:$J$404&gt;=D$4)*(1+2*('01_予約入力'!$G$5:$G$404=D$4)+4*('01_予約入力'!$J$5:$J$404=D$4)+8*(('01_予約入力'!$Q$5:$Q$404="仮予約")+('01_予約入力'!$Q$5:$Q$404="調整中")))))</f>
        <v/>
      </c>
      <c r="AS21">
        <f>IF(OR($A21="",E$4=""),0,SUMPRODUCT(('01_予約入力'!$G$5:$G$404&lt;&gt;"")*('01_予約入力'!$Q$5:$Q$404&lt;&gt;"キャンセル")*('01_予約入力'!$B$5:$B$404=$A21)*('01_予約入力'!$G$5:$G$404&lt;=E$4)*('01_予約入力'!$J$5:$J$404&gt;=E$4)*(1+2*('01_予約入力'!$G$5:$G$404=E$4)+4*('01_予約入力'!$J$5:$J$404=E$4)+8*(('01_予約入力'!$Q$5:$Q$404="仮予約")+('01_予約入力'!$Q$5:$Q$404="調整中")))))</f>
        <v/>
      </c>
      <c r="AT21">
        <f>IF(OR($A21="",F$4=""),0,SUMPRODUCT(('01_予約入力'!$G$5:$G$404&lt;&gt;"")*('01_予約入力'!$Q$5:$Q$404&lt;&gt;"キャンセル")*('01_予約入力'!$B$5:$B$404=$A21)*('01_予約入力'!$G$5:$G$404&lt;=F$4)*('01_予約入力'!$J$5:$J$404&gt;=F$4)*(1+2*('01_予約入力'!$G$5:$G$404=F$4)+4*('01_予約入力'!$J$5:$J$404=F$4)+8*(('01_予約入力'!$Q$5:$Q$404="仮予約")+('01_予約入力'!$Q$5:$Q$404="調整中")))))</f>
        <v/>
      </c>
      <c r="AU21">
        <f>IF(OR($A21="",G$4=""),0,SUMPRODUCT(('01_予約入力'!$G$5:$G$404&lt;&gt;"")*('01_予約入力'!$Q$5:$Q$404&lt;&gt;"キャンセル")*('01_予約入力'!$B$5:$B$404=$A21)*('01_予約入力'!$G$5:$G$404&lt;=G$4)*('01_予約入力'!$J$5:$J$404&gt;=G$4)*(1+2*('01_予約入力'!$G$5:$G$404=G$4)+4*('01_予約入力'!$J$5:$J$404=G$4)+8*(('01_予約入力'!$Q$5:$Q$404="仮予約")+('01_予約入力'!$Q$5:$Q$404="調整中")))))</f>
        <v/>
      </c>
      <c r="AV21">
        <f>IF(OR($A21="",H$4=""),0,SUMPRODUCT(('01_予約入力'!$G$5:$G$404&lt;&gt;"")*('01_予約入力'!$Q$5:$Q$404&lt;&gt;"キャンセル")*('01_予約入力'!$B$5:$B$404=$A21)*('01_予約入力'!$G$5:$G$404&lt;=H$4)*('01_予約入力'!$J$5:$J$404&gt;=H$4)*(1+2*('01_予約入力'!$G$5:$G$404=H$4)+4*('01_予約入力'!$J$5:$J$404=H$4)+8*(('01_予約入力'!$Q$5:$Q$404="仮予約")+('01_予約入力'!$Q$5:$Q$404="調整中")))))</f>
        <v/>
      </c>
      <c r="AW21">
        <f>IF(OR($A21="",I$4=""),0,SUMPRODUCT(('01_予約入力'!$G$5:$G$404&lt;&gt;"")*('01_予約入力'!$Q$5:$Q$404&lt;&gt;"キャンセル")*('01_予約入力'!$B$5:$B$404=$A21)*('01_予約入力'!$G$5:$G$404&lt;=I$4)*('01_予約入力'!$J$5:$J$404&gt;=I$4)*(1+2*('01_予約入力'!$G$5:$G$404=I$4)+4*('01_予約入力'!$J$5:$J$404=I$4)+8*(('01_予約入力'!$Q$5:$Q$404="仮予約")+('01_予約入力'!$Q$5:$Q$404="調整中")))))</f>
        <v/>
      </c>
      <c r="AX21">
        <f>IF(OR($A21="",J$4=""),0,SUMPRODUCT(('01_予約入力'!$G$5:$G$404&lt;&gt;"")*('01_予約入力'!$Q$5:$Q$404&lt;&gt;"キャンセル")*('01_予約入力'!$B$5:$B$404=$A21)*('01_予約入力'!$G$5:$G$404&lt;=J$4)*('01_予約入力'!$J$5:$J$404&gt;=J$4)*(1+2*('01_予約入力'!$G$5:$G$404=J$4)+4*('01_予約入力'!$J$5:$J$404=J$4)+8*(('01_予約入力'!$Q$5:$Q$404="仮予約")+('01_予約入力'!$Q$5:$Q$404="調整中")))))</f>
        <v/>
      </c>
      <c r="AY21">
        <f>IF(OR($A21="",K$4=""),0,SUMPRODUCT(('01_予約入力'!$G$5:$G$404&lt;&gt;"")*('01_予約入力'!$Q$5:$Q$404&lt;&gt;"キャンセル")*('01_予約入力'!$B$5:$B$404=$A21)*('01_予約入力'!$G$5:$G$404&lt;=K$4)*('01_予約入力'!$J$5:$J$404&gt;=K$4)*(1+2*('01_予約入力'!$G$5:$G$404=K$4)+4*('01_予約入力'!$J$5:$J$404=K$4)+8*(('01_予約入力'!$Q$5:$Q$404="仮予約")+('01_予約入力'!$Q$5:$Q$404="調整中")))))</f>
        <v/>
      </c>
      <c r="AZ21">
        <f>IF(OR($A21="",L$4=""),0,SUMPRODUCT(('01_予約入力'!$G$5:$G$404&lt;&gt;"")*('01_予約入力'!$Q$5:$Q$404&lt;&gt;"キャンセル")*('01_予約入力'!$B$5:$B$404=$A21)*('01_予約入力'!$G$5:$G$404&lt;=L$4)*('01_予約入力'!$J$5:$J$404&gt;=L$4)*(1+2*('01_予約入力'!$G$5:$G$404=L$4)+4*('01_予約入力'!$J$5:$J$404=L$4)+8*(('01_予約入力'!$Q$5:$Q$404="仮予約")+('01_予約入力'!$Q$5:$Q$404="調整中")))))</f>
        <v/>
      </c>
      <c r="BA21">
        <f>IF(OR($A21="",M$4=""),0,SUMPRODUCT(('01_予約入力'!$G$5:$G$404&lt;&gt;"")*('01_予約入力'!$Q$5:$Q$404&lt;&gt;"キャンセル")*('01_予約入力'!$B$5:$B$404=$A21)*('01_予約入力'!$G$5:$G$404&lt;=M$4)*('01_予約入力'!$J$5:$J$404&gt;=M$4)*(1+2*('01_予約入力'!$G$5:$G$404=M$4)+4*('01_予約入力'!$J$5:$J$404=M$4)+8*(('01_予約入力'!$Q$5:$Q$404="仮予約")+('01_予約入力'!$Q$5:$Q$404="調整中")))))</f>
        <v/>
      </c>
      <c r="BB21">
        <f>IF(OR($A21="",N$4=""),0,SUMPRODUCT(('01_予約入力'!$G$5:$G$404&lt;&gt;"")*('01_予約入力'!$Q$5:$Q$404&lt;&gt;"キャンセル")*('01_予約入力'!$B$5:$B$404=$A21)*('01_予約入力'!$G$5:$G$404&lt;=N$4)*('01_予約入力'!$J$5:$J$404&gt;=N$4)*(1+2*('01_予約入力'!$G$5:$G$404=N$4)+4*('01_予約入力'!$J$5:$J$404=N$4)+8*(('01_予約入力'!$Q$5:$Q$404="仮予約")+('01_予約入力'!$Q$5:$Q$404="調整中")))))</f>
        <v/>
      </c>
      <c r="BC21">
        <f>IF(OR($A21="",O$4=""),0,SUMPRODUCT(('01_予約入力'!$G$5:$G$404&lt;&gt;"")*('01_予約入力'!$Q$5:$Q$404&lt;&gt;"キャンセル")*('01_予約入力'!$B$5:$B$404=$A21)*('01_予約入力'!$G$5:$G$404&lt;=O$4)*('01_予約入力'!$J$5:$J$404&gt;=O$4)*(1+2*('01_予約入力'!$G$5:$G$404=O$4)+4*('01_予約入力'!$J$5:$J$404=O$4)+8*(('01_予約入力'!$Q$5:$Q$404="仮予約")+('01_予約入力'!$Q$5:$Q$404="調整中")))))</f>
        <v/>
      </c>
      <c r="BD21">
        <f>IF(OR($A21="",P$4=""),0,SUMPRODUCT(('01_予約入力'!$G$5:$G$404&lt;&gt;"")*('01_予約入力'!$Q$5:$Q$404&lt;&gt;"キャンセル")*('01_予約入力'!$B$5:$B$404=$A21)*('01_予約入力'!$G$5:$G$404&lt;=P$4)*('01_予約入力'!$J$5:$J$404&gt;=P$4)*(1+2*('01_予約入力'!$G$5:$G$404=P$4)+4*('01_予約入力'!$J$5:$J$404=P$4)+8*(('01_予約入力'!$Q$5:$Q$404="仮予約")+('01_予約入力'!$Q$5:$Q$404="調整中")))))</f>
        <v/>
      </c>
      <c r="BE21">
        <f>IF(OR($A21="",Q$4=""),0,SUMPRODUCT(('01_予約入力'!$G$5:$G$404&lt;&gt;"")*('01_予約入力'!$Q$5:$Q$404&lt;&gt;"キャンセル")*('01_予約入力'!$B$5:$B$404=$A21)*('01_予約入力'!$G$5:$G$404&lt;=Q$4)*('01_予約入力'!$J$5:$J$404&gt;=Q$4)*(1+2*('01_予約入力'!$G$5:$G$404=Q$4)+4*('01_予約入力'!$J$5:$J$404=Q$4)+8*(('01_予約入力'!$Q$5:$Q$404="仮予約")+('01_予約入力'!$Q$5:$Q$404="調整中")))))</f>
        <v/>
      </c>
      <c r="BF21">
        <f>IF(OR($A21="",R$4=""),0,SUMPRODUCT(('01_予約入力'!$G$5:$G$404&lt;&gt;"")*('01_予約入力'!$Q$5:$Q$404&lt;&gt;"キャンセル")*('01_予約入力'!$B$5:$B$404=$A21)*('01_予約入力'!$G$5:$G$404&lt;=R$4)*('01_予約入力'!$J$5:$J$404&gt;=R$4)*(1+2*('01_予約入力'!$G$5:$G$404=R$4)+4*('01_予約入力'!$J$5:$J$404=R$4)+8*(('01_予約入力'!$Q$5:$Q$404="仮予約")+('01_予約入力'!$Q$5:$Q$404="調整中")))))</f>
        <v/>
      </c>
      <c r="BG21">
        <f>IF(OR($A21="",S$4=""),0,SUMPRODUCT(('01_予約入力'!$G$5:$G$404&lt;&gt;"")*('01_予約入力'!$Q$5:$Q$404&lt;&gt;"キャンセル")*('01_予約入力'!$B$5:$B$404=$A21)*('01_予約入力'!$G$5:$G$404&lt;=S$4)*('01_予約入力'!$J$5:$J$404&gt;=S$4)*(1+2*('01_予約入力'!$G$5:$G$404=S$4)+4*('01_予約入力'!$J$5:$J$404=S$4)+8*(('01_予約入力'!$Q$5:$Q$404="仮予約")+('01_予約入力'!$Q$5:$Q$404="調整中")))))</f>
        <v/>
      </c>
      <c r="BH21">
        <f>IF(OR($A21="",T$4=""),0,SUMPRODUCT(('01_予約入力'!$G$5:$G$404&lt;&gt;"")*('01_予約入力'!$Q$5:$Q$404&lt;&gt;"キャンセル")*('01_予約入力'!$B$5:$B$404=$A21)*('01_予約入力'!$G$5:$G$404&lt;=T$4)*('01_予約入力'!$J$5:$J$404&gt;=T$4)*(1+2*('01_予約入力'!$G$5:$G$404=T$4)+4*('01_予約入力'!$J$5:$J$404=T$4)+8*(('01_予約入力'!$Q$5:$Q$404="仮予約")+('01_予約入力'!$Q$5:$Q$404="調整中")))))</f>
        <v/>
      </c>
      <c r="BI21">
        <f>IF(OR($A21="",U$4=""),0,SUMPRODUCT(('01_予約入力'!$G$5:$G$404&lt;&gt;"")*('01_予約入力'!$Q$5:$Q$404&lt;&gt;"キャンセル")*('01_予約入力'!$B$5:$B$404=$A21)*('01_予約入力'!$G$5:$G$404&lt;=U$4)*('01_予約入力'!$J$5:$J$404&gt;=U$4)*(1+2*('01_予約入力'!$G$5:$G$404=U$4)+4*('01_予約入力'!$J$5:$J$404=U$4)+8*(('01_予約入力'!$Q$5:$Q$404="仮予約")+('01_予約入力'!$Q$5:$Q$404="調整中")))))</f>
        <v/>
      </c>
      <c r="BJ21">
        <f>IF(OR($A21="",V$4=""),0,SUMPRODUCT(('01_予約入力'!$G$5:$G$404&lt;&gt;"")*('01_予約入力'!$Q$5:$Q$404&lt;&gt;"キャンセル")*('01_予約入力'!$B$5:$B$404=$A21)*('01_予約入力'!$G$5:$G$404&lt;=V$4)*('01_予約入力'!$J$5:$J$404&gt;=V$4)*(1+2*('01_予約入力'!$G$5:$G$404=V$4)+4*('01_予約入力'!$J$5:$J$404=V$4)+8*(('01_予約入力'!$Q$5:$Q$404="仮予約")+('01_予約入力'!$Q$5:$Q$404="調整中")))))</f>
        <v/>
      </c>
      <c r="BK21">
        <f>IF(OR($A21="",W$4=""),0,SUMPRODUCT(('01_予約入力'!$G$5:$G$404&lt;&gt;"")*('01_予約入力'!$Q$5:$Q$404&lt;&gt;"キャンセル")*('01_予約入力'!$B$5:$B$404=$A21)*('01_予約入力'!$G$5:$G$404&lt;=W$4)*('01_予約入力'!$J$5:$J$404&gt;=W$4)*(1+2*('01_予約入力'!$G$5:$G$404=W$4)+4*('01_予約入力'!$J$5:$J$404=W$4)+8*(('01_予約入力'!$Q$5:$Q$404="仮予約")+('01_予約入力'!$Q$5:$Q$404="調整中")))))</f>
        <v/>
      </c>
      <c r="BL21">
        <f>IF(OR($A21="",X$4=""),0,SUMPRODUCT(('01_予約入力'!$G$5:$G$404&lt;&gt;"")*('01_予約入力'!$Q$5:$Q$404&lt;&gt;"キャンセル")*('01_予約入力'!$B$5:$B$404=$A21)*('01_予約入力'!$G$5:$G$404&lt;=X$4)*('01_予約入力'!$J$5:$J$404&gt;=X$4)*(1+2*('01_予約入力'!$G$5:$G$404=X$4)+4*('01_予約入力'!$J$5:$J$404=X$4)+8*(('01_予約入力'!$Q$5:$Q$404="仮予約")+('01_予約入力'!$Q$5:$Q$404="調整中")))))</f>
        <v/>
      </c>
      <c r="BM21">
        <f>IF(OR($A21="",Y$4=""),0,SUMPRODUCT(('01_予約入力'!$G$5:$G$404&lt;&gt;"")*('01_予約入力'!$Q$5:$Q$404&lt;&gt;"キャンセル")*('01_予約入力'!$B$5:$B$404=$A21)*('01_予約入力'!$G$5:$G$404&lt;=Y$4)*('01_予約入力'!$J$5:$J$404&gt;=Y$4)*(1+2*('01_予約入力'!$G$5:$G$404=Y$4)+4*('01_予約入力'!$J$5:$J$404=Y$4)+8*(('01_予約入力'!$Q$5:$Q$404="仮予約")+('01_予約入力'!$Q$5:$Q$404="調整中")))))</f>
        <v/>
      </c>
      <c r="BN21">
        <f>IF(OR($A21="",Z$4=""),0,SUMPRODUCT(('01_予約入力'!$G$5:$G$404&lt;&gt;"")*('01_予約入力'!$Q$5:$Q$404&lt;&gt;"キャンセル")*('01_予約入力'!$B$5:$B$404=$A21)*('01_予約入力'!$G$5:$G$404&lt;=Z$4)*('01_予約入力'!$J$5:$J$404&gt;=Z$4)*(1+2*('01_予約入力'!$G$5:$G$404=Z$4)+4*('01_予約入力'!$J$5:$J$404=Z$4)+8*(('01_予約入力'!$Q$5:$Q$404="仮予約")+('01_予約入力'!$Q$5:$Q$404="調整中")))))</f>
        <v/>
      </c>
      <c r="BO21">
        <f>IF(OR($A21="",AA$4=""),0,SUMPRODUCT(('01_予約入力'!$G$5:$G$404&lt;&gt;"")*('01_予約入力'!$Q$5:$Q$404&lt;&gt;"キャンセル")*('01_予約入力'!$B$5:$B$404=$A21)*('01_予約入力'!$G$5:$G$404&lt;=AA$4)*('01_予約入力'!$J$5:$J$404&gt;=AA$4)*(1+2*('01_予約入力'!$G$5:$G$404=AA$4)+4*('01_予約入力'!$J$5:$J$404=AA$4)+8*(('01_予約入力'!$Q$5:$Q$404="仮予約")+('01_予約入力'!$Q$5:$Q$404="調整中")))))</f>
        <v/>
      </c>
      <c r="BP21">
        <f>IF(OR($A21="",AB$4=""),0,SUMPRODUCT(('01_予約入力'!$G$5:$G$404&lt;&gt;"")*('01_予約入力'!$Q$5:$Q$404&lt;&gt;"キャンセル")*('01_予約入力'!$B$5:$B$404=$A21)*('01_予約入力'!$G$5:$G$404&lt;=AB$4)*('01_予約入力'!$J$5:$J$404&gt;=AB$4)*(1+2*('01_予約入力'!$G$5:$G$404=AB$4)+4*('01_予約入力'!$J$5:$J$404=AB$4)+8*(('01_予約入力'!$Q$5:$Q$404="仮予約")+('01_予約入力'!$Q$5:$Q$404="調整中")))))</f>
        <v/>
      </c>
      <c r="BQ21">
        <f>IF(OR($A21="",AC$4=""),0,SUMPRODUCT(('01_予約入力'!$G$5:$G$404&lt;&gt;"")*('01_予約入力'!$Q$5:$Q$404&lt;&gt;"キャンセル")*('01_予約入力'!$B$5:$B$404=$A21)*('01_予約入力'!$G$5:$G$404&lt;=AC$4)*('01_予約入力'!$J$5:$J$404&gt;=AC$4)*(1+2*('01_予約入力'!$G$5:$G$404=AC$4)+4*('01_予約入力'!$J$5:$J$404=AC$4)+8*(('01_予約入力'!$Q$5:$Q$404="仮予約")+('01_予約入力'!$Q$5:$Q$404="調整中")))))</f>
        <v/>
      </c>
      <c r="BR21">
        <f>IF(OR($A21="",AD$4=""),0,SUMPRODUCT(('01_予約入力'!$G$5:$G$404&lt;&gt;"")*('01_予約入力'!$Q$5:$Q$404&lt;&gt;"キャンセル")*('01_予約入力'!$B$5:$B$404=$A21)*('01_予約入力'!$G$5:$G$404&lt;=AD$4)*('01_予約入力'!$J$5:$J$404&gt;=AD$4)*(1+2*('01_予約入力'!$G$5:$G$404=AD$4)+4*('01_予約入力'!$J$5:$J$404=AD$4)+8*(('01_予約入力'!$Q$5:$Q$404="仮予約")+('01_予約入力'!$Q$5:$Q$404="調整中")))))</f>
        <v/>
      </c>
      <c r="BS21">
        <f>IF(OR($A21="",AE$4=""),0,SUMPRODUCT(('01_予約入力'!$G$5:$G$404&lt;&gt;"")*('01_予約入力'!$Q$5:$Q$404&lt;&gt;"キャンセル")*('01_予約入力'!$B$5:$B$404=$A21)*('01_予約入力'!$G$5:$G$404&lt;=AE$4)*('01_予約入力'!$J$5:$J$404&gt;=AE$4)*(1+2*('01_予約入力'!$G$5:$G$404=AE$4)+4*('01_予約入力'!$J$5:$J$404=AE$4)+8*(('01_予約入力'!$Q$5:$Q$404="仮予約")+('01_予約入力'!$Q$5:$Q$404="調整中")))))</f>
        <v/>
      </c>
      <c r="BT21">
        <f>IF(OR($A21="",AF$4=""),0,SUMPRODUCT(('01_予約入力'!$G$5:$G$404&lt;&gt;"")*('01_予約入力'!$Q$5:$Q$404&lt;&gt;"キャンセル")*('01_予約入力'!$B$5:$B$404=$A21)*('01_予約入力'!$G$5:$G$404&lt;=AF$4)*('01_予約入力'!$J$5:$J$404&gt;=AF$4)*(1+2*('01_予約入力'!$G$5:$G$404=AF$4)+4*('01_予約入力'!$J$5:$J$404=AF$4)+8*(('01_予約入力'!$Q$5:$Q$404="仮予約")+('01_予約入力'!$Q$5:$Q$404="調整中")))))</f>
        <v/>
      </c>
    </row>
    <row r="22" ht="19" customHeight="1">
      <c r="A22" s="43">
        <f>IF(COUNTA('利用者マスタ'!$A$4:$A$60)&gt;=16,INDEX('利用者マスタ'!$A$4:$A$60,16),"")</f>
        <v/>
      </c>
      <c r="B22" s="44">
        <f>IF($AP22=0,"",IF(MOD($AP22,8)=7,IF($AP22&gt;=8,"◇","◆"),IF(MOD($AP22,8)=3,IF($AP22&gt;=8,"▷","▶"),IF(MOD($AP22,8)=5,IF($AP22&gt;=8,"◁","◀"),IF($AP22&gt;=8,"□","■")))))</f>
        <v/>
      </c>
      <c r="C22" s="44">
        <f>IF($AQ22=0,"",IF(MOD($AQ22,8)=7,IF($AQ22&gt;=8,"◇","◆"),IF(MOD($AQ22,8)=3,IF($AQ22&gt;=8,"▷","▶"),IF(MOD($AQ22,8)=5,IF($AQ22&gt;=8,"◁","◀"),IF($AQ22&gt;=8,"□","■")))))</f>
        <v/>
      </c>
      <c r="D22" s="44">
        <f>IF($AR22=0,"",IF(MOD($AR22,8)=7,IF($AR22&gt;=8,"◇","◆"),IF(MOD($AR22,8)=3,IF($AR22&gt;=8,"▷","▶"),IF(MOD($AR22,8)=5,IF($AR22&gt;=8,"◁","◀"),IF($AR22&gt;=8,"□","■")))))</f>
        <v/>
      </c>
      <c r="E22" s="44">
        <f>IF($AS22=0,"",IF(MOD($AS22,8)=7,IF($AS22&gt;=8,"◇","◆"),IF(MOD($AS22,8)=3,IF($AS22&gt;=8,"▷","▶"),IF(MOD($AS22,8)=5,IF($AS22&gt;=8,"◁","◀"),IF($AS22&gt;=8,"□","■")))))</f>
        <v/>
      </c>
      <c r="F22" s="44">
        <f>IF($AT22=0,"",IF(MOD($AT22,8)=7,IF($AT22&gt;=8,"◇","◆"),IF(MOD($AT22,8)=3,IF($AT22&gt;=8,"▷","▶"),IF(MOD($AT22,8)=5,IF($AT22&gt;=8,"◁","◀"),IF($AT22&gt;=8,"□","■")))))</f>
        <v/>
      </c>
      <c r="G22" s="44">
        <f>IF($AU22=0,"",IF(MOD($AU22,8)=7,IF($AU22&gt;=8,"◇","◆"),IF(MOD($AU22,8)=3,IF($AU22&gt;=8,"▷","▶"),IF(MOD($AU22,8)=5,IF($AU22&gt;=8,"◁","◀"),IF($AU22&gt;=8,"□","■")))))</f>
        <v/>
      </c>
      <c r="H22" s="44">
        <f>IF($AV22=0,"",IF(MOD($AV22,8)=7,IF($AV22&gt;=8,"◇","◆"),IF(MOD($AV22,8)=3,IF($AV22&gt;=8,"▷","▶"),IF(MOD($AV22,8)=5,IF($AV22&gt;=8,"◁","◀"),IF($AV22&gt;=8,"□","■")))))</f>
        <v/>
      </c>
      <c r="I22" s="44">
        <f>IF($AW22=0,"",IF(MOD($AW22,8)=7,IF($AW22&gt;=8,"◇","◆"),IF(MOD($AW22,8)=3,IF($AW22&gt;=8,"▷","▶"),IF(MOD($AW22,8)=5,IF($AW22&gt;=8,"◁","◀"),IF($AW22&gt;=8,"□","■")))))</f>
        <v/>
      </c>
      <c r="J22" s="44">
        <f>IF($AX22=0,"",IF(MOD($AX22,8)=7,IF($AX22&gt;=8,"◇","◆"),IF(MOD($AX22,8)=3,IF($AX22&gt;=8,"▷","▶"),IF(MOD($AX22,8)=5,IF($AX22&gt;=8,"◁","◀"),IF($AX22&gt;=8,"□","■")))))</f>
        <v/>
      </c>
      <c r="K22" s="44">
        <f>IF($AY22=0,"",IF(MOD($AY22,8)=7,IF($AY22&gt;=8,"◇","◆"),IF(MOD($AY22,8)=3,IF($AY22&gt;=8,"▷","▶"),IF(MOD($AY22,8)=5,IF($AY22&gt;=8,"◁","◀"),IF($AY22&gt;=8,"□","■")))))</f>
        <v/>
      </c>
      <c r="L22" s="44">
        <f>IF($AZ22=0,"",IF(MOD($AZ22,8)=7,IF($AZ22&gt;=8,"◇","◆"),IF(MOD($AZ22,8)=3,IF($AZ22&gt;=8,"▷","▶"),IF(MOD($AZ22,8)=5,IF($AZ22&gt;=8,"◁","◀"),IF($AZ22&gt;=8,"□","■")))))</f>
        <v/>
      </c>
      <c r="M22" s="44">
        <f>IF($BA22=0,"",IF(MOD($BA22,8)=7,IF($BA22&gt;=8,"◇","◆"),IF(MOD($BA22,8)=3,IF($BA22&gt;=8,"▷","▶"),IF(MOD($BA22,8)=5,IF($BA22&gt;=8,"◁","◀"),IF($BA22&gt;=8,"□","■")))))</f>
        <v/>
      </c>
      <c r="N22" s="44">
        <f>IF($BB22=0,"",IF(MOD($BB22,8)=7,IF($BB22&gt;=8,"◇","◆"),IF(MOD($BB22,8)=3,IF($BB22&gt;=8,"▷","▶"),IF(MOD($BB22,8)=5,IF($BB22&gt;=8,"◁","◀"),IF($BB22&gt;=8,"□","■")))))</f>
        <v/>
      </c>
      <c r="O22" s="44">
        <f>IF($BC22=0,"",IF(MOD($BC22,8)=7,IF($BC22&gt;=8,"◇","◆"),IF(MOD($BC22,8)=3,IF($BC22&gt;=8,"▷","▶"),IF(MOD($BC22,8)=5,IF($BC22&gt;=8,"◁","◀"),IF($BC22&gt;=8,"□","■")))))</f>
        <v/>
      </c>
      <c r="P22" s="44">
        <f>IF($BD22=0,"",IF(MOD($BD22,8)=7,IF($BD22&gt;=8,"◇","◆"),IF(MOD($BD22,8)=3,IF($BD22&gt;=8,"▷","▶"),IF(MOD($BD22,8)=5,IF($BD22&gt;=8,"◁","◀"),IF($BD22&gt;=8,"□","■")))))</f>
        <v/>
      </c>
      <c r="Q22" s="44">
        <f>IF($BE22=0,"",IF(MOD($BE22,8)=7,IF($BE22&gt;=8,"◇","◆"),IF(MOD($BE22,8)=3,IF($BE22&gt;=8,"▷","▶"),IF(MOD($BE22,8)=5,IF($BE22&gt;=8,"◁","◀"),IF($BE22&gt;=8,"□","■")))))</f>
        <v/>
      </c>
      <c r="R22" s="44">
        <f>IF($BF22=0,"",IF(MOD($BF22,8)=7,IF($BF22&gt;=8,"◇","◆"),IF(MOD($BF22,8)=3,IF($BF22&gt;=8,"▷","▶"),IF(MOD($BF22,8)=5,IF($BF22&gt;=8,"◁","◀"),IF($BF22&gt;=8,"□","■")))))</f>
        <v/>
      </c>
      <c r="S22" s="44">
        <f>IF($BG22=0,"",IF(MOD($BG22,8)=7,IF($BG22&gt;=8,"◇","◆"),IF(MOD($BG22,8)=3,IF($BG22&gt;=8,"▷","▶"),IF(MOD($BG22,8)=5,IF($BG22&gt;=8,"◁","◀"),IF($BG22&gt;=8,"□","■")))))</f>
        <v/>
      </c>
      <c r="T22" s="44">
        <f>IF($BH22=0,"",IF(MOD($BH22,8)=7,IF($BH22&gt;=8,"◇","◆"),IF(MOD($BH22,8)=3,IF($BH22&gt;=8,"▷","▶"),IF(MOD($BH22,8)=5,IF($BH22&gt;=8,"◁","◀"),IF($BH22&gt;=8,"□","■")))))</f>
        <v/>
      </c>
      <c r="U22" s="44">
        <f>IF($BI22=0,"",IF(MOD($BI22,8)=7,IF($BI22&gt;=8,"◇","◆"),IF(MOD($BI22,8)=3,IF($BI22&gt;=8,"▷","▶"),IF(MOD($BI22,8)=5,IF($BI22&gt;=8,"◁","◀"),IF($BI22&gt;=8,"□","■")))))</f>
        <v/>
      </c>
      <c r="V22" s="44">
        <f>IF($BJ22=0,"",IF(MOD($BJ22,8)=7,IF($BJ22&gt;=8,"◇","◆"),IF(MOD($BJ22,8)=3,IF($BJ22&gt;=8,"▷","▶"),IF(MOD($BJ22,8)=5,IF($BJ22&gt;=8,"◁","◀"),IF($BJ22&gt;=8,"□","■")))))</f>
        <v/>
      </c>
      <c r="W22" s="44">
        <f>IF($BK22=0,"",IF(MOD($BK22,8)=7,IF($BK22&gt;=8,"◇","◆"),IF(MOD($BK22,8)=3,IF($BK22&gt;=8,"▷","▶"),IF(MOD($BK22,8)=5,IF($BK22&gt;=8,"◁","◀"),IF($BK22&gt;=8,"□","■")))))</f>
        <v/>
      </c>
      <c r="X22" s="44">
        <f>IF($BL22=0,"",IF(MOD($BL22,8)=7,IF($BL22&gt;=8,"◇","◆"),IF(MOD($BL22,8)=3,IF($BL22&gt;=8,"▷","▶"),IF(MOD($BL22,8)=5,IF($BL22&gt;=8,"◁","◀"),IF($BL22&gt;=8,"□","■")))))</f>
        <v/>
      </c>
      <c r="Y22" s="44">
        <f>IF($BM22=0,"",IF(MOD($BM22,8)=7,IF($BM22&gt;=8,"◇","◆"),IF(MOD($BM22,8)=3,IF($BM22&gt;=8,"▷","▶"),IF(MOD($BM22,8)=5,IF($BM22&gt;=8,"◁","◀"),IF($BM22&gt;=8,"□","■")))))</f>
        <v/>
      </c>
      <c r="Z22" s="44">
        <f>IF($BN22=0,"",IF(MOD($BN22,8)=7,IF($BN22&gt;=8,"◇","◆"),IF(MOD($BN22,8)=3,IF($BN22&gt;=8,"▷","▶"),IF(MOD($BN22,8)=5,IF($BN22&gt;=8,"◁","◀"),IF($BN22&gt;=8,"□","■")))))</f>
        <v/>
      </c>
      <c r="AA22" s="44">
        <f>IF($BO22=0,"",IF(MOD($BO22,8)=7,IF($BO22&gt;=8,"◇","◆"),IF(MOD($BO22,8)=3,IF($BO22&gt;=8,"▷","▶"),IF(MOD($BO22,8)=5,IF($BO22&gt;=8,"◁","◀"),IF($BO22&gt;=8,"□","■")))))</f>
        <v/>
      </c>
      <c r="AB22" s="44">
        <f>IF($BP22=0,"",IF(MOD($BP22,8)=7,IF($BP22&gt;=8,"◇","◆"),IF(MOD($BP22,8)=3,IF($BP22&gt;=8,"▷","▶"),IF(MOD($BP22,8)=5,IF($BP22&gt;=8,"◁","◀"),IF($BP22&gt;=8,"□","■")))))</f>
        <v/>
      </c>
      <c r="AC22" s="44">
        <f>IF($BQ22=0,"",IF(MOD($BQ22,8)=7,IF($BQ22&gt;=8,"◇","◆"),IF(MOD($BQ22,8)=3,IF($BQ22&gt;=8,"▷","▶"),IF(MOD($BQ22,8)=5,IF($BQ22&gt;=8,"◁","◀"),IF($BQ22&gt;=8,"□","■")))))</f>
        <v/>
      </c>
      <c r="AD22" s="44">
        <f>IF($BR22=0,"",IF(MOD($BR22,8)=7,IF($BR22&gt;=8,"◇","◆"),IF(MOD($BR22,8)=3,IF($BR22&gt;=8,"▷","▶"),IF(MOD($BR22,8)=5,IF($BR22&gt;=8,"◁","◀"),IF($BR22&gt;=8,"□","■")))))</f>
        <v/>
      </c>
      <c r="AE22" s="44">
        <f>IF($BS22=0,"",IF(MOD($BS22,8)=7,IF($BS22&gt;=8,"◇","◆"),IF(MOD($BS22,8)=3,IF($BS22&gt;=8,"▷","▶"),IF(MOD($BS22,8)=5,IF($BS22&gt;=8,"◁","◀"),IF($BS22&gt;=8,"□","■")))))</f>
        <v/>
      </c>
      <c r="AF22" s="44">
        <f>IF($BT22=0,"",IF(MOD($BT22,8)=7,IF($BT22&gt;=8,"◇","◆"),IF(MOD($BT22,8)=3,IF($BT22&gt;=8,"▷","▶"),IF(MOD($BT22,8)=5,IF($BT22&gt;=8,"◁","◀"),IF($BT22&gt;=8,"□","■")))))</f>
        <v/>
      </c>
      <c r="AG22" s="45">
        <f>IF($A22="","",COUNTIF($AP22:$BT22,"&gt;0"))</f>
        <v/>
      </c>
      <c r="AP22">
        <f>IF(OR($A22="",B$4=""),0,SUMPRODUCT(('01_予約入力'!$G$5:$G$404&lt;&gt;"")*('01_予約入力'!$Q$5:$Q$404&lt;&gt;"キャンセル")*('01_予約入力'!$B$5:$B$404=$A22)*('01_予約入力'!$G$5:$G$404&lt;=B$4)*('01_予約入力'!$J$5:$J$404&gt;=B$4)*(1+2*('01_予約入力'!$G$5:$G$404=B$4)+4*('01_予約入力'!$J$5:$J$404=B$4)+8*(('01_予約入力'!$Q$5:$Q$404="仮予約")+('01_予約入力'!$Q$5:$Q$404="調整中")))))</f>
        <v/>
      </c>
      <c r="AQ22">
        <f>IF(OR($A22="",C$4=""),0,SUMPRODUCT(('01_予約入力'!$G$5:$G$404&lt;&gt;"")*('01_予約入力'!$Q$5:$Q$404&lt;&gt;"キャンセル")*('01_予約入力'!$B$5:$B$404=$A22)*('01_予約入力'!$G$5:$G$404&lt;=C$4)*('01_予約入力'!$J$5:$J$404&gt;=C$4)*(1+2*('01_予約入力'!$G$5:$G$404=C$4)+4*('01_予約入力'!$J$5:$J$404=C$4)+8*(('01_予約入力'!$Q$5:$Q$404="仮予約")+('01_予約入力'!$Q$5:$Q$404="調整中")))))</f>
        <v/>
      </c>
      <c r="AR22">
        <f>IF(OR($A22="",D$4=""),0,SUMPRODUCT(('01_予約入力'!$G$5:$G$404&lt;&gt;"")*('01_予約入力'!$Q$5:$Q$404&lt;&gt;"キャンセル")*('01_予約入力'!$B$5:$B$404=$A22)*('01_予約入力'!$G$5:$G$404&lt;=D$4)*('01_予約入力'!$J$5:$J$404&gt;=D$4)*(1+2*('01_予約入力'!$G$5:$G$404=D$4)+4*('01_予約入力'!$J$5:$J$404=D$4)+8*(('01_予約入力'!$Q$5:$Q$404="仮予約")+('01_予約入力'!$Q$5:$Q$404="調整中")))))</f>
        <v/>
      </c>
      <c r="AS22">
        <f>IF(OR($A22="",E$4=""),0,SUMPRODUCT(('01_予約入力'!$G$5:$G$404&lt;&gt;"")*('01_予約入力'!$Q$5:$Q$404&lt;&gt;"キャンセル")*('01_予約入力'!$B$5:$B$404=$A22)*('01_予約入力'!$G$5:$G$404&lt;=E$4)*('01_予約入力'!$J$5:$J$404&gt;=E$4)*(1+2*('01_予約入力'!$G$5:$G$404=E$4)+4*('01_予約入力'!$J$5:$J$404=E$4)+8*(('01_予約入力'!$Q$5:$Q$404="仮予約")+('01_予約入力'!$Q$5:$Q$404="調整中")))))</f>
        <v/>
      </c>
      <c r="AT22">
        <f>IF(OR($A22="",F$4=""),0,SUMPRODUCT(('01_予約入力'!$G$5:$G$404&lt;&gt;"")*('01_予約入力'!$Q$5:$Q$404&lt;&gt;"キャンセル")*('01_予約入力'!$B$5:$B$404=$A22)*('01_予約入力'!$G$5:$G$404&lt;=F$4)*('01_予約入力'!$J$5:$J$404&gt;=F$4)*(1+2*('01_予約入力'!$G$5:$G$404=F$4)+4*('01_予約入力'!$J$5:$J$404=F$4)+8*(('01_予約入力'!$Q$5:$Q$404="仮予約")+('01_予約入力'!$Q$5:$Q$404="調整中")))))</f>
        <v/>
      </c>
      <c r="AU22">
        <f>IF(OR($A22="",G$4=""),0,SUMPRODUCT(('01_予約入力'!$G$5:$G$404&lt;&gt;"")*('01_予約入力'!$Q$5:$Q$404&lt;&gt;"キャンセル")*('01_予約入力'!$B$5:$B$404=$A22)*('01_予約入力'!$G$5:$G$404&lt;=G$4)*('01_予約入力'!$J$5:$J$404&gt;=G$4)*(1+2*('01_予約入力'!$G$5:$G$404=G$4)+4*('01_予約入力'!$J$5:$J$404=G$4)+8*(('01_予約入力'!$Q$5:$Q$404="仮予約")+('01_予約入力'!$Q$5:$Q$404="調整中")))))</f>
        <v/>
      </c>
      <c r="AV22">
        <f>IF(OR($A22="",H$4=""),0,SUMPRODUCT(('01_予約入力'!$G$5:$G$404&lt;&gt;"")*('01_予約入力'!$Q$5:$Q$404&lt;&gt;"キャンセル")*('01_予約入力'!$B$5:$B$404=$A22)*('01_予約入力'!$G$5:$G$404&lt;=H$4)*('01_予約入力'!$J$5:$J$404&gt;=H$4)*(1+2*('01_予約入力'!$G$5:$G$404=H$4)+4*('01_予約入力'!$J$5:$J$404=H$4)+8*(('01_予約入力'!$Q$5:$Q$404="仮予約")+('01_予約入力'!$Q$5:$Q$404="調整中")))))</f>
        <v/>
      </c>
      <c r="AW22">
        <f>IF(OR($A22="",I$4=""),0,SUMPRODUCT(('01_予約入力'!$G$5:$G$404&lt;&gt;"")*('01_予約入力'!$Q$5:$Q$404&lt;&gt;"キャンセル")*('01_予約入力'!$B$5:$B$404=$A22)*('01_予約入力'!$G$5:$G$404&lt;=I$4)*('01_予約入力'!$J$5:$J$404&gt;=I$4)*(1+2*('01_予約入力'!$G$5:$G$404=I$4)+4*('01_予約入力'!$J$5:$J$404=I$4)+8*(('01_予約入力'!$Q$5:$Q$404="仮予約")+('01_予約入力'!$Q$5:$Q$404="調整中")))))</f>
        <v/>
      </c>
      <c r="AX22">
        <f>IF(OR($A22="",J$4=""),0,SUMPRODUCT(('01_予約入力'!$G$5:$G$404&lt;&gt;"")*('01_予約入力'!$Q$5:$Q$404&lt;&gt;"キャンセル")*('01_予約入力'!$B$5:$B$404=$A22)*('01_予約入力'!$G$5:$G$404&lt;=J$4)*('01_予約入力'!$J$5:$J$404&gt;=J$4)*(1+2*('01_予約入力'!$G$5:$G$404=J$4)+4*('01_予約入力'!$J$5:$J$404=J$4)+8*(('01_予約入力'!$Q$5:$Q$404="仮予約")+('01_予約入力'!$Q$5:$Q$404="調整中")))))</f>
        <v/>
      </c>
      <c r="AY22">
        <f>IF(OR($A22="",K$4=""),0,SUMPRODUCT(('01_予約入力'!$G$5:$G$404&lt;&gt;"")*('01_予約入力'!$Q$5:$Q$404&lt;&gt;"キャンセル")*('01_予約入力'!$B$5:$B$404=$A22)*('01_予約入力'!$G$5:$G$404&lt;=K$4)*('01_予約入力'!$J$5:$J$404&gt;=K$4)*(1+2*('01_予約入力'!$G$5:$G$404=K$4)+4*('01_予約入力'!$J$5:$J$404=K$4)+8*(('01_予約入力'!$Q$5:$Q$404="仮予約")+('01_予約入力'!$Q$5:$Q$404="調整中")))))</f>
        <v/>
      </c>
      <c r="AZ22">
        <f>IF(OR($A22="",L$4=""),0,SUMPRODUCT(('01_予約入力'!$G$5:$G$404&lt;&gt;"")*('01_予約入力'!$Q$5:$Q$404&lt;&gt;"キャンセル")*('01_予約入力'!$B$5:$B$404=$A22)*('01_予約入力'!$G$5:$G$404&lt;=L$4)*('01_予約入力'!$J$5:$J$404&gt;=L$4)*(1+2*('01_予約入力'!$G$5:$G$404=L$4)+4*('01_予約入力'!$J$5:$J$404=L$4)+8*(('01_予約入力'!$Q$5:$Q$404="仮予約")+('01_予約入力'!$Q$5:$Q$404="調整中")))))</f>
        <v/>
      </c>
      <c r="BA22">
        <f>IF(OR($A22="",M$4=""),0,SUMPRODUCT(('01_予約入力'!$G$5:$G$404&lt;&gt;"")*('01_予約入力'!$Q$5:$Q$404&lt;&gt;"キャンセル")*('01_予約入力'!$B$5:$B$404=$A22)*('01_予約入力'!$G$5:$G$404&lt;=M$4)*('01_予約入力'!$J$5:$J$404&gt;=M$4)*(1+2*('01_予約入力'!$G$5:$G$404=M$4)+4*('01_予約入力'!$J$5:$J$404=M$4)+8*(('01_予約入力'!$Q$5:$Q$404="仮予約")+('01_予約入力'!$Q$5:$Q$404="調整中")))))</f>
        <v/>
      </c>
      <c r="BB22">
        <f>IF(OR($A22="",N$4=""),0,SUMPRODUCT(('01_予約入力'!$G$5:$G$404&lt;&gt;"")*('01_予約入力'!$Q$5:$Q$404&lt;&gt;"キャンセル")*('01_予約入力'!$B$5:$B$404=$A22)*('01_予約入力'!$G$5:$G$404&lt;=N$4)*('01_予約入力'!$J$5:$J$404&gt;=N$4)*(1+2*('01_予約入力'!$G$5:$G$404=N$4)+4*('01_予約入力'!$J$5:$J$404=N$4)+8*(('01_予約入力'!$Q$5:$Q$404="仮予約")+('01_予約入力'!$Q$5:$Q$404="調整中")))))</f>
        <v/>
      </c>
      <c r="BC22">
        <f>IF(OR($A22="",O$4=""),0,SUMPRODUCT(('01_予約入力'!$G$5:$G$404&lt;&gt;"")*('01_予約入力'!$Q$5:$Q$404&lt;&gt;"キャンセル")*('01_予約入力'!$B$5:$B$404=$A22)*('01_予約入力'!$G$5:$G$404&lt;=O$4)*('01_予約入力'!$J$5:$J$404&gt;=O$4)*(1+2*('01_予約入力'!$G$5:$G$404=O$4)+4*('01_予約入力'!$J$5:$J$404=O$4)+8*(('01_予約入力'!$Q$5:$Q$404="仮予約")+('01_予約入力'!$Q$5:$Q$404="調整中")))))</f>
        <v/>
      </c>
      <c r="BD22">
        <f>IF(OR($A22="",P$4=""),0,SUMPRODUCT(('01_予約入力'!$G$5:$G$404&lt;&gt;"")*('01_予約入力'!$Q$5:$Q$404&lt;&gt;"キャンセル")*('01_予約入力'!$B$5:$B$404=$A22)*('01_予約入力'!$G$5:$G$404&lt;=P$4)*('01_予約入力'!$J$5:$J$404&gt;=P$4)*(1+2*('01_予約入力'!$G$5:$G$404=P$4)+4*('01_予約入力'!$J$5:$J$404=P$4)+8*(('01_予約入力'!$Q$5:$Q$404="仮予約")+('01_予約入力'!$Q$5:$Q$404="調整中")))))</f>
        <v/>
      </c>
      <c r="BE22">
        <f>IF(OR($A22="",Q$4=""),0,SUMPRODUCT(('01_予約入力'!$G$5:$G$404&lt;&gt;"")*('01_予約入力'!$Q$5:$Q$404&lt;&gt;"キャンセル")*('01_予約入力'!$B$5:$B$404=$A22)*('01_予約入力'!$G$5:$G$404&lt;=Q$4)*('01_予約入力'!$J$5:$J$404&gt;=Q$4)*(1+2*('01_予約入力'!$G$5:$G$404=Q$4)+4*('01_予約入力'!$J$5:$J$404=Q$4)+8*(('01_予約入力'!$Q$5:$Q$404="仮予約")+('01_予約入力'!$Q$5:$Q$404="調整中")))))</f>
        <v/>
      </c>
      <c r="BF22">
        <f>IF(OR($A22="",R$4=""),0,SUMPRODUCT(('01_予約入力'!$G$5:$G$404&lt;&gt;"")*('01_予約入力'!$Q$5:$Q$404&lt;&gt;"キャンセル")*('01_予約入力'!$B$5:$B$404=$A22)*('01_予約入力'!$G$5:$G$404&lt;=R$4)*('01_予約入力'!$J$5:$J$404&gt;=R$4)*(1+2*('01_予約入力'!$G$5:$G$404=R$4)+4*('01_予約入力'!$J$5:$J$404=R$4)+8*(('01_予約入力'!$Q$5:$Q$404="仮予約")+('01_予約入力'!$Q$5:$Q$404="調整中")))))</f>
        <v/>
      </c>
      <c r="BG22">
        <f>IF(OR($A22="",S$4=""),0,SUMPRODUCT(('01_予約入力'!$G$5:$G$404&lt;&gt;"")*('01_予約入力'!$Q$5:$Q$404&lt;&gt;"キャンセル")*('01_予約入力'!$B$5:$B$404=$A22)*('01_予約入力'!$G$5:$G$404&lt;=S$4)*('01_予約入力'!$J$5:$J$404&gt;=S$4)*(1+2*('01_予約入力'!$G$5:$G$404=S$4)+4*('01_予約入力'!$J$5:$J$404=S$4)+8*(('01_予約入力'!$Q$5:$Q$404="仮予約")+('01_予約入力'!$Q$5:$Q$404="調整中")))))</f>
        <v/>
      </c>
      <c r="BH22">
        <f>IF(OR($A22="",T$4=""),0,SUMPRODUCT(('01_予約入力'!$G$5:$G$404&lt;&gt;"")*('01_予約入力'!$Q$5:$Q$404&lt;&gt;"キャンセル")*('01_予約入力'!$B$5:$B$404=$A22)*('01_予約入力'!$G$5:$G$404&lt;=T$4)*('01_予約入力'!$J$5:$J$404&gt;=T$4)*(1+2*('01_予約入力'!$G$5:$G$404=T$4)+4*('01_予約入力'!$J$5:$J$404=T$4)+8*(('01_予約入力'!$Q$5:$Q$404="仮予約")+('01_予約入力'!$Q$5:$Q$404="調整中")))))</f>
        <v/>
      </c>
      <c r="BI22">
        <f>IF(OR($A22="",U$4=""),0,SUMPRODUCT(('01_予約入力'!$G$5:$G$404&lt;&gt;"")*('01_予約入力'!$Q$5:$Q$404&lt;&gt;"キャンセル")*('01_予約入力'!$B$5:$B$404=$A22)*('01_予約入力'!$G$5:$G$404&lt;=U$4)*('01_予約入力'!$J$5:$J$404&gt;=U$4)*(1+2*('01_予約入力'!$G$5:$G$404=U$4)+4*('01_予約入力'!$J$5:$J$404=U$4)+8*(('01_予約入力'!$Q$5:$Q$404="仮予約")+('01_予約入力'!$Q$5:$Q$404="調整中")))))</f>
        <v/>
      </c>
      <c r="BJ22">
        <f>IF(OR($A22="",V$4=""),0,SUMPRODUCT(('01_予約入力'!$G$5:$G$404&lt;&gt;"")*('01_予約入力'!$Q$5:$Q$404&lt;&gt;"キャンセル")*('01_予約入力'!$B$5:$B$404=$A22)*('01_予約入力'!$G$5:$G$404&lt;=V$4)*('01_予約入力'!$J$5:$J$404&gt;=V$4)*(1+2*('01_予約入力'!$G$5:$G$404=V$4)+4*('01_予約入力'!$J$5:$J$404=V$4)+8*(('01_予約入力'!$Q$5:$Q$404="仮予約")+('01_予約入力'!$Q$5:$Q$404="調整中")))))</f>
        <v/>
      </c>
      <c r="BK22">
        <f>IF(OR($A22="",W$4=""),0,SUMPRODUCT(('01_予約入力'!$G$5:$G$404&lt;&gt;"")*('01_予約入力'!$Q$5:$Q$404&lt;&gt;"キャンセル")*('01_予約入力'!$B$5:$B$404=$A22)*('01_予約入力'!$G$5:$G$404&lt;=W$4)*('01_予約入力'!$J$5:$J$404&gt;=W$4)*(1+2*('01_予約入力'!$G$5:$G$404=W$4)+4*('01_予約入力'!$J$5:$J$404=W$4)+8*(('01_予約入力'!$Q$5:$Q$404="仮予約")+('01_予約入力'!$Q$5:$Q$404="調整中")))))</f>
        <v/>
      </c>
      <c r="BL22">
        <f>IF(OR($A22="",X$4=""),0,SUMPRODUCT(('01_予約入力'!$G$5:$G$404&lt;&gt;"")*('01_予約入力'!$Q$5:$Q$404&lt;&gt;"キャンセル")*('01_予約入力'!$B$5:$B$404=$A22)*('01_予約入力'!$G$5:$G$404&lt;=X$4)*('01_予約入力'!$J$5:$J$404&gt;=X$4)*(1+2*('01_予約入力'!$G$5:$G$404=X$4)+4*('01_予約入力'!$J$5:$J$404=X$4)+8*(('01_予約入力'!$Q$5:$Q$404="仮予約")+('01_予約入力'!$Q$5:$Q$404="調整中")))))</f>
        <v/>
      </c>
      <c r="BM22">
        <f>IF(OR($A22="",Y$4=""),0,SUMPRODUCT(('01_予約入力'!$G$5:$G$404&lt;&gt;"")*('01_予約入力'!$Q$5:$Q$404&lt;&gt;"キャンセル")*('01_予約入力'!$B$5:$B$404=$A22)*('01_予約入力'!$G$5:$G$404&lt;=Y$4)*('01_予約入力'!$J$5:$J$404&gt;=Y$4)*(1+2*('01_予約入力'!$G$5:$G$404=Y$4)+4*('01_予約入力'!$J$5:$J$404=Y$4)+8*(('01_予約入力'!$Q$5:$Q$404="仮予約")+('01_予約入力'!$Q$5:$Q$404="調整中")))))</f>
        <v/>
      </c>
      <c r="BN22">
        <f>IF(OR($A22="",Z$4=""),0,SUMPRODUCT(('01_予約入力'!$G$5:$G$404&lt;&gt;"")*('01_予約入力'!$Q$5:$Q$404&lt;&gt;"キャンセル")*('01_予約入力'!$B$5:$B$404=$A22)*('01_予約入力'!$G$5:$G$404&lt;=Z$4)*('01_予約入力'!$J$5:$J$404&gt;=Z$4)*(1+2*('01_予約入力'!$G$5:$G$404=Z$4)+4*('01_予約入力'!$J$5:$J$404=Z$4)+8*(('01_予約入力'!$Q$5:$Q$404="仮予約")+('01_予約入力'!$Q$5:$Q$404="調整中")))))</f>
        <v/>
      </c>
      <c r="BO22">
        <f>IF(OR($A22="",AA$4=""),0,SUMPRODUCT(('01_予約入力'!$G$5:$G$404&lt;&gt;"")*('01_予約入力'!$Q$5:$Q$404&lt;&gt;"キャンセル")*('01_予約入力'!$B$5:$B$404=$A22)*('01_予約入力'!$G$5:$G$404&lt;=AA$4)*('01_予約入力'!$J$5:$J$404&gt;=AA$4)*(1+2*('01_予約入力'!$G$5:$G$404=AA$4)+4*('01_予約入力'!$J$5:$J$404=AA$4)+8*(('01_予約入力'!$Q$5:$Q$404="仮予約")+('01_予約入力'!$Q$5:$Q$404="調整中")))))</f>
        <v/>
      </c>
      <c r="BP22">
        <f>IF(OR($A22="",AB$4=""),0,SUMPRODUCT(('01_予約入力'!$G$5:$G$404&lt;&gt;"")*('01_予約入力'!$Q$5:$Q$404&lt;&gt;"キャンセル")*('01_予約入力'!$B$5:$B$404=$A22)*('01_予約入力'!$G$5:$G$404&lt;=AB$4)*('01_予約入力'!$J$5:$J$404&gt;=AB$4)*(1+2*('01_予約入力'!$G$5:$G$404=AB$4)+4*('01_予約入力'!$J$5:$J$404=AB$4)+8*(('01_予約入力'!$Q$5:$Q$404="仮予約")+('01_予約入力'!$Q$5:$Q$404="調整中")))))</f>
        <v/>
      </c>
      <c r="BQ22">
        <f>IF(OR($A22="",AC$4=""),0,SUMPRODUCT(('01_予約入力'!$G$5:$G$404&lt;&gt;"")*('01_予約入力'!$Q$5:$Q$404&lt;&gt;"キャンセル")*('01_予約入力'!$B$5:$B$404=$A22)*('01_予約入力'!$G$5:$G$404&lt;=AC$4)*('01_予約入力'!$J$5:$J$404&gt;=AC$4)*(1+2*('01_予約入力'!$G$5:$G$404=AC$4)+4*('01_予約入力'!$J$5:$J$404=AC$4)+8*(('01_予約入力'!$Q$5:$Q$404="仮予約")+('01_予約入力'!$Q$5:$Q$404="調整中")))))</f>
        <v/>
      </c>
      <c r="BR22">
        <f>IF(OR($A22="",AD$4=""),0,SUMPRODUCT(('01_予約入力'!$G$5:$G$404&lt;&gt;"")*('01_予約入力'!$Q$5:$Q$404&lt;&gt;"キャンセル")*('01_予約入力'!$B$5:$B$404=$A22)*('01_予約入力'!$G$5:$G$404&lt;=AD$4)*('01_予約入力'!$J$5:$J$404&gt;=AD$4)*(1+2*('01_予約入力'!$G$5:$G$404=AD$4)+4*('01_予約入力'!$J$5:$J$404=AD$4)+8*(('01_予約入力'!$Q$5:$Q$404="仮予約")+('01_予約入力'!$Q$5:$Q$404="調整中")))))</f>
        <v/>
      </c>
      <c r="BS22">
        <f>IF(OR($A22="",AE$4=""),0,SUMPRODUCT(('01_予約入力'!$G$5:$G$404&lt;&gt;"")*('01_予約入力'!$Q$5:$Q$404&lt;&gt;"キャンセル")*('01_予約入力'!$B$5:$B$404=$A22)*('01_予約入力'!$G$5:$G$404&lt;=AE$4)*('01_予約入力'!$J$5:$J$404&gt;=AE$4)*(1+2*('01_予約入力'!$G$5:$G$404=AE$4)+4*('01_予約入力'!$J$5:$J$404=AE$4)+8*(('01_予約入力'!$Q$5:$Q$404="仮予約")+('01_予約入力'!$Q$5:$Q$404="調整中")))))</f>
        <v/>
      </c>
      <c r="BT22">
        <f>IF(OR($A22="",AF$4=""),0,SUMPRODUCT(('01_予約入力'!$G$5:$G$404&lt;&gt;"")*('01_予約入力'!$Q$5:$Q$404&lt;&gt;"キャンセル")*('01_予約入力'!$B$5:$B$404=$A22)*('01_予約入力'!$G$5:$G$404&lt;=AF$4)*('01_予約入力'!$J$5:$J$404&gt;=AF$4)*(1+2*('01_予約入力'!$G$5:$G$404=AF$4)+4*('01_予約入力'!$J$5:$J$404=AF$4)+8*(('01_予約入力'!$Q$5:$Q$404="仮予約")+('01_予約入力'!$Q$5:$Q$404="調整中")))))</f>
        <v/>
      </c>
    </row>
    <row r="23" ht="19" customHeight="1">
      <c r="A23" s="43">
        <f>IF(COUNTA('利用者マスタ'!$A$4:$A$60)&gt;=17,INDEX('利用者マスタ'!$A$4:$A$60,17),"")</f>
        <v/>
      </c>
      <c r="B23" s="44">
        <f>IF($AP23=0,"",IF(MOD($AP23,8)=7,IF($AP23&gt;=8,"◇","◆"),IF(MOD($AP23,8)=3,IF($AP23&gt;=8,"▷","▶"),IF(MOD($AP23,8)=5,IF($AP23&gt;=8,"◁","◀"),IF($AP23&gt;=8,"□","■")))))</f>
        <v/>
      </c>
      <c r="C23" s="44">
        <f>IF($AQ23=0,"",IF(MOD($AQ23,8)=7,IF($AQ23&gt;=8,"◇","◆"),IF(MOD($AQ23,8)=3,IF($AQ23&gt;=8,"▷","▶"),IF(MOD($AQ23,8)=5,IF($AQ23&gt;=8,"◁","◀"),IF($AQ23&gt;=8,"□","■")))))</f>
        <v/>
      </c>
      <c r="D23" s="44">
        <f>IF($AR23=0,"",IF(MOD($AR23,8)=7,IF($AR23&gt;=8,"◇","◆"),IF(MOD($AR23,8)=3,IF($AR23&gt;=8,"▷","▶"),IF(MOD($AR23,8)=5,IF($AR23&gt;=8,"◁","◀"),IF($AR23&gt;=8,"□","■")))))</f>
        <v/>
      </c>
      <c r="E23" s="44">
        <f>IF($AS23=0,"",IF(MOD($AS23,8)=7,IF($AS23&gt;=8,"◇","◆"),IF(MOD($AS23,8)=3,IF($AS23&gt;=8,"▷","▶"),IF(MOD($AS23,8)=5,IF($AS23&gt;=8,"◁","◀"),IF($AS23&gt;=8,"□","■")))))</f>
        <v/>
      </c>
      <c r="F23" s="44">
        <f>IF($AT23=0,"",IF(MOD($AT23,8)=7,IF($AT23&gt;=8,"◇","◆"),IF(MOD($AT23,8)=3,IF($AT23&gt;=8,"▷","▶"),IF(MOD($AT23,8)=5,IF($AT23&gt;=8,"◁","◀"),IF($AT23&gt;=8,"□","■")))))</f>
        <v/>
      </c>
      <c r="G23" s="44">
        <f>IF($AU23=0,"",IF(MOD($AU23,8)=7,IF($AU23&gt;=8,"◇","◆"),IF(MOD($AU23,8)=3,IF($AU23&gt;=8,"▷","▶"),IF(MOD($AU23,8)=5,IF($AU23&gt;=8,"◁","◀"),IF($AU23&gt;=8,"□","■")))))</f>
        <v/>
      </c>
      <c r="H23" s="44">
        <f>IF($AV23=0,"",IF(MOD($AV23,8)=7,IF($AV23&gt;=8,"◇","◆"),IF(MOD($AV23,8)=3,IF($AV23&gt;=8,"▷","▶"),IF(MOD($AV23,8)=5,IF($AV23&gt;=8,"◁","◀"),IF($AV23&gt;=8,"□","■")))))</f>
        <v/>
      </c>
      <c r="I23" s="44">
        <f>IF($AW23=0,"",IF(MOD($AW23,8)=7,IF($AW23&gt;=8,"◇","◆"),IF(MOD($AW23,8)=3,IF($AW23&gt;=8,"▷","▶"),IF(MOD($AW23,8)=5,IF($AW23&gt;=8,"◁","◀"),IF($AW23&gt;=8,"□","■")))))</f>
        <v/>
      </c>
      <c r="J23" s="44">
        <f>IF($AX23=0,"",IF(MOD($AX23,8)=7,IF($AX23&gt;=8,"◇","◆"),IF(MOD($AX23,8)=3,IF($AX23&gt;=8,"▷","▶"),IF(MOD($AX23,8)=5,IF($AX23&gt;=8,"◁","◀"),IF($AX23&gt;=8,"□","■")))))</f>
        <v/>
      </c>
      <c r="K23" s="44">
        <f>IF($AY23=0,"",IF(MOD($AY23,8)=7,IF($AY23&gt;=8,"◇","◆"),IF(MOD($AY23,8)=3,IF($AY23&gt;=8,"▷","▶"),IF(MOD($AY23,8)=5,IF($AY23&gt;=8,"◁","◀"),IF($AY23&gt;=8,"□","■")))))</f>
        <v/>
      </c>
      <c r="L23" s="44">
        <f>IF($AZ23=0,"",IF(MOD($AZ23,8)=7,IF($AZ23&gt;=8,"◇","◆"),IF(MOD($AZ23,8)=3,IF($AZ23&gt;=8,"▷","▶"),IF(MOD($AZ23,8)=5,IF($AZ23&gt;=8,"◁","◀"),IF($AZ23&gt;=8,"□","■")))))</f>
        <v/>
      </c>
      <c r="M23" s="44">
        <f>IF($BA23=0,"",IF(MOD($BA23,8)=7,IF($BA23&gt;=8,"◇","◆"),IF(MOD($BA23,8)=3,IF($BA23&gt;=8,"▷","▶"),IF(MOD($BA23,8)=5,IF($BA23&gt;=8,"◁","◀"),IF($BA23&gt;=8,"□","■")))))</f>
        <v/>
      </c>
      <c r="N23" s="44">
        <f>IF($BB23=0,"",IF(MOD($BB23,8)=7,IF($BB23&gt;=8,"◇","◆"),IF(MOD($BB23,8)=3,IF($BB23&gt;=8,"▷","▶"),IF(MOD($BB23,8)=5,IF($BB23&gt;=8,"◁","◀"),IF($BB23&gt;=8,"□","■")))))</f>
        <v/>
      </c>
      <c r="O23" s="44">
        <f>IF($BC23=0,"",IF(MOD($BC23,8)=7,IF($BC23&gt;=8,"◇","◆"),IF(MOD($BC23,8)=3,IF($BC23&gt;=8,"▷","▶"),IF(MOD($BC23,8)=5,IF($BC23&gt;=8,"◁","◀"),IF($BC23&gt;=8,"□","■")))))</f>
        <v/>
      </c>
      <c r="P23" s="44">
        <f>IF($BD23=0,"",IF(MOD($BD23,8)=7,IF($BD23&gt;=8,"◇","◆"),IF(MOD($BD23,8)=3,IF($BD23&gt;=8,"▷","▶"),IF(MOD($BD23,8)=5,IF($BD23&gt;=8,"◁","◀"),IF($BD23&gt;=8,"□","■")))))</f>
        <v/>
      </c>
      <c r="Q23" s="44">
        <f>IF($BE23=0,"",IF(MOD($BE23,8)=7,IF($BE23&gt;=8,"◇","◆"),IF(MOD($BE23,8)=3,IF($BE23&gt;=8,"▷","▶"),IF(MOD($BE23,8)=5,IF($BE23&gt;=8,"◁","◀"),IF($BE23&gt;=8,"□","■")))))</f>
        <v/>
      </c>
      <c r="R23" s="44">
        <f>IF($BF23=0,"",IF(MOD($BF23,8)=7,IF($BF23&gt;=8,"◇","◆"),IF(MOD($BF23,8)=3,IF($BF23&gt;=8,"▷","▶"),IF(MOD($BF23,8)=5,IF($BF23&gt;=8,"◁","◀"),IF($BF23&gt;=8,"□","■")))))</f>
        <v/>
      </c>
      <c r="S23" s="44">
        <f>IF($BG23=0,"",IF(MOD($BG23,8)=7,IF($BG23&gt;=8,"◇","◆"),IF(MOD($BG23,8)=3,IF($BG23&gt;=8,"▷","▶"),IF(MOD($BG23,8)=5,IF($BG23&gt;=8,"◁","◀"),IF($BG23&gt;=8,"□","■")))))</f>
        <v/>
      </c>
      <c r="T23" s="44">
        <f>IF($BH23=0,"",IF(MOD($BH23,8)=7,IF($BH23&gt;=8,"◇","◆"),IF(MOD($BH23,8)=3,IF($BH23&gt;=8,"▷","▶"),IF(MOD($BH23,8)=5,IF($BH23&gt;=8,"◁","◀"),IF($BH23&gt;=8,"□","■")))))</f>
        <v/>
      </c>
      <c r="U23" s="44">
        <f>IF($BI23=0,"",IF(MOD($BI23,8)=7,IF($BI23&gt;=8,"◇","◆"),IF(MOD($BI23,8)=3,IF($BI23&gt;=8,"▷","▶"),IF(MOD($BI23,8)=5,IF($BI23&gt;=8,"◁","◀"),IF($BI23&gt;=8,"□","■")))))</f>
        <v/>
      </c>
      <c r="V23" s="44">
        <f>IF($BJ23=0,"",IF(MOD($BJ23,8)=7,IF($BJ23&gt;=8,"◇","◆"),IF(MOD($BJ23,8)=3,IF($BJ23&gt;=8,"▷","▶"),IF(MOD($BJ23,8)=5,IF($BJ23&gt;=8,"◁","◀"),IF($BJ23&gt;=8,"□","■")))))</f>
        <v/>
      </c>
      <c r="W23" s="44">
        <f>IF($BK23=0,"",IF(MOD($BK23,8)=7,IF($BK23&gt;=8,"◇","◆"),IF(MOD($BK23,8)=3,IF($BK23&gt;=8,"▷","▶"),IF(MOD($BK23,8)=5,IF($BK23&gt;=8,"◁","◀"),IF($BK23&gt;=8,"□","■")))))</f>
        <v/>
      </c>
      <c r="X23" s="44">
        <f>IF($BL23=0,"",IF(MOD($BL23,8)=7,IF($BL23&gt;=8,"◇","◆"),IF(MOD($BL23,8)=3,IF($BL23&gt;=8,"▷","▶"),IF(MOD($BL23,8)=5,IF($BL23&gt;=8,"◁","◀"),IF($BL23&gt;=8,"□","■")))))</f>
        <v/>
      </c>
      <c r="Y23" s="44">
        <f>IF($BM23=0,"",IF(MOD($BM23,8)=7,IF($BM23&gt;=8,"◇","◆"),IF(MOD($BM23,8)=3,IF($BM23&gt;=8,"▷","▶"),IF(MOD($BM23,8)=5,IF($BM23&gt;=8,"◁","◀"),IF($BM23&gt;=8,"□","■")))))</f>
        <v/>
      </c>
      <c r="Z23" s="44">
        <f>IF($BN23=0,"",IF(MOD($BN23,8)=7,IF($BN23&gt;=8,"◇","◆"),IF(MOD($BN23,8)=3,IF($BN23&gt;=8,"▷","▶"),IF(MOD($BN23,8)=5,IF($BN23&gt;=8,"◁","◀"),IF($BN23&gt;=8,"□","■")))))</f>
        <v/>
      </c>
      <c r="AA23" s="44">
        <f>IF($BO23=0,"",IF(MOD($BO23,8)=7,IF($BO23&gt;=8,"◇","◆"),IF(MOD($BO23,8)=3,IF($BO23&gt;=8,"▷","▶"),IF(MOD($BO23,8)=5,IF($BO23&gt;=8,"◁","◀"),IF($BO23&gt;=8,"□","■")))))</f>
        <v/>
      </c>
      <c r="AB23" s="44">
        <f>IF($BP23=0,"",IF(MOD($BP23,8)=7,IF($BP23&gt;=8,"◇","◆"),IF(MOD($BP23,8)=3,IF($BP23&gt;=8,"▷","▶"),IF(MOD($BP23,8)=5,IF($BP23&gt;=8,"◁","◀"),IF($BP23&gt;=8,"□","■")))))</f>
        <v/>
      </c>
      <c r="AC23" s="44">
        <f>IF($BQ23=0,"",IF(MOD($BQ23,8)=7,IF($BQ23&gt;=8,"◇","◆"),IF(MOD($BQ23,8)=3,IF($BQ23&gt;=8,"▷","▶"),IF(MOD($BQ23,8)=5,IF($BQ23&gt;=8,"◁","◀"),IF($BQ23&gt;=8,"□","■")))))</f>
        <v/>
      </c>
      <c r="AD23" s="44">
        <f>IF($BR23=0,"",IF(MOD($BR23,8)=7,IF($BR23&gt;=8,"◇","◆"),IF(MOD($BR23,8)=3,IF($BR23&gt;=8,"▷","▶"),IF(MOD($BR23,8)=5,IF($BR23&gt;=8,"◁","◀"),IF($BR23&gt;=8,"□","■")))))</f>
        <v/>
      </c>
      <c r="AE23" s="44">
        <f>IF($BS23=0,"",IF(MOD($BS23,8)=7,IF($BS23&gt;=8,"◇","◆"),IF(MOD($BS23,8)=3,IF($BS23&gt;=8,"▷","▶"),IF(MOD($BS23,8)=5,IF($BS23&gt;=8,"◁","◀"),IF($BS23&gt;=8,"□","■")))))</f>
        <v/>
      </c>
      <c r="AF23" s="44">
        <f>IF($BT23=0,"",IF(MOD($BT23,8)=7,IF($BT23&gt;=8,"◇","◆"),IF(MOD($BT23,8)=3,IF($BT23&gt;=8,"▷","▶"),IF(MOD($BT23,8)=5,IF($BT23&gt;=8,"◁","◀"),IF($BT23&gt;=8,"□","■")))))</f>
        <v/>
      </c>
      <c r="AG23" s="45">
        <f>IF($A23="","",COUNTIF($AP23:$BT23,"&gt;0"))</f>
        <v/>
      </c>
      <c r="AP23">
        <f>IF(OR($A23="",B$4=""),0,SUMPRODUCT(('01_予約入力'!$G$5:$G$404&lt;&gt;"")*('01_予約入力'!$Q$5:$Q$404&lt;&gt;"キャンセル")*('01_予約入力'!$B$5:$B$404=$A23)*('01_予約入力'!$G$5:$G$404&lt;=B$4)*('01_予約入力'!$J$5:$J$404&gt;=B$4)*(1+2*('01_予約入力'!$G$5:$G$404=B$4)+4*('01_予約入力'!$J$5:$J$404=B$4)+8*(('01_予約入力'!$Q$5:$Q$404="仮予約")+('01_予約入力'!$Q$5:$Q$404="調整中")))))</f>
        <v/>
      </c>
      <c r="AQ23">
        <f>IF(OR($A23="",C$4=""),0,SUMPRODUCT(('01_予約入力'!$G$5:$G$404&lt;&gt;"")*('01_予約入力'!$Q$5:$Q$404&lt;&gt;"キャンセル")*('01_予約入力'!$B$5:$B$404=$A23)*('01_予約入力'!$G$5:$G$404&lt;=C$4)*('01_予約入力'!$J$5:$J$404&gt;=C$4)*(1+2*('01_予約入力'!$G$5:$G$404=C$4)+4*('01_予約入力'!$J$5:$J$404=C$4)+8*(('01_予約入力'!$Q$5:$Q$404="仮予約")+('01_予約入力'!$Q$5:$Q$404="調整中")))))</f>
        <v/>
      </c>
      <c r="AR23">
        <f>IF(OR($A23="",D$4=""),0,SUMPRODUCT(('01_予約入力'!$G$5:$G$404&lt;&gt;"")*('01_予約入力'!$Q$5:$Q$404&lt;&gt;"キャンセル")*('01_予約入力'!$B$5:$B$404=$A23)*('01_予約入力'!$G$5:$G$404&lt;=D$4)*('01_予約入力'!$J$5:$J$404&gt;=D$4)*(1+2*('01_予約入力'!$G$5:$G$404=D$4)+4*('01_予約入力'!$J$5:$J$404=D$4)+8*(('01_予約入力'!$Q$5:$Q$404="仮予約")+('01_予約入力'!$Q$5:$Q$404="調整中")))))</f>
        <v/>
      </c>
      <c r="AS23">
        <f>IF(OR($A23="",E$4=""),0,SUMPRODUCT(('01_予約入力'!$G$5:$G$404&lt;&gt;"")*('01_予約入力'!$Q$5:$Q$404&lt;&gt;"キャンセル")*('01_予約入力'!$B$5:$B$404=$A23)*('01_予約入力'!$G$5:$G$404&lt;=E$4)*('01_予約入力'!$J$5:$J$404&gt;=E$4)*(1+2*('01_予約入力'!$G$5:$G$404=E$4)+4*('01_予約入力'!$J$5:$J$404=E$4)+8*(('01_予約入力'!$Q$5:$Q$404="仮予約")+('01_予約入力'!$Q$5:$Q$404="調整中")))))</f>
        <v/>
      </c>
      <c r="AT23">
        <f>IF(OR($A23="",F$4=""),0,SUMPRODUCT(('01_予約入力'!$G$5:$G$404&lt;&gt;"")*('01_予約入力'!$Q$5:$Q$404&lt;&gt;"キャンセル")*('01_予約入力'!$B$5:$B$404=$A23)*('01_予約入力'!$G$5:$G$404&lt;=F$4)*('01_予約入力'!$J$5:$J$404&gt;=F$4)*(1+2*('01_予約入力'!$G$5:$G$404=F$4)+4*('01_予約入力'!$J$5:$J$404=F$4)+8*(('01_予約入力'!$Q$5:$Q$404="仮予約")+('01_予約入力'!$Q$5:$Q$404="調整中")))))</f>
        <v/>
      </c>
      <c r="AU23">
        <f>IF(OR($A23="",G$4=""),0,SUMPRODUCT(('01_予約入力'!$G$5:$G$404&lt;&gt;"")*('01_予約入力'!$Q$5:$Q$404&lt;&gt;"キャンセル")*('01_予約入力'!$B$5:$B$404=$A23)*('01_予約入力'!$G$5:$G$404&lt;=G$4)*('01_予約入力'!$J$5:$J$404&gt;=G$4)*(1+2*('01_予約入力'!$G$5:$G$404=G$4)+4*('01_予約入力'!$J$5:$J$404=G$4)+8*(('01_予約入力'!$Q$5:$Q$404="仮予約")+('01_予約入力'!$Q$5:$Q$404="調整中")))))</f>
        <v/>
      </c>
      <c r="AV23">
        <f>IF(OR($A23="",H$4=""),0,SUMPRODUCT(('01_予約入力'!$G$5:$G$404&lt;&gt;"")*('01_予約入力'!$Q$5:$Q$404&lt;&gt;"キャンセル")*('01_予約入力'!$B$5:$B$404=$A23)*('01_予約入力'!$G$5:$G$404&lt;=H$4)*('01_予約入力'!$J$5:$J$404&gt;=H$4)*(1+2*('01_予約入力'!$G$5:$G$404=H$4)+4*('01_予約入力'!$J$5:$J$404=H$4)+8*(('01_予約入力'!$Q$5:$Q$404="仮予約")+('01_予約入力'!$Q$5:$Q$404="調整中")))))</f>
        <v/>
      </c>
      <c r="AW23">
        <f>IF(OR($A23="",I$4=""),0,SUMPRODUCT(('01_予約入力'!$G$5:$G$404&lt;&gt;"")*('01_予約入力'!$Q$5:$Q$404&lt;&gt;"キャンセル")*('01_予約入力'!$B$5:$B$404=$A23)*('01_予約入力'!$G$5:$G$404&lt;=I$4)*('01_予約入力'!$J$5:$J$404&gt;=I$4)*(1+2*('01_予約入力'!$G$5:$G$404=I$4)+4*('01_予約入力'!$J$5:$J$404=I$4)+8*(('01_予約入力'!$Q$5:$Q$404="仮予約")+('01_予約入力'!$Q$5:$Q$404="調整中")))))</f>
        <v/>
      </c>
      <c r="AX23">
        <f>IF(OR($A23="",J$4=""),0,SUMPRODUCT(('01_予約入力'!$G$5:$G$404&lt;&gt;"")*('01_予約入力'!$Q$5:$Q$404&lt;&gt;"キャンセル")*('01_予約入力'!$B$5:$B$404=$A23)*('01_予約入力'!$G$5:$G$404&lt;=J$4)*('01_予約入力'!$J$5:$J$404&gt;=J$4)*(1+2*('01_予約入力'!$G$5:$G$404=J$4)+4*('01_予約入力'!$J$5:$J$404=J$4)+8*(('01_予約入力'!$Q$5:$Q$404="仮予約")+('01_予約入力'!$Q$5:$Q$404="調整中")))))</f>
        <v/>
      </c>
      <c r="AY23">
        <f>IF(OR($A23="",K$4=""),0,SUMPRODUCT(('01_予約入力'!$G$5:$G$404&lt;&gt;"")*('01_予約入力'!$Q$5:$Q$404&lt;&gt;"キャンセル")*('01_予約入力'!$B$5:$B$404=$A23)*('01_予約入力'!$G$5:$G$404&lt;=K$4)*('01_予約入力'!$J$5:$J$404&gt;=K$4)*(1+2*('01_予約入力'!$G$5:$G$404=K$4)+4*('01_予約入力'!$J$5:$J$404=K$4)+8*(('01_予約入力'!$Q$5:$Q$404="仮予約")+('01_予約入力'!$Q$5:$Q$404="調整中")))))</f>
        <v/>
      </c>
      <c r="AZ23">
        <f>IF(OR($A23="",L$4=""),0,SUMPRODUCT(('01_予約入力'!$G$5:$G$404&lt;&gt;"")*('01_予約入力'!$Q$5:$Q$404&lt;&gt;"キャンセル")*('01_予約入力'!$B$5:$B$404=$A23)*('01_予約入力'!$G$5:$G$404&lt;=L$4)*('01_予約入力'!$J$5:$J$404&gt;=L$4)*(1+2*('01_予約入力'!$G$5:$G$404=L$4)+4*('01_予約入力'!$J$5:$J$404=L$4)+8*(('01_予約入力'!$Q$5:$Q$404="仮予約")+('01_予約入力'!$Q$5:$Q$404="調整中")))))</f>
        <v/>
      </c>
      <c r="BA23">
        <f>IF(OR($A23="",M$4=""),0,SUMPRODUCT(('01_予約入力'!$G$5:$G$404&lt;&gt;"")*('01_予約入力'!$Q$5:$Q$404&lt;&gt;"キャンセル")*('01_予約入力'!$B$5:$B$404=$A23)*('01_予約入力'!$G$5:$G$404&lt;=M$4)*('01_予約入力'!$J$5:$J$404&gt;=M$4)*(1+2*('01_予約入力'!$G$5:$G$404=M$4)+4*('01_予約入力'!$J$5:$J$404=M$4)+8*(('01_予約入力'!$Q$5:$Q$404="仮予約")+('01_予約入力'!$Q$5:$Q$404="調整中")))))</f>
        <v/>
      </c>
      <c r="BB23">
        <f>IF(OR($A23="",N$4=""),0,SUMPRODUCT(('01_予約入力'!$G$5:$G$404&lt;&gt;"")*('01_予約入力'!$Q$5:$Q$404&lt;&gt;"キャンセル")*('01_予約入力'!$B$5:$B$404=$A23)*('01_予約入力'!$G$5:$G$404&lt;=N$4)*('01_予約入力'!$J$5:$J$404&gt;=N$4)*(1+2*('01_予約入力'!$G$5:$G$404=N$4)+4*('01_予約入力'!$J$5:$J$404=N$4)+8*(('01_予約入力'!$Q$5:$Q$404="仮予約")+('01_予約入力'!$Q$5:$Q$404="調整中")))))</f>
        <v/>
      </c>
      <c r="BC23">
        <f>IF(OR($A23="",O$4=""),0,SUMPRODUCT(('01_予約入力'!$G$5:$G$404&lt;&gt;"")*('01_予約入力'!$Q$5:$Q$404&lt;&gt;"キャンセル")*('01_予約入力'!$B$5:$B$404=$A23)*('01_予約入力'!$G$5:$G$404&lt;=O$4)*('01_予約入力'!$J$5:$J$404&gt;=O$4)*(1+2*('01_予約入力'!$G$5:$G$404=O$4)+4*('01_予約入力'!$J$5:$J$404=O$4)+8*(('01_予約入力'!$Q$5:$Q$404="仮予約")+('01_予約入力'!$Q$5:$Q$404="調整中")))))</f>
        <v/>
      </c>
      <c r="BD23">
        <f>IF(OR($A23="",P$4=""),0,SUMPRODUCT(('01_予約入力'!$G$5:$G$404&lt;&gt;"")*('01_予約入力'!$Q$5:$Q$404&lt;&gt;"キャンセル")*('01_予約入力'!$B$5:$B$404=$A23)*('01_予約入力'!$G$5:$G$404&lt;=P$4)*('01_予約入力'!$J$5:$J$404&gt;=P$4)*(1+2*('01_予約入力'!$G$5:$G$404=P$4)+4*('01_予約入力'!$J$5:$J$404=P$4)+8*(('01_予約入力'!$Q$5:$Q$404="仮予約")+('01_予約入力'!$Q$5:$Q$404="調整中")))))</f>
        <v/>
      </c>
      <c r="BE23">
        <f>IF(OR($A23="",Q$4=""),0,SUMPRODUCT(('01_予約入力'!$G$5:$G$404&lt;&gt;"")*('01_予約入力'!$Q$5:$Q$404&lt;&gt;"キャンセル")*('01_予約入力'!$B$5:$B$404=$A23)*('01_予約入力'!$G$5:$G$404&lt;=Q$4)*('01_予約入力'!$J$5:$J$404&gt;=Q$4)*(1+2*('01_予約入力'!$G$5:$G$404=Q$4)+4*('01_予約入力'!$J$5:$J$404=Q$4)+8*(('01_予約入力'!$Q$5:$Q$404="仮予約")+('01_予約入力'!$Q$5:$Q$404="調整中")))))</f>
        <v/>
      </c>
      <c r="BF23">
        <f>IF(OR($A23="",R$4=""),0,SUMPRODUCT(('01_予約入力'!$G$5:$G$404&lt;&gt;"")*('01_予約入力'!$Q$5:$Q$404&lt;&gt;"キャンセル")*('01_予約入力'!$B$5:$B$404=$A23)*('01_予約入力'!$G$5:$G$404&lt;=R$4)*('01_予約入力'!$J$5:$J$404&gt;=R$4)*(1+2*('01_予約入力'!$G$5:$G$404=R$4)+4*('01_予約入力'!$J$5:$J$404=R$4)+8*(('01_予約入力'!$Q$5:$Q$404="仮予約")+('01_予約入力'!$Q$5:$Q$404="調整中")))))</f>
        <v/>
      </c>
      <c r="BG23">
        <f>IF(OR($A23="",S$4=""),0,SUMPRODUCT(('01_予約入力'!$G$5:$G$404&lt;&gt;"")*('01_予約入力'!$Q$5:$Q$404&lt;&gt;"キャンセル")*('01_予約入力'!$B$5:$B$404=$A23)*('01_予約入力'!$G$5:$G$404&lt;=S$4)*('01_予約入力'!$J$5:$J$404&gt;=S$4)*(1+2*('01_予約入力'!$G$5:$G$404=S$4)+4*('01_予約入力'!$J$5:$J$404=S$4)+8*(('01_予約入力'!$Q$5:$Q$404="仮予約")+('01_予約入力'!$Q$5:$Q$404="調整中")))))</f>
        <v/>
      </c>
      <c r="BH23">
        <f>IF(OR($A23="",T$4=""),0,SUMPRODUCT(('01_予約入力'!$G$5:$G$404&lt;&gt;"")*('01_予約入力'!$Q$5:$Q$404&lt;&gt;"キャンセル")*('01_予約入力'!$B$5:$B$404=$A23)*('01_予約入力'!$G$5:$G$404&lt;=T$4)*('01_予約入力'!$J$5:$J$404&gt;=T$4)*(1+2*('01_予約入力'!$G$5:$G$404=T$4)+4*('01_予約入力'!$J$5:$J$404=T$4)+8*(('01_予約入力'!$Q$5:$Q$404="仮予約")+('01_予約入力'!$Q$5:$Q$404="調整中")))))</f>
        <v/>
      </c>
      <c r="BI23">
        <f>IF(OR($A23="",U$4=""),0,SUMPRODUCT(('01_予約入力'!$G$5:$G$404&lt;&gt;"")*('01_予約入力'!$Q$5:$Q$404&lt;&gt;"キャンセル")*('01_予約入力'!$B$5:$B$404=$A23)*('01_予約入力'!$G$5:$G$404&lt;=U$4)*('01_予約入力'!$J$5:$J$404&gt;=U$4)*(1+2*('01_予約入力'!$G$5:$G$404=U$4)+4*('01_予約入力'!$J$5:$J$404=U$4)+8*(('01_予約入力'!$Q$5:$Q$404="仮予約")+('01_予約入力'!$Q$5:$Q$404="調整中")))))</f>
        <v/>
      </c>
      <c r="BJ23">
        <f>IF(OR($A23="",V$4=""),0,SUMPRODUCT(('01_予約入力'!$G$5:$G$404&lt;&gt;"")*('01_予約入力'!$Q$5:$Q$404&lt;&gt;"キャンセル")*('01_予約入力'!$B$5:$B$404=$A23)*('01_予約入力'!$G$5:$G$404&lt;=V$4)*('01_予約入力'!$J$5:$J$404&gt;=V$4)*(1+2*('01_予約入力'!$G$5:$G$404=V$4)+4*('01_予約入力'!$J$5:$J$404=V$4)+8*(('01_予約入力'!$Q$5:$Q$404="仮予約")+('01_予約入力'!$Q$5:$Q$404="調整中")))))</f>
        <v/>
      </c>
      <c r="BK23">
        <f>IF(OR($A23="",W$4=""),0,SUMPRODUCT(('01_予約入力'!$G$5:$G$404&lt;&gt;"")*('01_予約入力'!$Q$5:$Q$404&lt;&gt;"キャンセル")*('01_予約入力'!$B$5:$B$404=$A23)*('01_予約入力'!$G$5:$G$404&lt;=W$4)*('01_予約入力'!$J$5:$J$404&gt;=W$4)*(1+2*('01_予約入力'!$G$5:$G$404=W$4)+4*('01_予約入力'!$J$5:$J$404=W$4)+8*(('01_予約入力'!$Q$5:$Q$404="仮予約")+('01_予約入力'!$Q$5:$Q$404="調整中")))))</f>
        <v/>
      </c>
      <c r="BL23">
        <f>IF(OR($A23="",X$4=""),0,SUMPRODUCT(('01_予約入力'!$G$5:$G$404&lt;&gt;"")*('01_予約入力'!$Q$5:$Q$404&lt;&gt;"キャンセル")*('01_予約入力'!$B$5:$B$404=$A23)*('01_予約入力'!$G$5:$G$404&lt;=X$4)*('01_予約入力'!$J$5:$J$404&gt;=X$4)*(1+2*('01_予約入力'!$G$5:$G$404=X$4)+4*('01_予約入力'!$J$5:$J$404=X$4)+8*(('01_予約入力'!$Q$5:$Q$404="仮予約")+('01_予約入力'!$Q$5:$Q$404="調整中")))))</f>
        <v/>
      </c>
      <c r="BM23">
        <f>IF(OR($A23="",Y$4=""),0,SUMPRODUCT(('01_予約入力'!$G$5:$G$404&lt;&gt;"")*('01_予約入力'!$Q$5:$Q$404&lt;&gt;"キャンセル")*('01_予約入力'!$B$5:$B$404=$A23)*('01_予約入力'!$G$5:$G$404&lt;=Y$4)*('01_予約入力'!$J$5:$J$404&gt;=Y$4)*(1+2*('01_予約入力'!$G$5:$G$404=Y$4)+4*('01_予約入力'!$J$5:$J$404=Y$4)+8*(('01_予約入力'!$Q$5:$Q$404="仮予約")+('01_予約入力'!$Q$5:$Q$404="調整中")))))</f>
        <v/>
      </c>
      <c r="BN23">
        <f>IF(OR($A23="",Z$4=""),0,SUMPRODUCT(('01_予約入力'!$G$5:$G$404&lt;&gt;"")*('01_予約入力'!$Q$5:$Q$404&lt;&gt;"キャンセル")*('01_予約入力'!$B$5:$B$404=$A23)*('01_予約入力'!$G$5:$G$404&lt;=Z$4)*('01_予約入力'!$J$5:$J$404&gt;=Z$4)*(1+2*('01_予約入力'!$G$5:$G$404=Z$4)+4*('01_予約入力'!$J$5:$J$404=Z$4)+8*(('01_予約入力'!$Q$5:$Q$404="仮予約")+('01_予約入力'!$Q$5:$Q$404="調整中")))))</f>
        <v/>
      </c>
      <c r="BO23">
        <f>IF(OR($A23="",AA$4=""),0,SUMPRODUCT(('01_予約入力'!$G$5:$G$404&lt;&gt;"")*('01_予約入力'!$Q$5:$Q$404&lt;&gt;"キャンセル")*('01_予約入力'!$B$5:$B$404=$A23)*('01_予約入力'!$G$5:$G$404&lt;=AA$4)*('01_予約入力'!$J$5:$J$404&gt;=AA$4)*(1+2*('01_予約入力'!$G$5:$G$404=AA$4)+4*('01_予約入力'!$J$5:$J$404=AA$4)+8*(('01_予約入力'!$Q$5:$Q$404="仮予約")+('01_予約入力'!$Q$5:$Q$404="調整中")))))</f>
        <v/>
      </c>
      <c r="BP23">
        <f>IF(OR($A23="",AB$4=""),0,SUMPRODUCT(('01_予約入力'!$G$5:$G$404&lt;&gt;"")*('01_予約入力'!$Q$5:$Q$404&lt;&gt;"キャンセル")*('01_予約入力'!$B$5:$B$404=$A23)*('01_予約入力'!$G$5:$G$404&lt;=AB$4)*('01_予約入力'!$J$5:$J$404&gt;=AB$4)*(1+2*('01_予約入力'!$G$5:$G$404=AB$4)+4*('01_予約入力'!$J$5:$J$404=AB$4)+8*(('01_予約入力'!$Q$5:$Q$404="仮予約")+('01_予約入力'!$Q$5:$Q$404="調整中")))))</f>
        <v/>
      </c>
      <c r="BQ23">
        <f>IF(OR($A23="",AC$4=""),0,SUMPRODUCT(('01_予約入力'!$G$5:$G$404&lt;&gt;"")*('01_予約入力'!$Q$5:$Q$404&lt;&gt;"キャンセル")*('01_予約入力'!$B$5:$B$404=$A23)*('01_予約入力'!$G$5:$G$404&lt;=AC$4)*('01_予約入力'!$J$5:$J$404&gt;=AC$4)*(1+2*('01_予約入力'!$G$5:$G$404=AC$4)+4*('01_予約入力'!$J$5:$J$404=AC$4)+8*(('01_予約入力'!$Q$5:$Q$404="仮予約")+('01_予約入力'!$Q$5:$Q$404="調整中")))))</f>
        <v/>
      </c>
      <c r="BR23">
        <f>IF(OR($A23="",AD$4=""),0,SUMPRODUCT(('01_予約入力'!$G$5:$G$404&lt;&gt;"")*('01_予約入力'!$Q$5:$Q$404&lt;&gt;"キャンセル")*('01_予約入力'!$B$5:$B$404=$A23)*('01_予約入力'!$G$5:$G$404&lt;=AD$4)*('01_予約入力'!$J$5:$J$404&gt;=AD$4)*(1+2*('01_予約入力'!$G$5:$G$404=AD$4)+4*('01_予約入力'!$J$5:$J$404=AD$4)+8*(('01_予約入力'!$Q$5:$Q$404="仮予約")+('01_予約入力'!$Q$5:$Q$404="調整中")))))</f>
        <v/>
      </c>
      <c r="BS23">
        <f>IF(OR($A23="",AE$4=""),0,SUMPRODUCT(('01_予約入力'!$G$5:$G$404&lt;&gt;"")*('01_予約入力'!$Q$5:$Q$404&lt;&gt;"キャンセル")*('01_予約入力'!$B$5:$B$404=$A23)*('01_予約入力'!$G$5:$G$404&lt;=AE$4)*('01_予約入力'!$J$5:$J$404&gt;=AE$4)*(1+2*('01_予約入力'!$G$5:$G$404=AE$4)+4*('01_予約入力'!$J$5:$J$404=AE$4)+8*(('01_予約入力'!$Q$5:$Q$404="仮予約")+('01_予約入力'!$Q$5:$Q$404="調整中")))))</f>
        <v/>
      </c>
      <c r="BT23">
        <f>IF(OR($A23="",AF$4=""),0,SUMPRODUCT(('01_予約入力'!$G$5:$G$404&lt;&gt;"")*('01_予約入力'!$Q$5:$Q$404&lt;&gt;"キャンセル")*('01_予約入力'!$B$5:$B$404=$A23)*('01_予約入力'!$G$5:$G$404&lt;=AF$4)*('01_予約入力'!$J$5:$J$404&gt;=AF$4)*(1+2*('01_予約入力'!$G$5:$G$404=AF$4)+4*('01_予約入力'!$J$5:$J$404=AF$4)+8*(('01_予約入力'!$Q$5:$Q$404="仮予約")+('01_予約入力'!$Q$5:$Q$404="調整中")))))</f>
        <v/>
      </c>
    </row>
    <row r="24" ht="19" customHeight="1">
      <c r="A24" s="43">
        <f>IF(COUNTA('利用者マスタ'!$A$4:$A$60)&gt;=18,INDEX('利用者マスタ'!$A$4:$A$60,18),"")</f>
        <v/>
      </c>
      <c r="B24" s="44">
        <f>IF($AP24=0,"",IF(MOD($AP24,8)=7,IF($AP24&gt;=8,"◇","◆"),IF(MOD($AP24,8)=3,IF($AP24&gt;=8,"▷","▶"),IF(MOD($AP24,8)=5,IF($AP24&gt;=8,"◁","◀"),IF($AP24&gt;=8,"□","■")))))</f>
        <v/>
      </c>
      <c r="C24" s="44">
        <f>IF($AQ24=0,"",IF(MOD($AQ24,8)=7,IF($AQ24&gt;=8,"◇","◆"),IF(MOD($AQ24,8)=3,IF($AQ24&gt;=8,"▷","▶"),IF(MOD($AQ24,8)=5,IF($AQ24&gt;=8,"◁","◀"),IF($AQ24&gt;=8,"□","■")))))</f>
        <v/>
      </c>
      <c r="D24" s="44">
        <f>IF($AR24=0,"",IF(MOD($AR24,8)=7,IF($AR24&gt;=8,"◇","◆"),IF(MOD($AR24,8)=3,IF($AR24&gt;=8,"▷","▶"),IF(MOD($AR24,8)=5,IF($AR24&gt;=8,"◁","◀"),IF($AR24&gt;=8,"□","■")))))</f>
        <v/>
      </c>
      <c r="E24" s="44">
        <f>IF($AS24=0,"",IF(MOD($AS24,8)=7,IF($AS24&gt;=8,"◇","◆"),IF(MOD($AS24,8)=3,IF($AS24&gt;=8,"▷","▶"),IF(MOD($AS24,8)=5,IF($AS24&gt;=8,"◁","◀"),IF($AS24&gt;=8,"□","■")))))</f>
        <v/>
      </c>
      <c r="F24" s="44">
        <f>IF($AT24=0,"",IF(MOD($AT24,8)=7,IF($AT24&gt;=8,"◇","◆"),IF(MOD($AT24,8)=3,IF($AT24&gt;=8,"▷","▶"),IF(MOD($AT24,8)=5,IF($AT24&gt;=8,"◁","◀"),IF($AT24&gt;=8,"□","■")))))</f>
        <v/>
      </c>
      <c r="G24" s="44">
        <f>IF($AU24=0,"",IF(MOD($AU24,8)=7,IF($AU24&gt;=8,"◇","◆"),IF(MOD($AU24,8)=3,IF($AU24&gt;=8,"▷","▶"),IF(MOD($AU24,8)=5,IF($AU24&gt;=8,"◁","◀"),IF($AU24&gt;=8,"□","■")))))</f>
        <v/>
      </c>
      <c r="H24" s="44">
        <f>IF($AV24=0,"",IF(MOD($AV24,8)=7,IF($AV24&gt;=8,"◇","◆"),IF(MOD($AV24,8)=3,IF($AV24&gt;=8,"▷","▶"),IF(MOD($AV24,8)=5,IF($AV24&gt;=8,"◁","◀"),IF($AV24&gt;=8,"□","■")))))</f>
        <v/>
      </c>
      <c r="I24" s="44">
        <f>IF($AW24=0,"",IF(MOD($AW24,8)=7,IF($AW24&gt;=8,"◇","◆"),IF(MOD($AW24,8)=3,IF($AW24&gt;=8,"▷","▶"),IF(MOD($AW24,8)=5,IF($AW24&gt;=8,"◁","◀"),IF($AW24&gt;=8,"□","■")))))</f>
        <v/>
      </c>
      <c r="J24" s="44">
        <f>IF($AX24=0,"",IF(MOD($AX24,8)=7,IF($AX24&gt;=8,"◇","◆"),IF(MOD($AX24,8)=3,IF($AX24&gt;=8,"▷","▶"),IF(MOD($AX24,8)=5,IF($AX24&gt;=8,"◁","◀"),IF($AX24&gt;=8,"□","■")))))</f>
        <v/>
      </c>
      <c r="K24" s="44">
        <f>IF($AY24=0,"",IF(MOD($AY24,8)=7,IF($AY24&gt;=8,"◇","◆"),IF(MOD($AY24,8)=3,IF($AY24&gt;=8,"▷","▶"),IF(MOD($AY24,8)=5,IF($AY24&gt;=8,"◁","◀"),IF($AY24&gt;=8,"□","■")))))</f>
        <v/>
      </c>
      <c r="L24" s="44">
        <f>IF($AZ24=0,"",IF(MOD($AZ24,8)=7,IF($AZ24&gt;=8,"◇","◆"),IF(MOD($AZ24,8)=3,IF($AZ24&gt;=8,"▷","▶"),IF(MOD($AZ24,8)=5,IF($AZ24&gt;=8,"◁","◀"),IF($AZ24&gt;=8,"□","■")))))</f>
        <v/>
      </c>
      <c r="M24" s="44">
        <f>IF($BA24=0,"",IF(MOD($BA24,8)=7,IF($BA24&gt;=8,"◇","◆"),IF(MOD($BA24,8)=3,IF($BA24&gt;=8,"▷","▶"),IF(MOD($BA24,8)=5,IF($BA24&gt;=8,"◁","◀"),IF($BA24&gt;=8,"□","■")))))</f>
        <v/>
      </c>
      <c r="N24" s="44">
        <f>IF($BB24=0,"",IF(MOD($BB24,8)=7,IF($BB24&gt;=8,"◇","◆"),IF(MOD($BB24,8)=3,IF($BB24&gt;=8,"▷","▶"),IF(MOD($BB24,8)=5,IF($BB24&gt;=8,"◁","◀"),IF($BB24&gt;=8,"□","■")))))</f>
        <v/>
      </c>
      <c r="O24" s="44">
        <f>IF($BC24=0,"",IF(MOD($BC24,8)=7,IF($BC24&gt;=8,"◇","◆"),IF(MOD($BC24,8)=3,IF($BC24&gt;=8,"▷","▶"),IF(MOD($BC24,8)=5,IF($BC24&gt;=8,"◁","◀"),IF($BC24&gt;=8,"□","■")))))</f>
        <v/>
      </c>
      <c r="P24" s="44">
        <f>IF($BD24=0,"",IF(MOD($BD24,8)=7,IF($BD24&gt;=8,"◇","◆"),IF(MOD($BD24,8)=3,IF($BD24&gt;=8,"▷","▶"),IF(MOD($BD24,8)=5,IF($BD24&gt;=8,"◁","◀"),IF($BD24&gt;=8,"□","■")))))</f>
        <v/>
      </c>
      <c r="Q24" s="44">
        <f>IF($BE24=0,"",IF(MOD($BE24,8)=7,IF($BE24&gt;=8,"◇","◆"),IF(MOD($BE24,8)=3,IF($BE24&gt;=8,"▷","▶"),IF(MOD($BE24,8)=5,IF($BE24&gt;=8,"◁","◀"),IF($BE24&gt;=8,"□","■")))))</f>
        <v/>
      </c>
      <c r="R24" s="44">
        <f>IF($BF24=0,"",IF(MOD($BF24,8)=7,IF($BF24&gt;=8,"◇","◆"),IF(MOD($BF24,8)=3,IF($BF24&gt;=8,"▷","▶"),IF(MOD($BF24,8)=5,IF($BF24&gt;=8,"◁","◀"),IF($BF24&gt;=8,"□","■")))))</f>
        <v/>
      </c>
      <c r="S24" s="44">
        <f>IF($BG24=0,"",IF(MOD($BG24,8)=7,IF($BG24&gt;=8,"◇","◆"),IF(MOD($BG24,8)=3,IF($BG24&gt;=8,"▷","▶"),IF(MOD($BG24,8)=5,IF($BG24&gt;=8,"◁","◀"),IF($BG24&gt;=8,"□","■")))))</f>
        <v/>
      </c>
      <c r="T24" s="44">
        <f>IF($BH24=0,"",IF(MOD($BH24,8)=7,IF($BH24&gt;=8,"◇","◆"),IF(MOD($BH24,8)=3,IF($BH24&gt;=8,"▷","▶"),IF(MOD($BH24,8)=5,IF($BH24&gt;=8,"◁","◀"),IF($BH24&gt;=8,"□","■")))))</f>
        <v/>
      </c>
      <c r="U24" s="44">
        <f>IF($BI24=0,"",IF(MOD($BI24,8)=7,IF($BI24&gt;=8,"◇","◆"),IF(MOD($BI24,8)=3,IF($BI24&gt;=8,"▷","▶"),IF(MOD($BI24,8)=5,IF($BI24&gt;=8,"◁","◀"),IF($BI24&gt;=8,"□","■")))))</f>
        <v/>
      </c>
      <c r="V24" s="44">
        <f>IF($BJ24=0,"",IF(MOD($BJ24,8)=7,IF($BJ24&gt;=8,"◇","◆"),IF(MOD($BJ24,8)=3,IF($BJ24&gt;=8,"▷","▶"),IF(MOD($BJ24,8)=5,IF($BJ24&gt;=8,"◁","◀"),IF($BJ24&gt;=8,"□","■")))))</f>
        <v/>
      </c>
      <c r="W24" s="44">
        <f>IF($BK24=0,"",IF(MOD($BK24,8)=7,IF($BK24&gt;=8,"◇","◆"),IF(MOD($BK24,8)=3,IF($BK24&gt;=8,"▷","▶"),IF(MOD($BK24,8)=5,IF($BK24&gt;=8,"◁","◀"),IF($BK24&gt;=8,"□","■")))))</f>
        <v/>
      </c>
      <c r="X24" s="44">
        <f>IF($BL24=0,"",IF(MOD($BL24,8)=7,IF($BL24&gt;=8,"◇","◆"),IF(MOD($BL24,8)=3,IF($BL24&gt;=8,"▷","▶"),IF(MOD($BL24,8)=5,IF($BL24&gt;=8,"◁","◀"),IF($BL24&gt;=8,"□","■")))))</f>
        <v/>
      </c>
      <c r="Y24" s="44">
        <f>IF($BM24=0,"",IF(MOD($BM24,8)=7,IF($BM24&gt;=8,"◇","◆"),IF(MOD($BM24,8)=3,IF($BM24&gt;=8,"▷","▶"),IF(MOD($BM24,8)=5,IF($BM24&gt;=8,"◁","◀"),IF($BM24&gt;=8,"□","■")))))</f>
        <v/>
      </c>
      <c r="Z24" s="44">
        <f>IF($BN24=0,"",IF(MOD($BN24,8)=7,IF($BN24&gt;=8,"◇","◆"),IF(MOD($BN24,8)=3,IF($BN24&gt;=8,"▷","▶"),IF(MOD($BN24,8)=5,IF($BN24&gt;=8,"◁","◀"),IF($BN24&gt;=8,"□","■")))))</f>
        <v/>
      </c>
      <c r="AA24" s="44">
        <f>IF($BO24=0,"",IF(MOD($BO24,8)=7,IF($BO24&gt;=8,"◇","◆"),IF(MOD($BO24,8)=3,IF($BO24&gt;=8,"▷","▶"),IF(MOD($BO24,8)=5,IF($BO24&gt;=8,"◁","◀"),IF($BO24&gt;=8,"□","■")))))</f>
        <v/>
      </c>
      <c r="AB24" s="44">
        <f>IF($BP24=0,"",IF(MOD($BP24,8)=7,IF($BP24&gt;=8,"◇","◆"),IF(MOD($BP24,8)=3,IF($BP24&gt;=8,"▷","▶"),IF(MOD($BP24,8)=5,IF($BP24&gt;=8,"◁","◀"),IF($BP24&gt;=8,"□","■")))))</f>
        <v/>
      </c>
      <c r="AC24" s="44">
        <f>IF($BQ24=0,"",IF(MOD($BQ24,8)=7,IF($BQ24&gt;=8,"◇","◆"),IF(MOD($BQ24,8)=3,IF($BQ24&gt;=8,"▷","▶"),IF(MOD($BQ24,8)=5,IF($BQ24&gt;=8,"◁","◀"),IF($BQ24&gt;=8,"□","■")))))</f>
        <v/>
      </c>
      <c r="AD24" s="44">
        <f>IF($BR24=0,"",IF(MOD($BR24,8)=7,IF($BR24&gt;=8,"◇","◆"),IF(MOD($BR24,8)=3,IF($BR24&gt;=8,"▷","▶"),IF(MOD($BR24,8)=5,IF($BR24&gt;=8,"◁","◀"),IF($BR24&gt;=8,"□","■")))))</f>
        <v/>
      </c>
      <c r="AE24" s="44">
        <f>IF($BS24=0,"",IF(MOD($BS24,8)=7,IF($BS24&gt;=8,"◇","◆"),IF(MOD($BS24,8)=3,IF($BS24&gt;=8,"▷","▶"),IF(MOD($BS24,8)=5,IF($BS24&gt;=8,"◁","◀"),IF($BS24&gt;=8,"□","■")))))</f>
        <v/>
      </c>
      <c r="AF24" s="44">
        <f>IF($BT24=0,"",IF(MOD($BT24,8)=7,IF($BT24&gt;=8,"◇","◆"),IF(MOD($BT24,8)=3,IF($BT24&gt;=8,"▷","▶"),IF(MOD($BT24,8)=5,IF($BT24&gt;=8,"◁","◀"),IF($BT24&gt;=8,"□","■")))))</f>
        <v/>
      </c>
      <c r="AG24" s="45">
        <f>IF($A24="","",COUNTIF($AP24:$BT24,"&gt;0"))</f>
        <v/>
      </c>
      <c r="AP24">
        <f>IF(OR($A24="",B$4=""),0,SUMPRODUCT(('01_予約入力'!$G$5:$G$404&lt;&gt;"")*('01_予約入力'!$Q$5:$Q$404&lt;&gt;"キャンセル")*('01_予約入力'!$B$5:$B$404=$A24)*('01_予約入力'!$G$5:$G$404&lt;=B$4)*('01_予約入力'!$J$5:$J$404&gt;=B$4)*(1+2*('01_予約入力'!$G$5:$G$404=B$4)+4*('01_予約入力'!$J$5:$J$404=B$4)+8*(('01_予約入力'!$Q$5:$Q$404="仮予約")+('01_予約入力'!$Q$5:$Q$404="調整中")))))</f>
        <v/>
      </c>
      <c r="AQ24">
        <f>IF(OR($A24="",C$4=""),0,SUMPRODUCT(('01_予約入力'!$G$5:$G$404&lt;&gt;"")*('01_予約入力'!$Q$5:$Q$404&lt;&gt;"キャンセル")*('01_予約入力'!$B$5:$B$404=$A24)*('01_予約入力'!$G$5:$G$404&lt;=C$4)*('01_予約入力'!$J$5:$J$404&gt;=C$4)*(1+2*('01_予約入力'!$G$5:$G$404=C$4)+4*('01_予約入力'!$J$5:$J$404=C$4)+8*(('01_予約入力'!$Q$5:$Q$404="仮予約")+('01_予約入力'!$Q$5:$Q$404="調整中")))))</f>
        <v/>
      </c>
      <c r="AR24">
        <f>IF(OR($A24="",D$4=""),0,SUMPRODUCT(('01_予約入力'!$G$5:$G$404&lt;&gt;"")*('01_予約入力'!$Q$5:$Q$404&lt;&gt;"キャンセル")*('01_予約入力'!$B$5:$B$404=$A24)*('01_予約入力'!$G$5:$G$404&lt;=D$4)*('01_予約入力'!$J$5:$J$404&gt;=D$4)*(1+2*('01_予約入力'!$G$5:$G$404=D$4)+4*('01_予約入力'!$J$5:$J$404=D$4)+8*(('01_予約入力'!$Q$5:$Q$404="仮予約")+('01_予約入力'!$Q$5:$Q$404="調整中")))))</f>
        <v/>
      </c>
      <c r="AS24">
        <f>IF(OR($A24="",E$4=""),0,SUMPRODUCT(('01_予約入力'!$G$5:$G$404&lt;&gt;"")*('01_予約入力'!$Q$5:$Q$404&lt;&gt;"キャンセル")*('01_予約入力'!$B$5:$B$404=$A24)*('01_予約入力'!$G$5:$G$404&lt;=E$4)*('01_予約入力'!$J$5:$J$404&gt;=E$4)*(1+2*('01_予約入力'!$G$5:$G$404=E$4)+4*('01_予約入力'!$J$5:$J$404=E$4)+8*(('01_予約入力'!$Q$5:$Q$404="仮予約")+('01_予約入力'!$Q$5:$Q$404="調整中")))))</f>
        <v/>
      </c>
      <c r="AT24">
        <f>IF(OR($A24="",F$4=""),0,SUMPRODUCT(('01_予約入力'!$G$5:$G$404&lt;&gt;"")*('01_予約入力'!$Q$5:$Q$404&lt;&gt;"キャンセル")*('01_予約入力'!$B$5:$B$404=$A24)*('01_予約入力'!$G$5:$G$404&lt;=F$4)*('01_予約入力'!$J$5:$J$404&gt;=F$4)*(1+2*('01_予約入力'!$G$5:$G$404=F$4)+4*('01_予約入力'!$J$5:$J$404=F$4)+8*(('01_予約入力'!$Q$5:$Q$404="仮予約")+('01_予約入力'!$Q$5:$Q$404="調整中")))))</f>
        <v/>
      </c>
      <c r="AU24">
        <f>IF(OR($A24="",G$4=""),0,SUMPRODUCT(('01_予約入力'!$G$5:$G$404&lt;&gt;"")*('01_予約入力'!$Q$5:$Q$404&lt;&gt;"キャンセル")*('01_予約入力'!$B$5:$B$404=$A24)*('01_予約入力'!$G$5:$G$404&lt;=G$4)*('01_予約入力'!$J$5:$J$404&gt;=G$4)*(1+2*('01_予約入力'!$G$5:$G$404=G$4)+4*('01_予約入力'!$J$5:$J$404=G$4)+8*(('01_予約入力'!$Q$5:$Q$404="仮予約")+('01_予約入力'!$Q$5:$Q$404="調整中")))))</f>
        <v/>
      </c>
      <c r="AV24">
        <f>IF(OR($A24="",H$4=""),0,SUMPRODUCT(('01_予約入力'!$G$5:$G$404&lt;&gt;"")*('01_予約入力'!$Q$5:$Q$404&lt;&gt;"キャンセル")*('01_予約入力'!$B$5:$B$404=$A24)*('01_予約入力'!$G$5:$G$404&lt;=H$4)*('01_予約入力'!$J$5:$J$404&gt;=H$4)*(1+2*('01_予約入力'!$G$5:$G$404=H$4)+4*('01_予約入力'!$J$5:$J$404=H$4)+8*(('01_予約入力'!$Q$5:$Q$404="仮予約")+('01_予約入力'!$Q$5:$Q$404="調整中")))))</f>
        <v/>
      </c>
      <c r="AW24">
        <f>IF(OR($A24="",I$4=""),0,SUMPRODUCT(('01_予約入力'!$G$5:$G$404&lt;&gt;"")*('01_予約入力'!$Q$5:$Q$404&lt;&gt;"キャンセル")*('01_予約入力'!$B$5:$B$404=$A24)*('01_予約入力'!$G$5:$G$404&lt;=I$4)*('01_予約入力'!$J$5:$J$404&gt;=I$4)*(1+2*('01_予約入力'!$G$5:$G$404=I$4)+4*('01_予約入力'!$J$5:$J$404=I$4)+8*(('01_予約入力'!$Q$5:$Q$404="仮予約")+('01_予約入力'!$Q$5:$Q$404="調整中")))))</f>
        <v/>
      </c>
      <c r="AX24">
        <f>IF(OR($A24="",J$4=""),0,SUMPRODUCT(('01_予約入力'!$G$5:$G$404&lt;&gt;"")*('01_予約入力'!$Q$5:$Q$404&lt;&gt;"キャンセル")*('01_予約入力'!$B$5:$B$404=$A24)*('01_予約入力'!$G$5:$G$404&lt;=J$4)*('01_予約入力'!$J$5:$J$404&gt;=J$4)*(1+2*('01_予約入力'!$G$5:$G$404=J$4)+4*('01_予約入力'!$J$5:$J$404=J$4)+8*(('01_予約入力'!$Q$5:$Q$404="仮予約")+('01_予約入力'!$Q$5:$Q$404="調整中")))))</f>
        <v/>
      </c>
      <c r="AY24">
        <f>IF(OR($A24="",K$4=""),0,SUMPRODUCT(('01_予約入力'!$G$5:$G$404&lt;&gt;"")*('01_予約入力'!$Q$5:$Q$404&lt;&gt;"キャンセル")*('01_予約入力'!$B$5:$B$404=$A24)*('01_予約入力'!$G$5:$G$404&lt;=K$4)*('01_予約入力'!$J$5:$J$404&gt;=K$4)*(1+2*('01_予約入力'!$G$5:$G$404=K$4)+4*('01_予約入力'!$J$5:$J$404=K$4)+8*(('01_予約入力'!$Q$5:$Q$404="仮予約")+('01_予約入力'!$Q$5:$Q$404="調整中")))))</f>
        <v/>
      </c>
      <c r="AZ24">
        <f>IF(OR($A24="",L$4=""),0,SUMPRODUCT(('01_予約入力'!$G$5:$G$404&lt;&gt;"")*('01_予約入力'!$Q$5:$Q$404&lt;&gt;"キャンセル")*('01_予約入力'!$B$5:$B$404=$A24)*('01_予約入力'!$G$5:$G$404&lt;=L$4)*('01_予約入力'!$J$5:$J$404&gt;=L$4)*(1+2*('01_予約入力'!$G$5:$G$404=L$4)+4*('01_予約入力'!$J$5:$J$404=L$4)+8*(('01_予約入力'!$Q$5:$Q$404="仮予約")+('01_予約入力'!$Q$5:$Q$404="調整中")))))</f>
        <v/>
      </c>
      <c r="BA24">
        <f>IF(OR($A24="",M$4=""),0,SUMPRODUCT(('01_予約入力'!$G$5:$G$404&lt;&gt;"")*('01_予約入力'!$Q$5:$Q$404&lt;&gt;"キャンセル")*('01_予約入力'!$B$5:$B$404=$A24)*('01_予約入力'!$G$5:$G$404&lt;=M$4)*('01_予約入力'!$J$5:$J$404&gt;=M$4)*(1+2*('01_予約入力'!$G$5:$G$404=M$4)+4*('01_予約入力'!$J$5:$J$404=M$4)+8*(('01_予約入力'!$Q$5:$Q$404="仮予約")+('01_予約入力'!$Q$5:$Q$404="調整中")))))</f>
        <v/>
      </c>
      <c r="BB24">
        <f>IF(OR($A24="",N$4=""),0,SUMPRODUCT(('01_予約入力'!$G$5:$G$404&lt;&gt;"")*('01_予約入力'!$Q$5:$Q$404&lt;&gt;"キャンセル")*('01_予約入力'!$B$5:$B$404=$A24)*('01_予約入力'!$G$5:$G$404&lt;=N$4)*('01_予約入力'!$J$5:$J$404&gt;=N$4)*(1+2*('01_予約入力'!$G$5:$G$404=N$4)+4*('01_予約入力'!$J$5:$J$404=N$4)+8*(('01_予約入力'!$Q$5:$Q$404="仮予約")+('01_予約入力'!$Q$5:$Q$404="調整中")))))</f>
        <v/>
      </c>
      <c r="BC24">
        <f>IF(OR($A24="",O$4=""),0,SUMPRODUCT(('01_予約入力'!$G$5:$G$404&lt;&gt;"")*('01_予約入力'!$Q$5:$Q$404&lt;&gt;"キャンセル")*('01_予約入力'!$B$5:$B$404=$A24)*('01_予約入力'!$G$5:$G$404&lt;=O$4)*('01_予約入力'!$J$5:$J$404&gt;=O$4)*(1+2*('01_予約入力'!$G$5:$G$404=O$4)+4*('01_予約入力'!$J$5:$J$404=O$4)+8*(('01_予約入力'!$Q$5:$Q$404="仮予約")+('01_予約入力'!$Q$5:$Q$404="調整中")))))</f>
        <v/>
      </c>
      <c r="BD24">
        <f>IF(OR($A24="",P$4=""),0,SUMPRODUCT(('01_予約入力'!$G$5:$G$404&lt;&gt;"")*('01_予約入力'!$Q$5:$Q$404&lt;&gt;"キャンセル")*('01_予約入力'!$B$5:$B$404=$A24)*('01_予約入力'!$G$5:$G$404&lt;=P$4)*('01_予約入力'!$J$5:$J$404&gt;=P$4)*(1+2*('01_予約入力'!$G$5:$G$404=P$4)+4*('01_予約入力'!$J$5:$J$404=P$4)+8*(('01_予約入力'!$Q$5:$Q$404="仮予約")+('01_予約入力'!$Q$5:$Q$404="調整中")))))</f>
        <v/>
      </c>
      <c r="BE24">
        <f>IF(OR($A24="",Q$4=""),0,SUMPRODUCT(('01_予約入力'!$G$5:$G$404&lt;&gt;"")*('01_予約入力'!$Q$5:$Q$404&lt;&gt;"キャンセル")*('01_予約入力'!$B$5:$B$404=$A24)*('01_予約入力'!$G$5:$G$404&lt;=Q$4)*('01_予約入力'!$J$5:$J$404&gt;=Q$4)*(1+2*('01_予約入力'!$G$5:$G$404=Q$4)+4*('01_予約入力'!$J$5:$J$404=Q$4)+8*(('01_予約入力'!$Q$5:$Q$404="仮予約")+('01_予約入力'!$Q$5:$Q$404="調整中")))))</f>
        <v/>
      </c>
      <c r="BF24">
        <f>IF(OR($A24="",R$4=""),0,SUMPRODUCT(('01_予約入力'!$G$5:$G$404&lt;&gt;"")*('01_予約入力'!$Q$5:$Q$404&lt;&gt;"キャンセル")*('01_予約入力'!$B$5:$B$404=$A24)*('01_予約入力'!$G$5:$G$404&lt;=R$4)*('01_予約入力'!$J$5:$J$404&gt;=R$4)*(1+2*('01_予約入力'!$G$5:$G$404=R$4)+4*('01_予約入力'!$J$5:$J$404=R$4)+8*(('01_予約入力'!$Q$5:$Q$404="仮予約")+('01_予約入力'!$Q$5:$Q$404="調整中")))))</f>
        <v/>
      </c>
      <c r="BG24">
        <f>IF(OR($A24="",S$4=""),0,SUMPRODUCT(('01_予約入力'!$G$5:$G$404&lt;&gt;"")*('01_予約入力'!$Q$5:$Q$404&lt;&gt;"キャンセル")*('01_予約入力'!$B$5:$B$404=$A24)*('01_予約入力'!$G$5:$G$404&lt;=S$4)*('01_予約入力'!$J$5:$J$404&gt;=S$4)*(1+2*('01_予約入力'!$G$5:$G$404=S$4)+4*('01_予約入力'!$J$5:$J$404=S$4)+8*(('01_予約入力'!$Q$5:$Q$404="仮予約")+('01_予約入力'!$Q$5:$Q$404="調整中")))))</f>
        <v/>
      </c>
      <c r="BH24">
        <f>IF(OR($A24="",T$4=""),0,SUMPRODUCT(('01_予約入力'!$G$5:$G$404&lt;&gt;"")*('01_予約入力'!$Q$5:$Q$404&lt;&gt;"キャンセル")*('01_予約入力'!$B$5:$B$404=$A24)*('01_予約入力'!$G$5:$G$404&lt;=T$4)*('01_予約入力'!$J$5:$J$404&gt;=T$4)*(1+2*('01_予約入力'!$G$5:$G$404=T$4)+4*('01_予約入力'!$J$5:$J$404=T$4)+8*(('01_予約入力'!$Q$5:$Q$404="仮予約")+('01_予約入力'!$Q$5:$Q$404="調整中")))))</f>
        <v/>
      </c>
      <c r="BI24">
        <f>IF(OR($A24="",U$4=""),0,SUMPRODUCT(('01_予約入力'!$G$5:$G$404&lt;&gt;"")*('01_予約入力'!$Q$5:$Q$404&lt;&gt;"キャンセル")*('01_予約入力'!$B$5:$B$404=$A24)*('01_予約入力'!$G$5:$G$404&lt;=U$4)*('01_予約入力'!$J$5:$J$404&gt;=U$4)*(1+2*('01_予約入力'!$G$5:$G$404=U$4)+4*('01_予約入力'!$J$5:$J$404=U$4)+8*(('01_予約入力'!$Q$5:$Q$404="仮予約")+('01_予約入力'!$Q$5:$Q$404="調整中")))))</f>
        <v/>
      </c>
      <c r="BJ24">
        <f>IF(OR($A24="",V$4=""),0,SUMPRODUCT(('01_予約入力'!$G$5:$G$404&lt;&gt;"")*('01_予約入力'!$Q$5:$Q$404&lt;&gt;"キャンセル")*('01_予約入力'!$B$5:$B$404=$A24)*('01_予約入力'!$G$5:$G$404&lt;=V$4)*('01_予約入力'!$J$5:$J$404&gt;=V$4)*(1+2*('01_予約入力'!$G$5:$G$404=V$4)+4*('01_予約入力'!$J$5:$J$404=V$4)+8*(('01_予約入力'!$Q$5:$Q$404="仮予約")+('01_予約入力'!$Q$5:$Q$404="調整中")))))</f>
        <v/>
      </c>
      <c r="BK24">
        <f>IF(OR($A24="",W$4=""),0,SUMPRODUCT(('01_予約入力'!$G$5:$G$404&lt;&gt;"")*('01_予約入力'!$Q$5:$Q$404&lt;&gt;"キャンセル")*('01_予約入力'!$B$5:$B$404=$A24)*('01_予約入力'!$G$5:$G$404&lt;=W$4)*('01_予約入力'!$J$5:$J$404&gt;=W$4)*(1+2*('01_予約入力'!$G$5:$G$404=W$4)+4*('01_予約入力'!$J$5:$J$404=W$4)+8*(('01_予約入力'!$Q$5:$Q$404="仮予約")+('01_予約入力'!$Q$5:$Q$404="調整中")))))</f>
        <v/>
      </c>
      <c r="BL24">
        <f>IF(OR($A24="",X$4=""),0,SUMPRODUCT(('01_予約入力'!$G$5:$G$404&lt;&gt;"")*('01_予約入力'!$Q$5:$Q$404&lt;&gt;"キャンセル")*('01_予約入力'!$B$5:$B$404=$A24)*('01_予約入力'!$G$5:$G$404&lt;=X$4)*('01_予約入力'!$J$5:$J$404&gt;=X$4)*(1+2*('01_予約入力'!$G$5:$G$404=X$4)+4*('01_予約入力'!$J$5:$J$404=X$4)+8*(('01_予約入力'!$Q$5:$Q$404="仮予約")+('01_予約入力'!$Q$5:$Q$404="調整中")))))</f>
        <v/>
      </c>
      <c r="BM24">
        <f>IF(OR($A24="",Y$4=""),0,SUMPRODUCT(('01_予約入力'!$G$5:$G$404&lt;&gt;"")*('01_予約入力'!$Q$5:$Q$404&lt;&gt;"キャンセル")*('01_予約入力'!$B$5:$B$404=$A24)*('01_予約入力'!$G$5:$G$404&lt;=Y$4)*('01_予約入力'!$J$5:$J$404&gt;=Y$4)*(1+2*('01_予約入力'!$G$5:$G$404=Y$4)+4*('01_予約入力'!$J$5:$J$404=Y$4)+8*(('01_予約入力'!$Q$5:$Q$404="仮予約")+('01_予約入力'!$Q$5:$Q$404="調整中")))))</f>
        <v/>
      </c>
      <c r="BN24">
        <f>IF(OR($A24="",Z$4=""),0,SUMPRODUCT(('01_予約入力'!$G$5:$G$404&lt;&gt;"")*('01_予約入力'!$Q$5:$Q$404&lt;&gt;"キャンセル")*('01_予約入力'!$B$5:$B$404=$A24)*('01_予約入力'!$G$5:$G$404&lt;=Z$4)*('01_予約入力'!$J$5:$J$404&gt;=Z$4)*(1+2*('01_予約入力'!$G$5:$G$404=Z$4)+4*('01_予約入力'!$J$5:$J$404=Z$4)+8*(('01_予約入力'!$Q$5:$Q$404="仮予約")+('01_予約入力'!$Q$5:$Q$404="調整中")))))</f>
        <v/>
      </c>
      <c r="BO24">
        <f>IF(OR($A24="",AA$4=""),0,SUMPRODUCT(('01_予約入力'!$G$5:$G$404&lt;&gt;"")*('01_予約入力'!$Q$5:$Q$404&lt;&gt;"キャンセル")*('01_予約入力'!$B$5:$B$404=$A24)*('01_予約入力'!$G$5:$G$404&lt;=AA$4)*('01_予約入力'!$J$5:$J$404&gt;=AA$4)*(1+2*('01_予約入力'!$G$5:$G$404=AA$4)+4*('01_予約入力'!$J$5:$J$404=AA$4)+8*(('01_予約入力'!$Q$5:$Q$404="仮予約")+('01_予約入力'!$Q$5:$Q$404="調整中")))))</f>
        <v/>
      </c>
      <c r="BP24">
        <f>IF(OR($A24="",AB$4=""),0,SUMPRODUCT(('01_予約入力'!$G$5:$G$404&lt;&gt;"")*('01_予約入力'!$Q$5:$Q$404&lt;&gt;"キャンセル")*('01_予約入力'!$B$5:$B$404=$A24)*('01_予約入力'!$G$5:$G$404&lt;=AB$4)*('01_予約入力'!$J$5:$J$404&gt;=AB$4)*(1+2*('01_予約入力'!$G$5:$G$404=AB$4)+4*('01_予約入力'!$J$5:$J$404=AB$4)+8*(('01_予約入力'!$Q$5:$Q$404="仮予約")+('01_予約入力'!$Q$5:$Q$404="調整中")))))</f>
        <v/>
      </c>
      <c r="BQ24">
        <f>IF(OR($A24="",AC$4=""),0,SUMPRODUCT(('01_予約入力'!$G$5:$G$404&lt;&gt;"")*('01_予約入力'!$Q$5:$Q$404&lt;&gt;"キャンセル")*('01_予約入力'!$B$5:$B$404=$A24)*('01_予約入力'!$G$5:$G$404&lt;=AC$4)*('01_予約入力'!$J$5:$J$404&gt;=AC$4)*(1+2*('01_予約入力'!$G$5:$G$404=AC$4)+4*('01_予約入力'!$J$5:$J$404=AC$4)+8*(('01_予約入力'!$Q$5:$Q$404="仮予約")+('01_予約入力'!$Q$5:$Q$404="調整中")))))</f>
        <v/>
      </c>
      <c r="BR24">
        <f>IF(OR($A24="",AD$4=""),0,SUMPRODUCT(('01_予約入力'!$G$5:$G$404&lt;&gt;"")*('01_予約入力'!$Q$5:$Q$404&lt;&gt;"キャンセル")*('01_予約入力'!$B$5:$B$404=$A24)*('01_予約入力'!$G$5:$G$404&lt;=AD$4)*('01_予約入力'!$J$5:$J$404&gt;=AD$4)*(1+2*('01_予約入力'!$G$5:$G$404=AD$4)+4*('01_予約入力'!$J$5:$J$404=AD$4)+8*(('01_予約入力'!$Q$5:$Q$404="仮予約")+('01_予約入力'!$Q$5:$Q$404="調整中")))))</f>
        <v/>
      </c>
      <c r="BS24">
        <f>IF(OR($A24="",AE$4=""),0,SUMPRODUCT(('01_予約入力'!$G$5:$G$404&lt;&gt;"")*('01_予約入力'!$Q$5:$Q$404&lt;&gt;"キャンセル")*('01_予約入力'!$B$5:$B$404=$A24)*('01_予約入力'!$G$5:$G$404&lt;=AE$4)*('01_予約入力'!$J$5:$J$404&gt;=AE$4)*(1+2*('01_予約入力'!$G$5:$G$404=AE$4)+4*('01_予約入力'!$J$5:$J$404=AE$4)+8*(('01_予約入力'!$Q$5:$Q$404="仮予約")+('01_予約入力'!$Q$5:$Q$404="調整中")))))</f>
        <v/>
      </c>
      <c r="BT24">
        <f>IF(OR($A24="",AF$4=""),0,SUMPRODUCT(('01_予約入力'!$G$5:$G$404&lt;&gt;"")*('01_予約入力'!$Q$5:$Q$404&lt;&gt;"キャンセル")*('01_予約入力'!$B$5:$B$404=$A24)*('01_予約入力'!$G$5:$G$404&lt;=AF$4)*('01_予約入力'!$J$5:$J$404&gt;=AF$4)*(1+2*('01_予約入力'!$G$5:$G$404=AF$4)+4*('01_予約入力'!$J$5:$J$404=AF$4)+8*(('01_予約入力'!$Q$5:$Q$404="仮予約")+('01_予約入力'!$Q$5:$Q$404="調整中")))))</f>
        <v/>
      </c>
    </row>
    <row r="25" ht="19" customHeight="1">
      <c r="A25" s="43">
        <f>IF(COUNTA('利用者マスタ'!$A$4:$A$60)&gt;=19,INDEX('利用者マスタ'!$A$4:$A$60,19),"")</f>
        <v/>
      </c>
      <c r="B25" s="44">
        <f>IF($AP25=0,"",IF(MOD($AP25,8)=7,IF($AP25&gt;=8,"◇","◆"),IF(MOD($AP25,8)=3,IF($AP25&gt;=8,"▷","▶"),IF(MOD($AP25,8)=5,IF($AP25&gt;=8,"◁","◀"),IF($AP25&gt;=8,"□","■")))))</f>
        <v/>
      </c>
      <c r="C25" s="44">
        <f>IF($AQ25=0,"",IF(MOD($AQ25,8)=7,IF($AQ25&gt;=8,"◇","◆"),IF(MOD($AQ25,8)=3,IF($AQ25&gt;=8,"▷","▶"),IF(MOD($AQ25,8)=5,IF($AQ25&gt;=8,"◁","◀"),IF($AQ25&gt;=8,"□","■")))))</f>
        <v/>
      </c>
      <c r="D25" s="44">
        <f>IF($AR25=0,"",IF(MOD($AR25,8)=7,IF($AR25&gt;=8,"◇","◆"),IF(MOD($AR25,8)=3,IF($AR25&gt;=8,"▷","▶"),IF(MOD($AR25,8)=5,IF($AR25&gt;=8,"◁","◀"),IF($AR25&gt;=8,"□","■")))))</f>
        <v/>
      </c>
      <c r="E25" s="44">
        <f>IF($AS25=0,"",IF(MOD($AS25,8)=7,IF($AS25&gt;=8,"◇","◆"),IF(MOD($AS25,8)=3,IF($AS25&gt;=8,"▷","▶"),IF(MOD($AS25,8)=5,IF($AS25&gt;=8,"◁","◀"),IF($AS25&gt;=8,"□","■")))))</f>
        <v/>
      </c>
      <c r="F25" s="44">
        <f>IF($AT25=0,"",IF(MOD($AT25,8)=7,IF($AT25&gt;=8,"◇","◆"),IF(MOD($AT25,8)=3,IF($AT25&gt;=8,"▷","▶"),IF(MOD($AT25,8)=5,IF($AT25&gt;=8,"◁","◀"),IF($AT25&gt;=8,"□","■")))))</f>
        <v/>
      </c>
      <c r="G25" s="44">
        <f>IF($AU25=0,"",IF(MOD($AU25,8)=7,IF($AU25&gt;=8,"◇","◆"),IF(MOD($AU25,8)=3,IF($AU25&gt;=8,"▷","▶"),IF(MOD($AU25,8)=5,IF($AU25&gt;=8,"◁","◀"),IF($AU25&gt;=8,"□","■")))))</f>
        <v/>
      </c>
      <c r="H25" s="44">
        <f>IF($AV25=0,"",IF(MOD($AV25,8)=7,IF($AV25&gt;=8,"◇","◆"),IF(MOD($AV25,8)=3,IF($AV25&gt;=8,"▷","▶"),IF(MOD($AV25,8)=5,IF($AV25&gt;=8,"◁","◀"),IF($AV25&gt;=8,"□","■")))))</f>
        <v/>
      </c>
      <c r="I25" s="44">
        <f>IF($AW25=0,"",IF(MOD($AW25,8)=7,IF($AW25&gt;=8,"◇","◆"),IF(MOD($AW25,8)=3,IF($AW25&gt;=8,"▷","▶"),IF(MOD($AW25,8)=5,IF($AW25&gt;=8,"◁","◀"),IF($AW25&gt;=8,"□","■")))))</f>
        <v/>
      </c>
      <c r="J25" s="44">
        <f>IF($AX25=0,"",IF(MOD($AX25,8)=7,IF($AX25&gt;=8,"◇","◆"),IF(MOD($AX25,8)=3,IF($AX25&gt;=8,"▷","▶"),IF(MOD($AX25,8)=5,IF($AX25&gt;=8,"◁","◀"),IF($AX25&gt;=8,"□","■")))))</f>
        <v/>
      </c>
      <c r="K25" s="44">
        <f>IF($AY25=0,"",IF(MOD($AY25,8)=7,IF($AY25&gt;=8,"◇","◆"),IF(MOD($AY25,8)=3,IF($AY25&gt;=8,"▷","▶"),IF(MOD($AY25,8)=5,IF($AY25&gt;=8,"◁","◀"),IF($AY25&gt;=8,"□","■")))))</f>
        <v/>
      </c>
      <c r="L25" s="44">
        <f>IF($AZ25=0,"",IF(MOD($AZ25,8)=7,IF($AZ25&gt;=8,"◇","◆"),IF(MOD($AZ25,8)=3,IF($AZ25&gt;=8,"▷","▶"),IF(MOD($AZ25,8)=5,IF($AZ25&gt;=8,"◁","◀"),IF($AZ25&gt;=8,"□","■")))))</f>
        <v/>
      </c>
      <c r="M25" s="44">
        <f>IF($BA25=0,"",IF(MOD($BA25,8)=7,IF($BA25&gt;=8,"◇","◆"),IF(MOD($BA25,8)=3,IF($BA25&gt;=8,"▷","▶"),IF(MOD($BA25,8)=5,IF($BA25&gt;=8,"◁","◀"),IF($BA25&gt;=8,"□","■")))))</f>
        <v/>
      </c>
      <c r="N25" s="44">
        <f>IF($BB25=0,"",IF(MOD($BB25,8)=7,IF($BB25&gt;=8,"◇","◆"),IF(MOD($BB25,8)=3,IF($BB25&gt;=8,"▷","▶"),IF(MOD($BB25,8)=5,IF($BB25&gt;=8,"◁","◀"),IF($BB25&gt;=8,"□","■")))))</f>
        <v/>
      </c>
      <c r="O25" s="44">
        <f>IF($BC25=0,"",IF(MOD($BC25,8)=7,IF($BC25&gt;=8,"◇","◆"),IF(MOD($BC25,8)=3,IF($BC25&gt;=8,"▷","▶"),IF(MOD($BC25,8)=5,IF($BC25&gt;=8,"◁","◀"),IF($BC25&gt;=8,"□","■")))))</f>
        <v/>
      </c>
      <c r="P25" s="44">
        <f>IF($BD25=0,"",IF(MOD($BD25,8)=7,IF($BD25&gt;=8,"◇","◆"),IF(MOD($BD25,8)=3,IF($BD25&gt;=8,"▷","▶"),IF(MOD($BD25,8)=5,IF($BD25&gt;=8,"◁","◀"),IF($BD25&gt;=8,"□","■")))))</f>
        <v/>
      </c>
      <c r="Q25" s="44">
        <f>IF($BE25=0,"",IF(MOD($BE25,8)=7,IF($BE25&gt;=8,"◇","◆"),IF(MOD($BE25,8)=3,IF($BE25&gt;=8,"▷","▶"),IF(MOD($BE25,8)=5,IF($BE25&gt;=8,"◁","◀"),IF($BE25&gt;=8,"□","■")))))</f>
        <v/>
      </c>
      <c r="R25" s="44">
        <f>IF($BF25=0,"",IF(MOD($BF25,8)=7,IF($BF25&gt;=8,"◇","◆"),IF(MOD($BF25,8)=3,IF($BF25&gt;=8,"▷","▶"),IF(MOD($BF25,8)=5,IF($BF25&gt;=8,"◁","◀"),IF($BF25&gt;=8,"□","■")))))</f>
        <v/>
      </c>
      <c r="S25" s="44">
        <f>IF($BG25=0,"",IF(MOD($BG25,8)=7,IF($BG25&gt;=8,"◇","◆"),IF(MOD($BG25,8)=3,IF($BG25&gt;=8,"▷","▶"),IF(MOD($BG25,8)=5,IF($BG25&gt;=8,"◁","◀"),IF($BG25&gt;=8,"□","■")))))</f>
        <v/>
      </c>
      <c r="T25" s="44">
        <f>IF($BH25=0,"",IF(MOD($BH25,8)=7,IF($BH25&gt;=8,"◇","◆"),IF(MOD($BH25,8)=3,IF($BH25&gt;=8,"▷","▶"),IF(MOD($BH25,8)=5,IF($BH25&gt;=8,"◁","◀"),IF($BH25&gt;=8,"□","■")))))</f>
        <v/>
      </c>
      <c r="U25" s="44">
        <f>IF($BI25=0,"",IF(MOD($BI25,8)=7,IF($BI25&gt;=8,"◇","◆"),IF(MOD($BI25,8)=3,IF($BI25&gt;=8,"▷","▶"),IF(MOD($BI25,8)=5,IF($BI25&gt;=8,"◁","◀"),IF($BI25&gt;=8,"□","■")))))</f>
        <v/>
      </c>
      <c r="V25" s="44">
        <f>IF($BJ25=0,"",IF(MOD($BJ25,8)=7,IF($BJ25&gt;=8,"◇","◆"),IF(MOD($BJ25,8)=3,IF($BJ25&gt;=8,"▷","▶"),IF(MOD($BJ25,8)=5,IF($BJ25&gt;=8,"◁","◀"),IF($BJ25&gt;=8,"□","■")))))</f>
        <v/>
      </c>
      <c r="W25" s="44">
        <f>IF($BK25=0,"",IF(MOD($BK25,8)=7,IF($BK25&gt;=8,"◇","◆"),IF(MOD($BK25,8)=3,IF($BK25&gt;=8,"▷","▶"),IF(MOD($BK25,8)=5,IF($BK25&gt;=8,"◁","◀"),IF($BK25&gt;=8,"□","■")))))</f>
        <v/>
      </c>
      <c r="X25" s="44">
        <f>IF($BL25=0,"",IF(MOD($BL25,8)=7,IF($BL25&gt;=8,"◇","◆"),IF(MOD($BL25,8)=3,IF($BL25&gt;=8,"▷","▶"),IF(MOD($BL25,8)=5,IF($BL25&gt;=8,"◁","◀"),IF($BL25&gt;=8,"□","■")))))</f>
        <v/>
      </c>
      <c r="Y25" s="44">
        <f>IF($BM25=0,"",IF(MOD($BM25,8)=7,IF($BM25&gt;=8,"◇","◆"),IF(MOD($BM25,8)=3,IF($BM25&gt;=8,"▷","▶"),IF(MOD($BM25,8)=5,IF($BM25&gt;=8,"◁","◀"),IF($BM25&gt;=8,"□","■")))))</f>
        <v/>
      </c>
      <c r="Z25" s="44">
        <f>IF($BN25=0,"",IF(MOD($BN25,8)=7,IF($BN25&gt;=8,"◇","◆"),IF(MOD($BN25,8)=3,IF($BN25&gt;=8,"▷","▶"),IF(MOD($BN25,8)=5,IF($BN25&gt;=8,"◁","◀"),IF($BN25&gt;=8,"□","■")))))</f>
        <v/>
      </c>
      <c r="AA25" s="44">
        <f>IF($BO25=0,"",IF(MOD($BO25,8)=7,IF($BO25&gt;=8,"◇","◆"),IF(MOD($BO25,8)=3,IF($BO25&gt;=8,"▷","▶"),IF(MOD($BO25,8)=5,IF($BO25&gt;=8,"◁","◀"),IF($BO25&gt;=8,"□","■")))))</f>
        <v/>
      </c>
      <c r="AB25" s="44">
        <f>IF($BP25=0,"",IF(MOD($BP25,8)=7,IF($BP25&gt;=8,"◇","◆"),IF(MOD($BP25,8)=3,IF($BP25&gt;=8,"▷","▶"),IF(MOD($BP25,8)=5,IF($BP25&gt;=8,"◁","◀"),IF($BP25&gt;=8,"□","■")))))</f>
        <v/>
      </c>
      <c r="AC25" s="44">
        <f>IF($BQ25=0,"",IF(MOD($BQ25,8)=7,IF($BQ25&gt;=8,"◇","◆"),IF(MOD($BQ25,8)=3,IF($BQ25&gt;=8,"▷","▶"),IF(MOD($BQ25,8)=5,IF($BQ25&gt;=8,"◁","◀"),IF($BQ25&gt;=8,"□","■")))))</f>
        <v/>
      </c>
      <c r="AD25" s="44">
        <f>IF($BR25=0,"",IF(MOD($BR25,8)=7,IF($BR25&gt;=8,"◇","◆"),IF(MOD($BR25,8)=3,IF($BR25&gt;=8,"▷","▶"),IF(MOD($BR25,8)=5,IF($BR25&gt;=8,"◁","◀"),IF($BR25&gt;=8,"□","■")))))</f>
        <v/>
      </c>
      <c r="AE25" s="44">
        <f>IF($BS25=0,"",IF(MOD($BS25,8)=7,IF($BS25&gt;=8,"◇","◆"),IF(MOD($BS25,8)=3,IF($BS25&gt;=8,"▷","▶"),IF(MOD($BS25,8)=5,IF($BS25&gt;=8,"◁","◀"),IF($BS25&gt;=8,"□","■")))))</f>
        <v/>
      </c>
      <c r="AF25" s="44">
        <f>IF($BT25=0,"",IF(MOD($BT25,8)=7,IF($BT25&gt;=8,"◇","◆"),IF(MOD($BT25,8)=3,IF($BT25&gt;=8,"▷","▶"),IF(MOD($BT25,8)=5,IF($BT25&gt;=8,"◁","◀"),IF($BT25&gt;=8,"□","■")))))</f>
        <v/>
      </c>
      <c r="AG25" s="45">
        <f>IF($A25="","",COUNTIF($AP25:$BT25,"&gt;0"))</f>
        <v/>
      </c>
      <c r="AP25">
        <f>IF(OR($A25="",B$4=""),0,SUMPRODUCT(('01_予約入力'!$G$5:$G$404&lt;&gt;"")*('01_予約入力'!$Q$5:$Q$404&lt;&gt;"キャンセル")*('01_予約入力'!$B$5:$B$404=$A25)*('01_予約入力'!$G$5:$G$404&lt;=B$4)*('01_予約入力'!$J$5:$J$404&gt;=B$4)*(1+2*('01_予約入力'!$G$5:$G$404=B$4)+4*('01_予約入力'!$J$5:$J$404=B$4)+8*(('01_予約入力'!$Q$5:$Q$404="仮予約")+('01_予約入力'!$Q$5:$Q$404="調整中")))))</f>
        <v/>
      </c>
      <c r="AQ25">
        <f>IF(OR($A25="",C$4=""),0,SUMPRODUCT(('01_予約入力'!$G$5:$G$404&lt;&gt;"")*('01_予約入力'!$Q$5:$Q$404&lt;&gt;"キャンセル")*('01_予約入力'!$B$5:$B$404=$A25)*('01_予約入力'!$G$5:$G$404&lt;=C$4)*('01_予約入力'!$J$5:$J$404&gt;=C$4)*(1+2*('01_予約入力'!$G$5:$G$404=C$4)+4*('01_予約入力'!$J$5:$J$404=C$4)+8*(('01_予約入力'!$Q$5:$Q$404="仮予約")+('01_予約入力'!$Q$5:$Q$404="調整中")))))</f>
        <v/>
      </c>
      <c r="AR25">
        <f>IF(OR($A25="",D$4=""),0,SUMPRODUCT(('01_予約入力'!$G$5:$G$404&lt;&gt;"")*('01_予約入力'!$Q$5:$Q$404&lt;&gt;"キャンセル")*('01_予約入力'!$B$5:$B$404=$A25)*('01_予約入力'!$G$5:$G$404&lt;=D$4)*('01_予約入力'!$J$5:$J$404&gt;=D$4)*(1+2*('01_予約入力'!$G$5:$G$404=D$4)+4*('01_予約入力'!$J$5:$J$404=D$4)+8*(('01_予約入力'!$Q$5:$Q$404="仮予約")+('01_予約入力'!$Q$5:$Q$404="調整中")))))</f>
        <v/>
      </c>
      <c r="AS25">
        <f>IF(OR($A25="",E$4=""),0,SUMPRODUCT(('01_予約入力'!$G$5:$G$404&lt;&gt;"")*('01_予約入力'!$Q$5:$Q$404&lt;&gt;"キャンセル")*('01_予約入力'!$B$5:$B$404=$A25)*('01_予約入力'!$G$5:$G$404&lt;=E$4)*('01_予約入力'!$J$5:$J$404&gt;=E$4)*(1+2*('01_予約入力'!$G$5:$G$404=E$4)+4*('01_予約入力'!$J$5:$J$404=E$4)+8*(('01_予約入力'!$Q$5:$Q$404="仮予約")+('01_予約入力'!$Q$5:$Q$404="調整中")))))</f>
        <v/>
      </c>
      <c r="AT25">
        <f>IF(OR($A25="",F$4=""),0,SUMPRODUCT(('01_予約入力'!$G$5:$G$404&lt;&gt;"")*('01_予約入力'!$Q$5:$Q$404&lt;&gt;"キャンセル")*('01_予約入力'!$B$5:$B$404=$A25)*('01_予約入力'!$G$5:$G$404&lt;=F$4)*('01_予約入力'!$J$5:$J$404&gt;=F$4)*(1+2*('01_予約入力'!$G$5:$G$404=F$4)+4*('01_予約入力'!$J$5:$J$404=F$4)+8*(('01_予約入力'!$Q$5:$Q$404="仮予約")+('01_予約入力'!$Q$5:$Q$404="調整中")))))</f>
        <v/>
      </c>
      <c r="AU25">
        <f>IF(OR($A25="",G$4=""),0,SUMPRODUCT(('01_予約入力'!$G$5:$G$404&lt;&gt;"")*('01_予約入力'!$Q$5:$Q$404&lt;&gt;"キャンセル")*('01_予約入力'!$B$5:$B$404=$A25)*('01_予約入力'!$G$5:$G$404&lt;=G$4)*('01_予約入力'!$J$5:$J$404&gt;=G$4)*(1+2*('01_予約入力'!$G$5:$G$404=G$4)+4*('01_予約入力'!$J$5:$J$404=G$4)+8*(('01_予約入力'!$Q$5:$Q$404="仮予約")+('01_予約入力'!$Q$5:$Q$404="調整中")))))</f>
        <v/>
      </c>
      <c r="AV25">
        <f>IF(OR($A25="",H$4=""),0,SUMPRODUCT(('01_予約入力'!$G$5:$G$404&lt;&gt;"")*('01_予約入力'!$Q$5:$Q$404&lt;&gt;"キャンセル")*('01_予約入力'!$B$5:$B$404=$A25)*('01_予約入力'!$G$5:$G$404&lt;=H$4)*('01_予約入力'!$J$5:$J$404&gt;=H$4)*(1+2*('01_予約入力'!$G$5:$G$404=H$4)+4*('01_予約入力'!$J$5:$J$404=H$4)+8*(('01_予約入力'!$Q$5:$Q$404="仮予約")+('01_予約入力'!$Q$5:$Q$404="調整中")))))</f>
        <v/>
      </c>
      <c r="AW25">
        <f>IF(OR($A25="",I$4=""),0,SUMPRODUCT(('01_予約入力'!$G$5:$G$404&lt;&gt;"")*('01_予約入力'!$Q$5:$Q$404&lt;&gt;"キャンセル")*('01_予約入力'!$B$5:$B$404=$A25)*('01_予約入力'!$G$5:$G$404&lt;=I$4)*('01_予約入力'!$J$5:$J$404&gt;=I$4)*(1+2*('01_予約入力'!$G$5:$G$404=I$4)+4*('01_予約入力'!$J$5:$J$404=I$4)+8*(('01_予約入力'!$Q$5:$Q$404="仮予約")+('01_予約入力'!$Q$5:$Q$404="調整中")))))</f>
        <v/>
      </c>
      <c r="AX25">
        <f>IF(OR($A25="",J$4=""),0,SUMPRODUCT(('01_予約入力'!$G$5:$G$404&lt;&gt;"")*('01_予約入力'!$Q$5:$Q$404&lt;&gt;"キャンセル")*('01_予約入力'!$B$5:$B$404=$A25)*('01_予約入力'!$G$5:$G$404&lt;=J$4)*('01_予約入力'!$J$5:$J$404&gt;=J$4)*(1+2*('01_予約入力'!$G$5:$G$404=J$4)+4*('01_予約入力'!$J$5:$J$404=J$4)+8*(('01_予約入力'!$Q$5:$Q$404="仮予約")+('01_予約入力'!$Q$5:$Q$404="調整中")))))</f>
        <v/>
      </c>
      <c r="AY25">
        <f>IF(OR($A25="",K$4=""),0,SUMPRODUCT(('01_予約入力'!$G$5:$G$404&lt;&gt;"")*('01_予約入力'!$Q$5:$Q$404&lt;&gt;"キャンセル")*('01_予約入力'!$B$5:$B$404=$A25)*('01_予約入力'!$G$5:$G$404&lt;=K$4)*('01_予約入力'!$J$5:$J$404&gt;=K$4)*(1+2*('01_予約入力'!$G$5:$G$404=K$4)+4*('01_予約入力'!$J$5:$J$404=K$4)+8*(('01_予約入力'!$Q$5:$Q$404="仮予約")+('01_予約入力'!$Q$5:$Q$404="調整中")))))</f>
        <v/>
      </c>
      <c r="AZ25">
        <f>IF(OR($A25="",L$4=""),0,SUMPRODUCT(('01_予約入力'!$G$5:$G$404&lt;&gt;"")*('01_予約入力'!$Q$5:$Q$404&lt;&gt;"キャンセル")*('01_予約入力'!$B$5:$B$404=$A25)*('01_予約入力'!$G$5:$G$404&lt;=L$4)*('01_予約入力'!$J$5:$J$404&gt;=L$4)*(1+2*('01_予約入力'!$G$5:$G$404=L$4)+4*('01_予約入力'!$J$5:$J$404=L$4)+8*(('01_予約入力'!$Q$5:$Q$404="仮予約")+('01_予約入力'!$Q$5:$Q$404="調整中")))))</f>
        <v/>
      </c>
      <c r="BA25">
        <f>IF(OR($A25="",M$4=""),0,SUMPRODUCT(('01_予約入力'!$G$5:$G$404&lt;&gt;"")*('01_予約入力'!$Q$5:$Q$404&lt;&gt;"キャンセル")*('01_予約入力'!$B$5:$B$404=$A25)*('01_予約入力'!$G$5:$G$404&lt;=M$4)*('01_予約入力'!$J$5:$J$404&gt;=M$4)*(1+2*('01_予約入力'!$G$5:$G$404=M$4)+4*('01_予約入力'!$J$5:$J$404=M$4)+8*(('01_予約入力'!$Q$5:$Q$404="仮予約")+('01_予約入力'!$Q$5:$Q$404="調整中")))))</f>
        <v/>
      </c>
      <c r="BB25">
        <f>IF(OR($A25="",N$4=""),0,SUMPRODUCT(('01_予約入力'!$G$5:$G$404&lt;&gt;"")*('01_予約入力'!$Q$5:$Q$404&lt;&gt;"キャンセル")*('01_予約入力'!$B$5:$B$404=$A25)*('01_予約入力'!$G$5:$G$404&lt;=N$4)*('01_予約入力'!$J$5:$J$404&gt;=N$4)*(1+2*('01_予約入力'!$G$5:$G$404=N$4)+4*('01_予約入力'!$J$5:$J$404=N$4)+8*(('01_予約入力'!$Q$5:$Q$404="仮予約")+('01_予約入力'!$Q$5:$Q$404="調整中")))))</f>
        <v/>
      </c>
      <c r="BC25">
        <f>IF(OR($A25="",O$4=""),0,SUMPRODUCT(('01_予約入力'!$G$5:$G$404&lt;&gt;"")*('01_予約入力'!$Q$5:$Q$404&lt;&gt;"キャンセル")*('01_予約入力'!$B$5:$B$404=$A25)*('01_予約入力'!$G$5:$G$404&lt;=O$4)*('01_予約入力'!$J$5:$J$404&gt;=O$4)*(1+2*('01_予約入力'!$G$5:$G$404=O$4)+4*('01_予約入力'!$J$5:$J$404=O$4)+8*(('01_予約入力'!$Q$5:$Q$404="仮予約")+('01_予約入力'!$Q$5:$Q$404="調整中")))))</f>
        <v/>
      </c>
      <c r="BD25">
        <f>IF(OR($A25="",P$4=""),0,SUMPRODUCT(('01_予約入力'!$G$5:$G$404&lt;&gt;"")*('01_予約入力'!$Q$5:$Q$404&lt;&gt;"キャンセル")*('01_予約入力'!$B$5:$B$404=$A25)*('01_予約入力'!$G$5:$G$404&lt;=P$4)*('01_予約入力'!$J$5:$J$404&gt;=P$4)*(1+2*('01_予約入力'!$G$5:$G$404=P$4)+4*('01_予約入力'!$J$5:$J$404=P$4)+8*(('01_予約入力'!$Q$5:$Q$404="仮予約")+('01_予約入力'!$Q$5:$Q$404="調整中")))))</f>
        <v/>
      </c>
      <c r="BE25">
        <f>IF(OR($A25="",Q$4=""),0,SUMPRODUCT(('01_予約入力'!$G$5:$G$404&lt;&gt;"")*('01_予約入力'!$Q$5:$Q$404&lt;&gt;"キャンセル")*('01_予約入力'!$B$5:$B$404=$A25)*('01_予約入力'!$G$5:$G$404&lt;=Q$4)*('01_予約入力'!$J$5:$J$404&gt;=Q$4)*(1+2*('01_予約入力'!$G$5:$G$404=Q$4)+4*('01_予約入力'!$J$5:$J$404=Q$4)+8*(('01_予約入力'!$Q$5:$Q$404="仮予約")+('01_予約入力'!$Q$5:$Q$404="調整中")))))</f>
        <v/>
      </c>
      <c r="BF25">
        <f>IF(OR($A25="",R$4=""),0,SUMPRODUCT(('01_予約入力'!$G$5:$G$404&lt;&gt;"")*('01_予約入力'!$Q$5:$Q$404&lt;&gt;"キャンセル")*('01_予約入力'!$B$5:$B$404=$A25)*('01_予約入力'!$G$5:$G$404&lt;=R$4)*('01_予約入力'!$J$5:$J$404&gt;=R$4)*(1+2*('01_予約入力'!$G$5:$G$404=R$4)+4*('01_予約入力'!$J$5:$J$404=R$4)+8*(('01_予約入力'!$Q$5:$Q$404="仮予約")+('01_予約入力'!$Q$5:$Q$404="調整中")))))</f>
        <v/>
      </c>
      <c r="BG25">
        <f>IF(OR($A25="",S$4=""),0,SUMPRODUCT(('01_予約入力'!$G$5:$G$404&lt;&gt;"")*('01_予約入力'!$Q$5:$Q$404&lt;&gt;"キャンセル")*('01_予約入力'!$B$5:$B$404=$A25)*('01_予約入力'!$G$5:$G$404&lt;=S$4)*('01_予約入力'!$J$5:$J$404&gt;=S$4)*(1+2*('01_予約入力'!$G$5:$G$404=S$4)+4*('01_予約入力'!$J$5:$J$404=S$4)+8*(('01_予約入力'!$Q$5:$Q$404="仮予約")+('01_予約入力'!$Q$5:$Q$404="調整中")))))</f>
        <v/>
      </c>
      <c r="BH25">
        <f>IF(OR($A25="",T$4=""),0,SUMPRODUCT(('01_予約入力'!$G$5:$G$404&lt;&gt;"")*('01_予約入力'!$Q$5:$Q$404&lt;&gt;"キャンセル")*('01_予約入力'!$B$5:$B$404=$A25)*('01_予約入力'!$G$5:$G$404&lt;=T$4)*('01_予約入力'!$J$5:$J$404&gt;=T$4)*(1+2*('01_予約入力'!$G$5:$G$404=T$4)+4*('01_予約入力'!$J$5:$J$404=T$4)+8*(('01_予約入力'!$Q$5:$Q$404="仮予約")+('01_予約入力'!$Q$5:$Q$404="調整中")))))</f>
        <v/>
      </c>
      <c r="BI25">
        <f>IF(OR($A25="",U$4=""),0,SUMPRODUCT(('01_予約入力'!$G$5:$G$404&lt;&gt;"")*('01_予約入力'!$Q$5:$Q$404&lt;&gt;"キャンセル")*('01_予約入力'!$B$5:$B$404=$A25)*('01_予約入力'!$G$5:$G$404&lt;=U$4)*('01_予約入力'!$J$5:$J$404&gt;=U$4)*(1+2*('01_予約入力'!$G$5:$G$404=U$4)+4*('01_予約入力'!$J$5:$J$404=U$4)+8*(('01_予約入力'!$Q$5:$Q$404="仮予約")+('01_予約入力'!$Q$5:$Q$404="調整中")))))</f>
        <v/>
      </c>
      <c r="BJ25">
        <f>IF(OR($A25="",V$4=""),0,SUMPRODUCT(('01_予約入力'!$G$5:$G$404&lt;&gt;"")*('01_予約入力'!$Q$5:$Q$404&lt;&gt;"キャンセル")*('01_予約入力'!$B$5:$B$404=$A25)*('01_予約入力'!$G$5:$G$404&lt;=V$4)*('01_予約入力'!$J$5:$J$404&gt;=V$4)*(1+2*('01_予約入力'!$G$5:$G$404=V$4)+4*('01_予約入力'!$J$5:$J$404=V$4)+8*(('01_予約入力'!$Q$5:$Q$404="仮予約")+('01_予約入力'!$Q$5:$Q$404="調整中")))))</f>
        <v/>
      </c>
      <c r="BK25">
        <f>IF(OR($A25="",W$4=""),0,SUMPRODUCT(('01_予約入力'!$G$5:$G$404&lt;&gt;"")*('01_予約入力'!$Q$5:$Q$404&lt;&gt;"キャンセル")*('01_予約入力'!$B$5:$B$404=$A25)*('01_予約入力'!$G$5:$G$404&lt;=W$4)*('01_予約入力'!$J$5:$J$404&gt;=W$4)*(1+2*('01_予約入力'!$G$5:$G$404=W$4)+4*('01_予約入力'!$J$5:$J$404=W$4)+8*(('01_予約入力'!$Q$5:$Q$404="仮予約")+('01_予約入力'!$Q$5:$Q$404="調整中")))))</f>
        <v/>
      </c>
      <c r="BL25">
        <f>IF(OR($A25="",X$4=""),0,SUMPRODUCT(('01_予約入力'!$G$5:$G$404&lt;&gt;"")*('01_予約入力'!$Q$5:$Q$404&lt;&gt;"キャンセル")*('01_予約入力'!$B$5:$B$404=$A25)*('01_予約入力'!$G$5:$G$404&lt;=X$4)*('01_予約入力'!$J$5:$J$404&gt;=X$4)*(1+2*('01_予約入力'!$G$5:$G$404=X$4)+4*('01_予約入力'!$J$5:$J$404=X$4)+8*(('01_予約入力'!$Q$5:$Q$404="仮予約")+('01_予約入力'!$Q$5:$Q$404="調整中")))))</f>
        <v/>
      </c>
      <c r="BM25">
        <f>IF(OR($A25="",Y$4=""),0,SUMPRODUCT(('01_予約入力'!$G$5:$G$404&lt;&gt;"")*('01_予約入力'!$Q$5:$Q$404&lt;&gt;"キャンセル")*('01_予約入力'!$B$5:$B$404=$A25)*('01_予約入力'!$G$5:$G$404&lt;=Y$4)*('01_予約入力'!$J$5:$J$404&gt;=Y$4)*(1+2*('01_予約入力'!$G$5:$G$404=Y$4)+4*('01_予約入力'!$J$5:$J$404=Y$4)+8*(('01_予約入力'!$Q$5:$Q$404="仮予約")+('01_予約入力'!$Q$5:$Q$404="調整中")))))</f>
        <v/>
      </c>
      <c r="BN25">
        <f>IF(OR($A25="",Z$4=""),0,SUMPRODUCT(('01_予約入力'!$G$5:$G$404&lt;&gt;"")*('01_予約入力'!$Q$5:$Q$404&lt;&gt;"キャンセル")*('01_予約入力'!$B$5:$B$404=$A25)*('01_予約入力'!$G$5:$G$404&lt;=Z$4)*('01_予約入力'!$J$5:$J$404&gt;=Z$4)*(1+2*('01_予約入力'!$G$5:$G$404=Z$4)+4*('01_予約入力'!$J$5:$J$404=Z$4)+8*(('01_予約入力'!$Q$5:$Q$404="仮予約")+('01_予約入力'!$Q$5:$Q$404="調整中")))))</f>
        <v/>
      </c>
      <c r="BO25">
        <f>IF(OR($A25="",AA$4=""),0,SUMPRODUCT(('01_予約入力'!$G$5:$G$404&lt;&gt;"")*('01_予約入力'!$Q$5:$Q$404&lt;&gt;"キャンセル")*('01_予約入力'!$B$5:$B$404=$A25)*('01_予約入力'!$G$5:$G$404&lt;=AA$4)*('01_予約入力'!$J$5:$J$404&gt;=AA$4)*(1+2*('01_予約入力'!$G$5:$G$404=AA$4)+4*('01_予約入力'!$J$5:$J$404=AA$4)+8*(('01_予約入力'!$Q$5:$Q$404="仮予約")+('01_予約入力'!$Q$5:$Q$404="調整中")))))</f>
        <v/>
      </c>
      <c r="BP25">
        <f>IF(OR($A25="",AB$4=""),0,SUMPRODUCT(('01_予約入力'!$G$5:$G$404&lt;&gt;"")*('01_予約入力'!$Q$5:$Q$404&lt;&gt;"キャンセル")*('01_予約入力'!$B$5:$B$404=$A25)*('01_予約入力'!$G$5:$G$404&lt;=AB$4)*('01_予約入力'!$J$5:$J$404&gt;=AB$4)*(1+2*('01_予約入力'!$G$5:$G$404=AB$4)+4*('01_予約入力'!$J$5:$J$404=AB$4)+8*(('01_予約入力'!$Q$5:$Q$404="仮予約")+('01_予約入力'!$Q$5:$Q$404="調整中")))))</f>
        <v/>
      </c>
      <c r="BQ25">
        <f>IF(OR($A25="",AC$4=""),0,SUMPRODUCT(('01_予約入力'!$G$5:$G$404&lt;&gt;"")*('01_予約入力'!$Q$5:$Q$404&lt;&gt;"キャンセル")*('01_予約入力'!$B$5:$B$404=$A25)*('01_予約入力'!$G$5:$G$404&lt;=AC$4)*('01_予約入力'!$J$5:$J$404&gt;=AC$4)*(1+2*('01_予約入力'!$G$5:$G$404=AC$4)+4*('01_予約入力'!$J$5:$J$404=AC$4)+8*(('01_予約入力'!$Q$5:$Q$404="仮予約")+('01_予約入力'!$Q$5:$Q$404="調整中")))))</f>
        <v/>
      </c>
      <c r="BR25">
        <f>IF(OR($A25="",AD$4=""),0,SUMPRODUCT(('01_予約入力'!$G$5:$G$404&lt;&gt;"")*('01_予約入力'!$Q$5:$Q$404&lt;&gt;"キャンセル")*('01_予約入力'!$B$5:$B$404=$A25)*('01_予約入力'!$G$5:$G$404&lt;=AD$4)*('01_予約入力'!$J$5:$J$404&gt;=AD$4)*(1+2*('01_予約入力'!$G$5:$G$404=AD$4)+4*('01_予約入力'!$J$5:$J$404=AD$4)+8*(('01_予約入力'!$Q$5:$Q$404="仮予約")+('01_予約入力'!$Q$5:$Q$404="調整中")))))</f>
        <v/>
      </c>
      <c r="BS25">
        <f>IF(OR($A25="",AE$4=""),0,SUMPRODUCT(('01_予約入力'!$G$5:$G$404&lt;&gt;"")*('01_予約入力'!$Q$5:$Q$404&lt;&gt;"キャンセル")*('01_予約入力'!$B$5:$B$404=$A25)*('01_予約入力'!$G$5:$G$404&lt;=AE$4)*('01_予約入力'!$J$5:$J$404&gt;=AE$4)*(1+2*('01_予約入力'!$G$5:$G$404=AE$4)+4*('01_予約入力'!$J$5:$J$404=AE$4)+8*(('01_予約入力'!$Q$5:$Q$404="仮予約")+('01_予約入力'!$Q$5:$Q$404="調整中")))))</f>
        <v/>
      </c>
      <c r="BT25">
        <f>IF(OR($A25="",AF$4=""),0,SUMPRODUCT(('01_予約入力'!$G$5:$G$404&lt;&gt;"")*('01_予約入力'!$Q$5:$Q$404&lt;&gt;"キャンセル")*('01_予約入力'!$B$5:$B$404=$A25)*('01_予約入力'!$G$5:$G$404&lt;=AF$4)*('01_予約入力'!$J$5:$J$404&gt;=AF$4)*(1+2*('01_予約入力'!$G$5:$G$404=AF$4)+4*('01_予約入力'!$J$5:$J$404=AF$4)+8*(('01_予約入力'!$Q$5:$Q$404="仮予約")+('01_予約入力'!$Q$5:$Q$404="調整中")))))</f>
        <v/>
      </c>
    </row>
    <row r="26" ht="19" customHeight="1">
      <c r="A26" s="43">
        <f>IF(COUNTA('利用者マスタ'!$A$4:$A$60)&gt;=20,INDEX('利用者マスタ'!$A$4:$A$60,20),"")</f>
        <v/>
      </c>
      <c r="B26" s="44">
        <f>IF($AP26=0,"",IF(MOD($AP26,8)=7,IF($AP26&gt;=8,"◇","◆"),IF(MOD($AP26,8)=3,IF($AP26&gt;=8,"▷","▶"),IF(MOD($AP26,8)=5,IF($AP26&gt;=8,"◁","◀"),IF($AP26&gt;=8,"□","■")))))</f>
        <v/>
      </c>
      <c r="C26" s="44">
        <f>IF($AQ26=0,"",IF(MOD($AQ26,8)=7,IF($AQ26&gt;=8,"◇","◆"),IF(MOD($AQ26,8)=3,IF($AQ26&gt;=8,"▷","▶"),IF(MOD($AQ26,8)=5,IF($AQ26&gt;=8,"◁","◀"),IF($AQ26&gt;=8,"□","■")))))</f>
        <v/>
      </c>
      <c r="D26" s="44">
        <f>IF($AR26=0,"",IF(MOD($AR26,8)=7,IF($AR26&gt;=8,"◇","◆"),IF(MOD($AR26,8)=3,IF($AR26&gt;=8,"▷","▶"),IF(MOD($AR26,8)=5,IF($AR26&gt;=8,"◁","◀"),IF($AR26&gt;=8,"□","■")))))</f>
        <v/>
      </c>
      <c r="E26" s="44">
        <f>IF($AS26=0,"",IF(MOD($AS26,8)=7,IF($AS26&gt;=8,"◇","◆"),IF(MOD($AS26,8)=3,IF($AS26&gt;=8,"▷","▶"),IF(MOD($AS26,8)=5,IF($AS26&gt;=8,"◁","◀"),IF($AS26&gt;=8,"□","■")))))</f>
        <v/>
      </c>
      <c r="F26" s="44">
        <f>IF($AT26=0,"",IF(MOD($AT26,8)=7,IF($AT26&gt;=8,"◇","◆"),IF(MOD($AT26,8)=3,IF($AT26&gt;=8,"▷","▶"),IF(MOD($AT26,8)=5,IF($AT26&gt;=8,"◁","◀"),IF($AT26&gt;=8,"□","■")))))</f>
        <v/>
      </c>
      <c r="G26" s="44">
        <f>IF($AU26=0,"",IF(MOD($AU26,8)=7,IF($AU26&gt;=8,"◇","◆"),IF(MOD($AU26,8)=3,IF($AU26&gt;=8,"▷","▶"),IF(MOD($AU26,8)=5,IF($AU26&gt;=8,"◁","◀"),IF($AU26&gt;=8,"□","■")))))</f>
        <v/>
      </c>
      <c r="H26" s="44">
        <f>IF($AV26=0,"",IF(MOD($AV26,8)=7,IF($AV26&gt;=8,"◇","◆"),IF(MOD($AV26,8)=3,IF($AV26&gt;=8,"▷","▶"),IF(MOD($AV26,8)=5,IF($AV26&gt;=8,"◁","◀"),IF($AV26&gt;=8,"□","■")))))</f>
        <v/>
      </c>
      <c r="I26" s="44">
        <f>IF($AW26=0,"",IF(MOD($AW26,8)=7,IF($AW26&gt;=8,"◇","◆"),IF(MOD($AW26,8)=3,IF($AW26&gt;=8,"▷","▶"),IF(MOD($AW26,8)=5,IF($AW26&gt;=8,"◁","◀"),IF($AW26&gt;=8,"□","■")))))</f>
        <v/>
      </c>
      <c r="J26" s="44">
        <f>IF($AX26=0,"",IF(MOD($AX26,8)=7,IF($AX26&gt;=8,"◇","◆"),IF(MOD($AX26,8)=3,IF($AX26&gt;=8,"▷","▶"),IF(MOD($AX26,8)=5,IF($AX26&gt;=8,"◁","◀"),IF($AX26&gt;=8,"□","■")))))</f>
        <v/>
      </c>
      <c r="K26" s="44">
        <f>IF($AY26=0,"",IF(MOD($AY26,8)=7,IF($AY26&gt;=8,"◇","◆"),IF(MOD($AY26,8)=3,IF($AY26&gt;=8,"▷","▶"),IF(MOD($AY26,8)=5,IF($AY26&gt;=8,"◁","◀"),IF($AY26&gt;=8,"□","■")))))</f>
        <v/>
      </c>
      <c r="L26" s="44">
        <f>IF($AZ26=0,"",IF(MOD($AZ26,8)=7,IF($AZ26&gt;=8,"◇","◆"),IF(MOD($AZ26,8)=3,IF($AZ26&gt;=8,"▷","▶"),IF(MOD($AZ26,8)=5,IF($AZ26&gt;=8,"◁","◀"),IF($AZ26&gt;=8,"□","■")))))</f>
        <v/>
      </c>
      <c r="M26" s="44">
        <f>IF($BA26=0,"",IF(MOD($BA26,8)=7,IF($BA26&gt;=8,"◇","◆"),IF(MOD($BA26,8)=3,IF($BA26&gt;=8,"▷","▶"),IF(MOD($BA26,8)=5,IF($BA26&gt;=8,"◁","◀"),IF($BA26&gt;=8,"□","■")))))</f>
        <v/>
      </c>
      <c r="N26" s="44">
        <f>IF($BB26=0,"",IF(MOD($BB26,8)=7,IF($BB26&gt;=8,"◇","◆"),IF(MOD($BB26,8)=3,IF($BB26&gt;=8,"▷","▶"),IF(MOD($BB26,8)=5,IF($BB26&gt;=8,"◁","◀"),IF($BB26&gt;=8,"□","■")))))</f>
        <v/>
      </c>
      <c r="O26" s="44">
        <f>IF($BC26=0,"",IF(MOD($BC26,8)=7,IF($BC26&gt;=8,"◇","◆"),IF(MOD($BC26,8)=3,IF($BC26&gt;=8,"▷","▶"),IF(MOD($BC26,8)=5,IF($BC26&gt;=8,"◁","◀"),IF($BC26&gt;=8,"□","■")))))</f>
        <v/>
      </c>
      <c r="P26" s="44">
        <f>IF($BD26=0,"",IF(MOD($BD26,8)=7,IF($BD26&gt;=8,"◇","◆"),IF(MOD($BD26,8)=3,IF($BD26&gt;=8,"▷","▶"),IF(MOD($BD26,8)=5,IF($BD26&gt;=8,"◁","◀"),IF($BD26&gt;=8,"□","■")))))</f>
        <v/>
      </c>
      <c r="Q26" s="44">
        <f>IF($BE26=0,"",IF(MOD($BE26,8)=7,IF($BE26&gt;=8,"◇","◆"),IF(MOD($BE26,8)=3,IF($BE26&gt;=8,"▷","▶"),IF(MOD($BE26,8)=5,IF($BE26&gt;=8,"◁","◀"),IF($BE26&gt;=8,"□","■")))))</f>
        <v/>
      </c>
      <c r="R26" s="44">
        <f>IF($BF26=0,"",IF(MOD($BF26,8)=7,IF($BF26&gt;=8,"◇","◆"),IF(MOD($BF26,8)=3,IF($BF26&gt;=8,"▷","▶"),IF(MOD($BF26,8)=5,IF($BF26&gt;=8,"◁","◀"),IF($BF26&gt;=8,"□","■")))))</f>
        <v/>
      </c>
      <c r="S26" s="44">
        <f>IF($BG26=0,"",IF(MOD($BG26,8)=7,IF($BG26&gt;=8,"◇","◆"),IF(MOD($BG26,8)=3,IF($BG26&gt;=8,"▷","▶"),IF(MOD($BG26,8)=5,IF($BG26&gt;=8,"◁","◀"),IF($BG26&gt;=8,"□","■")))))</f>
        <v/>
      </c>
      <c r="T26" s="44">
        <f>IF($BH26=0,"",IF(MOD($BH26,8)=7,IF($BH26&gt;=8,"◇","◆"),IF(MOD($BH26,8)=3,IF($BH26&gt;=8,"▷","▶"),IF(MOD($BH26,8)=5,IF($BH26&gt;=8,"◁","◀"),IF($BH26&gt;=8,"□","■")))))</f>
        <v/>
      </c>
      <c r="U26" s="44">
        <f>IF($BI26=0,"",IF(MOD($BI26,8)=7,IF($BI26&gt;=8,"◇","◆"),IF(MOD($BI26,8)=3,IF($BI26&gt;=8,"▷","▶"),IF(MOD($BI26,8)=5,IF($BI26&gt;=8,"◁","◀"),IF($BI26&gt;=8,"□","■")))))</f>
        <v/>
      </c>
      <c r="V26" s="44">
        <f>IF($BJ26=0,"",IF(MOD($BJ26,8)=7,IF($BJ26&gt;=8,"◇","◆"),IF(MOD($BJ26,8)=3,IF($BJ26&gt;=8,"▷","▶"),IF(MOD($BJ26,8)=5,IF($BJ26&gt;=8,"◁","◀"),IF($BJ26&gt;=8,"□","■")))))</f>
        <v/>
      </c>
      <c r="W26" s="44">
        <f>IF($BK26=0,"",IF(MOD($BK26,8)=7,IF($BK26&gt;=8,"◇","◆"),IF(MOD($BK26,8)=3,IF($BK26&gt;=8,"▷","▶"),IF(MOD($BK26,8)=5,IF($BK26&gt;=8,"◁","◀"),IF($BK26&gt;=8,"□","■")))))</f>
        <v/>
      </c>
      <c r="X26" s="44">
        <f>IF($BL26=0,"",IF(MOD($BL26,8)=7,IF($BL26&gt;=8,"◇","◆"),IF(MOD($BL26,8)=3,IF($BL26&gt;=8,"▷","▶"),IF(MOD($BL26,8)=5,IF($BL26&gt;=8,"◁","◀"),IF($BL26&gt;=8,"□","■")))))</f>
        <v/>
      </c>
      <c r="Y26" s="44">
        <f>IF($BM26=0,"",IF(MOD($BM26,8)=7,IF($BM26&gt;=8,"◇","◆"),IF(MOD($BM26,8)=3,IF($BM26&gt;=8,"▷","▶"),IF(MOD($BM26,8)=5,IF($BM26&gt;=8,"◁","◀"),IF($BM26&gt;=8,"□","■")))))</f>
        <v/>
      </c>
      <c r="Z26" s="44">
        <f>IF($BN26=0,"",IF(MOD($BN26,8)=7,IF($BN26&gt;=8,"◇","◆"),IF(MOD($BN26,8)=3,IF($BN26&gt;=8,"▷","▶"),IF(MOD($BN26,8)=5,IF($BN26&gt;=8,"◁","◀"),IF($BN26&gt;=8,"□","■")))))</f>
        <v/>
      </c>
      <c r="AA26" s="44">
        <f>IF($BO26=0,"",IF(MOD($BO26,8)=7,IF($BO26&gt;=8,"◇","◆"),IF(MOD($BO26,8)=3,IF($BO26&gt;=8,"▷","▶"),IF(MOD($BO26,8)=5,IF($BO26&gt;=8,"◁","◀"),IF($BO26&gt;=8,"□","■")))))</f>
        <v/>
      </c>
      <c r="AB26" s="44">
        <f>IF($BP26=0,"",IF(MOD($BP26,8)=7,IF($BP26&gt;=8,"◇","◆"),IF(MOD($BP26,8)=3,IF($BP26&gt;=8,"▷","▶"),IF(MOD($BP26,8)=5,IF($BP26&gt;=8,"◁","◀"),IF($BP26&gt;=8,"□","■")))))</f>
        <v/>
      </c>
      <c r="AC26" s="44">
        <f>IF($BQ26=0,"",IF(MOD($BQ26,8)=7,IF($BQ26&gt;=8,"◇","◆"),IF(MOD($BQ26,8)=3,IF($BQ26&gt;=8,"▷","▶"),IF(MOD($BQ26,8)=5,IF($BQ26&gt;=8,"◁","◀"),IF($BQ26&gt;=8,"□","■")))))</f>
        <v/>
      </c>
      <c r="AD26" s="44">
        <f>IF($BR26=0,"",IF(MOD($BR26,8)=7,IF($BR26&gt;=8,"◇","◆"),IF(MOD($BR26,8)=3,IF($BR26&gt;=8,"▷","▶"),IF(MOD($BR26,8)=5,IF($BR26&gt;=8,"◁","◀"),IF($BR26&gt;=8,"□","■")))))</f>
        <v/>
      </c>
      <c r="AE26" s="44">
        <f>IF($BS26=0,"",IF(MOD($BS26,8)=7,IF($BS26&gt;=8,"◇","◆"),IF(MOD($BS26,8)=3,IF($BS26&gt;=8,"▷","▶"),IF(MOD($BS26,8)=5,IF($BS26&gt;=8,"◁","◀"),IF($BS26&gt;=8,"□","■")))))</f>
        <v/>
      </c>
      <c r="AF26" s="44">
        <f>IF($BT26=0,"",IF(MOD($BT26,8)=7,IF($BT26&gt;=8,"◇","◆"),IF(MOD($BT26,8)=3,IF($BT26&gt;=8,"▷","▶"),IF(MOD($BT26,8)=5,IF($BT26&gt;=8,"◁","◀"),IF($BT26&gt;=8,"□","■")))))</f>
        <v/>
      </c>
      <c r="AG26" s="45">
        <f>IF($A26="","",COUNTIF($AP26:$BT26,"&gt;0"))</f>
        <v/>
      </c>
      <c r="AP26">
        <f>IF(OR($A26="",B$4=""),0,SUMPRODUCT(('01_予約入力'!$G$5:$G$404&lt;&gt;"")*('01_予約入力'!$Q$5:$Q$404&lt;&gt;"キャンセル")*('01_予約入力'!$B$5:$B$404=$A26)*('01_予約入力'!$G$5:$G$404&lt;=B$4)*('01_予約入力'!$J$5:$J$404&gt;=B$4)*(1+2*('01_予約入力'!$G$5:$G$404=B$4)+4*('01_予約入力'!$J$5:$J$404=B$4)+8*(('01_予約入力'!$Q$5:$Q$404="仮予約")+('01_予約入力'!$Q$5:$Q$404="調整中")))))</f>
        <v/>
      </c>
      <c r="AQ26">
        <f>IF(OR($A26="",C$4=""),0,SUMPRODUCT(('01_予約入力'!$G$5:$G$404&lt;&gt;"")*('01_予約入力'!$Q$5:$Q$404&lt;&gt;"キャンセル")*('01_予約入力'!$B$5:$B$404=$A26)*('01_予約入力'!$G$5:$G$404&lt;=C$4)*('01_予約入力'!$J$5:$J$404&gt;=C$4)*(1+2*('01_予約入力'!$G$5:$G$404=C$4)+4*('01_予約入力'!$J$5:$J$404=C$4)+8*(('01_予約入力'!$Q$5:$Q$404="仮予約")+('01_予約入力'!$Q$5:$Q$404="調整中")))))</f>
        <v/>
      </c>
      <c r="AR26">
        <f>IF(OR($A26="",D$4=""),0,SUMPRODUCT(('01_予約入力'!$G$5:$G$404&lt;&gt;"")*('01_予約入力'!$Q$5:$Q$404&lt;&gt;"キャンセル")*('01_予約入力'!$B$5:$B$404=$A26)*('01_予約入力'!$G$5:$G$404&lt;=D$4)*('01_予約入力'!$J$5:$J$404&gt;=D$4)*(1+2*('01_予約入力'!$G$5:$G$404=D$4)+4*('01_予約入力'!$J$5:$J$404=D$4)+8*(('01_予約入力'!$Q$5:$Q$404="仮予約")+('01_予約入力'!$Q$5:$Q$404="調整中")))))</f>
        <v/>
      </c>
      <c r="AS26">
        <f>IF(OR($A26="",E$4=""),0,SUMPRODUCT(('01_予約入力'!$G$5:$G$404&lt;&gt;"")*('01_予約入力'!$Q$5:$Q$404&lt;&gt;"キャンセル")*('01_予約入力'!$B$5:$B$404=$A26)*('01_予約入力'!$G$5:$G$404&lt;=E$4)*('01_予約入力'!$J$5:$J$404&gt;=E$4)*(1+2*('01_予約入力'!$G$5:$G$404=E$4)+4*('01_予約入力'!$J$5:$J$404=E$4)+8*(('01_予約入力'!$Q$5:$Q$404="仮予約")+('01_予約入力'!$Q$5:$Q$404="調整中")))))</f>
        <v/>
      </c>
      <c r="AT26">
        <f>IF(OR($A26="",F$4=""),0,SUMPRODUCT(('01_予約入力'!$G$5:$G$404&lt;&gt;"")*('01_予約入力'!$Q$5:$Q$404&lt;&gt;"キャンセル")*('01_予約入力'!$B$5:$B$404=$A26)*('01_予約入力'!$G$5:$G$404&lt;=F$4)*('01_予約入力'!$J$5:$J$404&gt;=F$4)*(1+2*('01_予約入力'!$G$5:$G$404=F$4)+4*('01_予約入力'!$J$5:$J$404=F$4)+8*(('01_予約入力'!$Q$5:$Q$404="仮予約")+('01_予約入力'!$Q$5:$Q$404="調整中")))))</f>
        <v/>
      </c>
      <c r="AU26">
        <f>IF(OR($A26="",G$4=""),0,SUMPRODUCT(('01_予約入力'!$G$5:$G$404&lt;&gt;"")*('01_予約入力'!$Q$5:$Q$404&lt;&gt;"キャンセル")*('01_予約入力'!$B$5:$B$404=$A26)*('01_予約入力'!$G$5:$G$404&lt;=G$4)*('01_予約入力'!$J$5:$J$404&gt;=G$4)*(1+2*('01_予約入力'!$G$5:$G$404=G$4)+4*('01_予約入力'!$J$5:$J$404=G$4)+8*(('01_予約入力'!$Q$5:$Q$404="仮予約")+('01_予約入力'!$Q$5:$Q$404="調整中")))))</f>
        <v/>
      </c>
      <c r="AV26">
        <f>IF(OR($A26="",H$4=""),0,SUMPRODUCT(('01_予約入力'!$G$5:$G$404&lt;&gt;"")*('01_予約入力'!$Q$5:$Q$404&lt;&gt;"キャンセル")*('01_予約入力'!$B$5:$B$404=$A26)*('01_予約入力'!$G$5:$G$404&lt;=H$4)*('01_予約入力'!$J$5:$J$404&gt;=H$4)*(1+2*('01_予約入力'!$G$5:$G$404=H$4)+4*('01_予約入力'!$J$5:$J$404=H$4)+8*(('01_予約入力'!$Q$5:$Q$404="仮予約")+('01_予約入力'!$Q$5:$Q$404="調整中")))))</f>
        <v/>
      </c>
      <c r="AW26">
        <f>IF(OR($A26="",I$4=""),0,SUMPRODUCT(('01_予約入力'!$G$5:$G$404&lt;&gt;"")*('01_予約入力'!$Q$5:$Q$404&lt;&gt;"キャンセル")*('01_予約入力'!$B$5:$B$404=$A26)*('01_予約入力'!$G$5:$G$404&lt;=I$4)*('01_予約入力'!$J$5:$J$404&gt;=I$4)*(1+2*('01_予約入力'!$G$5:$G$404=I$4)+4*('01_予約入力'!$J$5:$J$404=I$4)+8*(('01_予約入力'!$Q$5:$Q$404="仮予約")+('01_予約入力'!$Q$5:$Q$404="調整中")))))</f>
        <v/>
      </c>
      <c r="AX26">
        <f>IF(OR($A26="",J$4=""),0,SUMPRODUCT(('01_予約入力'!$G$5:$G$404&lt;&gt;"")*('01_予約入力'!$Q$5:$Q$404&lt;&gt;"キャンセル")*('01_予約入力'!$B$5:$B$404=$A26)*('01_予約入力'!$G$5:$G$404&lt;=J$4)*('01_予約入力'!$J$5:$J$404&gt;=J$4)*(1+2*('01_予約入力'!$G$5:$G$404=J$4)+4*('01_予約入力'!$J$5:$J$404=J$4)+8*(('01_予約入力'!$Q$5:$Q$404="仮予約")+('01_予約入力'!$Q$5:$Q$404="調整中")))))</f>
        <v/>
      </c>
      <c r="AY26">
        <f>IF(OR($A26="",K$4=""),0,SUMPRODUCT(('01_予約入力'!$G$5:$G$404&lt;&gt;"")*('01_予約入力'!$Q$5:$Q$404&lt;&gt;"キャンセル")*('01_予約入力'!$B$5:$B$404=$A26)*('01_予約入力'!$G$5:$G$404&lt;=K$4)*('01_予約入力'!$J$5:$J$404&gt;=K$4)*(1+2*('01_予約入力'!$G$5:$G$404=K$4)+4*('01_予約入力'!$J$5:$J$404=K$4)+8*(('01_予約入力'!$Q$5:$Q$404="仮予約")+('01_予約入力'!$Q$5:$Q$404="調整中")))))</f>
        <v/>
      </c>
      <c r="AZ26">
        <f>IF(OR($A26="",L$4=""),0,SUMPRODUCT(('01_予約入力'!$G$5:$G$404&lt;&gt;"")*('01_予約入力'!$Q$5:$Q$404&lt;&gt;"キャンセル")*('01_予約入力'!$B$5:$B$404=$A26)*('01_予約入力'!$G$5:$G$404&lt;=L$4)*('01_予約入力'!$J$5:$J$404&gt;=L$4)*(1+2*('01_予約入力'!$G$5:$G$404=L$4)+4*('01_予約入力'!$J$5:$J$404=L$4)+8*(('01_予約入力'!$Q$5:$Q$404="仮予約")+('01_予約入力'!$Q$5:$Q$404="調整中")))))</f>
        <v/>
      </c>
      <c r="BA26">
        <f>IF(OR($A26="",M$4=""),0,SUMPRODUCT(('01_予約入力'!$G$5:$G$404&lt;&gt;"")*('01_予約入力'!$Q$5:$Q$404&lt;&gt;"キャンセル")*('01_予約入力'!$B$5:$B$404=$A26)*('01_予約入力'!$G$5:$G$404&lt;=M$4)*('01_予約入力'!$J$5:$J$404&gt;=M$4)*(1+2*('01_予約入力'!$G$5:$G$404=M$4)+4*('01_予約入力'!$J$5:$J$404=M$4)+8*(('01_予約入力'!$Q$5:$Q$404="仮予約")+('01_予約入力'!$Q$5:$Q$404="調整中")))))</f>
        <v/>
      </c>
      <c r="BB26">
        <f>IF(OR($A26="",N$4=""),0,SUMPRODUCT(('01_予約入力'!$G$5:$G$404&lt;&gt;"")*('01_予約入力'!$Q$5:$Q$404&lt;&gt;"キャンセル")*('01_予約入力'!$B$5:$B$404=$A26)*('01_予約入力'!$G$5:$G$404&lt;=N$4)*('01_予約入力'!$J$5:$J$404&gt;=N$4)*(1+2*('01_予約入力'!$G$5:$G$404=N$4)+4*('01_予約入力'!$J$5:$J$404=N$4)+8*(('01_予約入力'!$Q$5:$Q$404="仮予約")+('01_予約入力'!$Q$5:$Q$404="調整中")))))</f>
        <v/>
      </c>
      <c r="BC26">
        <f>IF(OR($A26="",O$4=""),0,SUMPRODUCT(('01_予約入力'!$G$5:$G$404&lt;&gt;"")*('01_予約入力'!$Q$5:$Q$404&lt;&gt;"キャンセル")*('01_予約入力'!$B$5:$B$404=$A26)*('01_予約入力'!$G$5:$G$404&lt;=O$4)*('01_予約入力'!$J$5:$J$404&gt;=O$4)*(1+2*('01_予約入力'!$G$5:$G$404=O$4)+4*('01_予約入力'!$J$5:$J$404=O$4)+8*(('01_予約入力'!$Q$5:$Q$404="仮予約")+('01_予約入力'!$Q$5:$Q$404="調整中")))))</f>
        <v/>
      </c>
      <c r="BD26">
        <f>IF(OR($A26="",P$4=""),0,SUMPRODUCT(('01_予約入力'!$G$5:$G$404&lt;&gt;"")*('01_予約入力'!$Q$5:$Q$404&lt;&gt;"キャンセル")*('01_予約入力'!$B$5:$B$404=$A26)*('01_予約入力'!$G$5:$G$404&lt;=P$4)*('01_予約入力'!$J$5:$J$404&gt;=P$4)*(1+2*('01_予約入力'!$G$5:$G$404=P$4)+4*('01_予約入力'!$J$5:$J$404=P$4)+8*(('01_予約入力'!$Q$5:$Q$404="仮予約")+('01_予約入力'!$Q$5:$Q$404="調整中")))))</f>
        <v/>
      </c>
      <c r="BE26">
        <f>IF(OR($A26="",Q$4=""),0,SUMPRODUCT(('01_予約入力'!$G$5:$G$404&lt;&gt;"")*('01_予約入力'!$Q$5:$Q$404&lt;&gt;"キャンセル")*('01_予約入力'!$B$5:$B$404=$A26)*('01_予約入力'!$G$5:$G$404&lt;=Q$4)*('01_予約入力'!$J$5:$J$404&gt;=Q$4)*(1+2*('01_予約入力'!$G$5:$G$404=Q$4)+4*('01_予約入力'!$J$5:$J$404=Q$4)+8*(('01_予約入力'!$Q$5:$Q$404="仮予約")+('01_予約入力'!$Q$5:$Q$404="調整中")))))</f>
        <v/>
      </c>
      <c r="BF26">
        <f>IF(OR($A26="",R$4=""),0,SUMPRODUCT(('01_予約入力'!$G$5:$G$404&lt;&gt;"")*('01_予約入力'!$Q$5:$Q$404&lt;&gt;"キャンセル")*('01_予約入力'!$B$5:$B$404=$A26)*('01_予約入力'!$G$5:$G$404&lt;=R$4)*('01_予約入力'!$J$5:$J$404&gt;=R$4)*(1+2*('01_予約入力'!$G$5:$G$404=R$4)+4*('01_予約入力'!$J$5:$J$404=R$4)+8*(('01_予約入力'!$Q$5:$Q$404="仮予約")+('01_予約入力'!$Q$5:$Q$404="調整中")))))</f>
        <v/>
      </c>
      <c r="BG26">
        <f>IF(OR($A26="",S$4=""),0,SUMPRODUCT(('01_予約入力'!$G$5:$G$404&lt;&gt;"")*('01_予約入力'!$Q$5:$Q$404&lt;&gt;"キャンセル")*('01_予約入力'!$B$5:$B$404=$A26)*('01_予約入力'!$G$5:$G$404&lt;=S$4)*('01_予約入力'!$J$5:$J$404&gt;=S$4)*(1+2*('01_予約入力'!$G$5:$G$404=S$4)+4*('01_予約入力'!$J$5:$J$404=S$4)+8*(('01_予約入力'!$Q$5:$Q$404="仮予約")+('01_予約入力'!$Q$5:$Q$404="調整中")))))</f>
        <v/>
      </c>
      <c r="BH26">
        <f>IF(OR($A26="",T$4=""),0,SUMPRODUCT(('01_予約入力'!$G$5:$G$404&lt;&gt;"")*('01_予約入力'!$Q$5:$Q$404&lt;&gt;"キャンセル")*('01_予約入力'!$B$5:$B$404=$A26)*('01_予約入力'!$G$5:$G$404&lt;=T$4)*('01_予約入力'!$J$5:$J$404&gt;=T$4)*(1+2*('01_予約入力'!$G$5:$G$404=T$4)+4*('01_予約入力'!$J$5:$J$404=T$4)+8*(('01_予約入力'!$Q$5:$Q$404="仮予約")+('01_予約入力'!$Q$5:$Q$404="調整中")))))</f>
        <v/>
      </c>
      <c r="BI26">
        <f>IF(OR($A26="",U$4=""),0,SUMPRODUCT(('01_予約入力'!$G$5:$G$404&lt;&gt;"")*('01_予約入力'!$Q$5:$Q$404&lt;&gt;"キャンセル")*('01_予約入力'!$B$5:$B$404=$A26)*('01_予約入力'!$G$5:$G$404&lt;=U$4)*('01_予約入力'!$J$5:$J$404&gt;=U$4)*(1+2*('01_予約入力'!$G$5:$G$404=U$4)+4*('01_予約入力'!$J$5:$J$404=U$4)+8*(('01_予約入力'!$Q$5:$Q$404="仮予約")+('01_予約入力'!$Q$5:$Q$404="調整中")))))</f>
        <v/>
      </c>
      <c r="BJ26">
        <f>IF(OR($A26="",V$4=""),0,SUMPRODUCT(('01_予約入力'!$G$5:$G$404&lt;&gt;"")*('01_予約入力'!$Q$5:$Q$404&lt;&gt;"キャンセル")*('01_予約入力'!$B$5:$B$404=$A26)*('01_予約入力'!$G$5:$G$404&lt;=V$4)*('01_予約入力'!$J$5:$J$404&gt;=V$4)*(1+2*('01_予約入力'!$G$5:$G$404=V$4)+4*('01_予約入力'!$J$5:$J$404=V$4)+8*(('01_予約入力'!$Q$5:$Q$404="仮予約")+('01_予約入力'!$Q$5:$Q$404="調整中")))))</f>
        <v/>
      </c>
      <c r="BK26">
        <f>IF(OR($A26="",W$4=""),0,SUMPRODUCT(('01_予約入力'!$G$5:$G$404&lt;&gt;"")*('01_予約入力'!$Q$5:$Q$404&lt;&gt;"キャンセル")*('01_予約入力'!$B$5:$B$404=$A26)*('01_予約入力'!$G$5:$G$404&lt;=W$4)*('01_予約入力'!$J$5:$J$404&gt;=W$4)*(1+2*('01_予約入力'!$G$5:$G$404=W$4)+4*('01_予約入力'!$J$5:$J$404=W$4)+8*(('01_予約入力'!$Q$5:$Q$404="仮予約")+('01_予約入力'!$Q$5:$Q$404="調整中")))))</f>
        <v/>
      </c>
      <c r="BL26">
        <f>IF(OR($A26="",X$4=""),0,SUMPRODUCT(('01_予約入力'!$G$5:$G$404&lt;&gt;"")*('01_予約入力'!$Q$5:$Q$404&lt;&gt;"キャンセル")*('01_予約入力'!$B$5:$B$404=$A26)*('01_予約入力'!$G$5:$G$404&lt;=X$4)*('01_予約入力'!$J$5:$J$404&gt;=X$4)*(1+2*('01_予約入力'!$G$5:$G$404=X$4)+4*('01_予約入力'!$J$5:$J$404=X$4)+8*(('01_予約入力'!$Q$5:$Q$404="仮予約")+('01_予約入力'!$Q$5:$Q$404="調整中")))))</f>
        <v/>
      </c>
      <c r="BM26">
        <f>IF(OR($A26="",Y$4=""),0,SUMPRODUCT(('01_予約入力'!$G$5:$G$404&lt;&gt;"")*('01_予約入力'!$Q$5:$Q$404&lt;&gt;"キャンセル")*('01_予約入力'!$B$5:$B$404=$A26)*('01_予約入力'!$G$5:$G$404&lt;=Y$4)*('01_予約入力'!$J$5:$J$404&gt;=Y$4)*(1+2*('01_予約入力'!$G$5:$G$404=Y$4)+4*('01_予約入力'!$J$5:$J$404=Y$4)+8*(('01_予約入力'!$Q$5:$Q$404="仮予約")+('01_予約入力'!$Q$5:$Q$404="調整中")))))</f>
        <v/>
      </c>
      <c r="BN26">
        <f>IF(OR($A26="",Z$4=""),0,SUMPRODUCT(('01_予約入力'!$G$5:$G$404&lt;&gt;"")*('01_予約入力'!$Q$5:$Q$404&lt;&gt;"キャンセル")*('01_予約入力'!$B$5:$B$404=$A26)*('01_予約入力'!$G$5:$G$404&lt;=Z$4)*('01_予約入力'!$J$5:$J$404&gt;=Z$4)*(1+2*('01_予約入力'!$G$5:$G$404=Z$4)+4*('01_予約入力'!$J$5:$J$404=Z$4)+8*(('01_予約入力'!$Q$5:$Q$404="仮予約")+('01_予約入力'!$Q$5:$Q$404="調整中")))))</f>
        <v/>
      </c>
      <c r="BO26">
        <f>IF(OR($A26="",AA$4=""),0,SUMPRODUCT(('01_予約入力'!$G$5:$G$404&lt;&gt;"")*('01_予約入力'!$Q$5:$Q$404&lt;&gt;"キャンセル")*('01_予約入力'!$B$5:$B$404=$A26)*('01_予約入力'!$G$5:$G$404&lt;=AA$4)*('01_予約入力'!$J$5:$J$404&gt;=AA$4)*(1+2*('01_予約入力'!$G$5:$G$404=AA$4)+4*('01_予約入力'!$J$5:$J$404=AA$4)+8*(('01_予約入力'!$Q$5:$Q$404="仮予約")+('01_予約入力'!$Q$5:$Q$404="調整中")))))</f>
        <v/>
      </c>
      <c r="BP26">
        <f>IF(OR($A26="",AB$4=""),0,SUMPRODUCT(('01_予約入力'!$G$5:$G$404&lt;&gt;"")*('01_予約入力'!$Q$5:$Q$404&lt;&gt;"キャンセル")*('01_予約入力'!$B$5:$B$404=$A26)*('01_予約入力'!$G$5:$G$404&lt;=AB$4)*('01_予約入力'!$J$5:$J$404&gt;=AB$4)*(1+2*('01_予約入力'!$G$5:$G$404=AB$4)+4*('01_予約入力'!$J$5:$J$404=AB$4)+8*(('01_予約入力'!$Q$5:$Q$404="仮予約")+('01_予約入力'!$Q$5:$Q$404="調整中")))))</f>
        <v/>
      </c>
      <c r="BQ26">
        <f>IF(OR($A26="",AC$4=""),0,SUMPRODUCT(('01_予約入力'!$G$5:$G$404&lt;&gt;"")*('01_予約入力'!$Q$5:$Q$404&lt;&gt;"キャンセル")*('01_予約入力'!$B$5:$B$404=$A26)*('01_予約入力'!$G$5:$G$404&lt;=AC$4)*('01_予約入力'!$J$5:$J$404&gt;=AC$4)*(1+2*('01_予約入力'!$G$5:$G$404=AC$4)+4*('01_予約入力'!$J$5:$J$404=AC$4)+8*(('01_予約入力'!$Q$5:$Q$404="仮予約")+('01_予約入力'!$Q$5:$Q$404="調整中")))))</f>
        <v/>
      </c>
      <c r="BR26">
        <f>IF(OR($A26="",AD$4=""),0,SUMPRODUCT(('01_予約入力'!$G$5:$G$404&lt;&gt;"")*('01_予約入力'!$Q$5:$Q$404&lt;&gt;"キャンセル")*('01_予約入力'!$B$5:$B$404=$A26)*('01_予約入力'!$G$5:$G$404&lt;=AD$4)*('01_予約入力'!$J$5:$J$404&gt;=AD$4)*(1+2*('01_予約入力'!$G$5:$G$404=AD$4)+4*('01_予約入力'!$J$5:$J$404=AD$4)+8*(('01_予約入力'!$Q$5:$Q$404="仮予約")+('01_予約入力'!$Q$5:$Q$404="調整中")))))</f>
        <v/>
      </c>
      <c r="BS26">
        <f>IF(OR($A26="",AE$4=""),0,SUMPRODUCT(('01_予約入力'!$G$5:$G$404&lt;&gt;"")*('01_予約入力'!$Q$5:$Q$404&lt;&gt;"キャンセル")*('01_予約入力'!$B$5:$B$404=$A26)*('01_予約入力'!$G$5:$G$404&lt;=AE$4)*('01_予約入力'!$J$5:$J$404&gt;=AE$4)*(1+2*('01_予約入力'!$G$5:$G$404=AE$4)+4*('01_予約入力'!$J$5:$J$404=AE$4)+8*(('01_予約入力'!$Q$5:$Q$404="仮予約")+('01_予約入力'!$Q$5:$Q$404="調整中")))))</f>
        <v/>
      </c>
      <c r="BT26">
        <f>IF(OR($A26="",AF$4=""),0,SUMPRODUCT(('01_予約入力'!$G$5:$G$404&lt;&gt;"")*('01_予約入力'!$Q$5:$Q$404&lt;&gt;"キャンセル")*('01_予約入力'!$B$5:$B$404=$A26)*('01_予約入力'!$G$5:$G$404&lt;=AF$4)*('01_予約入力'!$J$5:$J$404&gt;=AF$4)*(1+2*('01_予約入力'!$G$5:$G$404=AF$4)+4*('01_予約入力'!$J$5:$J$404=AF$4)+8*(('01_予約入力'!$Q$5:$Q$404="仮予約")+('01_予約入力'!$Q$5:$Q$404="調整中")))))</f>
        <v/>
      </c>
    </row>
    <row r="28">
      <c r="A28" s="2" t="inlineStr">
        <is>
          <t>※ 帯に出るのは 利用者マスタ の上から20名を表示します。並び順を変えたいときは 利用者マスタ の行を入れ替えてください。</t>
        </is>
      </c>
    </row>
    <row r="29">
      <c r="A29" s="2" t="inlineStr">
        <is>
          <t>※ 「当月利用日数」は入所日〜退所日を数えた日数です。支給量の残は 08_支給量管理 で確認してください。</t>
        </is>
      </c>
    </row>
    <row r="30">
      <c r="A30" s="2" t="inlineStr">
        <is>
          <t>※ AP列より右は色分け用の隠し列です。編集しないでください。</t>
        </is>
      </c>
    </row>
    <row r="31">
      <c r="A31" s="20" t="inlineStr">
        <is>
          <t>■ 当月の予約明細（入所日順・01_予約入力 から自動）</t>
        </is>
      </c>
    </row>
    <row r="32" ht="20" customHeight="1">
      <c r="A32" s="33" t="inlineStr">
        <is>
          <t>氏名</t>
        </is>
      </c>
      <c r="B32" s="33" t="inlineStr">
        <is>
          <t>部屋</t>
        </is>
      </c>
      <c r="C32" s="121" t="n"/>
      <c r="D32" s="121" t="n"/>
      <c r="E32" s="122" t="n"/>
      <c r="F32" s="33" t="inlineStr">
        <is>
          <t>区分</t>
        </is>
      </c>
      <c r="G32" s="121" t="n"/>
      <c r="H32" s="122" t="n"/>
      <c r="I32" s="33" t="inlineStr">
        <is>
          <t>入所</t>
        </is>
      </c>
      <c r="J32" s="121" t="n"/>
      <c r="K32" s="121" t="n"/>
      <c r="L32" s="121" t="n"/>
      <c r="M32" s="121" t="n"/>
      <c r="N32" s="122" t="n"/>
      <c r="O32" s="33" t="inlineStr">
        <is>
          <t>退所</t>
        </is>
      </c>
      <c r="P32" s="121" t="n"/>
      <c r="Q32" s="121" t="n"/>
      <c r="R32" s="121" t="n"/>
      <c r="S32" s="121" t="n"/>
      <c r="T32" s="122" t="n"/>
      <c r="U32" s="33" t="inlineStr">
        <is>
          <t>泊数</t>
        </is>
      </c>
      <c r="V32" s="121" t="n"/>
      <c r="W32" s="122" t="n"/>
      <c r="X32" s="33" t="inlineStr">
        <is>
          <t>食事</t>
        </is>
      </c>
      <c r="Y32" s="121" t="n"/>
      <c r="Z32" s="121" t="n"/>
      <c r="AA32" s="122" t="n"/>
      <c r="AB32" s="33" t="inlineStr">
        <is>
          <t>状態</t>
        </is>
      </c>
      <c r="AC32" s="121" t="n"/>
      <c r="AD32" s="122" t="n"/>
      <c r="AE32" s="33" t="inlineStr">
        <is>
          <t>備考</t>
        </is>
      </c>
      <c r="AF32" s="121" t="n"/>
      <c r="AG32" s="122" t="n"/>
    </row>
    <row r="33">
      <c r="A33" s="46">
        <f>IF($AQ33=0,"",INDEX('01_予約入力'!$B$5:$B$404,$AQ33))</f>
        <v/>
      </c>
      <c r="B33" s="47">
        <f>IF($AQ33=0,"",IF(INDEX('01_予約入力'!$D$5:$D$404,$AQ33)="","⚠未選択",INDEX('01_予約入力'!$D$5:$D$404,$AQ33)))</f>
        <v/>
      </c>
      <c r="C33" s="121" t="n"/>
      <c r="D33" s="121" t="n"/>
      <c r="E33" s="122" t="n"/>
      <c r="F33" s="47">
        <f>IF($AQ33=0,"",INDEX('01_予約入力'!$C$5:$C$404,$AQ33))</f>
        <v/>
      </c>
      <c r="G33" s="121" t="n"/>
      <c r="H33" s="122" t="n"/>
      <c r="I33" s="46">
        <f>IF($AQ33=0,"",MONTH(INDEX('01_予約入力'!$G$5:$G$404,$AQ33))&amp;"/"&amp;DAY(INDEX('01_予約入力'!$G$5:$G$404,$AQ33))&amp;"("&amp;MID("日月火水木金土",WEEKDAY(INDEX('01_予約入力'!$G$5:$G$404,$AQ33)),1)&amp;")"&amp;" "&amp;INDEX('01_予約入力'!$AD$5:$AD$404,$AQ33))</f>
        <v/>
      </c>
      <c r="J33" s="121" t="n"/>
      <c r="K33" s="121" t="n"/>
      <c r="L33" s="121" t="n"/>
      <c r="M33" s="121" t="n"/>
      <c r="N33" s="122" t="n"/>
      <c r="O33" s="46">
        <f>IF($AQ33=0,"",MONTH(INDEX('01_予約入力'!$J$5:$J$404,$AQ33))&amp;"/"&amp;DAY(INDEX('01_予約入力'!$J$5:$J$404,$AQ33))&amp;"("&amp;MID("日月火水木金土",WEEKDAY(INDEX('01_予約入力'!$J$5:$J$404,$AQ33)),1)&amp;")"&amp;" "&amp;INDEX('01_予約入力'!$AE$5:$AE$404,$AQ33))</f>
        <v/>
      </c>
      <c r="P33" s="121" t="n"/>
      <c r="Q33" s="121" t="n"/>
      <c r="R33" s="121" t="n"/>
      <c r="S33" s="121" t="n"/>
      <c r="T33" s="122" t="n"/>
      <c r="U33" s="47">
        <f>IF($AQ33=0,"",IF(INDEX('01_予約入力'!$J$5:$J$404,$AQ33)=INDEX('01_予約入力'!$G$5:$G$404,$AQ33),"日帰り",INDEX('01_予約入力'!$J$5:$J$404,$AQ33)-INDEX('01_予約入力'!$G$5:$G$404,$AQ33)&amp;"泊"))</f>
        <v/>
      </c>
      <c r="V33" s="121" t="n"/>
      <c r="W33" s="122" t="n"/>
      <c r="X33" s="47">
        <f>IF($AQ33=0,"",IF(AND(INDEX('01_予約入力'!$L$5:$L$404,$AQ33)="",INDEX('01_予約入力'!$M$5:$M$404,$AQ33)="",INDEX('01_予約入力'!$N$5:$N$404,$AQ33)=""),"標準","朝"&amp;IF(INDEX('01_予約入力'!$L$5:$L$404,$AQ33)="","−",INDEX('01_予約入力'!$L$5:$L$404,$AQ33))&amp;" 昼"&amp;IF(INDEX('01_予約入力'!$M$5:$M$404,$AQ33)="","−",INDEX('01_予約入力'!$M$5:$M$404,$AQ33))&amp;" 夕"&amp;IF(INDEX('01_予約入力'!$N$5:$N$404,$AQ33)="","−",INDEX('01_予約入力'!$N$5:$N$404,$AQ33))))</f>
        <v/>
      </c>
      <c r="Y33" s="121" t="n"/>
      <c r="Z33" s="121" t="n"/>
      <c r="AA33" s="122" t="n"/>
      <c r="AB33" s="47">
        <f>IF($AQ33=0,"",IF(INDEX('01_予約入力'!$Q$5:$Q$404,$AQ33)="","確定",INDEX('01_予約入力'!$Q$5:$Q$404,$AQ33)))</f>
        <v/>
      </c>
      <c r="AC33" s="121" t="n"/>
      <c r="AD33" s="122" t="n"/>
      <c r="AE33" s="46">
        <f>IF($AQ33=0,"",INDEX('01_予約入力'!$V$5:$V$404,$AQ33))</f>
        <v/>
      </c>
      <c r="AF33" s="121" t="n"/>
      <c r="AG33" s="122" t="n"/>
      <c r="AP33">
        <f>IFERROR(SMALL('01_予約入力'!$AC$5:$AC$404,1),"")</f>
        <v/>
      </c>
      <c r="AQ33">
        <f>IF($AP33="",0,IFERROR(MATCH($AP33,'01_予約入力'!$AC$5:$AC$404,0),0))</f>
        <v/>
      </c>
    </row>
    <row r="34">
      <c r="A34" s="46">
        <f>IF($AQ34=0,"",INDEX('01_予約入力'!$B$5:$B$404,$AQ34))</f>
        <v/>
      </c>
      <c r="B34" s="47">
        <f>IF($AQ34=0,"",IF(INDEX('01_予約入力'!$D$5:$D$404,$AQ34)="","⚠未選択",INDEX('01_予約入力'!$D$5:$D$404,$AQ34)))</f>
        <v/>
      </c>
      <c r="C34" s="121" t="n"/>
      <c r="D34" s="121" t="n"/>
      <c r="E34" s="122" t="n"/>
      <c r="F34" s="47">
        <f>IF($AQ34=0,"",INDEX('01_予約入力'!$C$5:$C$404,$AQ34))</f>
        <v/>
      </c>
      <c r="G34" s="121" t="n"/>
      <c r="H34" s="122" t="n"/>
      <c r="I34" s="46">
        <f>IF($AQ34=0,"",MONTH(INDEX('01_予約入力'!$G$5:$G$404,$AQ34))&amp;"/"&amp;DAY(INDEX('01_予約入力'!$G$5:$G$404,$AQ34))&amp;"("&amp;MID("日月火水木金土",WEEKDAY(INDEX('01_予約入力'!$G$5:$G$404,$AQ34)),1)&amp;")"&amp;" "&amp;INDEX('01_予約入力'!$AD$5:$AD$404,$AQ34))</f>
        <v/>
      </c>
      <c r="J34" s="121" t="n"/>
      <c r="K34" s="121" t="n"/>
      <c r="L34" s="121" t="n"/>
      <c r="M34" s="121" t="n"/>
      <c r="N34" s="122" t="n"/>
      <c r="O34" s="46">
        <f>IF($AQ34=0,"",MONTH(INDEX('01_予約入力'!$J$5:$J$404,$AQ34))&amp;"/"&amp;DAY(INDEX('01_予約入力'!$J$5:$J$404,$AQ34))&amp;"("&amp;MID("日月火水木金土",WEEKDAY(INDEX('01_予約入力'!$J$5:$J$404,$AQ34)),1)&amp;")"&amp;" "&amp;INDEX('01_予約入力'!$AE$5:$AE$404,$AQ34))</f>
        <v/>
      </c>
      <c r="P34" s="121" t="n"/>
      <c r="Q34" s="121" t="n"/>
      <c r="R34" s="121" t="n"/>
      <c r="S34" s="121" t="n"/>
      <c r="T34" s="122" t="n"/>
      <c r="U34" s="47">
        <f>IF($AQ34=0,"",IF(INDEX('01_予約入力'!$J$5:$J$404,$AQ34)=INDEX('01_予約入力'!$G$5:$G$404,$AQ34),"日帰り",INDEX('01_予約入力'!$J$5:$J$404,$AQ34)-INDEX('01_予約入力'!$G$5:$G$404,$AQ34)&amp;"泊"))</f>
        <v/>
      </c>
      <c r="V34" s="121" t="n"/>
      <c r="W34" s="122" t="n"/>
      <c r="X34" s="47">
        <f>IF($AQ34=0,"",IF(AND(INDEX('01_予約入力'!$L$5:$L$404,$AQ34)="",INDEX('01_予約入力'!$M$5:$M$404,$AQ34)="",INDEX('01_予約入力'!$N$5:$N$404,$AQ34)=""),"標準","朝"&amp;IF(INDEX('01_予約入力'!$L$5:$L$404,$AQ34)="","−",INDEX('01_予約入力'!$L$5:$L$404,$AQ34))&amp;" 昼"&amp;IF(INDEX('01_予約入力'!$M$5:$M$404,$AQ34)="","−",INDEX('01_予約入力'!$M$5:$M$404,$AQ34))&amp;" 夕"&amp;IF(INDEX('01_予約入力'!$N$5:$N$404,$AQ34)="","−",INDEX('01_予約入力'!$N$5:$N$404,$AQ34))))</f>
        <v/>
      </c>
      <c r="Y34" s="121" t="n"/>
      <c r="Z34" s="121" t="n"/>
      <c r="AA34" s="122" t="n"/>
      <c r="AB34" s="47">
        <f>IF($AQ34=0,"",IF(INDEX('01_予約入力'!$Q$5:$Q$404,$AQ34)="","確定",INDEX('01_予約入力'!$Q$5:$Q$404,$AQ34)))</f>
        <v/>
      </c>
      <c r="AC34" s="121" t="n"/>
      <c r="AD34" s="122" t="n"/>
      <c r="AE34" s="46">
        <f>IF($AQ34=0,"",INDEX('01_予約入力'!$V$5:$V$404,$AQ34))</f>
        <v/>
      </c>
      <c r="AF34" s="121" t="n"/>
      <c r="AG34" s="122" t="n"/>
      <c r="AP34">
        <f>IFERROR(SMALL('01_予約入力'!$AC$5:$AC$404,2),"")</f>
        <v/>
      </c>
      <c r="AQ34">
        <f>IF($AP34="",0,IFERROR(MATCH($AP34,'01_予約入力'!$AC$5:$AC$404,0),0))</f>
        <v/>
      </c>
    </row>
    <row r="35">
      <c r="A35" s="46">
        <f>IF($AQ35=0,"",INDEX('01_予約入力'!$B$5:$B$404,$AQ35))</f>
        <v/>
      </c>
      <c r="B35" s="47">
        <f>IF($AQ35=0,"",IF(INDEX('01_予約入力'!$D$5:$D$404,$AQ35)="","⚠未選択",INDEX('01_予約入力'!$D$5:$D$404,$AQ35)))</f>
        <v/>
      </c>
      <c r="C35" s="121" t="n"/>
      <c r="D35" s="121" t="n"/>
      <c r="E35" s="122" t="n"/>
      <c r="F35" s="47">
        <f>IF($AQ35=0,"",INDEX('01_予約入力'!$C$5:$C$404,$AQ35))</f>
        <v/>
      </c>
      <c r="G35" s="121" t="n"/>
      <c r="H35" s="122" t="n"/>
      <c r="I35" s="46">
        <f>IF($AQ35=0,"",MONTH(INDEX('01_予約入力'!$G$5:$G$404,$AQ35))&amp;"/"&amp;DAY(INDEX('01_予約入力'!$G$5:$G$404,$AQ35))&amp;"("&amp;MID("日月火水木金土",WEEKDAY(INDEX('01_予約入力'!$G$5:$G$404,$AQ35)),1)&amp;")"&amp;" "&amp;INDEX('01_予約入力'!$AD$5:$AD$404,$AQ35))</f>
        <v/>
      </c>
      <c r="J35" s="121" t="n"/>
      <c r="K35" s="121" t="n"/>
      <c r="L35" s="121" t="n"/>
      <c r="M35" s="121" t="n"/>
      <c r="N35" s="122" t="n"/>
      <c r="O35" s="46">
        <f>IF($AQ35=0,"",MONTH(INDEX('01_予約入力'!$J$5:$J$404,$AQ35))&amp;"/"&amp;DAY(INDEX('01_予約入力'!$J$5:$J$404,$AQ35))&amp;"("&amp;MID("日月火水木金土",WEEKDAY(INDEX('01_予約入力'!$J$5:$J$404,$AQ35)),1)&amp;")"&amp;" "&amp;INDEX('01_予約入力'!$AE$5:$AE$404,$AQ35))</f>
        <v/>
      </c>
      <c r="P35" s="121" t="n"/>
      <c r="Q35" s="121" t="n"/>
      <c r="R35" s="121" t="n"/>
      <c r="S35" s="121" t="n"/>
      <c r="T35" s="122" t="n"/>
      <c r="U35" s="47">
        <f>IF($AQ35=0,"",IF(INDEX('01_予約入力'!$J$5:$J$404,$AQ35)=INDEX('01_予約入力'!$G$5:$G$404,$AQ35),"日帰り",INDEX('01_予約入力'!$J$5:$J$404,$AQ35)-INDEX('01_予約入力'!$G$5:$G$404,$AQ35)&amp;"泊"))</f>
        <v/>
      </c>
      <c r="V35" s="121" t="n"/>
      <c r="W35" s="122" t="n"/>
      <c r="X35" s="47">
        <f>IF($AQ35=0,"",IF(AND(INDEX('01_予約入力'!$L$5:$L$404,$AQ35)="",INDEX('01_予約入力'!$M$5:$M$404,$AQ35)="",INDEX('01_予約入力'!$N$5:$N$404,$AQ35)=""),"標準","朝"&amp;IF(INDEX('01_予約入力'!$L$5:$L$404,$AQ35)="","−",INDEX('01_予約入力'!$L$5:$L$404,$AQ35))&amp;" 昼"&amp;IF(INDEX('01_予約入力'!$M$5:$M$404,$AQ35)="","−",INDEX('01_予約入力'!$M$5:$M$404,$AQ35))&amp;" 夕"&amp;IF(INDEX('01_予約入力'!$N$5:$N$404,$AQ35)="","−",INDEX('01_予約入力'!$N$5:$N$404,$AQ35))))</f>
        <v/>
      </c>
      <c r="Y35" s="121" t="n"/>
      <c r="Z35" s="121" t="n"/>
      <c r="AA35" s="122" t="n"/>
      <c r="AB35" s="47">
        <f>IF($AQ35=0,"",IF(INDEX('01_予約入力'!$Q$5:$Q$404,$AQ35)="","確定",INDEX('01_予約入力'!$Q$5:$Q$404,$AQ35)))</f>
        <v/>
      </c>
      <c r="AC35" s="121" t="n"/>
      <c r="AD35" s="122" t="n"/>
      <c r="AE35" s="46">
        <f>IF($AQ35=0,"",INDEX('01_予約入力'!$V$5:$V$404,$AQ35))</f>
        <v/>
      </c>
      <c r="AF35" s="121" t="n"/>
      <c r="AG35" s="122" t="n"/>
      <c r="AP35">
        <f>IFERROR(SMALL('01_予約入力'!$AC$5:$AC$404,3),"")</f>
        <v/>
      </c>
      <c r="AQ35">
        <f>IF($AP35="",0,IFERROR(MATCH($AP35,'01_予約入力'!$AC$5:$AC$404,0),0))</f>
        <v/>
      </c>
    </row>
    <row r="36">
      <c r="A36" s="46">
        <f>IF($AQ36=0,"",INDEX('01_予約入力'!$B$5:$B$404,$AQ36))</f>
        <v/>
      </c>
      <c r="B36" s="47">
        <f>IF($AQ36=0,"",IF(INDEX('01_予約入力'!$D$5:$D$404,$AQ36)="","⚠未選択",INDEX('01_予約入力'!$D$5:$D$404,$AQ36)))</f>
        <v/>
      </c>
      <c r="C36" s="121" t="n"/>
      <c r="D36" s="121" t="n"/>
      <c r="E36" s="122" t="n"/>
      <c r="F36" s="47">
        <f>IF($AQ36=0,"",INDEX('01_予約入力'!$C$5:$C$404,$AQ36))</f>
        <v/>
      </c>
      <c r="G36" s="121" t="n"/>
      <c r="H36" s="122" t="n"/>
      <c r="I36" s="46">
        <f>IF($AQ36=0,"",MONTH(INDEX('01_予約入力'!$G$5:$G$404,$AQ36))&amp;"/"&amp;DAY(INDEX('01_予約入力'!$G$5:$G$404,$AQ36))&amp;"("&amp;MID("日月火水木金土",WEEKDAY(INDEX('01_予約入力'!$G$5:$G$404,$AQ36)),1)&amp;")"&amp;" "&amp;INDEX('01_予約入力'!$AD$5:$AD$404,$AQ36))</f>
        <v/>
      </c>
      <c r="J36" s="121" t="n"/>
      <c r="K36" s="121" t="n"/>
      <c r="L36" s="121" t="n"/>
      <c r="M36" s="121" t="n"/>
      <c r="N36" s="122" t="n"/>
      <c r="O36" s="46">
        <f>IF($AQ36=0,"",MONTH(INDEX('01_予約入力'!$J$5:$J$404,$AQ36))&amp;"/"&amp;DAY(INDEX('01_予約入力'!$J$5:$J$404,$AQ36))&amp;"("&amp;MID("日月火水木金土",WEEKDAY(INDEX('01_予約入力'!$J$5:$J$404,$AQ36)),1)&amp;")"&amp;" "&amp;INDEX('01_予約入力'!$AE$5:$AE$404,$AQ36))</f>
        <v/>
      </c>
      <c r="P36" s="121" t="n"/>
      <c r="Q36" s="121" t="n"/>
      <c r="R36" s="121" t="n"/>
      <c r="S36" s="121" t="n"/>
      <c r="T36" s="122" t="n"/>
      <c r="U36" s="47">
        <f>IF($AQ36=0,"",IF(INDEX('01_予約入力'!$J$5:$J$404,$AQ36)=INDEX('01_予約入力'!$G$5:$G$404,$AQ36),"日帰り",INDEX('01_予約入力'!$J$5:$J$404,$AQ36)-INDEX('01_予約入力'!$G$5:$G$404,$AQ36)&amp;"泊"))</f>
        <v/>
      </c>
      <c r="V36" s="121" t="n"/>
      <c r="W36" s="122" t="n"/>
      <c r="X36" s="47">
        <f>IF($AQ36=0,"",IF(AND(INDEX('01_予約入力'!$L$5:$L$404,$AQ36)="",INDEX('01_予約入力'!$M$5:$M$404,$AQ36)="",INDEX('01_予約入力'!$N$5:$N$404,$AQ36)=""),"標準","朝"&amp;IF(INDEX('01_予約入力'!$L$5:$L$404,$AQ36)="","−",INDEX('01_予約入力'!$L$5:$L$404,$AQ36))&amp;" 昼"&amp;IF(INDEX('01_予約入力'!$M$5:$M$404,$AQ36)="","−",INDEX('01_予約入力'!$M$5:$M$404,$AQ36))&amp;" 夕"&amp;IF(INDEX('01_予約入力'!$N$5:$N$404,$AQ36)="","−",INDEX('01_予約入力'!$N$5:$N$404,$AQ36))))</f>
        <v/>
      </c>
      <c r="Y36" s="121" t="n"/>
      <c r="Z36" s="121" t="n"/>
      <c r="AA36" s="122" t="n"/>
      <c r="AB36" s="47">
        <f>IF($AQ36=0,"",IF(INDEX('01_予約入力'!$Q$5:$Q$404,$AQ36)="","確定",INDEX('01_予約入力'!$Q$5:$Q$404,$AQ36)))</f>
        <v/>
      </c>
      <c r="AC36" s="121" t="n"/>
      <c r="AD36" s="122" t="n"/>
      <c r="AE36" s="46">
        <f>IF($AQ36=0,"",INDEX('01_予約入力'!$V$5:$V$404,$AQ36))</f>
        <v/>
      </c>
      <c r="AF36" s="121" t="n"/>
      <c r="AG36" s="122" t="n"/>
      <c r="AP36">
        <f>IFERROR(SMALL('01_予約入力'!$AC$5:$AC$404,4),"")</f>
        <v/>
      </c>
      <c r="AQ36">
        <f>IF($AP36="",0,IFERROR(MATCH($AP36,'01_予約入力'!$AC$5:$AC$404,0),0))</f>
        <v/>
      </c>
    </row>
    <row r="37">
      <c r="A37" s="46">
        <f>IF($AQ37=0,"",INDEX('01_予約入力'!$B$5:$B$404,$AQ37))</f>
        <v/>
      </c>
      <c r="B37" s="47">
        <f>IF($AQ37=0,"",IF(INDEX('01_予約入力'!$D$5:$D$404,$AQ37)="","⚠未選択",INDEX('01_予約入力'!$D$5:$D$404,$AQ37)))</f>
        <v/>
      </c>
      <c r="C37" s="121" t="n"/>
      <c r="D37" s="121" t="n"/>
      <c r="E37" s="122" t="n"/>
      <c r="F37" s="47">
        <f>IF($AQ37=0,"",INDEX('01_予約入力'!$C$5:$C$404,$AQ37))</f>
        <v/>
      </c>
      <c r="G37" s="121" t="n"/>
      <c r="H37" s="122" t="n"/>
      <c r="I37" s="46">
        <f>IF($AQ37=0,"",MONTH(INDEX('01_予約入力'!$G$5:$G$404,$AQ37))&amp;"/"&amp;DAY(INDEX('01_予約入力'!$G$5:$G$404,$AQ37))&amp;"("&amp;MID("日月火水木金土",WEEKDAY(INDEX('01_予約入力'!$G$5:$G$404,$AQ37)),1)&amp;")"&amp;" "&amp;INDEX('01_予約入力'!$AD$5:$AD$404,$AQ37))</f>
        <v/>
      </c>
      <c r="J37" s="121" t="n"/>
      <c r="K37" s="121" t="n"/>
      <c r="L37" s="121" t="n"/>
      <c r="M37" s="121" t="n"/>
      <c r="N37" s="122" t="n"/>
      <c r="O37" s="46">
        <f>IF($AQ37=0,"",MONTH(INDEX('01_予約入力'!$J$5:$J$404,$AQ37))&amp;"/"&amp;DAY(INDEX('01_予約入力'!$J$5:$J$404,$AQ37))&amp;"("&amp;MID("日月火水木金土",WEEKDAY(INDEX('01_予約入力'!$J$5:$J$404,$AQ37)),1)&amp;")"&amp;" "&amp;INDEX('01_予約入力'!$AE$5:$AE$404,$AQ37))</f>
        <v/>
      </c>
      <c r="P37" s="121" t="n"/>
      <c r="Q37" s="121" t="n"/>
      <c r="R37" s="121" t="n"/>
      <c r="S37" s="121" t="n"/>
      <c r="T37" s="122" t="n"/>
      <c r="U37" s="47">
        <f>IF($AQ37=0,"",IF(INDEX('01_予約入力'!$J$5:$J$404,$AQ37)=INDEX('01_予約入力'!$G$5:$G$404,$AQ37),"日帰り",INDEX('01_予約入力'!$J$5:$J$404,$AQ37)-INDEX('01_予約入力'!$G$5:$G$404,$AQ37)&amp;"泊"))</f>
        <v/>
      </c>
      <c r="V37" s="121" t="n"/>
      <c r="W37" s="122" t="n"/>
      <c r="X37" s="47">
        <f>IF($AQ37=0,"",IF(AND(INDEX('01_予約入力'!$L$5:$L$404,$AQ37)="",INDEX('01_予約入力'!$M$5:$M$404,$AQ37)="",INDEX('01_予約入力'!$N$5:$N$404,$AQ37)=""),"標準","朝"&amp;IF(INDEX('01_予約入力'!$L$5:$L$404,$AQ37)="","−",INDEX('01_予約入力'!$L$5:$L$404,$AQ37))&amp;" 昼"&amp;IF(INDEX('01_予約入力'!$M$5:$M$404,$AQ37)="","−",INDEX('01_予約入力'!$M$5:$M$404,$AQ37))&amp;" 夕"&amp;IF(INDEX('01_予約入力'!$N$5:$N$404,$AQ37)="","−",INDEX('01_予約入力'!$N$5:$N$404,$AQ37))))</f>
        <v/>
      </c>
      <c r="Y37" s="121" t="n"/>
      <c r="Z37" s="121" t="n"/>
      <c r="AA37" s="122" t="n"/>
      <c r="AB37" s="47">
        <f>IF($AQ37=0,"",IF(INDEX('01_予約入力'!$Q$5:$Q$404,$AQ37)="","確定",INDEX('01_予約入力'!$Q$5:$Q$404,$AQ37)))</f>
        <v/>
      </c>
      <c r="AC37" s="121" t="n"/>
      <c r="AD37" s="122" t="n"/>
      <c r="AE37" s="46">
        <f>IF($AQ37=0,"",INDEX('01_予約入力'!$V$5:$V$404,$AQ37))</f>
        <v/>
      </c>
      <c r="AF37" s="121" t="n"/>
      <c r="AG37" s="122" t="n"/>
      <c r="AP37">
        <f>IFERROR(SMALL('01_予約入力'!$AC$5:$AC$404,5),"")</f>
        <v/>
      </c>
      <c r="AQ37">
        <f>IF($AP37="",0,IFERROR(MATCH($AP37,'01_予約入力'!$AC$5:$AC$404,0),0))</f>
        <v/>
      </c>
    </row>
    <row r="38">
      <c r="A38" s="46">
        <f>IF($AQ38=0,"",INDEX('01_予約入力'!$B$5:$B$404,$AQ38))</f>
        <v/>
      </c>
      <c r="B38" s="47">
        <f>IF($AQ38=0,"",IF(INDEX('01_予約入力'!$D$5:$D$404,$AQ38)="","⚠未選択",INDEX('01_予約入力'!$D$5:$D$404,$AQ38)))</f>
        <v/>
      </c>
      <c r="C38" s="121" t="n"/>
      <c r="D38" s="121" t="n"/>
      <c r="E38" s="122" t="n"/>
      <c r="F38" s="47">
        <f>IF($AQ38=0,"",INDEX('01_予約入力'!$C$5:$C$404,$AQ38))</f>
        <v/>
      </c>
      <c r="G38" s="121" t="n"/>
      <c r="H38" s="122" t="n"/>
      <c r="I38" s="46">
        <f>IF($AQ38=0,"",MONTH(INDEX('01_予約入力'!$G$5:$G$404,$AQ38))&amp;"/"&amp;DAY(INDEX('01_予約入力'!$G$5:$G$404,$AQ38))&amp;"("&amp;MID("日月火水木金土",WEEKDAY(INDEX('01_予約入力'!$G$5:$G$404,$AQ38)),1)&amp;")"&amp;" "&amp;INDEX('01_予約入力'!$AD$5:$AD$404,$AQ38))</f>
        <v/>
      </c>
      <c r="J38" s="121" t="n"/>
      <c r="K38" s="121" t="n"/>
      <c r="L38" s="121" t="n"/>
      <c r="M38" s="121" t="n"/>
      <c r="N38" s="122" t="n"/>
      <c r="O38" s="46">
        <f>IF($AQ38=0,"",MONTH(INDEX('01_予約入力'!$J$5:$J$404,$AQ38))&amp;"/"&amp;DAY(INDEX('01_予約入力'!$J$5:$J$404,$AQ38))&amp;"("&amp;MID("日月火水木金土",WEEKDAY(INDEX('01_予約入力'!$J$5:$J$404,$AQ38)),1)&amp;")"&amp;" "&amp;INDEX('01_予約入力'!$AE$5:$AE$404,$AQ38))</f>
        <v/>
      </c>
      <c r="P38" s="121" t="n"/>
      <c r="Q38" s="121" t="n"/>
      <c r="R38" s="121" t="n"/>
      <c r="S38" s="121" t="n"/>
      <c r="T38" s="122" t="n"/>
      <c r="U38" s="47">
        <f>IF($AQ38=0,"",IF(INDEX('01_予約入力'!$J$5:$J$404,$AQ38)=INDEX('01_予約入力'!$G$5:$G$404,$AQ38),"日帰り",INDEX('01_予約入力'!$J$5:$J$404,$AQ38)-INDEX('01_予約入力'!$G$5:$G$404,$AQ38)&amp;"泊"))</f>
        <v/>
      </c>
      <c r="V38" s="121" t="n"/>
      <c r="W38" s="122" t="n"/>
      <c r="X38" s="47">
        <f>IF($AQ38=0,"",IF(AND(INDEX('01_予約入力'!$L$5:$L$404,$AQ38)="",INDEX('01_予約入力'!$M$5:$M$404,$AQ38)="",INDEX('01_予約入力'!$N$5:$N$404,$AQ38)=""),"標準","朝"&amp;IF(INDEX('01_予約入力'!$L$5:$L$404,$AQ38)="","−",INDEX('01_予約入力'!$L$5:$L$404,$AQ38))&amp;" 昼"&amp;IF(INDEX('01_予約入力'!$M$5:$M$404,$AQ38)="","−",INDEX('01_予約入力'!$M$5:$M$404,$AQ38))&amp;" 夕"&amp;IF(INDEX('01_予約入力'!$N$5:$N$404,$AQ38)="","−",INDEX('01_予約入力'!$N$5:$N$404,$AQ38))))</f>
        <v/>
      </c>
      <c r="Y38" s="121" t="n"/>
      <c r="Z38" s="121" t="n"/>
      <c r="AA38" s="122" t="n"/>
      <c r="AB38" s="47">
        <f>IF($AQ38=0,"",IF(INDEX('01_予約入力'!$Q$5:$Q$404,$AQ38)="","確定",INDEX('01_予約入力'!$Q$5:$Q$404,$AQ38)))</f>
        <v/>
      </c>
      <c r="AC38" s="121" t="n"/>
      <c r="AD38" s="122" t="n"/>
      <c r="AE38" s="46">
        <f>IF($AQ38=0,"",INDEX('01_予約入力'!$V$5:$V$404,$AQ38))</f>
        <v/>
      </c>
      <c r="AF38" s="121" t="n"/>
      <c r="AG38" s="122" t="n"/>
      <c r="AP38">
        <f>IFERROR(SMALL('01_予約入力'!$AC$5:$AC$404,6),"")</f>
        <v/>
      </c>
      <c r="AQ38">
        <f>IF($AP38="",0,IFERROR(MATCH($AP38,'01_予約入力'!$AC$5:$AC$404,0),0))</f>
        <v/>
      </c>
    </row>
    <row r="39">
      <c r="A39" s="46">
        <f>IF($AQ39=0,"",INDEX('01_予約入力'!$B$5:$B$404,$AQ39))</f>
        <v/>
      </c>
      <c r="B39" s="47">
        <f>IF($AQ39=0,"",IF(INDEX('01_予約入力'!$D$5:$D$404,$AQ39)="","⚠未選択",INDEX('01_予約入力'!$D$5:$D$404,$AQ39)))</f>
        <v/>
      </c>
      <c r="C39" s="121" t="n"/>
      <c r="D39" s="121" t="n"/>
      <c r="E39" s="122" t="n"/>
      <c r="F39" s="47">
        <f>IF($AQ39=0,"",INDEX('01_予約入力'!$C$5:$C$404,$AQ39))</f>
        <v/>
      </c>
      <c r="G39" s="121" t="n"/>
      <c r="H39" s="122" t="n"/>
      <c r="I39" s="46">
        <f>IF($AQ39=0,"",MONTH(INDEX('01_予約入力'!$G$5:$G$404,$AQ39))&amp;"/"&amp;DAY(INDEX('01_予約入力'!$G$5:$G$404,$AQ39))&amp;"("&amp;MID("日月火水木金土",WEEKDAY(INDEX('01_予約入力'!$G$5:$G$404,$AQ39)),1)&amp;")"&amp;" "&amp;INDEX('01_予約入力'!$AD$5:$AD$404,$AQ39))</f>
        <v/>
      </c>
      <c r="J39" s="121" t="n"/>
      <c r="K39" s="121" t="n"/>
      <c r="L39" s="121" t="n"/>
      <c r="M39" s="121" t="n"/>
      <c r="N39" s="122" t="n"/>
      <c r="O39" s="46">
        <f>IF($AQ39=0,"",MONTH(INDEX('01_予約入力'!$J$5:$J$404,$AQ39))&amp;"/"&amp;DAY(INDEX('01_予約入力'!$J$5:$J$404,$AQ39))&amp;"("&amp;MID("日月火水木金土",WEEKDAY(INDEX('01_予約入力'!$J$5:$J$404,$AQ39)),1)&amp;")"&amp;" "&amp;INDEX('01_予約入力'!$AE$5:$AE$404,$AQ39))</f>
        <v/>
      </c>
      <c r="P39" s="121" t="n"/>
      <c r="Q39" s="121" t="n"/>
      <c r="R39" s="121" t="n"/>
      <c r="S39" s="121" t="n"/>
      <c r="T39" s="122" t="n"/>
      <c r="U39" s="47">
        <f>IF($AQ39=0,"",IF(INDEX('01_予約入力'!$J$5:$J$404,$AQ39)=INDEX('01_予約入力'!$G$5:$G$404,$AQ39),"日帰り",INDEX('01_予約入力'!$J$5:$J$404,$AQ39)-INDEX('01_予約入力'!$G$5:$G$404,$AQ39)&amp;"泊"))</f>
        <v/>
      </c>
      <c r="V39" s="121" t="n"/>
      <c r="W39" s="122" t="n"/>
      <c r="X39" s="47">
        <f>IF($AQ39=0,"",IF(AND(INDEX('01_予約入力'!$L$5:$L$404,$AQ39)="",INDEX('01_予約入力'!$M$5:$M$404,$AQ39)="",INDEX('01_予約入力'!$N$5:$N$404,$AQ39)=""),"標準","朝"&amp;IF(INDEX('01_予約入力'!$L$5:$L$404,$AQ39)="","−",INDEX('01_予約入力'!$L$5:$L$404,$AQ39))&amp;" 昼"&amp;IF(INDEX('01_予約入力'!$M$5:$M$404,$AQ39)="","−",INDEX('01_予約入力'!$M$5:$M$404,$AQ39))&amp;" 夕"&amp;IF(INDEX('01_予約入力'!$N$5:$N$404,$AQ39)="","−",INDEX('01_予約入力'!$N$5:$N$404,$AQ39))))</f>
        <v/>
      </c>
      <c r="Y39" s="121" t="n"/>
      <c r="Z39" s="121" t="n"/>
      <c r="AA39" s="122" t="n"/>
      <c r="AB39" s="47">
        <f>IF($AQ39=0,"",IF(INDEX('01_予約入力'!$Q$5:$Q$404,$AQ39)="","確定",INDEX('01_予約入力'!$Q$5:$Q$404,$AQ39)))</f>
        <v/>
      </c>
      <c r="AC39" s="121" t="n"/>
      <c r="AD39" s="122" t="n"/>
      <c r="AE39" s="46">
        <f>IF($AQ39=0,"",INDEX('01_予約入力'!$V$5:$V$404,$AQ39))</f>
        <v/>
      </c>
      <c r="AF39" s="121" t="n"/>
      <c r="AG39" s="122" t="n"/>
      <c r="AP39">
        <f>IFERROR(SMALL('01_予約入力'!$AC$5:$AC$404,7),"")</f>
        <v/>
      </c>
      <c r="AQ39">
        <f>IF($AP39="",0,IFERROR(MATCH($AP39,'01_予約入力'!$AC$5:$AC$404,0),0))</f>
        <v/>
      </c>
    </row>
    <row r="40">
      <c r="A40" s="46">
        <f>IF($AQ40=0,"",INDEX('01_予約入力'!$B$5:$B$404,$AQ40))</f>
        <v/>
      </c>
      <c r="B40" s="47">
        <f>IF($AQ40=0,"",IF(INDEX('01_予約入力'!$D$5:$D$404,$AQ40)="","⚠未選択",INDEX('01_予約入力'!$D$5:$D$404,$AQ40)))</f>
        <v/>
      </c>
      <c r="C40" s="121" t="n"/>
      <c r="D40" s="121" t="n"/>
      <c r="E40" s="122" t="n"/>
      <c r="F40" s="47">
        <f>IF($AQ40=0,"",INDEX('01_予約入力'!$C$5:$C$404,$AQ40))</f>
        <v/>
      </c>
      <c r="G40" s="121" t="n"/>
      <c r="H40" s="122" t="n"/>
      <c r="I40" s="46">
        <f>IF($AQ40=0,"",MONTH(INDEX('01_予約入力'!$G$5:$G$404,$AQ40))&amp;"/"&amp;DAY(INDEX('01_予約入力'!$G$5:$G$404,$AQ40))&amp;"("&amp;MID("日月火水木金土",WEEKDAY(INDEX('01_予約入力'!$G$5:$G$404,$AQ40)),1)&amp;")"&amp;" "&amp;INDEX('01_予約入力'!$AD$5:$AD$404,$AQ40))</f>
        <v/>
      </c>
      <c r="J40" s="121" t="n"/>
      <c r="K40" s="121" t="n"/>
      <c r="L40" s="121" t="n"/>
      <c r="M40" s="121" t="n"/>
      <c r="N40" s="122" t="n"/>
      <c r="O40" s="46">
        <f>IF($AQ40=0,"",MONTH(INDEX('01_予約入力'!$J$5:$J$404,$AQ40))&amp;"/"&amp;DAY(INDEX('01_予約入力'!$J$5:$J$404,$AQ40))&amp;"("&amp;MID("日月火水木金土",WEEKDAY(INDEX('01_予約入力'!$J$5:$J$404,$AQ40)),1)&amp;")"&amp;" "&amp;INDEX('01_予約入力'!$AE$5:$AE$404,$AQ40))</f>
        <v/>
      </c>
      <c r="P40" s="121" t="n"/>
      <c r="Q40" s="121" t="n"/>
      <c r="R40" s="121" t="n"/>
      <c r="S40" s="121" t="n"/>
      <c r="T40" s="122" t="n"/>
      <c r="U40" s="47">
        <f>IF($AQ40=0,"",IF(INDEX('01_予約入力'!$J$5:$J$404,$AQ40)=INDEX('01_予約入力'!$G$5:$G$404,$AQ40),"日帰り",INDEX('01_予約入力'!$J$5:$J$404,$AQ40)-INDEX('01_予約入力'!$G$5:$G$404,$AQ40)&amp;"泊"))</f>
        <v/>
      </c>
      <c r="V40" s="121" t="n"/>
      <c r="W40" s="122" t="n"/>
      <c r="X40" s="47">
        <f>IF($AQ40=0,"",IF(AND(INDEX('01_予約入力'!$L$5:$L$404,$AQ40)="",INDEX('01_予約入力'!$M$5:$M$404,$AQ40)="",INDEX('01_予約入力'!$N$5:$N$404,$AQ40)=""),"標準","朝"&amp;IF(INDEX('01_予約入力'!$L$5:$L$404,$AQ40)="","−",INDEX('01_予約入力'!$L$5:$L$404,$AQ40))&amp;" 昼"&amp;IF(INDEX('01_予約入力'!$M$5:$M$404,$AQ40)="","−",INDEX('01_予約入力'!$M$5:$M$404,$AQ40))&amp;" 夕"&amp;IF(INDEX('01_予約入力'!$N$5:$N$404,$AQ40)="","−",INDEX('01_予約入力'!$N$5:$N$404,$AQ40))))</f>
        <v/>
      </c>
      <c r="Y40" s="121" t="n"/>
      <c r="Z40" s="121" t="n"/>
      <c r="AA40" s="122" t="n"/>
      <c r="AB40" s="47">
        <f>IF($AQ40=0,"",IF(INDEX('01_予約入力'!$Q$5:$Q$404,$AQ40)="","確定",INDEX('01_予約入力'!$Q$5:$Q$404,$AQ40)))</f>
        <v/>
      </c>
      <c r="AC40" s="121" t="n"/>
      <c r="AD40" s="122" t="n"/>
      <c r="AE40" s="46">
        <f>IF($AQ40=0,"",INDEX('01_予約入力'!$V$5:$V$404,$AQ40))</f>
        <v/>
      </c>
      <c r="AF40" s="121" t="n"/>
      <c r="AG40" s="122" t="n"/>
      <c r="AP40">
        <f>IFERROR(SMALL('01_予約入力'!$AC$5:$AC$404,8),"")</f>
        <v/>
      </c>
      <c r="AQ40">
        <f>IF($AP40="",0,IFERROR(MATCH($AP40,'01_予約入力'!$AC$5:$AC$404,0),0))</f>
        <v/>
      </c>
    </row>
    <row r="41">
      <c r="A41" s="46">
        <f>IF($AQ41=0,"",INDEX('01_予約入力'!$B$5:$B$404,$AQ41))</f>
        <v/>
      </c>
      <c r="B41" s="47">
        <f>IF($AQ41=0,"",IF(INDEX('01_予約入力'!$D$5:$D$404,$AQ41)="","⚠未選択",INDEX('01_予約入力'!$D$5:$D$404,$AQ41)))</f>
        <v/>
      </c>
      <c r="C41" s="121" t="n"/>
      <c r="D41" s="121" t="n"/>
      <c r="E41" s="122" t="n"/>
      <c r="F41" s="47">
        <f>IF($AQ41=0,"",INDEX('01_予約入力'!$C$5:$C$404,$AQ41))</f>
        <v/>
      </c>
      <c r="G41" s="121" t="n"/>
      <c r="H41" s="122" t="n"/>
      <c r="I41" s="46">
        <f>IF($AQ41=0,"",MONTH(INDEX('01_予約入力'!$G$5:$G$404,$AQ41))&amp;"/"&amp;DAY(INDEX('01_予約入力'!$G$5:$G$404,$AQ41))&amp;"("&amp;MID("日月火水木金土",WEEKDAY(INDEX('01_予約入力'!$G$5:$G$404,$AQ41)),1)&amp;")"&amp;" "&amp;INDEX('01_予約入力'!$AD$5:$AD$404,$AQ41))</f>
        <v/>
      </c>
      <c r="J41" s="121" t="n"/>
      <c r="K41" s="121" t="n"/>
      <c r="L41" s="121" t="n"/>
      <c r="M41" s="121" t="n"/>
      <c r="N41" s="122" t="n"/>
      <c r="O41" s="46">
        <f>IF($AQ41=0,"",MONTH(INDEX('01_予約入力'!$J$5:$J$404,$AQ41))&amp;"/"&amp;DAY(INDEX('01_予約入力'!$J$5:$J$404,$AQ41))&amp;"("&amp;MID("日月火水木金土",WEEKDAY(INDEX('01_予約入力'!$J$5:$J$404,$AQ41)),1)&amp;")"&amp;" "&amp;INDEX('01_予約入力'!$AE$5:$AE$404,$AQ41))</f>
        <v/>
      </c>
      <c r="P41" s="121" t="n"/>
      <c r="Q41" s="121" t="n"/>
      <c r="R41" s="121" t="n"/>
      <c r="S41" s="121" t="n"/>
      <c r="T41" s="122" t="n"/>
      <c r="U41" s="47">
        <f>IF($AQ41=0,"",IF(INDEX('01_予約入力'!$J$5:$J$404,$AQ41)=INDEX('01_予約入力'!$G$5:$G$404,$AQ41),"日帰り",INDEX('01_予約入力'!$J$5:$J$404,$AQ41)-INDEX('01_予約入力'!$G$5:$G$404,$AQ41)&amp;"泊"))</f>
        <v/>
      </c>
      <c r="V41" s="121" t="n"/>
      <c r="W41" s="122" t="n"/>
      <c r="X41" s="47">
        <f>IF($AQ41=0,"",IF(AND(INDEX('01_予約入力'!$L$5:$L$404,$AQ41)="",INDEX('01_予約入力'!$M$5:$M$404,$AQ41)="",INDEX('01_予約入力'!$N$5:$N$404,$AQ41)=""),"標準","朝"&amp;IF(INDEX('01_予約入力'!$L$5:$L$404,$AQ41)="","−",INDEX('01_予約入力'!$L$5:$L$404,$AQ41))&amp;" 昼"&amp;IF(INDEX('01_予約入力'!$M$5:$M$404,$AQ41)="","−",INDEX('01_予約入力'!$M$5:$M$404,$AQ41))&amp;" 夕"&amp;IF(INDEX('01_予約入力'!$N$5:$N$404,$AQ41)="","−",INDEX('01_予約入力'!$N$5:$N$404,$AQ41))))</f>
        <v/>
      </c>
      <c r="Y41" s="121" t="n"/>
      <c r="Z41" s="121" t="n"/>
      <c r="AA41" s="122" t="n"/>
      <c r="AB41" s="47">
        <f>IF($AQ41=0,"",IF(INDEX('01_予約入力'!$Q$5:$Q$404,$AQ41)="","確定",INDEX('01_予約入力'!$Q$5:$Q$404,$AQ41)))</f>
        <v/>
      </c>
      <c r="AC41" s="121" t="n"/>
      <c r="AD41" s="122" t="n"/>
      <c r="AE41" s="46">
        <f>IF($AQ41=0,"",INDEX('01_予約入力'!$V$5:$V$404,$AQ41))</f>
        <v/>
      </c>
      <c r="AF41" s="121" t="n"/>
      <c r="AG41" s="122" t="n"/>
      <c r="AP41">
        <f>IFERROR(SMALL('01_予約入力'!$AC$5:$AC$404,9),"")</f>
        <v/>
      </c>
      <c r="AQ41">
        <f>IF($AP41="",0,IFERROR(MATCH($AP41,'01_予約入力'!$AC$5:$AC$404,0),0))</f>
        <v/>
      </c>
    </row>
    <row r="42">
      <c r="A42" s="46">
        <f>IF($AQ42=0,"",INDEX('01_予約入力'!$B$5:$B$404,$AQ42))</f>
        <v/>
      </c>
      <c r="B42" s="47">
        <f>IF($AQ42=0,"",IF(INDEX('01_予約入力'!$D$5:$D$404,$AQ42)="","⚠未選択",INDEX('01_予約入力'!$D$5:$D$404,$AQ42)))</f>
        <v/>
      </c>
      <c r="C42" s="121" t="n"/>
      <c r="D42" s="121" t="n"/>
      <c r="E42" s="122" t="n"/>
      <c r="F42" s="47">
        <f>IF($AQ42=0,"",INDEX('01_予約入力'!$C$5:$C$404,$AQ42))</f>
        <v/>
      </c>
      <c r="G42" s="121" t="n"/>
      <c r="H42" s="122" t="n"/>
      <c r="I42" s="46">
        <f>IF($AQ42=0,"",MONTH(INDEX('01_予約入力'!$G$5:$G$404,$AQ42))&amp;"/"&amp;DAY(INDEX('01_予約入力'!$G$5:$G$404,$AQ42))&amp;"("&amp;MID("日月火水木金土",WEEKDAY(INDEX('01_予約入力'!$G$5:$G$404,$AQ42)),1)&amp;")"&amp;" "&amp;INDEX('01_予約入力'!$AD$5:$AD$404,$AQ42))</f>
        <v/>
      </c>
      <c r="J42" s="121" t="n"/>
      <c r="K42" s="121" t="n"/>
      <c r="L42" s="121" t="n"/>
      <c r="M42" s="121" t="n"/>
      <c r="N42" s="122" t="n"/>
      <c r="O42" s="46">
        <f>IF($AQ42=0,"",MONTH(INDEX('01_予約入力'!$J$5:$J$404,$AQ42))&amp;"/"&amp;DAY(INDEX('01_予約入力'!$J$5:$J$404,$AQ42))&amp;"("&amp;MID("日月火水木金土",WEEKDAY(INDEX('01_予約入力'!$J$5:$J$404,$AQ42)),1)&amp;")"&amp;" "&amp;INDEX('01_予約入力'!$AE$5:$AE$404,$AQ42))</f>
        <v/>
      </c>
      <c r="P42" s="121" t="n"/>
      <c r="Q42" s="121" t="n"/>
      <c r="R42" s="121" t="n"/>
      <c r="S42" s="121" t="n"/>
      <c r="T42" s="122" t="n"/>
      <c r="U42" s="47">
        <f>IF($AQ42=0,"",IF(INDEX('01_予約入力'!$J$5:$J$404,$AQ42)=INDEX('01_予約入力'!$G$5:$G$404,$AQ42),"日帰り",INDEX('01_予約入力'!$J$5:$J$404,$AQ42)-INDEX('01_予約入力'!$G$5:$G$404,$AQ42)&amp;"泊"))</f>
        <v/>
      </c>
      <c r="V42" s="121" t="n"/>
      <c r="W42" s="122" t="n"/>
      <c r="X42" s="47">
        <f>IF($AQ42=0,"",IF(AND(INDEX('01_予約入力'!$L$5:$L$404,$AQ42)="",INDEX('01_予約入力'!$M$5:$M$404,$AQ42)="",INDEX('01_予約入力'!$N$5:$N$404,$AQ42)=""),"標準","朝"&amp;IF(INDEX('01_予約入力'!$L$5:$L$404,$AQ42)="","−",INDEX('01_予約入力'!$L$5:$L$404,$AQ42))&amp;" 昼"&amp;IF(INDEX('01_予約入力'!$M$5:$M$404,$AQ42)="","−",INDEX('01_予約入力'!$M$5:$M$404,$AQ42))&amp;" 夕"&amp;IF(INDEX('01_予約入力'!$N$5:$N$404,$AQ42)="","−",INDEX('01_予約入力'!$N$5:$N$404,$AQ42))))</f>
        <v/>
      </c>
      <c r="Y42" s="121" t="n"/>
      <c r="Z42" s="121" t="n"/>
      <c r="AA42" s="122" t="n"/>
      <c r="AB42" s="47">
        <f>IF($AQ42=0,"",IF(INDEX('01_予約入力'!$Q$5:$Q$404,$AQ42)="","確定",INDEX('01_予約入力'!$Q$5:$Q$404,$AQ42)))</f>
        <v/>
      </c>
      <c r="AC42" s="121" t="n"/>
      <c r="AD42" s="122" t="n"/>
      <c r="AE42" s="46">
        <f>IF($AQ42=0,"",INDEX('01_予約入力'!$V$5:$V$404,$AQ42))</f>
        <v/>
      </c>
      <c r="AF42" s="121" t="n"/>
      <c r="AG42" s="122" t="n"/>
      <c r="AP42">
        <f>IFERROR(SMALL('01_予約入力'!$AC$5:$AC$404,10),"")</f>
        <v/>
      </c>
      <c r="AQ42">
        <f>IF($AP42="",0,IFERROR(MATCH($AP42,'01_予約入力'!$AC$5:$AC$404,0),0))</f>
        <v/>
      </c>
    </row>
    <row r="43">
      <c r="A43" s="46">
        <f>IF($AQ43=0,"",INDEX('01_予約入力'!$B$5:$B$404,$AQ43))</f>
        <v/>
      </c>
      <c r="B43" s="47">
        <f>IF($AQ43=0,"",IF(INDEX('01_予約入力'!$D$5:$D$404,$AQ43)="","⚠未選択",INDEX('01_予約入力'!$D$5:$D$404,$AQ43)))</f>
        <v/>
      </c>
      <c r="C43" s="121" t="n"/>
      <c r="D43" s="121" t="n"/>
      <c r="E43" s="122" t="n"/>
      <c r="F43" s="47">
        <f>IF($AQ43=0,"",INDEX('01_予約入力'!$C$5:$C$404,$AQ43))</f>
        <v/>
      </c>
      <c r="G43" s="121" t="n"/>
      <c r="H43" s="122" t="n"/>
      <c r="I43" s="46">
        <f>IF($AQ43=0,"",MONTH(INDEX('01_予約入力'!$G$5:$G$404,$AQ43))&amp;"/"&amp;DAY(INDEX('01_予約入力'!$G$5:$G$404,$AQ43))&amp;"("&amp;MID("日月火水木金土",WEEKDAY(INDEX('01_予約入力'!$G$5:$G$404,$AQ43)),1)&amp;")"&amp;" "&amp;INDEX('01_予約入力'!$AD$5:$AD$404,$AQ43))</f>
        <v/>
      </c>
      <c r="J43" s="121" t="n"/>
      <c r="K43" s="121" t="n"/>
      <c r="L43" s="121" t="n"/>
      <c r="M43" s="121" t="n"/>
      <c r="N43" s="122" t="n"/>
      <c r="O43" s="46">
        <f>IF($AQ43=0,"",MONTH(INDEX('01_予約入力'!$J$5:$J$404,$AQ43))&amp;"/"&amp;DAY(INDEX('01_予約入力'!$J$5:$J$404,$AQ43))&amp;"("&amp;MID("日月火水木金土",WEEKDAY(INDEX('01_予約入力'!$J$5:$J$404,$AQ43)),1)&amp;")"&amp;" "&amp;INDEX('01_予約入力'!$AE$5:$AE$404,$AQ43))</f>
        <v/>
      </c>
      <c r="P43" s="121" t="n"/>
      <c r="Q43" s="121" t="n"/>
      <c r="R43" s="121" t="n"/>
      <c r="S43" s="121" t="n"/>
      <c r="T43" s="122" t="n"/>
      <c r="U43" s="47">
        <f>IF($AQ43=0,"",IF(INDEX('01_予約入力'!$J$5:$J$404,$AQ43)=INDEX('01_予約入力'!$G$5:$G$404,$AQ43),"日帰り",INDEX('01_予約入力'!$J$5:$J$404,$AQ43)-INDEX('01_予約入力'!$G$5:$G$404,$AQ43)&amp;"泊"))</f>
        <v/>
      </c>
      <c r="V43" s="121" t="n"/>
      <c r="W43" s="122" t="n"/>
      <c r="X43" s="47">
        <f>IF($AQ43=0,"",IF(AND(INDEX('01_予約入力'!$L$5:$L$404,$AQ43)="",INDEX('01_予約入力'!$M$5:$M$404,$AQ43)="",INDEX('01_予約入力'!$N$5:$N$404,$AQ43)=""),"標準","朝"&amp;IF(INDEX('01_予約入力'!$L$5:$L$404,$AQ43)="","−",INDEX('01_予約入力'!$L$5:$L$404,$AQ43))&amp;" 昼"&amp;IF(INDEX('01_予約入力'!$M$5:$M$404,$AQ43)="","−",INDEX('01_予約入力'!$M$5:$M$404,$AQ43))&amp;" 夕"&amp;IF(INDEX('01_予約入力'!$N$5:$N$404,$AQ43)="","−",INDEX('01_予約入力'!$N$5:$N$404,$AQ43))))</f>
        <v/>
      </c>
      <c r="Y43" s="121" t="n"/>
      <c r="Z43" s="121" t="n"/>
      <c r="AA43" s="122" t="n"/>
      <c r="AB43" s="47">
        <f>IF($AQ43=0,"",IF(INDEX('01_予約入力'!$Q$5:$Q$404,$AQ43)="","確定",INDEX('01_予約入力'!$Q$5:$Q$404,$AQ43)))</f>
        <v/>
      </c>
      <c r="AC43" s="121" t="n"/>
      <c r="AD43" s="122" t="n"/>
      <c r="AE43" s="46">
        <f>IF($AQ43=0,"",INDEX('01_予約入力'!$V$5:$V$404,$AQ43))</f>
        <v/>
      </c>
      <c r="AF43" s="121" t="n"/>
      <c r="AG43" s="122" t="n"/>
      <c r="AP43">
        <f>IFERROR(SMALL('01_予約入力'!$AC$5:$AC$404,11),"")</f>
        <v/>
      </c>
      <c r="AQ43">
        <f>IF($AP43="",0,IFERROR(MATCH($AP43,'01_予約入力'!$AC$5:$AC$404,0),0))</f>
        <v/>
      </c>
    </row>
    <row r="44">
      <c r="A44" s="46">
        <f>IF($AQ44=0,"",INDEX('01_予約入力'!$B$5:$B$404,$AQ44))</f>
        <v/>
      </c>
      <c r="B44" s="47">
        <f>IF($AQ44=0,"",IF(INDEX('01_予約入力'!$D$5:$D$404,$AQ44)="","⚠未選択",INDEX('01_予約入力'!$D$5:$D$404,$AQ44)))</f>
        <v/>
      </c>
      <c r="C44" s="121" t="n"/>
      <c r="D44" s="121" t="n"/>
      <c r="E44" s="122" t="n"/>
      <c r="F44" s="47">
        <f>IF($AQ44=0,"",INDEX('01_予約入力'!$C$5:$C$404,$AQ44))</f>
        <v/>
      </c>
      <c r="G44" s="121" t="n"/>
      <c r="H44" s="122" t="n"/>
      <c r="I44" s="46">
        <f>IF($AQ44=0,"",MONTH(INDEX('01_予約入力'!$G$5:$G$404,$AQ44))&amp;"/"&amp;DAY(INDEX('01_予約入力'!$G$5:$G$404,$AQ44))&amp;"("&amp;MID("日月火水木金土",WEEKDAY(INDEX('01_予約入力'!$G$5:$G$404,$AQ44)),1)&amp;")"&amp;" "&amp;INDEX('01_予約入力'!$AD$5:$AD$404,$AQ44))</f>
        <v/>
      </c>
      <c r="J44" s="121" t="n"/>
      <c r="K44" s="121" t="n"/>
      <c r="L44" s="121" t="n"/>
      <c r="M44" s="121" t="n"/>
      <c r="N44" s="122" t="n"/>
      <c r="O44" s="46">
        <f>IF($AQ44=0,"",MONTH(INDEX('01_予約入力'!$J$5:$J$404,$AQ44))&amp;"/"&amp;DAY(INDEX('01_予約入力'!$J$5:$J$404,$AQ44))&amp;"("&amp;MID("日月火水木金土",WEEKDAY(INDEX('01_予約入力'!$J$5:$J$404,$AQ44)),1)&amp;")"&amp;" "&amp;INDEX('01_予約入力'!$AE$5:$AE$404,$AQ44))</f>
        <v/>
      </c>
      <c r="P44" s="121" t="n"/>
      <c r="Q44" s="121" t="n"/>
      <c r="R44" s="121" t="n"/>
      <c r="S44" s="121" t="n"/>
      <c r="T44" s="122" t="n"/>
      <c r="U44" s="47">
        <f>IF($AQ44=0,"",IF(INDEX('01_予約入力'!$J$5:$J$404,$AQ44)=INDEX('01_予約入力'!$G$5:$G$404,$AQ44),"日帰り",INDEX('01_予約入力'!$J$5:$J$404,$AQ44)-INDEX('01_予約入力'!$G$5:$G$404,$AQ44)&amp;"泊"))</f>
        <v/>
      </c>
      <c r="V44" s="121" t="n"/>
      <c r="W44" s="122" t="n"/>
      <c r="X44" s="47">
        <f>IF($AQ44=0,"",IF(AND(INDEX('01_予約入力'!$L$5:$L$404,$AQ44)="",INDEX('01_予約入力'!$M$5:$M$404,$AQ44)="",INDEX('01_予約入力'!$N$5:$N$404,$AQ44)=""),"標準","朝"&amp;IF(INDEX('01_予約入力'!$L$5:$L$404,$AQ44)="","−",INDEX('01_予約入力'!$L$5:$L$404,$AQ44))&amp;" 昼"&amp;IF(INDEX('01_予約入力'!$M$5:$M$404,$AQ44)="","−",INDEX('01_予約入力'!$M$5:$M$404,$AQ44))&amp;" 夕"&amp;IF(INDEX('01_予約入力'!$N$5:$N$404,$AQ44)="","−",INDEX('01_予約入力'!$N$5:$N$404,$AQ44))))</f>
        <v/>
      </c>
      <c r="Y44" s="121" t="n"/>
      <c r="Z44" s="121" t="n"/>
      <c r="AA44" s="122" t="n"/>
      <c r="AB44" s="47">
        <f>IF($AQ44=0,"",IF(INDEX('01_予約入力'!$Q$5:$Q$404,$AQ44)="","確定",INDEX('01_予約入力'!$Q$5:$Q$404,$AQ44)))</f>
        <v/>
      </c>
      <c r="AC44" s="121" t="n"/>
      <c r="AD44" s="122" t="n"/>
      <c r="AE44" s="46">
        <f>IF($AQ44=0,"",INDEX('01_予約入力'!$V$5:$V$404,$AQ44))</f>
        <v/>
      </c>
      <c r="AF44" s="121" t="n"/>
      <c r="AG44" s="122" t="n"/>
      <c r="AP44">
        <f>IFERROR(SMALL('01_予約入力'!$AC$5:$AC$404,12),"")</f>
        <v/>
      </c>
      <c r="AQ44">
        <f>IF($AP44="",0,IFERROR(MATCH($AP44,'01_予約入力'!$AC$5:$AC$404,0),0))</f>
        <v/>
      </c>
    </row>
    <row r="45">
      <c r="A45" s="46">
        <f>IF($AQ45=0,"",INDEX('01_予約入力'!$B$5:$B$404,$AQ45))</f>
        <v/>
      </c>
      <c r="B45" s="47">
        <f>IF($AQ45=0,"",IF(INDEX('01_予約入力'!$D$5:$D$404,$AQ45)="","⚠未選択",INDEX('01_予約入力'!$D$5:$D$404,$AQ45)))</f>
        <v/>
      </c>
      <c r="C45" s="121" t="n"/>
      <c r="D45" s="121" t="n"/>
      <c r="E45" s="122" t="n"/>
      <c r="F45" s="47">
        <f>IF($AQ45=0,"",INDEX('01_予約入力'!$C$5:$C$404,$AQ45))</f>
        <v/>
      </c>
      <c r="G45" s="121" t="n"/>
      <c r="H45" s="122" t="n"/>
      <c r="I45" s="46">
        <f>IF($AQ45=0,"",MONTH(INDEX('01_予約入力'!$G$5:$G$404,$AQ45))&amp;"/"&amp;DAY(INDEX('01_予約入力'!$G$5:$G$404,$AQ45))&amp;"("&amp;MID("日月火水木金土",WEEKDAY(INDEX('01_予約入力'!$G$5:$G$404,$AQ45)),1)&amp;")"&amp;" "&amp;INDEX('01_予約入力'!$AD$5:$AD$404,$AQ45))</f>
        <v/>
      </c>
      <c r="J45" s="121" t="n"/>
      <c r="K45" s="121" t="n"/>
      <c r="L45" s="121" t="n"/>
      <c r="M45" s="121" t="n"/>
      <c r="N45" s="122" t="n"/>
      <c r="O45" s="46">
        <f>IF($AQ45=0,"",MONTH(INDEX('01_予約入力'!$J$5:$J$404,$AQ45))&amp;"/"&amp;DAY(INDEX('01_予約入力'!$J$5:$J$404,$AQ45))&amp;"("&amp;MID("日月火水木金土",WEEKDAY(INDEX('01_予約入力'!$J$5:$J$404,$AQ45)),1)&amp;")"&amp;" "&amp;INDEX('01_予約入力'!$AE$5:$AE$404,$AQ45))</f>
        <v/>
      </c>
      <c r="P45" s="121" t="n"/>
      <c r="Q45" s="121" t="n"/>
      <c r="R45" s="121" t="n"/>
      <c r="S45" s="121" t="n"/>
      <c r="T45" s="122" t="n"/>
      <c r="U45" s="47">
        <f>IF($AQ45=0,"",IF(INDEX('01_予約入力'!$J$5:$J$404,$AQ45)=INDEX('01_予約入力'!$G$5:$G$404,$AQ45),"日帰り",INDEX('01_予約入力'!$J$5:$J$404,$AQ45)-INDEX('01_予約入力'!$G$5:$G$404,$AQ45)&amp;"泊"))</f>
        <v/>
      </c>
      <c r="V45" s="121" t="n"/>
      <c r="W45" s="122" t="n"/>
      <c r="X45" s="47">
        <f>IF($AQ45=0,"",IF(AND(INDEX('01_予約入力'!$L$5:$L$404,$AQ45)="",INDEX('01_予約入力'!$M$5:$M$404,$AQ45)="",INDEX('01_予約入力'!$N$5:$N$404,$AQ45)=""),"標準","朝"&amp;IF(INDEX('01_予約入力'!$L$5:$L$404,$AQ45)="","−",INDEX('01_予約入力'!$L$5:$L$404,$AQ45))&amp;" 昼"&amp;IF(INDEX('01_予約入力'!$M$5:$M$404,$AQ45)="","−",INDEX('01_予約入力'!$M$5:$M$404,$AQ45))&amp;" 夕"&amp;IF(INDEX('01_予約入力'!$N$5:$N$404,$AQ45)="","−",INDEX('01_予約入力'!$N$5:$N$404,$AQ45))))</f>
        <v/>
      </c>
      <c r="Y45" s="121" t="n"/>
      <c r="Z45" s="121" t="n"/>
      <c r="AA45" s="122" t="n"/>
      <c r="AB45" s="47">
        <f>IF($AQ45=0,"",IF(INDEX('01_予約入力'!$Q$5:$Q$404,$AQ45)="","確定",INDEX('01_予約入力'!$Q$5:$Q$404,$AQ45)))</f>
        <v/>
      </c>
      <c r="AC45" s="121" t="n"/>
      <c r="AD45" s="122" t="n"/>
      <c r="AE45" s="46">
        <f>IF($AQ45=0,"",INDEX('01_予約入力'!$V$5:$V$404,$AQ45))</f>
        <v/>
      </c>
      <c r="AF45" s="121" t="n"/>
      <c r="AG45" s="122" t="n"/>
      <c r="AP45">
        <f>IFERROR(SMALL('01_予約入力'!$AC$5:$AC$404,13),"")</f>
        <v/>
      </c>
      <c r="AQ45">
        <f>IF($AP45="",0,IFERROR(MATCH($AP45,'01_予約入力'!$AC$5:$AC$404,0),0))</f>
        <v/>
      </c>
    </row>
    <row r="46">
      <c r="A46" s="46">
        <f>IF($AQ46=0,"",INDEX('01_予約入力'!$B$5:$B$404,$AQ46))</f>
        <v/>
      </c>
      <c r="B46" s="47">
        <f>IF($AQ46=0,"",IF(INDEX('01_予約入力'!$D$5:$D$404,$AQ46)="","⚠未選択",INDEX('01_予約入力'!$D$5:$D$404,$AQ46)))</f>
        <v/>
      </c>
      <c r="C46" s="121" t="n"/>
      <c r="D46" s="121" t="n"/>
      <c r="E46" s="122" t="n"/>
      <c r="F46" s="47">
        <f>IF($AQ46=0,"",INDEX('01_予約入力'!$C$5:$C$404,$AQ46))</f>
        <v/>
      </c>
      <c r="G46" s="121" t="n"/>
      <c r="H46" s="122" t="n"/>
      <c r="I46" s="46">
        <f>IF($AQ46=0,"",MONTH(INDEX('01_予約入力'!$G$5:$G$404,$AQ46))&amp;"/"&amp;DAY(INDEX('01_予約入力'!$G$5:$G$404,$AQ46))&amp;"("&amp;MID("日月火水木金土",WEEKDAY(INDEX('01_予約入力'!$G$5:$G$404,$AQ46)),1)&amp;")"&amp;" "&amp;INDEX('01_予約入力'!$AD$5:$AD$404,$AQ46))</f>
        <v/>
      </c>
      <c r="J46" s="121" t="n"/>
      <c r="K46" s="121" t="n"/>
      <c r="L46" s="121" t="n"/>
      <c r="M46" s="121" t="n"/>
      <c r="N46" s="122" t="n"/>
      <c r="O46" s="46">
        <f>IF($AQ46=0,"",MONTH(INDEX('01_予約入力'!$J$5:$J$404,$AQ46))&amp;"/"&amp;DAY(INDEX('01_予約入力'!$J$5:$J$404,$AQ46))&amp;"("&amp;MID("日月火水木金土",WEEKDAY(INDEX('01_予約入力'!$J$5:$J$404,$AQ46)),1)&amp;")"&amp;" "&amp;INDEX('01_予約入力'!$AE$5:$AE$404,$AQ46))</f>
        <v/>
      </c>
      <c r="P46" s="121" t="n"/>
      <c r="Q46" s="121" t="n"/>
      <c r="R46" s="121" t="n"/>
      <c r="S46" s="121" t="n"/>
      <c r="T46" s="122" t="n"/>
      <c r="U46" s="47">
        <f>IF($AQ46=0,"",IF(INDEX('01_予約入力'!$J$5:$J$404,$AQ46)=INDEX('01_予約入力'!$G$5:$G$404,$AQ46),"日帰り",INDEX('01_予約入力'!$J$5:$J$404,$AQ46)-INDEX('01_予約入力'!$G$5:$G$404,$AQ46)&amp;"泊"))</f>
        <v/>
      </c>
      <c r="V46" s="121" t="n"/>
      <c r="W46" s="122" t="n"/>
      <c r="X46" s="47">
        <f>IF($AQ46=0,"",IF(AND(INDEX('01_予約入力'!$L$5:$L$404,$AQ46)="",INDEX('01_予約入力'!$M$5:$M$404,$AQ46)="",INDEX('01_予約入力'!$N$5:$N$404,$AQ46)=""),"標準","朝"&amp;IF(INDEX('01_予約入力'!$L$5:$L$404,$AQ46)="","−",INDEX('01_予約入力'!$L$5:$L$404,$AQ46))&amp;" 昼"&amp;IF(INDEX('01_予約入力'!$M$5:$M$404,$AQ46)="","−",INDEX('01_予約入力'!$M$5:$M$404,$AQ46))&amp;" 夕"&amp;IF(INDEX('01_予約入力'!$N$5:$N$404,$AQ46)="","−",INDEX('01_予約入力'!$N$5:$N$404,$AQ46))))</f>
        <v/>
      </c>
      <c r="Y46" s="121" t="n"/>
      <c r="Z46" s="121" t="n"/>
      <c r="AA46" s="122" t="n"/>
      <c r="AB46" s="47">
        <f>IF($AQ46=0,"",IF(INDEX('01_予約入力'!$Q$5:$Q$404,$AQ46)="","確定",INDEX('01_予約入力'!$Q$5:$Q$404,$AQ46)))</f>
        <v/>
      </c>
      <c r="AC46" s="121" t="n"/>
      <c r="AD46" s="122" t="n"/>
      <c r="AE46" s="46">
        <f>IF($AQ46=0,"",INDEX('01_予約入力'!$V$5:$V$404,$AQ46))</f>
        <v/>
      </c>
      <c r="AF46" s="121" t="n"/>
      <c r="AG46" s="122" t="n"/>
      <c r="AP46">
        <f>IFERROR(SMALL('01_予約入力'!$AC$5:$AC$404,14),"")</f>
        <v/>
      </c>
      <c r="AQ46">
        <f>IF($AP46="",0,IFERROR(MATCH($AP46,'01_予約入力'!$AC$5:$AC$404,0),0))</f>
        <v/>
      </c>
    </row>
    <row r="47">
      <c r="A47" s="46">
        <f>IF($AQ47=0,"",INDEX('01_予約入力'!$B$5:$B$404,$AQ47))</f>
        <v/>
      </c>
      <c r="B47" s="47">
        <f>IF($AQ47=0,"",IF(INDEX('01_予約入力'!$D$5:$D$404,$AQ47)="","⚠未選択",INDEX('01_予約入力'!$D$5:$D$404,$AQ47)))</f>
        <v/>
      </c>
      <c r="C47" s="121" t="n"/>
      <c r="D47" s="121" t="n"/>
      <c r="E47" s="122" t="n"/>
      <c r="F47" s="47">
        <f>IF($AQ47=0,"",INDEX('01_予約入力'!$C$5:$C$404,$AQ47))</f>
        <v/>
      </c>
      <c r="G47" s="121" t="n"/>
      <c r="H47" s="122" t="n"/>
      <c r="I47" s="46">
        <f>IF($AQ47=0,"",MONTH(INDEX('01_予約入力'!$G$5:$G$404,$AQ47))&amp;"/"&amp;DAY(INDEX('01_予約入力'!$G$5:$G$404,$AQ47))&amp;"("&amp;MID("日月火水木金土",WEEKDAY(INDEX('01_予約入力'!$G$5:$G$404,$AQ47)),1)&amp;")"&amp;" "&amp;INDEX('01_予約入力'!$AD$5:$AD$404,$AQ47))</f>
        <v/>
      </c>
      <c r="J47" s="121" t="n"/>
      <c r="K47" s="121" t="n"/>
      <c r="L47" s="121" t="n"/>
      <c r="M47" s="121" t="n"/>
      <c r="N47" s="122" t="n"/>
      <c r="O47" s="46">
        <f>IF($AQ47=0,"",MONTH(INDEX('01_予約入力'!$J$5:$J$404,$AQ47))&amp;"/"&amp;DAY(INDEX('01_予約入力'!$J$5:$J$404,$AQ47))&amp;"("&amp;MID("日月火水木金土",WEEKDAY(INDEX('01_予約入力'!$J$5:$J$404,$AQ47)),1)&amp;")"&amp;" "&amp;INDEX('01_予約入力'!$AE$5:$AE$404,$AQ47))</f>
        <v/>
      </c>
      <c r="P47" s="121" t="n"/>
      <c r="Q47" s="121" t="n"/>
      <c r="R47" s="121" t="n"/>
      <c r="S47" s="121" t="n"/>
      <c r="T47" s="122" t="n"/>
      <c r="U47" s="47">
        <f>IF($AQ47=0,"",IF(INDEX('01_予約入力'!$J$5:$J$404,$AQ47)=INDEX('01_予約入力'!$G$5:$G$404,$AQ47),"日帰り",INDEX('01_予約入力'!$J$5:$J$404,$AQ47)-INDEX('01_予約入力'!$G$5:$G$404,$AQ47)&amp;"泊"))</f>
        <v/>
      </c>
      <c r="V47" s="121" t="n"/>
      <c r="W47" s="122" t="n"/>
      <c r="X47" s="47">
        <f>IF($AQ47=0,"",IF(AND(INDEX('01_予約入力'!$L$5:$L$404,$AQ47)="",INDEX('01_予約入力'!$M$5:$M$404,$AQ47)="",INDEX('01_予約入力'!$N$5:$N$404,$AQ47)=""),"標準","朝"&amp;IF(INDEX('01_予約入力'!$L$5:$L$404,$AQ47)="","−",INDEX('01_予約入力'!$L$5:$L$404,$AQ47))&amp;" 昼"&amp;IF(INDEX('01_予約入力'!$M$5:$M$404,$AQ47)="","−",INDEX('01_予約入力'!$M$5:$M$404,$AQ47))&amp;" 夕"&amp;IF(INDEX('01_予約入力'!$N$5:$N$404,$AQ47)="","−",INDEX('01_予約入力'!$N$5:$N$404,$AQ47))))</f>
        <v/>
      </c>
      <c r="Y47" s="121" t="n"/>
      <c r="Z47" s="121" t="n"/>
      <c r="AA47" s="122" t="n"/>
      <c r="AB47" s="47">
        <f>IF($AQ47=0,"",IF(INDEX('01_予約入力'!$Q$5:$Q$404,$AQ47)="","確定",INDEX('01_予約入力'!$Q$5:$Q$404,$AQ47)))</f>
        <v/>
      </c>
      <c r="AC47" s="121" t="n"/>
      <c r="AD47" s="122" t="n"/>
      <c r="AE47" s="46">
        <f>IF($AQ47=0,"",INDEX('01_予約入力'!$V$5:$V$404,$AQ47))</f>
        <v/>
      </c>
      <c r="AF47" s="121" t="n"/>
      <c r="AG47" s="122" t="n"/>
      <c r="AP47">
        <f>IFERROR(SMALL('01_予約入力'!$AC$5:$AC$404,15),"")</f>
        <v/>
      </c>
      <c r="AQ47">
        <f>IF($AP47="",0,IFERROR(MATCH($AP47,'01_予約入力'!$AC$5:$AC$404,0),0))</f>
        <v/>
      </c>
    </row>
    <row r="48">
      <c r="A48" s="46">
        <f>IF($AQ48=0,"",INDEX('01_予約入力'!$B$5:$B$404,$AQ48))</f>
        <v/>
      </c>
      <c r="B48" s="47">
        <f>IF($AQ48=0,"",IF(INDEX('01_予約入力'!$D$5:$D$404,$AQ48)="","⚠未選択",INDEX('01_予約入力'!$D$5:$D$404,$AQ48)))</f>
        <v/>
      </c>
      <c r="C48" s="121" t="n"/>
      <c r="D48" s="121" t="n"/>
      <c r="E48" s="122" t="n"/>
      <c r="F48" s="47">
        <f>IF($AQ48=0,"",INDEX('01_予約入力'!$C$5:$C$404,$AQ48))</f>
        <v/>
      </c>
      <c r="G48" s="121" t="n"/>
      <c r="H48" s="122" t="n"/>
      <c r="I48" s="46">
        <f>IF($AQ48=0,"",MONTH(INDEX('01_予約入力'!$G$5:$G$404,$AQ48))&amp;"/"&amp;DAY(INDEX('01_予約入力'!$G$5:$G$404,$AQ48))&amp;"("&amp;MID("日月火水木金土",WEEKDAY(INDEX('01_予約入力'!$G$5:$G$404,$AQ48)),1)&amp;")"&amp;" "&amp;INDEX('01_予約入力'!$AD$5:$AD$404,$AQ48))</f>
        <v/>
      </c>
      <c r="J48" s="121" t="n"/>
      <c r="K48" s="121" t="n"/>
      <c r="L48" s="121" t="n"/>
      <c r="M48" s="121" t="n"/>
      <c r="N48" s="122" t="n"/>
      <c r="O48" s="46">
        <f>IF($AQ48=0,"",MONTH(INDEX('01_予約入力'!$J$5:$J$404,$AQ48))&amp;"/"&amp;DAY(INDEX('01_予約入力'!$J$5:$J$404,$AQ48))&amp;"("&amp;MID("日月火水木金土",WEEKDAY(INDEX('01_予約入力'!$J$5:$J$404,$AQ48)),1)&amp;")"&amp;" "&amp;INDEX('01_予約入力'!$AE$5:$AE$404,$AQ48))</f>
        <v/>
      </c>
      <c r="P48" s="121" t="n"/>
      <c r="Q48" s="121" t="n"/>
      <c r="R48" s="121" t="n"/>
      <c r="S48" s="121" t="n"/>
      <c r="T48" s="122" t="n"/>
      <c r="U48" s="47">
        <f>IF($AQ48=0,"",IF(INDEX('01_予約入力'!$J$5:$J$404,$AQ48)=INDEX('01_予約入力'!$G$5:$G$404,$AQ48),"日帰り",INDEX('01_予約入力'!$J$5:$J$404,$AQ48)-INDEX('01_予約入力'!$G$5:$G$404,$AQ48)&amp;"泊"))</f>
        <v/>
      </c>
      <c r="V48" s="121" t="n"/>
      <c r="W48" s="122" t="n"/>
      <c r="X48" s="47">
        <f>IF($AQ48=0,"",IF(AND(INDEX('01_予約入力'!$L$5:$L$404,$AQ48)="",INDEX('01_予約入力'!$M$5:$M$404,$AQ48)="",INDEX('01_予約入力'!$N$5:$N$404,$AQ48)=""),"標準","朝"&amp;IF(INDEX('01_予約入力'!$L$5:$L$404,$AQ48)="","−",INDEX('01_予約入力'!$L$5:$L$404,$AQ48))&amp;" 昼"&amp;IF(INDEX('01_予約入力'!$M$5:$M$404,$AQ48)="","−",INDEX('01_予約入力'!$M$5:$M$404,$AQ48))&amp;" 夕"&amp;IF(INDEX('01_予約入力'!$N$5:$N$404,$AQ48)="","−",INDEX('01_予約入力'!$N$5:$N$404,$AQ48))))</f>
        <v/>
      </c>
      <c r="Y48" s="121" t="n"/>
      <c r="Z48" s="121" t="n"/>
      <c r="AA48" s="122" t="n"/>
      <c r="AB48" s="47">
        <f>IF($AQ48=0,"",IF(INDEX('01_予約入力'!$Q$5:$Q$404,$AQ48)="","確定",INDEX('01_予約入力'!$Q$5:$Q$404,$AQ48)))</f>
        <v/>
      </c>
      <c r="AC48" s="121" t="n"/>
      <c r="AD48" s="122" t="n"/>
      <c r="AE48" s="46">
        <f>IF($AQ48=0,"",INDEX('01_予約入力'!$V$5:$V$404,$AQ48))</f>
        <v/>
      </c>
      <c r="AF48" s="121" t="n"/>
      <c r="AG48" s="122" t="n"/>
      <c r="AP48">
        <f>IFERROR(SMALL('01_予約入力'!$AC$5:$AC$404,16),"")</f>
        <v/>
      </c>
      <c r="AQ48">
        <f>IF($AP48="",0,IFERROR(MATCH($AP48,'01_予約入力'!$AC$5:$AC$404,0),0))</f>
        <v/>
      </c>
    </row>
    <row r="49">
      <c r="A49" s="46">
        <f>IF($AQ49=0,"",INDEX('01_予約入力'!$B$5:$B$404,$AQ49))</f>
        <v/>
      </c>
      <c r="B49" s="47">
        <f>IF($AQ49=0,"",IF(INDEX('01_予約入力'!$D$5:$D$404,$AQ49)="","⚠未選択",INDEX('01_予約入力'!$D$5:$D$404,$AQ49)))</f>
        <v/>
      </c>
      <c r="C49" s="121" t="n"/>
      <c r="D49" s="121" t="n"/>
      <c r="E49" s="122" t="n"/>
      <c r="F49" s="47">
        <f>IF($AQ49=0,"",INDEX('01_予約入力'!$C$5:$C$404,$AQ49))</f>
        <v/>
      </c>
      <c r="G49" s="121" t="n"/>
      <c r="H49" s="122" t="n"/>
      <c r="I49" s="46">
        <f>IF($AQ49=0,"",MONTH(INDEX('01_予約入力'!$G$5:$G$404,$AQ49))&amp;"/"&amp;DAY(INDEX('01_予約入力'!$G$5:$G$404,$AQ49))&amp;"("&amp;MID("日月火水木金土",WEEKDAY(INDEX('01_予約入力'!$G$5:$G$404,$AQ49)),1)&amp;")"&amp;" "&amp;INDEX('01_予約入力'!$AD$5:$AD$404,$AQ49))</f>
        <v/>
      </c>
      <c r="J49" s="121" t="n"/>
      <c r="K49" s="121" t="n"/>
      <c r="L49" s="121" t="n"/>
      <c r="M49" s="121" t="n"/>
      <c r="N49" s="122" t="n"/>
      <c r="O49" s="46">
        <f>IF($AQ49=0,"",MONTH(INDEX('01_予約入力'!$J$5:$J$404,$AQ49))&amp;"/"&amp;DAY(INDEX('01_予約入力'!$J$5:$J$404,$AQ49))&amp;"("&amp;MID("日月火水木金土",WEEKDAY(INDEX('01_予約入力'!$J$5:$J$404,$AQ49)),1)&amp;")"&amp;" "&amp;INDEX('01_予約入力'!$AE$5:$AE$404,$AQ49))</f>
        <v/>
      </c>
      <c r="P49" s="121" t="n"/>
      <c r="Q49" s="121" t="n"/>
      <c r="R49" s="121" t="n"/>
      <c r="S49" s="121" t="n"/>
      <c r="T49" s="122" t="n"/>
      <c r="U49" s="47">
        <f>IF($AQ49=0,"",IF(INDEX('01_予約入力'!$J$5:$J$404,$AQ49)=INDEX('01_予約入力'!$G$5:$G$404,$AQ49),"日帰り",INDEX('01_予約入力'!$J$5:$J$404,$AQ49)-INDEX('01_予約入力'!$G$5:$G$404,$AQ49)&amp;"泊"))</f>
        <v/>
      </c>
      <c r="V49" s="121" t="n"/>
      <c r="W49" s="122" t="n"/>
      <c r="X49" s="47">
        <f>IF($AQ49=0,"",IF(AND(INDEX('01_予約入力'!$L$5:$L$404,$AQ49)="",INDEX('01_予約入力'!$M$5:$M$404,$AQ49)="",INDEX('01_予約入力'!$N$5:$N$404,$AQ49)=""),"標準","朝"&amp;IF(INDEX('01_予約入力'!$L$5:$L$404,$AQ49)="","−",INDEX('01_予約入力'!$L$5:$L$404,$AQ49))&amp;" 昼"&amp;IF(INDEX('01_予約入力'!$M$5:$M$404,$AQ49)="","−",INDEX('01_予約入力'!$M$5:$M$404,$AQ49))&amp;" 夕"&amp;IF(INDEX('01_予約入力'!$N$5:$N$404,$AQ49)="","−",INDEX('01_予約入力'!$N$5:$N$404,$AQ49))))</f>
        <v/>
      </c>
      <c r="Y49" s="121" t="n"/>
      <c r="Z49" s="121" t="n"/>
      <c r="AA49" s="122" t="n"/>
      <c r="AB49" s="47">
        <f>IF($AQ49=0,"",IF(INDEX('01_予約入力'!$Q$5:$Q$404,$AQ49)="","確定",INDEX('01_予約入力'!$Q$5:$Q$404,$AQ49)))</f>
        <v/>
      </c>
      <c r="AC49" s="121" t="n"/>
      <c r="AD49" s="122" t="n"/>
      <c r="AE49" s="46">
        <f>IF($AQ49=0,"",INDEX('01_予約入力'!$V$5:$V$404,$AQ49))</f>
        <v/>
      </c>
      <c r="AF49" s="121" t="n"/>
      <c r="AG49" s="122" t="n"/>
      <c r="AP49">
        <f>IFERROR(SMALL('01_予約入力'!$AC$5:$AC$404,17),"")</f>
        <v/>
      </c>
      <c r="AQ49">
        <f>IF($AP49="",0,IFERROR(MATCH($AP49,'01_予約入力'!$AC$5:$AC$404,0),0))</f>
        <v/>
      </c>
    </row>
    <row r="50">
      <c r="A50" s="46">
        <f>IF($AQ50=0,"",INDEX('01_予約入力'!$B$5:$B$404,$AQ50))</f>
        <v/>
      </c>
      <c r="B50" s="47">
        <f>IF($AQ50=0,"",IF(INDEX('01_予約入力'!$D$5:$D$404,$AQ50)="","⚠未選択",INDEX('01_予約入力'!$D$5:$D$404,$AQ50)))</f>
        <v/>
      </c>
      <c r="C50" s="121" t="n"/>
      <c r="D50" s="121" t="n"/>
      <c r="E50" s="122" t="n"/>
      <c r="F50" s="47">
        <f>IF($AQ50=0,"",INDEX('01_予約入力'!$C$5:$C$404,$AQ50))</f>
        <v/>
      </c>
      <c r="G50" s="121" t="n"/>
      <c r="H50" s="122" t="n"/>
      <c r="I50" s="46">
        <f>IF($AQ50=0,"",MONTH(INDEX('01_予約入力'!$G$5:$G$404,$AQ50))&amp;"/"&amp;DAY(INDEX('01_予約入力'!$G$5:$G$404,$AQ50))&amp;"("&amp;MID("日月火水木金土",WEEKDAY(INDEX('01_予約入力'!$G$5:$G$404,$AQ50)),1)&amp;")"&amp;" "&amp;INDEX('01_予約入力'!$AD$5:$AD$404,$AQ50))</f>
        <v/>
      </c>
      <c r="J50" s="121" t="n"/>
      <c r="K50" s="121" t="n"/>
      <c r="L50" s="121" t="n"/>
      <c r="M50" s="121" t="n"/>
      <c r="N50" s="122" t="n"/>
      <c r="O50" s="46">
        <f>IF($AQ50=0,"",MONTH(INDEX('01_予約入力'!$J$5:$J$404,$AQ50))&amp;"/"&amp;DAY(INDEX('01_予約入力'!$J$5:$J$404,$AQ50))&amp;"("&amp;MID("日月火水木金土",WEEKDAY(INDEX('01_予約入力'!$J$5:$J$404,$AQ50)),1)&amp;")"&amp;" "&amp;INDEX('01_予約入力'!$AE$5:$AE$404,$AQ50))</f>
        <v/>
      </c>
      <c r="P50" s="121" t="n"/>
      <c r="Q50" s="121" t="n"/>
      <c r="R50" s="121" t="n"/>
      <c r="S50" s="121" t="n"/>
      <c r="T50" s="122" t="n"/>
      <c r="U50" s="47">
        <f>IF($AQ50=0,"",IF(INDEX('01_予約入力'!$J$5:$J$404,$AQ50)=INDEX('01_予約入力'!$G$5:$G$404,$AQ50),"日帰り",INDEX('01_予約入力'!$J$5:$J$404,$AQ50)-INDEX('01_予約入力'!$G$5:$G$404,$AQ50)&amp;"泊"))</f>
        <v/>
      </c>
      <c r="V50" s="121" t="n"/>
      <c r="W50" s="122" t="n"/>
      <c r="X50" s="47">
        <f>IF($AQ50=0,"",IF(AND(INDEX('01_予約入力'!$L$5:$L$404,$AQ50)="",INDEX('01_予約入力'!$M$5:$M$404,$AQ50)="",INDEX('01_予約入力'!$N$5:$N$404,$AQ50)=""),"標準","朝"&amp;IF(INDEX('01_予約入力'!$L$5:$L$404,$AQ50)="","−",INDEX('01_予約入力'!$L$5:$L$404,$AQ50))&amp;" 昼"&amp;IF(INDEX('01_予約入力'!$M$5:$M$404,$AQ50)="","−",INDEX('01_予約入力'!$M$5:$M$404,$AQ50))&amp;" 夕"&amp;IF(INDEX('01_予約入力'!$N$5:$N$404,$AQ50)="","−",INDEX('01_予約入力'!$N$5:$N$404,$AQ50))))</f>
        <v/>
      </c>
      <c r="Y50" s="121" t="n"/>
      <c r="Z50" s="121" t="n"/>
      <c r="AA50" s="122" t="n"/>
      <c r="AB50" s="47">
        <f>IF($AQ50=0,"",IF(INDEX('01_予約入力'!$Q$5:$Q$404,$AQ50)="","確定",INDEX('01_予約入力'!$Q$5:$Q$404,$AQ50)))</f>
        <v/>
      </c>
      <c r="AC50" s="121" t="n"/>
      <c r="AD50" s="122" t="n"/>
      <c r="AE50" s="46">
        <f>IF($AQ50=0,"",INDEX('01_予約入力'!$V$5:$V$404,$AQ50))</f>
        <v/>
      </c>
      <c r="AF50" s="121" t="n"/>
      <c r="AG50" s="122" t="n"/>
      <c r="AP50">
        <f>IFERROR(SMALL('01_予約入力'!$AC$5:$AC$404,18),"")</f>
        <v/>
      </c>
      <c r="AQ50">
        <f>IF($AP50="",0,IFERROR(MATCH($AP50,'01_予約入力'!$AC$5:$AC$404,0),0))</f>
        <v/>
      </c>
    </row>
    <row r="51">
      <c r="A51" s="46">
        <f>IF($AQ51=0,"",INDEX('01_予約入力'!$B$5:$B$404,$AQ51))</f>
        <v/>
      </c>
      <c r="B51" s="47">
        <f>IF($AQ51=0,"",IF(INDEX('01_予約入力'!$D$5:$D$404,$AQ51)="","⚠未選択",INDEX('01_予約入力'!$D$5:$D$404,$AQ51)))</f>
        <v/>
      </c>
      <c r="C51" s="121" t="n"/>
      <c r="D51" s="121" t="n"/>
      <c r="E51" s="122" t="n"/>
      <c r="F51" s="47">
        <f>IF($AQ51=0,"",INDEX('01_予約入力'!$C$5:$C$404,$AQ51))</f>
        <v/>
      </c>
      <c r="G51" s="121" t="n"/>
      <c r="H51" s="122" t="n"/>
      <c r="I51" s="46">
        <f>IF($AQ51=0,"",MONTH(INDEX('01_予約入力'!$G$5:$G$404,$AQ51))&amp;"/"&amp;DAY(INDEX('01_予約入力'!$G$5:$G$404,$AQ51))&amp;"("&amp;MID("日月火水木金土",WEEKDAY(INDEX('01_予約入力'!$G$5:$G$404,$AQ51)),1)&amp;")"&amp;" "&amp;INDEX('01_予約入力'!$AD$5:$AD$404,$AQ51))</f>
        <v/>
      </c>
      <c r="J51" s="121" t="n"/>
      <c r="K51" s="121" t="n"/>
      <c r="L51" s="121" t="n"/>
      <c r="M51" s="121" t="n"/>
      <c r="N51" s="122" t="n"/>
      <c r="O51" s="46">
        <f>IF($AQ51=0,"",MONTH(INDEX('01_予約入力'!$J$5:$J$404,$AQ51))&amp;"/"&amp;DAY(INDEX('01_予約入力'!$J$5:$J$404,$AQ51))&amp;"("&amp;MID("日月火水木金土",WEEKDAY(INDEX('01_予約入力'!$J$5:$J$404,$AQ51)),1)&amp;")"&amp;" "&amp;INDEX('01_予約入力'!$AE$5:$AE$404,$AQ51))</f>
        <v/>
      </c>
      <c r="P51" s="121" t="n"/>
      <c r="Q51" s="121" t="n"/>
      <c r="R51" s="121" t="n"/>
      <c r="S51" s="121" t="n"/>
      <c r="T51" s="122" t="n"/>
      <c r="U51" s="47">
        <f>IF($AQ51=0,"",IF(INDEX('01_予約入力'!$J$5:$J$404,$AQ51)=INDEX('01_予約入力'!$G$5:$G$404,$AQ51),"日帰り",INDEX('01_予約入力'!$J$5:$J$404,$AQ51)-INDEX('01_予約入力'!$G$5:$G$404,$AQ51)&amp;"泊"))</f>
        <v/>
      </c>
      <c r="V51" s="121" t="n"/>
      <c r="W51" s="122" t="n"/>
      <c r="X51" s="47">
        <f>IF($AQ51=0,"",IF(AND(INDEX('01_予約入力'!$L$5:$L$404,$AQ51)="",INDEX('01_予約入力'!$M$5:$M$404,$AQ51)="",INDEX('01_予約入力'!$N$5:$N$404,$AQ51)=""),"標準","朝"&amp;IF(INDEX('01_予約入力'!$L$5:$L$404,$AQ51)="","−",INDEX('01_予約入力'!$L$5:$L$404,$AQ51))&amp;" 昼"&amp;IF(INDEX('01_予約入力'!$M$5:$M$404,$AQ51)="","−",INDEX('01_予約入力'!$M$5:$M$404,$AQ51))&amp;" 夕"&amp;IF(INDEX('01_予約入力'!$N$5:$N$404,$AQ51)="","−",INDEX('01_予約入力'!$N$5:$N$404,$AQ51))))</f>
        <v/>
      </c>
      <c r="Y51" s="121" t="n"/>
      <c r="Z51" s="121" t="n"/>
      <c r="AA51" s="122" t="n"/>
      <c r="AB51" s="47">
        <f>IF($AQ51=0,"",IF(INDEX('01_予約入力'!$Q$5:$Q$404,$AQ51)="","確定",INDEX('01_予約入力'!$Q$5:$Q$404,$AQ51)))</f>
        <v/>
      </c>
      <c r="AC51" s="121" t="n"/>
      <c r="AD51" s="122" t="n"/>
      <c r="AE51" s="46">
        <f>IF($AQ51=0,"",INDEX('01_予約入力'!$V$5:$V$404,$AQ51))</f>
        <v/>
      </c>
      <c r="AF51" s="121" t="n"/>
      <c r="AG51" s="122" t="n"/>
      <c r="AP51">
        <f>IFERROR(SMALL('01_予約入力'!$AC$5:$AC$404,19),"")</f>
        <v/>
      </c>
      <c r="AQ51">
        <f>IF($AP51="",0,IFERROR(MATCH($AP51,'01_予約入力'!$AC$5:$AC$404,0),0))</f>
        <v/>
      </c>
    </row>
    <row r="52">
      <c r="A52" s="46">
        <f>IF($AQ52=0,"",INDEX('01_予約入力'!$B$5:$B$404,$AQ52))</f>
        <v/>
      </c>
      <c r="B52" s="47">
        <f>IF($AQ52=0,"",IF(INDEX('01_予約入力'!$D$5:$D$404,$AQ52)="","⚠未選択",INDEX('01_予約入力'!$D$5:$D$404,$AQ52)))</f>
        <v/>
      </c>
      <c r="C52" s="121" t="n"/>
      <c r="D52" s="121" t="n"/>
      <c r="E52" s="122" t="n"/>
      <c r="F52" s="47">
        <f>IF($AQ52=0,"",INDEX('01_予約入力'!$C$5:$C$404,$AQ52))</f>
        <v/>
      </c>
      <c r="G52" s="121" t="n"/>
      <c r="H52" s="122" t="n"/>
      <c r="I52" s="46">
        <f>IF($AQ52=0,"",MONTH(INDEX('01_予約入力'!$G$5:$G$404,$AQ52))&amp;"/"&amp;DAY(INDEX('01_予約入力'!$G$5:$G$404,$AQ52))&amp;"("&amp;MID("日月火水木金土",WEEKDAY(INDEX('01_予約入力'!$G$5:$G$404,$AQ52)),1)&amp;")"&amp;" "&amp;INDEX('01_予約入力'!$AD$5:$AD$404,$AQ52))</f>
        <v/>
      </c>
      <c r="J52" s="121" t="n"/>
      <c r="K52" s="121" t="n"/>
      <c r="L52" s="121" t="n"/>
      <c r="M52" s="121" t="n"/>
      <c r="N52" s="122" t="n"/>
      <c r="O52" s="46">
        <f>IF($AQ52=0,"",MONTH(INDEX('01_予約入力'!$J$5:$J$404,$AQ52))&amp;"/"&amp;DAY(INDEX('01_予約入力'!$J$5:$J$404,$AQ52))&amp;"("&amp;MID("日月火水木金土",WEEKDAY(INDEX('01_予約入力'!$J$5:$J$404,$AQ52)),1)&amp;")"&amp;" "&amp;INDEX('01_予約入力'!$AE$5:$AE$404,$AQ52))</f>
        <v/>
      </c>
      <c r="P52" s="121" t="n"/>
      <c r="Q52" s="121" t="n"/>
      <c r="R52" s="121" t="n"/>
      <c r="S52" s="121" t="n"/>
      <c r="T52" s="122" t="n"/>
      <c r="U52" s="47">
        <f>IF($AQ52=0,"",IF(INDEX('01_予約入力'!$J$5:$J$404,$AQ52)=INDEX('01_予約入力'!$G$5:$G$404,$AQ52),"日帰り",INDEX('01_予約入力'!$J$5:$J$404,$AQ52)-INDEX('01_予約入力'!$G$5:$G$404,$AQ52)&amp;"泊"))</f>
        <v/>
      </c>
      <c r="V52" s="121" t="n"/>
      <c r="W52" s="122" t="n"/>
      <c r="X52" s="47">
        <f>IF($AQ52=0,"",IF(AND(INDEX('01_予約入力'!$L$5:$L$404,$AQ52)="",INDEX('01_予約入力'!$M$5:$M$404,$AQ52)="",INDEX('01_予約入力'!$N$5:$N$404,$AQ52)=""),"標準","朝"&amp;IF(INDEX('01_予約入力'!$L$5:$L$404,$AQ52)="","−",INDEX('01_予約入力'!$L$5:$L$404,$AQ52))&amp;" 昼"&amp;IF(INDEX('01_予約入力'!$M$5:$M$404,$AQ52)="","−",INDEX('01_予約入力'!$M$5:$M$404,$AQ52))&amp;" 夕"&amp;IF(INDEX('01_予約入力'!$N$5:$N$404,$AQ52)="","−",INDEX('01_予約入力'!$N$5:$N$404,$AQ52))))</f>
        <v/>
      </c>
      <c r="Y52" s="121" t="n"/>
      <c r="Z52" s="121" t="n"/>
      <c r="AA52" s="122" t="n"/>
      <c r="AB52" s="47">
        <f>IF($AQ52=0,"",IF(INDEX('01_予約入力'!$Q$5:$Q$404,$AQ52)="","確定",INDEX('01_予約入力'!$Q$5:$Q$404,$AQ52)))</f>
        <v/>
      </c>
      <c r="AC52" s="121" t="n"/>
      <c r="AD52" s="122" t="n"/>
      <c r="AE52" s="46">
        <f>IF($AQ52=0,"",INDEX('01_予約入力'!$V$5:$V$404,$AQ52))</f>
        <v/>
      </c>
      <c r="AF52" s="121" t="n"/>
      <c r="AG52" s="122" t="n"/>
      <c r="AP52">
        <f>IFERROR(SMALL('01_予約入力'!$AC$5:$AC$404,20),"")</f>
        <v/>
      </c>
      <c r="AQ52">
        <f>IF($AP52="",0,IFERROR(MATCH($AP52,'01_予約入力'!$AC$5:$AC$404,0),0))</f>
        <v/>
      </c>
    </row>
    <row r="53">
      <c r="A53" s="46">
        <f>IF($AQ53=0,"",INDEX('01_予約入力'!$B$5:$B$404,$AQ53))</f>
        <v/>
      </c>
      <c r="B53" s="47">
        <f>IF($AQ53=0,"",IF(INDEX('01_予約入力'!$D$5:$D$404,$AQ53)="","⚠未選択",INDEX('01_予約入力'!$D$5:$D$404,$AQ53)))</f>
        <v/>
      </c>
      <c r="C53" s="121" t="n"/>
      <c r="D53" s="121" t="n"/>
      <c r="E53" s="122" t="n"/>
      <c r="F53" s="47">
        <f>IF($AQ53=0,"",INDEX('01_予約入力'!$C$5:$C$404,$AQ53))</f>
        <v/>
      </c>
      <c r="G53" s="121" t="n"/>
      <c r="H53" s="122" t="n"/>
      <c r="I53" s="46">
        <f>IF($AQ53=0,"",MONTH(INDEX('01_予約入力'!$G$5:$G$404,$AQ53))&amp;"/"&amp;DAY(INDEX('01_予約入力'!$G$5:$G$404,$AQ53))&amp;"("&amp;MID("日月火水木金土",WEEKDAY(INDEX('01_予約入力'!$G$5:$G$404,$AQ53)),1)&amp;")"&amp;" "&amp;INDEX('01_予約入力'!$AD$5:$AD$404,$AQ53))</f>
        <v/>
      </c>
      <c r="J53" s="121" t="n"/>
      <c r="K53" s="121" t="n"/>
      <c r="L53" s="121" t="n"/>
      <c r="M53" s="121" t="n"/>
      <c r="N53" s="122" t="n"/>
      <c r="O53" s="46">
        <f>IF($AQ53=0,"",MONTH(INDEX('01_予約入力'!$J$5:$J$404,$AQ53))&amp;"/"&amp;DAY(INDEX('01_予約入力'!$J$5:$J$404,$AQ53))&amp;"("&amp;MID("日月火水木金土",WEEKDAY(INDEX('01_予約入力'!$J$5:$J$404,$AQ53)),1)&amp;")"&amp;" "&amp;INDEX('01_予約入力'!$AE$5:$AE$404,$AQ53))</f>
        <v/>
      </c>
      <c r="P53" s="121" t="n"/>
      <c r="Q53" s="121" t="n"/>
      <c r="R53" s="121" t="n"/>
      <c r="S53" s="121" t="n"/>
      <c r="T53" s="122" t="n"/>
      <c r="U53" s="47">
        <f>IF($AQ53=0,"",IF(INDEX('01_予約入力'!$J$5:$J$404,$AQ53)=INDEX('01_予約入力'!$G$5:$G$404,$AQ53),"日帰り",INDEX('01_予約入力'!$J$5:$J$404,$AQ53)-INDEX('01_予約入力'!$G$5:$G$404,$AQ53)&amp;"泊"))</f>
        <v/>
      </c>
      <c r="V53" s="121" t="n"/>
      <c r="W53" s="122" t="n"/>
      <c r="X53" s="47">
        <f>IF($AQ53=0,"",IF(AND(INDEX('01_予約入力'!$L$5:$L$404,$AQ53)="",INDEX('01_予約入力'!$M$5:$M$404,$AQ53)="",INDEX('01_予約入力'!$N$5:$N$404,$AQ53)=""),"標準","朝"&amp;IF(INDEX('01_予約入力'!$L$5:$L$404,$AQ53)="","−",INDEX('01_予約入力'!$L$5:$L$404,$AQ53))&amp;" 昼"&amp;IF(INDEX('01_予約入力'!$M$5:$M$404,$AQ53)="","−",INDEX('01_予約入力'!$M$5:$M$404,$AQ53))&amp;" 夕"&amp;IF(INDEX('01_予約入力'!$N$5:$N$404,$AQ53)="","−",INDEX('01_予約入力'!$N$5:$N$404,$AQ53))))</f>
        <v/>
      </c>
      <c r="Y53" s="121" t="n"/>
      <c r="Z53" s="121" t="n"/>
      <c r="AA53" s="122" t="n"/>
      <c r="AB53" s="47">
        <f>IF($AQ53=0,"",IF(INDEX('01_予約入力'!$Q$5:$Q$404,$AQ53)="","確定",INDEX('01_予約入力'!$Q$5:$Q$404,$AQ53)))</f>
        <v/>
      </c>
      <c r="AC53" s="121" t="n"/>
      <c r="AD53" s="122" t="n"/>
      <c r="AE53" s="46">
        <f>IF($AQ53=0,"",INDEX('01_予約入力'!$V$5:$V$404,$AQ53))</f>
        <v/>
      </c>
      <c r="AF53" s="121" t="n"/>
      <c r="AG53" s="122" t="n"/>
      <c r="AP53">
        <f>IFERROR(SMALL('01_予約入力'!$AC$5:$AC$404,21),"")</f>
        <v/>
      </c>
      <c r="AQ53">
        <f>IF($AP53="",0,IFERROR(MATCH($AP53,'01_予約入力'!$AC$5:$AC$404,0),0))</f>
        <v/>
      </c>
    </row>
    <row r="54">
      <c r="A54" s="46">
        <f>IF($AQ54=0,"",INDEX('01_予約入力'!$B$5:$B$404,$AQ54))</f>
        <v/>
      </c>
      <c r="B54" s="47">
        <f>IF($AQ54=0,"",IF(INDEX('01_予約入力'!$D$5:$D$404,$AQ54)="","⚠未選択",INDEX('01_予約入力'!$D$5:$D$404,$AQ54)))</f>
        <v/>
      </c>
      <c r="C54" s="121" t="n"/>
      <c r="D54" s="121" t="n"/>
      <c r="E54" s="122" t="n"/>
      <c r="F54" s="47">
        <f>IF($AQ54=0,"",INDEX('01_予約入力'!$C$5:$C$404,$AQ54))</f>
        <v/>
      </c>
      <c r="G54" s="121" t="n"/>
      <c r="H54" s="122" t="n"/>
      <c r="I54" s="46">
        <f>IF($AQ54=0,"",MONTH(INDEX('01_予約入力'!$G$5:$G$404,$AQ54))&amp;"/"&amp;DAY(INDEX('01_予約入力'!$G$5:$G$404,$AQ54))&amp;"("&amp;MID("日月火水木金土",WEEKDAY(INDEX('01_予約入力'!$G$5:$G$404,$AQ54)),1)&amp;")"&amp;" "&amp;INDEX('01_予約入力'!$AD$5:$AD$404,$AQ54))</f>
        <v/>
      </c>
      <c r="J54" s="121" t="n"/>
      <c r="K54" s="121" t="n"/>
      <c r="L54" s="121" t="n"/>
      <c r="M54" s="121" t="n"/>
      <c r="N54" s="122" t="n"/>
      <c r="O54" s="46">
        <f>IF($AQ54=0,"",MONTH(INDEX('01_予約入力'!$J$5:$J$404,$AQ54))&amp;"/"&amp;DAY(INDEX('01_予約入力'!$J$5:$J$404,$AQ54))&amp;"("&amp;MID("日月火水木金土",WEEKDAY(INDEX('01_予約入力'!$J$5:$J$404,$AQ54)),1)&amp;")"&amp;" "&amp;INDEX('01_予約入力'!$AE$5:$AE$404,$AQ54))</f>
        <v/>
      </c>
      <c r="P54" s="121" t="n"/>
      <c r="Q54" s="121" t="n"/>
      <c r="R54" s="121" t="n"/>
      <c r="S54" s="121" t="n"/>
      <c r="T54" s="122" t="n"/>
      <c r="U54" s="47">
        <f>IF($AQ54=0,"",IF(INDEX('01_予約入力'!$J$5:$J$404,$AQ54)=INDEX('01_予約入力'!$G$5:$G$404,$AQ54),"日帰り",INDEX('01_予約入力'!$J$5:$J$404,$AQ54)-INDEX('01_予約入力'!$G$5:$G$404,$AQ54)&amp;"泊"))</f>
        <v/>
      </c>
      <c r="V54" s="121" t="n"/>
      <c r="W54" s="122" t="n"/>
      <c r="X54" s="47">
        <f>IF($AQ54=0,"",IF(AND(INDEX('01_予約入力'!$L$5:$L$404,$AQ54)="",INDEX('01_予約入力'!$M$5:$M$404,$AQ54)="",INDEX('01_予約入力'!$N$5:$N$404,$AQ54)=""),"標準","朝"&amp;IF(INDEX('01_予約入力'!$L$5:$L$404,$AQ54)="","−",INDEX('01_予約入力'!$L$5:$L$404,$AQ54))&amp;" 昼"&amp;IF(INDEX('01_予約入力'!$M$5:$M$404,$AQ54)="","−",INDEX('01_予約入力'!$M$5:$M$404,$AQ54))&amp;" 夕"&amp;IF(INDEX('01_予約入力'!$N$5:$N$404,$AQ54)="","−",INDEX('01_予約入力'!$N$5:$N$404,$AQ54))))</f>
        <v/>
      </c>
      <c r="Y54" s="121" t="n"/>
      <c r="Z54" s="121" t="n"/>
      <c r="AA54" s="122" t="n"/>
      <c r="AB54" s="47">
        <f>IF($AQ54=0,"",IF(INDEX('01_予約入力'!$Q$5:$Q$404,$AQ54)="","確定",INDEX('01_予約入力'!$Q$5:$Q$404,$AQ54)))</f>
        <v/>
      </c>
      <c r="AC54" s="121" t="n"/>
      <c r="AD54" s="122" t="n"/>
      <c r="AE54" s="46">
        <f>IF($AQ54=0,"",INDEX('01_予約入力'!$V$5:$V$404,$AQ54))</f>
        <v/>
      </c>
      <c r="AF54" s="121" t="n"/>
      <c r="AG54" s="122" t="n"/>
      <c r="AP54">
        <f>IFERROR(SMALL('01_予約入力'!$AC$5:$AC$404,22),"")</f>
        <v/>
      </c>
      <c r="AQ54">
        <f>IF($AP54="",0,IFERROR(MATCH($AP54,'01_予約入力'!$AC$5:$AC$404,0),0))</f>
        <v/>
      </c>
    </row>
    <row r="55">
      <c r="A55" s="46">
        <f>IF($AQ55=0,"",INDEX('01_予約入力'!$B$5:$B$404,$AQ55))</f>
        <v/>
      </c>
      <c r="B55" s="47">
        <f>IF($AQ55=0,"",IF(INDEX('01_予約入力'!$D$5:$D$404,$AQ55)="","⚠未選択",INDEX('01_予約入力'!$D$5:$D$404,$AQ55)))</f>
        <v/>
      </c>
      <c r="C55" s="121" t="n"/>
      <c r="D55" s="121" t="n"/>
      <c r="E55" s="122" t="n"/>
      <c r="F55" s="47">
        <f>IF($AQ55=0,"",INDEX('01_予約入力'!$C$5:$C$404,$AQ55))</f>
        <v/>
      </c>
      <c r="G55" s="121" t="n"/>
      <c r="H55" s="122" t="n"/>
      <c r="I55" s="46">
        <f>IF($AQ55=0,"",MONTH(INDEX('01_予約入力'!$G$5:$G$404,$AQ55))&amp;"/"&amp;DAY(INDEX('01_予約入力'!$G$5:$G$404,$AQ55))&amp;"("&amp;MID("日月火水木金土",WEEKDAY(INDEX('01_予約入力'!$G$5:$G$404,$AQ55)),1)&amp;")"&amp;" "&amp;INDEX('01_予約入力'!$AD$5:$AD$404,$AQ55))</f>
        <v/>
      </c>
      <c r="J55" s="121" t="n"/>
      <c r="K55" s="121" t="n"/>
      <c r="L55" s="121" t="n"/>
      <c r="M55" s="121" t="n"/>
      <c r="N55" s="122" t="n"/>
      <c r="O55" s="46">
        <f>IF($AQ55=0,"",MONTH(INDEX('01_予約入力'!$J$5:$J$404,$AQ55))&amp;"/"&amp;DAY(INDEX('01_予約入力'!$J$5:$J$404,$AQ55))&amp;"("&amp;MID("日月火水木金土",WEEKDAY(INDEX('01_予約入力'!$J$5:$J$404,$AQ55)),1)&amp;")"&amp;" "&amp;INDEX('01_予約入力'!$AE$5:$AE$404,$AQ55))</f>
        <v/>
      </c>
      <c r="P55" s="121" t="n"/>
      <c r="Q55" s="121" t="n"/>
      <c r="R55" s="121" t="n"/>
      <c r="S55" s="121" t="n"/>
      <c r="T55" s="122" t="n"/>
      <c r="U55" s="47">
        <f>IF($AQ55=0,"",IF(INDEX('01_予約入力'!$J$5:$J$404,$AQ55)=INDEX('01_予約入力'!$G$5:$G$404,$AQ55),"日帰り",INDEX('01_予約入力'!$J$5:$J$404,$AQ55)-INDEX('01_予約入力'!$G$5:$G$404,$AQ55)&amp;"泊"))</f>
        <v/>
      </c>
      <c r="V55" s="121" t="n"/>
      <c r="W55" s="122" t="n"/>
      <c r="X55" s="47">
        <f>IF($AQ55=0,"",IF(AND(INDEX('01_予約入力'!$L$5:$L$404,$AQ55)="",INDEX('01_予約入力'!$M$5:$M$404,$AQ55)="",INDEX('01_予約入力'!$N$5:$N$404,$AQ55)=""),"標準","朝"&amp;IF(INDEX('01_予約入力'!$L$5:$L$404,$AQ55)="","−",INDEX('01_予約入力'!$L$5:$L$404,$AQ55))&amp;" 昼"&amp;IF(INDEX('01_予約入力'!$M$5:$M$404,$AQ55)="","−",INDEX('01_予約入力'!$M$5:$M$404,$AQ55))&amp;" 夕"&amp;IF(INDEX('01_予約入力'!$N$5:$N$404,$AQ55)="","−",INDEX('01_予約入力'!$N$5:$N$404,$AQ55))))</f>
        <v/>
      </c>
      <c r="Y55" s="121" t="n"/>
      <c r="Z55" s="121" t="n"/>
      <c r="AA55" s="122" t="n"/>
      <c r="AB55" s="47">
        <f>IF($AQ55=0,"",IF(INDEX('01_予約入力'!$Q$5:$Q$404,$AQ55)="","確定",INDEX('01_予約入力'!$Q$5:$Q$404,$AQ55)))</f>
        <v/>
      </c>
      <c r="AC55" s="121" t="n"/>
      <c r="AD55" s="122" t="n"/>
      <c r="AE55" s="46">
        <f>IF($AQ55=0,"",INDEX('01_予約入力'!$V$5:$V$404,$AQ55))</f>
        <v/>
      </c>
      <c r="AF55" s="121" t="n"/>
      <c r="AG55" s="122" t="n"/>
      <c r="AP55">
        <f>IFERROR(SMALL('01_予約入力'!$AC$5:$AC$404,23),"")</f>
        <v/>
      </c>
      <c r="AQ55">
        <f>IF($AP55="",0,IFERROR(MATCH($AP55,'01_予約入力'!$AC$5:$AC$404,0),0))</f>
        <v/>
      </c>
    </row>
    <row r="56">
      <c r="A56" s="46">
        <f>IF($AQ56=0,"",INDEX('01_予約入力'!$B$5:$B$404,$AQ56))</f>
        <v/>
      </c>
      <c r="B56" s="47">
        <f>IF($AQ56=0,"",IF(INDEX('01_予約入力'!$D$5:$D$404,$AQ56)="","⚠未選択",INDEX('01_予約入力'!$D$5:$D$404,$AQ56)))</f>
        <v/>
      </c>
      <c r="C56" s="121" t="n"/>
      <c r="D56" s="121" t="n"/>
      <c r="E56" s="122" t="n"/>
      <c r="F56" s="47">
        <f>IF($AQ56=0,"",INDEX('01_予約入力'!$C$5:$C$404,$AQ56))</f>
        <v/>
      </c>
      <c r="G56" s="121" t="n"/>
      <c r="H56" s="122" t="n"/>
      <c r="I56" s="46">
        <f>IF($AQ56=0,"",MONTH(INDEX('01_予約入力'!$G$5:$G$404,$AQ56))&amp;"/"&amp;DAY(INDEX('01_予約入力'!$G$5:$G$404,$AQ56))&amp;"("&amp;MID("日月火水木金土",WEEKDAY(INDEX('01_予約入力'!$G$5:$G$404,$AQ56)),1)&amp;")"&amp;" "&amp;INDEX('01_予約入力'!$AD$5:$AD$404,$AQ56))</f>
        <v/>
      </c>
      <c r="J56" s="121" t="n"/>
      <c r="K56" s="121" t="n"/>
      <c r="L56" s="121" t="n"/>
      <c r="M56" s="121" t="n"/>
      <c r="N56" s="122" t="n"/>
      <c r="O56" s="46">
        <f>IF($AQ56=0,"",MONTH(INDEX('01_予約入力'!$J$5:$J$404,$AQ56))&amp;"/"&amp;DAY(INDEX('01_予約入力'!$J$5:$J$404,$AQ56))&amp;"("&amp;MID("日月火水木金土",WEEKDAY(INDEX('01_予約入力'!$J$5:$J$404,$AQ56)),1)&amp;")"&amp;" "&amp;INDEX('01_予約入力'!$AE$5:$AE$404,$AQ56))</f>
        <v/>
      </c>
      <c r="P56" s="121" t="n"/>
      <c r="Q56" s="121" t="n"/>
      <c r="R56" s="121" t="n"/>
      <c r="S56" s="121" t="n"/>
      <c r="T56" s="122" t="n"/>
      <c r="U56" s="47">
        <f>IF($AQ56=0,"",IF(INDEX('01_予約入力'!$J$5:$J$404,$AQ56)=INDEX('01_予約入力'!$G$5:$G$404,$AQ56),"日帰り",INDEX('01_予約入力'!$J$5:$J$404,$AQ56)-INDEX('01_予約入力'!$G$5:$G$404,$AQ56)&amp;"泊"))</f>
        <v/>
      </c>
      <c r="V56" s="121" t="n"/>
      <c r="W56" s="122" t="n"/>
      <c r="X56" s="47">
        <f>IF($AQ56=0,"",IF(AND(INDEX('01_予約入力'!$L$5:$L$404,$AQ56)="",INDEX('01_予約入力'!$M$5:$M$404,$AQ56)="",INDEX('01_予約入力'!$N$5:$N$404,$AQ56)=""),"標準","朝"&amp;IF(INDEX('01_予約入力'!$L$5:$L$404,$AQ56)="","−",INDEX('01_予約入力'!$L$5:$L$404,$AQ56))&amp;" 昼"&amp;IF(INDEX('01_予約入力'!$M$5:$M$404,$AQ56)="","−",INDEX('01_予約入力'!$M$5:$M$404,$AQ56))&amp;" 夕"&amp;IF(INDEX('01_予約入力'!$N$5:$N$404,$AQ56)="","−",INDEX('01_予約入力'!$N$5:$N$404,$AQ56))))</f>
        <v/>
      </c>
      <c r="Y56" s="121" t="n"/>
      <c r="Z56" s="121" t="n"/>
      <c r="AA56" s="122" t="n"/>
      <c r="AB56" s="47">
        <f>IF($AQ56=0,"",IF(INDEX('01_予約入力'!$Q$5:$Q$404,$AQ56)="","確定",INDEX('01_予約入力'!$Q$5:$Q$404,$AQ56)))</f>
        <v/>
      </c>
      <c r="AC56" s="121" t="n"/>
      <c r="AD56" s="122" t="n"/>
      <c r="AE56" s="46">
        <f>IF($AQ56=0,"",INDEX('01_予約入力'!$V$5:$V$404,$AQ56))</f>
        <v/>
      </c>
      <c r="AF56" s="121" t="n"/>
      <c r="AG56" s="122" t="n"/>
      <c r="AP56">
        <f>IFERROR(SMALL('01_予約入力'!$AC$5:$AC$404,24),"")</f>
        <v/>
      </c>
      <c r="AQ56">
        <f>IF($AP56="",0,IFERROR(MATCH($AP56,'01_予約入力'!$AC$5:$AC$404,0),0))</f>
        <v/>
      </c>
    </row>
    <row r="57">
      <c r="A57" s="46">
        <f>IF($AQ57=0,"",INDEX('01_予約入力'!$B$5:$B$404,$AQ57))</f>
        <v/>
      </c>
      <c r="B57" s="47">
        <f>IF($AQ57=0,"",IF(INDEX('01_予約入力'!$D$5:$D$404,$AQ57)="","⚠未選択",INDEX('01_予約入力'!$D$5:$D$404,$AQ57)))</f>
        <v/>
      </c>
      <c r="C57" s="121" t="n"/>
      <c r="D57" s="121" t="n"/>
      <c r="E57" s="122" t="n"/>
      <c r="F57" s="47">
        <f>IF($AQ57=0,"",INDEX('01_予約入力'!$C$5:$C$404,$AQ57))</f>
        <v/>
      </c>
      <c r="G57" s="121" t="n"/>
      <c r="H57" s="122" t="n"/>
      <c r="I57" s="46">
        <f>IF($AQ57=0,"",MONTH(INDEX('01_予約入力'!$G$5:$G$404,$AQ57))&amp;"/"&amp;DAY(INDEX('01_予約入力'!$G$5:$G$404,$AQ57))&amp;"("&amp;MID("日月火水木金土",WEEKDAY(INDEX('01_予約入力'!$G$5:$G$404,$AQ57)),1)&amp;")"&amp;" "&amp;INDEX('01_予約入力'!$AD$5:$AD$404,$AQ57))</f>
        <v/>
      </c>
      <c r="J57" s="121" t="n"/>
      <c r="K57" s="121" t="n"/>
      <c r="L57" s="121" t="n"/>
      <c r="M57" s="121" t="n"/>
      <c r="N57" s="122" t="n"/>
      <c r="O57" s="46">
        <f>IF($AQ57=0,"",MONTH(INDEX('01_予約入力'!$J$5:$J$404,$AQ57))&amp;"/"&amp;DAY(INDEX('01_予約入力'!$J$5:$J$404,$AQ57))&amp;"("&amp;MID("日月火水木金土",WEEKDAY(INDEX('01_予約入力'!$J$5:$J$404,$AQ57)),1)&amp;")"&amp;" "&amp;INDEX('01_予約入力'!$AE$5:$AE$404,$AQ57))</f>
        <v/>
      </c>
      <c r="P57" s="121" t="n"/>
      <c r="Q57" s="121" t="n"/>
      <c r="R57" s="121" t="n"/>
      <c r="S57" s="121" t="n"/>
      <c r="T57" s="122" t="n"/>
      <c r="U57" s="47">
        <f>IF($AQ57=0,"",IF(INDEX('01_予約入力'!$J$5:$J$404,$AQ57)=INDEX('01_予約入力'!$G$5:$G$404,$AQ57),"日帰り",INDEX('01_予約入力'!$J$5:$J$404,$AQ57)-INDEX('01_予約入力'!$G$5:$G$404,$AQ57)&amp;"泊"))</f>
        <v/>
      </c>
      <c r="V57" s="121" t="n"/>
      <c r="W57" s="122" t="n"/>
      <c r="X57" s="47">
        <f>IF($AQ57=0,"",IF(AND(INDEX('01_予約入力'!$L$5:$L$404,$AQ57)="",INDEX('01_予約入力'!$M$5:$M$404,$AQ57)="",INDEX('01_予約入力'!$N$5:$N$404,$AQ57)=""),"標準","朝"&amp;IF(INDEX('01_予約入力'!$L$5:$L$404,$AQ57)="","−",INDEX('01_予約入力'!$L$5:$L$404,$AQ57))&amp;" 昼"&amp;IF(INDEX('01_予約入力'!$M$5:$M$404,$AQ57)="","−",INDEX('01_予約入力'!$M$5:$M$404,$AQ57))&amp;" 夕"&amp;IF(INDEX('01_予約入力'!$N$5:$N$404,$AQ57)="","−",INDEX('01_予約入力'!$N$5:$N$404,$AQ57))))</f>
        <v/>
      </c>
      <c r="Y57" s="121" t="n"/>
      <c r="Z57" s="121" t="n"/>
      <c r="AA57" s="122" t="n"/>
      <c r="AB57" s="47">
        <f>IF($AQ57=0,"",IF(INDEX('01_予約入力'!$Q$5:$Q$404,$AQ57)="","確定",INDEX('01_予約入力'!$Q$5:$Q$404,$AQ57)))</f>
        <v/>
      </c>
      <c r="AC57" s="121" t="n"/>
      <c r="AD57" s="122" t="n"/>
      <c r="AE57" s="46">
        <f>IF($AQ57=0,"",INDEX('01_予約入力'!$V$5:$V$404,$AQ57))</f>
        <v/>
      </c>
      <c r="AF57" s="121" t="n"/>
      <c r="AG57" s="122" t="n"/>
      <c r="AP57">
        <f>IFERROR(SMALL('01_予約入力'!$AC$5:$AC$404,25),"")</f>
        <v/>
      </c>
      <c r="AQ57">
        <f>IF($AP57="",0,IFERROR(MATCH($AP57,'01_予約入力'!$AC$5:$AC$404,0),0))</f>
        <v/>
      </c>
    </row>
    <row r="58">
      <c r="A58" s="46">
        <f>IF($AQ58=0,"",INDEX('01_予約入力'!$B$5:$B$404,$AQ58))</f>
        <v/>
      </c>
      <c r="B58" s="47">
        <f>IF($AQ58=0,"",IF(INDEX('01_予約入力'!$D$5:$D$404,$AQ58)="","⚠未選択",INDEX('01_予約入力'!$D$5:$D$404,$AQ58)))</f>
        <v/>
      </c>
      <c r="C58" s="121" t="n"/>
      <c r="D58" s="121" t="n"/>
      <c r="E58" s="122" t="n"/>
      <c r="F58" s="47">
        <f>IF($AQ58=0,"",INDEX('01_予約入力'!$C$5:$C$404,$AQ58))</f>
        <v/>
      </c>
      <c r="G58" s="121" t="n"/>
      <c r="H58" s="122" t="n"/>
      <c r="I58" s="46">
        <f>IF($AQ58=0,"",MONTH(INDEX('01_予約入力'!$G$5:$G$404,$AQ58))&amp;"/"&amp;DAY(INDEX('01_予約入力'!$G$5:$G$404,$AQ58))&amp;"("&amp;MID("日月火水木金土",WEEKDAY(INDEX('01_予約入力'!$G$5:$G$404,$AQ58)),1)&amp;")"&amp;" "&amp;INDEX('01_予約入力'!$AD$5:$AD$404,$AQ58))</f>
        <v/>
      </c>
      <c r="J58" s="121" t="n"/>
      <c r="K58" s="121" t="n"/>
      <c r="L58" s="121" t="n"/>
      <c r="M58" s="121" t="n"/>
      <c r="N58" s="122" t="n"/>
      <c r="O58" s="46">
        <f>IF($AQ58=0,"",MONTH(INDEX('01_予約入力'!$J$5:$J$404,$AQ58))&amp;"/"&amp;DAY(INDEX('01_予約入力'!$J$5:$J$404,$AQ58))&amp;"("&amp;MID("日月火水木金土",WEEKDAY(INDEX('01_予約入力'!$J$5:$J$404,$AQ58)),1)&amp;")"&amp;" "&amp;INDEX('01_予約入力'!$AE$5:$AE$404,$AQ58))</f>
        <v/>
      </c>
      <c r="P58" s="121" t="n"/>
      <c r="Q58" s="121" t="n"/>
      <c r="R58" s="121" t="n"/>
      <c r="S58" s="121" t="n"/>
      <c r="T58" s="122" t="n"/>
      <c r="U58" s="47">
        <f>IF($AQ58=0,"",IF(INDEX('01_予約入力'!$J$5:$J$404,$AQ58)=INDEX('01_予約入力'!$G$5:$G$404,$AQ58),"日帰り",INDEX('01_予約入力'!$J$5:$J$404,$AQ58)-INDEX('01_予約入力'!$G$5:$G$404,$AQ58)&amp;"泊"))</f>
        <v/>
      </c>
      <c r="V58" s="121" t="n"/>
      <c r="W58" s="122" t="n"/>
      <c r="X58" s="47">
        <f>IF($AQ58=0,"",IF(AND(INDEX('01_予約入力'!$L$5:$L$404,$AQ58)="",INDEX('01_予約入力'!$M$5:$M$404,$AQ58)="",INDEX('01_予約入力'!$N$5:$N$404,$AQ58)=""),"標準","朝"&amp;IF(INDEX('01_予約入力'!$L$5:$L$404,$AQ58)="","−",INDEX('01_予約入力'!$L$5:$L$404,$AQ58))&amp;" 昼"&amp;IF(INDEX('01_予約入力'!$M$5:$M$404,$AQ58)="","−",INDEX('01_予約入力'!$M$5:$M$404,$AQ58))&amp;" 夕"&amp;IF(INDEX('01_予約入力'!$N$5:$N$404,$AQ58)="","−",INDEX('01_予約入力'!$N$5:$N$404,$AQ58))))</f>
        <v/>
      </c>
      <c r="Y58" s="121" t="n"/>
      <c r="Z58" s="121" t="n"/>
      <c r="AA58" s="122" t="n"/>
      <c r="AB58" s="47">
        <f>IF($AQ58=0,"",IF(INDEX('01_予約入力'!$Q$5:$Q$404,$AQ58)="","確定",INDEX('01_予約入力'!$Q$5:$Q$404,$AQ58)))</f>
        <v/>
      </c>
      <c r="AC58" s="121" t="n"/>
      <c r="AD58" s="122" t="n"/>
      <c r="AE58" s="46">
        <f>IF($AQ58=0,"",INDEX('01_予約入力'!$V$5:$V$404,$AQ58))</f>
        <v/>
      </c>
      <c r="AF58" s="121" t="n"/>
      <c r="AG58" s="122" t="n"/>
      <c r="AP58">
        <f>IFERROR(SMALL('01_予約入力'!$AC$5:$AC$404,26),"")</f>
        <v/>
      </c>
      <c r="AQ58">
        <f>IF($AP58="",0,IFERROR(MATCH($AP58,'01_予約入力'!$AC$5:$AC$404,0),0))</f>
        <v/>
      </c>
    </row>
    <row r="59">
      <c r="A59" s="46">
        <f>IF($AQ59=0,"",INDEX('01_予約入力'!$B$5:$B$404,$AQ59))</f>
        <v/>
      </c>
      <c r="B59" s="47">
        <f>IF($AQ59=0,"",IF(INDEX('01_予約入力'!$D$5:$D$404,$AQ59)="","⚠未選択",INDEX('01_予約入力'!$D$5:$D$404,$AQ59)))</f>
        <v/>
      </c>
      <c r="C59" s="121" t="n"/>
      <c r="D59" s="121" t="n"/>
      <c r="E59" s="122" t="n"/>
      <c r="F59" s="47">
        <f>IF($AQ59=0,"",INDEX('01_予約入力'!$C$5:$C$404,$AQ59))</f>
        <v/>
      </c>
      <c r="G59" s="121" t="n"/>
      <c r="H59" s="122" t="n"/>
      <c r="I59" s="46">
        <f>IF($AQ59=0,"",MONTH(INDEX('01_予約入力'!$G$5:$G$404,$AQ59))&amp;"/"&amp;DAY(INDEX('01_予約入力'!$G$5:$G$404,$AQ59))&amp;"("&amp;MID("日月火水木金土",WEEKDAY(INDEX('01_予約入力'!$G$5:$G$404,$AQ59)),1)&amp;")"&amp;" "&amp;INDEX('01_予約入力'!$AD$5:$AD$404,$AQ59))</f>
        <v/>
      </c>
      <c r="J59" s="121" t="n"/>
      <c r="K59" s="121" t="n"/>
      <c r="L59" s="121" t="n"/>
      <c r="M59" s="121" t="n"/>
      <c r="N59" s="122" t="n"/>
      <c r="O59" s="46">
        <f>IF($AQ59=0,"",MONTH(INDEX('01_予約入力'!$J$5:$J$404,$AQ59))&amp;"/"&amp;DAY(INDEX('01_予約入力'!$J$5:$J$404,$AQ59))&amp;"("&amp;MID("日月火水木金土",WEEKDAY(INDEX('01_予約入力'!$J$5:$J$404,$AQ59)),1)&amp;")"&amp;" "&amp;INDEX('01_予約入力'!$AE$5:$AE$404,$AQ59))</f>
        <v/>
      </c>
      <c r="P59" s="121" t="n"/>
      <c r="Q59" s="121" t="n"/>
      <c r="R59" s="121" t="n"/>
      <c r="S59" s="121" t="n"/>
      <c r="T59" s="122" t="n"/>
      <c r="U59" s="47">
        <f>IF($AQ59=0,"",IF(INDEX('01_予約入力'!$J$5:$J$404,$AQ59)=INDEX('01_予約入力'!$G$5:$G$404,$AQ59),"日帰り",INDEX('01_予約入力'!$J$5:$J$404,$AQ59)-INDEX('01_予約入力'!$G$5:$G$404,$AQ59)&amp;"泊"))</f>
        <v/>
      </c>
      <c r="V59" s="121" t="n"/>
      <c r="W59" s="122" t="n"/>
      <c r="X59" s="47">
        <f>IF($AQ59=0,"",IF(AND(INDEX('01_予約入力'!$L$5:$L$404,$AQ59)="",INDEX('01_予約入力'!$M$5:$M$404,$AQ59)="",INDEX('01_予約入力'!$N$5:$N$404,$AQ59)=""),"標準","朝"&amp;IF(INDEX('01_予約入力'!$L$5:$L$404,$AQ59)="","−",INDEX('01_予約入力'!$L$5:$L$404,$AQ59))&amp;" 昼"&amp;IF(INDEX('01_予約入力'!$M$5:$M$404,$AQ59)="","−",INDEX('01_予約入力'!$M$5:$M$404,$AQ59))&amp;" 夕"&amp;IF(INDEX('01_予約入力'!$N$5:$N$404,$AQ59)="","−",INDEX('01_予約入力'!$N$5:$N$404,$AQ59))))</f>
        <v/>
      </c>
      <c r="Y59" s="121" t="n"/>
      <c r="Z59" s="121" t="n"/>
      <c r="AA59" s="122" t="n"/>
      <c r="AB59" s="47">
        <f>IF($AQ59=0,"",IF(INDEX('01_予約入力'!$Q$5:$Q$404,$AQ59)="","確定",INDEX('01_予約入力'!$Q$5:$Q$404,$AQ59)))</f>
        <v/>
      </c>
      <c r="AC59" s="121" t="n"/>
      <c r="AD59" s="122" t="n"/>
      <c r="AE59" s="46">
        <f>IF($AQ59=0,"",INDEX('01_予約入力'!$V$5:$V$404,$AQ59))</f>
        <v/>
      </c>
      <c r="AF59" s="121" t="n"/>
      <c r="AG59" s="122" t="n"/>
      <c r="AP59">
        <f>IFERROR(SMALL('01_予約入力'!$AC$5:$AC$404,27),"")</f>
        <v/>
      </c>
      <c r="AQ59">
        <f>IF($AP59="",0,IFERROR(MATCH($AP59,'01_予約入力'!$AC$5:$AC$404,0),0))</f>
        <v/>
      </c>
    </row>
    <row r="60">
      <c r="A60" s="46">
        <f>IF($AQ60=0,"",INDEX('01_予約入力'!$B$5:$B$404,$AQ60))</f>
        <v/>
      </c>
      <c r="B60" s="47">
        <f>IF($AQ60=0,"",IF(INDEX('01_予約入力'!$D$5:$D$404,$AQ60)="","⚠未選択",INDEX('01_予約入力'!$D$5:$D$404,$AQ60)))</f>
        <v/>
      </c>
      <c r="C60" s="121" t="n"/>
      <c r="D60" s="121" t="n"/>
      <c r="E60" s="122" t="n"/>
      <c r="F60" s="47">
        <f>IF($AQ60=0,"",INDEX('01_予約入力'!$C$5:$C$404,$AQ60))</f>
        <v/>
      </c>
      <c r="G60" s="121" t="n"/>
      <c r="H60" s="122" t="n"/>
      <c r="I60" s="46">
        <f>IF($AQ60=0,"",MONTH(INDEX('01_予約入力'!$G$5:$G$404,$AQ60))&amp;"/"&amp;DAY(INDEX('01_予約入力'!$G$5:$G$404,$AQ60))&amp;"("&amp;MID("日月火水木金土",WEEKDAY(INDEX('01_予約入力'!$G$5:$G$404,$AQ60)),1)&amp;")"&amp;" "&amp;INDEX('01_予約入力'!$AD$5:$AD$404,$AQ60))</f>
        <v/>
      </c>
      <c r="J60" s="121" t="n"/>
      <c r="K60" s="121" t="n"/>
      <c r="L60" s="121" t="n"/>
      <c r="M60" s="121" t="n"/>
      <c r="N60" s="122" t="n"/>
      <c r="O60" s="46">
        <f>IF($AQ60=0,"",MONTH(INDEX('01_予約入力'!$J$5:$J$404,$AQ60))&amp;"/"&amp;DAY(INDEX('01_予約入力'!$J$5:$J$404,$AQ60))&amp;"("&amp;MID("日月火水木金土",WEEKDAY(INDEX('01_予約入力'!$J$5:$J$404,$AQ60)),1)&amp;")"&amp;" "&amp;INDEX('01_予約入力'!$AE$5:$AE$404,$AQ60))</f>
        <v/>
      </c>
      <c r="P60" s="121" t="n"/>
      <c r="Q60" s="121" t="n"/>
      <c r="R60" s="121" t="n"/>
      <c r="S60" s="121" t="n"/>
      <c r="T60" s="122" t="n"/>
      <c r="U60" s="47">
        <f>IF($AQ60=0,"",IF(INDEX('01_予約入力'!$J$5:$J$404,$AQ60)=INDEX('01_予約入力'!$G$5:$G$404,$AQ60),"日帰り",INDEX('01_予約入力'!$J$5:$J$404,$AQ60)-INDEX('01_予約入力'!$G$5:$G$404,$AQ60)&amp;"泊"))</f>
        <v/>
      </c>
      <c r="V60" s="121" t="n"/>
      <c r="W60" s="122" t="n"/>
      <c r="X60" s="47">
        <f>IF($AQ60=0,"",IF(AND(INDEX('01_予約入力'!$L$5:$L$404,$AQ60)="",INDEX('01_予約入力'!$M$5:$M$404,$AQ60)="",INDEX('01_予約入力'!$N$5:$N$404,$AQ60)=""),"標準","朝"&amp;IF(INDEX('01_予約入力'!$L$5:$L$404,$AQ60)="","−",INDEX('01_予約入力'!$L$5:$L$404,$AQ60))&amp;" 昼"&amp;IF(INDEX('01_予約入力'!$M$5:$M$404,$AQ60)="","−",INDEX('01_予約入力'!$M$5:$M$404,$AQ60))&amp;" 夕"&amp;IF(INDEX('01_予約入力'!$N$5:$N$404,$AQ60)="","−",INDEX('01_予約入力'!$N$5:$N$404,$AQ60))))</f>
        <v/>
      </c>
      <c r="Y60" s="121" t="n"/>
      <c r="Z60" s="121" t="n"/>
      <c r="AA60" s="122" t="n"/>
      <c r="AB60" s="47">
        <f>IF($AQ60=0,"",IF(INDEX('01_予約入力'!$Q$5:$Q$404,$AQ60)="","確定",INDEX('01_予約入力'!$Q$5:$Q$404,$AQ60)))</f>
        <v/>
      </c>
      <c r="AC60" s="121" t="n"/>
      <c r="AD60" s="122" t="n"/>
      <c r="AE60" s="46">
        <f>IF($AQ60=0,"",INDEX('01_予約入力'!$V$5:$V$404,$AQ60))</f>
        <v/>
      </c>
      <c r="AF60" s="121" t="n"/>
      <c r="AG60" s="122" t="n"/>
      <c r="AP60">
        <f>IFERROR(SMALL('01_予約入力'!$AC$5:$AC$404,28),"")</f>
        <v/>
      </c>
      <c r="AQ60">
        <f>IF($AP60="",0,IFERROR(MATCH($AP60,'01_予約入力'!$AC$5:$AC$404,0),0))</f>
        <v/>
      </c>
    </row>
    <row r="61">
      <c r="A61" s="46">
        <f>IF($AQ61=0,"",INDEX('01_予約入力'!$B$5:$B$404,$AQ61))</f>
        <v/>
      </c>
      <c r="B61" s="47">
        <f>IF($AQ61=0,"",IF(INDEX('01_予約入力'!$D$5:$D$404,$AQ61)="","⚠未選択",INDEX('01_予約入力'!$D$5:$D$404,$AQ61)))</f>
        <v/>
      </c>
      <c r="C61" s="121" t="n"/>
      <c r="D61" s="121" t="n"/>
      <c r="E61" s="122" t="n"/>
      <c r="F61" s="47">
        <f>IF($AQ61=0,"",INDEX('01_予約入力'!$C$5:$C$404,$AQ61))</f>
        <v/>
      </c>
      <c r="G61" s="121" t="n"/>
      <c r="H61" s="122" t="n"/>
      <c r="I61" s="46">
        <f>IF($AQ61=0,"",MONTH(INDEX('01_予約入力'!$G$5:$G$404,$AQ61))&amp;"/"&amp;DAY(INDEX('01_予約入力'!$G$5:$G$404,$AQ61))&amp;"("&amp;MID("日月火水木金土",WEEKDAY(INDEX('01_予約入力'!$G$5:$G$404,$AQ61)),1)&amp;")"&amp;" "&amp;INDEX('01_予約入力'!$AD$5:$AD$404,$AQ61))</f>
        <v/>
      </c>
      <c r="J61" s="121" t="n"/>
      <c r="K61" s="121" t="n"/>
      <c r="L61" s="121" t="n"/>
      <c r="M61" s="121" t="n"/>
      <c r="N61" s="122" t="n"/>
      <c r="O61" s="46">
        <f>IF($AQ61=0,"",MONTH(INDEX('01_予約入力'!$J$5:$J$404,$AQ61))&amp;"/"&amp;DAY(INDEX('01_予約入力'!$J$5:$J$404,$AQ61))&amp;"("&amp;MID("日月火水木金土",WEEKDAY(INDEX('01_予約入力'!$J$5:$J$404,$AQ61)),1)&amp;")"&amp;" "&amp;INDEX('01_予約入力'!$AE$5:$AE$404,$AQ61))</f>
        <v/>
      </c>
      <c r="P61" s="121" t="n"/>
      <c r="Q61" s="121" t="n"/>
      <c r="R61" s="121" t="n"/>
      <c r="S61" s="121" t="n"/>
      <c r="T61" s="122" t="n"/>
      <c r="U61" s="47">
        <f>IF($AQ61=0,"",IF(INDEX('01_予約入力'!$J$5:$J$404,$AQ61)=INDEX('01_予約入力'!$G$5:$G$404,$AQ61),"日帰り",INDEX('01_予約入力'!$J$5:$J$404,$AQ61)-INDEX('01_予約入力'!$G$5:$G$404,$AQ61)&amp;"泊"))</f>
        <v/>
      </c>
      <c r="V61" s="121" t="n"/>
      <c r="W61" s="122" t="n"/>
      <c r="X61" s="47">
        <f>IF($AQ61=0,"",IF(AND(INDEX('01_予約入力'!$L$5:$L$404,$AQ61)="",INDEX('01_予約入力'!$M$5:$M$404,$AQ61)="",INDEX('01_予約入力'!$N$5:$N$404,$AQ61)=""),"標準","朝"&amp;IF(INDEX('01_予約入力'!$L$5:$L$404,$AQ61)="","−",INDEX('01_予約入力'!$L$5:$L$404,$AQ61))&amp;" 昼"&amp;IF(INDEX('01_予約入力'!$M$5:$M$404,$AQ61)="","−",INDEX('01_予約入力'!$M$5:$M$404,$AQ61))&amp;" 夕"&amp;IF(INDEX('01_予約入力'!$N$5:$N$404,$AQ61)="","−",INDEX('01_予約入力'!$N$5:$N$404,$AQ61))))</f>
        <v/>
      </c>
      <c r="Y61" s="121" t="n"/>
      <c r="Z61" s="121" t="n"/>
      <c r="AA61" s="122" t="n"/>
      <c r="AB61" s="47">
        <f>IF($AQ61=0,"",IF(INDEX('01_予約入力'!$Q$5:$Q$404,$AQ61)="","確定",INDEX('01_予約入力'!$Q$5:$Q$404,$AQ61)))</f>
        <v/>
      </c>
      <c r="AC61" s="121" t="n"/>
      <c r="AD61" s="122" t="n"/>
      <c r="AE61" s="46">
        <f>IF($AQ61=0,"",INDEX('01_予約入力'!$V$5:$V$404,$AQ61))</f>
        <v/>
      </c>
      <c r="AF61" s="121" t="n"/>
      <c r="AG61" s="122" t="n"/>
      <c r="AP61">
        <f>IFERROR(SMALL('01_予約入力'!$AC$5:$AC$404,29),"")</f>
        <v/>
      </c>
      <c r="AQ61">
        <f>IF($AP61="",0,IFERROR(MATCH($AP61,'01_予約入力'!$AC$5:$AC$404,0),0))</f>
        <v/>
      </c>
    </row>
    <row r="62">
      <c r="A62" s="46">
        <f>IF($AQ62=0,"",INDEX('01_予約入力'!$B$5:$B$404,$AQ62))</f>
        <v/>
      </c>
      <c r="B62" s="47">
        <f>IF($AQ62=0,"",IF(INDEX('01_予約入力'!$D$5:$D$404,$AQ62)="","⚠未選択",INDEX('01_予約入力'!$D$5:$D$404,$AQ62)))</f>
        <v/>
      </c>
      <c r="C62" s="121" t="n"/>
      <c r="D62" s="121" t="n"/>
      <c r="E62" s="122" t="n"/>
      <c r="F62" s="47">
        <f>IF($AQ62=0,"",INDEX('01_予約入力'!$C$5:$C$404,$AQ62))</f>
        <v/>
      </c>
      <c r="G62" s="121" t="n"/>
      <c r="H62" s="122" t="n"/>
      <c r="I62" s="46">
        <f>IF($AQ62=0,"",MONTH(INDEX('01_予約入力'!$G$5:$G$404,$AQ62))&amp;"/"&amp;DAY(INDEX('01_予約入力'!$G$5:$G$404,$AQ62))&amp;"("&amp;MID("日月火水木金土",WEEKDAY(INDEX('01_予約入力'!$G$5:$G$404,$AQ62)),1)&amp;")"&amp;" "&amp;INDEX('01_予約入力'!$AD$5:$AD$404,$AQ62))</f>
        <v/>
      </c>
      <c r="J62" s="121" t="n"/>
      <c r="K62" s="121" t="n"/>
      <c r="L62" s="121" t="n"/>
      <c r="M62" s="121" t="n"/>
      <c r="N62" s="122" t="n"/>
      <c r="O62" s="46">
        <f>IF($AQ62=0,"",MONTH(INDEX('01_予約入力'!$J$5:$J$404,$AQ62))&amp;"/"&amp;DAY(INDEX('01_予約入力'!$J$5:$J$404,$AQ62))&amp;"("&amp;MID("日月火水木金土",WEEKDAY(INDEX('01_予約入力'!$J$5:$J$404,$AQ62)),1)&amp;")"&amp;" "&amp;INDEX('01_予約入力'!$AE$5:$AE$404,$AQ62))</f>
        <v/>
      </c>
      <c r="P62" s="121" t="n"/>
      <c r="Q62" s="121" t="n"/>
      <c r="R62" s="121" t="n"/>
      <c r="S62" s="121" t="n"/>
      <c r="T62" s="122" t="n"/>
      <c r="U62" s="47">
        <f>IF($AQ62=0,"",IF(INDEX('01_予約入力'!$J$5:$J$404,$AQ62)=INDEX('01_予約入力'!$G$5:$G$404,$AQ62),"日帰り",INDEX('01_予約入力'!$J$5:$J$404,$AQ62)-INDEX('01_予約入力'!$G$5:$G$404,$AQ62)&amp;"泊"))</f>
        <v/>
      </c>
      <c r="V62" s="121" t="n"/>
      <c r="W62" s="122" t="n"/>
      <c r="X62" s="47">
        <f>IF($AQ62=0,"",IF(AND(INDEX('01_予約入力'!$L$5:$L$404,$AQ62)="",INDEX('01_予約入力'!$M$5:$M$404,$AQ62)="",INDEX('01_予約入力'!$N$5:$N$404,$AQ62)=""),"標準","朝"&amp;IF(INDEX('01_予約入力'!$L$5:$L$404,$AQ62)="","−",INDEX('01_予約入力'!$L$5:$L$404,$AQ62))&amp;" 昼"&amp;IF(INDEX('01_予約入力'!$M$5:$M$404,$AQ62)="","−",INDEX('01_予約入力'!$M$5:$M$404,$AQ62))&amp;" 夕"&amp;IF(INDEX('01_予約入力'!$N$5:$N$404,$AQ62)="","−",INDEX('01_予約入力'!$N$5:$N$404,$AQ62))))</f>
        <v/>
      </c>
      <c r="Y62" s="121" t="n"/>
      <c r="Z62" s="121" t="n"/>
      <c r="AA62" s="122" t="n"/>
      <c r="AB62" s="47">
        <f>IF($AQ62=0,"",IF(INDEX('01_予約入力'!$Q$5:$Q$404,$AQ62)="","確定",INDEX('01_予約入力'!$Q$5:$Q$404,$AQ62)))</f>
        <v/>
      </c>
      <c r="AC62" s="121" t="n"/>
      <c r="AD62" s="122" t="n"/>
      <c r="AE62" s="46">
        <f>IF($AQ62=0,"",INDEX('01_予約入力'!$V$5:$V$404,$AQ62))</f>
        <v/>
      </c>
      <c r="AF62" s="121" t="n"/>
      <c r="AG62" s="122" t="n"/>
      <c r="AP62">
        <f>IFERROR(SMALL('01_予約入力'!$AC$5:$AC$404,30),"")</f>
        <v/>
      </c>
      <c r="AQ62">
        <f>IF($AP62="",0,IFERROR(MATCH($AP62,'01_予約入力'!$AC$5:$AC$404,0),0))</f>
        <v/>
      </c>
    </row>
    <row r="63">
      <c r="A63" s="46">
        <f>IF($AQ63=0,"",INDEX('01_予約入力'!$B$5:$B$404,$AQ63))</f>
        <v/>
      </c>
      <c r="B63" s="47">
        <f>IF($AQ63=0,"",IF(INDEX('01_予約入力'!$D$5:$D$404,$AQ63)="","⚠未選択",INDEX('01_予約入力'!$D$5:$D$404,$AQ63)))</f>
        <v/>
      </c>
      <c r="C63" s="121" t="n"/>
      <c r="D63" s="121" t="n"/>
      <c r="E63" s="122" t="n"/>
      <c r="F63" s="47">
        <f>IF($AQ63=0,"",INDEX('01_予約入力'!$C$5:$C$404,$AQ63))</f>
        <v/>
      </c>
      <c r="G63" s="121" t="n"/>
      <c r="H63" s="122" t="n"/>
      <c r="I63" s="46">
        <f>IF($AQ63=0,"",MONTH(INDEX('01_予約入力'!$G$5:$G$404,$AQ63))&amp;"/"&amp;DAY(INDEX('01_予約入力'!$G$5:$G$404,$AQ63))&amp;"("&amp;MID("日月火水木金土",WEEKDAY(INDEX('01_予約入力'!$G$5:$G$404,$AQ63)),1)&amp;")"&amp;" "&amp;INDEX('01_予約入力'!$AD$5:$AD$404,$AQ63))</f>
        <v/>
      </c>
      <c r="J63" s="121" t="n"/>
      <c r="K63" s="121" t="n"/>
      <c r="L63" s="121" t="n"/>
      <c r="M63" s="121" t="n"/>
      <c r="N63" s="122" t="n"/>
      <c r="O63" s="46">
        <f>IF($AQ63=0,"",MONTH(INDEX('01_予約入力'!$J$5:$J$404,$AQ63))&amp;"/"&amp;DAY(INDEX('01_予約入力'!$J$5:$J$404,$AQ63))&amp;"("&amp;MID("日月火水木金土",WEEKDAY(INDEX('01_予約入力'!$J$5:$J$404,$AQ63)),1)&amp;")"&amp;" "&amp;INDEX('01_予約入力'!$AE$5:$AE$404,$AQ63))</f>
        <v/>
      </c>
      <c r="P63" s="121" t="n"/>
      <c r="Q63" s="121" t="n"/>
      <c r="R63" s="121" t="n"/>
      <c r="S63" s="121" t="n"/>
      <c r="T63" s="122" t="n"/>
      <c r="U63" s="47">
        <f>IF($AQ63=0,"",IF(INDEX('01_予約入力'!$J$5:$J$404,$AQ63)=INDEX('01_予約入力'!$G$5:$G$404,$AQ63),"日帰り",INDEX('01_予約入力'!$J$5:$J$404,$AQ63)-INDEX('01_予約入力'!$G$5:$G$404,$AQ63)&amp;"泊"))</f>
        <v/>
      </c>
      <c r="V63" s="121" t="n"/>
      <c r="W63" s="122" t="n"/>
      <c r="X63" s="47">
        <f>IF($AQ63=0,"",IF(AND(INDEX('01_予約入力'!$L$5:$L$404,$AQ63)="",INDEX('01_予約入力'!$M$5:$M$404,$AQ63)="",INDEX('01_予約入力'!$N$5:$N$404,$AQ63)=""),"標準","朝"&amp;IF(INDEX('01_予約入力'!$L$5:$L$404,$AQ63)="","−",INDEX('01_予約入力'!$L$5:$L$404,$AQ63))&amp;" 昼"&amp;IF(INDEX('01_予約入力'!$M$5:$M$404,$AQ63)="","−",INDEX('01_予約入力'!$M$5:$M$404,$AQ63))&amp;" 夕"&amp;IF(INDEX('01_予約入力'!$N$5:$N$404,$AQ63)="","−",INDEX('01_予約入力'!$N$5:$N$404,$AQ63))))</f>
        <v/>
      </c>
      <c r="Y63" s="121" t="n"/>
      <c r="Z63" s="121" t="n"/>
      <c r="AA63" s="122" t="n"/>
      <c r="AB63" s="47">
        <f>IF($AQ63=0,"",IF(INDEX('01_予約入力'!$Q$5:$Q$404,$AQ63)="","確定",INDEX('01_予約入力'!$Q$5:$Q$404,$AQ63)))</f>
        <v/>
      </c>
      <c r="AC63" s="121" t="n"/>
      <c r="AD63" s="122" t="n"/>
      <c r="AE63" s="46">
        <f>IF($AQ63=0,"",INDEX('01_予約入力'!$V$5:$V$404,$AQ63))</f>
        <v/>
      </c>
      <c r="AF63" s="121" t="n"/>
      <c r="AG63" s="122" t="n"/>
      <c r="AP63">
        <f>IFERROR(SMALL('01_予約入力'!$AC$5:$AC$404,31),"")</f>
        <v/>
      </c>
      <c r="AQ63">
        <f>IF($AP63="",0,IFERROR(MATCH($AP63,'01_予約入力'!$AC$5:$AC$404,0),0))</f>
        <v/>
      </c>
    </row>
    <row r="64">
      <c r="A64" s="46">
        <f>IF($AQ64=0,"",INDEX('01_予約入力'!$B$5:$B$404,$AQ64))</f>
        <v/>
      </c>
      <c r="B64" s="47">
        <f>IF($AQ64=0,"",IF(INDEX('01_予約入力'!$D$5:$D$404,$AQ64)="","⚠未選択",INDEX('01_予約入力'!$D$5:$D$404,$AQ64)))</f>
        <v/>
      </c>
      <c r="C64" s="121" t="n"/>
      <c r="D64" s="121" t="n"/>
      <c r="E64" s="122" t="n"/>
      <c r="F64" s="47">
        <f>IF($AQ64=0,"",INDEX('01_予約入力'!$C$5:$C$404,$AQ64))</f>
        <v/>
      </c>
      <c r="G64" s="121" t="n"/>
      <c r="H64" s="122" t="n"/>
      <c r="I64" s="46">
        <f>IF($AQ64=0,"",MONTH(INDEX('01_予約入力'!$G$5:$G$404,$AQ64))&amp;"/"&amp;DAY(INDEX('01_予約入力'!$G$5:$G$404,$AQ64))&amp;"("&amp;MID("日月火水木金土",WEEKDAY(INDEX('01_予約入力'!$G$5:$G$404,$AQ64)),1)&amp;")"&amp;" "&amp;INDEX('01_予約入力'!$AD$5:$AD$404,$AQ64))</f>
        <v/>
      </c>
      <c r="J64" s="121" t="n"/>
      <c r="K64" s="121" t="n"/>
      <c r="L64" s="121" t="n"/>
      <c r="M64" s="121" t="n"/>
      <c r="N64" s="122" t="n"/>
      <c r="O64" s="46">
        <f>IF($AQ64=0,"",MONTH(INDEX('01_予約入力'!$J$5:$J$404,$AQ64))&amp;"/"&amp;DAY(INDEX('01_予約入力'!$J$5:$J$404,$AQ64))&amp;"("&amp;MID("日月火水木金土",WEEKDAY(INDEX('01_予約入力'!$J$5:$J$404,$AQ64)),1)&amp;")"&amp;" "&amp;INDEX('01_予約入力'!$AE$5:$AE$404,$AQ64))</f>
        <v/>
      </c>
      <c r="P64" s="121" t="n"/>
      <c r="Q64" s="121" t="n"/>
      <c r="R64" s="121" t="n"/>
      <c r="S64" s="121" t="n"/>
      <c r="T64" s="122" t="n"/>
      <c r="U64" s="47">
        <f>IF($AQ64=0,"",IF(INDEX('01_予約入力'!$J$5:$J$404,$AQ64)=INDEX('01_予約入力'!$G$5:$G$404,$AQ64),"日帰り",INDEX('01_予約入力'!$J$5:$J$404,$AQ64)-INDEX('01_予約入力'!$G$5:$G$404,$AQ64)&amp;"泊"))</f>
        <v/>
      </c>
      <c r="V64" s="121" t="n"/>
      <c r="W64" s="122" t="n"/>
      <c r="X64" s="47">
        <f>IF($AQ64=0,"",IF(AND(INDEX('01_予約入力'!$L$5:$L$404,$AQ64)="",INDEX('01_予約入力'!$M$5:$M$404,$AQ64)="",INDEX('01_予約入力'!$N$5:$N$404,$AQ64)=""),"標準","朝"&amp;IF(INDEX('01_予約入力'!$L$5:$L$404,$AQ64)="","−",INDEX('01_予約入力'!$L$5:$L$404,$AQ64))&amp;" 昼"&amp;IF(INDEX('01_予約入力'!$M$5:$M$404,$AQ64)="","−",INDEX('01_予約入力'!$M$5:$M$404,$AQ64))&amp;" 夕"&amp;IF(INDEX('01_予約入力'!$N$5:$N$404,$AQ64)="","−",INDEX('01_予約入力'!$N$5:$N$404,$AQ64))))</f>
        <v/>
      </c>
      <c r="Y64" s="121" t="n"/>
      <c r="Z64" s="121" t="n"/>
      <c r="AA64" s="122" t="n"/>
      <c r="AB64" s="47">
        <f>IF($AQ64=0,"",IF(INDEX('01_予約入力'!$Q$5:$Q$404,$AQ64)="","確定",INDEX('01_予約入力'!$Q$5:$Q$404,$AQ64)))</f>
        <v/>
      </c>
      <c r="AC64" s="121" t="n"/>
      <c r="AD64" s="122" t="n"/>
      <c r="AE64" s="46">
        <f>IF($AQ64=0,"",INDEX('01_予約入力'!$V$5:$V$404,$AQ64))</f>
        <v/>
      </c>
      <c r="AF64" s="121" t="n"/>
      <c r="AG64" s="122" t="n"/>
      <c r="AP64">
        <f>IFERROR(SMALL('01_予約入力'!$AC$5:$AC$404,32),"")</f>
        <v/>
      </c>
      <c r="AQ64">
        <f>IF($AP64="",0,IFERROR(MATCH($AP64,'01_予約入力'!$AC$5:$AC$404,0),0))</f>
        <v/>
      </c>
    </row>
    <row r="65">
      <c r="A65" s="46">
        <f>IF($AQ65=0,"",INDEX('01_予約入力'!$B$5:$B$404,$AQ65))</f>
        <v/>
      </c>
      <c r="B65" s="47">
        <f>IF($AQ65=0,"",IF(INDEX('01_予約入力'!$D$5:$D$404,$AQ65)="","⚠未選択",INDEX('01_予約入力'!$D$5:$D$404,$AQ65)))</f>
        <v/>
      </c>
      <c r="C65" s="121" t="n"/>
      <c r="D65" s="121" t="n"/>
      <c r="E65" s="122" t="n"/>
      <c r="F65" s="47">
        <f>IF($AQ65=0,"",INDEX('01_予約入力'!$C$5:$C$404,$AQ65))</f>
        <v/>
      </c>
      <c r="G65" s="121" t="n"/>
      <c r="H65" s="122" t="n"/>
      <c r="I65" s="46">
        <f>IF($AQ65=0,"",MONTH(INDEX('01_予約入力'!$G$5:$G$404,$AQ65))&amp;"/"&amp;DAY(INDEX('01_予約入力'!$G$5:$G$404,$AQ65))&amp;"("&amp;MID("日月火水木金土",WEEKDAY(INDEX('01_予約入力'!$G$5:$G$404,$AQ65)),1)&amp;")"&amp;" "&amp;INDEX('01_予約入力'!$AD$5:$AD$404,$AQ65))</f>
        <v/>
      </c>
      <c r="J65" s="121" t="n"/>
      <c r="K65" s="121" t="n"/>
      <c r="L65" s="121" t="n"/>
      <c r="M65" s="121" t="n"/>
      <c r="N65" s="122" t="n"/>
      <c r="O65" s="46">
        <f>IF($AQ65=0,"",MONTH(INDEX('01_予約入力'!$J$5:$J$404,$AQ65))&amp;"/"&amp;DAY(INDEX('01_予約入力'!$J$5:$J$404,$AQ65))&amp;"("&amp;MID("日月火水木金土",WEEKDAY(INDEX('01_予約入力'!$J$5:$J$404,$AQ65)),1)&amp;")"&amp;" "&amp;INDEX('01_予約入力'!$AE$5:$AE$404,$AQ65))</f>
        <v/>
      </c>
      <c r="P65" s="121" t="n"/>
      <c r="Q65" s="121" t="n"/>
      <c r="R65" s="121" t="n"/>
      <c r="S65" s="121" t="n"/>
      <c r="T65" s="122" t="n"/>
      <c r="U65" s="47">
        <f>IF($AQ65=0,"",IF(INDEX('01_予約入力'!$J$5:$J$404,$AQ65)=INDEX('01_予約入力'!$G$5:$G$404,$AQ65),"日帰り",INDEX('01_予約入力'!$J$5:$J$404,$AQ65)-INDEX('01_予約入力'!$G$5:$G$404,$AQ65)&amp;"泊"))</f>
        <v/>
      </c>
      <c r="V65" s="121" t="n"/>
      <c r="W65" s="122" t="n"/>
      <c r="X65" s="47">
        <f>IF($AQ65=0,"",IF(AND(INDEX('01_予約入力'!$L$5:$L$404,$AQ65)="",INDEX('01_予約入力'!$M$5:$M$404,$AQ65)="",INDEX('01_予約入力'!$N$5:$N$404,$AQ65)=""),"標準","朝"&amp;IF(INDEX('01_予約入力'!$L$5:$L$404,$AQ65)="","−",INDEX('01_予約入力'!$L$5:$L$404,$AQ65))&amp;" 昼"&amp;IF(INDEX('01_予約入力'!$M$5:$M$404,$AQ65)="","−",INDEX('01_予約入力'!$M$5:$M$404,$AQ65))&amp;" 夕"&amp;IF(INDEX('01_予約入力'!$N$5:$N$404,$AQ65)="","−",INDEX('01_予約入力'!$N$5:$N$404,$AQ65))))</f>
        <v/>
      </c>
      <c r="Y65" s="121" t="n"/>
      <c r="Z65" s="121" t="n"/>
      <c r="AA65" s="122" t="n"/>
      <c r="AB65" s="47">
        <f>IF($AQ65=0,"",IF(INDEX('01_予約入力'!$Q$5:$Q$404,$AQ65)="","確定",INDEX('01_予約入力'!$Q$5:$Q$404,$AQ65)))</f>
        <v/>
      </c>
      <c r="AC65" s="121" t="n"/>
      <c r="AD65" s="122" t="n"/>
      <c r="AE65" s="46">
        <f>IF($AQ65=0,"",INDEX('01_予約入力'!$V$5:$V$404,$AQ65))</f>
        <v/>
      </c>
      <c r="AF65" s="121" t="n"/>
      <c r="AG65" s="122" t="n"/>
      <c r="AP65">
        <f>IFERROR(SMALL('01_予約入力'!$AC$5:$AC$404,33),"")</f>
        <v/>
      </c>
      <c r="AQ65">
        <f>IF($AP65="",0,IFERROR(MATCH($AP65,'01_予約入力'!$AC$5:$AC$404,0),0))</f>
        <v/>
      </c>
    </row>
    <row r="66">
      <c r="A66" s="46">
        <f>IF($AQ66=0,"",INDEX('01_予約入力'!$B$5:$B$404,$AQ66))</f>
        <v/>
      </c>
      <c r="B66" s="47">
        <f>IF($AQ66=0,"",IF(INDEX('01_予約入力'!$D$5:$D$404,$AQ66)="","⚠未選択",INDEX('01_予約入力'!$D$5:$D$404,$AQ66)))</f>
        <v/>
      </c>
      <c r="C66" s="121" t="n"/>
      <c r="D66" s="121" t="n"/>
      <c r="E66" s="122" t="n"/>
      <c r="F66" s="47">
        <f>IF($AQ66=0,"",INDEX('01_予約入力'!$C$5:$C$404,$AQ66))</f>
        <v/>
      </c>
      <c r="G66" s="121" t="n"/>
      <c r="H66" s="122" t="n"/>
      <c r="I66" s="46">
        <f>IF($AQ66=0,"",MONTH(INDEX('01_予約入力'!$G$5:$G$404,$AQ66))&amp;"/"&amp;DAY(INDEX('01_予約入力'!$G$5:$G$404,$AQ66))&amp;"("&amp;MID("日月火水木金土",WEEKDAY(INDEX('01_予約入力'!$G$5:$G$404,$AQ66)),1)&amp;")"&amp;" "&amp;INDEX('01_予約入力'!$AD$5:$AD$404,$AQ66))</f>
        <v/>
      </c>
      <c r="J66" s="121" t="n"/>
      <c r="K66" s="121" t="n"/>
      <c r="L66" s="121" t="n"/>
      <c r="M66" s="121" t="n"/>
      <c r="N66" s="122" t="n"/>
      <c r="O66" s="46">
        <f>IF($AQ66=0,"",MONTH(INDEX('01_予約入力'!$J$5:$J$404,$AQ66))&amp;"/"&amp;DAY(INDEX('01_予約入力'!$J$5:$J$404,$AQ66))&amp;"("&amp;MID("日月火水木金土",WEEKDAY(INDEX('01_予約入力'!$J$5:$J$404,$AQ66)),1)&amp;")"&amp;" "&amp;INDEX('01_予約入力'!$AE$5:$AE$404,$AQ66))</f>
        <v/>
      </c>
      <c r="P66" s="121" t="n"/>
      <c r="Q66" s="121" t="n"/>
      <c r="R66" s="121" t="n"/>
      <c r="S66" s="121" t="n"/>
      <c r="T66" s="122" t="n"/>
      <c r="U66" s="47">
        <f>IF($AQ66=0,"",IF(INDEX('01_予約入力'!$J$5:$J$404,$AQ66)=INDEX('01_予約入力'!$G$5:$G$404,$AQ66),"日帰り",INDEX('01_予約入力'!$J$5:$J$404,$AQ66)-INDEX('01_予約入力'!$G$5:$G$404,$AQ66)&amp;"泊"))</f>
        <v/>
      </c>
      <c r="V66" s="121" t="n"/>
      <c r="W66" s="122" t="n"/>
      <c r="X66" s="47">
        <f>IF($AQ66=0,"",IF(AND(INDEX('01_予約入力'!$L$5:$L$404,$AQ66)="",INDEX('01_予約入力'!$M$5:$M$404,$AQ66)="",INDEX('01_予約入力'!$N$5:$N$404,$AQ66)=""),"標準","朝"&amp;IF(INDEX('01_予約入力'!$L$5:$L$404,$AQ66)="","−",INDEX('01_予約入力'!$L$5:$L$404,$AQ66))&amp;" 昼"&amp;IF(INDEX('01_予約入力'!$M$5:$M$404,$AQ66)="","−",INDEX('01_予約入力'!$M$5:$M$404,$AQ66))&amp;" 夕"&amp;IF(INDEX('01_予約入力'!$N$5:$N$404,$AQ66)="","−",INDEX('01_予約入力'!$N$5:$N$404,$AQ66))))</f>
        <v/>
      </c>
      <c r="Y66" s="121" t="n"/>
      <c r="Z66" s="121" t="n"/>
      <c r="AA66" s="122" t="n"/>
      <c r="AB66" s="47">
        <f>IF($AQ66=0,"",IF(INDEX('01_予約入力'!$Q$5:$Q$404,$AQ66)="","確定",INDEX('01_予約入力'!$Q$5:$Q$404,$AQ66)))</f>
        <v/>
      </c>
      <c r="AC66" s="121" t="n"/>
      <c r="AD66" s="122" t="n"/>
      <c r="AE66" s="46">
        <f>IF($AQ66=0,"",INDEX('01_予約入力'!$V$5:$V$404,$AQ66))</f>
        <v/>
      </c>
      <c r="AF66" s="121" t="n"/>
      <c r="AG66" s="122" t="n"/>
      <c r="AP66">
        <f>IFERROR(SMALL('01_予約入力'!$AC$5:$AC$404,34),"")</f>
        <v/>
      </c>
      <c r="AQ66">
        <f>IF($AP66="",0,IFERROR(MATCH($AP66,'01_予約入力'!$AC$5:$AC$404,0),0))</f>
        <v/>
      </c>
    </row>
    <row r="67">
      <c r="A67" s="46">
        <f>IF($AQ67=0,"",INDEX('01_予約入力'!$B$5:$B$404,$AQ67))</f>
        <v/>
      </c>
      <c r="B67" s="47">
        <f>IF($AQ67=0,"",IF(INDEX('01_予約入力'!$D$5:$D$404,$AQ67)="","⚠未選択",INDEX('01_予約入力'!$D$5:$D$404,$AQ67)))</f>
        <v/>
      </c>
      <c r="C67" s="121" t="n"/>
      <c r="D67" s="121" t="n"/>
      <c r="E67" s="122" t="n"/>
      <c r="F67" s="47">
        <f>IF($AQ67=0,"",INDEX('01_予約入力'!$C$5:$C$404,$AQ67))</f>
        <v/>
      </c>
      <c r="G67" s="121" t="n"/>
      <c r="H67" s="122" t="n"/>
      <c r="I67" s="46">
        <f>IF($AQ67=0,"",MONTH(INDEX('01_予約入力'!$G$5:$G$404,$AQ67))&amp;"/"&amp;DAY(INDEX('01_予約入力'!$G$5:$G$404,$AQ67))&amp;"("&amp;MID("日月火水木金土",WEEKDAY(INDEX('01_予約入力'!$G$5:$G$404,$AQ67)),1)&amp;")"&amp;" "&amp;INDEX('01_予約入力'!$AD$5:$AD$404,$AQ67))</f>
        <v/>
      </c>
      <c r="J67" s="121" t="n"/>
      <c r="K67" s="121" t="n"/>
      <c r="L67" s="121" t="n"/>
      <c r="M67" s="121" t="n"/>
      <c r="N67" s="122" t="n"/>
      <c r="O67" s="46">
        <f>IF($AQ67=0,"",MONTH(INDEX('01_予約入力'!$J$5:$J$404,$AQ67))&amp;"/"&amp;DAY(INDEX('01_予約入力'!$J$5:$J$404,$AQ67))&amp;"("&amp;MID("日月火水木金土",WEEKDAY(INDEX('01_予約入力'!$J$5:$J$404,$AQ67)),1)&amp;")"&amp;" "&amp;INDEX('01_予約入力'!$AE$5:$AE$404,$AQ67))</f>
        <v/>
      </c>
      <c r="P67" s="121" t="n"/>
      <c r="Q67" s="121" t="n"/>
      <c r="R67" s="121" t="n"/>
      <c r="S67" s="121" t="n"/>
      <c r="T67" s="122" t="n"/>
      <c r="U67" s="47">
        <f>IF($AQ67=0,"",IF(INDEX('01_予約入力'!$J$5:$J$404,$AQ67)=INDEX('01_予約入力'!$G$5:$G$404,$AQ67),"日帰り",INDEX('01_予約入力'!$J$5:$J$404,$AQ67)-INDEX('01_予約入力'!$G$5:$G$404,$AQ67)&amp;"泊"))</f>
        <v/>
      </c>
      <c r="V67" s="121" t="n"/>
      <c r="W67" s="122" t="n"/>
      <c r="X67" s="47">
        <f>IF($AQ67=0,"",IF(AND(INDEX('01_予約入力'!$L$5:$L$404,$AQ67)="",INDEX('01_予約入力'!$M$5:$M$404,$AQ67)="",INDEX('01_予約入力'!$N$5:$N$404,$AQ67)=""),"標準","朝"&amp;IF(INDEX('01_予約入力'!$L$5:$L$404,$AQ67)="","−",INDEX('01_予約入力'!$L$5:$L$404,$AQ67))&amp;" 昼"&amp;IF(INDEX('01_予約入力'!$M$5:$M$404,$AQ67)="","−",INDEX('01_予約入力'!$M$5:$M$404,$AQ67))&amp;" 夕"&amp;IF(INDEX('01_予約入力'!$N$5:$N$404,$AQ67)="","−",INDEX('01_予約入力'!$N$5:$N$404,$AQ67))))</f>
        <v/>
      </c>
      <c r="Y67" s="121" t="n"/>
      <c r="Z67" s="121" t="n"/>
      <c r="AA67" s="122" t="n"/>
      <c r="AB67" s="47">
        <f>IF($AQ67=0,"",IF(INDEX('01_予約入力'!$Q$5:$Q$404,$AQ67)="","確定",INDEX('01_予約入力'!$Q$5:$Q$404,$AQ67)))</f>
        <v/>
      </c>
      <c r="AC67" s="121" t="n"/>
      <c r="AD67" s="122" t="n"/>
      <c r="AE67" s="46">
        <f>IF($AQ67=0,"",INDEX('01_予約入力'!$V$5:$V$404,$AQ67))</f>
        <v/>
      </c>
      <c r="AF67" s="121" t="n"/>
      <c r="AG67" s="122" t="n"/>
      <c r="AP67">
        <f>IFERROR(SMALL('01_予約入力'!$AC$5:$AC$404,35),"")</f>
        <v/>
      </c>
      <c r="AQ67">
        <f>IF($AP67="",0,IFERROR(MATCH($AP67,'01_予約入力'!$AC$5:$AC$404,0),0))</f>
        <v/>
      </c>
    </row>
    <row r="68">
      <c r="A68" s="46">
        <f>IF($AQ68=0,"",INDEX('01_予約入力'!$B$5:$B$404,$AQ68))</f>
        <v/>
      </c>
      <c r="B68" s="47">
        <f>IF($AQ68=0,"",IF(INDEX('01_予約入力'!$D$5:$D$404,$AQ68)="","⚠未選択",INDEX('01_予約入力'!$D$5:$D$404,$AQ68)))</f>
        <v/>
      </c>
      <c r="C68" s="121" t="n"/>
      <c r="D68" s="121" t="n"/>
      <c r="E68" s="122" t="n"/>
      <c r="F68" s="47">
        <f>IF($AQ68=0,"",INDEX('01_予約入力'!$C$5:$C$404,$AQ68))</f>
        <v/>
      </c>
      <c r="G68" s="121" t="n"/>
      <c r="H68" s="122" t="n"/>
      <c r="I68" s="46">
        <f>IF($AQ68=0,"",MONTH(INDEX('01_予約入力'!$G$5:$G$404,$AQ68))&amp;"/"&amp;DAY(INDEX('01_予約入力'!$G$5:$G$404,$AQ68))&amp;"("&amp;MID("日月火水木金土",WEEKDAY(INDEX('01_予約入力'!$G$5:$G$404,$AQ68)),1)&amp;")"&amp;" "&amp;INDEX('01_予約入力'!$AD$5:$AD$404,$AQ68))</f>
        <v/>
      </c>
      <c r="J68" s="121" t="n"/>
      <c r="K68" s="121" t="n"/>
      <c r="L68" s="121" t="n"/>
      <c r="M68" s="121" t="n"/>
      <c r="N68" s="122" t="n"/>
      <c r="O68" s="46">
        <f>IF($AQ68=0,"",MONTH(INDEX('01_予約入力'!$J$5:$J$404,$AQ68))&amp;"/"&amp;DAY(INDEX('01_予約入力'!$J$5:$J$404,$AQ68))&amp;"("&amp;MID("日月火水木金土",WEEKDAY(INDEX('01_予約入力'!$J$5:$J$404,$AQ68)),1)&amp;")"&amp;" "&amp;INDEX('01_予約入力'!$AE$5:$AE$404,$AQ68))</f>
        <v/>
      </c>
      <c r="P68" s="121" t="n"/>
      <c r="Q68" s="121" t="n"/>
      <c r="R68" s="121" t="n"/>
      <c r="S68" s="121" t="n"/>
      <c r="T68" s="122" t="n"/>
      <c r="U68" s="47">
        <f>IF($AQ68=0,"",IF(INDEX('01_予約入力'!$J$5:$J$404,$AQ68)=INDEX('01_予約入力'!$G$5:$G$404,$AQ68),"日帰り",INDEX('01_予約入力'!$J$5:$J$404,$AQ68)-INDEX('01_予約入力'!$G$5:$G$404,$AQ68)&amp;"泊"))</f>
        <v/>
      </c>
      <c r="V68" s="121" t="n"/>
      <c r="W68" s="122" t="n"/>
      <c r="X68" s="47">
        <f>IF($AQ68=0,"",IF(AND(INDEX('01_予約入力'!$L$5:$L$404,$AQ68)="",INDEX('01_予約入力'!$M$5:$M$404,$AQ68)="",INDEX('01_予約入力'!$N$5:$N$404,$AQ68)=""),"標準","朝"&amp;IF(INDEX('01_予約入力'!$L$5:$L$404,$AQ68)="","−",INDEX('01_予約入力'!$L$5:$L$404,$AQ68))&amp;" 昼"&amp;IF(INDEX('01_予約入力'!$M$5:$M$404,$AQ68)="","−",INDEX('01_予約入力'!$M$5:$M$404,$AQ68))&amp;" 夕"&amp;IF(INDEX('01_予約入力'!$N$5:$N$404,$AQ68)="","−",INDEX('01_予約入力'!$N$5:$N$404,$AQ68))))</f>
        <v/>
      </c>
      <c r="Y68" s="121" t="n"/>
      <c r="Z68" s="121" t="n"/>
      <c r="AA68" s="122" t="n"/>
      <c r="AB68" s="47">
        <f>IF($AQ68=0,"",IF(INDEX('01_予約入力'!$Q$5:$Q$404,$AQ68)="","確定",INDEX('01_予約入力'!$Q$5:$Q$404,$AQ68)))</f>
        <v/>
      </c>
      <c r="AC68" s="121" t="n"/>
      <c r="AD68" s="122" t="n"/>
      <c r="AE68" s="46">
        <f>IF($AQ68=0,"",INDEX('01_予約入力'!$V$5:$V$404,$AQ68))</f>
        <v/>
      </c>
      <c r="AF68" s="121" t="n"/>
      <c r="AG68" s="122" t="n"/>
      <c r="AP68">
        <f>IFERROR(SMALL('01_予約入力'!$AC$5:$AC$404,36),"")</f>
        <v/>
      </c>
      <c r="AQ68">
        <f>IF($AP68="",0,IFERROR(MATCH($AP68,'01_予約入力'!$AC$5:$AC$404,0),0))</f>
        <v/>
      </c>
    </row>
    <row r="69">
      <c r="A69" s="46">
        <f>IF($AQ69=0,"",INDEX('01_予約入力'!$B$5:$B$404,$AQ69))</f>
        <v/>
      </c>
      <c r="B69" s="47">
        <f>IF($AQ69=0,"",IF(INDEX('01_予約入力'!$D$5:$D$404,$AQ69)="","⚠未選択",INDEX('01_予約入力'!$D$5:$D$404,$AQ69)))</f>
        <v/>
      </c>
      <c r="C69" s="121" t="n"/>
      <c r="D69" s="121" t="n"/>
      <c r="E69" s="122" t="n"/>
      <c r="F69" s="47">
        <f>IF($AQ69=0,"",INDEX('01_予約入力'!$C$5:$C$404,$AQ69))</f>
        <v/>
      </c>
      <c r="G69" s="121" t="n"/>
      <c r="H69" s="122" t="n"/>
      <c r="I69" s="46">
        <f>IF($AQ69=0,"",MONTH(INDEX('01_予約入力'!$G$5:$G$404,$AQ69))&amp;"/"&amp;DAY(INDEX('01_予約入力'!$G$5:$G$404,$AQ69))&amp;"("&amp;MID("日月火水木金土",WEEKDAY(INDEX('01_予約入力'!$G$5:$G$404,$AQ69)),1)&amp;")"&amp;" "&amp;INDEX('01_予約入力'!$AD$5:$AD$404,$AQ69))</f>
        <v/>
      </c>
      <c r="J69" s="121" t="n"/>
      <c r="K69" s="121" t="n"/>
      <c r="L69" s="121" t="n"/>
      <c r="M69" s="121" t="n"/>
      <c r="N69" s="122" t="n"/>
      <c r="O69" s="46">
        <f>IF($AQ69=0,"",MONTH(INDEX('01_予約入力'!$J$5:$J$404,$AQ69))&amp;"/"&amp;DAY(INDEX('01_予約入力'!$J$5:$J$404,$AQ69))&amp;"("&amp;MID("日月火水木金土",WEEKDAY(INDEX('01_予約入力'!$J$5:$J$404,$AQ69)),1)&amp;")"&amp;" "&amp;INDEX('01_予約入力'!$AE$5:$AE$404,$AQ69))</f>
        <v/>
      </c>
      <c r="P69" s="121" t="n"/>
      <c r="Q69" s="121" t="n"/>
      <c r="R69" s="121" t="n"/>
      <c r="S69" s="121" t="n"/>
      <c r="T69" s="122" t="n"/>
      <c r="U69" s="47">
        <f>IF($AQ69=0,"",IF(INDEX('01_予約入力'!$J$5:$J$404,$AQ69)=INDEX('01_予約入力'!$G$5:$G$404,$AQ69),"日帰り",INDEX('01_予約入力'!$J$5:$J$404,$AQ69)-INDEX('01_予約入力'!$G$5:$G$404,$AQ69)&amp;"泊"))</f>
        <v/>
      </c>
      <c r="V69" s="121" t="n"/>
      <c r="W69" s="122" t="n"/>
      <c r="X69" s="47">
        <f>IF($AQ69=0,"",IF(AND(INDEX('01_予約入力'!$L$5:$L$404,$AQ69)="",INDEX('01_予約入力'!$M$5:$M$404,$AQ69)="",INDEX('01_予約入力'!$N$5:$N$404,$AQ69)=""),"標準","朝"&amp;IF(INDEX('01_予約入力'!$L$5:$L$404,$AQ69)="","−",INDEX('01_予約入力'!$L$5:$L$404,$AQ69))&amp;" 昼"&amp;IF(INDEX('01_予約入力'!$M$5:$M$404,$AQ69)="","−",INDEX('01_予約入力'!$M$5:$M$404,$AQ69))&amp;" 夕"&amp;IF(INDEX('01_予約入力'!$N$5:$N$404,$AQ69)="","−",INDEX('01_予約入力'!$N$5:$N$404,$AQ69))))</f>
        <v/>
      </c>
      <c r="Y69" s="121" t="n"/>
      <c r="Z69" s="121" t="n"/>
      <c r="AA69" s="122" t="n"/>
      <c r="AB69" s="47">
        <f>IF($AQ69=0,"",IF(INDEX('01_予約入力'!$Q$5:$Q$404,$AQ69)="","確定",INDEX('01_予約入力'!$Q$5:$Q$404,$AQ69)))</f>
        <v/>
      </c>
      <c r="AC69" s="121" t="n"/>
      <c r="AD69" s="122" t="n"/>
      <c r="AE69" s="46">
        <f>IF($AQ69=0,"",INDEX('01_予約入力'!$V$5:$V$404,$AQ69))</f>
        <v/>
      </c>
      <c r="AF69" s="121" t="n"/>
      <c r="AG69" s="122" t="n"/>
      <c r="AP69">
        <f>IFERROR(SMALL('01_予約入力'!$AC$5:$AC$404,37),"")</f>
        <v/>
      </c>
      <c r="AQ69">
        <f>IF($AP69="",0,IFERROR(MATCH($AP69,'01_予約入力'!$AC$5:$AC$404,0),0))</f>
        <v/>
      </c>
    </row>
    <row r="70">
      <c r="A70" s="46">
        <f>IF($AQ70=0,"",INDEX('01_予約入力'!$B$5:$B$404,$AQ70))</f>
        <v/>
      </c>
      <c r="B70" s="47">
        <f>IF($AQ70=0,"",IF(INDEX('01_予約入力'!$D$5:$D$404,$AQ70)="","⚠未選択",INDEX('01_予約入力'!$D$5:$D$404,$AQ70)))</f>
        <v/>
      </c>
      <c r="C70" s="121" t="n"/>
      <c r="D70" s="121" t="n"/>
      <c r="E70" s="122" t="n"/>
      <c r="F70" s="47">
        <f>IF($AQ70=0,"",INDEX('01_予約入力'!$C$5:$C$404,$AQ70))</f>
        <v/>
      </c>
      <c r="G70" s="121" t="n"/>
      <c r="H70" s="122" t="n"/>
      <c r="I70" s="46">
        <f>IF($AQ70=0,"",MONTH(INDEX('01_予約入力'!$G$5:$G$404,$AQ70))&amp;"/"&amp;DAY(INDEX('01_予約入力'!$G$5:$G$404,$AQ70))&amp;"("&amp;MID("日月火水木金土",WEEKDAY(INDEX('01_予約入力'!$G$5:$G$404,$AQ70)),1)&amp;")"&amp;" "&amp;INDEX('01_予約入力'!$AD$5:$AD$404,$AQ70))</f>
        <v/>
      </c>
      <c r="J70" s="121" t="n"/>
      <c r="K70" s="121" t="n"/>
      <c r="L70" s="121" t="n"/>
      <c r="M70" s="121" t="n"/>
      <c r="N70" s="122" t="n"/>
      <c r="O70" s="46">
        <f>IF($AQ70=0,"",MONTH(INDEX('01_予約入力'!$J$5:$J$404,$AQ70))&amp;"/"&amp;DAY(INDEX('01_予約入力'!$J$5:$J$404,$AQ70))&amp;"("&amp;MID("日月火水木金土",WEEKDAY(INDEX('01_予約入力'!$J$5:$J$404,$AQ70)),1)&amp;")"&amp;" "&amp;INDEX('01_予約入力'!$AE$5:$AE$404,$AQ70))</f>
        <v/>
      </c>
      <c r="P70" s="121" t="n"/>
      <c r="Q70" s="121" t="n"/>
      <c r="R70" s="121" t="n"/>
      <c r="S70" s="121" t="n"/>
      <c r="T70" s="122" t="n"/>
      <c r="U70" s="47">
        <f>IF($AQ70=0,"",IF(INDEX('01_予約入力'!$J$5:$J$404,$AQ70)=INDEX('01_予約入力'!$G$5:$G$404,$AQ70),"日帰り",INDEX('01_予約入力'!$J$5:$J$404,$AQ70)-INDEX('01_予約入力'!$G$5:$G$404,$AQ70)&amp;"泊"))</f>
        <v/>
      </c>
      <c r="V70" s="121" t="n"/>
      <c r="W70" s="122" t="n"/>
      <c r="X70" s="47">
        <f>IF($AQ70=0,"",IF(AND(INDEX('01_予約入力'!$L$5:$L$404,$AQ70)="",INDEX('01_予約入力'!$M$5:$M$404,$AQ70)="",INDEX('01_予約入力'!$N$5:$N$404,$AQ70)=""),"標準","朝"&amp;IF(INDEX('01_予約入力'!$L$5:$L$404,$AQ70)="","−",INDEX('01_予約入力'!$L$5:$L$404,$AQ70))&amp;" 昼"&amp;IF(INDEX('01_予約入力'!$M$5:$M$404,$AQ70)="","−",INDEX('01_予約入力'!$M$5:$M$404,$AQ70))&amp;" 夕"&amp;IF(INDEX('01_予約入力'!$N$5:$N$404,$AQ70)="","−",INDEX('01_予約入力'!$N$5:$N$404,$AQ70))))</f>
        <v/>
      </c>
      <c r="Y70" s="121" t="n"/>
      <c r="Z70" s="121" t="n"/>
      <c r="AA70" s="122" t="n"/>
      <c r="AB70" s="47">
        <f>IF($AQ70=0,"",IF(INDEX('01_予約入力'!$Q$5:$Q$404,$AQ70)="","確定",INDEX('01_予約入力'!$Q$5:$Q$404,$AQ70)))</f>
        <v/>
      </c>
      <c r="AC70" s="121" t="n"/>
      <c r="AD70" s="122" t="n"/>
      <c r="AE70" s="46">
        <f>IF($AQ70=0,"",INDEX('01_予約入力'!$V$5:$V$404,$AQ70))</f>
        <v/>
      </c>
      <c r="AF70" s="121" t="n"/>
      <c r="AG70" s="122" t="n"/>
      <c r="AP70">
        <f>IFERROR(SMALL('01_予約入力'!$AC$5:$AC$404,38),"")</f>
        <v/>
      </c>
      <c r="AQ70">
        <f>IF($AP70="",0,IFERROR(MATCH($AP70,'01_予約入力'!$AC$5:$AC$404,0),0))</f>
        <v/>
      </c>
    </row>
    <row r="71">
      <c r="A71" s="46">
        <f>IF($AQ71=0,"",INDEX('01_予約入力'!$B$5:$B$404,$AQ71))</f>
        <v/>
      </c>
      <c r="B71" s="47">
        <f>IF($AQ71=0,"",IF(INDEX('01_予約入力'!$D$5:$D$404,$AQ71)="","⚠未選択",INDEX('01_予約入力'!$D$5:$D$404,$AQ71)))</f>
        <v/>
      </c>
      <c r="C71" s="121" t="n"/>
      <c r="D71" s="121" t="n"/>
      <c r="E71" s="122" t="n"/>
      <c r="F71" s="47">
        <f>IF($AQ71=0,"",INDEX('01_予約入力'!$C$5:$C$404,$AQ71))</f>
        <v/>
      </c>
      <c r="G71" s="121" t="n"/>
      <c r="H71" s="122" t="n"/>
      <c r="I71" s="46">
        <f>IF($AQ71=0,"",MONTH(INDEX('01_予約入力'!$G$5:$G$404,$AQ71))&amp;"/"&amp;DAY(INDEX('01_予約入力'!$G$5:$G$404,$AQ71))&amp;"("&amp;MID("日月火水木金土",WEEKDAY(INDEX('01_予約入力'!$G$5:$G$404,$AQ71)),1)&amp;")"&amp;" "&amp;INDEX('01_予約入力'!$AD$5:$AD$404,$AQ71))</f>
        <v/>
      </c>
      <c r="J71" s="121" t="n"/>
      <c r="K71" s="121" t="n"/>
      <c r="L71" s="121" t="n"/>
      <c r="M71" s="121" t="n"/>
      <c r="N71" s="122" t="n"/>
      <c r="O71" s="46">
        <f>IF($AQ71=0,"",MONTH(INDEX('01_予約入力'!$J$5:$J$404,$AQ71))&amp;"/"&amp;DAY(INDEX('01_予約入力'!$J$5:$J$404,$AQ71))&amp;"("&amp;MID("日月火水木金土",WEEKDAY(INDEX('01_予約入力'!$J$5:$J$404,$AQ71)),1)&amp;")"&amp;" "&amp;INDEX('01_予約入力'!$AE$5:$AE$404,$AQ71))</f>
        <v/>
      </c>
      <c r="P71" s="121" t="n"/>
      <c r="Q71" s="121" t="n"/>
      <c r="R71" s="121" t="n"/>
      <c r="S71" s="121" t="n"/>
      <c r="T71" s="122" t="n"/>
      <c r="U71" s="47">
        <f>IF($AQ71=0,"",IF(INDEX('01_予約入力'!$J$5:$J$404,$AQ71)=INDEX('01_予約入力'!$G$5:$G$404,$AQ71),"日帰り",INDEX('01_予約入力'!$J$5:$J$404,$AQ71)-INDEX('01_予約入力'!$G$5:$G$404,$AQ71)&amp;"泊"))</f>
        <v/>
      </c>
      <c r="V71" s="121" t="n"/>
      <c r="W71" s="122" t="n"/>
      <c r="X71" s="47">
        <f>IF($AQ71=0,"",IF(AND(INDEX('01_予約入力'!$L$5:$L$404,$AQ71)="",INDEX('01_予約入力'!$M$5:$M$404,$AQ71)="",INDEX('01_予約入力'!$N$5:$N$404,$AQ71)=""),"標準","朝"&amp;IF(INDEX('01_予約入力'!$L$5:$L$404,$AQ71)="","−",INDEX('01_予約入力'!$L$5:$L$404,$AQ71))&amp;" 昼"&amp;IF(INDEX('01_予約入力'!$M$5:$M$404,$AQ71)="","−",INDEX('01_予約入力'!$M$5:$M$404,$AQ71))&amp;" 夕"&amp;IF(INDEX('01_予約入力'!$N$5:$N$404,$AQ71)="","−",INDEX('01_予約入力'!$N$5:$N$404,$AQ71))))</f>
        <v/>
      </c>
      <c r="Y71" s="121" t="n"/>
      <c r="Z71" s="121" t="n"/>
      <c r="AA71" s="122" t="n"/>
      <c r="AB71" s="47">
        <f>IF($AQ71=0,"",IF(INDEX('01_予約入力'!$Q$5:$Q$404,$AQ71)="","確定",INDEX('01_予約入力'!$Q$5:$Q$404,$AQ71)))</f>
        <v/>
      </c>
      <c r="AC71" s="121" t="n"/>
      <c r="AD71" s="122" t="n"/>
      <c r="AE71" s="46">
        <f>IF($AQ71=0,"",INDEX('01_予約入力'!$V$5:$V$404,$AQ71))</f>
        <v/>
      </c>
      <c r="AF71" s="121" t="n"/>
      <c r="AG71" s="122" t="n"/>
      <c r="AP71">
        <f>IFERROR(SMALL('01_予約入力'!$AC$5:$AC$404,39),"")</f>
        <v/>
      </c>
      <c r="AQ71">
        <f>IF($AP71="",0,IFERROR(MATCH($AP71,'01_予約入力'!$AC$5:$AC$404,0),0))</f>
        <v/>
      </c>
    </row>
    <row r="72">
      <c r="A72" s="46">
        <f>IF($AQ72=0,"",INDEX('01_予約入力'!$B$5:$B$404,$AQ72))</f>
        <v/>
      </c>
      <c r="B72" s="47">
        <f>IF($AQ72=0,"",IF(INDEX('01_予約入力'!$D$5:$D$404,$AQ72)="","⚠未選択",INDEX('01_予約入力'!$D$5:$D$404,$AQ72)))</f>
        <v/>
      </c>
      <c r="C72" s="121" t="n"/>
      <c r="D72" s="121" t="n"/>
      <c r="E72" s="122" t="n"/>
      <c r="F72" s="47">
        <f>IF($AQ72=0,"",INDEX('01_予約入力'!$C$5:$C$404,$AQ72))</f>
        <v/>
      </c>
      <c r="G72" s="121" t="n"/>
      <c r="H72" s="122" t="n"/>
      <c r="I72" s="46">
        <f>IF($AQ72=0,"",MONTH(INDEX('01_予約入力'!$G$5:$G$404,$AQ72))&amp;"/"&amp;DAY(INDEX('01_予約入力'!$G$5:$G$404,$AQ72))&amp;"("&amp;MID("日月火水木金土",WEEKDAY(INDEX('01_予約入力'!$G$5:$G$404,$AQ72)),1)&amp;")"&amp;" "&amp;INDEX('01_予約入力'!$AD$5:$AD$404,$AQ72))</f>
        <v/>
      </c>
      <c r="J72" s="121" t="n"/>
      <c r="K72" s="121" t="n"/>
      <c r="L72" s="121" t="n"/>
      <c r="M72" s="121" t="n"/>
      <c r="N72" s="122" t="n"/>
      <c r="O72" s="46">
        <f>IF($AQ72=0,"",MONTH(INDEX('01_予約入力'!$J$5:$J$404,$AQ72))&amp;"/"&amp;DAY(INDEX('01_予約入力'!$J$5:$J$404,$AQ72))&amp;"("&amp;MID("日月火水木金土",WEEKDAY(INDEX('01_予約入力'!$J$5:$J$404,$AQ72)),1)&amp;")"&amp;" "&amp;INDEX('01_予約入力'!$AE$5:$AE$404,$AQ72))</f>
        <v/>
      </c>
      <c r="P72" s="121" t="n"/>
      <c r="Q72" s="121" t="n"/>
      <c r="R72" s="121" t="n"/>
      <c r="S72" s="121" t="n"/>
      <c r="T72" s="122" t="n"/>
      <c r="U72" s="47">
        <f>IF($AQ72=0,"",IF(INDEX('01_予約入力'!$J$5:$J$404,$AQ72)=INDEX('01_予約入力'!$G$5:$G$404,$AQ72),"日帰り",INDEX('01_予約入力'!$J$5:$J$404,$AQ72)-INDEX('01_予約入力'!$G$5:$G$404,$AQ72)&amp;"泊"))</f>
        <v/>
      </c>
      <c r="V72" s="121" t="n"/>
      <c r="W72" s="122" t="n"/>
      <c r="X72" s="47">
        <f>IF($AQ72=0,"",IF(AND(INDEX('01_予約入力'!$L$5:$L$404,$AQ72)="",INDEX('01_予約入力'!$M$5:$M$404,$AQ72)="",INDEX('01_予約入力'!$N$5:$N$404,$AQ72)=""),"標準","朝"&amp;IF(INDEX('01_予約入力'!$L$5:$L$404,$AQ72)="","−",INDEX('01_予約入力'!$L$5:$L$404,$AQ72))&amp;" 昼"&amp;IF(INDEX('01_予約入力'!$M$5:$M$404,$AQ72)="","−",INDEX('01_予約入力'!$M$5:$M$404,$AQ72))&amp;" 夕"&amp;IF(INDEX('01_予約入力'!$N$5:$N$404,$AQ72)="","−",INDEX('01_予約入力'!$N$5:$N$404,$AQ72))))</f>
        <v/>
      </c>
      <c r="Y72" s="121" t="n"/>
      <c r="Z72" s="121" t="n"/>
      <c r="AA72" s="122" t="n"/>
      <c r="AB72" s="47">
        <f>IF($AQ72=0,"",IF(INDEX('01_予約入力'!$Q$5:$Q$404,$AQ72)="","確定",INDEX('01_予約入力'!$Q$5:$Q$404,$AQ72)))</f>
        <v/>
      </c>
      <c r="AC72" s="121" t="n"/>
      <c r="AD72" s="122" t="n"/>
      <c r="AE72" s="46">
        <f>IF($AQ72=0,"",INDEX('01_予約入力'!$V$5:$V$404,$AQ72))</f>
        <v/>
      </c>
      <c r="AF72" s="121" t="n"/>
      <c r="AG72" s="122" t="n"/>
      <c r="AP72">
        <f>IFERROR(SMALL('01_予約入力'!$AC$5:$AC$404,40),"")</f>
        <v/>
      </c>
      <c r="AQ72">
        <f>IF($AP72="",0,IFERROR(MATCH($AP72,'01_予約入力'!$AC$5:$AC$404,0),0))</f>
        <v/>
      </c>
    </row>
    <row r="74">
      <c r="A74" s="2" t="inlineStr">
        <is>
          <t>※ この一覧は 01_予約入力 をそのまま入所日順に並べたものです。対象月にかかる予約だけが出ます（月をまたぐ滞在も含みます）。</t>
        </is>
      </c>
    </row>
    <row r="75">
      <c r="A75" s="2" t="inlineStr">
        <is>
          <t>※ 部屋が「⚠未選択」の行は、カレンダーの部屋の行に表示されません。01_予約入力 で部屋を選んでください。</t>
        </is>
      </c>
    </row>
  </sheetData>
  <mergeCells count="330">
    <mergeCell ref="O49:T49"/>
    <mergeCell ref="F45:H45"/>
    <mergeCell ref="B3:F3"/>
    <mergeCell ref="B68:E68"/>
    <mergeCell ref="AB36:AD36"/>
    <mergeCell ref="F66:H66"/>
    <mergeCell ref="F47:H47"/>
    <mergeCell ref="O50:T50"/>
    <mergeCell ref="U71:W71"/>
    <mergeCell ref="AB67:AD67"/>
    <mergeCell ref="U58:W58"/>
    <mergeCell ref="O52:T52"/>
    <mergeCell ref="F61:H61"/>
    <mergeCell ref="I38:N38"/>
    <mergeCell ref="O37:T37"/>
    <mergeCell ref="I40:N40"/>
    <mergeCell ref="B69:E69"/>
    <mergeCell ref="O63:T63"/>
    <mergeCell ref="F41:H41"/>
    <mergeCell ref="I66:N66"/>
    <mergeCell ref="AE52:AG52"/>
    <mergeCell ref="F35:H35"/>
    <mergeCell ref="B64:E64"/>
    <mergeCell ref="AB56:AD56"/>
    <mergeCell ref="I53:N53"/>
    <mergeCell ref="AE39:AG39"/>
    <mergeCell ref="B51:E51"/>
    <mergeCell ref="AB43:AD43"/>
    <mergeCell ref="X72:AA72"/>
    <mergeCell ref="O55:T55"/>
    <mergeCell ref="I68:N68"/>
    <mergeCell ref="O40:T40"/>
    <mergeCell ref="I55:N55"/>
    <mergeCell ref="AE53:AG53"/>
    <mergeCell ref="AB57:AD57"/>
    <mergeCell ref="AB42:AD42"/>
    <mergeCell ref="AE70:AG70"/>
    <mergeCell ref="F69:H69"/>
    <mergeCell ref="I46:N46"/>
    <mergeCell ref="AE63:AG63"/>
    <mergeCell ref="O53:T53"/>
    <mergeCell ref="O45:T45"/>
    <mergeCell ref="AE71:AG71"/>
    <mergeCell ref="AE58:AG58"/>
    <mergeCell ref="I54:N54"/>
    <mergeCell ref="I41:N41"/>
    <mergeCell ref="I56:N56"/>
    <mergeCell ref="I43:N43"/>
    <mergeCell ref="AB70:AD70"/>
    <mergeCell ref="F38:H38"/>
    <mergeCell ref="O71:T71"/>
    <mergeCell ref="AE60:AG60"/>
    <mergeCell ref="F43:H43"/>
    <mergeCell ref="O58:T58"/>
    <mergeCell ref="B72:E72"/>
    <mergeCell ref="F67:H67"/>
    <mergeCell ref="G3:T3"/>
    <mergeCell ref="I59:N59"/>
    <mergeCell ref="F57:H57"/>
    <mergeCell ref="O66:T66"/>
    <mergeCell ref="I69:N69"/>
    <mergeCell ref="AE55:AG55"/>
    <mergeCell ref="AB65:AD65"/>
    <mergeCell ref="B42:E42"/>
    <mergeCell ref="AB58:AD58"/>
    <mergeCell ref="AE59:AG59"/>
    <mergeCell ref="O68:T68"/>
    <mergeCell ref="AE46:AG46"/>
    <mergeCell ref="B44:E44"/>
    <mergeCell ref="AB60:AD60"/>
    <mergeCell ref="F62:H62"/>
    <mergeCell ref="O59:T59"/>
    <mergeCell ref="I62:N62"/>
    <mergeCell ref="F72:H72"/>
    <mergeCell ref="O46:T46"/>
    <mergeCell ref="U42:W42"/>
    <mergeCell ref="O61:T61"/>
    <mergeCell ref="I64:N64"/>
    <mergeCell ref="O48:T48"/>
    <mergeCell ref="I51:N51"/>
    <mergeCell ref="AE68:AG68"/>
    <mergeCell ref="I65:N65"/>
    <mergeCell ref="AE51:AG51"/>
    <mergeCell ref="F54:H54"/>
    <mergeCell ref="X33:AA33"/>
    <mergeCell ref="O39:T39"/>
    <mergeCell ref="X41:AA41"/>
    <mergeCell ref="AE67:AG67"/>
    <mergeCell ref="X35:AA35"/>
    <mergeCell ref="U32:W32"/>
    <mergeCell ref="U37:W37"/>
    <mergeCell ref="U72:W72"/>
    <mergeCell ref="U47:W47"/>
    <mergeCell ref="B45:E45"/>
    <mergeCell ref="B47:E47"/>
    <mergeCell ref="AB53:AD53"/>
    <mergeCell ref="U63:W63"/>
    <mergeCell ref="U50:W50"/>
    <mergeCell ref="U44:W44"/>
    <mergeCell ref="F65:H65"/>
    <mergeCell ref="B38:E38"/>
    <mergeCell ref="X42:AA42"/>
    <mergeCell ref="B40:E40"/>
    <mergeCell ref="B33:E33"/>
    <mergeCell ref="X54:AA54"/>
    <mergeCell ref="B41:E41"/>
    <mergeCell ref="B35:E35"/>
    <mergeCell ref="X56:AA56"/>
    <mergeCell ref="X43:AA43"/>
    <mergeCell ref="O42:T42"/>
    <mergeCell ref="U55:W55"/>
    <mergeCell ref="B66:E66"/>
    <mergeCell ref="AE37:AG37"/>
    <mergeCell ref="U38:W38"/>
    <mergeCell ref="AB34:AD34"/>
    <mergeCell ref="X57:AA57"/>
    <mergeCell ref="U40:W40"/>
    <mergeCell ref="B67:E67"/>
    <mergeCell ref="B61:E61"/>
    <mergeCell ref="AE72:AG72"/>
    <mergeCell ref="F40:H40"/>
    <mergeCell ref="AE42:AG42"/>
    <mergeCell ref="O32:T32"/>
    <mergeCell ref="U66:W66"/>
    <mergeCell ref="U53:W53"/>
    <mergeCell ref="AE44:AG44"/>
    <mergeCell ref="I33:N33"/>
    <mergeCell ref="U68:W68"/>
    <mergeCell ref="B54:E54"/>
    <mergeCell ref="X39:AA39"/>
    <mergeCell ref="X70:AA70"/>
    <mergeCell ref="I35:N35"/>
    <mergeCell ref="X32:AA32"/>
    <mergeCell ref="B56:E56"/>
    <mergeCell ref="B43:E43"/>
    <mergeCell ref="F63:H63"/>
    <mergeCell ref="F34:H34"/>
    <mergeCell ref="B57:E57"/>
    <mergeCell ref="U46:W46"/>
    <mergeCell ref="AE32:AG32"/>
    <mergeCell ref="X65:AA65"/>
    <mergeCell ref="I61:N61"/>
    <mergeCell ref="AE47:AG47"/>
    <mergeCell ref="U48:W48"/>
    <mergeCell ref="X58:AA58"/>
    <mergeCell ref="X63:AA63"/>
    <mergeCell ref="X50:AA50"/>
    <mergeCell ref="U41:W41"/>
    <mergeCell ref="AB44:AD44"/>
    <mergeCell ref="X60:AA60"/>
    <mergeCell ref="U56:W56"/>
    <mergeCell ref="U43:W43"/>
    <mergeCell ref="AB39:AD39"/>
    <mergeCell ref="O51:T51"/>
    <mergeCell ref="O47:T47"/>
    <mergeCell ref="B62:E62"/>
    <mergeCell ref="F56:H56"/>
    <mergeCell ref="O38:T38"/>
    <mergeCell ref="U67:W67"/>
    <mergeCell ref="B70:E70"/>
    <mergeCell ref="AE45:AG45"/>
    <mergeCell ref="AB49:AD49"/>
    <mergeCell ref="I34:N34"/>
    <mergeCell ref="U69:W69"/>
    <mergeCell ref="X53:AA53"/>
    <mergeCell ref="X47:AA47"/>
    <mergeCell ref="I49:N49"/>
    <mergeCell ref="AE35:AG35"/>
    <mergeCell ref="O33:T33"/>
    <mergeCell ref="I36:N36"/>
    <mergeCell ref="AB32:AD32"/>
    <mergeCell ref="AB63:AD63"/>
    <mergeCell ref="X55:AA55"/>
    <mergeCell ref="AB50:AD50"/>
    <mergeCell ref="F36:H36"/>
    <mergeCell ref="B65:E65"/>
    <mergeCell ref="F33:H33"/>
    <mergeCell ref="O69:T69"/>
    <mergeCell ref="AE38:AG38"/>
    <mergeCell ref="U62:W62"/>
    <mergeCell ref="AE48:AG48"/>
    <mergeCell ref="AB52:AD52"/>
    <mergeCell ref="AE40:AG40"/>
    <mergeCell ref="O64:T64"/>
    <mergeCell ref="U64:W64"/>
    <mergeCell ref="F39:H39"/>
    <mergeCell ref="U51:W51"/>
    <mergeCell ref="AB37:AD37"/>
    <mergeCell ref="X66:AA66"/>
    <mergeCell ref="O72:T72"/>
    <mergeCell ref="F64:H64"/>
    <mergeCell ref="AB55:AD55"/>
    <mergeCell ref="AE66:AG66"/>
    <mergeCell ref="AB40:AD40"/>
    <mergeCell ref="O54:T54"/>
    <mergeCell ref="O41:T41"/>
    <mergeCell ref="O35:T35"/>
    <mergeCell ref="F50:H50"/>
    <mergeCell ref="AE61:AG61"/>
    <mergeCell ref="AB71:AD71"/>
    <mergeCell ref="O43:T43"/>
    <mergeCell ref="I52:N52"/>
    <mergeCell ref="I39:N39"/>
    <mergeCell ref="AB66:AD66"/>
    <mergeCell ref="O67:T67"/>
    <mergeCell ref="F49:H49"/>
    <mergeCell ref="AB68:AD68"/>
    <mergeCell ref="X34:AA34"/>
    <mergeCell ref="AE54:AG54"/>
    <mergeCell ref="AE41:AG41"/>
    <mergeCell ref="B53:E53"/>
    <mergeCell ref="X68:AA68"/>
    <mergeCell ref="U65:W65"/>
    <mergeCell ref="I70:N70"/>
    <mergeCell ref="AE56:AG56"/>
    <mergeCell ref="I57:N57"/>
    <mergeCell ref="AE43:AG43"/>
    <mergeCell ref="F55:H55"/>
    <mergeCell ref="AB59:AD59"/>
    <mergeCell ref="AB46:AD46"/>
    <mergeCell ref="X69:AA69"/>
    <mergeCell ref="I71:N71"/>
    <mergeCell ref="AB61:AD61"/>
    <mergeCell ref="I58:N58"/>
    <mergeCell ref="AB48:AD48"/>
    <mergeCell ref="O62:T62"/>
    <mergeCell ref="O56:T56"/>
    <mergeCell ref="F71:H71"/>
    <mergeCell ref="F58:H58"/>
    <mergeCell ref="AE69:AG69"/>
    <mergeCell ref="F52:H52"/>
    <mergeCell ref="F37:H37"/>
    <mergeCell ref="F60:H60"/>
    <mergeCell ref="O57:T57"/>
    <mergeCell ref="I60:N60"/>
    <mergeCell ref="F53:H53"/>
    <mergeCell ref="F68:H68"/>
    <mergeCell ref="B34:E34"/>
    <mergeCell ref="I47:N47"/>
    <mergeCell ref="AE62:AG62"/>
    <mergeCell ref="F42:H42"/>
    <mergeCell ref="AE64:AG64"/>
    <mergeCell ref="X44:AA44"/>
    <mergeCell ref="F46:H46"/>
    <mergeCell ref="AE57:AG57"/>
    <mergeCell ref="U33:W33"/>
    <mergeCell ref="O70:T70"/>
    <mergeCell ref="AE65:AG65"/>
    <mergeCell ref="F48:H48"/>
    <mergeCell ref="AB69:AD69"/>
    <mergeCell ref="AB62:AD62"/>
    <mergeCell ref="AB64:AD64"/>
    <mergeCell ref="AB51:AD51"/>
    <mergeCell ref="U59:W59"/>
    <mergeCell ref="X49:AA49"/>
    <mergeCell ref="U61:W61"/>
    <mergeCell ref="B36:E36"/>
    <mergeCell ref="I67:N67"/>
    <mergeCell ref="I48:N48"/>
    <mergeCell ref="X52:AA52"/>
    <mergeCell ref="U35:W35"/>
    <mergeCell ref="B39:E39"/>
    <mergeCell ref="X37:AA37"/>
    <mergeCell ref="U34:W34"/>
    <mergeCell ref="U49:W49"/>
    <mergeCell ref="U36:W36"/>
    <mergeCell ref="X38:AA38"/>
    <mergeCell ref="F51:H51"/>
    <mergeCell ref="AB72:AD72"/>
    <mergeCell ref="B49:E49"/>
    <mergeCell ref="B32:E32"/>
    <mergeCell ref="B63:E63"/>
    <mergeCell ref="B50:E50"/>
    <mergeCell ref="X71:AA71"/>
    <mergeCell ref="X40:AA40"/>
    <mergeCell ref="U54:W54"/>
    <mergeCell ref="B37:E37"/>
    <mergeCell ref="F59:H59"/>
    <mergeCell ref="X45:AA45"/>
    <mergeCell ref="I72:N72"/>
    <mergeCell ref="AE33:AG33"/>
    <mergeCell ref="U57:W57"/>
    <mergeCell ref="F32:H32"/>
    <mergeCell ref="B55:E55"/>
    <mergeCell ref="X59:AA59"/>
    <mergeCell ref="X46:AA46"/>
    <mergeCell ref="I42:N42"/>
    <mergeCell ref="AB38:AD38"/>
    <mergeCell ref="U52:W52"/>
    <mergeCell ref="X48:AA48"/>
    <mergeCell ref="U39:W39"/>
    <mergeCell ref="I44:N44"/>
    <mergeCell ref="O60:T60"/>
    <mergeCell ref="B71:E71"/>
    <mergeCell ref="B58:E58"/>
    <mergeCell ref="B52:E52"/>
    <mergeCell ref="AB33:AD33"/>
    <mergeCell ref="F44:H44"/>
    <mergeCell ref="B60:E60"/>
    <mergeCell ref="O34:T34"/>
    <mergeCell ref="AB45:AD45"/>
    <mergeCell ref="O36:T36"/>
    <mergeCell ref="U70:W70"/>
    <mergeCell ref="AB47:AD47"/>
    <mergeCell ref="I32:N32"/>
    <mergeCell ref="I37:N37"/>
    <mergeCell ref="O65:T65"/>
    <mergeCell ref="X51:AA51"/>
    <mergeCell ref="O44:T44"/>
    <mergeCell ref="F70:H70"/>
    <mergeCell ref="X36:AA36"/>
    <mergeCell ref="B59:E59"/>
    <mergeCell ref="AE34:AG34"/>
    <mergeCell ref="B46:E46"/>
    <mergeCell ref="X67:AA67"/>
    <mergeCell ref="X61:AA61"/>
    <mergeCell ref="I63:N63"/>
    <mergeCell ref="AE49:AG49"/>
    <mergeCell ref="I50:N50"/>
    <mergeCell ref="AE36:AG36"/>
    <mergeCell ref="B48:E48"/>
    <mergeCell ref="U60:W60"/>
    <mergeCell ref="X62:AA62"/>
    <mergeCell ref="AE50:AG50"/>
    <mergeCell ref="AB54:AD54"/>
    <mergeCell ref="U45:W45"/>
    <mergeCell ref="I45:N45"/>
    <mergeCell ref="AB41:AD41"/>
    <mergeCell ref="AB35:AD35"/>
    <mergeCell ref="X64:AA64"/>
  </mergeCells>
  <conditionalFormatting sqref="B7:AF26">
    <cfRule type="expression" priority="1" dxfId="10" stopIfTrue="1">
      <formula>AND(B7&lt;&gt;"",AP7&gt;=8)</formula>
    </cfRule>
    <cfRule type="expression" priority="2" dxfId="11" stopIfTrue="1">
      <formula>AND(B7&lt;&gt;"",AP7&gt;0)</formula>
    </cfRule>
    <cfRule type="expression" priority="3" dxfId="12">
      <formula>OR(B$6="土",B$6="日")</formula>
    </cfRule>
  </conditionalFormatting>
  <conditionalFormatting sqref="B5:AF6">
    <cfRule type="expression" priority="4" dxfId="12">
      <formula>OR(B$6="土",B$6="日")</formula>
    </cfRule>
  </conditionalFormatting>
  <conditionalFormatting sqref="A33:AF72">
    <cfRule type="expression" priority="5" dxfId="1">
      <formula>$B33="⚠未選択"</formula>
    </cfRule>
    <cfRule type="expression" priority="6" dxfId="3">
      <formula>OR($AB33="仮予約",$AB33="調整中")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J4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24" customWidth="1" min="3" max="3"/>
    <col width="24" customWidth="1" min="4" max="4"/>
    <col width="24" customWidth="1" min="5" max="5"/>
    <col width="24" customWidth="1" min="6" max="6"/>
    <col width="9" customWidth="1" min="7" max="7"/>
    <col width="9" customWidth="1" min="8" max="8"/>
    <col width="9" customWidth="1" min="9" max="9"/>
    <col width="11" customWidth="1" min="10" max="10"/>
    <col width="9" customWidth="1" min="11" max="11"/>
    <col hidden="1" width="8" customWidth="1" min="12" max="12"/>
    <col hidden="1" width="8" customWidth="1" min="13" max="13"/>
    <col hidden="1" width="8" customWidth="1" min="14" max="14"/>
    <col hidden="1" width="8" customWidth="1" min="15" max="15"/>
    <col hidden="1" width="8" customWidth="1" min="16" max="16"/>
    <col hidden="1" width="8" customWidth="1" min="17" max="17"/>
    <col hidden="1" width="8" customWidth="1" min="18" max="18"/>
    <col hidden="1" width="8" customWidth="1" min="19" max="19"/>
    <col hidden="1" width="8" customWidth="1" min="20" max="20"/>
    <col hidden="1" width="8" customWidth="1" min="21" max="21"/>
    <col hidden="1" width="8" customWidth="1" min="22" max="22"/>
    <col hidden="1" width="8" customWidth="1" min="23" max="23"/>
    <col hidden="1" width="8" customWidth="1" min="24" max="24"/>
    <col hidden="1" width="8" customWidth="1" min="25" max="25"/>
    <col hidden="1" width="8" customWidth="1" min="26" max="26"/>
    <col hidden="1" width="8" customWidth="1" min="27" max="27"/>
    <col hidden="1" width="8" customWidth="1" min="28" max="28"/>
    <col hidden="1" width="8" customWidth="1" min="29" max="29"/>
    <col hidden="1" width="8" customWidth="1" min="30" max="30"/>
    <col hidden="1" width="8" customWidth="1" min="31" max="31"/>
    <col hidden="1" width="8" customWidth="1" min="32" max="32"/>
    <col hidden="1" width="8" customWidth="1" min="33" max="33"/>
    <col hidden="1" width="8" customWidth="1" min="34" max="34"/>
    <col hidden="1" width="8" customWidth="1" min="35" max="35"/>
    <col hidden="1" width="8" customWidth="1" min="36" max="36"/>
  </cols>
  <sheetData>
    <row r="1">
      <c r="A1" s="1" t="inlineStr">
        <is>
          <t>月間表（日別の一覧・自動計算）</t>
        </is>
      </c>
    </row>
    <row r="2">
      <c r="A2" s="2" t="inlineStr">
        <is>
          <t>★対象月の変更は 02_カレンダー で行います。L列より右は計算用の作業列です（非表示にしてあります）。</t>
        </is>
      </c>
    </row>
    <row r="3">
      <c r="A3" s="15" t="inlineStr">
        <is>
          <t>対象月</t>
        </is>
      </c>
      <c r="B3" s="17">
        <f>'02_カレンダー'!$B$4</f>
        <v/>
      </c>
      <c r="C3" s="2" t="inlineStr">
        <is>
          <t>02_カレンダー の対象月に連動します</t>
        </is>
      </c>
    </row>
    <row r="6" ht="30" customHeight="1">
      <c r="A6" s="7" t="inlineStr">
        <is>
          <t>日付</t>
        </is>
      </c>
      <c r="B6" s="7" t="inlineStr">
        <is>
          <t>曜日</t>
        </is>
      </c>
      <c r="C6" s="7">
        <f>IF(COUNTA('M_部屋'!$A$4:$A$20)&gt;=1,INDEX('M_部屋'!$A$4:$A$20,1),"")</f>
        <v/>
      </c>
      <c r="D6" s="7">
        <f>IF(COUNTA('M_部屋'!$A$4:$A$20)&gt;=2,INDEX('M_部屋'!$A$4:$A$20,2),"")</f>
        <v/>
      </c>
      <c r="E6" s="7">
        <f>IF(COUNTA('M_部屋'!$A$4:$A$20)&gt;=3,INDEX('M_部屋'!$A$4:$A$20,3),"")</f>
        <v/>
      </c>
      <c r="F6" s="7">
        <f>IF(COUNTA('M_部屋'!$A$4:$A$20)&gt;=4,INDEX('M_部屋'!$A$4:$A$20,4),"")</f>
        <v/>
      </c>
      <c r="G6" s="7" t="inlineStr">
        <is>
          <t>使用室数</t>
        </is>
      </c>
      <c r="H6" s="7" t="inlineStr">
        <is>
          <t>空室数</t>
        </is>
      </c>
      <c r="I6" s="7" t="inlineStr">
        <is>
          <t>仮予約</t>
        </is>
      </c>
      <c r="J6" s="7" t="inlineStr">
        <is>
          <t>空き記号</t>
        </is>
      </c>
      <c r="K6" s="7" t="inlineStr">
        <is>
          <t>日帰り</t>
        </is>
      </c>
      <c r="L6" s="48" t="inlineStr">
        <is>
          <t>作業1退所</t>
        </is>
      </c>
      <c r="M6" s="48" t="inlineStr">
        <is>
          <t>作業1宿泊</t>
        </is>
      </c>
      <c r="N6" s="48" t="inlineStr">
        <is>
          <t>作業1日帰</t>
        </is>
      </c>
      <c r="O6" s="48" t="inlineStr">
        <is>
          <t>作業2退所</t>
        </is>
      </c>
      <c r="P6" s="48" t="inlineStr">
        <is>
          <t>作業2宿泊</t>
        </is>
      </c>
      <c r="Q6" s="48" t="inlineStr">
        <is>
          <t>作業2日帰</t>
        </is>
      </c>
      <c r="R6" s="48" t="inlineStr">
        <is>
          <t>作業3退所</t>
        </is>
      </c>
      <c r="S6" s="48" t="inlineStr">
        <is>
          <t>作業3宿泊</t>
        </is>
      </c>
      <c r="T6" s="48" t="inlineStr">
        <is>
          <t>作業3日帰</t>
        </is>
      </c>
      <c r="U6" s="48" t="inlineStr">
        <is>
          <t>作業4退所</t>
        </is>
      </c>
      <c r="V6" s="48" t="inlineStr">
        <is>
          <t>作業4宿泊</t>
        </is>
      </c>
      <c r="W6" s="48" t="inlineStr">
        <is>
          <t>作業4日帰</t>
        </is>
      </c>
      <c r="X6" s="48" t="inlineStr">
        <is>
          <t>色1</t>
        </is>
      </c>
      <c r="Y6" s="48" t="inlineStr">
        <is>
          <t>色2</t>
        </is>
      </c>
      <c r="Z6" s="48" t="inlineStr">
        <is>
          <t>色3</t>
        </is>
      </c>
      <c r="AA6" s="48" t="inlineStr">
        <is>
          <t>色4</t>
        </is>
      </c>
      <c r="AB6" s="48" t="inlineStr">
        <is>
          <t>朝自動</t>
        </is>
      </c>
      <c r="AC6" s="48" t="inlineStr">
        <is>
          <t>昼自動</t>
        </is>
      </c>
      <c r="AD6" s="48" t="inlineStr">
        <is>
          <t>夕自動</t>
        </is>
      </c>
      <c r="AE6" s="48" t="inlineStr">
        <is>
          <t>調整行</t>
        </is>
      </c>
      <c r="AF6" s="48" t="inlineStr">
        <is>
          <t>朝確定</t>
        </is>
      </c>
      <c r="AG6" s="48" t="inlineStr">
        <is>
          <t>昼確定</t>
        </is>
      </c>
      <c r="AH6" s="48" t="inlineStr">
        <is>
          <t>夕確定</t>
        </is>
      </c>
      <c r="AI6" s="48" t="inlineStr">
        <is>
          <t>食事表示</t>
        </is>
      </c>
      <c r="AJ6" s="48" t="inlineStr">
        <is>
          <t>調整有無</t>
        </is>
      </c>
    </row>
    <row r="7">
      <c r="A7" s="38">
        <f>IF(MONTH('02_カレンダー'!$B$4+0)&lt;&gt;MONTH('02_カレンダー'!$B$4),"",'02_カレンダー'!$B$4+0)</f>
        <v/>
      </c>
      <c r="B7" s="45">
        <f>IF($A7="","",MID("日月火水木金土",WEEKDAY($A7),1))</f>
        <v/>
      </c>
      <c r="C7" s="49">
        <f>IF(OR($A7="",C$6=""),"",IF($L7=0,"",INDEX('01_予約入力'!$B$5:$B$404,$L7)&amp;" ◀"&amp;IF(('02_カレンダー'!$B$5="○"),INDEX('01_予約入力'!$AE$5:$AE$404,$L7),""))&amp;IF(AND($L7&gt;0,OR($M7&gt;0,$N7&gt;0)),"  ","")&amp;IF($M7=0,"",IF(INDEX('01_予約入力'!$G$5:$G$404,$M7)=$A7,"▶"&amp;IF(('02_カレンダー'!$B$5="○"),INDEX('01_予約入力'!$AD$5:$AD$404,$M7)&amp;" "," "),"")&amp;INDEX('01_予約入力'!$B$5:$B$404,$M7))&amp;IF(AND($M7&gt;0,$N7&gt;0),"  ","")&amp;IF($N7=0,"","◆ "&amp;INDEX('01_予約入力'!$B$5:$B$404,$N7)&amp;IF(('02_カレンダー'!$B$5="○")," "&amp;INDEX('01_予約入力'!$AD$5:$AD$404,$N7)&amp;"-"&amp;INDEX('01_予約入力'!$AE$5:$AE$404,$N7),"")))</f>
        <v/>
      </c>
      <c r="D7" s="49">
        <f>IF(OR($A7="",D$6=""),"",IF($O7=0,"",INDEX('01_予約入力'!$B$5:$B$404,$O7)&amp;" ◀"&amp;IF(('02_カレンダー'!$B$5="○"),INDEX('01_予約入力'!$AE$5:$AE$404,$O7),""))&amp;IF(AND($O7&gt;0,OR($P7&gt;0,$Q7&gt;0)),"  ","")&amp;IF($P7=0,"",IF(INDEX('01_予約入力'!$G$5:$G$404,$P7)=$A7,"▶"&amp;IF(('02_カレンダー'!$B$5="○"),INDEX('01_予約入力'!$AD$5:$AD$404,$P7)&amp;" "," "),"")&amp;INDEX('01_予約入力'!$B$5:$B$404,$P7))&amp;IF(AND($P7&gt;0,$Q7&gt;0),"  ","")&amp;IF($Q7=0,"","◆ "&amp;INDEX('01_予約入力'!$B$5:$B$404,$Q7)&amp;IF(('02_カレンダー'!$B$5="○")," "&amp;INDEX('01_予約入力'!$AD$5:$AD$404,$Q7)&amp;"-"&amp;INDEX('01_予約入力'!$AE$5:$AE$404,$Q7),"")))</f>
        <v/>
      </c>
      <c r="E7" s="49">
        <f>IF(OR($A7="",E$6=""),"",IF($R7=0,"",INDEX('01_予約入力'!$B$5:$B$404,$R7)&amp;" ◀"&amp;IF(('02_カレンダー'!$B$5="○"),INDEX('01_予約入力'!$AE$5:$AE$404,$R7),""))&amp;IF(AND($R7&gt;0,OR($S7&gt;0,$T7&gt;0)),"  ","")&amp;IF($S7=0,"",IF(INDEX('01_予約入力'!$G$5:$G$404,$S7)=$A7,"▶"&amp;IF(('02_カレンダー'!$B$5="○"),INDEX('01_予約入力'!$AD$5:$AD$404,$S7)&amp;" "," "),"")&amp;INDEX('01_予約入力'!$B$5:$B$404,$S7))&amp;IF(AND($S7&gt;0,$T7&gt;0),"  ","")&amp;IF($T7=0,"","◆ "&amp;INDEX('01_予約入力'!$B$5:$B$404,$T7)&amp;IF(('02_カレンダー'!$B$5="○")," "&amp;INDEX('01_予約入力'!$AD$5:$AD$404,$T7)&amp;"-"&amp;INDEX('01_予約入力'!$AE$5:$AE$404,$T7),"")))</f>
        <v/>
      </c>
      <c r="F7" s="49">
        <f>IF(OR($A7="",F$6=""),"",IF($U7=0,"",INDEX('01_予約入力'!$B$5:$B$404,$U7)&amp;" ◀"&amp;IF(('02_カレンダー'!$B$5="○"),INDEX('01_予約入力'!$AE$5:$AE$404,$U7),""))&amp;IF(AND($U7&gt;0,OR($V7&gt;0,$W7&gt;0)),"  ","")&amp;IF($V7=0,"",IF(INDEX('01_予約入力'!$G$5:$G$404,$V7)=$A7,"▶"&amp;IF(('02_カレンダー'!$B$5="○"),INDEX('01_予約入力'!$AD$5:$AD$404,$V7)&amp;" "," "),"")&amp;INDEX('01_予約入力'!$B$5:$B$404,$V7))&amp;IF(AND($V7&gt;0,$W7&gt;0),"  ","")&amp;IF($W7=0,"","◆ "&amp;INDEX('01_予約入力'!$B$5:$B$404,$W7)&amp;IF(('02_カレンダー'!$B$5="○")," "&amp;INDEX('01_予約入力'!$AD$5:$AD$404,$W7)&amp;"-"&amp;INDEX('01_予約入力'!$AE$5:$AE$404,$W7),"")))</f>
        <v/>
      </c>
      <c r="G7" s="45">
        <f>IF($A7="","",SUMPRODUCT(('01_予約入力'!$G$5:$G$404&lt;&gt;"")*('01_予約入力'!$Q$5:$Q$404&lt;&gt;"キャンセル")*('01_予約入力'!$G$5:$G$404&lt;=$A7)*('01_予約入力'!$J$5:$J$404&gt;$A7)))</f>
        <v/>
      </c>
      <c r="H7" s="45">
        <f>IF($A7="","",'M_施設設定'!$B$6-$G7)</f>
        <v/>
      </c>
      <c r="I7" s="45">
        <f>IF($A7="","",SUMPRODUCT((('01_予約入力'!$Q$5:$Q$404="仮予約")+('01_予約入力'!$Q$5:$Q$404="調整中"))*('01_予約入力'!$G$5:$G$404&lt;&gt;"")*('01_予約入力'!$G$5:$G$404&lt;=$A7)*('01_予約入力'!$J$5:$J$404&gt;$A7)))</f>
        <v/>
      </c>
      <c r="J7" s="45">
        <f>IF($A7="","",IF($I7&gt;0,"仮",IF($H7&lt;=0,"×",IF($H7&lt;'M_施設設定'!$B$6,"△","○"))))</f>
        <v/>
      </c>
      <c r="K7" s="45">
        <f>IF($A7="","",SUMPRODUCT(('01_予約入力'!$G$5:$G$404&lt;&gt;"")*('01_予約入力'!$Q$5:$Q$404&lt;&gt;"キャンセル")*('01_予約入力'!$G$5:$G$404=$A7)*('01_予約入力'!$J$5:$J$404=$A7)))</f>
        <v/>
      </c>
      <c r="L7" s="45">
        <f>IF(OR($A7="",C$6=""),0,SUMPRODUCT(MAX(('01_予約入力'!$D$5:$D$404=C$6)*('01_予約入力'!$Q$5:$Q$404&lt;&gt;"キャンセル")*('01_予約入力'!$G$5:$G$404&lt;&gt;"")*('01_予約入力'!$J$5:$J$404=$A7)*('01_予約入力'!$G$5:$G$404&lt;$A7)*(ROW('01_予約入力'!$G$5:$G$404)-4))))</f>
        <v/>
      </c>
      <c r="M7" s="45">
        <f>IF(OR($A7="",C$6=""),0,SUMPRODUCT(MAX(('01_予約入力'!$D$5:$D$404=C$6)*('01_予約入力'!$Q$5:$Q$404&lt;&gt;"キャンセル")*('01_予約入力'!$G$5:$G$404&lt;&gt;"")*('01_予約入力'!$G$5:$G$404&lt;=$A7)*('01_予約入力'!$J$5:$J$404&gt;$A7)*(ROW('01_予約入力'!$G$5:$G$404)-4))))</f>
        <v/>
      </c>
      <c r="N7" s="45">
        <f>IF(OR($A7="",C$6=""),0,SUMPRODUCT(MAX(('01_予約入力'!$D$5:$D$404=C$6)*('01_予約入力'!$Q$5:$Q$404&lt;&gt;"キャンセル")*('01_予約入力'!$G$5:$G$404&lt;&gt;"")*('01_予約入力'!$G$5:$G$404=$A7)*('01_予約入力'!$J$5:$J$404=$A7)*(ROW('01_予約入力'!$G$5:$G$404)-4))))</f>
        <v/>
      </c>
      <c r="O7" s="45">
        <f>IF(OR($A7="",D$6=""),0,SUMPRODUCT(MAX(('01_予約入力'!$D$5:$D$404=D$6)*('01_予約入力'!$Q$5:$Q$404&lt;&gt;"キャンセル")*('01_予約入力'!$G$5:$G$404&lt;&gt;"")*('01_予約入力'!$J$5:$J$404=$A7)*('01_予約入力'!$G$5:$G$404&lt;$A7)*(ROW('01_予約入力'!$G$5:$G$404)-4))))</f>
        <v/>
      </c>
      <c r="P7" s="45">
        <f>IF(OR($A7="",D$6=""),0,SUMPRODUCT(MAX(('01_予約入力'!$D$5:$D$404=D$6)*('01_予約入力'!$Q$5:$Q$404&lt;&gt;"キャンセル")*('01_予約入力'!$G$5:$G$404&lt;&gt;"")*('01_予約入力'!$G$5:$G$404&lt;=$A7)*('01_予約入力'!$J$5:$J$404&gt;$A7)*(ROW('01_予約入力'!$G$5:$G$404)-4))))</f>
        <v/>
      </c>
      <c r="Q7" s="45">
        <f>IF(OR($A7="",D$6=""),0,SUMPRODUCT(MAX(('01_予約入力'!$D$5:$D$404=D$6)*('01_予約入力'!$Q$5:$Q$404&lt;&gt;"キャンセル")*('01_予約入力'!$G$5:$G$404&lt;&gt;"")*('01_予約入力'!$G$5:$G$404=$A7)*('01_予約入力'!$J$5:$J$404=$A7)*(ROW('01_予約入力'!$G$5:$G$404)-4))))</f>
        <v/>
      </c>
      <c r="R7" s="45">
        <f>IF(OR($A7="",E$6=""),0,SUMPRODUCT(MAX(('01_予約入力'!$D$5:$D$404=E$6)*('01_予約入力'!$Q$5:$Q$404&lt;&gt;"キャンセル")*('01_予約入力'!$G$5:$G$404&lt;&gt;"")*('01_予約入力'!$J$5:$J$404=$A7)*('01_予約入力'!$G$5:$G$404&lt;$A7)*(ROW('01_予約入力'!$G$5:$G$404)-4))))</f>
        <v/>
      </c>
      <c r="S7" s="45">
        <f>IF(OR($A7="",E$6=""),0,SUMPRODUCT(MAX(('01_予約入力'!$D$5:$D$404=E$6)*('01_予約入力'!$Q$5:$Q$404&lt;&gt;"キャンセル")*('01_予約入力'!$G$5:$G$404&lt;&gt;"")*('01_予約入力'!$G$5:$G$404&lt;=$A7)*('01_予約入力'!$J$5:$J$404&gt;$A7)*(ROW('01_予約入力'!$G$5:$G$404)-4))))</f>
        <v/>
      </c>
      <c r="T7" s="45">
        <f>IF(OR($A7="",E$6=""),0,SUMPRODUCT(MAX(('01_予約入力'!$D$5:$D$404=E$6)*('01_予約入力'!$Q$5:$Q$404&lt;&gt;"キャンセル")*('01_予約入力'!$G$5:$G$404&lt;&gt;"")*('01_予約入力'!$G$5:$G$404=$A7)*('01_予約入力'!$J$5:$J$404=$A7)*(ROW('01_予約入力'!$G$5:$G$404)-4))))</f>
        <v/>
      </c>
      <c r="U7" s="45">
        <f>IF(OR($A7="",F$6=""),0,SUMPRODUCT(MAX(('01_予約入力'!$D$5:$D$404=F$6)*('01_予約入力'!$Q$5:$Q$404&lt;&gt;"キャンセル")*('01_予約入力'!$G$5:$G$404&lt;&gt;"")*('01_予約入力'!$J$5:$J$404=$A7)*('01_予約入力'!$G$5:$G$404&lt;$A7)*(ROW('01_予約入力'!$G$5:$G$404)-4))))</f>
        <v/>
      </c>
      <c r="V7" s="45">
        <f>IF(OR($A7="",F$6=""),0,SUMPRODUCT(MAX(('01_予約入力'!$D$5:$D$404=F$6)*('01_予約入力'!$Q$5:$Q$404&lt;&gt;"キャンセル")*('01_予約入力'!$G$5:$G$404&lt;&gt;"")*('01_予約入力'!$G$5:$G$404&lt;=$A7)*('01_予約入力'!$J$5:$J$404&gt;$A7)*(ROW('01_予約入力'!$G$5:$G$404)-4))))</f>
        <v/>
      </c>
      <c r="W7" s="45">
        <f>IF(OR($A7="",F$6=""),0,SUMPRODUCT(MAX(('01_予約入力'!$D$5:$D$404=F$6)*('01_予約入力'!$Q$5:$Q$404&lt;&gt;"キャンセル")*('01_予約入力'!$G$5:$G$404&lt;&gt;"")*('01_予約入力'!$G$5:$G$404=$A7)*('01_予約入力'!$J$5:$J$404=$A7)*(ROW('01_予約入力'!$G$5:$G$404)-4))))</f>
        <v/>
      </c>
      <c r="X7" s="45">
        <f>IF($A7="","",IF($M7&gt;0,IF(OR(INDEX('01_予約入力'!$Q$5:$Q$404,$M7)="仮予約",INDEX('01_予約入力'!$Q$5:$Q$404,$M7)="調整中"),"仮",INDEX('01_予約入力'!$C$5:$C$404,$M7)),IF($N7&gt;0,IF(OR(INDEX('01_予約入力'!$Q$5:$Q$404,$N7)="仮予約",INDEX('01_予約入力'!$Q$5:$Q$404,$N7)="調整中"),"仮",INDEX('01_予約入力'!$C$5:$C$404,$N7)),IF($L7&gt;0,IF(OR(INDEX('01_予約入力'!$Q$5:$Q$404,$L7)="仮予約",INDEX('01_予約入力'!$Q$5:$Q$404,$L7)="調整中"),"仮",INDEX('01_予約入力'!$C$5:$C$404,$L7)),""))))</f>
        <v/>
      </c>
      <c r="Y7" s="45">
        <f>IF($A7="","",IF($P7&gt;0,IF(OR(INDEX('01_予約入力'!$Q$5:$Q$404,$P7)="仮予約",INDEX('01_予約入力'!$Q$5:$Q$404,$P7)="調整中"),"仮",INDEX('01_予約入力'!$C$5:$C$404,$P7)),IF($Q7&gt;0,IF(OR(INDEX('01_予約入力'!$Q$5:$Q$404,$Q7)="仮予約",INDEX('01_予約入力'!$Q$5:$Q$404,$Q7)="調整中"),"仮",INDEX('01_予約入力'!$C$5:$C$404,$Q7)),IF($O7&gt;0,IF(OR(INDEX('01_予約入力'!$Q$5:$Q$404,$O7)="仮予約",INDEX('01_予約入力'!$Q$5:$Q$404,$O7)="調整中"),"仮",INDEX('01_予約入力'!$C$5:$C$404,$O7)),""))))</f>
        <v/>
      </c>
      <c r="Z7" s="45">
        <f>IF($A7="","",IF($S7&gt;0,IF(OR(INDEX('01_予約入力'!$Q$5:$Q$404,$S7)="仮予約",INDEX('01_予約入力'!$Q$5:$Q$404,$S7)="調整中"),"仮",INDEX('01_予約入力'!$C$5:$C$404,$S7)),IF($T7&gt;0,IF(OR(INDEX('01_予約入力'!$Q$5:$Q$404,$T7)="仮予約",INDEX('01_予約入力'!$Q$5:$Q$404,$T7)="調整中"),"仮",INDEX('01_予約入力'!$C$5:$C$404,$T7)),IF($R7&gt;0,IF(OR(INDEX('01_予約入力'!$Q$5:$Q$404,$R7)="仮予約",INDEX('01_予約入力'!$Q$5:$Q$404,$R7)="調整中"),"仮",INDEX('01_予約入力'!$C$5:$C$404,$R7)),""))))</f>
        <v/>
      </c>
      <c r="AA7" s="45">
        <f>IF($A7="","",IF($V7&gt;0,IF(OR(INDEX('01_予約入力'!$Q$5:$Q$404,$V7)="仮予約",INDEX('01_予約入力'!$Q$5:$Q$404,$V7)="調整中"),"仮",INDEX('01_予約入力'!$C$5:$C$404,$V7)),IF($W7&gt;0,IF(OR(INDEX('01_予約入力'!$Q$5:$Q$404,$W7)="仮予約",INDEX('01_予約入力'!$Q$5:$Q$404,$W7)="調整中"),"仮",INDEX('01_予約入力'!$C$5:$C$404,$W7)),IF($U7&gt;0,IF(OR(INDEX('01_予約入力'!$Q$5:$Q$404,$U7)="仮予約",INDEX('01_予約入力'!$Q$5:$Q$404,$U7)="調整中"),"仮",INDEX('01_予約入力'!$C$5:$C$404,$U7)),""))))</f>
        <v/>
      </c>
      <c r="AB7" s="45">
        <f>IF($A7="",0,SUMPRODUCT(('01_予約入力'!$G$5:$G$404&lt;&gt;"")*('01_予約入力'!$Q$5:$Q$404&lt;&gt;"キャンセル")*(('01_予約入力'!$L$5:$L$404="○")*('01_予約入力'!$G$5:$G$404&lt;=$A7)*('01_予約入力'!$J$5:$J$404&gt;=$A7)+('01_予約入力'!$L$5:$L$404="")*('01_予約入力'!$G$5:$G$404&lt;$A7)*('01_予約入力'!$J$5:$J$404&gt;=$A7))))</f>
        <v/>
      </c>
      <c r="AC7" s="45">
        <f>IF($A7="",0,SUMPRODUCT(('01_予約入力'!$G$5:$G$404&lt;&gt;"")*('01_予約入力'!$Q$5:$Q$404&lt;&gt;"キャンセル")*(('01_予約入力'!$M$5:$M$404="○")*('01_予約入力'!$G$5:$G$404&lt;=$A7)*('01_予約入力'!$J$5:$J$404&gt;=$A7)+('01_予約入力'!$M$5:$M$404="")*((('01_予約入力'!$G$5:$G$404&lt;$A7)*('01_予約入力'!$J$5:$J$404&gt;$A7))+(('01_予約入力'!$G$5:$G$404=$A7)*('01_予約入力'!$J$5:$J$404=$A7))))))</f>
        <v/>
      </c>
      <c r="AD7" s="45">
        <f>IF($A7="",0,SUMPRODUCT(('01_予約入力'!$G$5:$G$404&lt;&gt;"")*('01_予約入力'!$Q$5:$Q$404&lt;&gt;"キャンセル")*(('01_予約入力'!$N$5:$N$404="○")*('01_予約入力'!$G$5:$G$404&lt;=$A7)*('01_予約入力'!$J$5:$J$404&gt;=$A7)+('01_予約入力'!$N$5:$N$404="")*('01_予約入力'!$G$5:$G$404&lt;=$A7)*('01_予約入力'!$J$5:$J$404&gt;$A7))))</f>
        <v/>
      </c>
      <c r="AE7" s="45">
        <f>IF($A7="",0,IFERROR(MATCH($A7,'02_カレンダー'!$B$59:$B$78,0),0))</f>
        <v/>
      </c>
      <c r="AF7" s="45">
        <f>IF($A7="",0,IF($AE7=0,$AB7,IF(INDEX('02_カレンダー'!$C$59:$C$78,$AE7)="",$AB7,INDEX('02_カレンダー'!$C$59:$C$78,$AE7))))</f>
        <v/>
      </c>
      <c r="AG7" s="45">
        <f>IF($A7="",0,IF($AE7=0,$AC7,IF(INDEX('02_カレンダー'!$D$59:$D$78,$AE7)="",$AC7,INDEX('02_カレンダー'!$D$59:$D$78,$AE7))))</f>
        <v/>
      </c>
      <c r="AH7" s="45">
        <f>IF($A7="",0,IF($AE7=0,$AD7,IF(INDEX('02_カレンダー'!$E$59:$E$78,$AE7)="",$AD7,INDEX('02_カレンダー'!$E$59:$E$78,$AE7))))</f>
        <v/>
      </c>
      <c r="AI7" s="45">
        <f>IF($A7="","",IF(AND($AF7=0,$AG7=0,$AH7=0),"","朝"&amp;$AF7&amp;" 昼"&amp;$AG7&amp;" 夕"&amp;$AH7&amp;IF($AJ7=0,"","　※調整")))</f>
        <v/>
      </c>
      <c r="AJ7" s="45">
        <f>IF(OR($A7="",$AE7=0),0,IF(OR(INDEX('02_カレンダー'!$C$59:$C$78,$AE7)&lt;&gt;"",INDEX('02_カレンダー'!$D$59:$D$78,$AE7)&lt;&gt;"",INDEX('02_カレンダー'!$E$59:$E$78,$AE7)&lt;&gt;""),1,0))</f>
        <v/>
      </c>
    </row>
    <row r="8">
      <c r="A8" s="38">
        <f>IF(MONTH('02_カレンダー'!$B$4+1)&lt;&gt;MONTH('02_カレンダー'!$B$4),"",'02_カレンダー'!$B$4+1)</f>
        <v/>
      </c>
      <c r="B8" s="45">
        <f>IF($A8="","",MID("日月火水木金土",WEEKDAY($A8),1))</f>
        <v/>
      </c>
      <c r="C8" s="49">
        <f>IF(OR($A8="",C$6=""),"",IF($L8=0,"",INDEX('01_予約入力'!$B$5:$B$404,$L8)&amp;" ◀"&amp;IF(('02_カレンダー'!$B$5="○"),INDEX('01_予約入力'!$AE$5:$AE$404,$L8),""))&amp;IF(AND($L8&gt;0,OR($M8&gt;0,$N8&gt;0)),"  ","")&amp;IF($M8=0,"",IF(INDEX('01_予約入力'!$G$5:$G$404,$M8)=$A8,"▶"&amp;IF(('02_カレンダー'!$B$5="○"),INDEX('01_予約入力'!$AD$5:$AD$404,$M8)&amp;" "," "),"")&amp;INDEX('01_予約入力'!$B$5:$B$404,$M8))&amp;IF(AND($M8&gt;0,$N8&gt;0),"  ","")&amp;IF($N8=0,"","◆ "&amp;INDEX('01_予約入力'!$B$5:$B$404,$N8)&amp;IF(('02_カレンダー'!$B$5="○")," "&amp;INDEX('01_予約入力'!$AD$5:$AD$404,$N8)&amp;"-"&amp;INDEX('01_予約入力'!$AE$5:$AE$404,$N8),"")))</f>
        <v/>
      </c>
      <c r="D8" s="49">
        <f>IF(OR($A8="",D$6=""),"",IF($O8=0,"",INDEX('01_予約入力'!$B$5:$B$404,$O8)&amp;" ◀"&amp;IF(('02_カレンダー'!$B$5="○"),INDEX('01_予約入力'!$AE$5:$AE$404,$O8),""))&amp;IF(AND($O8&gt;0,OR($P8&gt;0,$Q8&gt;0)),"  ","")&amp;IF($P8=0,"",IF(INDEX('01_予約入力'!$G$5:$G$404,$P8)=$A8,"▶"&amp;IF(('02_カレンダー'!$B$5="○"),INDEX('01_予約入力'!$AD$5:$AD$404,$P8)&amp;" "," "),"")&amp;INDEX('01_予約入力'!$B$5:$B$404,$P8))&amp;IF(AND($P8&gt;0,$Q8&gt;0),"  ","")&amp;IF($Q8=0,"","◆ "&amp;INDEX('01_予約入力'!$B$5:$B$404,$Q8)&amp;IF(('02_カレンダー'!$B$5="○")," "&amp;INDEX('01_予約入力'!$AD$5:$AD$404,$Q8)&amp;"-"&amp;INDEX('01_予約入力'!$AE$5:$AE$404,$Q8),"")))</f>
        <v/>
      </c>
      <c r="E8" s="49">
        <f>IF(OR($A8="",E$6=""),"",IF($R8=0,"",INDEX('01_予約入力'!$B$5:$B$404,$R8)&amp;" ◀"&amp;IF(('02_カレンダー'!$B$5="○"),INDEX('01_予約入力'!$AE$5:$AE$404,$R8),""))&amp;IF(AND($R8&gt;0,OR($S8&gt;0,$T8&gt;0)),"  ","")&amp;IF($S8=0,"",IF(INDEX('01_予約入力'!$G$5:$G$404,$S8)=$A8,"▶"&amp;IF(('02_カレンダー'!$B$5="○"),INDEX('01_予約入力'!$AD$5:$AD$404,$S8)&amp;" "," "),"")&amp;INDEX('01_予約入力'!$B$5:$B$404,$S8))&amp;IF(AND($S8&gt;0,$T8&gt;0),"  ","")&amp;IF($T8=0,"","◆ "&amp;INDEX('01_予約入力'!$B$5:$B$404,$T8)&amp;IF(('02_カレンダー'!$B$5="○")," "&amp;INDEX('01_予約入力'!$AD$5:$AD$404,$T8)&amp;"-"&amp;INDEX('01_予約入力'!$AE$5:$AE$404,$T8),"")))</f>
        <v/>
      </c>
      <c r="F8" s="49">
        <f>IF(OR($A8="",F$6=""),"",IF($U8=0,"",INDEX('01_予約入力'!$B$5:$B$404,$U8)&amp;" ◀"&amp;IF(('02_カレンダー'!$B$5="○"),INDEX('01_予約入力'!$AE$5:$AE$404,$U8),""))&amp;IF(AND($U8&gt;0,OR($V8&gt;0,$W8&gt;0)),"  ","")&amp;IF($V8=0,"",IF(INDEX('01_予約入力'!$G$5:$G$404,$V8)=$A8,"▶"&amp;IF(('02_カレンダー'!$B$5="○"),INDEX('01_予約入力'!$AD$5:$AD$404,$V8)&amp;" "," "),"")&amp;INDEX('01_予約入力'!$B$5:$B$404,$V8))&amp;IF(AND($V8&gt;0,$W8&gt;0),"  ","")&amp;IF($W8=0,"","◆ "&amp;INDEX('01_予約入力'!$B$5:$B$404,$W8)&amp;IF(('02_カレンダー'!$B$5="○")," "&amp;INDEX('01_予約入力'!$AD$5:$AD$404,$W8)&amp;"-"&amp;INDEX('01_予約入力'!$AE$5:$AE$404,$W8),"")))</f>
        <v/>
      </c>
      <c r="G8" s="45">
        <f>IF($A8="","",SUMPRODUCT(('01_予約入力'!$G$5:$G$404&lt;&gt;"")*('01_予約入力'!$Q$5:$Q$404&lt;&gt;"キャンセル")*('01_予約入力'!$G$5:$G$404&lt;=$A8)*('01_予約入力'!$J$5:$J$404&gt;$A8)))</f>
        <v/>
      </c>
      <c r="H8" s="45">
        <f>IF($A8="","",'M_施設設定'!$B$6-$G8)</f>
        <v/>
      </c>
      <c r="I8" s="45">
        <f>IF($A8="","",SUMPRODUCT((('01_予約入力'!$Q$5:$Q$404="仮予約")+('01_予約入力'!$Q$5:$Q$404="調整中"))*('01_予約入力'!$G$5:$G$404&lt;&gt;"")*('01_予約入力'!$G$5:$G$404&lt;=$A8)*('01_予約入力'!$J$5:$J$404&gt;$A8)))</f>
        <v/>
      </c>
      <c r="J8" s="45">
        <f>IF($A8="","",IF($I8&gt;0,"仮",IF($H8&lt;=0,"×",IF($H8&lt;'M_施設設定'!$B$6,"△","○"))))</f>
        <v/>
      </c>
      <c r="K8" s="45">
        <f>IF($A8="","",SUMPRODUCT(('01_予約入力'!$G$5:$G$404&lt;&gt;"")*('01_予約入力'!$Q$5:$Q$404&lt;&gt;"キャンセル")*('01_予約入力'!$G$5:$G$404=$A8)*('01_予約入力'!$J$5:$J$404=$A8)))</f>
        <v/>
      </c>
      <c r="L8" s="45">
        <f>IF(OR($A8="",C$6=""),0,SUMPRODUCT(MAX(('01_予約入力'!$D$5:$D$404=C$6)*('01_予約入力'!$Q$5:$Q$404&lt;&gt;"キャンセル")*('01_予約入力'!$G$5:$G$404&lt;&gt;"")*('01_予約入力'!$J$5:$J$404=$A8)*('01_予約入力'!$G$5:$G$404&lt;$A8)*(ROW('01_予約入力'!$G$5:$G$404)-4))))</f>
        <v/>
      </c>
      <c r="M8" s="45">
        <f>IF(OR($A8="",C$6=""),0,SUMPRODUCT(MAX(('01_予約入力'!$D$5:$D$404=C$6)*('01_予約入力'!$Q$5:$Q$404&lt;&gt;"キャンセル")*('01_予約入力'!$G$5:$G$404&lt;&gt;"")*('01_予約入力'!$G$5:$G$404&lt;=$A8)*('01_予約入力'!$J$5:$J$404&gt;$A8)*(ROW('01_予約入力'!$G$5:$G$404)-4))))</f>
        <v/>
      </c>
      <c r="N8" s="45">
        <f>IF(OR($A8="",C$6=""),0,SUMPRODUCT(MAX(('01_予約入力'!$D$5:$D$404=C$6)*('01_予約入力'!$Q$5:$Q$404&lt;&gt;"キャンセル")*('01_予約入力'!$G$5:$G$404&lt;&gt;"")*('01_予約入力'!$G$5:$G$404=$A8)*('01_予約入力'!$J$5:$J$404=$A8)*(ROW('01_予約入力'!$G$5:$G$404)-4))))</f>
        <v/>
      </c>
      <c r="O8" s="45">
        <f>IF(OR($A8="",D$6=""),0,SUMPRODUCT(MAX(('01_予約入力'!$D$5:$D$404=D$6)*('01_予約入力'!$Q$5:$Q$404&lt;&gt;"キャンセル")*('01_予約入力'!$G$5:$G$404&lt;&gt;"")*('01_予約入力'!$J$5:$J$404=$A8)*('01_予約入力'!$G$5:$G$404&lt;$A8)*(ROW('01_予約入力'!$G$5:$G$404)-4))))</f>
        <v/>
      </c>
      <c r="P8" s="45">
        <f>IF(OR($A8="",D$6=""),0,SUMPRODUCT(MAX(('01_予約入力'!$D$5:$D$404=D$6)*('01_予約入力'!$Q$5:$Q$404&lt;&gt;"キャンセル")*('01_予約入力'!$G$5:$G$404&lt;&gt;"")*('01_予約入力'!$G$5:$G$404&lt;=$A8)*('01_予約入力'!$J$5:$J$404&gt;$A8)*(ROW('01_予約入力'!$G$5:$G$404)-4))))</f>
        <v/>
      </c>
      <c r="Q8" s="45">
        <f>IF(OR($A8="",D$6=""),0,SUMPRODUCT(MAX(('01_予約入力'!$D$5:$D$404=D$6)*('01_予約入力'!$Q$5:$Q$404&lt;&gt;"キャンセル")*('01_予約入力'!$G$5:$G$404&lt;&gt;"")*('01_予約入力'!$G$5:$G$404=$A8)*('01_予約入力'!$J$5:$J$404=$A8)*(ROW('01_予約入力'!$G$5:$G$404)-4))))</f>
        <v/>
      </c>
      <c r="R8" s="45">
        <f>IF(OR($A8="",E$6=""),0,SUMPRODUCT(MAX(('01_予約入力'!$D$5:$D$404=E$6)*('01_予約入力'!$Q$5:$Q$404&lt;&gt;"キャンセル")*('01_予約入力'!$G$5:$G$404&lt;&gt;"")*('01_予約入力'!$J$5:$J$404=$A8)*('01_予約入力'!$G$5:$G$404&lt;$A8)*(ROW('01_予約入力'!$G$5:$G$404)-4))))</f>
        <v/>
      </c>
      <c r="S8" s="45">
        <f>IF(OR($A8="",E$6=""),0,SUMPRODUCT(MAX(('01_予約入力'!$D$5:$D$404=E$6)*('01_予約入力'!$Q$5:$Q$404&lt;&gt;"キャンセル")*('01_予約入力'!$G$5:$G$404&lt;&gt;"")*('01_予約入力'!$G$5:$G$404&lt;=$A8)*('01_予約入力'!$J$5:$J$404&gt;$A8)*(ROW('01_予約入力'!$G$5:$G$404)-4))))</f>
        <v/>
      </c>
      <c r="T8" s="45">
        <f>IF(OR($A8="",E$6=""),0,SUMPRODUCT(MAX(('01_予約入力'!$D$5:$D$404=E$6)*('01_予約入力'!$Q$5:$Q$404&lt;&gt;"キャンセル")*('01_予約入力'!$G$5:$G$404&lt;&gt;"")*('01_予約入力'!$G$5:$G$404=$A8)*('01_予約入力'!$J$5:$J$404=$A8)*(ROW('01_予約入力'!$G$5:$G$404)-4))))</f>
        <v/>
      </c>
      <c r="U8" s="45">
        <f>IF(OR($A8="",F$6=""),0,SUMPRODUCT(MAX(('01_予約入力'!$D$5:$D$404=F$6)*('01_予約入力'!$Q$5:$Q$404&lt;&gt;"キャンセル")*('01_予約入力'!$G$5:$G$404&lt;&gt;"")*('01_予約入力'!$J$5:$J$404=$A8)*('01_予約入力'!$G$5:$G$404&lt;$A8)*(ROW('01_予約入力'!$G$5:$G$404)-4))))</f>
        <v/>
      </c>
      <c r="V8" s="45">
        <f>IF(OR($A8="",F$6=""),0,SUMPRODUCT(MAX(('01_予約入力'!$D$5:$D$404=F$6)*('01_予約入力'!$Q$5:$Q$404&lt;&gt;"キャンセル")*('01_予約入力'!$G$5:$G$404&lt;&gt;"")*('01_予約入力'!$G$5:$G$404&lt;=$A8)*('01_予約入力'!$J$5:$J$404&gt;$A8)*(ROW('01_予約入力'!$G$5:$G$404)-4))))</f>
        <v/>
      </c>
      <c r="W8" s="45">
        <f>IF(OR($A8="",F$6=""),0,SUMPRODUCT(MAX(('01_予約入力'!$D$5:$D$404=F$6)*('01_予約入力'!$Q$5:$Q$404&lt;&gt;"キャンセル")*('01_予約入力'!$G$5:$G$404&lt;&gt;"")*('01_予約入力'!$G$5:$G$404=$A8)*('01_予約入力'!$J$5:$J$404=$A8)*(ROW('01_予約入力'!$G$5:$G$404)-4))))</f>
        <v/>
      </c>
      <c r="X8" s="45">
        <f>IF($A8="","",IF($M8&gt;0,IF(OR(INDEX('01_予約入力'!$Q$5:$Q$404,$M8)="仮予約",INDEX('01_予約入力'!$Q$5:$Q$404,$M8)="調整中"),"仮",INDEX('01_予約入力'!$C$5:$C$404,$M8)),IF($N8&gt;0,IF(OR(INDEX('01_予約入力'!$Q$5:$Q$404,$N8)="仮予約",INDEX('01_予約入力'!$Q$5:$Q$404,$N8)="調整中"),"仮",INDEX('01_予約入力'!$C$5:$C$404,$N8)),IF($L8&gt;0,IF(OR(INDEX('01_予約入力'!$Q$5:$Q$404,$L8)="仮予約",INDEX('01_予約入力'!$Q$5:$Q$404,$L8)="調整中"),"仮",INDEX('01_予約入力'!$C$5:$C$404,$L8)),""))))</f>
        <v/>
      </c>
      <c r="Y8" s="45">
        <f>IF($A8="","",IF($P8&gt;0,IF(OR(INDEX('01_予約入力'!$Q$5:$Q$404,$P8)="仮予約",INDEX('01_予約入力'!$Q$5:$Q$404,$P8)="調整中"),"仮",INDEX('01_予約入力'!$C$5:$C$404,$P8)),IF($Q8&gt;0,IF(OR(INDEX('01_予約入力'!$Q$5:$Q$404,$Q8)="仮予約",INDEX('01_予約入力'!$Q$5:$Q$404,$Q8)="調整中"),"仮",INDEX('01_予約入力'!$C$5:$C$404,$Q8)),IF($O8&gt;0,IF(OR(INDEX('01_予約入力'!$Q$5:$Q$404,$O8)="仮予約",INDEX('01_予約入力'!$Q$5:$Q$404,$O8)="調整中"),"仮",INDEX('01_予約入力'!$C$5:$C$404,$O8)),""))))</f>
        <v/>
      </c>
      <c r="Z8" s="45">
        <f>IF($A8="","",IF($S8&gt;0,IF(OR(INDEX('01_予約入力'!$Q$5:$Q$404,$S8)="仮予約",INDEX('01_予約入力'!$Q$5:$Q$404,$S8)="調整中"),"仮",INDEX('01_予約入力'!$C$5:$C$404,$S8)),IF($T8&gt;0,IF(OR(INDEX('01_予約入力'!$Q$5:$Q$404,$T8)="仮予約",INDEX('01_予約入力'!$Q$5:$Q$404,$T8)="調整中"),"仮",INDEX('01_予約入力'!$C$5:$C$404,$T8)),IF($R8&gt;0,IF(OR(INDEX('01_予約入力'!$Q$5:$Q$404,$R8)="仮予約",INDEX('01_予約入力'!$Q$5:$Q$404,$R8)="調整中"),"仮",INDEX('01_予約入力'!$C$5:$C$404,$R8)),""))))</f>
        <v/>
      </c>
      <c r="AA8" s="45">
        <f>IF($A8="","",IF($V8&gt;0,IF(OR(INDEX('01_予約入力'!$Q$5:$Q$404,$V8)="仮予約",INDEX('01_予約入力'!$Q$5:$Q$404,$V8)="調整中"),"仮",INDEX('01_予約入力'!$C$5:$C$404,$V8)),IF($W8&gt;0,IF(OR(INDEX('01_予約入力'!$Q$5:$Q$404,$W8)="仮予約",INDEX('01_予約入力'!$Q$5:$Q$404,$W8)="調整中"),"仮",INDEX('01_予約入力'!$C$5:$C$404,$W8)),IF($U8&gt;0,IF(OR(INDEX('01_予約入力'!$Q$5:$Q$404,$U8)="仮予約",INDEX('01_予約入力'!$Q$5:$Q$404,$U8)="調整中"),"仮",INDEX('01_予約入力'!$C$5:$C$404,$U8)),""))))</f>
        <v/>
      </c>
      <c r="AB8" s="45">
        <f>IF($A8="",0,SUMPRODUCT(('01_予約入力'!$G$5:$G$404&lt;&gt;"")*('01_予約入力'!$Q$5:$Q$404&lt;&gt;"キャンセル")*(('01_予約入力'!$L$5:$L$404="○")*('01_予約入力'!$G$5:$G$404&lt;=$A8)*('01_予約入力'!$J$5:$J$404&gt;=$A8)+('01_予約入力'!$L$5:$L$404="")*('01_予約入力'!$G$5:$G$404&lt;$A8)*('01_予約入力'!$J$5:$J$404&gt;=$A8))))</f>
        <v/>
      </c>
      <c r="AC8" s="45">
        <f>IF($A8="",0,SUMPRODUCT(('01_予約入力'!$G$5:$G$404&lt;&gt;"")*('01_予約入力'!$Q$5:$Q$404&lt;&gt;"キャンセル")*(('01_予約入力'!$M$5:$M$404="○")*('01_予約入力'!$G$5:$G$404&lt;=$A8)*('01_予約入力'!$J$5:$J$404&gt;=$A8)+('01_予約入力'!$M$5:$M$404="")*((('01_予約入力'!$G$5:$G$404&lt;$A8)*('01_予約入力'!$J$5:$J$404&gt;$A8))+(('01_予約入力'!$G$5:$G$404=$A8)*('01_予約入力'!$J$5:$J$404=$A8))))))</f>
        <v/>
      </c>
      <c r="AD8" s="45">
        <f>IF($A8="",0,SUMPRODUCT(('01_予約入力'!$G$5:$G$404&lt;&gt;"")*('01_予約入力'!$Q$5:$Q$404&lt;&gt;"キャンセル")*(('01_予約入力'!$N$5:$N$404="○")*('01_予約入力'!$G$5:$G$404&lt;=$A8)*('01_予約入力'!$J$5:$J$404&gt;=$A8)+('01_予約入力'!$N$5:$N$404="")*('01_予約入力'!$G$5:$G$404&lt;=$A8)*('01_予約入力'!$J$5:$J$404&gt;$A8))))</f>
        <v/>
      </c>
      <c r="AE8" s="45">
        <f>IF($A8="",0,IFERROR(MATCH($A8,'02_カレンダー'!$B$59:$B$78,0),0))</f>
        <v/>
      </c>
      <c r="AF8" s="45">
        <f>IF($A8="",0,IF($AE8=0,$AB8,IF(INDEX('02_カレンダー'!$C$59:$C$78,$AE8)="",$AB8,INDEX('02_カレンダー'!$C$59:$C$78,$AE8))))</f>
        <v/>
      </c>
      <c r="AG8" s="45">
        <f>IF($A8="",0,IF($AE8=0,$AC8,IF(INDEX('02_カレンダー'!$D$59:$D$78,$AE8)="",$AC8,INDEX('02_カレンダー'!$D$59:$D$78,$AE8))))</f>
        <v/>
      </c>
      <c r="AH8" s="45">
        <f>IF($A8="",0,IF($AE8=0,$AD8,IF(INDEX('02_カレンダー'!$E$59:$E$78,$AE8)="",$AD8,INDEX('02_カレンダー'!$E$59:$E$78,$AE8))))</f>
        <v/>
      </c>
      <c r="AI8" s="45">
        <f>IF($A8="","",IF(AND($AF8=0,$AG8=0,$AH8=0),"","朝"&amp;$AF8&amp;" 昼"&amp;$AG8&amp;" 夕"&amp;$AH8&amp;IF($AJ8=0,"","　※調整")))</f>
        <v/>
      </c>
      <c r="AJ8" s="45">
        <f>IF(OR($A8="",$AE8=0),0,IF(OR(INDEX('02_カレンダー'!$C$59:$C$78,$AE8)&lt;&gt;"",INDEX('02_カレンダー'!$D$59:$D$78,$AE8)&lt;&gt;"",INDEX('02_カレンダー'!$E$59:$E$78,$AE8)&lt;&gt;""),1,0))</f>
        <v/>
      </c>
    </row>
    <row r="9">
      <c r="A9" s="38">
        <f>IF(MONTH('02_カレンダー'!$B$4+2)&lt;&gt;MONTH('02_カレンダー'!$B$4),"",'02_カレンダー'!$B$4+2)</f>
        <v/>
      </c>
      <c r="B9" s="45">
        <f>IF($A9="","",MID("日月火水木金土",WEEKDAY($A9),1))</f>
        <v/>
      </c>
      <c r="C9" s="49">
        <f>IF(OR($A9="",C$6=""),"",IF($L9=0,"",INDEX('01_予約入力'!$B$5:$B$404,$L9)&amp;" ◀"&amp;IF(('02_カレンダー'!$B$5="○"),INDEX('01_予約入力'!$AE$5:$AE$404,$L9),""))&amp;IF(AND($L9&gt;0,OR($M9&gt;0,$N9&gt;0)),"  ","")&amp;IF($M9=0,"",IF(INDEX('01_予約入力'!$G$5:$G$404,$M9)=$A9,"▶"&amp;IF(('02_カレンダー'!$B$5="○"),INDEX('01_予約入力'!$AD$5:$AD$404,$M9)&amp;" "," "),"")&amp;INDEX('01_予約入力'!$B$5:$B$404,$M9))&amp;IF(AND($M9&gt;0,$N9&gt;0),"  ","")&amp;IF($N9=0,"","◆ "&amp;INDEX('01_予約入力'!$B$5:$B$404,$N9)&amp;IF(('02_カレンダー'!$B$5="○")," "&amp;INDEX('01_予約入力'!$AD$5:$AD$404,$N9)&amp;"-"&amp;INDEX('01_予約入力'!$AE$5:$AE$404,$N9),"")))</f>
        <v/>
      </c>
      <c r="D9" s="49">
        <f>IF(OR($A9="",D$6=""),"",IF($O9=0,"",INDEX('01_予約入力'!$B$5:$B$404,$O9)&amp;" ◀"&amp;IF(('02_カレンダー'!$B$5="○"),INDEX('01_予約入力'!$AE$5:$AE$404,$O9),""))&amp;IF(AND($O9&gt;0,OR($P9&gt;0,$Q9&gt;0)),"  ","")&amp;IF($P9=0,"",IF(INDEX('01_予約入力'!$G$5:$G$404,$P9)=$A9,"▶"&amp;IF(('02_カレンダー'!$B$5="○"),INDEX('01_予約入力'!$AD$5:$AD$404,$P9)&amp;" "," "),"")&amp;INDEX('01_予約入力'!$B$5:$B$404,$P9))&amp;IF(AND($P9&gt;0,$Q9&gt;0),"  ","")&amp;IF($Q9=0,"","◆ "&amp;INDEX('01_予約入力'!$B$5:$B$404,$Q9)&amp;IF(('02_カレンダー'!$B$5="○")," "&amp;INDEX('01_予約入力'!$AD$5:$AD$404,$Q9)&amp;"-"&amp;INDEX('01_予約入力'!$AE$5:$AE$404,$Q9),"")))</f>
        <v/>
      </c>
      <c r="E9" s="49">
        <f>IF(OR($A9="",E$6=""),"",IF($R9=0,"",INDEX('01_予約入力'!$B$5:$B$404,$R9)&amp;" ◀"&amp;IF(('02_カレンダー'!$B$5="○"),INDEX('01_予約入力'!$AE$5:$AE$404,$R9),""))&amp;IF(AND($R9&gt;0,OR($S9&gt;0,$T9&gt;0)),"  ","")&amp;IF($S9=0,"",IF(INDEX('01_予約入力'!$G$5:$G$404,$S9)=$A9,"▶"&amp;IF(('02_カレンダー'!$B$5="○"),INDEX('01_予約入力'!$AD$5:$AD$404,$S9)&amp;" "," "),"")&amp;INDEX('01_予約入力'!$B$5:$B$404,$S9))&amp;IF(AND($S9&gt;0,$T9&gt;0),"  ","")&amp;IF($T9=0,"","◆ "&amp;INDEX('01_予約入力'!$B$5:$B$404,$T9)&amp;IF(('02_カレンダー'!$B$5="○")," "&amp;INDEX('01_予約入力'!$AD$5:$AD$404,$T9)&amp;"-"&amp;INDEX('01_予約入力'!$AE$5:$AE$404,$T9),"")))</f>
        <v/>
      </c>
      <c r="F9" s="49">
        <f>IF(OR($A9="",F$6=""),"",IF($U9=0,"",INDEX('01_予約入力'!$B$5:$B$404,$U9)&amp;" ◀"&amp;IF(('02_カレンダー'!$B$5="○"),INDEX('01_予約入力'!$AE$5:$AE$404,$U9),""))&amp;IF(AND($U9&gt;0,OR($V9&gt;0,$W9&gt;0)),"  ","")&amp;IF($V9=0,"",IF(INDEX('01_予約入力'!$G$5:$G$404,$V9)=$A9,"▶"&amp;IF(('02_カレンダー'!$B$5="○"),INDEX('01_予約入力'!$AD$5:$AD$404,$V9)&amp;" "," "),"")&amp;INDEX('01_予約入力'!$B$5:$B$404,$V9))&amp;IF(AND($V9&gt;0,$W9&gt;0),"  ","")&amp;IF($W9=0,"","◆ "&amp;INDEX('01_予約入力'!$B$5:$B$404,$W9)&amp;IF(('02_カレンダー'!$B$5="○")," "&amp;INDEX('01_予約入力'!$AD$5:$AD$404,$W9)&amp;"-"&amp;INDEX('01_予約入力'!$AE$5:$AE$404,$W9),"")))</f>
        <v/>
      </c>
      <c r="G9" s="45">
        <f>IF($A9="","",SUMPRODUCT(('01_予約入力'!$G$5:$G$404&lt;&gt;"")*('01_予約入力'!$Q$5:$Q$404&lt;&gt;"キャンセル")*('01_予約入力'!$G$5:$G$404&lt;=$A9)*('01_予約入力'!$J$5:$J$404&gt;$A9)))</f>
        <v/>
      </c>
      <c r="H9" s="45">
        <f>IF($A9="","",'M_施設設定'!$B$6-$G9)</f>
        <v/>
      </c>
      <c r="I9" s="45">
        <f>IF($A9="","",SUMPRODUCT((('01_予約入力'!$Q$5:$Q$404="仮予約")+('01_予約入力'!$Q$5:$Q$404="調整中"))*('01_予約入力'!$G$5:$G$404&lt;&gt;"")*('01_予約入力'!$G$5:$G$404&lt;=$A9)*('01_予約入力'!$J$5:$J$404&gt;$A9)))</f>
        <v/>
      </c>
      <c r="J9" s="45">
        <f>IF($A9="","",IF($I9&gt;0,"仮",IF($H9&lt;=0,"×",IF($H9&lt;'M_施設設定'!$B$6,"△","○"))))</f>
        <v/>
      </c>
      <c r="K9" s="45">
        <f>IF($A9="","",SUMPRODUCT(('01_予約入力'!$G$5:$G$404&lt;&gt;"")*('01_予約入力'!$Q$5:$Q$404&lt;&gt;"キャンセル")*('01_予約入力'!$G$5:$G$404=$A9)*('01_予約入力'!$J$5:$J$404=$A9)))</f>
        <v/>
      </c>
      <c r="L9" s="45">
        <f>IF(OR($A9="",C$6=""),0,SUMPRODUCT(MAX(('01_予約入力'!$D$5:$D$404=C$6)*('01_予約入力'!$Q$5:$Q$404&lt;&gt;"キャンセル")*('01_予約入力'!$G$5:$G$404&lt;&gt;"")*('01_予約入力'!$J$5:$J$404=$A9)*('01_予約入力'!$G$5:$G$404&lt;$A9)*(ROW('01_予約入力'!$G$5:$G$404)-4))))</f>
        <v/>
      </c>
      <c r="M9" s="45">
        <f>IF(OR($A9="",C$6=""),0,SUMPRODUCT(MAX(('01_予約入力'!$D$5:$D$404=C$6)*('01_予約入力'!$Q$5:$Q$404&lt;&gt;"キャンセル")*('01_予約入力'!$G$5:$G$404&lt;&gt;"")*('01_予約入力'!$G$5:$G$404&lt;=$A9)*('01_予約入力'!$J$5:$J$404&gt;$A9)*(ROW('01_予約入力'!$G$5:$G$404)-4))))</f>
        <v/>
      </c>
      <c r="N9" s="45">
        <f>IF(OR($A9="",C$6=""),0,SUMPRODUCT(MAX(('01_予約入力'!$D$5:$D$404=C$6)*('01_予約入力'!$Q$5:$Q$404&lt;&gt;"キャンセル")*('01_予約入力'!$G$5:$G$404&lt;&gt;"")*('01_予約入力'!$G$5:$G$404=$A9)*('01_予約入力'!$J$5:$J$404=$A9)*(ROW('01_予約入力'!$G$5:$G$404)-4))))</f>
        <v/>
      </c>
      <c r="O9" s="45">
        <f>IF(OR($A9="",D$6=""),0,SUMPRODUCT(MAX(('01_予約入力'!$D$5:$D$404=D$6)*('01_予約入力'!$Q$5:$Q$404&lt;&gt;"キャンセル")*('01_予約入力'!$G$5:$G$404&lt;&gt;"")*('01_予約入力'!$J$5:$J$404=$A9)*('01_予約入力'!$G$5:$G$404&lt;$A9)*(ROW('01_予約入力'!$G$5:$G$404)-4))))</f>
        <v/>
      </c>
      <c r="P9" s="45">
        <f>IF(OR($A9="",D$6=""),0,SUMPRODUCT(MAX(('01_予約入力'!$D$5:$D$404=D$6)*('01_予約入力'!$Q$5:$Q$404&lt;&gt;"キャンセル")*('01_予約入力'!$G$5:$G$404&lt;&gt;"")*('01_予約入力'!$G$5:$G$404&lt;=$A9)*('01_予約入力'!$J$5:$J$404&gt;$A9)*(ROW('01_予約入力'!$G$5:$G$404)-4))))</f>
        <v/>
      </c>
      <c r="Q9" s="45">
        <f>IF(OR($A9="",D$6=""),0,SUMPRODUCT(MAX(('01_予約入力'!$D$5:$D$404=D$6)*('01_予約入力'!$Q$5:$Q$404&lt;&gt;"キャンセル")*('01_予約入力'!$G$5:$G$404&lt;&gt;"")*('01_予約入力'!$G$5:$G$404=$A9)*('01_予約入力'!$J$5:$J$404=$A9)*(ROW('01_予約入力'!$G$5:$G$404)-4))))</f>
        <v/>
      </c>
      <c r="R9" s="45">
        <f>IF(OR($A9="",E$6=""),0,SUMPRODUCT(MAX(('01_予約入力'!$D$5:$D$404=E$6)*('01_予約入力'!$Q$5:$Q$404&lt;&gt;"キャンセル")*('01_予約入力'!$G$5:$G$404&lt;&gt;"")*('01_予約入力'!$J$5:$J$404=$A9)*('01_予約入力'!$G$5:$G$404&lt;$A9)*(ROW('01_予約入力'!$G$5:$G$404)-4))))</f>
        <v/>
      </c>
      <c r="S9" s="45">
        <f>IF(OR($A9="",E$6=""),0,SUMPRODUCT(MAX(('01_予約入力'!$D$5:$D$404=E$6)*('01_予約入力'!$Q$5:$Q$404&lt;&gt;"キャンセル")*('01_予約入力'!$G$5:$G$404&lt;&gt;"")*('01_予約入力'!$G$5:$G$404&lt;=$A9)*('01_予約入力'!$J$5:$J$404&gt;$A9)*(ROW('01_予約入力'!$G$5:$G$404)-4))))</f>
        <v/>
      </c>
      <c r="T9" s="45">
        <f>IF(OR($A9="",E$6=""),0,SUMPRODUCT(MAX(('01_予約入力'!$D$5:$D$404=E$6)*('01_予約入力'!$Q$5:$Q$404&lt;&gt;"キャンセル")*('01_予約入力'!$G$5:$G$404&lt;&gt;"")*('01_予約入力'!$G$5:$G$404=$A9)*('01_予約入力'!$J$5:$J$404=$A9)*(ROW('01_予約入力'!$G$5:$G$404)-4))))</f>
        <v/>
      </c>
      <c r="U9" s="45">
        <f>IF(OR($A9="",F$6=""),0,SUMPRODUCT(MAX(('01_予約入力'!$D$5:$D$404=F$6)*('01_予約入力'!$Q$5:$Q$404&lt;&gt;"キャンセル")*('01_予約入力'!$G$5:$G$404&lt;&gt;"")*('01_予約入力'!$J$5:$J$404=$A9)*('01_予約入力'!$G$5:$G$404&lt;$A9)*(ROW('01_予約入力'!$G$5:$G$404)-4))))</f>
        <v/>
      </c>
      <c r="V9" s="45">
        <f>IF(OR($A9="",F$6=""),0,SUMPRODUCT(MAX(('01_予約入力'!$D$5:$D$404=F$6)*('01_予約入力'!$Q$5:$Q$404&lt;&gt;"キャンセル")*('01_予約入力'!$G$5:$G$404&lt;&gt;"")*('01_予約入力'!$G$5:$G$404&lt;=$A9)*('01_予約入力'!$J$5:$J$404&gt;$A9)*(ROW('01_予約入力'!$G$5:$G$404)-4))))</f>
        <v/>
      </c>
      <c r="W9" s="45">
        <f>IF(OR($A9="",F$6=""),0,SUMPRODUCT(MAX(('01_予約入力'!$D$5:$D$404=F$6)*('01_予約入力'!$Q$5:$Q$404&lt;&gt;"キャンセル")*('01_予約入力'!$G$5:$G$404&lt;&gt;"")*('01_予約入力'!$G$5:$G$404=$A9)*('01_予約入力'!$J$5:$J$404=$A9)*(ROW('01_予約入力'!$G$5:$G$404)-4))))</f>
        <v/>
      </c>
      <c r="X9" s="45">
        <f>IF($A9="","",IF($M9&gt;0,IF(OR(INDEX('01_予約入力'!$Q$5:$Q$404,$M9)="仮予約",INDEX('01_予約入力'!$Q$5:$Q$404,$M9)="調整中"),"仮",INDEX('01_予約入力'!$C$5:$C$404,$M9)),IF($N9&gt;0,IF(OR(INDEX('01_予約入力'!$Q$5:$Q$404,$N9)="仮予約",INDEX('01_予約入力'!$Q$5:$Q$404,$N9)="調整中"),"仮",INDEX('01_予約入力'!$C$5:$C$404,$N9)),IF($L9&gt;0,IF(OR(INDEX('01_予約入力'!$Q$5:$Q$404,$L9)="仮予約",INDEX('01_予約入力'!$Q$5:$Q$404,$L9)="調整中"),"仮",INDEX('01_予約入力'!$C$5:$C$404,$L9)),""))))</f>
        <v/>
      </c>
      <c r="Y9" s="45">
        <f>IF($A9="","",IF($P9&gt;0,IF(OR(INDEX('01_予約入力'!$Q$5:$Q$404,$P9)="仮予約",INDEX('01_予約入力'!$Q$5:$Q$404,$P9)="調整中"),"仮",INDEX('01_予約入力'!$C$5:$C$404,$P9)),IF($Q9&gt;0,IF(OR(INDEX('01_予約入力'!$Q$5:$Q$404,$Q9)="仮予約",INDEX('01_予約入力'!$Q$5:$Q$404,$Q9)="調整中"),"仮",INDEX('01_予約入力'!$C$5:$C$404,$Q9)),IF($O9&gt;0,IF(OR(INDEX('01_予約入力'!$Q$5:$Q$404,$O9)="仮予約",INDEX('01_予約入力'!$Q$5:$Q$404,$O9)="調整中"),"仮",INDEX('01_予約入力'!$C$5:$C$404,$O9)),""))))</f>
        <v/>
      </c>
      <c r="Z9" s="45">
        <f>IF($A9="","",IF($S9&gt;0,IF(OR(INDEX('01_予約入力'!$Q$5:$Q$404,$S9)="仮予約",INDEX('01_予約入力'!$Q$5:$Q$404,$S9)="調整中"),"仮",INDEX('01_予約入力'!$C$5:$C$404,$S9)),IF($T9&gt;0,IF(OR(INDEX('01_予約入力'!$Q$5:$Q$404,$T9)="仮予約",INDEX('01_予約入力'!$Q$5:$Q$404,$T9)="調整中"),"仮",INDEX('01_予約入力'!$C$5:$C$404,$T9)),IF($R9&gt;0,IF(OR(INDEX('01_予約入力'!$Q$5:$Q$404,$R9)="仮予約",INDEX('01_予約入力'!$Q$5:$Q$404,$R9)="調整中"),"仮",INDEX('01_予約入力'!$C$5:$C$404,$R9)),""))))</f>
        <v/>
      </c>
      <c r="AA9" s="45">
        <f>IF($A9="","",IF($V9&gt;0,IF(OR(INDEX('01_予約入力'!$Q$5:$Q$404,$V9)="仮予約",INDEX('01_予約入力'!$Q$5:$Q$404,$V9)="調整中"),"仮",INDEX('01_予約入力'!$C$5:$C$404,$V9)),IF($W9&gt;0,IF(OR(INDEX('01_予約入力'!$Q$5:$Q$404,$W9)="仮予約",INDEX('01_予約入力'!$Q$5:$Q$404,$W9)="調整中"),"仮",INDEX('01_予約入力'!$C$5:$C$404,$W9)),IF($U9&gt;0,IF(OR(INDEX('01_予約入力'!$Q$5:$Q$404,$U9)="仮予約",INDEX('01_予約入力'!$Q$5:$Q$404,$U9)="調整中"),"仮",INDEX('01_予約入力'!$C$5:$C$404,$U9)),""))))</f>
        <v/>
      </c>
      <c r="AB9" s="45">
        <f>IF($A9="",0,SUMPRODUCT(('01_予約入力'!$G$5:$G$404&lt;&gt;"")*('01_予約入力'!$Q$5:$Q$404&lt;&gt;"キャンセル")*(('01_予約入力'!$L$5:$L$404="○")*('01_予約入力'!$G$5:$G$404&lt;=$A9)*('01_予約入力'!$J$5:$J$404&gt;=$A9)+('01_予約入力'!$L$5:$L$404="")*('01_予約入力'!$G$5:$G$404&lt;$A9)*('01_予約入力'!$J$5:$J$404&gt;=$A9))))</f>
        <v/>
      </c>
      <c r="AC9" s="45">
        <f>IF($A9="",0,SUMPRODUCT(('01_予約入力'!$G$5:$G$404&lt;&gt;"")*('01_予約入力'!$Q$5:$Q$404&lt;&gt;"キャンセル")*(('01_予約入力'!$M$5:$M$404="○")*('01_予約入力'!$G$5:$G$404&lt;=$A9)*('01_予約入力'!$J$5:$J$404&gt;=$A9)+('01_予約入力'!$M$5:$M$404="")*((('01_予約入力'!$G$5:$G$404&lt;$A9)*('01_予約入力'!$J$5:$J$404&gt;$A9))+(('01_予約入力'!$G$5:$G$404=$A9)*('01_予約入力'!$J$5:$J$404=$A9))))))</f>
        <v/>
      </c>
      <c r="AD9" s="45">
        <f>IF($A9="",0,SUMPRODUCT(('01_予約入力'!$G$5:$G$404&lt;&gt;"")*('01_予約入力'!$Q$5:$Q$404&lt;&gt;"キャンセル")*(('01_予約入力'!$N$5:$N$404="○")*('01_予約入力'!$G$5:$G$404&lt;=$A9)*('01_予約入力'!$J$5:$J$404&gt;=$A9)+('01_予約入力'!$N$5:$N$404="")*('01_予約入力'!$G$5:$G$404&lt;=$A9)*('01_予約入力'!$J$5:$J$404&gt;$A9))))</f>
        <v/>
      </c>
      <c r="AE9" s="45">
        <f>IF($A9="",0,IFERROR(MATCH($A9,'02_カレンダー'!$B$59:$B$78,0),0))</f>
        <v/>
      </c>
      <c r="AF9" s="45">
        <f>IF($A9="",0,IF($AE9=0,$AB9,IF(INDEX('02_カレンダー'!$C$59:$C$78,$AE9)="",$AB9,INDEX('02_カレンダー'!$C$59:$C$78,$AE9))))</f>
        <v/>
      </c>
      <c r="AG9" s="45">
        <f>IF($A9="",0,IF($AE9=0,$AC9,IF(INDEX('02_カレンダー'!$D$59:$D$78,$AE9)="",$AC9,INDEX('02_カレンダー'!$D$59:$D$78,$AE9))))</f>
        <v/>
      </c>
      <c r="AH9" s="45">
        <f>IF($A9="",0,IF($AE9=0,$AD9,IF(INDEX('02_カレンダー'!$E$59:$E$78,$AE9)="",$AD9,INDEX('02_カレンダー'!$E$59:$E$78,$AE9))))</f>
        <v/>
      </c>
      <c r="AI9" s="45">
        <f>IF($A9="","",IF(AND($AF9=0,$AG9=0,$AH9=0),"","朝"&amp;$AF9&amp;" 昼"&amp;$AG9&amp;" 夕"&amp;$AH9&amp;IF($AJ9=0,"","　※調整")))</f>
        <v/>
      </c>
      <c r="AJ9" s="45">
        <f>IF(OR($A9="",$AE9=0),0,IF(OR(INDEX('02_カレンダー'!$C$59:$C$78,$AE9)&lt;&gt;"",INDEX('02_カレンダー'!$D$59:$D$78,$AE9)&lt;&gt;"",INDEX('02_カレンダー'!$E$59:$E$78,$AE9)&lt;&gt;""),1,0))</f>
        <v/>
      </c>
    </row>
    <row r="10">
      <c r="A10" s="38">
        <f>IF(MONTH('02_カレンダー'!$B$4+3)&lt;&gt;MONTH('02_カレンダー'!$B$4),"",'02_カレンダー'!$B$4+3)</f>
        <v/>
      </c>
      <c r="B10" s="45">
        <f>IF($A10="","",MID("日月火水木金土",WEEKDAY($A10),1))</f>
        <v/>
      </c>
      <c r="C10" s="49">
        <f>IF(OR($A10="",C$6=""),"",IF($L10=0,"",INDEX('01_予約入力'!$B$5:$B$404,$L10)&amp;" ◀"&amp;IF(('02_カレンダー'!$B$5="○"),INDEX('01_予約入力'!$AE$5:$AE$404,$L10),""))&amp;IF(AND($L10&gt;0,OR($M10&gt;0,$N10&gt;0)),"  ","")&amp;IF($M10=0,"",IF(INDEX('01_予約入力'!$G$5:$G$404,$M10)=$A10,"▶"&amp;IF(('02_カレンダー'!$B$5="○"),INDEX('01_予約入力'!$AD$5:$AD$404,$M10)&amp;" "," "),"")&amp;INDEX('01_予約入力'!$B$5:$B$404,$M10))&amp;IF(AND($M10&gt;0,$N10&gt;0),"  ","")&amp;IF($N10=0,"","◆ "&amp;INDEX('01_予約入力'!$B$5:$B$404,$N10)&amp;IF(('02_カレンダー'!$B$5="○")," "&amp;INDEX('01_予約入力'!$AD$5:$AD$404,$N10)&amp;"-"&amp;INDEX('01_予約入力'!$AE$5:$AE$404,$N10),"")))</f>
        <v/>
      </c>
      <c r="D10" s="49">
        <f>IF(OR($A10="",D$6=""),"",IF($O10=0,"",INDEX('01_予約入力'!$B$5:$B$404,$O10)&amp;" ◀"&amp;IF(('02_カレンダー'!$B$5="○"),INDEX('01_予約入力'!$AE$5:$AE$404,$O10),""))&amp;IF(AND($O10&gt;0,OR($P10&gt;0,$Q10&gt;0)),"  ","")&amp;IF($P10=0,"",IF(INDEX('01_予約入力'!$G$5:$G$404,$P10)=$A10,"▶"&amp;IF(('02_カレンダー'!$B$5="○"),INDEX('01_予約入力'!$AD$5:$AD$404,$P10)&amp;" "," "),"")&amp;INDEX('01_予約入力'!$B$5:$B$404,$P10))&amp;IF(AND($P10&gt;0,$Q10&gt;0),"  ","")&amp;IF($Q10=0,"","◆ "&amp;INDEX('01_予約入力'!$B$5:$B$404,$Q10)&amp;IF(('02_カレンダー'!$B$5="○")," "&amp;INDEX('01_予約入力'!$AD$5:$AD$404,$Q10)&amp;"-"&amp;INDEX('01_予約入力'!$AE$5:$AE$404,$Q10),"")))</f>
        <v/>
      </c>
      <c r="E10" s="49">
        <f>IF(OR($A10="",E$6=""),"",IF($R10=0,"",INDEX('01_予約入力'!$B$5:$B$404,$R10)&amp;" ◀"&amp;IF(('02_カレンダー'!$B$5="○"),INDEX('01_予約入力'!$AE$5:$AE$404,$R10),""))&amp;IF(AND($R10&gt;0,OR($S10&gt;0,$T10&gt;0)),"  ","")&amp;IF($S10=0,"",IF(INDEX('01_予約入力'!$G$5:$G$404,$S10)=$A10,"▶"&amp;IF(('02_カレンダー'!$B$5="○"),INDEX('01_予約入力'!$AD$5:$AD$404,$S10)&amp;" "," "),"")&amp;INDEX('01_予約入力'!$B$5:$B$404,$S10))&amp;IF(AND($S10&gt;0,$T10&gt;0),"  ","")&amp;IF($T10=0,"","◆ "&amp;INDEX('01_予約入力'!$B$5:$B$404,$T10)&amp;IF(('02_カレンダー'!$B$5="○")," "&amp;INDEX('01_予約入力'!$AD$5:$AD$404,$T10)&amp;"-"&amp;INDEX('01_予約入力'!$AE$5:$AE$404,$T10),"")))</f>
        <v/>
      </c>
      <c r="F10" s="49">
        <f>IF(OR($A10="",F$6=""),"",IF($U10=0,"",INDEX('01_予約入力'!$B$5:$B$404,$U10)&amp;" ◀"&amp;IF(('02_カレンダー'!$B$5="○"),INDEX('01_予約入力'!$AE$5:$AE$404,$U10),""))&amp;IF(AND($U10&gt;0,OR($V10&gt;0,$W10&gt;0)),"  ","")&amp;IF($V10=0,"",IF(INDEX('01_予約入力'!$G$5:$G$404,$V10)=$A10,"▶"&amp;IF(('02_カレンダー'!$B$5="○"),INDEX('01_予約入力'!$AD$5:$AD$404,$V10)&amp;" "," "),"")&amp;INDEX('01_予約入力'!$B$5:$B$404,$V10))&amp;IF(AND($V10&gt;0,$W10&gt;0),"  ","")&amp;IF($W10=0,"","◆ "&amp;INDEX('01_予約入力'!$B$5:$B$404,$W10)&amp;IF(('02_カレンダー'!$B$5="○")," "&amp;INDEX('01_予約入力'!$AD$5:$AD$404,$W10)&amp;"-"&amp;INDEX('01_予約入力'!$AE$5:$AE$404,$W10),"")))</f>
        <v/>
      </c>
      <c r="G10" s="45">
        <f>IF($A10="","",SUMPRODUCT(('01_予約入力'!$G$5:$G$404&lt;&gt;"")*('01_予約入力'!$Q$5:$Q$404&lt;&gt;"キャンセル")*('01_予約入力'!$G$5:$G$404&lt;=$A10)*('01_予約入力'!$J$5:$J$404&gt;$A10)))</f>
        <v/>
      </c>
      <c r="H10" s="45">
        <f>IF($A10="","",'M_施設設定'!$B$6-$G10)</f>
        <v/>
      </c>
      <c r="I10" s="45">
        <f>IF($A10="","",SUMPRODUCT((('01_予約入力'!$Q$5:$Q$404="仮予約")+('01_予約入力'!$Q$5:$Q$404="調整中"))*('01_予約入力'!$G$5:$G$404&lt;&gt;"")*('01_予約入力'!$G$5:$G$404&lt;=$A10)*('01_予約入力'!$J$5:$J$404&gt;$A10)))</f>
        <v/>
      </c>
      <c r="J10" s="45">
        <f>IF($A10="","",IF($I10&gt;0,"仮",IF($H10&lt;=0,"×",IF($H10&lt;'M_施設設定'!$B$6,"△","○"))))</f>
        <v/>
      </c>
      <c r="K10" s="45">
        <f>IF($A10="","",SUMPRODUCT(('01_予約入力'!$G$5:$G$404&lt;&gt;"")*('01_予約入力'!$Q$5:$Q$404&lt;&gt;"キャンセル")*('01_予約入力'!$G$5:$G$404=$A10)*('01_予約入力'!$J$5:$J$404=$A10)))</f>
        <v/>
      </c>
      <c r="L10" s="45">
        <f>IF(OR($A10="",C$6=""),0,SUMPRODUCT(MAX(('01_予約入力'!$D$5:$D$404=C$6)*('01_予約入力'!$Q$5:$Q$404&lt;&gt;"キャンセル")*('01_予約入力'!$G$5:$G$404&lt;&gt;"")*('01_予約入力'!$J$5:$J$404=$A10)*('01_予約入力'!$G$5:$G$404&lt;$A10)*(ROW('01_予約入力'!$G$5:$G$404)-4))))</f>
        <v/>
      </c>
      <c r="M10" s="45">
        <f>IF(OR($A10="",C$6=""),0,SUMPRODUCT(MAX(('01_予約入力'!$D$5:$D$404=C$6)*('01_予約入力'!$Q$5:$Q$404&lt;&gt;"キャンセル")*('01_予約入力'!$G$5:$G$404&lt;&gt;"")*('01_予約入力'!$G$5:$G$404&lt;=$A10)*('01_予約入力'!$J$5:$J$404&gt;$A10)*(ROW('01_予約入力'!$G$5:$G$404)-4))))</f>
        <v/>
      </c>
      <c r="N10" s="45">
        <f>IF(OR($A10="",C$6=""),0,SUMPRODUCT(MAX(('01_予約入力'!$D$5:$D$404=C$6)*('01_予約入力'!$Q$5:$Q$404&lt;&gt;"キャンセル")*('01_予約入力'!$G$5:$G$404&lt;&gt;"")*('01_予約入力'!$G$5:$G$404=$A10)*('01_予約入力'!$J$5:$J$404=$A10)*(ROW('01_予約入力'!$G$5:$G$404)-4))))</f>
        <v/>
      </c>
      <c r="O10" s="45">
        <f>IF(OR($A10="",D$6=""),0,SUMPRODUCT(MAX(('01_予約入力'!$D$5:$D$404=D$6)*('01_予約入力'!$Q$5:$Q$404&lt;&gt;"キャンセル")*('01_予約入力'!$G$5:$G$404&lt;&gt;"")*('01_予約入力'!$J$5:$J$404=$A10)*('01_予約入力'!$G$5:$G$404&lt;$A10)*(ROW('01_予約入力'!$G$5:$G$404)-4))))</f>
        <v/>
      </c>
      <c r="P10" s="45">
        <f>IF(OR($A10="",D$6=""),0,SUMPRODUCT(MAX(('01_予約入力'!$D$5:$D$404=D$6)*('01_予約入力'!$Q$5:$Q$404&lt;&gt;"キャンセル")*('01_予約入力'!$G$5:$G$404&lt;&gt;"")*('01_予約入力'!$G$5:$G$404&lt;=$A10)*('01_予約入力'!$J$5:$J$404&gt;$A10)*(ROW('01_予約入力'!$G$5:$G$404)-4))))</f>
        <v/>
      </c>
      <c r="Q10" s="45">
        <f>IF(OR($A10="",D$6=""),0,SUMPRODUCT(MAX(('01_予約入力'!$D$5:$D$404=D$6)*('01_予約入力'!$Q$5:$Q$404&lt;&gt;"キャンセル")*('01_予約入力'!$G$5:$G$404&lt;&gt;"")*('01_予約入力'!$G$5:$G$404=$A10)*('01_予約入力'!$J$5:$J$404=$A10)*(ROW('01_予約入力'!$G$5:$G$404)-4))))</f>
        <v/>
      </c>
      <c r="R10" s="45">
        <f>IF(OR($A10="",E$6=""),0,SUMPRODUCT(MAX(('01_予約入力'!$D$5:$D$404=E$6)*('01_予約入力'!$Q$5:$Q$404&lt;&gt;"キャンセル")*('01_予約入力'!$G$5:$G$404&lt;&gt;"")*('01_予約入力'!$J$5:$J$404=$A10)*('01_予約入力'!$G$5:$G$404&lt;$A10)*(ROW('01_予約入力'!$G$5:$G$404)-4))))</f>
        <v/>
      </c>
      <c r="S10" s="45">
        <f>IF(OR($A10="",E$6=""),0,SUMPRODUCT(MAX(('01_予約入力'!$D$5:$D$404=E$6)*('01_予約入力'!$Q$5:$Q$404&lt;&gt;"キャンセル")*('01_予約入力'!$G$5:$G$404&lt;&gt;"")*('01_予約入力'!$G$5:$G$404&lt;=$A10)*('01_予約入力'!$J$5:$J$404&gt;$A10)*(ROW('01_予約入力'!$G$5:$G$404)-4))))</f>
        <v/>
      </c>
      <c r="T10" s="45">
        <f>IF(OR($A10="",E$6=""),0,SUMPRODUCT(MAX(('01_予約入力'!$D$5:$D$404=E$6)*('01_予約入力'!$Q$5:$Q$404&lt;&gt;"キャンセル")*('01_予約入力'!$G$5:$G$404&lt;&gt;"")*('01_予約入力'!$G$5:$G$404=$A10)*('01_予約入力'!$J$5:$J$404=$A10)*(ROW('01_予約入力'!$G$5:$G$404)-4))))</f>
        <v/>
      </c>
      <c r="U10" s="45">
        <f>IF(OR($A10="",F$6=""),0,SUMPRODUCT(MAX(('01_予約入力'!$D$5:$D$404=F$6)*('01_予約入力'!$Q$5:$Q$404&lt;&gt;"キャンセル")*('01_予約入力'!$G$5:$G$404&lt;&gt;"")*('01_予約入力'!$J$5:$J$404=$A10)*('01_予約入力'!$G$5:$G$404&lt;$A10)*(ROW('01_予約入力'!$G$5:$G$404)-4))))</f>
        <v/>
      </c>
      <c r="V10" s="45">
        <f>IF(OR($A10="",F$6=""),0,SUMPRODUCT(MAX(('01_予約入力'!$D$5:$D$404=F$6)*('01_予約入力'!$Q$5:$Q$404&lt;&gt;"キャンセル")*('01_予約入力'!$G$5:$G$404&lt;&gt;"")*('01_予約入力'!$G$5:$G$404&lt;=$A10)*('01_予約入力'!$J$5:$J$404&gt;$A10)*(ROW('01_予約入力'!$G$5:$G$404)-4))))</f>
        <v/>
      </c>
      <c r="W10" s="45">
        <f>IF(OR($A10="",F$6=""),0,SUMPRODUCT(MAX(('01_予約入力'!$D$5:$D$404=F$6)*('01_予約入力'!$Q$5:$Q$404&lt;&gt;"キャンセル")*('01_予約入力'!$G$5:$G$404&lt;&gt;"")*('01_予約入力'!$G$5:$G$404=$A10)*('01_予約入力'!$J$5:$J$404=$A10)*(ROW('01_予約入力'!$G$5:$G$404)-4))))</f>
        <v/>
      </c>
      <c r="X10" s="45">
        <f>IF($A10="","",IF($M10&gt;0,IF(OR(INDEX('01_予約入力'!$Q$5:$Q$404,$M10)="仮予約",INDEX('01_予約入力'!$Q$5:$Q$404,$M10)="調整中"),"仮",INDEX('01_予約入力'!$C$5:$C$404,$M10)),IF($N10&gt;0,IF(OR(INDEX('01_予約入力'!$Q$5:$Q$404,$N10)="仮予約",INDEX('01_予約入力'!$Q$5:$Q$404,$N10)="調整中"),"仮",INDEX('01_予約入力'!$C$5:$C$404,$N10)),IF($L10&gt;0,IF(OR(INDEX('01_予約入力'!$Q$5:$Q$404,$L10)="仮予約",INDEX('01_予約入力'!$Q$5:$Q$404,$L10)="調整中"),"仮",INDEX('01_予約入力'!$C$5:$C$404,$L10)),""))))</f>
        <v/>
      </c>
      <c r="Y10" s="45">
        <f>IF($A10="","",IF($P10&gt;0,IF(OR(INDEX('01_予約入力'!$Q$5:$Q$404,$P10)="仮予約",INDEX('01_予約入力'!$Q$5:$Q$404,$P10)="調整中"),"仮",INDEX('01_予約入力'!$C$5:$C$404,$P10)),IF($Q10&gt;0,IF(OR(INDEX('01_予約入力'!$Q$5:$Q$404,$Q10)="仮予約",INDEX('01_予約入力'!$Q$5:$Q$404,$Q10)="調整中"),"仮",INDEX('01_予約入力'!$C$5:$C$404,$Q10)),IF($O10&gt;0,IF(OR(INDEX('01_予約入力'!$Q$5:$Q$404,$O10)="仮予約",INDEX('01_予約入力'!$Q$5:$Q$404,$O10)="調整中"),"仮",INDEX('01_予約入力'!$C$5:$C$404,$O10)),""))))</f>
        <v/>
      </c>
      <c r="Z10" s="45">
        <f>IF($A10="","",IF($S10&gt;0,IF(OR(INDEX('01_予約入力'!$Q$5:$Q$404,$S10)="仮予約",INDEX('01_予約入力'!$Q$5:$Q$404,$S10)="調整中"),"仮",INDEX('01_予約入力'!$C$5:$C$404,$S10)),IF($T10&gt;0,IF(OR(INDEX('01_予約入力'!$Q$5:$Q$404,$T10)="仮予約",INDEX('01_予約入力'!$Q$5:$Q$404,$T10)="調整中"),"仮",INDEX('01_予約入力'!$C$5:$C$404,$T10)),IF($R10&gt;0,IF(OR(INDEX('01_予約入力'!$Q$5:$Q$404,$R10)="仮予約",INDEX('01_予約入力'!$Q$5:$Q$404,$R10)="調整中"),"仮",INDEX('01_予約入力'!$C$5:$C$404,$R10)),""))))</f>
        <v/>
      </c>
      <c r="AA10" s="45">
        <f>IF($A10="","",IF($V10&gt;0,IF(OR(INDEX('01_予約入力'!$Q$5:$Q$404,$V10)="仮予約",INDEX('01_予約入力'!$Q$5:$Q$404,$V10)="調整中"),"仮",INDEX('01_予約入力'!$C$5:$C$404,$V10)),IF($W10&gt;0,IF(OR(INDEX('01_予約入力'!$Q$5:$Q$404,$W10)="仮予約",INDEX('01_予約入力'!$Q$5:$Q$404,$W10)="調整中"),"仮",INDEX('01_予約入力'!$C$5:$C$404,$W10)),IF($U10&gt;0,IF(OR(INDEX('01_予約入力'!$Q$5:$Q$404,$U10)="仮予約",INDEX('01_予約入力'!$Q$5:$Q$404,$U10)="調整中"),"仮",INDEX('01_予約入力'!$C$5:$C$404,$U10)),""))))</f>
        <v/>
      </c>
      <c r="AB10" s="45">
        <f>IF($A10="",0,SUMPRODUCT(('01_予約入力'!$G$5:$G$404&lt;&gt;"")*('01_予約入力'!$Q$5:$Q$404&lt;&gt;"キャンセル")*(('01_予約入力'!$L$5:$L$404="○")*('01_予約入力'!$G$5:$G$404&lt;=$A10)*('01_予約入力'!$J$5:$J$404&gt;=$A10)+('01_予約入力'!$L$5:$L$404="")*('01_予約入力'!$G$5:$G$404&lt;$A10)*('01_予約入力'!$J$5:$J$404&gt;=$A10))))</f>
        <v/>
      </c>
      <c r="AC10" s="45">
        <f>IF($A10="",0,SUMPRODUCT(('01_予約入力'!$G$5:$G$404&lt;&gt;"")*('01_予約入力'!$Q$5:$Q$404&lt;&gt;"キャンセル")*(('01_予約入力'!$M$5:$M$404="○")*('01_予約入力'!$G$5:$G$404&lt;=$A10)*('01_予約入力'!$J$5:$J$404&gt;=$A10)+('01_予約入力'!$M$5:$M$404="")*((('01_予約入力'!$G$5:$G$404&lt;$A10)*('01_予約入力'!$J$5:$J$404&gt;$A10))+(('01_予約入力'!$G$5:$G$404=$A10)*('01_予約入力'!$J$5:$J$404=$A10))))))</f>
        <v/>
      </c>
      <c r="AD10" s="45">
        <f>IF($A10="",0,SUMPRODUCT(('01_予約入力'!$G$5:$G$404&lt;&gt;"")*('01_予約入力'!$Q$5:$Q$404&lt;&gt;"キャンセル")*(('01_予約入力'!$N$5:$N$404="○")*('01_予約入力'!$G$5:$G$404&lt;=$A10)*('01_予約入力'!$J$5:$J$404&gt;=$A10)+('01_予約入力'!$N$5:$N$404="")*('01_予約入力'!$G$5:$G$404&lt;=$A10)*('01_予約入力'!$J$5:$J$404&gt;$A10))))</f>
        <v/>
      </c>
      <c r="AE10" s="45">
        <f>IF($A10="",0,IFERROR(MATCH($A10,'02_カレンダー'!$B$59:$B$78,0),0))</f>
        <v/>
      </c>
      <c r="AF10" s="45">
        <f>IF($A10="",0,IF($AE10=0,$AB10,IF(INDEX('02_カレンダー'!$C$59:$C$78,$AE10)="",$AB10,INDEX('02_カレンダー'!$C$59:$C$78,$AE10))))</f>
        <v/>
      </c>
      <c r="AG10" s="45">
        <f>IF($A10="",0,IF($AE10=0,$AC10,IF(INDEX('02_カレンダー'!$D$59:$D$78,$AE10)="",$AC10,INDEX('02_カレンダー'!$D$59:$D$78,$AE10))))</f>
        <v/>
      </c>
      <c r="AH10" s="45">
        <f>IF($A10="",0,IF($AE10=0,$AD10,IF(INDEX('02_カレンダー'!$E$59:$E$78,$AE10)="",$AD10,INDEX('02_カレンダー'!$E$59:$E$78,$AE10))))</f>
        <v/>
      </c>
      <c r="AI10" s="45">
        <f>IF($A10="","",IF(AND($AF10=0,$AG10=0,$AH10=0),"","朝"&amp;$AF10&amp;" 昼"&amp;$AG10&amp;" 夕"&amp;$AH10&amp;IF($AJ10=0,"","　※調整")))</f>
        <v/>
      </c>
      <c r="AJ10" s="45">
        <f>IF(OR($A10="",$AE10=0),0,IF(OR(INDEX('02_カレンダー'!$C$59:$C$78,$AE10)&lt;&gt;"",INDEX('02_カレンダー'!$D$59:$D$78,$AE10)&lt;&gt;"",INDEX('02_カレンダー'!$E$59:$E$78,$AE10)&lt;&gt;""),1,0))</f>
        <v/>
      </c>
    </row>
    <row r="11">
      <c r="A11" s="38">
        <f>IF(MONTH('02_カレンダー'!$B$4+4)&lt;&gt;MONTH('02_カレンダー'!$B$4),"",'02_カレンダー'!$B$4+4)</f>
        <v/>
      </c>
      <c r="B11" s="45">
        <f>IF($A11="","",MID("日月火水木金土",WEEKDAY($A11),1))</f>
        <v/>
      </c>
      <c r="C11" s="49">
        <f>IF(OR($A11="",C$6=""),"",IF($L11=0,"",INDEX('01_予約入力'!$B$5:$B$404,$L11)&amp;" ◀"&amp;IF(('02_カレンダー'!$B$5="○"),INDEX('01_予約入力'!$AE$5:$AE$404,$L11),""))&amp;IF(AND($L11&gt;0,OR($M11&gt;0,$N11&gt;0)),"  ","")&amp;IF($M11=0,"",IF(INDEX('01_予約入力'!$G$5:$G$404,$M11)=$A11,"▶"&amp;IF(('02_カレンダー'!$B$5="○"),INDEX('01_予約入力'!$AD$5:$AD$404,$M11)&amp;" "," "),"")&amp;INDEX('01_予約入力'!$B$5:$B$404,$M11))&amp;IF(AND($M11&gt;0,$N11&gt;0),"  ","")&amp;IF($N11=0,"","◆ "&amp;INDEX('01_予約入力'!$B$5:$B$404,$N11)&amp;IF(('02_カレンダー'!$B$5="○")," "&amp;INDEX('01_予約入力'!$AD$5:$AD$404,$N11)&amp;"-"&amp;INDEX('01_予約入力'!$AE$5:$AE$404,$N11),"")))</f>
        <v/>
      </c>
      <c r="D11" s="49">
        <f>IF(OR($A11="",D$6=""),"",IF($O11=0,"",INDEX('01_予約入力'!$B$5:$B$404,$O11)&amp;" ◀"&amp;IF(('02_カレンダー'!$B$5="○"),INDEX('01_予約入力'!$AE$5:$AE$404,$O11),""))&amp;IF(AND($O11&gt;0,OR($P11&gt;0,$Q11&gt;0)),"  ","")&amp;IF($P11=0,"",IF(INDEX('01_予約入力'!$G$5:$G$404,$P11)=$A11,"▶"&amp;IF(('02_カレンダー'!$B$5="○"),INDEX('01_予約入力'!$AD$5:$AD$404,$P11)&amp;" "," "),"")&amp;INDEX('01_予約入力'!$B$5:$B$404,$P11))&amp;IF(AND($P11&gt;0,$Q11&gt;0),"  ","")&amp;IF($Q11=0,"","◆ "&amp;INDEX('01_予約入力'!$B$5:$B$404,$Q11)&amp;IF(('02_カレンダー'!$B$5="○")," "&amp;INDEX('01_予約入力'!$AD$5:$AD$404,$Q11)&amp;"-"&amp;INDEX('01_予約入力'!$AE$5:$AE$404,$Q11),"")))</f>
        <v/>
      </c>
      <c r="E11" s="49">
        <f>IF(OR($A11="",E$6=""),"",IF($R11=0,"",INDEX('01_予約入力'!$B$5:$B$404,$R11)&amp;" ◀"&amp;IF(('02_カレンダー'!$B$5="○"),INDEX('01_予約入力'!$AE$5:$AE$404,$R11),""))&amp;IF(AND($R11&gt;0,OR($S11&gt;0,$T11&gt;0)),"  ","")&amp;IF($S11=0,"",IF(INDEX('01_予約入力'!$G$5:$G$404,$S11)=$A11,"▶"&amp;IF(('02_カレンダー'!$B$5="○"),INDEX('01_予約入力'!$AD$5:$AD$404,$S11)&amp;" "," "),"")&amp;INDEX('01_予約入力'!$B$5:$B$404,$S11))&amp;IF(AND($S11&gt;0,$T11&gt;0),"  ","")&amp;IF($T11=0,"","◆ "&amp;INDEX('01_予約入力'!$B$5:$B$404,$T11)&amp;IF(('02_カレンダー'!$B$5="○")," "&amp;INDEX('01_予約入力'!$AD$5:$AD$404,$T11)&amp;"-"&amp;INDEX('01_予約入力'!$AE$5:$AE$404,$T11),"")))</f>
        <v/>
      </c>
      <c r="F11" s="49">
        <f>IF(OR($A11="",F$6=""),"",IF($U11=0,"",INDEX('01_予約入力'!$B$5:$B$404,$U11)&amp;" ◀"&amp;IF(('02_カレンダー'!$B$5="○"),INDEX('01_予約入力'!$AE$5:$AE$404,$U11),""))&amp;IF(AND($U11&gt;0,OR($V11&gt;0,$W11&gt;0)),"  ","")&amp;IF($V11=0,"",IF(INDEX('01_予約入力'!$G$5:$G$404,$V11)=$A11,"▶"&amp;IF(('02_カレンダー'!$B$5="○"),INDEX('01_予約入力'!$AD$5:$AD$404,$V11)&amp;" "," "),"")&amp;INDEX('01_予約入力'!$B$5:$B$404,$V11))&amp;IF(AND($V11&gt;0,$W11&gt;0),"  ","")&amp;IF($W11=0,"","◆ "&amp;INDEX('01_予約入力'!$B$5:$B$404,$W11)&amp;IF(('02_カレンダー'!$B$5="○")," "&amp;INDEX('01_予約入力'!$AD$5:$AD$404,$W11)&amp;"-"&amp;INDEX('01_予約入力'!$AE$5:$AE$404,$W11),"")))</f>
        <v/>
      </c>
      <c r="G11" s="45">
        <f>IF($A11="","",SUMPRODUCT(('01_予約入力'!$G$5:$G$404&lt;&gt;"")*('01_予約入力'!$Q$5:$Q$404&lt;&gt;"キャンセル")*('01_予約入力'!$G$5:$G$404&lt;=$A11)*('01_予約入力'!$J$5:$J$404&gt;$A11)))</f>
        <v/>
      </c>
      <c r="H11" s="45">
        <f>IF($A11="","",'M_施設設定'!$B$6-$G11)</f>
        <v/>
      </c>
      <c r="I11" s="45">
        <f>IF($A11="","",SUMPRODUCT((('01_予約入力'!$Q$5:$Q$404="仮予約")+('01_予約入力'!$Q$5:$Q$404="調整中"))*('01_予約入力'!$G$5:$G$404&lt;&gt;"")*('01_予約入力'!$G$5:$G$404&lt;=$A11)*('01_予約入力'!$J$5:$J$404&gt;$A11)))</f>
        <v/>
      </c>
      <c r="J11" s="45">
        <f>IF($A11="","",IF($I11&gt;0,"仮",IF($H11&lt;=0,"×",IF($H11&lt;'M_施設設定'!$B$6,"△","○"))))</f>
        <v/>
      </c>
      <c r="K11" s="45">
        <f>IF($A11="","",SUMPRODUCT(('01_予約入力'!$G$5:$G$404&lt;&gt;"")*('01_予約入力'!$Q$5:$Q$404&lt;&gt;"キャンセル")*('01_予約入力'!$G$5:$G$404=$A11)*('01_予約入力'!$J$5:$J$404=$A11)))</f>
        <v/>
      </c>
      <c r="L11" s="45">
        <f>IF(OR($A11="",C$6=""),0,SUMPRODUCT(MAX(('01_予約入力'!$D$5:$D$404=C$6)*('01_予約入力'!$Q$5:$Q$404&lt;&gt;"キャンセル")*('01_予約入力'!$G$5:$G$404&lt;&gt;"")*('01_予約入力'!$J$5:$J$404=$A11)*('01_予約入力'!$G$5:$G$404&lt;$A11)*(ROW('01_予約入力'!$G$5:$G$404)-4))))</f>
        <v/>
      </c>
      <c r="M11" s="45">
        <f>IF(OR($A11="",C$6=""),0,SUMPRODUCT(MAX(('01_予約入力'!$D$5:$D$404=C$6)*('01_予約入力'!$Q$5:$Q$404&lt;&gt;"キャンセル")*('01_予約入力'!$G$5:$G$404&lt;&gt;"")*('01_予約入力'!$G$5:$G$404&lt;=$A11)*('01_予約入力'!$J$5:$J$404&gt;$A11)*(ROW('01_予約入力'!$G$5:$G$404)-4))))</f>
        <v/>
      </c>
      <c r="N11" s="45">
        <f>IF(OR($A11="",C$6=""),0,SUMPRODUCT(MAX(('01_予約入力'!$D$5:$D$404=C$6)*('01_予約入力'!$Q$5:$Q$404&lt;&gt;"キャンセル")*('01_予約入力'!$G$5:$G$404&lt;&gt;"")*('01_予約入力'!$G$5:$G$404=$A11)*('01_予約入力'!$J$5:$J$404=$A11)*(ROW('01_予約入力'!$G$5:$G$404)-4))))</f>
        <v/>
      </c>
      <c r="O11" s="45">
        <f>IF(OR($A11="",D$6=""),0,SUMPRODUCT(MAX(('01_予約入力'!$D$5:$D$404=D$6)*('01_予約入力'!$Q$5:$Q$404&lt;&gt;"キャンセル")*('01_予約入力'!$G$5:$G$404&lt;&gt;"")*('01_予約入力'!$J$5:$J$404=$A11)*('01_予約入力'!$G$5:$G$404&lt;$A11)*(ROW('01_予約入力'!$G$5:$G$404)-4))))</f>
        <v/>
      </c>
      <c r="P11" s="45">
        <f>IF(OR($A11="",D$6=""),0,SUMPRODUCT(MAX(('01_予約入力'!$D$5:$D$404=D$6)*('01_予約入力'!$Q$5:$Q$404&lt;&gt;"キャンセル")*('01_予約入力'!$G$5:$G$404&lt;&gt;"")*('01_予約入力'!$G$5:$G$404&lt;=$A11)*('01_予約入力'!$J$5:$J$404&gt;$A11)*(ROW('01_予約入力'!$G$5:$G$404)-4))))</f>
        <v/>
      </c>
      <c r="Q11" s="45">
        <f>IF(OR($A11="",D$6=""),0,SUMPRODUCT(MAX(('01_予約入力'!$D$5:$D$404=D$6)*('01_予約入力'!$Q$5:$Q$404&lt;&gt;"キャンセル")*('01_予約入力'!$G$5:$G$404&lt;&gt;"")*('01_予約入力'!$G$5:$G$404=$A11)*('01_予約入力'!$J$5:$J$404=$A11)*(ROW('01_予約入力'!$G$5:$G$404)-4))))</f>
        <v/>
      </c>
      <c r="R11" s="45">
        <f>IF(OR($A11="",E$6=""),0,SUMPRODUCT(MAX(('01_予約入力'!$D$5:$D$404=E$6)*('01_予約入力'!$Q$5:$Q$404&lt;&gt;"キャンセル")*('01_予約入力'!$G$5:$G$404&lt;&gt;"")*('01_予約入力'!$J$5:$J$404=$A11)*('01_予約入力'!$G$5:$G$404&lt;$A11)*(ROW('01_予約入力'!$G$5:$G$404)-4))))</f>
        <v/>
      </c>
      <c r="S11" s="45">
        <f>IF(OR($A11="",E$6=""),0,SUMPRODUCT(MAX(('01_予約入力'!$D$5:$D$404=E$6)*('01_予約入力'!$Q$5:$Q$404&lt;&gt;"キャンセル")*('01_予約入力'!$G$5:$G$404&lt;&gt;"")*('01_予約入力'!$G$5:$G$404&lt;=$A11)*('01_予約入力'!$J$5:$J$404&gt;$A11)*(ROW('01_予約入力'!$G$5:$G$404)-4))))</f>
        <v/>
      </c>
      <c r="T11" s="45">
        <f>IF(OR($A11="",E$6=""),0,SUMPRODUCT(MAX(('01_予約入力'!$D$5:$D$404=E$6)*('01_予約入力'!$Q$5:$Q$404&lt;&gt;"キャンセル")*('01_予約入力'!$G$5:$G$404&lt;&gt;"")*('01_予約入力'!$G$5:$G$404=$A11)*('01_予約入力'!$J$5:$J$404=$A11)*(ROW('01_予約入力'!$G$5:$G$404)-4))))</f>
        <v/>
      </c>
      <c r="U11" s="45">
        <f>IF(OR($A11="",F$6=""),0,SUMPRODUCT(MAX(('01_予約入力'!$D$5:$D$404=F$6)*('01_予約入力'!$Q$5:$Q$404&lt;&gt;"キャンセル")*('01_予約入力'!$G$5:$G$404&lt;&gt;"")*('01_予約入力'!$J$5:$J$404=$A11)*('01_予約入力'!$G$5:$G$404&lt;$A11)*(ROW('01_予約入力'!$G$5:$G$404)-4))))</f>
        <v/>
      </c>
      <c r="V11" s="45">
        <f>IF(OR($A11="",F$6=""),0,SUMPRODUCT(MAX(('01_予約入力'!$D$5:$D$404=F$6)*('01_予約入力'!$Q$5:$Q$404&lt;&gt;"キャンセル")*('01_予約入力'!$G$5:$G$404&lt;&gt;"")*('01_予約入力'!$G$5:$G$404&lt;=$A11)*('01_予約入力'!$J$5:$J$404&gt;$A11)*(ROW('01_予約入力'!$G$5:$G$404)-4))))</f>
        <v/>
      </c>
      <c r="W11" s="45">
        <f>IF(OR($A11="",F$6=""),0,SUMPRODUCT(MAX(('01_予約入力'!$D$5:$D$404=F$6)*('01_予約入力'!$Q$5:$Q$404&lt;&gt;"キャンセル")*('01_予約入力'!$G$5:$G$404&lt;&gt;"")*('01_予約入力'!$G$5:$G$404=$A11)*('01_予約入力'!$J$5:$J$404=$A11)*(ROW('01_予約入力'!$G$5:$G$404)-4))))</f>
        <v/>
      </c>
      <c r="X11" s="45">
        <f>IF($A11="","",IF($M11&gt;0,IF(OR(INDEX('01_予約入力'!$Q$5:$Q$404,$M11)="仮予約",INDEX('01_予約入力'!$Q$5:$Q$404,$M11)="調整中"),"仮",INDEX('01_予約入力'!$C$5:$C$404,$M11)),IF($N11&gt;0,IF(OR(INDEX('01_予約入力'!$Q$5:$Q$404,$N11)="仮予約",INDEX('01_予約入力'!$Q$5:$Q$404,$N11)="調整中"),"仮",INDEX('01_予約入力'!$C$5:$C$404,$N11)),IF($L11&gt;0,IF(OR(INDEX('01_予約入力'!$Q$5:$Q$404,$L11)="仮予約",INDEX('01_予約入力'!$Q$5:$Q$404,$L11)="調整中"),"仮",INDEX('01_予約入力'!$C$5:$C$404,$L11)),""))))</f>
        <v/>
      </c>
      <c r="Y11" s="45">
        <f>IF($A11="","",IF($P11&gt;0,IF(OR(INDEX('01_予約入力'!$Q$5:$Q$404,$P11)="仮予約",INDEX('01_予約入力'!$Q$5:$Q$404,$P11)="調整中"),"仮",INDEX('01_予約入力'!$C$5:$C$404,$P11)),IF($Q11&gt;0,IF(OR(INDEX('01_予約入力'!$Q$5:$Q$404,$Q11)="仮予約",INDEX('01_予約入力'!$Q$5:$Q$404,$Q11)="調整中"),"仮",INDEX('01_予約入力'!$C$5:$C$404,$Q11)),IF($O11&gt;0,IF(OR(INDEX('01_予約入力'!$Q$5:$Q$404,$O11)="仮予約",INDEX('01_予約入力'!$Q$5:$Q$404,$O11)="調整中"),"仮",INDEX('01_予約入力'!$C$5:$C$404,$O11)),""))))</f>
        <v/>
      </c>
      <c r="Z11" s="45">
        <f>IF($A11="","",IF($S11&gt;0,IF(OR(INDEX('01_予約入力'!$Q$5:$Q$404,$S11)="仮予約",INDEX('01_予約入力'!$Q$5:$Q$404,$S11)="調整中"),"仮",INDEX('01_予約入力'!$C$5:$C$404,$S11)),IF($T11&gt;0,IF(OR(INDEX('01_予約入力'!$Q$5:$Q$404,$T11)="仮予約",INDEX('01_予約入力'!$Q$5:$Q$404,$T11)="調整中"),"仮",INDEX('01_予約入力'!$C$5:$C$404,$T11)),IF($R11&gt;0,IF(OR(INDEX('01_予約入力'!$Q$5:$Q$404,$R11)="仮予約",INDEX('01_予約入力'!$Q$5:$Q$404,$R11)="調整中"),"仮",INDEX('01_予約入力'!$C$5:$C$404,$R11)),""))))</f>
        <v/>
      </c>
      <c r="AA11" s="45">
        <f>IF($A11="","",IF($V11&gt;0,IF(OR(INDEX('01_予約入力'!$Q$5:$Q$404,$V11)="仮予約",INDEX('01_予約入力'!$Q$5:$Q$404,$V11)="調整中"),"仮",INDEX('01_予約入力'!$C$5:$C$404,$V11)),IF($W11&gt;0,IF(OR(INDEX('01_予約入力'!$Q$5:$Q$404,$W11)="仮予約",INDEX('01_予約入力'!$Q$5:$Q$404,$W11)="調整中"),"仮",INDEX('01_予約入力'!$C$5:$C$404,$W11)),IF($U11&gt;0,IF(OR(INDEX('01_予約入力'!$Q$5:$Q$404,$U11)="仮予約",INDEX('01_予約入力'!$Q$5:$Q$404,$U11)="調整中"),"仮",INDEX('01_予約入力'!$C$5:$C$404,$U11)),""))))</f>
        <v/>
      </c>
      <c r="AB11" s="45">
        <f>IF($A11="",0,SUMPRODUCT(('01_予約入力'!$G$5:$G$404&lt;&gt;"")*('01_予約入力'!$Q$5:$Q$404&lt;&gt;"キャンセル")*(('01_予約入力'!$L$5:$L$404="○")*('01_予約入力'!$G$5:$G$404&lt;=$A11)*('01_予約入力'!$J$5:$J$404&gt;=$A11)+('01_予約入力'!$L$5:$L$404="")*('01_予約入力'!$G$5:$G$404&lt;$A11)*('01_予約入力'!$J$5:$J$404&gt;=$A11))))</f>
        <v/>
      </c>
      <c r="AC11" s="45">
        <f>IF($A11="",0,SUMPRODUCT(('01_予約入力'!$G$5:$G$404&lt;&gt;"")*('01_予約入力'!$Q$5:$Q$404&lt;&gt;"キャンセル")*(('01_予約入力'!$M$5:$M$404="○")*('01_予約入力'!$G$5:$G$404&lt;=$A11)*('01_予約入力'!$J$5:$J$404&gt;=$A11)+('01_予約入力'!$M$5:$M$404="")*((('01_予約入力'!$G$5:$G$404&lt;$A11)*('01_予約入力'!$J$5:$J$404&gt;$A11))+(('01_予約入力'!$G$5:$G$404=$A11)*('01_予約入力'!$J$5:$J$404=$A11))))))</f>
        <v/>
      </c>
      <c r="AD11" s="45">
        <f>IF($A11="",0,SUMPRODUCT(('01_予約入力'!$G$5:$G$404&lt;&gt;"")*('01_予約入力'!$Q$5:$Q$404&lt;&gt;"キャンセル")*(('01_予約入力'!$N$5:$N$404="○")*('01_予約入力'!$G$5:$G$404&lt;=$A11)*('01_予約入力'!$J$5:$J$404&gt;=$A11)+('01_予約入力'!$N$5:$N$404="")*('01_予約入力'!$G$5:$G$404&lt;=$A11)*('01_予約入力'!$J$5:$J$404&gt;$A11))))</f>
        <v/>
      </c>
      <c r="AE11" s="45">
        <f>IF($A11="",0,IFERROR(MATCH($A11,'02_カレンダー'!$B$59:$B$78,0),0))</f>
        <v/>
      </c>
      <c r="AF11" s="45">
        <f>IF($A11="",0,IF($AE11=0,$AB11,IF(INDEX('02_カレンダー'!$C$59:$C$78,$AE11)="",$AB11,INDEX('02_カレンダー'!$C$59:$C$78,$AE11))))</f>
        <v/>
      </c>
      <c r="AG11" s="45">
        <f>IF($A11="",0,IF($AE11=0,$AC11,IF(INDEX('02_カレンダー'!$D$59:$D$78,$AE11)="",$AC11,INDEX('02_カレンダー'!$D$59:$D$78,$AE11))))</f>
        <v/>
      </c>
      <c r="AH11" s="45">
        <f>IF($A11="",0,IF($AE11=0,$AD11,IF(INDEX('02_カレンダー'!$E$59:$E$78,$AE11)="",$AD11,INDEX('02_カレンダー'!$E$59:$E$78,$AE11))))</f>
        <v/>
      </c>
      <c r="AI11" s="45">
        <f>IF($A11="","",IF(AND($AF11=0,$AG11=0,$AH11=0),"","朝"&amp;$AF11&amp;" 昼"&amp;$AG11&amp;" 夕"&amp;$AH11&amp;IF($AJ11=0,"","　※調整")))</f>
        <v/>
      </c>
      <c r="AJ11" s="45">
        <f>IF(OR($A11="",$AE11=0),0,IF(OR(INDEX('02_カレンダー'!$C$59:$C$78,$AE11)&lt;&gt;"",INDEX('02_カレンダー'!$D$59:$D$78,$AE11)&lt;&gt;"",INDEX('02_カレンダー'!$E$59:$E$78,$AE11)&lt;&gt;""),1,0))</f>
        <v/>
      </c>
    </row>
    <row r="12">
      <c r="A12" s="38">
        <f>IF(MONTH('02_カレンダー'!$B$4+5)&lt;&gt;MONTH('02_カレンダー'!$B$4),"",'02_カレンダー'!$B$4+5)</f>
        <v/>
      </c>
      <c r="B12" s="45">
        <f>IF($A12="","",MID("日月火水木金土",WEEKDAY($A12),1))</f>
        <v/>
      </c>
      <c r="C12" s="49">
        <f>IF(OR($A12="",C$6=""),"",IF($L12=0,"",INDEX('01_予約入力'!$B$5:$B$404,$L12)&amp;" ◀"&amp;IF(('02_カレンダー'!$B$5="○"),INDEX('01_予約入力'!$AE$5:$AE$404,$L12),""))&amp;IF(AND($L12&gt;0,OR($M12&gt;0,$N12&gt;0)),"  ","")&amp;IF($M12=0,"",IF(INDEX('01_予約入力'!$G$5:$G$404,$M12)=$A12,"▶"&amp;IF(('02_カレンダー'!$B$5="○"),INDEX('01_予約入力'!$AD$5:$AD$404,$M12)&amp;" "," "),"")&amp;INDEX('01_予約入力'!$B$5:$B$404,$M12))&amp;IF(AND($M12&gt;0,$N12&gt;0),"  ","")&amp;IF($N12=0,"","◆ "&amp;INDEX('01_予約入力'!$B$5:$B$404,$N12)&amp;IF(('02_カレンダー'!$B$5="○")," "&amp;INDEX('01_予約入力'!$AD$5:$AD$404,$N12)&amp;"-"&amp;INDEX('01_予約入力'!$AE$5:$AE$404,$N12),"")))</f>
        <v/>
      </c>
      <c r="D12" s="49">
        <f>IF(OR($A12="",D$6=""),"",IF($O12=0,"",INDEX('01_予約入力'!$B$5:$B$404,$O12)&amp;" ◀"&amp;IF(('02_カレンダー'!$B$5="○"),INDEX('01_予約入力'!$AE$5:$AE$404,$O12),""))&amp;IF(AND($O12&gt;0,OR($P12&gt;0,$Q12&gt;0)),"  ","")&amp;IF($P12=0,"",IF(INDEX('01_予約入力'!$G$5:$G$404,$P12)=$A12,"▶"&amp;IF(('02_カレンダー'!$B$5="○"),INDEX('01_予約入力'!$AD$5:$AD$404,$P12)&amp;" "," "),"")&amp;INDEX('01_予約入力'!$B$5:$B$404,$P12))&amp;IF(AND($P12&gt;0,$Q12&gt;0),"  ","")&amp;IF($Q12=0,"","◆ "&amp;INDEX('01_予約入力'!$B$5:$B$404,$Q12)&amp;IF(('02_カレンダー'!$B$5="○")," "&amp;INDEX('01_予約入力'!$AD$5:$AD$404,$Q12)&amp;"-"&amp;INDEX('01_予約入力'!$AE$5:$AE$404,$Q12),"")))</f>
        <v/>
      </c>
      <c r="E12" s="49">
        <f>IF(OR($A12="",E$6=""),"",IF($R12=0,"",INDEX('01_予約入力'!$B$5:$B$404,$R12)&amp;" ◀"&amp;IF(('02_カレンダー'!$B$5="○"),INDEX('01_予約入力'!$AE$5:$AE$404,$R12),""))&amp;IF(AND($R12&gt;0,OR($S12&gt;0,$T12&gt;0)),"  ","")&amp;IF($S12=0,"",IF(INDEX('01_予約入力'!$G$5:$G$404,$S12)=$A12,"▶"&amp;IF(('02_カレンダー'!$B$5="○"),INDEX('01_予約入力'!$AD$5:$AD$404,$S12)&amp;" "," "),"")&amp;INDEX('01_予約入力'!$B$5:$B$404,$S12))&amp;IF(AND($S12&gt;0,$T12&gt;0),"  ","")&amp;IF($T12=0,"","◆ "&amp;INDEX('01_予約入力'!$B$5:$B$404,$T12)&amp;IF(('02_カレンダー'!$B$5="○")," "&amp;INDEX('01_予約入力'!$AD$5:$AD$404,$T12)&amp;"-"&amp;INDEX('01_予約入力'!$AE$5:$AE$404,$T12),"")))</f>
        <v/>
      </c>
      <c r="F12" s="49">
        <f>IF(OR($A12="",F$6=""),"",IF($U12=0,"",INDEX('01_予約入力'!$B$5:$B$404,$U12)&amp;" ◀"&amp;IF(('02_カレンダー'!$B$5="○"),INDEX('01_予約入力'!$AE$5:$AE$404,$U12),""))&amp;IF(AND($U12&gt;0,OR($V12&gt;0,$W12&gt;0)),"  ","")&amp;IF($V12=0,"",IF(INDEX('01_予約入力'!$G$5:$G$404,$V12)=$A12,"▶"&amp;IF(('02_カレンダー'!$B$5="○"),INDEX('01_予約入力'!$AD$5:$AD$404,$V12)&amp;" "," "),"")&amp;INDEX('01_予約入力'!$B$5:$B$404,$V12))&amp;IF(AND($V12&gt;0,$W12&gt;0),"  ","")&amp;IF($W12=0,"","◆ "&amp;INDEX('01_予約入力'!$B$5:$B$404,$W12)&amp;IF(('02_カレンダー'!$B$5="○")," "&amp;INDEX('01_予約入力'!$AD$5:$AD$404,$W12)&amp;"-"&amp;INDEX('01_予約入力'!$AE$5:$AE$404,$W12),"")))</f>
        <v/>
      </c>
      <c r="G12" s="45">
        <f>IF($A12="","",SUMPRODUCT(('01_予約入力'!$G$5:$G$404&lt;&gt;"")*('01_予約入力'!$Q$5:$Q$404&lt;&gt;"キャンセル")*('01_予約入力'!$G$5:$G$404&lt;=$A12)*('01_予約入力'!$J$5:$J$404&gt;$A12)))</f>
        <v/>
      </c>
      <c r="H12" s="45">
        <f>IF($A12="","",'M_施設設定'!$B$6-$G12)</f>
        <v/>
      </c>
      <c r="I12" s="45">
        <f>IF($A12="","",SUMPRODUCT((('01_予約入力'!$Q$5:$Q$404="仮予約")+('01_予約入力'!$Q$5:$Q$404="調整中"))*('01_予約入力'!$G$5:$G$404&lt;&gt;"")*('01_予約入力'!$G$5:$G$404&lt;=$A12)*('01_予約入力'!$J$5:$J$404&gt;$A12)))</f>
        <v/>
      </c>
      <c r="J12" s="45">
        <f>IF($A12="","",IF($I12&gt;0,"仮",IF($H12&lt;=0,"×",IF($H12&lt;'M_施設設定'!$B$6,"△","○"))))</f>
        <v/>
      </c>
      <c r="K12" s="45">
        <f>IF($A12="","",SUMPRODUCT(('01_予約入力'!$G$5:$G$404&lt;&gt;"")*('01_予約入力'!$Q$5:$Q$404&lt;&gt;"キャンセル")*('01_予約入力'!$G$5:$G$404=$A12)*('01_予約入力'!$J$5:$J$404=$A12)))</f>
        <v/>
      </c>
      <c r="L12" s="45">
        <f>IF(OR($A12="",C$6=""),0,SUMPRODUCT(MAX(('01_予約入力'!$D$5:$D$404=C$6)*('01_予約入力'!$Q$5:$Q$404&lt;&gt;"キャンセル")*('01_予約入力'!$G$5:$G$404&lt;&gt;"")*('01_予約入力'!$J$5:$J$404=$A12)*('01_予約入力'!$G$5:$G$404&lt;$A12)*(ROW('01_予約入力'!$G$5:$G$404)-4))))</f>
        <v/>
      </c>
      <c r="M12" s="45">
        <f>IF(OR($A12="",C$6=""),0,SUMPRODUCT(MAX(('01_予約入力'!$D$5:$D$404=C$6)*('01_予約入力'!$Q$5:$Q$404&lt;&gt;"キャンセル")*('01_予約入力'!$G$5:$G$404&lt;&gt;"")*('01_予約入力'!$G$5:$G$404&lt;=$A12)*('01_予約入力'!$J$5:$J$404&gt;$A12)*(ROW('01_予約入力'!$G$5:$G$404)-4))))</f>
        <v/>
      </c>
      <c r="N12" s="45">
        <f>IF(OR($A12="",C$6=""),0,SUMPRODUCT(MAX(('01_予約入力'!$D$5:$D$404=C$6)*('01_予約入力'!$Q$5:$Q$404&lt;&gt;"キャンセル")*('01_予約入力'!$G$5:$G$404&lt;&gt;"")*('01_予約入力'!$G$5:$G$404=$A12)*('01_予約入力'!$J$5:$J$404=$A12)*(ROW('01_予約入力'!$G$5:$G$404)-4))))</f>
        <v/>
      </c>
      <c r="O12" s="45">
        <f>IF(OR($A12="",D$6=""),0,SUMPRODUCT(MAX(('01_予約入力'!$D$5:$D$404=D$6)*('01_予約入力'!$Q$5:$Q$404&lt;&gt;"キャンセル")*('01_予約入力'!$G$5:$G$404&lt;&gt;"")*('01_予約入力'!$J$5:$J$404=$A12)*('01_予約入力'!$G$5:$G$404&lt;$A12)*(ROW('01_予約入力'!$G$5:$G$404)-4))))</f>
        <v/>
      </c>
      <c r="P12" s="45">
        <f>IF(OR($A12="",D$6=""),0,SUMPRODUCT(MAX(('01_予約入力'!$D$5:$D$404=D$6)*('01_予約入力'!$Q$5:$Q$404&lt;&gt;"キャンセル")*('01_予約入力'!$G$5:$G$404&lt;&gt;"")*('01_予約入力'!$G$5:$G$404&lt;=$A12)*('01_予約入力'!$J$5:$J$404&gt;$A12)*(ROW('01_予約入力'!$G$5:$G$404)-4))))</f>
        <v/>
      </c>
      <c r="Q12" s="45">
        <f>IF(OR($A12="",D$6=""),0,SUMPRODUCT(MAX(('01_予約入力'!$D$5:$D$404=D$6)*('01_予約入力'!$Q$5:$Q$404&lt;&gt;"キャンセル")*('01_予約入力'!$G$5:$G$404&lt;&gt;"")*('01_予約入力'!$G$5:$G$404=$A12)*('01_予約入力'!$J$5:$J$404=$A12)*(ROW('01_予約入力'!$G$5:$G$404)-4))))</f>
        <v/>
      </c>
      <c r="R12" s="45">
        <f>IF(OR($A12="",E$6=""),0,SUMPRODUCT(MAX(('01_予約入力'!$D$5:$D$404=E$6)*('01_予約入力'!$Q$5:$Q$404&lt;&gt;"キャンセル")*('01_予約入力'!$G$5:$G$404&lt;&gt;"")*('01_予約入力'!$J$5:$J$404=$A12)*('01_予約入力'!$G$5:$G$404&lt;$A12)*(ROW('01_予約入力'!$G$5:$G$404)-4))))</f>
        <v/>
      </c>
      <c r="S12" s="45">
        <f>IF(OR($A12="",E$6=""),0,SUMPRODUCT(MAX(('01_予約入力'!$D$5:$D$404=E$6)*('01_予約入力'!$Q$5:$Q$404&lt;&gt;"キャンセル")*('01_予約入力'!$G$5:$G$404&lt;&gt;"")*('01_予約入力'!$G$5:$G$404&lt;=$A12)*('01_予約入力'!$J$5:$J$404&gt;$A12)*(ROW('01_予約入力'!$G$5:$G$404)-4))))</f>
        <v/>
      </c>
      <c r="T12" s="45">
        <f>IF(OR($A12="",E$6=""),0,SUMPRODUCT(MAX(('01_予約入力'!$D$5:$D$404=E$6)*('01_予約入力'!$Q$5:$Q$404&lt;&gt;"キャンセル")*('01_予約入力'!$G$5:$G$404&lt;&gt;"")*('01_予約入力'!$G$5:$G$404=$A12)*('01_予約入力'!$J$5:$J$404=$A12)*(ROW('01_予約入力'!$G$5:$G$404)-4))))</f>
        <v/>
      </c>
      <c r="U12" s="45">
        <f>IF(OR($A12="",F$6=""),0,SUMPRODUCT(MAX(('01_予約入力'!$D$5:$D$404=F$6)*('01_予約入力'!$Q$5:$Q$404&lt;&gt;"キャンセル")*('01_予約入力'!$G$5:$G$404&lt;&gt;"")*('01_予約入力'!$J$5:$J$404=$A12)*('01_予約入力'!$G$5:$G$404&lt;$A12)*(ROW('01_予約入力'!$G$5:$G$404)-4))))</f>
        <v/>
      </c>
      <c r="V12" s="45">
        <f>IF(OR($A12="",F$6=""),0,SUMPRODUCT(MAX(('01_予約入力'!$D$5:$D$404=F$6)*('01_予約入力'!$Q$5:$Q$404&lt;&gt;"キャンセル")*('01_予約入力'!$G$5:$G$404&lt;&gt;"")*('01_予約入力'!$G$5:$G$404&lt;=$A12)*('01_予約入力'!$J$5:$J$404&gt;$A12)*(ROW('01_予約入力'!$G$5:$G$404)-4))))</f>
        <v/>
      </c>
      <c r="W12" s="45">
        <f>IF(OR($A12="",F$6=""),0,SUMPRODUCT(MAX(('01_予約入力'!$D$5:$D$404=F$6)*('01_予約入力'!$Q$5:$Q$404&lt;&gt;"キャンセル")*('01_予約入力'!$G$5:$G$404&lt;&gt;"")*('01_予約入力'!$G$5:$G$404=$A12)*('01_予約入力'!$J$5:$J$404=$A12)*(ROW('01_予約入力'!$G$5:$G$404)-4))))</f>
        <v/>
      </c>
      <c r="X12" s="45">
        <f>IF($A12="","",IF($M12&gt;0,IF(OR(INDEX('01_予約入力'!$Q$5:$Q$404,$M12)="仮予約",INDEX('01_予約入力'!$Q$5:$Q$404,$M12)="調整中"),"仮",INDEX('01_予約入力'!$C$5:$C$404,$M12)),IF($N12&gt;0,IF(OR(INDEX('01_予約入力'!$Q$5:$Q$404,$N12)="仮予約",INDEX('01_予約入力'!$Q$5:$Q$404,$N12)="調整中"),"仮",INDEX('01_予約入力'!$C$5:$C$404,$N12)),IF($L12&gt;0,IF(OR(INDEX('01_予約入力'!$Q$5:$Q$404,$L12)="仮予約",INDEX('01_予約入力'!$Q$5:$Q$404,$L12)="調整中"),"仮",INDEX('01_予約入力'!$C$5:$C$404,$L12)),""))))</f>
        <v/>
      </c>
      <c r="Y12" s="45">
        <f>IF($A12="","",IF($P12&gt;0,IF(OR(INDEX('01_予約入力'!$Q$5:$Q$404,$P12)="仮予約",INDEX('01_予約入力'!$Q$5:$Q$404,$P12)="調整中"),"仮",INDEX('01_予約入力'!$C$5:$C$404,$P12)),IF($Q12&gt;0,IF(OR(INDEX('01_予約入力'!$Q$5:$Q$404,$Q12)="仮予約",INDEX('01_予約入力'!$Q$5:$Q$404,$Q12)="調整中"),"仮",INDEX('01_予約入力'!$C$5:$C$404,$Q12)),IF($O12&gt;0,IF(OR(INDEX('01_予約入力'!$Q$5:$Q$404,$O12)="仮予約",INDEX('01_予約入力'!$Q$5:$Q$404,$O12)="調整中"),"仮",INDEX('01_予約入力'!$C$5:$C$404,$O12)),""))))</f>
        <v/>
      </c>
      <c r="Z12" s="45">
        <f>IF($A12="","",IF($S12&gt;0,IF(OR(INDEX('01_予約入力'!$Q$5:$Q$404,$S12)="仮予約",INDEX('01_予約入力'!$Q$5:$Q$404,$S12)="調整中"),"仮",INDEX('01_予約入力'!$C$5:$C$404,$S12)),IF($T12&gt;0,IF(OR(INDEX('01_予約入力'!$Q$5:$Q$404,$T12)="仮予約",INDEX('01_予約入力'!$Q$5:$Q$404,$T12)="調整中"),"仮",INDEX('01_予約入力'!$C$5:$C$404,$T12)),IF($R12&gt;0,IF(OR(INDEX('01_予約入力'!$Q$5:$Q$404,$R12)="仮予約",INDEX('01_予約入力'!$Q$5:$Q$404,$R12)="調整中"),"仮",INDEX('01_予約入力'!$C$5:$C$404,$R12)),""))))</f>
        <v/>
      </c>
      <c r="AA12" s="45">
        <f>IF($A12="","",IF($V12&gt;0,IF(OR(INDEX('01_予約入力'!$Q$5:$Q$404,$V12)="仮予約",INDEX('01_予約入力'!$Q$5:$Q$404,$V12)="調整中"),"仮",INDEX('01_予約入力'!$C$5:$C$404,$V12)),IF($W12&gt;0,IF(OR(INDEX('01_予約入力'!$Q$5:$Q$404,$W12)="仮予約",INDEX('01_予約入力'!$Q$5:$Q$404,$W12)="調整中"),"仮",INDEX('01_予約入力'!$C$5:$C$404,$W12)),IF($U12&gt;0,IF(OR(INDEX('01_予約入力'!$Q$5:$Q$404,$U12)="仮予約",INDEX('01_予約入力'!$Q$5:$Q$404,$U12)="調整中"),"仮",INDEX('01_予約入力'!$C$5:$C$404,$U12)),""))))</f>
        <v/>
      </c>
      <c r="AB12" s="45">
        <f>IF($A12="",0,SUMPRODUCT(('01_予約入力'!$G$5:$G$404&lt;&gt;"")*('01_予約入力'!$Q$5:$Q$404&lt;&gt;"キャンセル")*(('01_予約入力'!$L$5:$L$404="○")*('01_予約入力'!$G$5:$G$404&lt;=$A12)*('01_予約入力'!$J$5:$J$404&gt;=$A12)+('01_予約入力'!$L$5:$L$404="")*('01_予約入力'!$G$5:$G$404&lt;$A12)*('01_予約入力'!$J$5:$J$404&gt;=$A12))))</f>
        <v/>
      </c>
      <c r="AC12" s="45">
        <f>IF($A12="",0,SUMPRODUCT(('01_予約入力'!$G$5:$G$404&lt;&gt;"")*('01_予約入力'!$Q$5:$Q$404&lt;&gt;"キャンセル")*(('01_予約入力'!$M$5:$M$404="○")*('01_予約入力'!$G$5:$G$404&lt;=$A12)*('01_予約入力'!$J$5:$J$404&gt;=$A12)+('01_予約入力'!$M$5:$M$404="")*((('01_予約入力'!$G$5:$G$404&lt;$A12)*('01_予約入力'!$J$5:$J$404&gt;$A12))+(('01_予約入力'!$G$5:$G$404=$A12)*('01_予約入力'!$J$5:$J$404=$A12))))))</f>
        <v/>
      </c>
      <c r="AD12" s="45">
        <f>IF($A12="",0,SUMPRODUCT(('01_予約入力'!$G$5:$G$404&lt;&gt;"")*('01_予約入力'!$Q$5:$Q$404&lt;&gt;"キャンセル")*(('01_予約入力'!$N$5:$N$404="○")*('01_予約入力'!$G$5:$G$404&lt;=$A12)*('01_予約入力'!$J$5:$J$404&gt;=$A12)+('01_予約入力'!$N$5:$N$404="")*('01_予約入力'!$G$5:$G$404&lt;=$A12)*('01_予約入力'!$J$5:$J$404&gt;$A12))))</f>
        <v/>
      </c>
      <c r="AE12" s="45">
        <f>IF($A12="",0,IFERROR(MATCH($A12,'02_カレンダー'!$B$59:$B$78,0),0))</f>
        <v/>
      </c>
      <c r="AF12" s="45">
        <f>IF($A12="",0,IF($AE12=0,$AB12,IF(INDEX('02_カレンダー'!$C$59:$C$78,$AE12)="",$AB12,INDEX('02_カレンダー'!$C$59:$C$78,$AE12))))</f>
        <v/>
      </c>
      <c r="AG12" s="45">
        <f>IF($A12="",0,IF($AE12=0,$AC12,IF(INDEX('02_カレンダー'!$D$59:$D$78,$AE12)="",$AC12,INDEX('02_カレンダー'!$D$59:$D$78,$AE12))))</f>
        <v/>
      </c>
      <c r="AH12" s="45">
        <f>IF($A12="",0,IF($AE12=0,$AD12,IF(INDEX('02_カレンダー'!$E$59:$E$78,$AE12)="",$AD12,INDEX('02_カレンダー'!$E$59:$E$78,$AE12))))</f>
        <v/>
      </c>
      <c r="AI12" s="45">
        <f>IF($A12="","",IF(AND($AF12=0,$AG12=0,$AH12=0),"","朝"&amp;$AF12&amp;" 昼"&amp;$AG12&amp;" 夕"&amp;$AH12&amp;IF($AJ12=0,"","　※調整")))</f>
        <v/>
      </c>
      <c r="AJ12" s="45">
        <f>IF(OR($A12="",$AE12=0),0,IF(OR(INDEX('02_カレンダー'!$C$59:$C$78,$AE12)&lt;&gt;"",INDEX('02_カレンダー'!$D$59:$D$78,$AE12)&lt;&gt;"",INDEX('02_カレンダー'!$E$59:$E$78,$AE12)&lt;&gt;""),1,0))</f>
        <v/>
      </c>
    </row>
    <row r="13">
      <c r="A13" s="38">
        <f>IF(MONTH('02_カレンダー'!$B$4+6)&lt;&gt;MONTH('02_カレンダー'!$B$4),"",'02_カレンダー'!$B$4+6)</f>
        <v/>
      </c>
      <c r="B13" s="45">
        <f>IF($A13="","",MID("日月火水木金土",WEEKDAY($A13),1))</f>
        <v/>
      </c>
      <c r="C13" s="49">
        <f>IF(OR($A13="",C$6=""),"",IF($L13=0,"",INDEX('01_予約入力'!$B$5:$B$404,$L13)&amp;" ◀"&amp;IF(('02_カレンダー'!$B$5="○"),INDEX('01_予約入力'!$AE$5:$AE$404,$L13),""))&amp;IF(AND($L13&gt;0,OR($M13&gt;0,$N13&gt;0)),"  ","")&amp;IF($M13=0,"",IF(INDEX('01_予約入力'!$G$5:$G$404,$M13)=$A13,"▶"&amp;IF(('02_カレンダー'!$B$5="○"),INDEX('01_予約入力'!$AD$5:$AD$404,$M13)&amp;" "," "),"")&amp;INDEX('01_予約入力'!$B$5:$B$404,$M13))&amp;IF(AND($M13&gt;0,$N13&gt;0),"  ","")&amp;IF($N13=0,"","◆ "&amp;INDEX('01_予約入力'!$B$5:$B$404,$N13)&amp;IF(('02_カレンダー'!$B$5="○")," "&amp;INDEX('01_予約入力'!$AD$5:$AD$404,$N13)&amp;"-"&amp;INDEX('01_予約入力'!$AE$5:$AE$404,$N13),"")))</f>
        <v/>
      </c>
      <c r="D13" s="49">
        <f>IF(OR($A13="",D$6=""),"",IF($O13=0,"",INDEX('01_予約入力'!$B$5:$B$404,$O13)&amp;" ◀"&amp;IF(('02_カレンダー'!$B$5="○"),INDEX('01_予約入力'!$AE$5:$AE$404,$O13),""))&amp;IF(AND($O13&gt;0,OR($P13&gt;0,$Q13&gt;0)),"  ","")&amp;IF($P13=0,"",IF(INDEX('01_予約入力'!$G$5:$G$404,$P13)=$A13,"▶"&amp;IF(('02_カレンダー'!$B$5="○"),INDEX('01_予約入力'!$AD$5:$AD$404,$P13)&amp;" "," "),"")&amp;INDEX('01_予約入力'!$B$5:$B$404,$P13))&amp;IF(AND($P13&gt;0,$Q13&gt;0),"  ","")&amp;IF($Q13=0,"","◆ "&amp;INDEX('01_予約入力'!$B$5:$B$404,$Q13)&amp;IF(('02_カレンダー'!$B$5="○")," "&amp;INDEX('01_予約入力'!$AD$5:$AD$404,$Q13)&amp;"-"&amp;INDEX('01_予約入力'!$AE$5:$AE$404,$Q13),"")))</f>
        <v/>
      </c>
      <c r="E13" s="49">
        <f>IF(OR($A13="",E$6=""),"",IF($R13=0,"",INDEX('01_予約入力'!$B$5:$B$404,$R13)&amp;" ◀"&amp;IF(('02_カレンダー'!$B$5="○"),INDEX('01_予約入力'!$AE$5:$AE$404,$R13),""))&amp;IF(AND($R13&gt;0,OR($S13&gt;0,$T13&gt;0)),"  ","")&amp;IF($S13=0,"",IF(INDEX('01_予約入力'!$G$5:$G$404,$S13)=$A13,"▶"&amp;IF(('02_カレンダー'!$B$5="○"),INDEX('01_予約入力'!$AD$5:$AD$404,$S13)&amp;" "," "),"")&amp;INDEX('01_予約入力'!$B$5:$B$404,$S13))&amp;IF(AND($S13&gt;0,$T13&gt;0),"  ","")&amp;IF($T13=0,"","◆ "&amp;INDEX('01_予約入力'!$B$5:$B$404,$T13)&amp;IF(('02_カレンダー'!$B$5="○")," "&amp;INDEX('01_予約入力'!$AD$5:$AD$404,$T13)&amp;"-"&amp;INDEX('01_予約入力'!$AE$5:$AE$404,$T13),"")))</f>
        <v/>
      </c>
      <c r="F13" s="49">
        <f>IF(OR($A13="",F$6=""),"",IF($U13=0,"",INDEX('01_予約入力'!$B$5:$B$404,$U13)&amp;" ◀"&amp;IF(('02_カレンダー'!$B$5="○"),INDEX('01_予約入力'!$AE$5:$AE$404,$U13),""))&amp;IF(AND($U13&gt;0,OR($V13&gt;0,$W13&gt;0)),"  ","")&amp;IF($V13=0,"",IF(INDEX('01_予約入力'!$G$5:$G$404,$V13)=$A13,"▶"&amp;IF(('02_カレンダー'!$B$5="○"),INDEX('01_予約入力'!$AD$5:$AD$404,$V13)&amp;" "," "),"")&amp;INDEX('01_予約入力'!$B$5:$B$404,$V13))&amp;IF(AND($V13&gt;0,$W13&gt;0),"  ","")&amp;IF($W13=0,"","◆ "&amp;INDEX('01_予約入力'!$B$5:$B$404,$W13)&amp;IF(('02_カレンダー'!$B$5="○")," "&amp;INDEX('01_予約入力'!$AD$5:$AD$404,$W13)&amp;"-"&amp;INDEX('01_予約入力'!$AE$5:$AE$404,$W13),"")))</f>
        <v/>
      </c>
      <c r="G13" s="45">
        <f>IF($A13="","",SUMPRODUCT(('01_予約入力'!$G$5:$G$404&lt;&gt;"")*('01_予約入力'!$Q$5:$Q$404&lt;&gt;"キャンセル")*('01_予約入力'!$G$5:$G$404&lt;=$A13)*('01_予約入力'!$J$5:$J$404&gt;$A13)))</f>
        <v/>
      </c>
      <c r="H13" s="45">
        <f>IF($A13="","",'M_施設設定'!$B$6-$G13)</f>
        <v/>
      </c>
      <c r="I13" s="45">
        <f>IF($A13="","",SUMPRODUCT((('01_予約入力'!$Q$5:$Q$404="仮予約")+('01_予約入力'!$Q$5:$Q$404="調整中"))*('01_予約入力'!$G$5:$G$404&lt;&gt;"")*('01_予約入力'!$G$5:$G$404&lt;=$A13)*('01_予約入力'!$J$5:$J$404&gt;$A13)))</f>
        <v/>
      </c>
      <c r="J13" s="45">
        <f>IF($A13="","",IF($I13&gt;0,"仮",IF($H13&lt;=0,"×",IF($H13&lt;'M_施設設定'!$B$6,"△","○"))))</f>
        <v/>
      </c>
      <c r="K13" s="45">
        <f>IF($A13="","",SUMPRODUCT(('01_予約入力'!$G$5:$G$404&lt;&gt;"")*('01_予約入力'!$Q$5:$Q$404&lt;&gt;"キャンセル")*('01_予約入力'!$G$5:$G$404=$A13)*('01_予約入力'!$J$5:$J$404=$A13)))</f>
        <v/>
      </c>
      <c r="L13" s="45">
        <f>IF(OR($A13="",C$6=""),0,SUMPRODUCT(MAX(('01_予約入力'!$D$5:$D$404=C$6)*('01_予約入力'!$Q$5:$Q$404&lt;&gt;"キャンセル")*('01_予約入力'!$G$5:$G$404&lt;&gt;"")*('01_予約入力'!$J$5:$J$404=$A13)*('01_予約入力'!$G$5:$G$404&lt;$A13)*(ROW('01_予約入力'!$G$5:$G$404)-4))))</f>
        <v/>
      </c>
      <c r="M13" s="45">
        <f>IF(OR($A13="",C$6=""),0,SUMPRODUCT(MAX(('01_予約入力'!$D$5:$D$404=C$6)*('01_予約入力'!$Q$5:$Q$404&lt;&gt;"キャンセル")*('01_予約入力'!$G$5:$G$404&lt;&gt;"")*('01_予約入力'!$G$5:$G$404&lt;=$A13)*('01_予約入力'!$J$5:$J$404&gt;$A13)*(ROW('01_予約入力'!$G$5:$G$404)-4))))</f>
        <v/>
      </c>
      <c r="N13" s="45">
        <f>IF(OR($A13="",C$6=""),0,SUMPRODUCT(MAX(('01_予約入力'!$D$5:$D$404=C$6)*('01_予約入力'!$Q$5:$Q$404&lt;&gt;"キャンセル")*('01_予約入力'!$G$5:$G$404&lt;&gt;"")*('01_予約入力'!$G$5:$G$404=$A13)*('01_予約入力'!$J$5:$J$404=$A13)*(ROW('01_予約入力'!$G$5:$G$404)-4))))</f>
        <v/>
      </c>
      <c r="O13" s="45">
        <f>IF(OR($A13="",D$6=""),0,SUMPRODUCT(MAX(('01_予約入力'!$D$5:$D$404=D$6)*('01_予約入力'!$Q$5:$Q$404&lt;&gt;"キャンセル")*('01_予約入力'!$G$5:$G$404&lt;&gt;"")*('01_予約入力'!$J$5:$J$404=$A13)*('01_予約入力'!$G$5:$G$404&lt;$A13)*(ROW('01_予約入力'!$G$5:$G$404)-4))))</f>
        <v/>
      </c>
      <c r="P13" s="45">
        <f>IF(OR($A13="",D$6=""),0,SUMPRODUCT(MAX(('01_予約入力'!$D$5:$D$404=D$6)*('01_予約入力'!$Q$5:$Q$404&lt;&gt;"キャンセル")*('01_予約入力'!$G$5:$G$404&lt;&gt;"")*('01_予約入力'!$G$5:$G$404&lt;=$A13)*('01_予約入力'!$J$5:$J$404&gt;$A13)*(ROW('01_予約入力'!$G$5:$G$404)-4))))</f>
        <v/>
      </c>
      <c r="Q13" s="45">
        <f>IF(OR($A13="",D$6=""),0,SUMPRODUCT(MAX(('01_予約入力'!$D$5:$D$404=D$6)*('01_予約入力'!$Q$5:$Q$404&lt;&gt;"キャンセル")*('01_予約入力'!$G$5:$G$404&lt;&gt;"")*('01_予約入力'!$G$5:$G$404=$A13)*('01_予約入力'!$J$5:$J$404=$A13)*(ROW('01_予約入力'!$G$5:$G$404)-4))))</f>
        <v/>
      </c>
      <c r="R13" s="45">
        <f>IF(OR($A13="",E$6=""),0,SUMPRODUCT(MAX(('01_予約入力'!$D$5:$D$404=E$6)*('01_予約入力'!$Q$5:$Q$404&lt;&gt;"キャンセル")*('01_予約入力'!$G$5:$G$404&lt;&gt;"")*('01_予約入力'!$J$5:$J$404=$A13)*('01_予約入力'!$G$5:$G$404&lt;$A13)*(ROW('01_予約入力'!$G$5:$G$404)-4))))</f>
        <v/>
      </c>
      <c r="S13" s="45">
        <f>IF(OR($A13="",E$6=""),0,SUMPRODUCT(MAX(('01_予約入力'!$D$5:$D$404=E$6)*('01_予約入力'!$Q$5:$Q$404&lt;&gt;"キャンセル")*('01_予約入力'!$G$5:$G$404&lt;&gt;"")*('01_予約入力'!$G$5:$G$404&lt;=$A13)*('01_予約入力'!$J$5:$J$404&gt;$A13)*(ROW('01_予約入力'!$G$5:$G$404)-4))))</f>
        <v/>
      </c>
      <c r="T13" s="45">
        <f>IF(OR($A13="",E$6=""),0,SUMPRODUCT(MAX(('01_予約入力'!$D$5:$D$404=E$6)*('01_予約入力'!$Q$5:$Q$404&lt;&gt;"キャンセル")*('01_予約入力'!$G$5:$G$404&lt;&gt;"")*('01_予約入力'!$G$5:$G$404=$A13)*('01_予約入力'!$J$5:$J$404=$A13)*(ROW('01_予約入力'!$G$5:$G$404)-4))))</f>
        <v/>
      </c>
      <c r="U13" s="45">
        <f>IF(OR($A13="",F$6=""),0,SUMPRODUCT(MAX(('01_予約入力'!$D$5:$D$404=F$6)*('01_予約入力'!$Q$5:$Q$404&lt;&gt;"キャンセル")*('01_予約入力'!$G$5:$G$404&lt;&gt;"")*('01_予約入力'!$J$5:$J$404=$A13)*('01_予約入力'!$G$5:$G$404&lt;$A13)*(ROW('01_予約入力'!$G$5:$G$404)-4))))</f>
        <v/>
      </c>
      <c r="V13" s="45">
        <f>IF(OR($A13="",F$6=""),0,SUMPRODUCT(MAX(('01_予約入力'!$D$5:$D$404=F$6)*('01_予約入力'!$Q$5:$Q$404&lt;&gt;"キャンセル")*('01_予約入力'!$G$5:$G$404&lt;&gt;"")*('01_予約入力'!$G$5:$G$404&lt;=$A13)*('01_予約入力'!$J$5:$J$404&gt;$A13)*(ROW('01_予約入力'!$G$5:$G$404)-4))))</f>
        <v/>
      </c>
      <c r="W13" s="45">
        <f>IF(OR($A13="",F$6=""),0,SUMPRODUCT(MAX(('01_予約入力'!$D$5:$D$404=F$6)*('01_予約入力'!$Q$5:$Q$404&lt;&gt;"キャンセル")*('01_予約入力'!$G$5:$G$404&lt;&gt;"")*('01_予約入力'!$G$5:$G$404=$A13)*('01_予約入力'!$J$5:$J$404=$A13)*(ROW('01_予約入力'!$G$5:$G$404)-4))))</f>
        <v/>
      </c>
      <c r="X13" s="45">
        <f>IF($A13="","",IF($M13&gt;0,IF(OR(INDEX('01_予約入力'!$Q$5:$Q$404,$M13)="仮予約",INDEX('01_予約入力'!$Q$5:$Q$404,$M13)="調整中"),"仮",INDEX('01_予約入力'!$C$5:$C$404,$M13)),IF($N13&gt;0,IF(OR(INDEX('01_予約入力'!$Q$5:$Q$404,$N13)="仮予約",INDEX('01_予約入力'!$Q$5:$Q$404,$N13)="調整中"),"仮",INDEX('01_予約入力'!$C$5:$C$404,$N13)),IF($L13&gt;0,IF(OR(INDEX('01_予約入力'!$Q$5:$Q$404,$L13)="仮予約",INDEX('01_予約入力'!$Q$5:$Q$404,$L13)="調整中"),"仮",INDEX('01_予約入力'!$C$5:$C$404,$L13)),""))))</f>
        <v/>
      </c>
      <c r="Y13" s="45">
        <f>IF($A13="","",IF($P13&gt;0,IF(OR(INDEX('01_予約入力'!$Q$5:$Q$404,$P13)="仮予約",INDEX('01_予約入力'!$Q$5:$Q$404,$P13)="調整中"),"仮",INDEX('01_予約入力'!$C$5:$C$404,$P13)),IF($Q13&gt;0,IF(OR(INDEX('01_予約入力'!$Q$5:$Q$404,$Q13)="仮予約",INDEX('01_予約入力'!$Q$5:$Q$404,$Q13)="調整中"),"仮",INDEX('01_予約入力'!$C$5:$C$404,$Q13)),IF($O13&gt;0,IF(OR(INDEX('01_予約入力'!$Q$5:$Q$404,$O13)="仮予約",INDEX('01_予約入力'!$Q$5:$Q$404,$O13)="調整中"),"仮",INDEX('01_予約入力'!$C$5:$C$404,$O13)),""))))</f>
        <v/>
      </c>
      <c r="Z13" s="45">
        <f>IF($A13="","",IF($S13&gt;0,IF(OR(INDEX('01_予約入力'!$Q$5:$Q$404,$S13)="仮予約",INDEX('01_予約入力'!$Q$5:$Q$404,$S13)="調整中"),"仮",INDEX('01_予約入力'!$C$5:$C$404,$S13)),IF($T13&gt;0,IF(OR(INDEX('01_予約入力'!$Q$5:$Q$404,$T13)="仮予約",INDEX('01_予約入力'!$Q$5:$Q$404,$T13)="調整中"),"仮",INDEX('01_予約入力'!$C$5:$C$404,$T13)),IF($R13&gt;0,IF(OR(INDEX('01_予約入力'!$Q$5:$Q$404,$R13)="仮予約",INDEX('01_予約入力'!$Q$5:$Q$404,$R13)="調整中"),"仮",INDEX('01_予約入力'!$C$5:$C$404,$R13)),""))))</f>
        <v/>
      </c>
      <c r="AA13" s="45">
        <f>IF($A13="","",IF($V13&gt;0,IF(OR(INDEX('01_予約入力'!$Q$5:$Q$404,$V13)="仮予約",INDEX('01_予約入力'!$Q$5:$Q$404,$V13)="調整中"),"仮",INDEX('01_予約入力'!$C$5:$C$404,$V13)),IF($W13&gt;0,IF(OR(INDEX('01_予約入力'!$Q$5:$Q$404,$W13)="仮予約",INDEX('01_予約入力'!$Q$5:$Q$404,$W13)="調整中"),"仮",INDEX('01_予約入力'!$C$5:$C$404,$W13)),IF($U13&gt;0,IF(OR(INDEX('01_予約入力'!$Q$5:$Q$404,$U13)="仮予約",INDEX('01_予約入力'!$Q$5:$Q$404,$U13)="調整中"),"仮",INDEX('01_予約入力'!$C$5:$C$404,$U13)),""))))</f>
        <v/>
      </c>
      <c r="AB13" s="45">
        <f>IF($A13="",0,SUMPRODUCT(('01_予約入力'!$G$5:$G$404&lt;&gt;"")*('01_予約入力'!$Q$5:$Q$404&lt;&gt;"キャンセル")*(('01_予約入力'!$L$5:$L$404="○")*('01_予約入力'!$G$5:$G$404&lt;=$A13)*('01_予約入力'!$J$5:$J$404&gt;=$A13)+('01_予約入力'!$L$5:$L$404="")*('01_予約入力'!$G$5:$G$404&lt;$A13)*('01_予約入力'!$J$5:$J$404&gt;=$A13))))</f>
        <v/>
      </c>
      <c r="AC13" s="45">
        <f>IF($A13="",0,SUMPRODUCT(('01_予約入力'!$G$5:$G$404&lt;&gt;"")*('01_予約入力'!$Q$5:$Q$404&lt;&gt;"キャンセル")*(('01_予約入力'!$M$5:$M$404="○")*('01_予約入力'!$G$5:$G$404&lt;=$A13)*('01_予約入力'!$J$5:$J$404&gt;=$A13)+('01_予約入力'!$M$5:$M$404="")*((('01_予約入力'!$G$5:$G$404&lt;$A13)*('01_予約入力'!$J$5:$J$404&gt;$A13))+(('01_予約入力'!$G$5:$G$404=$A13)*('01_予約入力'!$J$5:$J$404=$A13))))))</f>
        <v/>
      </c>
      <c r="AD13" s="45">
        <f>IF($A13="",0,SUMPRODUCT(('01_予約入力'!$G$5:$G$404&lt;&gt;"")*('01_予約入力'!$Q$5:$Q$404&lt;&gt;"キャンセル")*(('01_予約入力'!$N$5:$N$404="○")*('01_予約入力'!$G$5:$G$404&lt;=$A13)*('01_予約入力'!$J$5:$J$404&gt;=$A13)+('01_予約入力'!$N$5:$N$404="")*('01_予約入力'!$G$5:$G$404&lt;=$A13)*('01_予約入力'!$J$5:$J$404&gt;$A13))))</f>
        <v/>
      </c>
      <c r="AE13" s="45">
        <f>IF($A13="",0,IFERROR(MATCH($A13,'02_カレンダー'!$B$59:$B$78,0),0))</f>
        <v/>
      </c>
      <c r="AF13" s="45">
        <f>IF($A13="",0,IF($AE13=0,$AB13,IF(INDEX('02_カレンダー'!$C$59:$C$78,$AE13)="",$AB13,INDEX('02_カレンダー'!$C$59:$C$78,$AE13))))</f>
        <v/>
      </c>
      <c r="AG13" s="45">
        <f>IF($A13="",0,IF($AE13=0,$AC13,IF(INDEX('02_カレンダー'!$D$59:$D$78,$AE13)="",$AC13,INDEX('02_カレンダー'!$D$59:$D$78,$AE13))))</f>
        <v/>
      </c>
      <c r="AH13" s="45">
        <f>IF($A13="",0,IF($AE13=0,$AD13,IF(INDEX('02_カレンダー'!$E$59:$E$78,$AE13)="",$AD13,INDEX('02_カレンダー'!$E$59:$E$78,$AE13))))</f>
        <v/>
      </c>
      <c r="AI13" s="45">
        <f>IF($A13="","",IF(AND($AF13=0,$AG13=0,$AH13=0),"","朝"&amp;$AF13&amp;" 昼"&amp;$AG13&amp;" 夕"&amp;$AH13&amp;IF($AJ13=0,"","　※調整")))</f>
        <v/>
      </c>
      <c r="AJ13" s="45">
        <f>IF(OR($A13="",$AE13=0),0,IF(OR(INDEX('02_カレンダー'!$C$59:$C$78,$AE13)&lt;&gt;"",INDEX('02_カレンダー'!$D$59:$D$78,$AE13)&lt;&gt;"",INDEX('02_カレンダー'!$E$59:$E$78,$AE13)&lt;&gt;""),1,0))</f>
        <v/>
      </c>
    </row>
    <row r="14">
      <c r="A14" s="38">
        <f>IF(MONTH('02_カレンダー'!$B$4+7)&lt;&gt;MONTH('02_カレンダー'!$B$4),"",'02_カレンダー'!$B$4+7)</f>
        <v/>
      </c>
      <c r="B14" s="45">
        <f>IF($A14="","",MID("日月火水木金土",WEEKDAY($A14),1))</f>
        <v/>
      </c>
      <c r="C14" s="49">
        <f>IF(OR($A14="",C$6=""),"",IF($L14=0,"",INDEX('01_予約入力'!$B$5:$B$404,$L14)&amp;" ◀"&amp;IF(('02_カレンダー'!$B$5="○"),INDEX('01_予約入力'!$AE$5:$AE$404,$L14),""))&amp;IF(AND($L14&gt;0,OR($M14&gt;0,$N14&gt;0)),"  ","")&amp;IF($M14=0,"",IF(INDEX('01_予約入力'!$G$5:$G$404,$M14)=$A14,"▶"&amp;IF(('02_カレンダー'!$B$5="○"),INDEX('01_予約入力'!$AD$5:$AD$404,$M14)&amp;" "," "),"")&amp;INDEX('01_予約入力'!$B$5:$B$404,$M14))&amp;IF(AND($M14&gt;0,$N14&gt;0),"  ","")&amp;IF($N14=0,"","◆ "&amp;INDEX('01_予約入力'!$B$5:$B$404,$N14)&amp;IF(('02_カレンダー'!$B$5="○")," "&amp;INDEX('01_予約入力'!$AD$5:$AD$404,$N14)&amp;"-"&amp;INDEX('01_予約入力'!$AE$5:$AE$404,$N14),"")))</f>
        <v/>
      </c>
      <c r="D14" s="49">
        <f>IF(OR($A14="",D$6=""),"",IF($O14=0,"",INDEX('01_予約入力'!$B$5:$B$404,$O14)&amp;" ◀"&amp;IF(('02_カレンダー'!$B$5="○"),INDEX('01_予約入力'!$AE$5:$AE$404,$O14),""))&amp;IF(AND($O14&gt;0,OR($P14&gt;0,$Q14&gt;0)),"  ","")&amp;IF($P14=0,"",IF(INDEX('01_予約入力'!$G$5:$G$404,$P14)=$A14,"▶"&amp;IF(('02_カレンダー'!$B$5="○"),INDEX('01_予約入力'!$AD$5:$AD$404,$P14)&amp;" "," "),"")&amp;INDEX('01_予約入力'!$B$5:$B$404,$P14))&amp;IF(AND($P14&gt;0,$Q14&gt;0),"  ","")&amp;IF($Q14=0,"","◆ "&amp;INDEX('01_予約入力'!$B$5:$B$404,$Q14)&amp;IF(('02_カレンダー'!$B$5="○")," "&amp;INDEX('01_予約入力'!$AD$5:$AD$404,$Q14)&amp;"-"&amp;INDEX('01_予約入力'!$AE$5:$AE$404,$Q14),"")))</f>
        <v/>
      </c>
      <c r="E14" s="49">
        <f>IF(OR($A14="",E$6=""),"",IF($R14=0,"",INDEX('01_予約入力'!$B$5:$B$404,$R14)&amp;" ◀"&amp;IF(('02_カレンダー'!$B$5="○"),INDEX('01_予約入力'!$AE$5:$AE$404,$R14),""))&amp;IF(AND($R14&gt;0,OR($S14&gt;0,$T14&gt;0)),"  ","")&amp;IF($S14=0,"",IF(INDEX('01_予約入力'!$G$5:$G$404,$S14)=$A14,"▶"&amp;IF(('02_カレンダー'!$B$5="○"),INDEX('01_予約入力'!$AD$5:$AD$404,$S14)&amp;" "," "),"")&amp;INDEX('01_予約入力'!$B$5:$B$404,$S14))&amp;IF(AND($S14&gt;0,$T14&gt;0),"  ","")&amp;IF($T14=0,"","◆ "&amp;INDEX('01_予約入力'!$B$5:$B$404,$T14)&amp;IF(('02_カレンダー'!$B$5="○")," "&amp;INDEX('01_予約入力'!$AD$5:$AD$404,$T14)&amp;"-"&amp;INDEX('01_予約入力'!$AE$5:$AE$404,$T14),"")))</f>
        <v/>
      </c>
      <c r="F14" s="49">
        <f>IF(OR($A14="",F$6=""),"",IF($U14=0,"",INDEX('01_予約入力'!$B$5:$B$404,$U14)&amp;" ◀"&amp;IF(('02_カレンダー'!$B$5="○"),INDEX('01_予約入力'!$AE$5:$AE$404,$U14),""))&amp;IF(AND($U14&gt;0,OR($V14&gt;0,$W14&gt;0)),"  ","")&amp;IF($V14=0,"",IF(INDEX('01_予約入力'!$G$5:$G$404,$V14)=$A14,"▶"&amp;IF(('02_カレンダー'!$B$5="○"),INDEX('01_予約入力'!$AD$5:$AD$404,$V14)&amp;" "," "),"")&amp;INDEX('01_予約入力'!$B$5:$B$404,$V14))&amp;IF(AND($V14&gt;0,$W14&gt;0),"  ","")&amp;IF($W14=0,"","◆ "&amp;INDEX('01_予約入力'!$B$5:$B$404,$W14)&amp;IF(('02_カレンダー'!$B$5="○")," "&amp;INDEX('01_予約入力'!$AD$5:$AD$404,$W14)&amp;"-"&amp;INDEX('01_予約入力'!$AE$5:$AE$404,$W14),"")))</f>
        <v/>
      </c>
      <c r="G14" s="45">
        <f>IF($A14="","",SUMPRODUCT(('01_予約入力'!$G$5:$G$404&lt;&gt;"")*('01_予約入力'!$Q$5:$Q$404&lt;&gt;"キャンセル")*('01_予約入力'!$G$5:$G$404&lt;=$A14)*('01_予約入力'!$J$5:$J$404&gt;$A14)))</f>
        <v/>
      </c>
      <c r="H14" s="45">
        <f>IF($A14="","",'M_施設設定'!$B$6-$G14)</f>
        <v/>
      </c>
      <c r="I14" s="45">
        <f>IF($A14="","",SUMPRODUCT((('01_予約入力'!$Q$5:$Q$404="仮予約")+('01_予約入力'!$Q$5:$Q$404="調整中"))*('01_予約入力'!$G$5:$G$404&lt;&gt;"")*('01_予約入力'!$G$5:$G$404&lt;=$A14)*('01_予約入力'!$J$5:$J$404&gt;$A14)))</f>
        <v/>
      </c>
      <c r="J14" s="45">
        <f>IF($A14="","",IF($I14&gt;0,"仮",IF($H14&lt;=0,"×",IF($H14&lt;'M_施設設定'!$B$6,"△","○"))))</f>
        <v/>
      </c>
      <c r="K14" s="45">
        <f>IF($A14="","",SUMPRODUCT(('01_予約入力'!$G$5:$G$404&lt;&gt;"")*('01_予約入力'!$Q$5:$Q$404&lt;&gt;"キャンセル")*('01_予約入力'!$G$5:$G$404=$A14)*('01_予約入力'!$J$5:$J$404=$A14)))</f>
        <v/>
      </c>
      <c r="L14" s="45">
        <f>IF(OR($A14="",C$6=""),0,SUMPRODUCT(MAX(('01_予約入力'!$D$5:$D$404=C$6)*('01_予約入力'!$Q$5:$Q$404&lt;&gt;"キャンセル")*('01_予約入力'!$G$5:$G$404&lt;&gt;"")*('01_予約入力'!$J$5:$J$404=$A14)*('01_予約入力'!$G$5:$G$404&lt;$A14)*(ROW('01_予約入力'!$G$5:$G$404)-4))))</f>
        <v/>
      </c>
      <c r="M14" s="45">
        <f>IF(OR($A14="",C$6=""),0,SUMPRODUCT(MAX(('01_予約入力'!$D$5:$D$404=C$6)*('01_予約入力'!$Q$5:$Q$404&lt;&gt;"キャンセル")*('01_予約入力'!$G$5:$G$404&lt;&gt;"")*('01_予約入力'!$G$5:$G$404&lt;=$A14)*('01_予約入力'!$J$5:$J$404&gt;$A14)*(ROW('01_予約入力'!$G$5:$G$404)-4))))</f>
        <v/>
      </c>
      <c r="N14" s="45">
        <f>IF(OR($A14="",C$6=""),0,SUMPRODUCT(MAX(('01_予約入力'!$D$5:$D$404=C$6)*('01_予約入力'!$Q$5:$Q$404&lt;&gt;"キャンセル")*('01_予約入力'!$G$5:$G$404&lt;&gt;"")*('01_予約入力'!$G$5:$G$404=$A14)*('01_予約入力'!$J$5:$J$404=$A14)*(ROW('01_予約入力'!$G$5:$G$404)-4))))</f>
        <v/>
      </c>
      <c r="O14" s="45">
        <f>IF(OR($A14="",D$6=""),0,SUMPRODUCT(MAX(('01_予約入力'!$D$5:$D$404=D$6)*('01_予約入力'!$Q$5:$Q$404&lt;&gt;"キャンセル")*('01_予約入力'!$G$5:$G$404&lt;&gt;"")*('01_予約入力'!$J$5:$J$404=$A14)*('01_予約入力'!$G$5:$G$404&lt;$A14)*(ROW('01_予約入力'!$G$5:$G$404)-4))))</f>
        <v/>
      </c>
      <c r="P14" s="45">
        <f>IF(OR($A14="",D$6=""),0,SUMPRODUCT(MAX(('01_予約入力'!$D$5:$D$404=D$6)*('01_予約入力'!$Q$5:$Q$404&lt;&gt;"キャンセル")*('01_予約入力'!$G$5:$G$404&lt;&gt;"")*('01_予約入力'!$G$5:$G$404&lt;=$A14)*('01_予約入力'!$J$5:$J$404&gt;$A14)*(ROW('01_予約入力'!$G$5:$G$404)-4))))</f>
        <v/>
      </c>
      <c r="Q14" s="45">
        <f>IF(OR($A14="",D$6=""),0,SUMPRODUCT(MAX(('01_予約入力'!$D$5:$D$404=D$6)*('01_予約入力'!$Q$5:$Q$404&lt;&gt;"キャンセル")*('01_予約入力'!$G$5:$G$404&lt;&gt;"")*('01_予約入力'!$G$5:$G$404=$A14)*('01_予約入力'!$J$5:$J$404=$A14)*(ROW('01_予約入力'!$G$5:$G$404)-4))))</f>
        <v/>
      </c>
      <c r="R14" s="45">
        <f>IF(OR($A14="",E$6=""),0,SUMPRODUCT(MAX(('01_予約入力'!$D$5:$D$404=E$6)*('01_予約入力'!$Q$5:$Q$404&lt;&gt;"キャンセル")*('01_予約入力'!$G$5:$G$404&lt;&gt;"")*('01_予約入力'!$J$5:$J$404=$A14)*('01_予約入力'!$G$5:$G$404&lt;$A14)*(ROW('01_予約入力'!$G$5:$G$404)-4))))</f>
        <v/>
      </c>
      <c r="S14" s="45">
        <f>IF(OR($A14="",E$6=""),0,SUMPRODUCT(MAX(('01_予約入力'!$D$5:$D$404=E$6)*('01_予約入力'!$Q$5:$Q$404&lt;&gt;"キャンセル")*('01_予約入力'!$G$5:$G$404&lt;&gt;"")*('01_予約入力'!$G$5:$G$404&lt;=$A14)*('01_予約入力'!$J$5:$J$404&gt;$A14)*(ROW('01_予約入力'!$G$5:$G$404)-4))))</f>
        <v/>
      </c>
      <c r="T14" s="45">
        <f>IF(OR($A14="",E$6=""),0,SUMPRODUCT(MAX(('01_予約入力'!$D$5:$D$404=E$6)*('01_予約入力'!$Q$5:$Q$404&lt;&gt;"キャンセル")*('01_予約入力'!$G$5:$G$404&lt;&gt;"")*('01_予約入力'!$G$5:$G$404=$A14)*('01_予約入力'!$J$5:$J$404=$A14)*(ROW('01_予約入力'!$G$5:$G$404)-4))))</f>
        <v/>
      </c>
      <c r="U14" s="45">
        <f>IF(OR($A14="",F$6=""),0,SUMPRODUCT(MAX(('01_予約入力'!$D$5:$D$404=F$6)*('01_予約入力'!$Q$5:$Q$404&lt;&gt;"キャンセル")*('01_予約入力'!$G$5:$G$404&lt;&gt;"")*('01_予約入力'!$J$5:$J$404=$A14)*('01_予約入力'!$G$5:$G$404&lt;$A14)*(ROW('01_予約入力'!$G$5:$G$404)-4))))</f>
        <v/>
      </c>
      <c r="V14" s="45">
        <f>IF(OR($A14="",F$6=""),0,SUMPRODUCT(MAX(('01_予約入力'!$D$5:$D$404=F$6)*('01_予約入力'!$Q$5:$Q$404&lt;&gt;"キャンセル")*('01_予約入力'!$G$5:$G$404&lt;&gt;"")*('01_予約入力'!$G$5:$G$404&lt;=$A14)*('01_予約入力'!$J$5:$J$404&gt;$A14)*(ROW('01_予約入力'!$G$5:$G$404)-4))))</f>
        <v/>
      </c>
      <c r="W14" s="45">
        <f>IF(OR($A14="",F$6=""),0,SUMPRODUCT(MAX(('01_予約入力'!$D$5:$D$404=F$6)*('01_予約入力'!$Q$5:$Q$404&lt;&gt;"キャンセル")*('01_予約入力'!$G$5:$G$404&lt;&gt;"")*('01_予約入力'!$G$5:$G$404=$A14)*('01_予約入力'!$J$5:$J$404=$A14)*(ROW('01_予約入力'!$G$5:$G$404)-4))))</f>
        <v/>
      </c>
      <c r="X14" s="45">
        <f>IF($A14="","",IF($M14&gt;0,IF(OR(INDEX('01_予約入力'!$Q$5:$Q$404,$M14)="仮予約",INDEX('01_予約入力'!$Q$5:$Q$404,$M14)="調整中"),"仮",INDEX('01_予約入力'!$C$5:$C$404,$M14)),IF($N14&gt;0,IF(OR(INDEX('01_予約入力'!$Q$5:$Q$404,$N14)="仮予約",INDEX('01_予約入力'!$Q$5:$Q$404,$N14)="調整中"),"仮",INDEX('01_予約入力'!$C$5:$C$404,$N14)),IF($L14&gt;0,IF(OR(INDEX('01_予約入力'!$Q$5:$Q$404,$L14)="仮予約",INDEX('01_予約入力'!$Q$5:$Q$404,$L14)="調整中"),"仮",INDEX('01_予約入力'!$C$5:$C$404,$L14)),""))))</f>
        <v/>
      </c>
      <c r="Y14" s="45">
        <f>IF($A14="","",IF($P14&gt;0,IF(OR(INDEX('01_予約入力'!$Q$5:$Q$404,$P14)="仮予約",INDEX('01_予約入力'!$Q$5:$Q$404,$P14)="調整中"),"仮",INDEX('01_予約入力'!$C$5:$C$404,$P14)),IF($Q14&gt;0,IF(OR(INDEX('01_予約入力'!$Q$5:$Q$404,$Q14)="仮予約",INDEX('01_予約入力'!$Q$5:$Q$404,$Q14)="調整中"),"仮",INDEX('01_予約入力'!$C$5:$C$404,$Q14)),IF($O14&gt;0,IF(OR(INDEX('01_予約入力'!$Q$5:$Q$404,$O14)="仮予約",INDEX('01_予約入力'!$Q$5:$Q$404,$O14)="調整中"),"仮",INDEX('01_予約入力'!$C$5:$C$404,$O14)),""))))</f>
        <v/>
      </c>
      <c r="Z14" s="45">
        <f>IF($A14="","",IF($S14&gt;0,IF(OR(INDEX('01_予約入力'!$Q$5:$Q$404,$S14)="仮予約",INDEX('01_予約入力'!$Q$5:$Q$404,$S14)="調整中"),"仮",INDEX('01_予約入力'!$C$5:$C$404,$S14)),IF($T14&gt;0,IF(OR(INDEX('01_予約入力'!$Q$5:$Q$404,$T14)="仮予約",INDEX('01_予約入力'!$Q$5:$Q$404,$T14)="調整中"),"仮",INDEX('01_予約入力'!$C$5:$C$404,$T14)),IF($R14&gt;0,IF(OR(INDEX('01_予約入力'!$Q$5:$Q$404,$R14)="仮予約",INDEX('01_予約入力'!$Q$5:$Q$404,$R14)="調整中"),"仮",INDEX('01_予約入力'!$C$5:$C$404,$R14)),""))))</f>
        <v/>
      </c>
      <c r="AA14" s="45">
        <f>IF($A14="","",IF($V14&gt;0,IF(OR(INDEX('01_予約入力'!$Q$5:$Q$404,$V14)="仮予約",INDEX('01_予約入力'!$Q$5:$Q$404,$V14)="調整中"),"仮",INDEX('01_予約入力'!$C$5:$C$404,$V14)),IF($W14&gt;0,IF(OR(INDEX('01_予約入力'!$Q$5:$Q$404,$W14)="仮予約",INDEX('01_予約入力'!$Q$5:$Q$404,$W14)="調整中"),"仮",INDEX('01_予約入力'!$C$5:$C$404,$W14)),IF($U14&gt;0,IF(OR(INDEX('01_予約入力'!$Q$5:$Q$404,$U14)="仮予約",INDEX('01_予約入力'!$Q$5:$Q$404,$U14)="調整中"),"仮",INDEX('01_予約入力'!$C$5:$C$404,$U14)),""))))</f>
        <v/>
      </c>
      <c r="AB14" s="45">
        <f>IF($A14="",0,SUMPRODUCT(('01_予約入力'!$G$5:$G$404&lt;&gt;"")*('01_予約入力'!$Q$5:$Q$404&lt;&gt;"キャンセル")*(('01_予約入力'!$L$5:$L$404="○")*('01_予約入力'!$G$5:$G$404&lt;=$A14)*('01_予約入力'!$J$5:$J$404&gt;=$A14)+('01_予約入力'!$L$5:$L$404="")*('01_予約入力'!$G$5:$G$404&lt;$A14)*('01_予約入力'!$J$5:$J$404&gt;=$A14))))</f>
        <v/>
      </c>
      <c r="AC14" s="45">
        <f>IF($A14="",0,SUMPRODUCT(('01_予約入力'!$G$5:$G$404&lt;&gt;"")*('01_予約入力'!$Q$5:$Q$404&lt;&gt;"キャンセル")*(('01_予約入力'!$M$5:$M$404="○")*('01_予約入力'!$G$5:$G$404&lt;=$A14)*('01_予約入力'!$J$5:$J$404&gt;=$A14)+('01_予約入力'!$M$5:$M$404="")*((('01_予約入力'!$G$5:$G$404&lt;$A14)*('01_予約入力'!$J$5:$J$404&gt;$A14))+(('01_予約入力'!$G$5:$G$404=$A14)*('01_予約入力'!$J$5:$J$404=$A14))))))</f>
        <v/>
      </c>
      <c r="AD14" s="45">
        <f>IF($A14="",0,SUMPRODUCT(('01_予約入力'!$G$5:$G$404&lt;&gt;"")*('01_予約入力'!$Q$5:$Q$404&lt;&gt;"キャンセル")*(('01_予約入力'!$N$5:$N$404="○")*('01_予約入力'!$G$5:$G$404&lt;=$A14)*('01_予約入力'!$J$5:$J$404&gt;=$A14)+('01_予約入力'!$N$5:$N$404="")*('01_予約入力'!$G$5:$G$404&lt;=$A14)*('01_予約入力'!$J$5:$J$404&gt;$A14))))</f>
        <v/>
      </c>
      <c r="AE14" s="45">
        <f>IF($A14="",0,IFERROR(MATCH($A14,'02_カレンダー'!$B$59:$B$78,0),0))</f>
        <v/>
      </c>
      <c r="AF14" s="45">
        <f>IF($A14="",0,IF($AE14=0,$AB14,IF(INDEX('02_カレンダー'!$C$59:$C$78,$AE14)="",$AB14,INDEX('02_カレンダー'!$C$59:$C$78,$AE14))))</f>
        <v/>
      </c>
      <c r="AG14" s="45">
        <f>IF($A14="",0,IF($AE14=0,$AC14,IF(INDEX('02_カレンダー'!$D$59:$D$78,$AE14)="",$AC14,INDEX('02_カレンダー'!$D$59:$D$78,$AE14))))</f>
        <v/>
      </c>
      <c r="AH14" s="45">
        <f>IF($A14="",0,IF($AE14=0,$AD14,IF(INDEX('02_カレンダー'!$E$59:$E$78,$AE14)="",$AD14,INDEX('02_カレンダー'!$E$59:$E$78,$AE14))))</f>
        <v/>
      </c>
      <c r="AI14" s="45">
        <f>IF($A14="","",IF(AND($AF14=0,$AG14=0,$AH14=0),"","朝"&amp;$AF14&amp;" 昼"&amp;$AG14&amp;" 夕"&amp;$AH14&amp;IF($AJ14=0,"","　※調整")))</f>
        <v/>
      </c>
      <c r="AJ14" s="45">
        <f>IF(OR($A14="",$AE14=0),0,IF(OR(INDEX('02_カレンダー'!$C$59:$C$78,$AE14)&lt;&gt;"",INDEX('02_カレンダー'!$D$59:$D$78,$AE14)&lt;&gt;"",INDEX('02_カレンダー'!$E$59:$E$78,$AE14)&lt;&gt;""),1,0))</f>
        <v/>
      </c>
    </row>
    <row r="15">
      <c r="A15" s="38">
        <f>IF(MONTH('02_カレンダー'!$B$4+8)&lt;&gt;MONTH('02_カレンダー'!$B$4),"",'02_カレンダー'!$B$4+8)</f>
        <v/>
      </c>
      <c r="B15" s="45">
        <f>IF($A15="","",MID("日月火水木金土",WEEKDAY($A15),1))</f>
        <v/>
      </c>
      <c r="C15" s="49">
        <f>IF(OR($A15="",C$6=""),"",IF($L15=0,"",INDEX('01_予約入力'!$B$5:$B$404,$L15)&amp;" ◀"&amp;IF(('02_カレンダー'!$B$5="○"),INDEX('01_予約入力'!$AE$5:$AE$404,$L15),""))&amp;IF(AND($L15&gt;0,OR($M15&gt;0,$N15&gt;0)),"  ","")&amp;IF($M15=0,"",IF(INDEX('01_予約入力'!$G$5:$G$404,$M15)=$A15,"▶"&amp;IF(('02_カレンダー'!$B$5="○"),INDEX('01_予約入力'!$AD$5:$AD$404,$M15)&amp;" "," "),"")&amp;INDEX('01_予約入力'!$B$5:$B$404,$M15))&amp;IF(AND($M15&gt;0,$N15&gt;0),"  ","")&amp;IF($N15=0,"","◆ "&amp;INDEX('01_予約入力'!$B$5:$B$404,$N15)&amp;IF(('02_カレンダー'!$B$5="○")," "&amp;INDEX('01_予約入力'!$AD$5:$AD$404,$N15)&amp;"-"&amp;INDEX('01_予約入力'!$AE$5:$AE$404,$N15),"")))</f>
        <v/>
      </c>
      <c r="D15" s="49">
        <f>IF(OR($A15="",D$6=""),"",IF($O15=0,"",INDEX('01_予約入力'!$B$5:$B$404,$O15)&amp;" ◀"&amp;IF(('02_カレンダー'!$B$5="○"),INDEX('01_予約入力'!$AE$5:$AE$404,$O15),""))&amp;IF(AND($O15&gt;0,OR($P15&gt;0,$Q15&gt;0)),"  ","")&amp;IF($P15=0,"",IF(INDEX('01_予約入力'!$G$5:$G$404,$P15)=$A15,"▶"&amp;IF(('02_カレンダー'!$B$5="○"),INDEX('01_予約入力'!$AD$5:$AD$404,$P15)&amp;" "," "),"")&amp;INDEX('01_予約入力'!$B$5:$B$404,$P15))&amp;IF(AND($P15&gt;0,$Q15&gt;0),"  ","")&amp;IF($Q15=0,"","◆ "&amp;INDEX('01_予約入力'!$B$5:$B$404,$Q15)&amp;IF(('02_カレンダー'!$B$5="○")," "&amp;INDEX('01_予約入力'!$AD$5:$AD$404,$Q15)&amp;"-"&amp;INDEX('01_予約入力'!$AE$5:$AE$404,$Q15),"")))</f>
        <v/>
      </c>
      <c r="E15" s="49">
        <f>IF(OR($A15="",E$6=""),"",IF($R15=0,"",INDEX('01_予約入力'!$B$5:$B$404,$R15)&amp;" ◀"&amp;IF(('02_カレンダー'!$B$5="○"),INDEX('01_予約入力'!$AE$5:$AE$404,$R15),""))&amp;IF(AND($R15&gt;0,OR($S15&gt;0,$T15&gt;0)),"  ","")&amp;IF($S15=0,"",IF(INDEX('01_予約入力'!$G$5:$G$404,$S15)=$A15,"▶"&amp;IF(('02_カレンダー'!$B$5="○"),INDEX('01_予約入力'!$AD$5:$AD$404,$S15)&amp;" "," "),"")&amp;INDEX('01_予約入力'!$B$5:$B$404,$S15))&amp;IF(AND($S15&gt;0,$T15&gt;0),"  ","")&amp;IF($T15=0,"","◆ "&amp;INDEX('01_予約入力'!$B$5:$B$404,$T15)&amp;IF(('02_カレンダー'!$B$5="○")," "&amp;INDEX('01_予約入力'!$AD$5:$AD$404,$T15)&amp;"-"&amp;INDEX('01_予約入力'!$AE$5:$AE$404,$T15),"")))</f>
        <v/>
      </c>
      <c r="F15" s="49">
        <f>IF(OR($A15="",F$6=""),"",IF($U15=0,"",INDEX('01_予約入力'!$B$5:$B$404,$U15)&amp;" ◀"&amp;IF(('02_カレンダー'!$B$5="○"),INDEX('01_予約入力'!$AE$5:$AE$404,$U15),""))&amp;IF(AND($U15&gt;0,OR($V15&gt;0,$W15&gt;0)),"  ","")&amp;IF($V15=0,"",IF(INDEX('01_予約入力'!$G$5:$G$404,$V15)=$A15,"▶"&amp;IF(('02_カレンダー'!$B$5="○"),INDEX('01_予約入力'!$AD$5:$AD$404,$V15)&amp;" "," "),"")&amp;INDEX('01_予約入力'!$B$5:$B$404,$V15))&amp;IF(AND($V15&gt;0,$W15&gt;0),"  ","")&amp;IF($W15=0,"","◆ "&amp;INDEX('01_予約入力'!$B$5:$B$404,$W15)&amp;IF(('02_カレンダー'!$B$5="○")," "&amp;INDEX('01_予約入力'!$AD$5:$AD$404,$W15)&amp;"-"&amp;INDEX('01_予約入力'!$AE$5:$AE$404,$W15),"")))</f>
        <v/>
      </c>
      <c r="G15" s="45">
        <f>IF($A15="","",SUMPRODUCT(('01_予約入力'!$G$5:$G$404&lt;&gt;"")*('01_予約入力'!$Q$5:$Q$404&lt;&gt;"キャンセル")*('01_予約入力'!$G$5:$G$404&lt;=$A15)*('01_予約入力'!$J$5:$J$404&gt;$A15)))</f>
        <v/>
      </c>
      <c r="H15" s="45">
        <f>IF($A15="","",'M_施設設定'!$B$6-$G15)</f>
        <v/>
      </c>
      <c r="I15" s="45">
        <f>IF($A15="","",SUMPRODUCT((('01_予約入力'!$Q$5:$Q$404="仮予約")+('01_予約入力'!$Q$5:$Q$404="調整中"))*('01_予約入力'!$G$5:$G$404&lt;&gt;"")*('01_予約入力'!$G$5:$G$404&lt;=$A15)*('01_予約入力'!$J$5:$J$404&gt;$A15)))</f>
        <v/>
      </c>
      <c r="J15" s="45">
        <f>IF($A15="","",IF($I15&gt;0,"仮",IF($H15&lt;=0,"×",IF($H15&lt;'M_施設設定'!$B$6,"△","○"))))</f>
        <v/>
      </c>
      <c r="K15" s="45">
        <f>IF($A15="","",SUMPRODUCT(('01_予約入力'!$G$5:$G$404&lt;&gt;"")*('01_予約入力'!$Q$5:$Q$404&lt;&gt;"キャンセル")*('01_予約入力'!$G$5:$G$404=$A15)*('01_予約入力'!$J$5:$J$404=$A15)))</f>
        <v/>
      </c>
      <c r="L15" s="45">
        <f>IF(OR($A15="",C$6=""),0,SUMPRODUCT(MAX(('01_予約入力'!$D$5:$D$404=C$6)*('01_予約入力'!$Q$5:$Q$404&lt;&gt;"キャンセル")*('01_予約入力'!$G$5:$G$404&lt;&gt;"")*('01_予約入力'!$J$5:$J$404=$A15)*('01_予約入力'!$G$5:$G$404&lt;$A15)*(ROW('01_予約入力'!$G$5:$G$404)-4))))</f>
        <v/>
      </c>
      <c r="M15" s="45">
        <f>IF(OR($A15="",C$6=""),0,SUMPRODUCT(MAX(('01_予約入力'!$D$5:$D$404=C$6)*('01_予約入力'!$Q$5:$Q$404&lt;&gt;"キャンセル")*('01_予約入力'!$G$5:$G$404&lt;&gt;"")*('01_予約入力'!$G$5:$G$404&lt;=$A15)*('01_予約入力'!$J$5:$J$404&gt;$A15)*(ROW('01_予約入力'!$G$5:$G$404)-4))))</f>
        <v/>
      </c>
      <c r="N15" s="45">
        <f>IF(OR($A15="",C$6=""),0,SUMPRODUCT(MAX(('01_予約入力'!$D$5:$D$404=C$6)*('01_予約入力'!$Q$5:$Q$404&lt;&gt;"キャンセル")*('01_予約入力'!$G$5:$G$404&lt;&gt;"")*('01_予約入力'!$G$5:$G$404=$A15)*('01_予約入力'!$J$5:$J$404=$A15)*(ROW('01_予約入力'!$G$5:$G$404)-4))))</f>
        <v/>
      </c>
      <c r="O15" s="45">
        <f>IF(OR($A15="",D$6=""),0,SUMPRODUCT(MAX(('01_予約入力'!$D$5:$D$404=D$6)*('01_予約入力'!$Q$5:$Q$404&lt;&gt;"キャンセル")*('01_予約入力'!$G$5:$G$404&lt;&gt;"")*('01_予約入力'!$J$5:$J$404=$A15)*('01_予約入力'!$G$5:$G$404&lt;$A15)*(ROW('01_予約入力'!$G$5:$G$404)-4))))</f>
        <v/>
      </c>
      <c r="P15" s="45">
        <f>IF(OR($A15="",D$6=""),0,SUMPRODUCT(MAX(('01_予約入力'!$D$5:$D$404=D$6)*('01_予約入力'!$Q$5:$Q$404&lt;&gt;"キャンセル")*('01_予約入力'!$G$5:$G$404&lt;&gt;"")*('01_予約入力'!$G$5:$G$404&lt;=$A15)*('01_予約入力'!$J$5:$J$404&gt;$A15)*(ROW('01_予約入力'!$G$5:$G$404)-4))))</f>
        <v/>
      </c>
      <c r="Q15" s="45">
        <f>IF(OR($A15="",D$6=""),0,SUMPRODUCT(MAX(('01_予約入力'!$D$5:$D$404=D$6)*('01_予約入力'!$Q$5:$Q$404&lt;&gt;"キャンセル")*('01_予約入力'!$G$5:$G$404&lt;&gt;"")*('01_予約入力'!$G$5:$G$404=$A15)*('01_予約入力'!$J$5:$J$404=$A15)*(ROW('01_予約入力'!$G$5:$G$404)-4))))</f>
        <v/>
      </c>
      <c r="R15" s="45">
        <f>IF(OR($A15="",E$6=""),0,SUMPRODUCT(MAX(('01_予約入力'!$D$5:$D$404=E$6)*('01_予約入力'!$Q$5:$Q$404&lt;&gt;"キャンセル")*('01_予約入力'!$G$5:$G$404&lt;&gt;"")*('01_予約入力'!$J$5:$J$404=$A15)*('01_予約入力'!$G$5:$G$404&lt;$A15)*(ROW('01_予約入力'!$G$5:$G$404)-4))))</f>
        <v/>
      </c>
      <c r="S15" s="45">
        <f>IF(OR($A15="",E$6=""),0,SUMPRODUCT(MAX(('01_予約入力'!$D$5:$D$404=E$6)*('01_予約入力'!$Q$5:$Q$404&lt;&gt;"キャンセル")*('01_予約入力'!$G$5:$G$404&lt;&gt;"")*('01_予約入力'!$G$5:$G$404&lt;=$A15)*('01_予約入力'!$J$5:$J$404&gt;$A15)*(ROW('01_予約入力'!$G$5:$G$404)-4))))</f>
        <v/>
      </c>
      <c r="T15" s="45">
        <f>IF(OR($A15="",E$6=""),0,SUMPRODUCT(MAX(('01_予約入力'!$D$5:$D$404=E$6)*('01_予約入力'!$Q$5:$Q$404&lt;&gt;"キャンセル")*('01_予約入力'!$G$5:$G$404&lt;&gt;"")*('01_予約入力'!$G$5:$G$404=$A15)*('01_予約入力'!$J$5:$J$404=$A15)*(ROW('01_予約入力'!$G$5:$G$404)-4))))</f>
        <v/>
      </c>
      <c r="U15" s="45">
        <f>IF(OR($A15="",F$6=""),0,SUMPRODUCT(MAX(('01_予約入力'!$D$5:$D$404=F$6)*('01_予約入力'!$Q$5:$Q$404&lt;&gt;"キャンセル")*('01_予約入力'!$G$5:$G$404&lt;&gt;"")*('01_予約入力'!$J$5:$J$404=$A15)*('01_予約入力'!$G$5:$G$404&lt;$A15)*(ROW('01_予約入力'!$G$5:$G$404)-4))))</f>
        <v/>
      </c>
      <c r="V15" s="45">
        <f>IF(OR($A15="",F$6=""),0,SUMPRODUCT(MAX(('01_予約入力'!$D$5:$D$404=F$6)*('01_予約入力'!$Q$5:$Q$404&lt;&gt;"キャンセル")*('01_予約入力'!$G$5:$G$404&lt;&gt;"")*('01_予約入力'!$G$5:$G$404&lt;=$A15)*('01_予約入力'!$J$5:$J$404&gt;$A15)*(ROW('01_予約入力'!$G$5:$G$404)-4))))</f>
        <v/>
      </c>
      <c r="W15" s="45">
        <f>IF(OR($A15="",F$6=""),0,SUMPRODUCT(MAX(('01_予約入力'!$D$5:$D$404=F$6)*('01_予約入力'!$Q$5:$Q$404&lt;&gt;"キャンセル")*('01_予約入力'!$G$5:$G$404&lt;&gt;"")*('01_予約入力'!$G$5:$G$404=$A15)*('01_予約入力'!$J$5:$J$404=$A15)*(ROW('01_予約入力'!$G$5:$G$404)-4))))</f>
        <v/>
      </c>
      <c r="X15" s="45">
        <f>IF($A15="","",IF($M15&gt;0,IF(OR(INDEX('01_予約入力'!$Q$5:$Q$404,$M15)="仮予約",INDEX('01_予約入力'!$Q$5:$Q$404,$M15)="調整中"),"仮",INDEX('01_予約入力'!$C$5:$C$404,$M15)),IF($N15&gt;0,IF(OR(INDEX('01_予約入力'!$Q$5:$Q$404,$N15)="仮予約",INDEX('01_予約入力'!$Q$5:$Q$404,$N15)="調整中"),"仮",INDEX('01_予約入力'!$C$5:$C$404,$N15)),IF($L15&gt;0,IF(OR(INDEX('01_予約入力'!$Q$5:$Q$404,$L15)="仮予約",INDEX('01_予約入力'!$Q$5:$Q$404,$L15)="調整中"),"仮",INDEX('01_予約入力'!$C$5:$C$404,$L15)),""))))</f>
        <v/>
      </c>
      <c r="Y15" s="45">
        <f>IF($A15="","",IF($P15&gt;0,IF(OR(INDEX('01_予約入力'!$Q$5:$Q$404,$P15)="仮予約",INDEX('01_予約入力'!$Q$5:$Q$404,$P15)="調整中"),"仮",INDEX('01_予約入力'!$C$5:$C$404,$P15)),IF($Q15&gt;0,IF(OR(INDEX('01_予約入力'!$Q$5:$Q$404,$Q15)="仮予約",INDEX('01_予約入力'!$Q$5:$Q$404,$Q15)="調整中"),"仮",INDEX('01_予約入力'!$C$5:$C$404,$Q15)),IF($O15&gt;0,IF(OR(INDEX('01_予約入力'!$Q$5:$Q$404,$O15)="仮予約",INDEX('01_予約入力'!$Q$5:$Q$404,$O15)="調整中"),"仮",INDEX('01_予約入力'!$C$5:$C$404,$O15)),""))))</f>
        <v/>
      </c>
      <c r="Z15" s="45">
        <f>IF($A15="","",IF($S15&gt;0,IF(OR(INDEX('01_予約入力'!$Q$5:$Q$404,$S15)="仮予約",INDEX('01_予約入力'!$Q$5:$Q$404,$S15)="調整中"),"仮",INDEX('01_予約入力'!$C$5:$C$404,$S15)),IF($T15&gt;0,IF(OR(INDEX('01_予約入力'!$Q$5:$Q$404,$T15)="仮予約",INDEX('01_予約入力'!$Q$5:$Q$404,$T15)="調整中"),"仮",INDEX('01_予約入力'!$C$5:$C$404,$T15)),IF($R15&gt;0,IF(OR(INDEX('01_予約入力'!$Q$5:$Q$404,$R15)="仮予約",INDEX('01_予約入力'!$Q$5:$Q$404,$R15)="調整中"),"仮",INDEX('01_予約入力'!$C$5:$C$404,$R15)),""))))</f>
        <v/>
      </c>
      <c r="AA15" s="45">
        <f>IF($A15="","",IF($V15&gt;0,IF(OR(INDEX('01_予約入力'!$Q$5:$Q$404,$V15)="仮予約",INDEX('01_予約入力'!$Q$5:$Q$404,$V15)="調整中"),"仮",INDEX('01_予約入力'!$C$5:$C$404,$V15)),IF($W15&gt;0,IF(OR(INDEX('01_予約入力'!$Q$5:$Q$404,$W15)="仮予約",INDEX('01_予約入力'!$Q$5:$Q$404,$W15)="調整中"),"仮",INDEX('01_予約入力'!$C$5:$C$404,$W15)),IF($U15&gt;0,IF(OR(INDEX('01_予約入力'!$Q$5:$Q$404,$U15)="仮予約",INDEX('01_予約入力'!$Q$5:$Q$404,$U15)="調整中"),"仮",INDEX('01_予約入力'!$C$5:$C$404,$U15)),""))))</f>
        <v/>
      </c>
      <c r="AB15" s="45">
        <f>IF($A15="",0,SUMPRODUCT(('01_予約入力'!$G$5:$G$404&lt;&gt;"")*('01_予約入力'!$Q$5:$Q$404&lt;&gt;"キャンセル")*(('01_予約入力'!$L$5:$L$404="○")*('01_予約入力'!$G$5:$G$404&lt;=$A15)*('01_予約入力'!$J$5:$J$404&gt;=$A15)+('01_予約入力'!$L$5:$L$404="")*('01_予約入力'!$G$5:$G$404&lt;$A15)*('01_予約入力'!$J$5:$J$404&gt;=$A15))))</f>
        <v/>
      </c>
      <c r="AC15" s="45">
        <f>IF($A15="",0,SUMPRODUCT(('01_予約入力'!$G$5:$G$404&lt;&gt;"")*('01_予約入力'!$Q$5:$Q$404&lt;&gt;"キャンセル")*(('01_予約入力'!$M$5:$M$404="○")*('01_予約入力'!$G$5:$G$404&lt;=$A15)*('01_予約入力'!$J$5:$J$404&gt;=$A15)+('01_予約入力'!$M$5:$M$404="")*((('01_予約入力'!$G$5:$G$404&lt;$A15)*('01_予約入力'!$J$5:$J$404&gt;$A15))+(('01_予約入力'!$G$5:$G$404=$A15)*('01_予約入力'!$J$5:$J$404=$A15))))))</f>
        <v/>
      </c>
      <c r="AD15" s="45">
        <f>IF($A15="",0,SUMPRODUCT(('01_予約入力'!$G$5:$G$404&lt;&gt;"")*('01_予約入力'!$Q$5:$Q$404&lt;&gt;"キャンセル")*(('01_予約入力'!$N$5:$N$404="○")*('01_予約入力'!$G$5:$G$404&lt;=$A15)*('01_予約入力'!$J$5:$J$404&gt;=$A15)+('01_予約入力'!$N$5:$N$404="")*('01_予約入力'!$G$5:$G$404&lt;=$A15)*('01_予約入力'!$J$5:$J$404&gt;$A15))))</f>
        <v/>
      </c>
      <c r="AE15" s="45">
        <f>IF($A15="",0,IFERROR(MATCH($A15,'02_カレンダー'!$B$59:$B$78,0),0))</f>
        <v/>
      </c>
      <c r="AF15" s="45">
        <f>IF($A15="",0,IF($AE15=0,$AB15,IF(INDEX('02_カレンダー'!$C$59:$C$78,$AE15)="",$AB15,INDEX('02_カレンダー'!$C$59:$C$78,$AE15))))</f>
        <v/>
      </c>
      <c r="AG15" s="45">
        <f>IF($A15="",0,IF($AE15=0,$AC15,IF(INDEX('02_カレンダー'!$D$59:$D$78,$AE15)="",$AC15,INDEX('02_カレンダー'!$D$59:$D$78,$AE15))))</f>
        <v/>
      </c>
      <c r="AH15" s="45">
        <f>IF($A15="",0,IF($AE15=0,$AD15,IF(INDEX('02_カレンダー'!$E$59:$E$78,$AE15)="",$AD15,INDEX('02_カレンダー'!$E$59:$E$78,$AE15))))</f>
        <v/>
      </c>
      <c r="AI15" s="45">
        <f>IF($A15="","",IF(AND($AF15=0,$AG15=0,$AH15=0),"","朝"&amp;$AF15&amp;" 昼"&amp;$AG15&amp;" 夕"&amp;$AH15&amp;IF($AJ15=0,"","　※調整")))</f>
        <v/>
      </c>
      <c r="AJ15" s="45">
        <f>IF(OR($A15="",$AE15=0),0,IF(OR(INDEX('02_カレンダー'!$C$59:$C$78,$AE15)&lt;&gt;"",INDEX('02_カレンダー'!$D$59:$D$78,$AE15)&lt;&gt;"",INDEX('02_カレンダー'!$E$59:$E$78,$AE15)&lt;&gt;""),1,0))</f>
        <v/>
      </c>
    </row>
    <row r="16">
      <c r="A16" s="38">
        <f>IF(MONTH('02_カレンダー'!$B$4+9)&lt;&gt;MONTH('02_カレンダー'!$B$4),"",'02_カレンダー'!$B$4+9)</f>
        <v/>
      </c>
      <c r="B16" s="45">
        <f>IF($A16="","",MID("日月火水木金土",WEEKDAY($A16),1))</f>
        <v/>
      </c>
      <c r="C16" s="49">
        <f>IF(OR($A16="",C$6=""),"",IF($L16=0,"",INDEX('01_予約入力'!$B$5:$B$404,$L16)&amp;" ◀"&amp;IF(('02_カレンダー'!$B$5="○"),INDEX('01_予約入力'!$AE$5:$AE$404,$L16),""))&amp;IF(AND($L16&gt;0,OR($M16&gt;0,$N16&gt;0)),"  ","")&amp;IF($M16=0,"",IF(INDEX('01_予約入力'!$G$5:$G$404,$M16)=$A16,"▶"&amp;IF(('02_カレンダー'!$B$5="○"),INDEX('01_予約入力'!$AD$5:$AD$404,$M16)&amp;" "," "),"")&amp;INDEX('01_予約入力'!$B$5:$B$404,$M16))&amp;IF(AND($M16&gt;0,$N16&gt;0),"  ","")&amp;IF($N16=0,"","◆ "&amp;INDEX('01_予約入力'!$B$5:$B$404,$N16)&amp;IF(('02_カレンダー'!$B$5="○")," "&amp;INDEX('01_予約入力'!$AD$5:$AD$404,$N16)&amp;"-"&amp;INDEX('01_予約入力'!$AE$5:$AE$404,$N16),"")))</f>
        <v/>
      </c>
      <c r="D16" s="49">
        <f>IF(OR($A16="",D$6=""),"",IF($O16=0,"",INDEX('01_予約入力'!$B$5:$B$404,$O16)&amp;" ◀"&amp;IF(('02_カレンダー'!$B$5="○"),INDEX('01_予約入力'!$AE$5:$AE$404,$O16),""))&amp;IF(AND($O16&gt;0,OR($P16&gt;0,$Q16&gt;0)),"  ","")&amp;IF($P16=0,"",IF(INDEX('01_予約入力'!$G$5:$G$404,$P16)=$A16,"▶"&amp;IF(('02_カレンダー'!$B$5="○"),INDEX('01_予約入力'!$AD$5:$AD$404,$P16)&amp;" "," "),"")&amp;INDEX('01_予約入力'!$B$5:$B$404,$P16))&amp;IF(AND($P16&gt;0,$Q16&gt;0),"  ","")&amp;IF($Q16=0,"","◆ "&amp;INDEX('01_予約入力'!$B$5:$B$404,$Q16)&amp;IF(('02_カレンダー'!$B$5="○")," "&amp;INDEX('01_予約入力'!$AD$5:$AD$404,$Q16)&amp;"-"&amp;INDEX('01_予約入力'!$AE$5:$AE$404,$Q16),"")))</f>
        <v/>
      </c>
      <c r="E16" s="49">
        <f>IF(OR($A16="",E$6=""),"",IF($R16=0,"",INDEX('01_予約入力'!$B$5:$B$404,$R16)&amp;" ◀"&amp;IF(('02_カレンダー'!$B$5="○"),INDEX('01_予約入力'!$AE$5:$AE$404,$R16),""))&amp;IF(AND($R16&gt;0,OR($S16&gt;0,$T16&gt;0)),"  ","")&amp;IF($S16=0,"",IF(INDEX('01_予約入力'!$G$5:$G$404,$S16)=$A16,"▶"&amp;IF(('02_カレンダー'!$B$5="○"),INDEX('01_予約入力'!$AD$5:$AD$404,$S16)&amp;" "," "),"")&amp;INDEX('01_予約入力'!$B$5:$B$404,$S16))&amp;IF(AND($S16&gt;0,$T16&gt;0),"  ","")&amp;IF($T16=0,"","◆ "&amp;INDEX('01_予約入力'!$B$5:$B$404,$T16)&amp;IF(('02_カレンダー'!$B$5="○")," "&amp;INDEX('01_予約入力'!$AD$5:$AD$404,$T16)&amp;"-"&amp;INDEX('01_予約入力'!$AE$5:$AE$404,$T16),"")))</f>
        <v/>
      </c>
      <c r="F16" s="49">
        <f>IF(OR($A16="",F$6=""),"",IF($U16=0,"",INDEX('01_予約入力'!$B$5:$B$404,$U16)&amp;" ◀"&amp;IF(('02_カレンダー'!$B$5="○"),INDEX('01_予約入力'!$AE$5:$AE$404,$U16),""))&amp;IF(AND($U16&gt;0,OR($V16&gt;0,$W16&gt;0)),"  ","")&amp;IF($V16=0,"",IF(INDEX('01_予約入力'!$G$5:$G$404,$V16)=$A16,"▶"&amp;IF(('02_カレンダー'!$B$5="○"),INDEX('01_予約入力'!$AD$5:$AD$404,$V16)&amp;" "," "),"")&amp;INDEX('01_予約入力'!$B$5:$B$404,$V16))&amp;IF(AND($V16&gt;0,$W16&gt;0),"  ","")&amp;IF($W16=0,"","◆ "&amp;INDEX('01_予約入力'!$B$5:$B$404,$W16)&amp;IF(('02_カレンダー'!$B$5="○")," "&amp;INDEX('01_予約入力'!$AD$5:$AD$404,$W16)&amp;"-"&amp;INDEX('01_予約入力'!$AE$5:$AE$404,$W16),"")))</f>
        <v/>
      </c>
      <c r="G16" s="45">
        <f>IF($A16="","",SUMPRODUCT(('01_予約入力'!$G$5:$G$404&lt;&gt;"")*('01_予約入力'!$Q$5:$Q$404&lt;&gt;"キャンセル")*('01_予約入力'!$G$5:$G$404&lt;=$A16)*('01_予約入力'!$J$5:$J$404&gt;$A16)))</f>
        <v/>
      </c>
      <c r="H16" s="45">
        <f>IF($A16="","",'M_施設設定'!$B$6-$G16)</f>
        <v/>
      </c>
      <c r="I16" s="45">
        <f>IF($A16="","",SUMPRODUCT((('01_予約入力'!$Q$5:$Q$404="仮予約")+('01_予約入力'!$Q$5:$Q$404="調整中"))*('01_予約入力'!$G$5:$G$404&lt;&gt;"")*('01_予約入力'!$G$5:$G$404&lt;=$A16)*('01_予約入力'!$J$5:$J$404&gt;$A16)))</f>
        <v/>
      </c>
      <c r="J16" s="45">
        <f>IF($A16="","",IF($I16&gt;0,"仮",IF($H16&lt;=0,"×",IF($H16&lt;'M_施設設定'!$B$6,"△","○"))))</f>
        <v/>
      </c>
      <c r="K16" s="45">
        <f>IF($A16="","",SUMPRODUCT(('01_予約入力'!$G$5:$G$404&lt;&gt;"")*('01_予約入力'!$Q$5:$Q$404&lt;&gt;"キャンセル")*('01_予約入力'!$G$5:$G$404=$A16)*('01_予約入力'!$J$5:$J$404=$A16)))</f>
        <v/>
      </c>
      <c r="L16" s="45">
        <f>IF(OR($A16="",C$6=""),0,SUMPRODUCT(MAX(('01_予約入力'!$D$5:$D$404=C$6)*('01_予約入力'!$Q$5:$Q$404&lt;&gt;"キャンセル")*('01_予約入力'!$G$5:$G$404&lt;&gt;"")*('01_予約入力'!$J$5:$J$404=$A16)*('01_予約入力'!$G$5:$G$404&lt;$A16)*(ROW('01_予約入力'!$G$5:$G$404)-4))))</f>
        <v/>
      </c>
      <c r="M16" s="45">
        <f>IF(OR($A16="",C$6=""),0,SUMPRODUCT(MAX(('01_予約入力'!$D$5:$D$404=C$6)*('01_予約入力'!$Q$5:$Q$404&lt;&gt;"キャンセル")*('01_予約入力'!$G$5:$G$404&lt;&gt;"")*('01_予約入力'!$G$5:$G$404&lt;=$A16)*('01_予約入力'!$J$5:$J$404&gt;$A16)*(ROW('01_予約入力'!$G$5:$G$404)-4))))</f>
        <v/>
      </c>
      <c r="N16" s="45">
        <f>IF(OR($A16="",C$6=""),0,SUMPRODUCT(MAX(('01_予約入力'!$D$5:$D$404=C$6)*('01_予約入力'!$Q$5:$Q$404&lt;&gt;"キャンセル")*('01_予約入力'!$G$5:$G$404&lt;&gt;"")*('01_予約入力'!$G$5:$G$404=$A16)*('01_予約入力'!$J$5:$J$404=$A16)*(ROW('01_予約入力'!$G$5:$G$404)-4))))</f>
        <v/>
      </c>
      <c r="O16" s="45">
        <f>IF(OR($A16="",D$6=""),0,SUMPRODUCT(MAX(('01_予約入力'!$D$5:$D$404=D$6)*('01_予約入力'!$Q$5:$Q$404&lt;&gt;"キャンセル")*('01_予約入力'!$G$5:$G$404&lt;&gt;"")*('01_予約入力'!$J$5:$J$404=$A16)*('01_予約入力'!$G$5:$G$404&lt;$A16)*(ROW('01_予約入力'!$G$5:$G$404)-4))))</f>
        <v/>
      </c>
      <c r="P16" s="45">
        <f>IF(OR($A16="",D$6=""),0,SUMPRODUCT(MAX(('01_予約入力'!$D$5:$D$404=D$6)*('01_予約入力'!$Q$5:$Q$404&lt;&gt;"キャンセル")*('01_予約入力'!$G$5:$G$404&lt;&gt;"")*('01_予約入力'!$G$5:$G$404&lt;=$A16)*('01_予約入力'!$J$5:$J$404&gt;$A16)*(ROW('01_予約入力'!$G$5:$G$404)-4))))</f>
        <v/>
      </c>
      <c r="Q16" s="45">
        <f>IF(OR($A16="",D$6=""),0,SUMPRODUCT(MAX(('01_予約入力'!$D$5:$D$404=D$6)*('01_予約入力'!$Q$5:$Q$404&lt;&gt;"キャンセル")*('01_予約入力'!$G$5:$G$404&lt;&gt;"")*('01_予約入力'!$G$5:$G$404=$A16)*('01_予約入力'!$J$5:$J$404=$A16)*(ROW('01_予約入力'!$G$5:$G$404)-4))))</f>
        <v/>
      </c>
      <c r="R16" s="45">
        <f>IF(OR($A16="",E$6=""),0,SUMPRODUCT(MAX(('01_予約入力'!$D$5:$D$404=E$6)*('01_予約入力'!$Q$5:$Q$404&lt;&gt;"キャンセル")*('01_予約入力'!$G$5:$G$404&lt;&gt;"")*('01_予約入力'!$J$5:$J$404=$A16)*('01_予約入力'!$G$5:$G$404&lt;$A16)*(ROW('01_予約入力'!$G$5:$G$404)-4))))</f>
        <v/>
      </c>
      <c r="S16" s="45">
        <f>IF(OR($A16="",E$6=""),0,SUMPRODUCT(MAX(('01_予約入力'!$D$5:$D$404=E$6)*('01_予約入力'!$Q$5:$Q$404&lt;&gt;"キャンセル")*('01_予約入力'!$G$5:$G$404&lt;&gt;"")*('01_予約入力'!$G$5:$G$404&lt;=$A16)*('01_予約入力'!$J$5:$J$404&gt;$A16)*(ROW('01_予約入力'!$G$5:$G$404)-4))))</f>
        <v/>
      </c>
      <c r="T16" s="45">
        <f>IF(OR($A16="",E$6=""),0,SUMPRODUCT(MAX(('01_予約入力'!$D$5:$D$404=E$6)*('01_予約入力'!$Q$5:$Q$404&lt;&gt;"キャンセル")*('01_予約入力'!$G$5:$G$404&lt;&gt;"")*('01_予約入力'!$G$5:$G$404=$A16)*('01_予約入力'!$J$5:$J$404=$A16)*(ROW('01_予約入力'!$G$5:$G$404)-4))))</f>
        <v/>
      </c>
      <c r="U16" s="45">
        <f>IF(OR($A16="",F$6=""),0,SUMPRODUCT(MAX(('01_予約入力'!$D$5:$D$404=F$6)*('01_予約入力'!$Q$5:$Q$404&lt;&gt;"キャンセル")*('01_予約入力'!$G$5:$G$404&lt;&gt;"")*('01_予約入力'!$J$5:$J$404=$A16)*('01_予約入力'!$G$5:$G$404&lt;$A16)*(ROW('01_予約入力'!$G$5:$G$404)-4))))</f>
        <v/>
      </c>
      <c r="V16" s="45">
        <f>IF(OR($A16="",F$6=""),0,SUMPRODUCT(MAX(('01_予約入力'!$D$5:$D$404=F$6)*('01_予約入力'!$Q$5:$Q$404&lt;&gt;"キャンセル")*('01_予約入力'!$G$5:$G$404&lt;&gt;"")*('01_予約入力'!$G$5:$G$404&lt;=$A16)*('01_予約入力'!$J$5:$J$404&gt;$A16)*(ROW('01_予約入力'!$G$5:$G$404)-4))))</f>
        <v/>
      </c>
      <c r="W16" s="45">
        <f>IF(OR($A16="",F$6=""),0,SUMPRODUCT(MAX(('01_予約入力'!$D$5:$D$404=F$6)*('01_予約入力'!$Q$5:$Q$404&lt;&gt;"キャンセル")*('01_予約入力'!$G$5:$G$404&lt;&gt;"")*('01_予約入力'!$G$5:$G$404=$A16)*('01_予約入力'!$J$5:$J$404=$A16)*(ROW('01_予約入力'!$G$5:$G$404)-4))))</f>
        <v/>
      </c>
      <c r="X16" s="45">
        <f>IF($A16="","",IF($M16&gt;0,IF(OR(INDEX('01_予約入力'!$Q$5:$Q$404,$M16)="仮予約",INDEX('01_予約入力'!$Q$5:$Q$404,$M16)="調整中"),"仮",INDEX('01_予約入力'!$C$5:$C$404,$M16)),IF($N16&gt;0,IF(OR(INDEX('01_予約入力'!$Q$5:$Q$404,$N16)="仮予約",INDEX('01_予約入力'!$Q$5:$Q$404,$N16)="調整中"),"仮",INDEX('01_予約入力'!$C$5:$C$404,$N16)),IF($L16&gt;0,IF(OR(INDEX('01_予約入力'!$Q$5:$Q$404,$L16)="仮予約",INDEX('01_予約入力'!$Q$5:$Q$404,$L16)="調整中"),"仮",INDEX('01_予約入力'!$C$5:$C$404,$L16)),""))))</f>
        <v/>
      </c>
      <c r="Y16" s="45">
        <f>IF($A16="","",IF($P16&gt;0,IF(OR(INDEX('01_予約入力'!$Q$5:$Q$404,$P16)="仮予約",INDEX('01_予約入力'!$Q$5:$Q$404,$P16)="調整中"),"仮",INDEX('01_予約入力'!$C$5:$C$404,$P16)),IF($Q16&gt;0,IF(OR(INDEX('01_予約入力'!$Q$5:$Q$404,$Q16)="仮予約",INDEX('01_予約入力'!$Q$5:$Q$404,$Q16)="調整中"),"仮",INDEX('01_予約入力'!$C$5:$C$404,$Q16)),IF($O16&gt;0,IF(OR(INDEX('01_予約入力'!$Q$5:$Q$404,$O16)="仮予約",INDEX('01_予約入力'!$Q$5:$Q$404,$O16)="調整中"),"仮",INDEX('01_予約入力'!$C$5:$C$404,$O16)),""))))</f>
        <v/>
      </c>
      <c r="Z16" s="45">
        <f>IF($A16="","",IF($S16&gt;0,IF(OR(INDEX('01_予約入力'!$Q$5:$Q$404,$S16)="仮予約",INDEX('01_予約入力'!$Q$5:$Q$404,$S16)="調整中"),"仮",INDEX('01_予約入力'!$C$5:$C$404,$S16)),IF($T16&gt;0,IF(OR(INDEX('01_予約入力'!$Q$5:$Q$404,$T16)="仮予約",INDEX('01_予約入力'!$Q$5:$Q$404,$T16)="調整中"),"仮",INDEX('01_予約入力'!$C$5:$C$404,$T16)),IF($R16&gt;0,IF(OR(INDEX('01_予約入力'!$Q$5:$Q$404,$R16)="仮予約",INDEX('01_予約入力'!$Q$5:$Q$404,$R16)="調整中"),"仮",INDEX('01_予約入力'!$C$5:$C$404,$R16)),""))))</f>
        <v/>
      </c>
      <c r="AA16" s="45">
        <f>IF($A16="","",IF($V16&gt;0,IF(OR(INDEX('01_予約入力'!$Q$5:$Q$404,$V16)="仮予約",INDEX('01_予約入力'!$Q$5:$Q$404,$V16)="調整中"),"仮",INDEX('01_予約入力'!$C$5:$C$404,$V16)),IF($W16&gt;0,IF(OR(INDEX('01_予約入力'!$Q$5:$Q$404,$W16)="仮予約",INDEX('01_予約入力'!$Q$5:$Q$404,$W16)="調整中"),"仮",INDEX('01_予約入力'!$C$5:$C$404,$W16)),IF($U16&gt;0,IF(OR(INDEX('01_予約入力'!$Q$5:$Q$404,$U16)="仮予約",INDEX('01_予約入力'!$Q$5:$Q$404,$U16)="調整中"),"仮",INDEX('01_予約入力'!$C$5:$C$404,$U16)),""))))</f>
        <v/>
      </c>
      <c r="AB16" s="45">
        <f>IF($A16="",0,SUMPRODUCT(('01_予約入力'!$G$5:$G$404&lt;&gt;"")*('01_予約入力'!$Q$5:$Q$404&lt;&gt;"キャンセル")*(('01_予約入力'!$L$5:$L$404="○")*('01_予約入力'!$G$5:$G$404&lt;=$A16)*('01_予約入力'!$J$5:$J$404&gt;=$A16)+('01_予約入力'!$L$5:$L$404="")*('01_予約入力'!$G$5:$G$404&lt;$A16)*('01_予約入力'!$J$5:$J$404&gt;=$A16))))</f>
        <v/>
      </c>
      <c r="AC16" s="45">
        <f>IF($A16="",0,SUMPRODUCT(('01_予約入力'!$G$5:$G$404&lt;&gt;"")*('01_予約入力'!$Q$5:$Q$404&lt;&gt;"キャンセル")*(('01_予約入力'!$M$5:$M$404="○")*('01_予約入力'!$G$5:$G$404&lt;=$A16)*('01_予約入力'!$J$5:$J$404&gt;=$A16)+('01_予約入力'!$M$5:$M$404="")*((('01_予約入力'!$G$5:$G$404&lt;$A16)*('01_予約入力'!$J$5:$J$404&gt;$A16))+(('01_予約入力'!$G$5:$G$404=$A16)*('01_予約入力'!$J$5:$J$404=$A16))))))</f>
        <v/>
      </c>
      <c r="AD16" s="45">
        <f>IF($A16="",0,SUMPRODUCT(('01_予約入力'!$G$5:$G$404&lt;&gt;"")*('01_予約入力'!$Q$5:$Q$404&lt;&gt;"キャンセル")*(('01_予約入力'!$N$5:$N$404="○")*('01_予約入力'!$G$5:$G$404&lt;=$A16)*('01_予約入力'!$J$5:$J$404&gt;=$A16)+('01_予約入力'!$N$5:$N$404="")*('01_予約入力'!$G$5:$G$404&lt;=$A16)*('01_予約入力'!$J$5:$J$404&gt;$A16))))</f>
        <v/>
      </c>
      <c r="AE16" s="45">
        <f>IF($A16="",0,IFERROR(MATCH($A16,'02_カレンダー'!$B$59:$B$78,0),0))</f>
        <v/>
      </c>
      <c r="AF16" s="45">
        <f>IF($A16="",0,IF($AE16=0,$AB16,IF(INDEX('02_カレンダー'!$C$59:$C$78,$AE16)="",$AB16,INDEX('02_カレンダー'!$C$59:$C$78,$AE16))))</f>
        <v/>
      </c>
      <c r="AG16" s="45">
        <f>IF($A16="",0,IF($AE16=0,$AC16,IF(INDEX('02_カレンダー'!$D$59:$D$78,$AE16)="",$AC16,INDEX('02_カレンダー'!$D$59:$D$78,$AE16))))</f>
        <v/>
      </c>
      <c r="AH16" s="45">
        <f>IF($A16="",0,IF($AE16=0,$AD16,IF(INDEX('02_カレンダー'!$E$59:$E$78,$AE16)="",$AD16,INDEX('02_カレンダー'!$E$59:$E$78,$AE16))))</f>
        <v/>
      </c>
      <c r="AI16" s="45">
        <f>IF($A16="","",IF(AND($AF16=0,$AG16=0,$AH16=0),"","朝"&amp;$AF16&amp;" 昼"&amp;$AG16&amp;" 夕"&amp;$AH16&amp;IF($AJ16=0,"","　※調整")))</f>
        <v/>
      </c>
      <c r="AJ16" s="45">
        <f>IF(OR($A16="",$AE16=0),0,IF(OR(INDEX('02_カレンダー'!$C$59:$C$78,$AE16)&lt;&gt;"",INDEX('02_カレンダー'!$D$59:$D$78,$AE16)&lt;&gt;"",INDEX('02_カレンダー'!$E$59:$E$78,$AE16)&lt;&gt;""),1,0))</f>
        <v/>
      </c>
    </row>
    <row r="17">
      <c r="A17" s="38">
        <f>IF(MONTH('02_カレンダー'!$B$4+10)&lt;&gt;MONTH('02_カレンダー'!$B$4),"",'02_カレンダー'!$B$4+10)</f>
        <v/>
      </c>
      <c r="B17" s="45">
        <f>IF($A17="","",MID("日月火水木金土",WEEKDAY($A17),1))</f>
        <v/>
      </c>
      <c r="C17" s="49">
        <f>IF(OR($A17="",C$6=""),"",IF($L17=0,"",INDEX('01_予約入力'!$B$5:$B$404,$L17)&amp;" ◀"&amp;IF(('02_カレンダー'!$B$5="○"),INDEX('01_予約入力'!$AE$5:$AE$404,$L17),""))&amp;IF(AND($L17&gt;0,OR($M17&gt;0,$N17&gt;0)),"  ","")&amp;IF($M17=0,"",IF(INDEX('01_予約入力'!$G$5:$G$404,$M17)=$A17,"▶"&amp;IF(('02_カレンダー'!$B$5="○"),INDEX('01_予約入力'!$AD$5:$AD$404,$M17)&amp;" "," "),"")&amp;INDEX('01_予約入力'!$B$5:$B$404,$M17))&amp;IF(AND($M17&gt;0,$N17&gt;0),"  ","")&amp;IF($N17=0,"","◆ "&amp;INDEX('01_予約入力'!$B$5:$B$404,$N17)&amp;IF(('02_カレンダー'!$B$5="○")," "&amp;INDEX('01_予約入力'!$AD$5:$AD$404,$N17)&amp;"-"&amp;INDEX('01_予約入力'!$AE$5:$AE$404,$N17),"")))</f>
        <v/>
      </c>
      <c r="D17" s="49">
        <f>IF(OR($A17="",D$6=""),"",IF($O17=0,"",INDEX('01_予約入力'!$B$5:$B$404,$O17)&amp;" ◀"&amp;IF(('02_カレンダー'!$B$5="○"),INDEX('01_予約入力'!$AE$5:$AE$404,$O17),""))&amp;IF(AND($O17&gt;0,OR($P17&gt;0,$Q17&gt;0)),"  ","")&amp;IF($P17=0,"",IF(INDEX('01_予約入力'!$G$5:$G$404,$P17)=$A17,"▶"&amp;IF(('02_カレンダー'!$B$5="○"),INDEX('01_予約入力'!$AD$5:$AD$404,$P17)&amp;" "," "),"")&amp;INDEX('01_予約入力'!$B$5:$B$404,$P17))&amp;IF(AND($P17&gt;0,$Q17&gt;0),"  ","")&amp;IF($Q17=0,"","◆ "&amp;INDEX('01_予約入力'!$B$5:$B$404,$Q17)&amp;IF(('02_カレンダー'!$B$5="○")," "&amp;INDEX('01_予約入力'!$AD$5:$AD$404,$Q17)&amp;"-"&amp;INDEX('01_予約入力'!$AE$5:$AE$404,$Q17),"")))</f>
        <v/>
      </c>
      <c r="E17" s="49">
        <f>IF(OR($A17="",E$6=""),"",IF($R17=0,"",INDEX('01_予約入力'!$B$5:$B$404,$R17)&amp;" ◀"&amp;IF(('02_カレンダー'!$B$5="○"),INDEX('01_予約入力'!$AE$5:$AE$404,$R17),""))&amp;IF(AND($R17&gt;0,OR($S17&gt;0,$T17&gt;0)),"  ","")&amp;IF($S17=0,"",IF(INDEX('01_予約入力'!$G$5:$G$404,$S17)=$A17,"▶"&amp;IF(('02_カレンダー'!$B$5="○"),INDEX('01_予約入力'!$AD$5:$AD$404,$S17)&amp;" "," "),"")&amp;INDEX('01_予約入力'!$B$5:$B$404,$S17))&amp;IF(AND($S17&gt;0,$T17&gt;0),"  ","")&amp;IF($T17=0,"","◆ "&amp;INDEX('01_予約入力'!$B$5:$B$404,$T17)&amp;IF(('02_カレンダー'!$B$5="○")," "&amp;INDEX('01_予約入力'!$AD$5:$AD$404,$T17)&amp;"-"&amp;INDEX('01_予約入力'!$AE$5:$AE$404,$T17),"")))</f>
        <v/>
      </c>
      <c r="F17" s="49">
        <f>IF(OR($A17="",F$6=""),"",IF($U17=0,"",INDEX('01_予約入力'!$B$5:$B$404,$U17)&amp;" ◀"&amp;IF(('02_カレンダー'!$B$5="○"),INDEX('01_予約入力'!$AE$5:$AE$404,$U17),""))&amp;IF(AND($U17&gt;0,OR($V17&gt;0,$W17&gt;0)),"  ","")&amp;IF($V17=0,"",IF(INDEX('01_予約入力'!$G$5:$G$404,$V17)=$A17,"▶"&amp;IF(('02_カレンダー'!$B$5="○"),INDEX('01_予約入力'!$AD$5:$AD$404,$V17)&amp;" "," "),"")&amp;INDEX('01_予約入力'!$B$5:$B$404,$V17))&amp;IF(AND($V17&gt;0,$W17&gt;0),"  ","")&amp;IF($W17=0,"","◆ "&amp;INDEX('01_予約入力'!$B$5:$B$404,$W17)&amp;IF(('02_カレンダー'!$B$5="○")," "&amp;INDEX('01_予約入力'!$AD$5:$AD$404,$W17)&amp;"-"&amp;INDEX('01_予約入力'!$AE$5:$AE$404,$W17),"")))</f>
        <v/>
      </c>
      <c r="G17" s="45">
        <f>IF($A17="","",SUMPRODUCT(('01_予約入力'!$G$5:$G$404&lt;&gt;"")*('01_予約入力'!$Q$5:$Q$404&lt;&gt;"キャンセル")*('01_予約入力'!$G$5:$G$404&lt;=$A17)*('01_予約入力'!$J$5:$J$404&gt;$A17)))</f>
        <v/>
      </c>
      <c r="H17" s="45">
        <f>IF($A17="","",'M_施設設定'!$B$6-$G17)</f>
        <v/>
      </c>
      <c r="I17" s="45">
        <f>IF($A17="","",SUMPRODUCT((('01_予約入力'!$Q$5:$Q$404="仮予約")+('01_予約入力'!$Q$5:$Q$404="調整中"))*('01_予約入力'!$G$5:$G$404&lt;&gt;"")*('01_予約入力'!$G$5:$G$404&lt;=$A17)*('01_予約入力'!$J$5:$J$404&gt;$A17)))</f>
        <v/>
      </c>
      <c r="J17" s="45">
        <f>IF($A17="","",IF($I17&gt;0,"仮",IF($H17&lt;=0,"×",IF($H17&lt;'M_施設設定'!$B$6,"△","○"))))</f>
        <v/>
      </c>
      <c r="K17" s="45">
        <f>IF($A17="","",SUMPRODUCT(('01_予約入力'!$G$5:$G$404&lt;&gt;"")*('01_予約入力'!$Q$5:$Q$404&lt;&gt;"キャンセル")*('01_予約入力'!$G$5:$G$404=$A17)*('01_予約入力'!$J$5:$J$404=$A17)))</f>
        <v/>
      </c>
      <c r="L17" s="45">
        <f>IF(OR($A17="",C$6=""),0,SUMPRODUCT(MAX(('01_予約入力'!$D$5:$D$404=C$6)*('01_予約入力'!$Q$5:$Q$404&lt;&gt;"キャンセル")*('01_予約入力'!$G$5:$G$404&lt;&gt;"")*('01_予約入力'!$J$5:$J$404=$A17)*('01_予約入力'!$G$5:$G$404&lt;$A17)*(ROW('01_予約入力'!$G$5:$G$404)-4))))</f>
        <v/>
      </c>
      <c r="M17" s="45">
        <f>IF(OR($A17="",C$6=""),0,SUMPRODUCT(MAX(('01_予約入力'!$D$5:$D$404=C$6)*('01_予約入力'!$Q$5:$Q$404&lt;&gt;"キャンセル")*('01_予約入力'!$G$5:$G$404&lt;&gt;"")*('01_予約入力'!$G$5:$G$404&lt;=$A17)*('01_予約入力'!$J$5:$J$404&gt;$A17)*(ROW('01_予約入力'!$G$5:$G$404)-4))))</f>
        <v/>
      </c>
      <c r="N17" s="45">
        <f>IF(OR($A17="",C$6=""),0,SUMPRODUCT(MAX(('01_予約入力'!$D$5:$D$404=C$6)*('01_予約入力'!$Q$5:$Q$404&lt;&gt;"キャンセル")*('01_予約入力'!$G$5:$G$404&lt;&gt;"")*('01_予約入力'!$G$5:$G$404=$A17)*('01_予約入力'!$J$5:$J$404=$A17)*(ROW('01_予約入力'!$G$5:$G$404)-4))))</f>
        <v/>
      </c>
      <c r="O17" s="45">
        <f>IF(OR($A17="",D$6=""),0,SUMPRODUCT(MAX(('01_予約入力'!$D$5:$D$404=D$6)*('01_予約入力'!$Q$5:$Q$404&lt;&gt;"キャンセル")*('01_予約入力'!$G$5:$G$404&lt;&gt;"")*('01_予約入力'!$J$5:$J$404=$A17)*('01_予約入力'!$G$5:$G$404&lt;$A17)*(ROW('01_予約入力'!$G$5:$G$404)-4))))</f>
        <v/>
      </c>
      <c r="P17" s="45">
        <f>IF(OR($A17="",D$6=""),0,SUMPRODUCT(MAX(('01_予約入力'!$D$5:$D$404=D$6)*('01_予約入力'!$Q$5:$Q$404&lt;&gt;"キャンセル")*('01_予約入力'!$G$5:$G$404&lt;&gt;"")*('01_予約入力'!$G$5:$G$404&lt;=$A17)*('01_予約入力'!$J$5:$J$404&gt;$A17)*(ROW('01_予約入力'!$G$5:$G$404)-4))))</f>
        <v/>
      </c>
      <c r="Q17" s="45">
        <f>IF(OR($A17="",D$6=""),0,SUMPRODUCT(MAX(('01_予約入力'!$D$5:$D$404=D$6)*('01_予約入力'!$Q$5:$Q$404&lt;&gt;"キャンセル")*('01_予約入力'!$G$5:$G$404&lt;&gt;"")*('01_予約入力'!$G$5:$G$404=$A17)*('01_予約入力'!$J$5:$J$404=$A17)*(ROW('01_予約入力'!$G$5:$G$404)-4))))</f>
        <v/>
      </c>
      <c r="R17" s="45">
        <f>IF(OR($A17="",E$6=""),0,SUMPRODUCT(MAX(('01_予約入力'!$D$5:$D$404=E$6)*('01_予約入力'!$Q$5:$Q$404&lt;&gt;"キャンセル")*('01_予約入力'!$G$5:$G$404&lt;&gt;"")*('01_予約入力'!$J$5:$J$404=$A17)*('01_予約入力'!$G$5:$G$404&lt;$A17)*(ROW('01_予約入力'!$G$5:$G$404)-4))))</f>
        <v/>
      </c>
      <c r="S17" s="45">
        <f>IF(OR($A17="",E$6=""),0,SUMPRODUCT(MAX(('01_予約入力'!$D$5:$D$404=E$6)*('01_予約入力'!$Q$5:$Q$404&lt;&gt;"キャンセル")*('01_予約入力'!$G$5:$G$404&lt;&gt;"")*('01_予約入力'!$G$5:$G$404&lt;=$A17)*('01_予約入力'!$J$5:$J$404&gt;$A17)*(ROW('01_予約入力'!$G$5:$G$404)-4))))</f>
        <v/>
      </c>
      <c r="T17" s="45">
        <f>IF(OR($A17="",E$6=""),0,SUMPRODUCT(MAX(('01_予約入力'!$D$5:$D$404=E$6)*('01_予約入力'!$Q$5:$Q$404&lt;&gt;"キャンセル")*('01_予約入力'!$G$5:$G$404&lt;&gt;"")*('01_予約入力'!$G$5:$G$404=$A17)*('01_予約入力'!$J$5:$J$404=$A17)*(ROW('01_予約入力'!$G$5:$G$404)-4))))</f>
        <v/>
      </c>
      <c r="U17" s="45">
        <f>IF(OR($A17="",F$6=""),0,SUMPRODUCT(MAX(('01_予約入力'!$D$5:$D$404=F$6)*('01_予約入力'!$Q$5:$Q$404&lt;&gt;"キャンセル")*('01_予約入力'!$G$5:$G$404&lt;&gt;"")*('01_予約入力'!$J$5:$J$404=$A17)*('01_予約入力'!$G$5:$G$404&lt;$A17)*(ROW('01_予約入力'!$G$5:$G$404)-4))))</f>
        <v/>
      </c>
      <c r="V17" s="45">
        <f>IF(OR($A17="",F$6=""),0,SUMPRODUCT(MAX(('01_予約入力'!$D$5:$D$404=F$6)*('01_予約入力'!$Q$5:$Q$404&lt;&gt;"キャンセル")*('01_予約入力'!$G$5:$G$404&lt;&gt;"")*('01_予約入力'!$G$5:$G$404&lt;=$A17)*('01_予約入力'!$J$5:$J$404&gt;$A17)*(ROW('01_予約入力'!$G$5:$G$404)-4))))</f>
        <v/>
      </c>
      <c r="W17" s="45">
        <f>IF(OR($A17="",F$6=""),0,SUMPRODUCT(MAX(('01_予約入力'!$D$5:$D$404=F$6)*('01_予約入力'!$Q$5:$Q$404&lt;&gt;"キャンセル")*('01_予約入力'!$G$5:$G$404&lt;&gt;"")*('01_予約入力'!$G$5:$G$404=$A17)*('01_予約入力'!$J$5:$J$404=$A17)*(ROW('01_予約入力'!$G$5:$G$404)-4))))</f>
        <v/>
      </c>
      <c r="X17" s="45">
        <f>IF($A17="","",IF($M17&gt;0,IF(OR(INDEX('01_予約入力'!$Q$5:$Q$404,$M17)="仮予約",INDEX('01_予約入力'!$Q$5:$Q$404,$M17)="調整中"),"仮",INDEX('01_予約入力'!$C$5:$C$404,$M17)),IF($N17&gt;0,IF(OR(INDEX('01_予約入力'!$Q$5:$Q$404,$N17)="仮予約",INDEX('01_予約入力'!$Q$5:$Q$404,$N17)="調整中"),"仮",INDEX('01_予約入力'!$C$5:$C$404,$N17)),IF($L17&gt;0,IF(OR(INDEX('01_予約入力'!$Q$5:$Q$404,$L17)="仮予約",INDEX('01_予約入力'!$Q$5:$Q$404,$L17)="調整中"),"仮",INDEX('01_予約入力'!$C$5:$C$404,$L17)),""))))</f>
        <v/>
      </c>
      <c r="Y17" s="45">
        <f>IF($A17="","",IF($P17&gt;0,IF(OR(INDEX('01_予約入力'!$Q$5:$Q$404,$P17)="仮予約",INDEX('01_予約入力'!$Q$5:$Q$404,$P17)="調整中"),"仮",INDEX('01_予約入力'!$C$5:$C$404,$P17)),IF($Q17&gt;0,IF(OR(INDEX('01_予約入力'!$Q$5:$Q$404,$Q17)="仮予約",INDEX('01_予約入力'!$Q$5:$Q$404,$Q17)="調整中"),"仮",INDEX('01_予約入力'!$C$5:$C$404,$Q17)),IF($O17&gt;0,IF(OR(INDEX('01_予約入力'!$Q$5:$Q$404,$O17)="仮予約",INDEX('01_予約入力'!$Q$5:$Q$404,$O17)="調整中"),"仮",INDEX('01_予約入力'!$C$5:$C$404,$O17)),""))))</f>
        <v/>
      </c>
      <c r="Z17" s="45">
        <f>IF($A17="","",IF($S17&gt;0,IF(OR(INDEX('01_予約入力'!$Q$5:$Q$404,$S17)="仮予約",INDEX('01_予約入力'!$Q$5:$Q$404,$S17)="調整中"),"仮",INDEX('01_予約入力'!$C$5:$C$404,$S17)),IF($T17&gt;0,IF(OR(INDEX('01_予約入力'!$Q$5:$Q$404,$T17)="仮予約",INDEX('01_予約入力'!$Q$5:$Q$404,$T17)="調整中"),"仮",INDEX('01_予約入力'!$C$5:$C$404,$T17)),IF($R17&gt;0,IF(OR(INDEX('01_予約入力'!$Q$5:$Q$404,$R17)="仮予約",INDEX('01_予約入力'!$Q$5:$Q$404,$R17)="調整中"),"仮",INDEX('01_予約入力'!$C$5:$C$404,$R17)),""))))</f>
        <v/>
      </c>
      <c r="AA17" s="45">
        <f>IF($A17="","",IF($V17&gt;0,IF(OR(INDEX('01_予約入力'!$Q$5:$Q$404,$V17)="仮予約",INDEX('01_予約入力'!$Q$5:$Q$404,$V17)="調整中"),"仮",INDEX('01_予約入力'!$C$5:$C$404,$V17)),IF($W17&gt;0,IF(OR(INDEX('01_予約入力'!$Q$5:$Q$404,$W17)="仮予約",INDEX('01_予約入力'!$Q$5:$Q$404,$W17)="調整中"),"仮",INDEX('01_予約入力'!$C$5:$C$404,$W17)),IF($U17&gt;0,IF(OR(INDEX('01_予約入力'!$Q$5:$Q$404,$U17)="仮予約",INDEX('01_予約入力'!$Q$5:$Q$404,$U17)="調整中"),"仮",INDEX('01_予約入力'!$C$5:$C$404,$U17)),""))))</f>
        <v/>
      </c>
      <c r="AB17" s="45">
        <f>IF($A17="",0,SUMPRODUCT(('01_予約入力'!$G$5:$G$404&lt;&gt;"")*('01_予約入力'!$Q$5:$Q$404&lt;&gt;"キャンセル")*(('01_予約入力'!$L$5:$L$404="○")*('01_予約入力'!$G$5:$G$404&lt;=$A17)*('01_予約入力'!$J$5:$J$404&gt;=$A17)+('01_予約入力'!$L$5:$L$404="")*('01_予約入力'!$G$5:$G$404&lt;$A17)*('01_予約入力'!$J$5:$J$404&gt;=$A17))))</f>
        <v/>
      </c>
      <c r="AC17" s="45">
        <f>IF($A17="",0,SUMPRODUCT(('01_予約入力'!$G$5:$G$404&lt;&gt;"")*('01_予約入力'!$Q$5:$Q$404&lt;&gt;"キャンセル")*(('01_予約入力'!$M$5:$M$404="○")*('01_予約入力'!$G$5:$G$404&lt;=$A17)*('01_予約入力'!$J$5:$J$404&gt;=$A17)+('01_予約入力'!$M$5:$M$404="")*((('01_予約入力'!$G$5:$G$404&lt;$A17)*('01_予約入力'!$J$5:$J$404&gt;$A17))+(('01_予約入力'!$G$5:$G$404=$A17)*('01_予約入力'!$J$5:$J$404=$A17))))))</f>
        <v/>
      </c>
      <c r="AD17" s="45">
        <f>IF($A17="",0,SUMPRODUCT(('01_予約入力'!$G$5:$G$404&lt;&gt;"")*('01_予約入力'!$Q$5:$Q$404&lt;&gt;"キャンセル")*(('01_予約入力'!$N$5:$N$404="○")*('01_予約入力'!$G$5:$G$404&lt;=$A17)*('01_予約入力'!$J$5:$J$404&gt;=$A17)+('01_予約入力'!$N$5:$N$404="")*('01_予約入力'!$G$5:$G$404&lt;=$A17)*('01_予約入力'!$J$5:$J$404&gt;$A17))))</f>
        <v/>
      </c>
      <c r="AE17" s="45">
        <f>IF($A17="",0,IFERROR(MATCH($A17,'02_カレンダー'!$B$59:$B$78,0),0))</f>
        <v/>
      </c>
      <c r="AF17" s="45">
        <f>IF($A17="",0,IF($AE17=0,$AB17,IF(INDEX('02_カレンダー'!$C$59:$C$78,$AE17)="",$AB17,INDEX('02_カレンダー'!$C$59:$C$78,$AE17))))</f>
        <v/>
      </c>
      <c r="AG17" s="45">
        <f>IF($A17="",0,IF($AE17=0,$AC17,IF(INDEX('02_カレンダー'!$D$59:$D$78,$AE17)="",$AC17,INDEX('02_カレンダー'!$D$59:$D$78,$AE17))))</f>
        <v/>
      </c>
      <c r="AH17" s="45">
        <f>IF($A17="",0,IF($AE17=0,$AD17,IF(INDEX('02_カレンダー'!$E$59:$E$78,$AE17)="",$AD17,INDEX('02_カレンダー'!$E$59:$E$78,$AE17))))</f>
        <v/>
      </c>
      <c r="AI17" s="45">
        <f>IF($A17="","",IF(AND($AF17=0,$AG17=0,$AH17=0),"","朝"&amp;$AF17&amp;" 昼"&amp;$AG17&amp;" 夕"&amp;$AH17&amp;IF($AJ17=0,"","　※調整")))</f>
        <v/>
      </c>
      <c r="AJ17" s="45">
        <f>IF(OR($A17="",$AE17=0),0,IF(OR(INDEX('02_カレンダー'!$C$59:$C$78,$AE17)&lt;&gt;"",INDEX('02_カレンダー'!$D$59:$D$78,$AE17)&lt;&gt;"",INDEX('02_カレンダー'!$E$59:$E$78,$AE17)&lt;&gt;""),1,0))</f>
        <v/>
      </c>
    </row>
    <row r="18">
      <c r="A18" s="38">
        <f>IF(MONTH('02_カレンダー'!$B$4+11)&lt;&gt;MONTH('02_カレンダー'!$B$4),"",'02_カレンダー'!$B$4+11)</f>
        <v/>
      </c>
      <c r="B18" s="45">
        <f>IF($A18="","",MID("日月火水木金土",WEEKDAY($A18),1))</f>
        <v/>
      </c>
      <c r="C18" s="49">
        <f>IF(OR($A18="",C$6=""),"",IF($L18=0,"",INDEX('01_予約入力'!$B$5:$B$404,$L18)&amp;" ◀"&amp;IF(('02_カレンダー'!$B$5="○"),INDEX('01_予約入力'!$AE$5:$AE$404,$L18),""))&amp;IF(AND($L18&gt;0,OR($M18&gt;0,$N18&gt;0)),"  ","")&amp;IF($M18=0,"",IF(INDEX('01_予約入力'!$G$5:$G$404,$M18)=$A18,"▶"&amp;IF(('02_カレンダー'!$B$5="○"),INDEX('01_予約入力'!$AD$5:$AD$404,$M18)&amp;" "," "),"")&amp;INDEX('01_予約入力'!$B$5:$B$404,$M18))&amp;IF(AND($M18&gt;0,$N18&gt;0),"  ","")&amp;IF($N18=0,"","◆ "&amp;INDEX('01_予約入力'!$B$5:$B$404,$N18)&amp;IF(('02_カレンダー'!$B$5="○")," "&amp;INDEX('01_予約入力'!$AD$5:$AD$404,$N18)&amp;"-"&amp;INDEX('01_予約入力'!$AE$5:$AE$404,$N18),"")))</f>
        <v/>
      </c>
      <c r="D18" s="49">
        <f>IF(OR($A18="",D$6=""),"",IF($O18=0,"",INDEX('01_予約入力'!$B$5:$B$404,$O18)&amp;" ◀"&amp;IF(('02_カレンダー'!$B$5="○"),INDEX('01_予約入力'!$AE$5:$AE$404,$O18),""))&amp;IF(AND($O18&gt;0,OR($P18&gt;0,$Q18&gt;0)),"  ","")&amp;IF($P18=0,"",IF(INDEX('01_予約入力'!$G$5:$G$404,$P18)=$A18,"▶"&amp;IF(('02_カレンダー'!$B$5="○"),INDEX('01_予約入力'!$AD$5:$AD$404,$P18)&amp;" "," "),"")&amp;INDEX('01_予約入力'!$B$5:$B$404,$P18))&amp;IF(AND($P18&gt;0,$Q18&gt;0),"  ","")&amp;IF($Q18=0,"","◆ "&amp;INDEX('01_予約入力'!$B$5:$B$404,$Q18)&amp;IF(('02_カレンダー'!$B$5="○")," "&amp;INDEX('01_予約入力'!$AD$5:$AD$404,$Q18)&amp;"-"&amp;INDEX('01_予約入力'!$AE$5:$AE$404,$Q18),"")))</f>
        <v/>
      </c>
      <c r="E18" s="49">
        <f>IF(OR($A18="",E$6=""),"",IF($R18=0,"",INDEX('01_予約入力'!$B$5:$B$404,$R18)&amp;" ◀"&amp;IF(('02_カレンダー'!$B$5="○"),INDEX('01_予約入力'!$AE$5:$AE$404,$R18),""))&amp;IF(AND($R18&gt;0,OR($S18&gt;0,$T18&gt;0)),"  ","")&amp;IF($S18=0,"",IF(INDEX('01_予約入力'!$G$5:$G$404,$S18)=$A18,"▶"&amp;IF(('02_カレンダー'!$B$5="○"),INDEX('01_予約入力'!$AD$5:$AD$404,$S18)&amp;" "," "),"")&amp;INDEX('01_予約入力'!$B$5:$B$404,$S18))&amp;IF(AND($S18&gt;0,$T18&gt;0),"  ","")&amp;IF($T18=0,"","◆ "&amp;INDEX('01_予約入力'!$B$5:$B$404,$T18)&amp;IF(('02_カレンダー'!$B$5="○")," "&amp;INDEX('01_予約入力'!$AD$5:$AD$404,$T18)&amp;"-"&amp;INDEX('01_予約入力'!$AE$5:$AE$404,$T18),"")))</f>
        <v/>
      </c>
      <c r="F18" s="49">
        <f>IF(OR($A18="",F$6=""),"",IF($U18=0,"",INDEX('01_予約入力'!$B$5:$B$404,$U18)&amp;" ◀"&amp;IF(('02_カレンダー'!$B$5="○"),INDEX('01_予約入力'!$AE$5:$AE$404,$U18),""))&amp;IF(AND($U18&gt;0,OR($V18&gt;0,$W18&gt;0)),"  ","")&amp;IF($V18=0,"",IF(INDEX('01_予約入力'!$G$5:$G$404,$V18)=$A18,"▶"&amp;IF(('02_カレンダー'!$B$5="○"),INDEX('01_予約入力'!$AD$5:$AD$404,$V18)&amp;" "," "),"")&amp;INDEX('01_予約入力'!$B$5:$B$404,$V18))&amp;IF(AND($V18&gt;0,$W18&gt;0),"  ","")&amp;IF($W18=0,"","◆ "&amp;INDEX('01_予約入力'!$B$5:$B$404,$W18)&amp;IF(('02_カレンダー'!$B$5="○")," "&amp;INDEX('01_予約入力'!$AD$5:$AD$404,$W18)&amp;"-"&amp;INDEX('01_予約入力'!$AE$5:$AE$404,$W18),"")))</f>
        <v/>
      </c>
      <c r="G18" s="45">
        <f>IF($A18="","",SUMPRODUCT(('01_予約入力'!$G$5:$G$404&lt;&gt;"")*('01_予約入力'!$Q$5:$Q$404&lt;&gt;"キャンセル")*('01_予約入力'!$G$5:$G$404&lt;=$A18)*('01_予約入力'!$J$5:$J$404&gt;$A18)))</f>
        <v/>
      </c>
      <c r="H18" s="45">
        <f>IF($A18="","",'M_施設設定'!$B$6-$G18)</f>
        <v/>
      </c>
      <c r="I18" s="45">
        <f>IF($A18="","",SUMPRODUCT((('01_予約入力'!$Q$5:$Q$404="仮予約")+('01_予約入力'!$Q$5:$Q$404="調整中"))*('01_予約入力'!$G$5:$G$404&lt;&gt;"")*('01_予約入力'!$G$5:$G$404&lt;=$A18)*('01_予約入力'!$J$5:$J$404&gt;$A18)))</f>
        <v/>
      </c>
      <c r="J18" s="45">
        <f>IF($A18="","",IF($I18&gt;0,"仮",IF($H18&lt;=0,"×",IF($H18&lt;'M_施設設定'!$B$6,"△","○"))))</f>
        <v/>
      </c>
      <c r="K18" s="45">
        <f>IF($A18="","",SUMPRODUCT(('01_予約入力'!$G$5:$G$404&lt;&gt;"")*('01_予約入力'!$Q$5:$Q$404&lt;&gt;"キャンセル")*('01_予約入力'!$G$5:$G$404=$A18)*('01_予約入力'!$J$5:$J$404=$A18)))</f>
        <v/>
      </c>
      <c r="L18" s="45">
        <f>IF(OR($A18="",C$6=""),0,SUMPRODUCT(MAX(('01_予約入力'!$D$5:$D$404=C$6)*('01_予約入力'!$Q$5:$Q$404&lt;&gt;"キャンセル")*('01_予約入力'!$G$5:$G$404&lt;&gt;"")*('01_予約入力'!$J$5:$J$404=$A18)*('01_予約入力'!$G$5:$G$404&lt;$A18)*(ROW('01_予約入力'!$G$5:$G$404)-4))))</f>
        <v/>
      </c>
      <c r="M18" s="45">
        <f>IF(OR($A18="",C$6=""),0,SUMPRODUCT(MAX(('01_予約入力'!$D$5:$D$404=C$6)*('01_予約入力'!$Q$5:$Q$404&lt;&gt;"キャンセル")*('01_予約入力'!$G$5:$G$404&lt;&gt;"")*('01_予約入力'!$G$5:$G$404&lt;=$A18)*('01_予約入力'!$J$5:$J$404&gt;$A18)*(ROW('01_予約入力'!$G$5:$G$404)-4))))</f>
        <v/>
      </c>
      <c r="N18" s="45">
        <f>IF(OR($A18="",C$6=""),0,SUMPRODUCT(MAX(('01_予約入力'!$D$5:$D$404=C$6)*('01_予約入力'!$Q$5:$Q$404&lt;&gt;"キャンセル")*('01_予約入力'!$G$5:$G$404&lt;&gt;"")*('01_予約入力'!$G$5:$G$404=$A18)*('01_予約入力'!$J$5:$J$404=$A18)*(ROW('01_予約入力'!$G$5:$G$404)-4))))</f>
        <v/>
      </c>
      <c r="O18" s="45">
        <f>IF(OR($A18="",D$6=""),0,SUMPRODUCT(MAX(('01_予約入力'!$D$5:$D$404=D$6)*('01_予約入力'!$Q$5:$Q$404&lt;&gt;"キャンセル")*('01_予約入力'!$G$5:$G$404&lt;&gt;"")*('01_予約入力'!$J$5:$J$404=$A18)*('01_予約入力'!$G$5:$G$404&lt;$A18)*(ROW('01_予約入力'!$G$5:$G$404)-4))))</f>
        <v/>
      </c>
      <c r="P18" s="45">
        <f>IF(OR($A18="",D$6=""),0,SUMPRODUCT(MAX(('01_予約入力'!$D$5:$D$404=D$6)*('01_予約入力'!$Q$5:$Q$404&lt;&gt;"キャンセル")*('01_予約入力'!$G$5:$G$404&lt;&gt;"")*('01_予約入力'!$G$5:$G$404&lt;=$A18)*('01_予約入力'!$J$5:$J$404&gt;$A18)*(ROW('01_予約入力'!$G$5:$G$404)-4))))</f>
        <v/>
      </c>
      <c r="Q18" s="45">
        <f>IF(OR($A18="",D$6=""),0,SUMPRODUCT(MAX(('01_予約入力'!$D$5:$D$404=D$6)*('01_予約入力'!$Q$5:$Q$404&lt;&gt;"キャンセル")*('01_予約入力'!$G$5:$G$404&lt;&gt;"")*('01_予約入力'!$G$5:$G$404=$A18)*('01_予約入力'!$J$5:$J$404=$A18)*(ROW('01_予約入力'!$G$5:$G$404)-4))))</f>
        <v/>
      </c>
      <c r="R18" s="45">
        <f>IF(OR($A18="",E$6=""),0,SUMPRODUCT(MAX(('01_予約入力'!$D$5:$D$404=E$6)*('01_予約入力'!$Q$5:$Q$404&lt;&gt;"キャンセル")*('01_予約入力'!$G$5:$G$404&lt;&gt;"")*('01_予約入力'!$J$5:$J$404=$A18)*('01_予約入力'!$G$5:$G$404&lt;$A18)*(ROW('01_予約入力'!$G$5:$G$404)-4))))</f>
        <v/>
      </c>
      <c r="S18" s="45">
        <f>IF(OR($A18="",E$6=""),0,SUMPRODUCT(MAX(('01_予約入力'!$D$5:$D$404=E$6)*('01_予約入力'!$Q$5:$Q$404&lt;&gt;"キャンセル")*('01_予約入力'!$G$5:$G$404&lt;&gt;"")*('01_予約入力'!$G$5:$G$404&lt;=$A18)*('01_予約入力'!$J$5:$J$404&gt;$A18)*(ROW('01_予約入力'!$G$5:$G$404)-4))))</f>
        <v/>
      </c>
      <c r="T18" s="45">
        <f>IF(OR($A18="",E$6=""),0,SUMPRODUCT(MAX(('01_予約入力'!$D$5:$D$404=E$6)*('01_予約入力'!$Q$5:$Q$404&lt;&gt;"キャンセル")*('01_予約入力'!$G$5:$G$404&lt;&gt;"")*('01_予約入力'!$G$5:$G$404=$A18)*('01_予約入力'!$J$5:$J$404=$A18)*(ROW('01_予約入力'!$G$5:$G$404)-4))))</f>
        <v/>
      </c>
      <c r="U18" s="45">
        <f>IF(OR($A18="",F$6=""),0,SUMPRODUCT(MAX(('01_予約入力'!$D$5:$D$404=F$6)*('01_予約入力'!$Q$5:$Q$404&lt;&gt;"キャンセル")*('01_予約入力'!$G$5:$G$404&lt;&gt;"")*('01_予約入力'!$J$5:$J$404=$A18)*('01_予約入力'!$G$5:$G$404&lt;$A18)*(ROW('01_予約入力'!$G$5:$G$404)-4))))</f>
        <v/>
      </c>
      <c r="V18" s="45">
        <f>IF(OR($A18="",F$6=""),0,SUMPRODUCT(MAX(('01_予約入力'!$D$5:$D$404=F$6)*('01_予約入力'!$Q$5:$Q$404&lt;&gt;"キャンセル")*('01_予約入力'!$G$5:$G$404&lt;&gt;"")*('01_予約入力'!$G$5:$G$404&lt;=$A18)*('01_予約入力'!$J$5:$J$404&gt;$A18)*(ROW('01_予約入力'!$G$5:$G$404)-4))))</f>
        <v/>
      </c>
      <c r="W18" s="45">
        <f>IF(OR($A18="",F$6=""),0,SUMPRODUCT(MAX(('01_予約入力'!$D$5:$D$404=F$6)*('01_予約入力'!$Q$5:$Q$404&lt;&gt;"キャンセル")*('01_予約入力'!$G$5:$G$404&lt;&gt;"")*('01_予約入力'!$G$5:$G$404=$A18)*('01_予約入力'!$J$5:$J$404=$A18)*(ROW('01_予約入力'!$G$5:$G$404)-4))))</f>
        <v/>
      </c>
      <c r="X18" s="45">
        <f>IF($A18="","",IF($M18&gt;0,IF(OR(INDEX('01_予約入力'!$Q$5:$Q$404,$M18)="仮予約",INDEX('01_予約入力'!$Q$5:$Q$404,$M18)="調整中"),"仮",INDEX('01_予約入力'!$C$5:$C$404,$M18)),IF($N18&gt;0,IF(OR(INDEX('01_予約入力'!$Q$5:$Q$404,$N18)="仮予約",INDEX('01_予約入力'!$Q$5:$Q$404,$N18)="調整中"),"仮",INDEX('01_予約入力'!$C$5:$C$404,$N18)),IF($L18&gt;0,IF(OR(INDEX('01_予約入力'!$Q$5:$Q$404,$L18)="仮予約",INDEX('01_予約入力'!$Q$5:$Q$404,$L18)="調整中"),"仮",INDEX('01_予約入力'!$C$5:$C$404,$L18)),""))))</f>
        <v/>
      </c>
      <c r="Y18" s="45">
        <f>IF($A18="","",IF($P18&gt;0,IF(OR(INDEX('01_予約入力'!$Q$5:$Q$404,$P18)="仮予約",INDEX('01_予約入力'!$Q$5:$Q$404,$P18)="調整中"),"仮",INDEX('01_予約入力'!$C$5:$C$404,$P18)),IF($Q18&gt;0,IF(OR(INDEX('01_予約入力'!$Q$5:$Q$404,$Q18)="仮予約",INDEX('01_予約入力'!$Q$5:$Q$404,$Q18)="調整中"),"仮",INDEX('01_予約入力'!$C$5:$C$404,$Q18)),IF($O18&gt;0,IF(OR(INDEX('01_予約入力'!$Q$5:$Q$404,$O18)="仮予約",INDEX('01_予約入力'!$Q$5:$Q$404,$O18)="調整中"),"仮",INDEX('01_予約入力'!$C$5:$C$404,$O18)),""))))</f>
        <v/>
      </c>
      <c r="Z18" s="45">
        <f>IF($A18="","",IF($S18&gt;0,IF(OR(INDEX('01_予約入力'!$Q$5:$Q$404,$S18)="仮予約",INDEX('01_予約入力'!$Q$5:$Q$404,$S18)="調整中"),"仮",INDEX('01_予約入力'!$C$5:$C$404,$S18)),IF($T18&gt;0,IF(OR(INDEX('01_予約入力'!$Q$5:$Q$404,$T18)="仮予約",INDEX('01_予約入力'!$Q$5:$Q$404,$T18)="調整中"),"仮",INDEX('01_予約入力'!$C$5:$C$404,$T18)),IF($R18&gt;0,IF(OR(INDEX('01_予約入力'!$Q$5:$Q$404,$R18)="仮予約",INDEX('01_予約入力'!$Q$5:$Q$404,$R18)="調整中"),"仮",INDEX('01_予約入力'!$C$5:$C$404,$R18)),""))))</f>
        <v/>
      </c>
      <c r="AA18" s="45">
        <f>IF($A18="","",IF($V18&gt;0,IF(OR(INDEX('01_予約入力'!$Q$5:$Q$404,$V18)="仮予約",INDEX('01_予約入力'!$Q$5:$Q$404,$V18)="調整中"),"仮",INDEX('01_予約入力'!$C$5:$C$404,$V18)),IF($W18&gt;0,IF(OR(INDEX('01_予約入力'!$Q$5:$Q$404,$W18)="仮予約",INDEX('01_予約入力'!$Q$5:$Q$404,$W18)="調整中"),"仮",INDEX('01_予約入力'!$C$5:$C$404,$W18)),IF($U18&gt;0,IF(OR(INDEX('01_予約入力'!$Q$5:$Q$404,$U18)="仮予約",INDEX('01_予約入力'!$Q$5:$Q$404,$U18)="調整中"),"仮",INDEX('01_予約入力'!$C$5:$C$404,$U18)),""))))</f>
        <v/>
      </c>
      <c r="AB18" s="45">
        <f>IF($A18="",0,SUMPRODUCT(('01_予約入力'!$G$5:$G$404&lt;&gt;"")*('01_予約入力'!$Q$5:$Q$404&lt;&gt;"キャンセル")*(('01_予約入力'!$L$5:$L$404="○")*('01_予約入力'!$G$5:$G$404&lt;=$A18)*('01_予約入力'!$J$5:$J$404&gt;=$A18)+('01_予約入力'!$L$5:$L$404="")*('01_予約入力'!$G$5:$G$404&lt;$A18)*('01_予約入力'!$J$5:$J$404&gt;=$A18))))</f>
        <v/>
      </c>
      <c r="AC18" s="45">
        <f>IF($A18="",0,SUMPRODUCT(('01_予約入力'!$G$5:$G$404&lt;&gt;"")*('01_予約入力'!$Q$5:$Q$404&lt;&gt;"キャンセル")*(('01_予約入力'!$M$5:$M$404="○")*('01_予約入力'!$G$5:$G$404&lt;=$A18)*('01_予約入力'!$J$5:$J$404&gt;=$A18)+('01_予約入力'!$M$5:$M$404="")*((('01_予約入力'!$G$5:$G$404&lt;$A18)*('01_予約入力'!$J$5:$J$404&gt;$A18))+(('01_予約入力'!$G$5:$G$404=$A18)*('01_予約入力'!$J$5:$J$404=$A18))))))</f>
        <v/>
      </c>
      <c r="AD18" s="45">
        <f>IF($A18="",0,SUMPRODUCT(('01_予約入力'!$G$5:$G$404&lt;&gt;"")*('01_予約入力'!$Q$5:$Q$404&lt;&gt;"キャンセル")*(('01_予約入力'!$N$5:$N$404="○")*('01_予約入力'!$G$5:$G$404&lt;=$A18)*('01_予約入力'!$J$5:$J$404&gt;=$A18)+('01_予約入力'!$N$5:$N$404="")*('01_予約入力'!$G$5:$G$404&lt;=$A18)*('01_予約入力'!$J$5:$J$404&gt;$A18))))</f>
        <v/>
      </c>
      <c r="AE18" s="45">
        <f>IF($A18="",0,IFERROR(MATCH($A18,'02_カレンダー'!$B$59:$B$78,0),0))</f>
        <v/>
      </c>
      <c r="AF18" s="45">
        <f>IF($A18="",0,IF($AE18=0,$AB18,IF(INDEX('02_カレンダー'!$C$59:$C$78,$AE18)="",$AB18,INDEX('02_カレンダー'!$C$59:$C$78,$AE18))))</f>
        <v/>
      </c>
      <c r="AG18" s="45">
        <f>IF($A18="",0,IF($AE18=0,$AC18,IF(INDEX('02_カレンダー'!$D$59:$D$78,$AE18)="",$AC18,INDEX('02_カレンダー'!$D$59:$D$78,$AE18))))</f>
        <v/>
      </c>
      <c r="AH18" s="45">
        <f>IF($A18="",0,IF($AE18=0,$AD18,IF(INDEX('02_カレンダー'!$E$59:$E$78,$AE18)="",$AD18,INDEX('02_カレンダー'!$E$59:$E$78,$AE18))))</f>
        <v/>
      </c>
      <c r="AI18" s="45">
        <f>IF($A18="","",IF(AND($AF18=0,$AG18=0,$AH18=0),"","朝"&amp;$AF18&amp;" 昼"&amp;$AG18&amp;" 夕"&amp;$AH18&amp;IF($AJ18=0,"","　※調整")))</f>
        <v/>
      </c>
      <c r="AJ18" s="45">
        <f>IF(OR($A18="",$AE18=0),0,IF(OR(INDEX('02_カレンダー'!$C$59:$C$78,$AE18)&lt;&gt;"",INDEX('02_カレンダー'!$D$59:$D$78,$AE18)&lt;&gt;"",INDEX('02_カレンダー'!$E$59:$E$78,$AE18)&lt;&gt;""),1,0))</f>
        <v/>
      </c>
    </row>
    <row r="19">
      <c r="A19" s="38">
        <f>IF(MONTH('02_カレンダー'!$B$4+12)&lt;&gt;MONTH('02_カレンダー'!$B$4),"",'02_カレンダー'!$B$4+12)</f>
        <v/>
      </c>
      <c r="B19" s="45">
        <f>IF($A19="","",MID("日月火水木金土",WEEKDAY($A19),1))</f>
        <v/>
      </c>
      <c r="C19" s="49">
        <f>IF(OR($A19="",C$6=""),"",IF($L19=0,"",INDEX('01_予約入力'!$B$5:$B$404,$L19)&amp;" ◀"&amp;IF(('02_カレンダー'!$B$5="○"),INDEX('01_予約入力'!$AE$5:$AE$404,$L19),""))&amp;IF(AND($L19&gt;0,OR($M19&gt;0,$N19&gt;0)),"  ","")&amp;IF($M19=0,"",IF(INDEX('01_予約入力'!$G$5:$G$404,$M19)=$A19,"▶"&amp;IF(('02_カレンダー'!$B$5="○"),INDEX('01_予約入力'!$AD$5:$AD$404,$M19)&amp;" "," "),"")&amp;INDEX('01_予約入力'!$B$5:$B$404,$M19))&amp;IF(AND($M19&gt;0,$N19&gt;0),"  ","")&amp;IF($N19=0,"","◆ "&amp;INDEX('01_予約入力'!$B$5:$B$404,$N19)&amp;IF(('02_カレンダー'!$B$5="○")," "&amp;INDEX('01_予約入力'!$AD$5:$AD$404,$N19)&amp;"-"&amp;INDEX('01_予約入力'!$AE$5:$AE$404,$N19),"")))</f>
        <v/>
      </c>
      <c r="D19" s="49">
        <f>IF(OR($A19="",D$6=""),"",IF($O19=0,"",INDEX('01_予約入力'!$B$5:$B$404,$O19)&amp;" ◀"&amp;IF(('02_カレンダー'!$B$5="○"),INDEX('01_予約入力'!$AE$5:$AE$404,$O19),""))&amp;IF(AND($O19&gt;0,OR($P19&gt;0,$Q19&gt;0)),"  ","")&amp;IF($P19=0,"",IF(INDEX('01_予約入力'!$G$5:$G$404,$P19)=$A19,"▶"&amp;IF(('02_カレンダー'!$B$5="○"),INDEX('01_予約入力'!$AD$5:$AD$404,$P19)&amp;" "," "),"")&amp;INDEX('01_予約入力'!$B$5:$B$404,$P19))&amp;IF(AND($P19&gt;0,$Q19&gt;0),"  ","")&amp;IF($Q19=0,"","◆ "&amp;INDEX('01_予約入力'!$B$5:$B$404,$Q19)&amp;IF(('02_カレンダー'!$B$5="○")," "&amp;INDEX('01_予約入力'!$AD$5:$AD$404,$Q19)&amp;"-"&amp;INDEX('01_予約入力'!$AE$5:$AE$404,$Q19),"")))</f>
        <v/>
      </c>
      <c r="E19" s="49">
        <f>IF(OR($A19="",E$6=""),"",IF($R19=0,"",INDEX('01_予約入力'!$B$5:$B$404,$R19)&amp;" ◀"&amp;IF(('02_カレンダー'!$B$5="○"),INDEX('01_予約入力'!$AE$5:$AE$404,$R19),""))&amp;IF(AND($R19&gt;0,OR($S19&gt;0,$T19&gt;0)),"  ","")&amp;IF($S19=0,"",IF(INDEX('01_予約入力'!$G$5:$G$404,$S19)=$A19,"▶"&amp;IF(('02_カレンダー'!$B$5="○"),INDEX('01_予約入力'!$AD$5:$AD$404,$S19)&amp;" "," "),"")&amp;INDEX('01_予約入力'!$B$5:$B$404,$S19))&amp;IF(AND($S19&gt;0,$T19&gt;0),"  ","")&amp;IF($T19=0,"","◆ "&amp;INDEX('01_予約入力'!$B$5:$B$404,$T19)&amp;IF(('02_カレンダー'!$B$5="○")," "&amp;INDEX('01_予約入力'!$AD$5:$AD$404,$T19)&amp;"-"&amp;INDEX('01_予約入力'!$AE$5:$AE$404,$T19),"")))</f>
        <v/>
      </c>
      <c r="F19" s="49">
        <f>IF(OR($A19="",F$6=""),"",IF($U19=0,"",INDEX('01_予約入力'!$B$5:$B$404,$U19)&amp;" ◀"&amp;IF(('02_カレンダー'!$B$5="○"),INDEX('01_予約入力'!$AE$5:$AE$404,$U19),""))&amp;IF(AND($U19&gt;0,OR($V19&gt;0,$W19&gt;0)),"  ","")&amp;IF($V19=0,"",IF(INDEX('01_予約入力'!$G$5:$G$404,$V19)=$A19,"▶"&amp;IF(('02_カレンダー'!$B$5="○"),INDEX('01_予約入力'!$AD$5:$AD$404,$V19)&amp;" "," "),"")&amp;INDEX('01_予約入力'!$B$5:$B$404,$V19))&amp;IF(AND($V19&gt;0,$W19&gt;0),"  ","")&amp;IF($W19=0,"","◆ "&amp;INDEX('01_予約入力'!$B$5:$B$404,$W19)&amp;IF(('02_カレンダー'!$B$5="○")," "&amp;INDEX('01_予約入力'!$AD$5:$AD$404,$W19)&amp;"-"&amp;INDEX('01_予約入力'!$AE$5:$AE$404,$W19),"")))</f>
        <v/>
      </c>
      <c r="G19" s="45">
        <f>IF($A19="","",SUMPRODUCT(('01_予約入力'!$G$5:$G$404&lt;&gt;"")*('01_予約入力'!$Q$5:$Q$404&lt;&gt;"キャンセル")*('01_予約入力'!$G$5:$G$404&lt;=$A19)*('01_予約入力'!$J$5:$J$404&gt;$A19)))</f>
        <v/>
      </c>
      <c r="H19" s="45">
        <f>IF($A19="","",'M_施設設定'!$B$6-$G19)</f>
        <v/>
      </c>
      <c r="I19" s="45">
        <f>IF($A19="","",SUMPRODUCT((('01_予約入力'!$Q$5:$Q$404="仮予約")+('01_予約入力'!$Q$5:$Q$404="調整中"))*('01_予約入力'!$G$5:$G$404&lt;&gt;"")*('01_予約入力'!$G$5:$G$404&lt;=$A19)*('01_予約入力'!$J$5:$J$404&gt;$A19)))</f>
        <v/>
      </c>
      <c r="J19" s="45">
        <f>IF($A19="","",IF($I19&gt;0,"仮",IF($H19&lt;=0,"×",IF($H19&lt;'M_施設設定'!$B$6,"△","○"))))</f>
        <v/>
      </c>
      <c r="K19" s="45">
        <f>IF($A19="","",SUMPRODUCT(('01_予約入力'!$G$5:$G$404&lt;&gt;"")*('01_予約入力'!$Q$5:$Q$404&lt;&gt;"キャンセル")*('01_予約入力'!$G$5:$G$404=$A19)*('01_予約入力'!$J$5:$J$404=$A19)))</f>
        <v/>
      </c>
      <c r="L19" s="45">
        <f>IF(OR($A19="",C$6=""),0,SUMPRODUCT(MAX(('01_予約入力'!$D$5:$D$404=C$6)*('01_予約入力'!$Q$5:$Q$404&lt;&gt;"キャンセル")*('01_予約入力'!$G$5:$G$404&lt;&gt;"")*('01_予約入力'!$J$5:$J$404=$A19)*('01_予約入力'!$G$5:$G$404&lt;$A19)*(ROW('01_予約入力'!$G$5:$G$404)-4))))</f>
        <v/>
      </c>
      <c r="M19" s="45">
        <f>IF(OR($A19="",C$6=""),0,SUMPRODUCT(MAX(('01_予約入力'!$D$5:$D$404=C$6)*('01_予約入力'!$Q$5:$Q$404&lt;&gt;"キャンセル")*('01_予約入力'!$G$5:$G$404&lt;&gt;"")*('01_予約入力'!$G$5:$G$404&lt;=$A19)*('01_予約入力'!$J$5:$J$404&gt;$A19)*(ROW('01_予約入力'!$G$5:$G$404)-4))))</f>
        <v/>
      </c>
      <c r="N19" s="45">
        <f>IF(OR($A19="",C$6=""),0,SUMPRODUCT(MAX(('01_予約入力'!$D$5:$D$404=C$6)*('01_予約入力'!$Q$5:$Q$404&lt;&gt;"キャンセル")*('01_予約入力'!$G$5:$G$404&lt;&gt;"")*('01_予約入力'!$G$5:$G$404=$A19)*('01_予約入力'!$J$5:$J$404=$A19)*(ROW('01_予約入力'!$G$5:$G$404)-4))))</f>
        <v/>
      </c>
      <c r="O19" s="45">
        <f>IF(OR($A19="",D$6=""),0,SUMPRODUCT(MAX(('01_予約入力'!$D$5:$D$404=D$6)*('01_予約入力'!$Q$5:$Q$404&lt;&gt;"キャンセル")*('01_予約入力'!$G$5:$G$404&lt;&gt;"")*('01_予約入力'!$J$5:$J$404=$A19)*('01_予約入力'!$G$5:$G$404&lt;$A19)*(ROW('01_予約入力'!$G$5:$G$404)-4))))</f>
        <v/>
      </c>
      <c r="P19" s="45">
        <f>IF(OR($A19="",D$6=""),0,SUMPRODUCT(MAX(('01_予約入力'!$D$5:$D$404=D$6)*('01_予約入力'!$Q$5:$Q$404&lt;&gt;"キャンセル")*('01_予約入力'!$G$5:$G$404&lt;&gt;"")*('01_予約入力'!$G$5:$G$404&lt;=$A19)*('01_予約入力'!$J$5:$J$404&gt;$A19)*(ROW('01_予約入力'!$G$5:$G$404)-4))))</f>
        <v/>
      </c>
      <c r="Q19" s="45">
        <f>IF(OR($A19="",D$6=""),0,SUMPRODUCT(MAX(('01_予約入力'!$D$5:$D$404=D$6)*('01_予約入力'!$Q$5:$Q$404&lt;&gt;"キャンセル")*('01_予約入力'!$G$5:$G$404&lt;&gt;"")*('01_予約入力'!$G$5:$G$404=$A19)*('01_予約入力'!$J$5:$J$404=$A19)*(ROW('01_予約入力'!$G$5:$G$404)-4))))</f>
        <v/>
      </c>
      <c r="R19" s="45">
        <f>IF(OR($A19="",E$6=""),0,SUMPRODUCT(MAX(('01_予約入力'!$D$5:$D$404=E$6)*('01_予約入力'!$Q$5:$Q$404&lt;&gt;"キャンセル")*('01_予約入力'!$G$5:$G$404&lt;&gt;"")*('01_予約入力'!$J$5:$J$404=$A19)*('01_予約入力'!$G$5:$G$404&lt;$A19)*(ROW('01_予約入力'!$G$5:$G$404)-4))))</f>
        <v/>
      </c>
      <c r="S19" s="45">
        <f>IF(OR($A19="",E$6=""),0,SUMPRODUCT(MAX(('01_予約入力'!$D$5:$D$404=E$6)*('01_予約入力'!$Q$5:$Q$404&lt;&gt;"キャンセル")*('01_予約入力'!$G$5:$G$404&lt;&gt;"")*('01_予約入力'!$G$5:$G$404&lt;=$A19)*('01_予約入力'!$J$5:$J$404&gt;$A19)*(ROW('01_予約入力'!$G$5:$G$404)-4))))</f>
        <v/>
      </c>
      <c r="T19" s="45">
        <f>IF(OR($A19="",E$6=""),0,SUMPRODUCT(MAX(('01_予約入力'!$D$5:$D$404=E$6)*('01_予約入力'!$Q$5:$Q$404&lt;&gt;"キャンセル")*('01_予約入力'!$G$5:$G$404&lt;&gt;"")*('01_予約入力'!$G$5:$G$404=$A19)*('01_予約入力'!$J$5:$J$404=$A19)*(ROW('01_予約入力'!$G$5:$G$404)-4))))</f>
        <v/>
      </c>
      <c r="U19" s="45">
        <f>IF(OR($A19="",F$6=""),0,SUMPRODUCT(MAX(('01_予約入力'!$D$5:$D$404=F$6)*('01_予約入力'!$Q$5:$Q$404&lt;&gt;"キャンセル")*('01_予約入力'!$G$5:$G$404&lt;&gt;"")*('01_予約入力'!$J$5:$J$404=$A19)*('01_予約入力'!$G$5:$G$404&lt;$A19)*(ROW('01_予約入力'!$G$5:$G$404)-4))))</f>
        <v/>
      </c>
      <c r="V19" s="45">
        <f>IF(OR($A19="",F$6=""),0,SUMPRODUCT(MAX(('01_予約入力'!$D$5:$D$404=F$6)*('01_予約入力'!$Q$5:$Q$404&lt;&gt;"キャンセル")*('01_予約入力'!$G$5:$G$404&lt;&gt;"")*('01_予約入力'!$G$5:$G$404&lt;=$A19)*('01_予約入力'!$J$5:$J$404&gt;$A19)*(ROW('01_予約入力'!$G$5:$G$404)-4))))</f>
        <v/>
      </c>
      <c r="W19" s="45">
        <f>IF(OR($A19="",F$6=""),0,SUMPRODUCT(MAX(('01_予約入力'!$D$5:$D$404=F$6)*('01_予約入力'!$Q$5:$Q$404&lt;&gt;"キャンセル")*('01_予約入力'!$G$5:$G$404&lt;&gt;"")*('01_予約入力'!$G$5:$G$404=$A19)*('01_予約入力'!$J$5:$J$404=$A19)*(ROW('01_予約入力'!$G$5:$G$404)-4))))</f>
        <v/>
      </c>
      <c r="X19" s="45">
        <f>IF($A19="","",IF($M19&gt;0,IF(OR(INDEX('01_予約入力'!$Q$5:$Q$404,$M19)="仮予約",INDEX('01_予約入力'!$Q$5:$Q$404,$M19)="調整中"),"仮",INDEX('01_予約入力'!$C$5:$C$404,$M19)),IF($N19&gt;0,IF(OR(INDEX('01_予約入力'!$Q$5:$Q$404,$N19)="仮予約",INDEX('01_予約入力'!$Q$5:$Q$404,$N19)="調整中"),"仮",INDEX('01_予約入力'!$C$5:$C$404,$N19)),IF($L19&gt;0,IF(OR(INDEX('01_予約入力'!$Q$5:$Q$404,$L19)="仮予約",INDEX('01_予約入力'!$Q$5:$Q$404,$L19)="調整中"),"仮",INDEX('01_予約入力'!$C$5:$C$404,$L19)),""))))</f>
        <v/>
      </c>
      <c r="Y19" s="45">
        <f>IF($A19="","",IF($P19&gt;0,IF(OR(INDEX('01_予約入力'!$Q$5:$Q$404,$P19)="仮予約",INDEX('01_予約入力'!$Q$5:$Q$404,$P19)="調整中"),"仮",INDEX('01_予約入力'!$C$5:$C$404,$P19)),IF($Q19&gt;0,IF(OR(INDEX('01_予約入力'!$Q$5:$Q$404,$Q19)="仮予約",INDEX('01_予約入力'!$Q$5:$Q$404,$Q19)="調整中"),"仮",INDEX('01_予約入力'!$C$5:$C$404,$Q19)),IF($O19&gt;0,IF(OR(INDEX('01_予約入力'!$Q$5:$Q$404,$O19)="仮予約",INDEX('01_予約入力'!$Q$5:$Q$404,$O19)="調整中"),"仮",INDEX('01_予約入力'!$C$5:$C$404,$O19)),""))))</f>
        <v/>
      </c>
      <c r="Z19" s="45">
        <f>IF($A19="","",IF($S19&gt;0,IF(OR(INDEX('01_予約入力'!$Q$5:$Q$404,$S19)="仮予約",INDEX('01_予約入力'!$Q$5:$Q$404,$S19)="調整中"),"仮",INDEX('01_予約入力'!$C$5:$C$404,$S19)),IF($T19&gt;0,IF(OR(INDEX('01_予約入力'!$Q$5:$Q$404,$T19)="仮予約",INDEX('01_予約入力'!$Q$5:$Q$404,$T19)="調整中"),"仮",INDEX('01_予約入力'!$C$5:$C$404,$T19)),IF($R19&gt;0,IF(OR(INDEX('01_予約入力'!$Q$5:$Q$404,$R19)="仮予約",INDEX('01_予約入力'!$Q$5:$Q$404,$R19)="調整中"),"仮",INDEX('01_予約入力'!$C$5:$C$404,$R19)),""))))</f>
        <v/>
      </c>
      <c r="AA19" s="45">
        <f>IF($A19="","",IF($V19&gt;0,IF(OR(INDEX('01_予約入力'!$Q$5:$Q$404,$V19)="仮予約",INDEX('01_予約入力'!$Q$5:$Q$404,$V19)="調整中"),"仮",INDEX('01_予約入力'!$C$5:$C$404,$V19)),IF($W19&gt;0,IF(OR(INDEX('01_予約入力'!$Q$5:$Q$404,$W19)="仮予約",INDEX('01_予約入力'!$Q$5:$Q$404,$W19)="調整中"),"仮",INDEX('01_予約入力'!$C$5:$C$404,$W19)),IF($U19&gt;0,IF(OR(INDEX('01_予約入力'!$Q$5:$Q$404,$U19)="仮予約",INDEX('01_予約入力'!$Q$5:$Q$404,$U19)="調整中"),"仮",INDEX('01_予約入力'!$C$5:$C$404,$U19)),""))))</f>
        <v/>
      </c>
      <c r="AB19" s="45">
        <f>IF($A19="",0,SUMPRODUCT(('01_予約入力'!$G$5:$G$404&lt;&gt;"")*('01_予約入力'!$Q$5:$Q$404&lt;&gt;"キャンセル")*(('01_予約入力'!$L$5:$L$404="○")*('01_予約入力'!$G$5:$G$404&lt;=$A19)*('01_予約入力'!$J$5:$J$404&gt;=$A19)+('01_予約入力'!$L$5:$L$404="")*('01_予約入力'!$G$5:$G$404&lt;$A19)*('01_予約入力'!$J$5:$J$404&gt;=$A19))))</f>
        <v/>
      </c>
      <c r="AC19" s="45">
        <f>IF($A19="",0,SUMPRODUCT(('01_予約入力'!$G$5:$G$404&lt;&gt;"")*('01_予約入力'!$Q$5:$Q$404&lt;&gt;"キャンセル")*(('01_予約入力'!$M$5:$M$404="○")*('01_予約入力'!$G$5:$G$404&lt;=$A19)*('01_予約入力'!$J$5:$J$404&gt;=$A19)+('01_予約入力'!$M$5:$M$404="")*((('01_予約入力'!$G$5:$G$404&lt;$A19)*('01_予約入力'!$J$5:$J$404&gt;$A19))+(('01_予約入力'!$G$5:$G$404=$A19)*('01_予約入力'!$J$5:$J$404=$A19))))))</f>
        <v/>
      </c>
      <c r="AD19" s="45">
        <f>IF($A19="",0,SUMPRODUCT(('01_予約入力'!$G$5:$G$404&lt;&gt;"")*('01_予約入力'!$Q$5:$Q$404&lt;&gt;"キャンセル")*(('01_予約入力'!$N$5:$N$404="○")*('01_予約入力'!$G$5:$G$404&lt;=$A19)*('01_予約入力'!$J$5:$J$404&gt;=$A19)+('01_予約入力'!$N$5:$N$404="")*('01_予約入力'!$G$5:$G$404&lt;=$A19)*('01_予約入力'!$J$5:$J$404&gt;$A19))))</f>
        <v/>
      </c>
      <c r="AE19" s="45">
        <f>IF($A19="",0,IFERROR(MATCH($A19,'02_カレンダー'!$B$59:$B$78,0),0))</f>
        <v/>
      </c>
      <c r="AF19" s="45">
        <f>IF($A19="",0,IF($AE19=0,$AB19,IF(INDEX('02_カレンダー'!$C$59:$C$78,$AE19)="",$AB19,INDEX('02_カレンダー'!$C$59:$C$78,$AE19))))</f>
        <v/>
      </c>
      <c r="AG19" s="45">
        <f>IF($A19="",0,IF($AE19=0,$AC19,IF(INDEX('02_カレンダー'!$D$59:$D$78,$AE19)="",$AC19,INDEX('02_カレンダー'!$D$59:$D$78,$AE19))))</f>
        <v/>
      </c>
      <c r="AH19" s="45">
        <f>IF($A19="",0,IF($AE19=0,$AD19,IF(INDEX('02_カレンダー'!$E$59:$E$78,$AE19)="",$AD19,INDEX('02_カレンダー'!$E$59:$E$78,$AE19))))</f>
        <v/>
      </c>
      <c r="AI19" s="45">
        <f>IF($A19="","",IF(AND($AF19=0,$AG19=0,$AH19=0),"","朝"&amp;$AF19&amp;" 昼"&amp;$AG19&amp;" 夕"&amp;$AH19&amp;IF($AJ19=0,"","　※調整")))</f>
        <v/>
      </c>
      <c r="AJ19" s="45">
        <f>IF(OR($A19="",$AE19=0),0,IF(OR(INDEX('02_カレンダー'!$C$59:$C$78,$AE19)&lt;&gt;"",INDEX('02_カレンダー'!$D$59:$D$78,$AE19)&lt;&gt;"",INDEX('02_カレンダー'!$E$59:$E$78,$AE19)&lt;&gt;""),1,0))</f>
        <v/>
      </c>
    </row>
    <row r="20">
      <c r="A20" s="38">
        <f>IF(MONTH('02_カレンダー'!$B$4+13)&lt;&gt;MONTH('02_カレンダー'!$B$4),"",'02_カレンダー'!$B$4+13)</f>
        <v/>
      </c>
      <c r="B20" s="45">
        <f>IF($A20="","",MID("日月火水木金土",WEEKDAY($A20),1))</f>
        <v/>
      </c>
      <c r="C20" s="49">
        <f>IF(OR($A20="",C$6=""),"",IF($L20=0,"",INDEX('01_予約入力'!$B$5:$B$404,$L20)&amp;" ◀"&amp;IF(('02_カレンダー'!$B$5="○"),INDEX('01_予約入力'!$AE$5:$AE$404,$L20),""))&amp;IF(AND($L20&gt;0,OR($M20&gt;0,$N20&gt;0)),"  ","")&amp;IF($M20=0,"",IF(INDEX('01_予約入力'!$G$5:$G$404,$M20)=$A20,"▶"&amp;IF(('02_カレンダー'!$B$5="○"),INDEX('01_予約入力'!$AD$5:$AD$404,$M20)&amp;" "," "),"")&amp;INDEX('01_予約入力'!$B$5:$B$404,$M20))&amp;IF(AND($M20&gt;0,$N20&gt;0),"  ","")&amp;IF($N20=0,"","◆ "&amp;INDEX('01_予約入力'!$B$5:$B$404,$N20)&amp;IF(('02_カレンダー'!$B$5="○")," "&amp;INDEX('01_予約入力'!$AD$5:$AD$404,$N20)&amp;"-"&amp;INDEX('01_予約入力'!$AE$5:$AE$404,$N20),"")))</f>
        <v/>
      </c>
      <c r="D20" s="49">
        <f>IF(OR($A20="",D$6=""),"",IF($O20=0,"",INDEX('01_予約入力'!$B$5:$B$404,$O20)&amp;" ◀"&amp;IF(('02_カレンダー'!$B$5="○"),INDEX('01_予約入力'!$AE$5:$AE$404,$O20),""))&amp;IF(AND($O20&gt;0,OR($P20&gt;0,$Q20&gt;0)),"  ","")&amp;IF($P20=0,"",IF(INDEX('01_予約入力'!$G$5:$G$404,$P20)=$A20,"▶"&amp;IF(('02_カレンダー'!$B$5="○"),INDEX('01_予約入力'!$AD$5:$AD$404,$P20)&amp;" "," "),"")&amp;INDEX('01_予約入力'!$B$5:$B$404,$P20))&amp;IF(AND($P20&gt;0,$Q20&gt;0),"  ","")&amp;IF($Q20=0,"","◆ "&amp;INDEX('01_予約入力'!$B$5:$B$404,$Q20)&amp;IF(('02_カレンダー'!$B$5="○")," "&amp;INDEX('01_予約入力'!$AD$5:$AD$404,$Q20)&amp;"-"&amp;INDEX('01_予約入力'!$AE$5:$AE$404,$Q20),"")))</f>
        <v/>
      </c>
      <c r="E20" s="49">
        <f>IF(OR($A20="",E$6=""),"",IF($R20=0,"",INDEX('01_予約入力'!$B$5:$B$404,$R20)&amp;" ◀"&amp;IF(('02_カレンダー'!$B$5="○"),INDEX('01_予約入力'!$AE$5:$AE$404,$R20),""))&amp;IF(AND($R20&gt;0,OR($S20&gt;0,$T20&gt;0)),"  ","")&amp;IF($S20=0,"",IF(INDEX('01_予約入力'!$G$5:$G$404,$S20)=$A20,"▶"&amp;IF(('02_カレンダー'!$B$5="○"),INDEX('01_予約入力'!$AD$5:$AD$404,$S20)&amp;" "," "),"")&amp;INDEX('01_予約入力'!$B$5:$B$404,$S20))&amp;IF(AND($S20&gt;0,$T20&gt;0),"  ","")&amp;IF($T20=0,"","◆ "&amp;INDEX('01_予約入力'!$B$5:$B$404,$T20)&amp;IF(('02_カレンダー'!$B$5="○")," "&amp;INDEX('01_予約入力'!$AD$5:$AD$404,$T20)&amp;"-"&amp;INDEX('01_予約入力'!$AE$5:$AE$404,$T20),"")))</f>
        <v/>
      </c>
      <c r="F20" s="49">
        <f>IF(OR($A20="",F$6=""),"",IF($U20=0,"",INDEX('01_予約入力'!$B$5:$B$404,$U20)&amp;" ◀"&amp;IF(('02_カレンダー'!$B$5="○"),INDEX('01_予約入力'!$AE$5:$AE$404,$U20),""))&amp;IF(AND($U20&gt;0,OR($V20&gt;0,$W20&gt;0)),"  ","")&amp;IF($V20=0,"",IF(INDEX('01_予約入力'!$G$5:$G$404,$V20)=$A20,"▶"&amp;IF(('02_カレンダー'!$B$5="○"),INDEX('01_予約入力'!$AD$5:$AD$404,$V20)&amp;" "," "),"")&amp;INDEX('01_予約入力'!$B$5:$B$404,$V20))&amp;IF(AND($V20&gt;0,$W20&gt;0),"  ","")&amp;IF($W20=0,"","◆ "&amp;INDEX('01_予約入力'!$B$5:$B$404,$W20)&amp;IF(('02_カレンダー'!$B$5="○")," "&amp;INDEX('01_予約入力'!$AD$5:$AD$404,$W20)&amp;"-"&amp;INDEX('01_予約入力'!$AE$5:$AE$404,$W20),"")))</f>
        <v/>
      </c>
      <c r="G20" s="45">
        <f>IF($A20="","",SUMPRODUCT(('01_予約入力'!$G$5:$G$404&lt;&gt;"")*('01_予約入力'!$Q$5:$Q$404&lt;&gt;"キャンセル")*('01_予約入力'!$G$5:$G$404&lt;=$A20)*('01_予約入力'!$J$5:$J$404&gt;$A20)))</f>
        <v/>
      </c>
      <c r="H20" s="45">
        <f>IF($A20="","",'M_施設設定'!$B$6-$G20)</f>
        <v/>
      </c>
      <c r="I20" s="45">
        <f>IF($A20="","",SUMPRODUCT((('01_予約入力'!$Q$5:$Q$404="仮予約")+('01_予約入力'!$Q$5:$Q$404="調整中"))*('01_予約入力'!$G$5:$G$404&lt;&gt;"")*('01_予約入力'!$G$5:$G$404&lt;=$A20)*('01_予約入力'!$J$5:$J$404&gt;$A20)))</f>
        <v/>
      </c>
      <c r="J20" s="45">
        <f>IF($A20="","",IF($I20&gt;0,"仮",IF($H20&lt;=0,"×",IF($H20&lt;'M_施設設定'!$B$6,"△","○"))))</f>
        <v/>
      </c>
      <c r="K20" s="45">
        <f>IF($A20="","",SUMPRODUCT(('01_予約入力'!$G$5:$G$404&lt;&gt;"")*('01_予約入力'!$Q$5:$Q$404&lt;&gt;"キャンセル")*('01_予約入力'!$G$5:$G$404=$A20)*('01_予約入力'!$J$5:$J$404=$A20)))</f>
        <v/>
      </c>
      <c r="L20" s="45">
        <f>IF(OR($A20="",C$6=""),0,SUMPRODUCT(MAX(('01_予約入力'!$D$5:$D$404=C$6)*('01_予約入力'!$Q$5:$Q$404&lt;&gt;"キャンセル")*('01_予約入力'!$G$5:$G$404&lt;&gt;"")*('01_予約入力'!$J$5:$J$404=$A20)*('01_予約入力'!$G$5:$G$404&lt;$A20)*(ROW('01_予約入力'!$G$5:$G$404)-4))))</f>
        <v/>
      </c>
      <c r="M20" s="45">
        <f>IF(OR($A20="",C$6=""),0,SUMPRODUCT(MAX(('01_予約入力'!$D$5:$D$404=C$6)*('01_予約入力'!$Q$5:$Q$404&lt;&gt;"キャンセル")*('01_予約入力'!$G$5:$G$404&lt;&gt;"")*('01_予約入力'!$G$5:$G$404&lt;=$A20)*('01_予約入力'!$J$5:$J$404&gt;$A20)*(ROW('01_予約入力'!$G$5:$G$404)-4))))</f>
        <v/>
      </c>
      <c r="N20" s="45">
        <f>IF(OR($A20="",C$6=""),0,SUMPRODUCT(MAX(('01_予約入力'!$D$5:$D$404=C$6)*('01_予約入力'!$Q$5:$Q$404&lt;&gt;"キャンセル")*('01_予約入力'!$G$5:$G$404&lt;&gt;"")*('01_予約入力'!$G$5:$G$404=$A20)*('01_予約入力'!$J$5:$J$404=$A20)*(ROW('01_予約入力'!$G$5:$G$404)-4))))</f>
        <v/>
      </c>
      <c r="O20" s="45">
        <f>IF(OR($A20="",D$6=""),0,SUMPRODUCT(MAX(('01_予約入力'!$D$5:$D$404=D$6)*('01_予約入力'!$Q$5:$Q$404&lt;&gt;"キャンセル")*('01_予約入力'!$G$5:$G$404&lt;&gt;"")*('01_予約入力'!$J$5:$J$404=$A20)*('01_予約入力'!$G$5:$G$404&lt;$A20)*(ROW('01_予約入力'!$G$5:$G$404)-4))))</f>
        <v/>
      </c>
      <c r="P20" s="45">
        <f>IF(OR($A20="",D$6=""),0,SUMPRODUCT(MAX(('01_予約入力'!$D$5:$D$404=D$6)*('01_予約入力'!$Q$5:$Q$404&lt;&gt;"キャンセル")*('01_予約入力'!$G$5:$G$404&lt;&gt;"")*('01_予約入力'!$G$5:$G$404&lt;=$A20)*('01_予約入力'!$J$5:$J$404&gt;$A20)*(ROW('01_予約入力'!$G$5:$G$404)-4))))</f>
        <v/>
      </c>
      <c r="Q20" s="45">
        <f>IF(OR($A20="",D$6=""),0,SUMPRODUCT(MAX(('01_予約入力'!$D$5:$D$404=D$6)*('01_予約入力'!$Q$5:$Q$404&lt;&gt;"キャンセル")*('01_予約入力'!$G$5:$G$404&lt;&gt;"")*('01_予約入力'!$G$5:$G$404=$A20)*('01_予約入力'!$J$5:$J$404=$A20)*(ROW('01_予約入力'!$G$5:$G$404)-4))))</f>
        <v/>
      </c>
      <c r="R20" s="45">
        <f>IF(OR($A20="",E$6=""),0,SUMPRODUCT(MAX(('01_予約入力'!$D$5:$D$404=E$6)*('01_予約入力'!$Q$5:$Q$404&lt;&gt;"キャンセル")*('01_予約入力'!$G$5:$G$404&lt;&gt;"")*('01_予約入力'!$J$5:$J$404=$A20)*('01_予約入力'!$G$5:$G$404&lt;$A20)*(ROW('01_予約入力'!$G$5:$G$404)-4))))</f>
        <v/>
      </c>
      <c r="S20" s="45">
        <f>IF(OR($A20="",E$6=""),0,SUMPRODUCT(MAX(('01_予約入力'!$D$5:$D$404=E$6)*('01_予約入力'!$Q$5:$Q$404&lt;&gt;"キャンセル")*('01_予約入力'!$G$5:$G$404&lt;&gt;"")*('01_予約入力'!$G$5:$G$404&lt;=$A20)*('01_予約入力'!$J$5:$J$404&gt;$A20)*(ROW('01_予約入力'!$G$5:$G$404)-4))))</f>
        <v/>
      </c>
      <c r="T20" s="45">
        <f>IF(OR($A20="",E$6=""),0,SUMPRODUCT(MAX(('01_予約入力'!$D$5:$D$404=E$6)*('01_予約入力'!$Q$5:$Q$404&lt;&gt;"キャンセル")*('01_予約入力'!$G$5:$G$404&lt;&gt;"")*('01_予約入力'!$G$5:$G$404=$A20)*('01_予約入力'!$J$5:$J$404=$A20)*(ROW('01_予約入力'!$G$5:$G$404)-4))))</f>
        <v/>
      </c>
      <c r="U20" s="45">
        <f>IF(OR($A20="",F$6=""),0,SUMPRODUCT(MAX(('01_予約入力'!$D$5:$D$404=F$6)*('01_予約入力'!$Q$5:$Q$404&lt;&gt;"キャンセル")*('01_予約入力'!$G$5:$G$404&lt;&gt;"")*('01_予約入力'!$J$5:$J$404=$A20)*('01_予約入力'!$G$5:$G$404&lt;$A20)*(ROW('01_予約入力'!$G$5:$G$404)-4))))</f>
        <v/>
      </c>
      <c r="V20" s="45">
        <f>IF(OR($A20="",F$6=""),0,SUMPRODUCT(MAX(('01_予約入力'!$D$5:$D$404=F$6)*('01_予約入力'!$Q$5:$Q$404&lt;&gt;"キャンセル")*('01_予約入力'!$G$5:$G$404&lt;&gt;"")*('01_予約入力'!$G$5:$G$404&lt;=$A20)*('01_予約入力'!$J$5:$J$404&gt;$A20)*(ROW('01_予約入力'!$G$5:$G$404)-4))))</f>
        <v/>
      </c>
      <c r="W20" s="45">
        <f>IF(OR($A20="",F$6=""),0,SUMPRODUCT(MAX(('01_予約入力'!$D$5:$D$404=F$6)*('01_予約入力'!$Q$5:$Q$404&lt;&gt;"キャンセル")*('01_予約入力'!$G$5:$G$404&lt;&gt;"")*('01_予約入力'!$G$5:$G$404=$A20)*('01_予約入力'!$J$5:$J$404=$A20)*(ROW('01_予約入力'!$G$5:$G$404)-4))))</f>
        <v/>
      </c>
      <c r="X20" s="45">
        <f>IF($A20="","",IF($M20&gt;0,IF(OR(INDEX('01_予約入力'!$Q$5:$Q$404,$M20)="仮予約",INDEX('01_予約入力'!$Q$5:$Q$404,$M20)="調整中"),"仮",INDEX('01_予約入力'!$C$5:$C$404,$M20)),IF($N20&gt;0,IF(OR(INDEX('01_予約入力'!$Q$5:$Q$404,$N20)="仮予約",INDEX('01_予約入力'!$Q$5:$Q$404,$N20)="調整中"),"仮",INDEX('01_予約入力'!$C$5:$C$404,$N20)),IF($L20&gt;0,IF(OR(INDEX('01_予約入力'!$Q$5:$Q$404,$L20)="仮予約",INDEX('01_予約入力'!$Q$5:$Q$404,$L20)="調整中"),"仮",INDEX('01_予約入力'!$C$5:$C$404,$L20)),""))))</f>
        <v/>
      </c>
      <c r="Y20" s="45">
        <f>IF($A20="","",IF($P20&gt;0,IF(OR(INDEX('01_予約入力'!$Q$5:$Q$404,$P20)="仮予約",INDEX('01_予約入力'!$Q$5:$Q$404,$P20)="調整中"),"仮",INDEX('01_予約入力'!$C$5:$C$404,$P20)),IF($Q20&gt;0,IF(OR(INDEX('01_予約入力'!$Q$5:$Q$404,$Q20)="仮予約",INDEX('01_予約入力'!$Q$5:$Q$404,$Q20)="調整中"),"仮",INDEX('01_予約入力'!$C$5:$C$404,$Q20)),IF($O20&gt;0,IF(OR(INDEX('01_予約入力'!$Q$5:$Q$404,$O20)="仮予約",INDEX('01_予約入力'!$Q$5:$Q$404,$O20)="調整中"),"仮",INDEX('01_予約入力'!$C$5:$C$404,$O20)),""))))</f>
        <v/>
      </c>
      <c r="Z20" s="45">
        <f>IF($A20="","",IF($S20&gt;0,IF(OR(INDEX('01_予約入力'!$Q$5:$Q$404,$S20)="仮予約",INDEX('01_予約入力'!$Q$5:$Q$404,$S20)="調整中"),"仮",INDEX('01_予約入力'!$C$5:$C$404,$S20)),IF($T20&gt;0,IF(OR(INDEX('01_予約入力'!$Q$5:$Q$404,$T20)="仮予約",INDEX('01_予約入力'!$Q$5:$Q$404,$T20)="調整中"),"仮",INDEX('01_予約入力'!$C$5:$C$404,$T20)),IF($R20&gt;0,IF(OR(INDEX('01_予約入力'!$Q$5:$Q$404,$R20)="仮予約",INDEX('01_予約入力'!$Q$5:$Q$404,$R20)="調整中"),"仮",INDEX('01_予約入力'!$C$5:$C$404,$R20)),""))))</f>
        <v/>
      </c>
      <c r="AA20" s="45">
        <f>IF($A20="","",IF($V20&gt;0,IF(OR(INDEX('01_予約入力'!$Q$5:$Q$404,$V20)="仮予約",INDEX('01_予約入力'!$Q$5:$Q$404,$V20)="調整中"),"仮",INDEX('01_予約入力'!$C$5:$C$404,$V20)),IF($W20&gt;0,IF(OR(INDEX('01_予約入力'!$Q$5:$Q$404,$W20)="仮予約",INDEX('01_予約入力'!$Q$5:$Q$404,$W20)="調整中"),"仮",INDEX('01_予約入力'!$C$5:$C$404,$W20)),IF($U20&gt;0,IF(OR(INDEX('01_予約入力'!$Q$5:$Q$404,$U20)="仮予約",INDEX('01_予約入力'!$Q$5:$Q$404,$U20)="調整中"),"仮",INDEX('01_予約入力'!$C$5:$C$404,$U20)),""))))</f>
        <v/>
      </c>
      <c r="AB20" s="45">
        <f>IF($A20="",0,SUMPRODUCT(('01_予約入力'!$G$5:$G$404&lt;&gt;"")*('01_予約入力'!$Q$5:$Q$404&lt;&gt;"キャンセル")*(('01_予約入力'!$L$5:$L$404="○")*('01_予約入力'!$G$5:$G$404&lt;=$A20)*('01_予約入力'!$J$5:$J$404&gt;=$A20)+('01_予約入力'!$L$5:$L$404="")*('01_予約入力'!$G$5:$G$404&lt;$A20)*('01_予約入力'!$J$5:$J$404&gt;=$A20))))</f>
        <v/>
      </c>
      <c r="AC20" s="45">
        <f>IF($A20="",0,SUMPRODUCT(('01_予約入力'!$G$5:$G$404&lt;&gt;"")*('01_予約入力'!$Q$5:$Q$404&lt;&gt;"キャンセル")*(('01_予約入力'!$M$5:$M$404="○")*('01_予約入力'!$G$5:$G$404&lt;=$A20)*('01_予約入力'!$J$5:$J$404&gt;=$A20)+('01_予約入力'!$M$5:$M$404="")*((('01_予約入力'!$G$5:$G$404&lt;$A20)*('01_予約入力'!$J$5:$J$404&gt;$A20))+(('01_予約入力'!$G$5:$G$404=$A20)*('01_予約入力'!$J$5:$J$404=$A20))))))</f>
        <v/>
      </c>
      <c r="AD20" s="45">
        <f>IF($A20="",0,SUMPRODUCT(('01_予約入力'!$G$5:$G$404&lt;&gt;"")*('01_予約入力'!$Q$5:$Q$404&lt;&gt;"キャンセル")*(('01_予約入力'!$N$5:$N$404="○")*('01_予約入力'!$G$5:$G$404&lt;=$A20)*('01_予約入力'!$J$5:$J$404&gt;=$A20)+('01_予約入力'!$N$5:$N$404="")*('01_予約入力'!$G$5:$G$404&lt;=$A20)*('01_予約入力'!$J$5:$J$404&gt;$A20))))</f>
        <v/>
      </c>
      <c r="AE20" s="45">
        <f>IF($A20="",0,IFERROR(MATCH($A20,'02_カレンダー'!$B$59:$B$78,0),0))</f>
        <v/>
      </c>
      <c r="AF20" s="45">
        <f>IF($A20="",0,IF($AE20=0,$AB20,IF(INDEX('02_カレンダー'!$C$59:$C$78,$AE20)="",$AB20,INDEX('02_カレンダー'!$C$59:$C$78,$AE20))))</f>
        <v/>
      </c>
      <c r="AG20" s="45">
        <f>IF($A20="",0,IF($AE20=0,$AC20,IF(INDEX('02_カレンダー'!$D$59:$D$78,$AE20)="",$AC20,INDEX('02_カレンダー'!$D$59:$D$78,$AE20))))</f>
        <v/>
      </c>
      <c r="AH20" s="45">
        <f>IF($A20="",0,IF($AE20=0,$AD20,IF(INDEX('02_カレンダー'!$E$59:$E$78,$AE20)="",$AD20,INDEX('02_カレンダー'!$E$59:$E$78,$AE20))))</f>
        <v/>
      </c>
      <c r="AI20" s="45">
        <f>IF($A20="","",IF(AND($AF20=0,$AG20=0,$AH20=0),"","朝"&amp;$AF20&amp;" 昼"&amp;$AG20&amp;" 夕"&amp;$AH20&amp;IF($AJ20=0,"","　※調整")))</f>
        <v/>
      </c>
      <c r="AJ20" s="45">
        <f>IF(OR($A20="",$AE20=0),0,IF(OR(INDEX('02_カレンダー'!$C$59:$C$78,$AE20)&lt;&gt;"",INDEX('02_カレンダー'!$D$59:$D$78,$AE20)&lt;&gt;"",INDEX('02_カレンダー'!$E$59:$E$78,$AE20)&lt;&gt;""),1,0))</f>
        <v/>
      </c>
    </row>
    <row r="21">
      <c r="A21" s="38">
        <f>IF(MONTH('02_カレンダー'!$B$4+14)&lt;&gt;MONTH('02_カレンダー'!$B$4),"",'02_カレンダー'!$B$4+14)</f>
        <v/>
      </c>
      <c r="B21" s="45">
        <f>IF($A21="","",MID("日月火水木金土",WEEKDAY($A21),1))</f>
        <v/>
      </c>
      <c r="C21" s="49">
        <f>IF(OR($A21="",C$6=""),"",IF($L21=0,"",INDEX('01_予約入力'!$B$5:$B$404,$L21)&amp;" ◀"&amp;IF(('02_カレンダー'!$B$5="○"),INDEX('01_予約入力'!$AE$5:$AE$404,$L21),""))&amp;IF(AND($L21&gt;0,OR($M21&gt;0,$N21&gt;0)),"  ","")&amp;IF($M21=0,"",IF(INDEX('01_予約入力'!$G$5:$G$404,$M21)=$A21,"▶"&amp;IF(('02_カレンダー'!$B$5="○"),INDEX('01_予約入力'!$AD$5:$AD$404,$M21)&amp;" "," "),"")&amp;INDEX('01_予約入力'!$B$5:$B$404,$M21))&amp;IF(AND($M21&gt;0,$N21&gt;0),"  ","")&amp;IF($N21=0,"","◆ "&amp;INDEX('01_予約入力'!$B$5:$B$404,$N21)&amp;IF(('02_カレンダー'!$B$5="○")," "&amp;INDEX('01_予約入力'!$AD$5:$AD$404,$N21)&amp;"-"&amp;INDEX('01_予約入力'!$AE$5:$AE$404,$N21),"")))</f>
        <v/>
      </c>
      <c r="D21" s="49">
        <f>IF(OR($A21="",D$6=""),"",IF($O21=0,"",INDEX('01_予約入力'!$B$5:$B$404,$O21)&amp;" ◀"&amp;IF(('02_カレンダー'!$B$5="○"),INDEX('01_予約入力'!$AE$5:$AE$404,$O21),""))&amp;IF(AND($O21&gt;0,OR($P21&gt;0,$Q21&gt;0)),"  ","")&amp;IF($P21=0,"",IF(INDEX('01_予約入力'!$G$5:$G$404,$P21)=$A21,"▶"&amp;IF(('02_カレンダー'!$B$5="○"),INDEX('01_予約入力'!$AD$5:$AD$404,$P21)&amp;" "," "),"")&amp;INDEX('01_予約入力'!$B$5:$B$404,$P21))&amp;IF(AND($P21&gt;0,$Q21&gt;0),"  ","")&amp;IF($Q21=0,"","◆ "&amp;INDEX('01_予約入力'!$B$5:$B$404,$Q21)&amp;IF(('02_カレンダー'!$B$5="○")," "&amp;INDEX('01_予約入力'!$AD$5:$AD$404,$Q21)&amp;"-"&amp;INDEX('01_予約入力'!$AE$5:$AE$404,$Q21),"")))</f>
        <v/>
      </c>
      <c r="E21" s="49">
        <f>IF(OR($A21="",E$6=""),"",IF($R21=0,"",INDEX('01_予約入力'!$B$5:$B$404,$R21)&amp;" ◀"&amp;IF(('02_カレンダー'!$B$5="○"),INDEX('01_予約入力'!$AE$5:$AE$404,$R21),""))&amp;IF(AND($R21&gt;0,OR($S21&gt;0,$T21&gt;0)),"  ","")&amp;IF($S21=0,"",IF(INDEX('01_予約入力'!$G$5:$G$404,$S21)=$A21,"▶"&amp;IF(('02_カレンダー'!$B$5="○"),INDEX('01_予約入力'!$AD$5:$AD$404,$S21)&amp;" "," "),"")&amp;INDEX('01_予約入力'!$B$5:$B$404,$S21))&amp;IF(AND($S21&gt;0,$T21&gt;0),"  ","")&amp;IF($T21=0,"","◆ "&amp;INDEX('01_予約入力'!$B$5:$B$404,$T21)&amp;IF(('02_カレンダー'!$B$5="○")," "&amp;INDEX('01_予約入力'!$AD$5:$AD$404,$T21)&amp;"-"&amp;INDEX('01_予約入力'!$AE$5:$AE$404,$T21),"")))</f>
        <v/>
      </c>
      <c r="F21" s="49">
        <f>IF(OR($A21="",F$6=""),"",IF($U21=0,"",INDEX('01_予約入力'!$B$5:$B$404,$U21)&amp;" ◀"&amp;IF(('02_カレンダー'!$B$5="○"),INDEX('01_予約入力'!$AE$5:$AE$404,$U21),""))&amp;IF(AND($U21&gt;0,OR($V21&gt;0,$W21&gt;0)),"  ","")&amp;IF($V21=0,"",IF(INDEX('01_予約入力'!$G$5:$G$404,$V21)=$A21,"▶"&amp;IF(('02_カレンダー'!$B$5="○"),INDEX('01_予約入力'!$AD$5:$AD$404,$V21)&amp;" "," "),"")&amp;INDEX('01_予約入力'!$B$5:$B$404,$V21))&amp;IF(AND($V21&gt;0,$W21&gt;0),"  ","")&amp;IF($W21=0,"","◆ "&amp;INDEX('01_予約入力'!$B$5:$B$404,$W21)&amp;IF(('02_カレンダー'!$B$5="○")," "&amp;INDEX('01_予約入力'!$AD$5:$AD$404,$W21)&amp;"-"&amp;INDEX('01_予約入力'!$AE$5:$AE$404,$W21),"")))</f>
        <v/>
      </c>
      <c r="G21" s="45">
        <f>IF($A21="","",SUMPRODUCT(('01_予約入力'!$G$5:$G$404&lt;&gt;"")*('01_予約入力'!$Q$5:$Q$404&lt;&gt;"キャンセル")*('01_予約入力'!$G$5:$G$404&lt;=$A21)*('01_予約入力'!$J$5:$J$404&gt;$A21)))</f>
        <v/>
      </c>
      <c r="H21" s="45">
        <f>IF($A21="","",'M_施設設定'!$B$6-$G21)</f>
        <v/>
      </c>
      <c r="I21" s="45">
        <f>IF($A21="","",SUMPRODUCT((('01_予約入力'!$Q$5:$Q$404="仮予約")+('01_予約入力'!$Q$5:$Q$404="調整中"))*('01_予約入力'!$G$5:$G$404&lt;&gt;"")*('01_予約入力'!$G$5:$G$404&lt;=$A21)*('01_予約入力'!$J$5:$J$404&gt;$A21)))</f>
        <v/>
      </c>
      <c r="J21" s="45">
        <f>IF($A21="","",IF($I21&gt;0,"仮",IF($H21&lt;=0,"×",IF($H21&lt;'M_施設設定'!$B$6,"△","○"))))</f>
        <v/>
      </c>
      <c r="K21" s="45">
        <f>IF($A21="","",SUMPRODUCT(('01_予約入力'!$G$5:$G$404&lt;&gt;"")*('01_予約入力'!$Q$5:$Q$404&lt;&gt;"キャンセル")*('01_予約入力'!$G$5:$G$404=$A21)*('01_予約入力'!$J$5:$J$404=$A21)))</f>
        <v/>
      </c>
      <c r="L21" s="45">
        <f>IF(OR($A21="",C$6=""),0,SUMPRODUCT(MAX(('01_予約入力'!$D$5:$D$404=C$6)*('01_予約入力'!$Q$5:$Q$404&lt;&gt;"キャンセル")*('01_予約入力'!$G$5:$G$404&lt;&gt;"")*('01_予約入力'!$J$5:$J$404=$A21)*('01_予約入力'!$G$5:$G$404&lt;$A21)*(ROW('01_予約入力'!$G$5:$G$404)-4))))</f>
        <v/>
      </c>
      <c r="M21" s="45">
        <f>IF(OR($A21="",C$6=""),0,SUMPRODUCT(MAX(('01_予約入力'!$D$5:$D$404=C$6)*('01_予約入力'!$Q$5:$Q$404&lt;&gt;"キャンセル")*('01_予約入力'!$G$5:$G$404&lt;&gt;"")*('01_予約入力'!$G$5:$G$404&lt;=$A21)*('01_予約入力'!$J$5:$J$404&gt;$A21)*(ROW('01_予約入力'!$G$5:$G$404)-4))))</f>
        <v/>
      </c>
      <c r="N21" s="45">
        <f>IF(OR($A21="",C$6=""),0,SUMPRODUCT(MAX(('01_予約入力'!$D$5:$D$404=C$6)*('01_予約入力'!$Q$5:$Q$404&lt;&gt;"キャンセル")*('01_予約入力'!$G$5:$G$404&lt;&gt;"")*('01_予約入力'!$G$5:$G$404=$A21)*('01_予約入力'!$J$5:$J$404=$A21)*(ROW('01_予約入力'!$G$5:$G$404)-4))))</f>
        <v/>
      </c>
      <c r="O21" s="45">
        <f>IF(OR($A21="",D$6=""),0,SUMPRODUCT(MAX(('01_予約入力'!$D$5:$D$404=D$6)*('01_予約入力'!$Q$5:$Q$404&lt;&gt;"キャンセル")*('01_予約入力'!$G$5:$G$404&lt;&gt;"")*('01_予約入力'!$J$5:$J$404=$A21)*('01_予約入力'!$G$5:$G$404&lt;$A21)*(ROW('01_予約入力'!$G$5:$G$404)-4))))</f>
        <v/>
      </c>
      <c r="P21" s="45">
        <f>IF(OR($A21="",D$6=""),0,SUMPRODUCT(MAX(('01_予約入力'!$D$5:$D$404=D$6)*('01_予約入力'!$Q$5:$Q$404&lt;&gt;"キャンセル")*('01_予約入力'!$G$5:$G$404&lt;&gt;"")*('01_予約入力'!$G$5:$G$404&lt;=$A21)*('01_予約入力'!$J$5:$J$404&gt;$A21)*(ROW('01_予約入力'!$G$5:$G$404)-4))))</f>
        <v/>
      </c>
      <c r="Q21" s="45">
        <f>IF(OR($A21="",D$6=""),0,SUMPRODUCT(MAX(('01_予約入力'!$D$5:$D$404=D$6)*('01_予約入力'!$Q$5:$Q$404&lt;&gt;"キャンセル")*('01_予約入力'!$G$5:$G$404&lt;&gt;"")*('01_予約入力'!$G$5:$G$404=$A21)*('01_予約入力'!$J$5:$J$404=$A21)*(ROW('01_予約入力'!$G$5:$G$404)-4))))</f>
        <v/>
      </c>
      <c r="R21" s="45">
        <f>IF(OR($A21="",E$6=""),0,SUMPRODUCT(MAX(('01_予約入力'!$D$5:$D$404=E$6)*('01_予約入力'!$Q$5:$Q$404&lt;&gt;"キャンセル")*('01_予約入力'!$G$5:$G$404&lt;&gt;"")*('01_予約入力'!$J$5:$J$404=$A21)*('01_予約入力'!$G$5:$G$404&lt;$A21)*(ROW('01_予約入力'!$G$5:$G$404)-4))))</f>
        <v/>
      </c>
      <c r="S21" s="45">
        <f>IF(OR($A21="",E$6=""),0,SUMPRODUCT(MAX(('01_予約入力'!$D$5:$D$404=E$6)*('01_予約入力'!$Q$5:$Q$404&lt;&gt;"キャンセル")*('01_予約入力'!$G$5:$G$404&lt;&gt;"")*('01_予約入力'!$G$5:$G$404&lt;=$A21)*('01_予約入力'!$J$5:$J$404&gt;$A21)*(ROW('01_予約入力'!$G$5:$G$404)-4))))</f>
        <v/>
      </c>
      <c r="T21" s="45">
        <f>IF(OR($A21="",E$6=""),0,SUMPRODUCT(MAX(('01_予約入力'!$D$5:$D$404=E$6)*('01_予約入力'!$Q$5:$Q$404&lt;&gt;"キャンセル")*('01_予約入力'!$G$5:$G$404&lt;&gt;"")*('01_予約入力'!$G$5:$G$404=$A21)*('01_予約入力'!$J$5:$J$404=$A21)*(ROW('01_予約入力'!$G$5:$G$404)-4))))</f>
        <v/>
      </c>
      <c r="U21" s="45">
        <f>IF(OR($A21="",F$6=""),0,SUMPRODUCT(MAX(('01_予約入力'!$D$5:$D$404=F$6)*('01_予約入力'!$Q$5:$Q$404&lt;&gt;"キャンセル")*('01_予約入力'!$G$5:$G$404&lt;&gt;"")*('01_予約入力'!$J$5:$J$404=$A21)*('01_予約入力'!$G$5:$G$404&lt;$A21)*(ROW('01_予約入力'!$G$5:$G$404)-4))))</f>
        <v/>
      </c>
      <c r="V21" s="45">
        <f>IF(OR($A21="",F$6=""),0,SUMPRODUCT(MAX(('01_予約入力'!$D$5:$D$404=F$6)*('01_予約入力'!$Q$5:$Q$404&lt;&gt;"キャンセル")*('01_予約入力'!$G$5:$G$404&lt;&gt;"")*('01_予約入力'!$G$5:$G$404&lt;=$A21)*('01_予約入力'!$J$5:$J$404&gt;$A21)*(ROW('01_予約入力'!$G$5:$G$404)-4))))</f>
        <v/>
      </c>
      <c r="W21" s="45">
        <f>IF(OR($A21="",F$6=""),0,SUMPRODUCT(MAX(('01_予約入力'!$D$5:$D$404=F$6)*('01_予約入力'!$Q$5:$Q$404&lt;&gt;"キャンセル")*('01_予約入力'!$G$5:$G$404&lt;&gt;"")*('01_予約入力'!$G$5:$G$404=$A21)*('01_予約入力'!$J$5:$J$404=$A21)*(ROW('01_予約入力'!$G$5:$G$404)-4))))</f>
        <v/>
      </c>
      <c r="X21" s="45">
        <f>IF($A21="","",IF($M21&gt;0,IF(OR(INDEX('01_予約入力'!$Q$5:$Q$404,$M21)="仮予約",INDEX('01_予約入力'!$Q$5:$Q$404,$M21)="調整中"),"仮",INDEX('01_予約入力'!$C$5:$C$404,$M21)),IF($N21&gt;0,IF(OR(INDEX('01_予約入力'!$Q$5:$Q$404,$N21)="仮予約",INDEX('01_予約入力'!$Q$5:$Q$404,$N21)="調整中"),"仮",INDEX('01_予約入力'!$C$5:$C$404,$N21)),IF($L21&gt;0,IF(OR(INDEX('01_予約入力'!$Q$5:$Q$404,$L21)="仮予約",INDEX('01_予約入力'!$Q$5:$Q$404,$L21)="調整中"),"仮",INDEX('01_予約入力'!$C$5:$C$404,$L21)),""))))</f>
        <v/>
      </c>
      <c r="Y21" s="45">
        <f>IF($A21="","",IF($P21&gt;0,IF(OR(INDEX('01_予約入力'!$Q$5:$Q$404,$P21)="仮予約",INDEX('01_予約入力'!$Q$5:$Q$404,$P21)="調整中"),"仮",INDEX('01_予約入力'!$C$5:$C$404,$P21)),IF($Q21&gt;0,IF(OR(INDEX('01_予約入力'!$Q$5:$Q$404,$Q21)="仮予約",INDEX('01_予約入力'!$Q$5:$Q$404,$Q21)="調整中"),"仮",INDEX('01_予約入力'!$C$5:$C$404,$Q21)),IF($O21&gt;0,IF(OR(INDEX('01_予約入力'!$Q$5:$Q$404,$O21)="仮予約",INDEX('01_予約入力'!$Q$5:$Q$404,$O21)="調整中"),"仮",INDEX('01_予約入力'!$C$5:$C$404,$O21)),""))))</f>
        <v/>
      </c>
      <c r="Z21" s="45">
        <f>IF($A21="","",IF($S21&gt;0,IF(OR(INDEX('01_予約入力'!$Q$5:$Q$404,$S21)="仮予約",INDEX('01_予約入力'!$Q$5:$Q$404,$S21)="調整中"),"仮",INDEX('01_予約入力'!$C$5:$C$404,$S21)),IF($T21&gt;0,IF(OR(INDEX('01_予約入力'!$Q$5:$Q$404,$T21)="仮予約",INDEX('01_予約入力'!$Q$5:$Q$404,$T21)="調整中"),"仮",INDEX('01_予約入力'!$C$5:$C$404,$T21)),IF($R21&gt;0,IF(OR(INDEX('01_予約入力'!$Q$5:$Q$404,$R21)="仮予約",INDEX('01_予約入力'!$Q$5:$Q$404,$R21)="調整中"),"仮",INDEX('01_予約入力'!$C$5:$C$404,$R21)),""))))</f>
        <v/>
      </c>
      <c r="AA21" s="45">
        <f>IF($A21="","",IF($V21&gt;0,IF(OR(INDEX('01_予約入力'!$Q$5:$Q$404,$V21)="仮予約",INDEX('01_予約入力'!$Q$5:$Q$404,$V21)="調整中"),"仮",INDEX('01_予約入力'!$C$5:$C$404,$V21)),IF($W21&gt;0,IF(OR(INDEX('01_予約入力'!$Q$5:$Q$404,$W21)="仮予約",INDEX('01_予約入力'!$Q$5:$Q$404,$W21)="調整中"),"仮",INDEX('01_予約入力'!$C$5:$C$404,$W21)),IF($U21&gt;0,IF(OR(INDEX('01_予約入力'!$Q$5:$Q$404,$U21)="仮予約",INDEX('01_予約入力'!$Q$5:$Q$404,$U21)="調整中"),"仮",INDEX('01_予約入力'!$C$5:$C$404,$U21)),""))))</f>
        <v/>
      </c>
      <c r="AB21" s="45">
        <f>IF($A21="",0,SUMPRODUCT(('01_予約入力'!$G$5:$G$404&lt;&gt;"")*('01_予約入力'!$Q$5:$Q$404&lt;&gt;"キャンセル")*(('01_予約入力'!$L$5:$L$404="○")*('01_予約入力'!$G$5:$G$404&lt;=$A21)*('01_予約入力'!$J$5:$J$404&gt;=$A21)+('01_予約入力'!$L$5:$L$404="")*('01_予約入力'!$G$5:$G$404&lt;$A21)*('01_予約入力'!$J$5:$J$404&gt;=$A21))))</f>
        <v/>
      </c>
      <c r="AC21" s="45">
        <f>IF($A21="",0,SUMPRODUCT(('01_予約入力'!$G$5:$G$404&lt;&gt;"")*('01_予約入力'!$Q$5:$Q$404&lt;&gt;"キャンセル")*(('01_予約入力'!$M$5:$M$404="○")*('01_予約入力'!$G$5:$G$404&lt;=$A21)*('01_予約入力'!$J$5:$J$404&gt;=$A21)+('01_予約入力'!$M$5:$M$404="")*((('01_予約入力'!$G$5:$G$404&lt;$A21)*('01_予約入力'!$J$5:$J$404&gt;$A21))+(('01_予約入力'!$G$5:$G$404=$A21)*('01_予約入力'!$J$5:$J$404=$A21))))))</f>
        <v/>
      </c>
      <c r="AD21" s="45">
        <f>IF($A21="",0,SUMPRODUCT(('01_予約入力'!$G$5:$G$404&lt;&gt;"")*('01_予約入力'!$Q$5:$Q$404&lt;&gt;"キャンセル")*(('01_予約入力'!$N$5:$N$404="○")*('01_予約入力'!$G$5:$G$404&lt;=$A21)*('01_予約入力'!$J$5:$J$404&gt;=$A21)+('01_予約入力'!$N$5:$N$404="")*('01_予約入力'!$G$5:$G$404&lt;=$A21)*('01_予約入力'!$J$5:$J$404&gt;$A21))))</f>
        <v/>
      </c>
      <c r="AE21" s="45">
        <f>IF($A21="",0,IFERROR(MATCH($A21,'02_カレンダー'!$B$59:$B$78,0),0))</f>
        <v/>
      </c>
      <c r="AF21" s="45">
        <f>IF($A21="",0,IF($AE21=0,$AB21,IF(INDEX('02_カレンダー'!$C$59:$C$78,$AE21)="",$AB21,INDEX('02_カレンダー'!$C$59:$C$78,$AE21))))</f>
        <v/>
      </c>
      <c r="AG21" s="45">
        <f>IF($A21="",0,IF($AE21=0,$AC21,IF(INDEX('02_カレンダー'!$D$59:$D$78,$AE21)="",$AC21,INDEX('02_カレンダー'!$D$59:$D$78,$AE21))))</f>
        <v/>
      </c>
      <c r="AH21" s="45">
        <f>IF($A21="",0,IF($AE21=0,$AD21,IF(INDEX('02_カレンダー'!$E$59:$E$78,$AE21)="",$AD21,INDEX('02_カレンダー'!$E$59:$E$78,$AE21))))</f>
        <v/>
      </c>
      <c r="AI21" s="45">
        <f>IF($A21="","",IF(AND($AF21=0,$AG21=0,$AH21=0),"","朝"&amp;$AF21&amp;" 昼"&amp;$AG21&amp;" 夕"&amp;$AH21&amp;IF($AJ21=0,"","　※調整")))</f>
        <v/>
      </c>
      <c r="AJ21" s="45">
        <f>IF(OR($A21="",$AE21=0),0,IF(OR(INDEX('02_カレンダー'!$C$59:$C$78,$AE21)&lt;&gt;"",INDEX('02_カレンダー'!$D$59:$D$78,$AE21)&lt;&gt;"",INDEX('02_カレンダー'!$E$59:$E$78,$AE21)&lt;&gt;""),1,0))</f>
        <v/>
      </c>
    </row>
    <row r="22">
      <c r="A22" s="38">
        <f>IF(MONTH('02_カレンダー'!$B$4+15)&lt;&gt;MONTH('02_カレンダー'!$B$4),"",'02_カレンダー'!$B$4+15)</f>
        <v/>
      </c>
      <c r="B22" s="45">
        <f>IF($A22="","",MID("日月火水木金土",WEEKDAY($A22),1))</f>
        <v/>
      </c>
      <c r="C22" s="49">
        <f>IF(OR($A22="",C$6=""),"",IF($L22=0,"",INDEX('01_予約入力'!$B$5:$B$404,$L22)&amp;" ◀"&amp;IF(('02_カレンダー'!$B$5="○"),INDEX('01_予約入力'!$AE$5:$AE$404,$L22),""))&amp;IF(AND($L22&gt;0,OR($M22&gt;0,$N22&gt;0)),"  ","")&amp;IF($M22=0,"",IF(INDEX('01_予約入力'!$G$5:$G$404,$M22)=$A22,"▶"&amp;IF(('02_カレンダー'!$B$5="○"),INDEX('01_予約入力'!$AD$5:$AD$404,$M22)&amp;" "," "),"")&amp;INDEX('01_予約入力'!$B$5:$B$404,$M22))&amp;IF(AND($M22&gt;0,$N22&gt;0),"  ","")&amp;IF($N22=0,"","◆ "&amp;INDEX('01_予約入力'!$B$5:$B$404,$N22)&amp;IF(('02_カレンダー'!$B$5="○")," "&amp;INDEX('01_予約入力'!$AD$5:$AD$404,$N22)&amp;"-"&amp;INDEX('01_予約入力'!$AE$5:$AE$404,$N22),"")))</f>
        <v/>
      </c>
      <c r="D22" s="49">
        <f>IF(OR($A22="",D$6=""),"",IF($O22=0,"",INDEX('01_予約入力'!$B$5:$B$404,$O22)&amp;" ◀"&amp;IF(('02_カレンダー'!$B$5="○"),INDEX('01_予約入力'!$AE$5:$AE$404,$O22),""))&amp;IF(AND($O22&gt;0,OR($P22&gt;0,$Q22&gt;0)),"  ","")&amp;IF($P22=0,"",IF(INDEX('01_予約入力'!$G$5:$G$404,$P22)=$A22,"▶"&amp;IF(('02_カレンダー'!$B$5="○"),INDEX('01_予約入力'!$AD$5:$AD$404,$P22)&amp;" "," "),"")&amp;INDEX('01_予約入力'!$B$5:$B$404,$P22))&amp;IF(AND($P22&gt;0,$Q22&gt;0),"  ","")&amp;IF($Q22=0,"","◆ "&amp;INDEX('01_予約入力'!$B$5:$B$404,$Q22)&amp;IF(('02_カレンダー'!$B$5="○")," "&amp;INDEX('01_予約入力'!$AD$5:$AD$404,$Q22)&amp;"-"&amp;INDEX('01_予約入力'!$AE$5:$AE$404,$Q22),"")))</f>
        <v/>
      </c>
      <c r="E22" s="49">
        <f>IF(OR($A22="",E$6=""),"",IF($R22=0,"",INDEX('01_予約入力'!$B$5:$B$404,$R22)&amp;" ◀"&amp;IF(('02_カレンダー'!$B$5="○"),INDEX('01_予約入力'!$AE$5:$AE$404,$R22),""))&amp;IF(AND($R22&gt;0,OR($S22&gt;0,$T22&gt;0)),"  ","")&amp;IF($S22=0,"",IF(INDEX('01_予約入力'!$G$5:$G$404,$S22)=$A22,"▶"&amp;IF(('02_カレンダー'!$B$5="○"),INDEX('01_予約入力'!$AD$5:$AD$404,$S22)&amp;" "," "),"")&amp;INDEX('01_予約入力'!$B$5:$B$404,$S22))&amp;IF(AND($S22&gt;0,$T22&gt;0),"  ","")&amp;IF($T22=0,"","◆ "&amp;INDEX('01_予約入力'!$B$5:$B$404,$T22)&amp;IF(('02_カレンダー'!$B$5="○")," "&amp;INDEX('01_予約入力'!$AD$5:$AD$404,$T22)&amp;"-"&amp;INDEX('01_予約入力'!$AE$5:$AE$404,$T22),"")))</f>
        <v/>
      </c>
      <c r="F22" s="49">
        <f>IF(OR($A22="",F$6=""),"",IF($U22=0,"",INDEX('01_予約入力'!$B$5:$B$404,$U22)&amp;" ◀"&amp;IF(('02_カレンダー'!$B$5="○"),INDEX('01_予約入力'!$AE$5:$AE$404,$U22),""))&amp;IF(AND($U22&gt;0,OR($V22&gt;0,$W22&gt;0)),"  ","")&amp;IF($V22=0,"",IF(INDEX('01_予約入力'!$G$5:$G$404,$V22)=$A22,"▶"&amp;IF(('02_カレンダー'!$B$5="○"),INDEX('01_予約入力'!$AD$5:$AD$404,$V22)&amp;" "," "),"")&amp;INDEX('01_予約入力'!$B$5:$B$404,$V22))&amp;IF(AND($V22&gt;0,$W22&gt;0),"  ","")&amp;IF($W22=0,"","◆ "&amp;INDEX('01_予約入力'!$B$5:$B$404,$W22)&amp;IF(('02_カレンダー'!$B$5="○")," "&amp;INDEX('01_予約入力'!$AD$5:$AD$404,$W22)&amp;"-"&amp;INDEX('01_予約入力'!$AE$5:$AE$404,$W22),"")))</f>
        <v/>
      </c>
      <c r="G22" s="45">
        <f>IF($A22="","",SUMPRODUCT(('01_予約入力'!$G$5:$G$404&lt;&gt;"")*('01_予約入力'!$Q$5:$Q$404&lt;&gt;"キャンセル")*('01_予約入力'!$G$5:$G$404&lt;=$A22)*('01_予約入力'!$J$5:$J$404&gt;$A22)))</f>
        <v/>
      </c>
      <c r="H22" s="45">
        <f>IF($A22="","",'M_施設設定'!$B$6-$G22)</f>
        <v/>
      </c>
      <c r="I22" s="45">
        <f>IF($A22="","",SUMPRODUCT((('01_予約入力'!$Q$5:$Q$404="仮予約")+('01_予約入力'!$Q$5:$Q$404="調整中"))*('01_予約入力'!$G$5:$G$404&lt;&gt;"")*('01_予約入力'!$G$5:$G$404&lt;=$A22)*('01_予約入力'!$J$5:$J$404&gt;$A22)))</f>
        <v/>
      </c>
      <c r="J22" s="45">
        <f>IF($A22="","",IF($I22&gt;0,"仮",IF($H22&lt;=0,"×",IF($H22&lt;'M_施設設定'!$B$6,"△","○"))))</f>
        <v/>
      </c>
      <c r="K22" s="45">
        <f>IF($A22="","",SUMPRODUCT(('01_予約入力'!$G$5:$G$404&lt;&gt;"")*('01_予約入力'!$Q$5:$Q$404&lt;&gt;"キャンセル")*('01_予約入力'!$G$5:$G$404=$A22)*('01_予約入力'!$J$5:$J$404=$A22)))</f>
        <v/>
      </c>
      <c r="L22" s="45">
        <f>IF(OR($A22="",C$6=""),0,SUMPRODUCT(MAX(('01_予約入力'!$D$5:$D$404=C$6)*('01_予約入力'!$Q$5:$Q$404&lt;&gt;"キャンセル")*('01_予約入力'!$G$5:$G$404&lt;&gt;"")*('01_予約入力'!$J$5:$J$404=$A22)*('01_予約入力'!$G$5:$G$404&lt;$A22)*(ROW('01_予約入力'!$G$5:$G$404)-4))))</f>
        <v/>
      </c>
      <c r="M22" s="45">
        <f>IF(OR($A22="",C$6=""),0,SUMPRODUCT(MAX(('01_予約入力'!$D$5:$D$404=C$6)*('01_予約入力'!$Q$5:$Q$404&lt;&gt;"キャンセル")*('01_予約入力'!$G$5:$G$404&lt;&gt;"")*('01_予約入力'!$G$5:$G$404&lt;=$A22)*('01_予約入力'!$J$5:$J$404&gt;$A22)*(ROW('01_予約入力'!$G$5:$G$404)-4))))</f>
        <v/>
      </c>
      <c r="N22" s="45">
        <f>IF(OR($A22="",C$6=""),0,SUMPRODUCT(MAX(('01_予約入力'!$D$5:$D$404=C$6)*('01_予約入力'!$Q$5:$Q$404&lt;&gt;"キャンセル")*('01_予約入力'!$G$5:$G$404&lt;&gt;"")*('01_予約入力'!$G$5:$G$404=$A22)*('01_予約入力'!$J$5:$J$404=$A22)*(ROW('01_予約入力'!$G$5:$G$404)-4))))</f>
        <v/>
      </c>
      <c r="O22" s="45">
        <f>IF(OR($A22="",D$6=""),0,SUMPRODUCT(MAX(('01_予約入力'!$D$5:$D$404=D$6)*('01_予約入力'!$Q$5:$Q$404&lt;&gt;"キャンセル")*('01_予約入力'!$G$5:$G$404&lt;&gt;"")*('01_予約入力'!$J$5:$J$404=$A22)*('01_予約入力'!$G$5:$G$404&lt;$A22)*(ROW('01_予約入力'!$G$5:$G$404)-4))))</f>
        <v/>
      </c>
      <c r="P22" s="45">
        <f>IF(OR($A22="",D$6=""),0,SUMPRODUCT(MAX(('01_予約入力'!$D$5:$D$404=D$6)*('01_予約入力'!$Q$5:$Q$404&lt;&gt;"キャンセル")*('01_予約入力'!$G$5:$G$404&lt;&gt;"")*('01_予約入力'!$G$5:$G$404&lt;=$A22)*('01_予約入力'!$J$5:$J$404&gt;$A22)*(ROW('01_予約入力'!$G$5:$G$404)-4))))</f>
        <v/>
      </c>
      <c r="Q22" s="45">
        <f>IF(OR($A22="",D$6=""),0,SUMPRODUCT(MAX(('01_予約入力'!$D$5:$D$404=D$6)*('01_予約入力'!$Q$5:$Q$404&lt;&gt;"キャンセル")*('01_予約入力'!$G$5:$G$404&lt;&gt;"")*('01_予約入力'!$G$5:$G$404=$A22)*('01_予約入力'!$J$5:$J$404=$A22)*(ROW('01_予約入力'!$G$5:$G$404)-4))))</f>
        <v/>
      </c>
      <c r="R22" s="45">
        <f>IF(OR($A22="",E$6=""),0,SUMPRODUCT(MAX(('01_予約入力'!$D$5:$D$404=E$6)*('01_予約入力'!$Q$5:$Q$404&lt;&gt;"キャンセル")*('01_予約入力'!$G$5:$G$404&lt;&gt;"")*('01_予約入力'!$J$5:$J$404=$A22)*('01_予約入力'!$G$5:$G$404&lt;$A22)*(ROW('01_予約入力'!$G$5:$G$404)-4))))</f>
        <v/>
      </c>
      <c r="S22" s="45">
        <f>IF(OR($A22="",E$6=""),0,SUMPRODUCT(MAX(('01_予約入力'!$D$5:$D$404=E$6)*('01_予約入力'!$Q$5:$Q$404&lt;&gt;"キャンセル")*('01_予約入力'!$G$5:$G$404&lt;&gt;"")*('01_予約入力'!$G$5:$G$404&lt;=$A22)*('01_予約入力'!$J$5:$J$404&gt;$A22)*(ROW('01_予約入力'!$G$5:$G$404)-4))))</f>
        <v/>
      </c>
      <c r="T22" s="45">
        <f>IF(OR($A22="",E$6=""),0,SUMPRODUCT(MAX(('01_予約入力'!$D$5:$D$404=E$6)*('01_予約入力'!$Q$5:$Q$404&lt;&gt;"キャンセル")*('01_予約入力'!$G$5:$G$404&lt;&gt;"")*('01_予約入力'!$G$5:$G$404=$A22)*('01_予約入力'!$J$5:$J$404=$A22)*(ROW('01_予約入力'!$G$5:$G$404)-4))))</f>
        <v/>
      </c>
      <c r="U22" s="45">
        <f>IF(OR($A22="",F$6=""),0,SUMPRODUCT(MAX(('01_予約入力'!$D$5:$D$404=F$6)*('01_予約入力'!$Q$5:$Q$404&lt;&gt;"キャンセル")*('01_予約入力'!$G$5:$G$404&lt;&gt;"")*('01_予約入力'!$J$5:$J$404=$A22)*('01_予約入力'!$G$5:$G$404&lt;$A22)*(ROW('01_予約入力'!$G$5:$G$404)-4))))</f>
        <v/>
      </c>
      <c r="V22" s="45">
        <f>IF(OR($A22="",F$6=""),0,SUMPRODUCT(MAX(('01_予約入力'!$D$5:$D$404=F$6)*('01_予約入力'!$Q$5:$Q$404&lt;&gt;"キャンセル")*('01_予約入力'!$G$5:$G$404&lt;&gt;"")*('01_予約入力'!$G$5:$G$404&lt;=$A22)*('01_予約入力'!$J$5:$J$404&gt;$A22)*(ROW('01_予約入力'!$G$5:$G$404)-4))))</f>
        <v/>
      </c>
      <c r="W22" s="45">
        <f>IF(OR($A22="",F$6=""),0,SUMPRODUCT(MAX(('01_予約入力'!$D$5:$D$404=F$6)*('01_予約入力'!$Q$5:$Q$404&lt;&gt;"キャンセル")*('01_予約入力'!$G$5:$G$404&lt;&gt;"")*('01_予約入力'!$G$5:$G$404=$A22)*('01_予約入力'!$J$5:$J$404=$A22)*(ROW('01_予約入力'!$G$5:$G$404)-4))))</f>
        <v/>
      </c>
      <c r="X22" s="45">
        <f>IF($A22="","",IF($M22&gt;0,IF(OR(INDEX('01_予約入力'!$Q$5:$Q$404,$M22)="仮予約",INDEX('01_予約入力'!$Q$5:$Q$404,$M22)="調整中"),"仮",INDEX('01_予約入力'!$C$5:$C$404,$M22)),IF($N22&gt;0,IF(OR(INDEX('01_予約入力'!$Q$5:$Q$404,$N22)="仮予約",INDEX('01_予約入力'!$Q$5:$Q$404,$N22)="調整中"),"仮",INDEX('01_予約入力'!$C$5:$C$404,$N22)),IF($L22&gt;0,IF(OR(INDEX('01_予約入力'!$Q$5:$Q$404,$L22)="仮予約",INDEX('01_予約入力'!$Q$5:$Q$404,$L22)="調整中"),"仮",INDEX('01_予約入力'!$C$5:$C$404,$L22)),""))))</f>
        <v/>
      </c>
      <c r="Y22" s="45">
        <f>IF($A22="","",IF($P22&gt;0,IF(OR(INDEX('01_予約入力'!$Q$5:$Q$404,$P22)="仮予約",INDEX('01_予約入力'!$Q$5:$Q$404,$P22)="調整中"),"仮",INDEX('01_予約入力'!$C$5:$C$404,$P22)),IF($Q22&gt;0,IF(OR(INDEX('01_予約入力'!$Q$5:$Q$404,$Q22)="仮予約",INDEX('01_予約入力'!$Q$5:$Q$404,$Q22)="調整中"),"仮",INDEX('01_予約入力'!$C$5:$C$404,$Q22)),IF($O22&gt;0,IF(OR(INDEX('01_予約入力'!$Q$5:$Q$404,$O22)="仮予約",INDEX('01_予約入力'!$Q$5:$Q$404,$O22)="調整中"),"仮",INDEX('01_予約入力'!$C$5:$C$404,$O22)),""))))</f>
        <v/>
      </c>
      <c r="Z22" s="45">
        <f>IF($A22="","",IF($S22&gt;0,IF(OR(INDEX('01_予約入力'!$Q$5:$Q$404,$S22)="仮予約",INDEX('01_予約入力'!$Q$5:$Q$404,$S22)="調整中"),"仮",INDEX('01_予約入力'!$C$5:$C$404,$S22)),IF($T22&gt;0,IF(OR(INDEX('01_予約入力'!$Q$5:$Q$404,$T22)="仮予約",INDEX('01_予約入力'!$Q$5:$Q$404,$T22)="調整中"),"仮",INDEX('01_予約入力'!$C$5:$C$404,$T22)),IF($R22&gt;0,IF(OR(INDEX('01_予約入力'!$Q$5:$Q$404,$R22)="仮予約",INDEX('01_予約入力'!$Q$5:$Q$404,$R22)="調整中"),"仮",INDEX('01_予約入力'!$C$5:$C$404,$R22)),""))))</f>
        <v/>
      </c>
      <c r="AA22" s="45">
        <f>IF($A22="","",IF($V22&gt;0,IF(OR(INDEX('01_予約入力'!$Q$5:$Q$404,$V22)="仮予約",INDEX('01_予約入力'!$Q$5:$Q$404,$V22)="調整中"),"仮",INDEX('01_予約入力'!$C$5:$C$404,$V22)),IF($W22&gt;0,IF(OR(INDEX('01_予約入力'!$Q$5:$Q$404,$W22)="仮予約",INDEX('01_予約入力'!$Q$5:$Q$404,$W22)="調整中"),"仮",INDEX('01_予約入力'!$C$5:$C$404,$W22)),IF($U22&gt;0,IF(OR(INDEX('01_予約入力'!$Q$5:$Q$404,$U22)="仮予約",INDEX('01_予約入力'!$Q$5:$Q$404,$U22)="調整中"),"仮",INDEX('01_予約入力'!$C$5:$C$404,$U22)),""))))</f>
        <v/>
      </c>
      <c r="AB22" s="45">
        <f>IF($A22="",0,SUMPRODUCT(('01_予約入力'!$G$5:$G$404&lt;&gt;"")*('01_予約入力'!$Q$5:$Q$404&lt;&gt;"キャンセル")*(('01_予約入力'!$L$5:$L$404="○")*('01_予約入力'!$G$5:$G$404&lt;=$A22)*('01_予約入力'!$J$5:$J$404&gt;=$A22)+('01_予約入力'!$L$5:$L$404="")*('01_予約入力'!$G$5:$G$404&lt;$A22)*('01_予約入力'!$J$5:$J$404&gt;=$A22))))</f>
        <v/>
      </c>
      <c r="AC22" s="45">
        <f>IF($A22="",0,SUMPRODUCT(('01_予約入力'!$G$5:$G$404&lt;&gt;"")*('01_予約入力'!$Q$5:$Q$404&lt;&gt;"キャンセル")*(('01_予約入力'!$M$5:$M$404="○")*('01_予約入力'!$G$5:$G$404&lt;=$A22)*('01_予約入力'!$J$5:$J$404&gt;=$A22)+('01_予約入力'!$M$5:$M$404="")*((('01_予約入力'!$G$5:$G$404&lt;$A22)*('01_予約入力'!$J$5:$J$404&gt;$A22))+(('01_予約入力'!$G$5:$G$404=$A22)*('01_予約入力'!$J$5:$J$404=$A22))))))</f>
        <v/>
      </c>
      <c r="AD22" s="45">
        <f>IF($A22="",0,SUMPRODUCT(('01_予約入力'!$G$5:$G$404&lt;&gt;"")*('01_予約入力'!$Q$5:$Q$404&lt;&gt;"キャンセル")*(('01_予約入力'!$N$5:$N$404="○")*('01_予約入力'!$G$5:$G$404&lt;=$A22)*('01_予約入力'!$J$5:$J$404&gt;=$A22)+('01_予約入力'!$N$5:$N$404="")*('01_予約入力'!$G$5:$G$404&lt;=$A22)*('01_予約入力'!$J$5:$J$404&gt;$A22))))</f>
        <v/>
      </c>
      <c r="AE22" s="45">
        <f>IF($A22="",0,IFERROR(MATCH($A22,'02_カレンダー'!$B$59:$B$78,0),0))</f>
        <v/>
      </c>
      <c r="AF22" s="45">
        <f>IF($A22="",0,IF($AE22=0,$AB22,IF(INDEX('02_カレンダー'!$C$59:$C$78,$AE22)="",$AB22,INDEX('02_カレンダー'!$C$59:$C$78,$AE22))))</f>
        <v/>
      </c>
      <c r="AG22" s="45">
        <f>IF($A22="",0,IF($AE22=0,$AC22,IF(INDEX('02_カレンダー'!$D$59:$D$78,$AE22)="",$AC22,INDEX('02_カレンダー'!$D$59:$D$78,$AE22))))</f>
        <v/>
      </c>
      <c r="AH22" s="45">
        <f>IF($A22="",0,IF($AE22=0,$AD22,IF(INDEX('02_カレンダー'!$E$59:$E$78,$AE22)="",$AD22,INDEX('02_カレンダー'!$E$59:$E$78,$AE22))))</f>
        <v/>
      </c>
      <c r="AI22" s="45">
        <f>IF($A22="","",IF(AND($AF22=0,$AG22=0,$AH22=0),"","朝"&amp;$AF22&amp;" 昼"&amp;$AG22&amp;" 夕"&amp;$AH22&amp;IF($AJ22=0,"","　※調整")))</f>
        <v/>
      </c>
      <c r="AJ22" s="45">
        <f>IF(OR($A22="",$AE22=0),0,IF(OR(INDEX('02_カレンダー'!$C$59:$C$78,$AE22)&lt;&gt;"",INDEX('02_カレンダー'!$D$59:$D$78,$AE22)&lt;&gt;"",INDEX('02_カレンダー'!$E$59:$E$78,$AE22)&lt;&gt;""),1,0))</f>
        <v/>
      </c>
    </row>
    <row r="23">
      <c r="A23" s="38">
        <f>IF(MONTH('02_カレンダー'!$B$4+16)&lt;&gt;MONTH('02_カレンダー'!$B$4),"",'02_カレンダー'!$B$4+16)</f>
        <v/>
      </c>
      <c r="B23" s="45">
        <f>IF($A23="","",MID("日月火水木金土",WEEKDAY($A23),1))</f>
        <v/>
      </c>
      <c r="C23" s="49">
        <f>IF(OR($A23="",C$6=""),"",IF($L23=0,"",INDEX('01_予約入力'!$B$5:$B$404,$L23)&amp;" ◀"&amp;IF(('02_カレンダー'!$B$5="○"),INDEX('01_予約入力'!$AE$5:$AE$404,$L23),""))&amp;IF(AND($L23&gt;0,OR($M23&gt;0,$N23&gt;0)),"  ","")&amp;IF($M23=0,"",IF(INDEX('01_予約入力'!$G$5:$G$404,$M23)=$A23,"▶"&amp;IF(('02_カレンダー'!$B$5="○"),INDEX('01_予約入力'!$AD$5:$AD$404,$M23)&amp;" "," "),"")&amp;INDEX('01_予約入力'!$B$5:$B$404,$M23))&amp;IF(AND($M23&gt;0,$N23&gt;0),"  ","")&amp;IF($N23=0,"","◆ "&amp;INDEX('01_予約入力'!$B$5:$B$404,$N23)&amp;IF(('02_カレンダー'!$B$5="○")," "&amp;INDEX('01_予約入力'!$AD$5:$AD$404,$N23)&amp;"-"&amp;INDEX('01_予約入力'!$AE$5:$AE$404,$N23),"")))</f>
        <v/>
      </c>
      <c r="D23" s="49">
        <f>IF(OR($A23="",D$6=""),"",IF($O23=0,"",INDEX('01_予約入力'!$B$5:$B$404,$O23)&amp;" ◀"&amp;IF(('02_カレンダー'!$B$5="○"),INDEX('01_予約入力'!$AE$5:$AE$404,$O23),""))&amp;IF(AND($O23&gt;0,OR($P23&gt;0,$Q23&gt;0)),"  ","")&amp;IF($P23=0,"",IF(INDEX('01_予約入力'!$G$5:$G$404,$P23)=$A23,"▶"&amp;IF(('02_カレンダー'!$B$5="○"),INDEX('01_予約入力'!$AD$5:$AD$404,$P23)&amp;" "," "),"")&amp;INDEX('01_予約入力'!$B$5:$B$404,$P23))&amp;IF(AND($P23&gt;0,$Q23&gt;0),"  ","")&amp;IF($Q23=0,"","◆ "&amp;INDEX('01_予約入力'!$B$5:$B$404,$Q23)&amp;IF(('02_カレンダー'!$B$5="○")," "&amp;INDEX('01_予約入力'!$AD$5:$AD$404,$Q23)&amp;"-"&amp;INDEX('01_予約入力'!$AE$5:$AE$404,$Q23),"")))</f>
        <v/>
      </c>
      <c r="E23" s="49">
        <f>IF(OR($A23="",E$6=""),"",IF($R23=0,"",INDEX('01_予約入力'!$B$5:$B$404,$R23)&amp;" ◀"&amp;IF(('02_カレンダー'!$B$5="○"),INDEX('01_予約入力'!$AE$5:$AE$404,$R23),""))&amp;IF(AND($R23&gt;0,OR($S23&gt;0,$T23&gt;0)),"  ","")&amp;IF($S23=0,"",IF(INDEX('01_予約入力'!$G$5:$G$404,$S23)=$A23,"▶"&amp;IF(('02_カレンダー'!$B$5="○"),INDEX('01_予約入力'!$AD$5:$AD$404,$S23)&amp;" "," "),"")&amp;INDEX('01_予約入力'!$B$5:$B$404,$S23))&amp;IF(AND($S23&gt;0,$T23&gt;0),"  ","")&amp;IF($T23=0,"","◆ "&amp;INDEX('01_予約入力'!$B$5:$B$404,$T23)&amp;IF(('02_カレンダー'!$B$5="○")," "&amp;INDEX('01_予約入力'!$AD$5:$AD$404,$T23)&amp;"-"&amp;INDEX('01_予約入力'!$AE$5:$AE$404,$T23),"")))</f>
        <v/>
      </c>
      <c r="F23" s="49">
        <f>IF(OR($A23="",F$6=""),"",IF($U23=0,"",INDEX('01_予約入力'!$B$5:$B$404,$U23)&amp;" ◀"&amp;IF(('02_カレンダー'!$B$5="○"),INDEX('01_予約入力'!$AE$5:$AE$404,$U23),""))&amp;IF(AND($U23&gt;0,OR($V23&gt;0,$W23&gt;0)),"  ","")&amp;IF($V23=0,"",IF(INDEX('01_予約入力'!$G$5:$G$404,$V23)=$A23,"▶"&amp;IF(('02_カレンダー'!$B$5="○"),INDEX('01_予約入力'!$AD$5:$AD$404,$V23)&amp;" "," "),"")&amp;INDEX('01_予約入力'!$B$5:$B$404,$V23))&amp;IF(AND($V23&gt;0,$W23&gt;0),"  ","")&amp;IF($W23=0,"","◆ "&amp;INDEX('01_予約入力'!$B$5:$B$404,$W23)&amp;IF(('02_カレンダー'!$B$5="○")," "&amp;INDEX('01_予約入力'!$AD$5:$AD$404,$W23)&amp;"-"&amp;INDEX('01_予約入力'!$AE$5:$AE$404,$W23),"")))</f>
        <v/>
      </c>
      <c r="G23" s="45">
        <f>IF($A23="","",SUMPRODUCT(('01_予約入力'!$G$5:$G$404&lt;&gt;"")*('01_予約入力'!$Q$5:$Q$404&lt;&gt;"キャンセル")*('01_予約入力'!$G$5:$G$404&lt;=$A23)*('01_予約入力'!$J$5:$J$404&gt;$A23)))</f>
        <v/>
      </c>
      <c r="H23" s="45">
        <f>IF($A23="","",'M_施設設定'!$B$6-$G23)</f>
        <v/>
      </c>
      <c r="I23" s="45">
        <f>IF($A23="","",SUMPRODUCT((('01_予約入力'!$Q$5:$Q$404="仮予約")+('01_予約入力'!$Q$5:$Q$404="調整中"))*('01_予約入力'!$G$5:$G$404&lt;&gt;"")*('01_予約入力'!$G$5:$G$404&lt;=$A23)*('01_予約入力'!$J$5:$J$404&gt;$A23)))</f>
        <v/>
      </c>
      <c r="J23" s="45">
        <f>IF($A23="","",IF($I23&gt;0,"仮",IF($H23&lt;=0,"×",IF($H23&lt;'M_施設設定'!$B$6,"△","○"))))</f>
        <v/>
      </c>
      <c r="K23" s="45">
        <f>IF($A23="","",SUMPRODUCT(('01_予約入力'!$G$5:$G$404&lt;&gt;"")*('01_予約入力'!$Q$5:$Q$404&lt;&gt;"キャンセル")*('01_予約入力'!$G$5:$G$404=$A23)*('01_予約入力'!$J$5:$J$404=$A23)))</f>
        <v/>
      </c>
      <c r="L23" s="45">
        <f>IF(OR($A23="",C$6=""),0,SUMPRODUCT(MAX(('01_予約入力'!$D$5:$D$404=C$6)*('01_予約入力'!$Q$5:$Q$404&lt;&gt;"キャンセル")*('01_予約入力'!$G$5:$G$404&lt;&gt;"")*('01_予約入力'!$J$5:$J$404=$A23)*('01_予約入力'!$G$5:$G$404&lt;$A23)*(ROW('01_予約入力'!$G$5:$G$404)-4))))</f>
        <v/>
      </c>
      <c r="M23" s="45">
        <f>IF(OR($A23="",C$6=""),0,SUMPRODUCT(MAX(('01_予約入力'!$D$5:$D$404=C$6)*('01_予約入力'!$Q$5:$Q$404&lt;&gt;"キャンセル")*('01_予約入力'!$G$5:$G$404&lt;&gt;"")*('01_予約入力'!$G$5:$G$404&lt;=$A23)*('01_予約入力'!$J$5:$J$404&gt;$A23)*(ROW('01_予約入力'!$G$5:$G$404)-4))))</f>
        <v/>
      </c>
      <c r="N23" s="45">
        <f>IF(OR($A23="",C$6=""),0,SUMPRODUCT(MAX(('01_予約入力'!$D$5:$D$404=C$6)*('01_予約入力'!$Q$5:$Q$404&lt;&gt;"キャンセル")*('01_予約入力'!$G$5:$G$404&lt;&gt;"")*('01_予約入力'!$G$5:$G$404=$A23)*('01_予約入力'!$J$5:$J$404=$A23)*(ROW('01_予約入力'!$G$5:$G$404)-4))))</f>
        <v/>
      </c>
      <c r="O23" s="45">
        <f>IF(OR($A23="",D$6=""),0,SUMPRODUCT(MAX(('01_予約入力'!$D$5:$D$404=D$6)*('01_予約入力'!$Q$5:$Q$404&lt;&gt;"キャンセル")*('01_予約入力'!$G$5:$G$404&lt;&gt;"")*('01_予約入力'!$J$5:$J$404=$A23)*('01_予約入力'!$G$5:$G$404&lt;$A23)*(ROW('01_予約入力'!$G$5:$G$404)-4))))</f>
        <v/>
      </c>
      <c r="P23" s="45">
        <f>IF(OR($A23="",D$6=""),0,SUMPRODUCT(MAX(('01_予約入力'!$D$5:$D$404=D$6)*('01_予約入力'!$Q$5:$Q$404&lt;&gt;"キャンセル")*('01_予約入力'!$G$5:$G$404&lt;&gt;"")*('01_予約入力'!$G$5:$G$404&lt;=$A23)*('01_予約入力'!$J$5:$J$404&gt;$A23)*(ROW('01_予約入力'!$G$5:$G$404)-4))))</f>
        <v/>
      </c>
      <c r="Q23" s="45">
        <f>IF(OR($A23="",D$6=""),0,SUMPRODUCT(MAX(('01_予約入力'!$D$5:$D$404=D$6)*('01_予約入力'!$Q$5:$Q$404&lt;&gt;"キャンセル")*('01_予約入力'!$G$5:$G$404&lt;&gt;"")*('01_予約入力'!$G$5:$G$404=$A23)*('01_予約入力'!$J$5:$J$404=$A23)*(ROW('01_予約入力'!$G$5:$G$404)-4))))</f>
        <v/>
      </c>
      <c r="R23" s="45">
        <f>IF(OR($A23="",E$6=""),0,SUMPRODUCT(MAX(('01_予約入力'!$D$5:$D$404=E$6)*('01_予約入力'!$Q$5:$Q$404&lt;&gt;"キャンセル")*('01_予約入力'!$G$5:$G$404&lt;&gt;"")*('01_予約入力'!$J$5:$J$404=$A23)*('01_予約入力'!$G$5:$G$404&lt;$A23)*(ROW('01_予約入力'!$G$5:$G$404)-4))))</f>
        <v/>
      </c>
      <c r="S23" s="45">
        <f>IF(OR($A23="",E$6=""),0,SUMPRODUCT(MAX(('01_予約入力'!$D$5:$D$404=E$6)*('01_予約入力'!$Q$5:$Q$404&lt;&gt;"キャンセル")*('01_予約入力'!$G$5:$G$404&lt;&gt;"")*('01_予約入力'!$G$5:$G$404&lt;=$A23)*('01_予約入力'!$J$5:$J$404&gt;$A23)*(ROW('01_予約入力'!$G$5:$G$404)-4))))</f>
        <v/>
      </c>
      <c r="T23" s="45">
        <f>IF(OR($A23="",E$6=""),0,SUMPRODUCT(MAX(('01_予約入力'!$D$5:$D$404=E$6)*('01_予約入力'!$Q$5:$Q$404&lt;&gt;"キャンセル")*('01_予約入力'!$G$5:$G$404&lt;&gt;"")*('01_予約入力'!$G$5:$G$404=$A23)*('01_予約入力'!$J$5:$J$404=$A23)*(ROW('01_予約入力'!$G$5:$G$404)-4))))</f>
        <v/>
      </c>
      <c r="U23" s="45">
        <f>IF(OR($A23="",F$6=""),0,SUMPRODUCT(MAX(('01_予約入力'!$D$5:$D$404=F$6)*('01_予約入力'!$Q$5:$Q$404&lt;&gt;"キャンセル")*('01_予約入力'!$G$5:$G$404&lt;&gt;"")*('01_予約入力'!$J$5:$J$404=$A23)*('01_予約入力'!$G$5:$G$404&lt;$A23)*(ROW('01_予約入力'!$G$5:$G$404)-4))))</f>
        <v/>
      </c>
      <c r="V23" s="45">
        <f>IF(OR($A23="",F$6=""),0,SUMPRODUCT(MAX(('01_予約入力'!$D$5:$D$404=F$6)*('01_予約入力'!$Q$5:$Q$404&lt;&gt;"キャンセル")*('01_予約入力'!$G$5:$G$404&lt;&gt;"")*('01_予約入力'!$G$5:$G$404&lt;=$A23)*('01_予約入力'!$J$5:$J$404&gt;$A23)*(ROW('01_予約入力'!$G$5:$G$404)-4))))</f>
        <v/>
      </c>
      <c r="W23" s="45">
        <f>IF(OR($A23="",F$6=""),0,SUMPRODUCT(MAX(('01_予約入力'!$D$5:$D$404=F$6)*('01_予約入力'!$Q$5:$Q$404&lt;&gt;"キャンセル")*('01_予約入力'!$G$5:$G$404&lt;&gt;"")*('01_予約入力'!$G$5:$G$404=$A23)*('01_予約入力'!$J$5:$J$404=$A23)*(ROW('01_予約入力'!$G$5:$G$404)-4))))</f>
        <v/>
      </c>
      <c r="X23" s="45">
        <f>IF($A23="","",IF($M23&gt;0,IF(OR(INDEX('01_予約入力'!$Q$5:$Q$404,$M23)="仮予約",INDEX('01_予約入力'!$Q$5:$Q$404,$M23)="調整中"),"仮",INDEX('01_予約入力'!$C$5:$C$404,$M23)),IF($N23&gt;0,IF(OR(INDEX('01_予約入力'!$Q$5:$Q$404,$N23)="仮予約",INDEX('01_予約入力'!$Q$5:$Q$404,$N23)="調整中"),"仮",INDEX('01_予約入力'!$C$5:$C$404,$N23)),IF($L23&gt;0,IF(OR(INDEX('01_予約入力'!$Q$5:$Q$404,$L23)="仮予約",INDEX('01_予約入力'!$Q$5:$Q$404,$L23)="調整中"),"仮",INDEX('01_予約入力'!$C$5:$C$404,$L23)),""))))</f>
        <v/>
      </c>
      <c r="Y23" s="45">
        <f>IF($A23="","",IF($P23&gt;0,IF(OR(INDEX('01_予約入力'!$Q$5:$Q$404,$P23)="仮予約",INDEX('01_予約入力'!$Q$5:$Q$404,$P23)="調整中"),"仮",INDEX('01_予約入力'!$C$5:$C$404,$P23)),IF($Q23&gt;0,IF(OR(INDEX('01_予約入力'!$Q$5:$Q$404,$Q23)="仮予約",INDEX('01_予約入力'!$Q$5:$Q$404,$Q23)="調整中"),"仮",INDEX('01_予約入力'!$C$5:$C$404,$Q23)),IF($O23&gt;0,IF(OR(INDEX('01_予約入力'!$Q$5:$Q$404,$O23)="仮予約",INDEX('01_予約入力'!$Q$5:$Q$404,$O23)="調整中"),"仮",INDEX('01_予約入力'!$C$5:$C$404,$O23)),""))))</f>
        <v/>
      </c>
      <c r="Z23" s="45">
        <f>IF($A23="","",IF($S23&gt;0,IF(OR(INDEX('01_予約入力'!$Q$5:$Q$404,$S23)="仮予約",INDEX('01_予約入力'!$Q$5:$Q$404,$S23)="調整中"),"仮",INDEX('01_予約入力'!$C$5:$C$404,$S23)),IF($T23&gt;0,IF(OR(INDEX('01_予約入力'!$Q$5:$Q$404,$T23)="仮予約",INDEX('01_予約入力'!$Q$5:$Q$404,$T23)="調整中"),"仮",INDEX('01_予約入力'!$C$5:$C$404,$T23)),IF($R23&gt;0,IF(OR(INDEX('01_予約入力'!$Q$5:$Q$404,$R23)="仮予約",INDEX('01_予約入力'!$Q$5:$Q$404,$R23)="調整中"),"仮",INDEX('01_予約入力'!$C$5:$C$404,$R23)),""))))</f>
        <v/>
      </c>
      <c r="AA23" s="45">
        <f>IF($A23="","",IF($V23&gt;0,IF(OR(INDEX('01_予約入力'!$Q$5:$Q$404,$V23)="仮予約",INDEX('01_予約入力'!$Q$5:$Q$404,$V23)="調整中"),"仮",INDEX('01_予約入力'!$C$5:$C$404,$V23)),IF($W23&gt;0,IF(OR(INDEX('01_予約入力'!$Q$5:$Q$404,$W23)="仮予約",INDEX('01_予約入力'!$Q$5:$Q$404,$W23)="調整中"),"仮",INDEX('01_予約入力'!$C$5:$C$404,$W23)),IF($U23&gt;0,IF(OR(INDEX('01_予約入力'!$Q$5:$Q$404,$U23)="仮予約",INDEX('01_予約入力'!$Q$5:$Q$404,$U23)="調整中"),"仮",INDEX('01_予約入力'!$C$5:$C$404,$U23)),""))))</f>
        <v/>
      </c>
      <c r="AB23" s="45">
        <f>IF($A23="",0,SUMPRODUCT(('01_予約入力'!$G$5:$G$404&lt;&gt;"")*('01_予約入力'!$Q$5:$Q$404&lt;&gt;"キャンセル")*(('01_予約入力'!$L$5:$L$404="○")*('01_予約入力'!$G$5:$G$404&lt;=$A23)*('01_予約入力'!$J$5:$J$404&gt;=$A23)+('01_予約入力'!$L$5:$L$404="")*('01_予約入力'!$G$5:$G$404&lt;$A23)*('01_予約入力'!$J$5:$J$404&gt;=$A23))))</f>
        <v/>
      </c>
      <c r="AC23" s="45">
        <f>IF($A23="",0,SUMPRODUCT(('01_予約入力'!$G$5:$G$404&lt;&gt;"")*('01_予約入力'!$Q$5:$Q$404&lt;&gt;"キャンセル")*(('01_予約入力'!$M$5:$M$404="○")*('01_予約入力'!$G$5:$G$404&lt;=$A23)*('01_予約入力'!$J$5:$J$404&gt;=$A23)+('01_予約入力'!$M$5:$M$404="")*((('01_予約入力'!$G$5:$G$404&lt;$A23)*('01_予約入力'!$J$5:$J$404&gt;$A23))+(('01_予約入力'!$G$5:$G$404=$A23)*('01_予約入力'!$J$5:$J$404=$A23))))))</f>
        <v/>
      </c>
      <c r="AD23" s="45">
        <f>IF($A23="",0,SUMPRODUCT(('01_予約入力'!$G$5:$G$404&lt;&gt;"")*('01_予約入力'!$Q$5:$Q$404&lt;&gt;"キャンセル")*(('01_予約入力'!$N$5:$N$404="○")*('01_予約入力'!$G$5:$G$404&lt;=$A23)*('01_予約入力'!$J$5:$J$404&gt;=$A23)+('01_予約入力'!$N$5:$N$404="")*('01_予約入力'!$G$5:$G$404&lt;=$A23)*('01_予約入力'!$J$5:$J$404&gt;$A23))))</f>
        <v/>
      </c>
      <c r="AE23" s="45">
        <f>IF($A23="",0,IFERROR(MATCH($A23,'02_カレンダー'!$B$59:$B$78,0),0))</f>
        <v/>
      </c>
      <c r="AF23" s="45">
        <f>IF($A23="",0,IF($AE23=0,$AB23,IF(INDEX('02_カレンダー'!$C$59:$C$78,$AE23)="",$AB23,INDEX('02_カレンダー'!$C$59:$C$78,$AE23))))</f>
        <v/>
      </c>
      <c r="AG23" s="45">
        <f>IF($A23="",0,IF($AE23=0,$AC23,IF(INDEX('02_カレンダー'!$D$59:$D$78,$AE23)="",$AC23,INDEX('02_カレンダー'!$D$59:$D$78,$AE23))))</f>
        <v/>
      </c>
      <c r="AH23" s="45">
        <f>IF($A23="",0,IF($AE23=0,$AD23,IF(INDEX('02_カレンダー'!$E$59:$E$78,$AE23)="",$AD23,INDEX('02_カレンダー'!$E$59:$E$78,$AE23))))</f>
        <v/>
      </c>
      <c r="AI23" s="45">
        <f>IF($A23="","",IF(AND($AF23=0,$AG23=0,$AH23=0),"","朝"&amp;$AF23&amp;" 昼"&amp;$AG23&amp;" 夕"&amp;$AH23&amp;IF($AJ23=0,"","　※調整")))</f>
        <v/>
      </c>
      <c r="AJ23" s="45">
        <f>IF(OR($A23="",$AE23=0),0,IF(OR(INDEX('02_カレンダー'!$C$59:$C$78,$AE23)&lt;&gt;"",INDEX('02_カレンダー'!$D$59:$D$78,$AE23)&lt;&gt;"",INDEX('02_カレンダー'!$E$59:$E$78,$AE23)&lt;&gt;""),1,0))</f>
        <v/>
      </c>
    </row>
    <row r="24">
      <c r="A24" s="38">
        <f>IF(MONTH('02_カレンダー'!$B$4+17)&lt;&gt;MONTH('02_カレンダー'!$B$4),"",'02_カレンダー'!$B$4+17)</f>
        <v/>
      </c>
      <c r="B24" s="45">
        <f>IF($A24="","",MID("日月火水木金土",WEEKDAY($A24),1))</f>
        <v/>
      </c>
      <c r="C24" s="49">
        <f>IF(OR($A24="",C$6=""),"",IF($L24=0,"",INDEX('01_予約入力'!$B$5:$B$404,$L24)&amp;" ◀"&amp;IF(('02_カレンダー'!$B$5="○"),INDEX('01_予約入力'!$AE$5:$AE$404,$L24),""))&amp;IF(AND($L24&gt;0,OR($M24&gt;0,$N24&gt;0)),"  ","")&amp;IF($M24=0,"",IF(INDEX('01_予約入力'!$G$5:$G$404,$M24)=$A24,"▶"&amp;IF(('02_カレンダー'!$B$5="○"),INDEX('01_予約入力'!$AD$5:$AD$404,$M24)&amp;" "," "),"")&amp;INDEX('01_予約入力'!$B$5:$B$404,$M24))&amp;IF(AND($M24&gt;0,$N24&gt;0),"  ","")&amp;IF($N24=0,"","◆ "&amp;INDEX('01_予約入力'!$B$5:$B$404,$N24)&amp;IF(('02_カレンダー'!$B$5="○")," "&amp;INDEX('01_予約入力'!$AD$5:$AD$404,$N24)&amp;"-"&amp;INDEX('01_予約入力'!$AE$5:$AE$404,$N24),"")))</f>
        <v/>
      </c>
      <c r="D24" s="49">
        <f>IF(OR($A24="",D$6=""),"",IF($O24=0,"",INDEX('01_予約入力'!$B$5:$B$404,$O24)&amp;" ◀"&amp;IF(('02_カレンダー'!$B$5="○"),INDEX('01_予約入力'!$AE$5:$AE$404,$O24),""))&amp;IF(AND($O24&gt;0,OR($P24&gt;0,$Q24&gt;0)),"  ","")&amp;IF($P24=0,"",IF(INDEX('01_予約入力'!$G$5:$G$404,$P24)=$A24,"▶"&amp;IF(('02_カレンダー'!$B$5="○"),INDEX('01_予約入力'!$AD$5:$AD$404,$P24)&amp;" "," "),"")&amp;INDEX('01_予約入力'!$B$5:$B$404,$P24))&amp;IF(AND($P24&gt;0,$Q24&gt;0),"  ","")&amp;IF($Q24=0,"","◆ "&amp;INDEX('01_予約入力'!$B$5:$B$404,$Q24)&amp;IF(('02_カレンダー'!$B$5="○")," "&amp;INDEX('01_予約入力'!$AD$5:$AD$404,$Q24)&amp;"-"&amp;INDEX('01_予約入力'!$AE$5:$AE$404,$Q24),"")))</f>
        <v/>
      </c>
      <c r="E24" s="49">
        <f>IF(OR($A24="",E$6=""),"",IF($R24=0,"",INDEX('01_予約入力'!$B$5:$B$404,$R24)&amp;" ◀"&amp;IF(('02_カレンダー'!$B$5="○"),INDEX('01_予約入力'!$AE$5:$AE$404,$R24),""))&amp;IF(AND($R24&gt;0,OR($S24&gt;0,$T24&gt;0)),"  ","")&amp;IF($S24=0,"",IF(INDEX('01_予約入力'!$G$5:$G$404,$S24)=$A24,"▶"&amp;IF(('02_カレンダー'!$B$5="○"),INDEX('01_予約入力'!$AD$5:$AD$404,$S24)&amp;" "," "),"")&amp;INDEX('01_予約入力'!$B$5:$B$404,$S24))&amp;IF(AND($S24&gt;0,$T24&gt;0),"  ","")&amp;IF($T24=0,"","◆ "&amp;INDEX('01_予約入力'!$B$5:$B$404,$T24)&amp;IF(('02_カレンダー'!$B$5="○")," "&amp;INDEX('01_予約入力'!$AD$5:$AD$404,$T24)&amp;"-"&amp;INDEX('01_予約入力'!$AE$5:$AE$404,$T24),"")))</f>
        <v/>
      </c>
      <c r="F24" s="49">
        <f>IF(OR($A24="",F$6=""),"",IF($U24=0,"",INDEX('01_予約入力'!$B$5:$B$404,$U24)&amp;" ◀"&amp;IF(('02_カレンダー'!$B$5="○"),INDEX('01_予約入力'!$AE$5:$AE$404,$U24),""))&amp;IF(AND($U24&gt;0,OR($V24&gt;0,$W24&gt;0)),"  ","")&amp;IF($V24=0,"",IF(INDEX('01_予約入力'!$G$5:$G$404,$V24)=$A24,"▶"&amp;IF(('02_カレンダー'!$B$5="○"),INDEX('01_予約入力'!$AD$5:$AD$404,$V24)&amp;" "," "),"")&amp;INDEX('01_予約入力'!$B$5:$B$404,$V24))&amp;IF(AND($V24&gt;0,$W24&gt;0),"  ","")&amp;IF($W24=0,"","◆ "&amp;INDEX('01_予約入力'!$B$5:$B$404,$W24)&amp;IF(('02_カレンダー'!$B$5="○")," "&amp;INDEX('01_予約入力'!$AD$5:$AD$404,$W24)&amp;"-"&amp;INDEX('01_予約入力'!$AE$5:$AE$404,$W24),"")))</f>
        <v/>
      </c>
      <c r="G24" s="45">
        <f>IF($A24="","",SUMPRODUCT(('01_予約入力'!$G$5:$G$404&lt;&gt;"")*('01_予約入力'!$Q$5:$Q$404&lt;&gt;"キャンセル")*('01_予約入力'!$G$5:$G$404&lt;=$A24)*('01_予約入力'!$J$5:$J$404&gt;$A24)))</f>
        <v/>
      </c>
      <c r="H24" s="45">
        <f>IF($A24="","",'M_施設設定'!$B$6-$G24)</f>
        <v/>
      </c>
      <c r="I24" s="45">
        <f>IF($A24="","",SUMPRODUCT((('01_予約入力'!$Q$5:$Q$404="仮予約")+('01_予約入力'!$Q$5:$Q$404="調整中"))*('01_予約入力'!$G$5:$G$404&lt;&gt;"")*('01_予約入力'!$G$5:$G$404&lt;=$A24)*('01_予約入力'!$J$5:$J$404&gt;$A24)))</f>
        <v/>
      </c>
      <c r="J24" s="45">
        <f>IF($A24="","",IF($I24&gt;0,"仮",IF($H24&lt;=0,"×",IF($H24&lt;'M_施設設定'!$B$6,"△","○"))))</f>
        <v/>
      </c>
      <c r="K24" s="45">
        <f>IF($A24="","",SUMPRODUCT(('01_予約入力'!$G$5:$G$404&lt;&gt;"")*('01_予約入力'!$Q$5:$Q$404&lt;&gt;"キャンセル")*('01_予約入力'!$G$5:$G$404=$A24)*('01_予約入力'!$J$5:$J$404=$A24)))</f>
        <v/>
      </c>
      <c r="L24" s="45">
        <f>IF(OR($A24="",C$6=""),0,SUMPRODUCT(MAX(('01_予約入力'!$D$5:$D$404=C$6)*('01_予約入力'!$Q$5:$Q$404&lt;&gt;"キャンセル")*('01_予約入力'!$G$5:$G$404&lt;&gt;"")*('01_予約入力'!$J$5:$J$404=$A24)*('01_予約入力'!$G$5:$G$404&lt;$A24)*(ROW('01_予約入力'!$G$5:$G$404)-4))))</f>
        <v/>
      </c>
      <c r="M24" s="45">
        <f>IF(OR($A24="",C$6=""),0,SUMPRODUCT(MAX(('01_予約入力'!$D$5:$D$404=C$6)*('01_予約入力'!$Q$5:$Q$404&lt;&gt;"キャンセル")*('01_予約入力'!$G$5:$G$404&lt;&gt;"")*('01_予約入力'!$G$5:$G$404&lt;=$A24)*('01_予約入力'!$J$5:$J$404&gt;$A24)*(ROW('01_予約入力'!$G$5:$G$404)-4))))</f>
        <v/>
      </c>
      <c r="N24" s="45">
        <f>IF(OR($A24="",C$6=""),0,SUMPRODUCT(MAX(('01_予約入力'!$D$5:$D$404=C$6)*('01_予約入力'!$Q$5:$Q$404&lt;&gt;"キャンセル")*('01_予約入力'!$G$5:$G$404&lt;&gt;"")*('01_予約入力'!$G$5:$G$404=$A24)*('01_予約入力'!$J$5:$J$404=$A24)*(ROW('01_予約入力'!$G$5:$G$404)-4))))</f>
        <v/>
      </c>
      <c r="O24" s="45">
        <f>IF(OR($A24="",D$6=""),0,SUMPRODUCT(MAX(('01_予約入力'!$D$5:$D$404=D$6)*('01_予約入力'!$Q$5:$Q$404&lt;&gt;"キャンセル")*('01_予約入力'!$G$5:$G$404&lt;&gt;"")*('01_予約入力'!$J$5:$J$404=$A24)*('01_予約入力'!$G$5:$G$404&lt;$A24)*(ROW('01_予約入力'!$G$5:$G$404)-4))))</f>
        <v/>
      </c>
      <c r="P24" s="45">
        <f>IF(OR($A24="",D$6=""),0,SUMPRODUCT(MAX(('01_予約入力'!$D$5:$D$404=D$6)*('01_予約入力'!$Q$5:$Q$404&lt;&gt;"キャンセル")*('01_予約入力'!$G$5:$G$404&lt;&gt;"")*('01_予約入力'!$G$5:$G$404&lt;=$A24)*('01_予約入力'!$J$5:$J$404&gt;$A24)*(ROW('01_予約入力'!$G$5:$G$404)-4))))</f>
        <v/>
      </c>
      <c r="Q24" s="45">
        <f>IF(OR($A24="",D$6=""),0,SUMPRODUCT(MAX(('01_予約入力'!$D$5:$D$404=D$6)*('01_予約入力'!$Q$5:$Q$404&lt;&gt;"キャンセル")*('01_予約入力'!$G$5:$G$404&lt;&gt;"")*('01_予約入力'!$G$5:$G$404=$A24)*('01_予約入力'!$J$5:$J$404=$A24)*(ROW('01_予約入力'!$G$5:$G$404)-4))))</f>
        <v/>
      </c>
      <c r="R24" s="45">
        <f>IF(OR($A24="",E$6=""),0,SUMPRODUCT(MAX(('01_予約入力'!$D$5:$D$404=E$6)*('01_予約入力'!$Q$5:$Q$404&lt;&gt;"キャンセル")*('01_予約入力'!$G$5:$G$404&lt;&gt;"")*('01_予約入力'!$J$5:$J$404=$A24)*('01_予約入力'!$G$5:$G$404&lt;$A24)*(ROW('01_予約入力'!$G$5:$G$404)-4))))</f>
        <v/>
      </c>
      <c r="S24" s="45">
        <f>IF(OR($A24="",E$6=""),0,SUMPRODUCT(MAX(('01_予約入力'!$D$5:$D$404=E$6)*('01_予約入力'!$Q$5:$Q$404&lt;&gt;"キャンセル")*('01_予約入力'!$G$5:$G$404&lt;&gt;"")*('01_予約入力'!$G$5:$G$404&lt;=$A24)*('01_予約入力'!$J$5:$J$404&gt;$A24)*(ROW('01_予約入力'!$G$5:$G$404)-4))))</f>
        <v/>
      </c>
      <c r="T24" s="45">
        <f>IF(OR($A24="",E$6=""),0,SUMPRODUCT(MAX(('01_予約入力'!$D$5:$D$404=E$6)*('01_予約入力'!$Q$5:$Q$404&lt;&gt;"キャンセル")*('01_予約入力'!$G$5:$G$404&lt;&gt;"")*('01_予約入力'!$G$5:$G$404=$A24)*('01_予約入力'!$J$5:$J$404=$A24)*(ROW('01_予約入力'!$G$5:$G$404)-4))))</f>
        <v/>
      </c>
      <c r="U24" s="45">
        <f>IF(OR($A24="",F$6=""),0,SUMPRODUCT(MAX(('01_予約入力'!$D$5:$D$404=F$6)*('01_予約入力'!$Q$5:$Q$404&lt;&gt;"キャンセル")*('01_予約入力'!$G$5:$G$404&lt;&gt;"")*('01_予約入力'!$J$5:$J$404=$A24)*('01_予約入力'!$G$5:$G$404&lt;$A24)*(ROW('01_予約入力'!$G$5:$G$404)-4))))</f>
        <v/>
      </c>
      <c r="V24" s="45">
        <f>IF(OR($A24="",F$6=""),0,SUMPRODUCT(MAX(('01_予約入力'!$D$5:$D$404=F$6)*('01_予約入力'!$Q$5:$Q$404&lt;&gt;"キャンセル")*('01_予約入力'!$G$5:$G$404&lt;&gt;"")*('01_予約入力'!$G$5:$G$404&lt;=$A24)*('01_予約入力'!$J$5:$J$404&gt;$A24)*(ROW('01_予約入力'!$G$5:$G$404)-4))))</f>
        <v/>
      </c>
      <c r="W24" s="45">
        <f>IF(OR($A24="",F$6=""),0,SUMPRODUCT(MAX(('01_予約入力'!$D$5:$D$404=F$6)*('01_予約入力'!$Q$5:$Q$404&lt;&gt;"キャンセル")*('01_予約入力'!$G$5:$G$404&lt;&gt;"")*('01_予約入力'!$G$5:$G$404=$A24)*('01_予約入力'!$J$5:$J$404=$A24)*(ROW('01_予約入力'!$G$5:$G$404)-4))))</f>
        <v/>
      </c>
      <c r="X24" s="45">
        <f>IF($A24="","",IF($M24&gt;0,IF(OR(INDEX('01_予約入力'!$Q$5:$Q$404,$M24)="仮予約",INDEX('01_予約入力'!$Q$5:$Q$404,$M24)="調整中"),"仮",INDEX('01_予約入力'!$C$5:$C$404,$M24)),IF($N24&gt;0,IF(OR(INDEX('01_予約入力'!$Q$5:$Q$404,$N24)="仮予約",INDEX('01_予約入力'!$Q$5:$Q$404,$N24)="調整中"),"仮",INDEX('01_予約入力'!$C$5:$C$404,$N24)),IF($L24&gt;0,IF(OR(INDEX('01_予約入力'!$Q$5:$Q$404,$L24)="仮予約",INDEX('01_予約入力'!$Q$5:$Q$404,$L24)="調整中"),"仮",INDEX('01_予約入力'!$C$5:$C$404,$L24)),""))))</f>
        <v/>
      </c>
      <c r="Y24" s="45">
        <f>IF($A24="","",IF($P24&gt;0,IF(OR(INDEX('01_予約入力'!$Q$5:$Q$404,$P24)="仮予約",INDEX('01_予約入力'!$Q$5:$Q$404,$P24)="調整中"),"仮",INDEX('01_予約入力'!$C$5:$C$404,$P24)),IF($Q24&gt;0,IF(OR(INDEX('01_予約入力'!$Q$5:$Q$404,$Q24)="仮予約",INDEX('01_予約入力'!$Q$5:$Q$404,$Q24)="調整中"),"仮",INDEX('01_予約入力'!$C$5:$C$404,$Q24)),IF($O24&gt;0,IF(OR(INDEX('01_予約入力'!$Q$5:$Q$404,$O24)="仮予約",INDEX('01_予約入力'!$Q$5:$Q$404,$O24)="調整中"),"仮",INDEX('01_予約入力'!$C$5:$C$404,$O24)),""))))</f>
        <v/>
      </c>
      <c r="Z24" s="45">
        <f>IF($A24="","",IF($S24&gt;0,IF(OR(INDEX('01_予約入力'!$Q$5:$Q$404,$S24)="仮予約",INDEX('01_予約入力'!$Q$5:$Q$404,$S24)="調整中"),"仮",INDEX('01_予約入力'!$C$5:$C$404,$S24)),IF($T24&gt;0,IF(OR(INDEX('01_予約入力'!$Q$5:$Q$404,$T24)="仮予約",INDEX('01_予約入力'!$Q$5:$Q$404,$T24)="調整中"),"仮",INDEX('01_予約入力'!$C$5:$C$404,$T24)),IF($R24&gt;0,IF(OR(INDEX('01_予約入力'!$Q$5:$Q$404,$R24)="仮予約",INDEX('01_予約入力'!$Q$5:$Q$404,$R24)="調整中"),"仮",INDEX('01_予約入力'!$C$5:$C$404,$R24)),""))))</f>
        <v/>
      </c>
      <c r="AA24" s="45">
        <f>IF($A24="","",IF($V24&gt;0,IF(OR(INDEX('01_予約入力'!$Q$5:$Q$404,$V24)="仮予約",INDEX('01_予約入力'!$Q$5:$Q$404,$V24)="調整中"),"仮",INDEX('01_予約入力'!$C$5:$C$404,$V24)),IF($W24&gt;0,IF(OR(INDEX('01_予約入力'!$Q$5:$Q$404,$W24)="仮予約",INDEX('01_予約入力'!$Q$5:$Q$404,$W24)="調整中"),"仮",INDEX('01_予約入力'!$C$5:$C$404,$W24)),IF($U24&gt;0,IF(OR(INDEX('01_予約入力'!$Q$5:$Q$404,$U24)="仮予約",INDEX('01_予約入力'!$Q$5:$Q$404,$U24)="調整中"),"仮",INDEX('01_予約入力'!$C$5:$C$404,$U24)),""))))</f>
        <v/>
      </c>
      <c r="AB24" s="45">
        <f>IF($A24="",0,SUMPRODUCT(('01_予約入力'!$G$5:$G$404&lt;&gt;"")*('01_予約入力'!$Q$5:$Q$404&lt;&gt;"キャンセル")*(('01_予約入力'!$L$5:$L$404="○")*('01_予約入力'!$G$5:$G$404&lt;=$A24)*('01_予約入力'!$J$5:$J$404&gt;=$A24)+('01_予約入力'!$L$5:$L$404="")*('01_予約入力'!$G$5:$G$404&lt;$A24)*('01_予約入力'!$J$5:$J$404&gt;=$A24))))</f>
        <v/>
      </c>
      <c r="AC24" s="45">
        <f>IF($A24="",0,SUMPRODUCT(('01_予約入力'!$G$5:$G$404&lt;&gt;"")*('01_予約入力'!$Q$5:$Q$404&lt;&gt;"キャンセル")*(('01_予約入力'!$M$5:$M$404="○")*('01_予約入力'!$G$5:$G$404&lt;=$A24)*('01_予約入力'!$J$5:$J$404&gt;=$A24)+('01_予約入力'!$M$5:$M$404="")*((('01_予約入力'!$G$5:$G$404&lt;$A24)*('01_予約入力'!$J$5:$J$404&gt;$A24))+(('01_予約入力'!$G$5:$G$404=$A24)*('01_予約入力'!$J$5:$J$404=$A24))))))</f>
        <v/>
      </c>
      <c r="AD24" s="45">
        <f>IF($A24="",0,SUMPRODUCT(('01_予約入力'!$G$5:$G$404&lt;&gt;"")*('01_予約入力'!$Q$5:$Q$404&lt;&gt;"キャンセル")*(('01_予約入力'!$N$5:$N$404="○")*('01_予約入力'!$G$5:$G$404&lt;=$A24)*('01_予約入力'!$J$5:$J$404&gt;=$A24)+('01_予約入力'!$N$5:$N$404="")*('01_予約入力'!$G$5:$G$404&lt;=$A24)*('01_予約入力'!$J$5:$J$404&gt;$A24))))</f>
        <v/>
      </c>
      <c r="AE24" s="45">
        <f>IF($A24="",0,IFERROR(MATCH($A24,'02_カレンダー'!$B$59:$B$78,0),0))</f>
        <v/>
      </c>
      <c r="AF24" s="45">
        <f>IF($A24="",0,IF($AE24=0,$AB24,IF(INDEX('02_カレンダー'!$C$59:$C$78,$AE24)="",$AB24,INDEX('02_カレンダー'!$C$59:$C$78,$AE24))))</f>
        <v/>
      </c>
      <c r="AG24" s="45">
        <f>IF($A24="",0,IF($AE24=0,$AC24,IF(INDEX('02_カレンダー'!$D$59:$D$78,$AE24)="",$AC24,INDEX('02_カレンダー'!$D$59:$D$78,$AE24))))</f>
        <v/>
      </c>
      <c r="AH24" s="45">
        <f>IF($A24="",0,IF($AE24=0,$AD24,IF(INDEX('02_カレンダー'!$E$59:$E$78,$AE24)="",$AD24,INDEX('02_カレンダー'!$E$59:$E$78,$AE24))))</f>
        <v/>
      </c>
      <c r="AI24" s="45">
        <f>IF($A24="","",IF(AND($AF24=0,$AG24=0,$AH24=0),"","朝"&amp;$AF24&amp;" 昼"&amp;$AG24&amp;" 夕"&amp;$AH24&amp;IF($AJ24=0,"","　※調整")))</f>
        <v/>
      </c>
      <c r="AJ24" s="45">
        <f>IF(OR($A24="",$AE24=0),0,IF(OR(INDEX('02_カレンダー'!$C$59:$C$78,$AE24)&lt;&gt;"",INDEX('02_カレンダー'!$D$59:$D$78,$AE24)&lt;&gt;"",INDEX('02_カレンダー'!$E$59:$E$78,$AE24)&lt;&gt;""),1,0))</f>
        <v/>
      </c>
    </row>
    <row r="25">
      <c r="A25" s="38">
        <f>IF(MONTH('02_カレンダー'!$B$4+18)&lt;&gt;MONTH('02_カレンダー'!$B$4),"",'02_カレンダー'!$B$4+18)</f>
        <v/>
      </c>
      <c r="B25" s="45">
        <f>IF($A25="","",MID("日月火水木金土",WEEKDAY($A25),1))</f>
        <v/>
      </c>
      <c r="C25" s="49">
        <f>IF(OR($A25="",C$6=""),"",IF($L25=0,"",INDEX('01_予約入力'!$B$5:$B$404,$L25)&amp;" ◀"&amp;IF(('02_カレンダー'!$B$5="○"),INDEX('01_予約入力'!$AE$5:$AE$404,$L25),""))&amp;IF(AND($L25&gt;0,OR($M25&gt;0,$N25&gt;0)),"  ","")&amp;IF($M25=0,"",IF(INDEX('01_予約入力'!$G$5:$G$404,$M25)=$A25,"▶"&amp;IF(('02_カレンダー'!$B$5="○"),INDEX('01_予約入力'!$AD$5:$AD$404,$M25)&amp;" "," "),"")&amp;INDEX('01_予約入力'!$B$5:$B$404,$M25))&amp;IF(AND($M25&gt;0,$N25&gt;0),"  ","")&amp;IF($N25=0,"","◆ "&amp;INDEX('01_予約入力'!$B$5:$B$404,$N25)&amp;IF(('02_カレンダー'!$B$5="○")," "&amp;INDEX('01_予約入力'!$AD$5:$AD$404,$N25)&amp;"-"&amp;INDEX('01_予約入力'!$AE$5:$AE$404,$N25),"")))</f>
        <v/>
      </c>
      <c r="D25" s="49">
        <f>IF(OR($A25="",D$6=""),"",IF($O25=0,"",INDEX('01_予約入力'!$B$5:$B$404,$O25)&amp;" ◀"&amp;IF(('02_カレンダー'!$B$5="○"),INDEX('01_予約入力'!$AE$5:$AE$404,$O25),""))&amp;IF(AND($O25&gt;0,OR($P25&gt;0,$Q25&gt;0)),"  ","")&amp;IF($P25=0,"",IF(INDEX('01_予約入力'!$G$5:$G$404,$P25)=$A25,"▶"&amp;IF(('02_カレンダー'!$B$5="○"),INDEX('01_予約入力'!$AD$5:$AD$404,$P25)&amp;" "," "),"")&amp;INDEX('01_予約入力'!$B$5:$B$404,$P25))&amp;IF(AND($P25&gt;0,$Q25&gt;0),"  ","")&amp;IF($Q25=0,"","◆ "&amp;INDEX('01_予約入力'!$B$5:$B$404,$Q25)&amp;IF(('02_カレンダー'!$B$5="○")," "&amp;INDEX('01_予約入力'!$AD$5:$AD$404,$Q25)&amp;"-"&amp;INDEX('01_予約入力'!$AE$5:$AE$404,$Q25),"")))</f>
        <v/>
      </c>
      <c r="E25" s="49">
        <f>IF(OR($A25="",E$6=""),"",IF($R25=0,"",INDEX('01_予約入力'!$B$5:$B$404,$R25)&amp;" ◀"&amp;IF(('02_カレンダー'!$B$5="○"),INDEX('01_予約入力'!$AE$5:$AE$404,$R25),""))&amp;IF(AND($R25&gt;0,OR($S25&gt;0,$T25&gt;0)),"  ","")&amp;IF($S25=0,"",IF(INDEX('01_予約入力'!$G$5:$G$404,$S25)=$A25,"▶"&amp;IF(('02_カレンダー'!$B$5="○"),INDEX('01_予約入力'!$AD$5:$AD$404,$S25)&amp;" "," "),"")&amp;INDEX('01_予約入力'!$B$5:$B$404,$S25))&amp;IF(AND($S25&gt;0,$T25&gt;0),"  ","")&amp;IF($T25=0,"","◆ "&amp;INDEX('01_予約入力'!$B$5:$B$404,$T25)&amp;IF(('02_カレンダー'!$B$5="○")," "&amp;INDEX('01_予約入力'!$AD$5:$AD$404,$T25)&amp;"-"&amp;INDEX('01_予約入力'!$AE$5:$AE$404,$T25),"")))</f>
        <v/>
      </c>
      <c r="F25" s="49">
        <f>IF(OR($A25="",F$6=""),"",IF($U25=0,"",INDEX('01_予約入力'!$B$5:$B$404,$U25)&amp;" ◀"&amp;IF(('02_カレンダー'!$B$5="○"),INDEX('01_予約入力'!$AE$5:$AE$404,$U25),""))&amp;IF(AND($U25&gt;0,OR($V25&gt;0,$W25&gt;0)),"  ","")&amp;IF($V25=0,"",IF(INDEX('01_予約入力'!$G$5:$G$404,$V25)=$A25,"▶"&amp;IF(('02_カレンダー'!$B$5="○"),INDEX('01_予約入力'!$AD$5:$AD$404,$V25)&amp;" "," "),"")&amp;INDEX('01_予約入力'!$B$5:$B$404,$V25))&amp;IF(AND($V25&gt;0,$W25&gt;0),"  ","")&amp;IF($W25=0,"","◆ "&amp;INDEX('01_予約入力'!$B$5:$B$404,$W25)&amp;IF(('02_カレンダー'!$B$5="○")," "&amp;INDEX('01_予約入力'!$AD$5:$AD$404,$W25)&amp;"-"&amp;INDEX('01_予約入力'!$AE$5:$AE$404,$W25),"")))</f>
        <v/>
      </c>
      <c r="G25" s="45">
        <f>IF($A25="","",SUMPRODUCT(('01_予約入力'!$G$5:$G$404&lt;&gt;"")*('01_予約入力'!$Q$5:$Q$404&lt;&gt;"キャンセル")*('01_予約入力'!$G$5:$G$404&lt;=$A25)*('01_予約入力'!$J$5:$J$404&gt;$A25)))</f>
        <v/>
      </c>
      <c r="H25" s="45">
        <f>IF($A25="","",'M_施設設定'!$B$6-$G25)</f>
        <v/>
      </c>
      <c r="I25" s="45">
        <f>IF($A25="","",SUMPRODUCT((('01_予約入力'!$Q$5:$Q$404="仮予約")+('01_予約入力'!$Q$5:$Q$404="調整中"))*('01_予約入力'!$G$5:$G$404&lt;&gt;"")*('01_予約入力'!$G$5:$G$404&lt;=$A25)*('01_予約入力'!$J$5:$J$404&gt;$A25)))</f>
        <v/>
      </c>
      <c r="J25" s="45">
        <f>IF($A25="","",IF($I25&gt;0,"仮",IF($H25&lt;=0,"×",IF($H25&lt;'M_施設設定'!$B$6,"△","○"))))</f>
        <v/>
      </c>
      <c r="K25" s="45">
        <f>IF($A25="","",SUMPRODUCT(('01_予約入力'!$G$5:$G$404&lt;&gt;"")*('01_予約入力'!$Q$5:$Q$404&lt;&gt;"キャンセル")*('01_予約入力'!$G$5:$G$404=$A25)*('01_予約入力'!$J$5:$J$404=$A25)))</f>
        <v/>
      </c>
      <c r="L25" s="45">
        <f>IF(OR($A25="",C$6=""),0,SUMPRODUCT(MAX(('01_予約入力'!$D$5:$D$404=C$6)*('01_予約入力'!$Q$5:$Q$404&lt;&gt;"キャンセル")*('01_予約入力'!$G$5:$G$404&lt;&gt;"")*('01_予約入力'!$J$5:$J$404=$A25)*('01_予約入力'!$G$5:$G$404&lt;$A25)*(ROW('01_予約入力'!$G$5:$G$404)-4))))</f>
        <v/>
      </c>
      <c r="M25" s="45">
        <f>IF(OR($A25="",C$6=""),0,SUMPRODUCT(MAX(('01_予約入力'!$D$5:$D$404=C$6)*('01_予約入力'!$Q$5:$Q$404&lt;&gt;"キャンセル")*('01_予約入力'!$G$5:$G$404&lt;&gt;"")*('01_予約入力'!$G$5:$G$404&lt;=$A25)*('01_予約入力'!$J$5:$J$404&gt;$A25)*(ROW('01_予約入力'!$G$5:$G$404)-4))))</f>
        <v/>
      </c>
      <c r="N25" s="45">
        <f>IF(OR($A25="",C$6=""),0,SUMPRODUCT(MAX(('01_予約入力'!$D$5:$D$404=C$6)*('01_予約入力'!$Q$5:$Q$404&lt;&gt;"キャンセル")*('01_予約入力'!$G$5:$G$404&lt;&gt;"")*('01_予約入力'!$G$5:$G$404=$A25)*('01_予約入力'!$J$5:$J$404=$A25)*(ROW('01_予約入力'!$G$5:$G$404)-4))))</f>
        <v/>
      </c>
      <c r="O25" s="45">
        <f>IF(OR($A25="",D$6=""),0,SUMPRODUCT(MAX(('01_予約入力'!$D$5:$D$404=D$6)*('01_予約入力'!$Q$5:$Q$404&lt;&gt;"キャンセル")*('01_予約入力'!$G$5:$G$404&lt;&gt;"")*('01_予約入力'!$J$5:$J$404=$A25)*('01_予約入力'!$G$5:$G$404&lt;$A25)*(ROW('01_予約入力'!$G$5:$G$404)-4))))</f>
        <v/>
      </c>
      <c r="P25" s="45">
        <f>IF(OR($A25="",D$6=""),0,SUMPRODUCT(MAX(('01_予約入力'!$D$5:$D$404=D$6)*('01_予約入力'!$Q$5:$Q$404&lt;&gt;"キャンセル")*('01_予約入力'!$G$5:$G$404&lt;&gt;"")*('01_予約入力'!$G$5:$G$404&lt;=$A25)*('01_予約入力'!$J$5:$J$404&gt;$A25)*(ROW('01_予約入力'!$G$5:$G$404)-4))))</f>
        <v/>
      </c>
      <c r="Q25" s="45">
        <f>IF(OR($A25="",D$6=""),0,SUMPRODUCT(MAX(('01_予約入力'!$D$5:$D$404=D$6)*('01_予約入力'!$Q$5:$Q$404&lt;&gt;"キャンセル")*('01_予約入力'!$G$5:$G$404&lt;&gt;"")*('01_予約入力'!$G$5:$G$404=$A25)*('01_予約入力'!$J$5:$J$404=$A25)*(ROW('01_予約入力'!$G$5:$G$404)-4))))</f>
        <v/>
      </c>
      <c r="R25" s="45">
        <f>IF(OR($A25="",E$6=""),0,SUMPRODUCT(MAX(('01_予約入力'!$D$5:$D$404=E$6)*('01_予約入力'!$Q$5:$Q$404&lt;&gt;"キャンセル")*('01_予約入力'!$G$5:$G$404&lt;&gt;"")*('01_予約入力'!$J$5:$J$404=$A25)*('01_予約入力'!$G$5:$G$404&lt;$A25)*(ROW('01_予約入力'!$G$5:$G$404)-4))))</f>
        <v/>
      </c>
      <c r="S25" s="45">
        <f>IF(OR($A25="",E$6=""),0,SUMPRODUCT(MAX(('01_予約入力'!$D$5:$D$404=E$6)*('01_予約入力'!$Q$5:$Q$404&lt;&gt;"キャンセル")*('01_予約入力'!$G$5:$G$404&lt;&gt;"")*('01_予約入力'!$G$5:$G$404&lt;=$A25)*('01_予約入力'!$J$5:$J$404&gt;$A25)*(ROW('01_予約入力'!$G$5:$G$404)-4))))</f>
        <v/>
      </c>
      <c r="T25" s="45">
        <f>IF(OR($A25="",E$6=""),0,SUMPRODUCT(MAX(('01_予約入力'!$D$5:$D$404=E$6)*('01_予約入力'!$Q$5:$Q$404&lt;&gt;"キャンセル")*('01_予約入力'!$G$5:$G$404&lt;&gt;"")*('01_予約入力'!$G$5:$G$404=$A25)*('01_予約入力'!$J$5:$J$404=$A25)*(ROW('01_予約入力'!$G$5:$G$404)-4))))</f>
        <v/>
      </c>
      <c r="U25" s="45">
        <f>IF(OR($A25="",F$6=""),0,SUMPRODUCT(MAX(('01_予約入力'!$D$5:$D$404=F$6)*('01_予約入力'!$Q$5:$Q$404&lt;&gt;"キャンセル")*('01_予約入力'!$G$5:$G$404&lt;&gt;"")*('01_予約入力'!$J$5:$J$404=$A25)*('01_予約入力'!$G$5:$G$404&lt;$A25)*(ROW('01_予約入力'!$G$5:$G$404)-4))))</f>
        <v/>
      </c>
      <c r="V25" s="45">
        <f>IF(OR($A25="",F$6=""),0,SUMPRODUCT(MAX(('01_予約入力'!$D$5:$D$404=F$6)*('01_予約入力'!$Q$5:$Q$404&lt;&gt;"キャンセル")*('01_予約入力'!$G$5:$G$404&lt;&gt;"")*('01_予約入力'!$G$5:$G$404&lt;=$A25)*('01_予約入力'!$J$5:$J$404&gt;$A25)*(ROW('01_予約入力'!$G$5:$G$404)-4))))</f>
        <v/>
      </c>
      <c r="W25" s="45">
        <f>IF(OR($A25="",F$6=""),0,SUMPRODUCT(MAX(('01_予約入力'!$D$5:$D$404=F$6)*('01_予約入力'!$Q$5:$Q$404&lt;&gt;"キャンセル")*('01_予約入力'!$G$5:$G$404&lt;&gt;"")*('01_予約入力'!$G$5:$G$404=$A25)*('01_予約入力'!$J$5:$J$404=$A25)*(ROW('01_予約入力'!$G$5:$G$404)-4))))</f>
        <v/>
      </c>
      <c r="X25" s="45">
        <f>IF($A25="","",IF($M25&gt;0,IF(OR(INDEX('01_予約入力'!$Q$5:$Q$404,$M25)="仮予約",INDEX('01_予約入力'!$Q$5:$Q$404,$M25)="調整中"),"仮",INDEX('01_予約入力'!$C$5:$C$404,$M25)),IF($N25&gt;0,IF(OR(INDEX('01_予約入力'!$Q$5:$Q$404,$N25)="仮予約",INDEX('01_予約入力'!$Q$5:$Q$404,$N25)="調整中"),"仮",INDEX('01_予約入力'!$C$5:$C$404,$N25)),IF($L25&gt;0,IF(OR(INDEX('01_予約入力'!$Q$5:$Q$404,$L25)="仮予約",INDEX('01_予約入力'!$Q$5:$Q$404,$L25)="調整中"),"仮",INDEX('01_予約入力'!$C$5:$C$404,$L25)),""))))</f>
        <v/>
      </c>
      <c r="Y25" s="45">
        <f>IF($A25="","",IF($P25&gt;0,IF(OR(INDEX('01_予約入力'!$Q$5:$Q$404,$P25)="仮予約",INDEX('01_予約入力'!$Q$5:$Q$404,$P25)="調整中"),"仮",INDEX('01_予約入力'!$C$5:$C$404,$P25)),IF($Q25&gt;0,IF(OR(INDEX('01_予約入力'!$Q$5:$Q$404,$Q25)="仮予約",INDEX('01_予約入力'!$Q$5:$Q$404,$Q25)="調整中"),"仮",INDEX('01_予約入力'!$C$5:$C$404,$Q25)),IF($O25&gt;0,IF(OR(INDEX('01_予約入力'!$Q$5:$Q$404,$O25)="仮予約",INDEX('01_予約入力'!$Q$5:$Q$404,$O25)="調整中"),"仮",INDEX('01_予約入力'!$C$5:$C$404,$O25)),""))))</f>
        <v/>
      </c>
      <c r="Z25" s="45">
        <f>IF($A25="","",IF($S25&gt;0,IF(OR(INDEX('01_予約入力'!$Q$5:$Q$404,$S25)="仮予約",INDEX('01_予約入力'!$Q$5:$Q$404,$S25)="調整中"),"仮",INDEX('01_予約入力'!$C$5:$C$404,$S25)),IF($T25&gt;0,IF(OR(INDEX('01_予約入力'!$Q$5:$Q$404,$T25)="仮予約",INDEX('01_予約入力'!$Q$5:$Q$404,$T25)="調整中"),"仮",INDEX('01_予約入力'!$C$5:$C$404,$T25)),IF($R25&gt;0,IF(OR(INDEX('01_予約入力'!$Q$5:$Q$404,$R25)="仮予約",INDEX('01_予約入力'!$Q$5:$Q$404,$R25)="調整中"),"仮",INDEX('01_予約入力'!$C$5:$C$404,$R25)),""))))</f>
        <v/>
      </c>
      <c r="AA25" s="45">
        <f>IF($A25="","",IF($V25&gt;0,IF(OR(INDEX('01_予約入力'!$Q$5:$Q$404,$V25)="仮予約",INDEX('01_予約入力'!$Q$5:$Q$404,$V25)="調整中"),"仮",INDEX('01_予約入力'!$C$5:$C$404,$V25)),IF($W25&gt;0,IF(OR(INDEX('01_予約入力'!$Q$5:$Q$404,$W25)="仮予約",INDEX('01_予約入力'!$Q$5:$Q$404,$W25)="調整中"),"仮",INDEX('01_予約入力'!$C$5:$C$404,$W25)),IF($U25&gt;0,IF(OR(INDEX('01_予約入力'!$Q$5:$Q$404,$U25)="仮予約",INDEX('01_予約入力'!$Q$5:$Q$404,$U25)="調整中"),"仮",INDEX('01_予約入力'!$C$5:$C$404,$U25)),""))))</f>
        <v/>
      </c>
      <c r="AB25" s="45">
        <f>IF($A25="",0,SUMPRODUCT(('01_予約入力'!$G$5:$G$404&lt;&gt;"")*('01_予約入力'!$Q$5:$Q$404&lt;&gt;"キャンセル")*(('01_予約入力'!$L$5:$L$404="○")*('01_予約入力'!$G$5:$G$404&lt;=$A25)*('01_予約入力'!$J$5:$J$404&gt;=$A25)+('01_予約入力'!$L$5:$L$404="")*('01_予約入力'!$G$5:$G$404&lt;$A25)*('01_予約入力'!$J$5:$J$404&gt;=$A25))))</f>
        <v/>
      </c>
      <c r="AC25" s="45">
        <f>IF($A25="",0,SUMPRODUCT(('01_予約入力'!$G$5:$G$404&lt;&gt;"")*('01_予約入力'!$Q$5:$Q$404&lt;&gt;"キャンセル")*(('01_予約入力'!$M$5:$M$404="○")*('01_予約入力'!$G$5:$G$404&lt;=$A25)*('01_予約入力'!$J$5:$J$404&gt;=$A25)+('01_予約入力'!$M$5:$M$404="")*((('01_予約入力'!$G$5:$G$404&lt;$A25)*('01_予約入力'!$J$5:$J$404&gt;$A25))+(('01_予約入力'!$G$5:$G$404=$A25)*('01_予約入力'!$J$5:$J$404=$A25))))))</f>
        <v/>
      </c>
      <c r="AD25" s="45">
        <f>IF($A25="",0,SUMPRODUCT(('01_予約入力'!$G$5:$G$404&lt;&gt;"")*('01_予約入力'!$Q$5:$Q$404&lt;&gt;"キャンセル")*(('01_予約入力'!$N$5:$N$404="○")*('01_予約入力'!$G$5:$G$404&lt;=$A25)*('01_予約入力'!$J$5:$J$404&gt;=$A25)+('01_予約入力'!$N$5:$N$404="")*('01_予約入力'!$G$5:$G$404&lt;=$A25)*('01_予約入力'!$J$5:$J$404&gt;$A25))))</f>
        <v/>
      </c>
      <c r="AE25" s="45">
        <f>IF($A25="",0,IFERROR(MATCH($A25,'02_カレンダー'!$B$59:$B$78,0),0))</f>
        <v/>
      </c>
      <c r="AF25" s="45">
        <f>IF($A25="",0,IF($AE25=0,$AB25,IF(INDEX('02_カレンダー'!$C$59:$C$78,$AE25)="",$AB25,INDEX('02_カレンダー'!$C$59:$C$78,$AE25))))</f>
        <v/>
      </c>
      <c r="AG25" s="45">
        <f>IF($A25="",0,IF($AE25=0,$AC25,IF(INDEX('02_カレンダー'!$D$59:$D$78,$AE25)="",$AC25,INDEX('02_カレンダー'!$D$59:$D$78,$AE25))))</f>
        <v/>
      </c>
      <c r="AH25" s="45">
        <f>IF($A25="",0,IF($AE25=0,$AD25,IF(INDEX('02_カレンダー'!$E$59:$E$78,$AE25)="",$AD25,INDEX('02_カレンダー'!$E$59:$E$78,$AE25))))</f>
        <v/>
      </c>
      <c r="AI25" s="45">
        <f>IF($A25="","",IF(AND($AF25=0,$AG25=0,$AH25=0),"","朝"&amp;$AF25&amp;" 昼"&amp;$AG25&amp;" 夕"&amp;$AH25&amp;IF($AJ25=0,"","　※調整")))</f>
        <v/>
      </c>
      <c r="AJ25" s="45">
        <f>IF(OR($A25="",$AE25=0),0,IF(OR(INDEX('02_カレンダー'!$C$59:$C$78,$AE25)&lt;&gt;"",INDEX('02_カレンダー'!$D$59:$D$78,$AE25)&lt;&gt;"",INDEX('02_カレンダー'!$E$59:$E$78,$AE25)&lt;&gt;""),1,0))</f>
        <v/>
      </c>
    </row>
    <row r="26">
      <c r="A26" s="38">
        <f>IF(MONTH('02_カレンダー'!$B$4+19)&lt;&gt;MONTH('02_カレンダー'!$B$4),"",'02_カレンダー'!$B$4+19)</f>
        <v/>
      </c>
      <c r="B26" s="45">
        <f>IF($A26="","",MID("日月火水木金土",WEEKDAY($A26),1))</f>
        <v/>
      </c>
      <c r="C26" s="49">
        <f>IF(OR($A26="",C$6=""),"",IF($L26=0,"",INDEX('01_予約入力'!$B$5:$B$404,$L26)&amp;" ◀"&amp;IF(('02_カレンダー'!$B$5="○"),INDEX('01_予約入力'!$AE$5:$AE$404,$L26),""))&amp;IF(AND($L26&gt;0,OR($M26&gt;0,$N26&gt;0)),"  ","")&amp;IF($M26=0,"",IF(INDEX('01_予約入力'!$G$5:$G$404,$M26)=$A26,"▶"&amp;IF(('02_カレンダー'!$B$5="○"),INDEX('01_予約入力'!$AD$5:$AD$404,$M26)&amp;" "," "),"")&amp;INDEX('01_予約入力'!$B$5:$B$404,$M26))&amp;IF(AND($M26&gt;0,$N26&gt;0),"  ","")&amp;IF($N26=0,"","◆ "&amp;INDEX('01_予約入力'!$B$5:$B$404,$N26)&amp;IF(('02_カレンダー'!$B$5="○")," "&amp;INDEX('01_予約入力'!$AD$5:$AD$404,$N26)&amp;"-"&amp;INDEX('01_予約入力'!$AE$5:$AE$404,$N26),"")))</f>
        <v/>
      </c>
      <c r="D26" s="49">
        <f>IF(OR($A26="",D$6=""),"",IF($O26=0,"",INDEX('01_予約入力'!$B$5:$B$404,$O26)&amp;" ◀"&amp;IF(('02_カレンダー'!$B$5="○"),INDEX('01_予約入力'!$AE$5:$AE$404,$O26),""))&amp;IF(AND($O26&gt;0,OR($P26&gt;0,$Q26&gt;0)),"  ","")&amp;IF($P26=0,"",IF(INDEX('01_予約入力'!$G$5:$G$404,$P26)=$A26,"▶"&amp;IF(('02_カレンダー'!$B$5="○"),INDEX('01_予約入力'!$AD$5:$AD$404,$P26)&amp;" "," "),"")&amp;INDEX('01_予約入力'!$B$5:$B$404,$P26))&amp;IF(AND($P26&gt;0,$Q26&gt;0),"  ","")&amp;IF($Q26=0,"","◆ "&amp;INDEX('01_予約入力'!$B$5:$B$404,$Q26)&amp;IF(('02_カレンダー'!$B$5="○")," "&amp;INDEX('01_予約入力'!$AD$5:$AD$404,$Q26)&amp;"-"&amp;INDEX('01_予約入力'!$AE$5:$AE$404,$Q26),"")))</f>
        <v/>
      </c>
      <c r="E26" s="49">
        <f>IF(OR($A26="",E$6=""),"",IF($R26=0,"",INDEX('01_予約入力'!$B$5:$B$404,$R26)&amp;" ◀"&amp;IF(('02_カレンダー'!$B$5="○"),INDEX('01_予約入力'!$AE$5:$AE$404,$R26),""))&amp;IF(AND($R26&gt;0,OR($S26&gt;0,$T26&gt;0)),"  ","")&amp;IF($S26=0,"",IF(INDEX('01_予約入力'!$G$5:$G$404,$S26)=$A26,"▶"&amp;IF(('02_カレンダー'!$B$5="○"),INDEX('01_予約入力'!$AD$5:$AD$404,$S26)&amp;" "," "),"")&amp;INDEX('01_予約入力'!$B$5:$B$404,$S26))&amp;IF(AND($S26&gt;0,$T26&gt;0),"  ","")&amp;IF($T26=0,"","◆ "&amp;INDEX('01_予約入力'!$B$5:$B$404,$T26)&amp;IF(('02_カレンダー'!$B$5="○")," "&amp;INDEX('01_予約入力'!$AD$5:$AD$404,$T26)&amp;"-"&amp;INDEX('01_予約入力'!$AE$5:$AE$404,$T26),"")))</f>
        <v/>
      </c>
      <c r="F26" s="49">
        <f>IF(OR($A26="",F$6=""),"",IF($U26=0,"",INDEX('01_予約入力'!$B$5:$B$404,$U26)&amp;" ◀"&amp;IF(('02_カレンダー'!$B$5="○"),INDEX('01_予約入力'!$AE$5:$AE$404,$U26),""))&amp;IF(AND($U26&gt;0,OR($V26&gt;0,$W26&gt;0)),"  ","")&amp;IF($V26=0,"",IF(INDEX('01_予約入力'!$G$5:$G$404,$V26)=$A26,"▶"&amp;IF(('02_カレンダー'!$B$5="○"),INDEX('01_予約入力'!$AD$5:$AD$404,$V26)&amp;" "," "),"")&amp;INDEX('01_予約入力'!$B$5:$B$404,$V26))&amp;IF(AND($V26&gt;0,$W26&gt;0),"  ","")&amp;IF($W26=0,"","◆ "&amp;INDEX('01_予約入力'!$B$5:$B$404,$W26)&amp;IF(('02_カレンダー'!$B$5="○")," "&amp;INDEX('01_予約入力'!$AD$5:$AD$404,$W26)&amp;"-"&amp;INDEX('01_予約入力'!$AE$5:$AE$404,$W26),"")))</f>
        <v/>
      </c>
      <c r="G26" s="45">
        <f>IF($A26="","",SUMPRODUCT(('01_予約入力'!$G$5:$G$404&lt;&gt;"")*('01_予約入力'!$Q$5:$Q$404&lt;&gt;"キャンセル")*('01_予約入力'!$G$5:$G$404&lt;=$A26)*('01_予約入力'!$J$5:$J$404&gt;$A26)))</f>
        <v/>
      </c>
      <c r="H26" s="45">
        <f>IF($A26="","",'M_施設設定'!$B$6-$G26)</f>
        <v/>
      </c>
      <c r="I26" s="45">
        <f>IF($A26="","",SUMPRODUCT((('01_予約入力'!$Q$5:$Q$404="仮予約")+('01_予約入力'!$Q$5:$Q$404="調整中"))*('01_予約入力'!$G$5:$G$404&lt;&gt;"")*('01_予約入力'!$G$5:$G$404&lt;=$A26)*('01_予約入力'!$J$5:$J$404&gt;$A26)))</f>
        <v/>
      </c>
      <c r="J26" s="45">
        <f>IF($A26="","",IF($I26&gt;0,"仮",IF($H26&lt;=0,"×",IF($H26&lt;'M_施設設定'!$B$6,"△","○"))))</f>
        <v/>
      </c>
      <c r="K26" s="45">
        <f>IF($A26="","",SUMPRODUCT(('01_予約入力'!$G$5:$G$404&lt;&gt;"")*('01_予約入力'!$Q$5:$Q$404&lt;&gt;"キャンセル")*('01_予約入力'!$G$5:$G$404=$A26)*('01_予約入力'!$J$5:$J$404=$A26)))</f>
        <v/>
      </c>
      <c r="L26" s="45">
        <f>IF(OR($A26="",C$6=""),0,SUMPRODUCT(MAX(('01_予約入力'!$D$5:$D$404=C$6)*('01_予約入力'!$Q$5:$Q$404&lt;&gt;"キャンセル")*('01_予約入力'!$G$5:$G$404&lt;&gt;"")*('01_予約入力'!$J$5:$J$404=$A26)*('01_予約入力'!$G$5:$G$404&lt;$A26)*(ROW('01_予約入力'!$G$5:$G$404)-4))))</f>
        <v/>
      </c>
      <c r="M26" s="45">
        <f>IF(OR($A26="",C$6=""),0,SUMPRODUCT(MAX(('01_予約入力'!$D$5:$D$404=C$6)*('01_予約入力'!$Q$5:$Q$404&lt;&gt;"キャンセル")*('01_予約入力'!$G$5:$G$404&lt;&gt;"")*('01_予約入力'!$G$5:$G$404&lt;=$A26)*('01_予約入力'!$J$5:$J$404&gt;$A26)*(ROW('01_予約入力'!$G$5:$G$404)-4))))</f>
        <v/>
      </c>
      <c r="N26" s="45">
        <f>IF(OR($A26="",C$6=""),0,SUMPRODUCT(MAX(('01_予約入力'!$D$5:$D$404=C$6)*('01_予約入力'!$Q$5:$Q$404&lt;&gt;"キャンセル")*('01_予約入力'!$G$5:$G$404&lt;&gt;"")*('01_予約入力'!$G$5:$G$404=$A26)*('01_予約入力'!$J$5:$J$404=$A26)*(ROW('01_予約入力'!$G$5:$G$404)-4))))</f>
        <v/>
      </c>
      <c r="O26" s="45">
        <f>IF(OR($A26="",D$6=""),0,SUMPRODUCT(MAX(('01_予約入力'!$D$5:$D$404=D$6)*('01_予約入力'!$Q$5:$Q$404&lt;&gt;"キャンセル")*('01_予約入力'!$G$5:$G$404&lt;&gt;"")*('01_予約入力'!$J$5:$J$404=$A26)*('01_予約入力'!$G$5:$G$404&lt;$A26)*(ROW('01_予約入力'!$G$5:$G$404)-4))))</f>
        <v/>
      </c>
      <c r="P26" s="45">
        <f>IF(OR($A26="",D$6=""),0,SUMPRODUCT(MAX(('01_予約入力'!$D$5:$D$404=D$6)*('01_予約入力'!$Q$5:$Q$404&lt;&gt;"キャンセル")*('01_予約入力'!$G$5:$G$404&lt;&gt;"")*('01_予約入力'!$G$5:$G$404&lt;=$A26)*('01_予約入力'!$J$5:$J$404&gt;$A26)*(ROW('01_予約入力'!$G$5:$G$404)-4))))</f>
        <v/>
      </c>
      <c r="Q26" s="45">
        <f>IF(OR($A26="",D$6=""),0,SUMPRODUCT(MAX(('01_予約入力'!$D$5:$D$404=D$6)*('01_予約入力'!$Q$5:$Q$404&lt;&gt;"キャンセル")*('01_予約入力'!$G$5:$G$404&lt;&gt;"")*('01_予約入力'!$G$5:$G$404=$A26)*('01_予約入力'!$J$5:$J$404=$A26)*(ROW('01_予約入力'!$G$5:$G$404)-4))))</f>
        <v/>
      </c>
      <c r="R26" s="45">
        <f>IF(OR($A26="",E$6=""),0,SUMPRODUCT(MAX(('01_予約入力'!$D$5:$D$404=E$6)*('01_予約入力'!$Q$5:$Q$404&lt;&gt;"キャンセル")*('01_予約入力'!$G$5:$G$404&lt;&gt;"")*('01_予約入力'!$J$5:$J$404=$A26)*('01_予約入力'!$G$5:$G$404&lt;$A26)*(ROW('01_予約入力'!$G$5:$G$404)-4))))</f>
        <v/>
      </c>
      <c r="S26" s="45">
        <f>IF(OR($A26="",E$6=""),0,SUMPRODUCT(MAX(('01_予約入力'!$D$5:$D$404=E$6)*('01_予約入力'!$Q$5:$Q$404&lt;&gt;"キャンセル")*('01_予約入力'!$G$5:$G$404&lt;&gt;"")*('01_予約入力'!$G$5:$G$404&lt;=$A26)*('01_予約入力'!$J$5:$J$404&gt;$A26)*(ROW('01_予約入力'!$G$5:$G$404)-4))))</f>
        <v/>
      </c>
      <c r="T26" s="45">
        <f>IF(OR($A26="",E$6=""),0,SUMPRODUCT(MAX(('01_予約入力'!$D$5:$D$404=E$6)*('01_予約入力'!$Q$5:$Q$404&lt;&gt;"キャンセル")*('01_予約入力'!$G$5:$G$404&lt;&gt;"")*('01_予約入力'!$G$5:$G$404=$A26)*('01_予約入力'!$J$5:$J$404=$A26)*(ROW('01_予約入力'!$G$5:$G$404)-4))))</f>
        <v/>
      </c>
      <c r="U26" s="45">
        <f>IF(OR($A26="",F$6=""),0,SUMPRODUCT(MAX(('01_予約入力'!$D$5:$D$404=F$6)*('01_予約入力'!$Q$5:$Q$404&lt;&gt;"キャンセル")*('01_予約入力'!$G$5:$G$404&lt;&gt;"")*('01_予約入力'!$J$5:$J$404=$A26)*('01_予約入力'!$G$5:$G$404&lt;$A26)*(ROW('01_予約入力'!$G$5:$G$404)-4))))</f>
        <v/>
      </c>
      <c r="V26" s="45">
        <f>IF(OR($A26="",F$6=""),0,SUMPRODUCT(MAX(('01_予約入力'!$D$5:$D$404=F$6)*('01_予約入力'!$Q$5:$Q$404&lt;&gt;"キャンセル")*('01_予約入力'!$G$5:$G$404&lt;&gt;"")*('01_予約入力'!$G$5:$G$404&lt;=$A26)*('01_予約入力'!$J$5:$J$404&gt;$A26)*(ROW('01_予約入力'!$G$5:$G$404)-4))))</f>
        <v/>
      </c>
      <c r="W26" s="45">
        <f>IF(OR($A26="",F$6=""),0,SUMPRODUCT(MAX(('01_予約入力'!$D$5:$D$404=F$6)*('01_予約入力'!$Q$5:$Q$404&lt;&gt;"キャンセル")*('01_予約入力'!$G$5:$G$404&lt;&gt;"")*('01_予約入力'!$G$5:$G$404=$A26)*('01_予約入力'!$J$5:$J$404=$A26)*(ROW('01_予約入力'!$G$5:$G$404)-4))))</f>
        <v/>
      </c>
      <c r="X26" s="45">
        <f>IF($A26="","",IF($M26&gt;0,IF(OR(INDEX('01_予約入力'!$Q$5:$Q$404,$M26)="仮予約",INDEX('01_予約入力'!$Q$5:$Q$404,$M26)="調整中"),"仮",INDEX('01_予約入力'!$C$5:$C$404,$M26)),IF($N26&gt;0,IF(OR(INDEX('01_予約入力'!$Q$5:$Q$404,$N26)="仮予約",INDEX('01_予約入力'!$Q$5:$Q$404,$N26)="調整中"),"仮",INDEX('01_予約入力'!$C$5:$C$404,$N26)),IF($L26&gt;0,IF(OR(INDEX('01_予約入力'!$Q$5:$Q$404,$L26)="仮予約",INDEX('01_予約入力'!$Q$5:$Q$404,$L26)="調整中"),"仮",INDEX('01_予約入力'!$C$5:$C$404,$L26)),""))))</f>
        <v/>
      </c>
      <c r="Y26" s="45">
        <f>IF($A26="","",IF($P26&gt;0,IF(OR(INDEX('01_予約入力'!$Q$5:$Q$404,$P26)="仮予約",INDEX('01_予約入力'!$Q$5:$Q$404,$P26)="調整中"),"仮",INDEX('01_予約入力'!$C$5:$C$404,$P26)),IF($Q26&gt;0,IF(OR(INDEX('01_予約入力'!$Q$5:$Q$404,$Q26)="仮予約",INDEX('01_予約入力'!$Q$5:$Q$404,$Q26)="調整中"),"仮",INDEX('01_予約入力'!$C$5:$C$404,$Q26)),IF($O26&gt;0,IF(OR(INDEX('01_予約入力'!$Q$5:$Q$404,$O26)="仮予約",INDEX('01_予約入力'!$Q$5:$Q$404,$O26)="調整中"),"仮",INDEX('01_予約入力'!$C$5:$C$404,$O26)),""))))</f>
        <v/>
      </c>
      <c r="Z26" s="45">
        <f>IF($A26="","",IF($S26&gt;0,IF(OR(INDEX('01_予約入力'!$Q$5:$Q$404,$S26)="仮予約",INDEX('01_予約入力'!$Q$5:$Q$404,$S26)="調整中"),"仮",INDEX('01_予約入力'!$C$5:$C$404,$S26)),IF($T26&gt;0,IF(OR(INDEX('01_予約入力'!$Q$5:$Q$404,$T26)="仮予約",INDEX('01_予約入力'!$Q$5:$Q$404,$T26)="調整中"),"仮",INDEX('01_予約入力'!$C$5:$C$404,$T26)),IF($R26&gt;0,IF(OR(INDEX('01_予約入力'!$Q$5:$Q$404,$R26)="仮予約",INDEX('01_予約入力'!$Q$5:$Q$404,$R26)="調整中"),"仮",INDEX('01_予約入力'!$C$5:$C$404,$R26)),""))))</f>
        <v/>
      </c>
      <c r="AA26" s="45">
        <f>IF($A26="","",IF($V26&gt;0,IF(OR(INDEX('01_予約入力'!$Q$5:$Q$404,$V26)="仮予約",INDEX('01_予約入力'!$Q$5:$Q$404,$V26)="調整中"),"仮",INDEX('01_予約入力'!$C$5:$C$404,$V26)),IF($W26&gt;0,IF(OR(INDEX('01_予約入力'!$Q$5:$Q$404,$W26)="仮予約",INDEX('01_予約入力'!$Q$5:$Q$404,$W26)="調整中"),"仮",INDEX('01_予約入力'!$C$5:$C$404,$W26)),IF($U26&gt;0,IF(OR(INDEX('01_予約入力'!$Q$5:$Q$404,$U26)="仮予約",INDEX('01_予約入力'!$Q$5:$Q$404,$U26)="調整中"),"仮",INDEX('01_予約入力'!$C$5:$C$404,$U26)),""))))</f>
        <v/>
      </c>
      <c r="AB26" s="45">
        <f>IF($A26="",0,SUMPRODUCT(('01_予約入力'!$G$5:$G$404&lt;&gt;"")*('01_予約入力'!$Q$5:$Q$404&lt;&gt;"キャンセル")*(('01_予約入力'!$L$5:$L$404="○")*('01_予約入力'!$G$5:$G$404&lt;=$A26)*('01_予約入力'!$J$5:$J$404&gt;=$A26)+('01_予約入力'!$L$5:$L$404="")*('01_予約入力'!$G$5:$G$404&lt;$A26)*('01_予約入力'!$J$5:$J$404&gt;=$A26))))</f>
        <v/>
      </c>
      <c r="AC26" s="45">
        <f>IF($A26="",0,SUMPRODUCT(('01_予約入力'!$G$5:$G$404&lt;&gt;"")*('01_予約入力'!$Q$5:$Q$404&lt;&gt;"キャンセル")*(('01_予約入力'!$M$5:$M$404="○")*('01_予約入力'!$G$5:$G$404&lt;=$A26)*('01_予約入力'!$J$5:$J$404&gt;=$A26)+('01_予約入力'!$M$5:$M$404="")*((('01_予約入力'!$G$5:$G$404&lt;$A26)*('01_予約入力'!$J$5:$J$404&gt;$A26))+(('01_予約入力'!$G$5:$G$404=$A26)*('01_予約入力'!$J$5:$J$404=$A26))))))</f>
        <v/>
      </c>
      <c r="AD26" s="45">
        <f>IF($A26="",0,SUMPRODUCT(('01_予約入力'!$G$5:$G$404&lt;&gt;"")*('01_予約入力'!$Q$5:$Q$404&lt;&gt;"キャンセル")*(('01_予約入力'!$N$5:$N$404="○")*('01_予約入力'!$G$5:$G$404&lt;=$A26)*('01_予約入力'!$J$5:$J$404&gt;=$A26)+('01_予約入力'!$N$5:$N$404="")*('01_予約入力'!$G$5:$G$404&lt;=$A26)*('01_予約入力'!$J$5:$J$404&gt;$A26))))</f>
        <v/>
      </c>
      <c r="AE26" s="45">
        <f>IF($A26="",0,IFERROR(MATCH($A26,'02_カレンダー'!$B$59:$B$78,0),0))</f>
        <v/>
      </c>
      <c r="AF26" s="45">
        <f>IF($A26="",0,IF($AE26=0,$AB26,IF(INDEX('02_カレンダー'!$C$59:$C$78,$AE26)="",$AB26,INDEX('02_カレンダー'!$C$59:$C$78,$AE26))))</f>
        <v/>
      </c>
      <c r="AG26" s="45">
        <f>IF($A26="",0,IF($AE26=0,$AC26,IF(INDEX('02_カレンダー'!$D$59:$D$78,$AE26)="",$AC26,INDEX('02_カレンダー'!$D$59:$D$78,$AE26))))</f>
        <v/>
      </c>
      <c r="AH26" s="45">
        <f>IF($A26="",0,IF($AE26=0,$AD26,IF(INDEX('02_カレンダー'!$E$59:$E$78,$AE26)="",$AD26,INDEX('02_カレンダー'!$E$59:$E$78,$AE26))))</f>
        <v/>
      </c>
      <c r="AI26" s="45">
        <f>IF($A26="","",IF(AND($AF26=0,$AG26=0,$AH26=0),"","朝"&amp;$AF26&amp;" 昼"&amp;$AG26&amp;" 夕"&amp;$AH26&amp;IF($AJ26=0,"","　※調整")))</f>
        <v/>
      </c>
      <c r="AJ26" s="45">
        <f>IF(OR($A26="",$AE26=0),0,IF(OR(INDEX('02_カレンダー'!$C$59:$C$78,$AE26)&lt;&gt;"",INDEX('02_カレンダー'!$D$59:$D$78,$AE26)&lt;&gt;"",INDEX('02_カレンダー'!$E$59:$E$78,$AE26)&lt;&gt;""),1,0))</f>
        <v/>
      </c>
    </row>
    <row r="27">
      <c r="A27" s="38">
        <f>IF(MONTH('02_カレンダー'!$B$4+20)&lt;&gt;MONTH('02_カレンダー'!$B$4),"",'02_カレンダー'!$B$4+20)</f>
        <v/>
      </c>
      <c r="B27" s="45">
        <f>IF($A27="","",MID("日月火水木金土",WEEKDAY($A27),1))</f>
        <v/>
      </c>
      <c r="C27" s="49">
        <f>IF(OR($A27="",C$6=""),"",IF($L27=0,"",INDEX('01_予約入力'!$B$5:$B$404,$L27)&amp;" ◀"&amp;IF(('02_カレンダー'!$B$5="○"),INDEX('01_予約入力'!$AE$5:$AE$404,$L27),""))&amp;IF(AND($L27&gt;0,OR($M27&gt;0,$N27&gt;0)),"  ","")&amp;IF($M27=0,"",IF(INDEX('01_予約入力'!$G$5:$G$404,$M27)=$A27,"▶"&amp;IF(('02_カレンダー'!$B$5="○"),INDEX('01_予約入力'!$AD$5:$AD$404,$M27)&amp;" "," "),"")&amp;INDEX('01_予約入力'!$B$5:$B$404,$M27))&amp;IF(AND($M27&gt;0,$N27&gt;0),"  ","")&amp;IF($N27=0,"","◆ "&amp;INDEX('01_予約入力'!$B$5:$B$404,$N27)&amp;IF(('02_カレンダー'!$B$5="○")," "&amp;INDEX('01_予約入力'!$AD$5:$AD$404,$N27)&amp;"-"&amp;INDEX('01_予約入力'!$AE$5:$AE$404,$N27),"")))</f>
        <v/>
      </c>
      <c r="D27" s="49">
        <f>IF(OR($A27="",D$6=""),"",IF($O27=0,"",INDEX('01_予約入力'!$B$5:$B$404,$O27)&amp;" ◀"&amp;IF(('02_カレンダー'!$B$5="○"),INDEX('01_予約入力'!$AE$5:$AE$404,$O27),""))&amp;IF(AND($O27&gt;0,OR($P27&gt;0,$Q27&gt;0)),"  ","")&amp;IF($P27=0,"",IF(INDEX('01_予約入力'!$G$5:$G$404,$P27)=$A27,"▶"&amp;IF(('02_カレンダー'!$B$5="○"),INDEX('01_予約入力'!$AD$5:$AD$404,$P27)&amp;" "," "),"")&amp;INDEX('01_予約入力'!$B$5:$B$404,$P27))&amp;IF(AND($P27&gt;0,$Q27&gt;0),"  ","")&amp;IF($Q27=0,"","◆ "&amp;INDEX('01_予約入力'!$B$5:$B$404,$Q27)&amp;IF(('02_カレンダー'!$B$5="○")," "&amp;INDEX('01_予約入力'!$AD$5:$AD$404,$Q27)&amp;"-"&amp;INDEX('01_予約入力'!$AE$5:$AE$404,$Q27),"")))</f>
        <v/>
      </c>
      <c r="E27" s="49">
        <f>IF(OR($A27="",E$6=""),"",IF($R27=0,"",INDEX('01_予約入力'!$B$5:$B$404,$R27)&amp;" ◀"&amp;IF(('02_カレンダー'!$B$5="○"),INDEX('01_予約入力'!$AE$5:$AE$404,$R27),""))&amp;IF(AND($R27&gt;0,OR($S27&gt;0,$T27&gt;0)),"  ","")&amp;IF($S27=0,"",IF(INDEX('01_予約入力'!$G$5:$G$404,$S27)=$A27,"▶"&amp;IF(('02_カレンダー'!$B$5="○"),INDEX('01_予約入力'!$AD$5:$AD$404,$S27)&amp;" "," "),"")&amp;INDEX('01_予約入力'!$B$5:$B$404,$S27))&amp;IF(AND($S27&gt;0,$T27&gt;0),"  ","")&amp;IF($T27=0,"","◆ "&amp;INDEX('01_予約入力'!$B$5:$B$404,$T27)&amp;IF(('02_カレンダー'!$B$5="○")," "&amp;INDEX('01_予約入力'!$AD$5:$AD$404,$T27)&amp;"-"&amp;INDEX('01_予約入力'!$AE$5:$AE$404,$T27),"")))</f>
        <v/>
      </c>
      <c r="F27" s="49">
        <f>IF(OR($A27="",F$6=""),"",IF($U27=0,"",INDEX('01_予約入力'!$B$5:$B$404,$U27)&amp;" ◀"&amp;IF(('02_カレンダー'!$B$5="○"),INDEX('01_予約入力'!$AE$5:$AE$404,$U27),""))&amp;IF(AND($U27&gt;0,OR($V27&gt;0,$W27&gt;0)),"  ","")&amp;IF($V27=0,"",IF(INDEX('01_予約入力'!$G$5:$G$404,$V27)=$A27,"▶"&amp;IF(('02_カレンダー'!$B$5="○"),INDEX('01_予約入力'!$AD$5:$AD$404,$V27)&amp;" "," "),"")&amp;INDEX('01_予約入力'!$B$5:$B$404,$V27))&amp;IF(AND($V27&gt;0,$W27&gt;0),"  ","")&amp;IF($W27=0,"","◆ "&amp;INDEX('01_予約入力'!$B$5:$B$404,$W27)&amp;IF(('02_カレンダー'!$B$5="○")," "&amp;INDEX('01_予約入力'!$AD$5:$AD$404,$W27)&amp;"-"&amp;INDEX('01_予約入力'!$AE$5:$AE$404,$W27),"")))</f>
        <v/>
      </c>
      <c r="G27" s="45">
        <f>IF($A27="","",SUMPRODUCT(('01_予約入力'!$G$5:$G$404&lt;&gt;"")*('01_予約入力'!$Q$5:$Q$404&lt;&gt;"キャンセル")*('01_予約入力'!$G$5:$G$404&lt;=$A27)*('01_予約入力'!$J$5:$J$404&gt;$A27)))</f>
        <v/>
      </c>
      <c r="H27" s="45">
        <f>IF($A27="","",'M_施設設定'!$B$6-$G27)</f>
        <v/>
      </c>
      <c r="I27" s="45">
        <f>IF($A27="","",SUMPRODUCT((('01_予約入力'!$Q$5:$Q$404="仮予約")+('01_予約入力'!$Q$5:$Q$404="調整中"))*('01_予約入力'!$G$5:$G$404&lt;&gt;"")*('01_予約入力'!$G$5:$G$404&lt;=$A27)*('01_予約入力'!$J$5:$J$404&gt;$A27)))</f>
        <v/>
      </c>
      <c r="J27" s="45">
        <f>IF($A27="","",IF($I27&gt;0,"仮",IF($H27&lt;=0,"×",IF($H27&lt;'M_施設設定'!$B$6,"△","○"))))</f>
        <v/>
      </c>
      <c r="K27" s="45">
        <f>IF($A27="","",SUMPRODUCT(('01_予約入力'!$G$5:$G$404&lt;&gt;"")*('01_予約入力'!$Q$5:$Q$404&lt;&gt;"キャンセル")*('01_予約入力'!$G$5:$G$404=$A27)*('01_予約入力'!$J$5:$J$404=$A27)))</f>
        <v/>
      </c>
      <c r="L27" s="45">
        <f>IF(OR($A27="",C$6=""),0,SUMPRODUCT(MAX(('01_予約入力'!$D$5:$D$404=C$6)*('01_予約入力'!$Q$5:$Q$404&lt;&gt;"キャンセル")*('01_予約入力'!$G$5:$G$404&lt;&gt;"")*('01_予約入力'!$J$5:$J$404=$A27)*('01_予約入力'!$G$5:$G$404&lt;$A27)*(ROW('01_予約入力'!$G$5:$G$404)-4))))</f>
        <v/>
      </c>
      <c r="M27" s="45">
        <f>IF(OR($A27="",C$6=""),0,SUMPRODUCT(MAX(('01_予約入力'!$D$5:$D$404=C$6)*('01_予約入力'!$Q$5:$Q$404&lt;&gt;"キャンセル")*('01_予約入力'!$G$5:$G$404&lt;&gt;"")*('01_予約入力'!$G$5:$G$404&lt;=$A27)*('01_予約入力'!$J$5:$J$404&gt;$A27)*(ROW('01_予約入力'!$G$5:$G$404)-4))))</f>
        <v/>
      </c>
      <c r="N27" s="45">
        <f>IF(OR($A27="",C$6=""),0,SUMPRODUCT(MAX(('01_予約入力'!$D$5:$D$404=C$6)*('01_予約入力'!$Q$5:$Q$404&lt;&gt;"キャンセル")*('01_予約入力'!$G$5:$G$404&lt;&gt;"")*('01_予約入力'!$G$5:$G$404=$A27)*('01_予約入力'!$J$5:$J$404=$A27)*(ROW('01_予約入力'!$G$5:$G$404)-4))))</f>
        <v/>
      </c>
      <c r="O27" s="45">
        <f>IF(OR($A27="",D$6=""),0,SUMPRODUCT(MAX(('01_予約入力'!$D$5:$D$404=D$6)*('01_予約入力'!$Q$5:$Q$404&lt;&gt;"キャンセル")*('01_予約入力'!$G$5:$G$404&lt;&gt;"")*('01_予約入力'!$J$5:$J$404=$A27)*('01_予約入力'!$G$5:$G$404&lt;$A27)*(ROW('01_予約入力'!$G$5:$G$404)-4))))</f>
        <v/>
      </c>
      <c r="P27" s="45">
        <f>IF(OR($A27="",D$6=""),0,SUMPRODUCT(MAX(('01_予約入力'!$D$5:$D$404=D$6)*('01_予約入力'!$Q$5:$Q$404&lt;&gt;"キャンセル")*('01_予約入力'!$G$5:$G$404&lt;&gt;"")*('01_予約入力'!$G$5:$G$404&lt;=$A27)*('01_予約入力'!$J$5:$J$404&gt;$A27)*(ROW('01_予約入力'!$G$5:$G$404)-4))))</f>
        <v/>
      </c>
      <c r="Q27" s="45">
        <f>IF(OR($A27="",D$6=""),0,SUMPRODUCT(MAX(('01_予約入力'!$D$5:$D$404=D$6)*('01_予約入力'!$Q$5:$Q$404&lt;&gt;"キャンセル")*('01_予約入力'!$G$5:$G$404&lt;&gt;"")*('01_予約入力'!$G$5:$G$404=$A27)*('01_予約入力'!$J$5:$J$404=$A27)*(ROW('01_予約入力'!$G$5:$G$404)-4))))</f>
        <v/>
      </c>
      <c r="R27" s="45">
        <f>IF(OR($A27="",E$6=""),0,SUMPRODUCT(MAX(('01_予約入力'!$D$5:$D$404=E$6)*('01_予約入力'!$Q$5:$Q$404&lt;&gt;"キャンセル")*('01_予約入力'!$G$5:$G$404&lt;&gt;"")*('01_予約入力'!$J$5:$J$404=$A27)*('01_予約入力'!$G$5:$G$404&lt;$A27)*(ROW('01_予約入力'!$G$5:$G$404)-4))))</f>
        <v/>
      </c>
      <c r="S27" s="45">
        <f>IF(OR($A27="",E$6=""),0,SUMPRODUCT(MAX(('01_予約入力'!$D$5:$D$404=E$6)*('01_予約入力'!$Q$5:$Q$404&lt;&gt;"キャンセル")*('01_予約入力'!$G$5:$G$404&lt;&gt;"")*('01_予約入力'!$G$5:$G$404&lt;=$A27)*('01_予約入力'!$J$5:$J$404&gt;$A27)*(ROW('01_予約入力'!$G$5:$G$404)-4))))</f>
        <v/>
      </c>
      <c r="T27" s="45">
        <f>IF(OR($A27="",E$6=""),0,SUMPRODUCT(MAX(('01_予約入力'!$D$5:$D$404=E$6)*('01_予約入力'!$Q$5:$Q$404&lt;&gt;"キャンセル")*('01_予約入力'!$G$5:$G$404&lt;&gt;"")*('01_予約入力'!$G$5:$G$404=$A27)*('01_予約入力'!$J$5:$J$404=$A27)*(ROW('01_予約入力'!$G$5:$G$404)-4))))</f>
        <v/>
      </c>
      <c r="U27" s="45">
        <f>IF(OR($A27="",F$6=""),0,SUMPRODUCT(MAX(('01_予約入力'!$D$5:$D$404=F$6)*('01_予約入力'!$Q$5:$Q$404&lt;&gt;"キャンセル")*('01_予約入力'!$G$5:$G$404&lt;&gt;"")*('01_予約入力'!$J$5:$J$404=$A27)*('01_予約入力'!$G$5:$G$404&lt;$A27)*(ROW('01_予約入力'!$G$5:$G$404)-4))))</f>
        <v/>
      </c>
      <c r="V27" s="45">
        <f>IF(OR($A27="",F$6=""),0,SUMPRODUCT(MAX(('01_予約入力'!$D$5:$D$404=F$6)*('01_予約入力'!$Q$5:$Q$404&lt;&gt;"キャンセル")*('01_予約入力'!$G$5:$G$404&lt;&gt;"")*('01_予約入力'!$G$5:$G$404&lt;=$A27)*('01_予約入力'!$J$5:$J$404&gt;$A27)*(ROW('01_予約入力'!$G$5:$G$404)-4))))</f>
        <v/>
      </c>
      <c r="W27" s="45">
        <f>IF(OR($A27="",F$6=""),0,SUMPRODUCT(MAX(('01_予約入力'!$D$5:$D$404=F$6)*('01_予約入力'!$Q$5:$Q$404&lt;&gt;"キャンセル")*('01_予約入力'!$G$5:$G$404&lt;&gt;"")*('01_予約入力'!$G$5:$G$404=$A27)*('01_予約入力'!$J$5:$J$404=$A27)*(ROW('01_予約入力'!$G$5:$G$404)-4))))</f>
        <v/>
      </c>
      <c r="X27" s="45">
        <f>IF($A27="","",IF($M27&gt;0,IF(OR(INDEX('01_予約入力'!$Q$5:$Q$404,$M27)="仮予約",INDEX('01_予約入力'!$Q$5:$Q$404,$M27)="調整中"),"仮",INDEX('01_予約入力'!$C$5:$C$404,$M27)),IF($N27&gt;0,IF(OR(INDEX('01_予約入力'!$Q$5:$Q$404,$N27)="仮予約",INDEX('01_予約入力'!$Q$5:$Q$404,$N27)="調整中"),"仮",INDEX('01_予約入力'!$C$5:$C$404,$N27)),IF($L27&gt;0,IF(OR(INDEX('01_予約入力'!$Q$5:$Q$404,$L27)="仮予約",INDEX('01_予約入力'!$Q$5:$Q$404,$L27)="調整中"),"仮",INDEX('01_予約入力'!$C$5:$C$404,$L27)),""))))</f>
        <v/>
      </c>
      <c r="Y27" s="45">
        <f>IF($A27="","",IF($P27&gt;0,IF(OR(INDEX('01_予約入力'!$Q$5:$Q$404,$P27)="仮予約",INDEX('01_予約入力'!$Q$5:$Q$404,$P27)="調整中"),"仮",INDEX('01_予約入力'!$C$5:$C$404,$P27)),IF($Q27&gt;0,IF(OR(INDEX('01_予約入力'!$Q$5:$Q$404,$Q27)="仮予約",INDEX('01_予約入力'!$Q$5:$Q$404,$Q27)="調整中"),"仮",INDEX('01_予約入力'!$C$5:$C$404,$Q27)),IF($O27&gt;0,IF(OR(INDEX('01_予約入力'!$Q$5:$Q$404,$O27)="仮予約",INDEX('01_予約入力'!$Q$5:$Q$404,$O27)="調整中"),"仮",INDEX('01_予約入力'!$C$5:$C$404,$O27)),""))))</f>
        <v/>
      </c>
      <c r="Z27" s="45">
        <f>IF($A27="","",IF($S27&gt;0,IF(OR(INDEX('01_予約入力'!$Q$5:$Q$404,$S27)="仮予約",INDEX('01_予約入力'!$Q$5:$Q$404,$S27)="調整中"),"仮",INDEX('01_予約入力'!$C$5:$C$404,$S27)),IF($T27&gt;0,IF(OR(INDEX('01_予約入力'!$Q$5:$Q$404,$T27)="仮予約",INDEX('01_予約入力'!$Q$5:$Q$404,$T27)="調整中"),"仮",INDEX('01_予約入力'!$C$5:$C$404,$T27)),IF($R27&gt;0,IF(OR(INDEX('01_予約入力'!$Q$5:$Q$404,$R27)="仮予約",INDEX('01_予約入力'!$Q$5:$Q$404,$R27)="調整中"),"仮",INDEX('01_予約入力'!$C$5:$C$404,$R27)),""))))</f>
        <v/>
      </c>
      <c r="AA27" s="45">
        <f>IF($A27="","",IF($V27&gt;0,IF(OR(INDEX('01_予約入力'!$Q$5:$Q$404,$V27)="仮予約",INDEX('01_予約入力'!$Q$5:$Q$404,$V27)="調整中"),"仮",INDEX('01_予約入力'!$C$5:$C$404,$V27)),IF($W27&gt;0,IF(OR(INDEX('01_予約入力'!$Q$5:$Q$404,$W27)="仮予約",INDEX('01_予約入力'!$Q$5:$Q$404,$W27)="調整中"),"仮",INDEX('01_予約入力'!$C$5:$C$404,$W27)),IF($U27&gt;0,IF(OR(INDEX('01_予約入力'!$Q$5:$Q$404,$U27)="仮予約",INDEX('01_予約入力'!$Q$5:$Q$404,$U27)="調整中"),"仮",INDEX('01_予約入力'!$C$5:$C$404,$U27)),""))))</f>
        <v/>
      </c>
      <c r="AB27" s="45">
        <f>IF($A27="",0,SUMPRODUCT(('01_予約入力'!$G$5:$G$404&lt;&gt;"")*('01_予約入力'!$Q$5:$Q$404&lt;&gt;"キャンセル")*(('01_予約入力'!$L$5:$L$404="○")*('01_予約入力'!$G$5:$G$404&lt;=$A27)*('01_予約入力'!$J$5:$J$404&gt;=$A27)+('01_予約入力'!$L$5:$L$404="")*('01_予約入力'!$G$5:$G$404&lt;$A27)*('01_予約入力'!$J$5:$J$404&gt;=$A27))))</f>
        <v/>
      </c>
      <c r="AC27" s="45">
        <f>IF($A27="",0,SUMPRODUCT(('01_予約入力'!$G$5:$G$404&lt;&gt;"")*('01_予約入力'!$Q$5:$Q$404&lt;&gt;"キャンセル")*(('01_予約入力'!$M$5:$M$404="○")*('01_予約入力'!$G$5:$G$404&lt;=$A27)*('01_予約入力'!$J$5:$J$404&gt;=$A27)+('01_予約入力'!$M$5:$M$404="")*((('01_予約入力'!$G$5:$G$404&lt;$A27)*('01_予約入力'!$J$5:$J$404&gt;$A27))+(('01_予約入力'!$G$5:$G$404=$A27)*('01_予約入力'!$J$5:$J$404=$A27))))))</f>
        <v/>
      </c>
      <c r="AD27" s="45">
        <f>IF($A27="",0,SUMPRODUCT(('01_予約入力'!$G$5:$G$404&lt;&gt;"")*('01_予約入力'!$Q$5:$Q$404&lt;&gt;"キャンセル")*(('01_予約入力'!$N$5:$N$404="○")*('01_予約入力'!$G$5:$G$404&lt;=$A27)*('01_予約入力'!$J$5:$J$404&gt;=$A27)+('01_予約入力'!$N$5:$N$404="")*('01_予約入力'!$G$5:$G$404&lt;=$A27)*('01_予約入力'!$J$5:$J$404&gt;$A27))))</f>
        <v/>
      </c>
      <c r="AE27" s="45">
        <f>IF($A27="",0,IFERROR(MATCH($A27,'02_カレンダー'!$B$59:$B$78,0),0))</f>
        <v/>
      </c>
      <c r="AF27" s="45">
        <f>IF($A27="",0,IF($AE27=0,$AB27,IF(INDEX('02_カレンダー'!$C$59:$C$78,$AE27)="",$AB27,INDEX('02_カレンダー'!$C$59:$C$78,$AE27))))</f>
        <v/>
      </c>
      <c r="AG27" s="45">
        <f>IF($A27="",0,IF($AE27=0,$AC27,IF(INDEX('02_カレンダー'!$D$59:$D$78,$AE27)="",$AC27,INDEX('02_カレンダー'!$D$59:$D$78,$AE27))))</f>
        <v/>
      </c>
      <c r="AH27" s="45">
        <f>IF($A27="",0,IF($AE27=0,$AD27,IF(INDEX('02_カレンダー'!$E$59:$E$78,$AE27)="",$AD27,INDEX('02_カレンダー'!$E$59:$E$78,$AE27))))</f>
        <v/>
      </c>
      <c r="AI27" s="45">
        <f>IF($A27="","",IF(AND($AF27=0,$AG27=0,$AH27=0),"","朝"&amp;$AF27&amp;" 昼"&amp;$AG27&amp;" 夕"&amp;$AH27&amp;IF($AJ27=0,"","　※調整")))</f>
        <v/>
      </c>
      <c r="AJ27" s="45">
        <f>IF(OR($A27="",$AE27=0),0,IF(OR(INDEX('02_カレンダー'!$C$59:$C$78,$AE27)&lt;&gt;"",INDEX('02_カレンダー'!$D$59:$D$78,$AE27)&lt;&gt;"",INDEX('02_カレンダー'!$E$59:$E$78,$AE27)&lt;&gt;""),1,0))</f>
        <v/>
      </c>
    </row>
    <row r="28">
      <c r="A28" s="38">
        <f>IF(MONTH('02_カレンダー'!$B$4+21)&lt;&gt;MONTH('02_カレンダー'!$B$4),"",'02_カレンダー'!$B$4+21)</f>
        <v/>
      </c>
      <c r="B28" s="45">
        <f>IF($A28="","",MID("日月火水木金土",WEEKDAY($A28),1))</f>
        <v/>
      </c>
      <c r="C28" s="49">
        <f>IF(OR($A28="",C$6=""),"",IF($L28=0,"",INDEX('01_予約入力'!$B$5:$B$404,$L28)&amp;" ◀"&amp;IF(('02_カレンダー'!$B$5="○"),INDEX('01_予約入力'!$AE$5:$AE$404,$L28),""))&amp;IF(AND($L28&gt;0,OR($M28&gt;0,$N28&gt;0)),"  ","")&amp;IF($M28=0,"",IF(INDEX('01_予約入力'!$G$5:$G$404,$M28)=$A28,"▶"&amp;IF(('02_カレンダー'!$B$5="○"),INDEX('01_予約入力'!$AD$5:$AD$404,$M28)&amp;" "," "),"")&amp;INDEX('01_予約入力'!$B$5:$B$404,$M28))&amp;IF(AND($M28&gt;0,$N28&gt;0),"  ","")&amp;IF($N28=0,"","◆ "&amp;INDEX('01_予約入力'!$B$5:$B$404,$N28)&amp;IF(('02_カレンダー'!$B$5="○")," "&amp;INDEX('01_予約入力'!$AD$5:$AD$404,$N28)&amp;"-"&amp;INDEX('01_予約入力'!$AE$5:$AE$404,$N28),"")))</f>
        <v/>
      </c>
      <c r="D28" s="49">
        <f>IF(OR($A28="",D$6=""),"",IF($O28=0,"",INDEX('01_予約入力'!$B$5:$B$404,$O28)&amp;" ◀"&amp;IF(('02_カレンダー'!$B$5="○"),INDEX('01_予約入力'!$AE$5:$AE$404,$O28),""))&amp;IF(AND($O28&gt;0,OR($P28&gt;0,$Q28&gt;0)),"  ","")&amp;IF($P28=0,"",IF(INDEX('01_予約入力'!$G$5:$G$404,$P28)=$A28,"▶"&amp;IF(('02_カレンダー'!$B$5="○"),INDEX('01_予約入力'!$AD$5:$AD$404,$P28)&amp;" "," "),"")&amp;INDEX('01_予約入力'!$B$5:$B$404,$P28))&amp;IF(AND($P28&gt;0,$Q28&gt;0),"  ","")&amp;IF($Q28=0,"","◆ "&amp;INDEX('01_予約入力'!$B$5:$B$404,$Q28)&amp;IF(('02_カレンダー'!$B$5="○")," "&amp;INDEX('01_予約入力'!$AD$5:$AD$404,$Q28)&amp;"-"&amp;INDEX('01_予約入力'!$AE$5:$AE$404,$Q28),"")))</f>
        <v/>
      </c>
      <c r="E28" s="49">
        <f>IF(OR($A28="",E$6=""),"",IF($R28=0,"",INDEX('01_予約入力'!$B$5:$B$404,$R28)&amp;" ◀"&amp;IF(('02_カレンダー'!$B$5="○"),INDEX('01_予約入力'!$AE$5:$AE$404,$R28),""))&amp;IF(AND($R28&gt;0,OR($S28&gt;0,$T28&gt;0)),"  ","")&amp;IF($S28=0,"",IF(INDEX('01_予約入力'!$G$5:$G$404,$S28)=$A28,"▶"&amp;IF(('02_カレンダー'!$B$5="○"),INDEX('01_予約入力'!$AD$5:$AD$404,$S28)&amp;" "," "),"")&amp;INDEX('01_予約入力'!$B$5:$B$404,$S28))&amp;IF(AND($S28&gt;0,$T28&gt;0),"  ","")&amp;IF($T28=0,"","◆ "&amp;INDEX('01_予約入力'!$B$5:$B$404,$T28)&amp;IF(('02_カレンダー'!$B$5="○")," "&amp;INDEX('01_予約入力'!$AD$5:$AD$404,$T28)&amp;"-"&amp;INDEX('01_予約入力'!$AE$5:$AE$404,$T28),"")))</f>
        <v/>
      </c>
      <c r="F28" s="49">
        <f>IF(OR($A28="",F$6=""),"",IF($U28=0,"",INDEX('01_予約入力'!$B$5:$B$404,$U28)&amp;" ◀"&amp;IF(('02_カレンダー'!$B$5="○"),INDEX('01_予約入力'!$AE$5:$AE$404,$U28),""))&amp;IF(AND($U28&gt;0,OR($V28&gt;0,$W28&gt;0)),"  ","")&amp;IF($V28=0,"",IF(INDEX('01_予約入力'!$G$5:$G$404,$V28)=$A28,"▶"&amp;IF(('02_カレンダー'!$B$5="○"),INDEX('01_予約入力'!$AD$5:$AD$404,$V28)&amp;" "," "),"")&amp;INDEX('01_予約入力'!$B$5:$B$404,$V28))&amp;IF(AND($V28&gt;0,$W28&gt;0),"  ","")&amp;IF($W28=0,"","◆ "&amp;INDEX('01_予約入力'!$B$5:$B$404,$W28)&amp;IF(('02_カレンダー'!$B$5="○")," "&amp;INDEX('01_予約入力'!$AD$5:$AD$404,$W28)&amp;"-"&amp;INDEX('01_予約入力'!$AE$5:$AE$404,$W28),"")))</f>
        <v/>
      </c>
      <c r="G28" s="45">
        <f>IF($A28="","",SUMPRODUCT(('01_予約入力'!$G$5:$G$404&lt;&gt;"")*('01_予約入力'!$Q$5:$Q$404&lt;&gt;"キャンセル")*('01_予約入力'!$G$5:$G$404&lt;=$A28)*('01_予約入力'!$J$5:$J$404&gt;$A28)))</f>
        <v/>
      </c>
      <c r="H28" s="45">
        <f>IF($A28="","",'M_施設設定'!$B$6-$G28)</f>
        <v/>
      </c>
      <c r="I28" s="45">
        <f>IF($A28="","",SUMPRODUCT((('01_予約入力'!$Q$5:$Q$404="仮予約")+('01_予約入力'!$Q$5:$Q$404="調整中"))*('01_予約入力'!$G$5:$G$404&lt;&gt;"")*('01_予約入力'!$G$5:$G$404&lt;=$A28)*('01_予約入力'!$J$5:$J$404&gt;$A28)))</f>
        <v/>
      </c>
      <c r="J28" s="45">
        <f>IF($A28="","",IF($I28&gt;0,"仮",IF($H28&lt;=0,"×",IF($H28&lt;'M_施設設定'!$B$6,"△","○"))))</f>
        <v/>
      </c>
      <c r="K28" s="45">
        <f>IF($A28="","",SUMPRODUCT(('01_予約入力'!$G$5:$G$404&lt;&gt;"")*('01_予約入力'!$Q$5:$Q$404&lt;&gt;"キャンセル")*('01_予約入力'!$G$5:$G$404=$A28)*('01_予約入力'!$J$5:$J$404=$A28)))</f>
        <v/>
      </c>
      <c r="L28" s="45">
        <f>IF(OR($A28="",C$6=""),0,SUMPRODUCT(MAX(('01_予約入力'!$D$5:$D$404=C$6)*('01_予約入力'!$Q$5:$Q$404&lt;&gt;"キャンセル")*('01_予約入力'!$G$5:$G$404&lt;&gt;"")*('01_予約入力'!$J$5:$J$404=$A28)*('01_予約入力'!$G$5:$G$404&lt;$A28)*(ROW('01_予約入力'!$G$5:$G$404)-4))))</f>
        <v/>
      </c>
      <c r="M28" s="45">
        <f>IF(OR($A28="",C$6=""),0,SUMPRODUCT(MAX(('01_予約入力'!$D$5:$D$404=C$6)*('01_予約入力'!$Q$5:$Q$404&lt;&gt;"キャンセル")*('01_予約入力'!$G$5:$G$404&lt;&gt;"")*('01_予約入力'!$G$5:$G$404&lt;=$A28)*('01_予約入力'!$J$5:$J$404&gt;$A28)*(ROW('01_予約入力'!$G$5:$G$404)-4))))</f>
        <v/>
      </c>
      <c r="N28" s="45">
        <f>IF(OR($A28="",C$6=""),0,SUMPRODUCT(MAX(('01_予約入力'!$D$5:$D$404=C$6)*('01_予約入力'!$Q$5:$Q$404&lt;&gt;"キャンセル")*('01_予約入力'!$G$5:$G$404&lt;&gt;"")*('01_予約入力'!$G$5:$G$404=$A28)*('01_予約入力'!$J$5:$J$404=$A28)*(ROW('01_予約入力'!$G$5:$G$404)-4))))</f>
        <v/>
      </c>
      <c r="O28" s="45">
        <f>IF(OR($A28="",D$6=""),0,SUMPRODUCT(MAX(('01_予約入力'!$D$5:$D$404=D$6)*('01_予約入力'!$Q$5:$Q$404&lt;&gt;"キャンセル")*('01_予約入力'!$G$5:$G$404&lt;&gt;"")*('01_予約入力'!$J$5:$J$404=$A28)*('01_予約入力'!$G$5:$G$404&lt;$A28)*(ROW('01_予約入力'!$G$5:$G$404)-4))))</f>
        <v/>
      </c>
      <c r="P28" s="45">
        <f>IF(OR($A28="",D$6=""),0,SUMPRODUCT(MAX(('01_予約入力'!$D$5:$D$404=D$6)*('01_予約入力'!$Q$5:$Q$404&lt;&gt;"キャンセル")*('01_予約入力'!$G$5:$G$404&lt;&gt;"")*('01_予約入力'!$G$5:$G$404&lt;=$A28)*('01_予約入力'!$J$5:$J$404&gt;$A28)*(ROW('01_予約入力'!$G$5:$G$404)-4))))</f>
        <v/>
      </c>
      <c r="Q28" s="45">
        <f>IF(OR($A28="",D$6=""),0,SUMPRODUCT(MAX(('01_予約入力'!$D$5:$D$404=D$6)*('01_予約入力'!$Q$5:$Q$404&lt;&gt;"キャンセル")*('01_予約入力'!$G$5:$G$404&lt;&gt;"")*('01_予約入力'!$G$5:$G$404=$A28)*('01_予約入力'!$J$5:$J$404=$A28)*(ROW('01_予約入力'!$G$5:$G$404)-4))))</f>
        <v/>
      </c>
      <c r="R28" s="45">
        <f>IF(OR($A28="",E$6=""),0,SUMPRODUCT(MAX(('01_予約入力'!$D$5:$D$404=E$6)*('01_予約入力'!$Q$5:$Q$404&lt;&gt;"キャンセル")*('01_予約入力'!$G$5:$G$404&lt;&gt;"")*('01_予約入力'!$J$5:$J$404=$A28)*('01_予約入力'!$G$5:$G$404&lt;$A28)*(ROW('01_予約入力'!$G$5:$G$404)-4))))</f>
        <v/>
      </c>
      <c r="S28" s="45">
        <f>IF(OR($A28="",E$6=""),0,SUMPRODUCT(MAX(('01_予約入力'!$D$5:$D$404=E$6)*('01_予約入力'!$Q$5:$Q$404&lt;&gt;"キャンセル")*('01_予約入力'!$G$5:$G$404&lt;&gt;"")*('01_予約入力'!$G$5:$G$404&lt;=$A28)*('01_予約入力'!$J$5:$J$404&gt;$A28)*(ROW('01_予約入力'!$G$5:$G$404)-4))))</f>
        <v/>
      </c>
      <c r="T28" s="45">
        <f>IF(OR($A28="",E$6=""),0,SUMPRODUCT(MAX(('01_予約入力'!$D$5:$D$404=E$6)*('01_予約入力'!$Q$5:$Q$404&lt;&gt;"キャンセル")*('01_予約入力'!$G$5:$G$404&lt;&gt;"")*('01_予約入力'!$G$5:$G$404=$A28)*('01_予約入力'!$J$5:$J$404=$A28)*(ROW('01_予約入力'!$G$5:$G$404)-4))))</f>
        <v/>
      </c>
      <c r="U28" s="45">
        <f>IF(OR($A28="",F$6=""),0,SUMPRODUCT(MAX(('01_予約入力'!$D$5:$D$404=F$6)*('01_予約入力'!$Q$5:$Q$404&lt;&gt;"キャンセル")*('01_予約入力'!$G$5:$G$404&lt;&gt;"")*('01_予約入力'!$J$5:$J$404=$A28)*('01_予約入力'!$G$5:$G$404&lt;$A28)*(ROW('01_予約入力'!$G$5:$G$404)-4))))</f>
        <v/>
      </c>
      <c r="V28" s="45">
        <f>IF(OR($A28="",F$6=""),0,SUMPRODUCT(MAX(('01_予約入力'!$D$5:$D$404=F$6)*('01_予約入力'!$Q$5:$Q$404&lt;&gt;"キャンセル")*('01_予約入力'!$G$5:$G$404&lt;&gt;"")*('01_予約入力'!$G$5:$G$404&lt;=$A28)*('01_予約入力'!$J$5:$J$404&gt;$A28)*(ROW('01_予約入力'!$G$5:$G$404)-4))))</f>
        <v/>
      </c>
      <c r="W28" s="45">
        <f>IF(OR($A28="",F$6=""),0,SUMPRODUCT(MAX(('01_予約入力'!$D$5:$D$404=F$6)*('01_予約入力'!$Q$5:$Q$404&lt;&gt;"キャンセル")*('01_予約入力'!$G$5:$G$404&lt;&gt;"")*('01_予約入力'!$G$5:$G$404=$A28)*('01_予約入力'!$J$5:$J$404=$A28)*(ROW('01_予約入力'!$G$5:$G$404)-4))))</f>
        <v/>
      </c>
      <c r="X28" s="45">
        <f>IF($A28="","",IF($M28&gt;0,IF(OR(INDEX('01_予約入力'!$Q$5:$Q$404,$M28)="仮予約",INDEX('01_予約入力'!$Q$5:$Q$404,$M28)="調整中"),"仮",INDEX('01_予約入力'!$C$5:$C$404,$M28)),IF($N28&gt;0,IF(OR(INDEX('01_予約入力'!$Q$5:$Q$404,$N28)="仮予約",INDEX('01_予約入力'!$Q$5:$Q$404,$N28)="調整中"),"仮",INDEX('01_予約入力'!$C$5:$C$404,$N28)),IF($L28&gt;0,IF(OR(INDEX('01_予約入力'!$Q$5:$Q$404,$L28)="仮予約",INDEX('01_予約入力'!$Q$5:$Q$404,$L28)="調整中"),"仮",INDEX('01_予約入力'!$C$5:$C$404,$L28)),""))))</f>
        <v/>
      </c>
      <c r="Y28" s="45">
        <f>IF($A28="","",IF($P28&gt;0,IF(OR(INDEX('01_予約入力'!$Q$5:$Q$404,$P28)="仮予約",INDEX('01_予約入力'!$Q$5:$Q$404,$P28)="調整中"),"仮",INDEX('01_予約入力'!$C$5:$C$404,$P28)),IF($Q28&gt;0,IF(OR(INDEX('01_予約入力'!$Q$5:$Q$404,$Q28)="仮予約",INDEX('01_予約入力'!$Q$5:$Q$404,$Q28)="調整中"),"仮",INDEX('01_予約入力'!$C$5:$C$404,$Q28)),IF($O28&gt;0,IF(OR(INDEX('01_予約入力'!$Q$5:$Q$404,$O28)="仮予約",INDEX('01_予約入力'!$Q$5:$Q$404,$O28)="調整中"),"仮",INDEX('01_予約入力'!$C$5:$C$404,$O28)),""))))</f>
        <v/>
      </c>
      <c r="Z28" s="45">
        <f>IF($A28="","",IF($S28&gt;0,IF(OR(INDEX('01_予約入力'!$Q$5:$Q$404,$S28)="仮予約",INDEX('01_予約入力'!$Q$5:$Q$404,$S28)="調整中"),"仮",INDEX('01_予約入力'!$C$5:$C$404,$S28)),IF($T28&gt;0,IF(OR(INDEX('01_予約入力'!$Q$5:$Q$404,$T28)="仮予約",INDEX('01_予約入力'!$Q$5:$Q$404,$T28)="調整中"),"仮",INDEX('01_予約入力'!$C$5:$C$404,$T28)),IF($R28&gt;0,IF(OR(INDEX('01_予約入力'!$Q$5:$Q$404,$R28)="仮予約",INDEX('01_予約入力'!$Q$5:$Q$404,$R28)="調整中"),"仮",INDEX('01_予約入力'!$C$5:$C$404,$R28)),""))))</f>
        <v/>
      </c>
      <c r="AA28" s="45">
        <f>IF($A28="","",IF($V28&gt;0,IF(OR(INDEX('01_予約入力'!$Q$5:$Q$404,$V28)="仮予約",INDEX('01_予約入力'!$Q$5:$Q$404,$V28)="調整中"),"仮",INDEX('01_予約入力'!$C$5:$C$404,$V28)),IF($W28&gt;0,IF(OR(INDEX('01_予約入力'!$Q$5:$Q$404,$W28)="仮予約",INDEX('01_予約入力'!$Q$5:$Q$404,$W28)="調整中"),"仮",INDEX('01_予約入力'!$C$5:$C$404,$W28)),IF($U28&gt;0,IF(OR(INDEX('01_予約入力'!$Q$5:$Q$404,$U28)="仮予約",INDEX('01_予約入力'!$Q$5:$Q$404,$U28)="調整中"),"仮",INDEX('01_予約入力'!$C$5:$C$404,$U28)),""))))</f>
        <v/>
      </c>
      <c r="AB28" s="45">
        <f>IF($A28="",0,SUMPRODUCT(('01_予約入力'!$G$5:$G$404&lt;&gt;"")*('01_予約入力'!$Q$5:$Q$404&lt;&gt;"キャンセル")*(('01_予約入力'!$L$5:$L$404="○")*('01_予約入力'!$G$5:$G$404&lt;=$A28)*('01_予約入力'!$J$5:$J$404&gt;=$A28)+('01_予約入力'!$L$5:$L$404="")*('01_予約入力'!$G$5:$G$404&lt;$A28)*('01_予約入力'!$J$5:$J$404&gt;=$A28))))</f>
        <v/>
      </c>
      <c r="AC28" s="45">
        <f>IF($A28="",0,SUMPRODUCT(('01_予約入力'!$G$5:$G$404&lt;&gt;"")*('01_予約入力'!$Q$5:$Q$404&lt;&gt;"キャンセル")*(('01_予約入力'!$M$5:$M$404="○")*('01_予約入力'!$G$5:$G$404&lt;=$A28)*('01_予約入力'!$J$5:$J$404&gt;=$A28)+('01_予約入力'!$M$5:$M$404="")*((('01_予約入力'!$G$5:$G$404&lt;$A28)*('01_予約入力'!$J$5:$J$404&gt;$A28))+(('01_予約入力'!$G$5:$G$404=$A28)*('01_予約入力'!$J$5:$J$404=$A28))))))</f>
        <v/>
      </c>
      <c r="AD28" s="45">
        <f>IF($A28="",0,SUMPRODUCT(('01_予約入力'!$G$5:$G$404&lt;&gt;"")*('01_予約入力'!$Q$5:$Q$404&lt;&gt;"キャンセル")*(('01_予約入力'!$N$5:$N$404="○")*('01_予約入力'!$G$5:$G$404&lt;=$A28)*('01_予約入力'!$J$5:$J$404&gt;=$A28)+('01_予約入力'!$N$5:$N$404="")*('01_予約入力'!$G$5:$G$404&lt;=$A28)*('01_予約入力'!$J$5:$J$404&gt;$A28))))</f>
        <v/>
      </c>
      <c r="AE28" s="45">
        <f>IF($A28="",0,IFERROR(MATCH($A28,'02_カレンダー'!$B$59:$B$78,0),0))</f>
        <v/>
      </c>
      <c r="AF28" s="45">
        <f>IF($A28="",0,IF($AE28=0,$AB28,IF(INDEX('02_カレンダー'!$C$59:$C$78,$AE28)="",$AB28,INDEX('02_カレンダー'!$C$59:$C$78,$AE28))))</f>
        <v/>
      </c>
      <c r="AG28" s="45">
        <f>IF($A28="",0,IF($AE28=0,$AC28,IF(INDEX('02_カレンダー'!$D$59:$D$78,$AE28)="",$AC28,INDEX('02_カレンダー'!$D$59:$D$78,$AE28))))</f>
        <v/>
      </c>
      <c r="AH28" s="45">
        <f>IF($A28="",0,IF($AE28=0,$AD28,IF(INDEX('02_カレンダー'!$E$59:$E$78,$AE28)="",$AD28,INDEX('02_カレンダー'!$E$59:$E$78,$AE28))))</f>
        <v/>
      </c>
      <c r="AI28" s="45">
        <f>IF($A28="","",IF(AND($AF28=0,$AG28=0,$AH28=0),"","朝"&amp;$AF28&amp;" 昼"&amp;$AG28&amp;" 夕"&amp;$AH28&amp;IF($AJ28=0,"","　※調整")))</f>
        <v/>
      </c>
      <c r="AJ28" s="45">
        <f>IF(OR($A28="",$AE28=0),0,IF(OR(INDEX('02_カレンダー'!$C$59:$C$78,$AE28)&lt;&gt;"",INDEX('02_カレンダー'!$D$59:$D$78,$AE28)&lt;&gt;"",INDEX('02_カレンダー'!$E$59:$E$78,$AE28)&lt;&gt;""),1,0))</f>
        <v/>
      </c>
    </row>
    <row r="29">
      <c r="A29" s="38">
        <f>IF(MONTH('02_カレンダー'!$B$4+22)&lt;&gt;MONTH('02_カレンダー'!$B$4),"",'02_カレンダー'!$B$4+22)</f>
        <v/>
      </c>
      <c r="B29" s="45">
        <f>IF($A29="","",MID("日月火水木金土",WEEKDAY($A29),1))</f>
        <v/>
      </c>
      <c r="C29" s="49">
        <f>IF(OR($A29="",C$6=""),"",IF($L29=0,"",INDEX('01_予約入力'!$B$5:$B$404,$L29)&amp;" ◀"&amp;IF(('02_カレンダー'!$B$5="○"),INDEX('01_予約入力'!$AE$5:$AE$404,$L29),""))&amp;IF(AND($L29&gt;0,OR($M29&gt;0,$N29&gt;0)),"  ","")&amp;IF($M29=0,"",IF(INDEX('01_予約入力'!$G$5:$G$404,$M29)=$A29,"▶"&amp;IF(('02_カレンダー'!$B$5="○"),INDEX('01_予約入力'!$AD$5:$AD$404,$M29)&amp;" "," "),"")&amp;INDEX('01_予約入力'!$B$5:$B$404,$M29))&amp;IF(AND($M29&gt;0,$N29&gt;0),"  ","")&amp;IF($N29=0,"","◆ "&amp;INDEX('01_予約入力'!$B$5:$B$404,$N29)&amp;IF(('02_カレンダー'!$B$5="○")," "&amp;INDEX('01_予約入力'!$AD$5:$AD$404,$N29)&amp;"-"&amp;INDEX('01_予約入力'!$AE$5:$AE$404,$N29),"")))</f>
        <v/>
      </c>
      <c r="D29" s="49">
        <f>IF(OR($A29="",D$6=""),"",IF($O29=0,"",INDEX('01_予約入力'!$B$5:$B$404,$O29)&amp;" ◀"&amp;IF(('02_カレンダー'!$B$5="○"),INDEX('01_予約入力'!$AE$5:$AE$404,$O29),""))&amp;IF(AND($O29&gt;0,OR($P29&gt;0,$Q29&gt;0)),"  ","")&amp;IF($P29=0,"",IF(INDEX('01_予約入力'!$G$5:$G$404,$P29)=$A29,"▶"&amp;IF(('02_カレンダー'!$B$5="○"),INDEX('01_予約入力'!$AD$5:$AD$404,$P29)&amp;" "," "),"")&amp;INDEX('01_予約入力'!$B$5:$B$404,$P29))&amp;IF(AND($P29&gt;0,$Q29&gt;0),"  ","")&amp;IF($Q29=0,"","◆ "&amp;INDEX('01_予約入力'!$B$5:$B$404,$Q29)&amp;IF(('02_カレンダー'!$B$5="○")," "&amp;INDEX('01_予約入力'!$AD$5:$AD$404,$Q29)&amp;"-"&amp;INDEX('01_予約入力'!$AE$5:$AE$404,$Q29),"")))</f>
        <v/>
      </c>
      <c r="E29" s="49">
        <f>IF(OR($A29="",E$6=""),"",IF($R29=0,"",INDEX('01_予約入力'!$B$5:$B$404,$R29)&amp;" ◀"&amp;IF(('02_カレンダー'!$B$5="○"),INDEX('01_予約入力'!$AE$5:$AE$404,$R29),""))&amp;IF(AND($R29&gt;0,OR($S29&gt;0,$T29&gt;0)),"  ","")&amp;IF($S29=0,"",IF(INDEX('01_予約入力'!$G$5:$G$404,$S29)=$A29,"▶"&amp;IF(('02_カレンダー'!$B$5="○"),INDEX('01_予約入力'!$AD$5:$AD$404,$S29)&amp;" "," "),"")&amp;INDEX('01_予約入力'!$B$5:$B$404,$S29))&amp;IF(AND($S29&gt;0,$T29&gt;0),"  ","")&amp;IF($T29=0,"","◆ "&amp;INDEX('01_予約入力'!$B$5:$B$404,$T29)&amp;IF(('02_カレンダー'!$B$5="○")," "&amp;INDEX('01_予約入力'!$AD$5:$AD$404,$T29)&amp;"-"&amp;INDEX('01_予約入力'!$AE$5:$AE$404,$T29),"")))</f>
        <v/>
      </c>
      <c r="F29" s="49">
        <f>IF(OR($A29="",F$6=""),"",IF($U29=0,"",INDEX('01_予約入力'!$B$5:$B$404,$U29)&amp;" ◀"&amp;IF(('02_カレンダー'!$B$5="○"),INDEX('01_予約入力'!$AE$5:$AE$404,$U29),""))&amp;IF(AND($U29&gt;0,OR($V29&gt;0,$W29&gt;0)),"  ","")&amp;IF($V29=0,"",IF(INDEX('01_予約入力'!$G$5:$G$404,$V29)=$A29,"▶"&amp;IF(('02_カレンダー'!$B$5="○"),INDEX('01_予約入力'!$AD$5:$AD$404,$V29)&amp;" "," "),"")&amp;INDEX('01_予約入力'!$B$5:$B$404,$V29))&amp;IF(AND($V29&gt;0,$W29&gt;0),"  ","")&amp;IF($W29=0,"","◆ "&amp;INDEX('01_予約入力'!$B$5:$B$404,$W29)&amp;IF(('02_カレンダー'!$B$5="○")," "&amp;INDEX('01_予約入力'!$AD$5:$AD$404,$W29)&amp;"-"&amp;INDEX('01_予約入力'!$AE$5:$AE$404,$W29),"")))</f>
        <v/>
      </c>
      <c r="G29" s="45">
        <f>IF($A29="","",SUMPRODUCT(('01_予約入力'!$G$5:$G$404&lt;&gt;"")*('01_予約入力'!$Q$5:$Q$404&lt;&gt;"キャンセル")*('01_予約入力'!$G$5:$G$404&lt;=$A29)*('01_予約入力'!$J$5:$J$404&gt;$A29)))</f>
        <v/>
      </c>
      <c r="H29" s="45">
        <f>IF($A29="","",'M_施設設定'!$B$6-$G29)</f>
        <v/>
      </c>
      <c r="I29" s="45">
        <f>IF($A29="","",SUMPRODUCT((('01_予約入力'!$Q$5:$Q$404="仮予約")+('01_予約入力'!$Q$5:$Q$404="調整中"))*('01_予約入力'!$G$5:$G$404&lt;&gt;"")*('01_予約入力'!$G$5:$G$404&lt;=$A29)*('01_予約入力'!$J$5:$J$404&gt;$A29)))</f>
        <v/>
      </c>
      <c r="J29" s="45">
        <f>IF($A29="","",IF($I29&gt;0,"仮",IF($H29&lt;=0,"×",IF($H29&lt;'M_施設設定'!$B$6,"△","○"))))</f>
        <v/>
      </c>
      <c r="K29" s="45">
        <f>IF($A29="","",SUMPRODUCT(('01_予約入力'!$G$5:$G$404&lt;&gt;"")*('01_予約入力'!$Q$5:$Q$404&lt;&gt;"キャンセル")*('01_予約入力'!$G$5:$G$404=$A29)*('01_予約入力'!$J$5:$J$404=$A29)))</f>
        <v/>
      </c>
      <c r="L29" s="45">
        <f>IF(OR($A29="",C$6=""),0,SUMPRODUCT(MAX(('01_予約入力'!$D$5:$D$404=C$6)*('01_予約入力'!$Q$5:$Q$404&lt;&gt;"キャンセル")*('01_予約入力'!$G$5:$G$404&lt;&gt;"")*('01_予約入力'!$J$5:$J$404=$A29)*('01_予約入力'!$G$5:$G$404&lt;$A29)*(ROW('01_予約入力'!$G$5:$G$404)-4))))</f>
        <v/>
      </c>
      <c r="M29" s="45">
        <f>IF(OR($A29="",C$6=""),0,SUMPRODUCT(MAX(('01_予約入力'!$D$5:$D$404=C$6)*('01_予約入力'!$Q$5:$Q$404&lt;&gt;"キャンセル")*('01_予約入力'!$G$5:$G$404&lt;&gt;"")*('01_予約入力'!$G$5:$G$404&lt;=$A29)*('01_予約入力'!$J$5:$J$404&gt;$A29)*(ROW('01_予約入力'!$G$5:$G$404)-4))))</f>
        <v/>
      </c>
      <c r="N29" s="45">
        <f>IF(OR($A29="",C$6=""),0,SUMPRODUCT(MAX(('01_予約入力'!$D$5:$D$404=C$6)*('01_予約入力'!$Q$5:$Q$404&lt;&gt;"キャンセル")*('01_予約入力'!$G$5:$G$404&lt;&gt;"")*('01_予約入力'!$G$5:$G$404=$A29)*('01_予約入力'!$J$5:$J$404=$A29)*(ROW('01_予約入力'!$G$5:$G$404)-4))))</f>
        <v/>
      </c>
      <c r="O29" s="45">
        <f>IF(OR($A29="",D$6=""),0,SUMPRODUCT(MAX(('01_予約入力'!$D$5:$D$404=D$6)*('01_予約入力'!$Q$5:$Q$404&lt;&gt;"キャンセル")*('01_予約入力'!$G$5:$G$404&lt;&gt;"")*('01_予約入力'!$J$5:$J$404=$A29)*('01_予約入力'!$G$5:$G$404&lt;$A29)*(ROW('01_予約入力'!$G$5:$G$404)-4))))</f>
        <v/>
      </c>
      <c r="P29" s="45">
        <f>IF(OR($A29="",D$6=""),0,SUMPRODUCT(MAX(('01_予約入力'!$D$5:$D$404=D$6)*('01_予約入力'!$Q$5:$Q$404&lt;&gt;"キャンセル")*('01_予約入力'!$G$5:$G$404&lt;&gt;"")*('01_予約入力'!$G$5:$G$404&lt;=$A29)*('01_予約入力'!$J$5:$J$404&gt;$A29)*(ROW('01_予約入力'!$G$5:$G$404)-4))))</f>
        <v/>
      </c>
      <c r="Q29" s="45">
        <f>IF(OR($A29="",D$6=""),0,SUMPRODUCT(MAX(('01_予約入力'!$D$5:$D$404=D$6)*('01_予約入力'!$Q$5:$Q$404&lt;&gt;"キャンセル")*('01_予約入力'!$G$5:$G$404&lt;&gt;"")*('01_予約入力'!$G$5:$G$404=$A29)*('01_予約入力'!$J$5:$J$404=$A29)*(ROW('01_予約入力'!$G$5:$G$404)-4))))</f>
        <v/>
      </c>
      <c r="R29" s="45">
        <f>IF(OR($A29="",E$6=""),0,SUMPRODUCT(MAX(('01_予約入力'!$D$5:$D$404=E$6)*('01_予約入力'!$Q$5:$Q$404&lt;&gt;"キャンセル")*('01_予約入力'!$G$5:$G$404&lt;&gt;"")*('01_予約入力'!$J$5:$J$404=$A29)*('01_予約入力'!$G$5:$G$404&lt;$A29)*(ROW('01_予約入力'!$G$5:$G$404)-4))))</f>
        <v/>
      </c>
      <c r="S29" s="45">
        <f>IF(OR($A29="",E$6=""),0,SUMPRODUCT(MAX(('01_予約入力'!$D$5:$D$404=E$6)*('01_予約入力'!$Q$5:$Q$404&lt;&gt;"キャンセル")*('01_予約入力'!$G$5:$G$404&lt;&gt;"")*('01_予約入力'!$G$5:$G$404&lt;=$A29)*('01_予約入力'!$J$5:$J$404&gt;$A29)*(ROW('01_予約入力'!$G$5:$G$404)-4))))</f>
        <v/>
      </c>
      <c r="T29" s="45">
        <f>IF(OR($A29="",E$6=""),0,SUMPRODUCT(MAX(('01_予約入力'!$D$5:$D$404=E$6)*('01_予約入力'!$Q$5:$Q$404&lt;&gt;"キャンセル")*('01_予約入力'!$G$5:$G$404&lt;&gt;"")*('01_予約入力'!$G$5:$G$404=$A29)*('01_予約入力'!$J$5:$J$404=$A29)*(ROW('01_予約入力'!$G$5:$G$404)-4))))</f>
        <v/>
      </c>
      <c r="U29" s="45">
        <f>IF(OR($A29="",F$6=""),0,SUMPRODUCT(MAX(('01_予約入力'!$D$5:$D$404=F$6)*('01_予約入力'!$Q$5:$Q$404&lt;&gt;"キャンセル")*('01_予約入力'!$G$5:$G$404&lt;&gt;"")*('01_予約入力'!$J$5:$J$404=$A29)*('01_予約入力'!$G$5:$G$404&lt;$A29)*(ROW('01_予約入力'!$G$5:$G$404)-4))))</f>
        <v/>
      </c>
      <c r="V29" s="45">
        <f>IF(OR($A29="",F$6=""),0,SUMPRODUCT(MAX(('01_予約入力'!$D$5:$D$404=F$6)*('01_予約入力'!$Q$5:$Q$404&lt;&gt;"キャンセル")*('01_予約入力'!$G$5:$G$404&lt;&gt;"")*('01_予約入力'!$G$5:$G$404&lt;=$A29)*('01_予約入力'!$J$5:$J$404&gt;$A29)*(ROW('01_予約入力'!$G$5:$G$404)-4))))</f>
        <v/>
      </c>
      <c r="W29" s="45">
        <f>IF(OR($A29="",F$6=""),0,SUMPRODUCT(MAX(('01_予約入力'!$D$5:$D$404=F$6)*('01_予約入力'!$Q$5:$Q$404&lt;&gt;"キャンセル")*('01_予約入力'!$G$5:$G$404&lt;&gt;"")*('01_予約入力'!$G$5:$G$404=$A29)*('01_予約入力'!$J$5:$J$404=$A29)*(ROW('01_予約入力'!$G$5:$G$404)-4))))</f>
        <v/>
      </c>
      <c r="X29" s="45">
        <f>IF($A29="","",IF($M29&gt;0,IF(OR(INDEX('01_予約入力'!$Q$5:$Q$404,$M29)="仮予約",INDEX('01_予約入力'!$Q$5:$Q$404,$M29)="調整中"),"仮",INDEX('01_予約入力'!$C$5:$C$404,$M29)),IF($N29&gt;0,IF(OR(INDEX('01_予約入力'!$Q$5:$Q$404,$N29)="仮予約",INDEX('01_予約入力'!$Q$5:$Q$404,$N29)="調整中"),"仮",INDEX('01_予約入力'!$C$5:$C$404,$N29)),IF($L29&gt;0,IF(OR(INDEX('01_予約入力'!$Q$5:$Q$404,$L29)="仮予約",INDEX('01_予約入力'!$Q$5:$Q$404,$L29)="調整中"),"仮",INDEX('01_予約入力'!$C$5:$C$404,$L29)),""))))</f>
        <v/>
      </c>
      <c r="Y29" s="45">
        <f>IF($A29="","",IF($P29&gt;0,IF(OR(INDEX('01_予約入力'!$Q$5:$Q$404,$P29)="仮予約",INDEX('01_予約入力'!$Q$5:$Q$404,$P29)="調整中"),"仮",INDEX('01_予約入力'!$C$5:$C$404,$P29)),IF($Q29&gt;0,IF(OR(INDEX('01_予約入力'!$Q$5:$Q$404,$Q29)="仮予約",INDEX('01_予約入力'!$Q$5:$Q$404,$Q29)="調整中"),"仮",INDEX('01_予約入力'!$C$5:$C$404,$Q29)),IF($O29&gt;0,IF(OR(INDEX('01_予約入力'!$Q$5:$Q$404,$O29)="仮予約",INDEX('01_予約入力'!$Q$5:$Q$404,$O29)="調整中"),"仮",INDEX('01_予約入力'!$C$5:$C$404,$O29)),""))))</f>
        <v/>
      </c>
      <c r="Z29" s="45">
        <f>IF($A29="","",IF($S29&gt;0,IF(OR(INDEX('01_予約入力'!$Q$5:$Q$404,$S29)="仮予約",INDEX('01_予約入力'!$Q$5:$Q$404,$S29)="調整中"),"仮",INDEX('01_予約入力'!$C$5:$C$404,$S29)),IF($T29&gt;0,IF(OR(INDEX('01_予約入力'!$Q$5:$Q$404,$T29)="仮予約",INDEX('01_予約入力'!$Q$5:$Q$404,$T29)="調整中"),"仮",INDEX('01_予約入力'!$C$5:$C$404,$T29)),IF($R29&gt;0,IF(OR(INDEX('01_予約入力'!$Q$5:$Q$404,$R29)="仮予約",INDEX('01_予約入力'!$Q$5:$Q$404,$R29)="調整中"),"仮",INDEX('01_予約入力'!$C$5:$C$404,$R29)),""))))</f>
        <v/>
      </c>
      <c r="AA29" s="45">
        <f>IF($A29="","",IF($V29&gt;0,IF(OR(INDEX('01_予約入力'!$Q$5:$Q$404,$V29)="仮予約",INDEX('01_予約入力'!$Q$5:$Q$404,$V29)="調整中"),"仮",INDEX('01_予約入力'!$C$5:$C$404,$V29)),IF($W29&gt;0,IF(OR(INDEX('01_予約入力'!$Q$5:$Q$404,$W29)="仮予約",INDEX('01_予約入力'!$Q$5:$Q$404,$W29)="調整中"),"仮",INDEX('01_予約入力'!$C$5:$C$404,$W29)),IF($U29&gt;0,IF(OR(INDEX('01_予約入力'!$Q$5:$Q$404,$U29)="仮予約",INDEX('01_予約入力'!$Q$5:$Q$404,$U29)="調整中"),"仮",INDEX('01_予約入力'!$C$5:$C$404,$U29)),""))))</f>
        <v/>
      </c>
      <c r="AB29" s="45">
        <f>IF($A29="",0,SUMPRODUCT(('01_予約入力'!$G$5:$G$404&lt;&gt;"")*('01_予約入力'!$Q$5:$Q$404&lt;&gt;"キャンセル")*(('01_予約入力'!$L$5:$L$404="○")*('01_予約入力'!$G$5:$G$404&lt;=$A29)*('01_予約入力'!$J$5:$J$404&gt;=$A29)+('01_予約入力'!$L$5:$L$404="")*('01_予約入力'!$G$5:$G$404&lt;$A29)*('01_予約入力'!$J$5:$J$404&gt;=$A29))))</f>
        <v/>
      </c>
      <c r="AC29" s="45">
        <f>IF($A29="",0,SUMPRODUCT(('01_予約入力'!$G$5:$G$404&lt;&gt;"")*('01_予約入力'!$Q$5:$Q$404&lt;&gt;"キャンセル")*(('01_予約入力'!$M$5:$M$404="○")*('01_予約入力'!$G$5:$G$404&lt;=$A29)*('01_予約入力'!$J$5:$J$404&gt;=$A29)+('01_予約入力'!$M$5:$M$404="")*((('01_予約入力'!$G$5:$G$404&lt;$A29)*('01_予約入力'!$J$5:$J$404&gt;$A29))+(('01_予約入力'!$G$5:$G$404=$A29)*('01_予約入力'!$J$5:$J$404=$A29))))))</f>
        <v/>
      </c>
      <c r="AD29" s="45">
        <f>IF($A29="",0,SUMPRODUCT(('01_予約入力'!$G$5:$G$404&lt;&gt;"")*('01_予約入力'!$Q$5:$Q$404&lt;&gt;"キャンセル")*(('01_予約入力'!$N$5:$N$404="○")*('01_予約入力'!$G$5:$G$404&lt;=$A29)*('01_予約入力'!$J$5:$J$404&gt;=$A29)+('01_予約入力'!$N$5:$N$404="")*('01_予約入力'!$G$5:$G$404&lt;=$A29)*('01_予約入力'!$J$5:$J$404&gt;$A29))))</f>
        <v/>
      </c>
      <c r="AE29" s="45">
        <f>IF($A29="",0,IFERROR(MATCH($A29,'02_カレンダー'!$B$59:$B$78,0),0))</f>
        <v/>
      </c>
      <c r="AF29" s="45">
        <f>IF($A29="",0,IF($AE29=0,$AB29,IF(INDEX('02_カレンダー'!$C$59:$C$78,$AE29)="",$AB29,INDEX('02_カレンダー'!$C$59:$C$78,$AE29))))</f>
        <v/>
      </c>
      <c r="AG29" s="45">
        <f>IF($A29="",0,IF($AE29=0,$AC29,IF(INDEX('02_カレンダー'!$D$59:$D$78,$AE29)="",$AC29,INDEX('02_カレンダー'!$D$59:$D$78,$AE29))))</f>
        <v/>
      </c>
      <c r="AH29" s="45">
        <f>IF($A29="",0,IF($AE29=0,$AD29,IF(INDEX('02_カレンダー'!$E$59:$E$78,$AE29)="",$AD29,INDEX('02_カレンダー'!$E$59:$E$78,$AE29))))</f>
        <v/>
      </c>
      <c r="AI29" s="45">
        <f>IF($A29="","",IF(AND($AF29=0,$AG29=0,$AH29=0),"","朝"&amp;$AF29&amp;" 昼"&amp;$AG29&amp;" 夕"&amp;$AH29&amp;IF($AJ29=0,"","　※調整")))</f>
        <v/>
      </c>
      <c r="AJ29" s="45">
        <f>IF(OR($A29="",$AE29=0),0,IF(OR(INDEX('02_カレンダー'!$C$59:$C$78,$AE29)&lt;&gt;"",INDEX('02_カレンダー'!$D$59:$D$78,$AE29)&lt;&gt;"",INDEX('02_カレンダー'!$E$59:$E$78,$AE29)&lt;&gt;""),1,0))</f>
        <v/>
      </c>
    </row>
    <row r="30">
      <c r="A30" s="38">
        <f>IF(MONTH('02_カレンダー'!$B$4+23)&lt;&gt;MONTH('02_カレンダー'!$B$4),"",'02_カレンダー'!$B$4+23)</f>
        <v/>
      </c>
      <c r="B30" s="45">
        <f>IF($A30="","",MID("日月火水木金土",WEEKDAY($A30),1))</f>
        <v/>
      </c>
      <c r="C30" s="49">
        <f>IF(OR($A30="",C$6=""),"",IF($L30=0,"",INDEX('01_予約入力'!$B$5:$B$404,$L30)&amp;" ◀"&amp;IF(('02_カレンダー'!$B$5="○"),INDEX('01_予約入力'!$AE$5:$AE$404,$L30),""))&amp;IF(AND($L30&gt;0,OR($M30&gt;0,$N30&gt;0)),"  ","")&amp;IF($M30=0,"",IF(INDEX('01_予約入力'!$G$5:$G$404,$M30)=$A30,"▶"&amp;IF(('02_カレンダー'!$B$5="○"),INDEX('01_予約入力'!$AD$5:$AD$404,$M30)&amp;" "," "),"")&amp;INDEX('01_予約入力'!$B$5:$B$404,$M30))&amp;IF(AND($M30&gt;0,$N30&gt;0),"  ","")&amp;IF($N30=0,"","◆ "&amp;INDEX('01_予約入力'!$B$5:$B$404,$N30)&amp;IF(('02_カレンダー'!$B$5="○")," "&amp;INDEX('01_予約入力'!$AD$5:$AD$404,$N30)&amp;"-"&amp;INDEX('01_予約入力'!$AE$5:$AE$404,$N30),"")))</f>
        <v/>
      </c>
      <c r="D30" s="49">
        <f>IF(OR($A30="",D$6=""),"",IF($O30=0,"",INDEX('01_予約入力'!$B$5:$B$404,$O30)&amp;" ◀"&amp;IF(('02_カレンダー'!$B$5="○"),INDEX('01_予約入力'!$AE$5:$AE$404,$O30),""))&amp;IF(AND($O30&gt;0,OR($P30&gt;0,$Q30&gt;0)),"  ","")&amp;IF($P30=0,"",IF(INDEX('01_予約入力'!$G$5:$G$404,$P30)=$A30,"▶"&amp;IF(('02_カレンダー'!$B$5="○"),INDEX('01_予約入力'!$AD$5:$AD$404,$P30)&amp;" "," "),"")&amp;INDEX('01_予約入力'!$B$5:$B$404,$P30))&amp;IF(AND($P30&gt;0,$Q30&gt;0),"  ","")&amp;IF($Q30=0,"","◆ "&amp;INDEX('01_予約入力'!$B$5:$B$404,$Q30)&amp;IF(('02_カレンダー'!$B$5="○")," "&amp;INDEX('01_予約入力'!$AD$5:$AD$404,$Q30)&amp;"-"&amp;INDEX('01_予約入力'!$AE$5:$AE$404,$Q30),"")))</f>
        <v/>
      </c>
      <c r="E30" s="49">
        <f>IF(OR($A30="",E$6=""),"",IF($R30=0,"",INDEX('01_予約入力'!$B$5:$B$404,$R30)&amp;" ◀"&amp;IF(('02_カレンダー'!$B$5="○"),INDEX('01_予約入力'!$AE$5:$AE$404,$R30),""))&amp;IF(AND($R30&gt;0,OR($S30&gt;0,$T30&gt;0)),"  ","")&amp;IF($S30=0,"",IF(INDEX('01_予約入力'!$G$5:$G$404,$S30)=$A30,"▶"&amp;IF(('02_カレンダー'!$B$5="○"),INDEX('01_予約入力'!$AD$5:$AD$404,$S30)&amp;" "," "),"")&amp;INDEX('01_予約入力'!$B$5:$B$404,$S30))&amp;IF(AND($S30&gt;0,$T30&gt;0),"  ","")&amp;IF($T30=0,"","◆ "&amp;INDEX('01_予約入力'!$B$5:$B$404,$T30)&amp;IF(('02_カレンダー'!$B$5="○")," "&amp;INDEX('01_予約入力'!$AD$5:$AD$404,$T30)&amp;"-"&amp;INDEX('01_予約入力'!$AE$5:$AE$404,$T30),"")))</f>
        <v/>
      </c>
      <c r="F30" s="49">
        <f>IF(OR($A30="",F$6=""),"",IF($U30=0,"",INDEX('01_予約入力'!$B$5:$B$404,$U30)&amp;" ◀"&amp;IF(('02_カレンダー'!$B$5="○"),INDEX('01_予約入力'!$AE$5:$AE$404,$U30),""))&amp;IF(AND($U30&gt;0,OR($V30&gt;0,$W30&gt;0)),"  ","")&amp;IF($V30=0,"",IF(INDEX('01_予約入力'!$G$5:$G$404,$V30)=$A30,"▶"&amp;IF(('02_カレンダー'!$B$5="○"),INDEX('01_予約入力'!$AD$5:$AD$404,$V30)&amp;" "," "),"")&amp;INDEX('01_予約入力'!$B$5:$B$404,$V30))&amp;IF(AND($V30&gt;0,$W30&gt;0),"  ","")&amp;IF($W30=0,"","◆ "&amp;INDEX('01_予約入力'!$B$5:$B$404,$W30)&amp;IF(('02_カレンダー'!$B$5="○")," "&amp;INDEX('01_予約入力'!$AD$5:$AD$404,$W30)&amp;"-"&amp;INDEX('01_予約入力'!$AE$5:$AE$404,$W30),"")))</f>
        <v/>
      </c>
      <c r="G30" s="45">
        <f>IF($A30="","",SUMPRODUCT(('01_予約入力'!$G$5:$G$404&lt;&gt;"")*('01_予約入力'!$Q$5:$Q$404&lt;&gt;"キャンセル")*('01_予約入力'!$G$5:$G$404&lt;=$A30)*('01_予約入力'!$J$5:$J$404&gt;$A30)))</f>
        <v/>
      </c>
      <c r="H30" s="45">
        <f>IF($A30="","",'M_施設設定'!$B$6-$G30)</f>
        <v/>
      </c>
      <c r="I30" s="45">
        <f>IF($A30="","",SUMPRODUCT((('01_予約入力'!$Q$5:$Q$404="仮予約")+('01_予約入力'!$Q$5:$Q$404="調整中"))*('01_予約入力'!$G$5:$G$404&lt;&gt;"")*('01_予約入力'!$G$5:$G$404&lt;=$A30)*('01_予約入力'!$J$5:$J$404&gt;$A30)))</f>
        <v/>
      </c>
      <c r="J30" s="45">
        <f>IF($A30="","",IF($I30&gt;0,"仮",IF($H30&lt;=0,"×",IF($H30&lt;'M_施設設定'!$B$6,"△","○"))))</f>
        <v/>
      </c>
      <c r="K30" s="45">
        <f>IF($A30="","",SUMPRODUCT(('01_予約入力'!$G$5:$G$404&lt;&gt;"")*('01_予約入力'!$Q$5:$Q$404&lt;&gt;"キャンセル")*('01_予約入力'!$G$5:$G$404=$A30)*('01_予約入力'!$J$5:$J$404=$A30)))</f>
        <v/>
      </c>
      <c r="L30" s="45">
        <f>IF(OR($A30="",C$6=""),0,SUMPRODUCT(MAX(('01_予約入力'!$D$5:$D$404=C$6)*('01_予約入力'!$Q$5:$Q$404&lt;&gt;"キャンセル")*('01_予約入力'!$G$5:$G$404&lt;&gt;"")*('01_予約入力'!$J$5:$J$404=$A30)*('01_予約入力'!$G$5:$G$404&lt;$A30)*(ROW('01_予約入力'!$G$5:$G$404)-4))))</f>
        <v/>
      </c>
      <c r="M30" s="45">
        <f>IF(OR($A30="",C$6=""),0,SUMPRODUCT(MAX(('01_予約入力'!$D$5:$D$404=C$6)*('01_予約入力'!$Q$5:$Q$404&lt;&gt;"キャンセル")*('01_予約入力'!$G$5:$G$404&lt;&gt;"")*('01_予約入力'!$G$5:$G$404&lt;=$A30)*('01_予約入力'!$J$5:$J$404&gt;$A30)*(ROW('01_予約入力'!$G$5:$G$404)-4))))</f>
        <v/>
      </c>
      <c r="N30" s="45">
        <f>IF(OR($A30="",C$6=""),0,SUMPRODUCT(MAX(('01_予約入力'!$D$5:$D$404=C$6)*('01_予約入力'!$Q$5:$Q$404&lt;&gt;"キャンセル")*('01_予約入力'!$G$5:$G$404&lt;&gt;"")*('01_予約入力'!$G$5:$G$404=$A30)*('01_予約入力'!$J$5:$J$404=$A30)*(ROW('01_予約入力'!$G$5:$G$404)-4))))</f>
        <v/>
      </c>
      <c r="O30" s="45">
        <f>IF(OR($A30="",D$6=""),0,SUMPRODUCT(MAX(('01_予約入力'!$D$5:$D$404=D$6)*('01_予約入力'!$Q$5:$Q$404&lt;&gt;"キャンセル")*('01_予約入力'!$G$5:$G$404&lt;&gt;"")*('01_予約入力'!$J$5:$J$404=$A30)*('01_予約入力'!$G$5:$G$404&lt;$A30)*(ROW('01_予約入力'!$G$5:$G$404)-4))))</f>
        <v/>
      </c>
      <c r="P30" s="45">
        <f>IF(OR($A30="",D$6=""),0,SUMPRODUCT(MAX(('01_予約入力'!$D$5:$D$404=D$6)*('01_予約入力'!$Q$5:$Q$404&lt;&gt;"キャンセル")*('01_予約入力'!$G$5:$G$404&lt;&gt;"")*('01_予約入力'!$G$5:$G$404&lt;=$A30)*('01_予約入力'!$J$5:$J$404&gt;$A30)*(ROW('01_予約入力'!$G$5:$G$404)-4))))</f>
        <v/>
      </c>
      <c r="Q30" s="45">
        <f>IF(OR($A30="",D$6=""),0,SUMPRODUCT(MAX(('01_予約入力'!$D$5:$D$404=D$6)*('01_予約入力'!$Q$5:$Q$404&lt;&gt;"キャンセル")*('01_予約入力'!$G$5:$G$404&lt;&gt;"")*('01_予約入力'!$G$5:$G$404=$A30)*('01_予約入力'!$J$5:$J$404=$A30)*(ROW('01_予約入力'!$G$5:$G$404)-4))))</f>
        <v/>
      </c>
      <c r="R30" s="45">
        <f>IF(OR($A30="",E$6=""),0,SUMPRODUCT(MAX(('01_予約入力'!$D$5:$D$404=E$6)*('01_予約入力'!$Q$5:$Q$404&lt;&gt;"キャンセル")*('01_予約入力'!$G$5:$G$404&lt;&gt;"")*('01_予約入力'!$J$5:$J$404=$A30)*('01_予約入力'!$G$5:$G$404&lt;$A30)*(ROW('01_予約入力'!$G$5:$G$404)-4))))</f>
        <v/>
      </c>
      <c r="S30" s="45">
        <f>IF(OR($A30="",E$6=""),0,SUMPRODUCT(MAX(('01_予約入力'!$D$5:$D$404=E$6)*('01_予約入力'!$Q$5:$Q$404&lt;&gt;"キャンセル")*('01_予約入力'!$G$5:$G$404&lt;&gt;"")*('01_予約入力'!$G$5:$G$404&lt;=$A30)*('01_予約入力'!$J$5:$J$404&gt;$A30)*(ROW('01_予約入力'!$G$5:$G$404)-4))))</f>
        <v/>
      </c>
      <c r="T30" s="45">
        <f>IF(OR($A30="",E$6=""),0,SUMPRODUCT(MAX(('01_予約入力'!$D$5:$D$404=E$6)*('01_予約入力'!$Q$5:$Q$404&lt;&gt;"キャンセル")*('01_予約入力'!$G$5:$G$404&lt;&gt;"")*('01_予約入力'!$G$5:$G$404=$A30)*('01_予約入力'!$J$5:$J$404=$A30)*(ROW('01_予約入力'!$G$5:$G$404)-4))))</f>
        <v/>
      </c>
      <c r="U30" s="45">
        <f>IF(OR($A30="",F$6=""),0,SUMPRODUCT(MAX(('01_予約入力'!$D$5:$D$404=F$6)*('01_予約入力'!$Q$5:$Q$404&lt;&gt;"キャンセル")*('01_予約入力'!$G$5:$G$404&lt;&gt;"")*('01_予約入力'!$J$5:$J$404=$A30)*('01_予約入力'!$G$5:$G$404&lt;$A30)*(ROW('01_予約入力'!$G$5:$G$404)-4))))</f>
        <v/>
      </c>
      <c r="V30" s="45">
        <f>IF(OR($A30="",F$6=""),0,SUMPRODUCT(MAX(('01_予約入力'!$D$5:$D$404=F$6)*('01_予約入力'!$Q$5:$Q$404&lt;&gt;"キャンセル")*('01_予約入力'!$G$5:$G$404&lt;&gt;"")*('01_予約入力'!$G$5:$G$404&lt;=$A30)*('01_予約入力'!$J$5:$J$404&gt;$A30)*(ROW('01_予約入力'!$G$5:$G$404)-4))))</f>
        <v/>
      </c>
      <c r="W30" s="45">
        <f>IF(OR($A30="",F$6=""),0,SUMPRODUCT(MAX(('01_予約入力'!$D$5:$D$404=F$6)*('01_予約入力'!$Q$5:$Q$404&lt;&gt;"キャンセル")*('01_予約入力'!$G$5:$G$404&lt;&gt;"")*('01_予約入力'!$G$5:$G$404=$A30)*('01_予約入力'!$J$5:$J$404=$A30)*(ROW('01_予約入力'!$G$5:$G$404)-4))))</f>
        <v/>
      </c>
      <c r="X30" s="45">
        <f>IF($A30="","",IF($M30&gt;0,IF(OR(INDEX('01_予約入力'!$Q$5:$Q$404,$M30)="仮予約",INDEX('01_予約入力'!$Q$5:$Q$404,$M30)="調整中"),"仮",INDEX('01_予約入力'!$C$5:$C$404,$M30)),IF($N30&gt;0,IF(OR(INDEX('01_予約入力'!$Q$5:$Q$404,$N30)="仮予約",INDEX('01_予約入力'!$Q$5:$Q$404,$N30)="調整中"),"仮",INDEX('01_予約入力'!$C$5:$C$404,$N30)),IF($L30&gt;0,IF(OR(INDEX('01_予約入力'!$Q$5:$Q$404,$L30)="仮予約",INDEX('01_予約入力'!$Q$5:$Q$404,$L30)="調整中"),"仮",INDEX('01_予約入力'!$C$5:$C$404,$L30)),""))))</f>
        <v/>
      </c>
      <c r="Y30" s="45">
        <f>IF($A30="","",IF($P30&gt;0,IF(OR(INDEX('01_予約入力'!$Q$5:$Q$404,$P30)="仮予約",INDEX('01_予約入力'!$Q$5:$Q$404,$P30)="調整中"),"仮",INDEX('01_予約入力'!$C$5:$C$404,$P30)),IF($Q30&gt;0,IF(OR(INDEX('01_予約入力'!$Q$5:$Q$404,$Q30)="仮予約",INDEX('01_予約入力'!$Q$5:$Q$404,$Q30)="調整中"),"仮",INDEX('01_予約入力'!$C$5:$C$404,$Q30)),IF($O30&gt;0,IF(OR(INDEX('01_予約入力'!$Q$5:$Q$404,$O30)="仮予約",INDEX('01_予約入力'!$Q$5:$Q$404,$O30)="調整中"),"仮",INDEX('01_予約入力'!$C$5:$C$404,$O30)),""))))</f>
        <v/>
      </c>
      <c r="Z30" s="45">
        <f>IF($A30="","",IF($S30&gt;0,IF(OR(INDEX('01_予約入力'!$Q$5:$Q$404,$S30)="仮予約",INDEX('01_予約入力'!$Q$5:$Q$404,$S30)="調整中"),"仮",INDEX('01_予約入力'!$C$5:$C$404,$S30)),IF($T30&gt;0,IF(OR(INDEX('01_予約入力'!$Q$5:$Q$404,$T30)="仮予約",INDEX('01_予約入力'!$Q$5:$Q$404,$T30)="調整中"),"仮",INDEX('01_予約入力'!$C$5:$C$404,$T30)),IF($R30&gt;0,IF(OR(INDEX('01_予約入力'!$Q$5:$Q$404,$R30)="仮予約",INDEX('01_予約入力'!$Q$5:$Q$404,$R30)="調整中"),"仮",INDEX('01_予約入力'!$C$5:$C$404,$R30)),""))))</f>
        <v/>
      </c>
      <c r="AA30" s="45">
        <f>IF($A30="","",IF($V30&gt;0,IF(OR(INDEX('01_予約入力'!$Q$5:$Q$404,$V30)="仮予約",INDEX('01_予約入力'!$Q$5:$Q$404,$V30)="調整中"),"仮",INDEX('01_予約入力'!$C$5:$C$404,$V30)),IF($W30&gt;0,IF(OR(INDEX('01_予約入力'!$Q$5:$Q$404,$W30)="仮予約",INDEX('01_予約入力'!$Q$5:$Q$404,$W30)="調整中"),"仮",INDEX('01_予約入力'!$C$5:$C$404,$W30)),IF($U30&gt;0,IF(OR(INDEX('01_予約入力'!$Q$5:$Q$404,$U30)="仮予約",INDEX('01_予約入力'!$Q$5:$Q$404,$U30)="調整中"),"仮",INDEX('01_予約入力'!$C$5:$C$404,$U30)),""))))</f>
        <v/>
      </c>
      <c r="AB30" s="45">
        <f>IF($A30="",0,SUMPRODUCT(('01_予約入力'!$G$5:$G$404&lt;&gt;"")*('01_予約入力'!$Q$5:$Q$404&lt;&gt;"キャンセル")*(('01_予約入力'!$L$5:$L$404="○")*('01_予約入力'!$G$5:$G$404&lt;=$A30)*('01_予約入力'!$J$5:$J$404&gt;=$A30)+('01_予約入力'!$L$5:$L$404="")*('01_予約入力'!$G$5:$G$404&lt;$A30)*('01_予約入力'!$J$5:$J$404&gt;=$A30))))</f>
        <v/>
      </c>
      <c r="AC30" s="45">
        <f>IF($A30="",0,SUMPRODUCT(('01_予約入力'!$G$5:$G$404&lt;&gt;"")*('01_予約入力'!$Q$5:$Q$404&lt;&gt;"キャンセル")*(('01_予約入力'!$M$5:$M$404="○")*('01_予約入力'!$G$5:$G$404&lt;=$A30)*('01_予約入力'!$J$5:$J$404&gt;=$A30)+('01_予約入力'!$M$5:$M$404="")*((('01_予約入力'!$G$5:$G$404&lt;$A30)*('01_予約入力'!$J$5:$J$404&gt;$A30))+(('01_予約入力'!$G$5:$G$404=$A30)*('01_予約入力'!$J$5:$J$404=$A30))))))</f>
        <v/>
      </c>
      <c r="AD30" s="45">
        <f>IF($A30="",0,SUMPRODUCT(('01_予約入力'!$G$5:$G$404&lt;&gt;"")*('01_予約入力'!$Q$5:$Q$404&lt;&gt;"キャンセル")*(('01_予約入力'!$N$5:$N$404="○")*('01_予約入力'!$G$5:$G$404&lt;=$A30)*('01_予約入力'!$J$5:$J$404&gt;=$A30)+('01_予約入力'!$N$5:$N$404="")*('01_予約入力'!$G$5:$G$404&lt;=$A30)*('01_予約入力'!$J$5:$J$404&gt;$A30))))</f>
        <v/>
      </c>
      <c r="AE30" s="45">
        <f>IF($A30="",0,IFERROR(MATCH($A30,'02_カレンダー'!$B$59:$B$78,0),0))</f>
        <v/>
      </c>
      <c r="AF30" s="45">
        <f>IF($A30="",0,IF($AE30=0,$AB30,IF(INDEX('02_カレンダー'!$C$59:$C$78,$AE30)="",$AB30,INDEX('02_カレンダー'!$C$59:$C$78,$AE30))))</f>
        <v/>
      </c>
      <c r="AG30" s="45">
        <f>IF($A30="",0,IF($AE30=0,$AC30,IF(INDEX('02_カレンダー'!$D$59:$D$78,$AE30)="",$AC30,INDEX('02_カレンダー'!$D$59:$D$78,$AE30))))</f>
        <v/>
      </c>
      <c r="AH30" s="45">
        <f>IF($A30="",0,IF($AE30=0,$AD30,IF(INDEX('02_カレンダー'!$E$59:$E$78,$AE30)="",$AD30,INDEX('02_カレンダー'!$E$59:$E$78,$AE30))))</f>
        <v/>
      </c>
      <c r="AI30" s="45">
        <f>IF($A30="","",IF(AND($AF30=0,$AG30=0,$AH30=0),"","朝"&amp;$AF30&amp;" 昼"&amp;$AG30&amp;" 夕"&amp;$AH30&amp;IF($AJ30=0,"","　※調整")))</f>
        <v/>
      </c>
      <c r="AJ30" s="45">
        <f>IF(OR($A30="",$AE30=0),0,IF(OR(INDEX('02_カレンダー'!$C$59:$C$78,$AE30)&lt;&gt;"",INDEX('02_カレンダー'!$D$59:$D$78,$AE30)&lt;&gt;"",INDEX('02_カレンダー'!$E$59:$E$78,$AE30)&lt;&gt;""),1,0))</f>
        <v/>
      </c>
    </row>
    <row r="31">
      <c r="A31" s="38">
        <f>IF(MONTH('02_カレンダー'!$B$4+24)&lt;&gt;MONTH('02_カレンダー'!$B$4),"",'02_カレンダー'!$B$4+24)</f>
        <v/>
      </c>
      <c r="B31" s="45">
        <f>IF($A31="","",MID("日月火水木金土",WEEKDAY($A31),1))</f>
        <v/>
      </c>
      <c r="C31" s="49">
        <f>IF(OR($A31="",C$6=""),"",IF($L31=0,"",INDEX('01_予約入力'!$B$5:$B$404,$L31)&amp;" ◀"&amp;IF(('02_カレンダー'!$B$5="○"),INDEX('01_予約入力'!$AE$5:$AE$404,$L31),""))&amp;IF(AND($L31&gt;0,OR($M31&gt;0,$N31&gt;0)),"  ","")&amp;IF($M31=0,"",IF(INDEX('01_予約入力'!$G$5:$G$404,$M31)=$A31,"▶"&amp;IF(('02_カレンダー'!$B$5="○"),INDEX('01_予約入力'!$AD$5:$AD$404,$M31)&amp;" "," "),"")&amp;INDEX('01_予約入力'!$B$5:$B$404,$M31))&amp;IF(AND($M31&gt;0,$N31&gt;0),"  ","")&amp;IF($N31=0,"","◆ "&amp;INDEX('01_予約入力'!$B$5:$B$404,$N31)&amp;IF(('02_カレンダー'!$B$5="○")," "&amp;INDEX('01_予約入力'!$AD$5:$AD$404,$N31)&amp;"-"&amp;INDEX('01_予約入力'!$AE$5:$AE$404,$N31),"")))</f>
        <v/>
      </c>
      <c r="D31" s="49">
        <f>IF(OR($A31="",D$6=""),"",IF($O31=0,"",INDEX('01_予約入力'!$B$5:$B$404,$O31)&amp;" ◀"&amp;IF(('02_カレンダー'!$B$5="○"),INDEX('01_予約入力'!$AE$5:$AE$404,$O31),""))&amp;IF(AND($O31&gt;0,OR($P31&gt;0,$Q31&gt;0)),"  ","")&amp;IF($P31=0,"",IF(INDEX('01_予約入力'!$G$5:$G$404,$P31)=$A31,"▶"&amp;IF(('02_カレンダー'!$B$5="○"),INDEX('01_予約入力'!$AD$5:$AD$404,$P31)&amp;" "," "),"")&amp;INDEX('01_予約入力'!$B$5:$B$404,$P31))&amp;IF(AND($P31&gt;0,$Q31&gt;0),"  ","")&amp;IF($Q31=0,"","◆ "&amp;INDEX('01_予約入力'!$B$5:$B$404,$Q31)&amp;IF(('02_カレンダー'!$B$5="○")," "&amp;INDEX('01_予約入力'!$AD$5:$AD$404,$Q31)&amp;"-"&amp;INDEX('01_予約入力'!$AE$5:$AE$404,$Q31),"")))</f>
        <v/>
      </c>
      <c r="E31" s="49">
        <f>IF(OR($A31="",E$6=""),"",IF($R31=0,"",INDEX('01_予約入力'!$B$5:$B$404,$R31)&amp;" ◀"&amp;IF(('02_カレンダー'!$B$5="○"),INDEX('01_予約入力'!$AE$5:$AE$404,$R31),""))&amp;IF(AND($R31&gt;0,OR($S31&gt;0,$T31&gt;0)),"  ","")&amp;IF($S31=0,"",IF(INDEX('01_予約入力'!$G$5:$G$404,$S31)=$A31,"▶"&amp;IF(('02_カレンダー'!$B$5="○"),INDEX('01_予約入力'!$AD$5:$AD$404,$S31)&amp;" "," "),"")&amp;INDEX('01_予約入力'!$B$5:$B$404,$S31))&amp;IF(AND($S31&gt;0,$T31&gt;0),"  ","")&amp;IF($T31=0,"","◆ "&amp;INDEX('01_予約入力'!$B$5:$B$404,$T31)&amp;IF(('02_カレンダー'!$B$5="○")," "&amp;INDEX('01_予約入力'!$AD$5:$AD$404,$T31)&amp;"-"&amp;INDEX('01_予約入力'!$AE$5:$AE$404,$T31),"")))</f>
        <v/>
      </c>
      <c r="F31" s="49">
        <f>IF(OR($A31="",F$6=""),"",IF($U31=0,"",INDEX('01_予約入力'!$B$5:$B$404,$U31)&amp;" ◀"&amp;IF(('02_カレンダー'!$B$5="○"),INDEX('01_予約入力'!$AE$5:$AE$404,$U31),""))&amp;IF(AND($U31&gt;0,OR($V31&gt;0,$W31&gt;0)),"  ","")&amp;IF($V31=0,"",IF(INDEX('01_予約入力'!$G$5:$G$404,$V31)=$A31,"▶"&amp;IF(('02_カレンダー'!$B$5="○"),INDEX('01_予約入力'!$AD$5:$AD$404,$V31)&amp;" "," "),"")&amp;INDEX('01_予約入力'!$B$5:$B$404,$V31))&amp;IF(AND($V31&gt;0,$W31&gt;0),"  ","")&amp;IF($W31=0,"","◆ "&amp;INDEX('01_予約入力'!$B$5:$B$404,$W31)&amp;IF(('02_カレンダー'!$B$5="○")," "&amp;INDEX('01_予約入力'!$AD$5:$AD$404,$W31)&amp;"-"&amp;INDEX('01_予約入力'!$AE$5:$AE$404,$W31),"")))</f>
        <v/>
      </c>
      <c r="G31" s="45">
        <f>IF($A31="","",SUMPRODUCT(('01_予約入力'!$G$5:$G$404&lt;&gt;"")*('01_予約入力'!$Q$5:$Q$404&lt;&gt;"キャンセル")*('01_予約入力'!$G$5:$G$404&lt;=$A31)*('01_予約入力'!$J$5:$J$404&gt;$A31)))</f>
        <v/>
      </c>
      <c r="H31" s="45">
        <f>IF($A31="","",'M_施設設定'!$B$6-$G31)</f>
        <v/>
      </c>
      <c r="I31" s="45">
        <f>IF($A31="","",SUMPRODUCT((('01_予約入力'!$Q$5:$Q$404="仮予約")+('01_予約入力'!$Q$5:$Q$404="調整中"))*('01_予約入力'!$G$5:$G$404&lt;&gt;"")*('01_予約入力'!$G$5:$G$404&lt;=$A31)*('01_予約入力'!$J$5:$J$404&gt;$A31)))</f>
        <v/>
      </c>
      <c r="J31" s="45">
        <f>IF($A31="","",IF($I31&gt;0,"仮",IF($H31&lt;=0,"×",IF($H31&lt;'M_施設設定'!$B$6,"△","○"))))</f>
        <v/>
      </c>
      <c r="K31" s="45">
        <f>IF($A31="","",SUMPRODUCT(('01_予約入力'!$G$5:$G$404&lt;&gt;"")*('01_予約入力'!$Q$5:$Q$404&lt;&gt;"キャンセル")*('01_予約入力'!$G$5:$G$404=$A31)*('01_予約入力'!$J$5:$J$404=$A31)))</f>
        <v/>
      </c>
      <c r="L31" s="45">
        <f>IF(OR($A31="",C$6=""),0,SUMPRODUCT(MAX(('01_予約入力'!$D$5:$D$404=C$6)*('01_予約入力'!$Q$5:$Q$404&lt;&gt;"キャンセル")*('01_予約入力'!$G$5:$G$404&lt;&gt;"")*('01_予約入力'!$J$5:$J$404=$A31)*('01_予約入力'!$G$5:$G$404&lt;$A31)*(ROW('01_予約入力'!$G$5:$G$404)-4))))</f>
        <v/>
      </c>
      <c r="M31" s="45">
        <f>IF(OR($A31="",C$6=""),0,SUMPRODUCT(MAX(('01_予約入力'!$D$5:$D$404=C$6)*('01_予約入力'!$Q$5:$Q$404&lt;&gt;"キャンセル")*('01_予約入力'!$G$5:$G$404&lt;&gt;"")*('01_予約入力'!$G$5:$G$404&lt;=$A31)*('01_予約入力'!$J$5:$J$404&gt;$A31)*(ROW('01_予約入力'!$G$5:$G$404)-4))))</f>
        <v/>
      </c>
      <c r="N31" s="45">
        <f>IF(OR($A31="",C$6=""),0,SUMPRODUCT(MAX(('01_予約入力'!$D$5:$D$404=C$6)*('01_予約入力'!$Q$5:$Q$404&lt;&gt;"キャンセル")*('01_予約入力'!$G$5:$G$404&lt;&gt;"")*('01_予約入力'!$G$5:$G$404=$A31)*('01_予約入力'!$J$5:$J$404=$A31)*(ROW('01_予約入力'!$G$5:$G$404)-4))))</f>
        <v/>
      </c>
      <c r="O31" s="45">
        <f>IF(OR($A31="",D$6=""),0,SUMPRODUCT(MAX(('01_予約入力'!$D$5:$D$404=D$6)*('01_予約入力'!$Q$5:$Q$404&lt;&gt;"キャンセル")*('01_予約入力'!$G$5:$G$404&lt;&gt;"")*('01_予約入力'!$J$5:$J$404=$A31)*('01_予約入力'!$G$5:$G$404&lt;$A31)*(ROW('01_予約入力'!$G$5:$G$404)-4))))</f>
        <v/>
      </c>
      <c r="P31" s="45">
        <f>IF(OR($A31="",D$6=""),0,SUMPRODUCT(MAX(('01_予約入力'!$D$5:$D$404=D$6)*('01_予約入力'!$Q$5:$Q$404&lt;&gt;"キャンセル")*('01_予約入力'!$G$5:$G$404&lt;&gt;"")*('01_予約入力'!$G$5:$G$404&lt;=$A31)*('01_予約入力'!$J$5:$J$404&gt;$A31)*(ROW('01_予約入力'!$G$5:$G$404)-4))))</f>
        <v/>
      </c>
      <c r="Q31" s="45">
        <f>IF(OR($A31="",D$6=""),0,SUMPRODUCT(MAX(('01_予約入力'!$D$5:$D$404=D$6)*('01_予約入力'!$Q$5:$Q$404&lt;&gt;"キャンセル")*('01_予約入力'!$G$5:$G$404&lt;&gt;"")*('01_予約入力'!$G$5:$G$404=$A31)*('01_予約入力'!$J$5:$J$404=$A31)*(ROW('01_予約入力'!$G$5:$G$404)-4))))</f>
        <v/>
      </c>
      <c r="R31" s="45">
        <f>IF(OR($A31="",E$6=""),0,SUMPRODUCT(MAX(('01_予約入力'!$D$5:$D$404=E$6)*('01_予約入力'!$Q$5:$Q$404&lt;&gt;"キャンセル")*('01_予約入力'!$G$5:$G$404&lt;&gt;"")*('01_予約入力'!$J$5:$J$404=$A31)*('01_予約入力'!$G$5:$G$404&lt;$A31)*(ROW('01_予約入力'!$G$5:$G$404)-4))))</f>
        <v/>
      </c>
      <c r="S31" s="45">
        <f>IF(OR($A31="",E$6=""),0,SUMPRODUCT(MAX(('01_予約入力'!$D$5:$D$404=E$6)*('01_予約入力'!$Q$5:$Q$404&lt;&gt;"キャンセル")*('01_予約入力'!$G$5:$G$404&lt;&gt;"")*('01_予約入力'!$G$5:$G$404&lt;=$A31)*('01_予約入力'!$J$5:$J$404&gt;$A31)*(ROW('01_予約入力'!$G$5:$G$404)-4))))</f>
        <v/>
      </c>
      <c r="T31" s="45">
        <f>IF(OR($A31="",E$6=""),0,SUMPRODUCT(MAX(('01_予約入力'!$D$5:$D$404=E$6)*('01_予約入力'!$Q$5:$Q$404&lt;&gt;"キャンセル")*('01_予約入力'!$G$5:$G$404&lt;&gt;"")*('01_予約入力'!$G$5:$G$404=$A31)*('01_予約入力'!$J$5:$J$404=$A31)*(ROW('01_予約入力'!$G$5:$G$404)-4))))</f>
        <v/>
      </c>
      <c r="U31" s="45">
        <f>IF(OR($A31="",F$6=""),0,SUMPRODUCT(MAX(('01_予約入力'!$D$5:$D$404=F$6)*('01_予約入力'!$Q$5:$Q$404&lt;&gt;"キャンセル")*('01_予約入力'!$G$5:$G$404&lt;&gt;"")*('01_予約入力'!$J$5:$J$404=$A31)*('01_予約入力'!$G$5:$G$404&lt;$A31)*(ROW('01_予約入力'!$G$5:$G$404)-4))))</f>
        <v/>
      </c>
      <c r="V31" s="45">
        <f>IF(OR($A31="",F$6=""),0,SUMPRODUCT(MAX(('01_予約入力'!$D$5:$D$404=F$6)*('01_予約入力'!$Q$5:$Q$404&lt;&gt;"キャンセル")*('01_予約入力'!$G$5:$G$404&lt;&gt;"")*('01_予約入力'!$G$5:$G$404&lt;=$A31)*('01_予約入力'!$J$5:$J$404&gt;$A31)*(ROW('01_予約入力'!$G$5:$G$404)-4))))</f>
        <v/>
      </c>
      <c r="W31" s="45">
        <f>IF(OR($A31="",F$6=""),0,SUMPRODUCT(MAX(('01_予約入力'!$D$5:$D$404=F$6)*('01_予約入力'!$Q$5:$Q$404&lt;&gt;"キャンセル")*('01_予約入力'!$G$5:$G$404&lt;&gt;"")*('01_予約入力'!$G$5:$G$404=$A31)*('01_予約入力'!$J$5:$J$404=$A31)*(ROW('01_予約入力'!$G$5:$G$404)-4))))</f>
        <v/>
      </c>
      <c r="X31" s="45">
        <f>IF($A31="","",IF($M31&gt;0,IF(OR(INDEX('01_予約入力'!$Q$5:$Q$404,$M31)="仮予約",INDEX('01_予約入力'!$Q$5:$Q$404,$M31)="調整中"),"仮",INDEX('01_予約入力'!$C$5:$C$404,$M31)),IF($N31&gt;0,IF(OR(INDEX('01_予約入力'!$Q$5:$Q$404,$N31)="仮予約",INDEX('01_予約入力'!$Q$5:$Q$404,$N31)="調整中"),"仮",INDEX('01_予約入力'!$C$5:$C$404,$N31)),IF($L31&gt;0,IF(OR(INDEX('01_予約入力'!$Q$5:$Q$404,$L31)="仮予約",INDEX('01_予約入力'!$Q$5:$Q$404,$L31)="調整中"),"仮",INDEX('01_予約入力'!$C$5:$C$404,$L31)),""))))</f>
        <v/>
      </c>
      <c r="Y31" s="45">
        <f>IF($A31="","",IF($P31&gt;0,IF(OR(INDEX('01_予約入力'!$Q$5:$Q$404,$P31)="仮予約",INDEX('01_予約入力'!$Q$5:$Q$404,$P31)="調整中"),"仮",INDEX('01_予約入力'!$C$5:$C$404,$P31)),IF($Q31&gt;0,IF(OR(INDEX('01_予約入力'!$Q$5:$Q$404,$Q31)="仮予約",INDEX('01_予約入力'!$Q$5:$Q$404,$Q31)="調整中"),"仮",INDEX('01_予約入力'!$C$5:$C$404,$Q31)),IF($O31&gt;0,IF(OR(INDEX('01_予約入力'!$Q$5:$Q$404,$O31)="仮予約",INDEX('01_予約入力'!$Q$5:$Q$404,$O31)="調整中"),"仮",INDEX('01_予約入力'!$C$5:$C$404,$O31)),""))))</f>
        <v/>
      </c>
      <c r="Z31" s="45">
        <f>IF($A31="","",IF($S31&gt;0,IF(OR(INDEX('01_予約入力'!$Q$5:$Q$404,$S31)="仮予約",INDEX('01_予約入力'!$Q$5:$Q$404,$S31)="調整中"),"仮",INDEX('01_予約入力'!$C$5:$C$404,$S31)),IF($T31&gt;0,IF(OR(INDEX('01_予約入力'!$Q$5:$Q$404,$T31)="仮予約",INDEX('01_予約入力'!$Q$5:$Q$404,$T31)="調整中"),"仮",INDEX('01_予約入力'!$C$5:$C$404,$T31)),IF($R31&gt;0,IF(OR(INDEX('01_予約入力'!$Q$5:$Q$404,$R31)="仮予約",INDEX('01_予約入力'!$Q$5:$Q$404,$R31)="調整中"),"仮",INDEX('01_予約入力'!$C$5:$C$404,$R31)),""))))</f>
        <v/>
      </c>
      <c r="AA31" s="45">
        <f>IF($A31="","",IF($V31&gt;0,IF(OR(INDEX('01_予約入力'!$Q$5:$Q$404,$V31)="仮予約",INDEX('01_予約入力'!$Q$5:$Q$404,$V31)="調整中"),"仮",INDEX('01_予約入力'!$C$5:$C$404,$V31)),IF($W31&gt;0,IF(OR(INDEX('01_予約入力'!$Q$5:$Q$404,$W31)="仮予約",INDEX('01_予約入力'!$Q$5:$Q$404,$W31)="調整中"),"仮",INDEX('01_予約入力'!$C$5:$C$404,$W31)),IF($U31&gt;0,IF(OR(INDEX('01_予約入力'!$Q$5:$Q$404,$U31)="仮予約",INDEX('01_予約入力'!$Q$5:$Q$404,$U31)="調整中"),"仮",INDEX('01_予約入力'!$C$5:$C$404,$U31)),""))))</f>
        <v/>
      </c>
      <c r="AB31" s="45">
        <f>IF($A31="",0,SUMPRODUCT(('01_予約入力'!$G$5:$G$404&lt;&gt;"")*('01_予約入力'!$Q$5:$Q$404&lt;&gt;"キャンセル")*(('01_予約入力'!$L$5:$L$404="○")*('01_予約入力'!$G$5:$G$404&lt;=$A31)*('01_予約入力'!$J$5:$J$404&gt;=$A31)+('01_予約入力'!$L$5:$L$404="")*('01_予約入力'!$G$5:$G$404&lt;$A31)*('01_予約入力'!$J$5:$J$404&gt;=$A31))))</f>
        <v/>
      </c>
      <c r="AC31" s="45">
        <f>IF($A31="",0,SUMPRODUCT(('01_予約入力'!$G$5:$G$404&lt;&gt;"")*('01_予約入力'!$Q$5:$Q$404&lt;&gt;"キャンセル")*(('01_予約入力'!$M$5:$M$404="○")*('01_予約入力'!$G$5:$G$404&lt;=$A31)*('01_予約入力'!$J$5:$J$404&gt;=$A31)+('01_予約入力'!$M$5:$M$404="")*((('01_予約入力'!$G$5:$G$404&lt;$A31)*('01_予約入力'!$J$5:$J$404&gt;$A31))+(('01_予約入力'!$G$5:$G$404=$A31)*('01_予約入力'!$J$5:$J$404=$A31))))))</f>
        <v/>
      </c>
      <c r="AD31" s="45">
        <f>IF($A31="",0,SUMPRODUCT(('01_予約入力'!$G$5:$G$404&lt;&gt;"")*('01_予約入力'!$Q$5:$Q$404&lt;&gt;"キャンセル")*(('01_予約入力'!$N$5:$N$404="○")*('01_予約入力'!$G$5:$G$404&lt;=$A31)*('01_予約入力'!$J$5:$J$404&gt;=$A31)+('01_予約入力'!$N$5:$N$404="")*('01_予約入力'!$G$5:$G$404&lt;=$A31)*('01_予約入力'!$J$5:$J$404&gt;$A31))))</f>
        <v/>
      </c>
      <c r="AE31" s="45">
        <f>IF($A31="",0,IFERROR(MATCH($A31,'02_カレンダー'!$B$59:$B$78,0),0))</f>
        <v/>
      </c>
      <c r="AF31" s="45">
        <f>IF($A31="",0,IF($AE31=0,$AB31,IF(INDEX('02_カレンダー'!$C$59:$C$78,$AE31)="",$AB31,INDEX('02_カレンダー'!$C$59:$C$78,$AE31))))</f>
        <v/>
      </c>
      <c r="AG31" s="45">
        <f>IF($A31="",0,IF($AE31=0,$AC31,IF(INDEX('02_カレンダー'!$D$59:$D$78,$AE31)="",$AC31,INDEX('02_カレンダー'!$D$59:$D$78,$AE31))))</f>
        <v/>
      </c>
      <c r="AH31" s="45">
        <f>IF($A31="",0,IF($AE31=0,$AD31,IF(INDEX('02_カレンダー'!$E$59:$E$78,$AE31)="",$AD31,INDEX('02_カレンダー'!$E$59:$E$78,$AE31))))</f>
        <v/>
      </c>
      <c r="AI31" s="45">
        <f>IF($A31="","",IF(AND($AF31=0,$AG31=0,$AH31=0),"","朝"&amp;$AF31&amp;" 昼"&amp;$AG31&amp;" 夕"&amp;$AH31&amp;IF($AJ31=0,"","　※調整")))</f>
        <v/>
      </c>
      <c r="AJ31" s="45">
        <f>IF(OR($A31="",$AE31=0),0,IF(OR(INDEX('02_カレンダー'!$C$59:$C$78,$AE31)&lt;&gt;"",INDEX('02_カレンダー'!$D$59:$D$78,$AE31)&lt;&gt;"",INDEX('02_カレンダー'!$E$59:$E$78,$AE31)&lt;&gt;""),1,0))</f>
        <v/>
      </c>
    </row>
    <row r="32">
      <c r="A32" s="38">
        <f>IF(MONTH('02_カレンダー'!$B$4+25)&lt;&gt;MONTH('02_カレンダー'!$B$4),"",'02_カレンダー'!$B$4+25)</f>
        <v/>
      </c>
      <c r="B32" s="45">
        <f>IF($A32="","",MID("日月火水木金土",WEEKDAY($A32),1))</f>
        <v/>
      </c>
      <c r="C32" s="49">
        <f>IF(OR($A32="",C$6=""),"",IF($L32=0,"",INDEX('01_予約入力'!$B$5:$B$404,$L32)&amp;" ◀"&amp;IF(('02_カレンダー'!$B$5="○"),INDEX('01_予約入力'!$AE$5:$AE$404,$L32),""))&amp;IF(AND($L32&gt;0,OR($M32&gt;0,$N32&gt;0)),"  ","")&amp;IF($M32=0,"",IF(INDEX('01_予約入力'!$G$5:$G$404,$M32)=$A32,"▶"&amp;IF(('02_カレンダー'!$B$5="○"),INDEX('01_予約入力'!$AD$5:$AD$404,$M32)&amp;" "," "),"")&amp;INDEX('01_予約入力'!$B$5:$B$404,$M32))&amp;IF(AND($M32&gt;0,$N32&gt;0),"  ","")&amp;IF($N32=0,"","◆ "&amp;INDEX('01_予約入力'!$B$5:$B$404,$N32)&amp;IF(('02_カレンダー'!$B$5="○")," "&amp;INDEX('01_予約入力'!$AD$5:$AD$404,$N32)&amp;"-"&amp;INDEX('01_予約入力'!$AE$5:$AE$404,$N32),"")))</f>
        <v/>
      </c>
      <c r="D32" s="49">
        <f>IF(OR($A32="",D$6=""),"",IF($O32=0,"",INDEX('01_予約入力'!$B$5:$B$404,$O32)&amp;" ◀"&amp;IF(('02_カレンダー'!$B$5="○"),INDEX('01_予約入力'!$AE$5:$AE$404,$O32),""))&amp;IF(AND($O32&gt;0,OR($P32&gt;0,$Q32&gt;0)),"  ","")&amp;IF($P32=0,"",IF(INDEX('01_予約入力'!$G$5:$G$404,$P32)=$A32,"▶"&amp;IF(('02_カレンダー'!$B$5="○"),INDEX('01_予約入力'!$AD$5:$AD$404,$P32)&amp;" "," "),"")&amp;INDEX('01_予約入力'!$B$5:$B$404,$P32))&amp;IF(AND($P32&gt;0,$Q32&gt;0),"  ","")&amp;IF($Q32=0,"","◆ "&amp;INDEX('01_予約入力'!$B$5:$B$404,$Q32)&amp;IF(('02_カレンダー'!$B$5="○")," "&amp;INDEX('01_予約入力'!$AD$5:$AD$404,$Q32)&amp;"-"&amp;INDEX('01_予約入力'!$AE$5:$AE$404,$Q32),"")))</f>
        <v/>
      </c>
      <c r="E32" s="49">
        <f>IF(OR($A32="",E$6=""),"",IF($R32=0,"",INDEX('01_予約入力'!$B$5:$B$404,$R32)&amp;" ◀"&amp;IF(('02_カレンダー'!$B$5="○"),INDEX('01_予約入力'!$AE$5:$AE$404,$R32),""))&amp;IF(AND($R32&gt;0,OR($S32&gt;0,$T32&gt;0)),"  ","")&amp;IF($S32=0,"",IF(INDEX('01_予約入力'!$G$5:$G$404,$S32)=$A32,"▶"&amp;IF(('02_カレンダー'!$B$5="○"),INDEX('01_予約入力'!$AD$5:$AD$404,$S32)&amp;" "," "),"")&amp;INDEX('01_予約入力'!$B$5:$B$404,$S32))&amp;IF(AND($S32&gt;0,$T32&gt;0),"  ","")&amp;IF($T32=0,"","◆ "&amp;INDEX('01_予約入力'!$B$5:$B$404,$T32)&amp;IF(('02_カレンダー'!$B$5="○")," "&amp;INDEX('01_予約入力'!$AD$5:$AD$404,$T32)&amp;"-"&amp;INDEX('01_予約入力'!$AE$5:$AE$404,$T32),"")))</f>
        <v/>
      </c>
      <c r="F32" s="49">
        <f>IF(OR($A32="",F$6=""),"",IF($U32=0,"",INDEX('01_予約入力'!$B$5:$B$404,$U32)&amp;" ◀"&amp;IF(('02_カレンダー'!$B$5="○"),INDEX('01_予約入力'!$AE$5:$AE$404,$U32),""))&amp;IF(AND($U32&gt;0,OR($V32&gt;0,$W32&gt;0)),"  ","")&amp;IF($V32=0,"",IF(INDEX('01_予約入力'!$G$5:$G$404,$V32)=$A32,"▶"&amp;IF(('02_カレンダー'!$B$5="○"),INDEX('01_予約入力'!$AD$5:$AD$404,$V32)&amp;" "," "),"")&amp;INDEX('01_予約入力'!$B$5:$B$404,$V32))&amp;IF(AND($V32&gt;0,$W32&gt;0),"  ","")&amp;IF($W32=0,"","◆ "&amp;INDEX('01_予約入力'!$B$5:$B$404,$W32)&amp;IF(('02_カレンダー'!$B$5="○")," "&amp;INDEX('01_予約入力'!$AD$5:$AD$404,$W32)&amp;"-"&amp;INDEX('01_予約入力'!$AE$5:$AE$404,$W32),"")))</f>
        <v/>
      </c>
      <c r="G32" s="45">
        <f>IF($A32="","",SUMPRODUCT(('01_予約入力'!$G$5:$G$404&lt;&gt;"")*('01_予約入力'!$Q$5:$Q$404&lt;&gt;"キャンセル")*('01_予約入力'!$G$5:$G$404&lt;=$A32)*('01_予約入力'!$J$5:$J$404&gt;$A32)))</f>
        <v/>
      </c>
      <c r="H32" s="45">
        <f>IF($A32="","",'M_施設設定'!$B$6-$G32)</f>
        <v/>
      </c>
      <c r="I32" s="45">
        <f>IF($A32="","",SUMPRODUCT((('01_予約入力'!$Q$5:$Q$404="仮予約")+('01_予約入力'!$Q$5:$Q$404="調整中"))*('01_予約入力'!$G$5:$G$404&lt;&gt;"")*('01_予約入力'!$G$5:$G$404&lt;=$A32)*('01_予約入力'!$J$5:$J$404&gt;$A32)))</f>
        <v/>
      </c>
      <c r="J32" s="45">
        <f>IF($A32="","",IF($I32&gt;0,"仮",IF($H32&lt;=0,"×",IF($H32&lt;'M_施設設定'!$B$6,"△","○"))))</f>
        <v/>
      </c>
      <c r="K32" s="45">
        <f>IF($A32="","",SUMPRODUCT(('01_予約入力'!$G$5:$G$404&lt;&gt;"")*('01_予約入力'!$Q$5:$Q$404&lt;&gt;"キャンセル")*('01_予約入力'!$G$5:$G$404=$A32)*('01_予約入力'!$J$5:$J$404=$A32)))</f>
        <v/>
      </c>
      <c r="L32" s="45">
        <f>IF(OR($A32="",C$6=""),0,SUMPRODUCT(MAX(('01_予約入力'!$D$5:$D$404=C$6)*('01_予約入力'!$Q$5:$Q$404&lt;&gt;"キャンセル")*('01_予約入力'!$G$5:$G$404&lt;&gt;"")*('01_予約入力'!$J$5:$J$404=$A32)*('01_予約入力'!$G$5:$G$404&lt;$A32)*(ROW('01_予約入力'!$G$5:$G$404)-4))))</f>
        <v/>
      </c>
      <c r="M32" s="45">
        <f>IF(OR($A32="",C$6=""),0,SUMPRODUCT(MAX(('01_予約入力'!$D$5:$D$404=C$6)*('01_予約入力'!$Q$5:$Q$404&lt;&gt;"キャンセル")*('01_予約入力'!$G$5:$G$404&lt;&gt;"")*('01_予約入力'!$G$5:$G$404&lt;=$A32)*('01_予約入力'!$J$5:$J$404&gt;$A32)*(ROW('01_予約入力'!$G$5:$G$404)-4))))</f>
        <v/>
      </c>
      <c r="N32" s="45">
        <f>IF(OR($A32="",C$6=""),0,SUMPRODUCT(MAX(('01_予約入力'!$D$5:$D$404=C$6)*('01_予約入力'!$Q$5:$Q$404&lt;&gt;"キャンセル")*('01_予約入力'!$G$5:$G$404&lt;&gt;"")*('01_予約入力'!$G$5:$G$404=$A32)*('01_予約入力'!$J$5:$J$404=$A32)*(ROW('01_予約入力'!$G$5:$G$404)-4))))</f>
        <v/>
      </c>
      <c r="O32" s="45">
        <f>IF(OR($A32="",D$6=""),0,SUMPRODUCT(MAX(('01_予約入力'!$D$5:$D$404=D$6)*('01_予約入力'!$Q$5:$Q$404&lt;&gt;"キャンセル")*('01_予約入力'!$G$5:$G$404&lt;&gt;"")*('01_予約入力'!$J$5:$J$404=$A32)*('01_予約入力'!$G$5:$G$404&lt;$A32)*(ROW('01_予約入力'!$G$5:$G$404)-4))))</f>
        <v/>
      </c>
      <c r="P32" s="45">
        <f>IF(OR($A32="",D$6=""),0,SUMPRODUCT(MAX(('01_予約入力'!$D$5:$D$404=D$6)*('01_予約入力'!$Q$5:$Q$404&lt;&gt;"キャンセル")*('01_予約入力'!$G$5:$G$404&lt;&gt;"")*('01_予約入力'!$G$5:$G$404&lt;=$A32)*('01_予約入力'!$J$5:$J$404&gt;$A32)*(ROW('01_予約入力'!$G$5:$G$404)-4))))</f>
        <v/>
      </c>
      <c r="Q32" s="45">
        <f>IF(OR($A32="",D$6=""),0,SUMPRODUCT(MAX(('01_予約入力'!$D$5:$D$404=D$6)*('01_予約入力'!$Q$5:$Q$404&lt;&gt;"キャンセル")*('01_予約入力'!$G$5:$G$404&lt;&gt;"")*('01_予約入力'!$G$5:$G$404=$A32)*('01_予約入力'!$J$5:$J$404=$A32)*(ROW('01_予約入力'!$G$5:$G$404)-4))))</f>
        <v/>
      </c>
      <c r="R32" s="45">
        <f>IF(OR($A32="",E$6=""),0,SUMPRODUCT(MAX(('01_予約入力'!$D$5:$D$404=E$6)*('01_予約入力'!$Q$5:$Q$404&lt;&gt;"キャンセル")*('01_予約入力'!$G$5:$G$404&lt;&gt;"")*('01_予約入力'!$J$5:$J$404=$A32)*('01_予約入力'!$G$5:$G$404&lt;$A32)*(ROW('01_予約入力'!$G$5:$G$404)-4))))</f>
        <v/>
      </c>
      <c r="S32" s="45">
        <f>IF(OR($A32="",E$6=""),0,SUMPRODUCT(MAX(('01_予約入力'!$D$5:$D$404=E$6)*('01_予約入力'!$Q$5:$Q$404&lt;&gt;"キャンセル")*('01_予約入力'!$G$5:$G$404&lt;&gt;"")*('01_予約入力'!$G$5:$G$404&lt;=$A32)*('01_予約入力'!$J$5:$J$404&gt;$A32)*(ROW('01_予約入力'!$G$5:$G$404)-4))))</f>
        <v/>
      </c>
      <c r="T32" s="45">
        <f>IF(OR($A32="",E$6=""),0,SUMPRODUCT(MAX(('01_予約入力'!$D$5:$D$404=E$6)*('01_予約入力'!$Q$5:$Q$404&lt;&gt;"キャンセル")*('01_予約入力'!$G$5:$G$404&lt;&gt;"")*('01_予約入力'!$G$5:$G$404=$A32)*('01_予約入力'!$J$5:$J$404=$A32)*(ROW('01_予約入力'!$G$5:$G$404)-4))))</f>
        <v/>
      </c>
      <c r="U32" s="45">
        <f>IF(OR($A32="",F$6=""),0,SUMPRODUCT(MAX(('01_予約入力'!$D$5:$D$404=F$6)*('01_予約入力'!$Q$5:$Q$404&lt;&gt;"キャンセル")*('01_予約入力'!$G$5:$G$404&lt;&gt;"")*('01_予約入力'!$J$5:$J$404=$A32)*('01_予約入力'!$G$5:$G$404&lt;$A32)*(ROW('01_予約入力'!$G$5:$G$404)-4))))</f>
        <v/>
      </c>
      <c r="V32" s="45">
        <f>IF(OR($A32="",F$6=""),0,SUMPRODUCT(MAX(('01_予約入力'!$D$5:$D$404=F$6)*('01_予約入力'!$Q$5:$Q$404&lt;&gt;"キャンセル")*('01_予約入力'!$G$5:$G$404&lt;&gt;"")*('01_予約入力'!$G$5:$G$404&lt;=$A32)*('01_予約入力'!$J$5:$J$404&gt;$A32)*(ROW('01_予約入力'!$G$5:$G$404)-4))))</f>
        <v/>
      </c>
      <c r="W32" s="45">
        <f>IF(OR($A32="",F$6=""),0,SUMPRODUCT(MAX(('01_予約入力'!$D$5:$D$404=F$6)*('01_予約入力'!$Q$5:$Q$404&lt;&gt;"キャンセル")*('01_予約入力'!$G$5:$G$404&lt;&gt;"")*('01_予約入力'!$G$5:$G$404=$A32)*('01_予約入力'!$J$5:$J$404=$A32)*(ROW('01_予約入力'!$G$5:$G$404)-4))))</f>
        <v/>
      </c>
      <c r="X32" s="45">
        <f>IF($A32="","",IF($M32&gt;0,IF(OR(INDEX('01_予約入力'!$Q$5:$Q$404,$M32)="仮予約",INDEX('01_予約入力'!$Q$5:$Q$404,$M32)="調整中"),"仮",INDEX('01_予約入力'!$C$5:$C$404,$M32)),IF($N32&gt;0,IF(OR(INDEX('01_予約入力'!$Q$5:$Q$404,$N32)="仮予約",INDEX('01_予約入力'!$Q$5:$Q$404,$N32)="調整中"),"仮",INDEX('01_予約入力'!$C$5:$C$404,$N32)),IF($L32&gt;0,IF(OR(INDEX('01_予約入力'!$Q$5:$Q$404,$L32)="仮予約",INDEX('01_予約入力'!$Q$5:$Q$404,$L32)="調整中"),"仮",INDEX('01_予約入力'!$C$5:$C$404,$L32)),""))))</f>
        <v/>
      </c>
      <c r="Y32" s="45">
        <f>IF($A32="","",IF($P32&gt;0,IF(OR(INDEX('01_予約入力'!$Q$5:$Q$404,$P32)="仮予約",INDEX('01_予約入力'!$Q$5:$Q$404,$P32)="調整中"),"仮",INDEX('01_予約入力'!$C$5:$C$404,$P32)),IF($Q32&gt;0,IF(OR(INDEX('01_予約入力'!$Q$5:$Q$404,$Q32)="仮予約",INDEX('01_予約入力'!$Q$5:$Q$404,$Q32)="調整中"),"仮",INDEX('01_予約入力'!$C$5:$C$404,$Q32)),IF($O32&gt;0,IF(OR(INDEX('01_予約入力'!$Q$5:$Q$404,$O32)="仮予約",INDEX('01_予約入力'!$Q$5:$Q$404,$O32)="調整中"),"仮",INDEX('01_予約入力'!$C$5:$C$404,$O32)),""))))</f>
        <v/>
      </c>
      <c r="Z32" s="45">
        <f>IF($A32="","",IF($S32&gt;0,IF(OR(INDEX('01_予約入力'!$Q$5:$Q$404,$S32)="仮予約",INDEX('01_予約入力'!$Q$5:$Q$404,$S32)="調整中"),"仮",INDEX('01_予約入力'!$C$5:$C$404,$S32)),IF($T32&gt;0,IF(OR(INDEX('01_予約入力'!$Q$5:$Q$404,$T32)="仮予約",INDEX('01_予約入力'!$Q$5:$Q$404,$T32)="調整中"),"仮",INDEX('01_予約入力'!$C$5:$C$404,$T32)),IF($R32&gt;0,IF(OR(INDEX('01_予約入力'!$Q$5:$Q$404,$R32)="仮予約",INDEX('01_予約入力'!$Q$5:$Q$404,$R32)="調整中"),"仮",INDEX('01_予約入力'!$C$5:$C$404,$R32)),""))))</f>
        <v/>
      </c>
      <c r="AA32" s="45">
        <f>IF($A32="","",IF($V32&gt;0,IF(OR(INDEX('01_予約入力'!$Q$5:$Q$404,$V32)="仮予約",INDEX('01_予約入力'!$Q$5:$Q$404,$V32)="調整中"),"仮",INDEX('01_予約入力'!$C$5:$C$404,$V32)),IF($W32&gt;0,IF(OR(INDEX('01_予約入力'!$Q$5:$Q$404,$W32)="仮予約",INDEX('01_予約入力'!$Q$5:$Q$404,$W32)="調整中"),"仮",INDEX('01_予約入力'!$C$5:$C$404,$W32)),IF($U32&gt;0,IF(OR(INDEX('01_予約入力'!$Q$5:$Q$404,$U32)="仮予約",INDEX('01_予約入力'!$Q$5:$Q$404,$U32)="調整中"),"仮",INDEX('01_予約入力'!$C$5:$C$404,$U32)),""))))</f>
        <v/>
      </c>
      <c r="AB32" s="45">
        <f>IF($A32="",0,SUMPRODUCT(('01_予約入力'!$G$5:$G$404&lt;&gt;"")*('01_予約入力'!$Q$5:$Q$404&lt;&gt;"キャンセル")*(('01_予約入力'!$L$5:$L$404="○")*('01_予約入力'!$G$5:$G$404&lt;=$A32)*('01_予約入力'!$J$5:$J$404&gt;=$A32)+('01_予約入力'!$L$5:$L$404="")*('01_予約入力'!$G$5:$G$404&lt;$A32)*('01_予約入力'!$J$5:$J$404&gt;=$A32))))</f>
        <v/>
      </c>
      <c r="AC32" s="45">
        <f>IF($A32="",0,SUMPRODUCT(('01_予約入力'!$G$5:$G$404&lt;&gt;"")*('01_予約入力'!$Q$5:$Q$404&lt;&gt;"キャンセル")*(('01_予約入力'!$M$5:$M$404="○")*('01_予約入力'!$G$5:$G$404&lt;=$A32)*('01_予約入力'!$J$5:$J$404&gt;=$A32)+('01_予約入力'!$M$5:$M$404="")*((('01_予約入力'!$G$5:$G$404&lt;$A32)*('01_予約入力'!$J$5:$J$404&gt;$A32))+(('01_予約入力'!$G$5:$G$404=$A32)*('01_予約入力'!$J$5:$J$404=$A32))))))</f>
        <v/>
      </c>
      <c r="AD32" s="45">
        <f>IF($A32="",0,SUMPRODUCT(('01_予約入力'!$G$5:$G$404&lt;&gt;"")*('01_予約入力'!$Q$5:$Q$404&lt;&gt;"キャンセル")*(('01_予約入力'!$N$5:$N$404="○")*('01_予約入力'!$G$5:$G$404&lt;=$A32)*('01_予約入力'!$J$5:$J$404&gt;=$A32)+('01_予約入力'!$N$5:$N$404="")*('01_予約入力'!$G$5:$G$404&lt;=$A32)*('01_予約入力'!$J$5:$J$404&gt;$A32))))</f>
        <v/>
      </c>
      <c r="AE32" s="45">
        <f>IF($A32="",0,IFERROR(MATCH($A32,'02_カレンダー'!$B$59:$B$78,0),0))</f>
        <v/>
      </c>
      <c r="AF32" s="45">
        <f>IF($A32="",0,IF($AE32=0,$AB32,IF(INDEX('02_カレンダー'!$C$59:$C$78,$AE32)="",$AB32,INDEX('02_カレンダー'!$C$59:$C$78,$AE32))))</f>
        <v/>
      </c>
      <c r="AG32" s="45">
        <f>IF($A32="",0,IF($AE32=0,$AC32,IF(INDEX('02_カレンダー'!$D$59:$D$78,$AE32)="",$AC32,INDEX('02_カレンダー'!$D$59:$D$78,$AE32))))</f>
        <v/>
      </c>
      <c r="AH32" s="45">
        <f>IF($A32="",0,IF($AE32=0,$AD32,IF(INDEX('02_カレンダー'!$E$59:$E$78,$AE32)="",$AD32,INDEX('02_カレンダー'!$E$59:$E$78,$AE32))))</f>
        <v/>
      </c>
      <c r="AI32" s="45">
        <f>IF($A32="","",IF(AND($AF32=0,$AG32=0,$AH32=0),"","朝"&amp;$AF32&amp;" 昼"&amp;$AG32&amp;" 夕"&amp;$AH32&amp;IF($AJ32=0,"","　※調整")))</f>
        <v/>
      </c>
      <c r="AJ32" s="45">
        <f>IF(OR($A32="",$AE32=0),0,IF(OR(INDEX('02_カレンダー'!$C$59:$C$78,$AE32)&lt;&gt;"",INDEX('02_カレンダー'!$D$59:$D$78,$AE32)&lt;&gt;"",INDEX('02_カレンダー'!$E$59:$E$78,$AE32)&lt;&gt;""),1,0))</f>
        <v/>
      </c>
    </row>
    <row r="33">
      <c r="A33" s="38">
        <f>IF(MONTH('02_カレンダー'!$B$4+26)&lt;&gt;MONTH('02_カレンダー'!$B$4),"",'02_カレンダー'!$B$4+26)</f>
        <v/>
      </c>
      <c r="B33" s="45">
        <f>IF($A33="","",MID("日月火水木金土",WEEKDAY($A33),1))</f>
        <v/>
      </c>
      <c r="C33" s="49">
        <f>IF(OR($A33="",C$6=""),"",IF($L33=0,"",INDEX('01_予約入力'!$B$5:$B$404,$L33)&amp;" ◀"&amp;IF(('02_カレンダー'!$B$5="○"),INDEX('01_予約入力'!$AE$5:$AE$404,$L33),""))&amp;IF(AND($L33&gt;0,OR($M33&gt;0,$N33&gt;0)),"  ","")&amp;IF($M33=0,"",IF(INDEX('01_予約入力'!$G$5:$G$404,$M33)=$A33,"▶"&amp;IF(('02_カレンダー'!$B$5="○"),INDEX('01_予約入力'!$AD$5:$AD$404,$M33)&amp;" "," "),"")&amp;INDEX('01_予約入力'!$B$5:$B$404,$M33))&amp;IF(AND($M33&gt;0,$N33&gt;0),"  ","")&amp;IF($N33=0,"","◆ "&amp;INDEX('01_予約入力'!$B$5:$B$404,$N33)&amp;IF(('02_カレンダー'!$B$5="○")," "&amp;INDEX('01_予約入力'!$AD$5:$AD$404,$N33)&amp;"-"&amp;INDEX('01_予約入力'!$AE$5:$AE$404,$N33),"")))</f>
        <v/>
      </c>
      <c r="D33" s="49">
        <f>IF(OR($A33="",D$6=""),"",IF($O33=0,"",INDEX('01_予約入力'!$B$5:$B$404,$O33)&amp;" ◀"&amp;IF(('02_カレンダー'!$B$5="○"),INDEX('01_予約入力'!$AE$5:$AE$404,$O33),""))&amp;IF(AND($O33&gt;0,OR($P33&gt;0,$Q33&gt;0)),"  ","")&amp;IF($P33=0,"",IF(INDEX('01_予約入力'!$G$5:$G$404,$P33)=$A33,"▶"&amp;IF(('02_カレンダー'!$B$5="○"),INDEX('01_予約入力'!$AD$5:$AD$404,$P33)&amp;" "," "),"")&amp;INDEX('01_予約入力'!$B$5:$B$404,$P33))&amp;IF(AND($P33&gt;0,$Q33&gt;0),"  ","")&amp;IF($Q33=0,"","◆ "&amp;INDEX('01_予約入力'!$B$5:$B$404,$Q33)&amp;IF(('02_カレンダー'!$B$5="○")," "&amp;INDEX('01_予約入力'!$AD$5:$AD$404,$Q33)&amp;"-"&amp;INDEX('01_予約入力'!$AE$5:$AE$404,$Q33),"")))</f>
        <v/>
      </c>
      <c r="E33" s="49">
        <f>IF(OR($A33="",E$6=""),"",IF($R33=0,"",INDEX('01_予約入力'!$B$5:$B$404,$R33)&amp;" ◀"&amp;IF(('02_カレンダー'!$B$5="○"),INDEX('01_予約入力'!$AE$5:$AE$404,$R33),""))&amp;IF(AND($R33&gt;0,OR($S33&gt;0,$T33&gt;0)),"  ","")&amp;IF($S33=0,"",IF(INDEX('01_予約入力'!$G$5:$G$404,$S33)=$A33,"▶"&amp;IF(('02_カレンダー'!$B$5="○"),INDEX('01_予約入力'!$AD$5:$AD$404,$S33)&amp;" "," "),"")&amp;INDEX('01_予約入力'!$B$5:$B$404,$S33))&amp;IF(AND($S33&gt;0,$T33&gt;0),"  ","")&amp;IF($T33=0,"","◆ "&amp;INDEX('01_予約入力'!$B$5:$B$404,$T33)&amp;IF(('02_カレンダー'!$B$5="○")," "&amp;INDEX('01_予約入力'!$AD$5:$AD$404,$T33)&amp;"-"&amp;INDEX('01_予約入力'!$AE$5:$AE$404,$T33),"")))</f>
        <v/>
      </c>
      <c r="F33" s="49">
        <f>IF(OR($A33="",F$6=""),"",IF($U33=0,"",INDEX('01_予約入力'!$B$5:$B$404,$U33)&amp;" ◀"&amp;IF(('02_カレンダー'!$B$5="○"),INDEX('01_予約入力'!$AE$5:$AE$404,$U33),""))&amp;IF(AND($U33&gt;0,OR($V33&gt;0,$W33&gt;0)),"  ","")&amp;IF($V33=0,"",IF(INDEX('01_予約入力'!$G$5:$G$404,$V33)=$A33,"▶"&amp;IF(('02_カレンダー'!$B$5="○"),INDEX('01_予約入力'!$AD$5:$AD$404,$V33)&amp;" "," "),"")&amp;INDEX('01_予約入力'!$B$5:$B$404,$V33))&amp;IF(AND($V33&gt;0,$W33&gt;0),"  ","")&amp;IF($W33=0,"","◆ "&amp;INDEX('01_予約入力'!$B$5:$B$404,$W33)&amp;IF(('02_カレンダー'!$B$5="○")," "&amp;INDEX('01_予約入力'!$AD$5:$AD$404,$W33)&amp;"-"&amp;INDEX('01_予約入力'!$AE$5:$AE$404,$W33),"")))</f>
        <v/>
      </c>
      <c r="G33" s="45">
        <f>IF($A33="","",SUMPRODUCT(('01_予約入力'!$G$5:$G$404&lt;&gt;"")*('01_予約入力'!$Q$5:$Q$404&lt;&gt;"キャンセル")*('01_予約入力'!$G$5:$G$404&lt;=$A33)*('01_予約入力'!$J$5:$J$404&gt;$A33)))</f>
        <v/>
      </c>
      <c r="H33" s="45">
        <f>IF($A33="","",'M_施設設定'!$B$6-$G33)</f>
        <v/>
      </c>
      <c r="I33" s="45">
        <f>IF($A33="","",SUMPRODUCT((('01_予約入力'!$Q$5:$Q$404="仮予約")+('01_予約入力'!$Q$5:$Q$404="調整中"))*('01_予約入力'!$G$5:$G$404&lt;&gt;"")*('01_予約入力'!$G$5:$G$404&lt;=$A33)*('01_予約入力'!$J$5:$J$404&gt;$A33)))</f>
        <v/>
      </c>
      <c r="J33" s="45">
        <f>IF($A33="","",IF($I33&gt;0,"仮",IF($H33&lt;=0,"×",IF($H33&lt;'M_施設設定'!$B$6,"△","○"))))</f>
        <v/>
      </c>
      <c r="K33" s="45">
        <f>IF($A33="","",SUMPRODUCT(('01_予約入力'!$G$5:$G$404&lt;&gt;"")*('01_予約入力'!$Q$5:$Q$404&lt;&gt;"キャンセル")*('01_予約入力'!$G$5:$G$404=$A33)*('01_予約入力'!$J$5:$J$404=$A33)))</f>
        <v/>
      </c>
      <c r="L33" s="45">
        <f>IF(OR($A33="",C$6=""),0,SUMPRODUCT(MAX(('01_予約入力'!$D$5:$D$404=C$6)*('01_予約入力'!$Q$5:$Q$404&lt;&gt;"キャンセル")*('01_予約入力'!$G$5:$G$404&lt;&gt;"")*('01_予約入力'!$J$5:$J$404=$A33)*('01_予約入力'!$G$5:$G$404&lt;$A33)*(ROW('01_予約入力'!$G$5:$G$404)-4))))</f>
        <v/>
      </c>
      <c r="M33" s="45">
        <f>IF(OR($A33="",C$6=""),0,SUMPRODUCT(MAX(('01_予約入力'!$D$5:$D$404=C$6)*('01_予約入力'!$Q$5:$Q$404&lt;&gt;"キャンセル")*('01_予約入力'!$G$5:$G$404&lt;&gt;"")*('01_予約入力'!$G$5:$G$404&lt;=$A33)*('01_予約入力'!$J$5:$J$404&gt;$A33)*(ROW('01_予約入力'!$G$5:$G$404)-4))))</f>
        <v/>
      </c>
      <c r="N33" s="45">
        <f>IF(OR($A33="",C$6=""),0,SUMPRODUCT(MAX(('01_予約入力'!$D$5:$D$404=C$6)*('01_予約入力'!$Q$5:$Q$404&lt;&gt;"キャンセル")*('01_予約入力'!$G$5:$G$404&lt;&gt;"")*('01_予約入力'!$G$5:$G$404=$A33)*('01_予約入力'!$J$5:$J$404=$A33)*(ROW('01_予約入力'!$G$5:$G$404)-4))))</f>
        <v/>
      </c>
      <c r="O33" s="45">
        <f>IF(OR($A33="",D$6=""),0,SUMPRODUCT(MAX(('01_予約入力'!$D$5:$D$404=D$6)*('01_予約入力'!$Q$5:$Q$404&lt;&gt;"キャンセル")*('01_予約入力'!$G$5:$G$404&lt;&gt;"")*('01_予約入力'!$J$5:$J$404=$A33)*('01_予約入力'!$G$5:$G$404&lt;$A33)*(ROW('01_予約入力'!$G$5:$G$404)-4))))</f>
        <v/>
      </c>
      <c r="P33" s="45">
        <f>IF(OR($A33="",D$6=""),0,SUMPRODUCT(MAX(('01_予約入力'!$D$5:$D$404=D$6)*('01_予約入力'!$Q$5:$Q$404&lt;&gt;"キャンセル")*('01_予約入力'!$G$5:$G$404&lt;&gt;"")*('01_予約入力'!$G$5:$G$404&lt;=$A33)*('01_予約入力'!$J$5:$J$404&gt;$A33)*(ROW('01_予約入力'!$G$5:$G$404)-4))))</f>
        <v/>
      </c>
      <c r="Q33" s="45">
        <f>IF(OR($A33="",D$6=""),0,SUMPRODUCT(MAX(('01_予約入力'!$D$5:$D$404=D$6)*('01_予約入力'!$Q$5:$Q$404&lt;&gt;"キャンセル")*('01_予約入力'!$G$5:$G$404&lt;&gt;"")*('01_予約入力'!$G$5:$G$404=$A33)*('01_予約入力'!$J$5:$J$404=$A33)*(ROW('01_予約入力'!$G$5:$G$404)-4))))</f>
        <v/>
      </c>
      <c r="R33" s="45">
        <f>IF(OR($A33="",E$6=""),0,SUMPRODUCT(MAX(('01_予約入力'!$D$5:$D$404=E$6)*('01_予約入力'!$Q$5:$Q$404&lt;&gt;"キャンセル")*('01_予約入力'!$G$5:$G$404&lt;&gt;"")*('01_予約入力'!$J$5:$J$404=$A33)*('01_予約入力'!$G$5:$G$404&lt;$A33)*(ROW('01_予約入力'!$G$5:$G$404)-4))))</f>
        <v/>
      </c>
      <c r="S33" s="45">
        <f>IF(OR($A33="",E$6=""),0,SUMPRODUCT(MAX(('01_予約入力'!$D$5:$D$404=E$6)*('01_予約入力'!$Q$5:$Q$404&lt;&gt;"キャンセル")*('01_予約入力'!$G$5:$G$404&lt;&gt;"")*('01_予約入力'!$G$5:$G$404&lt;=$A33)*('01_予約入力'!$J$5:$J$404&gt;$A33)*(ROW('01_予約入力'!$G$5:$G$404)-4))))</f>
        <v/>
      </c>
      <c r="T33" s="45">
        <f>IF(OR($A33="",E$6=""),0,SUMPRODUCT(MAX(('01_予約入力'!$D$5:$D$404=E$6)*('01_予約入力'!$Q$5:$Q$404&lt;&gt;"キャンセル")*('01_予約入力'!$G$5:$G$404&lt;&gt;"")*('01_予約入力'!$G$5:$G$404=$A33)*('01_予約入力'!$J$5:$J$404=$A33)*(ROW('01_予約入力'!$G$5:$G$404)-4))))</f>
        <v/>
      </c>
      <c r="U33" s="45">
        <f>IF(OR($A33="",F$6=""),0,SUMPRODUCT(MAX(('01_予約入力'!$D$5:$D$404=F$6)*('01_予約入力'!$Q$5:$Q$404&lt;&gt;"キャンセル")*('01_予約入力'!$G$5:$G$404&lt;&gt;"")*('01_予約入力'!$J$5:$J$404=$A33)*('01_予約入力'!$G$5:$G$404&lt;$A33)*(ROW('01_予約入力'!$G$5:$G$404)-4))))</f>
        <v/>
      </c>
      <c r="V33" s="45">
        <f>IF(OR($A33="",F$6=""),0,SUMPRODUCT(MAX(('01_予約入力'!$D$5:$D$404=F$6)*('01_予約入力'!$Q$5:$Q$404&lt;&gt;"キャンセル")*('01_予約入力'!$G$5:$G$404&lt;&gt;"")*('01_予約入力'!$G$5:$G$404&lt;=$A33)*('01_予約入力'!$J$5:$J$404&gt;$A33)*(ROW('01_予約入力'!$G$5:$G$404)-4))))</f>
        <v/>
      </c>
      <c r="W33" s="45">
        <f>IF(OR($A33="",F$6=""),0,SUMPRODUCT(MAX(('01_予約入力'!$D$5:$D$404=F$6)*('01_予約入力'!$Q$5:$Q$404&lt;&gt;"キャンセル")*('01_予約入力'!$G$5:$G$404&lt;&gt;"")*('01_予約入力'!$G$5:$G$404=$A33)*('01_予約入力'!$J$5:$J$404=$A33)*(ROW('01_予約入力'!$G$5:$G$404)-4))))</f>
        <v/>
      </c>
      <c r="X33" s="45">
        <f>IF($A33="","",IF($M33&gt;0,IF(OR(INDEX('01_予約入力'!$Q$5:$Q$404,$M33)="仮予約",INDEX('01_予約入力'!$Q$5:$Q$404,$M33)="調整中"),"仮",INDEX('01_予約入力'!$C$5:$C$404,$M33)),IF($N33&gt;0,IF(OR(INDEX('01_予約入力'!$Q$5:$Q$404,$N33)="仮予約",INDEX('01_予約入力'!$Q$5:$Q$404,$N33)="調整中"),"仮",INDEX('01_予約入力'!$C$5:$C$404,$N33)),IF($L33&gt;0,IF(OR(INDEX('01_予約入力'!$Q$5:$Q$404,$L33)="仮予約",INDEX('01_予約入力'!$Q$5:$Q$404,$L33)="調整中"),"仮",INDEX('01_予約入力'!$C$5:$C$404,$L33)),""))))</f>
        <v/>
      </c>
      <c r="Y33" s="45">
        <f>IF($A33="","",IF($P33&gt;0,IF(OR(INDEX('01_予約入力'!$Q$5:$Q$404,$P33)="仮予約",INDEX('01_予約入力'!$Q$5:$Q$404,$P33)="調整中"),"仮",INDEX('01_予約入力'!$C$5:$C$404,$P33)),IF($Q33&gt;0,IF(OR(INDEX('01_予約入力'!$Q$5:$Q$404,$Q33)="仮予約",INDEX('01_予約入力'!$Q$5:$Q$404,$Q33)="調整中"),"仮",INDEX('01_予約入力'!$C$5:$C$404,$Q33)),IF($O33&gt;0,IF(OR(INDEX('01_予約入力'!$Q$5:$Q$404,$O33)="仮予約",INDEX('01_予約入力'!$Q$5:$Q$404,$O33)="調整中"),"仮",INDEX('01_予約入力'!$C$5:$C$404,$O33)),""))))</f>
        <v/>
      </c>
      <c r="Z33" s="45">
        <f>IF($A33="","",IF($S33&gt;0,IF(OR(INDEX('01_予約入力'!$Q$5:$Q$404,$S33)="仮予約",INDEX('01_予約入力'!$Q$5:$Q$404,$S33)="調整中"),"仮",INDEX('01_予約入力'!$C$5:$C$404,$S33)),IF($T33&gt;0,IF(OR(INDEX('01_予約入力'!$Q$5:$Q$404,$T33)="仮予約",INDEX('01_予約入力'!$Q$5:$Q$404,$T33)="調整中"),"仮",INDEX('01_予約入力'!$C$5:$C$404,$T33)),IF($R33&gt;0,IF(OR(INDEX('01_予約入力'!$Q$5:$Q$404,$R33)="仮予約",INDEX('01_予約入力'!$Q$5:$Q$404,$R33)="調整中"),"仮",INDEX('01_予約入力'!$C$5:$C$404,$R33)),""))))</f>
        <v/>
      </c>
      <c r="AA33" s="45">
        <f>IF($A33="","",IF($V33&gt;0,IF(OR(INDEX('01_予約入力'!$Q$5:$Q$404,$V33)="仮予約",INDEX('01_予約入力'!$Q$5:$Q$404,$V33)="調整中"),"仮",INDEX('01_予約入力'!$C$5:$C$404,$V33)),IF($W33&gt;0,IF(OR(INDEX('01_予約入力'!$Q$5:$Q$404,$W33)="仮予約",INDEX('01_予約入力'!$Q$5:$Q$404,$W33)="調整中"),"仮",INDEX('01_予約入力'!$C$5:$C$404,$W33)),IF($U33&gt;0,IF(OR(INDEX('01_予約入力'!$Q$5:$Q$404,$U33)="仮予約",INDEX('01_予約入力'!$Q$5:$Q$404,$U33)="調整中"),"仮",INDEX('01_予約入力'!$C$5:$C$404,$U33)),""))))</f>
        <v/>
      </c>
      <c r="AB33" s="45">
        <f>IF($A33="",0,SUMPRODUCT(('01_予約入力'!$G$5:$G$404&lt;&gt;"")*('01_予約入力'!$Q$5:$Q$404&lt;&gt;"キャンセル")*(('01_予約入力'!$L$5:$L$404="○")*('01_予約入力'!$G$5:$G$404&lt;=$A33)*('01_予約入力'!$J$5:$J$404&gt;=$A33)+('01_予約入力'!$L$5:$L$404="")*('01_予約入力'!$G$5:$G$404&lt;$A33)*('01_予約入力'!$J$5:$J$404&gt;=$A33))))</f>
        <v/>
      </c>
      <c r="AC33" s="45">
        <f>IF($A33="",0,SUMPRODUCT(('01_予約入力'!$G$5:$G$404&lt;&gt;"")*('01_予約入力'!$Q$5:$Q$404&lt;&gt;"キャンセル")*(('01_予約入力'!$M$5:$M$404="○")*('01_予約入力'!$G$5:$G$404&lt;=$A33)*('01_予約入力'!$J$5:$J$404&gt;=$A33)+('01_予約入力'!$M$5:$M$404="")*((('01_予約入力'!$G$5:$G$404&lt;$A33)*('01_予約入力'!$J$5:$J$404&gt;$A33))+(('01_予約入力'!$G$5:$G$404=$A33)*('01_予約入力'!$J$5:$J$404=$A33))))))</f>
        <v/>
      </c>
      <c r="AD33" s="45">
        <f>IF($A33="",0,SUMPRODUCT(('01_予約入力'!$G$5:$G$404&lt;&gt;"")*('01_予約入力'!$Q$5:$Q$404&lt;&gt;"キャンセル")*(('01_予約入力'!$N$5:$N$404="○")*('01_予約入力'!$G$5:$G$404&lt;=$A33)*('01_予約入力'!$J$5:$J$404&gt;=$A33)+('01_予約入力'!$N$5:$N$404="")*('01_予約入力'!$G$5:$G$404&lt;=$A33)*('01_予約入力'!$J$5:$J$404&gt;$A33))))</f>
        <v/>
      </c>
      <c r="AE33" s="45">
        <f>IF($A33="",0,IFERROR(MATCH($A33,'02_カレンダー'!$B$59:$B$78,0),0))</f>
        <v/>
      </c>
      <c r="AF33" s="45">
        <f>IF($A33="",0,IF($AE33=0,$AB33,IF(INDEX('02_カレンダー'!$C$59:$C$78,$AE33)="",$AB33,INDEX('02_カレンダー'!$C$59:$C$78,$AE33))))</f>
        <v/>
      </c>
      <c r="AG33" s="45">
        <f>IF($A33="",0,IF($AE33=0,$AC33,IF(INDEX('02_カレンダー'!$D$59:$D$78,$AE33)="",$AC33,INDEX('02_カレンダー'!$D$59:$D$78,$AE33))))</f>
        <v/>
      </c>
      <c r="AH33" s="45">
        <f>IF($A33="",0,IF($AE33=0,$AD33,IF(INDEX('02_カレンダー'!$E$59:$E$78,$AE33)="",$AD33,INDEX('02_カレンダー'!$E$59:$E$78,$AE33))))</f>
        <v/>
      </c>
      <c r="AI33" s="45">
        <f>IF($A33="","",IF(AND($AF33=0,$AG33=0,$AH33=0),"","朝"&amp;$AF33&amp;" 昼"&amp;$AG33&amp;" 夕"&amp;$AH33&amp;IF($AJ33=0,"","　※調整")))</f>
        <v/>
      </c>
      <c r="AJ33" s="45">
        <f>IF(OR($A33="",$AE33=0),0,IF(OR(INDEX('02_カレンダー'!$C$59:$C$78,$AE33)&lt;&gt;"",INDEX('02_カレンダー'!$D$59:$D$78,$AE33)&lt;&gt;"",INDEX('02_カレンダー'!$E$59:$E$78,$AE33)&lt;&gt;""),1,0))</f>
        <v/>
      </c>
    </row>
    <row r="34">
      <c r="A34" s="38">
        <f>IF(MONTH('02_カレンダー'!$B$4+27)&lt;&gt;MONTH('02_カレンダー'!$B$4),"",'02_カレンダー'!$B$4+27)</f>
        <v/>
      </c>
      <c r="B34" s="45">
        <f>IF($A34="","",MID("日月火水木金土",WEEKDAY($A34),1))</f>
        <v/>
      </c>
      <c r="C34" s="49">
        <f>IF(OR($A34="",C$6=""),"",IF($L34=0,"",INDEX('01_予約入力'!$B$5:$B$404,$L34)&amp;" ◀"&amp;IF(('02_カレンダー'!$B$5="○"),INDEX('01_予約入力'!$AE$5:$AE$404,$L34),""))&amp;IF(AND($L34&gt;0,OR($M34&gt;0,$N34&gt;0)),"  ","")&amp;IF($M34=0,"",IF(INDEX('01_予約入力'!$G$5:$G$404,$M34)=$A34,"▶"&amp;IF(('02_カレンダー'!$B$5="○"),INDEX('01_予約入力'!$AD$5:$AD$404,$M34)&amp;" "," "),"")&amp;INDEX('01_予約入力'!$B$5:$B$404,$M34))&amp;IF(AND($M34&gt;0,$N34&gt;0),"  ","")&amp;IF($N34=0,"","◆ "&amp;INDEX('01_予約入力'!$B$5:$B$404,$N34)&amp;IF(('02_カレンダー'!$B$5="○")," "&amp;INDEX('01_予約入力'!$AD$5:$AD$404,$N34)&amp;"-"&amp;INDEX('01_予約入力'!$AE$5:$AE$404,$N34),"")))</f>
        <v/>
      </c>
      <c r="D34" s="49">
        <f>IF(OR($A34="",D$6=""),"",IF($O34=0,"",INDEX('01_予約入力'!$B$5:$B$404,$O34)&amp;" ◀"&amp;IF(('02_カレンダー'!$B$5="○"),INDEX('01_予約入力'!$AE$5:$AE$404,$O34),""))&amp;IF(AND($O34&gt;0,OR($P34&gt;0,$Q34&gt;0)),"  ","")&amp;IF($P34=0,"",IF(INDEX('01_予約入力'!$G$5:$G$404,$P34)=$A34,"▶"&amp;IF(('02_カレンダー'!$B$5="○"),INDEX('01_予約入力'!$AD$5:$AD$404,$P34)&amp;" "," "),"")&amp;INDEX('01_予約入力'!$B$5:$B$404,$P34))&amp;IF(AND($P34&gt;0,$Q34&gt;0),"  ","")&amp;IF($Q34=0,"","◆ "&amp;INDEX('01_予約入力'!$B$5:$B$404,$Q34)&amp;IF(('02_カレンダー'!$B$5="○")," "&amp;INDEX('01_予約入力'!$AD$5:$AD$404,$Q34)&amp;"-"&amp;INDEX('01_予約入力'!$AE$5:$AE$404,$Q34),"")))</f>
        <v/>
      </c>
      <c r="E34" s="49">
        <f>IF(OR($A34="",E$6=""),"",IF($R34=0,"",INDEX('01_予約入力'!$B$5:$B$404,$R34)&amp;" ◀"&amp;IF(('02_カレンダー'!$B$5="○"),INDEX('01_予約入力'!$AE$5:$AE$404,$R34),""))&amp;IF(AND($R34&gt;0,OR($S34&gt;0,$T34&gt;0)),"  ","")&amp;IF($S34=0,"",IF(INDEX('01_予約入力'!$G$5:$G$404,$S34)=$A34,"▶"&amp;IF(('02_カレンダー'!$B$5="○"),INDEX('01_予約入力'!$AD$5:$AD$404,$S34)&amp;" "," "),"")&amp;INDEX('01_予約入力'!$B$5:$B$404,$S34))&amp;IF(AND($S34&gt;0,$T34&gt;0),"  ","")&amp;IF($T34=0,"","◆ "&amp;INDEX('01_予約入力'!$B$5:$B$404,$T34)&amp;IF(('02_カレンダー'!$B$5="○")," "&amp;INDEX('01_予約入力'!$AD$5:$AD$404,$T34)&amp;"-"&amp;INDEX('01_予約入力'!$AE$5:$AE$404,$T34),"")))</f>
        <v/>
      </c>
      <c r="F34" s="49">
        <f>IF(OR($A34="",F$6=""),"",IF($U34=0,"",INDEX('01_予約入力'!$B$5:$B$404,$U34)&amp;" ◀"&amp;IF(('02_カレンダー'!$B$5="○"),INDEX('01_予約入力'!$AE$5:$AE$404,$U34),""))&amp;IF(AND($U34&gt;0,OR($V34&gt;0,$W34&gt;0)),"  ","")&amp;IF($V34=0,"",IF(INDEX('01_予約入力'!$G$5:$G$404,$V34)=$A34,"▶"&amp;IF(('02_カレンダー'!$B$5="○"),INDEX('01_予約入力'!$AD$5:$AD$404,$V34)&amp;" "," "),"")&amp;INDEX('01_予約入力'!$B$5:$B$404,$V34))&amp;IF(AND($V34&gt;0,$W34&gt;0),"  ","")&amp;IF($W34=0,"","◆ "&amp;INDEX('01_予約入力'!$B$5:$B$404,$W34)&amp;IF(('02_カレンダー'!$B$5="○")," "&amp;INDEX('01_予約入力'!$AD$5:$AD$404,$W34)&amp;"-"&amp;INDEX('01_予約入力'!$AE$5:$AE$404,$W34),"")))</f>
        <v/>
      </c>
      <c r="G34" s="45">
        <f>IF($A34="","",SUMPRODUCT(('01_予約入力'!$G$5:$G$404&lt;&gt;"")*('01_予約入力'!$Q$5:$Q$404&lt;&gt;"キャンセル")*('01_予約入力'!$G$5:$G$404&lt;=$A34)*('01_予約入力'!$J$5:$J$404&gt;$A34)))</f>
        <v/>
      </c>
      <c r="H34" s="45">
        <f>IF($A34="","",'M_施設設定'!$B$6-$G34)</f>
        <v/>
      </c>
      <c r="I34" s="45">
        <f>IF($A34="","",SUMPRODUCT((('01_予約入力'!$Q$5:$Q$404="仮予約")+('01_予約入力'!$Q$5:$Q$404="調整中"))*('01_予約入力'!$G$5:$G$404&lt;&gt;"")*('01_予約入力'!$G$5:$G$404&lt;=$A34)*('01_予約入力'!$J$5:$J$404&gt;$A34)))</f>
        <v/>
      </c>
      <c r="J34" s="45">
        <f>IF($A34="","",IF($I34&gt;0,"仮",IF($H34&lt;=0,"×",IF($H34&lt;'M_施設設定'!$B$6,"△","○"))))</f>
        <v/>
      </c>
      <c r="K34" s="45">
        <f>IF($A34="","",SUMPRODUCT(('01_予約入力'!$G$5:$G$404&lt;&gt;"")*('01_予約入力'!$Q$5:$Q$404&lt;&gt;"キャンセル")*('01_予約入力'!$G$5:$G$404=$A34)*('01_予約入力'!$J$5:$J$404=$A34)))</f>
        <v/>
      </c>
      <c r="L34" s="45">
        <f>IF(OR($A34="",C$6=""),0,SUMPRODUCT(MAX(('01_予約入力'!$D$5:$D$404=C$6)*('01_予約入力'!$Q$5:$Q$404&lt;&gt;"キャンセル")*('01_予約入力'!$G$5:$G$404&lt;&gt;"")*('01_予約入力'!$J$5:$J$404=$A34)*('01_予約入力'!$G$5:$G$404&lt;$A34)*(ROW('01_予約入力'!$G$5:$G$404)-4))))</f>
        <v/>
      </c>
      <c r="M34" s="45">
        <f>IF(OR($A34="",C$6=""),0,SUMPRODUCT(MAX(('01_予約入力'!$D$5:$D$404=C$6)*('01_予約入力'!$Q$5:$Q$404&lt;&gt;"キャンセル")*('01_予約入力'!$G$5:$G$404&lt;&gt;"")*('01_予約入力'!$G$5:$G$404&lt;=$A34)*('01_予約入力'!$J$5:$J$404&gt;$A34)*(ROW('01_予約入力'!$G$5:$G$404)-4))))</f>
        <v/>
      </c>
      <c r="N34" s="45">
        <f>IF(OR($A34="",C$6=""),0,SUMPRODUCT(MAX(('01_予約入力'!$D$5:$D$404=C$6)*('01_予約入力'!$Q$5:$Q$404&lt;&gt;"キャンセル")*('01_予約入力'!$G$5:$G$404&lt;&gt;"")*('01_予約入力'!$G$5:$G$404=$A34)*('01_予約入力'!$J$5:$J$404=$A34)*(ROW('01_予約入力'!$G$5:$G$404)-4))))</f>
        <v/>
      </c>
      <c r="O34" s="45">
        <f>IF(OR($A34="",D$6=""),0,SUMPRODUCT(MAX(('01_予約入力'!$D$5:$D$404=D$6)*('01_予約入力'!$Q$5:$Q$404&lt;&gt;"キャンセル")*('01_予約入力'!$G$5:$G$404&lt;&gt;"")*('01_予約入力'!$J$5:$J$404=$A34)*('01_予約入力'!$G$5:$G$404&lt;$A34)*(ROW('01_予約入力'!$G$5:$G$404)-4))))</f>
        <v/>
      </c>
      <c r="P34" s="45">
        <f>IF(OR($A34="",D$6=""),0,SUMPRODUCT(MAX(('01_予約入力'!$D$5:$D$404=D$6)*('01_予約入力'!$Q$5:$Q$404&lt;&gt;"キャンセル")*('01_予約入力'!$G$5:$G$404&lt;&gt;"")*('01_予約入力'!$G$5:$G$404&lt;=$A34)*('01_予約入力'!$J$5:$J$404&gt;$A34)*(ROW('01_予約入力'!$G$5:$G$404)-4))))</f>
        <v/>
      </c>
      <c r="Q34" s="45">
        <f>IF(OR($A34="",D$6=""),0,SUMPRODUCT(MAX(('01_予約入力'!$D$5:$D$404=D$6)*('01_予約入力'!$Q$5:$Q$404&lt;&gt;"キャンセル")*('01_予約入力'!$G$5:$G$404&lt;&gt;"")*('01_予約入力'!$G$5:$G$404=$A34)*('01_予約入力'!$J$5:$J$404=$A34)*(ROW('01_予約入力'!$G$5:$G$404)-4))))</f>
        <v/>
      </c>
      <c r="R34" s="45">
        <f>IF(OR($A34="",E$6=""),0,SUMPRODUCT(MAX(('01_予約入力'!$D$5:$D$404=E$6)*('01_予約入力'!$Q$5:$Q$404&lt;&gt;"キャンセル")*('01_予約入力'!$G$5:$G$404&lt;&gt;"")*('01_予約入力'!$J$5:$J$404=$A34)*('01_予約入力'!$G$5:$G$404&lt;$A34)*(ROW('01_予約入力'!$G$5:$G$404)-4))))</f>
        <v/>
      </c>
      <c r="S34" s="45">
        <f>IF(OR($A34="",E$6=""),0,SUMPRODUCT(MAX(('01_予約入力'!$D$5:$D$404=E$6)*('01_予約入力'!$Q$5:$Q$404&lt;&gt;"キャンセル")*('01_予約入力'!$G$5:$G$404&lt;&gt;"")*('01_予約入力'!$G$5:$G$404&lt;=$A34)*('01_予約入力'!$J$5:$J$404&gt;$A34)*(ROW('01_予約入力'!$G$5:$G$404)-4))))</f>
        <v/>
      </c>
      <c r="T34" s="45">
        <f>IF(OR($A34="",E$6=""),0,SUMPRODUCT(MAX(('01_予約入力'!$D$5:$D$404=E$6)*('01_予約入力'!$Q$5:$Q$404&lt;&gt;"キャンセル")*('01_予約入力'!$G$5:$G$404&lt;&gt;"")*('01_予約入力'!$G$5:$G$404=$A34)*('01_予約入力'!$J$5:$J$404=$A34)*(ROW('01_予約入力'!$G$5:$G$404)-4))))</f>
        <v/>
      </c>
      <c r="U34" s="45">
        <f>IF(OR($A34="",F$6=""),0,SUMPRODUCT(MAX(('01_予約入力'!$D$5:$D$404=F$6)*('01_予約入力'!$Q$5:$Q$404&lt;&gt;"キャンセル")*('01_予約入力'!$G$5:$G$404&lt;&gt;"")*('01_予約入力'!$J$5:$J$404=$A34)*('01_予約入力'!$G$5:$G$404&lt;$A34)*(ROW('01_予約入力'!$G$5:$G$404)-4))))</f>
        <v/>
      </c>
      <c r="V34" s="45">
        <f>IF(OR($A34="",F$6=""),0,SUMPRODUCT(MAX(('01_予約入力'!$D$5:$D$404=F$6)*('01_予約入力'!$Q$5:$Q$404&lt;&gt;"キャンセル")*('01_予約入力'!$G$5:$G$404&lt;&gt;"")*('01_予約入力'!$G$5:$G$404&lt;=$A34)*('01_予約入力'!$J$5:$J$404&gt;$A34)*(ROW('01_予約入力'!$G$5:$G$404)-4))))</f>
        <v/>
      </c>
      <c r="W34" s="45">
        <f>IF(OR($A34="",F$6=""),0,SUMPRODUCT(MAX(('01_予約入力'!$D$5:$D$404=F$6)*('01_予約入力'!$Q$5:$Q$404&lt;&gt;"キャンセル")*('01_予約入力'!$G$5:$G$404&lt;&gt;"")*('01_予約入力'!$G$5:$G$404=$A34)*('01_予約入力'!$J$5:$J$404=$A34)*(ROW('01_予約入力'!$G$5:$G$404)-4))))</f>
        <v/>
      </c>
      <c r="X34" s="45">
        <f>IF($A34="","",IF($M34&gt;0,IF(OR(INDEX('01_予約入力'!$Q$5:$Q$404,$M34)="仮予約",INDEX('01_予約入力'!$Q$5:$Q$404,$M34)="調整中"),"仮",INDEX('01_予約入力'!$C$5:$C$404,$M34)),IF($N34&gt;0,IF(OR(INDEX('01_予約入力'!$Q$5:$Q$404,$N34)="仮予約",INDEX('01_予約入力'!$Q$5:$Q$404,$N34)="調整中"),"仮",INDEX('01_予約入力'!$C$5:$C$404,$N34)),IF($L34&gt;0,IF(OR(INDEX('01_予約入力'!$Q$5:$Q$404,$L34)="仮予約",INDEX('01_予約入力'!$Q$5:$Q$404,$L34)="調整中"),"仮",INDEX('01_予約入力'!$C$5:$C$404,$L34)),""))))</f>
        <v/>
      </c>
      <c r="Y34" s="45">
        <f>IF($A34="","",IF($P34&gt;0,IF(OR(INDEX('01_予約入力'!$Q$5:$Q$404,$P34)="仮予約",INDEX('01_予約入力'!$Q$5:$Q$404,$P34)="調整中"),"仮",INDEX('01_予約入力'!$C$5:$C$404,$P34)),IF($Q34&gt;0,IF(OR(INDEX('01_予約入力'!$Q$5:$Q$404,$Q34)="仮予約",INDEX('01_予約入力'!$Q$5:$Q$404,$Q34)="調整中"),"仮",INDEX('01_予約入力'!$C$5:$C$404,$Q34)),IF($O34&gt;0,IF(OR(INDEX('01_予約入力'!$Q$5:$Q$404,$O34)="仮予約",INDEX('01_予約入力'!$Q$5:$Q$404,$O34)="調整中"),"仮",INDEX('01_予約入力'!$C$5:$C$404,$O34)),""))))</f>
        <v/>
      </c>
      <c r="Z34" s="45">
        <f>IF($A34="","",IF($S34&gt;0,IF(OR(INDEX('01_予約入力'!$Q$5:$Q$404,$S34)="仮予約",INDEX('01_予約入力'!$Q$5:$Q$404,$S34)="調整中"),"仮",INDEX('01_予約入力'!$C$5:$C$404,$S34)),IF($T34&gt;0,IF(OR(INDEX('01_予約入力'!$Q$5:$Q$404,$T34)="仮予約",INDEX('01_予約入力'!$Q$5:$Q$404,$T34)="調整中"),"仮",INDEX('01_予約入力'!$C$5:$C$404,$T34)),IF($R34&gt;0,IF(OR(INDEX('01_予約入力'!$Q$5:$Q$404,$R34)="仮予約",INDEX('01_予約入力'!$Q$5:$Q$404,$R34)="調整中"),"仮",INDEX('01_予約入力'!$C$5:$C$404,$R34)),""))))</f>
        <v/>
      </c>
      <c r="AA34" s="45">
        <f>IF($A34="","",IF($V34&gt;0,IF(OR(INDEX('01_予約入力'!$Q$5:$Q$404,$V34)="仮予約",INDEX('01_予約入力'!$Q$5:$Q$404,$V34)="調整中"),"仮",INDEX('01_予約入力'!$C$5:$C$404,$V34)),IF($W34&gt;0,IF(OR(INDEX('01_予約入力'!$Q$5:$Q$404,$W34)="仮予約",INDEX('01_予約入力'!$Q$5:$Q$404,$W34)="調整中"),"仮",INDEX('01_予約入力'!$C$5:$C$404,$W34)),IF($U34&gt;0,IF(OR(INDEX('01_予約入力'!$Q$5:$Q$404,$U34)="仮予約",INDEX('01_予約入力'!$Q$5:$Q$404,$U34)="調整中"),"仮",INDEX('01_予約入力'!$C$5:$C$404,$U34)),""))))</f>
        <v/>
      </c>
      <c r="AB34" s="45">
        <f>IF($A34="",0,SUMPRODUCT(('01_予約入力'!$G$5:$G$404&lt;&gt;"")*('01_予約入力'!$Q$5:$Q$404&lt;&gt;"キャンセル")*(('01_予約入力'!$L$5:$L$404="○")*('01_予約入力'!$G$5:$G$404&lt;=$A34)*('01_予約入力'!$J$5:$J$404&gt;=$A34)+('01_予約入力'!$L$5:$L$404="")*('01_予約入力'!$G$5:$G$404&lt;$A34)*('01_予約入力'!$J$5:$J$404&gt;=$A34))))</f>
        <v/>
      </c>
      <c r="AC34" s="45">
        <f>IF($A34="",0,SUMPRODUCT(('01_予約入力'!$G$5:$G$404&lt;&gt;"")*('01_予約入力'!$Q$5:$Q$404&lt;&gt;"キャンセル")*(('01_予約入力'!$M$5:$M$404="○")*('01_予約入力'!$G$5:$G$404&lt;=$A34)*('01_予約入力'!$J$5:$J$404&gt;=$A34)+('01_予約入力'!$M$5:$M$404="")*((('01_予約入力'!$G$5:$G$404&lt;$A34)*('01_予約入力'!$J$5:$J$404&gt;$A34))+(('01_予約入力'!$G$5:$G$404=$A34)*('01_予約入力'!$J$5:$J$404=$A34))))))</f>
        <v/>
      </c>
      <c r="AD34" s="45">
        <f>IF($A34="",0,SUMPRODUCT(('01_予約入力'!$G$5:$G$404&lt;&gt;"")*('01_予約入力'!$Q$5:$Q$404&lt;&gt;"キャンセル")*(('01_予約入力'!$N$5:$N$404="○")*('01_予約入力'!$G$5:$G$404&lt;=$A34)*('01_予約入力'!$J$5:$J$404&gt;=$A34)+('01_予約入力'!$N$5:$N$404="")*('01_予約入力'!$G$5:$G$404&lt;=$A34)*('01_予約入力'!$J$5:$J$404&gt;$A34))))</f>
        <v/>
      </c>
      <c r="AE34" s="45">
        <f>IF($A34="",0,IFERROR(MATCH($A34,'02_カレンダー'!$B$59:$B$78,0),0))</f>
        <v/>
      </c>
      <c r="AF34" s="45">
        <f>IF($A34="",0,IF($AE34=0,$AB34,IF(INDEX('02_カレンダー'!$C$59:$C$78,$AE34)="",$AB34,INDEX('02_カレンダー'!$C$59:$C$78,$AE34))))</f>
        <v/>
      </c>
      <c r="AG34" s="45">
        <f>IF($A34="",0,IF($AE34=0,$AC34,IF(INDEX('02_カレンダー'!$D$59:$D$78,$AE34)="",$AC34,INDEX('02_カレンダー'!$D$59:$D$78,$AE34))))</f>
        <v/>
      </c>
      <c r="AH34" s="45">
        <f>IF($A34="",0,IF($AE34=0,$AD34,IF(INDEX('02_カレンダー'!$E$59:$E$78,$AE34)="",$AD34,INDEX('02_カレンダー'!$E$59:$E$78,$AE34))))</f>
        <v/>
      </c>
      <c r="AI34" s="45">
        <f>IF($A34="","",IF(AND($AF34=0,$AG34=0,$AH34=0),"","朝"&amp;$AF34&amp;" 昼"&amp;$AG34&amp;" 夕"&amp;$AH34&amp;IF($AJ34=0,"","　※調整")))</f>
        <v/>
      </c>
      <c r="AJ34" s="45">
        <f>IF(OR($A34="",$AE34=0),0,IF(OR(INDEX('02_カレンダー'!$C$59:$C$78,$AE34)&lt;&gt;"",INDEX('02_カレンダー'!$D$59:$D$78,$AE34)&lt;&gt;"",INDEX('02_カレンダー'!$E$59:$E$78,$AE34)&lt;&gt;""),1,0))</f>
        <v/>
      </c>
    </row>
    <row r="35">
      <c r="A35" s="38">
        <f>IF(MONTH('02_カレンダー'!$B$4+28)&lt;&gt;MONTH('02_カレンダー'!$B$4),"",'02_カレンダー'!$B$4+28)</f>
        <v/>
      </c>
      <c r="B35" s="45">
        <f>IF($A35="","",MID("日月火水木金土",WEEKDAY($A35),1))</f>
        <v/>
      </c>
      <c r="C35" s="49">
        <f>IF(OR($A35="",C$6=""),"",IF($L35=0,"",INDEX('01_予約入力'!$B$5:$B$404,$L35)&amp;" ◀"&amp;IF(('02_カレンダー'!$B$5="○"),INDEX('01_予約入力'!$AE$5:$AE$404,$L35),""))&amp;IF(AND($L35&gt;0,OR($M35&gt;0,$N35&gt;0)),"  ","")&amp;IF($M35=0,"",IF(INDEX('01_予約入力'!$G$5:$G$404,$M35)=$A35,"▶"&amp;IF(('02_カレンダー'!$B$5="○"),INDEX('01_予約入力'!$AD$5:$AD$404,$M35)&amp;" "," "),"")&amp;INDEX('01_予約入力'!$B$5:$B$404,$M35))&amp;IF(AND($M35&gt;0,$N35&gt;0),"  ","")&amp;IF($N35=0,"","◆ "&amp;INDEX('01_予約入力'!$B$5:$B$404,$N35)&amp;IF(('02_カレンダー'!$B$5="○")," "&amp;INDEX('01_予約入力'!$AD$5:$AD$404,$N35)&amp;"-"&amp;INDEX('01_予約入力'!$AE$5:$AE$404,$N35),"")))</f>
        <v/>
      </c>
      <c r="D35" s="49">
        <f>IF(OR($A35="",D$6=""),"",IF($O35=0,"",INDEX('01_予約入力'!$B$5:$B$404,$O35)&amp;" ◀"&amp;IF(('02_カレンダー'!$B$5="○"),INDEX('01_予約入力'!$AE$5:$AE$404,$O35),""))&amp;IF(AND($O35&gt;0,OR($P35&gt;0,$Q35&gt;0)),"  ","")&amp;IF($P35=0,"",IF(INDEX('01_予約入力'!$G$5:$G$404,$P35)=$A35,"▶"&amp;IF(('02_カレンダー'!$B$5="○"),INDEX('01_予約入力'!$AD$5:$AD$404,$P35)&amp;" "," "),"")&amp;INDEX('01_予約入力'!$B$5:$B$404,$P35))&amp;IF(AND($P35&gt;0,$Q35&gt;0),"  ","")&amp;IF($Q35=0,"","◆ "&amp;INDEX('01_予約入力'!$B$5:$B$404,$Q35)&amp;IF(('02_カレンダー'!$B$5="○")," "&amp;INDEX('01_予約入力'!$AD$5:$AD$404,$Q35)&amp;"-"&amp;INDEX('01_予約入力'!$AE$5:$AE$404,$Q35),"")))</f>
        <v/>
      </c>
      <c r="E35" s="49">
        <f>IF(OR($A35="",E$6=""),"",IF($R35=0,"",INDEX('01_予約入力'!$B$5:$B$404,$R35)&amp;" ◀"&amp;IF(('02_カレンダー'!$B$5="○"),INDEX('01_予約入力'!$AE$5:$AE$404,$R35),""))&amp;IF(AND($R35&gt;0,OR($S35&gt;0,$T35&gt;0)),"  ","")&amp;IF($S35=0,"",IF(INDEX('01_予約入力'!$G$5:$G$404,$S35)=$A35,"▶"&amp;IF(('02_カレンダー'!$B$5="○"),INDEX('01_予約入力'!$AD$5:$AD$404,$S35)&amp;" "," "),"")&amp;INDEX('01_予約入力'!$B$5:$B$404,$S35))&amp;IF(AND($S35&gt;0,$T35&gt;0),"  ","")&amp;IF($T35=0,"","◆ "&amp;INDEX('01_予約入力'!$B$5:$B$404,$T35)&amp;IF(('02_カレンダー'!$B$5="○")," "&amp;INDEX('01_予約入力'!$AD$5:$AD$404,$T35)&amp;"-"&amp;INDEX('01_予約入力'!$AE$5:$AE$404,$T35),"")))</f>
        <v/>
      </c>
      <c r="F35" s="49">
        <f>IF(OR($A35="",F$6=""),"",IF($U35=0,"",INDEX('01_予約入力'!$B$5:$B$404,$U35)&amp;" ◀"&amp;IF(('02_カレンダー'!$B$5="○"),INDEX('01_予約入力'!$AE$5:$AE$404,$U35),""))&amp;IF(AND($U35&gt;0,OR($V35&gt;0,$W35&gt;0)),"  ","")&amp;IF($V35=0,"",IF(INDEX('01_予約入力'!$G$5:$G$404,$V35)=$A35,"▶"&amp;IF(('02_カレンダー'!$B$5="○"),INDEX('01_予約入力'!$AD$5:$AD$404,$V35)&amp;" "," "),"")&amp;INDEX('01_予約入力'!$B$5:$B$404,$V35))&amp;IF(AND($V35&gt;0,$W35&gt;0),"  ","")&amp;IF($W35=0,"","◆ "&amp;INDEX('01_予約入力'!$B$5:$B$404,$W35)&amp;IF(('02_カレンダー'!$B$5="○")," "&amp;INDEX('01_予約入力'!$AD$5:$AD$404,$W35)&amp;"-"&amp;INDEX('01_予約入力'!$AE$5:$AE$404,$W35),"")))</f>
        <v/>
      </c>
      <c r="G35" s="45">
        <f>IF($A35="","",SUMPRODUCT(('01_予約入力'!$G$5:$G$404&lt;&gt;"")*('01_予約入力'!$Q$5:$Q$404&lt;&gt;"キャンセル")*('01_予約入力'!$G$5:$G$404&lt;=$A35)*('01_予約入力'!$J$5:$J$404&gt;$A35)))</f>
        <v/>
      </c>
      <c r="H35" s="45">
        <f>IF($A35="","",'M_施設設定'!$B$6-$G35)</f>
        <v/>
      </c>
      <c r="I35" s="45">
        <f>IF($A35="","",SUMPRODUCT((('01_予約入力'!$Q$5:$Q$404="仮予約")+('01_予約入力'!$Q$5:$Q$404="調整中"))*('01_予約入力'!$G$5:$G$404&lt;&gt;"")*('01_予約入力'!$G$5:$G$404&lt;=$A35)*('01_予約入力'!$J$5:$J$404&gt;$A35)))</f>
        <v/>
      </c>
      <c r="J35" s="45">
        <f>IF($A35="","",IF($I35&gt;0,"仮",IF($H35&lt;=0,"×",IF($H35&lt;'M_施設設定'!$B$6,"△","○"))))</f>
        <v/>
      </c>
      <c r="K35" s="45">
        <f>IF($A35="","",SUMPRODUCT(('01_予約入力'!$G$5:$G$404&lt;&gt;"")*('01_予約入力'!$Q$5:$Q$404&lt;&gt;"キャンセル")*('01_予約入力'!$G$5:$G$404=$A35)*('01_予約入力'!$J$5:$J$404=$A35)))</f>
        <v/>
      </c>
      <c r="L35" s="45">
        <f>IF(OR($A35="",C$6=""),0,SUMPRODUCT(MAX(('01_予約入力'!$D$5:$D$404=C$6)*('01_予約入力'!$Q$5:$Q$404&lt;&gt;"キャンセル")*('01_予約入力'!$G$5:$G$404&lt;&gt;"")*('01_予約入力'!$J$5:$J$404=$A35)*('01_予約入力'!$G$5:$G$404&lt;$A35)*(ROW('01_予約入力'!$G$5:$G$404)-4))))</f>
        <v/>
      </c>
      <c r="M35" s="45">
        <f>IF(OR($A35="",C$6=""),0,SUMPRODUCT(MAX(('01_予約入力'!$D$5:$D$404=C$6)*('01_予約入力'!$Q$5:$Q$404&lt;&gt;"キャンセル")*('01_予約入力'!$G$5:$G$404&lt;&gt;"")*('01_予約入力'!$G$5:$G$404&lt;=$A35)*('01_予約入力'!$J$5:$J$404&gt;$A35)*(ROW('01_予約入力'!$G$5:$G$404)-4))))</f>
        <v/>
      </c>
      <c r="N35" s="45">
        <f>IF(OR($A35="",C$6=""),0,SUMPRODUCT(MAX(('01_予約入力'!$D$5:$D$404=C$6)*('01_予約入力'!$Q$5:$Q$404&lt;&gt;"キャンセル")*('01_予約入力'!$G$5:$G$404&lt;&gt;"")*('01_予約入力'!$G$5:$G$404=$A35)*('01_予約入力'!$J$5:$J$404=$A35)*(ROW('01_予約入力'!$G$5:$G$404)-4))))</f>
        <v/>
      </c>
      <c r="O35" s="45">
        <f>IF(OR($A35="",D$6=""),0,SUMPRODUCT(MAX(('01_予約入力'!$D$5:$D$404=D$6)*('01_予約入力'!$Q$5:$Q$404&lt;&gt;"キャンセル")*('01_予約入力'!$G$5:$G$404&lt;&gt;"")*('01_予約入力'!$J$5:$J$404=$A35)*('01_予約入力'!$G$5:$G$404&lt;$A35)*(ROW('01_予約入力'!$G$5:$G$404)-4))))</f>
        <v/>
      </c>
      <c r="P35" s="45">
        <f>IF(OR($A35="",D$6=""),0,SUMPRODUCT(MAX(('01_予約入力'!$D$5:$D$404=D$6)*('01_予約入力'!$Q$5:$Q$404&lt;&gt;"キャンセル")*('01_予約入力'!$G$5:$G$404&lt;&gt;"")*('01_予約入力'!$G$5:$G$404&lt;=$A35)*('01_予約入力'!$J$5:$J$404&gt;$A35)*(ROW('01_予約入力'!$G$5:$G$404)-4))))</f>
        <v/>
      </c>
      <c r="Q35" s="45">
        <f>IF(OR($A35="",D$6=""),0,SUMPRODUCT(MAX(('01_予約入力'!$D$5:$D$404=D$6)*('01_予約入力'!$Q$5:$Q$404&lt;&gt;"キャンセル")*('01_予約入力'!$G$5:$G$404&lt;&gt;"")*('01_予約入力'!$G$5:$G$404=$A35)*('01_予約入力'!$J$5:$J$404=$A35)*(ROW('01_予約入力'!$G$5:$G$404)-4))))</f>
        <v/>
      </c>
      <c r="R35" s="45">
        <f>IF(OR($A35="",E$6=""),0,SUMPRODUCT(MAX(('01_予約入力'!$D$5:$D$404=E$6)*('01_予約入力'!$Q$5:$Q$404&lt;&gt;"キャンセル")*('01_予約入力'!$G$5:$G$404&lt;&gt;"")*('01_予約入力'!$J$5:$J$404=$A35)*('01_予約入力'!$G$5:$G$404&lt;$A35)*(ROW('01_予約入力'!$G$5:$G$404)-4))))</f>
        <v/>
      </c>
      <c r="S35" s="45">
        <f>IF(OR($A35="",E$6=""),0,SUMPRODUCT(MAX(('01_予約入力'!$D$5:$D$404=E$6)*('01_予約入力'!$Q$5:$Q$404&lt;&gt;"キャンセル")*('01_予約入力'!$G$5:$G$404&lt;&gt;"")*('01_予約入力'!$G$5:$G$404&lt;=$A35)*('01_予約入力'!$J$5:$J$404&gt;$A35)*(ROW('01_予約入力'!$G$5:$G$404)-4))))</f>
        <v/>
      </c>
      <c r="T35" s="45">
        <f>IF(OR($A35="",E$6=""),0,SUMPRODUCT(MAX(('01_予約入力'!$D$5:$D$404=E$6)*('01_予約入力'!$Q$5:$Q$404&lt;&gt;"キャンセル")*('01_予約入力'!$G$5:$G$404&lt;&gt;"")*('01_予約入力'!$G$5:$G$404=$A35)*('01_予約入力'!$J$5:$J$404=$A35)*(ROW('01_予約入力'!$G$5:$G$404)-4))))</f>
        <v/>
      </c>
      <c r="U35" s="45">
        <f>IF(OR($A35="",F$6=""),0,SUMPRODUCT(MAX(('01_予約入力'!$D$5:$D$404=F$6)*('01_予約入力'!$Q$5:$Q$404&lt;&gt;"キャンセル")*('01_予約入力'!$G$5:$G$404&lt;&gt;"")*('01_予約入力'!$J$5:$J$404=$A35)*('01_予約入力'!$G$5:$G$404&lt;$A35)*(ROW('01_予約入力'!$G$5:$G$404)-4))))</f>
        <v/>
      </c>
      <c r="V35" s="45">
        <f>IF(OR($A35="",F$6=""),0,SUMPRODUCT(MAX(('01_予約入力'!$D$5:$D$404=F$6)*('01_予約入力'!$Q$5:$Q$404&lt;&gt;"キャンセル")*('01_予約入力'!$G$5:$G$404&lt;&gt;"")*('01_予約入力'!$G$5:$G$404&lt;=$A35)*('01_予約入力'!$J$5:$J$404&gt;$A35)*(ROW('01_予約入力'!$G$5:$G$404)-4))))</f>
        <v/>
      </c>
      <c r="W35" s="45">
        <f>IF(OR($A35="",F$6=""),0,SUMPRODUCT(MAX(('01_予約入力'!$D$5:$D$404=F$6)*('01_予約入力'!$Q$5:$Q$404&lt;&gt;"キャンセル")*('01_予約入力'!$G$5:$G$404&lt;&gt;"")*('01_予約入力'!$G$5:$G$404=$A35)*('01_予約入力'!$J$5:$J$404=$A35)*(ROW('01_予約入力'!$G$5:$G$404)-4))))</f>
        <v/>
      </c>
      <c r="X35" s="45">
        <f>IF($A35="","",IF($M35&gt;0,IF(OR(INDEX('01_予約入力'!$Q$5:$Q$404,$M35)="仮予約",INDEX('01_予約入力'!$Q$5:$Q$404,$M35)="調整中"),"仮",INDEX('01_予約入力'!$C$5:$C$404,$M35)),IF($N35&gt;0,IF(OR(INDEX('01_予約入力'!$Q$5:$Q$404,$N35)="仮予約",INDEX('01_予約入力'!$Q$5:$Q$404,$N35)="調整中"),"仮",INDEX('01_予約入力'!$C$5:$C$404,$N35)),IF($L35&gt;0,IF(OR(INDEX('01_予約入力'!$Q$5:$Q$404,$L35)="仮予約",INDEX('01_予約入力'!$Q$5:$Q$404,$L35)="調整中"),"仮",INDEX('01_予約入力'!$C$5:$C$404,$L35)),""))))</f>
        <v/>
      </c>
      <c r="Y35" s="45">
        <f>IF($A35="","",IF($P35&gt;0,IF(OR(INDEX('01_予約入力'!$Q$5:$Q$404,$P35)="仮予約",INDEX('01_予約入力'!$Q$5:$Q$404,$P35)="調整中"),"仮",INDEX('01_予約入力'!$C$5:$C$404,$P35)),IF($Q35&gt;0,IF(OR(INDEX('01_予約入力'!$Q$5:$Q$404,$Q35)="仮予約",INDEX('01_予約入力'!$Q$5:$Q$404,$Q35)="調整中"),"仮",INDEX('01_予約入力'!$C$5:$C$404,$Q35)),IF($O35&gt;0,IF(OR(INDEX('01_予約入力'!$Q$5:$Q$404,$O35)="仮予約",INDEX('01_予約入力'!$Q$5:$Q$404,$O35)="調整中"),"仮",INDEX('01_予約入力'!$C$5:$C$404,$O35)),""))))</f>
        <v/>
      </c>
      <c r="Z35" s="45">
        <f>IF($A35="","",IF($S35&gt;0,IF(OR(INDEX('01_予約入力'!$Q$5:$Q$404,$S35)="仮予約",INDEX('01_予約入力'!$Q$5:$Q$404,$S35)="調整中"),"仮",INDEX('01_予約入力'!$C$5:$C$404,$S35)),IF($T35&gt;0,IF(OR(INDEX('01_予約入力'!$Q$5:$Q$404,$T35)="仮予約",INDEX('01_予約入力'!$Q$5:$Q$404,$T35)="調整中"),"仮",INDEX('01_予約入力'!$C$5:$C$404,$T35)),IF($R35&gt;0,IF(OR(INDEX('01_予約入力'!$Q$5:$Q$404,$R35)="仮予約",INDEX('01_予約入力'!$Q$5:$Q$404,$R35)="調整中"),"仮",INDEX('01_予約入力'!$C$5:$C$404,$R35)),""))))</f>
        <v/>
      </c>
      <c r="AA35" s="45">
        <f>IF($A35="","",IF($V35&gt;0,IF(OR(INDEX('01_予約入力'!$Q$5:$Q$404,$V35)="仮予約",INDEX('01_予約入力'!$Q$5:$Q$404,$V35)="調整中"),"仮",INDEX('01_予約入力'!$C$5:$C$404,$V35)),IF($W35&gt;0,IF(OR(INDEX('01_予約入力'!$Q$5:$Q$404,$W35)="仮予約",INDEX('01_予約入力'!$Q$5:$Q$404,$W35)="調整中"),"仮",INDEX('01_予約入力'!$C$5:$C$404,$W35)),IF($U35&gt;0,IF(OR(INDEX('01_予約入力'!$Q$5:$Q$404,$U35)="仮予約",INDEX('01_予約入力'!$Q$5:$Q$404,$U35)="調整中"),"仮",INDEX('01_予約入力'!$C$5:$C$404,$U35)),""))))</f>
        <v/>
      </c>
      <c r="AB35" s="45">
        <f>IF($A35="",0,SUMPRODUCT(('01_予約入力'!$G$5:$G$404&lt;&gt;"")*('01_予約入力'!$Q$5:$Q$404&lt;&gt;"キャンセル")*(('01_予約入力'!$L$5:$L$404="○")*('01_予約入力'!$G$5:$G$404&lt;=$A35)*('01_予約入力'!$J$5:$J$404&gt;=$A35)+('01_予約入力'!$L$5:$L$404="")*('01_予約入力'!$G$5:$G$404&lt;$A35)*('01_予約入力'!$J$5:$J$404&gt;=$A35))))</f>
        <v/>
      </c>
      <c r="AC35" s="45">
        <f>IF($A35="",0,SUMPRODUCT(('01_予約入力'!$G$5:$G$404&lt;&gt;"")*('01_予約入力'!$Q$5:$Q$404&lt;&gt;"キャンセル")*(('01_予約入力'!$M$5:$M$404="○")*('01_予約入力'!$G$5:$G$404&lt;=$A35)*('01_予約入力'!$J$5:$J$404&gt;=$A35)+('01_予約入力'!$M$5:$M$404="")*((('01_予約入力'!$G$5:$G$404&lt;$A35)*('01_予約入力'!$J$5:$J$404&gt;$A35))+(('01_予約入力'!$G$5:$G$404=$A35)*('01_予約入力'!$J$5:$J$404=$A35))))))</f>
        <v/>
      </c>
      <c r="AD35" s="45">
        <f>IF($A35="",0,SUMPRODUCT(('01_予約入力'!$G$5:$G$404&lt;&gt;"")*('01_予約入力'!$Q$5:$Q$404&lt;&gt;"キャンセル")*(('01_予約入力'!$N$5:$N$404="○")*('01_予約入力'!$G$5:$G$404&lt;=$A35)*('01_予約入力'!$J$5:$J$404&gt;=$A35)+('01_予約入力'!$N$5:$N$404="")*('01_予約入力'!$G$5:$G$404&lt;=$A35)*('01_予約入力'!$J$5:$J$404&gt;$A35))))</f>
        <v/>
      </c>
      <c r="AE35" s="45">
        <f>IF($A35="",0,IFERROR(MATCH($A35,'02_カレンダー'!$B$59:$B$78,0),0))</f>
        <v/>
      </c>
      <c r="AF35" s="45">
        <f>IF($A35="",0,IF($AE35=0,$AB35,IF(INDEX('02_カレンダー'!$C$59:$C$78,$AE35)="",$AB35,INDEX('02_カレンダー'!$C$59:$C$78,$AE35))))</f>
        <v/>
      </c>
      <c r="AG35" s="45">
        <f>IF($A35="",0,IF($AE35=0,$AC35,IF(INDEX('02_カレンダー'!$D$59:$D$78,$AE35)="",$AC35,INDEX('02_カレンダー'!$D$59:$D$78,$AE35))))</f>
        <v/>
      </c>
      <c r="AH35" s="45">
        <f>IF($A35="",0,IF($AE35=0,$AD35,IF(INDEX('02_カレンダー'!$E$59:$E$78,$AE35)="",$AD35,INDEX('02_カレンダー'!$E$59:$E$78,$AE35))))</f>
        <v/>
      </c>
      <c r="AI35" s="45">
        <f>IF($A35="","",IF(AND($AF35=0,$AG35=0,$AH35=0),"","朝"&amp;$AF35&amp;" 昼"&amp;$AG35&amp;" 夕"&amp;$AH35&amp;IF($AJ35=0,"","　※調整")))</f>
        <v/>
      </c>
      <c r="AJ35" s="45">
        <f>IF(OR($A35="",$AE35=0),0,IF(OR(INDEX('02_カレンダー'!$C$59:$C$78,$AE35)&lt;&gt;"",INDEX('02_カレンダー'!$D$59:$D$78,$AE35)&lt;&gt;"",INDEX('02_カレンダー'!$E$59:$E$78,$AE35)&lt;&gt;""),1,0))</f>
        <v/>
      </c>
    </row>
    <row r="36">
      <c r="A36" s="38">
        <f>IF(MONTH('02_カレンダー'!$B$4+29)&lt;&gt;MONTH('02_カレンダー'!$B$4),"",'02_カレンダー'!$B$4+29)</f>
        <v/>
      </c>
      <c r="B36" s="45">
        <f>IF($A36="","",MID("日月火水木金土",WEEKDAY($A36),1))</f>
        <v/>
      </c>
      <c r="C36" s="49">
        <f>IF(OR($A36="",C$6=""),"",IF($L36=0,"",INDEX('01_予約入力'!$B$5:$B$404,$L36)&amp;" ◀"&amp;IF(('02_カレンダー'!$B$5="○"),INDEX('01_予約入力'!$AE$5:$AE$404,$L36),""))&amp;IF(AND($L36&gt;0,OR($M36&gt;0,$N36&gt;0)),"  ","")&amp;IF($M36=0,"",IF(INDEX('01_予約入力'!$G$5:$G$404,$M36)=$A36,"▶"&amp;IF(('02_カレンダー'!$B$5="○"),INDEX('01_予約入力'!$AD$5:$AD$404,$M36)&amp;" "," "),"")&amp;INDEX('01_予約入力'!$B$5:$B$404,$M36))&amp;IF(AND($M36&gt;0,$N36&gt;0),"  ","")&amp;IF($N36=0,"","◆ "&amp;INDEX('01_予約入力'!$B$5:$B$404,$N36)&amp;IF(('02_カレンダー'!$B$5="○")," "&amp;INDEX('01_予約入力'!$AD$5:$AD$404,$N36)&amp;"-"&amp;INDEX('01_予約入力'!$AE$5:$AE$404,$N36),"")))</f>
        <v/>
      </c>
      <c r="D36" s="49">
        <f>IF(OR($A36="",D$6=""),"",IF($O36=0,"",INDEX('01_予約入力'!$B$5:$B$404,$O36)&amp;" ◀"&amp;IF(('02_カレンダー'!$B$5="○"),INDEX('01_予約入力'!$AE$5:$AE$404,$O36),""))&amp;IF(AND($O36&gt;0,OR($P36&gt;0,$Q36&gt;0)),"  ","")&amp;IF($P36=0,"",IF(INDEX('01_予約入力'!$G$5:$G$404,$P36)=$A36,"▶"&amp;IF(('02_カレンダー'!$B$5="○"),INDEX('01_予約入力'!$AD$5:$AD$404,$P36)&amp;" "," "),"")&amp;INDEX('01_予約入力'!$B$5:$B$404,$P36))&amp;IF(AND($P36&gt;0,$Q36&gt;0),"  ","")&amp;IF($Q36=0,"","◆ "&amp;INDEX('01_予約入力'!$B$5:$B$404,$Q36)&amp;IF(('02_カレンダー'!$B$5="○")," "&amp;INDEX('01_予約入力'!$AD$5:$AD$404,$Q36)&amp;"-"&amp;INDEX('01_予約入力'!$AE$5:$AE$404,$Q36),"")))</f>
        <v/>
      </c>
      <c r="E36" s="49">
        <f>IF(OR($A36="",E$6=""),"",IF($R36=0,"",INDEX('01_予約入力'!$B$5:$B$404,$R36)&amp;" ◀"&amp;IF(('02_カレンダー'!$B$5="○"),INDEX('01_予約入力'!$AE$5:$AE$404,$R36),""))&amp;IF(AND($R36&gt;0,OR($S36&gt;0,$T36&gt;0)),"  ","")&amp;IF($S36=0,"",IF(INDEX('01_予約入力'!$G$5:$G$404,$S36)=$A36,"▶"&amp;IF(('02_カレンダー'!$B$5="○"),INDEX('01_予約入力'!$AD$5:$AD$404,$S36)&amp;" "," "),"")&amp;INDEX('01_予約入力'!$B$5:$B$404,$S36))&amp;IF(AND($S36&gt;0,$T36&gt;0),"  ","")&amp;IF($T36=0,"","◆ "&amp;INDEX('01_予約入力'!$B$5:$B$404,$T36)&amp;IF(('02_カレンダー'!$B$5="○")," "&amp;INDEX('01_予約入力'!$AD$5:$AD$404,$T36)&amp;"-"&amp;INDEX('01_予約入力'!$AE$5:$AE$404,$T36),"")))</f>
        <v/>
      </c>
      <c r="F36" s="49">
        <f>IF(OR($A36="",F$6=""),"",IF($U36=0,"",INDEX('01_予約入力'!$B$5:$B$404,$U36)&amp;" ◀"&amp;IF(('02_カレンダー'!$B$5="○"),INDEX('01_予約入力'!$AE$5:$AE$404,$U36),""))&amp;IF(AND($U36&gt;0,OR($V36&gt;0,$W36&gt;0)),"  ","")&amp;IF($V36=0,"",IF(INDEX('01_予約入力'!$G$5:$G$404,$V36)=$A36,"▶"&amp;IF(('02_カレンダー'!$B$5="○"),INDEX('01_予約入力'!$AD$5:$AD$404,$V36)&amp;" "," "),"")&amp;INDEX('01_予約入力'!$B$5:$B$404,$V36))&amp;IF(AND($V36&gt;0,$W36&gt;0),"  ","")&amp;IF($W36=0,"","◆ "&amp;INDEX('01_予約入力'!$B$5:$B$404,$W36)&amp;IF(('02_カレンダー'!$B$5="○")," "&amp;INDEX('01_予約入力'!$AD$5:$AD$404,$W36)&amp;"-"&amp;INDEX('01_予約入力'!$AE$5:$AE$404,$W36),"")))</f>
        <v/>
      </c>
      <c r="G36" s="45">
        <f>IF($A36="","",SUMPRODUCT(('01_予約入力'!$G$5:$G$404&lt;&gt;"")*('01_予約入力'!$Q$5:$Q$404&lt;&gt;"キャンセル")*('01_予約入力'!$G$5:$G$404&lt;=$A36)*('01_予約入力'!$J$5:$J$404&gt;$A36)))</f>
        <v/>
      </c>
      <c r="H36" s="45">
        <f>IF($A36="","",'M_施設設定'!$B$6-$G36)</f>
        <v/>
      </c>
      <c r="I36" s="45">
        <f>IF($A36="","",SUMPRODUCT((('01_予約入力'!$Q$5:$Q$404="仮予約")+('01_予約入力'!$Q$5:$Q$404="調整中"))*('01_予約入力'!$G$5:$G$404&lt;&gt;"")*('01_予約入力'!$G$5:$G$404&lt;=$A36)*('01_予約入力'!$J$5:$J$404&gt;$A36)))</f>
        <v/>
      </c>
      <c r="J36" s="45">
        <f>IF($A36="","",IF($I36&gt;0,"仮",IF($H36&lt;=0,"×",IF($H36&lt;'M_施設設定'!$B$6,"△","○"))))</f>
        <v/>
      </c>
      <c r="K36" s="45">
        <f>IF($A36="","",SUMPRODUCT(('01_予約入力'!$G$5:$G$404&lt;&gt;"")*('01_予約入力'!$Q$5:$Q$404&lt;&gt;"キャンセル")*('01_予約入力'!$G$5:$G$404=$A36)*('01_予約入力'!$J$5:$J$404=$A36)))</f>
        <v/>
      </c>
      <c r="L36" s="45">
        <f>IF(OR($A36="",C$6=""),0,SUMPRODUCT(MAX(('01_予約入力'!$D$5:$D$404=C$6)*('01_予約入力'!$Q$5:$Q$404&lt;&gt;"キャンセル")*('01_予約入力'!$G$5:$G$404&lt;&gt;"")*('01_予約入力'!$J$5:$J$404=$A36)*('01_予約入力'!$G$5:$G$404&lt;$A36)*(ROW('01_予約入力'!$G$5:$G$404)-4))))</f>
        <v/>
      </c>
      <c r="M36" s="45">
        <f>IF(OR($A36="",C$6=""),0,SUMPRODUCT(MAX(('01_予約入力'!$D$5:$D$404=C$6)*('01_予約入力'!$Q$5:$Q$404&lt;&gt;"キャンセル")*('01_予約入力'!$G$5:$G$404&lt;&gt;"")*('01_予約入力'!$G$5:$G$404&lt;=$A36)*('01_予約入力'!$J$5:$J$404&gt;$A36)*(ROW('01_予約入力'!$G$5:$G$404)-4))))</f>
        <v/>
      </c>
      <c r="N36" s="45">
        <f>IF(OR($A36="",C$6=""),0,SUMPRODUCT(MAX(('01_予約入力'!$D$5:$D$404=C$6)*('01_予約入力'!$Q$5:$Q$404&lt;&gt;"キャンセル")*('01_予約入力'!$G$5:$G$404&lt;&gt;"")*('01_予約入力'!$G$5:$G$404=$A36)*('01_予約入力'!$J$5:$J$404=$A36)*(ROW('01_予約入力'!$G$5:$G$404)-4))))</f>
        <v/>
      </c>
      <c r="O36" s="45">
        <f>IF(OR($A36="",D$6=""),0,SUMPRODUCT(MAX(('01_予約入力'!$D$5:$D$404=D$6)*('01_予約入力'!$Q$5:$Q$404&lt;&gt;"キャンセル")*('01_予約入力'!$G$5:$G$404&lt;&gt;"")*('01_予約入力'!$J$5:$J$404=$A36)*('01_予約入力'!$G$5:$G$404&lt;$A36)*(ROW('01_予約入力'!$G$5:$G$404)-4))))</f>
        <v/>
      </c>
      <c r="P36" s="45">
        <f>IF(OR($A36="",D$6=""),0,SUMPRODUCT(MAX(('01_予約入力'!$D$5:$D$404=D$6)*('01_予約入力'!$Q$5:$Q$404&lt;&gt;"キャンセル")*('01_予約入力'!$G$5:$G$404&lt;&gt;"")*('01_予約入力'!$G$5:$G$404&lt;=$A36)*('01_予約入力'!$J$5:$J$404&gt;$A36)*(ROW('01_予約入力'!$G$5:$G$404)-4))))</f>
        <v/>
      </c>
      <c r="Q36" s="45">
        <f>IF(OR($A36="",D$6=""),0,SUMPRODUCT(MAX(('01_予約入力'!$D$5:$D$404=D$6)*('01_予約入力'!$Q$5:$Q$404&lt;&gt;"キャンセル")*('01_予約入力'!$G$5:$G$404&lt;&gt;"")*('01_予約入力'!$G$5:$G$404=$A36)*('01_予約入力'!$J$5:$J$404=$A36)*(ROW('01_予約入力'!$G$5:$G$404)-4))))</f>
        <v/>
      </c>
      <c r="R36" s="45">
        <f>IF(OR($A36="",E$6=""),0,SUMPRODUCT(MAX(('01_予約入力'!$D$5:$D$404=E$6)*('01_予約入力'!$Q$5:$Q$404&lt;&gt;"キャンセル")*('01_予約入力'!$G$5:$G$404&lt;&gt;"")*('01_予約入力'!$J$5:$J$404=$A36)*('01_予約入力'!$G$5:$G$404&lt;$A36)*(ROW('01_予約入力'!$G$5:$G$404)-4))))</f>
        <v/>
      </c>
      <c r="S36" s="45">
        <f>IF(OR($A36="",E$6=""),0,SUMPRODUCT(MAX(('01_予約入力'!$D$5:$D$404=E$6)*('01_予約入力'!$Q$5:$Q$404&lt;&gt;"キャンセル")*('01_予約入力'!$G$5:$G$404&lt;&gt;"")*('01_予約入力'!$G$5:$G$404&lt;=$A36)*('01_予約入力'!$J$5:$J$404&gt;$A36)*(ROW('01_予約入力'!$G$5:$G$404)-4))))</f>
        <v/>
      </c>
      <c r="T36" s="45">
        <f>IF(OR($A36="",E$6=""),0,SUMPRODUCT(MAX(('01_予約入力'!$D$5:$D$404=E$6)*('01_予約入力'!$Q$5:$Q$404&lt;&gt;"キャンセル")*('01_予約入力'!$G$5:$G$404&lt;&gt;"")*('01_予約入力'!$G$5:$G$404=$A36)*('01_予約入力'!$J$5:$J$404=$A36)*(ROW('01_予約入力'!$G$5:$G$404)-4))))</f>
        <v/>
      </c>
      <c r="U36" s="45">
        <f>IF(OR($A36="",F$6=""),0,SUMPRODUCT(MAX(('01_予約入力'!$D$5:$D$404=F$6)*('01_予約入力'!$Q$5:$Q$404&lt;&gt;"キャンセル")*('01_予約入力'!$G$5:$G$404&lt;&gt;"")*('01_予約入力'!$J$5:$J$404=$A36)*('01_予約入力'!$G$5:$G$404&lt;$A36)*(ROW('01_予約入力'!$G$5:$G$404)-4))))</f>
        <v/>
      </c>
      <c r="V36" s="45">
        <f>IF(OR($A36="",F$6=""),0,SUMPRODUCT(MAX(('01_予約入力'!$D$5:$D$404=F$6)*('01_予約入力'!$Q$5:$Q$404&lt;&gt;"キャンセル")*('01_予約入力'!$G$5:$G$404&lt;&gt;"")*('01_予約入力'!$G$5:$G$404&lt;=$A36)*('01_予約入力'!$J$5:$J$404&gt;$A36)*(ROW('01_予約入力'!$G$5:$G$404)-4))))</f>
        <v/>
      </c>
      <c r="W36" s="45">
        <f>IF(OR($A36="",F$6=""),0,SUMPRODUCT(MAX(('01_予約入力'!$D$5:$D$404=F$6)*('01_予約入力'!$Q$5:$Q$404&lt;&gt;"キャンセル")*('01_予約入力'!$G$5:$G$404&lt;&gt;"")*('01_予約入力'!$G$5:$G$404=$A36)*('01_予約入力'!$J$5:$J$404=$A36)*(ROW('01_予約入力'!$G$5:$G$404)-4))))</f>
        <v/>
      </c>
      <c r="X36" s="45">
        <f>IF($A36="","",IF($M36&gt;0,IF(OR(INDEX('01_予約入力'!$Q$5:$Q$404,$M36)="仮予約",INDEX('01_予約入力'!$Q$5:$Q$404,$M36)="調整中"),"仮",INDEX('01_予約入力'!$C$5:$C$404,$M36)),IF($N36&gt;0,IF(OR(INDEX('01_予約入力'!$Q$5:$Q$404,$N36)="仮予約",INDEX('01_予約入力'!$Q$5:$Q$404,$N36)="調整中"),"仮",INDEX('01_予約入力'!$C$5:$C$404,$N36)),IF($L36&gt;0,IF(OR(INDEX('01_予約入力'!$Q$5:$Q$404,$L36)="仮予約",INDEX('01_予約入力'!$Q$5:$Q$404,$L36)="調整中"),"仮",INDEX('01_予約入力'!$C$5:$C$404,$L36)),""))))</f>
        <v/>
      </c>
      <c r="Y36" s="45">
        <f>IF($A36="","",IF($P36&gt;0,IF(OR(INDEX('01_予約入力'!$Q$5:$Q$404,$P36)="仮予約",INDEX('01_予約入力'!$Q$5:$Q$404,$P36)="調整中"),"仮",INDEX('01_予約入力'!$C$5:$C$404,$P36)),IF($Q36&gt;0,IF(OR(INDEX('01_予約入力'!$Q$5:$Q$404,$Q36)="仮予約",INDEX('01_予約入力'!$Q$5:$Q$404,$Q36)="調整中"),"仮",INDEX('01_予約入力'!$C$5:$C$404,$Q36)),IF($O36&gt;0,IF(OR(INDEX('01_予約入力'!$Q$5:$Q$404,$O36)="仮予約",INDEX('01_予約入力'!$Q$5:$Q$404,$O36)="調整中"),"仮",INDEX('01_予約入力'!$C$5:$C$404,$O36)),""))))</f>
        <v/>
      </c>
      <c r="Z36" s="45">
        <f>IF($A36="","",IF($S36&gt;0,IF(OR(INDEX('01_予約入力'!$Q$5:$Q$404,$S36)="仮予約",INDEX('01_予約入力'!$Q$5:$Q$404,$S36)="調整中"),"仮",INDEX('01_予約入力'!$C$5:$C$404,$S36)),IF($T36&gt;0,IF(OR(INDEX('01_予約入力'!$Q$5:$Q$404,$T36)="仮予約",INDEX('01_予約入力'!$Q$5:$Q$404,$T36)="調整中"),"仮",INDEX('01_予約入力'!$C$5:$C$404,$T36)),IF($R36&gt;0,IF(OR(INDEX('01_予約入力'!$Q$5:$Q$404,$R36)="仮予約",INDEX('01_予約入力'!$Q$5:$Q$404,$R36)="調整中"),"仮",INDEX('01_予約入力'!$C$5:$C$404,$R36)),""))))</f>
        <v/>
      </c>
      <c r="AA36" s="45">
        <f>IF($A36="","",IF($V36&gt;0,IF(OR(INDEX('01_予約入力'!$Q$5:$Q$404,$V36)="仮予約",INDEX('01_予約入力'!$Q$5:$Q$404,$V36)="調整中"),"仮",INDEX('01_予約入力'!$C$5:$C$404,$V36)),IF($W36&gt;0,IF(OR(INDEX('01_予約入力'!$Q$5:$Q$404,$W36)="仮予約",INDEX('01_予約入力'!$Q$5:$Q$404,$W36)="調整中"),"仮",INDEX('01_予約入力'!$C$5:$C$404,$W36)),IF($U36&gt;0,IF(OR(INDEX('01_予約入力'!$Q$5:$Q$404,$U36)="仮予約",INDEX('01_予約入力'!$Q$5:$Q$404,$U36)="調整中"),"仮",INDEX('01_予約入力'!$C$5:$C$404,$U36)),""))))</f>
        <v/>
      </c>
      <c r="AB36" s="45">
        <f>IF($A36="",0,SUMPRODUCT(('01_予約入力'!$G$5:$G$404&lt;&gt;"")*('01_予約入力'!$Q$5:$Q$404&lt;&gt;"キャンセル")*(('01_予約入力'!$L$5:$L$404="○")*('01_予約入力'!$G$5:$G$404&lt;=$A36)*('01_予約入力'!$J$5:$J$404&gt;=$A36)+('01_予約入力'!$L$5:$L$404="")*('01_予約入力'!$G$5:$G$404&lt;$A36)*('01_予約入力'!$J$5:$J$404&gt;=$A36))))</f>
        <v/>
      </c>
      <c r="AC36" s="45">
        <f>IF($A36="",0,SUMPRODUCT(('01_予約入力'!$G$5:$G$404&lt;&gt;"")*('01_予約入力'!$Q$5:$Q$404&lt;&gt;"キャンセル")*(('01_予約入力'!$M$5:$M$404="○")*('01_予約入力'!$G$5:$G$404&lt;=$A36)*('01_予約入力'!$J$5:$J$404&gt;=$A36)+('01_予約入力'!$M$5:$M$404="")*((('01_予約入力'!$G$5:$G$404&lt;$A36)*('01_予約入力'!$J$5:$J$404&gt;$A36))+(('01_予約入力'!$G$5:$G$404=$A36)*('01_予約入力'!$J$5:$J$404=$A36))))))</f>
        <v/>
      </c>
      <c r="AD36" s="45">
        <f>IF($A36="",0,SUMPRODUCT(('01_予約入力'!$G$5:$G$404&lt;&gt;"")*('01_予約入力'!$Q$5:$Q$404&lt;&gt;"キャンセル")*(('01_予約入力'!$N$5:$N$404="○")*('01_予約入力'!$G$5:$G$404&lt;=$A36)*('01_予約入力'!$J$5:$J$404&gt;=$A36)+('01_予約入力'!$N$5:$N$404="")*('01_予約入力'!$G$5:$G$404&lt;=$A36)*('01_予約入力'!$J$5:$J$404&gt;$A36))))</f>
        <v/>
      </c>
      <c r="AE36" s="45">
        <f>IF($A36="",0,IFERROR(MATCH($A36,'02_カレンダー'!$B$59:$B$78,0),0))</f>
        <v/>
      </c>
      <c r="AF36" s="45">
        <f>IF($A36="",0,IF($AE36=0,$AB36,IF(INDEX('02_カレンダー'!$C$59:$C$78,$AE36)="",$AB36,INDEX('02_カレンダー'!$C$59:$C$78,$AE36))))</f>
        <v/>
      </c>
      <c r="AG36" s="45">
        <f>IF($A36="",0,IF($AE36=0,$AC36,IF(INDEX('02_カレンダー'!$D$59:$D$78,$AE36)="",$AC36,INDEX('02_カレンダー'!$D$59:$D$78,$AE36))))</f>
        <v/>
      </c>
      <c r="AH36" s="45">
        <f>IF($A36="",0,IF($AE36=0,$AD36,IF(INDEX('02_カレンダー'!$E$59:$E$78,$AE36)="",$AD36,INDEX('02_カレンダー'!$E$59:$E$78,$AE36))))</f>
        <v/>
      </c>
      <c r="AI36" s="45">
        <f>IF($A36="","",IF(AND($AF36=0,$AG36=0,$AH36=0),"","朝"&amp;$AF36&amp;" 昼"&amp;$AG36&amp;" 夕"&amp;$AH36&amp;IF($AJ36=0,"","　※調整")))</f>
        <v/>
      </c>
      <c r="AJ36" s="45">
        <f>IF(OR($A36="",$AE36=0),0,IF(OR(INDEX('02_カレンダー'!$C$59:$C$78,$AE36)&lt;&gt;"",INDEX('02_カレンダー'!$D$59:$D$78,$AE36)&lt;&gt;"",INDEX('02_カレンダー'!$E$59:$E$78,$AE36)&lt;&gt;""),1,0))</f>
        <v/>
      </c>
    </row>
    <row r="37">
      <c r="A37" s="38">
        <f>IF(MONTH('02_カレンダー'!$B$4+30)&lt;&gt;MONTH('02_カレンダー'!$B$4),"",'02_カレンダー'!$B$4+30)</f>
        <v/>
      </c>
      <c r="B37" s="45">
        <f>IF($A37="","",MID("日月火水木金土",WEEKDAY($A37),1))</f>
        <v/>
      </c>
      <c r="C37" s="49">
        <f>IF(OR($A37="",C$6=""),"",IF($L37=0,"",INDEX('01_予約入力'!$B$5:$B$404,$L37)&amp;" ◀"&amp;IF(('02_カレンダー'!$B$5="○"),INDEX('01_予約入力'!$AE$5:$AE$404,$L37),""))&amp;IF(AND($L37&gt;0,OR($M37&gt;0,$N37&gt;0)),"  ","")&amp;IF($M37=0,"",IF(INDEX('01_予約入力'!$G$5:$G$404,$M37)=$A37,"▶"&amp;IF(('02_カレンダー'!$B$5="○"),INDEX('01_予約入力'!$AD$5:$AD$404,$M37)&amp;" "," "),"")&amp;INDEX('01_予約入力'!$B$5:$B$404,$M37))&amp;IF(AND($M37&gt;0,$N37&gt;0),"  ","")&amp;IF($N37=0,"","◆ "&amp;INDEX('01_予約入力'!$B$5:$B$404,$N37)&amp;IF(('02_カレンダー'!$B$5="○")," "&amp;INDEX('01_予約入力'!$AD$5:$AD$404,$N37)&amp;"-"&amp;INDEX('01_予約入力'!$AE$5:$AE$404,$N37),"")))</f>
        <v/>
      </c>
      <c r="D37" s="49">
        <f>IF(OR($A37="",D$6=""),"",IF($O37=0,"",INDEX('01_予約入力'!$B$5:$B$404,$O37)&amp;" ◀"&amp;IF(('02_カレンダー'!$B$5="○"),INDEX('01_予約入力'!$AE$5:$AE$404,$O37),""))&amp;IF(AND($O37&gt;0,OR($P37&gt;0,$Q37&gt;0)),"  ","")&amp;IF($P37=0,"",IF(INDEX('01_予約入力'!$G$5:$G$404,$P37)=$A37,"▶"&amp;IF(('02_カレンダー'!$B$5="○"),INDEX('01_予約入力'!$AD$5:$AD$404,$P37)&amp;" "," "),"")&amp;INDEX('01_予約入力'!$B$5:$B$404,$P37))&amp;IF(AND($P37&gt;0,$Q37&gt;0),"  ","")&amp;IF($Q37=0,"","◆ "&amp;INDEX('01_予約入力'!$B$5:$B$404,$Q37)&amp;IF(('02_カレンダー'!$B$5="○")," "&amp;INDEX('01_予約入力'!$AD$5:$AD$404,$Q37)&amp;"-"&amp;INDEX('01_予約入力'!$AE$5:$AE$404,$Q37),"")))</f>
        <v/>
      </c>
      <c r="E37" s="49">
        <f>IF(OR($A37="",E$6=""),"",IF($R37=0,"",INDEX('01_予約入力'!$B$5:$B$404,$R37)&amp;" ◀"&amp;IF(('02_カレンダー'!$B$5="○"),INDEX('01_予約入力'!$AE$5:$AE$404,$R37),""))&amp;IF(AND($R37&gt;0,OR($S37&gt;0,$T37&gt;0)),"  ","")&amp;IF($S37=0,"",IF(INDEX('01_予約入力'!$G$5:$G$404,$S37)=$A37,"▶"&amp;IF(('02_カレンダー'!$B$5="○"),INDEX('01_予約入力'!$AD$5:$AD$404,$S37)&amp;" "," "),"")&amp;INDEX('01_予約入力'!$B$5:$B$404,$S37))&amp;IF(AND($S37&gt;0,$T37&gt;0),"  ","")&amp;IF($T37=0,"","◆ "&amp;INDEX('01_予約入力'!$B$5:$B$404,$T37)&amp;IF(('02_カレンダー'!$B$5="○")," "&amp;INDEX('01_予約入力'!$AD$5:$AD$404,$T37)&amp;"-"&amp;INDEX('01_予約入力'!$AE$5:$AE$404,$T37),"")))</f>
        <v/>
      </c>
      <c r="F37" s="49">
        <f>IF(OR($A37="",F$6=""),"",IF($U37=0,"",INDEX('01_予約入力'!$B$5:$B$404,$U37)&amp;" ◀"&amp;IF(('02_カレンダー'!$B$5="○"),INDEX('01_予約入力'!$AE$5:$AE$404,$U37),""))&amp;IF(AND($U37&gt;0,OR($V37&gt;0,$W37&gt;0)),"  ","")&amp;IF($V37=0,"",IF(INDEX('01_予約入力'!$G$5:$G$404,$V37)=$A37,"▶"&amp;IF(('02_カレンダー'!$B$5="○"),INDEX('01_予約入力'!$AD$5:$AD$404,$V37)&amp;" "," "),"")&amp;INDEX('01_予約入力'!$B$5:$B$404,$V37))&amp;IF(AND($V37&gt;0,$W37&gt;0),"  ","")&amp;IF($W37=0,"","◆ "&amp;INDEX('01_予約入力'!$B$5:$B$404,$W37)&amp;IF(('02_カレンダー'!$B$5="○")," "&amp;INDEX('01_予約入力'!$AD$5:$AD$404,$W37)&amp;"-"&amp;INDEX('01_予約入力'!$AE$5:$AE$404,$W37),"")))</f>
        <v/>
      </c>
      <c r="G37" s="45">
        <f>IF($A37="","",SUMPRODUCT(('01_予約入力'!$G$5:$G$404&lt;&gt;"")*('01_予約入力'!$Q$5:$Q$404&lt;&gt;"キャンセル")*('01_予約入力'!$G$5:$G$404&lt;=$A37)*('01_予約入力'!$J$5:$J$404&gt;$A37)))</f>
        <v/>
      </c>
      <c r="H37" s="45">
        <f>IF($A37="","",'M_施設設定'!$B$6-$G37)</f>
        <v/>
      </c>
      <c r="I37" s="45">
        <f>IF($A37="","",SUMPRODUCT((('01_予約入力'!$Q$5:$Q$404="仮予約")+('01_予約入力'!$Q$5:$Q$404="調整中"))*('01_予約入力'!$G$5:$G$404&lt;&gt;"")*('01_予約入力'!$G$5:$G$404&lt;=$A37)*('01_予約入力'!$J$5:$J$404&gt;$A37)))</f>
        <v/>
      </c>
      <c r="J37" s="45">
        <f>IF($A37="","",IF($I37&gt;0,"仮",IF($H37&lt;=0,"×",IF($H37&lt;'M_施設設定'!$B$6,"△","○"))))</f>
        <v/>
      </c>
      <c r="K37" s="45">
        <f>IF($A37="","",SUMPRODUCT(('01_予約入力'!$G$5:$G$404&lt;&gt;"")*('01_予約入力'!$Q$5:$Q$404&lt;&gt;"キャンセル")*('01_予約入力'!$G$5:$G$404=$A37)*('01_予約入力'!$J$5:$J$404=$A37)))</f>
        <v/>
      </c>
      <c r="L37" s="45">
        <f>IF(OR($A37="",C$6=""),0,SUMPRODUCT(MAX(('01_予約入力'!$D$5:$D$404=C$6)*('01_予約入力'!$Q$5:$Q$404&lt;&gt;"キャンセル")*('01_予約入力'!$G$5:$G$404&lt;&gt;"")*('01_予約入力'!$J$5:$J$404=$A37)*('01_予約入力'!$G$5:$G$404&lt;$A37)*(ROW('01_予約入力'!$G$5:$G$404)-4))))</f>
        <v/>
      </c>
      <c r="M37" s="45">
        <f>IF(OR($A37="",C$6=""),0,SUMPRODUCT(MAX(('01_予約入力'!$D$5:$D$404=C$6)*('01_予約入力'!$Q$5:$Q$404&lt;&gt;"キャンセル")*('01_予約入力'!$G$5:$G$404&lt;&gt;"")*('01_予約入力'!$G$5:$G$404&lt;=$A37)*('01_予約入力'!$J$5:$J$404&gt;$A37)*(ROW('01_予約入力'!$G$5:$G$404)-4))))</f>
        <v/>
      </c>
      <c r="N37" s="45">
        <f>IF(OR($A37="",C$6=""),0,SUMPRODUCT(MAX(('01_予約入力'!$D$5:$D$404=C$6)*('01_予約入力'!$Q$5:$Q$404&lt;&gt;"キャンセル")*('01_予約入力'!$G$5:$G$404&lt;&gt;"")*('01_予約入力'!$G$5:$G$404=$A37)*('01_予約入力'!$J$5:$J$404=$A37)*(ROW('01_予約入力'!$G$5:$G$404)-4))))</f>
        <v/>
      </c>
      <c r="O37" s="45">
        <f>IF(OR($A37="",D$6=""),0,SUMPRODUCT(MAX(('01_予約入力'!$D$5:$D$404=D$6)*('01_予約入力'!$Q$5:$Q$404&lt;&gt;"キャンセル")*('01_予約入力'!$G$5:$G$404&lt;&gt;"")*('01_予約入力'!$J$5:$J$404=$A37)*('01_予約入力'!$G$5:$G$404&lt;$A37)*(ROW('01_予約入力'!$G$5:$G$404)-4))))</f>
        <v/>
      </c>
      <c r="P37" s="45">
        <f>IF(OR($A37="",D$6=""),0,SUMPRODUCT(MAX(('01_予約入力'!$D$5:$D$404=D$6)*('01_予約入力'!$Q$5:$Q$404&lt;&gt;"キャンセル")*('01_予約入力'!$G$5:$G$404&lt;&gt;"")*('01_予約入力'!$G$5:$G$404&lt;=$A37)*('01_予約入力'!$J$5:$J$404&gt;$A37)*(ROW('01_予約入力'!$G$5:$G$404)-4))))</f>
        <v/>
      </c>
      <c r="Q37" s="45">
        <f>IF(OR($A37="",D$6=""),0,SUMPRODUCT(MAX(('01_予約入力'!$D$5:$D$404=D$6)*('01_予約入力'!$Q$5:$Q$404&lt;&gt;"キャンセル")*('01_予約入力'!$G$5:$G$404&lt;&gt;"")*('01_予約入力'!$G$5:$G$404=$A37)*('01_予約入力'!$J$5:$J$404=$A37)*(ROW('01_予約入力'!$G$5:$G$404)-4))))</f>
        <v/>
      </c>
      <c r="R37" s="45">
        <f>IF(OR($A37="",E$6=""),0,SUMPRODUCT(MAX(('01_予約入力'!$D$5:$D$404=E$6)*('01_予約入力'!$Q$5:$Q$404&lt;&gt;"キャンセル")*('01_予約入力'!$G$5:$G$404&lt;&gt;"")*('01_予約入力'!$J$5:$J$404=$A37)*('01_予約入力'!$G$5:$G$404&lt;$A37)*(ROW('01_予約入力'!$G$5:$G$404)-4))))</f>
        <v/>
      </c>
      <c r="S37" s="45">
        <f>IF(OR($A37="",E$6=""),0,SUMPRODUCT(MAX(('01_予約入力'!$D$5:$D$404=E$6)*('01_予約入力'!$Q$5:$Q$404&lt;&gt;"キャンセル")*('01_予約入力'!$G$5:$G$404&lt;&gt;"")*('01_予約入力'!$G$5:$G$404&lt;=$A37)*('01_予約入力'!$J$5:$J$404&gt;$A37)*(ROW('01_予約入力'!$G$5:$G$404)-4))))</f>
        <v/>
      </c>
      <c r="T37" s="45">
        <f>IF(OR($A37="",E$6=""),0,SUMPRODUCT(MAX(('01_予約入力'!$D$5:$D$404=E$6)*('01_予約入力'!$Q$5:$Q$404&lt;&gt;"キャンセル")*('01_予約入力'!$G$5:$G$404&lt;&gt;"")*('01_予約入力'!$G$5:$G$404=$A37)*('01_予約入力'!$J$5:$J$404=$A37)*(ROW('01_予約入力'!$G$5:$G$404)-4))))</f>
        <v/>
      </c>
      <c r="U37" s="45">
        <f>IF(OR($A37="",F$6=""),0,SUMPRODUCT(MAX(('01_予約入力'!$D$5:$D$404=F$6)*('01_予約入力'!$Q$5:$Q$404&lt;&gt;"キャンセル")*('01_予約入力'!$G$5:$G$404&lt;&gt;"")*('01_予約入力'!$J$5:$J$404=$A37)*('01_予約入力'!$G$5:$G$404&lt;$A37)*(ROW('01_予約入力'!$G$5:$G$404)-4))))</f>
        <v/>
      </c>
      <c r="V37" s="45">
        <f>IF(OR($A37="",F$6=""),0,SUMPRODUCT(MAX(('01_予約入力'!$D$5:$D$404=F$6)*('01_予約入力'!$Q$5:$Q$404&lt;&gt;"キャンセル")*('01_予約入力'!$G$5:$G$404&lt;&gt;"")*('01_予約入力'!$G$5:$G$404&lt;=$A37)*('01_予約入力'!$J$5:$J$404&gt;$A37)*(ROW('01_予約入力'!$G$5:$G$404)-4))))</f>
        <v/>
      </c>
      <c r="W37" s="45">
        <f>IF(OR($A37="",F$6=""),0,SUMPRODUCT(MAX(('01_予約入力'!$D$5:$D$404=F$6)*('01_予約入力'!$Q$5:$Q$404&lt;&gt;"キャンセル")*('01_予約入力'!$G$5:$G$404&lt;&gt;"")*('01_予約入力'!$G$5:$G$404=$A37)*('01_予約入力'!$J$5:$J$404=$A37)*(ROW('01_予約入力'!$G$5:$G$404)-4))))</f>
        <v/>
      </c>
      <c r="X37" s="45">
        <f>IF($A37="","",IF($M37&gt;0,IF(OR(INDEX('01_予約入力'!$Q$5:$Q$404,$M37)="仮予約",INDEX('01_予約入力'!$Q$5:$Q$404,$M37)="調整中"),"仮",INDEX('01_予約入力'!$C$5:$C$404,$M37)),IF($N37&gt;0,IF(OR(INDEX('01_予約入力'!$Q$5:$Q$404,$N37)="仮予約",INDEX('01_予約入力'!$Q$5:$Q$404,$N37)="調整中"),"仮",INDEX('01_予約入力'!$C$5:$C$404,$N37)),IF($L37&gt;0,IF(OR(INDEX('01_予約入力'!$Q$5:$Q$404,$L37)="仮予約",INDEX('01_予約入力'!$Q$5:$Q$404,$L37)="調整中"),"仮",INDEX('01_予約入力'!$C$5:$C$404,$L37)),""))))</f>
        <v/>
      </c>
      <c r="Y37" s="45">
        <f>IF($A37="","",IF($P37&gt;0,IF(OR(INDEX('01_予約入力'!$Q$5:$Q$404,$P37)="仮予約",INDEX('01_予約入力'!$Q$5:$Q$404,$P37)="調整中"),"仮",INDEX('01_予約入力'!$C$5:$C$404,$P37)),IF($Q37&gt;0,IF(OR(INDEX('01_予約入力'!$Q$5:$Q$404,$Q37)="仮予約",INDEX('01_予約入力'!$Q$5:$Q$404,$Q37)="調整中"),"仮",INDEX('01_予約入力'!$C$5:$C$404,$Q37)),IF($O37&gt;0,IF(OR(INDEX('01_予約入力'!$Q$5:$Q$404,$O37)="仮予約",INDEX('01_予約入力'!$Q$5:$Q$404,$O37)="調整中"),"仮",INDEX('01_予約入力'!$C$5:$C$404,$O37)),""))))</f>
        <v/>
      </c>
      <c r="Z37" s="45">
        <f>IF($A37="","",IF($S37&gt;0,IF(OR(INDEX('01_予約入力'!$Q$5:$Q$404,$S37)="仮予約",INDEX('01_予約入力'!$Q$5:$Q$404,$S37)="調整中"),"仮",INDEX('01_予約入力'!$C$5:$C$404,$S37)),IF($T37&gt;0,IF(OR(INDEX('01_予約入力'!$Q$5:$Q$404,$T37)="仮予約",INDEX('01_予約入力'!$Q$5:$Q$404,$T37)="調整中"),"仮",INDEX('01_予約入力'!$C$5:$C$404,$T37)),IF($R37&gt;0,IF(OR(INDEX('01_予約入力'!$Q$5:$Q$404,$R37)="仮予約",INDEX('01_予約入力'!$Q$5:$Q$404,$R37)="調整中"),"仮",INDEX('01_予約入力'!$C$5:$C$404,$R37)),""))))</f>
        <v/>
      </c>
      <c r="AA37" s="45">
        <f>IF($A37="","",IF($V37&gt;0,IF(OR(INDEX('01_予約入力'!$Q$5:$Q$404,$V37)="仮予約",INDEX('01_予約入力'!$Q$5:$Q$404,$V37)="調整中"),"仮",INDEX('01_予約入力'!$C$5:$C$404,$V37)),IF($W37&gt;0,IF(OR(INDEX('01_予約入力'!$Q$5:$Q$404,$W37)="仮予約",INDEX('01_予約入力'!$Q$5:$Q$404,$W37)="調整中"),"仮",INDEX('01_予約入力'!$C$5:$C$404,$W37)),IF($U37&gt;0,IF(OR(INDEX('01_予約入力'!$Q$5:$Q$404,$U37)="仮予約",INDEX('01_予約入力'!$Q$5:$Q$404,$U37)="調整中"),"仮",INDEX('01_予約入力'!$C$5:$C$404,$U37)),""))))</f>
        <v/>
      </c>
      <c r="AB37" s="45">
        <f>IF($A37="",0,SUMPRODUCT(('01_予約入力'!$G$5:$G$404&lt;&gt;"")*('01_予約入力'!$Q$5:$Q$404&lt;&gt;"キャンセル")*(('01_予約入力'!$L$5:$L$404="○")*('01_予約入力'!$G$5:$G$404&lt;=$A37)*('01_予約入力'!$J$5:$J$404&gt;=$A37)+('01_予約入力'!$L$5:$L$404="")*('01_予約入力'!$G$5:$G$404&lt;$A37)*('01_予約入力'!$J$5:$J$404&gt;=$A37))))</f>
        <v/>
      </c>
      <c r="AC37" s="45">
        <f>IF($A37="",0,SUMPRODUCT(('01_予約入力'!$G$5:$G$404&lt;&gt;"")*('01_予約入力'!$Q$5:$Q$404&lt;&gt;"キャンセル")*(('01_予約入力'!$M$5:$M$404="○")*('01_予約入力'!$G$5:$G$404&lt;=$A37)*('01_予約入力'!$J$5:$J$404&gt;=$A37)+('01_予約入力'!$M$5:$M$404="")*((('01_予約入力'!$G$5:$G$404&lt;$A37)*('01_予約入力'!$J$5:$J$404&gt;$A37))+(('01_予約入力'!$G$5:$G$404=$A37)*('01_予約入力'!$J$5:$J$404=$A37))))))</f>
        <v/>
      </c>
      <c r="AD37" s="45">
        <f>IF($A37="",0,SUMPRODUCT(('01_予約入力'!$G$5:$G$404&lt;&gt;"")*('01_予約入力'!$Q$5:$Q$404&lt;&gt;"キャンセル")*(('01_予約入力'!$N$5:$N$404="○")*('01_予約入力'!$G$5:$G$404&lt;=$A37)*('01_予約入力'!$J$5:$J$404&gt;=$A37)+('01_予約入力'!$N$5:$N$404="")*('01_予約入力'!$G$5:$G$404&lt;=$A37)*('01_予約入力'!$J$5:$J$404&gt;$A37))))</f>
        <v/>
      </c>
      <c r="AE37" s="45">
        <f>IF($A37="",0,IFERROR(MATCH($A37,'02_カレンダー'!$B$59:$B$78,0),0))</f>
        <v/>
      </c>
      <c r="AF37" s="45">
        <f>IF($A37="",0,IF($AE37=0,$AB37,IF(INDEX('02_カレンダー'!$C$59:$C$78,$AE37)="",$AB37,INDEX('02_カレンダー'!$C$59:$C$78,$AE37))))</f>
        <v/>
      </c>
      <c r="AG37" s="45">
        <f>IF($A37="",0,IF($AE37=0,$AC37,IF(INDEX('02_カレンダー'!$D$59:$D$78,$AE37)="",$AC37,INDEX('02_カレンダー'!$D$59:$D$78,$AE37))))</f>
        <v/>
      </c>
      <c r="AH37" s="45">
        <f>IF($A37="",0,IF($AE37=0,$AD37,IF(INDEX('02_カレンダー'!$E$59:$E$78,$AE37)="",$AD37,INDEX('02_カレンダー'!$E$59:$E$78,$AE37))))</f>
        <v/>
      </c>
      <c r="AI37" s="45">
        <f>IF($A37="","",IF(AND($AF37=0,$AG37=0,$AH37=0),"","朝"&amp;$AF37&amp;" 昼"&amp;$AG37&amp;" 夕"&amp;$AH37&amp;IF($AJ37=0,"","　※調整")))</f>
        <v/>
      </c>
      <c r="AJ37" s="45">
        <f>IF(OR($A37="",$AE37=0),0,IF(OR(INDEX('02_カレンダー'!$C$59:$C$78,$AE37)&lt;&gt;"",INDEX('02_カレンダー'!$D$59:$D$78,$AE37)&lt;&gt;"",INDEX('02_カレンダー'!$E$59:$E$78,$AE37)&lt;&gt;""),1,0))</f>
        <v/>
      </c>
    </row>
    <row r="39">
      <c r="A39" s="2" t="inlineStr">
        <is>
          <t>※ 「使用室数／空室数／空き記号」はその日の夜の宿泊で数えます。退所日の夜は空きです。部屋の欄に出る「◀」は朝に退所することを示します。</t>
        </is>
      </c>
    </row>
    <row r="40">
      <c r="A40" s="2" t="inlineStr">
        <is>
          <t>※ L列より右は計算用の作業列です。非表示にしてあります（表示しても構いませんが、編集しないでください）。</t>
        </is>
      </c>
    </row>
  </sheetData>
  <conditionalFormatting sqref="J7:J37">
    <cfRule type="expression" priority="1" dxfId="1">
      <formula>J7="×"</formula>
    </cfRule>
    <cfRule type="expression" priority="2" dxfId="2">
      <formula>J7="△"</formula>
    </cfRule>
    <cfRule type="expression" priority="3" dxfId="3">
      <formula>J7="仮"</formula>
    </cfRule>
    <cfRule type="expression" priority="4" dxfId="9">
      <formula>J7="○"</formula>
    </cfRule>
  </conditionalFormatting>
  <conditionalFormatting sqref="A7:B37">
    <cfRule type="expression" priority="5" dxfId="12">
      <formula>AND($A7&lt;&gt;"",WEEKDAY($A7,2)&gt;=6)</formula>
    </cfRule>
  </conditionalFormatting>
  <pageMargins left="0.75" right="0.75" top="1" bottom="1" header="0.5" footer="0.5"/>
  <pageSetup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30" customWidth="1" min="4" max="4"/>
  </cols>
  <sheetData>
    <row r="1">
      <c r="A1" s="1" t="inlineStr">
        <is>
          <t>空室照会 ―「この期間空いていますか」に即答する</t>
        </is>
      </c>
    </row>
    <row r="2">
      <c r="A2" s="2" t="inlineStr">
        <is>
          <t>日付を2つ入れるだけです。対象月の指定は要りません。</t>
        </is>
      </c>
    </row>
    <row r="3">
      <c r="A3" s="15" t="inlineStr">
        <is>
          <t>開始日（入所日）</t>
        </is>
      </c>
      <c r="B3" s="16" t="n">
        <v>46258</v>
      </c>
    </row>
    <row r="4">
      <c r="A4" s="15" t="inlineStr">
        <is>
          <t>終了日（退所予定日）</t>
        </is>
      </c>
      <c r="B4" s="16" t="n">
        <v>46261</v>
      </c>
      <c r="C4" s="2" t="inlineStr">
        <is>
          <t>★退所日の夜は数えません（その夜は次の方が入れるため）</t>
        </is>
      </c>
    </row>
    <row r="5">
      <c r="A5" s="15" t="inlineStr">
        <is>
          <t>泊数</t>
        </is>
      </c>
      <c r="B5" s="50">
        <f>IF(OR($B$3="",$B$4=""),"",MAX(0,$B$4-$B$3))</f>
        <v/>
      </c>
      <c r="C5" s="2" t="inlineStr">
        <is>
          <t>0泊（同日）なら日帰り・体験利用です</t>
        </is>
      </c>
    </row>
    <row r="7" ht="30" customHeight="1">
      <c r="A7" s="7" t="inlineStr">
        <is>
          <t>部屋</t>
        </is>
      </c>
      <c r="B7" s="7" t="inlineStr">
        <is>
          <t>空いている夜数</t>
        </is>
      </c>
      <c r="C7" s="7" t="inlineStr">
        <is>
          <t>ふさがっている夜数</t>
        </is>
      </c>
      <c r="D7" s="7" t="inlineStr">
        <is>
          <t>判定</t>
        </is>
      </c>
    </row>
    <row r="8">
      <c r="A8" s="49">
        <f>IF(COUNTA('M_部屋'!$A$4:$A$20)&gt;=1,INDEX('M_部屋'!$A$4:$A$20,1),"")</f>
        <v/>
      </c>
      <c r="B8" s="45">
        <f>IF($C8="","",MAX(0,$B$4-$B$3-$C8))</f>
        <v/>
      </c>
      <c r="C8" s="45">
        <f>IF(OR($A8="",$B$4&lt;=$B$3),"",SUMPRODUCT(('01_予約入力'!$G$5:$G$404&lt;&gt;"")*('01_予約入力'!$Q$5:$Q$404&lt;&gt;"キャンセル")*('01_予約入力'!$D$5:$D$404=$A8)*(((('01_予約入力'!$AG$5:$AG$404&lt;=$B$4)*'01_予約入力'!$AG$5:$AG$404+('01_予約入力'!$AG$5:$AG$404&gt;$B$4)*$B$4)-(('01_予約入力'!$AF$5:$AF$404&gt;=$B$3)*'01_予約入力'!$AF$5:$AF$404+('01_予約入力'!$AF$5:$AF$404&lt;$B$3)*$B$3))&gt;0)*((('01_予約入力'!$AG$5:$AG$404&lt;=$B$4)*'01_予約入力'!$AG$5:$AG$404+('01_予約入力'!$AG$5:$AG$404&gt;$B$4)*$B$4)-(('01_予約入力'!$AF$5:$AF$404&gt;=$B$3)*'01_予約入力'!$AF$5:$AF$404+('01_予約入力'!$AF$5:$AF$404&lt;$B$3)*$B$3))))</f>
        <v/>
      </c>
      <c r="D8" s="49">
        <f>IF($A8="","",IF($B$4&lt;=$B$3,"日付を確認してください",IF($B8=$B$4-$B$3,"○ 全日空き",IF($B8=0,"× 空きなし","△ 一部空き"))))</f>
        <v/>
      </c>
    </row>
    <row r="9">
      <c r="A9" s="49">
        <f>IF(COUNTA('M_部屋'!$A$4:$A$20)&gt;=2,INDEX('M_部屋'!$A$4:$A$20,2),"")</f>
        <v/>
      </c>
      <c r="B9" s="45">
        <f>IF($C9="","",MAX(0,$B$4-$B$3-$C9))</f>
        <v/>
      </c>
      <c r="C9" s="45">
        <f>IF(OR($A9="",$B$4&lt;=$B$3),"",SUMPRODUCT(('01_予約入力'!$G$5:$G$404&lt;&gt;"")*('01_予約入力'!$Q$5:$Q$404&lt;&gt;"キャンセル")*('01_予約入力'!$D$5:$D$404=$A9)*(((('01_予約入力'!$AG$5:$AG$404&lt;=$B$4)*'01_予約入力'!$AG$5:$AG$404+('01_予約入力'!$AG$5:$AG$404&gt;$B$4)*$B$4)-(('01_予約入力'!$AF$5:$AF$404&gt;=$B$3)*'01_予約入力'!$AF$5:$AF$404+('01_予約入力'!$AF$5:$AF$404&lt;$B$3)*$B$3))&gt;0)*((('01_予約入力'!$AG$5:$AG$404&lt;=$B$4)*'01_予約入力'!$AG$5:$AG$404+('01_予約入力'!$AG$5:$AG$404&gt;$B$4)*$B$4)-(('01_予約入力'!$AF$5:$AF$404&gt;=$B$3)*'01_予約入力'!$AF$5:$AF$404+('01_予約入力'!$AF$5:$AF$404&lt;$B$3)*$B$3))))</f>
        <v/>
      </c>
      <c r="D9" s="49">
        <f>IF($A9="","",IF($B$4&lt;=$B$3,"日付を確認してください",IF($B9=$B$4-$B$3,"○ 全日空き",IF($B9=0,"× 空きなし","△ 一部空き"))))</f>
        <v/>
      </c>
    </row>
    <row r="10">
      <c r="A10" s="49">
        <f>IF(COUNTA('M_部屋'!$A$4:$A$20)&gt;=3,INDEX('M_部屋'!$A$4:$A$20,3),"")</f>
        <v/>
      </c>
      <c r="B10" s="45">
        <f>IF($C10="","",MAX(0,$B$4-$B$3-$C10))</f>
        <v/>
      </c>
      <c r="C10" s="45">
        <f>IF(OR($A10="",$B$4&lt;=$B$3),"",SUMPRODUCT(('01_予約入力'!$G$5:$G$404&lt;&gt;"")*('01_予約入力'!$Q$5:$Q$404&lt;&gt;"キャンセル")*('01_予約入力'!$D$5:$D$404=$A10)*(((('01_予約入力'!$AG$5:$AG$404&lt;=$B$4)*'01_予約入力'!$AG$5:$AG$404+('01_予約入力'!$AG$5:$AG$404&gt;$B$4)*$B$4)-(('01_予約入力'!$AF$5:$AF$404&gt;=$B$3)*'01_予約入力'!$AF$5:$AF$404+('01_予約入力'!$AF$5:$AF$404&lt;$B$3)*$B$3))&gt;0)*((('01_予約入力'!$AG$5:$AG$404&lt;=$B$4)*'01_予約入力'!$AG$5:$AG$404+('01_予約入力'!$AG$5:$AG$404&gt;$B$4)*$B$4)-(('01_予約入力'!$AF$5:$AF$404&gt;=$B$3)*'01_予約入力'!$AF$5:$AF$404+('01_予約入力'!$AF$5:$AF$404&lt;$B$3)*$B$3))))</f>
        <v/>
      </c>
      <c r="D10" s="49">
        <f>IF($A10="","",IF($B$4&lt;=$B$3,"日付を確認してください",IF($B10=$B$4-$B$3,"○ 全日空き",IF($B10=0,"× 空きなし","△ 一部空き"))))</f>
        <v/>
      </c>
    </row>
    <row r="11">
      <c r="A11" s="49">
        <f>IF(COUNTA('M_部屋'!$A$4:$A$20)&gt;=4,INDEX('M_部屋'!$A$4:$A$20,4),"")</f>
        <v/>
      </c>
      <c r="B11" s="45">
        <f>IF($C11="","",MAX(0,$B$4-$B$3-$C11))</f>
        <v/>
      </c>
      <c r="C11" s="45">
        <f>IF(OR($A11="",$B$4&lt;=$B$3),"",SUMPRODUCT(('01_予約入力'!$G$5:$G$404&lt;&gt;"")*('01_予約入力'!$Q$5:$Q$404&lt;&gt;"キャンセル")*('01_予約入力'!$D$5:$D$404=$A11)*(((('01_予約入力'!$AG$5:$AG$404&lt;=$B$4)*'01_予約入力'!$AG$5:$AG$404+('01_予約入力'!$AG$5:$AG$404&gt;$B$4)*$B$4)-(('01_予約入力'!$AF$5:$AF$404&gt;=$B$3)*'01_予約入力'!$AF$5:$AF$404+('01_予約入力'!$AF$5:$AF$404&lt;$B$3)*$B$3))&gt;0)*((('01_予約入力'!$AG$5:$AG$404&lt;=$B$4)*'01_予約入力'!$AG$5:$AG$404+('01_予約入力'!$AG$5:$AG$404&gt;$B$4)*$B$4)-(('01_予約入力'!$AF$5:$AF$404&gt;=$B$3)*'01_予約入力'!$AF$5:$AF$404+('01_予約入力'!$AF$5:$AF$404&lt;$B$3)*$B$3))))</f>
        <v/>
      </c>
      <c r="D11" s="49">
        <f>IF($A11="","",IF($B$4&lt;=$B$3,"日付を確認してください",IF($B11=$B$4-$B$3,"○ 全日空き",IF($B11=0,"× 空きなし","△ 一部空き"))))</f>
        <v/>
      </c>
    </row>
    <row r="13">
      <c r="A13" s="2" t="inlineStr">
        <is>
          <t>※ 仮予約・調整中も「ふさがっている」として数えます。</t>
        </is>
      </c>
    </row>
    <row r="14">
      <c r="A14" s="2" t="inlineStr">
        <is>
          <t>※ 日帰り（0泊）は夜をふさがないため、この照会には出ません。02_カレンダー の ◆ で確認してください。</t>
        </is>
      </c>
    </row>
    <row r="15">
      <c r="A15" s="2" t="inlineStr">
        <is>
          <t>※ 「一部空き」のときは 02_カレンダー を開けば、どの日が埋まっているかが一目で分かります。</t>
        </is>
      </c>
    </row>
  </sheetData>
  <conditionalFormatting sqref="D8:D11">
    <cfRule type="expression" priority="1" dxfId="9">
      <formula>LEFT($D8,1)="○"</formula>
    </cfRule>
    <cfRule type="expression" priority="2" dxfId="2">
      <formula>LEFT($D8,1)="△"</formula>
    </cfRule>
    <cfRule type="expression" priority="3" dxfId="1">
      <formula>LEFT($D8,1)="×"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0" customWidth="1" min="4" max="4"/>
    <col width="10" customWidth="1" min="5" max="5"/>
    <col width="8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食数表（厨房用）</t>
        </is>
      </c>
    </row>
    <row r="2">
      <c r="A2" s="2" t="inlineStr">
        <is>
          <t>既定は 日帰り=昼のみ／初日=夕／中日=朝昼夕／最終日=朝。★個別の調整は 02_カレンダー の下部「食事の個別調整」で日付ごとに入れてください。</t>
        </is>
      </c>
    </row>
    <row r="3">
      <c r="A3" s="15" t="inlineStr">
        <is>
          <t>対象月</t>
        </is>
      </c>
      <c r="B3" s="17">
        <f>'02_カレンダー'!$B$4</f>
        <v/>
      </c>
      <c r="C3" s="2" t="inlineStr">
        <is>
          <t>★月の変更は 02_カレンダー で行ってください</t>
        </is>
      </c>
    </row>
    <row r="5" ht="30" customHeight="1">
      <c r="A5" s="7" t="inlineStr">
        <is>
          <t>日付</t>
        </is>
      </c>
      <c r="B5" s="7" t="inlineStr">
        <is>
          <t>曜日</t>
        </is>
      </c>
      <c r="C5" s="7" t="inlineStr">
        <is>
          <t>朝食</t>
        </is>
      </c>
      <c r="D5" s="7" t="inlineStr">
        <is>
          <t>昼食</t>
        </is>
      </c>
      <c r="E5" s="7" t="inlineStr">
        <is>
          <t>夕食</t>
        </is>
      </c>
      <c r="F5" s="7" t="inlineStr">
        <is>
          <t>調整</t>
        </is>
      </c>
      <c r="G5" s="7">
        <f>'04_月間表'!C$6</f>
        <v/>
      </c>
      <c r="H5" s="7">
        <f>'04_月間表'!D$6</f>
        <v/>
      </c>
      <c r="I5" s="7">
        <f>'04_月間表'!E$6</f>
        <v/>
      </c>
      <c r="J5" s="7">
        <f>'04_月間表'!F$6</f>
        <v/>
      </c>
    </row>
    <row r="6">
      <c r="A6" s="38">
        <f>IF('04_月間表'!$A7="","",'04_月間表'!$A7)</f>
        <v/>
      </c>
      <c r="B6" s="45">
        <f>IF($A6="","",MID("日月火水木金土",WEEKDAY($A6),1))</f>
        <v/>
      </c>
      <c r="C6" s="51">
        <f>IF($A6="","",'04_月間表'!$AF7)</f>
        <v/>
      </c>
      <c r="D6" s="51">
        <f>IF($A6="","",'04_月間表'!$AG7)</f>
        <v/>
      </c>
      <c r="E6" s="51">
        <f>IF($A6="","",'04_月間表'!$AH7)</f>
        <v/>
      </c>
      <c r="F6" s="52">
        <f>IF($A6="","",IF('04_月間表'!$AJ7=0,"","※"))</f>
        <v/>
      </c>
      <c r="G6" s="46">
        <f>IF($A6="","",'04_月間表'!C7)</f>
        <v/>
      </c>
      <c r="H6" s="46">
        <f>IF($A6="","",'04_月間表'!D7)</f>
        <v/>
      </c>
      <c r="I6" s="46">
        <f>IF($A6="","",'04_月間表'!E7)</f>
        <v/>
      </c>
      <c r="J6" s="46">
        <f>IF($A6="","",'04_月間表'!F7)</f>
        <v/>
      </c>
    </row>
    <row r="7">
      <c r="A7" s="38">
        <f>IF('04_月間表'!$A8="","",'04_月間表'!$A8)</f>
        <v/>
      </c>
      <c r="B7" s="45">
        <f>IF($A7="","",MID("日月火水木金土",WEEKDAY($A7),1))</f>
        <v/>
      </c>
      <c r="C7" s="51">
        <f>IF($A7="","",'04_月間表'!$AF8)</f>
        <v/>
      </c>
      <c r="D7" s="51">
        <f>IF($A7="","",'04_月間表'!$AG8)</f>
        <v/>
      </c>
      <c r="E7" s="51">
        <f>IF($A7="","",'04_月間表'!$AH8)</f>
        <v/>
      </c>
      <c r="F7" s="52">
        <f>IF($A7="","",IF('04_月間表'!$AJ8=0,"","※"))</f>
        <v/>
      </c>
      <c r="G7" s="46">
        <f>IF($A7="","",'04_月間表'!C8)</f>
        <v/>
      </c>
      <c r="H7" s="46">
        <f>IF($A7="","",'04_月間表'!D8)</f>
        <v/>
      </c>
      <c r="I7" s="46">
        <f>IF($A7="","",'04_月間表'!E8)</f>
        <v/>
      </c>
      <c r="J7" s="46">
        <f>IF($A7="","",'04_月間表'!F8)</f>
        <v/>
      </c>
    </row>
    <row r="8">
      <c r="A8" s="38">
        <f>IF('04_月間表'!$A9="","",'04_月間表'!$A9)</f>
        <v/>
      </c>
      <c r="B8" s="45">
        <f>IF($A8="","",MID("日月火水木金土",WEEKDAY($A8),1))</f>
        <v/>
      </c>
      <c r="C8" s="51">
        <f>IF($A8="","",'04_月間表'!$AF9)</f>
        <v/>
      </c>
      <c r="D8" s="51">
        <f>IF($A8="","",'04_月間表'!$AG9)</f>
        <v/>
      </c>
      <c r="E8" s="51">
        <f>IF($A8="","",'04_月間表'!$AH9)</f>
        <v/>
      </c>
      <c r="F8" s="52">
        <f>IF($A8="","",IF('04_月間表'!$AJ9=0,"","※"))</f>
        <v/>
      </c>
      <c r="G8" s="46">
        <f>IF($A8="","",'04_月間表'!C9)</f>
        <v/>
      </c>
      <c r="H8" s="46">
        <f>IF($A8="","",'04_月間表'!D9)</f>
        <v/>
      </c>
      <c r="I8" s="46">
        <f>IF($A8="","",'04_月間表'!E9)</f>
        <v/>
      </c>
      <c r="J8" s="46">
        <f>IF($A8="","",'04_月間表'!F9)</f>
        <v/>
      </c>
    </row>
    <row r="9">
      <c r="A9" s="38">
        <f>IF('04_月間表'!$A10="","",'04_月間表'!$A10)</f>
        <v/>
      </c>
      <c r="B9" s="45">
        <f>IF($A9="","",MID("日月火水木金土",WEEKDAY($A9),1))</f>
        <v/>
      </c>
      <c r="C9" s="51">
        <f>IF($A9="","",'04_月間表'!$AF10)</f>
        <v/>
      </c>
      <c r="D9" s="51">
        <f>IF($A9="","",'04_月間表'!$AG10)</f>
        <v/>
      </c>
      <c r="E9" s="51">
        <f>IF($A9="","",'04_月間表'!$AH10)</f>
        <v/>
      </c>
      <c r="F9" s="52">
        <f>IF($A9="","",IF('04_月間表'!$AJ10=0,"","※"))</f>
        <v/>
      </c>
      <c r="G9" s="46">
        <f>IF($A9="","",'04_月間表'!C10)</f>
        <v/>
      </c>
      <c r="H9" s="46">
        <f>IF($A9="","",'04_月間表'!D10)</f>
        <v/>
      </c>
      <c r="I9" s="46">
        <f>IF($A9="","",'04_月間表'!E10)</f>
        <v/>
      </c>
      <c r="J9" s="46">
        <f>IF($A9="","",'04_月間表'!F10)</f>
        <v/>
      </c>
    </row>
    <row r="10">
      <c r="A10" s="38">
        <f>IF('04_月間表'!$A11="","",'04_月間表'!$A11)</f>
        <v/>
      </c>
      <c r="B10" s="45">
        <f>IF($A10="","",MID("日月火水木金土",WEEKDAY($A10),1))</f>
        <v/>
      </c>
      <c r="C10" s="51">
        <f>IF($A10="","",'04_月間表'!$AF11)</f>
        <v/>
      </c>
      <c r="D10" s="51">
        <f>IF($A10="","",'04_月間表'!$AG11)</f>
        <v/>
      </c>
      <c r="E10" s="51">
        <f>IF($A10="","",'04_月間表'!$AH11)</f>
        <v/>
      </c>
      <c r="F10" s="52">
        <f>IF($A10="","",IF('04_月間表'!$AJ11=0,"","※"))</f>
        <v/>
      </c>
      <c r="G10" s="46">
        <f>IF($A10="","",'04_月間表'!C11)</f>
        <v/>
      </c>
      <c r="H10" s="46">
        <f>IF($A10="","",'04_月間表'!D11)</f>
        <v/>
      </c>
      <c r="I10" s="46">
        <f>IF($A10="","",'04_月間表'!E11)</f>
        <v/>
      </c>
      <c r="J10" s="46">
        <f>IF($A10="","",'04_月間表'!F11)</f>
        <v/>
      </c>
    </row>
    <row r="11">
      <c r="A11" s="38">
        <f>IF('04_月間表'!$A12="","",'04_月間表'!$A12)</f>
        <v/>
      </c>
      <c r="B11" s="45">
        <f>IF($A11="","",MID("日月火水木金土",WEEKDAY($A11),1))</f>
        <v/>
      </c>
      <c r="C11" s="51">
        <f>IF($A11="","",'04_月間表'!$AF12)</f>
        <v/>
      </c>
      <c r="D11" s="51">
        <f>IF($A11="","",'04_月間表'!$AG12)</f>
        <v/>
      </c>
      <c r="E11" s="51">
        <f>IF($A11="","",'04_月間表'!$AH12)</f>
        <v/>
      </c>
      <c r="F11" s="52">
        <f>IF($A11="","",IF('04_月間表'!$AJ12=0,"","※"))</f>
        <v/>
      </c>
      <c r="G11" s="46">
        <f>IF($A11="","",'04_月間表'!C12)</f>
        <v/>
      </c>
      <c r="H11" s="46">
        <f>IF($A11="","",'04_月間表'!D12)</f>
        <v/>
      </c>
      <c r="I11" s="46">
        <f>IF($A11="","",'04_月間表'!E12)</f>
        <v/>
      </c>
      <c r="J11" s="46">
        <f>IF($A11="","",'04_月間表'!F12)</f>
        <v/>
      </c>
    </row>
    <row r="12">
      <c r="A12" s="38">
        <f>IF('04_月間表'!$A13="","",'04_月間表'!$A13)</f>
        <v/>
      </c>
      <c r="B12" s="45">
        <f>IF($A12="","",MID("日月火水木金土",WEEKDAY($A12),1))</f>
        <v/>
      </c>
      <c r="C12" s="51">
        <f>IF($A12="","",'04_月間表'!$AF13)</f>
        <v/>
      </c>
      <c r="D12" s="51">
        <f>IF($A12="","",'04_月間表'!$AG13)</f>
        <v/>
      </c>
      <c r="E12" s="51">
        <f>IF($A12="","",'04_月間表'!$AH13)</f>
        <v/>
      </c>
      <c r="F12" s="52">
        <f>IF($A12="","",IF('04_月間表'!$AJ13=0,"","※"))</f>
        <v/>
      </c>
      <c r="G12" s="46">
        <f>IF($A12="","",'04_月間表'!C13)</f>
        <v/>
      </c>
      <c r="H12" s="46">
        <f>IF($A12="","",'04_月間表'!D13)</f>
        <v/>
      </c>
      <c r="I12" s="46">
        <f>IF($A12="","",'04_月間表'!E13)</f>
        <v/>
      </c>
      <c r="J12" s="46">
        <f>IF($A12="","",'04_月間表'!F13)</f>
        <v/>
      </c>
    </row>
    <row r="13">
      <c r="A13" s="38">
        <f>IF('04_月間表'!$A14="","",'04_月間表'!$A14)</f>
        <v/>
      </c>
      <c r="B13" s="45">
        <f>IF($A13="","",MID("日月火水木金土",WEEKDAY($A13),1))</f>
        <v/>
      </c>
      <c r="C13" s="51">
        <f>IF($A13="","",'04_月間表'!$AF14)</f>
        <v/>
      </c>
      <c r="D13" s="51">
        <f>IF($A13="","",'04_月間表'!$AG14)</f>
        <v/>
      </c>
      <c r="E13" s="51">
        <f>IF($A13="","",'04_月間表'!$AH14)</f>
        <v/>
      </c>
      <c r="F13" s="52">
        <f>IF($A13="","",IF('04_月間表'!$AJ14=0,"","※"))</f>
        <v/>
      </c>
      <c r="G13" s="46">
        <f>IF($A13="","",'04_月間表'!C14)</f>
        <v/>
      </c>
      <c r="H13" s="46">
        <f>IF($A13="","",'04_月間表'!D14)</f>
        <v/>
      </c>
      <c r="I13" s="46">
        <f>IF($A13="","",'04_月間表'!E14)</f>
        <v/>
      </c>
      <c r="J13" s="46">
        <f>IF($A13="","",'04_月間表'!F14)</f>
        <v/>
      </c>
    </row>
    <row r="14">
      <c r="A14" s="38">
        <f>IF('04_月間表'!$A15="","",'04_月間表'!$A15)</f>
        <v/>
      </c>
      <c r="B14" s="45">
        <f>IF($A14="","",MID("日月火水木金土",WEEKDAY($A14),1))</f>
        <v/>
      </c>
      <c r="C14" s="51">
        <f>IF($A14="","",'04_月間表'!$AF15)</f>
        <v/>
      </c>
      <c r="D14" s="51">
        <f>IF($A14="","",'04_月間表'!$AG15)</f>
        <v/>
      </c>
      <c r="E14" s="51">
        <f>IF($A14="","",'04_月間表'!$AH15)</f>
        <v/>
      </c>
      <c r="F14" s="52">
        <f>IF($A14="","",IF('04_月間表'!$AJ15=0,"","※"))</f>
        <v/>
      </c>
      <c r="G14" s="46">
        <f>IF($A14="","",'04_月間表'!C15)</f>
        <v/>
      </c>
      <c r="H14" s="46">
        <f>IF($A14="","",'04_月間表'!D15)</f>
        <v/>
      </c>
      <c r="I14" s="46">
        <f>IF($A14="","",'04_月間表'!E15)</f>
        <v/>
      </c>
      <c r="J14" s="46">
        <f>IF($A14="","",'04_月間表'!F15)</f>
        <v/>
      </c>
    </row>
    <row r="15">
      <c r="A15" s="38">
        <f>IF('04_月間表'!$A16="","",'04_月間表'!$A16)</f>
        <v/>
      </c>
      <c r="B15" s="45">
        <f>IF($A15="","",MID("日月火水木金土",WEEKDAY($A15),1))</f>
        <v/>
      </c>
      <c r="C15" s="51">
        <f>IF($A15="","",'04_月間表'!$AF16)</f>
        <v/>
      </c>
      <c r="D15" s="51">
        <f>IF($A15="","",'04_月間表'!$AG16)</f>
        <v/>
      </c>
      <c r="E15" s="51">
        <f>IF($A15="","",'04_月間表'!$AH16)</f>
        <v/>
      </c>
      <c r="F15" s="52">
        <f>IF($A15="","",IF('04_月間表'!$AJ16=0,"","※"))</f>
        <v/>
      </c>
      <c r="G15" s="46">
        <f>IF($A15="","",'04_月間表'!C16)</f>
        <v/>
      </c>
      <c r="H15" s="46">
        <f>IF($A15="","",'04_月間表'!D16)</f>
        <v/>
      </c>
      <c r="I15" s="46">
        <f>IF($A15="","",'04_月間表'!E16)</f>
        <v/>
      </c>
      <c r="J15" s="46">
        <f>IF($A15="","",'04_月間表'!F16)</f>
        <v/>
      </c>
    </row>
    <row r="16">
      <c r="A16" s="38">
        <f>IF('04_月間表'!$A17="","",'04_月間表'!$A17)</f>
        <v/>
      </c>
      <c r="B16" s="45">
        <f>IF($A16="","",MID("日月火水木金土",WEEKDAY($A16),1))</f>
        <v/>
      </c>
      <c r="C16" s="51">
        <f>IF($A16="","",'04_月間表'!$AF17)</f>
        <v/>
      </c>
      <c r="D16" s="51">
        <f>IF($A16="","",'04_月間表'!$AG17)</f>
        <v/>
      </c>
      <c r="E16" s="51">
        <f>IF($A16="","",'04_月間表'!$AH17)</f>
        <v/>
      </c>
      <c r="F16" s="52">
        <f>IF($A16="","",IF('04_月間表'!$AJ17=0,"","※"))</f>
        <v/>
      </c>
      <c r="G16" s="46">
        <f>IF($A16="","",'04_月間表'!C17)</f>
        <v/>
      </c>
      <c r="H16" s="46">
        <f>IF($A16="","",'04_月間表'!D17)</f>
        <v/>
      </c>
      <c r="I16" s="46">
        <f>IF($A16="","",'04_月間表'!E17)</f>
        <v/>
      </c>
      <c r="J16" s="46">
        <f>IF($A16="","",'04_月間表'!F17)</f>
        <v/>
      </c>
    </row>
    <row r="17">
      <c r="A17" s="38">
        <f>IF('04_月間表'!$A18="","",'04_月間表'!$A18)</f>
        <v/>
      </c>
      <c r="B17" s="45">
        <f>IF($A17="","",MID("日月火水木金土",WEEKDAY($A17),1))</f>
        <v/>
      </c>
      <c r="C17" s="51">
        <f>IF($A17="","",'04_月間表'!$AF18)</f>
        <v/>
      </c>
      <c r="D17" s="51">
        <f>IF($A17="","",'04_月間表'!$AG18)</f>
        <v/>
      </c>
      <c r="E17" s="51">
        <f>IF($A17="","",'04_月間表'!$AH18)</f>
        <v/>
      </c>
      <c r="F17" s="52">
        <f>IF($A17="","",IF('04_月間表'!$AJ18=0,"","※"))</f>
        <v/>
      </c>
      <c r="G17" s="46">
        <f>IF($A17="","",'04_月間表'!C18)</f>
        <v/>
      </c>
      <c r="H17" s="46">
        <f>IF($A17="","",'04_月間表'!D18)</f>
        <v/>
      </c>
      <c r="I17" s="46">
        <f>IF($A17="","",'04_月間表'!E18)</f>
        <v/>
      </c>
      <c r="J17" s="46">
        <f>IF($A17="","",'04_月間表'!F18)</f>
        <v/>
      </c>
    </row>
    <row r="18">
      <c r="A18" s="38">
        <f>IF('04_月間表'!$A19="","",'04_月間表'!$A19)</f>
        <v/>
      </c>
      <c r="B18" s="45">
        <f>IF($A18="","",MID("日月火水木金土",WEEKDAY($A18),1))</f>
        <v/>
      </c>
      <c r="C18" s="51">
        <f>IF($A18="","",'04_月間表'!$AF19)</f>
        <v/>
      </c>
      <c r="D18" s="51">
        <f>IF($A18="","",'04_月間表'!$AG19)</f>
        <v/>
      </c>
      <c r="E18" s="51">
        <f>IF($A18="","",'04_月間表'!$AH19)</f>
        <v/>
      </c>
      <c r="F18" s="52">
        <f>IF($A18="","",IF('04_月間表'!$AJ19=0,"","※"))</f>
        <v/>
      </c>
      <c r="G18" s="46">
        <f>IF($A18="","",'04_月間表'!C19)</f>
        <v/>
      </c>
      <c r="H18" s="46">
        <f>IF($A18="","",'04_月間表'!D19)</f>
        <v/>
      </c>
      <c r="I18" s="46">
        <f>IF($A18="","",'04_月間表'!E19)</f>
        <v/>
      </c>
      <c r="J18" s="46">
        <f>IF($A18="","",'04_月間表'!F19)</f>
        <v/>
      </c>
    </row>
    <row r="19">
      <c r="A19" s="38">
        <f>IF('04_月間表'!$A20="","",'04_月間表'!$A20)</f>
        <v/>
      </c>
      <c r="B19" s="45">
        <f>IF($A19="","",MID("日月火水木金土",WEEKDAY($A19),1))</f>
        <v/>
      </c>
      <c r="C19" s="51">
        <f>IF($A19="","",'04_月間表'!$AF20)</f>
        <v/>
      </c>
      <c r="D19" s="51">
        <f>IF($A19="","",'04_月間表'!$AG20)</f>
        <v/>
      </c>
      <c r="E19" s="51">
        <f>IF($A19="","",'04_月間表'!$AH20)</f>
        <v/>
      </c>
      <c r="F19" s="52">
        <f>IF($A19="","",IF('04_月間表'!$AJ20=0,"","※"))</f>
        <v/>
      </c>
      <c r="G19" s="46">
        <f>IF($A19="","",'04_月間表'!C20)</f>
        <v/>
      </c>
      <c r="H19" s="46">
        <f>IF($A19="","",'04_月間表'!D20)</f>
        <v/>
      </c>
      <c r="I19" s="46">
        <f>IF($A19="","",'04_月間表'!E20)</f>
        <v/>
      </c>
      <c r="J19" s="46">
        <f>IF($A19="","",'04_月間表'!F20)</f>
        <v/>
      </c>
    </row>
    <row r="20">
      <c r="A20" s="38">
        <f>IF('04_月間表'!$A21="","",'04_月間表'!$A21)</f>
        <v/>
      </c>
      <c r="B20" s="45">
        <f>IF($A20="","",MID("日月火水木金土",WEEKDAY($A20),1))</f>
        <v/>
      </c>
      <c r="C20" s="51">
        <f>IF($A20="","",'04_月間表'!$AF21)</f>
        <v/>
      </c>
      <c r="D20" s="51">
        <f>IF($A20="","",'04_月間表'!$AG21)</f>
        <v/>
      </c>
      <c r="E20" s="51">
        <f>IF($A20="","",'04_月間表'!$AH21)</f>
        <v/>
      </c>
      <c r="F20" s="52">
        <f>IF($A20="","",IF('04_月間表'!$AJ21=0,"","※"))</f>
        <v/>
      </c>
      <c r="G20" s="46">
        <f>IF($A20="","",'04_月間表'!C21)</f>
        <v/>
      </c>
      <c r="H20" s="46">
        <f>IF($A20="","",'04_月間表'!D21)</f>
        <v/>
      </c>
      <c r="I20" s="46">
        <f>IF($A20="","",'04_月間表'!E21)</f>
        <v/>
      </c>
      <c r="J20" s="46">
        <f>IF($A20="","",'04_月間表'!F21)</f>
        <v/>
      </c>
    </row>
    <row r="21">
      <c r="A21" s="38">
        <f>IF('04_月間表'!$A22="","",'04_月間表'!$A22)</f>
        <v/>
      </c>
      <c r="B21" s="45">
        <f>IF($A21="","",MID("日月火水木金土",WEEKDAY($A21),1))</f>
        <v/>
      </c>
      <c r="C21" s="51">
        <f>IF($A21="","",'04_月間表'!$AF22)</f>
        <v/>
      </c>
      <c r="D21" s="51">
        <f>IF($A21="","",'04_月間表'!$AG22)</f>
        <v/>
      </c>
      <c r="E21" s="51">
        <f>IF($A21="","",'04_月間表'!$AH22)</f>
        <v/>
      </c>
      <c r="F21" s="52">
        <f>IF($A21="","",IF('04_月間表'!$AJ22=0,"","※"))</f>
        <v/>
      </c>
      <c r="G21" s="46">
        <f>IF($A21="","",'04_月間表'!C22)</f>
        <v/>
      </c>
      <c r="H21" s="46">
        <f>IF($A21="","",'04_月間表'!D22)</f>
        <v/>
      </c>
      <c r="I21" s="46">
        <f>IF($A21="","",'04_月間表'!E22)</f>
        <v/>
      </c>
      <c r="J21" s="46">
        <f>IF($A21="","",'04_月間表'!F22)</f>
        <v/>
      </c>
    </row>
    <row r="22">
      <c r="A22" s="38">
        <f>IF('04_月間表'!$A23="","",'04_月間表'!$A23)</f>
        <v/>
      </c>
      <c r="B22" s="45">
        <f>IF($A22="","",MID("日月火水木金土",WEEKDAY($A22),1))</f>
        <v/>
      </c>
      <c r="C22" s="51">
        <f>IF($A22="","",'04_月間表'!$AF23)</f>
        <v/>
      </c>
      <c r="D22" s="51">
        <f>IF($A22="","",'04_月間表'!$AG23)</f>
        <v/>
      </c>
      <c r="E22" s="51">
        <f>IF($A22="","",'04_月間表'!$AH23)</f>
        <v/>
      </c>
      <c r="F22" s="52">
        <f>IF($A22="","",IF('04_月間表'!$AJ23=0,"","※"))</f>
        <v/>
      </c>
      <c r="G22" s="46">
        <f>IF($A22="","",'04_月間表'!C23)</f>
        <v/>
      </c>
      <c r="H22" s="46">
        <f>IF($A22="","",'04_月間表'!D23)</f>
        <v/>
      </c>
      <c r="I22" s="46">
        <f>IF($A22="","",'04_月間表'!E23)</f>
        <v/>
      </c>
      <c r="J22" s="46">
        <f>IF($A22="","",'04_月間表'!F23)</f>
        <v/>
      </c>
    </row>
    <row r="23">
      <c r="A23" s="38">
        <f>IF('04_月間表'!$A24="","",'04_月間表'!$A24)</f>
        <v/>
      </c>
      <c r="B23" s="45">
        <f>IF($A23="","",MID("日月火水木金土",WEEKDAY($A23),1))</f>
        <v/>
      </c>
      <c r="C23" s="51">
        <f>IF($A23="","",'04_月間表'!$AF24)</f>
        <v/>
      </c>
      <c r="D23" s="51">
        <f>IF($A23="","",'04_月間表'!$AG24)</f>
        <v/>
      </c>
      <c r="E23" s="51">
        <f>IF($A23="","",'04_月間表'!$AH24)</f>
        <v/>
      </c>
      <c r="F23" s="52">
        <f>IF($A23="","",IF('04_月間表'!$AJ24=0,"","※"))</f>
        <v/>
      </c>
      <c r="G23" s="46">
        <f>IF($A23="","",'04_月間表'!C24)</f>
        <v/>
      </c>
      <c r="H23" s="46">
        <f>IF($A23="","",'04_月間表'!D24)</f>
        <v/>
      </c>
      <c r="I23" s="46">
        <f>IF($A23="","",'04_月間表'!E24)</f>
        <v/>
      </c>
      <c r="J23" s="46">
        <f>IF($A23="","",'04_月間表'!F24)</f>
        <v/>
      </c>
    </row>
    <row r="24">
      <c r="A24" s="38">
        <f>IF('04_月間表'!$A25="","",'04_月間表'!$A25)</f>
        <v/>
      </c>
      <c r="B24" s="45">
        <f>IF($A24="","",MID("日月火水木金土",WEEKDAY($A24),1))</f>
        <v/>
      </c>
      <c r="C24" s="51">
        <f>IF($A24="","",'04_月間表'!$AF25)</f>
        <v/>
      </c>
      <c r="D24" s="51">
        <f>IF($A24="","",'04_月間表'!$AG25)</f>
        <v/>
      </c>
      <c r="E24" s="51">
        <f>IF($A24="","",'04_月間表'!$AH25)</f>
        <v/>
      </c>
      <c r="F24" s="52">
        <f>IF($A24="","",IF('04_月間表'!$AJ25=0,"","※"))</f>
        <v/>
      </c>
      <c r="G24" s="46">
        <f>IF($A24="","",'04_月間表'!C25)</f>
        <v/>
      </c>
      <c r="H24" s="46">
        <f>IF($A24="","",'04_月間表'!D25)</f>
        <v/>
      </c>
      <c r="I24" s="46">
        <f>IF($A24="","",'04_月間表'!E25)</f>
        <v/>
      </c>
      <c r="J24" s="46">
        <f>IF($A24="","",'04_月間表'!F25)</f>
        <v/>
      </c>
    </row>
    <row r="25">
      <c r="A25" s="38">
        <f>IF('04_月間表'!$A26="","",'04_月間表'!$A26)</f>
        <v/>
      </c>
      <c r="B25" s="45">
        <f>IF($A25="","",MID("日月火水木金土",WEEKDAY($A25),1))</f>
        <v/>
      </c>
      <c r="C25" s="51">
        <f>IF($A25="","",'04_月間表'!$AF26)</f>
        <v/>
      </c>
      <c r="D25" s="51">
        <f>IF($A25="","",'04_月間表'!$AG26)</f>
        <v/>
      </c>
      <c r="E25" s="51">
        <f>IF($A25="","",'04_月間表'!$AH26)</f>
        <v/>
      </c>
      <c r="F25" s="52">
        <f>IF($A25="","",IF('04_月間表'!$AJ26=0,"","※"))</f>
        <v/>
      </c>
      <c r="G25" s="46">
        <f>IF($A25="","",'04_月間表'!C26)</f>
        <v/>
      </c>
      <c r="H25" s="46">
        <f>IF($A25="","",'04_月間表'!D26)</f>
        <v/>
      </c>
      <c r="I25" s="46">
        <f>IF($A25="","",'04_月間表'!E26)</f>
        <v/>
      </c>
      <c r="J25" s="46">
        <f>IF($A25="","",'04_月間表'!F26)</f>
        <v/>
      </c>
    </row>
    <row r="26">
      <c r="A26" s="38">
        <f>IF('04_月間表'!$A27="","",'04_月間表'!$A27)</f>
        <v/>
      </c>
      <c r="B26" s="45">
        <f>IF($A26="","",MID("日月火水木金土",WEEKDAY($A26),1))</f>
        <v/>
      </c>
      <c r="C26" s="51">
        <f>IF($A26="","",'04_月間表'!$AF27)</f>
        <v/>
      </c>
      <c r="D26" s="51">
        <f>IF($A26="","",'04_月間表'!$AG27)</f>
        <v/>
      </c>
      <c r="E26" s="51">
        <f>IF($A26="","",'04_月間表'!$AH27)</f>
        <v/>
      </c>
      <c r="F26" s="52">
        <f>IF($A26="","",IF('04_月間表'!$AJ27=0,"","※"))</f>
        <v/>
      </c>
      <c r="G26" s="46">
        <f>IF($A26="","",'04_月間表'!C27)</f>
        <v/>
      </c>
      <c r="H26" s="46">
        <f>IF($A26="","",'04_月間表'!D27)</f>
        <v/>
      </c>
      <c r="I26" s="46">
        <f>IF($A26="","",'04_月間表'!E27)</f>
        <v/>
      </c>
      <c r="J26" s="46">
        <f>IF($A26="","",'04_月間表'!F27)</f>
        <v/>
      </c>
    </row>
    <row r="27">
      <c r="A27" s="38">
        <f>IF('04_月間表'!$A28="","",'04_月間表'!$A28)</f>
        <v/>
      </c>
      <c r="B27" s="45">
        <f>IF($A27="","",MID("日月火水木金土",WEEKDAY($A27),1))</f>
        <v/>
      </c>
      <c r="C27" s="51">
        <f>IF($A27="","",'04_月間表'!$AF28)</f>
        <v/>
      </c>
      <c r="D27" s="51">
        <f>IF($A27="","",'04_月間表'!$AG28)</f>
        <v/>
      </c>
      <c r="E27" s="51">
        <f>IF($A27="","",'04_月間表'!$AH28)</f>
        <v/>
      </c>
      <c r="F27" s="52">
        <f>IF($A27="","",IF('04_月間表'!$AJ28=0,"","※"))</f>
        <v/>
      </c>
      <c r="G27" s="46">
        <f>IF($A27="","",'04_月間表'!C28)</f>
        <v/>
      </c>
      <c r="H27" s="46">
        <f>IF($A27="","",'04_月間表'!D28)</f>
        <v/>
      </c>
      <c r="I27" s="46">
        <f>IF($A27="","",'04_月間表'!E28)</f>
        <v/>
      </c>
      <c r="J27" s="46">
        <f>IF($A27="","",'04_月間表'!F28)</f>
        <v/>
      </c>
    </row>
    <row r="28">
      <c r="A28" s="38">
        <f>IF('04_月間表'!$A29="","",'04_月間表'!$A29)</f>
        <v/>
      </c>
      <c r="B28" s="45">
        <f>IF($A28="","",MID("日月火水木金土",WEEKDAY($A28),1))</f>
        <v/>
      </c>
      <c r="C28" s="51">
        <f>IF($A28="","",'04_月間表'!$AF29)</f>
        <v/>
      </c>
      <c r="D28" s="51">
        <f>IF($A28="","",'04_月間表'!$AG29)</f>
        <v/>
      </c>
      <c r="E28" s="51">
        <f>IF($A28="","",'04_月間表'!$AH29)</f>
        <v/>
      </c>
      <c r="F28" s="52">
        <f>IF($A28="","",IF('04_月間表'!$AJ29=0,"","※"))</f>
        <v/>
      </c>
      <c r="G28" s="46">
        <f>IF($A28="","",'04_月間表'!C29)</f>
        <v/>
      </c>
      <c r="H28" s="46">
        <f>IF($A28="","",'04_月間表'!D29)</f>
        <v/>
      </c>
      <c r="I28" s="46">
        <f>IF($A28="","",'04_月間表'!E29)</f>
        <v/>
      </c>
      <c r="J28" s="46">
        <f>IF($A28="","",'04_月間表'!F29)</f>
        <v/>
      </c>
    </row>
    <row r="29">
      <c r="A29" s="38">
        <f>IF('04_月間表'!$A30="","",'04_月間表'!$A30)</f>
        <v/>
      </c>
      <c r="B29" s="45">
        <f>IF($A29="","",MID("日月火水木金土",WEEKDAY($A29),1))</f>
        <v/>
      </c>
      <c r="C29" s="51">
        <f>IF($A29="","",'04_月間表'!$AF30)</f>
        <v/>
      </c>
      <c r="D29" s="51">
        <f>IF($A29="","",'04_月間表'!$AG30)</f>
        <v/>
      </c>
      <c r="E29" s="51">
        <f>IF($A29="","",'04_月間表'!$AH30)</f>
        <v/>
      </c>
      <c r="F29" s="52">
        <f>IF($A29="","",IF('04_月間表'!$AJ30=0,"","※"))</f>
        <v/>
      </c>
      <c r="G29" s="46">
        <f>IF($A29="","",'04_月間表'!C30)</f>
        <v/>
      </c>
      <c r="H29" s="46">
        <f>IF($A29="","",'04_月間表'!D30)</f>
        <v/>
      </c>
      <c r="I29" s="46">
        <f>IF($A29="","",'04_月間表'!E30)</f>
        <v/>
      </c>
      <c r="J29" s="46">
        <f>IF($A29="","",'04_月間表'!F30)</f>
        <v/>
      </c>
    </row>
    <row r="30">
      <c r="A30" s="38">
        <f>IF('04_月間表'!$A31="","",'04_月間表'!$A31)</f>
        <v/>
      </c>
      <c r="B30" s="45">
        <f>IF($A30="","",MID("日月火水木金土",WEEKDAY($A30),1))</f>
        <v/>
      </c>
      <c r="C30" s="51">
        <f>IF($A30="","",'04_月間表'!$AF31)</f>
        <v/>
      </c>
      <c r="D30" s="51">
        <f>IF($A30="","",'04_月間表'!$AG31)</f>
        <v/>
      </c>
      <c r="E30" s="51">
        <f>IF($A30="","",'04_月間表'!$AH31)</f>
        <v/>
      </c>
      <c r="F30" s="52">
        <f>IF($A30="","",IF('04_月間表'!$AJ31=0,"","※"))</f>
        <v/>
      </c>
      <c r="G30" s="46">
        <f>IF($A30="","",'04_月間表'!C31)</f>
        <v/>
      </c>
      <c r="H30" s="46">
        <f>IF($A30="","",'04_月間表'!D31)</f>
        <v/>
      </c>
      <c r="I30" s="46">
        <f>IF($A30="","",'04_月間表'!E31)</f>
        <v/>
      </c>
      <c r="J30" s="46">
        <f>IF($A30="","",'04_月間表'!F31)</f>
        <v/>
      </c>
    </row>
    <row r="31">
      <c r="A31" s="38">
        <f>IF('04_月間表'!$A32="","",'04_月間表'!$A32)</f>
        <v/>
      </c>
      <c r="B31" s="45">
        <f>IF($A31="","",MID("日月火水木金土",WEEKDAY($A31),1))</f>
        <v/>
      </c>
      <c r="C31" s="51">
        <f>IF($A31="","",'04_月間表'!$AF32)</f>
        <v/>
      </c>
      <c r="D31" s="51">
        <f>IF($A31="","",'04_月間表'!$AG32)</f>
        <v/>
      </c>
      <c r="E31" s="51">
        <f>IF($A31="","",'04_月間表'!$AH32)</f>
        <v/>
      </c>
      <c r="F31" s="52">
        <f>IF($A31="","",IF('04_月間表'!$AJ32=0,"","※"))</f>
        <v/>
      </c>
      <c r="G31" s="46">
        <f>IF($A31="","",'04_月間表'!C32)</f>
        <v/>
      </c>
      <c r="H31" s="46">
        <f>IF($A31="","",'04_月間表'!D32)</f>
        <v/>
      </c>
      <c r="I31" s="46">
        <f>IF($A31="","",'04_月間表'!E32)</f>
        <v/>
      </c>
      <c r="J31" s="46">
        <f>IF($A31="","",'04_月間表'!F32)</f>
        <v/>
      </c>
    </row>
    <row r="32">
      <c r="A32" s="38">
        <f>IF('04_月間表'!$A33="","",'04_月間表'!$A33)</f>
        <v/>
      </c>
      <c r="B32" s="45">
        <f>IF($A32="","",MID("日月火水木金土",WEEKDAY($A32),1))</f>
        <v/>
      </c>
      <c r="C32" s="51">
        <f>IF($A32="","",'04_月間表'!$AF33)</f>
        <v/>
      </c>
      <c r="D32" s="51">
        <f>IF($A32="","",'04_月間表'!$AG33)</f>
        <v/>
      </c>
      <c r="E32" s="51">
        <f>IF($A32="","",'04_月間表'!$AH33)</f>
        <v/>
      </c>
      <c r="F32" s="52">
        <f>IF($A32="","",IF('04_月間表'!$AJ33=0,"","※"))</f>
        <v/>
      </c>
      <c r="G32" s="46">
        <f>IF($A32="","",'04_月間表'!C33)</f>
        <v/>
      </c>
      <c r="H32" s="46">
        <f>IF($A32="","",'04_月間表'!D33)</f>
        <v/>
      </c>
      <c r="I32" s="46">
        <f>IF($A32="","",'04_月間表'!E33)</f>
        <v/>
      </c>
      <c r="J32" s="46">
        <f>IF($A32="","",'04_月間表'!F33)</f>
        <v/>
      </c>
    </row>
    <row r="33">
      <c r="A33" s="38">
        <f>IF('04_月間表'!$A34="","",'04_月間表'!$A34)</f>
        <v/>
      </c>
      <c r="B33" s="45">
        <f>IF($A33="","",MID("日月火水木金土",WEEKDAY($A33),1))</f>
        <v/>
      </c>
      <c r="C33" s="51">
        <f>IF($A33="","",'04_月間表'!$AF34)</f>
        <v/>
      </c>
      <c r="D33" s="51">
        <f>IF($A33="","",'04_月間表'!$AG34)</f>
        <v/>
      </c>
      <c r="E33" s="51">
        <f>IF($A33="","",'04_月間表'!$AH34)</f>
        <v/>
      </c>
      <c r="F33" s="52">
        <f>IF($A33="","",IF('04_月間表'!$AJ34=0,"","※"))</f>
        <v/>
      </c>
      <c r="G33" s="46">
        <f>IF($A33="","",'04_月間表'!C34)</f>
        <v/>
      </c>
      <c r="H33" s="46">
        <f>IF($A33="","",'04_月間表'!D34)</f>
        <v/>
      </c>
      <c r="I33" s="46">
        <f>IF($A33="","",'04_月間表'!E34)</f>
        <v/>
      </c>
      <c r="J33" s="46">
        <f>IF($A33="","",'04_月間表'!F34)</f>
        <v/>
      </c>
    </row>
    <row r="34">
      <c r="A34" s="38">
        <f>IF('04_月間表'!$A35="","",'04_月間表'!$A35)</f>
        <v/>
      </c>
      <c r="B34" s="45">
        <f>IF($A34="","",MID("日月火水木金土",WEEKDAY($A34),1))</f>
        <v/>
      </c>
      <c r="C34" s="51">
        <f>IF($A34="","",'04_月間表'!$AF35)</f>
        <v/>
      </c>
      <c r="D34" s="51">
        <f>IF($A34="","",'04_月間表'!$AG35)</f>
        <v/>
      </c>
      <c r="E34" s="51">
        <f>IF($A34="","",'04_月間表'!$AH35)</f>
        <v/>
      </c>
      <c r="F34" s="52">
        <f>IF($A34="","",IF('04_月間表'!$AJ35=0,"","※"))</f>
        <v/>
      </c>
      <c r="G34" s="46">
        <f>IF($A34="","",'04_月間表'!C35)</f>
        <v/>
      </c>
      <c r="H34" s="46">
        <f>IF($A34="","",'04_月間表'!D35)</f>
        <v/>
      </c>
      <c r="I34" s="46">
        <f>IF($A34="","",'04_月間表'!E35)</f>
        <v/>
      </c>
      <c r="J34" s="46">
        <f>IF($A34="","",'04_月間表'!F35)</f>
        <v/>
      </c>
    </row>
    <row r="35">
      <c r="A35" s="38">
        <f>IF('04_月間表'!$A36="","",'04_月間表'!$A36)</f>
        <v/>
      </c>
      <c r="B35" s="45">
        <f>IF($A35="","",MID("日月火水木金土",WEEKDAY($A35),1))</f>
        <v/>
      </c>
      <c r="C35" s="51">
        <f>IF($A35="","",'04_月間表'!$AF36)</f>
        <v/>
      </c>
      <c r="D35" s="51">
        <f>IF($A35="","",'04_月間表'!$AG36)</f>
        <v/>
      </c>
      <c r="E35" s="51">
        <f>IF($A35="","",'04_月間表'!$AH36)</f>
        <v/>
      </c>
      <c r="F35" s="52">
        <f>IF($A35="","",IF('04_月間表'!$AJ36=0,"","※"))</f>
        <v/>
      </c>
      <c r="G35" s="46">
        <f>IF($A35="","",'04_月間表'!C36)</f>
        <v/>
      </c>
      <c r="H35" s="46">
        <f>IF($A35="","",'04_月間表'!D36)</f>
        <v/>
      </c>
      <c r="I35" s="46">
        <f>IF($A35="","",'04_月間表'!E36)</f>
        <v/>
      </c>
      <c r="J35" s="46">
        <f>IF($A35="","",'04_月間表'!F36)</f>
        <v/>
      </c>
    </row>
    <row r="36">
      <c r="A36" s="38">
        <f>IF('04_月間表'!$A37="","",'04_月間表'!$A37)</f>
        <v/>
      </c>
      <c r="B36" s="45">
        <f>IF($A36="","",MID("日月火水木金土",WEEKDAY($A36),1))</f>
        <v/>
      </c>
      <c r="C36" s="51">
        <f>IF($A36="","",'04_月間表'!$AF37)</f>
        <v/>
      </c>
      <c r="D36" s="51">
        <f>IF($A36="","",'04_月間表'!$AG37)</f>
        <v/>
      </c>
      <c r="E36" s="51">
        <f>IF($A36="","",'04_月間表'!$AH37)</f>
        <v/>
      </c>
      <c r="F36" s="52">
        <f>IF($A36="","",IF('04_月間表'!$AJ37=0,"","※"))</f>
        <v/>
      </c>
      <c r="G36" s="46">
        <f>IF($A36="","",'04_月間表'!C37)</f>
        <v/>
      </c>
      <c r="H36" s="46">
        <f>IF($A36="","",'04_月間表'!D37)</f>
        <v/>
      </c>
      <c r="I36" s="46">
        <f>IF($A36="","",'04_月間表'!E37)</f>
        <v/>
      </c>
      <c r="J36" s="46">
        <f>IF($A36="","",'04_月間表'!F37)</f>
        <v/>
      </c>
    </row>
    <row r="38">
      <c r="A38" s="15" t="inlineStr">
        <is>
          <t>月合計</t>
        </is>
      </c>
      <c r="C38" s="53">
        <f>SUM(C6:C36)</f>
        <v/>
      </c>
      <c r="D38" s="53">
        <f>SUM(D6:D36)</f>
        <v/>
      </c>
      <c r="E38" s="53">
        <f>SUM(E6:E36)</f>
        <v/>
      </c>
      <c r="G38" s="2" t="inlineStr">
        <is>
          <t>「調整」に ※ が付いた日は、02_カレンダー で個別に指定した食数です</t>
        </is>
      </c>
    </row>
  </sheetData>
  <conditionalFormatting sqref="A6:B36">
    <cfRule type="expression" priority="1" dxfId="12">
      <formula>AND($A6&lt;&gt;"",WEEKDAY($A6,2)&gt;=6)</formula>
    </cfRule>
  </conditionalFormatting>
  <conditionalFormatting sqref="A6:J36">
    <cfRule type="expression" priority="2" dxfId="13">
      <formula>$F6="※"</formula>
    </cfRule>
  </conditionalFormatting>
  <pageMargins left="0.75" right="0.75" top="1" bottom="1" header="0.5" footer="0.5"/>
  <pageSetup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5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4" customWidth="1" min="3" max="3"/>
    <col width="15" customWidth="1" min="4" max="4"/>
    <col width="15" customWidth="1" min="5" max="5"/>
    <col width="16" customWidth="1" min="6" max="6"/>
    <col width="17" customWidth="1" min="7" max="7"/>
    <col hidden="1" width="13" customWidth="1" min="10" max="10"/>
  </cols>
  <sheetData>
    <row r="1">
      <c r="A1" s="1" t="inlineStr">
        <is>
          <t>期間集計・稼働率（上司報告・請求突合用）</t>
        </is>
      </c>
    </row>
    <row r="2">
      <c r="A2" s="2" t="inlineStr">
        <is>
          <t>期間を入れると稼働率・区分別・利用者別が出ます。キャンセルは除外。期間にかかった滞在は、期間内に重なる日数だけ数えます。</t>
        </is>
      </c>
    </row>
    <row r="3">
      <c r="A3" s="15" t="inlineStr">
        <is>
          <t>開始日</t>
        </is>
      </c>
      <c r="B3" s="16" t="n"/>
      <c r="C3" s="2" t="inlineStr">
        <is>
          <t>空欄にすると 02_カレンダー の対象月の1日になります</t>
        </is>
      </c>
      <c r="J3" s="54">
        <f>IF($B$3="",'02_カレンダー'!$B$4,$B$3)</f>
        <v/>
      </c>
    </row>
    <row r="4">
      <c r="A4" s="15" t="inlineStr">
        <is>
          <t>終了日</t>
        </is>
      </c>
      <c r="B4" s="16" t="n"/>
      <c r="C4" s="2" t="inlineStr">
        <is>
          <t>空欄にすると 02_カレンダー の対象月の末日になります</t>
        </is>
      </c>
      <c r="J4" s="54">
        <f>IF($B$4="",EOMONTH('02_カレンダー'!$B$4,0),$B$4)</f>
        <v/>
      </c>
    </row>
    <row r="5">
      <c r="A5" s="15" t="inlineStr">
        <is>
          <t>集計する期間</t>
        </is>
      </c>
      <c r="B5" s="55">
        <f>YEAR($J$3)&amp;"年"&amp;MONTH($J$3)&amp;"月"&amp;DAY($J$3)&amp;"日　〜　"&amp;YEAR($J$4)&amp;"年"&amp;MONTH($J$4)&amp;"月"&amp;DAY($J$4)&amp;"日"</f>
        <v/>
      </c>
      <c r="C5" s="2" t="inlineStr">
        <is>
          <t>年度でまとめたいときは 2026/4/1 と 2027/3/31 のように直接入れてください</t>
        </is>
      </c>
    </row>
    <row r="6">
      <c r="B6" s="56">
        <f>IF($J$4&lt;$J$3,"⚠ 終了日が開始日より前です。日付を確認してください","")</f>
        <v/>
      </c>
    </row>
    <row r="7">
      <c r="A7" s="20" t="inlineStr">
        <is>
          <t>■ 稼働の概要</t>
        </is>
      </c>
    </row>
    <row r="8" ht="30" customHeight="1">
      <c r="A8" s="7" t="inlineStr">
        <is>
          <t>期間の日数</t>
        </is>
      </c>
      <c r="B8" s="7" t="inlineStr">
        <is>
          <t>定員（室）</t>
        </is>
      </c>
      <c r="C8" s="7" t="inlineStr">
        <is>
          <t>提供できる
延べ室数</t>
        </is>
      </c>
      <c r="D8" s="7" t="inlineStr">
        <is>
          <t>延べ宿泊数
（確定）</t>
        </is>
      </c>
      <c r="E8" s="7" t="inlineStr">
        <is>
          <t>稼働率
（確定）</t>
        </is>
      </c>
      <c r="F8" s="7" t="inlineStr">
        <is>
          <t>延べ宿泊数
（仮予約）</t>
        </is>
      </c>
      <c r="G8" s="7" t="inlineStr">
        <is>
          <t>稼働率
（仮予約を含む）</t>
        </is>
      </c>
    </row>
    <row r="9" ht="24" customHeight="1">
      <c r="A9" s="57">
        <f>IF($J$4&lt;$J$3,"",$J$4-$J$3+1&amp;" 日")</f>
        <v/>
      </c>
      <c r="B9" s="57">
        <f>'M_施設設定'!$B$6</f>
        <v/>
      </c>
      <c r="C9" s="57">
        <f>IF($J$4&lt;$J$3,"",(($J$4-$J$3+1)*'M_施設設定'!$B$6))</f>
        <v/>
      </c>
      <c r="D9" s="57">
        <f>IF($J$4&lt;$J$3,"",SUMPRODUCT(('01_予約入力'!$G$5:$G$404&lt;&gt;"")*('01_予約入力'!$Q$5:$Q$404&lt;&gt;"キャンセル")*('01_予約入力'!$Q$5:$Q$404&lt;&gt;"仮予約")*('01_予約入力'!$Q$5:$Q$404&lt;&gt;"調整中"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E9" s="123">
        <f>IF(OR($J$4&lt;$J$3,(($J$4-$J$3+1)*'M_施設設定'!$B$6)=0),"",$D$9/(($J$4-$J$3+1)*'M_施設設定'!$B$6))</f>
        <v/>
      </c>
      <c r="F9" s="57">
        <f>IF($J$4&lt;$J$3,"",SUMPRODUCT(('01_予約入力'!$G$5:$G$404&lt;&gt;"")*('01_予約入力'!$Q$5:$Q$404&lt;&gt;"キャンセル")*(('01_予約入力'!$Q$5:$Q$404="仮予約")+('01_予約入力'!$Q$5:$Q$404="調整中")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G9" s="123">
        <f>IF(OR($J$4&lt;$J$3,(($J$4-$J$3+1)*'M_施設設定'!$B$6)=0),"",($D$9+$F$9)/(($J$4-$J$3+1)*'M_施設設定'!$B$6))</f>
        <v/>
      </c>
    </row>
    <row r="10">
      <c r="A10" s="2" t="inlineStr">
        <is>
          <t>※ 稼働率 ＝ 延べ宿泊数 ÷（定員 × 期間の日数）。「泊」で数えるので、退所日の夜は次の方が使える前提です。日帰り（0泊）は稼働率に入りません。</t>
        </is>
      </c>
    </row>
    <row r="11">
      <c r="A11" s="2" t="inlineStr">
        <is>
          <t>※ 「確定」は 確定・利用済み・状態未記入 の予約です。仮予約・調整中は右の2列で見込みとして示します。</t>
        </is>
      </c>
    </row>
    <row r="13">
      <c r="A13" s="20" t="inlineStr">
        <is>
          <t>■ 区分別</t>
        </is>
      </c>
    </row>
    <row r="14" ht="30" customHeight="1">
      <c r="A14" s="7" t="inlineStr">
        <is>
          <t>区分</t>
        </is>
      </c>
      <c r="B14" s="7" t="inlineStr">
        <is>
          <t>利用者数</t>
        </is>
      </c>
      <c r="C14" s="7" t="inlineStr">
        <is>
          <t>利用回数</t>
        </is>
      </c>
      <c r="D14" s="7" t="inlineStr">
        <is>
          <t>延べ利用日数</t>
        </is>
      </c>
      <c r="E14" s="7" t="inlineStr">
        <is>
          <t>延べ宿泊数</t>
        </is>
      </c>
      <c r="F14" s="7" t="inlineStr">
        <is>
          <t>稼働率</t>
        </is>
      </c>
    </row>
    <row r="15">
      <c r="A15" s="49">
        <f>IF(COUNTA('M_区分'!$A$4:$A$20)&gt;=1,INDEX('M_区分'!$A$4:$A$20,1),"")</f>
        <v/>
      </c>
      <c r="B15" s="45">
        <f>IF($A15="","",SUMPRODUCT(--(COUNTIFS('01_予約入力'!$B$5:$B$404,'利用者マスタ'!$A$4:$A$60,'01_予約入力'!$C$5:$C$404,$A15,'01_予約入力'!$G$5:$G$404,"&lt;="&amp;$J$4,'01_予約入力'!$J$5:$J$404,"&gt;="&amp;$J$3,'01_予約入力'!$Q$5:$Q$404,"&lt;&gt;キャンセル")&gt;0)*('利用者マスタ'!$A$4:$A$60&lt;&gt;"")))</f>
        <v/>
      </c>
      <c r="C15" s="45">
        <f>IF($A15="","",COUNTIFS('01_予約入力'!$C$5:$C$404,$A15,'01_予約入力'!$G$5:$G$404,"&lt;="&amp;$J$4,'01_予約入力'!$J$5:$J$404,"&gt;="&amp;$J$3,'01_予約入力'!$Q$5:$Q$404,"&lt;&gt;キャンセル"))</f>
        <v/>
      </c>
      <c r="D15" s="45">
        <f>IF($A15="","",SUMPRODUCT(('01_予約入力'!$G$5:$G$404&lt;&gt;"")*('01_予約入力'!$Q$5:$Q$404&lt;&gt;"キャンセル")*('01_予約入力'!$C$5:$C$404=$A15)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E15" s="45">
        <f>IF($A15="","",SUMPRODUCT(('01_予約入力'!$G$5:$G$404&lt;&gt;"")*('01_予約入力'!$Q$5:$Q$404&lt;&gt;"キャンセル")*('01_予約入力'!$C$5:$C$404=$A15)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F15" s="124">
        <f>IF(OR($A15="",(($J$4-$J$3+1)*'M_施設設定'!$B$6)=0),"",$E15/(($J$4-$J$3+1)*'M_施設設定'!$B$6))</f>
        <v/>
      </c>
    </row>
    <row r="16">
      <c r="A16" s="49">
        <f>IF(COUNTA('M_区分'!$A$4:$A$20)&gt;=2,INDEX('M_区分'!$A$4:$A$20,2),"")</f>
        <v/>
      </c>
      <c r="B16" s="45">
        <f>IF($A16="","",SUMPRODUCT(--(COUNTIFS('01_予約入力'!$B$5:$B$404,'利用者マスタ'!$A$4:$A$60,'01_予約入力'!$C$5:$C$404,$A16,'01_予約入力'!$G$5:$G$404,"&lt;="&amp;$J$4,'01_予約入力'!$J$5:$J$404,"&gt;="&amp;$J$3,'01_予約入力'!$Q$5:$Q$404,"&lt;&gt;キャンセル")&gt;0)*('利用者マスタ'!$A$4:$A$60&lt;&gt;"")))</f>
        <v/>
      </c>
      <c r="C16" s="45">
        <f>IF($A16="","",COUNTIFS('01_予約入力'!$C$5:$C$404,$A16,'01_予約入力'!$G$5:$G$404,"&lt;="&amp;$J$4,'01_予約入力'!$J$5:$J$404,"&gt;="&amp;$J$3,'01_予約入力'!$Q$5:$Q$404,"&lt;&gt;キャンセル"))</f>
        <v/>
      </c>
      <c r="D16" s="45">
        <f>IF($A16="","",SUMPRODUCT(('01_予約入力'!$G$5:$G$404&lt;&gt;"")*('01_予約入力'!$Q$5:$Q$404&lt;&gt;"キャンセル")*('01_予約入力'!$C$5:$C$404=$A16)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E16" s="45">
        <f>IF($A16="","",SUMPRODUCT(('01_予約入力'!$G$5:$G$404&lt;&gt;"")*('01_予約入力'!$Q$5:$Q$404&lt;&gt;"キャンセル")*('01_予約入力'!$C$5:$C$404=$A16)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F16" s="124">
        <f>IF(OR($A16="",(($J$4-$J$3+1)*'M_施設設定'!$B$6)=0),"",$E16/(($J$4-$J$3+1)*'M_施設設定'!$B$6))</f>
        <v/>
      </c>
    </row>
    <row r="17">
      <c r="A17" s="49">
        <f>IF(COUNTA('M_区分'!$A$4:$A$20)&gt;=3,INDEX('M_区分'!$A$4:$A$20,3),"")</f>
        <v/>
      </c>
      <c r="B17" s="45">
        <f>IF($A17="","",SUMPRODUCT(--(COUNTIFS('01_予約入力'!$B$5:$B$404,'利用者マスタ'!$A$4:$A$60,'01_予約入力'!$C$5:$C$404,$A17,'01_予約入力'!$G$5:$G$404,"&lt;="&amp;$J$4,'01_予約入力'!$J$5:$J$404,"&gt;="&amp;$J$3,'01_予約入力'!$Q$5:$Q$404,"&lt;&gt;キャンセル")&gt;0)*('利用者マスタ'!$A$4:$A$60&lt;&gt;"")))</f>
        <v/>
      </c>
      <c r="C17" s="45">
        <f>IF($A17="","",COUNTIFS('01_予約入力'!$C$5:$C$404,$A17,'01_予約入力'!$G$5:$G$404,"&lt;="&amp;$J$4,'01_予約入力'!$J$5:$J$404,"&gt;="&amp;$J$3,'01_予約入力'!$Q$5:$Q$404,"&lt;&gt;キャンセル"))</f>
        <v/>
      </c>
      <c r="D17" s="45">
        <f>IF($A17="","",SUMPRODUCT(('01_予約入力'!$G$5:$G$404&lt;&gt;"")*('01_予約入力'!$Q$5:$Q$404&lt;&gt;"キャンセル")*('01_予約入力'!$C$5:$C$404=$A17)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E17" s="45">
        <f>IF($A17="","",SUMPRODUCT(('01_予約入力'!$G$5:$G$404&lt;&gt;"")*('01_予約入力'!$Q$5:$Q$404&lt;&gt;"キャンセル")*('01_予約入力'!$C$5:$C$404=$A17)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F17" s="124">
        <f>IF(OR($A17="",(($J$4-$J$3+1)*'M_施設設定'!$B$6)=0),"",$E17/(($J$4-$J$3+1)*'M_施設設定'!$B$6))</f>
        <v/>
      </c>
    </row>
    <row r="18">
      <c r="A18" s="49">
        <f>IF(COUNTA('M_区分'!$A$4:$A$20)&gt;=4,INDEX('M_区分'!$A$4:$A$20,4),"")</f>
        <v/>
      </c>
      <c r="B18" s="45">
        <f>IF($A18="","",SUMPRODUCT(--(COUNTIFS('01_予約入力'!$B$5:$B$404,'利用者マスタ'!$A$4:$A$60,'01_予約入力'!$C$5:$C$404,$A18,'01_予約入力'!$G$5:$G$404,"&lt;="&amp;$J$4,'01_予約入力'!$J$5:$J$404,"&gt;="&amp;$J$3,'01_予約入力'!$Q$5:$Q$404,"&lt;&gt;キャンセル")&gt;0)*('利用者マスタ'!$A$4:$A$60&lt;&gt;"")))</f>
        <v/>
      </c>
      <c r="C18" s="45">
        <f>IF($A18="","",COUNTIFS('01_予約入力'!$C$5:$C$404,$A18,'01_予約入力'!$G$5:$G$404,"&lt;="&amp;$J$4,'01_予約入力'!$J$5:$J$404,"&gt;="&amp;$J$3,'01_予約入力'!$Q$5:$Q$404,"&lt;&gt;キャンセル"))</f>
        <v/>
      </c>
      <c r="D18" s="45">
        <f>IF($A18="","",SUMPRODUCT(('01_予約入力'!$G$5:$G$404&lt;&gt;"")*('01_予約入力'!$Q$5:$Q$404&lt;&gt;"キャンセル")*('01_予約入力'!$C$5:$C$404=$A18)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E18" s="45">
        <f>IF($A18="","",SUMPRODUCT(('01_予約入力'!$G$5:$G$404&lt;&gt;"")*('01_予約入力'!$Q$5:$Q$404&lt;&gt;"キャンセル")*('01_予約入力'!$C$5:$C$404=$A18)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F18" s="124">
        <f>IF(OR($A18="",(($J$4-$J$3+1)*'M_施設設定'!$B$6)=0),"",$E18/(($J$4-$J$3+1)*'M_施設設定'!$B$6))</f>
        <v/>
      </c>
    </row>
    <row r="19">
      <c r="A19" s="49">
        <f>IF(COUNTA('M_区分'!$A$4:$A$20)&gt;=5,INDEX('M_区分'!$A$4:$A$20,5),"")</f>
        <v/>
      </c>
      <c r="B19" s="45">
        <f>IF($A19="","",SUMPRODUCT(--(COUNTIFS('01_予約入力'!$B$5:$B$404,'利用者マスタ'!$A$4:$A$60,'01_予約入力'!$C$5:$C$404,$A19,'01_予約入力'!$G$5:$G$404,"&lt;="&amp;$J$4,'01_予約入力'!$J$5:$J$404,"&gt;="&amp;$J$3,'01_予約入力'!$Q$5:$Q$404,"&lt;&gt;キャンセル")&gt;0)*('利用者マスタ'!$A$4:$A$60&lt;&gt;"")))</f>
        <v/>
      </c>
      <c r="C19" s="45">
        <f>IF($A19="","",COUNTIFS('01_予約入力'!$C$5:$C$404,$A19,'01_予約入力'!$G$5:$G$404,"&lt;="&amp;$J$4,'01_予約入力'!$J$5:$J$404,"&gt;="&amp;$J$3,'01_予約入力'!$Q$5:$Q$404,"&lt;&gt;キャンセル"))</f>
        <v/>
      </c>
      <c r="D19" s="45">
        <f>IF($A19="","",SUMPRODUCT(('01_予約入力'!$G$5:$G$404&lt;&gt;"")*('01_予約入力'!$Q$5:$Q$404&lt;&gt;"キャンセル")*('01_予約入力'!$C$5:$C$404=$A19)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E19" s="45">
        <f>IF($A19="","",SUMPRODUCT(('01_予約入力'!$G$5:$G$404&lt;&gt;"")*('01_予約入力'!$Q$5:$Q$404&lt;&gt;"キャンセル")*('01_予約入力'!$C$5:$C$404=$A19)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F19" s="124">
        <f>IF(OR($A19="",(($J$4-$J$3+1)*'M_施設設定'!$B$6)=0),"",$E19/(($J$4-$J$3+1)*'M_施設設定'!$B$6))</f>
        <v/>
      </c>
    </row>
    <row r="20">
      <c r="A20" s="49">
        <f>IF(COUNTA('M_区分'!$A$4:$A$20)&gt;=6,INDEX('M_区分'!$A$4:$A$20,6),"")</f>
        <v/>
      </c>
      <c r="B20" s="45">
        <f>IF($A20="","",SUMPRODUCT(--(COUNTIFS('01_予約入力'!$B$5:$B$404,'利用者マスタ'!$A$4:$A$60,'01_予約入力'!$C$5:$C$404,$A20,'01_予約入力'!$G$5:$G$404,"&lt;="&amp;$J$4,'01_予約入力'!$J$5:$J$404,"&gt;="&amp;$J$3,'01_予約入力'!$Q$5:$Q$404,"&lt;&gt;キャンセル")&gt;0)*('利用者マスタ'!$A$4:$A$60&lt;&gt;"")))</f>
        <v/>
      </c>
      <c r="C20" s="45">
        <f>IF($A20="","",COUNTIFS('01_予約入力'!$C$5:$C$404,$A20,'01_予約入力'!$G$5:$G$404,"&lt;="&amp;$J$4,'01_予約入力'!$J$5:$J$404,"&gt;="&amp;$J$3,'01_予約入力'!$Q$5:$Q$404,"&lt;&gt;キャンセル"))</f>
        <v/>
      </c>
      <c r="D20" s="45">
        <f>IF($A20="","",SUMPRODUCT(('01_予約入力'!$G$5:$G$404&lt;&gt;"")*('01_予約入力'!$Q$5:$Q$404&lt;&gt;"キャンセル")*('01_予約入力'!$C$5:$C$404=$A20)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E20" s="45">
        <f>IF($A20="","",SUMPRODUCT(('01_予約入力'!$G$5:$G$404&lt;&gt;"")*('01_予約入力'!$Q$5:$Q$404&lt;&gt;"キャンセル")*('01_予約入力'!$C$5:$C$404=$A20)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F20" s="124">
        <f>IF(OR($A20="",(($J$4-$J$3+1)*'M_施設設定'!$B$6)=0),"",$E20/(($J$4-$J$3+1)*'M_施設設定'!$B$6))</f>
        <v/>
      </c>
    </row>
    <row r="21">
      <c r="A21" s="49">
        <f>IF(COUNTA('M_区分'!$A$4:$A$20)&gt;=7,INDEX('M_区分'!$A$4:$A$20,7),"")</f>
        <v/>
      </c>
      <c r="B21" s="45">
        <f>IF($A21="","",SUMPRODUCT(--(COUNTIFS('01_予約入力'!$B$5:$B$404,'利用者マスタ'!$A$4:$A$60,'01_予約入力'!$C$5:$C$404,$A21,'01_予約入力'!$G$5:$G$404,"&lt;="&amp;$J$4,'01_予約入力'!$J$5:$J$404,"&gt;="&amp;$J$3,'01_予約入力'!$Q$5:$Q$404,"&lt;&gt;キャンセル")&gt;0)*('利用者マスタ'!$A$4:$A$60&lt;&gt;"")))</f>
        <v/>
      </c>
      <c r="C21" s="45">
        <f>IF($A21="","",COUNTIFS('01_予約入力'!$C$5:$C$404,$A21,'01_予約入力'!$G$5:$G$404,"&lt;="&amp;$J$4,'01_予約入力'!$J$5:$J$404,"&gt;="&amp;$J$3,'01_予約入力'!$Q$5:$Q$404,"&lt;&gt;キャンセル"))</f>
        <v/>
      </c>
      <c r="D21" s="45">
        <f>IF($A21="","",SUMPRODUCT(('01_予約入力'!$G$5:$G$404&lt;&gt;"")*('01_予約入力'!$Q$5:$Q$404&lt;&gt;"キャンセル")*('01_予約入力'!$C$5:$C$404=$A21)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E21" s="45">
        <f>IF($A21="","",SUMPRODUCT(('01_予約入力'!$G$5:$G$404&lt;&gt;"")*('01_予約入力'!$Q$5:$Q$404&lt;&gt;"キャンセル")*('01_予約入力'!$C$5:$C$404=$A21)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F21" s="124">
        <f>IF(OR($A21="",(($J$4-$J$3+1)*'M_施設設定'!$B$6)=0),"",$E21/(($J$4-$J$3+1)*'M_施設設定'!$B$6))</f>
        <v/>
      </c>
    </row>
    <row r="22">
      <c r="A22" s="49">
        <f>IF(COUNTA('M_区分'!$A$4:$A$20)&gt;=8,INDEX('M_区分'!$A$4:$A$20,8),"")</f>
        <v/>
      </c>
      <c r="B22" s="45">
        <f>IF($A22="","",SUMPRODUCT(--(COUNTIFS('01_予約入力'!$B$5:$B$404,'利用者マスタ'!$A$4:$A$60,'01_予約入力'!$C$5:$C$404,$A22,'01_予約入力'!$G$5:$G$404,"&lt;="&amp;$J$4,'01_予約入力'!$J$5:$J$404,"&gt;="&amp;$J$3,'01_予約入力'!$Q$5:$Q$404,"&lt;&gt;キャンセル")&gt;0)*('利用者マスタ'!$A$4:$A$60&lt;&gt;"")))</f>
        <v/>
      </c>
      <c r="C22" s="45">
        <f>IF($A22="","",COUNTIFS('01_予約入力'!$C$5:$C$404,$A22,'01_予約入力'!$G$5:$G$404,"&lt;="&amp;$J$4,'01_予約入力'!$J$5:$J$404,"&gt;="&amp;$J$3,'01_予約入力'!$Q$5:$Q$404,"&lt;&gt;キャンセル"))</f>
        <v/>
      </c>
      <c r="D22" s="45">
        <f>IF($A22="","",SUMPRODUCT(('01_予約入力'!$G$5:$G$404&lt;&gt;"")*('01_予約入力'!$Q$5:$Q$404&lt;&gt;"キャンセル")*('01_予約入力'!$C$5:$C$404=$A22)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E22" s="45">
        <f>IF($A22="","",SUMPRODUCT(('01_予約入力'!$G$5:$G$404&lt;&gt;"")*('01_予約入力'!$Q$5:$Q$404&lt;&gt;"キャンセル")*('01_予約入力'!$C$5:$C$404=$A22)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F22" s="124">
        <f>IF(OR($A22="",(($J$4-$J$3+1)*'M_施設設定'!$B$6)=0),"",$E22/(($J$4-$J$3+1)*'M_施設設定'!$B$6))</f>
        <v/>
      </c>
    </row>
    <row r="23">
      <c r="A23" s="49">
        <f>IF(COUNTA('M_区分'!$A$4:$A$20)&gt;=9,INDEX('M_区分'!$A$4:$A$20,9),"")</f>
        <v/>
      </c>
      <c r="B23" s="45">
        <f>IF($A23="","",SUMPRODUCT(--(COUNTIFS('01_予約入力'!$B$5:$B$404,'利用者マスタ'!$A$4:$A$60,'01_予約入力'!$C$5:$C$404,$A23,'01_予約入力'!$G$5:$G$404,"&lt;="&amp;$J$4,'01_予約入力'!$J$5:$J$404,"&gt;="&amp;$J$3,'01_予約入力'!$Q$5:$Q$404,"&lt;&gt;キャンセル")&gt;0)*('利用者マスタ'!$A$4:$A$60&lt;&gt;"")))</f>
        <v/>
      </c>
      <c r="C23" s="45">
        <f>IF($A23="","",COUNTIFS('01_予約入力'!$C$5:$C$404,$A23,'01_予約入力'!$G$5:$G$404,"&lt;="&amp;$J$4,'01_予約入力'!$J$5:$J$404,"&gt;="&amp;$J$3,'01_予約入力'!$Q$5:$Q$404,"&lt;&gt;キャンセル"))</f>
        <v/>
      </c>
      <c r="D23" s="45">
        <f>IF($A23="","",SUMPRODUCT(('01_予約入力'!$G$5:$G$404&lt;&gt;"")*('01_予約入力'!$Q$5:$Q$404&lt;&gt;"キャンセル")*('01_予約入力'!$C$5:$C$404=$A23)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E23" s="45">
        <f>IF($A23="","",SUMPRODUCT(('01_予約入力'!$G$5:$G$404&lt;&gt;"")*('01_予約入力'!$Q$5:$Q$404&lt;&gt;"キャンセル")*('01_予約入力'!$C$5:$C$404=$A23)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F23" s="124">
        <f>IF(OR($A23="",(($J$4-$J$3+1)*'M_施設設定'!$B$6)=0),"",$E23/(($J$4-$J$3+1)*'M_施設設定'!$B$6))</f>
        <v/>
      </c>
    </row>
    <row r="24">
      <c r="A24" s="49">
        <f>IF(COUNTA('M_区分'!$A$4:$A$20)&gt;=10,INDEX('M_区分'!$A$4:$A$20,10),"")</f>
        <v/>
      </c>
      <c r="B24" s="45">
        <f>IF($A24="","",SUMPRODUCT(--(COUNTIFS('01_予約入力'!$B$5:$B$404,'利用者マスタ'!$A$4:$A$60,'01_予約入力'!$C$5:$C$404,$A24,'01_予約入力'!$G$5:$G$404,"&lt;="&amp;$J$4,'01_予約入力'!$J$5:$J$404,"&gt;="&amp;$J$3,'01_予約入力'!$Q$5:$Q$404,"&lt;&gt;キャンセル")&gt;0)*('利用者マスタ'!$A$4:$A$60&lt;&gt;"")))</f>
        <v/>
      </c>
      <c r="C24" s="45">
        <f>IF($A24="","",COUNTIFS('01_予約入力'!$C$5:$C$404,$A24,'01_予約入力'!$G$5:$G$404,"&lt;="&amp;$J$4,'01_予約入力'!$J$5:$J$404,"&gt;="&amp;$J$3,'01_予約入力'!$Q$5:$Q$404,"&lt;&gt;キャンセル"))</f>
        <v/>
      </c>
      <c r="D24" s="45">
        <f>IF($A24="","",SUMPRODUCT(('01_予約入力'!$G$5:$G$404&lt;&gt;"")*('01_予約入力'!$Q$5:$Q$404&lt;&gt;"キャンセル")*('01_予約入力'!$C$5:$C$404=$A24)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E24" s="45">
        <f>IF($A24="","",SUMPRODUCT(('01_予約入力'!$G$5:$G$404&lt;&gt;"")*('01_予約入力'!$Q$5:$Q$404&lt;&gt;"キャンセル")*('01_予約入力'!$C$5:$C$404=$A24)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F24" s="124">
        <f>IF(OR($A24="",(($J$4-$J$3+1)*'M_施設設定'!$B$6)=0),"",$E24/(($J$4-$J$3+1)*'M_施設設定'!$B$6))</f>
        <v/>
      </c>
    </row>
    <row r="25">
      <c r="A25" s="60" t="inlineStr">
        <is>
          <t>合計</t>
        </is>
      </c>
      <c r="B25" s="60">
        <f>SUMPRODUCT(--(COUNTIFS('01_予約入力'!$B$5:$B$404,'利用者マスタ'!$A$4:$A$60,'01_予約入力'!$G$5:$G$404,"&lt;="&amp;$J$4,'01_予約入力'!$J$5:$J$404,"&gt;="&amp;$J$3,'01_予約入力'!$Q$5:$Q$404,"&lt;&gt;キャンセル")&gt;0)*('利用者マスタ'!$A$4:$A$60&lt;&gt;""))</f>
        <v/>
      </c>
      <c r="C25" s="60">
        <f>SUM(C15:C24)</f>
        <v/>
      </c>
      <c r="D25" s="60">
        <f>SUM(D15:D24)</f>
        <v/>
      </c>
      <c r="E25" s="60">
        <f>SUM(E15:E24)</f>
        <v/>
      </c>
      <c r="F25" s="125">
        <f>IF((($J$4-$J$3+1)*'M_施設設定'!$B$6)=0,"",$E25/(($J$4-$J$3+1)*'M_施設設定'!$B$6))</f>
        <v/>
      </c>
    </row>
    <row r="26">
      <c r="A26" s="2" t="inlineStr">
        <is>
          <t>※ 区分別の「延べ宿泊数」「稼働率」には仮予約・調整中も含みます。確定だけの稼働率は上の「稼働の概要」をご覧ください。</t>
        </is>
      </c>
    </row>
    <row r="27">
      <c r="A27" s="2" t="inlineStr">
        <is>
          <t>※ 「利用者数」は実人数（同じ方が何回利用しても1人）。区分をまたぐ方がいる場合、区分別の合計と合計行は一致しません。</t>
        </is>
      </c>
    </row>
    <row r="28">
      <c r="A28" s="20" t="inlineStr">
        <is>
          <t>■ 利用者別</t>
        </is>
      </c>
    </row>
    <row r="29" ht="30" customHeight="1">
      <c r="A29" s="7" t="inlineStr">
        <is>
          <t>氏名</t>
        </is>
      </c>
      <c r="B29" s="7" t="inlineStr">
        <is>
          <t>利用回数</t>
        </is>
      </c>
      <c r="C29" s="7" t="inlineStr">
        <is>
          <t>延べ利用日数</t>
        </is>
      </c>
      <c r="D29" s="7" t="inlineStr">
        <is>
          <t>延べ宿泊数</t>
        </is>
      </c>
      <c r="E29" s="7" t="inlineStr">
        <is>
          <t>支給量対象日数（滞在全体）</t>
        </is>
      </c>
    </row>
    <row r="30">
      <c r="A30" s="49">
        <f>IF(COUNTA('利用者マスタ'!$A$4:$A$60)&gt;=1,INDEX('利用者マスタ'!$A$4:$A$60,1),"")</f>
        <v/>
      </c>
      <c r="B30" s="45">
        <f>IF($A30="","",COUNTIFS('01_予約入力'!$B$5:$B$404,$A30,'01_予約入力'!$G$5:$G$404,"&lt;="&amp;$J$4,'01_予約入力'!$J$5:$J$404,"&gt;="&amp;$J$3,'01_予約入力'!$Q$5:$Q$404,"&lt;&gt;キャンセル"))</f>
        <v/>
      </c>
      <c r="C30" s="45">
        <f>IF($A30="","",SUMPRODUCT(('01_予約入力'!$G$5:$G$404&lt;&gt;"")*('01_予約入力'!$Q$5:$Q$404&lt;&gt;"キャンセル")*('01_予約入力'!$B$5:$B$404=$A30)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D30" s="45">
        <f>IF($A30="","",SUMPRODUCT(('01_予約入力'!$G$5:$G$404&lt;&gt;"")*('01_予約入力'!$Q$5:$Q$404&lt;&gt;"キャンセル")*('01_予約入力'!$B$5:$B$404=$A30)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E30" s="45">
        <f>IF($A30="","",SUMIFS('01_予約入力'!$AA$5:$AA$404,'01_予約入力'!$B$5:$B$404,$A30,'01_予約入力'!$G$5:$G$404,"&gt;="&amp;$J$3,'01_予約入力'!$G$5:$G$404,"&lt;="&amp;$J$4))</f>
        <v/>
      </c>
    </row>
    <row r="31">
      <c r="A31" s="49">
        <f>IF(COUNTA('利用者マスタ'!$A$4:$A$60)&gt;=2,INDEX('利用者マスタ'!$A$4:$A$60,2),"")</f>
        <v/>
      </c>
      <c r="B31" s="45">
        <f>IF($A31="","",COUNTIFS('01_予約入力'!$B$5:$B$404,$A31,'01_予約入力'!$G$5:$G$404,"&lt;="&amp;$J$4,'01_予約入力'!$J$5:$J$404,"&gt;="&amp;$J$3,'01_予約入力'!$Q$5:$Q$404,"&lt;&gt;キャンセル"))</f>
        <v/>
      </c>
      <c r="C31" s="45">
        <f>IF($A31="","",SUMPRODUCT(('01_予約入力'!$G$5:$G$404&lt;&gt;"")*('01_予約入力'!$Q$5:$Q$404&lt;&gt;"キャンセル")*('01_予約入力'!$B$5:$B$404=$A31)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D31" s="45">
        <f>IF($A31="","",SUMPRODUCT(('01_予約入力'!$G$5:$G$404&lt;&gt;"")*('01_予約入力'!$Q$5:$Q$404&lt;&gt;"キャンセル")*('01_予約入力'!$B$5:$B$404=$A31)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E31" s="45">
        <f>IF($A31="","",SUMIFS('01_予約入力'!$AA$5:$AA$404,'01_予約入力'!$B$5:$B$404,$A31,'01_予約入力'!$G$5:$G$404,"&gt;="&amp;$J$3,'01_予約入力'!$G$5:$G$404,"&lt;="&amp;$J$4))</f>
        <v/>
      </c>
    </row>
    <row r="32">
      <c r="A32" s="49">
        <f>IF(COUNTA('利用者マスタ'!$A$4:$A$60)&gt;=3,INDEX('利用者マスタ'!$A$4:$A$60,3),"")</f>
        <v/>
      </c>
      <c r="B32" s="45">
        <f>IF($A32="","",COUNTIFS('01_予約入力'!$B$5:$B$404,$A32,'01_予約入力'!$G$5:$G$404,"&lt;="&amp;$J$4,'01_予約入力'!$J$5:$J$404,"&gt;="&amp;$J$3,'01_予約入力'!$Q$5:$Q$404,"&lt;&gt;キャンセル"))</f>
        <v/>
      </c>
      <c r="C32" s="45">
        <f>IF($A32="","",SUMPRODUCT(('01_予約入力'!$G$5:$G$404&lt;&gt;"")*('01_予約入力'!$Q$5:$Q$404&lt;&gt;"キャンセル")*('01_予約入力'!$B$5:$B$404=$A32)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D32" s="45">
        <f>IF($A32="","",SUMPRODUCT(('01_予約入力'!$G$5:$G$404&lt;&gt;"")*('01_予約入力'!$Q$5:$Q$404&lt;&gt;"キャンセル")*('01_予約入力'!$B$5:$B$404=$A32)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E32" s="45">
        <f>IF($A32="","",SUMIFS('01_予約入力'!$AA$5:$AA$404,'01_予約入力'!$B$5:$B$404,$A32,'01_予約入力'!$G$5:$G$404,"&gt;="&amp;$J$3,'01_予約入力'!$G$5:$G$404,"&lt;="&amp;$J$4))</f>
        <v/>
      </c>
    </row>
    <row r="33">
      <c r="A33" s="49">
        <f>IF(COUNTA('利用者マスタ'!$A$4:$A$60)&gt;=4,INDEX('利用者マスタ'!$A$4:$A$60,4),"")</f>
        <v/>
      </c>
      <c r="B33" s="45">
        <f>IF($A33="","",COUNTIFS('01_予約入力'!$B$5:$B$404,$A33,'01_予約入力'!$G$5:$G$404,"&lt;="&amp;$J$4,'01_予約入力'!$J$5:$J$404,"&gt;="&amp;$J$3,'01_予約入力'!$Q$5:$Q$404,"&lt;&gt;キャンセル"))</f>
        <v/>
      </c>
      <c r="C33" s="45">
        <f>IF($A33="","",SUMPRODUCT(('01_予約入力'!$G$5:$G$404&lt;&gt;"")*('01_予約入力'!$Q$5:$Q$404&lt;&gt;"キャンセル")*('01_予約入力'!$B$5:$B$404=$A33)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D33" s="45">
        <f>IF($A33="","",SUMPRODUCT(('01_予約入力'!$G$5:$G$404&lt;&gt;"")*('01_予約入力'!$Q$5:$Q$404&lt;&gt;"キャンセル")*('01_予約入力'!$B$5:$B$404=$A33)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E33" s="45">
        <f>IF($A33="","",SUMIFS('01_予約入力'!$AA$5:$AA$404,'01_予約入力'!$B$5:$B$404,$A33,'01_予約入力'!$G$5:$G$404,"&gt;="&amp;$J$3,'01_予約入力'!$G$5:$G$404,"&lt;="&amp;$J$4))</f>
        <v/>
      </c>
    </row>
    <row r="34">
      <c r="A34" s="49">
        <f>IF(COUNTA('利用者マスタ'!$A$4:$A$60)&gt;=5,INDEX('利用者マスタ'!$A$4:$A$60,5),"")</f>
        <v/>
      </c>
      <c r="B34" s="45">
        <f>IF($A34="","",COUNTIFS('01_予約入力'!$B$5:$B$404,$A34,'01_予約入力'!$G$5:$G$404,"&lt;="&amp;$J$4,'01_予約入力'!$J$5:$J$404,"&gt;="&amp;$J$3,'01_予約入力'!$Q$5:$Q$404,"&lt;&gt;キャンセル"))</f>
        <v/>
      </c>
      <c r="C34" s="45">
        <f>IF($A34="","",SUMPRODUCT(('01_予約入力'!$G$5:$G$404&lt;&gt;"")*('01_予約入力'!$Q$5:$Q$404&lt;&gt;"キャンセル")*('01_予約入力'!$B$5:$B$404=$A34)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D34" s="45">
        <f>IF($A34="","",SUMPRODUCT(('01_予約入力'!$G$5:$G$404&lt;&gt;"")*('01_予約入力'!$Q$5:$Q$404&lt;&gt;"キャンセル")*('01_予約入力'!$B$5:$B$404=$A34)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E34" s="45">
        <f>IF($A34="","",SUMIFS('01_予約入力'!$AA$5:$AA$404,'01_予約入力'!$B$5:$B$404,$A34,'01_予約入力'!$G$5:$G$404,"&gt;="&amp;$J$3,'01_予約入力'!$G$5:$G$404,"&lt;="&amp;$J$4))</f>
        <v/>
      </c>
    </row>
    <row r="35">
      <c r="A35" s="49">
        <f>IF(COUNTA('利用者マスタ'!$A$4:$A$60)&gt;=6,INDEX('利用者マスタ'!$A$4:$A$60,6),"")</f>
        <v/>
      </c>
      <c r="B35" s="45">
        <f>IF($A35="","",COUNTIFS('01_予約入力'!$B$5:$B$404,$A35,'01_予約入力'!$G$5:$G$404,"&lt;="&amp;$J$4,'01_予約入力'!$J$5:$J$404,"&gt;="&amp;$J$3,'01_予約入力'!$Q$5:$Q$404,"&lt;&gt;キャンセル"))</f>
        <v/>
      </c>
      <c r="C35" s="45">
        <f>IF($A35="","",SUMPRODUCT(('01_予約入力'!$G$5:$G$404&lt;&gt;"")*('01_予約入力'!$Q$5:$Q$404&lt;&gt;"キャンセル")*('01_予約入力'!$B$5:$B$404=$A35)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D35" s="45">
        <f>IF($A35="","",SUMPRODUCT(('01_予約入力'!$G$5:$G$404&lt;&gt;"")*('01_予約入力'!$Q$5:$Q$404&lt;&gt;"キャンセル")*('01_予約入力'!$B$5:$B$404=$A35)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E35" s="45">
        <f>IF($A35="","",SUMIFS('01_予約入力'!$AA$5:$AA$404,'01_予約入力'!$B$5:$B$404,$A35,'01_予約入力'!$G$5:$G$404,"&gt;="&amp;$J$3,'01_予約入力'!$G$5:$G$404,"&lt;="&amp;$J$4))</f>
        <v/>
      </c>
    </row>
    <row r="36">
      <c r="A36" s="49">
        <f>IF(COUNTA('利用者マスタ'!$A$4:$A$60)&gt;=7,INDEX('利用者マスタ'!$A$4:$A$60,7),"")</f>
        <v/>
      </c>
      <c r="B36" s="45">
        <f>IF($A36="","",COUNTIFS('01_予約入力'!$B$5:$B$404,$A36,'01_予約入力'!$G$5:$G$404,"&lt;="&amp;$J$4,'01_予約入力'!$J$5:$J$404,"&gt;="&amp;$J$3,'01_予約入力'!$Q$5:$Q$404,"&lt;&gt;キャンセル"))</f>
        <v/>
      </c>
      <c r="C36" s="45">
        <f>IF($A36="","",SUMPRODUCT(('01_予約入力'!$G$5:$G$404&lt;&gt;"")*('01_予約入力'!$Q$5:$Q$404&lt;&gt;"キャンセル")*('01_予約入力'!$B$5:$B$404=$A36)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D36" s="45">
        <f>IF($A36="","",SUMPRODUCT(('01_予約入力'!$G$5:$G$404&lt;&gt;"")*('01_予約入力'!$Q$5:$Q$404&lt;&gt;"キャンセル")*('01_予約入力'!$B$5:$B$404=$A36)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E36" s="45">
        <f>IF($A36="","",SUMIFS('01_予約入力'!$AA$5:$AA$404,'01_予約入力'!$B$5:$B$404,$A36,'01_予約入力'!$G$5:$G$404,"&gt;="&amp;$J$3,'01_予約入力'!$G$5:$G$404,"&lt;="&amp;$J$4))</f>
        <v/>
      </c>
    </row>
    <row r="37">
      <c r="A37" s="49">
        <f>IF(COUNTA('利用者マスタ'!$A$4:$A$60)&gt;=8,INDEX('利用者マスタ'!$A$4:$A$60,8),"")</f>
        <v/>
      </c>
      <c r="B37" s="45">
        <f>IF($A37="","",COUNTIFS('01_予約入力'!$B$5:$B$404,$A37,'01_予約入力'!$G$5:$G$404,"&lt;="&amp;$J$4,'01_予約入力'!$J$5:$J$404,"&gt;="&amp;$J$3,'01_予約入力'!$Q$5:$Q$404,"&lt;&gt;キャンセル"))</f>
        <v/>
      </c>
      <c r="C37" s="45">
        <f>IF($A37="","",SUMPRODUCT(('01_予約入力'!$G$5:$G$404&lt;&gt;"")*('01_予約入力'!$Q$5:$Q$404&lt;&gt;"キャンセル")*('01_予約入力'!$B$5:$B$404=$A37)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D37" s="45">
        <f>IF($A37="","",SUMPRODUCT(('01_予約入力'!$G$5:$G$404&lt;&gt;"")*('01_予約入力'!$Q$5:$Q$404&lt;&gt;"キャンセル")*('01_予約入力'!$B$5:$B$404=$A37)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E37" s="45">
        <f>IF($A37="","",SUMIFS('01_予約入力'!$AA$5:$AA$404,'01_予約入力'!$B$5:$B$404,$A37,'01_予約入力'!$G$5:$G$404,"&gt;="&amp;$J$3,'01_予約入力'!$G$5:$G$404,"&lt;="&amp;$J$4))</f>
        <v/>
      </c>
    </row>
    <row r="38">
      <c r="A38" s="49">
        <f>IF(COUNTA('利用者マスタ'!$A$4:$A$60)&gt;=9,INDEX('利用者マスタ'!$A$4:$A$60,9),"")</f>
        <v/>
      </c>
      <c r="B38" s="45">
        <f>IF($A38="","",COUNTIFS('01_予約入力'!$B$5:$B$404,$A38,'01_予約入力'!$G$5:$G$404,"&lt;="&amp;$J$4,'01_予約入力'!$J$5:$J$404,"&gt;="&amp;$J$3,'01_予約入力'!$Q$5:$Q$404,"&lt;&gt;キャンセル"))</f>
        <v/>
      </c>
      <c r="C38" s="45">
        <f>IF($A38="","",SUMPRODUCT(('01_予約入力'!$G$5:$G$404&lt;&gt;"")*('01_予約入力'!$Q$5:$Q$404&lt;&gt;"キャンセル")*('01_予約入力'!$B$5:$B$404=$A38)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D38" s="45">
        <f>IF($A38="","",SUMPRODUCT(('01_予約入力'!$G$5:$G$404&lt;&gt;"")*('01_予約入力'!$Q$5:$Q$404&lt;&gt;"キャンセル")*('01_予約入力'!$B$5:$B$404=$A38)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E38" s="45">
        <f>IF($A38="","",SUMIFS('01_予約入力'!$AA$5:$AA$404,'01_予約入力'!$B$5:$B$404,$A38,'01_予約入力'!$G$5:$G$404,"&gt;="&amp;$J$3,'01_予約入力'!$G$5:$G$404,"&lt;="&amp;$J$4))</f>
        <v/>
      </c>
    </row>
    <row r="39">
      <c r="A39" s="49">
        <f>IF(COUNTA('利用者マスタ'!$A$4:$A$60)&gt;=10,INDEX('利用者マスタ'!$A$4:$A$60,10),"")</f>
        <v/>
      </c>
      <c r="B39" s="45">
        <f>IF($A39="","",COUNTIFS('01_予約入力'!$B$5:$B$404,$A39,'01_予約入力'!$G$5:$G$404,"&lt;="&amp;$J$4,'01_予約入力'!$J$5:$J$404,"&gt;="&amp;$J$3,'01_予約入力'!$Q$5:$Q$404,"&lt;&gt;キャンセル"))</f>
        <v/>
      </c>
      <c r="C39" s="45">
        <f>IF($A39="","",SUMPRODUCT(('01_予約入力'!$G$5:$G$404&lt;&gt;"")*('01_予約入力'!$Q$5:$Q$404&lt;&gt;"キャンセル")*('01_予約入力'!$B$5:$B$404=$A39)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D39" s="45">
        <f>IF($A39="","",SUMPRODUCT(('01_予約入力'!$G$5:$G$404&lt;&gt;"")*('01_予約入力'!$Q$5:$Q$404&lt;&gt;"キャンセル")*('01_予約入力'!$B$5:$B$404=$A39)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E39" s="45">
        <f>IF($A39="","",SUMIFS('01_予約入力'!$AA$5:$AA$404,'01_予約入力'!$B$5:$B$404,$A39,'01_予約入力'!$G$5:$G$404,"&gt;="&amp;$J$3,'01_予約入力'!$G$5:$G$404,"&lt;="&amp;$J$4))</f>
        <v/>
      </c>
    </row>
    <row r="40">
      <c r="A40" s="49">
        <f>IF(COUNTA('利用者マスタ'!$A$4:$A$60)&gt;=11,INDEX('利用者マスタ'!$A$4:$A$60,11),"")</f>
        <v/>
      </c>
      <c r="B40" s="45">
        <f>IF($A40="","",COUNTIFS('01_予約入力'!$B$5:$B$404,$A40,'01_予約入力'!$G$5:$G$404,"&lt;="&amp;$J$4,'01_予約入力'!$J$5:$J$404,"&gt;="&amp;$J$3,'01_予約入力'!$Q$5:$Q$404,"&lt;&gt;キャンセル"))</f>
        <v/>
      </c>
      <c r="C40" s="45">
        <f>IF($A40="","",SUMPRODUCT(('01_予約入力'!$G$5:$G$404&lt;&gt;"")*('01_予約入力'!$Q$5:$Q$404&lt;&gt;"キャンセル")*('01_予約入力'!$B$5:$B$404=$A40)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D40" s="45">
        <f>IF($A40="","",SUMPRODUCT(('01_予約入力'!$G$5:$G$404&lt;&gt;"")*('01_予約入力'!$Q$5:$Q$404&lt;&gt;"キャンセル")*('01_予約入力'!$B$5:$B$404=$A40)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E40" s="45">
        <f>IF($A40="","",SUMIFS('01_予約入力'!$AA$5:$AA$404,'01_予約入力'!$B$5:$B$404,$A40,'01_予約入力'!$G$5:$G$404,"&gt;="&amp;$J$3,'01_予約入力'!$G$5:$G$404,"&lt;="&amp;$J$4))</f>
        <v/>
      </c>
    </row>
    <row r="41">
      <c r="A41" s="49">
        <f>IF(COUNTA('利用者マスタ'!$A$4:$A$60)&gt;=12,INDEX('利用者マスタ'!$A$4:$A$60,12),"")</f>
        <v/>
      </c>
      <c r="B41" s="45">
        <f>IF($A41="","",COUNTIFS('01_予約入力'!$B$5:$B$404,$A41,'01_予約入力'!$G$5:$G$404,"&lt;="&amp;$J$4,'01_予約入力'!$J$5:$J$404,"&gt;="&amp;$J$3,'01_予約入力'!$Q$5:$Q$404,"&lt;&gt;キャンセル"))</f>
        <v/>
      </c>
      <c r="C41" s="45">
        <f>IF($A41="","",SUMPRODUCT(('01_予約入力'!$G$5:$G$404&lt;&gt;"")*('01_予約入力'!$Q$5:$Q$404&lt;&gt;"キャンセル")*('01_予約入力'!$B$5:$B$404=$A41)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D41" s="45">
        <f>IF($A41="","",SUMPRODUCT(('01_予約入力'!$G$5:$G$404&lt;&gt;"")*('01_予約入力'!$Q$5:$Q$404&lt;&gt;"キャンセル")*('01_予約入力'!$B$5:$B$404=$A41)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E41" s="45">
        <f>IF($A41="","",SUMIFS('01_予約入力'!$AA$5:$AA$404,'01_予約入力'!$B$5:$B$404,$A41,'01_予約入力'!$G$5:$G$404,"&gt;="&amp;$J$3,'01_予約入力'!$G$5:$G$404,"&lt;="&amp;$J$4))</f>
        <v/>
      </c>
    </row>
    <row r="42">
      <c r="A42" s="49">
        <f>IF(COUNTA('利用者マスタ'!$A$4:$A$60)&gt;=13,INDEX('利用者マスタ'!$A$4:$A$60,13),"")</f>
        <v/>
      </c>
      <c r="B42" s="45">
        <f>IF($A42="","",COUNTIFS('01_予約入力'!$B$5:$B$404,$A42,'01_予約入力'!$G$5:$G$404,"&lt;="&amp;$J$4,'01_予約入力'!$J$5:$J$404,"&gt;="&amp;$J$3,'01_予約入力'!$Q$5:$Q$404,"&lt;&gt;キャンセル"))</f>
        <v/>
      </c>
      <c r="C42" s="45">
        <f>IF($A42="","",SUMPRODUCT(('01_予約入力'!$G$5:$G$404&lt;&gt;"")*('01_予約入力'!$Q$5:$Q$404&lt;&gt;"キャンセル")*('01_予約入力'!$B$5:$B$404=$A42)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D42" s="45">
        <f>IF($A42="","",SUMPRODUCT(('01_予約入力'!$G$5:$G$404&lt;&gt;"")*('01_予約入力'!$Q$5:$Q$404&lt;&gt;"キャンセル")*('01_予約入力'!$B$5:$B$404=$A42)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E42" s="45">
        <f>IF($A42="","",SUMIFS('01_予約入力'!$AA$5:$AA$404,'01_予約入力'!$B$5:$B$404,$A42,'01_予約入力'!$G$5:$G$404,"&gt;="&amp;$J$3,'01_予約入力'!$G$5:$G$404,"&lt;="&amp;$J$4))</f>
        <v/>
      </c>
    </row>
    <row r="43">
      <c r="A43" s="49">
        <f>IF(COUNTA('利用者マスタ'!$A$4:$A$60)&gt;=14,INDEX('利用者マスタ'!$A$4:$A$60,14),"")</f>
        <v/>
      </c>
      <c r="B43" s="45">
        <f>IF($A43="","",COUNTIFS('01_予約入力'!$B$5:$B$404,$A43,'01_予約入力'!$G$5:$G$404,"&lt;="&amp;$J$4,'01_予約入力'!$J$5:$J$404,"&gt;="&amp;$J$3,'01_予約入力'!$Q$5:$Q$404,"&lt;&gt;キャンセル"))</f>
        <v/>
      </c>
      <c r="C43" s="45">
        <f>IF($A43="","",SUMPRODUCT(('01_予約入力'!$G$5:$G$404&lt;&gt;"")*('01_予約入力'!$Q$5:$Q$404&lt;&gt;"キャンセル")*('01_予約入力'!$B$5:$B$404=$A43)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D43" s="45">
        <f>IF($A43="","",SUMPRODUCT(('01_予約入力'!$G$5:$G$404&lt;&gt;"")*('01_予約入力'!$Q$5:$Q$404&lt;&gt;"キャンセル")*('01_予約入力'!$B$5:$B$404=$A43)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E43" s="45">
        <f>IF($A43="","",SUMIFS('01_予約入力'!$AA$5:$AA$404,'01_予約入力'!$B$5:$B$404,$A43,'01_予約入力'!$G$5:$G$404,"&gt;="&amp;$J$3,'01_予約入力'!$G$5:$G$404,"&lt;="&amp;$J$4))</f>
        <v/>
      </c>
    </row>
    <row r="44">
      <c r="A44" s="49">
        <f>IF(COUNTA('利用者マスタ'!$A$4:$A$60)&gt;=15,INDEX('利用者マスタ'!$A$4:$A$60,15),"")</f>
        <v/>
      </c>
      <c r="B44" s="45">
        <f>IF($A44="","",COUNTIFS('01_予約入力'!$B$5:$B$404,$A44,'01_予約入力'!$G$5:$G$404,"&lt;="&amp;$J$4,'01_予約入力'!$J$5:$J$404,"&gt;="&amp;$J$3,'01_予約入力'!$Q$5:$Q$404,"&lt;&gt;キャンセル"))</f>
        <v/>
      </c>
      <c r="C44" s="45">
        <f>IF($A44="","",SUMPRODUCT(('01_予約入力'!$G$5:$G$404&lt;&gt;"")*('01_予約入力'!$Q$5:$Q$404&lt;&gt;"キャンセル")*('01_予約入力'!$B$5:$B$404=$A44)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D44" s="45">
        <f>IF($A44="","",SUMPRODUCT(('01_予約入力'!$G$5:$G$404&lt;&gt;"")*('01_予約入力'!$Q$5:$Q$404&lt;&gt;"キャンセル")*('01_予約入力'!$B$5:$B$404=$A44)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E44" s="45">
        <f>IF($A44="","",SUMIFS('01_予約入力'!$AA$5:$AA$404,'01_予約入力'!$B$5:$B$404,$A44,'01_予約入力'!$G$5:$G$404,"&gt;="&amp;$J$3,'01_予約入力'!$G$5:$G$404,"&lt;="&amp;$J$4))</f>
        <v/>
      </c>
    </row>
    <row r="45">
      <c r="A45" s="49">
        <f>IF(COUNTA('利用者マスタ'!$A$4:$A$60)&gt;=16,INDEX('利用者マスタ'!$A$4:$A$60,16),"")</f>
        <v/>
      </c>
      <c r="B45" s="45">
        <f>IF($A45="","",COUNTIFS('01_予約入力'!$B$5:$B$404,$A45,'01_予約入力'!$G$5:$G$404,"&lt;="&amp;$J$4,'01_予約入力'!$J$5:$J$404,"&gt;="&amp;$J$3,'01_予約入力'!$Q$5:$Q$404,"&lt;&gt;キャンセル"))</f>
        <v/>
      </c>
      <c r="C45" s="45">
        <f>IF($A45="","",SUMPRODUCT(('01_予約入力'!$G$5:$G$404&lt;&gt;"")*('01_予約入力'!$Q$5:$Q$404&lt;&gt;"キャンセル")*('01_予約入力'!$B$5:$B$404=$A45)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D45" s="45">
        <f>IF($A45="","",SUMPRODUCT(('01_予約入力'!$G$5:$G$404&lt;&gt;"")*('01_予約入力'!$Q$5:$Q$404&lt;&gt;"キャンセル")*('01_予約入力'!$B$5:$B$404=$A45)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E45" s="45">
        <f>IF($A45="","",SUMIFS('01_予約入力'!$AA$5:$AA$404,'01_予約入力'!$B$5:$B$404,$A45,'01_予約入力'!$G$5:$G$404,"&gt;="&amp;$J$3,'01_予約入力'!$G$5:$G$404,"&lt;="&amp;$J$4))</f>
        <v/>
      </c>
    </row>
    <row r="46">
      <c r="A46" s="49">
        <f>IF(COUNTA('利用者マスタ'!$A$4:$A$60)&gt;=17,INDEX('利用者マスタ'!$A$4:$A$60,17),"")</f>
        <v/>
      </c>
      <c r="B46" s="45">
        <f>IF($A46="","",COUNTIFS('01_予約入力'!$B$5:$B$404,$A46,'01_予約入力'!$G$5:$G$404,"&lt;="&amp;$J$4,'01_予約入力'!$J$5:$J$404,"&gt;="&amp;$J$3,'01_予約入力'!$Q$5:$Q$404,"&lt;&gt;キャンセル"))</f>
        <v/>
      </c>
      <c r="C46" s="45">
        <f>IF($A46="","",SUMPRODUCT(('01_予約入力'!$G$5:$G$404&lt;&gt;"")*('01_予約入力'!$Q$5:$Q$404&lt;&gt;"キャンセル")*('01_予約入力'!$B$5:$B$404=$A46)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D46" s="45">
        <f>IF($A46="","",SUMPRODUCT(('01_予約入力'!$G$5:$G$404&lt;&gt;"")*('01_予約入力'!$Q$5:$Q$404&lt;&gt;"キャンセル")*('01_予約入力'!$B$5:$B$404=$A46)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E46" s="45">
        <f>IF($A46="","",SUMIFS('01_予約入力'!$AA$5:$AA$404,'01_予約入力'!$B$5:$B$404,$A46,'01_予約入力'!$G$5:$G$404,"&gt;="&amp;$J$3,'01_予約入力'!$G$5:$G$404,"&lt;="&amp;$J$4))</f>
        <v/>
      </c>
    </row>
    <row r="47">
      <c r="A47" s="49">
        <f>IF(COUNTA('利用者マスタ'!$A$4:$A$60)&gt;=18,INDEX('利用者マスタ'!$A$4:$A$60,18),"")</f>
        <v/>
      </c>
      <c r="B47" s="45">
        <f>IF($A47="","",COUNTIFS('01_予約入力'!$B$5:$B$404,$A47,'01_予約入力'!$G$5:$G$404,"&lt;="&amp;$J$4,'01_予約入力'!$J$5:$J$404,"&gt;="&amp;$J$3,'01_予約入力'!$Q$5:$Q$404,"&lt;&gt;キャンセル"))</f>
        <v/>
      </c>
      <c r="C47" s="45">
        <f>IF($A47="","",SUMPRODUCT(('01_予約入力'!$G$5:$G$404&lt;&gt;"")*('01_予約入力'!$Q$5:$Q$404&lt;&gt;"キャンセル")*('01_予約入力'!$B$5:$B$404=$A47)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D47" s="45">
        <f>IF($A47="","",SUMPRODUCT(('01_予約入力'!$G$5:$G$404&lt;&gt;"")*('01_予約入力'!$Q$5:$Q$404&lt;&gt;"キャンセル")*('01_予約入力'!$B$5:$B$404=$A47)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E47" s="45">
        <f>IF($A47="","",SUMIFS('01_予約入力'!$AA$5:$AA$404,'01_予約入力'!$B$5:$B$404,$A47,'01_予約入力'!$G$5:$G$404,"&gt;="&amp;$J$3,'01_予約入力'!$G$5:$G$404,"&lt;="&amp;$J$4))</f>
        <v/>
      </c>
    </row>
    <row r="48">
      <c r="A48" s="49">
        <f>IF(COUNTA('利用者マスタ'!$A$4:$A$60)&gt;=19,INDEX('利用者マスタ'!$A$4:$A$60,19),"")</f>
        <v/>
      </c>
      <c r="B48" s="45">
        <f>IF($A48="","",COUNTIFS('01_予約入力'!$B$5:$B$404,$A48,'01_予約入力'!$G$5:$G$404,"&lt;="&amp;$J$4,'01_予約入力'!$J$5:$J$404,"&gt;="&amp;$J$3,'01_予約入力'!$Q$5:$Q$404,"&lt;&gt;キャンセル"))</f>
        <v/>
      </c>
      <c r="C48" s="45">
        <f>IF($A48="","",SUMPRODUCT(('01_予約入力'!$G$5:$G$404&lt;&gt;"")*('01_予約入力'!$Q$5:$Q$404&lt;&gt;"キャンセル")*('01_予約入力'!$B$5:$B$404=$A48)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D48" s="45">
        <f>IF($A48="","",SUMPRODUCT(('01_予約入力'!$G$5:$G$404&lt;&gt;"")*('01_予約入力'!$Q$5:$Q$404&lt;&gt;"キャンセル")*('01_予約入力'!$B$5:$B$404=$A48)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E48" s="45">
        <f>IF($A48="","",SUMIFS('01_予約入力'!$AA$5:$AA$404,'01_予約入力'!$B$5:$B$404,$A48,'01_予約入力'!$G$5:$G$404,"&gt;="&amp;$J$3,'01_予約入力'!$G$5:$G$404,"&lt;="&amp;$J$4))</f>
        <v/>
      </c>
    </row>
    <row r="49">
      <c r="A49" s="49">
        <f>IF(COUNTA('利用者マスタ'!$A$4:$A$60)&gt;=20,INDEX('利用者マスタ'!$A$4:$A$60,20),"")</f>
        <v/>
      </c>
      <c r="B49" s="45">
        <f>IF($A49="","",COUNTIFS('01_予約入力'!$B$5:$B$404,$A49,'01_予約入力'!$G$5:$G$404,"&lt;="&amp;$J$4,'01_予約入力'!$J$5:$J$404,"&gt;="&amp;$J$3,'01_予約入力'!$Q$5:$Q$404,"&lt;&gt;キャンセル"))</f>
        <v/>
      </c>
      <c r="C49" s="45">
        <f>IF($A49="","",SUMPRODUCT(('01_予約入力'!$G$5:$G$404&lt;&gt;"")*('01_予約入力'!$Q$5:$Q$404&lt;&gt;"キャンセル")*('01_予約入力'!$B$5:$B$404=$A49)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D49" s="45">
        <f>IF($A49="","",SUMPRODUCT(('01_予約入力'!$G$5:$G$404&lt;&gt;"")*('01_予約入力'!$Q$5:$Q$404&lt;&gt;"キャンセル")*('01_予約入力'!$B$5:$B$404=$A49)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E49" s="45">
        <f>IF($A49="","",SUMIFS('01_予約入力'!$AA$5:$AA$404,'01_予約入力'!$B$5:$B$404,$A49,'01_予約入力'!$G$5:$G$404,"&gt;="&amp;$J$3,'01_予約入力'!$G$5:$G$404,"&lt;="&amp;$J$4))</f>
        <v/>
      </c>
    </row>
    <row r="50">
      <c r="A50" s="49">
        <f>IF(COUNTA('利用者マスタ'!$A$4:$A$60)&gt;=21,INDEX('利用者マスタ'!$A$4:$A$60,21),"")</f>
        <v/>
      </c>
      <c r="B50" s="45">
        <f>IF($A50="","",COUNTIFS('01_予約入力'!$B$5:$B$404,$A50,'01_予約入力'!$G$5:$G$404,"&lt;="&amp;$J$4,'01_予約入力'!$J$5:$J$404,"&gt;="&amp;$J$3,'01_予約入力'!$Q$5:$Q$404,"&lt;&gt;キャンセル"))</f>
        <v/>
      </c>
      <c r="C50" s="45">
        <f>IF($A50="","",SUMPRODUCT(('01_予約入力'!$G$5:$G$404&lt;&gt;"")*('01_予約入力'!$Q$5:$Q$404&lt;&gt;"キャンセル")*('01_予約入力'!$B$5:$B$404=$A50)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D50" s="45">
        <f>IF($A50="","",SUMPRODUCT(('01_予約入力'!$G$5:$G$404&lt;&gt;"")*('01_予約入力'!$Q$5:$Q$404&lt;&gt;"キャンセル")*('01_予約入力'!$B$5:$B$404=$A50)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E50" s="45">
        <f>IF($A50="","",SUMIFS('01_予約入力'!$AA$5:$AA$404,'01_予約入力'!$B$5:$B$404,$A50,'01_予約入力'!$G$5:$G$404,"&gt;="&amp;$J$3,'01_予約入力'!$G$5:$G$404,"&lt;="&amp;$J$4))</f>
        <v/>
      </c>
    </row>
    <row r="51">
      <c r="A51" s="49">
        <f>IF(COUNTA('利用者マスタ'!$A$4:$A$60)&gt;=22,INDEX('利用者マスタ'!$A$4:$A$60,22),"")</f>
        <v/>
      </c>
      <c r="B51" s="45">
        <f>IF($A51="","",COUNTIFS('01_予約入力'!$B$5:$B$404,$A51,'01_予約入力'!$G$5:$G$404,"&lt;="&amp;$J$4,'01_予約入力'!$J$5:$J$404,"&gt;="&amp;$J$3,'01_予約入力'!$Q$5:$Q$404,"&lt;&gt;キャンセル"))</f>
        <v/>
      </c>
      <c r="C51" s="45">
        <f>IF($A51="","",SUMPRODUCT(('01_予約入力'!$G$5:$G$404&lt;&gt;"")*('01_予約入力'!$Q$5:$Q$404&lt;&gt;"キャンセル")*('01_予約入力'!$B$5:$B$404=$A51)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D51" s="45">
        <f>IF($A51="","",SUMPRODUCT(('01_予約入力'!$G$5:$G$404&lt;&gt;"")*('01_予約入力'!$Q$5:$Q$404&lt;&gt;"キャンセル")*('01_予約入力'!$B$5:$B$404=$A51)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E51" s="45">
        <f>IF($A51="","",SUMIFS('01_予約入力'!$AA$5:$AA$404,'01_予約入力'!$B$5:$B$404,$A51,'01_予約入力'!$G$5:$G$404,"&gt;="&amp;$J$3,'01_予約入力'!$G$5:$G$404,"&lt;="&amp;$J$4))</f>
        <v/>
      </c>
    </row>
    <row r="52">
      <c r="A52" s="49">
        <f>IF(COUNTA('利用者マスタ'!$A$4:$A$60)&gt;=23,INDEX('利用者マスタ'!$A$4:$A$60,23),"")</f>
        <v/>
      </c>
      <c r="B52" s="45">
        <f>IF($A52="","",COUNTIFS('01_予約入力'!$B$5:$B$404,$A52,'01_予約入力'!$G$5:$G$404,"&lt;="&amp;$J$4,'01_予約入力'!$J$5:$J$404,"&gt;="&amp;$J$3,'01_予約入力'!$Q$5:$Q$404,"&lt;&gt;キャンセル"))</f>
        <v/>
      </c>
      <c r="C52" s="45">
        <f>IF($A52="","",SUMPRODUCT(('01_予約入力'!$G$5:$G$404&lt;&gt;"")*('01_予約入力'!$Q$5:$Q$404&lt;&gt;"キャンセル")*('01_予約入力'!$B$5:$B$404=$A52)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D52" s="45">
        <f>IF($A52="","",SUMPRODUCT(('01_予約入力'!$G$5:$G$404&lt;&gt;"")*('01_予約入力'!$Q$5:$Q$404&lt;&gt;"キャンセル")*('01_予約入力'!$B$5:$B$404=$A52)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E52" s="45">
        <f>IF($A52="","",SUMIFS('01_予約入力'!$AA$5:$AA$404,'01_予約入力'!$B$5:$B$404,$A52,'01_予約入力'!$G$5:$G$404,"&gt;="&amp;$J$3,'01_予約入力'!$G$5:$G$404,"&lt;="&amp;$J$4))</f>
        <v/>
      </c>
    </row>
    <row r="53">
      <c r="A53" s="49">
        <f>IF(COUNTA('利用者マスタ'!$A$4:$A$60)&gt;=24,INDEX('利用者マスタ'!$A$4:$A$60,24),"")</f>
        <v/>
      </c>
      <c r="B53" s="45">
        <f>IF($A53="","",COUNTIFS('01_予約入力'!$B$5:$B$404,$A53,'01_予約入力'!$G$5:$G$404,"&lt;="&amp;$J$4,'01_予約入力'!$J$5:$J$404,"&gt;="&amp;$J$3,'01_予約入力'!$Q$5:$Q$404,"&lt;&gt;キャンセル"))</f>
        <v/>
      </c>
      <c r="C53" s="45">
        <f>IF($A53="","",SUMPRODUCT(('01_予約入力'!$G$5:$G$404&lt;&gt;"")*('01_予約入力'!$Q$5:$Q$404&lt;&gt;"キャンセル")*('01_予約入力'!$B$5:$B$404=$A53)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D53" s="45">
        <f>IF($A53="","",SUMPRODUCT(('01_予約入力'!$G$5:$G$404&lt;&gt;"")*('01_予約入力'!$Q$5:$Q$404&lt;&gt;"キャンセル")*('01_予約入力'!$B$5:$B$404=$A53)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E53" s="45">
        <f>IF($A53="","",SUMIFS('01_予約入力'!$AA$5:$AA$404,'01_予約入力'!$B$5:$B$404,$A53,'01_予約入力'!$G$5:$G$404,"&gt;="&amp;$J$3,'01_予約入力'!$G$5:$G$404,"&lt;="&amp;$J$4))</f>
        <v/>
      </c>
    </row>
    <row r="54">
      <c r="A54" s="49">
        <f>IF(COUNTA('利用者マスタ'!$A$4:$A$60)&gt;=25,INDEX('利用者マスタ'!$A$4:$A$60,25),"")</f>
        <v/>
      </c>
      <c r="B54" s="45">
        <f>IF($A54="","",COUNTIFS('01_予約入力'!$B$5:$B$404,$A54,'01_予約入力'!$G$5:$G$404,"&lt;="&amp;$J$4,'01_予約入力'!$J$5:$J$404,"&gt;="&amp;$J$3,'01_予約入力'!$Q$5:$Q$404,"&lt;&gt;キャンセル"))</f>
        <v/>
      </c>
      <c r="C54" s="45">
        <f>IF($A54="","",SUMPRODUCT(('01_予約入力'!$G$5:$G$404&lt;&gt;"")*('01_予約入力'!$Q$5:$Q$404&lt;&gt;"キャンセル")*('01_予約入力'!$B$5:$B$404=$A54)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D54" s="45">
        <f>IF($A54="","",SUMPRODUCT(('01_予約入力'!$G$5:$G$404&lt;&gt;"")*('01_予約入力'!$Q$5:$Q$404&lt;&gt;"キャンセル")*('01_予約入力'!$B$5:$B$404=$A54)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E54" s="45">
        <f>IF($A54="","",SUMIFS('01_予約入力'!$AA$5:$AA$404,'01_予約入力'!$B$5:$B$404,$A54,'01_予約入力'!$G$5:$G$404,"&gt;="&amp;$J$3,'01_予約入力'!$G$5:$G$404,"&lt;="&amp;$J$4))</f>
        <v/>
      </c>
    </row>
    <row r="55">
      <c r="A55" s="49">
        <f>IF(COUNTA('利用者マスタ'!$A$4:$A$60)&gt;=26,INDEX('利用者マスタ'!$A$4:$A$60,26),"")</f>
        <v/>
      </c>
      <c r="B55" s="45">
        <f>IF($A55="","",COUNTIFS('01_予約入力'!$B$5:$B$404,$A55,'01_予約入力'!$G$5:$G$404,"&lt;="&amp;$J$4,'01_予約入力'!$J$5:$J$404,"&gt;="&amp;$J$3,'01_予約入力'!$Q$5:$Q$404,"&lt;&gt;キャンセル"))</f>
        <v/>
      </c>
      <c r="C55" s="45">
        <f>IF($A55="","",SUMPRODUCT(('01_予約入力'!$G$5:$G$404&lt;&gt;"")*('01_予約入力'!$Q$5:$Q$404&lt;&gt;"キャンセル")*('01_予約入力'!$B$5:$B$404=$A55)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D55" s="45">
        <f>IF($A55="","",SUMPRODUCT(('01_予約入力'!$G$5:$G$404&lt;&gt;"")*('01_予約入力'!$Q$5:$Q$404&lt;&gt;"キャンセル")*('01_予約入力'!$B$5:$B$404=$A55)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E55" s="45">
        <f>IF($A55="","",SUMIFS('01_予約入力'!$AA$5:$AA$404,'01_予約入力'!$B$5:$B$404,$A55,'01_予約入力'!$G$5:$G$404,"&gt;="&amp;$J$3,'01_予約入力'!$G$5:$G$404,"&lt;="&amp;$J$4))</f>
        <v/>
      </c>
    </row>
    <row r="56">
      <c r="A56" s="49">
        <f>IF(COUNTA('利用者マスタ'!$A$4:$A$60)&gt;=27,INDEX('利用者マスタ'!$A$4:$A$60,27),"")</f>
        <v/>
      </c>
      <c r="B56" s="45">
        <f>IF($A56="","",COUNTIFS('01_予約入力'!$B$5:$B$404,$A56,'01_予約入力'!$G$5:$G$404,"&lt;="&amp;$J$4,'01_予約入力'!$J$5:$J$404,"&gt;="&amp;$J$3,'01_予約入力'!$Q$5:$Q$404,"&lt;&gt;キャンセル"))</f>
        <v/>
      </c>
      <c r="C56" s="45">
        <f>IF($A56="","",SUMPRODUCT(('01_予約入力'!$G$5:$G$404&lt;&gt;"")*('01_予約入力'!$Q$5:$Q$404&lt;&gt;"キャンセル")*('01_予約入力'!$B$5:$B$404=$A56)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D56" s="45">
        <f>IF($A56="","",SUMPRODUCT(('01_予約入力'!$G$5:$G$404&lt;&gt;"")*('01_予約入力'!$Q$5:$Q$404&lt;&gt;"キャンセル")*('01_予約入力'!$B$5:$B$404=$A56)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E56" s="45">
        <f>IF($A56="","",SUMIFS('01_予約入力'!$AA$5:$AA$404,'01_予約入力'!$B$5:$B$404,$A56,'01_予約入力'!$G$5:$G$404,"&gt;="&amp;$J$3,'01_予約入力'!$G$5:$G$404,"&lt;="&amp;$J$4))</f>
        <v/>
      </c>
    </row>
    <row r="57">
      <c r="A57" s="49">
        <f>IF(COUNTA('利用者マスタ'!$A$4:$A$60)&gt;=28,INDEX('利用者マスタ'!$A$4:$A$60,28),"")</f>
        <v/>
      </c>
      <c r="B57" s="45">
        <f>IF($A57="","",COUNTIFS('01_予約入力'!$B$5:$B$404,$A57,'01_予約入力'!$G$5:$G$404,"&lt;="&amp;$J$4,'01_予約入力'!$J$5:$J$404,"&gt;="&amp;$J$3,'01_予約入力'!$Q$5:$Q$404,"&lt;&gt;キャンセル"))</f>
        <v/>
      </c>
      <c r="C57" s="45">
        <f>IF($A57="","",SUMPRODUCT(('01_予約入力'!$G$5:$G$404&lt;&gt;"")*('01_予約入力'!$Q$5:$Q$404&lt;&gt;"キャンセル")*('01_予約入力'!$B$5:$B$404=$A57)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D57" s="45">
        <f>IF($A57="","",SUMPRODUCT(('01_予約入力'!$G$5:$G$404&lt;&gt;"")*('01_予約入力'!$Q$5:$Q$404&lt;&gt;"キャンセル")*('01_予約入力'!$B$5:$B$404=$A57)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E57" s="45">
        <f>IF($A57="","",SUMIFS('01_予約入力'!$AA$5:$AA$404,'01_予約入力'!$B$5:$B$404,$A57,'01_予約入力'!$G$5:$G$404,"&gt;="&amp;$J$3,'01_予約入力'!$G$5:$G$404,"&lt;="&amp;$J$4))</f>
        <v/>
      </c>
    </row>
    <row r="58">
      <c r="A58" s="49">
        <f>IF(COUNTA('利用者マスタ'!$A$4:$A$60)&gt;=29,INDEX('利用者マスタ'!$A$4:$A$60,29),"")</f>
        <v/>
      </c>
      <c r="B58" s="45">
        <f>IF($A58="","",COUNTIFS('01_予約入力'!$B$5:$B$404,$A58,'01_予約入力'!$G$5:$G$404,"&lt;="&amp;$J$4,'01_予約入力'!$J$5:$J$404,"&gt;="&amp;$J$3,'01_予約入力'!$Q$5:$Q$404,"&lt;&gt;キャンセル"))</f>
        <v/>
      </c>
      <c r="C58" s="45">
        <f>IF($A58="","",SUMPRODUCT(('01_予約入力'!$G$5:$G$404&lt;&gt;"")*('01_予約入力'!$Q$5:$Q$404&lt;&gt;"キャンセル")*('01_予約入力'!$B$5:$B$404=$A58)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D58" s="45">
        <f>IF($A58="","",SUMPRODUCT(('01_予約入力'!$G$5:$G$404&lt;&gt;"")*('01_予約入力'!$Q$5:$Q$404&lt;&gt;"キャンセル")*('01_予約入力'!$B$5:$B$404=$A58)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E58" s="45">
        <f>IF($A58="","",SUMIFS('01_予約入力'!$AA$5:$AA$404,'01_予約入力'!$B$5:$B$404,$A58,'01_予約入力'!$G$5:$G$404,"&gt;="&amp;$J$3,'01_予約入力'!$G$5:$G$404,"&lt;="&amp;$J$4))</f>
        <v/>
      </c>
    </row>
    <row r="59">
      <c r="A59" s="49">
        <f>IF(COUNTA('利用者マスタ'!$A$4:$A$60)&gt;=30,INDEX('利用者マスタ'!$A$4:$A$60,30),"")</f>
        <v/>
      </c>
      <c r="B59" s="45">
        <f>IF($A59="","",COUNTIFS('01_予約入力'!$B$5:$B$404,$A59,'01_予約入力'!$G$5:$G$404,"&lt;="&amp;$J$4,'01_予約入力'!$J$5:$J$404,"&gt;="&amp;$J$3,'01_予約入力'!$Q$5:$Q$404,"&lt;&gt;キャンセル"))</f>
        <v/>
      </c>
      <c r="C59" s="45">
        <f>IF($A59="","",SUMPRODUCT(('01_予約入力'!$G$5:$G$404&lt;&gt;"")*('01_予約入力'!$Q$5:$Q$404&lt;&gt;"キャンセル")*('01_予約入力'!$B$5:$B$404=$A59)*('01_予約入力'!$G$5:$G$404&lt;=$J$4)*('01_予約入力'!$J$5:$J$404&gt;=$J$3)*((('01_予約入力'!$AG$5:$AG$404&lt;=$J$4)*'01_予約入力'!$AG$5:$AG$404+('01_予約入力'!$AG$5:$AG$404&gt;$J$4)*$J$4)-(('01_予約入力'!$AF$5:$AF$404&gt;=$J$3)*'01_予約入力'!$AF$5:$AF$404+('01_予約入力'!$AF$5:$AF$404&lt;$J$3)*$J$3)+1)))</f>
        <v/>
      </c>
      <c r="D59" s="45">
        <f>IF($A59="","",SUMPRODUCT(('01_予約入力'!$G$5:$G$404&lt;&gt;"")*('01_予約入力'!$Q$5:$Q$404&lt;&gt;"キャンセル")*('01_予約入力'!$B$5:$B$404=$A59)*('01_予約入力'!$G$5:$G$404&lt;=$J$4)*('01_予約入力'!$J$5:$J$404&gt;$J$3)*(((('01_予約入力'!$AG$5:$AG$404&lt;=$J$4+1)*'01_予約入力'!$AG$5:$AG$404+('01_予約入力'!$AG$5:$AG$404&gt;$J$4+1)*($J$4+1))-(('01_予約入力'!$AF$5:$AF$404&gt;=$J$3)*'01_予約入力'!$AF$5:$AF$404+('01_予約入力'!$AF$5:$AF$404&lt;$J$3)*$J$3))&gt;0)*((('01_予約入力'!$AG$5:$AG$404&lt;=$J$4+1)*'01_予約入力'!$AG$5:$AG$404+('01_予約入力'!$AG$5:$AG$404&gt;$J$4+1)*($J$4+1))-(('01_予約入力'!$AF$5:$AF$404&gt;=$J$3)*'01_予約入力'!$AF$5:$AF$404+('01_予約入力'!$AF$5:$AF$404&lt;$J$3)*$J$3))))</f>
        <v/>
      </c>
      <c r="E59" s="45">
        <f>IF($A59="","",SUMIFS('01_予約入力'!$AA$5:$AA$404,'01_予約入力'!$B$5:$B$404,$A59,'01_予約入力'!$G$5:$G$404,"&gt;="&amp;$J$3,'01_予約入力'!$G$5:$G$404,"&lt;="&amp;$J$4))</f>
        <v/>
      </c>
    </row>
  </sheetData>
  <conditionalFormatting sqref="E9">
    <cfRule type="expression" priority="1" dxfId="1">
      <formula>$E$9&gt;=0.9</formula>
    </cfRule>
    <cfRule type="expression" priority="2" dxfId="2">
      <formula>$E$9&gt;=0.7</formula>
    </cfRule>
  </conditionalFormatting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  <col width="18" customWidth="1" min="5" max="5"/>
    <col hidden="1" width="13" customWidth="1" min="10" max="10"/>
  </cols>
  <sheetData>
    <row r="1">
      <c r="A1" s="1" t="inlineStr">
        <is>
          <t>支給量の残日数（受給者証の月あたり上限）</t>
        </is>
      </c>
    </row>
    <row r="2">
      <c r="A2" s="2" t="inlineStr">
        <is>
          <t>入所日の属する月で集計します。M_区分 で「○」を付けた区分だけを数えます。</t>
        </is>
      </c>
    </row>
    <row r="3">
      <c r="A3" s="15" t="inlineStr">
        <is>
          <t>対象月</t>
        </is>
      </c>
      <c r="B3" s="16" t="n"/>
      <c r="C3" s="2" t="inlineStr">
        <is>
          <t>空欄にすると 02_カレンダー の対象月に連動します</t>
        </is>
      </c>
      <c r="J3" s="54">
        <f>IF($B$3="",'02_カレンダー'!$B$4,DATE(YEAR($B$3),MONTH($B$3),1))</f>
        <v/>
      </c>
    </row>
    <row r="4">
      <c r="A4" s="15" t="inlineStr">
        <is>
          <t>集計する月</t>
        </is>
      </c>
      <c r="B4" s="55">
        <f>YEAR($J$3)&amp;"年"&amp;MONTH($J$3)&amp;"月"</f>
        <v/>
      </c>
      <c r="C4" s="2" t="inlineStr">
        <is>
          <t>この月に入所した予約を数えます</t>
        </is>
      </c>
    </row>
    <row r="5" ht="30" customHeight="1">
      <c r="A5" s="7" t="inlineStr">
        <is>
          <t>氏名</t>
        </is>
      </c>
      <c r="B5" s="7" t="inlineStr">
        <is>
          <t>支給量（日／月）</t>
        </is>
      </c>
      <c r="C5" s="7" t="inlineStr">
        <is>
          <t>当月の対象日数</t>
        </is>
      </c>
      <c r="D5" s="7" t="inlineStr">
        <is>
          <t>残り</t>
        </is>
      </c>
      <c r="E5" s="7" t="inlineStr">
        <is>
          <t>状態</t>
        </is>
      </c>
    </row>
    <row r="6">
      <c r="A6" s="49">
        <f>IF(COUNTA('利用者マスタ'!$A$4:$A$60)&gt;=1,INDEX('利用者マスタ'!$A$4:$A$60,1),"")</f>
        <v/>
      </c>
      <c r="B6" s="45">
        <f>IF($A6="","",IF(SUMPRODUCT(('利用者マスタ'!$A$4:$A$60=$A6)*('利用者マスタ'!$B$4:$B$60&lt;&gt;""))=0,"",SUMIFS('利用者マスタ'!$B$4:$B$60,'利用者マスタ'!$A$4:$A$60,$A6)))</f>
        <v/>
      </c>
      <c r="C6" s="45">
        <f>IF($A6="","",SUMIFS('01_予約入力'!$AA$5:$AA$404,'01_予約入力'!$B$5:$B$404,$A6,'01_予約入力'!$G$5:$G$404,"&gt;="&amp;$J$3,'01_予約入力'!$G$5:$G$404,"&lt;="&amp;EOMONTH($J$3,0)))</f>
        <v/>
      </c>
      <c r="D6" s="45">
        <f>IF(OR($A6="",$B6=""),"",$B6-$C6)</f>
        <v/>
      </c>
      <c r="E6" s="45">
        <f>IF($A6="","",IF($B6="","（管理しない）",IF($D6&lt;0,"⚠ 超過",IF($D6=0,"上限ちょうど",IF($D6&lt;=1,"残りわずか","OK")))))</f>
        <v/>
      </c>
    </row>
    <row r="7">
      <c r="A7" s="49">
        <f>IF(COUNTA('利用者マスタ'!$A$4:$A$60)&gt;=2,INDEX('利用者マスタ'!$A$4:$A$60,2),"")</f>
        <v/>
      </c>
      <c r="B7" s="45">
        <f>IF($A7="","",IF(SUMPRODUCT(('利用者マスタ'!$A$4:$A$60=$A7)*('利用者マスタ'!$B$4:$B$60&lt;&gt;""))=0,"",SUMIFS('利用者マスタ'!$B$4:$B$60,'利用者マスタ'!$A$4:$A$60,$A7)))</f>
        <v/>
      </c>
      <c r="C7" s="45">
        <f>IF($A7="","",SUMIFS('01_予約入力'!$AA$5:$AA$404,'01_予約入力'!$B$5:$B$404,$A7,'01_予約入力'!$G$5:$G$404,"&gt;="&amp;$J$3,'01_予約入力'!$G$5:$G$404,"&lt;="&amp;EOMONTH($J$3,0)))</f>
        <v/>
      </c>
      <c r="D7" s="45">
        <f>IF(OR($A7="",$B7=""),"",$B7-$C7)</f>
        <v/>
      </c>
      <c r="E7" s="45">
        <f>IF($A7="","",IF($B7="","（管理しない）",IF($D7&lt;0,"⚠ 超過",IF($D7=0,"上限ちょうど",IF($D7&lt;=1,"残りわずか","OK")))))</f>
        <v/>
      </c>
    </row>
    <row r="8">
      <c r="A8" s="49">
        <f>IF(COUNTA('利用者マスタ'!$A$4:$A$60)&gt;=3,INDEX('利用者マスタ'!$A$4:$A$60,3),"")</f>
        <v/>
      </c>
      <c r="B8" s="45">
        <f>IF($A8="","",IF(SUMPRODUCT(('利用者マスタ'!$A$4:$A$60=$A8)*('利用者マスタ'!$B$4:$B$60&lt;&gt;""))=0,"",SUMIFS('利用者マスタ'!$B$4:$B$60,'利用者マスタ'!$A$4:$A$60,$A8)))</f>
        <v/>
      </c>
      <c r="C8" s="45">
        <f>IF($A8="","",SUMIFS('01_予約入力'!$AA$5:$AA$404,'01_予約入力'!$B$5:$B$404,$A8,'01_予約入力'!$G$5:$G$404,"&gt;="&amp;$J$3,'01_予約入力'!$G$5:$G$404,"&lt;="&amp;EOMONTH($J$3,0)))</f>
        <v/>
      </c>
      <c r="D8" s="45">
        <f>IF(OR($A8="",$B8=""),"",$B8-$C8)</f>
        <v/>
      </c>
      <c r="E8" s="45">
        <f>IF($A8="","",IF($B8="","（管理しない）",IF($D8&lt;0,"⚠ 超過",IF($D8=0,"上限ちょうど",IF($D8&lt;=1,"残りわずか","OK")))))</f>
        <v/>
      </c>
    </row>
    <row r="9">
      <c r="A9" s="49">
        <f>IF(COUNTA('利用者マスタ'!$A$4:$A$60)&gt;=4,INDEX('利用者マスタ'!$A$4:$A$60,4),"")</f>
        <v/>
      </c>
      <c r="B9" s="45">
        <f>IF($A9="","",IF(SUMPRODUCT(('利用者マスタ'!$A$4:$A$60=$A9)*('利用者マスタ'!$B$4:$B$60&lt;&gt;""))=0,"",SUMIFS('利用者マスタ'!$B$4:$B$60,'利用者マスタ'!$A$4:$A$60,$A9)))</f>
        <v/>
      </c>
      <c r="C9" s="45">
        <f>IF($A9="","",SUMIFS('01_予約入力'!$AA$5:$AA$404,'01_予約入力'!$B$5:$B$404,$A9,'01_予約入力'!$G$5:$G$404,"&gt;="&amp;$J$3,'01_予約入力'!$G$5:$G$404,"&lt;="&amp;EOMONTH($J$3,0)))</f>
        <v/>
      </c>
      <c r="D9" s="45">
        <f>IF(OR($A9="",$B9=""),"",$B9-$C9)</f>
        <v/>
      </c>
      <c r="E9" s="45">
        <f>IF($A9="","",IF($B9="","（管理しない）",IF($D9&lt;0,"⚠ 超過",IF($D9=0,"上限ちょうど",IF($D9&lt;=1,"残りわずか","OK")))))</f>
        <v/>
      </c>
    </row>
    <row r="10">
      <c r="A10" s="49">
        <f>IF(COUNTA('利用者マスタ'!$A$4:$A$60)&gt;=5,INDEX('利用者マスタ'!$A$4:$A$60,5),"")</f>
        <v/>
      </c>
      <c r="B10" s="45">
        <f>IF($A10="","",IF(SUMPRODUCT(('利用者マスタ'!$A$4:$A$60=$A10)*('利用者マスタ'!$B$4:$B$60&lt;&gt;""))=0,"",SUMIFS('利用者マスタ'!$B$4:$B$60,'利用者マスタ'!$A$4:$A$60,$A10)))</f>
        <v/>
      </c>
      <c r="C10" s="45">
        <f>IF($A10="","",SUMIFS('01_予約入力'!$AA$5:$AA$404,'01_予約入力'!$B$5:$B$404,$A10,'01_予約入力'!$G$5:$G$404,"&gt;="&amp;$J$3,'01_予約入力'!$G$5:$G$404,"&lt;="&amp;EOMONTH($J$3,0)))</f>
        <v/>
      </c>
      <c r="D10" s="45">
        <f>IF(OR($A10="",$B10=""),"",$B10-$C10)</f>
        <v/>
      </c>
      <c r="E10" s="45">
        <f>IF($A10="","",IF($B10="","（管理しない）",IF($D10&lt;0,"⚠ 超過",IF($D10=0,"上限ちょうど",IF($D10&lt;=1,"残りわずか","OK")))))</f>
        <v/>
      </c>
    </row>
    <row r="11">
      <c r="A11" s="49">
        <f>IF(COUNTA('利用者マスタ'!$A$4:$A$60)&gt;=6,INDEX('利用者マスタ'!$A$4:$A$60,6),"")</f>
        <v/>
      </c>
      <c r="B11" s="45">
        <f>IF($A11="","",IF(SUMPRODUCT(('利用者マスタ'!$A$4:$A$60=$A11)*('利用者マスタ'!$B$4:$B$60&lt;&gt;""))=0,"",SUMIFS('利用者マスタ'!$B$4:$B$60,'利用者マスタ'!$A$4:$A$60,$A11)))</f>
        <v/>
      </c>
      <c r="C11" s="45">
        <f>IF($A11="","",SUMIFS('01_予約入力'!$AA$5:$AA$404,'01_予約入力'!$B$5:$B$404,$A11,'01_予約入力'!$G$5:$G$404,"&gt;="&amp;$J$3,'01_予約入力'!$G$5:$G$404,"&lt;="&amp;EOMONTH($J$3,0)))</f>
        <v/>
      </c>
      <c r="D11" s="45">
        <f>IF(OR($A11="",$B11=""),"",$B11-$C11)</f>
        <v/>
      </c>
      <c r="E11" s="45">
        <f>IF($A11="","",IF($B11="","（管理しない）",IF($D11&lt;0,"⚠ 超過",IF($D11=0,"上限ちょうど",IF($D11&lt;=1,"残りわずか","OK")))))</f>
        <v/>
      </c>
    </row>
    <row r="12">
      <c r="A12" s="49">
        <f>IF(COUNTA('利用者マスタ'!$A$4:$A$60)&gt;=7,INDEX('利用者マスタ'!$A$4:$A$60,7),"")</f>
        <v/>
      </c>
      <c r="B12" s="45">
        <f>IF($A12="","",IF(SUMPRODUCT(('利用者マスタ'!$A$4:$A$60=$A12)*('利用者マスタ'!$B$4:$B$60&lt;&gt;""))=0,"",SUMIFS('利用者マスタ'!$B$4:$B$60,'利用者マスタ'!$A$4:$A$60,$A12)))</f>
        <v/>
      </c>
      <c r="C12" s="45">
        <f>IF($A12="","",SUMIFS('01_予約入力'!$AA$5:$AA$404,'01_予約入力'!$B$5:$B$404,$A12,'01_予約入力'!$G$5:$G$404,"&gt;="&amp;$J$3,'01_予約入力'!$G$5:$G$404,"&lt;="&amp;EOMONTH($J$3,0)))</f>
        <v/>
      </c>
      <c r="D12" s="45">
        <f>IF(OR($A12="",$B12=""),"",$B12-$C12)</f>
        <v/>
      </c>
      <c r="E12" s="45">
        <f>IF($A12="","",IF($B12="","（管理しない）",IF($D12&lt;0,"⚠ 超過",IF($D12=0,"上限ちょうど",IF($D12&lt;=1,"残りわずか","OK")))))</f>
        <v/>
      </c>
    </row>
    <row r="13">
      <c r="A13" s="49">
        <f>IF(COUNTA('利用者マスタ'!$A$4:$A$60)&gt;=8,INDEX('利用者マスタ'!$A$4:$A$60,8),"")</f>
        <v/>
      </c>
      <c r="B13" s="45">
        <f>IF($A13="","",IF(SUMPRODUCT(('利用者マスタ'!$A$4:$A$60=$A13)*('利用者マスタ'!$B$4:$B$60&lt;&gt;""))=0,"",SUMIFS('利用者マスタ'!$B$4:$B$60,'利用者マスタ'!$A$4:$A$60,$A13)))</f>
        <v/>
      </c>
      <c r="C13" s="45">
        <f>IF($A13="","",SUMIFS('01_予約入力'!$AA$5:$AA$404,'01_予約入力'!$B$5:$B$404,$A13,'01_予約入力'!$G$5:$G$404,"&gt;="&amp;$J$3,'01_予約入力'!$G$5:$G$404,"&lt;="&amp;EOMONTH($J$3,0)))</f>
        <v/>
      </c>
      <c r="D13" s="45">
        <f>IF(OR($A13="",$B13=""),"",$B13-$C13)</f>
        <v/>
      </c>
      <c r="E13" s="45">
        <f>IF($A13="","",IF($B13="","（管理しない）",IF($D13&lt;0,"⚠ 超過",IF($D13=0,"上限ちょうど",IF($D13&lt;=1,"残りわずか","OK")))))</f>
        <v/>
      </c>
    </row>
    <row r="14">
      <c r="A14" s="49">
        <f>IF(COUNTA('利用者マスタ'!$A$4:$A$60)&gt;=9,INDEX('利用者マスタ'!$A$4:$A$60,9),"")</f>
        <v/>
      </c>
      <c r="B14" s="45">
        <f>IF($A14="","",IF(SUMPRODUCT(('利用者マスタ'!$A$4:$A$60=$A14)*('利用者マスタ'!$B$4:$B$60&lt;&gt;""))=0,"",SUMIFS('利用者マスタ'!$B$4:$B$60,'利用者マスタ'!$A$4:$A$60,$A14)))</f>
        <v/>
      </c>
      <c r="C14" s="45">
        <f>IF($A14="","",SUMIFS('01_予約入力'!$AA$5:$AA$404,'01_予約入力'!$B$5:$B$404,$A14,'01_予約入力'!$G$5:$G$404,"&gt;="&amp;$J$3,'01_予約入力'!$G$5:$G$404,"&lt;="&amp;EOMONTH($J$3,0)))</f>
        <v/>
      </c>
      <c r="D14" s="45">
        <f>IF(OR($A14="",$B14=""),"",$B14-$C14)</f>
        <v/>
      </c>
      <c r="E14" s="45">
        <f>IF($A14="","",IF($B14="","（管理しない）",IF($D14&lt;0,"⚠ 超過",IF($D14=0,"上限ちょうど",IF($D14&lt;=1,"残りわずか","OK")))))</f>
        <v/>
      </c>
    </row>
    <row r="15">
      <c r="A15" s="49">
        <f>IF(COUNTA('利用者マスタ'!$A$4:$A$60)&gt;=10,INDEX('利用者マスタ'!$A$4:$A$60,10),"")</f>
        <v/>
      </c>
      <c r="B15" s="45">
        <f>IF($A15="","",IF(SUMPRODUCT(('利用者マスタ'!$A$4:$A$60=$A15)*('利用者マスタ'!$B$4:$B$60&lt;&gt;""))=0,"",SUMIFS('利用者マスタ'!$B$4:$B$60,'利用者マスタ'!$A$4:$A$60,$A15)))</f>
        <v/>
      </c>
      <c r="C15" s="45">
        <f>IF($A15="","",SUMIFS('01_予約入力'!$AA$5:$AA$404,'01_予約入力'!$B$5:$B$404,$A15,'01_予約入力'!$G$5:$G$404,"&gt;="&amp;$J$3,'01_予約入力'!$G$5:$G$404,"&lt;="&amp;EOMONTH($J$3,0)))</f>
        <v/>
      </c>
      <c r="D15" s="45">
        <f>IF(OR($A15="",$B15=""),"",$B15-$C15)</f>
        <v/>
      </c>
      <c r="E15" s="45">
        <f>IF($A15="","",IF($B15="","（管理しない）",IF($D15&lt;0,"⚠ 超過",IF($D15=0,"上限ちょうど",IF($D15&lt;=1,"残りわずか","OK")))))</f>
        <v/>
      </c>
    </row>
    <row r="16">
      <c r="A16" s="49">
        <f>IF(COUNTA('利用者マスタ'!$A$4:$A$60)&gt;=11,INDEX('利用者マスタ'!$A$4:$A$60,11),"")</f>
        <v/>
      </c>
      <c r="B16" s="45">
        <f>IF($A16="","",IF(SUMPRODUCT(('利用者マスタ'!$A$4:$A$60=$A16)*('利用者マスタ'!$B$4:$B$60&lt;&gt;""))=0,"",SUMIFS('利用者マスタ'!$B$4:$B$60,'利用者マスタ'!$A$4:$A$60,$A16)))</f>
        <v/>
      </c>
      <c r="C16" s="45">
        <f>IF($A16="","",SUMIFS('01_予約入力'!$AA$5:$AA$404,'01_予約入力'!$B$5:$B$404,$A16,'01_予約入力'!$G$5:$G$404,"&gt;="&amp;$J$3,'01_予約入力'!$G$5:$G$404,"&lt;="&amp;EOMONTH($J$3,0)))</f>
        <v/>
      </c>
      <c r="D16" s="45">
        <f>IF(OR($A16="",$B16=""),"",$B16-$C16)</f>
        <v/>
      </c>
      <c r="E16" s="45">
        <f>IF($A16="","",IF($B16="","（管理しない）",IF($D16&lt;0,"⚠ 超過",IF($D16=0,"上限ちょうど",IF($D16&lt;=1,"残りわずか","OK")))))</f>
        <v/>
      </c>
    </row>
    <row r="17">
      <c r="A17" s="49">
        <f>IF(COUNTA('利用者マスタ'!$A$4:$A$60)&gt;=12,INDEX('利用者マスタ'!$A$4:$A$60,12),"")</f>
        <v/>
      </c>
      <c r="B17" s="45">
        <f>IF($A17="","",IF(SUMPRODUCT(('利用者マスタ'!$A$4:$A$60=$A17)*('利用者マスタ'!$B$4:$B$60&lt;&gt;""))=0,"",SUMIFS('利用者マスタ'!$B$4:$B$60,'利用者マスタ'!$A$4:$A$60,$A17)))</f>
        <v/>
      </c>
      <c r="C17" s="45">
        <f>IF($A17="","",SUMIFS('01_予約入力'!$AA$5:$AA$404,'01_予約入力'!$B$5:$B$404,$A17,'01_予約入力'!$G$5:$G$404,"&gt;="&amp;$J$3,'01_予約入力'!$G$5:$G$404,"&lt;="&amp;EOMONTH($J$3,0)))</f>
        <v/>
      </c>
      <c r="D17" s="45">
        <f>IF(OR($A17="",$B17=""),"",$B17-$C17)</f>
        <v/>
      </c>
      <c r="E17" s="45">
        <f>IF($A17="","",IF($B17="","（管理しない）",IF($D17&lt;0,"⚠ 超過",IF($D17=0,"上限ちょうど",IF($D17&lt;=1,"残りわずか","OK")))))</f>
        <v/>
      </c>
    </row>
    <row r="18">
      <c r="A18" s="49">
        <f>IF(COUNTA('利用者マスタ'!$A$4:$A$60)&gt;=13,INDEX('利用者マスタ'!$A$4:$A$60,13),"")</f>
        <v/>
      </c>
      <c r="B18" s="45">
        <f>IF($A18="","",IF(SUMPRODUCT(('利用者マスタ'!$A$4:$A$60=$A18)*('利用者マスタ'!$B$4:$B$60&lt;&gt;""))=0,"",SUMIFS('利用者マスタ'!$B$4:$B$60,'利用者マスタ'!$A$4:$A$60,$A18)))</f>
        <v/>
      </c>
      <c r="C18" s="45">
        <f>IF($A18="","",SUMIFS('01_予約入力'!$AA$5:$AA$404,'01_予約入力'!$B$5:$B$404,$A18,'01_予約入力'!$G$5:$G$404,"&gt;="&amp;$J$3,'01_予約入力'!$G$5:$G$404,"&lt;="&amp;EOMONTH($J$3,0)))</f>
        <v/>
      </c>
      <c r="D18" s="45">
        <f>IF(OR($A18="",$B18=""),"",$B18-$C18)</f>
        <v/>
      </c>
      <c r="E18" s="45">
        <f>IF($A18="","",IF($B18="","（管理しない）",IF($D18&lt;0,"⚠ 超過",IF($D18=0,"上限ちょうど",IF($D18&lt;=1,"残りわずか","OK")))))</f>
        <v/>
      </c>
    </row>
    <row r="19">
      <c r="A19" s="49">
        <f>IF(COUNTA('利用者マスタ'!$A$4:$A$60)&gt;=14,INDEX('利用者マスタ'!$A$4:$A$60,14),"")</f>
        <v/>
      </c>
      <c r="B19" s="45">
        <f>IF($A19="","",IF(SUMPRODUCT(('利用者マスタ'!$A$4:$A$60=$A19)*('利用者マスタ'!$B$4:$B$60&lt;&gt;""))=0,"",SUMIFS('利用者マスタ'!$B$4:$B$60,'利用者マスタ'!$A$4:$A$60,$A19)))</f>
        <v/>
      </c>
      <c r="C19" s="45">
        <f>IF($A19="","",SUMIFS('01_予約入力'!$AA$5:$AA$404,'01_予約入力'!$B$5:$B$404,$A19,'01_予約入力'!$G$5:$G$404,"&gt;="&amp;$J$3,'01_予約入力'!$G$5:$G$404,"&lt;="&amp;EOMONTH($J$3,0)))</f>
        <v/>
      </c>
      <c r="D19" s="45">
        <f>IF(OR($A19="",$B19=""),"",$B19-$C19)</f>
        <v/>
      </c>
      <c r="E19" s="45">
        <f>IF($A19="","",IF($B19="","（管理しない）",IF($D19&lt;0,"⚠ 超過",IF($D19=0,"上限ちょうど",IF($D19&lt;=1,"残りわずか","OK")))))</f>
        <v/>
      </c>
    </row>
    <row r="20">
      <c r="A20" s="49">
        <f>IF(COUNTA('利用者マスタ'!$A$4:$A$60)&gt;=15,INDEX('利用者マスタ'!$A$4:$A$60,15),"")</f>
        <v/>
      </c>
      <c r="B20" s="45">
        <f>IF($A20="","",IF(SUMPRODUCT(('利用者マスタ'!$A$4:$A$60=$A20)*('利用者マスタ'!$B$4:$B$60&lt;&gt;""))=0,"",SUMIFS('利用者マスタ'!$B$4:$B$60,'利用者マスタ'!$A$4:$A$60,$A20)))</f>
        <v/>
      </c>
      <c r="C20" s="45">
        <f>IF($A20="","",SUMIFS('01_予約入力'!$AA$5:$AA$404,'01_予約入力'!$B$5:$B$404,$A20,'01_予約入力'!$G$5:$G$404,"&gt;="&amp;$J$3,'01_予約入力'!$G$5:$G$404,"&lt;="&amp;EOMONTH($J$3,0)))</f>
        <v/>
      </c>
      <c r="D20" s="45">
        <f>IF(OR($A20="",$B20=""),"",$B20-$C20)</f>
        <v/>
      </c>
      <c r="E20" s="45">
        <f>IF($A20="","",IF($B20="","（管理しない）",IF($D20&lt;0,"⚠ 超過",IF($D20=0,"上限ちょうど",IF($D20&lt;=1,"残りわずか","OK")))))</f>
        <v/>
      </c>
    </row>
    <row r="21">
      <c r="A21" s="49">
        <f>IF(COUNTA('利用者マスタ'!$A$4:$A$60)&gt;=16,INDEX('利用者マスタ'!$A$4:$A$60,16),"")</f>
        <v/>
      </c>
      <c r="B21" s="45">
        <f>IF($A21="","",IF(SUMPRODUCT(('利用者マスタ'!$A$4:$A$60=$A21)*('利用者マスタ'!$B$4:$B$60&lt;&gt;""))=0,"",SUMIFS('利用者マスタ'!$B$4:$B$60,'利用者マスタ'!$A$4:$A$60,$A21)))</f>
        <v/>
      </c>
      <c r="C21" s="45">
        <f>IF($A21="","",SUMIFS('01_予約入力'!$AA$5:$AA$404,'01_予約入力'!$B$5:$B$404,$A21,'01_予約入力'!$G$5:$G$404,"&gt;="&amp;$J$3,'01_予約入力'!$G$5:$G$404,"&lt;="&amp;EOMONTH($J$3,0)))</f>
        <v/>
      </c>
      <c r="D21" s="45">
        <f>IF(OR($A21="",$B21=""),"",$B21-$C21)</f>
        <v/>
      </c>
      <c r="E21" s="45">
        <f>IF($A21="","",IF($B21="","（管理しない）",IF($D21&lt;0,"⚠ 超過",IF($D21=0,"上限ちょうど",IF($D21&lt;=1,"残りわずか","OK")))))</f>
        <v/>
      </c>
    </row>
    <row r="22">
      <c r="A22" s="49">
        <f>IF(COUNTA('利用者マスタ'!$A$4:$A$60)&gt;=17,INDEX('利用者マスタ'!$A$4:$A$60,17),"")</f>
        <v/>
      </c>
      <c r="B22" s="45">
        <f>IF($A22="","",IF(SUMPRODUCT(('利用者マスタ'!$A$4:$A$60=$A22)*('利用者マスタ'!$B$4:$B$60&lt;&gt;""))=0,"",SUMIFS('利用者マスタ'!$B$4:$B$60,'利用者マスタ'!$A$4:$A$60,$A22)))</f>
        <v/>
      </c>
      <c r="C22" s="45">
        <f>IF($A22="","",SUMIFS('01_予約入力'!$AA$5:$AA$404,'01_予約入力'!$B$5:$B$404,$A22,'01_予約入力'!$G$5:$G$404,"&gt;="&amp;$J$3,'01_予約入力'!$G$5:$G$404,"&lt;="&amp;EOMONTH($J$3,0)))</f>
        <v/>
      </c>
      <c r="D22" s="45">
        <f>IF(OR($A22="",$B22=""),"",$B22-$C22)</f>
        <v/>
      </c>
      <c r="E22" s="45">
        <f>IF($A22="","",IF($B22="","（管理しない）",IF($D22&lt;0,"⚠ 超過",IF($D22=0,"上限ちょうど",IF($D22&lt;=1,"残りわずか","OK")))))</f>
        <v/>
      </c>
    </row>
    <row r="23">
      <c r="A23" s="49">
        <f>IF(COUNTA('利用者マスタ'!$A$4:$A$60)&gt;=18,INDEX('利用者マスタ'!$A$4:$A$60,18),"")</f>
        <v/>
      </c>
      <c r="B23" s="45">
        <f>IF($A23="","",IF(SUMPRODUCT(('利用者マスタ'!$A$4:$A$60=$A23)*('利用者マスタ'!$B$4:$B$60&lt;&gt;""))=0,"",SUMIFS('利用者マスタ'!$B$4:$B$60,'利用者マスタ'!$A$4:$A$60,$A23)))</f>
        <v/>
      </c>
      <c r="C23" s="45">
        <f>IF($A23="","",SUMIFS('01_予約入力'!$AA$5:$AA$404,'01_予約入力'!$B$5:$B$404,$A23,'01_予約入力'!$G$5:$G$404,"&gt;="&amp;$J$3,'01_予約入力'!$G$5:$G$404,"&lt;="&amp;EOMONTH($J$3,0)))</f>
        <v/>
      </c>
      <c r="D23" s="45">
        <f>IF(OR($A23="",$B23=""),"",$B23-$C23)</f>
        <v/>
      </c>
      <c r="E23" s="45">
        <f>IF($A23="","",IF($B23="","（管理しない）",IF($D23&lt;0,"⚠ 超過",IF($D23=0,"上限ちょうど",IF($D23&lt;=1,"残りわずか","OK")))))</f>
        <v/>
      </c>
    </row>
    <row r="24">
      <c r="A24" s="49">
        <f>IF(COUNTA('利用者マスタ'!$A$4:$A$60)&gt;=19,INDEX('利用者マスタ'!$A$4:$A$60,19),"")</f>
        <v/>
      </c>
      <c r="B24" s="45">
        <f>IF($A24="","",IF(SUMPRODUCT(('利用者マスタ'!$A$4:$A$60=$A24)*('利用者マスタ'!$B$4:$B$60&lt;&gt;""))=0,"",SUMIFS('利用者マスタ'!$B$4:$B$60,'利用者マスタ'!$A$4:$A$60,$A24)))</f>
        <v/>
      </c>
      <c r="C24" s="45">
        <f>IF($A24="","",SUMIFS('01_予約入力'!$AA$5:$AA$404,'01_予約入力'!$B$5:$B$404,$A24,'01_予約入力'!$G$5:$G$404,"&gt;="&amp;$J$3,'01_予約入力'!$G$5:$G$404,"&lt;="&amp;EOMONTH($J$3,0)))</f>
        <v/>
      </c>
      <c r="D24" s="45">
        <f>IF(OR($A24="",$B24=""),"",$B24-$C24)</f>
        <v/>
      </c>
      <c r="E24" s="45">
        <f>IF($A24="","",IF($B24="","（管理しない）",IF($D24&lt;0,"⚠ 超過",IF($D24=0,"上限ちょうど",IF($D24&lt;=1,"残りわずか","OK")))))</f>
        <v/>
      </c>
    </row>
    <row r="25">
      <c r="A25" s="49">
        <f>IF(COUNTA('利用者マスタ'!$A$4:$A$60)&gt;=20,INDEX('利用者マスタ'!$A$4:$A$60,20),"")</f>
        <v/>
      </c>
      <c r="B25" s="45">
        <f>IF($A25="","",IF(SUMPRODUCT(('利用者マスタ'!$A$4:$A$60=$A25)*('利用者マスタ'!$B$4:$B$60&lt;&gt;""))=0,"",SUMIFS('利用者マスタ'!$B$4:$B$60,'利用者マスタ'!$A$4:$A$60,$A25)))</f>
        <v/>
      </c>
      <c r="C25" s="45">
        <f>IF($A25="","",SUMIFS('01_予約入力'!$AA$5:$AA$404,'01_予約入力'!$B$5:$B$404,$A25,'01_予約入力'!$G$5:$G$404,"&gt;="&amp;$J$3,'01_予約入力'!$G$5:$G$404,"&lt;="&amp;EOMONTH($J$3,0)))</f>
        <v/>
      </c>
      <c r="D25" s="45">
        <f>IF(OR($A25="",$B25=""),"",$B25-$C25)</f>
        <v/>
      </c>
      <c r="E25" s="45">
        <f>IF($A25="","",IF($B25="","（管理しない）",IF($D25&lt;0,"⚠ 超過",IF($D25=0,"上限ちょうど",IF($D25&lt;=1,"残りわずか","OK")))))</f>
        <v/>
      </c>
    </row>
    <row r="26">
      <c r="A26" s="49">
        <f>IF(COUNTA('利用者マスタ'!$A$4:$A$60)&gt;=21,INDEX('利用者マスタ'!$A$4:$A$60,21),"")</f>
        <v/>
      </c>
      <c r="B26" s="45">
        <f>IF($A26="","",IF(SUMPRODUCT(('利用者マスタ'!$A$4:$A$60=$A26)*('利用者マスタ'!$B$4:$B$60&lt;&gt;""))=0,"",SUMIFS('利用者マスタ'!$B$4:$B$60,'利用者マスタ'!$A$4:$A$60,$A26)))</f>
        <v/>
      </c>
      <c r="C26" s="45">
        <f>IF($A26="","",SUMIFS('01_予約入力'!$AA$5:$AA$404,'01_予約入力'!$B$5:$B$404,$A26,'01_予約入力'!$G$5:$G$404,"&gt;="&amp;$J$3,'01_予約入力'!$G$5:$G$404,"&lt;="&amp;EOMONTH($J$3,0)))</f>
        <v/>
      </c>
      <c r="D26" s="45">
        <f>IF(OR($A26="",$B26=""),"",$B26-$C26)</f>
        <v/>
      </c>
      <c r="E26" s="45">
        <f>IF($A26="","",IF($B26="","（管理しない）",IF($D26&lt;0,"⚠ 超過",IF($D26=0,"上限ちょうど",IF($D26&lt;=1,"残りわずか","OK")))))</f>
        <v/>
      </c>
    </row>
    <row r="27">
      <c r="A27" s="49">
        <f>IF(COUNTA('利用者マスタ'!$A$4:$A$60)&gt;=22,INDEX('利用者マスタ'!$A$4:$A$60,22),"")</f>
        <v/>
      </c>
      <c r="B27" s="45">
        <f>IF($A27="","",IF(SUMPRODUCT(('利用者マスタ'!$A$4:$A$60=$A27)*('利用者マスタ'!$B$4:$B$60&lt;&gt;""))=0,"",SUMIFS('利用者マスタ'!$B$4:$B$60,'利用者マスタ'!$A$4:$A$60,$A27)))</f>
        <v/>
      </c>
      <c r="C27" s="45">
        <f>IF($A27="","",SUMIFS('01_予約入力'!$AA$5:$AA$404,'01_予約入力'!$B$5:$B$404,$A27,'01_予約入力'!$G$5:$G$404,"&gt;="&amp;$J$3,'01_予約入力'!$G$5:$G$404,"&lt;="&amp;EOMONTH($J$3,0)))</f>
        <v/>
      </c>
      <c r="D27" s="45">
        <f>IF(OR($A27="",$B27=""),"",$B27-$C27)</f>
        <v/>
      </c>
      <c r="E27" s="45">
        <f>IF($A27="","",IF($B27="","（管理しない）",IF($D27&lt;0,"⚠ 超過",IF($D27=0,"上限ちょうど",IF($D27&lt;=1,"残りわずか","OK")))))</f>
        <v/>
      </c>
    </row>
    <row r="28">
      <c r="A28" s="49">
        <f>IF(COUNTA('利用者マスタ'!$A$4:$A$60)&gt;=23,INDEX('利用者マスタ'!$A$4:$A$60,23),"")</f>
        <v/>
      </c>
      <c r="B28" s="45">
        <f>IF($A28="","",IF(SUMPRODUCT(('利用者マスタ'!$A$4:$A$60=$A28)*('利用者マスタ'!$B$4:$B$60&lt;&gt;""))=0,"",SUMIFS('利用者マスタ'!$B$4:$B$60,'利用者マスタ'!$A$4:$A$60,$A28)))</f>
        <v/>
      </c>
      <c r="C28" s="45">
        <f>IF($A28="","",SUMIFS('01_予約入力'!$AA$5:$AA$404,'01_予約入力'!$B$5:$B$404,$A28,'01_予約入力'!$G$5:$G$404,"&gt;="&amp;$J$3,'01_予約入力'!$G$5:$G$404,"&lt;="&amp;EOMONTH($J$3,0)))</f>
        <v/>
      </c>
      <c r="D28" s="45">
        <f>IF(OR($A28="",$B28=""),"",$B28-$C28)</f>
        <v/>
      </c>
      <c r="E28" s="45">
        <f>IF($A28="","",IF($B28="","（管理しない）",IF($D28&lt;0,"⚠ 超過",IF($D28=0,"上限ちょうど",IF($D28&lt;=1,"残りわずか","OK")))))</f>
        <v/>
      </c>
    </row>
    <row r="29">
      <c r="A29" s="49">
        <f>IF(COUNTA('利用者マスタ'!$A$4:$A$60)&gt;=24,INDEX('利用者マスタ'!$A$4:$A$60,24),"")</f>
        <v/>
      </c>
      <c r="B29" s="45">
        <f>IF($A29="","",IF(SUMPRODUCT(('利用者マスタ'!$A$4:$A$60=$A29)*('利用者マスタ'!$B$4:$B$60&lt;&gt;""))=0,"",SUMIFS('利用者マスタ'!$B$4:$B$60,'利用者マスタ'!$A$4:$A$60,$A29)))</f>
        <v/>
      </c>
      <c r="C29" s="45">
        <f>IF($A29="","",SUMIFS('01_予約入力'!$AA$5:$AA$404,'01_予約入力'!$B$5:$B$404,$A29,'01_予約入力'!$G$5:$G$404,"&gt;="&amp;$J$3,'01_予約入力'!$G$5:$G$404,"&lt;="&amp;EOMONTH($J$3,0)))</f>
        <v/>
      </c>
      <c r="D29" s="45">
        <f>IF(OR($A29="",$B29=""),"",$B29-$C29)</f>
        <v/>
      </c>
      <c r="E29" s="45">
        <f>IF($A29="","",IF($B29="","（管理しない）",IF($D29&lt;0,"⚠ 超過",IF($D29=0,"上限ちょうど",IF($D29&lt;=1,"残りわずか","OK")))))</f>
        <v/>
      </c>
    </row>
    <row r="30">
      <c r="A30" s="49">
        <f>IF(COUNTA('利用者マスタ'!$A$4:$A$60)&gt;=25,INDEX('利用者マスタ'!$A$4:$A$60,25),"")</f>
        <v/>
      </c>
      <c r="B30" s="45">
        <f>IF($A30="","",IF(SUMPRODUCT(('利用者マスタ'!$A$4:$A$60=$A30)*('利用者マスタ'!$B$4:$B$60&lt;&gt;""))=0,"",SUMIFS('利用者マスタ'!$B$4:$B$60,'利用者マスタ'!$A$4:$A$60,$A30)))</f>
        <v/>
      </c>
      <c r="C30" s="45">
        <f>IF($A30="","",SUMIFS('01_予約入力'!$AA$5:$AA$404,'01_予約入力'!$B$5:$B$404,$A30,'01_予約入力'!$G$5:$G$404,"&gt;="&amp;$J$3,'01_予約入力'!$G$5:$G$404,"&lt;="&amp;EOMONTH($J$3,0)))</f>
        <v/>
      </c>
      <c r="D30" s="45">
        <f>IF(OR($A30="",$B30=""),"",$B30-$C30)</f>
        <v/>
      </c>
      <c r="E30" s="45">
        <f>IF($A30="","",IF($B30="","（管理しない）",IF($D30&lt;0,"⚠ 超過",IF($D30=0,"上限ちょうど",IF($D30&lt;=1,"残りわずか","OK")))))</f>
        <v/>
      </c>
    </row>
    <row r="31">
      <c r="A31" s="49">
        <f>IF(COUNTA('利用者マスタ'!$A$4:$A$60)&gt;=26,INDEX('利用者マスタ'!$A$4:$A$60,26),"")</f>
        <v/>
      </c>
      <c r="B31" s="45">
        <f>IF($A31="","",IF(SUMPRODUCT(('利用者マスタ'!$A$4:$A$60=$A31)*('利用者マスタ'!$B$4:$B$60&lt;&gt;""))=0,"",SUMIFS('利用者マスタ'!$B$4:$B$60,'利用者マスタ'!$A$4:$A$60,$A31)))</f>
        <v/>
      </c>
      <c r="C31" s="45">
        <f>IF($A31="","",SUMIFS('01_予約入力'!$AA$5:$AA$404,'01_予約入力'!$B$5:$B$404,$A31,'01_予約入力'!$G$5:$G$404,"&gt;="&amp;$J$3,'01_予約入力'!$G$5:$G$404,"&lt;="&amp;EOMONTH($J$3,0)))</f>
        <v/>
      </c>
      <c r="D31" s="45">
        <f>IF(OR($A31="",$B31=""),"",$B31-$C31)</f>
        <v/>
      </c>
      <c r="E31" s="45">
        <f>IF($A31="","",IF($B31="","（管理しない）",IF($D31&lt;0,"⚠ 超過",IF($D31=0,"上限ちょうど",IF($D31&lt;=1,"残りわずか","OK")))))</f>
        <v/>
      </c>
    </row>
    <row r="32">
      <c r="A32" s="49">
        <f>IF(COUNTA('利用者マスタ'!$A$4:$A$60)&gt;=27,INDEX('利用者マスタ'!$A$4:$A$60,27),"")</f>
        <v/>
      </c>
      <c r="B32" s="45">
        <f>IF($A32="","",IF(SUMPRODUCT(('利用者マスタ'!$A$4:$A$60=$A32)*('利用者マスタ'!$B$4:$B$60&lt;&gt;""))=0,"",SUMIFS('利用者マスタ'!$B$4:$B$60,'利用者マスタ'!$A$4:$A$60,$A32)))</f>
        <v/>
      </c>
      <c r="C32" s="45">
        <f>IF($A32="","",SUMIFS('01_予約入力'!$AA$5:$AA$404,'01_予約入力'!$B$5:$B$404,$A32,'01_予約入力'!$G$5:$G$404,"&gt;="&amp;$J$3,'01_予約入力'!$G$5:$G$404,"&lt;="&amp;EOMONTH($J$3,0)))</f>
        <v/>
      </c>
      <c r="D32" s="45">
        <f>IF(OR($A32="",$B32=""),"",$B32-$C32)</f>
        <v/>
      </c>
      <c r="E32" s="45">
        <f>IF($A32="","",IF($B32="","（管理しない）",IF($D32&lt;0,"⚠ 超過",IF($D32=0,"上限ちょうど",IF($D32&lt;=1,"残りわずか","OK")))))</f>
        <v/>
      </c>
    </row>
    <row r="33">
      <c r="A33" s="49">
        <f>IF(COUNTA('利用者マスタ'!$A$4:$A$60)&gt;=28,INDEX('利用者マスタ'!$A$4:$A$60,28),"")</f>
        <v/>
      </c>
      <c r="B33" s="45">
        <f>IF($A33="","",IF(SUMPRODUCT(('利用者マスタ'!$A$4:$A$60=$A33)*('利用者マスタ'!$B$4:$B$60&lt;&gt;""))=0,"",SUMIFS('利用者マスタ'!$B$4:$B$60,'利用者マスタ'!$A$4:$A$60,$A33)))</f>
        <v/>
      </c>
      <c r="C33" s="45">
        <f>IF($A33="","",SUMIFS('01_予約入力'!$AA$5:$AA$404,'01_予約入力'!$B$5:$B$404,$A33,'01_予約入力'!$G$5:$G$404,"&gt;="&amp;$J$3,'01_予約入力'!$G$5:$G$404,"&lt;="&amp;EOMONTH($J$3,0)))</f>
        <v/>
      </c>
      <c r="D33" s="45">
        <f>IF(OR($A33="",$B33=""),"",$B33-$C33)</f>
        <v/>
      </c>
      <c r="E33" s="45">
        <f>IF($A33="","",IF($B33="","（管理しない）",IF($D33&lt;0,"⚠ 超過",IF($D33=0,"上限ちょうど",IF($D33&lt;=1,"残りわずか","OK")))))</f>
        <v/>
      </c>
    </row>
    <row r="34">
      <c r="A34" s="49">
        <f>IF(COUNTA('利用者マスタ'!$A$4:$A$60)&gt;=29,INDEX('利用者マスタ'!$A$4:$A$60,29),"")</f>
        <v/>
      </c>
      <c r="B34" s="45">
        <f>IF($A34="","",IF(SUMPRODUCT(('利用者マスタ'!$A$4:$A$60=$A34)*('利用者マスタ'!$B$4:$B$60&lt;&gt;""))=0,"",SUMIFS('利用者マスタ'!$B$4:$B$60,'利用者マスタ'!$A$4:$A$60,$A34)))</f>
        <v/>
      </c>
      <c r="C34" s="45">
        <f>IF($A34="","",SUMIFS('01_予約入力'!$AA$5:$AA$404,'01_予約入力'!$B$5:$B$404,$A34,'01_予約入力'!$G$5:$G$404,"&gt;="&amp;$J$3,'01_予約入力'!$G$5:$G$404,"&lt;="&amp;EOMONTH($J$3,0)))</f>
        <v/>
      </c>
      <c r="D34" s="45">
        <f>IF(OR($A34="",$B34=""),"",$B34-$C34)</f>
        <v/>
      </c>
      <c r="E34" s="45">
        <f>IF($A34="","",IF($B34="","（管理しない）",IF($D34&lt;0,"⚠ 超過",IF($D34=0,"上限ちょうど",IF($D34&lt;=1,"残りわずか","OK")))))</f>
        <v/>
      </c>
    </row>
    <row r="35">
      <c r="A35" s="49">
        <f>IF(COUNTA('利用者マスタ'!$A$4:$A$60)&gt;=30,INDEX('利用者マスタ'!$A$4:$A$60,30),"")</f>
        <v/>
      </c>
      <c r="B35" s="45">
        <f>IF($A35="","",IF(SUMPRODUCT(('利用者マスタ'!$A$4:$A$60=$A35)*('利用者マスタ'!$B$4:$B$60&lt;&gt;""))=0,"",SUMIFS('利用者マスタ'!$B$4:$B$60,'利用者マスタ'!$A$4:$A$60,$A35)))</f>
        <v/>
      </c>
      <c r="C35" s="45">
        <f>IF($A35="","",SUMIFS('01_予約入力'!$AA$5:$AA$404,'01_予約入力'!$B$5:$B$404,$A35,'01_予約入力'!$G$5:$G$404,"&gt;="&amp;$J$3,'01_予約入力'!$G$5:$G$404,"&lt;="&amp;EOMONTH($J$3,0)))</f>
        <v/>
      </c>
      <c r="D35" s="45">
        <f>IF(OR($A35="",$B35=""),"",$B35-$C35)</f>
        <v/>
      </c>
      <c r="E35" s="45">
        <f>IF($A35="","",IF($B35="","（管理しない）",IF($D35&lt;0,"⚠ 超過",IF($D35=0,"上限ちょうど",IF($D35&lt;=1,"残りわずか","OK")))))</f>
        <v/>
      </c>
    </row>
    <row r="37">
      <c r="A37" s="2" t="inlineStr">
        <is>
          <t>※ 月をまたぐ滞在は、入所日の属する月にまとめて計上します。月割りが必要な場合は 07_月次集計 を使ってください。</t>
        </is>
      </c>
    </row>
  </sheetData>
  <conditionalFormatting sqref="A6:E35">
    <cfRule type="expression" priority="1" dxfId="1">
      <formula>$E6="⚠ 超過"</formula>
    </cfRule>
    <cfRule type="expression" priority="2" dxfId="2">
      <formula>$E6="残りわずか"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2:I4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.4" customWidth="1" min="2" max="2"/>
    <col width="10.4" customWidth="1" min="3" max="3"/>
    <col width="10.4" customWidth="1" min="4" max="4"/>
    <col width="10.4" customWidth="1" min="5" max="5"/>
    <col width="10.4" customWidth="1" min="6" max="6"/>
    <col width="10.4" customWidth="1" min="7" max="7"/>
    <col width="10.4" customWidth="1" min="8" max="8"/>
  </cols>
  <sheetData>
    <row r="2" ht="30" customHeight="1">
      <c r="A2" s="62" t="inlineStr">
        <is>
          <t>Ｆ Ａ Ｘ　送　信　票</t>
        </is>
      </c>
    </row>
    <row r="3" ht="20" customHeight="1">
      <c r="A3" s="63">
        <f>YEAR('02_カレンダー'!$B$4)&amp;"年"&amp;MONTH('02_カレンダー'!$B$4)&amp;"月"&amp;"　短期入所（ショートステイ）空き状況のご案内"</f>
        <v/>
      </c>
      <c r="B3" s="126" t="n"/>
      <c r="C3" s="126" t="n"/>
      <c r="D3" s="126" t="n"/>
      <c r="E3" s="126" t="n"/>
      <c r="F3" s="126" t="n"/>
      <c r="G3" s="126" t="n"/>
      <c r="H3" s="126" t="n"/>
    </row>
    <row r="5" ht="19" customHeight="1">
      <c r="A5" s="65" t="inlineStr">
        <is>
          <t>送 信 先</t>
        </is>
      </c>
      <c r="B5" s="66" t="n"/>
      <c r="C5" s="127" t="n"/>
      <c r="D5" s="127" t="n"/>
      <c r="E5" s="128" t="n"/>
      <c r="F5" s="68" t="inlineStr">
        <is>
          <t>送信日</t>
        </is>
      </c>
      <c r="G5" s="69">
        <f>YEAR(TODAY())&amp;"年"&amp;MONTH(TODAY())&amp;"月"&amp;DAY(TODAY())&amp;"日"</f>
        <v/>
      </c>
      <c r="H5" s="128" t="n"/>
    </row>
    <row r="6" ht="19" customHeight="1">
      <c r="A6" s="129" t="n"/>
      <c r="B6" s="72">
        <f>IF($B$5="","＿＿＿＿＿＿＿＿＿＿＿＿＿＿＿　御中",$B$5&amp;"　御中")</f>
        <v/>
      </c>
      <c r="C6" s="130" t="n"/>
      <c r="D6" s="130" t="n"/>
      <c r="E6" s="131" t="n"/>
      <c r="F6" s="74" t="inlineStr">
        <is>
          <t>枚　数</t>
        </is>
      </c>
      <c r="G6" s="75" t="inlineStr">
        <is>
          <t>本票を含め　1 枚</t>
        </is>
      </c>
      <c r="H6" s="131" t="n"/>
    </row>
    <row r="7" ht="19" customHeight="1">
      <c r="A7" s="129" t="n"/>
      <c r="B7" s="77">
        <f>IF($B$5="","ご担当　＿＿＿＿＿＿＿＿　様",IF(IFERROR(INDEX('M_FAX送付先'!$B$4:$B$24,IFERROR(MATCH($B$5,'M_FAX送付先'!$A$4:$A$24,0),0)),"")="","","ご担当　"&amp;INDEX('M_FAX送付先'!$B$4:$B$24,IFERROR(MATCH($B$5,'M_FAX送付先'!$A$4:$A$24,0),0))&amp;"　様"))</f>
        <v/>
      </c>
      <c r="C7" s="130" t="n"/>
      <c r="D7" s="130" t="n"/>
      <c r="E7" s="131" t="n"/>
      <c r="F7" s="78">
        <f>"全"&amp;'M_施設設定'!$B$6&amp;"室の施設です"</f>
        <v/>
      </c>
      <c r="G7" s="130" t="n"/>
      <c r="H7" s="131" t="n"/>
    </row>
    <row r="8" ht="19" customHeight="1">
      <c r="A8" s="132" t="n"/>
      <c r="B8" s="80">
        <f>IF($B$5="","ＦＡＸ　＿＿＿＿＿＿＿＿＿＿","ＦＡＸ　"&amp;IFERROR(INDEX('M_FAX送付先'!$C$4:$C$24,IFERROR(MATCH($B$5,'M_FAX送付先'!$A$4:$A$24,0),0)),""))</f>
        <v/>
      </c>
      <c r="C8" s="133" t="n"/>
      <c r="D8" s="133" t="n"/>
      <c r="E8" s="134" t="n"/>
      <c r="F8" s="82" t="inlineStr">
        <is>
          <t>利用者名は記載しておりません</t>
        </is>
      </c>
      <c r="G8" s="133" t="n"/>
      <c r="H8" s="134" t="n"/>
    </row>
    <row r="10" ht="19" customHeight="1">
      <c r="A10" s="65" t="inlineStr">
        <is>
          <t>送 信 元</t>
        </is>
      </c>
      <c r="B10" s="84">
        <f>'M_施設設定'!$B$4&amp;"　"&amp;'M_施設設定'!$B$5</f>
        <v/>
      </c>
      <c r="C10" s="127" t="n"/>
      <c r="D10" s="127" t="n"/>
      <c r="E10" s="127" t="n"/>
      <c r="F10" s="127" t="n"/>
      <c r="G10" s="127" t="n"/>
      <c r="H10" s="128" t="n"/>
    </row>
    <row r="11" ht="19" customHeight="1">
      <c r="A11" s="129" t="n"/>
      <c r="B11" s="77">
        <f>IF('M_施設設定'!$B$11="","＿＿＿＿＿＿＿＿＿＿＿＿＿＿＿＿＿＿＿＿",IF('M_施設設定'!$B$10="","","〒"&amp;'M_施設設定'!$B$10&amp;"　")&amp;'M_施設設定'!$B$11)</f>
        <v/>
      </c>
      <c r="C11" s="130" t="n"/>
      <c r="D11" s="130" t="n"/>
      <c r="E11" s="130" t="n"/>
      <c r="F11" s="130" t="n"/>
      <c r="G11" s="130" t="n"/>
      <c r="H11" s="131" t="n"/>
    </row>
    <row r="12" ht="19" customHeight="1">
      <c r="A12" s="129" t="n"/>
      <c r="B12" s="77">
        <f>"ＴＥＬ　"&amp;IF('M_施設設定'!$B$12="","＿＿＿＿＿＿＿＿＿＿",'M_施設設定'!$B$12)&amp;"　　ＦＡＸ　"&amp;IF('M_施設設定'!$B$13="","＿＿＿＿＿＿＿＿＿＿",'M_施設設定'!$B$13)</f>
        <v/>
      </c>
      <c r="C12" s="130" t="n"/>
      <c r="D12" s="130" t="n"/>
      <c r="E12" s="130" t="n"/>
      <c r="F12" s="130" t="n"/>
      <c r="G12" s="130" t="n"/>
      <c r="H12" s="131" t="n"/>
    </row>
    <row r="13" ht="19" customHeight="1">
      <c r="A13" s="132" t="n"/>
      <c r="B13" s="80">
        <f>"担当　"&amp;IF('M_施設設定'!$B$14="","＿＿＿＿＿＿＿＿＿＿",'M_施設設定'!$B$14)</f>
        <v/>
      </c>
      <c r="C13" s="133" t="n"/>
      <c r="D13" s="133" t="n"/>
      <c r="E13" s="133" t="n"/>
      <c r="F13" s="133" t="n"/>
      <c r="G13" s="133" t="n"/>
      <c r="H13" s="134" t="n"/>
    </row>
    <row r="15" ht="18" customHeight="1">
      <c r="A15" s="85" t="inlineStr">
        <is>
          <t>平素より大変お世話になっております。</t>
        </is>
      </c>
    </row>
    <row r="16" ht="18" customHeight="1">
      <c r="A16" s="85">
        <f>YEAR('02_カレンダー'!$B$4)&amp;"年"&amp;MONTH('02_カレンダー'!$B$4)&amp;"月"&amp;"の短期入所の空き状況は下記のとおりです。ご確認のほど、よろしくお願いいたします。"</f>
        <v/>
      </c>
    </row>
    <row r="18" ht="20" customHeight="1">
      <c r="A18" s="86">
        <f>"■　"&amp;YEAR('02_カレンダー'!$B$4)&amp;"年"&amp;MONTH('02_カレンダー'!$B$4)&amp;"月"&amp;"　空き状況"</f>
        <v/>
      </c>
    </row>
    <row r="19" ht="19" customHeight="1">
      <c r="A19" s="87" t="inlineStr"/>
      <c r="B19" s="88" t="inlineStr">
        <is>
          <t>日</t>
        </is>
      </c>
      <c r="C19" s="89" t="inlineStr">
        <is>
          <t>月</t>
        </is>
      </c>
      <c r="D19" s="89" t="inlineStr">
        <is>
          <t>火</t>
        </is>
      </c>
      <c r="E19" s="89" t="inlineStr">
        <is>
          <t>水</t>
        </is>
      </c>
      <c r="F19" s="89" t="inlineStr">
        <is>
          <t>木</t>
        </is>
      </c>
      <c r="G19" s="89" t="inlineStr">
        <is>
          <t>金</t>
        </is>
      </c>
      <c r="H19" s="90" t="inlineStr">
        <is>
          <t>土</t>
        </is>
      </c>
    </row>
    <row r="20" ht="14" customHeight="1">
      <c r="A20" s="91" t="inlineStr">
        <is>
          <t>第1週</t>
        </is>
      </c>
      <c r="B20" s="135">
        <f>IF(MONTH('02_カレンダー'!$B$4-WEEKDAY('02_カレンダー'!$B$4)+1+0)&lt;&gt;MONTH('02_カレンダー'!$B$4),"",'02_カレンダー'!$B$4-WEEKDAY('02_カレンダー'!$B$4)+1+0)</f>
        <v/>
      </c>
      <c r="C20" s="136">
        <f>IF(MONTH('02_カレンダー'!$B$4-WEEKDAY('02_カレンダー'!$B$4)+1+1)&lt;&gt;MONTH('02_カレンダー'!$B$4),"",'02_カレンダー'!$B$4-WEEKDAY('02_カレンダー'!$B$4)+1+1)</f>
        <v/>
      </c>
      <c r="D20" s="136">
        <f>IF(MONTH('02_カレンダー'!$B$4-WEEKDAY('02_カレンダー'!$B$4)+1+2)&lt;&gt;MONTH('02_カレンダー'!$B$4),"",'02_カレンダー'!$B$4-WEEKDAY('02_カレンダー'!$B$4)+1+2)</f>
        <v/>
      </c>
      <c r="E20" s="136">
        <f>IF(MONTH('02_カレンダー'!$B$4-WEEKDAY('02_カレンダー'!$B$4)+1+3)&lt;&gt;MONTH('02_カレンダー'!$B$4),"",'02_カレンダー'!$B$4-WEEKDAY('02_カレンダー'!$B$4)+1+3)</f>
        <v/>
      </c>
      <c r="F20" s="136">
        <f>IF(MONTH('02_カレンダー'!$B$4-WEEKDAY('02_カレンダー'!$B$4)+1+4)&lt;&gt;MONTH('02_カレンダー'!$B$4),"",'02_カレンダー'!$B$4-WEEKDAY('02_カレンダー'!$B$4)+1+4)</f>
        <v/>
      </c>
      <c r="G20" s="136">
        <f>IF(MONTH('02_カレンダー'!$B$4-WEEKDAY('02_カレンダー'!$B$4)+1+5)&lt;&gt;MONTH('02_カレンダー'!$B$4),"",'02_カレンダー'!$B$4-WEEKDAY('02_カレンダー'!$B$4)+1+5)</f>
        <v/>
      </c>
      <c r="H20" s="137">
        <f>IF(MONTH('02_カレンダー'!$B$4-WEEKDAY('02_カレンダー'!$B$4)+1+6)&lt;&gt;MONTH('02_カレンダー'!$B$4),"",'02_カレンダー'!$B$4-WEEKDAY('02_カレンダー'!$B$4)+1+6)</f>
        <v/>
      </c>
    </row>
    <row r="21" ht="24" customHeight="1">
      <c r="A21" s="132" t="n"/>
      <c r="B21" s="95">
        <f>IF(B20="","",IFERROR(INDEX('04_月間表'!$J$7:$J$37,MATCH(B20,'04_月間表'!$A$7:$A$37,0)),""))</f>
        <v/>
      </c>
      <c r="C21" s="95">
        <f>IF(C20="","",IFERROR(INDEX('04_月間表'!$J$7:$J$37,MATCH(C20,'04_月間表'!$A$7:$A$37,0)),""))</f>
        <v/>
      </c>
      <c r="D21" s="95">
        <f>IF(D20="","",IFERROR(INDEX('04_月間表'!$J$7:$J$37,MATCH(D20,'04_月間表'!$A$7:$A$37,0)),""))</f>
        <v/>
      </c>
      <c r="E21" s="95">
        <f>IF(E20="","",IFERROR(INDEX('04_月間表'!$J$7:$J$37,MATCH(E20,'04_月間表'!$A$7:$A$37,0)),""))</f>
        <v/>
      </c>
      <c r="F21" s="95">
        <f>IF(F20="","",IFERROR(INDEX('04_月間表'!$J$7:$J$37,MATCH(F20,'04_月間表'!$A$7:$A$37,0)),""))</f>
        <v/>
      </c>
      <c r="G21" s="95">
        <f>IF(G20="","",IFERROR(INDEX('04_月間表'!$J$7:$J$37,MATCH(G20,'04_月間表'!$A$7:$A$37,0)),""))</f>
        <v/>
      </c>
      <c r="H21" s="96">
        <f>IF(H20="","",IFERROR(INDEX('04_月間表'!$J$7:$J$37,MATCH(H20,'04_月間表'!$A$7:$A$37,0)),""))</f>
        <v/>
      </c>
    </row>
    <row r="22" ht="14" customHeight="1">
      <c r="A22" s="91" t="inlineStr">
        <is>
          <t>第2週</t>
        </is>
      </c>
      <c r="B22" s="135">
        <f>IF(MONTH('02_カレンダー'!$B$4-WEEKDAY('02_カレンダー'!$B$4)+1+7)&lt;&gt;MONTH('02_カレンダー'!$B$4),"",'02_カレンダー'!$B$4-WEEKDAY('02_カレンダー'!$B$4)+1+7)</f>
        <v/>
      </c>
      <c r="C22" s="136">
        <f>IF(MONTH('02_カレンダー'!$B$4-WEEKDAY('02_カレンダー'!$B$4)+1+8)&lt;&gt;MONTH('02_カレンダー'!$B$4),"",'02_カレンダー'!$B$4-WEEKDAY('02_カレンダー'!$B$4)+1+8)</f>
        <v/>
      </c>
      <c r="D22" s="136">
        <f>IF(MONTH('02_カレンダー'!$B$4-WEEKDAY('02_カレンダー'!$B$4)+1+9)&lt;&gt;MONTH('02_カレンダー'!$B$4),"",'02_カレンダー'!$B$4-WEEKDAY('02_カレンダー'!$B$4)+1+9)</f>
        <v/>
      </c>
      <c r="E22" s="136">
        <f>IF(MONTH('02_カレンダー'!$B$4-WEEKDAY('02_カレンダー'!$B$4)+1+10)&lt;&gt;MONTH('02_カレンダー'!$B$4),"",'02_カレンダー'!$B$4-WEEKDAY('02_カレンダー'!$B$4)+1+10)</f>
        <v/>
      </c>
      <c r="F22" s="136">
        <f>IF(MONTH('02_カレンダー'!$B$4-WEEKDAY('02_カレンダー'!$B$4)+1+11)&lt;&gt;MONTH('02_カレンダー'!$B$4),"",'02_カレンダー'!$B$4-WEEKDAY('02_カレンダー'!$B$4)+1+11)</f>
        <v/>
      </c>
      <c r="G22" s="136">
        <f>IF(MONTH('02_カレンダー'!$B$4-WEEKDAY('02_カレンダー'!$B$4)+1+12)&lt;&gt;MONTH('02_カレンダー'!$B$4),"",'02_カレンダー'!$B$4-WEEKDAY('02_カレンダー'!$B$4)+1+12)</f>
        <v/>
      </c>
      <c r="H22" s="137">
        <f>IF(MONTH('02_カレンダー'!$B$4-WEEKDAY('02_カレンダー'!$B$4)+1+13)&lt;&gt;MONTH('02_カレンダー'!$B$4),"",'02_カレンダー'!$B$4-WEEKDAY('02_カレンダー'!$B$4)+1+13)</f>
        <v/>
      </c>
    </row>
    <row r="23" ht="24" customHeight="1">
      <c r="A23" s="132" t="n"/>
      <c r="B23" s="95">
        <f>IF(B22="","",IFERROR(INDEX('04_月間表'!$J$7:$J$37,MATCH(B22,'04_月間表'!$A$7:$A$37,0)),""))</f>
        <v/>
      </c>
      <c r="C23" s="95">
        <f>IF(C22="","",IFERROR(INDEX('04_月間表'!$J$7:$J$37,MATCH(C22,'04_月間表'!$A$7:$A$37,0)),""))</f>
        <v/>
      </c>
      <c r="D23" s="95">
        <f>IF(D22="","",IFERROR(INDEX('04_月間表'!$J$7:$J$37,MATCH(D22,'04_月間表'!$A$7:$A$37,0)),""))</f>
        <v/>
      </c>
      <c r="E23" s="95">
        <f>IF(E22="","",IFERROR(INDEX('04_月間表'!$J$7:$J$37,MATCH(E22,'04_月間表'!$A$7:$A$37,0)),""))</f>
        <v/>
      </c>
      <c r="F23" s="95">
        <f>IF(F22="","",IFERROR(INDEX('04_月間表'!$J$7:$J$37,MATCH(F22,'04_月間表'!$A$7:$A$37,0)),""))</f>
        <v/>
      </c>
      <c r="G23" s="95">
        <f>IF(G22="","",IFERROR(INDEX('04_月間表'!$J$7:$J$37,MATCH(G22,'04_月間表'!$A$7:$A$37,0)),""))</f>
        <v/>
      </c>
      <c r="H23" s="96">
        <f>IF(H22="","",IFERROR(INDEX('04_月間表'!$J$7:$J$37,MATCH(H22,'04_月間表'!$A$7:$A$37,0)),""))</f>
        <v/>
      </c>
    </row>
    <row r="24" ht="14" customHeight="1">
      <c r="A24" s="91" t="inlineStr">
        <is>
          <t>第3週</t>
        </is>
      </c>
      <c r="B24" s="135">
        <f>IF(MONTH('02_カレンダー'!$B$4-WEEKDAY('02_カレンダー'!$B$4)+1+14)&lt;&gt;MONTH('02_カレンダー'!$B$4),"",'02_カレンダー'!$B$4-WEEKDAY('02_カレンダー'!$B$4)+1+14)</f>
        <v/>
      </c>
      <c r="C24" s="136">
        <f>IF(MONTH('02_カレンダー'!$B$4-WEEKDAY('02_カレンダー'!$B$4)+1+15)&lt;&gt;MONTH('02_カレンダー'!$B$4),"",'02_カレンダー'!$B$4-WEEKDAY('02_カレンダー'!$B$4)+1+15)</f>
        <v/>
      </c>
      <c r="D24" s="136">
        <f>IF(MONTH('02_カレンダー'!$B$4-WEEKDAY('02_カレンダー'!$B$4)+1+16)&lt;&gt;MONTH('02_カレンダー'!$B$4),"",'02_カレンダー'!$B$4-WEEKDAY('02_カレンダー'!$B$4)+1+16)</f>
        <v/>
      </c>
      <c r="E24" s="136">
        <f>IF(MONTH('02_カレンダー'!$B$4-WEEKDAY('02_カレンダー'!$B$4)+1+17)&lt;&gt;MONTH('02_カレンダー'!$B$4),"",'02_カレンダー'!$B$4-WEEKDAY('02_カレンダー'!$B$4)+1+17)</f>
        <v/>
      </c>
      <c r="F24" s="136">
        <f>IF(MONTH('02_カレンダー'!$B$4-WEEKDAY('02_カレンダー'!$B$4)+1+18)&lt;&gt;MONTH('02_カレンダー'!$B$4),"",'02_カレンダー'!$B$4-WEEKDAY('02_カレンダー'!$B$4)+1+18)</f>
        <v/>
      </c>
      <c r="G24" s="136">
        <f>IF(MONTH('02_カレンダー'!$B$4-WEEKDAY('02_カレンダー'!$B$4)+1+19)&lt;&gt;MONTH('02_カレンダー'!$B$4),"",'02_カレンダー'!$B$4-WEEKDAY('02_カレンダー'!$B$4)+1+19)</f>
        <v/>
      </c>
      <c r="H24" s="137">
        <f>IF(MONTH('02_カレンダー'!$B$4-WEEKDAY('02_カレンダー'!$B$4)+1+20)&lt;&gt;MONTH('02_カレンダー'!$B$4),"",'02_カレンダー'!$B$4-WEEKDAY('02_カレンダー'!$B$4)+1+20)</f>
        <v/>
      </c>
    </row>
    <row r="25" ht="24" customHeight="1">
      <c r="A25" s="132" t="n"/>
      <c r="B25" s="95">
        <f>IF(B24="","",IFERROR(INDEX('04_月間表'!$J$7:$J$37,MATCH(B24,'04_月間表'!$A$7:$A$37,0)),""))</f>
        <v/>
      </c>
      <c r="C25" s="95">
        <f>IF(C24="","",IFERROR(INDEX('04_月間表'!$J$7:$J$37,MATCH(C24,'04_月間表'!$A$7:$A$37,0)),""))</f>
        <v/>
      </c>
      <c r="D25" s="95">
        <f>IF(D24="","",IFERROR(INDEX('04_月間表'!$J$7:$J$37,MATCH(D24,'04_月間表'!$A$7:$A$37,0)),""))</f>
        <v/>
      </c>
      <c r="E25" s="95">
        <f>IF(E24="","",IFERROR(INDEX('04_月間表'!$J$7:$J$37,MATCH(E24,'04_月間表'!$A$7:$A$37,0)),""))</f>
        <v/>
      </c>
      <c r="F25" s="95">
        <f>IF(F24="","",IFERROR(INDEX('04_月間表'!$J$7:$J$37,MATCH(F24,'04_月間表'!$A$7:$A$37,0)),""))</f>
        <v/>
      </c>
      <c r="G25" s="95">
        <f>IF(G24="","",IFERROR(INDEX('04_月間表'!$J$7:$J$37,MATCH(G24,'04_月間表'!$A$7:$A$37,0)),""))</f>
        <v/>
      </c>
      <c r="H25" s="96">
        <f>IF(H24="","",IFERROR(INDEX('04_月間表'!$J$7:$J$37,MATCH(H24,'04_月間表'!$A$7:$A$37,0)),""))</f>
        <v/>
      </c>
    </row>
    <row r="26" ht="14" customHeight="1">
      <c r="A26" s="91" t="inlineStr">
        <is>
          <t>第4週</t>
        </is>
      </c>
      <c r="B26" s="135">
        <f>IF(MONTH('02_カレンダー'!$B$4-WEEKDAY('02_カレンダー'!$B$4)+1+21)&lt;&gt;MONTH('02_カレンダー'!$B$4),"",'02_カレンダー'!$B$4-WEEKDAY('02_カレンダー'!$B$4)+1+21)</f>
        <v/>
      </c>
      <c r="C26" s="136">
        <f>IF(MONTH('02_カレンダー'!$B$4-WEEKDAY('02_カレンダー'!$B$4)+1+22)&lt;&gt;MONTH('02_カレンダー'!$B$4),"",'02_カレンダー'!$B$4-WEEKDAY('02_カレンダー'!$B$4)+1+22)</f>
        <v/>
      </c>
      <c r="D26" s="136">
        <f>IF(MONTH('02_カレンダー'!$B$4-WEEKDAY('02_カレンダー'!$B$4)+1+23)&lt;&gt;MONTH('02_カレンダー'!$B$4),"",'02_カレンダー'!$B$4-WEEKDAY('02_カレンダー'!$B$4)+1+23)</f>
        <v/>
      </c>
      <c r="E26" s="136">
        <f>IF(MONTH('02_カレンダー'!$B$4-WEEKDAY('02_カレンダー'!$B$4)+1+24)&lt;&gt;MONTH('02_カレンダー'!$B$4),"",'02_カレンダー'!$B$4-WEEKDAY('02_カレンダー'!$B$4)+1+24)</f>
        <v/>
      </c>
      <c r="F26" s="136">
        <f>IF(MONTH('02_カレンダー'!$B$4-WEEKDAY('02_カレンダー'!$B$4)+1+25)&lt;&gt;MONTH('02_カレンダー'!$B$4),"",'02_カレンダー'!$B$4-WEEKDAY('02_カレンダー'!$B$4)+1+25)</f>
        <v/>
      </c>
      <c r="G26" s="136">
        <f>IF(MONTH('02_カレンダー'!$B$4-WEEKDAY('02_カレンダー'!$B$4)+1+26)&lt;&gt;MONTH('02_カレンダー'!$B$4),"",'02_カレンダー'!$B$4-WEEKDAY('02_カレンダー'!$B$4)+1+26)</f>
        <v/>
      </c>
      <c r="H26" s="137">
        <f>IF(MONTH('02_カレンダー'!$B$4-WEEKDAY('02_カレンダー'!$B$4)+1+27)&lt;&gt;MONTH('02_カレンダー'!$B$4),"",'02_カレンダー'!$B$4-WEEKDAY('02_カレンダー'!$B$4)+1+27)</f>
        <v/>
      </c>
    </row>
    <row r="27" ht="24" customHeight="1">
      <c r="A27" s="132" t="n"/>
      <c r="B27" s="95">
        <f>IF(B26="","",IFERROR(INDEX('04_月間表'!$J$7:$J$37,MATCH(B26,'04_月間表'!$A$7:$A$37,0)),""))</f>
        <v/>
      </c>
      <c r="C27" s="95">
        <f>IF(C26="","",IFERROR(INDEX('04_月間表'!$J$7:$J$37,MATCH(C26,'04_月間表'!$A$7:$A$37,0)),""))</f>
        <v/>
      </c>
      <c r="D27" s="95">
        <f>IF(D26="","",IFERROR(INDEX('04_月間表'!$J$7:$J$37,MATCH(D26,'04_月間表'!$A$7:$A$37,0)),""))</f>
        <v/>
      </c>
      <c r="E27" s="95">
        <f>IF(E26="","",IFERROR(INDEX('04_月間表'!$J$7:$J$37,MATCH(E26,'04_月間表'!$A$7:$A$37,0)),""))</f>
        <v/>
      </c>
      <c r="F27" s="95">
        <f>IF(F26="","",IFERROR(INDEX('04_月間表'!$J$7:$J$37,MATCH(F26,'04_月間表'!$A$7:$A$37,0)),""))</f>
        <v/>
      </c>
      <c r="G27" s="95">
        <f>IF(G26="","",IFERROR(INDEX('04_月間表'!$J$7:$J$37,MATCH(G26,'04_月間表'!$A$7:$A$37,0)),""))</f>
        <v/>
      </c>
      <c r="H27" s="96">
        <f>IF(H26="","",IFERROR(INDEX('04_月間表'!$J$7:$J$37,MATCH(H26,'04_月間表'!$A$7:$A$37,0)),""))</f>
        <v/>
      </c>
    </row>
    <row r="28" ht="14" customHeight="1">
      <c r="A28" s="91" t="inlineStr">
        <is>
          <t>第5週</t>
        </is>
      </c>
      <c r="B28" s="135">
        <f>IF(MONTH('02_カレンダー'!$B$4-WEEKDAY('02_カレンダー'!$B$4)+1+28)&lt;&gt;MONTH('02_カレンダー'!$B$4),"",'02_カレンダー'!$B$4-WEEKDAY('02_カレンダー'!$B$4)+1+28)</f>
        <v/>
      </c>
      <c r="C28" s="136">
        <f>IF(MONTH('02_カレンダー'!$B$4-WEEKDAY('02_カレンダー'!$B$4)+1+29)&lt;&gt;MONTH('02_カレンダー'!$B$4),"",'02_カレンダー'!$B$4-WEEKDAY('02_カレンダー'!$B$4)+1+29)</f>
        <v/>
      </c>
      <c r="D28" s="136">
        <f>IF(MONTH('02_カレンダー'!$B$4-WEEKDAY('02_カレンダー'!$B$4)+1+30)&lt;&gt;MONTH('02_カレンダー'!$B$4),"",'02_カレンダー'!$B$4-WEEKDAY('02_カレンダー'!$B$4)+1+30)</f>
        <v/>
      </c>
      <c r="E28" s="136">
        <f>IF(MONTH('02_カレンダー'!$B$4-WEEKDAY('02_カレンダー'!$B$4)+1+31)&lt;&gt;MONTH('02_カレンダー'!$B$4),"",'02_カレンダー'!$B$4-WEEKDAY('02_カレンダー'!$B$4)+1+31)</f>
        <v/>
      </c>
      <c r="F28" s="136">
        <f>IF(MONTH('02_カレンダー'!$B$4-WEEKDAY('02_カレンダー'!$B$4)+1+32)&lt;&gt;MONTH('02_カレンダー'!$B$4),"",'02_カレンダー'!$B$4-WEEKDAY('02_カレンダー'!$B$4)+1+32)</f>
        <v/>
      </c>
      <c r="G28" s="136">
        <f>IF(MONTH('02_カレンダー'!$B$4-WEEKDAY('02_カレンダー'!$B$4)+1+33)&lt;&gt;MONTH('02_カレンダー'!$B$4),"",'02_カレンダー'!$B$4-WEEKDAY('02_カレンダー'!$B$4)+1+33)</f>
        <v/>
      </c>
      <c r="H28" s="137">
        <f>IF(MONTH('02_カレンダー'!$B$4-WEEKDAY('02_カレンダー'!$B$4)+1+34)&lt;&gt;MONTH('02_カレンダー'!$B$4),"",'02_カレンダー'!$B$4-WEEKDAY('02_カレンダー'!$B$4)+1+34)</f>
        <v/>
      </c>
    </row>
    <row r="29" ht="24" customHeight="1">
      <c r="A29" s="132" t="n"/>
      <c r="B29" s="95">
        <f>IF(B28="","",IFERROR(INDEX('04_月間表'!$J$7:$J$37,MATCH(B28,'04_月間表'!$A$7:$A$37,0)),""))</f>
        <v/>
      </c>
      <c r="C29" s="95">
        <f>IF(C28="","",IFERROR(INDEX('04_月間表'!$J$7:$J$37,MATCH(C28,'04_月間表'!$A$7:$A$37,0)),""))</f>
        <v/>
      </c>
      <c r="D29" s="95">
        <f>IF(D28="","",IFERROR(INDEX('04_月間表'!$J$7:$J$37,MATCH(D28,'04_月間表'!$A$7:$A$37,0)),""))</f>
        <v/>
      </c>
      <c r="E29" s="95">
        <f>IF(E28="","",IFERROR(INDEX('04_月間表'!$J$7:$J$37,MATCH(E28,'04_月間表'!$A$7:$A$37,0)),""))</f>
        <v/>
      </c>
      <c r="F29" s="95">
        <f>IF(F28="","",IFERROR(INDEX('04_月間表'!$J$7:$J$37,MATCH(F28,'04_月間表'!$A$7:$A$37,0)),""))</f>
        <v/>
      </c>
      <c r="G29" s="95">
        <f>IF(G28="","",IFERROR(INDEX('04_月間表'!$J$7:$J$37,MATCH(G28,'04_月間表'!$A$7:$A$37,0)),""))</f>
        <v/>
      </c>
      <c r="H29" s="96">
        <f>IF(H28="","",IFERROR(INDEX('04_月間表'!$J$7:$J$37,MATCH(H28,'04_月間表'!$A$7:$A$37,0)),""))</f>
        <v/>
      </c>
    </row>
    <row r="30" ht="14" customHeight="1">
      <c r="A30" s="91" t="inlineStr">
        <is>
          <t>第6週</t>
        </is>
      </c>
      <c r="B30" s="135">
        <f>IF(MONTH('02_カレンダー'!$B$4-WEEKDAY('02_カレンダー'!$B$4)+1+35)&lt;&gt;MONTH('02_カレンダー'!$B$4),"",'02_カレンダー'!$B$4-WEEKDAY('02_カレンダー'!$B$4)+1+35)</f>
        <v/>
      </c>
      <c r="C30" s="136">
        <f>IF(MONTH('02_カレンダー'!$B$4-WEEKDAY('02_カレンダー'!$B$4)+1+36)&lt;&gt;MONTH('02_カレンダー'!$B$4),"",'02_カレンダー'!$B$4-WEEKDAY('02_カレンダー'!$B$4)+1+36)</f>
        <v/>
      </c>
      <c r="D30" s="136">
        <f>IF(MONTH('02_カレンダー'!$B$4-WEEKDAY('02_カレンダー'!$B$4)+1+37)&lt;&gt;MONTH('02_カレンダー'!$B$4),"",'02_カレンダー'!$B$4-WEEKDAY('02_カレンダー'!$B$4)+1+37)</f>
        <v/>
      </c>
      <c r="E30" s="136">
        <f>IF(MONTH('02_カレンダー'!$B$4-WEEKDAY('02_カレンダー'!$B$4)+1+38)&lt;&gt;MONTH('02_カレンダー'!$B$4),"",'02_カレンダー'!$B$4-WEEKDAY('02_カレンダー'!$B$4)+1+38)</f>
        <v/>
      </c>
      <c r="F30" s="136">
        <f>IF(MONTH('02_カレンダー'!$B$4-WEEKDAY('02_カレンダー'!$B$4)+1+39)&lt;&gt;MONTH('02_カレンダー'!$B$4),"",'02_カレンダー'!$B$4-WEEKDAY('02_カレンダー'!$B$4)+1+39)</f>
        <v/>
      </c>
      <c r="G30" s="136">
        <f>IF(MONTH('02_カレンダー'!$B$4-WEEKDAY('02_カレンダー'!$B$4)+1+40)&lt;&gt;MONTH('02_カレンダー'!$B$4),"",'02_カレンダー'!$B$4-WEEKDAY('02_カレンダー'!$B$4)+1+40)</f>
        <v/>
      </c>
      <c r="H30" s="137">
        <f>IF(MONTH('02_カレンダー'!$B$4-WEEKDAY('02_カレンダー'!$B$4)+1+41)&lt;&gt;MONTH('02_カレンダー'!$B$4),"",'02_カレンダー'!$B$4-WEEKDAY('02_カレンダー'!$B$4)+1+41)</f>
        <v/>
      </c>
    </row>
    <row r="31" ht="24" customHeight="1">
      <c r="A31" s="132" t="n"/>
      <c r="B31" s="97">
        <f>IF(B30="","",IFERROR(INDEX('04_月間表'!$J$7:$J$37,MATCH(B30,'04_月間表'!$A$7:$A$37,0)),""))</f>
        <v/>
      </c>
      <c r="C31" s="97">
        <f>IF(C30="","",IFERROR(INDEX('04_月間表'!$J$7:$J$37,MATCH(C30,'04_月間表'!$A$7:$A$37,0)),""))</f>
        <v/>
      </c>
      <c r="D31" s="97">
        <f>IF(D30="","",IFERROR(INDEX('04_月間表'!$J$7:$J$37,MATCH(D30,'04_月間表'!$A$7:$A$37,0)),""))</f>
        <v/>
      </c>
      <c r="E31" s="97">
        <f>IF(E30="","",IFERROR(INDEX('04_月間表'!$J$7:$J$37,MATCH(E30,'04_月間表'!$A$7:$A$37,0)),""))</f>
        <v/>
      </c>
      <c r="F31" s="97">
        <f>IF(F30="","",IFERROR(INDEX('04_月間表'!$J$7:$J$37,MATCH(F30,'04_月間表'!$A$7:$A$37,0)),""))</f>
        <v/>
      </c>
      <c r="G31" s="97">
        <f>IF(G30="","",IFERROR(INDEX('04_月間表'!$J$7:$J$37,MATCH(G30,'04_月間表'!$A$7:$A$37,0)),""))</f>
        <v/>
      </c>
      <c r="H31" s="98">
        <f>IF(H30="","",IFERROR(INDEX('04_月間表'!$J$7:$J$37,MATCH(H30,'04_月間表'!$A$7:$A$37,0)),""))</f>
        <v/>
      </c>
    </row>
    <row r="32" ht="20" customHeight="1">
      <c r="A32" s="99" t="inlineStr">
        <is>
          <t>凡　例</t>
        </is>
      </c>
      <c r="B32" s="100" t="inlineStr">
        <is>
          <t>○</t>
        </is>
      </c>
      <c r="C32" s="101" t="inlineStr">
        <is>
          <t>空室あり</t>
        </is>
      </c>
      <c r="D32" s="100" t="inlineStr">
        <is>
          <t>△</t>
        </is>
      </c>
      <c r="E32" s="101" t="inlineStr">
        <is>
          <t>残りわずか</t>
        </is>
      </c>
      <c r="F32" s="100" t="inlineStr">
        <is>
          <t>仮</t>
        </is>
      </c>
      <c r="G32" s="101" t="inlineStr">
        <is>
          <t>仮予約で調整中</t>
        </is>
      </c>
      <c r="H32" s="100" t="inlineStr">
        <is>
          <t>×</t>
        </is>
      </c>
      <c r="I32" s="102" t="inlineStr">
        <is>
          <t>満室</t>
        </is>
      </c>
    </row>
    <row r="33" ht="14" customHeight="1">
      <c r="A33" s="102" t="inlineStr">
        <is>
          <t>・各日の欄は「その日の夜（宿泊）」の空き状況です。退所日の当日は、次の方がご利用いただけます。</t>
        </is>
      </c>
    </row>
    <row r="34" ht="14" customHeight="1">
      <c r="A34" s="102" t="inlineStr">
        <is>
          <t>・空き状況は日々変動いたします。ご予約の前に、必ずお電話でご確認くださいますようお願いいたします。</t>
        </is>
      </c>
    </row>
    <row r="35" ht="14" customHeight="1">
      <c r="A35" s="102">
        <f>"・全"&amp;'M_施設設定'!$B$6&amp;"室の施設です。本用紙に利用者様のお名前は記載しておりません。"</f>
        <v/>
      </c>
    </row>
    <row r="36" ht="18" customHeight="1">
      <c r="A36" s="103">
        <f>"【月内の集計】　空室あり "&amp;COUNTIF($B$21:$H$31,"○")&amp;" 日　／　残りわずか "&amp;COUNTIF($B$21:$H$31,"△")&amp;" 日　／　仮予約 "&amp;COUNTIF($B$21:$H$31,"仮")&amp;" 日　／　満室 "&amp;COUNTIF($B$21:$H$31,"×")&amp;" 日"</f>
        <v/>
      </c>
    </row>
    <row r="38" ht="20" customHeight="1">
      <c r="A38" s="86" t="inlineStr">
        <is>
          <t>■　連絡事項</t>
        </is>
      </c>
    </row>
    <row r="39" ht="16" customHeight="1">
      <c r="A39" s="138" t="n"/>
      <c r="B39" s="139" t="n"/>
      <c r="C39" s="139" t="n"/>
      <c r="D39" s="139" t="n"/>
      <c r="E39" s="139" t="n"/>
      <c r="F39" s="139" t="n"/>
      <c r="G39" s="139" t="n"/>
      <c r="H39" s="140" t="n"/>
    </row>
    <row r="40" ht="16" customHeight="1">
      <c r="A40" s="141" t="n"/>
      <c r="H40" s="142" t="n"/>
    </row>
    <row r="41" ht="16" customHeight="1">
      <c r="A41" s="141" t="n"/>
      <c r="H41" s="142" t="n"/>
    </row>
    <row r="42" ht="16" customHeight="1">
      <c r="A42" s="143" t="n"/>
      <c r="B42" s="126" t="n"/>
      <c r="C42" s="126" t="n"/>
      <c r="D42" s="126" t="n"/>
      <c r="E42" s="126" t="n"/>
      <c r="F42" s="126" t="n"/>
      <c r="G42" s="126" t="n"/>
      <c r="H42" s="144" t="n"/>
    </row>
    <row r="44">
      <c r="A44" s="102" t="inlineStr">
        <is>
          <t>※ 本状が誤って届いた場合は、お手数ですが上記の連絡先までご一報のうえ、ご破棄くださいますようお願いいたします。</t>
        </is>
      </c>
    </row>
  </sheetData>
  <mergeCells count="32">
    <mergeCell ref="A24:A25"/>
    <mergeCell ref="A15:H15"/>
    <mergeCell ref="B6:E6"/>
    <mergeCell ref="F8:H8"/>
    <mergeCell ref="A36:H36"/>
    <mergeCell ref="B5:E5"/>
    <mergeCell ref="A16:H16"/>
    <mergeCell ref="A26:A27"/>
    <mergeCell ref="B7:E7"/>
    <mergeCell ref="G6:H6"/>
    <mergeCell ref="A18:H18"/>
    <mergeCell ref="A3:H3"/>
    <mergeCell ref="A22:A23"/>
    <mergeCell ref="A2:H2"/>
    <mergeCell ref="A39:H42"/>
    <mergeCell ref="B12:H12"/>
    <mergeCell ref="G5:H5"/>
    <mergeCell ref="A20:A21"/>
    <mergeCell ref="A33:H33"/>
    <mergeCell ref="A5:A8"/>
    <mergeCell ref="B11:H11"/>
    <mergeCell ref="A10:A13"/>
    <mergeCell ref="B8:E8"/>
    <mergeCell ref="A35:H35"/>
    <mergeCell ref="B13:H13"/>
    <mergeCell ref="A28:A29"/>
    <mergeCell ref="A38:H38"/>
    <mergeCell ref="A44:H44"/>
    <mergeCell ref="B10:H10"/>
    <mergeCell ref="F7:H7"/>
    <mergeCell ref="A30:A31"/>
    <mergeCell ref="A34:H34"/>
  </mergeCells>
  <conditionalFormatting sqref="B21:H31">
    <cfRule type="expression" priority="1" dxfId="1">
      <formula>B21="×"</formula>
    </cfRule>
    <cfRule type="expression" priority="2" dxfId="2">
      <formula>B21="△"</formula>
    </cfRule>
    <cfRule type="expression" priority="3" dxfId="3">
      <formula>B21="仮"</formula>
    </cfRule>
    <cfRule type="expression" priority="4" dxfId="9">
      <formula>B21="○"</formula>
    </cfRule>
  </conditionalFormatting>
  <dataValidations count="1">
    <dataValidation sqref="B5" showDropDown="0" showInputMessage="1" showErrorMessage="0" allowBlank="1" promptTitle="送信先" prompt="M_FAX送付先 から選びます。空欄なら手書き用の下線が出ます。" type="list">
      <formula1>=送付先一覧</formula1>
    </dataValidation>
  </dataValidations>
  <printOptions horizontalCentered="1"/>
  <pageMargins left="0.5" right="0.5" top="0.5" bottom="0.5" header="0.5" footer="0.5"/>
  <pageSetup orientation="portrait" paperSize="9" fitToHeight="1" fitToWidth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62" customWidth="1" min="3" max="3"/>
  </cols>
  <sheetData>
    <row r="1">
      <c r="A1" s="1" t="inlineStr">
        <is>
          <t>施設設定</t>
        </is>
      </c>
    </row>
    <row r="2">
      <c r="A2" s="2" t="inlineStr">
        <is>
          <t>黄色のセルを施設に合わせて書き換えてください。</t>
        </is>
      </c>
    </row>
    <row r="4">
      <c r="A4" s="15" t="inlineStr">
        <is>
          <t>施設名</t>
        </is>
      </c>
      <c r="B4" s="18" t="inlineStr">
        <is>
          <t>○○事業所</t>
        </is>
      </c>
      <c r="C4" s="2" t="inlineStr">
        <is>
          <t>帳票の見出しに使います</t>
        </is>
      </c>
    </row>
    <row r="5">
      <c r="A5" s="15" t="inlineStr">
        <is>
          <t>棟・フロア</t>
        </is>
      </c>
      <c r="B5" s="18" t="inlineStr">
        <is>
          <t>本棟 1F</t>
        </is>
      </c>
    </row>
    <row r="6">
      <c r="A6" s="15" t="inlineStr">
        <is>
          <t>部屋数（定員）</t>
        </is>
      </c>
      <c r="B6" s="50">
        <f>COUNTA('M_部屋'!$A$4:$A$20)</f>
        <v/>
      </c>
      <c r="C6" s="2" t="inlineStr">
        <is>
          <t>自動。M_部屋 の行数がそのまま定員になります（1部屋につき1名）</t>
        </is>
      </c>
    </row>
    <row r="7">
      <c r="A7" s="15" t="inlineStr">
        <is>
          <t>標準の入所時刻</t>
        </is>
      </c>
      <c r="B7" s="18" t="inlineStr">
        <is>
          <t>16:00</t>
        </is>
      </c>
      <c r="C7" s="2" t="inlineStr">
        <is>
          <t>予約入力の目安。実際の時刻は予約ごとに入れます</t>
        </is>
      </c>
    </row>
    <row r="8">
      <c r="A8" s="15" t="inlineStr">
        <is>
          <t>標準の退所時刻</t>
        </is>
      </c>
      <c r="B8" s="18" t="inlineStr">
        <is>
          <t>09:00</t>
        </is>
      </c>
    </row>
    <row r="9">
      <c r="A9" s="15" t="inlineStr">
        <is>
          <t>入力者名</t>
        </is>
      </c>
      <c r="B9" s="18" t="inlineStr"/>
      <c r="C9" s="2" t="inlineStr">
        <is>
          <t>更新履歴に残す名前</t>
        </is>
      </c>
    </row>
    <row r="10">
      <c r="A10" s="15" t="inlineStr">
        <is>
          <t>郵便番号</t>
        </is>
      </c>
      <c r="B10" s="18" t="inlineStr"/>
    </row>
    <row r="11">
      <c r="A11" s="15" t="inlineStr">
        <is>
          <t>住所</t>
        </is>
      </c>
      <c r="B11" s="18" t="inlineStr"/>
      <c r="C11" s="2" t="inlineStr">
        <is>
          <t>FAX帳票の送信元として印字されます</t>
        </is>
      </c>
    </row>
    <row r="12">
      <c r="A12" s="15" t="inlineStr">
        <is>
          <t>電話番号</t>
        </is>
      </c>
      <c r="B12" s="18" t="inlineStr"/>
    </row>
    <row r="13">
      <c r="A13" s="15" t="inlineStr">
        <is>
          <t>FAX番号</t>
        </is>
      </c>
      <c r="B13" s="18" t="inlineStr"/>
    </row>
    <row r="14">
      <c r="A14" s="15" t="inlineStr">
        <is>
          <t>担当者名</t>
        </is>
      </c>
      <c r="B14" s="1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部屋マスタ</t>
        </is>
      </c>
    </row>
    <row r="2">
      <c r="A2" s="2" t="inlineStr">
        <is>
          <t>1行 = 1室。★ここの行数が定員になります。1室の施設は1行だけ、2室の施設は2行だけ残してください。</t>
        </is>
      </c>
    </row>
    <row r="3" ht="30" customHeight="1">
      <c r="A3" s="7" t="inlineStr">
        <is>
          <t>部屋名</t>
        </is>
      </c>
      <c r="B3" s="7" t="inlineStr">
        <is>
          <t>備考</t>
        </is>
      </c>
    </row>
    <row r="4">
      <c r="A4" s="18" t="inlineStr">
        <is>
          <t>１Ｆ</t>
        </is>
      </c>
      <c r="B4" s="112" t="n"/>
    </row>
    <row r="5">
      <c r="A5" s="18" t="n"/>
      <c r="B5" s="113" t="n"/>
    </row>
    <row r="6">
      <c r="A6" s="18" t="n"/>
      <c r="B6" s="112" t="n"/>
    </row>
    <row r="7">
      <c r="A7" s="18" t="n"/>
      <c r="B7" s="112" t="n"/>
    </row>
    <row r="8">
      <c r="A8" s="18" t="n"/>
      <c r="B8" s="112" t="n"/>
    </row>
    <row r="9">
      <c r="A9" s="18" t="n"/>
      <c r="B9" s="112" t="n"/>
    </row>
    <row r="10">
      <c r="A10" s="18" t="n"/>
      <c r="B10" s="112" t="n"/>
    </row>
    <row r="11">
      <c r="A11" s="18" t="n"/>
      <c r="B11" s="112" t="n"/>
    </row>
    <row r="12">
      <c r="A12" s="18" t="n"/>
      <c r="B12" s="112" t="n"/>
    </row>
    <row r="13">
      <c r="A13" s="18" t="n"/>
      <c r="B13" s="112" t="n"/>
    </row>
    <row r="14">
      <c r="A14" s="18" t="n"/>
      <c r="B14" s="112" t="n"/>
    </row>
    <row r="15">
      <c r="A15" s="18" t="n"/>
      <c r="B15" s="112" t="n"/>
    </row>
    <row r="16">
      <c r="A16" s="18" t="n"/>
      <c r="B16" s="112" t="n"/>
    </row>
    <row r="17">
      <c r="A17" s="18" t="n"/>
      <c r="B17" s="112" t="n"/>
    </row>
    <row r="18">
      <c r="A18" s="18" t="n"/>
      <c r="B18" s="112" t="n"/>
    </row>
    <row r="19">
      <c r="A19" s="18" t="n"/>
      <c r="B19" s="112" t="n"/>
    </row>
    <row r="20">
      <c r="A20" s="18" t="n"/>
      <c r="B20" s="11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52" customWidth="1" min="3" max="3"/>
  </cols>
  <sheetData>
    <row r="1">
      <c r="A1" s="1" t="inlineStr">
        <is>
          <t>利用者マスタ</t>
        </is>
      </c>
    </row>
    <row r="2">
      <c r="A2" s="2" t="inlineStr">
        <is>
          <t>支給量＝受給者証の月あたり上限日数。空欄ならその方の残日数は管理しません。</t>
        </is>
      </c>
    </row>
    <row r="3" ht="30" customHeight="1">
      <c r="A3" s="7" t="inlineStr">
        <is>
          <t>氏名</t>
        </is>
      </c>
      <c r="B3" s="7" t="inlineStr">
        <is>
          <t>支給量（日／月）</t>
        </is>
      </c>
      <c r="C3" s="7" t="inlineStr">
        <is>
          <t>備考</t>
        </is>
      </c>
    </row>
    <row r="4">
      <c r="A4" s="18" t="inlineStr">
        <is>
          <t>◎◎様</t>
        </is>
      </c>
      <c r="B4" s="18" t="n">
        <v>7</v>
      </c>
      <c r="C4" s="113" t="n"/>
    </row>
    <row r="5">
      <c r="A5" s="18" t="inlineStr">
        <is>
          <t>木村様</t>
        </is>
      </c>
      <c r="B5" s="18" t="n">
        <v>5</v>
      </c>
      <c r="C5" s="113" t="n"/>
    </row>
    <row r="6">
      <c r="A6" s="18" t="inlineStr">
        <is>
          <t>伊藤メイ様</t>
        </is>
      </c>
      <c r="B6" s="18" t="n"/>
      <c r="C6" s="113" t="n"/>
    </row>
    <row r="7">
      <c r="A7" s="18" t="inlineStr">
        <is>
          <t>小澤様</t>
        </is>
      </c>
      <c r="B7" s="18" t="n"/>
      <c r="C7" s="112" t="n"/>
    </row>
    <row r="8">
      <c r="A8" s="18" t="inlineStr">
        <is>
          <t>小林様</t>
        </is>
      </c>
      <c r="B8" s="18" t="n"/>
      <c r="C8" s="112" t="n"/>
    </row>
    <row r="9">
      <c r="A9" s="18" t="n"/>
      <c r="B9" s="18" t="n"/>
      <c r="C9" s="112" t="n"/>
    </row>
    <row r="10">
      <c r="A10" s="18" t="n"/>
      <c r="B10" s="18" t="n"/>
      <c r="C10" s="112" t="n"/>
    </row>
    <row r="11">
      <c r="A11" s="18" t="n"/>
      <c r="B11" s="18" t="n"/>
      <c r="C11" s="112" t="n"/>
    </row>
    <row r="12">
      <c r="A12" s="18" t="n"/>
      <c r="B12" s="18" t="n"/>
      <c r="C12" s="112" t="n"/>
    </row>
    <row r="13">
      <c r="A13" s="18" t="n"/>
      <c r="B13" s="18" t="n"/>
      <c r="C13" s="112" t="n"/>
    </row>
    <row r="14">
      <c r="A14" s="18" t="n"/>
      <c r="B14" s="18" t="n"/>
      <c r="C14" s="112" t="n"/>
    </row>
    <row r="15">
      <c r="A15" s="18" t="n"/>
      <c r="B15" s="18" t="n"/>
      <c r="C15" s="112" t="n"/>
    </row>
    <row r="16">
      <c r="A16" s="18" t="n"/>
      <c r="B16" s="18" t="n"/>
      <c r="C16" s="112" t="n"/>
    </row>
    <row r="17">
      <c r="A17" s="18" t="n"/>
      <c r="B17" s="18" t="n"/>
      <c r="C17" s="112" t="n"/>
    </row>
    <row r="18">
      <c r="A18" s="18" t="n"/>
      <c r="B18" s="18" t="n"/>
      <c r="C18" s="112" t="n"/>
    </row>
    <row r="19">
      <c r="A19" s="18" t="n"/>
      <c r="B19" s="18" t="n"/>
      <c r="C19" s="112" t="n"/>
    </row>
    <row r="20">
      <c r="A20" s="18" t="n"/>
      <c r="B20" s="18" t="n"/>
      <c r="C20" s="112" t="n"/>
    </row>
    <row r="21">
      <c r="A21" s="18" t="n"/>
      <c r="B21" s="18" t="n"/>
      <c r="C21" s="112" t="n"/>
    </row>
    <row r="22">
      <c r="A22" s="18" t="n"/>
      <c r="B22" s="18" t="n"/>
      <c r="C22" s="112" t="n"/>
    </row>
    <row r="23">
      <c r="A23" s="18" t="n"/>
      <c r="B23" s="18" t="n"/>
      <c r="C23" s="112" t="n"/>
    </row>
    <row r="24">
      <c r="A24" s="18" t="n"/>
      <c r="B24" s="18" t="n"/>
      <c r="C24" s="112" t="n"/>
    </row>
    <row r="25">
      <c r="A25" s="18" t="n"/>
      <c r="B25" s="18" t="n"/>
      <c r="C25" s="112" t="n"/>
    </row>
    <row r="26">
      <c r="A26" s="18" t="n"/>
      <c r="B26" s="18" t="n"/>
      <c r="C26" s="112" t="n"/>
    </row>
    <row r="27">
      <c r="A27" s="18" t="n"/>
      <c r="B27" s="18" t="n"/>
      <c r="C27" s="112" t="n"/>
    </row>
    <row r="28">
      <c r="A28" s="18" t="n"/>
      <c r="B28" s="18" t="n"/>
      <c r="C28" s="112" t="n"/>
    </row>
    <row r="29">
      <c r="A29" s="18" t="n"/>
      <c r="B29" s="18" t="n"/>
      <c r="C29" s="112" t="n"/>
    </row>
    <row r="30">
      <c r="A30" s="18" t="n"/>
      <c r="B30" s="18" t="n"/>
      <c r="C30" s="112" t="n"/>
    </row>
    <row r="31">
      <c r="A31" s="18" t="n"/>
      <c r="B31" s="18" t="n"/>
      <c r="C31" s="112" t="n"/>
    </row>
    <row r="32">
      <c r="A32" s="18" t="n"/>
      <c r="B32" s="18" t="n"/>
      <c r="C32" s="112" t="n"/>
    </row>
    <row r="33">
      <c r="A33" s="18" t="n"/>
      <c r="B33" s="18" t="n"/>
      <c r="C33" s="112" t="n"/>
    </row>
    <row r="34">
      <c r="A34" s="18" t="n"/>
      <c r="B34" s="18" t="n"/>
      <c r="C34" s="112" t="n"/>
    </row>
    <row r="35">
      <c r="A35" s="18" t="n"/>
      <c r="B35" s="18" t="n"/>
      <c r="C35" s="112" t="n"/>
    </row>
    <row r="36">
      <c r="A36" s="18" t="n"/>
      <c r="B36" s="18" t="n"/>
      <c r="C36" s="112" t="n"/>
    </row>
    <row r="37">
      <c r="A37" s="18" t="n"/>
      <c r="B37" s="18" t="n"/>
      <c r="C37" s="112" t="n"/>
    </row>
    <row r="38">
      <c r="A38" s="18" t="n"/>
      <c r="B38" s="18" t="n"/>
      <c r="C38" s="112" t="n"/>
    </row>
    <row r="39">
      <c r="A39" s="18" t="n"/>
      <c r="B39" s="18" t="n"/>
      <c r="C39" s="112" t="n"/>
    </row>
    <row r="40">
      <c r="A40" s="18" t="n"/>
      <c r="B40" s="18" t="n"/>
      <c r="C40" s="112" t="n"/>
    </row>
    <row r="41">
      <c r="A41" s="18" t="n"/>
      <c r="B41" s="18" t="n"/>
      <c r="C41" s="112" t="n"/>
    </row>
    <row r="42">
      <c r="A42" s="18" t="n"/>
      <c r="B42" s="18" t="n"/>
      <c r="C42" s="112" t="n"/>
    </row>
    <row r="43">
      <c r="A43" s="18" t="n"/>
      <c r="B43" s="18" t="n"/>
      <c r="C43" s="112" t="n"/>
    </row>
    <row r="44">
      <c r="A44" s="18" t="n"/>
      <c r="B44" s="18" t="n"/>
      <c r="C44" s="112" t="n"/>
    </row>
    <row r="45">
      <c r="A45" s="18" t="n"/>
      <c r="B45" s="18" t="n"/>
      <c r="C45" s="112" t="n"/>
    </row>
    <row r="46">
      <c r="A46" s="18" t="n"/>
      <c r="B46" s="18" t="n"/>
      <c r="C46" s="112" t="n"/>
    </row>
    <row r="47">
      <c r="A47" s="18" t="n"/>
      <c r="B47" s="18" t="n"/>
      <c r="C47" s="112" t="n"/>
    </row>
    <row r="48">
      <c r="A48" s="18" t="n"/>
      <c r="B48" s="18" t="n"/>
      <c r="C48" s="112" t="n"/>
    </row>
    <row r="49">
      <c r="A49" s="18" t="n"/>
      <c r="B49" s="18" t="n"/>
      <c r="C49" s="112" t="n"/>
    </row>
    <row r="50">
      <c r="A50" s="18" t="n"/>
      <c r="B50" s="18" t="n"/>
      <c r="C50" s="112" t="n"/>
    </row>
    <row r="51">
      <c r="A51" s="18" t="n"/>
      <c r="B51" s="18" t="n"/>
      <c r="C51" s="112" t="n"/>
    </row>
    <row r="52">
      <c r="A52" s="18" t="n"/>
      <c r="B52" s="18" t="n"/>
      <c r="C52" s="112" t="n"/>
    </row>
    <row r="53">
      <c r="A53" s="18" t="n"/>
      <c r="B53" s="18" t="n"/>
      <c r="C53" s="112" t="n"/>
    </row>
    <row r="54">
      <c r="A54" s="18" t="n"/>
      <c r="B54" s="18" t="n"/>
      <c r="C54" s="112" t="n"/>
    </row>
    <row r="55">
      <c r="A55" s="18" t="n"/>
      <c r="B55" s="18" t="n"/>
      <c r="C55" s="112" t="n"/>
    </row>
    <row r="56">
      <c r="A56" s="18" t="n"/>
      <c r="B56" s="18" t="n"/>
      <c r="C56" s="112" t="n"/>
    </row>
    <row r="57">
      <c r="A57" s="18" t="n"/>
      <c r="B57" s="18" t="n"/>
      <c r="C57" s="112" t="n"/>
    </row>
    <row r="58">
      <c r="A58" s="18" t="n"/>
      <c r="B58" s="18" t="n"/>
      <c r="C58" s="112" t="n"/>
    </row>
    <row r="59">
      <c r="A59" s="18" t="n"/>
      <c r="B59" s="18" t="n"/>
      <c r="C59" s="112" t="n"/>
    </row>
    <row r="60">
      <c r="A60" s="18" t="n"/>
      <c r="B60" s="18" t="n"/>
      <c r="C60" s="11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40" customWidth="1" min="4" max="4"/>
  </cols>
  <sheetData>
    <row r="1">
      <c r="A1" s="1" t="inlineStr">
        <is>
          <t>区分マスタ</t>
        </is>
      </c>
    </row>
    <row r="2">
      <c r="A2" s="2" t="inlineStr">
        <is>
          <t>「支給量に含める」に ○ を入れた区分だけ 08_支給量管理 の日数に数えます。★上から4つがカレンダーの色に対応します。</t>
        </is>
      </c>
    </row>
    <row r="3" ht="30" customHeight="1">
      <c r="A3" s="7" t="inlineStr">
        <is>
          <t>区分</t>
        </is>
      </c>
      <c r="B3" s="7" t="inlineStr">
        <is>
          <t>支給量に含める（○／空欄）</t>
        </is>
      </c>
      <c r="C3" s="7" t="inlineStr">
        <is>
          <t>カレンダーの色</t>
        </is>
      </c>
      <c r="D3" s="7" t="inlineStr">
        <is>
          <t>備考</t>
        </is>
      </c>
    </row>
    <row r="4">
      <c r="A4" s="18" t="inlineStr">
        <is>
          <t>SS</t>
        </is>
      </c>
      <c r="B4" s="18" t="inlineStr">
        <is>
          <t>○</t>
        </is>
      </c>
      <c r="C4" s="114" t="inlineStr">
        <is>
          <t>青</t>
        </is>
      </c>
      <c r="D4" s="112" t="n"/>
    </row>
    <row r="5">
      <c r="A5" s="18" t="inlineStr">
        <is>
          <t>無料</t>
        </is>
      </c>
      <c r="B5" s="18" t="inlineStr">
        <is>
          <t>○</t>
        </is>
      </c>
      <c r="C5" s="115" t="inlineStr">
        <is>
          <t>緑</t>
        </is>
      </c>
      <c r="D5" s="112" t="n"/>
    </row>
    <row r="6">
      <c r="A6" s="18" t="inlineStr">
        <is>
          <t>契約</t>
        </is>
      </c>
      <c r="B6" s="18" t="inlineStr">
        <is>
          <t>○</t>
        </is>
      </c>
      <c r="C6" s="116" t="inlineStr">
        <is>
          <t>紫</t>
        </is>
      </c>
      <c r="D6" s="112" t="n"/>
    </row>
    <row r="7">
      <c r="A7" s="18" t="n"/>
      <c r="B7" s="18" t="n"/>
      <c r="C7" s="117" t="inlineStr">
        <is>
          <t>橙</t>
        </is>
      </c>
      <c r="D7" s="112" t="n"/>
    </row>
    <row r="8">
      <c r="A8" s="18" t="n"/>
      <c r="B8" s="18" t="n"/>
      <c r="C8" s="112" t="n"/>
      <c r="D8" s="113" t="inlineStr">
        <is>
          <t>5つめ以降の区分は色が付きません（白のまま）</t>
        </is>
      </c>
    </row>
    <row r="9">
      <c r="A9" s="18" t="n"/>
      <c r="B9" s="18" t="n"/>
      <c r="C9" s="112" t="n"/>
      <c r="D9" s="112" t="n"/>
    </row>
    <row r="10">
      <c r="A10" s="18" t="n"/>
      <c r="B10" s="18" t="n"/>
      <c r="C10" s="112" t="n"/>
      <c r="D10" s="112" t="n"/>
    </row>
    <row r="11">
      <c r="A11" s="18" t="n"/>
      <c r="B11" s="18" t="n"/>
      <c r="C11" s="112" t="n"/>
      <c r="D11" s="112" t="n"/>
    </row>
    <row r="12">
      <c r="A12" s="18" t="n"/>
      <c r="B12" s="18" t="n"/>
      <c r="C12" s="112" t="n"/>
      <c r="D12" s="112" t="n"/>
    </row>
    <row r="13">
      <c r="A13" s="18" t="n"/>
      <c r="B13" s="18" t="n"/>
      <c r="C13" s="112" t="n"/>
      <c r="D13" s="112" t="n"/>
    </row>
    <row r="14">
      <c r="A14" s="18" t="n"/>
      <c r="B14" s="18" t="n"/>
      <c r="C14" s="112" t="n"/>
      <c r="D14" s="112" t="n"/>
    </row>
    <row r="15">
      <c r="A15" s="18" t="n"/>
      <c r="B15" s="18" t="n"/>
      <c r="C15" s="112" t="n"/>
      <c r="D15" s="112" t="n"/>
    </row>
    <row r="16">
      <c r="A16" s="18" t="n"/>
      <c r="B16" s="18" t="n"/>
      <c r="C16" s="112" t="n"/>
      <c r="D16" s="112" t="n"/>
    </row>
    <row r="17">
      <c r="A17" s="18" t="n"/>
      <c r="B17" s="18" t="n"/>
      <c r="C17" s="112" t="n"/>
      <c r="D17" s="112" t="n"/>
    </row>
    <row r="18">
      <c r="A18" s="18" t="n"/>
      <c r="B18" s="18" t="n"/>
      <c r="C18" s="112" t="n"/>
      <c r="D18" s="112" t="n"/>
    </row>
    <row r="19">
      <c r="A19" s="18" t="n"/>
      <c r="B19" s="18" t="n"/>
      <c r="C19" s="112" t="n"/>
      <c r="D19" s="112" t="n"/>
    </row>
    <row r="20">
      <c r="A20" s="18" t="n"/>
      <c r="B20" s="18" t="n"/>
      <c r="C20" s="112" t="n"/>
      <c r="D20" s="11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2" customWidth="1" min="2" max="2"/>
  </cols>
  <sheetData>
    <row r="1">
      <c r="A1" s="1" t="inlineStr">
        <is>
          <t>送迎ステータス マスタ</t>
        </is>
      </c>
    </row>
    <row r="3" ht="30" customHeight="1">
      <c r="A3" s="7" t="inlineStr">
        <is>
          <t>送迎区分</t>
        </is>
      </c>
      <c r="B3" s="7" t="inlineStr">
        <is>
          <t>備考</t>
        </is>
      </c>
    </row>
    <row r="4">
      <c r="A4" s="18" t="inlineStr">
        <is>
          <t>あり</t>
        </is>
      </c>
      <c r="B4" s="112" t="n"/>
    </row>
    <row r="5">
      <c r="A5" s="18" t="inlineStr">
        <is>
          <t>なし</t>
        </is>
      </c>
      <c r="B5" s="112" t="n"/>
    </row>
    <row r="6">
      <c r="A6" s="18" t="inlineStr">
        <is>
          <t>調整中</t>
        </is>
      </c>
      <c r="B6" s="112" t="n"/>
    </row>
    <row r="7">
      <c r="A7" s="18" t="n"/>
      <c r="B7" s="112" t="n"/>
    </row>
    <row r="8">
      <c r="A8" s="18" t="n"/>
      <c r="B8" s="112" t="n"/>
    </row>
    <row r="9">
      <c r="A9" s="18" t="n"/>
      <c r="B9" s="112" t="n"/>
    </row>
    <row r="10">
      <c r="A10" s="18" t="n"/>
      <c r="B10" s="112" t="n"/>
    </row>
    <row r="11">
      <c r="A11" s="18" t="n"/>
      <c r="B11" s="112" t="n"/>
    </row>
    <row r="12">
      <c r="A12" s="18" t="n"/>
      <c r="B12" s="112" t="n"/>
    </row>
    <row r="13">
      <c r="A13" s="18" t="n"/>
      <c r="B13" s="112" t="n"/>
    </row>
    <row r="14">
      <c r="A14" s="18" t="n"/>
      <c r="B14" s="112" t="n"/>
    </row>
    <row r="15">
      <c r="A15" s="18" t="n"/>
      <c r="B15" s="11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1" t="inlineStr">
        <is>
          <t>予約状態マスタ</t>
        </is>
      </c>
    </row>
    <row r="2">
      <c r="A2" s="2" t="inlineStr">
        <is>
          <t>★「キャンセル」「仮予約」「調整中」の文字は集計と表示が参照しています。変更しないでください。</t>
        </is>
      </c>
    </row>
    <row r="3" ht="30" customHeight="1">
      <c r="A3" s="7" t="inlineStr">
        <is>
          <t>予約状態</t>
        </is>
      </c>
      <c r="B3" s="7" t="inlineStr">
        <is>
          <t>意味</t>
        </is>
      </c>
    </row>
    <row r="4">
      <c r="A4" s="112" t="inlineStr">
        <is>
          <t>確定</t>
        </is>
      </c>
      <c r="B4" s="113" t="inlineStr">
        <is>
          <t>集計・稼働に入り、カレンダーでは区分の色で表示します</t>
        </is>
      </c>
    </row>
    <row r="5">
      <c r="A5" s="112" t="inlineStr">
        <is>
          <t>仮予約</t>
        </is>
      </c>
      <c r="B5" s="113" t="inlineStr">
        <is>
          <t>集計には入りますが、カレンダーではグレーの斜体、帯表では白抜き、FAX表では「仮」</t>
        </is>
      </c>
    </row>
    <row r="6">
      <c r="A6" s="112" t="inlineStr">
        <is>
          <t>調整中</t>
        </is>
      </c>
      <c r="B6" s="113" t="inlineStr">
        <is>
          <t>仮予約と同じ扱いです</t>
        </is>
      </c>
    </row>
    <row r="7">
      <c r="A7" s="112" t="inlineStr">
        <is>
          <t>利用済み</t>
        </is>
      </c>
      <c r="B7" s="113" t="inlineStr">
        <is>
          <t>実績。確定と同じ扱いです</t>
        </is>
      </c>
    </row>
    <row r="8">
      <c r="A8" s="112" t="inlineStr">
        <is>
          <t>キャンセル</t>
        </is>
      </c>
      <c r="B8" s="113" t="inlineStr">
        <is>
          <t>記録として残しますが、全ての集計・表示・重複判定から外れます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18" customWidth="1" min="4" max="4"/>
    <col width="34" customWidth="1" min="5" max="5"/>
  </cols>
  <sheetData>
    <row r="1">
      <c r="A1" s="1" t="inlineStr">
        <is>
          <t>FAX送付先マスタ</t>
        </is>
      </c>
    </row>
    <row r="2">
      <c r="A2" s="2" t="inlineStr">
        <is>
          <t>番号を都度手入力せず一覧から選ぶことで、誤送信を防ぎます。</t>
        </is>
      </c>
    </row>
    <row r="3" ht="30" customHeight="1">
      <c r="A3" s="7" t="inlineStr">
        <is>
          <t>事業所名</t>
        </is>
      </c>
      <c r="B3" s="7" t="inlineStr">
        <is>
          <t>担当者</t>
        </is>
      </c>
      <c r="C3" s="7" t="inlineStr">
        <is>
          <t>FAX番号</t>
        </is>
      </c>
      <c r="D3" s="7" t="inlineStr">
        <is>
          <t>電話番号</t>
        </is>
      </c>
      <c r="E3" s="7" t="inlineStr">
        <is>
          <t>備考</t>
        </is>
      </c>
    </row>
    <row r="4">
      <c r="A4" s="18" t="n"/>
      <c r="B4" s="18" t="n"/>
      <c r="C4" s="18" t="n"/>
      <c r="D4" s="18" t="n"/>
      <c r="E4" s="18" t="n"/>
    </row>
    <row r="5">
      <c r="A5" s="18" t="n"/>
      <c r="B5" s="18" t="n"/>
      <c r="C5" s="18" t="n"/>
      <c r="D5" s="18" t="n"/>
      <c r="E5" s="18" t="n"/>
    </row>
    <row r="6">
      <c r="A6" s="18" t="n"/>
      <c r="B6" s="18" t="n"/>
      <c r="C6" s="18" t="n"/>
      <c r="D6" s="18" t="n"/>
      <c r="E6" s="18" t="n"/>
    </row>
    <row r="7">
      <c r="A7" s="18" t="n"/>
      <c r="B7" s="18" t="n"/>
      <c r="C7" s="18" t="n"/>
      <c r="D7" s="18" t="n"/>
      <c r="E7" s="18" t="n"/>
    </row>
    <row r="8">
      <c r="A8" s="18" t="n"/>
      <c r="B8" s="18" t="n"/>
      <c r="C8" s="18" t="n"/>
      <c r="D8" s="18" t="n"/>
      <c r="E8" s="18" t="n"/>
    </row>
    <row r="9">
      <c r="A9" s="18" t="n"/>
      <c r="B9" s="18" t="n"/>
      <c r="C9" s="18" t="n"/>
      <c r="D9" s="18" t="n"/>
      <c r="E9" s="18" t="n"/>
    </row>
    <row r="10">
      <c r="A10" s="18" t="n"/>
      <c r="B10" s="18" t="n"/>
      <c r="C10" s="18" t="n"/>
      <c r="D10" s="18" t="n"/>
      <c r="E10" s="18" t="n"/>
    </row>
    <row r="11">
      <c r="A11" s="18" t="n"/>
      <c r="B11" s="18" t="n"/>
      <c r="C11" s="18" t="n"/>
      <c r="D11" s="18" t="n"/>
      <c r="E11" s="18" t="n"/>
    </row>
    <row r="12">
      <c r="A12" s="18" t="n"/>
      <c r="B12" s="18" t="n"/>
      <c r="C12" s="18" t="n"/>
      <c r="D12" s="18" t="n"/>
      <c r="E12" s="18" t="n"/>
    </row>
    <row r="13">
      <c r="A13" s="18" t="n"/>
      <c r="B13" s="18" t="n"/>
      <c r="C13" s="18" t="n"/>
      <c r="D13" s="18" t="n"/>
      <c r="E13" s="18" t="n"/>
    </row>
    <row r="14">
      <c r="A14" s="18" t="n"/>
      <c r="B14" s="18" t="n"/>
      <c r="C14" s="18" t="n"/>
      <c r="D14" s="18" t="n"/>
      <c r="E14" s="18" t="n"/>
    </row>
    <row r="15">
      <c r="A15" s="18" t="n"/>
      <c r="B15" s="18" t="n"/>
      <c r="C15" s="18" t="n"/>
      <c r="D15" s="18" t="n"/>
      <c r="E15" s="18" t="n"/>
    </row>
    <row r="16">
      <c r="A16" s="18" t="n"/>
      <c r="B16" s="18" t="n"/>
      <c r="C16" s="18" t="n"/>
      <c r="D16" s="18" t="n"/>
      <c r="E16" s="18" t="n"/>
    </row>
    <row r="17">
      <c r="A17" s="18" t="n"/>
      <c r="B17" s="18" t="n"/>
      <c r="C17" s="18" t="n"/>
      <c r="D17" s="18" t="n"/>
      <c r="E17" s="18" t="n"/>
    </row>
    <row r="18">
      <c r="A18" s="18" t="n"/>
      <c r="B18" s="18" t="n"/>
      <c r="C18" s="18" t="n"/>
      <c r="D18" s="18" t="n"/>
      <c r="E18" s="18" t="n"/>
    </row>
    <row r="19">
      <c r="A19" s="18" t="n"/>
      <c r="B19" s="18" t="n"/>
      <c r="C19" s="18" t="n"/>
      <c r="D19" s="18" t="n"/>
      <c r="E19" s="18" t="n"/>
    </row>
    <row r="20">
      <c r="A20" s="18" t="n"/>
      <c r="B20" s="18" t="n"/>
      <c r="C20" s="18" t="n"/>
      <c r="D20" s="18" t="n"/>
      <c r="E20" s="18" t="n"/>
    </row>
    <row r="21">
      <c r="A21" s="18" t="n"/>
      <c r="B21" s="18" t="n"/>
      <c r="C21" s="18" t="n"/>
      <c r="D21" s="18" t="n"/>
      <c r="E21" s="18" t="n"/>
    </row>
    <row r="22">
      <c r="A22" s="18" t="n"/>
      <c r="B22" s="18" t="n"/>
      <c r="C22" s="18" t="n"/>
      <c r="D22" s="18" t="n"/>
      <c r="E22" s="18" t="n"/>
    </row>
    <row r="23">
      <c r="A23" s="18" t="n"/>
      <c r="B23" s="18" t="n"/>
      <c r="C23" s="18" t="n"/>
      <c r="D23" s="18" t="n"/>
      <c r="E23" s="18" t="n"/>
    </row>
    <row r="24">
      <c r="A24" s="18" t="n"/>
      <c r="B24" s="18" t="n"/>
      <c r="C24" s="18" t="n"/>
      <c r="D24" s="18" t="n"/>
      <c r="E24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2026-08-20T20:22:31Z</dcterms:created>
  <dcterms:modified xsi:type="dcterms:W3CDTF">2026-08-20T20:22:34Z</dcterms:modified>
</cp:coreProperties>
</file>