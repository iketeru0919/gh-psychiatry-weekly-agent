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00_使い方" sheetId="1" state="visible" r:id="rId1"/>
    <sheet name="01_予約入力" sheetId="2" state="visible" r:id="rId2"/>
    <sheet name="02_カレンダー" sheetId="3" state="visible" r:id="rId3"/>
    <sheet name="03_帯表" sheetId="4" state="visible" r:id="rId4"/>
    <sheet name="04_月間表" sheetId="5" state="visible" r:id="rId5"/>
    <sheet name="05_空室照会" sheetId="6" state="visible" r:id="rId6"/>
    <sheet name="06_食数表" sheetId="7" state="visible" r:id="rId7"/>
    <sheet name="07_月次集計" sheetId="8" state="visible" r:id="rId8"/>
    <sheet name="08_支給量管理" sheetId="9" state="visible" r:id="rId9"/>
    <sheet name="09_FAX空き表" sheetId="10" state="visible" r:id="rId10"/>
    <sheet name="M_施設設定" sheetId="11" state="visible" r:id="rId11"/>
    <sheet name="M_部屋" sheetId="12" state="visible" r:id="rId12"/>
    <sheet name="利用者マスタ" sheetId="13" state="visible" r:id="rId13"/>
    <sheet name="M_区分" sheetId="14" state="visible" r:id="rId14"/>
    <sheet name="M_送迎" sheetId="15" state="visible" r:id="rId15"/>
    <sheet name="M_状態" sheetId="16" state="visible" r:id="rId16"/>
    <sheet name="M_FAX送付先" sheetId="17" state="visible" r:id="rId17"/>
  </sheets>
  <definedNames>
    <definedName name="氏名一覧">OFFSET('利用者マスタ'!$A$4,0,0,MAX(1,COUNTA('利用者マスタ'!$A$4:$A$60)),1)</definedName>
    <definedName name="部屋一覧">OFFSET('M_部屋'!$A$4,0,0,MAX(1,COUNTA('M_部屋'!$A$4:$A$20)),1)</definedName>
    <definedName name="区分一覧">OFFSET('M_区分'!$A$4,0,0,MAX(1,COUNTA('M_区分'!$A$4:$A$20)),1)</definedName>
    <definedName name="送迎一覧">OFFSET('M_送迎'!$A$4,0,0,MAX(1,COUNTA('M_送迎'!$A$4:$A$15)),1)</definedName>
    <definedName name="状態一覧">'M_状態'!$A$4:$A$8</definedName>
    <definedName name="_xlnm._FilterDatabase" localSheetId="1" hidden="1">'01_予約入力'!$A$4:$X$204</definedName>
    <definedName name="_xlnm.Print_Area" localSheetId="2">'02_カレンダー'!$A$1:$H$49</definedName>
    <definedName name="_xlnm.Print_Area" localSheetId="3">'03_帯表'!$A$1:$AG$72</definedName>
    <definedName name="_xlnm.Print_Area" localSheetId="4">'04_月間表'!$A$1:$K$37</definedName>
    <definedName name="_xlnm.Print_Area" localSheetId="6">'06_食数表'!$A$1:$K$38</definedName>
    <definedName name="_xlnm.Print_Area" localSheetId="9">'09_FAX空き表'!$A$1:$AF$18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m"/>
    <numFmt numFmtId="165" formatCode="yyyy/mm/dd"/>
    <numFmt numFmtId="166" formatCode="d"/>
  </numFmts>
  <fonts count="15">
    <font>
      <name val="Calibri"/>
      <family val="2"/>
      <color theme="1"/>
      <sz val="11"/>
      <scheme val="minor"/>
    </font>
    <font>
      <name val="Meiryo"/>
      <b val="1"/>
      <color rgb="001F3B52"/>
      <sz val="13"/>
    </font>
    <font>
      <name val="Meiryo"/>
      <color rgb="00666666"/>
      <sz val="9"/>
    </font>
    <font>
      <name val="Meiryo"/>
      <b val="1"/>
      <color rgb="001F3B52"/>
      <sz val="10"/>
    </font>
    <font>
      <name val="Meiryo"/>
      <b val="1"/>
      <sz val="10"/>
    </font>
    <font>
      <name val="Meiryo"/>
      <sz val="10"/>
    </font>
    <font>
      <name val="Meiryo"/>
      <i val="1"/>
      <color rgb="00666666"/>
      <sz val="10"/>
    </font>
    <font>
      <name val="Meiryo"/>
      <b val="1"/>
      <color rgb="00FFFFFF"/>
      <sz val="10"/>
    </font>
    <font>
      <name val="Meiryo"/>
      <b val="1"/>
      <color rgb="00B03A2E"/>
      <sz val="10"/>
    </font>
    <font>
      <name val="Meiryo"/>
      <b val="1"/>
      <color rgb="00C0392B"/>
      <sz val="11"/>
    </font>
    <font>
      <name val="Meiryo"/>
      <b val="1"/>
      <color rgb="002471A3"/>
      <sz val="11"/>
    </font>
    <font>
      <name val="Meiryo"/>
      <sz val="9"/>
    </font>
    <font>
      <name val="Meiryo"/>
      <b val="1"/>
      <sz val="11"/>
    </font>
    <font>
      <name val="Meiryo"/>
      <b val="1"/>
      <color rgb="00333333"/>
      <sz val="11"/>
    </font>
    <font>
      <name val="Meiryo"/>
      <b val="1"/>
      <sz val="9"/>
    </font>
  </fonts>
  <fills count="12">
    <fill>
      <patternFill/>
    </fill>
    <fill>
      <patternFill patternType="gray125"/>
    </fill>
    <fill>
      <patternFill patternType="solid">
        <fgColor rgb="00DCE6EF"/>
      </patternFill>
    </fill>
    <fill>
      <patternFill patternType="solid">
        <fgColor rgb="00FFF7DD"/>
      </patternFill>
    </fill>
    <fill>
      <patternFill patternType="solid">
        <fgColor rgb="00F2F2F2"/>
      </patternFill>
    </fill>
    <fill>
      <patternFill patternType="solid">
        <fgColor rgb="002F6690"/>
      </patternFill>
    </fill>
    <fill>
      <patternFill patternType="solid">
        <fgColor rgb="00D6E4F0"/>
      </patternFill>
    </fill>
    <fill>
      <patternFill patternType="solid">
        <fgColor rgb="00DCEEDF"/>
      </patternFill>
    </fill>
    <fill>
      <patternFill patternType="solid">
        <fgColor rgb="00EAE0F2"/>
      </patternFill>
    </fill>
    <fill>
      <patternFill patternType="solid">
        <fgColor rgb="00FBE7CE"/>
      </patternFill>
    </fill>
    <fill>
      <patternFill patternType="solid">
        <fgColor rgb="00EAF0F6"/>
      </patternFill>
    </fill>
    <fill>
      <patternFill patternType="solid">
        <fgColor rgb="00FFFFFF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hair">
        <color rgb="00D9D9D9"/>
      </left>
      <right style="hair">
        <color rgb="00D9D9D9"/>
      </right>
      <top style="hair">
        <color rgb="00D9D9D9"/>
      </top>
      <bottom style="hair">
        <color rgb="00D9D9D9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7" fillId="5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164" fontId="5" fillId="3" borderId="1" applyAlignment="1" pivotButton="0" quotePrefix="0" xfId="0">
      <alignment vertical="center"/>
    </xf>
    <xf numFmtId="1" fontId="5" fillId="3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49" fontId="5" fillId="3" borderId="1" applyAlignment="1" pivotButton="0" quotePrefix="0" xfId="0">
      <alignment vertical="center"/>
    </xf>
    <xf numFmtId="165" fontId="5" fillId="3" borderId="1" applyAlignment="1" pivotButton="0" quotePrefix="0" xfId="0">
      <alignment vertical="center"/>
    </xf>
    <xf numFmtId="0" fontId="3" fillId="2" borderId="1" pivotButton="0" quotePrefix="0" xfId="0"/>
    <xf numFmtId="165" fontId="5" fillId="3" borderId="1" pivotButton="0" quotePrefix="0" xfId="0"/>
    <xf numFmtId="165" fontId="6" fillId="4" borderId="1" pivotButton="0" quotePrefix="0" xfId="0"/>
    <xf numFmtId="0" fontId="5" fillId="3" borderId="1" pivotButton="0" quotePrefix="0" xfId="0"/>
    <xf numFmtId="0" fontId="8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2" fillId="0" borderId="0" applyAlignment="1" pivotButton="0" quotePrefix="0" xfId="0">
      <alignment horizontal="left"/>
    </xf>
    <xf numFmtId="0" fontId="9" fillId="10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166" fontId="9" fillId="11" borderId="1" applyAlignment="1" pivotButton="0" quotePrefix="0" xfId="0">
      <alignment horizontal="right" vertical="center"/>
    </xf>
    <xf numFmtId="166" fontId="13" fillId="11" borderId="1" applyAlignment="1" pivotButton="0" quotePrefix="0" xfId="0">
      <alignment horizontal="right" vertical="center"/>
    </xf>
    <xf numFmtId="166" fontId="10" fillId="11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 shrinkToFit="1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11" fillId="0" borderId="2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4" borderId="1" applyAlignment="1" pivotButton="0" quotePrefix="0" xfId="0">
      <alignment horizontal="left" vertical="center" shrinkToFit="1"/>
    </xf>
    <xf numFmtId="0" fontId="6" fillId="4" borderId="1" applyAlignment="1" pivotButton="0" quotePrefix="0" xfId="0">
      <alignment horizontal="center" vertical="center" shrinkToFit="1"/>
    </xf>
    <xf numFmtId="0" fontId="2" fillId="2" borderId="1" applyAlignment="1" pivotButton="0" quotePrefix="0" xfId="0">
      <alignment horizontal="center"/>
    </xf>
    <xf numFmtId="165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pivotButton="0" quotePrefix="0" xfId="0"/>
    <xf numFmtId="0" fontId="5" fillId="3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 vertical="center"/>
    </xf>
    <xf numFmtId="0" fontId="12" fillId="0" borderId="0" pivotButton="0" quotePrefix="0" xfId="0"/>
    <xf numFmtId="0" fontId="5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5" fillId="0" borderId="1" pivotButton="0" quotePrefix="0" xfId="0"/>
    <xf numFmtId="0" fontId="2" fillId="0" borderId="1" pivotButton="0" quotePrefix="0" xfId="0"/>
    <xf numFmtId="0" fontId="5" fillId="6" borderId="1" applyAlignment="1" pivotButton="0" quotePrefix="0" xfId="0">
      <alignment horizontal="center"/>
    </xf>
    <xf numFmtId="0" fontId="5" fillId="7" borderId="1" applyAlignment="1" pivotButton="0" quotePrefix="0" xfId="0">
      <alignment horizontal="center"/>
    </xf>
    <xf numFmtId="0" fontId="5" fillId="8" borderId="1" applyAlignment="1" pivotButton="0" quotePrefix="0" xfId="0">
      <alignment horizontal="center"/>
    </xf>
    <xf numFmtId="0" fontId="5" fillId="9" borderId="1" applyAlignment="1" pivotButton="0" quotePrefix="0" xfId="0">
      <alignment horizontal="center"/>
    </xf>
    <xf numFmtId="166" fontId="9" fillId="11" borderId="1" applyAlignment="1" pivotButton="0" quotePrefix="0" xfId="0">
      <alignment horizontal="right" vertical="center"/>
    </xf>
    <xf numFmtId="166" fontId="13" fillId="11" borderId="1" applyAlignment="1" pivotButton="0" quotePrefix="0" xfId="0">
      <alignment horizontal="right" vertical="center"/>
    </xf>
    <xf numFmtId="166" fontId="10" fillId="11" borderId="1" applyAlignment="1" pivotButton="0" quotePrefix="0" xfId="0">
      <alignment horizontal="right" vertical="center"/>
    </xf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 hidden="0"/>
  </cellStyles>
  <dxfs count="13">
    <dxf>
      <font>
        <name val="Meiryo"/>
        <strike val="1"/>
        <color rgb="00999999"/>
        <sz val="10"/>
      </font>
      <fill>
        <patternFill patternType="solid">
          <fgColor rgb="00EFEFEF"/>
        </patternFill>
      </fill>
    </dxf>
    <dxf>
      <fill>
        <patternFill patternType="solid">
          <fgColor rgb="00FBD3D3"/>
        </patternFill>
      </fill>
    </dxf>
    <dxf>
      <fill>
        <patternFill patternType="solid">
          <fgColor rgb="00FCE4C8"/>
        </patternFill>
      </fill>
    </dxf>
    <dxf>
      <fill>
        <patternFill patternType="solid">
          <fgColor rgb="00EDE3F5"/>
        </patternFill>
      </fill>
    </dxf>
    <dxf>
      <font>
        <name val="Meiryo"/>
        <i val="1"/>
        <color rgb="00777777"/>
        <sz val="9"/>
      </font>
      <fill>
        <patternFill patternType="solid">
          <fgColor rgb="00EFEFEF"/>
        </patternFill>
      </fill>
    </dxf>
    <dxf>
      <fill>
        <patternFill patternType="solid">
          <fgColor rgb="00D6E4F0"/>
        </patternFill>
      </fill>
    </dxf>
    <dxf>
      <fill>
        <patternFill patternType="solid">
          <fgColor rgb="00DCEEDF"/>
        </patternFill>
      </fill>
    </dxf>
    <dxf>
      <fill>
        <patternFill patternType="solid">
          <fgColor rgb="00EAE0F2"/>
        </patternFill>
      </fill>
    </dxf>
    <dxf>
      <fill>
        <patternFill patternType="solid">
          <fgColor rgb="00FBE7CE"/>
        </patternFill>
      </fill>
    </dxf>
    <dxf>
      <fill>
        <patternFill patternType="solid">
          <fgColor rgb="00D9EDDC"/>
        </patternFill>
      </fill>
    </dxf>
    <dxf>
      <font>
        <name val="Meiryo"/>
        <color rgb="00606070"/>
        <sz val="9"/>
      </font>
      <fill>
        <patternFill patternType="solid">
          <fgColor rgb="00D8D8E4"/>
        </patternFill>
      </fill>
    </dxf>
    <dxf>
      <font>
        <name val="Meiryo"/>
        <b val="1"/>
        <color rgb="00FFFFFF"/>
        <sz val="9"/>
      </font>
      <fill>
        <patternFill patternType="solid">
          <fgColor rgb="003A6EA5"/>
        </patternFill>
      </fill>
    </dxf>
    <dxf>
      <fill>
        <patternFill patternType="solid">
          <fgColor rgb="00E8EEF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設計メモ</author>
  </authors>
  <commentList>
    <comment ref="E4" authorId="0" shapeId="0">
      <text>
        <t>その月の日付（例: 2026/8）を最初の行に一度だけ入れてください。
以降の行は空欄のままで、上の行の年月を自動で引き継ぎます。
月が変わる行で新しい年月を入れると、そこから下が新しい月になります。
※ 行の並べ替えはしないでください（引き継ぎが崩れます）。</t>
      </text>
    </comment>
    <comment ref="F4" authorId="0" shapeId="0">
      <text>
        <t>日にちの数字だけ入れてください（1〜31）。
年月と組み合わせて G列に日付が自動で入ります。
別の月を直接入れたいときは、日付そのもの（2026/9/3 など）を入れても構いません。</t>
      </text>
    </comment>
    <comment ref="I4" authorId="0" shapeId="0">
      <text>
        <t>日にちの数字だけ入れてください（1〜31）。
入所日より前の日を入れた場合は「翌月のその日」とみなします。
（例: 入所31 → 退所1 なら翌月1日）
1か月を超える滞在のときは、日付そのものを入れてください。</t>
      </text>
    </comment>
    <comment ref="V4" authorId="0" shapeId="0">
      <text>
        <t>部屋が空欄だと「⚠部屋が未選択」。この予約はカレンダーに表示されません。
M_部屋 に無い部屋名なら「⚠部屋が未登録」。
同じ部屋・同じ夜に2件以上あれば「⚠重複」。
退所日の夜は空き扱いなので、前の方の退所日＝次の方の入所日は重複になりません。</t>
      </text>
    </comment>
    <comment ref="W4" authorId="0" shapeId="0">
      <text>
        <t>利用者マスタ に支給量が入っている方だけ判定します。
入所日の属する月で合計し、M_区分 で「○」の区分だけを数えます。</t>
      </text>
    </comment>
  </commentList>
</comments>
</file>

<file path=xl/comments/comment2.xml><?xml version="1.0" encoding="utf-8"?>
<comments xmlns="http://schemas.openxmlformats.org/spreadsheetml/2006/main">
  <authors>
    <author>設計メモ</author>
  </authors>
  <commentList>
    <comment ref="A3" authorId="0" shapeId="0">
      <text>
        <t>氏名を書き換えると 01_予約入力 のプルダウンにも反映されます。
ただし入力済みの予約の氏名は自動では変わりません。
03_帯表 に出るのは、このマスタの上から20名です。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ショートステイ・体験利用 管理台帳</t>
        </is>
      </c>
    </row>
    <row r="2">
      <c r="A2" s="2" t="inlineStr">
        <is>
          <t>入力するのは 01_予約入力 と、M_ で始まるマスタだけです。02〜09 は全て自動計算です。</t>
        </is>
      </c>
    </row>
    <row r="4">
      <c r="A4" s="3" t="inlineStr">
        <is>
          <t>画面の役割</t>
        </is>
      </c>
      <c r="B4" s="4" t="n"/>
    </row>
    <row r="5" ht="32" customHeight="1">
      <c r="A5" s="5" t="inlineStr">
        <is>
          <t>02_カレンダー</t>
        </is>
      </c>
      <c r="B5" s="6" t="inlineStr">
        <is>
          <t>★毎日見るのはここ。ふつうの月カレンダーの形で、日ごとに「どの部屋に誰がいるか」と入室・退室の時刻を表示します（「時刻を表示」を空欄にすると時刻を消せます）。連泊は ▶入所日 → 継続 → 退所日◀ と続けて出るので、いつからいつまでかが目で追えます。色は区分ごと（SS・無料・契約）。仮予約はグレーの斜体です。★対象月の変更もこのシートで行います。</t>
        </is>
      </c>
    </row>
    <row r="6" ht="32" customHeight="1">
      <c r="A6" s="5" t="inlineStr">
        <is>
          <t>03_帯表</t>
        </is>
      </c>
      <c r="B6" s="6" t="inlineStr">
        <is>
          <t>1人1行・横軸が1〜31日のガントチャートです。誰がどの期間を押さえているかを1か月分まとめて俯瞰できます。▶入所 ■連泊 ◀退所 ◆日帰り。白抜き（▷□◁◇）は仮予約です。★その下に「当月の予約明細」があり、01_予約入力 の内容（部屋・区分・入退所の日時・泊数・状態・備考）が入所日順に自動で並びます。</t>
        </is>
      </c>
    </row>
    <row r="7" ht="32" customHeight="1">
      <c r="A7" s="5" t="inlineStr">
        <is>
          <t>04_月間表</t>
        </is>
      </c>
      <c r="B7" s="6" t="inlineStr">
        <is>
          <t>日付を縦に並べた一覧。空室数や食数の根拠を数字で確認したいときに使います。カレンダーと帯表はこのシートを引いているので、内容は必ず一致します。</t>
        </is>
      </c>
    </row>
    <row r="8" ht="32" customHeight="1">
      <c r="A8" s="5" t="inlineStr">
        <is>
          <t>05_空室照会</t>
        </is>
      </c>
      <c r="B8" s="6" t="inlineStr">
        <is>
          <t>「この期間空いてますか」と電話で聞かれたとき用。日付を2つ入れるだけです。</t>
        </is>
      </c>
    </row>
    <row r="9" ht="32" customHeight="1">
      <c r="A9" s="5" t="inlineStr">
        <is>
          <t>06_食数表</t>
        </is>
      </c>
      <c r="B9" s="6" t="inlineStr">
        <is>
          <t>厨房へ渡す日別の朝・昼・夕の食数。</t>
        </is>
      </c>
    </row>
    <row r="10" ht="32" customHeight="1">
      <c r="A10" s="5" t="inlineStr">
        <is>
          <t>07_月次集計</t>
        </is>
      </c>
      <c r="B10" s="6" t="inlineStr">
        <is>
          <t>上司報告・請求突合用。期間を入れると区分別・利用者別が出ます。</t>
        </is>
      </c>
    </row>
    <row r="11" ht="32" customHeight="1">
      <c r="A11" s="5" t="inlineStr">
        <is>
          <t>08_支給量管理</t>
        </is>
      </c>
      <c r="B11" s="6" t="inlineStr">
        <is>
          <t>受給者証の月あたり上限に対する残日数。</t>
        </is>
      </c>
    </row>
    <row r="12" ht="32" customHeight="1">
      <c r="A12" s="5" t="inlineStr">
        <is>
          <t>09_FAX空き表</t>
        </is>
      </c>
      <c r="B12" s="6" t="inlineStr">
        <is>
          <t>外部へFAXする空き状況。利用者名は載りません。</t>
        </is>
      </c>
    </row>
    <row r="13">
      <c r="A13" s="3" t="inlineStr">
        <is>
          <t>★ 日付の入れ方（年月は最初の1回だけ）</t>
        </is>
      </c>
      <c r="B13" s="4" t="n"/>
    </row>
    <row r="14" ht="32" customHeight="1">
      <c r="A14" s="5" t="inlineStr">
        <is>
          <t>年月は1回だけ</t>
        </is>
      </c>
      <c r="B14" s="6" t="inlineStr">
        <is>
          <t>01_予約入力 の「年月」列に、最初の行で 2026/8 のように一度だけ入れてください。以降の行は空欄のままでかまいません。上の行の年月を自動で引き継ぎます。</t>
        </is>
      </c>
    </row>
    <row r="15" ht="32" customHeight="1">
      <c r="A15" s="5" t="inlineStr">
        <is>
          <t>あとは日にちだけ</t>
        </is>
      </c>
      <c r="B15" s="6" t="inlineStr">
        <is>
          <t>「入所(日)」「退所(日)」には日にちの数字（1〜31）だけを入れます。その右の「入所日(自動)」「退所予定日(自動)」に、年月と組み合わせた日付が自動で入ります。</t>
        </is>
      </c>
    </row>
    <row r="16" ht="32" customHeight="1">
      <c r="A16" s="5" t="inlineStr">
        <is>
          <t>月をまたぐとき</t>
        </is>
      </c>
      <c r="B16" s="6" t="inlineStr">
        <is>
          <t>退所の日にちが入所より前になる場合は、自動で「翌月のその日」と判断します（例: 入所31 → 退所1 なら翌月1日）。</t>
        </is>
      </c>
    </row>
    <row r="17" ht="32" customHeight="1">
      <c r="A17" s="5" t="inlineStr">
        <is>
          <t>月が変わったら</t>
        </is>
      </c>
      <c r="B17" s="6" t="inlineStr">
        <is>
          <t>新しい月の最初の行に、その月の年月（例 2026/9）を入れてください。そこから下が新しい月になります。</t>
        </is>
      </c>
    </row>
    <row r="18" ht="32" customHeight="1">
      <c r="A18" s="5" t="inlineStr">
        <is>
          <t>直接日付でも可</t>
        </is>
      </c>
      <c r="B18" s="6" t="inlineStr">
        <is>
          <t>1か月を超える滞在など、特別なときは日にち欄に日付そのもの（2026/9/3 など）を入れても動きます。</t>
        </is>
      </c>
    </row>
    <row r="19" ht="32" customHeight="1">
      <c r="A19" s="5" t="inlineStr">
        <is>
          <t>★注意</t>
        </is>
      </c>
      <c r="B19" s="6" t="inlineStr">
        <is>
          <t>行の並べ替え（ソート）はしないでください。年月の引き継ぎが崩れます。絞り込みたいときは、並べ替えではなくフィルタを使ってください。</t>
        </is>
      </c>
    </row>
    <row r="20">
      <c r="A20" s="3" t="inlineStr">
        <is>
          <t>はじめに設定すること</t>
        </is>
      </c>
      <c r="B20" s="4" t="n"/>
    </row>
    <row r="21" ht="32" customHeight="1">
      <c r="A21" s="5" t="inlineStr">
        <is>
          <t>① M_施設設定</t>
        </is>
      </c>
      <c r="B21" s="6" t="inlineStr">
        <is>
          <t>施設名・棟・標準の入所/退所時刻・住所・TEL/FAX を入れます。</t>
        </is>
      </c>
    </row>
    <row r="22" ht="32" customHeight="1">
      <c r="A22" s="5" t="inlineStr">
        <is>
          <t>② M_部屋</t>
        </is>
      </c>
      <c r="B22" s="6" t="inlineStr">
        <is>
          <t>部屋名を1行1室で登録します。★ここの行数が、そのまま定員（部屋数）になります。</t>
        </is>
      </c>
    </row>
    <row r="23" ht="32" customHeight="1">
      <c r="A23" s="5" t="inlineStr">
        <is>
          <t>③ 利用者マスタ</t>
        </is>
      </c>
      <c r="B23" s="6" t="inlineStr">
        <is>
          <t>氏名と支給量（受給者証の月あたり上限日数）。支給量が空欄の方は残日数を管理しません。</t>
        </is>
      </c>
    </row>
    <row r="24" ht="32" customHeight="1">
      <c r="A24" s="5" t="inlineStr">
        <is>
          <t>④ M_区分・M_送迎</t>
        </is>
      </c>
      <c r="B24" s="6" t="inlineStr">
        <is>
          <t>区分（SS・無料・契約など）と、その区分を支給量に数えるかどうか。★区分名はカレンダーの色分けに使います。M_区分 の上から4つまでが色に対応します。</t>
        </is>
      </c>
    </row>
    <row r="25">
      <c r="A25" s="3" t="inlineStr">
        <is>
          <t>★ 部屋数が施設ごとに違う場合（1室の施設と2室の施設）</t>
        </is>
      </c>
      <c r="B25" s="4" t="n"/>
    </row>
    <row r="26" ht="32" customHeight="1">
      <c r="A26" s="5" t="inlineStr">
        <is>
          <t>同じファイルで使えます</t>
        </is>
      </c>
      <c r="B26" s="6" t="inlineStr">
        <is>
          <t>1室の施設は M_部屋 に1行だけ、2室の施設は2行だけ登録してください。定員・空室数・空き記号（○△×）は全て M_部屋 の行数から計算しているので、シートも数式も一切変えずに両方に対応します。最大4室まで。</t>
        </is>
      </c>
    </row>
    <row r="27" ht="32" customHeight="1">
      <c r="A27" s="5" t="inlineStr">
        <is>
          <t>使わない部屋の行を隠す</t>
        </is>
      </c>
      <c r="B27" s="6" t="inlineStr">
        <is>
          <t>02_カレンダー は各週に「部屋1〜部屋4」の4行があります。1〜2室の施設では、使わない部屋の行（部屋名が空欄の行）をまとめて選択し、右クリック→非表示 にしてください。6週ぶんまとめて選べます。03_帯表・04_月間表 も同様に列を非表示にできます。</t>
        </is>
      </c>
    </row>
    <row r="28" ht="32" customHeight="1">
      <c r="A28" s="5" t="inlineStr">
        <is>
          <t>部屋を減らしたとき</t>
        </is>
      </c>
      <c r="B28" s="6" t="inlineStr">
        <is>
          <t>2室から1室に変更したのに古い予約が「部屋2」のまま残っていると、01_予約入力 のS列に「⚠部屋が未登録」と赤で出ます。その予約の部屋を選び直してください。</t>
        </is>
      </c>
    </row>
    <row r="29" ht="32" customHeight="1">
      <c r="A29" s="5" t="inlineStr">
        <is>
          <t>1室のときの表示</t>
        </is>
      </c>
      <c r="B29" s="6" t="inlineStr">
        <is>
          <t>1室の施設では「△（残りわずか）」は構造上発生せず、必ず ○ か × になります。</t>
        </is>
      </c>
    </row>
    <row r="30" ht="32" customHeight="1">
      <c r="A30" s="5" t="inlineStr">
        <is>
          <t>★ファイルは施設ごとに分ける</t>
        </is>
      </c>
      <c r="B30" s="6" t="inlineStr">
        <is>
          <t>このファイルを施設の数だけコピーして「施設A_管理台帳.xlsx」「施設B_管理台帳.xlsx」のように分けてください。1つのファイルに複数施設を混ぜると、定員が施設ごとに違うため空き判定が成立せず、全ての集計に施設の絞り込みが必要になって必ず崩れます。</t>
        </is>
      </c>
    </row>
    <row r="31">
      <c r="A31" s="3" t="inlineStr">
        <is>
          <t>カレンダーの記号の読み方</t>
        </is>
      </c>
      <c r="B31" s="4" t="n"/>
    </row>
    <row r="32" ht="32" customHeight="1">
      <c r="A32" s="5" t="inlineStr">
        <is>
          <t>▶16:00 利用者A</t>
        </is>
      </c>
      <c r="B32" s="6" t="inlineStr">
        <is>
          <t>その日が入所日。数字は入室時刻です。ここから滞在が始まります。</t>
        </is>
      </c>
    </row>
    <row r="33" ht="32" customHeight="1">
      <c r="A33" s="5" t="inlineStr">
        <is>
          <t>利用者A</t>
        </is>
      </c>
      <c r="B33" s="6" t="inlineStr">
        <is>
          <t>記号なしは連泊の中日。前の日から続いています。</t>
        </is>
      </c>
    </row>
    <row r="34" ht="32" customHeight="1">
      <c r="A34" s="5" t="inlineStr">
        <is>
          <t>利用者A ◀09:00</t>
        </is>
      </c>
      <c r="B34" s="6" t="inlineStr">
        <is>
          <t>その日が退所日。数字は退室時刻です。朝に退所するので、★その日の夜はもう次の方が入れます。</t>
        </is>
      </c>
    </row>
    <row r="35" ht="32" customHeight="1">
      <c r="A35" s="5" t="inlineStr">
        <is>
          <t>◆ 利用者A 10:00-16:00</t>
        </is>
      </c>
      <c r="B35" s="6" t="inlineStr">
        <is>
          <t>日帰り（体験利用）。宿泊しません。</t>
        </is>
      </c>
    </row>
    <row r="36" ht="32" customHeight="1">
      <c r="A36" s="5" t="inlineStr">
        <is>
          <t>2人並ぶとき</t>
        </is>
      </c>
      <c r="B36" s="6" t="inlineStr">
        <is>
          <t>「利用者A ◀09:00　▶16:30 利用者B」のように、退所と入所が同じ日に重なると1つのマスに並びます。</t>
        </is>
      </c>
    </row>
    <row r="37" ht="32" customHeight="1">
      <c r="A37" s="5" t="inlineStr">
        <is>
          <t>空き ○ △ × 仮</t>
        </is>
      </c>
      <c r="B37" s="6" t="inlineStr">
        <is>
          <t>各週のいちばん下の行。○=空室あり／△=残りわずか／×=満室／仮=仮予約で調整中。これは「その日の夜」の空き状況です。</t>
        </is>
      </c>
    </row>
    <row r="38">
      <c r="A38" s="3" t="inlineStr">
        <is>
          <t>数え方の定義（全シート共通のルール）</t>
        </is>
      </c>
      <c r="B38" s="4" t="n"/>
    </row>
    <row r="39" ht="32" customHeight="1">
      <c r="A39" s="5" t="inlineStr">
        <is>
          <t>利用日数</t>
        </is>
      </c>
      <c r="B39" s="6" t="inlineStr">
        <is>
          <t>入所日から退所日までの暦日数。両端を含みます（4/1入所・4/3退所 = 3日）。</t>
        </is>
      </c>
    </row>
    <row r="40" ht="32" customHeight="1">
      <c r="A40" s="5" t="inlineStr">
        <is>
          <t>宿泊数</t>
        </is>
      </c>
      <c r="B40" s="6" t="inlineStr">
        <is>
          <t>退所日 − 入所日（4/1入所・4/3退所 = 2泊）。</t>
        </is>
      </c>
    </row>
    <row r="41" ht="32" customHeight="1">
      <c r="A41" s="5" t="inlineStr">
        <is>
          <t>日帰り（体験利用）</t>
        </is>
      </c>
      <c r="B41" s="6" t="inlineStr">
        <is>
          <t>入所日 = 退所日。1利用日・0泊。食事は昼のみが既定です。</t>
        </is>
      </c>
    </row>
    <row r="42" ht="32" customHeight="1">
      <c r="A42" s="5" t="inlineStr">
        <is>
          <t>空室の判定</t>
        </is>
      </c>
      <c r="B42" s="6" t="inlineStr">
        <is>
          <t>「その日の夜に泊まるか」で見ます。★退所日の当日の夜は空き扱いです（次の方が入れます）。カレンダーで退所日に名前が出ていても、その夜は空いています。</t>
        </is>
      </c>
    </row>
    <row r="43" ht="32" customHeight="1">
      <c r="A43" s="5" t="inlineStr">
        <is>
          <t>集計に入る予約</t>
        </is>
      </c>
      <c r="B43" s="6" t="inlineStr">
        <is>
          <t>確定・利用済み・仮予約・調整中は集計に入り、キャンセルだけが除外されます。キャンセルは行を削除せず、状態を「キャンセル」に変えて記録として残してください。</t>
        </is>
      </c>
    </row>
    <row r="44" ht="32" customHeight="1">
      <c r="A44" s="5" t="inlineStr">
        <is>
          <t>食事の既定</t>
        </is>
      </c>
      <c r="B44" s="6" t="inlineStr">
        <is>
          <t>日帰り=昼のみ ／ 初日=夕 ／ 中日=朝昼夕 ／ 最終日=朝。例外だけ 06_食数表 の「調整」列に実数を入れると、そちらが優先されます。</t>
        </is>
      </c>
    </row>
    <row r="45">
      <c r="A45" s="3" t="inlineStr">
        <is>
          <t>セルの色の意味</t>
        </is>
      </c>
      <c r="B45" s="4" t="n"/>
    </row>
    <row r="46" ht="32" customHeight="1">
      <c r="A46" s="5" t="inlineStr">
        <is>
          <t>うすい黄色</t>
        </is>
      </c>
      <c r="B46" s="6" t="inlineStr">
        <is>
          <t>手で入力するセルです。</t>
        </is>
      </c>
    </row>
    <row r="47" ht="32" customHeight="1">
      <c r="A47" s="5" t="inlineStr">
        <is>
          <t>うすい灰色（斜体）</t>
        </is>
      </c>
      <c r="B47" s="6" t="inlineStr">
        <is>
          <t>自動計算です。上書きすると壊れます。触らないでください。</t>
        </is>
      </c>
    </row>
    <row r="48" ht="32" customHeight="1">
      <c r="A48" s="5" t="inlineStr">
        <is>
          <t>赤・オレンジ</t>
        </is>
      </c>
      <c r="B48" s="6" t="inlineStr">
        <is>
          <t>警告です。ダブルブッキング（⚠重複）・支給量オーバー・未登録の部屋を知らせます。</t>
        </is>
      </c>
    </row>
    <row r="49">
      <c r="A49" s="3" t="inlineStr">
        <is>
          <t>毎日の使い方</t>
        </is>
      </c>
      <c r="B49" s="4" t="n"/>
    </row>
    <row r="50" ht="32" customHeight="1">
      <c r="A50" s="5" t="inlineStr">
        <is>
          <t>予約が入ったら</t>
        </is>
      </c>
      <c r="B50" s="6" t="inlineStr">
        <is>
          <t>01_予約入力 の空いている行に、1滞在=1行で入れます。日にちは数字だけでかまいません。V列・W列が赤くならないことだけ確認してください。</t>
        </is>
      </c>
    </row>
    <row r="51" ht="32" customHeight="1">
      <c r="A51" s="5" t="inlineStr">
        <is>
          <t>★部屋は必ず選ぶ</t>
        </is>
      </c>
      <c r="B51" s="6" t="inlineStr">
        <is>
          <t>部屋が空欄のままだと、その予約はカレンダーの部屋の行に出ません（「空き」の判定には数えるので×にはなります）。V列に「⚠部屋が未選択」と赤で出るので直してください。</t>
        </is>
      </c>
    </row>
    <row r="52" ht="32" customHeight="1">
      <c r="A52" s="5" t="inlineStr">
        <is>
          <t>入れたあと確認</t>
        </is>
      </c>
      <c r="B52" s="6" t="inlineStr">
        <is>
          <t>02_カレンダー を見て、意図した期間に帯が出ているかを目で確かめます。</t>
        </is>
      </c>
    </row>
    <row r="53" ht="32" customHeight="1">
      <c r="A53" s="5" t="inlineStr">
        <is>
          <t>「空いてますか」</t>
        </is>
      </c>
      <c r="B53" s="6" t="inlineStr">
        <is>
          <t>05_空室照会 に日付を2つ入れるだけです。</t>
        </is>
      </c>
    </row>
    <row r="54" ht="32" customHeight="1">
      <c r="A54" s="5" t="inlineStr">
        <is>
          <t>月を切り替える</t>
        </is>
      </c>
      <c r="B54" s="6" t="inlineStr">
        <is>
          <t>★02_カレンダー の「対象月」を変えると、03_帯表・06_食数表・09_FAX空き表 の月も一緒に変わります。</t>
        </is>
      </c>
    </row>
    <row r="55">
      <c r="A55" s="3" t="inlineStr">
        <is>
          <t>バックアップ</t>
        </is>
      </c>
      <c r="B55" s="4" t="n"/>
    </row>
    <row r="56" ht="32" customHeight="1">
      <c r="A56" s="5" t="inlineStr">
        <is>
          <t>月に一度はコピーを</t>
        </is>
      </c>
      <c r="B56" s="6" t="inlineStr">
        <is>
          <t>このファイル自体が台帳です。月初に「YYYYMM_管理台帳.xlsx」の名前でコピーを別フォルダに残してください。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10" customWidth="1" min="4" max="4"/>
    <col width="12" customWidth="1" min="5" max="5"/>
    <col width="8" customWidth="1" min="6" max="6"/>
    <col width="12" customWidth="1" min="7" max="7"/>
    <col width="10" customWidth="1" min="8" max="8"/>
    <col width="8" customWidth="1" min="9" max="9"/>
    <col width="12" customWidth="1" min="10" max="10"/>
    <col width="10" customWidth="1" min="11" max="11"/>
    <col width="9" customWidth="1" min="12" max="12"/>
    <col width="8" customWidth="1" min="13" max="13"/>
    <col width="11" customWidth="1" min="14" max="14"/>
    <col width="9" customWidth="1" min="15" max="15"/>
    <col width="16" customWidth="1" min="16" max="16"/>
    <col width="20" customWidth="1" min="17" max="17"/>
    <col width="16" customWidth="1" min="18" max="18"/>
    <col width="30" customWidth="1" min="19" max="19"/>
    <col width="12" customWidth="1" min="20" max="20"/>
    <col width="12" customWidth="1" min="21" max="21"/>
    <col width="17" customWidth="1" min="22" max="22"/>
    <col width="15" customWidth="1" min="23" max="23"/>
    <col width="13" customWidth="1" min="24" max="24"/>
    <col hidden="1" width="12" customWidth="1" min="25" max="25"/>
    <col hidden="1" width="12" customWidth="1" min="26" max="26"/>
    <col hidden="1" width="10" customWidth="1" min="27" max="27"/>
    <col hidden="1" width="10" customWidth="1" min="28" max="28"/>
    <col hidden="1" width="12" customWidth="1" min="29" max="29"/>
    <col hidden="1" width="12" customWidth="1" min="30" max="30"/>
  </cols>
  <sheetData>
    <row r="1">
      <c r="A1" s="1" t="inlineStr">
        <is>
          <t>予約入力（1滞在 = 1行）</t>
        </is>
      </c>
    </row>
    <row r="2">
      <c r="A2" s="2" t="inlineStr">
        <is>
          <t>★日付は「年月」を最初の行に一度だけ入れれば、あとは日にちの数字だけで入力できます。黄色の列だけ入力します。灰色は自動計算。V列・W列が赤くなったら、その行を直してください。</t>
        </is>
      </c>
    </row>
    <row r="4" ht="40" customHeight="1">
      <c r="A4" s="7" t="inlineStr">
        <is>
          <t>予約ID</t>
        </is>
      </c>
      <c r="B4" s="7" t="inlineStr">
        <is>
          <t>氏名</t>
        </is>
      </c>
      <c r="C4" s="7" t="inlineStr">
        <is>
          <t>区分</t>
        </is>
      </c>
      <c r="D4" s="7" t="inlineStr">
        <is>
          <t>部屋</t>
        </is>
      </c>
      <c r="E4" s="7" t="inlineStr">
        <is>
          <t>年月
(最初の行だけ)</t>
        </is>
      </c>
      <c r="F4" s="7" t="inlineStr">
        <is>
          <t>入所
(日)</t>
        </is>
      </c>
      <c r="G4" s="7" t="inlineStr">
        <is>
          <t>入所日
(自動)</t>
        </is>
      </c>
      <c r="H4" s="7" t="inlineStr">
        <is>
          <t>入所時刻</t>
        </is>
      </c>
      <c r="I4" s="7" t="inlineStr">
        <is>
          <t>退所
(日)</t>
        </is>
      </c>
      <c r="J4" s="7" t="inlineStr">
        <is>
          <t>退所予定日
(自動)</t>
        </is>
      </c>
      <c r="K4" s="7" t="inlineStr">
        <is>
          <t>退所時刻</t>
        </is>
      </c>
      <c r="L4" s="7" t="inlineStr">
        <is>
          <t>利用日数</t>
        </is>
      </c>
      <c r="M4" s="7" t="inlineStr">
        <is>
          <t>宿泊数</t>
        </is>
      </c>
      <c r="N4" s="7" t="inlineStr">
        <is>
          <t>予約状態</t>
        </is>
      </c>
      <c r="O4" s="7" t="inlineStr">
        <is>
          <t>送迎</t>
        </is>
      </c>
      <c r="P4" s="7" t="inlineStr">
        <is>
          <t>送迎方法</t>
        </is>
      </c>
      <c r="Q4" s="7" t="inlineStr">
        <is>
          <t>送迎場所・時間帯</t>
        </is>
      </c>
      <c r="R4" s="7" t="inlineStr">
        <is>
          <t>外部サービス</t>
        </is>
      </c>
      <c r="S4" s="7" t="inlineStr">
        <is>
          <t>備考</t>
        </is>
      </c>
      <c r="T4" s="7" t="inlineStr">
        <is>
          <t>更新日</t>
        </is>
      </c>
      <c r="U4" s="7" t="inlineStr">
        <is>
          <t>更新者</t>
        </is>
      </c>
      <c r="V4" s="7" t="inlineStr">
        <is>
          <t>⚠重複・部屋チェック</t>
        </is>
      </c>
      <c r="W4" s="7" t="inlineStr">
        <is>
          <t>⚠支給量チェック</t>
        </is>
      </c>
      <c r="X4" s="7" t="inlineStr">
        <is>
          <t>支給量対象日数</t>
        </is>
      </c>
      <c r="Y4" s="7" t="inlineStr">
        <is>
          <t>作業:実効年月</t>
        </is>
      </c>
      <c r="Z4" s="7" t="inlineStr">
        <is>
          <t>作業:並び順</t>
        </is>
      </c>
      <c r="AA4" s="7" t="inlineStr">
        <is>
          <t>作業:入所時刻</t>
        </is>
      </c>
      <c r="AB4" s="7" t="inlineStr">
        <is>
          <t>作業:退所時刻</t>
        </is>
      </c>
      <c r="AC4" s="7" t="inlineStr">
        <is>
          <t>作業:入所日数値</t>
        </is>
      </c>
      <c r="AD4" s="7" t="inlineStr">
        <is>
          <t>作業:退所日数値</t>
        </is>
      </c>
    </row>
    <row r="5">
      <c r="A5" s="8">
        <f>IF($G5="","","SS-"&amp;TEXT(ROW()-4,"0000"))</f>
        <v/>
      </c>
      <c r="B5" s="9" t="inlineStr">
        <is>
          <t>◎◎様</t>
        </is>
      </c>
      <c r="C5" s="9" t="inlineStr">
        <is>
          <t>SS</t>
        </is>
      </c>
      <c r="D5" s="9" t="inlineStr">
        <is>
          <t>１Ｆ</t>
        </is>
      </c>
      <c r="E5" s="10" t="n">
        <v>46235</v>
      </c>
      <c r="F5" s="11" t="n">
        <v>1</v>
      </c>
      <c r="G5" s="12">
        <f>IF($F5="","",IF($F5&gt;31,$F5,IF($Y5="","",DATE(YEAR($Y5),MONTH($Y5),$F5))))</f>
        <v/>
      </c>
      <c r="H5" s="13" t="inlineStr">
        <is>
          <t>16:00</t>
        </is>
      </c>
      <c r="I5" s="11" t="n">
        <v>2</v>
      </c>
      <c r="J5" s="12">
        <f>IF($I5="","",IF($I5&gt;31,$I5,IF($G5="","",IF(DATE(YEAR($G5),MONTH($G5),$I5)&gt;=$G5,DATE(YEAR($G5),MONTH($G5),$I5),DATE(YEAR($G5),MONTH($G5)+1,$I5)))))</f>
        <v/>
      </c>
      <c r="K5" s="13" t="inlineStr">
        <is>
          <t>09:00</t>
        </is>
      </c>
      <c r="L5" s="8">
        <f>IF(OR($G5="",$J5=""),"",$J5-$G5+1)</f>
        <v/>
      </c>
      <c r="M5" s="8">
        <f>IF(OR($G5="",$J5=""),"",$J5-$G5)</f>
        <v/>
      </c>
      <c r="N5" s="9" t="inlineStr">
        <is>
          <t>確定</t>
        </is>
      </c>
      <c r="O5" s="9" t="inlineStr">
        <is>
          <t>あり</t>
        </is>
      </c>
      <c r="P5" s="9" t="inlineStr">
        <is>
          <t>施設車</t>
        </is>
      </c>
      <c r="Q5" s="9" t="inlineStr">
        <is>
          <t>自宅前 16:00</t>
        </is>
      </c>
      <c r="R5" s="9" t="n"/>
      <c r="S5" s="9" t="n"/>
      <c r="T5" s="14" t="n"/>
      <c r="U5" s="9" t="n"/>
      <c r="V5" s="8">
        <f>IF($G5="","",IF($D5="","⚠部屋が未選択",IF(COUNTIF('M_部屋'!$A$4:$A$20,$D5)=0,"⚠部屋が未登録",IF(OR($J5="",$N5="キャンセル"),"",IF(SUMPRODUCT(($D$5:$D$204=$D5)*($G$5:$G$204&lt;&gt;"")*($J$5:$J$204&lt;&gt;"")*($N$5:$N$204&lt;&gt;"キャンセル")*($G$5:$G$204&lt;$J5)*($J$5:$J$204&gt;$G5))&gt;1,"⚠重複","")))))</f>
        <v/>
      </c>
      <c r="W5" s="8">
        <f>IF(OR($B5="",$G5=""),"",IF(SUMPRODUCT(('利用者マスタ'!$A$4:$A$60=$B5)*('利用者マスタ'!$B$4:$B$60&lt;&gt;""))=0,"",IF(SUMIFS($X$5:$X$204,$B$5:$B$204,$B5,$G$5:$G$204,"&gt;="&amp;DATE(YEAR($G5),MONTH($G5),1),$G$5:$G$204,"&lt;="&amp;EOMONTH($G5,0))&gt;SUMIFS('利用者マスタ'!$B$4:$B$60,'利用者マスタ'!$A$4:$A$60,$B5),"⚠支給量超過","")))</f>
        <v/>
      </c>
      <c r="X5" s="8">
        <f>IF(OR($G5="",$J5="",$N5="キャンセル"),0,IF(IFERROR(INDEX('M_区分'!$B$4:$B$20,MATCH($C5,'M_区分'!$A$4:$A$20,0)),"○")="○",$J5-$G5+1,0))</f>
        <v/>
      </c>
      <c r="Y5" s="8">
        <f>IF($E5&lt;&gt;"",$E5,"")</f>
        <v/>
      </c>
      <c r="Z5" s="8">
        <f>IF(OR($G5="",$J5=""),"",IF(AND($G5&lt;=EOMONTH('02_カレンダー'!$B$4,0),$J5&gt;='02_カレンダー'!$B$4),$G5*10000+ROW(),""))</f>
        <v/>
      </c>
      <c r="AA5" s="8">
        <f>IF($H5="","",IF(ISNUMBER($H5),TEXT($H5,"hh:mm"),$H5))</f>
        <v/>
      </c>
      <c r="AB5" s="8">
        <f>IF($K5="","",IF(ISNUMBER($K5),TEXT($K5,"hh:mm"),$K5))</f>
        <v/>
      </c>
      <c r="AC5" s="8">
        <f>IF($G5="",0,$G5)</f>
        <v/>
      </c>
      <c r="AD5" s="8">
        <f>IF($J5="",0,$J5)</f>
        <v/>
      </c>
    </row>
    <row r="6">
      <c r="A6" s="8">
        <f>IF($G6="","","SS-"&amp;TEXT(ROW()-4,"0000"))</f>
        <v/>
      </c>
      <c r="B6" s="9" t="inlineStr">
        <is>
          <t>木村様</t>
        </is>
      </c>
      <c r="C6" s="9" t="inlineStr">
        <is>
          <t>SS</t>
        </is>
      </c>
      <c r="D6" s="9" t="inlineStr">
        <is>
          <t>１Ｆ</t>
        </is>
      </c>
      <c r="E6" s="10" t="n"/>
      <c r="F6" s="11" t="n">
        <v>5</v>
      </c>
      <c r="G6" s="12">
        <f>IF($F6="","",IF($F6&gt;31,$F6,IF($Y6="","",DATE(YEAR($Y6),MONTH($Y6),$F6))))</f>
        <v/>
      </c>
      <c r="H6" s="13" t="inlineStr">
        <is>
          <t>16:30</t>
        </is>
      </c>
      <c r="I6" s="11" t="n">
        <v>7</v>
      </c>
      <c r="J6" s="12">
        <f>IF($I6="","",IF($I6&gt;31,$I6,IF($G6="","",IF(DATE(YEAR($G6),MONTH($G6),$I6)&gt;=$G6,DATE(YEAR($G6),MONTH($G6),$I6),DATE(YEAR($G6),MONTH($G6)+1,$I6)))))</f>
        <v/>
      </c>
      <c r="K6" s="13" t="inlineStr">
        <is>
          <t>09:00</t>
        </is>
      </c>
      <c r="L6" s="8">
        <f>IF(OR($G6="",$J6=""),"",$J6-$G6+1)</f>
        <v/>
      </c>
      <c r="M6" s="8">
        <f>IF(OR($G6="",$J6=""),"",$J6-$G6)</f>
        <v/>
      </c>
      <c r="N6" s="9" t="inlineStr">
        <is>
          <t>確定</t>
        </is>
      </c>
      <c r="O6" s="9" t="inlineStr">
        <is>
          <t>なし</t>
        </is>
      </c>
      <c r="P6" s="9" t="n"/>
      <c r="Q6" s="9" t="n"/>
      <c r="R6" s="9" t="n"/>
      <c r="S6" s="9" t="n"/>
      <c r="T6" s="14" t="n"/>
      <c r="U6" s="9" t="n"/>
      <c r="V6" s="8">
        <f>IF($G6="","",IF($D6="","⚠部屋が未選択",IF(COUNTIF('M_部屋'!$A$4:$A$20,$D6)=0,"⚠部屋が未登録",IF(OR($J6="",$N6="キャンセル"),"",IF(SUMPRODUCT(($D$5:$D$204=$D6)*($G$5:$G$204&lt;&gt;"")*($J$5:$J$204&lt;&gt;"")*($N$5:$N$204&lt;&gt;"キャンセル")*($G$5:$G$204&lt;$J6)*($J$5:$J$204&gt;$G6))&gt;1,"⚠重複","")))))</f>
        <v/>
      </c>
      <c r="W6" s="8">
        <f>IF(OR($B6="",$G6=""),"",IF(SUMPRODUCT(('利用者マスタ'!$A$4:$A$60=$B6)*('利用者マスタ'!$B$4:$B$60&lt;&gt;""))=0,"",IF(SUMIFS($X$5:$X$204,$B$5:$B$204,$B6,$G$5:$G$204,"&gt;="&amp;DATE(YEAR($G6),MONTH($G6),1),$G$5:$G$204,"&lt;="&amp;EOMONTH($G6,0))&gt;SUMIFS('利用者マスタ'!$B$4:$B$60,'利用者マスタ'!$A$4:$A$60,$B6),"⚠支給量超過","")))</f>
        <v/>
      </c>
      <c r="X6" s="8">
        <f>IF(OR($G6="",$J6="",$N6="キャンセル"),0,IF(IFERROR(INDEX('M_区分'!$B$4:$B$20,MATCH($C6,'M_区分'!$A$4:$A$20,0)),"○")="○",$J6-$G6+1,0))</f>
        <v/>
      </c>
      <c r="Y6" s="8">
        <f>IF($E6&lt;&gt;"",$E6,$Y5)</f>
        <v/>
      </c>
      <c r="Z6" s="8">
        <f>IF(OR($G6="",$J6=""),"",IF(AND($G6&lt;=EOMONTH('02_カレンダー'!$B$4,0),$J6&gt;='02_カレンダー'!$B$4),$G6*10000+ROW(),""))</f>
        <v/>
      </c>
      <c r="AA6" s="8">
        <f>IF($H6="","",IF(ISNUMBER($H6),TEXT($H6,"hh:mm"),$H6))</f>
        <v/>
      </c>
      <c r="AB6" s="8">
        <f>IF($K6="","",IF(ISNUMBER($K6),TEXT($K6,"hh:mm"),$K6))</f>
        <v/>
      </c>
      <c r="AC6" s="8">
        <f>IF($G6="",0,$G6)</f>
        <v/>
      </c>
      <c r="AD6" s="8">
        <f>IF($J6="",0,$J6)</f>
        <v/>
      </c>
    </row>
    <row r="7">
      <c r="A7" s="8">
        <f>IF($G7="","","SS-"&amp;TEXT(ROW()-4,"0000"))</f>
        <v/>
      </c>
      <c r="B7" s="9" t="inlineStr">
        <is>
          <t>◎◎様</t>
        </is>
      </c>
      <c r="C7" s="9" t="inlineStr">
        <is>
          <t>SS</t>
        </is>
      </c>
      <c r="D7" s="9" t="inlineStr">
        <is>
          <t>１Ｆ</t>
        </is>
      </c>
      <c r="E7" s="10" t="n"/>
      <c r="F7" s="11" t="n">
        <v>8</v>
      </c>
      <c r="G7" s="12">
        <f>IF($F7="","",IF($F7&gt;31,$F7,IF($Y7="","",DATE(YEAR($Y7),MONTH($Y7),$F7))))</f>
        <v/>
      </c>
      <c r="H7" s="13" t="inlineStr">
        <is>
          <t>10:00</t>
        </is>
      </c>
      <c r="I7" s="11" t="n">
        <v>8</v>
      </c>
      <c r="J7" s="12">
        <f>IF($I7="","",IF($I7&gt;31,$I7,IF($G7="","",IF(DATE(YEAR($G7),MONTH($G7),$I7)&gt;=$G7,DATE(YEAR($G7),MONTH($G7),$I7),DATE(YEAR($G7),MONTH($G7)+1,$I7)))))</f>
        <v/>
      </c>
      <c r="K7" s="13" t="inlineStr">
        <is>
          <t>16:00</t>
        </is>
      </c>
      <c r="L7" s="8">
        <f>IF(OR($G7="",$J7=""),"",$J7-$G7+1)</f>
        <v/>
      </c>
      <c r="M7" s="8">
        <f>IF(OR($G7="",$J7=""),"",$J7-$G7)</f>
        <v/>
      </c>
      <c r="N7" s="9" t="inlineStr">
        <is>
          <t>確定</t>
        </is>
      </c>
      <c r="O7" s="9" t="inlineStr">
        <is>
          <t>あり</t>
        </is>
      </c>
      <c r="P7" s="9" t="inlineStr">
        <is>
          <t>家族送迎</t>
        </is>
      </c>
      <c r="Q7" s="9" t="n"/>
      <c r="R7" s="9" t="n"/>
      <c r="S7" s="9" t="inlineStr">
        <is>
          <t>日帰り（体験利用）</t>
        </is>
      </c>
      <c r="T7" s="14" t="n"/>
      <c r="U7" s="9" t="n"/>
      <c r="V7" s="8">
        <f>IF($G7="","",IF($D7="","⚠部屋が未選択",IF(COUNTIF('M_部屋'!$A$4:$A$20,$D7)=0,"⚠部屋が未登録",IF(OR($J7="",$N7="キャンセル"),"",IF(SUMPRODUCT(($D$5:$D$204=$D7)*($G$5:$G$204&lt;&gt;"")*($J$5:$J$204&lt;&gt;"")*($N$5:$N$204&lt;&gt;"キャンセル")*($G$5:$G$204&lt;$J7)*($J$5:$J$204&gt;$G7))&gt;1,"⚠重複","")))))</f>
        <v/>
      </c>
      <c r="W7" s="8">
        <f>IF(OR($B7="",$G7=""),"",IF(SUMPRODUCT(('利用者マスタ'!$A$4:$A$60=$B7)*('利用者マスタ'!$B$4:$B$60&lt;&gt;""))=0,"",IF(SUMIFS($X$5:$X$204,$B$5:$B$204,$B7,$G$5:$G$204,"&gt;="&amp;DATE(YEAR($G7),MONTH($G7),1),$G$5:$G$204,"&lt;="&amp;EOMONTH($G7,0))&gt;SUMIFS('利用者マスタ'!$B$4:$B$60,'利用者マスタ'!$A$4:$A$60,$B7),"⚠支給量超過","")))</f>
        <v/>
      </c>
      <c r="X7" s="8">
        <f>IF(OR($G7="",$J7="",$N7="キャンセル"),0,IF(IFERROR(INDEX('M_区分'!$B$4:$B$20,MATCH($C7,'M_区分'!$A$4:$A$20,0)),"○")="○",$J7-$G7+1,0))</f>
        <v/>
      </c>
      <c r="Y7" s="8">
        <f>IF($E7&lt;&gt;"",$E7,$Y6)</f>
        <v/>
      </c>
      <c r="Z7" s="8">
        <f>IF(OR($G7="",$J7=""),"",IF(AND($G7&lt;=EOMONTH('02_カレンダー'!$B$4,0),$J7&gt;='02_カレンダー'!$B$4),$G7*10000+ROW(),""))</f>
        <v/>
      </c>
      <c r="AA7" s="8">
        <f>IF($H7="","",IF(ISNUMBER($H7),TEXT($H7,"hh:mm"),$H7))</f>
        <v/>
      </c>
      <c r="AB7" s="8">
        <f>IF($K7="","",IF(ISNUMBER($K7),TEXT($K7,"hh:mm"),$K7))</f>
        <v/>
      </c>
      <c r="AC7" s="8">
        <f>IF($G7="",0,$G7)</f>
        <v/>
      </c>
      <c r="AD7" s="8">
        <f>IF($J7="",0,$J7)</f>
        <v/>
      </c>
    </row>
    <row r="8">
      <c r="A8" s="8">
        <f>IF($G8="","","SS-"&amp;TEXT(ROW()-4,"0000"))</f>
        <v/>
      </c>
      <c r="B8" s="9" t="inlineStr">
        <is>
          <t>小澤様</t>
        </is>
      </c>
      <c r="C8" s="9" t="inlineStr">
        <is>
          <t>SS</t>
        </is>
      </c>
      <c r="D8" s="9" t="inlineStr">
        <is>
          <t>１Ｆ</t>
        </is>
      </c>
      <c r="E8" s="10" t="n"/>
      <c r="F8" s="11" t="n">
        <v>14</v>
      </c>
      <c r="G8" s="12">
        <f>IF($F8="","",IF($F8&gt;31,$F8,IF($Y8="","",DATE(YEAR($Y8),MONTH($Y8),$F8))))</f>
        <v/>
      </c>
      <c r="H8" s="13" t="inlineStr">
        <is>
          <t>16:00</t>
        </is>
      </c>
      <c r="I8" s="11" t="n">
        <v>16</v>
      </c>
      <c r="J8" s="12">
        <f>IF($I8="","",IF($I8&gt;31,$I8,IF($G8="","",IF(DATE(YEAR($G8),MONTH($G8),$I8)&gt;=$G8,DATE(YEAR($G8),MONTH($G8),$I8),DATE(YEAR($G8),MONTH($G8)+1,$I8)))))</f>
        <v/>
      </c>
      <c r="K8" s="13" t="inlineStr">
        <is>
          <t>09:00</t>
        </is>
      </c>
      <c r="L8" s="8">
        <f>IF(OR($G8="",$J8=""),"",$J8-$G8+1)</f>
        <v/>
      </c>
      <c r="M8" s="8">
        <f>IF(OR($G8="",$J8=""),"",$J8-$G8)</f>
        <v/>
      </c>
      <c r="N8" s="9" t="inlineStr">
        <is>
          <t>確定</t>
        </is>
      </c>
      <c r="O8" s="9" t="inlineStr">
        <is>
          <t>調整中</t>
        </is>
      </c>
      <c r="P8" s="9" t="n"/>
      <c r="Q8" s="9" t="n"/>
      <c r="R8" s="9" t="n"/>
      <c r="S8" s="9" t="n"/>
      <c r="T8" s="14" t="n"/>
      <c r="U8" s="9" t="n"/>
      <c r="V8" s="8">
        <f>IF($G8="","",IF($D8="","⚠部屋が未選択",IF(COUNTIF('M_部屋'!$A$4:$A$20,$D8)=0,"⚠部屋が未登録",IF(OR($J8="",$N8="キャンセル"),"",IF(SUMPRODUCT(($D$5:$D$204=$D8)*($G$5:$G$204&lt;&gt;"")*($J$5:$J$204&lt;&gt;"")*($N$5:$N$204&lt;&gt;"キャンセル")*($G$5:$G$204&lt;$J8)*($J$5:$J$204&gt;$G8))&gt;1,"⚠重複","")))))</f>
        <v/>
      </c>
      <c r="W8" s="8">
        <f>IF(OR($B8="",$G8=""),"",IF(SUMPRODUCT(('利用者マスタ'!$A$4:$A$60=$B8)*('利用者マスタ'!$B$4:$B$60&lt;&gt;""))=0,"",IF(SUMIFS($X$5:$X$204,$B$5:$B$204,$B8,$G$5:$G$204,"&gt;="&amp;DATE(YEAR($G8),MONTH($G8),1),$G$5:$G$204,"&lt;="&amp;EOMONTH($G8,0))&gt;SUMIFS('利用者マスタ'!$B$4:$B$60,'利用者マスタ'!$A$4:$A$60,$B8),"⚠支給量超過","")))</f>
        <v/>
      </c>
      <c r="X8" s="8">
        <f>IF(OR($G8="",$J8="",$N8="キャンセル"),0,IF(IFERROR(INDEX('M_区分'!$B$4:$B$20,MATCH($C8,'M_区分'!$A$4:$A$20,0)),"○")="○",$J8-$G8+1,0))</f>
        <v/>
      </c>
      <c r="Y8" s="8">
        <f>IF($E8&lt;&gt;"",$E8,$Y7)</f>
        <v/>
      </c>
      <c r="Z8" s="8">
        <f>IF(OR($G8="",$J8=""),"",IF(AND($G8&lt;=EOMONTH('02_カレンダー'!$B$4,0),$J8&gt;='02_カレンダー'!$B$4),$G8*10000+ROW(),""))</f>
        <v/>
      </c>
      <c r="AA8" s="8">
        <f>IF($H8="","",IF(ISNUMBER($H8),TEXT($H8,"hh:mm"),$H8))</f>
        <v/>
      </c>
      <c r="AB8" s="8">
        <f>IF($K8="","",IF(ISNUMBER($K8),TEXT($K8,"hh:mm"),$K8))</f>
        <v/>
      </c>
      <c r="AC8" s="8">
        <f>IF($G8="",0,$G8)</f>
        <v/>
      </c>
      <c r="AD8" s="8">
        <f>IF($J8="",0,$J8)</f>
        <v/>
      </c>
    </row>
    <row r="9">
      <c r="A9" s="8">
        <f>IF($G9="","","SS-"&amp;TEXT(ROW()-4,"0000"))</f>
        <v/>
      </c>
      <c r="B9" s="9" t="inlineStr">
        <is>
          <t>木村様</t>
        </is>
      </c>
      <c r="C9" s="9" t="inlineStr">
        <is>
          <t>SS</t>
        </is>
      </c>
      <c r="D9" s="9" t="inlineStr">
        <is>
          <t>１Ｆ</t>
        </is>
      </c>
      <c r="E9" s="10" t="n"/>
      <c r="F9" s="11" t="n">
        <v>19</v>
      </c>
      <c r="G9" s="12">
        <f>IF($F9="","",IF($F9&gt;31,$F9,IF($Y9="","",DATE(YEAR($Y9),MONTH($Y9),$F9))))</f>
        <v/>
      </c>
      <c r="H9" s="13" t="n"/>
      <c r="I9" s="11" t="n">
        <v>21</v>
      </c>
      <c r="J9" s="12">
        <f>IF($I9="","",IF($I9&gt;31,$I9,IF($G9="","",IF(DATE(YEAR($G9),MONTH($G9),$I9)&gt;=$G9,DATE(YEAR($G9),MONTH($G9),$I9),DATE(YEAR($G9),MONTH($G9)+1,$I9)))))</f>
        <v/>
      </c>
      <c r="K9" s="13" t="n"/>
      <c r="L9" s="8">
        <f>IF(OR($G9="",$J9=""),"",$J9-$G9+1)</f>
        <v/>
      </c>
      <c r="M9" s="8">
        <f>IF(OR($G9="",$J9=""),"",$J9-$G9)</f>
        <v/>
      </c>
      <c r="N9" s="9" t="n"/>
      <c r="O9" s="9" t="n"/>
      <c r="P9" s="9" t="n"/>
      <c r="Q9" s="9" t="n"/>
      <c r="R9" s="9" t="n"/>
      <c r="S9" s="9" t="n"/>
      <c r="T9" s="14" t="n"/>
      <c r="U9" s="9" t="n"/>
      <c r="V9" s="8">
        <f>IF($G9="","",IF($D9="","⚠部屋が未選択",IF(COUNTIF('M_部屋'!$A$4:$A$20,$D9)=0,"⚠部屋が未登録",IF(OR($J9="",$N9="キャンセル"),"",IF(SUMPRODUCT(($D$5:$D$204=$D9)*($G$5:$G$204&lt;&gt;"")*($J$5:$J$204&lt;&gt;"")*($N$5:$N$204&lt;&gt;"キャンセル")*($G$5:$G$204&lt;$J9)*($J$5:$J$204&gt;$G9))&gt;1,"⚠重複","")))))</f>
        <v/>
      </c>
      <c r="W9" s="8">
        <f>IF(OR($B9="",$G9=""),"",IF(SUMPRODUCT(('利用者マスタ'!$A$4:$A$60=$B9)*('利用者マスタ'!$B$4:$B$60&lt;&gt;""))=0,"",IF(SUMIFS($X$5:$X$204,$B$5:$B$204,$B9,$G$5:$G$204,"&gt;="&amp;DATE(YEAR($G9),MONTH($G9),1),$G$5:$G$204,"&lt;="&amp;EOMONTH($G9,0))&gt;SUMIFS('利用者マスタ'!$B$4:$B$60,'利用者マスタ'!$A$4:$A$60,$B9),"⚠支給量超過","")))</f>
        <v/>
      </c>
      <c r="X9" s="8">
        <f>IF(OR($G9="",$J9="",$N9="キャンセル"),0,IF(IFERROR(INDEX('M_区分'!$B$4:$B$20,MATCH($C9,'M_区分'!$A$4:$A$20,0)),"○")="○",$J9-$G9+1,0))</f>
        <v/>
      </c>
      <c r="Y9" s="8">
        <f>IF($E9&lt;&gt;"",$E9,$Y8)</f>
        <v/>
      </c>
      <c r="Z9" s="8">
        <f>IF(OR($G9="",$J9=""),"",IF(AND($G9&lt;=EOMONTH('02_カレンダー'!$B$4,0),$J9&gt;='02_カレンダー'!$B$4),$G9*10000+ROW(),""))</f>
        <v/>
      </c>
      <c r="AA9" s="8">
        <f>IF($H9="","",IF(ISNUMBER($H9),TEXT($H9,"hh:mm"),$H9))</f>
        <v/>
      </c>
      <c r="AB9" s="8">
        <f>IF($K9="","",IF(ISNUMBER($K9),TEXT($K9,"hh:mm"),$K9))</f>
        <v/>
      </c>
      <c r="AC9" s="8">
        <f>IF($G9="",0,$G9)</f>
        <v/>
      </c>
      <c r="AD9" s="8">
        <f>IF($J9="",0,$J9)</f>
        <v/>
      </c>
    </row>
    <row r="10">
      <c r="A10" s="8">
        <f>IF($G10="","","SS-"&amp;TEXT(ROW()-4,"0000"))</f>
        <v/>
      </c>
      <c r="B10" s="9" t="inlineStr">
        <is>
          <t>伊藤メイ様</t>
        </is>
      </c>
      <c r="C10" s="9" t="inlineStr">
        <is>
          <t>SS</t>
        </is>
      </c>
      <c r="D10" s="9" t="inlineStr">
        <is>
          <t>１Ｆ</t>
        </is>
      </c>
      <c r="E10" s="10" t="n"/>
      <c r="F10" s="11" t="n">
        <v>21</v>
      </c>
      <c r="G10" s="12">
        <f>IF($F10="","",IF($F10&gt;31,$F10,IF($Y10="","",DATE(YEAR($Y10),MONTH($Y10),$F10))))</f>
        <v/>
      </c>
      <c r="H10" s="13" t="n"/>
      <c r="I10" s="11" t="n">
        <v>22</v>
      </c>
      <c r="J10" s="12">
        <f>IF($I10="","",IF($I10&gt;31,$I10,IF($G10="","",IF(DATE(YEAR($G10),MONTH($G10),$I10)&gt;=$G10,DATE(YEAR($G10),MONTH($G10),$I10),DATE(YEAR($G10),MONTH($G10)+1,$I10)))))</f>
        <v/>
      </c>
      <c r="K10" s="13" t="n"/>
      <c r="L10" s="8">
        <f>IF(OR($G10="",$J10=""),"",$J10-$G10+1)</f>
        <v/>
      </c>
      <c r="M10" s="8">
        <f>IF(OR($G10="",$J10=""),"",$J10-$G10)</f>
        <v/>
      </c>
      <c r="N10" s="9" t="n"/>
      <c r="O10" s="9" t="n"/>
      <c r="P10" s="9" t="n"/>
      <c r="Q10" s="9" t="n"/>
      <c r="R10" s="9" t="n"/>
      <c r="S10" s="9" t="n"/>
      <c r="T10" s="14" t="n"/>
      <c r="U10" s="9" t="n"/>
      <c r="V10" s="8">
        <f>IF($G10="","",IF($D10="","⚠部屋が未選択",IF(COUNTIF('M_部屋'!$A$4:$A$20,$D10)=0,"⚠部屋が未登録",IF(OR($J10="",$N10="キャンセル"),"",IF(SUMPRODUCT(($D$5:$D$204=$D10)*($G$5:$G$204&lt;&gt;"")*($J$5:$J$204&lt;&gt;"")*($N$5:$N$204&lt;&gt;"キャンセル")*($G$5:$G$204&lt;$J10)*($J$5:$J$204&gt;$G10))&gt;1,"⚠重複","")))))</f>
        <v/>
      </c>
      <c r="W10" s="8">
        <f>IF(OR($B10="",$G10=""),"",IF(SUMPRODUCT(('利用者マスタ'!$A$4:$A$60=$B10)*('利用者マスタ'!$B$4:$B$60&lt;&gt;""))=0,"",IF(SUMIFS($X$5:$X$204,$B$5:$B$204,$B10,$G$5:$G$204,"&gt;="&amp;DATE(YEAR($G10),MONTH($G10),1),$G$5:$G$204,"&lt;="&amp;EOMONTH($G10,0))&gt;SUMIFS('利用者マスタ'!$B$4:$B$60,'利用者マスタ'!$A$4:$A$60,$B10),"⚠支給量超過","")))</f>
        <v/>
      </c>
      <c r="X10" s="8">
        <f>IF(OR($G10="",$J10="",$N10="キャンセル"),0,IF(IFERROR(INDEX('M_区分'!$B$4:$B$20,MATCH($C10,'M_区分'!$A$4:$A$20,0)),"○")="○",$J10-$G10+1,0))</f>
        <v/>
      </c>
      <c r="Y10" s="8">
        <f>IF($E10&lt;&gt;"",$E10,$Y9)</f>
        <v/>
      </c>
      <c r="Z10" s="8">
        <f>IF(OR($G10="",$J10=""),"",IF(AND($G10&lt;=EOMONTH('02_カレンダー'!$B$4,0),$J10&gt;='02_カレンダー'!$B$4),$G10*10000+ROW(),""))</f>
        <v/>
      </c>
      <c r="AA10" s="8">
        <f>IF($H10="","",IF(ISNUMBER($H10),TEXT($H10,"hh:mm"),$H10))</f>
        <v/>
      </c>
      <c r="AB10" s="8">
        <f>IF($K10="","",IF(ISNUMBER($K10),TEXT($K10,"hh:mm"),$K10))</f>
        <v/>
      </c>
      <c r="AC10" s="8">
        <f>IF($G10="",0,$G10)</f>
        <v/>
      </c>
      <c r="AD10" s="8">
        <f>IF($J10="",0,$J10)</f>
        <v/>
      </c>
    </row>
    <row r="11">
      <c r="A11" s="8">
        <f>IF($G11="","","SS-"&amp;TEXT(ROW()-4,"0000"))</f>
        <v/>
      </c>
      <c r="B11" s="9" t="inlineStr">
        <is>
          <t>小澤様</t>
        </is>
      </c>
      <c r="C11" s="9" t="inlineStr">
        <is>
          <t>SS</t>
        </is>
      </c>
      <c r="D11" s="9" t="inlineStr">
        <is>
          <t>１Ｆ</t>
        </is>
      </c>
      <c r="E11" s="10" t="n"/>
      <c r="F11" s="11" t="n">
        <v>22</v>
      </c>
      <c r="G11" s="12">
        <f>IF($F11="","",IF($F11&gt;31,$F11,IF($Y11="","",DATE(YEAR($Y11),MONTH($Y11),$F11))))</f>
        <v/>
      </c>
      <c r="H11" s="13" t="n"/>
      <c r="I11" s="11" t="n">
        <v>23</v>
      </c>
      <c r="J11" s="12">
        <f>IF($I11="","",IF($I11&gt;31,$I11,IF($G11="","",IF(DATE(YEAR($G11),MONTH($G11),$I11)&gt;=$G11,DATE(YEAR($G11),MONTH($G11),$I11),DATE(YEAR($G11),MONTH($G11)+1,$I11)))))</f>
        <v/>
      </c>
      <c r="K11" s="13" t="n"/>
      <c r="L11" s="8">
        <f>IF(OR($G11="",$J11=""),"",$J11-$G11+1)</f>
        <v/>
      </c>
      <c r="M11" s="8">
        <f>IF(OR($G11="",$J11=""),"",$J11-$G11)</f>
        <v/>
      </c>
      <c r="N11" s="9" t="n"/>
      <c r="O11" s="9" t="n"/>
      <c r="P11" s="9" t="n"/>
      <c r="Q11" s="9" t="n"/>
      <c r="R11" s="9" t="n"/>
      <c r="S11" s="9" t="n"/>
      <c r="T11" s="14" t="n"/>
      <c r="U11" s="9" t="n"/>
      <c r="V11" s="8">
        <f>IF($G11="","",IF($D11="","⚠部屋が未選択",IF(COUNTIF('M_部屋'!$A$4:$A$20,$D11)=0,"⚠部屋が未登録",IF(OR($J11="",$N11="キャンセル"),"",IF(SUMPRODUCT(($D$5:$D$204=$D11)*($G$5:$G$204&lt;&gt;"")*($J$5:$J$204&lt;&gt;"")*($N$5:$N$204&lt;&gt;"キャンセル")*($G$5:$G$204&lt;$J11)*($J$5:$J$204&gt;$G11))&gt;1,"⚠重複","")))))</f>
        <v/>
      </c>
      <c r="W11" s="8">
        <f>IF(OR($B11="",$G11=""),"",IF(SUMPRODUCT(('利用者マスタ'!$A$4:$A$60=$B11)*('利用者マスタ'!$B$4:$B$60&lt;&gt;""))=0,"",IF(SUMIFS($X$5:$X$204,$B$5:$B$204,$B11,$G$5:$G$204,"&gt;="&amp;DATE(YEAR($G11),MONTH($G11),1),$G$5:$G$204,"&lt;="&amp;EOMONTH($G11,0))&gt;SUMIFS('利用者マスタ'!$B$4:$B$60,'利用者マスタ'!$A$4:$A$60,$B11),"⚠支給量超過","")))</f>
        <v/>
      </c>
      <c r="X11" s="8">
        <f>IF(OR($G11="",$J11="",$N11="キャンセル"),0,IF(IFERROR(INDEX('M_区分'!$B$4:$B$20,MATCH($C11,'M_区分'!$A$4:$A$20,0)),"○")="○",$J11-$G11+1,0))</f>
        <v/>
      </c>
      <c r="Y11" s="8">
        <f>IF($E11&lt;&gt;"",$E11,$Y10)</f>
        <v/>
      </c>
      <c r="Z11" s="8">
        <f>IF(OR($G11="",$J11=""),"",IF(AND($G11&lt;=EOMONTH('02_カレンダー'!$B$4,0),$J11&gt;='02_カレンダー'!$B$4),$G11*10000+ROW(),""))</f>
        <v/>
      </c>
      <c r="AA11" s="8">
        <f>IF($H11="","",IF(ISNUMBER($H11),TEXT($H11,"hh:mm"),$H11))</f>
        <v/>
      </c>
      <c r="AB11" s="8">
        <f>IF($K11="","",IF(ISNUMBER($K11),TEXT($K11,"hh:mm"),$K11))</f>
        <v/>
      </c>
      <c r="AC11" s="8">
        <f>IF($G11="",0,$G11)</f>
        <v/>
      </c>
      <c r="AD11" s="8">
        <f>IF($J11="",0,$J11)</f>
        <v/>
      </c>
    </row>
    <row r="12">
      <c r="A12" s="8">
        <f>IF($G12="","","SS-"&amp;TEXT(ROW()-4,"0000"))</f>
        <v/>
      </c>
      <c r="B12" s="9" t="inlineStr">
        <is>
          <t>小林様</t>
        </is>
      </c>
      <c r="C12" s="9" t="inlineStr">
        <is>
          <t>SS</t>
        </is>
      </c>
      <c r="D12" s="9" t="n"/>
      <c r="E12" s="10" t="n"/>
      <c r="F12" s="11" t="n">
        <v>29</v>
      </c>
      <c r="G12" s="12">
        <f>IF($F12="","",IF($F12&gt;31,$F12,IF($Y12="","",DATE(YEAR($Y12),MONTH($Y12),$F12))))</f>
        <v/>
      </c>
      <c r="H12" s="13" t="n"/>
      <c r="I12" s="11" t="n">
        <v>30</v>
      </c>
      <c r="J12" s="12">
        <f>IF($I12="","",IF($I12&gt;31,$I12,IF($G12="","",IF(DATE(YEAR($G12),MONTH($G12),$I12)&gt;=$G12,DATE(YEAR($G12),MONTH($G12),$I12),DATE(YEAR($G12),MONTH($G12)+1,$I12)))))</f>
        <v/>
      </c>
      <c r="K12" s="13" t="n"/>
      <c r="L12" s="8">
        <f>IF(OR($G12="",$J12=""),"",$J12-$G12+1)</f>
        <v/>
      </c>
      <c r="M12" s="8">
        <f>IF(OR($G12="",$J12=""),"",$J12-$G12)</f>
        <v/>
      </c>
      <c r="N12" s="9" t="n"/>
      <c r="O12" s="9" t="n"/>
      <c r="P12" s="9" t="n"/>
      <c r="Q12" s="9" t="n"/>
      <c r="R12" s="9" t="n"/>
      <c r="S12" s="9" t="n"/>
      <c r="T12" s="14" t="n"/>
      <c r="U12" s="9" t="n"/>
      <c r="V12" s="8">
        <f>IF($G12="","",IF($D12="","⚠部屋が未選択",IF(COUNTIF('M_部屋'!$A$4:$A$20,$D12)=0,"⚠部屋が未登録",IF(OR($J12="",$N12="キャンセル"),"",IF(SUMPRODUCT(($D$5:$D$204=$D12)*($G$5:$G$204&lt;&gt;"")*($J$5:$J$204&lt;&gt;"")*($N$5:$N$204&lt;&gt;"キャンセル")*($G$5:$G$204&lt;$J12)*($J$5:$J$204&gt;$G12))&gt;1,"⚠重複","")))))</f>
        <v/>
      </c>
      <c r="W12" s="8">
        <f>IF(OR($B12="",$G12=""),"",IF(SUMPRODUCT(('利用者マスタ'!$A$4:$A$60=$B12)*('利用者マスタ'!$B$4:$B$60&lt;&gt;""))=0,"",IF(SUMIFS($X$5:$X$204,$B$5:$B$204,$B12,$G$5:$G$204,"&gt;="&amp;DATE(YEAR($G12),MONTH($G12),1),$G$5:$G$204,"&lt;="&amp;EOMONTH($G12,0))&gt;SUMIFS('利用者マスタ'!$B$4:$B$60,'利用者マスタ'!$A$4:$A$60,$B12),"⚠支給量超過","")))</f>
        <v/>
      </c>
      <c r="X12" s="8">
        <f>IF(OR($G12="",$J12="",$N12="キャンセル"),0,IF(IFERROR(INDEX('M_区分'!$B$4:$B$20,MATCH($C12,'M_区分'!$A$4:$A$20,0)),"○")="○",$J12-$G12+1,0))</f>
        <v/>
      </c>
      <c r="Y12" s="8">
        <f>IF($E12&lt;&gt;"",$E12,$Y11)</f>
        <v/>
      </c>
      <c r="Z12" s="8">
        <f>IF(OR($G12="",$J12=""),"",IF(AND($G12&lt;=EOMONTH('02_カレンダー'!$B$4,0),$J12&gt;='02_カレンダー'!$B$4),$G12*10000+ROW(),""))</f>
        <v/>
      </c>
      <c r="AA12" s="8">
        <f>IF($H12="","",IF(ISNUMBER($H12),TEXT($H12,"hh:mm"),$H12))</f>
        <v/>
      </c>
      <c r="AB12" s="8">
        <f>IF($K12="","",IF(ISNUMBER($K12),TEXT($K12,"hh:mm"),$K12))</f>
        <v/>
      </c>
      <c r="AC12" s="8">
        <f>IF($G12="",0,$G12)</f>
        <v/>
      </c>
      <c r="AD12" s="8">
        <f>IF($J12="",0,$J12)</f>
        <v/>
      </c>
    </row>
    <row r="13">
      <c r="A13" s="8">
        <f>IF($G13="","","SS-"&amp;TEXT(ROW()-4,"0000"))</f>
        <v/>
      </c>
      <c r="B13" s="9" t="inlineStr">
        <is>
          <t>木村様</t>
        </is>
      </c>
      <c r="C13" s="9" t="inlineStr">
        <is>
          <t>SS</t>
        </is>
      </c>
      <c r="D13" s="9" t="n"/>
      <c r="E13" s="10" t="n"/>
      <c r="F13" s="11" t="n">
        <v>31</v>
      </c>
      <c r="G13" s="12">
        <f>IF($F13="","",IF($F13&gt;31,$F13,IF($Y13="","",DATE(YEAR($Y13),MONTH($Y13),$F13))))</f>
        <v/>
      </c>
      <c r="H13" s="13" t="n"/>
      <c r="I13" s="11" t="n">
        <v>1</v>
      </c>
      <c r="J13" s="12">
        <f>IF($I13="","",IF($I13&gt;31,$I13,IF($G13="","",IF(DATE(YEAR($G13),MONTH($G13),$I13)&gt;=$G13,DATE(YEAR($G13),MONTH($G13),$I13),DATE(YEAR($G13),MONTH($G13)+1,$I13)))))</f>
        <v/>
      </c>
      <c r="K13" s="13" t="n"/>
      <c r="L13" s="8">
        <f>IF(OR($G13="",$J13=""),"",$J13-$G13+1)</f>
        <v/>
      </c>
      <c r="M13" s="8">
        <f>IF(OR($G13="",$J13=""),"",$J13-$G13)</f>
        <v/>
      </c>
      <c r="N13" s="9" t="n"/>
      <c r="O13" s="9" t="n"/>
      <c r="P13" s="9" t="n"/>
      <c r="Q13" s="9" t="n"/>
      <c r="R13" s="9" t="n"/>
      <c r="S13" s="9" t="n"/>
      <c r="T13" s="14" t="n"/>
      <c r="U13" s="9" t="n"/>
      <c r="V13" s="8">
        <f>IF($G13="","",IF($D13="","⚠部屋が未選択",IF(COUNTIF('M_部屋'!$A$4:$A$20,$D13)=0,"⚠部屋が未登録",IF(OR($J13="",$N13="キャンセル"),"",IF(SUMPRODUCT(($D$5:$D$204=$D13)*($G$5:$G$204&lt;&gt;"")*($J$5:$J$204&lt;&gt;"")*($N$5:$N$204&lt;&gt;"キャンセル")*($G$5:$G$204&lt;$J13)*($J$5:$J$204&gt;$G13))&gt;1,"⚠重複","")))))</f>
        <v/>
      </c>
      <c r="W13" s="8">
        <f>IF(OR($B13="",$G13=""),"",IF(SUMPRODUCT(('利用者マスタ'!$A$4:$A$60=$B13)*('利用者マスタ'!$B$4:$B$60&lt;&gt;""))=0,"",IF(SUMIFS($X$5:$X$204,$B$5:$B$204,$B13,$G$5:$G$204,"&gt;="&amp;DATE(YEAR($G13),MONTH($G13),1),$G$5:$G$204,"&lt;="&amp;EOMONTH($G13,0))&gt;SUMIFS('利用者マスタ'!$B$4:$B$60,'利用者マスタ'!$A$4:$A$60,$B13),"⚠支給量超過","")))</f>
        <v/>
      </c>
      <c r="X13" s="8">
        <f>IF(OR($G13="",$J13="",$N13="キャンセル"),0,IF(IFERROR(INDEX('M_区分'!$B$4:$B$20,MATCH($C13,'M_区分'!$A$4:$A$20,0)),"○")="○",$J13-$G13+1,0))</f>
        <v/>
      </c>
      <c r="Y13" s="8">
        <f>IF($E13&lt;&gt;"",$E13,$Y12)</f>
        <v/>
      </c>
      <c r="Z13" s="8">
        <f>IF(OR($G13="",$J13=""),"",IF(AND($G13&lt;=EOMONTH('02_カレンダー'!$B$4,0),$J13&gt;='02_カレンダー'!$B$4),$G13*10000+ROW(),""))</f>
        <v/>
      </c>
      <c r="AA13" s="8">
        <f>IF($H13="","",IF(ISNUMBER($H13),TEXT($H13,"hh:mm"),$H13))</f>
        <v/>
      </c>
      <c r="AB13" s="8">
        <f>IF($K13="","",IF(ISNUMBER($K13),TEXT($K13,"hh:mm"),$K13))</f>
        <v/>
      </c>
      <c r="AC13" s="8">
        <f>IF($G13="",0,$G13)</f>
        <v/>
      </c>
      <c r="AD13" s="8">
        <f>IF($J13="",0,$J13)</f>
        <v/>
      </c>
    </row>
    <row r="14">
      <c r="A14" s="8">
        <f>IF($G14="","","SS-"&amp;TEXT(ROW()-4,"0000"))</f>
        <v/>
      </c>
      <c r="B14" s="9" t="n"/>
      <c r="C14" s="9" t="n"/>
      <c r="D14" s="9" t="n"/>
      <c r="E14" s="10" t="n"/>
      <c r="F14" s="11" t="n"/>
      <c r="G14" s="12">
        <f>IF($F14="","",IF($F14&gt;31,$F14,IF($Y14="","",DATE(YEAR($Y14),MONTH($Y14),$F14))))</f>
        <v/>
      </c>
      <c r="H14" s="13" t="n"/>
      <c r="I14" s="11" t="n"/>
      <c r="J14" s="12">
        <f>IF($I14="","",IF($I14&gt;31,$I14,IF($G14="","",IF(DATE(YEAR($G14),MONTH($G14),$I14)&gt;=$G14,DATE(YEAR($G14),MONTH($G14),$I14),DATE(YEAR($G14),MONTH($G14)+1,$I14)))))</f>
        <v/>
      </c>
      <c r="K14" s="13" t="n"/>
      <c r="L14" s="8">
        <f>IF(OR($G14="",$J14=""),"",$J14-$G14+1)</f>
        <v/>
      </c>
      <c r="M14" s="8">
        <f>IF(OR($G14="",$J14=""),"",$J14-$G14)</f>
        <v/>
      </c>
      <c r="N14" s="9" t="n"/>
      <c r="O14" s="9" t="n"/>
      <c r="P14" s="9" t="n"/>
      <c r="Q14" s="9" t="n"/>
      <c r="R14" s="9" t="n"/>
      <c r="S14" s="9" t="n"/>
      <c r="T14" s="14" t="n"/>
      <c r="U14" s="9" t="n"/>
      <c r="V14" s="8">
        <f>IF($G14="","",IF($D14="","⚠部屋が未選択",IF(COUNTIF('M_部屋'!$A$4:$A$20,$D14)=0,"⚠部屋が未登録",IF(OR($J14="",$N14="キャンセル"),"",IF(SUMPRODUCT(($D$5:$D$204=$D14)*($G$5:$G$204&lt;&gt;"")*($J$5:$J$204&lt;&gt;"")*($N$5:$N$204&lt;&gt;"キャンセル")*($G$5:$G$204&lt;$J14)*($J$5:$J$204&gt;$G14))&gt;1,"⚠重複","")))))</f>
        <v/>
      </c>
      <c r="W14" s="8">
        <f>IF(OR($B14="",$G14=""),"",IF(SUMPRODUCT(('利用者マスタ'!$A$4:$A$60=$B14)*('利用者マスタ'!$B$4:$B$60&lt;&gt;""))=0,"",IF(SUMIFS($X$5:$X$204,$B$5:$B$204,$B14,$G$5:$G$204,"&gt;="&amp;DATE(YEAR($G14),MONTH($G14),1),$G$5:$G$204,"&lt;="&amp;EOMONTH($G14,0))&gt;SUMIFS('利用者マスタ'!$B$4:$B$60,'利用者マスタ'!$A$4:$A$60,$B14),"⚠支給量超過","")))</f>
        <v/>
      </c>
      <c r="X14" s="8">
        <f>IF(OR($G14="",$J14="",$N14="キャンセル"),0,IF(IFERROR(INDEX('M_区分'!$B$4:$B$20,MATCH($C14,'M_区分'!$A$4:$A$20,0)),"○")="○",$J14-$G14+1,0))</f>
        <v/>
      </c>
      <c r="Y14" s="8">
        <f>IF($E14&lt;&gt;"",$E14,$Y13)</f>
        <v/>
      </c>
      <c r="Z14" s="8">
        <f>IF(OR($G14="",$J14=""),"",IF(AND($G14&lt;=EOMONTH('02_カレンダー'!$B$4,0),$J14&gt;='02_カレンダー'!$B$4),$G14*10000+ROW(),""))</f>
        <v/>
      </c>
      <c r="AA14" s="8">
        <f>IF($H14="","",IF(ISNUMBER($H14),TEXT($H14,"hh:mm"),$H14))</f>
        <v/>
      </c>
      <c r="AB14" s="8">
        <f>IF($K14="","",IF(ISNUMBER($K14),TEXT($K14,"hh:mm"),$K14))</f>
        <v/>
      </c>
      <c r="AC14" s="8">
        <f>IF($G14="",0,$G14)</f>
        <v/>
      </c>
      <c r="AD14" s="8">
        <f>IF($J14="",0,$J14)</f>
        <v/>
      </c>
    </row>
    <row r="15">
      <c r="A15" s="8">
        <f>IF($G15="","","SS-"&amp;TEXT(ROW()-4,"0000"))</f>
        <v/>
      </c>
      <c r="B15" s="9" t="n"/>
      <c r="C15" s="9" t="n"/>
      <c r="D15" s="9" t="n"/>
      <c r="E15" s="10" t="n"/>
      <c r="F15" s="11" t="n"/>
      <c r="G15" s="12">
        <f>IF($F15="","",IF($F15&gt;31,$F15,IF($Y15="","",DATE(YEAR($Y15),MONTH($Y15),$F15))))</f>
        <v/>
      </c>
      <c r="H15" s="13" t="n"/>
      <c r="I15" s="11" t="n"/>
      <c r="J15" s="12">
        <f>IF($I15="","",IF($I15&gt;31,$I15,IF($G15="","",IF(DATE(YEAR($G15),MONTH($G15),$I15)&gt;=$G15,DATE(YEAR($G15),MONTH($G15),$I15),DATE(YEAR($G15),MONTH($G15)+1,$I15)))))</f>
        <v/>
      </c>
      <c r="K15" s="13" t="n"/>
      <c r="L15" s="8">
        <f>IF(OR($G15="",$J15=""),"",$J15-$G15+1)</f>
        <v/>
      </c>
      <c r="M15" s="8">
        <f>IF(OR($G15="",$J15=""),"",$J15-$G15)</f>
        <v/>
      </c>
      <c r="N15" s="9" t="n"/>
      <c r="O15" s="9" t="n"/>
      <c r="P15" s="9" t="n"/>
      <c r="Q15" s="9" t="n"/>
      <c r="R15" s="9" t="n"/>
      <c r="S15" s="9" t="n"/>
      <c r="T15" s="14" t="n"/>
      <c r="U15" s="9" t="n"/>
      <c r="V15" s="8">
        <f>IF($G15="","",IF($D15="","⚠部屋が未選択",IF(COUNTIF('M_部屋'!$A$4:$A$20,$D15)=0,"⚠部屋が未登録",IF(OR($J15="",$N15="キャンセル"),"",IF(SUMPRODUCT(($D$5:$D$204=$D15)*($G$5:$G$204&lt;&gt;"")*($J$5:$J$204&lt;&gt;"")*($N$5:$N$204&lt;&gt;"キャンセル")*($G$5:$G$204&lt;$J15)*($J$5:$J$204&gt;$G15))&gt;1,"⚠重複","")))))</f>
        <v/>
      </c>
      <c r="W15" s="8">
        <f>IF(OR($B15="",$G15=""),"",IF(SUMPRODUCT(('利用者マスタ'!$A$4:$A$60=$B15)*('利用者マスタ'!$B$4:$B$60&lt;&gt;""))=0,"",IF(SUMIFS($X$5:$X$204,$B$5:$B$204,$B15,$G$5:$G$204,"&gt;="&amp;DATE(YEAR($G15),MONTH($G15),1),$G$5:$G$204,"&lt;="&amp;EOMONTH($G15,0))&gt;SUMIFS('利用者マスタ'!$B$4:$B$60,'利用者マスタ'!$A$4:$A$60,$B15),"⚠支給量超過","")))</f>
        <v/>
      </c>
      <c r="X15" s="8">
        <f>IF(OR($G15="",$J15="",$N15="キャンセル"),0,IF(IFERROR(INDEX('M_区分'!$B$4:$B$20,MATCH($C15,'M_区分'!$A$4:$A$20,0)),"○")="○",$J15-$G15+1,0))</f>
        <v/>
      </c>
      <c r="Y15" s="8">
        <f>IF($E15&lt;&gt;"",$E15,$Y14)</f>
        <v/>
      </c>
      <c r="Z15" s="8">
        <f>IF(OR($G15="",$J15=""),"",IF(AND($G15&lt;=EOMONTH('02_カレンダー'!$B$4,0),$J15&gt;='02_カレンダー'!$B$4),$G15*10000+ROW(),""))</f>
        <v/>
      </c>
      <c r="AA15" s="8">
        <f>IF($H15="","",IF(ISNUMBER($H15),TEXT($H15,"hh:mm"),$H15))</f>
        <v/>
      </c>
      <c r="AB15" s="8">
        <f>IF($K15="","",IF(ISNUMBER($K15),TEXT($K15,"hh:mm"),$K15))</f>
        <v/>
      </c>
      <c r="AC15" s="8">
        <f>IF($G15="",0,$G15)</f>
        <v/>
      </c>
      <c r="AD15" s="8">
        <f>IF($J15="",0,$J15)</f>
        <v/>
      </c>
    </row>
    <row r="16">
      <c r="A16" s="8">
        <f>IF($G16="","","SS-"&amp;TEXT(ROW()-4,"0000"))</f>
        <v/>
      </c>
      <c r="B16" s="9" t="n"/>
      <c r="C16" s="9" t="n"/>
      <c r="D16" s="9" t="n"/>
      <c r="E16" s="10" t="n"/>
      <c r="F16" s="11" t="n"/>
      <c r="G16" s="12">
        <f>IF($F16="","",IF($F16&gt;31,$F16,IF($Y16="","",DATE(YEAR($Y16),MONTH($Y16),$F16))))</f>
        <v/>
      </c>
      <c r="H16" s="13" t="n"/>
      <c r="I16" s="11" t="n"/>
      <c r="J16" s="12">
        <f>IF($I16="","",IF($I16&gt;31,$I16,IF($G16="","",IF(DATE(YEAR($G16),MONTH($G16),$I16)&gt;=$G16,DATE(YEAR($G16),MONTH($G16),$I16),DATE(YEAR($G16),MONTH($G16)+1,$I16)))))</f>
        <v/>
      </c>
      <c r="K16" s="13" t="n"/>
      <c r="L16" s="8">
        <f>IF(OR($G16="",$J16=""),"",$J16-$G16+1)</f>
        <v/>
      </c>
      <c r="M16" s="8">
        <f>IF(OR($G16="",$J16=""),"",$J16-$G16)</f>
        <v/>
      </c>
      <c r="N16" s="9" t="n"/>
      <c r="O16" s="9" t="n"/>
      <c r="P16" s="9" t="n"/>
      <c r="Q16" s="9" t="n"/>
      <c r="R16" s="9" t="n"/>
      <c r="S16" s="9" t="n"/>
      <c r="T16" s="14" t="n"/>
      <c r="U16" s="9" t="n"/>
      <c r="V16" s="8">
        <f>IF($G16="","",IF($D16="","⚠部屋が未選択",IF(COUNTIF('M_部屋'!$A$4:$A$20,$D16)=0,"⚠部屋が未登録",IF(OR($J16="",$N16="キャンセル"),"",IF(SUMPRODUCT(($D$5:$D$204=$D16)*($G$5:$G$204&lt;&gt;"")*($J$5:$J$204&lt;&gt;"")*($N$5:$N$204&lt;&gt;"キャンセル")*($G$5:$G$204&lt;$J16)*($J$5:$J$204&gt;$G16))&gt;1,"⚠重複","")))))</f>
        <v/>
      </c>
      <c r="W16" s="8">
        <f>IF(OR($B16="",$G16=""),"",IF(SUMPRODUCT(('利用者マスタ'!$A$4:$A$60=$B16)*('利用者マスタ'!$B$4:$B$60&lt;&gt;""))=0,"",IF(SUMIFS($X$5:$X$204,$B$5:$B$204,$B16,$G$5:$G$204,"&gt;="&amp;DATE(YEAR($G16),MONTH($G16),1),$G$5:$G$204,"&lt;="&amp;EOMONTH($G16,0))&gt;SUMIFS('利用者マスタ'!$B$4:$B$60,'利用者マスタ'!$A$4:$A$60,$B16),"⚠支給量超過","")))</f>
        <v/>
      </c>
      <c r="X16" s="8">
        <f>IF(OR($G16="",$J16="",$N16="キャンセル"),0,IF(IFERROR(INDEX('M_区分'!$B$4:$B$20,MATCH($C16,'M_区分'!$A$4:$A$20,0)),"○")="○",$J16-$G16+1,0))</f>
        <v/>
      </c>
      <c r="Y16" s="8">
        <f>IF($E16&lt;&gt;"",$E16,$Y15)</f>
        <v/>
      </c>
      <c r="Z16" s="8">
        <f>IF(OR($G16="",$J16=""),"",IF(AND($G16&lt;=EOMONTH('02_カレンダー'!$B$4,0),$J16&gt;='02_カレンダー'!$B$4),$G16*10000+ROW(),""))</f>
        <v/>
      </c>
      <c r="AA16" s="8">
        <f>IF($H16="","",IF(ISNUMBER($H16),TEXT($H16,"hh:mm"),$H16))</f>
        <v/>
      </c>
      <c r="AB16" s="8">
        <f>IF($K16="","",IF(ISNUMBER($K16),TEXT($K16,"hh:mm"),$K16))</f>
        <v/>
      </c>
      <c r="AC16" s="8">
        <f>IF($G16="",0,$G16)</f>
        <v/>
      </c>
      <c r="AD16" s="8">
        <f>IF($J16="",0,$J16)</f>
        <v/>
      </c>
    </row>
    <row r="17">
      <c r="A17" s="8">
        <f>IF($G17="","","SS-"&amp;TEXT(ROW()-4,"0000"))</f>
        <v/>
      </c>
      <c r="B17" s="9" t="n"/>
      <c r="C17" s="9" t="n"/>
      <c r="D17" s="9" t="n"/>
      <c r="E17" s="10" t="n"/>
      <c r="F17" s="11" t="n"/>
      <c r="G17" s="12">
        <f>IF($F17="","",IF($F17&gt;31,$F17,IF($Y17="","",DATE(YEAR($Y17),MONTH($Y17),$F17))))</f>
        <v/>
      </c>
      <c r="H17" s="13" t="n"/>
      <c r="I17" s="11" t="n"/>
      <c r="J17" s="12">
        <f>IF($I17="","",IF($I17&gt;31,$I17,IF($G17="","",IF(DATE(YEAR($G17),MONTH($G17),$I17)&gt;=$G17,DATE(YEAR($G17),MONTH($G17),$I17),DATE(YEAR($G17),MONTH($G17)+1,$I17)))))</f>
        <v/>
      </c>
      <c r="K17" s="13" t="n"/>
      <c r="L17" s="8">
        <f>IF(OR($G17="",$J17=""),"",$J17-$G17+1)</f>
        <v/>
      </c>
      <c r="M17" s="8">
        <f>IF(OR($G17="",$J17=""),"",$J17-$G17)</f>
        <v/>
      </c>
      <c r="N17" s="9" t="n"/>
      <c r="O17" s="9" t="n"/>
      <c r="P17" s="9" t="n"/>
      <c r="Q17" s="9" t="n"/>
      <c r="R17" s="9" t="n"/>
      <c r="S17" s="9" t="n"/>
      <c r="T17" s="14" t="n"/>
      <c r="U17" s="9" t="n"/>
      <c r="V17" s="8">
        <f>IF($G17="","",IF($D17="","⚠部屋が未選択",IF(COUNTIF('M_部屋'!$A$4:$A$20,$D17)=0,"⚠部屋が未登録",IF(OR($J17="",$N17="キャンセル"),"",IF(SUMPRODUCT(($D$5:$D$204=$D17)*($G$5:$G$204&lt;&gt;"")*($J$5:$J$204&lt;&gt;"")*($N$5:$N$204&lt;&gt;"キャンセル")*($G$5:$G$204&lt;$J17)*($J$5:$J$204&gt;$G17))&gt;1,"⚠重複","")))))</f>
        <v/>
      </c>
      <c r="W17" s="8">
        <f>IF(OR($B17="",$G17=""),"",IF(SUMPRODUCT(('利用者マスタ'!$A$4:$A$60=$B17)*('利用者マスタ'!$B$4:$B$60&lt;&gt;""))=0,"",IF(SUMIFS($X$5:$X$204,$B$5:$B$204,$B17,$G$5:$G$204,"&gt;="&amp;DATE(YEAR($G17),MONTH($G17),1),$G$5:$G$204,"&lt;="&amp;EOMONTH($G17,0))&gt;SUMIFS('利用者マスタ'!$B$4:$B$60,'利用者マスタ'!$A$4:$A$60,$B17),"⚠支給量超過","")))</f>
        <v/>
      </c>
      <c r="X17" s="8">
        <f>IF(OR($G17="",$J17="",$N17="キャンセル"),0,IF(IFERROR(INDEX('M_区分'!$B$4:$B$20,MATCH($C17,'M_区分'!$A$4:$A$20,0)),"○")="○",$J17-$G17+1,0))</f>
        <v/>
      </c>
      <c r="Y17" s="8">
        <f>IF($E17&lt;&gt;"",$E17,$Y16)</f>
        <v/>
      </c>
      <c r="Z17" s="8">
        <f>IF(OR($G17="",$J17=""),"",IF(AND($G17&lt;=EOMONTH('02_カレンダー'!$B$4,0),$J17&gt;='02_カレンダー'!$B$4),$G17*10000+ROW(),""))</f>
        <v/>
      </c>
      <c r="AA17" s="8">
        <f>IF($H17="","",IF(ISNUMBER($H17),TEXT($H17,"hh:mm"),$H17))</f>
        <v/>
      </c>
      <c r="AB17" s="8">
        <f>IF($K17="","",IF(ISNUMBER($K17),TEXT($K17,"hh:mm"),$K17))</f>
        <v/>
      </c>
      <c r="AC17" s="8">
        <f>IF($G17="",0,$G17)</f>
        <v/>
      </c>
      <c r="AD17" s="8">
        <f>IF($J17="",0,$J17)</f>
        <v/>
      </c>
    </row>
    <row r="18">
      <c r="A18" s="8">
        <f>IF($G18="","","SS-"&amp;TEXT(ROW()-4,"0000"))</f>
        <v/>
      </c>
      <c r="B18" s="9" t="n"/>
      <c r="C18" s="9" t="n"/>
      <c r="D18" s="9" t="n"/>
      <c r="E18" s="10" t="n"/>
      <c r="F18" s="11" t="n"/>
      <c r="G18" s="12">
        <f>IF($F18="","",IF($F18&gt;31,$F18,IF($Y18="","",DATE(YEAR($Y18),MONTH($Y18),$F18))))</f>
        <v/>
      </c>
      <c r="H18" s="13" t="n"/>
      <c r="I18" s="11" t="n"/>
      <c r="J18" s="12">
        <f>IF($I18="","",IF($I18&gt;31,$I18,IF($G18="","",IF(DATE(YEAR($G18),MONTH($G18),$I18)&gt;=$G18,DATE(YEAR($G18),MONTH($G18),$I18),DATE(YEAR($G18),MONTH($G18)+1,$I18)))))</f>
        <v/>
      </c>
      <c r="K18" s="13" t="n"/>
      <c r="L18" s="8">
        <f>IF(OR($G18="",$J18=""),"",$J18-$G18+1)</f>
        <v/>
      </c>
      <c r="M18" s="8">
        <f>IF(OR($G18="",$J18=""),"",$J18-$G18)</f>
        <v/>
      </c>
      <c r="N18" s="9" t="n"/>
      <c r="O18" s="9" t="n"/>
      <c r="P18" s="9" t="n"/>
      <c r="Q18" s="9" t="n"/>
      <c r="R18" s="9" t="n"/>
      <c r="S18" s="9" t="n"/>
      <c r="T18" s="14" t="n"/>
      <c r="U18" s="9" t="n"/>
      <c r="V18" s="8">
        <f>IF($G18="","",IF($D18="","⚠部屋が未選択",IF(COUNTIF('M_部屋'!$A$4:$A$20,$D18)=0,"⚠部屋が未登録",IF(OR($J18="",$N18="キャンセル"),"",IF(SUMPRODUCT(($D$5:$D$204=$D18)*($G$5:$G$204&lt;&gt;"")*($J$5:$J$204&lt;&gt;"")*($N$5:$N$204&lt;&gt;"キャンセル")*($G$5:$G$204&lt;$J18)*($J$5:$J$204&gt;$G18))&gt;1,"⚠重複","")))))</f>
        <v/>
      </c>
      <c r="W18" s="8">
        <f>IF(OR($B18="",$G18=""),"",IF(SUMPRODUCT(('利用者マスタ'!$A$4:$A$60=$B18)*('利用者マスタ'!$B$4:$B$60&lt;&gt;""))=0,"",IF(SUMIFS($X$5:$X$204,$B$5:$B$204,$B18,$G$5:$G$204,"&gt;="&amp;DATE(YEAR($G18),MONTH($G18),1),$G$5:$G$204,"&lt;="&amp;EOMONTH($G18,0))&gt;SUMIFS('利用者マスタ'!$B$4:$B$60,'利用者マスタ'!$A$4:$A$60,$B18),"⚠支給量超過","")))</f>
        <v/>
      </c>
      <c r="X18" s="8">
        <f>IF(OR($G18="",$J18="",$N18="キャンセル"),0,IF(IFERROR(INDEX('M_区分'!$B$4:$B$20,MATCH($C18,'M_区分'!$A$4:$A$20,0)),"○")="○",$J18-$G18+1,0))</f>
        <v/>
      </c>
      <c r="Y18" s="8">
        <f>IF($E18&lt;&gt;"",$E18,$Y17)</f>
        <v/>
      </c>
      <c r="Z18" s="8">
        <f>IF(OR($G18="",$J18=""),"",IF(AND($G18&lt;=EOMONTH('02_カレンダー'!$B$4,0),$J18&gt;='02_カレンダー'!$B$4),$G18*10000+ROW(),""))</f>
        <v/>
      </c>
      <c r="AA18" s="8">
        <f>IF($H18="","",IF(ISNUMBER($H18),TEXT($H18,"hh:mm"),$H18))</f>
        <v/>
      </c>
      <c r="AB18" s="8">
        <f>IF($K18="","",IF(ISNUMBER($K18),TEXT($K18,"hh:mm"),$K18))</f>
        <v/>
      </c>
      <c r="AC18" s="8">
        <f>IF($G18="",0,$G18)</f>
        <v/>
      </c>
      <c r="AD18" s="8">
        <f>IF($J18="",0,$J18)</f>
        <v/>
      </c>
    </row>
    <row r="19">
      <c r="A19" s="8">
        <f>IF($G19="","","SS-"&amp;TEXT(ROW()-4,"0000"))</f>
        <v/>
      </c>
      <c r="B19" s="9" t="n"/>
      <c r="C19" s="9" t="n"/>
      <c r="D19" s="9" t="n"/>
      <c r="E19" s="10" t="n"/>
      <c r="F19" s="11" t="n"/>
      <c r="G19" s="12">
        <f>IF($F19="","",IF($F19&gt;31,$F19,IF($Y19="","",DATE(YEAR($Y19),MONTH($Y19),$F19))))</f>
        <v/>
      </c>
      <c r="H19" s="13" t="n"/>
      <c r="I19" s="11" t="n"/>
      <c r="J19" s="12">
        <f>IF($I19="","",IF($I19&gt;31,$I19,IF($G19="","",IF(DATE(YEAR($G19),MONTH($G19),$I19)&gt;=$G19,DATE(YEAR($G19),MONTH($G19),$I19),DATE(YEAR($G19),MONTH($G19)+1,$I19)))))</f>
        <v/>
      </c>
      <c r="K19" s="13" t="n"/>
      <c r="L19" s="8">
        <f>IF(OR($G19="",$J19=""),"",$J19-$G19+1)</f>
        <v/>
      </c>
      <c r="M19" s="8">
        <f>IF(OR($G19="",$J19=""),"",$J19-$G19)</f>
        <v/>
      </c>
      <c r="N19" s="9" t="n"/>
      <c r="O19" s="9" t="n"/>
      <c r="P19" s="9" t="n"/>
      <c r="Q19" s="9" t="n"/>
      <c r="R19" s="9" t="n"/>
      <c r="S19" s="9" t="n"/>
      <c r="T19" s="14" t="n"/>
      <c r="U19" s="9" t="n"/>
      <c r="V19" s="8">
        <f>IF($G19="","",IF($D19="","⚠部屋が未選択",IF(COUNTIF('M_部屋'!$A$4:$A$20,$D19)=0,"⚠部屋が未登録",IF(OR($J19="",$N19="キャンセル"),"",IF(SUMPRODUCT(($D$5:$D$204=$D19)*($G$5:$G$204&lt;&gt;"")*($J$5:$J$204&lt;&gt;"")*($N$5:$N$204&lt;&gt;"キャンセル")*($G$5:$G$204&lt;$J19)*($J$5:$J$204&gt;$G19))&gt;1,"⚠重複","")))))</f>
        <v/>
      </c>
      <c r="W19" s="8">
        <f>IF(OR($B19="",$G19=""),"",IF(SUMPRODUCT(('利用者マスタ'!$A$4:$A$60=$B19)*('利用者マスタ'!$B$4:$B$60&lt;&gt;""))=0,"",IF(SUMIFS($X$5:$X$204,$B$5:$B$204,$B19,$G$5:$G$204,"&gt;="&amp;DATE(YEAR($G19),MONTH($G19),1),$G$5:$G$204,"&lt;="&amp;EOMONTH($G19,0))&gt;SUMIFS('利用者マスタ'!$B$4:$B$60,'利用者マスタ'!$A$4:$A$60,$B19),"⚠支給量超過","")))</f>
        <v/>
      </c>
      <c r="X19" s="8">
        <f>IF(OR($G19="",$J19="",$N19="キャンセル"),0,IF(IFERROR(INDEX('M_区分'!$B$4:$B$20,MATCH($C19,'M_区分'!$A$4:$A$20,0)),"○")="○",$J19-$G19+1,0))</f>
        <v/>
      </c>
      <c r="Y19" s="8">
        <f>IF($E19&lt;&gt;"",$E19,$Y18)</f>
        <v/>
      </c>
      <c r="Z19" s="8">
        <f>IF(OR($G19="",$J19=""),"",IF(AND($G19&lt;=EOMONTH('02_カレンダー'!$B$4,0),$J19&gt;='02_カレンダー'!$B$4),$G19*10000+ROW(),""))</f>
        <v/>
      </c>
      <c r="AA19" s="8">
        <f>IF($H19="","",IF(ISNUMBER($H19),TEXT($H19,"hh:mm"),$H19))</f>
        <v/>
      </c>
      <c r="AB19" s="8">
        <f>IF($K19="","",IF(ISNUMBER($K19),TEXT($K19,"hh:mm"),$K19))</f>
        <v/>
      </c>
      <c r="AC19" s="8">
        <f>IF($G19="",0,$G19)</f>
        <v/>
      </c>
      <c r="AD19" s="8">
        <f>IF($J19="",0,$J19)</f>
        <v/>
      </c>
    </row>
    <row r="20">
      <c r="A20" s="8">
        <f>IF($G20="","","SS-"&amp;TEXT(ROW()-4,"0000"))</f>
        <v/>
      </c>
      <c r="B20" s="9" t="n"/>
      <c r="C20" s="9" t="n"/>
      <c r="D20" s="9" t="n"/>
      <c r="E20" s="10" t="n"/>
      <c r="F20" s="11" t="n"/>
      <c r="G20" s="12">
        <f>IF($F20="","",IF($F20&gt;31,$F20,IF($Y20="","",DATE(YEAR($Y20),MONTH($Y20),$F20))))</f>
        <v/>
      </c>
      <c r="H20" s="13" t="n"/>
      <c r="I20" s="11" t="n"/>
      <c r="J20" s="12">
        <f>IF($I20="","",IF($I20&gt;31,$I20,IF($G20="","",IF(DATE(YEAR($G20),MONTH($G20),$I20)&gt;=$G20,DATE(YEAR($G20),MONTH($G20),$I20),DATE(YEAR($G20),MONTH($G20)+1,$I20)))))</f>
        <v/>
      </c>
      <c r="K20" s="13" t="n"/>
      <c r="L20" s="8">
        <f>IF(OR($G20="",$J20=""),"",$J20-$G20+1)</f>
        <v/>
      </c>
      <c r="M20" s="8">
        <f>IF(OR($G20="",$J20=""),"",$J20-$G20)</f>
        <v/>
      </c>
      <c r="N20" s="9" t="n"/>
      <c r="O20" s="9" t="n"/>
      <c r="P20" s="9" t="n"/>
      <c r="Q20" s="9" t="n"/>
      <c r="R20" s="9" t="n"/>
      <c r="S20" s="9" t="n"/>
      <c r="T20" s="14" t="n"/>
      <c r="U20" s="9" t="n"/>
      <c r="V20" s="8">
        <f>IF($G20="","",IF($D20="","⚠部屋が未選択",IF(COUNTIF('M_部屋'!$A$4:$A$20,$D20)=0,"⚠部屋が未登録",IF(OR($J20="",$N20="キャンセル"),"",IF(SUMPRODUCT(($D$5:$D$204=$D20)*($G$5:$G$204&lt;&gt;"")*($J$5:$J$204&lt;&gt;"")*($N$5:$N$204&lt;&gt;"キャンセル")*($G$5:$G$204&lt;$J20)*($J$5:$J$204&gt;$G20))&gt;1,"⚠重複","")))))</f>
        <v/>
      </c>
      <c r="W20" s="8">
        <f>IF(OR($B20="",$G20=""),"",IF(SUMPRODUCT(('利用者マスタ'!$A$4:$A$60=$B20)*('利用者マスタ'!$B$4:$B$60&lt;&gt;""))=0,"",IF(SUMIFS($X$5:$X$204,$B$5:$B$204,$B20,$G$5:$G$204,"&gt;="&amp;DATE(YEAR($G20),MONTH($G20),1),$G$5:$G$204,"&lt;="&amp;EOMONTH($G20,0))&gt;SUMIFS('利用者マスタ'!$B$4:$B$60,'利用者マスタ'!$A$4:$A$60,$B20),"⚠支給量超過","")))</f>
        <v/>
      </c>
      <c r="X20" s="8">
        <f>IF(OR($G20="",$J20="",$N20="キャンセル"),0,IF(IFERROR(INDEX('M_区分'!$B$4:$B$20,MATCH($C20,'M_区分'!$A$4:$A$20,0)),"○")="○",$J20-$G20+1,0))</f>
        <v/>
      </c>
      <c r="Y20" s="8">
        <f>IF($E20&lt;&gt;"",$E20,$Y19)</f>
        <v/>
      </c>
      <c r="Z20" s="8">
        <f>IF(OR($G20="",$J20=""),"",IF(AND($G20&lt;=EOMONTH('02_カレンダー'!$B$4,0),$J20&gt;='02_カレンダー'!$B$4),$G20*10000+ROW(),""))</f>
        <v/>
      </c>
      <c r="AA20" s="8">
        <f>IF($H20="","",IF(ISNUMBER($H20),TEXT($H20,"hh:mm"),$H20))</f>
        <v/>
      </c>
      <c r="AB20" s="8">
        <f>IF($K20="","",IF(ISNUMBER($K20),TEXT($K20,"hh:mm"),$K20))</f>
        <v/>
      </c>
      <c r="AC20" s="8">
        <f>IF($G20="",0,$G20)</f>
        <v/>
      </c>
      <c r="AD20" s="8">
        <f>IF($J20="",0,$J20)</f>
        <v/>
      </c>
    </row>
    <row r="21">
      <c r="A21" s="8">
        <f>IF($G21="","","SS-"&amp;TEXT(ROW()-4,"0000"))</f>
        <v/>
      </c>
      <c r="B21" s="9" t="n"/>
      <c r="C21" s="9" t="n"/>
      <c r="D21" s="9" t="n"/>
      <c r="E21" s="10" t="n"/>
      <c r="F21" s="11" t="n"/>
      <c r="G21" s="12">
        <f>IF($F21="","",IF($F21&gt;31,$F21,IF($Y21="","",DATE(YEAR($Y21),MONTH($Y21),$F21))))</f>
        <v/>
      </c>
      <c r="H21" s="13" t="n"/>
      <c r="I21" s="11" t="n"/>
      <c r="J21" s="12">
        <f>IF($I21="","",IF($I21&gt;31,$I21,IF($G21="","",IF(DATE(YEAR($G21),MONTH($G21),$I21)&gt;=$G21,DATE(YEAR($G21),MONTH($G21),$I21),DATE(YEAR($G21),MONTH($G21)+1,$I21)))))</f>
        <v/>
      </c>
      <c r="K21" s="13" t="n"/>
      <c r="L21" s="8">
        <f>IF(OR($G21="",$J21=""),"",$J21-$G21+1)</f>
        <v/>
      </c>
      <c r="M21" s="8">
        <f>IF(OR($G21="",$J21=""),"",$J21-$G21)</f>
        <v/>
      </c>
      <c r="N21" s="9" t="n"/>
      <c r="O21" s="9" t="n"/>
      <c r="P21" s="9" t="n"/>
      <c r="Q21" s="9" t="n"/>
      <c r="R21" s="9" t="n"/>
      <c r="S21" s="9" t="n"/>
      <c r="T21" s="14" t="n"/>
      <c r="U21" s="9" t="n"/>
      <c r="V21" s="8">
        <f>IF($G21="","",IF($D21="","⚠部屋が未選択",IF(COUNTIF('M_部屋'!$A$4:$A$20,$D21)=0,"⚠部屋が未登録",IF(OR($J21="",$N21="キャンセル"),"",IF(SUMPRODUCT(($D$5:$D$204=$D21)*($G$5:$G$204&lt;&gt;"")*($J$5:$J$204&lt;&gt;"")*($N$5:$N$204&lt;&gt;"キャンセル")*($G$5:$G$204&lt;$J21)*($J$5:$J$204&gt;$G21))&gt;1,"⚠重複","")))))</f>
        <v/>
      </c>
      <c r="W21" s="8">
        <f>IF(OR($B21="",$G21=""),"",IF(SUMPRODUCT(('利用者マスタ'!$A$4:$A$60=$B21)*('利用者マスタ'!$B$4:$B$60&lt;&gt;""))=0,"",IF(SUMIFS($X$5:$X$204,$B$5:$B$204,$B21,$G$5:$G$204,"&gt;="&amp;DATE(YEAR($G21),MONTH($G21),1),$G$5:$G$204,"&lt;="&amp;EOMONTH($G21,0))&gt;SUMIFS('利用者マスタ'!$B$4:$B$60,'利用者マスタ'!$A$4:$A$60,$B21),"⚠支給量超過","")))</f>
        <v/>
      </c>
      <c r="X21" s="8">
        <f>IF(OR($G21="",$J21="",$N21="キャンセル"),0,IF(IFERROR(INDEX('M_区分'!$B$4:$B$20,MATCH($C21,'M_区分'!$A$4:$A$20,0)),"○")="○",$J21-$G21+1,0))</f>
        <v/>
      </c>
      <c r="Y21" s="8">
        <f>IF($E21&lt;&gt;"",$E21,$Y20)</f>
        <v/>
      </c>
      <c r="Z21" s="8">
        <f>IF(OR($G21="",$J21=""),"",IF(AND($G21&lt;=EOMONTH('02_カレンダー'!$B$4,0),$J21&gt;='02_カレンダー'!$B$4),$G21*10000+ROW(),""))</f>
        <v/>
      </c>
      <c r="AA21" s="8">
        <f>IF($H21="","",IF(ISNUMBER($H21),TEXT($H21,"hh:mm"),$H21))</f>
        <v/>
      </c>
      <c r="AB21" s="8">
        <f>IF($K21="","",IF(ISNUMBER($K21),TEXT($K21,"hh:mm"),$K21))</f>
        <v/>
      </c>
      <c r="AC21" s="8">
        <f>IF($G21="",0,$G21)</f>
        <v/>
      </c>
      <c r="AD21" s="8">
        <f>IF($J21="",0,$J21)</f>
        <v/>
      </c>
    </row>
    <row r="22">
      <c r="A22" s="8">
        <f>IF($G22="","","SS-"&amp;TEXT(ROW()-4,"0000"))</f>
        <v/>
      </c>
      <c r="B22" s="9" t="n"/>
      <c r="C22" s="9" t="n"/>
      <c r="D22" s="9" t="n"/>
      <c r="E22" s="10" t="n"/>
      <c r="F22" s="11" t="n"/>
      <c r="G22" s="12">
        <f>IF($F22="","",IF($F22&gt;31,$F22,IF($Y22="","",DATE(YEAR($Y22),MONTH($Y22),$F22))))</f>
        <v/>
      </c>
      <c r="H22" s="13" t="n"/>
      <c r="I22" s="11" t="n"/>
      <c r="J22" s="12">
        <f>IF($I22="","",IF($I22&gt;31,$I22,IF($G22="","",IF(DATE(YEAR($G22),MONTH($G22),$I22)&gt;=$G22,DATE(YEAR($G22),MONTH($G22),$I22),DATE(YEAR($G22),MONTH($G22)+1,$I22)))))</f>
        <v/>
      </c>
      <c r="K22" s="13" t="n"/>
      <c r="L22" s="8">
        <f>IF(OR($G22="",$J22=""),"",$J22-$G22+1)</f>
        <v/>
      </c>
      <c r="M22" s="8">
        <f>IF(OR($G22="",$J22=""),"",$J22-$G22)</f>
        <v/>
      </c>
      <c r="N22" s="9" t="n"/>
      <c r="O22" s="9" t="n"/>
      <c r="P22" s="9" t="n"/>
      <c r="Q22" s="9" t="n"/>
      <c r="R22" s="9" t="n"/>
      <c r="S22" s="9" t="n"/>
      <c r="T22" s="14" t="n"/>
      <c r="U22" s="9" t="n"/>
      <c r="V22" s="8">
        <f>IF($G22="","",IF($D22="","⚠部屋が未選択",IF(COUNTIF('M_部屋'!$A$4:$A$20,$D22)=0,"⚠部屋が未登録",IF(OR($J22="",$N22="キャンセル"),"",IF(SUMPRODUCT(($D$5:$D$204=$D22)*($G$5:$G$204&lt;&gt;"")*($J$5:$J$204&lt;&gt;"")*($N$5:$N$204&lt;&gt;"キャンセル")*($G$5:$G$204&lt;$J22)*($J$5:$J$204&gt;$G22))&gt;1,"⚠重複","")))))</f>
        <v/>
      </c>
      <c r="W22" s="8">
        <f>IF(OR($B22="",$G22=""),"",IF(SUMPRODUCT(('利用者マスタ'!$A$4:$A$60=$B22)*('利用者マスタ'!$B$4:$B$60&lt;&gt;""))=0,"",IF(SUMIFS($X$5:$X$204,$B$5:$B$204,$B22,$G$5:$G$204,"&gt;="&amp;DATE(YEAR($G22),MONTH($G22),1),$G$5:$G$204,"&lt;="&amp;EOMONTH($G22,0))&gt;SUMIFS('利用者マスタ'!$B$4:$B$60,'利用者マスタ'!$A$4:$A$60,$B22),"⚠支給量超過","")))</f>
        <v/>
      </c>
      <c r="X22" s="8">
        <f>IF(OR($G22="",$J22="",$N22="キャンセル"),0,IF(IFERROR(INDEX('M_区分'!$B$4:$B$20,MATCH($C22,'M_区分'!$A$4:$A$20,0)),"○")="○",$J22-$G22+1,0))</f>
        <v/>
      </c>
      <c r="Y22" s="8">
        <f>IF($E22&lt;&gt;"",$E22,$Y21)</f>
        <v/>
      </c>
      <c r="Z22" s="8">
        <f>IF(OR($G22="",$J22=""),"",IF(AND($G22&lt;=EOMONTH('02_カレンダー'!$B$4,0),$J22&gt;='02_カレンダー'!$B$4),$G22*10000+ROW(),""))</f>
        <v/>
      </c>
      <c r="AA22" s="8">
        <f>IF($H22="","",IF(ISNUMBER($H22),TEXT($H22,"hh:mm"),$H22))</f>
        <v/>
      </c>
      <c r="AB22" s="8">
        <f>IF($K22="","",IF(ISNUMBER($K22),TEXT($K22,"hh:mm"),$K22))</f>
        <v/>
      </c>
      <c r="AC22" s="8">
        <f>IF($G22="",0,$G22)</f>
        <v/>
      </c>
      <c r="AD22" s="8">
        <f>IF($J22="",0,$J22)</f>
        <v/>
      </c>
    </row>
    <row r="23">
      <c r="A23" s="8">
        <f>IF($G23="","","SS-"&amp;TEXT(ROW()-4,"0000"))</f>
        <v/>
      </c>
      <c r="B23" s="9" t="n"/>
      <c r="C23" s="9" t="n"/>
      <c r="D23" s="9" t="n"/>
      <c r="E23" s="10" t="n"/>
      <c r="F23" s="11" t="n"/>
      <c r="G23" s="12">
        <f>IF($F23="","",IF($F23&gt;31,$F23,IF($Y23="","",DATE(YEAR($Y23),MONTH($Y23),$F23))))</f>
        <v/>
      </c>
      <c r="H23" s="13" t="n"/>
      <c r="I23" s="11" t="n"/>
      <c r="J23" s="12">
        <f>IF($I23="","",IF($I23&gt;31,$I23,IF($G23="","",IF(DATE(YEAR($G23),MONTH($G23),$I23)&gt;=$G23,DATE(YEAR($G23),MONTH($G23),$I23),DATE(YEAR($G23),MONTH($G23)+1,$I23)))))</f>
        <v/>
      </c>
      <c r="K23" s="13" t="n"/>
      <c r="L23" s="8">
        <f>IF(OR($G23="",$J23=""),"",$J23-$G23+1)</f>
        <v/>
      </c>
      <c r="M23" s="8">
        <f>IF(OR($G23="",$J23=""),"",$J23-$G23)</f>
        <v/>
      </c>
      <c r="N23" s="9" t="n"/>
      <c r="O23" s="9" t="n"/>
      <c r="P23" s="9" t="n"/>
      <c r="Q23" s="9" t="n"/>
      <c r="R23" s="9" t="n"/>
      <c r="S23" s="9" t="n"/>
      <c r="T23" s="14" t="n"/>
      <c r="U23" s="9" t="n"/>
      <c r="V23" s="8">
        <f>IF($G23="","",IF($D23="","⚠部屋が未選択",IF(COUNTIF('M_部屋'!$A$4:$A$20,$D23)=0,"⚠部屋が未登録",IF(OR($J23="",$N23="キャンセル"),"",IF(SUMPRODUCT(($D$5:$D$204=$D23)*($G$5:$G$204&lt;&gt;"")*($J$5:$J$204&lt;&gt;"")*($N$5:$N$204&lt;&gt;"キャンセル")*($G$5:$G$204&lt;$J23)*($J$5:$J$204&gt;$G23))&gt;1,"⚠重複","")))))</f>
        <v/>
      </c>
      <c r="W23" s="8">
        <f>IF(OR($B23="",$G23=""),"",IF(SUMPRODUCT(('利用者マスタ'!$A$4:$A$60=$B23)*('利用者マスタ'!$B$4:$B$60&lt;&gt;""))=0,"",IF(SUMIFS($X$5:$X$204,$B$5:$B$204,$B23,$G$5:$G$204,"&gt;="&amp;DATE(YEAR($G23),MONTH($G23),1),$G$5:$G$204,"&lt;="&amp;EOMONTH($G23,0))&gt;SUMIFS('利用者マスタ'!$B$4:$B$60,'利用者マスタ'!$A$4:$A$60,$B23),"⚠支給量超過","")))</f>
        <v/>
      </c>
      <c r="X23" s="8">
        <f>IF(OR($G23="",$J23="",$N23="キャンセル"),0,IF(IFERROR(INDEX('M_区分'!$B$4:$B$20,MATCH($C23,'M_区分'!$A$4:$A$20,0)),"○")="○",$J23-$G23+1,0))</f>
        <v/>
      </c>
      <c r="Y23" s="8">
        <f>IF($E23&lt;&gt;"",$E23,$Y22)</f>
        <v/>
      </c>
      <c r="Z23" s="8">
        <f>IF(OR($G23="",$J23=""),"",IF(AND($G23&lt;=EOMONTH('02_カレンダー'!$B$4,0),$J23&gt;='02_カレンダー'!$B$4),$G23*10000+ROW(),""))</f>
        <v/>
      </c>
      <c r="AA23" s="8">
        <f>IF($H23="","",IF(ISNUMBER($H23),TEXT($H23,"hh:mm"),$H23))</f>
        <v/>
      </c>
      <c r="AB23" s="8">
        <f>IF($K23="","",IF(ISNUMBER($K23),TEXT($K23,"hh:mm"),$K23))</f>
        <v/>
      </c>
      <c r="AC23" s="8">
        <f>IF($G23="",0,$G23)</f>
        <v/>
      </c>
      <c r="AD23" s="8">
        <f>IF($J23="",0,$J23)</f>
        <v/>
      </c>
    </row>
    <row r="24">
      <c r="A24" s="8">
        <f>IF($G24="","","SS-"&amp;TEXT(ROW()-4,"0000"))</f>
        <v/>
      </c>
      <c r="B24" s="9" t="n"/>
      <c r="C24" s="9" t="n"/>
      <c r="D24" s="9" t="n"/>
      <c r="E24" s="10" t="n"/>
      <c r="F24" s="11" t="n"/>
      <c r="G24" s="12">
        <f>IF($F24="","",IF($F24&gt;31,$F24,IF($Y24="","",DATE(YEAR($Y24),MONTH($Y24),$F24))))</f>
        <v/>
      </c>
      <c r="H24" s="13" t="n"/>
      <c r="I24" s="11" t="n"/>
      <c r="J24" s="12">
        <f>IF($I24="","",IF($I24&gt;31,$I24,IF($G24="","",IF(DATE(YEAR($G24),MONTH($G24),$I24)&gt;=$G24,DATE(YEAR($G24),MONTH($G24),$I24),DATE(YEAR($G24),MONTH($G24)+1,$I24)))))</f>
        <v/>
      </c>
      <c r="K24" s="13" t="n"/>
      <c r="L24" s="8">
        <f>IF(OR($G24="",$J24=""),"",$J24-$G24+1)</f>
        <v/>
      </c>
      <c r="M24" s="8">
        <f>IF(OR($G24="",$J24=""),"",$J24-$G24)</f>
        <v/>
      </c>
      <c r="N24" s="9" t="n"/>
      <c r="O24" s="9" t="n"/>
      <c r="P24" s="9" t="n"/>
      <c r="Q24" s="9" t="n"/>
      <c r="R24" s="9" t="n"/>
      <c r="S24" s="9" t="n"/>
      <c r="T24" s="14" t="n"/>
      <c r="U24" s="9" t="n"/>
      <c r="V24" s="8">
        <f>IF($G24="","",IF($D24="","⚠部屋が未選択",IF(COUNTIF('M_部屋'!$A$4:$A$20,$D24)=0,"⚠部屋が未登録",IF(OR($J24="",$N24="キャンセル"),"",IF(SUMPRODUCT(($D$5:$D$204=$D24)*($G$5:$G$204&lt;&gt;"")*($J$5:$J$204&lt;&gt;"")*($N$5:$N$204&lt;&gt;"キャンセル")*($G$5:$G$204&lt;$J24)*($J$5:$J$204&gt;$G24))&gt;1,"⚠重複","")))))</f>
        <v/>
      </c>
      <c r="W24" s="8">
        <f>IF(OR($B24="",$G24=""),"",IF(SUMPRODUCT(('利用者マスタ'!$A$4:$A$60=$B24)*('利用者マスタ'!$B$4:$B$60&lt;&gt;""))=0,"",IF(SUMIFS($X$5:$X$204,$B$5:$B$204,$B24,$G$5:$G$204,"&gt;="&amp;DATE(YEAR($G24),MONTH($G24),1),$G$5:$G$204,"&lt;="&amp;EOMONTH($G24,0))&gt;SUMIFS('利用者マスタ'!$B$4:$B$60,'利用者マスタ'!$A$4:$A$60,$B24),"⚠支給量超過","")))</f>
        <v/>
      </c>
      <c r="X24" s="8">
        <f>IF(OR($G24="",$J24="",$N24="キャンセル"),0,IF(IFERROR(INDEX('M_区分'!$B$4:$B$20,MATCH($C24,'M_区分'!$A$4:$A$20,0)),"○")="○",$J24-$G24+1,0))</f>
        <v/>
      </c>
      <c r="Y24" s="8">
        <f>IF($E24&lt;&gt;"",$E24,$Y23)</f>
        <v/>
      </c>
      <c r="Z24" s="8">
        <f>IF(OR($G24="",$J24=""),"",IF(AND($G24&lt;=EOMONTH('02_カレンダー'!$B$4,0),$J24&gt;='02_カレンダー'!$B$4),$G24*10000+ROW(),""))</f>
        <v/>
      </c>
      <c r="AA24" s="8">
        <f>IF($H24="","",IF(ISNUMBER($H24),TEXT($H24,"hh:mm"),$H24))</f>
        <v/>
      </c>
      <c r="AB24" s="8">
        <f>IF($K24="","",IF(ISNUMBER($K24),TEXT($K24,"hh:mm"),$K24))</f>
        <v/>
      </c>
      <c r="AC24" s="8">
        <f>IF($G24="",0,$G24)</f>
        <v/>
      </c>
      <c r="AD24" s="8">
        <f>IF($J24="",0,$J24)</f>
        <v/>
      </c>
    </row>
    <row r="25">
      <c r="A25" s="8">
        <f>IF($G25="","","SS-"&amp;TEXT(ROW()-4,"0000"))</f>
        <v/>
      </c>
      <c r="B25" s="9" t="n"/>
      <c r="C25" s="9" t="n"/>
      <c r="D25" s="9" t="n"/>
      <c r="E25" s="10" t="n"/>
      <c r="F25" s="11" t="n"/>
      <c r="G25" s="12">
        <f>IF($F25="","",IF($F25&gt;31,$F25,IF($Y25="","",DATE(YEAR($Y25),MONTH($Y25),$F25))))</f>
        <v/>
      </c>
      <c r="H25" s="13" t="n"/>
      <c r="I25" s="11" t="n"/>
      <c r="J25" s="12">
        <f>IF($I25="","",IF($I25&gt;31,$I25,IF($G25="","",IF(DATE(YEAR($G25),MONTH($G25),$I25)&gt;=$G25,DATE(YEAR($G25),MONTH($G25),$I25),DATE(YEAR($G25),MONTH($G25)+1,$I25)))))</f>
        <v/>
      </c>
      <c r="K25" s="13" t="n"/>
      <c r="L25" s="8">
        <f>IF(OR($G25="",$J25=""),"",$J25-$G25+1)</f>
        <v/>
      </c>
      <c r="M25" s="8">
        <f>IF(OR($G25="",$J25=""),"",$J25-$G25)</f>
        <v/>
      </c>
      <c r="N25" s="9" t="n"/>
      <c r="O25" s="9" t="n"/>
      <c r="P25" s="9" t="n"/>
      <c r="Q25" s="9" t="n"/>
      <c r="R25" s="9" t="n"/>
      <c r="S25" s="9" t="n"/>
      <c r="T25" s="14" t="n"/>
      <c r="U25" s="9" t="n"/>
      <c r="V25" s="8">
        <f>IF($G25="","",IF($D25="","⚠部屋が未選択",IF(COUNTIF('M_部屋'!$A$4:$A$20,$D25)=0,"⚠部屋が未登録",IF(OR($J25="",$N25="キャンセル"),"",IF(SUMPRODUCT(($D$5:$D$204=$D25)*($G$5:$G$204&lt;&gt;"")*($J$5:$J$204&lt;&gt;"")*($N$5:$N$204&lt;&gt;"キャンセル")*($G$5:$G$204&lt;$J25)*($J$5:$J$204&gt;$G25))&gt;1,"⚠重複","")))))</f>
        <v/>
      </c>
      <c r="W25" s="8">
        <f>IF(OR($B25="",$G25=""),"",IF(SUMPRODUCT(('利用者マスタ'!$A$4:$A$60=$B25)*('利用者マスタ'!$B$4:$B$60&lt;&gt;""))=0,"",IF(SUMIFS($X$5:$X$204,$B$5:$B$204,$B25,$G$5:$G$204,"&gt;="&amp;DATE(YEAR($G25),MONTH($G25),1),$G$5:$G$204,"&lt;="&amp;EOMONTH($G25,0))&gt;SUMIFS('利用者マスタ'!$B$4:$B$60,'利用者マスタ'!$A$4:$A$60,$B25),"⚠支給量超過","")))</f>
        <v/>
      </c>
      <c r="X25" s="8">
        <f>IF(OR($G25="",$J25="",$N25="キャンセル"),0,IF(IFERROR(INDEX('M_区分'!$B$4:$B$20,MATCH($C25,'M_区分'!$A$4:$A$20,0)),"○")="○",$J25-$G25+1,0))</f>
        <v/>
      </c>
      <c r="Y25" s="8">
        <f>IF($E25&lt;&gt;"",$E25,$Y24)</f>
        <v/>
      </c>
      <c r="Z25" s="8">
        <f>IF(OR($G25="",$J25=""),"",IF(AND($G25&lt;=EOMONTH('02_カレンダー'!$B$4,0),$J25&gt;='02_カレンダー'!$B$4),$G25*10000+ROW(),""))</f>
        <v/>
      </c>
      <c r="AA25" s="8">
        <f>IF($H25="","",IF(ISNUMBER($H25),TEXT($H25,"hh:mm"),$H25))</f>
        <v/>
      </c>
      <c r="AB25" s="8">
        <f>IF($K25="","",IF(ISNUMBER($K25),TEXT($K25,"hh:mm"),$K25))</f>
        <v/>
      </c>
      <c r="AC25" s="8">
        <f>IF($G25="",0,$G25)</f>
        <v/>
      </c>
      <c r="AD25" s="8">
        <f>IF($J25="",0,$J25)</f>
        <v/>
      </c>
    </row>
    <row r="26">
      <c r="A26" s="8">
        <f>IF($G26="","","SS-"&amp;TEXT(ROW()-4,"0000"))</f>
        <v/>
      </c>
      <c r="B26" s="9" t="n"/>
      <c r="C26" s="9" t="n"/>
      <c r="D26" s="9" t="n"/>
      <c r="E26" s="10" t="n"/>
      <c r="F26" s="11" t="n"/>
      <c r="G26" s="12">
        <f>IF($F26="","",IF($F26&gt;31,$F26,IF($Y26="","",DATE(YEAR($Y26),MONTH($Y26),$F26))))</f>
        <v/>
      </c>
      <c r="H26" s="13" t="n"/>
      <c r="I26" s="11" t="n"/>
      <c r="J26" s="12">
        <f>IF($I26="","",IF($I26&gt;31,$I26,IF($G26="","",IF(DATE(YEAR($G26),MONTH($G26),$I26)&gt;=$G26,DATE(YEAR($G26),MONTH($G26),$I26),DATE(YEAR($G26),MONTH($G26)+1,$I26)))))</f>
        <v/>
      </c>
      <c r="K26" s="13" t="n"/>
      <c r="L26" s="8">
        <f>IF(OR($G26="",$J26=""),"",$J26-$G26+1)</f>
        <v/>
      </c>
      <c r="M26" s="8">
        <f>IF(OR($G26="",$J26=""),"",$J26-$G26)</f>
        <v/>
      </c>
      <c r="N26" s="9" t="n"/>
      <c r="O26" s="9" t="n"/>
      <c r="P26" s="9" t="n"/>
      <c r="Q26" s="9" t="n"/>
      <c r="R26" s="9" t="n"/>
      <c r="S26" s="9" t="n"/>
      <c r="T26" s="14" t="n"/>
      <c r="U26" s="9" t="n"/>
      <c r="V26" s="8">
        <f>IF($G26="","",IF($D26="","⚠部屋が未選択",IF(COUNTIF('M_部屋'!$A$4:$A$20,$D26)=0,"⚠部屋が未登録",IF(OR($J26="",$N26="キャンセル"),"",IF(SUMPRODUCT(($D$5:$D$204=$D26)*($G$5:$G$204&lt;&gt;"")*($J$5:$J$204&lt;&gt;"")*($N$5:$N$204&lt;&gt;"キャンセル")*($G$5:$G$204&lt;$J26)*($J$5:$J$204&gt;$G26))&gt;1,"⚠重複","")))))</f>
        <v/>
      </c>
      <c r="W26" s="8">
        <f>IF(OR($B26="",$G26=""),"",IF(SUMPRODUCT(('利用者マスタ'!$A$4:$A$60=$B26)*('利用者マスタ'!$B$4:$B$60&lt;&gt;""))=0,"",IF(SUMIFS($X$5:$X$204,$B$5:$B$204,$B26,$G$5:$G$204,"&gt;="&amp;DATE(YEAR($G26),MONTH($G26),1),$G$5:$G$204,"&lt;="&amp;EOMONTH($G26,0))&gt;SUMIFS('利用者マスタ'!$B$4:$B$60,'利用者マスタ'!$A$4:$A$60,$B26),"⚠支給量超過","")))</f>
        <v/>
      </c>
      <c r="X26" s="8">
        <f>IF(OR($G26="",$J26="",$N26="キャンセル"),0,IF(IFERROR(INDEX('M_区分'!$B$4:$B$20,MATCH($C26,'M_区分'!$A$4:$A$20,0)),"○")="○",$J26-$G26+1,0))</f>
        <v/>
      </c>
      <c r="Y26" s="8">
        <f>IF($E26&lt;&gt;"",$E26,$Y25)</f>
        <v/>
      </c>
      <c r="Z26" s="8">
        <f>IF(OR($G26="",$J26=""),"",IF(AND($G26&lt;=EOMONTH('02_カレンダー'!$B$4,0),$J26&gt;='02_カレンダー'!$B$4),$G26*10000+ROW(),""))</f>
        <v/>
      </c>
      <c r="AA26" s="8">
        <f>IF($H26="","",IF(ISNUMBER($H26),TEXT($H26,"hh:mm"),$H26))</f>
        <v/>
      </c>
      <c r="AB26" s="8">
        <f>IF($K26="","",IF(ISNUMBER($K26),TEXT($K26,"hh:mm"),$K26))</f>
        <v/>
      </c>
      <c r="AC26" s="8">
        <f>IF($G26="",0,$G26)</f>
        <v/>
      </c>
      <c r="AD26" s="8">
        <f>IF($J26="",0,$J26)</f>
        <v/>
      </c>
    </row>
    <row r="27">
      <c r="A27" s="8">
        <f>IF($G27="","","SS-"&amp;TEXT(ROW()-4,"0000"))</f>
        <v/>
      </c>
      <c r="B27" s="9" t="n"/>
      <c r="C27" s="9" t="n"/>
      <c r="D27" s="9" t="n"/>
      <c r="E27" s="10" t="n"/>
      <c r="F27" s="11" t="n"/>
      <c r="G27" s="12">
        <f>IF($F27="","",IF($F27&gt;31,$F27,IF($Y27="","",DATE(YEAR($Y27),MONTH($Y27),$F27))))</f>
        <v/>
      </c>
      <c r="H27" s="13" t="n"/>
      <c r="I27" s="11" t="n"/>
      <c r="J27" s="12">
        <f>IF($I27="","",IF($I27&gt;31,$I27,IF($G27="","",IF(DATE(YEAR($G27),MONTH($G27),$I27)&gt;=$G27,DATE(YEAR($G27),MONTH($G27),$I27),DATE(YEAR($G27),MONTH($G27)+1,$I27)))))</f>
        <v/>
      </c>
      <c r="K27" s="13" t="n"/>
      <c r="L27" s="8">
        <f>IF(OR($G27="",$J27=""),"",$J27-$G27+1)</f>
        <v/>
      </c>
      <c r="M27" s="8">
        <f>IF(OR($G27="",$J27=""),"",$J27-$G27)</f>
        <v/>
      </c>
      <c r="N27" s="9" t="n"/>
      <c r="O27" s="9" t="n"/>
      <c r="P27" s="9" t="n"/>
      <c r="Q27" s="9" t="n"/>
      <c r="R27" s="9" t="n"/>
      <c r="S27" s="9" t="n"/>
      <c r="T27" s="14" t="n"/>
      <c r="U27" s="9" t="n"/>
      <c r="V27" s="8">
        <f>IF($G27="","",IF($D27="","⚠部屋が未選択",IF(COUNTIF('M_部屋'!$A$4:$A$20,$D27)=0,"⚠部屋が未登録",IF(OR($J27="",$N27="キャンセル"),"",IF(SUMPRODUCT(($D$5:$D$204=$D27)*($G$5:$G$204&lt;&gt;"")*($J$5:$J$204&lt;&gt;"")*($N$5:$N$204&lt;&gt;"キャンセル")*($G$5:$G$204&lt;$J27)*($J$5:$J$204&gt;$G27))&gt;1,"⚠重複","")))))</f>
        <v/>
      </c>
      <c r="W27" s="8">
        <f>IF(OR($B27="",$G27=""),"",IF(SUMPRODUCT(('利用者マスタ'!$A$4:$A$60=$B27)*('利用者マスタ'!$B$4:$B$60&lt;&gt;""))=0,"",IF(SUMIFS($X$5:$X$204,$B$5:$B$204,$B27,$G$5:$G$204,"&gt;="&amp;DATE(YEAR($G27),MONTH($G27),1),$G$5:$G$204,"&lt;="&amp;EOMONTH($G27,0))&gt;SUMIFS('利用者マスタ'!$B$4:$B$60,'利用者マスタ'!$A$4:$A$60,$B27),"⚠支給量超過","")))</f>
        <v/>
      </c>
      <c r="X27" s="8">
        <f>IF(OR($G27="",$J27="",$N27="キャンセル"),0,IF(IFERROR(INDEX('M_区分'!$B$4:$B$20,MATCH($C27,'M_区分'!$A$4:$A$20,0)),"○")="○",$J27-$G27+1,0))</f>
        <v/>
      </c>
      <c r="Y27" s="8">
        <f>IF($E27&lt;&gt;"",$E27,$Y26)</f>
        <v/>
      </c>
      <c r="Z27" s="8">
        <f>IF(OR($G27="",$J27=""),"",IF(AND($G27&lt;=EOMONTH('02_カレンダー'!$B$4,0),$J27&gt;='02_カレンダー'!$B$4),$G27*10000+ROW(),""))</f>
        <v/>
      </c>
      <c r="AA27" s="8">
        <f>IF($H27="","",IF(ISNUMBER($H27),TEXT($H27,"hh:mm"),$H27))</f>
        <v/>
      </c>
      <c r="AB27" s="8">
        <f>IF($K27="","",IF(ISNUMBER($K27),TEXT($K27,"hh:mm"),$K27))</f>
        <v/>
      </c>
      <c r="AC27" s="8">
        <f>IF($G27="",0,$G27)</f>
        <v/>
      </c>
      <c r="AD27" s="8">
        <f>IF($J27="",0,$J27)</f>
        <v/>
      </c>
    </row>
    <row r="28">
      <c r="A28" s="8">
        <f>IF($G28="","","SS-"&amp;TEXT(ROW()-4,"0000"))</f>
        <v/>
      </c>
      <c r="B28" s="9" t="n"/>
      <c r="C28" s="9" t="n"/>
      <c r="D28" s="9" t="n"/>
      <c r="E28" s="10" t="n"/>
      <c r="F28" s="11" t="n"/>
      <c r="G28" s="12">
        <f>IF($F28="","",IF($F28&gt;31,$F28,IF($Y28="","",DATE(YEAR($Y28),MONTH($Y28),$F28))))</f>
        <v/>
      </c>
      <c r="H28" s="13" t="n"/>
      <c r="I28" s="11" t="n"/>
      <c r="J28" s="12">
        <f>IF($I28="","",IF($I28&gt;31,$I28,IF($G28="","",IF(DATE(YEAR($G28),MONTH($G28),$I28)&gt;=$G28,DATE(YEAR($G28),MONTH($G28),$I28),DATE(YEAR($G28),MONTH($G28)+1,$I28)))))</f>
        <v/>
      </c>
      <c r="K28" s="13" t="n"/>
      <c r="L28" s="8">
        <f>IF(OR($G28="",$J28=""),"",$J28-$G28+1)</f>
        <v/>
      </c>
      <c r="M28" s="8">
        <f>IF(OR($G28="",$J28=""),"",$J28-$G28)</f>
        <v/>
      </c>
      <c r="N28" s="9" t="n"/>
      <c r="O28" s="9" t="n"/>
      <c r="P28" s="9" t="n"/>
      <c r="Q28" s="9" t="n"/>
      <c r="R28" s="9" t="n"/>
      <c r="S28" s="9" t="n"/>
      <c r="T28" s="14" t="n"/>
      <c r="U28" s="9" t="n"/>
      <c r="V28" s="8">
        <f>IF($G28="","",IF($D28="","⚠部屋が未選択",IF(COUNTIF('M_部屋'!$A$4:$A$20,$D28)=0,"⚠部屋が未登録",IF(OR($J28="",$N28="キャンセル"),"",IF(SUMPRODUCT(($D$5:$D$204=$D28)*($G$5:$G$204&lt;&gt;"")*($J$5:$J$204&lt;&gt;"")*($N$5:$N$204&lt;&gt;"キャンセル")*($G$5:$G$204&lt;$J28)*($J$5:$J$204&gt;$G28))&gt;1,"⚠重複","")))))</f>
        <v/>
      </c>
      <c r="W28" s="8">
        <f>IF(OR($B28="",$G28=""),"",IF(SUMPRODUCT(('利用者マスタ'!$A$4:$A$60=$B28)*('利用者マスタ'!$B$4:$B$60&lt;&gt;""))=0,"",IF(SUMIFS($X$5:$X$204,$B$5:$B$204,$B28,$G$5:$G$204,"&gt;="&amp;DATE(YEAR($G28),MONTH($G28),1),$G$5:$G$204,"&lt;="&amp;EOMONTH($G28,0))&gt;SUMIFS('利用者マスタ'!$B$4:$B$60,'利用者マスタ'!$A$4:$A$60,$B28),"⚠支給量超過","")))</f>
        <v/>
      </c>
      <c r="X28" s="8">
        <f>IF(OR($G28="",$J28="",$N28="キャンセル"),0,IF(IFERROR(INDEX('M_区分'!$B$4:$B$20,MATCH($C28,'M_区分'!$A$4:$A$20,0)),"○")="○",$J28-$G28+1,0))</f>
        <v/>
      </c>
      <c r="Y28" s="8">
        <f>IF($E28&lt;&gt;"",$E28,$Y27)</f>
        <v/>
      </c>
      <c r="Z28" s="8">
        <f>IF(OR($G28="",$J28=""),"",IF(AND($G28&lt;=EOMONTH('02_カレンダー'!$B$4,0),$J28&gt;='02_カレンダー'!$B$4),$G28*10000+ROW(),""))</f>
        <v/>
      </c>
      <c r="AA28" s="8">
        <f>IF($H28="","",IF(ISNUMBER($H28),TEXT($H28,"hh:mm"),$H28))</f>
        <v/>
      </c>
      <c r="AB28" s="8">
        <f>IF($K28="","",IF(ISNUMBER($K28),TEXT($K28,"hh:mm"),$K28))</f>
        <v/>
      </c>
      <c r="AC28" s="8">
        <f>IF($G28="",0,$G28)</f>
        <v/>
      </c>
      <c r="AD28" s="8">
        <f>IF($J28="",0,$J28)</f>
        <v/>
      </c>
    </row>
    <row r="29">
      <c r="A29" s="8">
        <f>IF($G29="","","SS-"&amp;TEXT(ROW()-4,"0000"))</f>
        <v/>
      </c>
      <c r="B29" s="9" t="n"/>
      <c r="C29" s="9" t="n"/>
      <c r="D29" s="9" t="n"/>
      <c r="E29" s="10" t="n"/>
      <c r="F29" s="11" t="n"/>
      <c r="G29" s="12">
        <f>IF($F29="","",IF($F29&gt;31,$F29,IF($Y29="","",DATE(YEAR($Y29),MONTH($Y29),$F29))))</f>
        <v/>
      </c>
      <c r="H29" s="13" t="n"/>
      <c r="I29" s="11" t="n"/>
      <c r="J29" s="12">
        <f>IF($I29="","",IF($I29&gt;31,$I29,IF($G29="","",IF(DATE(YEAR($G29),MONTH($G29),$I29)&gt;=$G29,DATE(YEAR($G29),MONTH($G29),$I29),DATE(YEAR($G29),MONTH($G29)+1,$I29)))))</f>
        <v/>
      </c>
      <c r="K29" s="13" t="n"/>
      <c r="L29" s="8">
        <f>IF(OR($G29="",$J29=""),"",$J29-$G29+1)</f>
        <v/>
      </c>
      <c r="M29" s="8">
        <f>IF(OR($G29="",$J29=""),"",$J29-$G29)</f>
        <v/>
      </c>
      <c r="N29" s="9" t="n"/>
      <c r="O29" s="9" t="n"/>
      <c r="P29" s="9" t="n"/>
      <c r="Q29" s="9" t="n"/>
      <c r="R29" s="9" t="n"/>
      <c r="S29" s="9" t="n"/>
      <c r="T29" s="14" t="n"/>
      <c r="U29" s="9" t="n"/>
      <c r="V29" s="8">
        <f>IF($G29="","",IF($D29="","⚠部屋が未選択",IF(COUNTIF('M_部屋'!$A$4:$A$20,$D29)=0,"⚠部屋が未登録",IF(OR($J29="",$N29="キャンセル"),"",IF(SUMPRODUCT(($D$5:$D$204=$D29)*($G$5:$G$204&lt;&gt;"")*($J$5:$J$204&lt;&gt;"")*($N$5:$N$204&lt;&gt;"キャンセル")*($G$5:$G$204&lt;$J29)*($J$5:$J$204&gt;$G29))&gt;1,"⚠重複","")))))</f>
        <v/>
      </c>
      <c r="W29" s="8">
        <f>IF(OR($B29="",$G29=""),"",IF(SUMPRODUCT(('利用者マスタ'!$A$4:$A$60=$B29)*('利用者マスタ'!$B$4:$B$60&lt;&gt;""))=0,"",IF(SUMIFS($X$5:$X$204,$B$5:$B$204,$B29,$G$5:$G$204,"&gt;="&amp;DATE(YEAR($G29),MONTH($G29),1),$G$5:$G$204,"&lt;="&amp;EOMONTH($G29,0))&gt;SUMIFS('利用者マスタ'!$B$4:$B$60,'利用者マスタ'!$A$4:$A$60,$B29),"⚠支給量超過","")))</f>
        <v/>
      </c>
      <c r="X29" s="8">
        <f>IF(OR($G29="",$J29="",$N29="キャンセル"),0,IF(IFERROR(INDEX('M_区分'!$B$4:$B$20,MATCH($C29,'M_区分'!$A$4:$A$20,0)),"○")="○",$J29-$G29+1,0))</f>
        <v/>
      </c>
      <c r="Y29" s="8">
        <f>IF($E29&lt;&gt;"",$E29,$Y28)</f>
        <v/>
      </c>
      <c r="Z29" s="8">
        <f>IF(OR($G29="",$J29=""),"",IF(AND($G29&lt;=EOMONTH('02_カレンダー'!$B$4,0),$J29&gt;='02_カレンダー'!$B$4),$G29*10000+ROW(),""))</f>
        <v/>
      </c>
      <c r="AA29" s="8">
        <f>IF($H29="","",IF(ISNUMBER($H29),TEXT($H29,"hh:mm"),$H29))</f>
        <v/>
      </c>
      <c r="AB29" s="8">
        <f>IF($K29="","",IF(ISNUMBER($K29),TEXT($K29,"hh:mm"),$K29))</f>
        <v/>
      </c>
      <c r="AC29" s="8">
        <f>IF($G29="",0,$G29)</f>
        <v/>
      </c>
      <c r="AD29" s="8">
        <f>IF($J29="",0,$J29)</f>
        <v/>
      </c>
    </row>
    <row r="30">
      <c r="A30" s="8">
        <f>IF($G30="","","SS-"&amp;TEXT(ROW()-4,"0000"))</f>
        <v/>
      </c>
      <c r="B30" s="9" t="n"/>
      <c r="C30" s="9" t="n"/>
      <c r="D30" s="9" t="n"/>
      <c r="E30" s="10" t="n"/>
      <c r="F30" s="11" t="n"/>
      <c r="G30" s="12">
        <f>IF($F30="","",IF($F30&gt;31,$F30,IF($Y30="","",DATE(YEAR($Y30),MONTH($Y30),$F30))))</f>
        <v/>
      </c>
      <c r="H30" s="13" t="n"/>
      <c r="I30" s="11" t="n"/>
      <c r="J30" s="12">
        <f>IF($I30="","",IF($I30&gt;31,$I30,IF($G30="","",IF(DATE(YEAR($G30),MONTH($G30),$I30)&gt;=$G30,DATE(YEAR($G30),MONTH($G30),$I30),DATE(YEAR($G30),MONTH($G30)+1,$I30)))))</f>
        <v/>
      </c>
      <c r="K30" s="13" t="n"/>
      <c r="L30" s="8">
        <f>IF(OR($G30="",$J30=""),"",$J30-$G30+1)</f>
        <v/>
      </c>
      <c r="M30" s="8">
        <f>IF(OR($G30="",$J30=""),"",$J30-$G30)</f>
        <v/>
      </c>
      <c r="N30" s="9" t="n"/>
      <c r="O30" s="9" t="n"/>
      <c r="P30" s="9" t="n"/>
      <c r="Q30" s="9" t="n"/>
      <c r="R30" s="9" t="n"/>
      <c r="S30" s="9" t="n"/>
      <c r="T30" s="14" t="n"/>
      <c r="U30" s="9" t="n"/>
      <c r="V30" s="8">
        <f>IF($G30="","",IF($D30="","⚠部屋が未選択",IF(COUNTIF('M_部屋'!$A$4:$A$20,$D30)=0,"⚠部屋が未登録",IF(OR($J30="",$N30="キャンセル"),"",IF(SUMPRODUCT(($D$5:$D$204=$D30)*($G$5:$G$204&lt;&gt;"")*($J$5:$J$204&lt;&gt;"")*($N$5:$N$204&lt;&gt;"キャンセル")*($G$5:$G$204&lt;$J30)*($J$5:$J$204&gt;$G30))&gt;1,"⚠重複","")))))</f>
        <v/>
      </c>
      <c r="W30" s="8">
        <f>IF(OR($B30="",$G30=""),"",IF(SUMPRODUCT(('利用者マスタ'!$A$4:$A$60=$B30)*('利用者マスタ'!$B$4:$B$60&lt;&gt;""))=0,"",IF(SUMIFS($X$5:$X$204,$B$5:$B$204,$B30,$G$5:$G$204,"&gt;="&amp;DATE(YEAR($G30),MONTH($G30),1),$G$5:$G$204,"&lt;="&amp;EOMONTH($G30,0))&gt;SUMIFS('利用者マスタ'!$B$4:$B$60,'利用者マスタ'!$A$4:$A$60,$B30),"⚠支給量超過","")))</f>
        <v/>
      </c>
      <c r="X30" s="8">
        <f>IF(OR($G30="",$J30="",$N30="キャンセル"),0,IF(IFERROR(INDEX('M_区分'!$B$4:$B$20,MATCH($C30,'M_区分'!$A$4:$A$20,0)),"○")="○",$J30-$G30+1,0))</f>
        <v/>
      </c>
      <c r="Y30" s="8">
        <f>IF($E30&lt;&gt;"",$E30,$Y29)</f>
        <v/>
      </c>
      <c r="Z30" s="8">
        <f>IF(OR($G30="",$J30=""),"",IF(AND($G30&lt;=EOMONTH('02_カレンダー'!$B$4,0),$J30&gt;='02_カレンダー'!$B$4),$G30*10000+ROW(),""))</f>
        <v/>
      </c>
      <c r="AA30" s="8">
        <f>IF($H30="","",IF(ISNUMBER($H30),TEXT($H30,"hh:mm"),$H30))</f>
        <v/>
      </c>
      <c r="AB30" s="8">
        <f>IF($K30="","",IF(ISNUMBER($K30),TEXT($K30,"hh:mm"),$K30))</f>
        <v/>
      </c>
      <c r="AC30" s="8">
        <f>IF($G30="",0,$G30)</f>
        <v/>
      </c>
      <c r="AD30" s="8">
        <f>IF($J30="",0,$J30)</f>
        <v/>
      </c>
    </row>
    <row r="31">
      <c r="A31" s="8">
        <f>IF($G31="","","SS-"&amp;TEXT(ROW()-4,"0000"))</f>
        <v/>
      </c>
      <c r="B31" s="9" t="n"/>
      <c r="C31" s="9" t="n"/>
      <c r="D31" s="9" t="n"/>
      <c r="E31" s="10" t="n"/>
      <c r="F31" s="11" t="n"/>
      <c r="G31" s="12">
        <f>IF($F31="","",IF($F31&gt;31,$F31,IF($Y31="","",DATE(YEAR($Y31),MONTH($Y31),$F31))))</f>
        <v/>
      </c>
      <c r="H31" s="13" t="n"/>
      <c r="I31" s="11" t="n"/>
      <c r="J31" s="12">
        <f>IF($I31="","",IF($I31&gt;31,$I31,IF($G31="","",IF(DATE(YEAR($G31),MONTH($G31),$I31)&gt;=$G31,DATE(YEAR($G31),MONTH($G31),$I31),DATE(YEAR($G31),MONTH($G31)+1,$I31)))))</f>
        <v/>
      </c>
      <c r="K31" s="13" t="n"/>
      <c r="L31" s="8">
        <f>IF(OR($G31="",$J31=""),"",$J31-$G31+1)</f>
        <v/>
      </c>
      <c r="M31" s="8">
        <f>IF(OR($G31="",$J31=""),"",$J31-$G31)</f>
        <v/>
      </c>
      <c r="N31" s="9" t="n"/>
      <c r="O31" s="9" t="n"/>
      <c r="P31" s="9" t="n"/>
      <c r="Q31" s="9" t="n"/>
      <c r="R31" s="9" t="n"/>
      <c r="S31" s="9" t="n"/>
      <c r="T31" s="14" t="n"/>
      <c r="U31" s="9" t="n"/>
      <c r="V31" s="8">
        <f>IF($G31="","",IF($D31="","⚠部屋が未選択",IF(COUNTIF('M_部屋'!$A$4:$A$20,$D31)=0,"⚠部屋が未登録",IF(OR($J31="",$N31="キャンセル"),"",IF(SUMPRODUCT(($D$5:$D$204=$D31)*($G$5:$G$204&lt;&gt;"")*($J$5:$J$204&lt;&gt;"")*($N$5:$N$204&lt;&gt;"キャンセル")*($G$5:$G$204&lt;$J31)*($J$5:$J$204&gt;$G31))&gt;1,"⚠重複","")))))</f>
        <v/>
      </c>
      <c r="W31" s="8">
        <f>IF(OR($B31="",$G31=""),"",IF(SUMPRODUCT(('利用者マスタ'!$A$4:$A$60=$B31)*('利用者マスタ'!$B$4:$B$60&lt;&gt;""))=0,"",IF(SUMIFS($X$5:$X$204,$B$5:$B$204,$B31,$G$5:$G$204,"&gt;="&amp;DATE(YEAR($G31),MONTH($G31),1),$G$5:$G$204,"&lt;="&amp;EOMONTH($G31,0))&gt;SUMIFS('利用者マスタ'!$B$4:$B$60,'利用者マスタ'!$A$4:$A$60,$B31),"⚠支給量超過","")))</f>
        <v/>
      </c>
      <c r="X31" s="8">
        <f>IF(OR($G31="",$J31="",$N31="キャンセル"),0,IF(IFERROR(INDEX('M_区分'!$B$4:$B$20,MATCH($C31,'M_区分'!$A$4:$A$20,0)),"○")="○",$J31-$G31+1,0))</f>
        <v/>
      </c>
      <c r="Y31" s="8">
        <f>IF($E31&lt;&gt;"",$E31,$Y30)</f>
        <v/>
      </c>
      <c r="Z31" s="8">
        <f>IF(OR($G31="",$J31=""),"",IF(AND($G31&lt;=EOMONTH('02_カレンダー'!$B$4,0),$J31&gt;='02_カレンダー'!$B$4),$G31*10000+ROW(),""))</f>
        <v/>
      </c>
      <c r="AA31" s="8">
        <f>IF($H31="","",IF(ISNUMBER($H31),TEXT($H31,"hh:mm"),$H31))</f>
        <v/>
      </c>
      <c r="AB31" s="8">
        <f>IF($K31="","",IF(ISNUMBER($K31),TEXT($K31,"hh:mm"),$K31))</f>
        <v/>
      </c>
      <c r="AC31" s="8">
        <f>IF($G31="",0,$G31)</f>
        <v/>
      </c>
      <c r="AD31" s="8">
        <f>IF($J31="",0,$J31)</f>
        <v/>
      </c>
    </row>
    <row r="32">
      <c r="A32" s="8">
        <f>IF($G32="","","SS-"&amp;TEXT(ROW()-4,"0000"))</f>
        <v/>
      </c>
      <c r="B32" s="9" t="n"/>
      <c r="C32" s="9" t="n"/>
      <c r="D32" s="9" t="n"/>
      <c r="E32" s="10" t="n"/>
      <c r="F32" s="11" t="n"/>
      <c r="G32" s="12">
        <f>IF($F32="","",IF($F32&gt;31,$F32,IF($Y32="","",DATE(YEAR($Y32),MONTH($Y32),$F32))))</f>
        <v/>
      </c>
      <c r="H32" s="13" t="n"/>
      <c r="I32" s="11" t="n"/>
      <c r="J32" s="12">
        <f>IF($I32="","",IF($I32&gt;31,$I32,IF($G32="","",IF(DATE(YEAR($G32),MONTH($G32),$I32)&gt;=$G32,DATE(YEAR($G32),MONTH($G32),$I32),DATE(YEAR($G32),MONTH($G32)+1,$I32)))))</f>
        <v/>
      </c>
      <c r="K32" s="13" t="n"/>
      <c r="L32" s="8">
        <f>IF(OR($G32="",$J32=""),"",$J32-$G32+1)</f>
        <v/>
      </c>
      <c r="M32" s="8">
        <f>IF(OR($G32="",$J32=""),"",$J32-$G32)</f>
        <v/>
      </c>
      <c r="N32" s="9" t="n"/>
      <c r="O32" s="9" t="n"/>
      <c r="P32" s="9" t="n"/>
      <c r="Q32" s="9" t="n"/>
      <c r="R32" s="9" t="n"/>
      <c r="S32" s="9" t="n"/>
      <c r="T32" s="14" t="n"/>
      <c r="U32" s="9" t="n"/>
      <c r="V32" s="8">
        <f>IF($G32="","",IF($D32="","⚠部屋が未選択",IF(COUNTIF('M_部屋'!$A$4:$A$20,$D32)=0,"⚠部屋が未登録",IF(OR($J32="",$N32="キャンセル"),"",IF(SUMPRODUCT(($D$5:$D$204=$D32)*($G$5:$G$204&lt;&gt;"")*($J$5:$J$204&lt;&gt;"")*($N$5:$N$204&lt;&gt;"キャンセル")*($G$5:$G$204&lt;$J32)*($J$5:$J$204&gt;$G32))&gt;1,"⚠重複","")))))</f>
        <v/>
      </c>
      <c r="W32" s="8">
        <f>IF(OR($B32="",$G32=""),"",IF(SUMPRODUCT(('利用者マスタ'!$A$4:$A$60=$B32)*('利用者マスタ'!$B$4:$B$60&lt;&gt;""))=0,"",IF(SUMIFS($X$5:$X$204,$B$5:$B$204,$B32,$G$5:$G$204,"&gt;="&amp;DATE(YEAR($G32),MONTH($G32),1),$G$5:$G$204,"&lt;="&amp;EOMONTH($G32,0))&gt;SUMIFS('利用者マスタ'!$B$4:$B$60,'利用者マスタ'!$A$4:$A$60,$B32),"⚠支給量超過","")))</f>
        <v/>
      </c>
      <c r="X32" s="8">
        <f>IF(OR($G32="",$J32="",$N32="キャンセル"),0,IF(IFERROR(INDEX('M_区分'!$B$4:$B$20,MATCH($C32,'M_区分'!$A$4:$A$20,0)),"○")="○",$J32-$G32+1,0))</f>
        <v/>
      </c>
      <c r="Y32" s="8">
        <f>IF($E32&lt;&gt;"",$E32,$Y31)</f>
        <v/>
      </c>
      <c r="Z32" s="8">
        <f>IF(OR($G32="",$J32=""),"",IF(AND($G32&lt;=EOMONTH('02_カレンダー'!$B$4,0),$J32&gt;='02_カレンダー'!$B$4),$G32*10000+ROW(),""))</f>
        <v/>
      </c>
      <c r="AA32" s="8">
        <f>IF($H32="","",IF(ISNUMBER($H32),TEXT($H32,"hh:mm"),$H32))</f>
        <v/>
      </c>
      <c r="AB32" s="8">
        <f>IF($K32="","",IF(ISNUMBER($K32),TEXT($K32,"hh:mm"),$K32))</f>
        <v/>
      </c>
      <c r="AC32" s="8">
        <f>IF($G32="",0,$G32)</f>
        <v/>
      </c>
      <c r="AD32" s="8">
        <f>IF($J32="",0,$J32)</f>
        <v/>
      </c>
    </row>
    <row r="33">
      <c r="A33" s="8">
        <f>IF($G33="","","SS-"&amp;TEXT(ROW()-4,"0000"))</f>
        <v/>
      </c>
      <c r="B33" s="9" t="n"/>
      <c r="C33" s="9" t="n"/>
      <c r="D33" s="9" t="n"/>
      <c r="E33" s="10" t="n"/>
      <c r="F33" s="11" t="n"/>
      <c r="G33" s="12">
        <f>IF($F33="","",IF($F33&gt;31,$F33,IF($Y33="","",DATE(YEAR($Y33),MONTH($Y33),$F33))))</f>
        <v/>
      </c>
      <c r="H33" s="13" t="n"/>
      <c r="I33" s="11" t="n"/>
      <c r="J33" s="12">
        <f>IF($I33="","",IF($I33&gt;31,$I33,IF($G33="","",IF(DATE(YEAR($G33),MONTH($G33),$I33)&gt;=$G33,DATE(YEAR($G33),MONTH($G33),$I33),DATE(YEAR($G33),MONTH($G33)+1,$I33)))))</f>
        <v/>
      </c>
      <c r="K33" s="13" t="n"/>
      <c r="L33" s="8">
        <f>IF(OR($G33="",$J33=""),"",$J33-$G33+1)</f>
        <v/>
      </c>
      <c r="M33" s="8">
        <f>IF(OR($G33="",$J33=""),"",$J33-$G33)</f>
        <v/>
      </c>
      <c r="N33" s="9" t="n"/>
      <c r="O33" s="9" t="n"/>
      <c r="P33" s="9" t="n"/>
      <c r="Q33" s="9" t="n"/>
      <c r="R33" s="9" t="n"/>
      <c r="S33" s="9" t="n"/>
      <c r="T33" s="14" t="n"/>
      <c r="U33" s="9" t="n"/>
      <c r="V33" s="8">
        <f>IF($G33="","",IF($D33="","⚠部屋が未選択",IF(COUNTIF('M_部屋'!$A$4:$A$20,$D33)=0,"⚠部屋が未登録",IF(OR($J33="",$N33="キャンセル"),"",IF(SUMPRODUCT(($D$5:$D$204=$D33)*($G$5:$G$204&lt;&gt;"")*($J$5:$J$204&lt;&gt;"")*($N$5:$N$204&lt;&gt;"キャンセル")*($G$5:$G$204&lt;$J33)*($J$5:$J$204&gt;$G33))&gt;1,"⚠重複","")))))</f>
        <v/>
      </c>
      <c r="W33" s="8">
        <f>IF(OR($B33="",$G33=""),"",IF(SUMPRODUCT(('利用者マスタ'!$A$4:$A$60=$B33)*('利用者マスタ'!$B$4:$B$60&lt;&gt;""))=0,"",IF(SUMIFS($X$5:$X$204,$B$5:$B$204,$B33,$G$5:$G$204,"&gt;="&amp;DATE(YEAR($G33),MONTH($G33),1),$G$5:$G$204,"&lt;="&amp;EOMONTH($G33,0))&gt;SUMIFS('利用者マスタ'!$B$4:$B$60,'利用者マスタ'!$A$4:$A$60,$B33),"⚠支給量超過","")))</f>
        <v/>
      </c>
      <c r="X33" s="8">
        <f>IF(OR($G33="",$J33="",$N33="キャンセル"),0,IF(IFERROR(INDEX('M_区分'!$B$4:$B$20,MATCH($C33,'M_区分'!$A$4:$A$20,0)),"○")="○",$J33-$G33+1,0))</f>
        <v/>
      </c>
      <c r="Y33" s="8">
        <f>IF($E33&lt;&gt;"",$E33,$Y32)</f>
        <v/>
      </c>
      <c r="Z33" s="8">
        <f>IF(OR($G33="",$J33=""),"",IF(AND($G33&lt;=EOMONTH('02_カレンダー'!$B$4,0),$J33&gt;='02_カレンダー'!$B$4),$G33*10000+ROW(),""))</f>
        <v/>
      </c>
      <c r="AA33" s="8">
        <f>IF($H33="","",IF(ISNUMBER($H33),TEXT($H33,"hh:mm"),$H33))</f>
        <v/>
      </c>
      <c r="AB33" s="8">
        <f>IF($K33="","",IF(ISNUMBER($K33),TEXT($K33,"hh:mm"),$K33))</f>
        <v/>
      </c>
      <c r="AC33" s="8">
        <f>IF($G33="",0,$G33)</f>
        <v/>
      </c>
      <c r="AD33" s="8">
        <f>IF($J33="",0,$J33)</f>
        <v/>
      </c>
    </row>
    <row r="34">
      <c r="A34" s="8">
        <f>IF($G34="","","SS-"&amp;TEXT(ROW()-4,"0000"))</f>
        <v/>
      </c>
      <c r="B34" s="9" t="n"/>
      <c r="C34" s="9" t="n"/>
      <c r="D34" s="9" t="n"/>
      <c r="E34" s="10" t="n"/>
      <c r="F34" s="11" t="n"/>
      <c r="G34" s="12">
        <f>IF($F34="","",IF($F34&gt;31,$F34,IF($Y34="","",DATE(YEAR($Y34),MONTH($Y34),$F34))))</f>
        <v/>
      </c>
      <c r="H34" s="13" t="n"/>
      <c r="I34" s="11" t="n"/>
      <c r="J34" s="12">
        <f>IF($I34="","",IF($I34&gt;31,$I34,IF($G34="","",IF(DATE(YEAR($G34),MONTH($G34),$I34)&gt;=$G34,DATE(YEAR($G34),MONTH($G34),$I34),DATE(YEAR($G34),MONTH($G34)+1,$I34)))))</f>
        <v/>
      </c>
      <c r="K34" s="13" t="n"/>
      <c r="L34" s="8">
        <f>IF(OR($G34="",$J34=""),"",$J34-$G34+1)</f>
        <v/>
      </c>
      <c r="M34" s="8">
        <f>IF(OR($G34="",$J34=""),"",$J34-$G34)</f>
        <v/>
      </c>
      <c r="N34" s="9" t="n"/>
      <c r="O34" s="9" t="n"/>
      <c r="P34" s="9" t="n"/>
      <c r="Q34" s="9" t="n"/>
      <c r="R34" s="9" t="n"/>
      <c r="S34" s="9" t="n"/>
      <c r="T34" s="14" t="n"/>
      <c r="U34" s="9" t="n"/>
      <c r="V34" s="8">
        <f>IF($G34="","",IF($D34="","⚠部屋が未選択",IF(COUNTIF('M_部屋'!$A$4:$A$20,$D34)=0,"⚠部屋が未登録",IF(OR($J34="",$N34="キャンセル"),"",IF(SUMPRODUCT(($D$5:$D$204=$D34)*($G$5:$G$204&lt;&gt;"")*($J$5:$J$204&lt;&gt;"")*($N$5:$N$204&lt;&gt;"キャンセル")*($G$5:$G$204&lt;$J34)*($J$5:$J$204&gt;$G34))&gt;1,"⚠重複","")))))</f>
        <v/>
      </c>
      <c r="W34" s="8">
        <f>IF(OR($B34="",$G34=""),"",IF(SUMPRODUCT(('利用者マスタ'!$A$4:$A$60=$B34)*('利用者マスタ'!$B$4:$B$60&lt;&gt;""))=0,"",IF(SUMIFS($X$5:$X$204,$B$5:$B$204,$B34,$G$5:$G$204,"&gt;="&amp;DATE(YEAR($G34),MONTH($G34),1),$G$5:$G$204,"&lt;="&amp;EOMONTH($G34,0))&gt;SUMIFS('利用者マスタ'!$B$4:$B$60,'利用者マスタ'!$A$4:$A$60,$B34),"⚠支給量超過","")))</f>
        <v/>
      </c>
      <c r="X34" s="8">
        <f>IF(OR($G34="",$J34="",$N34="キャンセル"),0,IF(IFERROR(INDEX('M_区分'!$B$4:$B$20,MATCH($C34,'M_区分'!$A$4:$A$20,0)),"○")="○",$J34-$G34+1,0))</f>
        <v/>
      </c>
      <c r="Y34" s="8">
        <f>IF($E34&lt;&gt;"",$E34,$Y33)</f>
        <v/>
      </c>
      <c r="Z34" s="8">
        <f>IF(OR($G34="",$J34=""),"",IF(AND($G34&lt;=EOMONTH('02_カレンダー'!$B$4,0),$J34&gt;='02_カレンダー'!$B$4),$G34*10000+ROW(),""))</f>
        <v/>
      </c>
      <c r="AA34" s="8">
        <f>IF($H34="","",IF(ISNUMBER($H34),TEXT($H34,"hh:mm"),$H34))</f>
        <v/>
      </c>
      <c r="AB34" s="8">
        <f>IF($K34="","",IF(ISNUMBER($K34),TEXT($K34,"hh:mm"),$K34))</f>
        <v/>
      </c>
      <c r="AC34" s="8">
        <f>IF($G34="",0,$G34)</f>
        <v/>
      </c>
      <c r="AD34" s="8">
        <f>IF($J34="",0,$J34)</f>
        <v/>
      </c>
    </row>
    <row r="35">
      <c r="A35" s="8">
        <f>IF($G35="","","SS-"&amp;TEXT(ROW()-4,"0000"))</f>
        <v/>
      </c>
      <c r="B35" s="9" t="n"/>
      <c r="C35" s="9" t="n"/>
      <c r="D35" s="9" t="n"/>
      <c r="E35" s="10" t="n"/>
      <c r="F35" s="11" t="n"/>
      <c r="G35" s="12">
        <f>IF($F35="","",IF($F35&gt;31,$F35,IF($Y35="","",DATE(YEAR($Y35),MONTH($Y35),$F35))))</f>
        <v/>
      </c>
      <c r="H35" s="13" t="n"/>
      <c r="I35" s="11" t="n"/>
      <c r="J35" s="12">
        <f>IF($I35="","",IF($I35&gt;31,$I35,IF($G35="","",IF(DATE(YEAR($G35),MONTH($G35),$I35)&gt;=$G35,DATE(YEAR($G35),MONTH($G35),$I35),DATE(YEAR($G35),MONTH($G35)+1,$I35)))))</f>
        <v/>
      </c>
      <c r="K35" s="13" t="n"/>
      <c r="L35" s="8">
        <f>IF(OR($G35="",$J35=""),"",$J35-$G35+1)</f>
        <v/>
      </c>
      <c r="M35" s="8">
        <f>IF(OR($G35="",$J35=""),"",$J35-$G35)</f>
        <v/>
      </c>
      <c r="N35" s="9" t="n"/>
      <c r="O35" s="9" t="n"/>
      <c r="P35" s="9" t="n"/>
      <c r="Q35" s="9" t="n"/>
      <c r="R35" s="9" t="n"/>
      <c r="S35" s="9" t="n"/>
      <c r="T35" s="14" t="n"/>
      <c r="U35" s="9" t="n"/>
      <c r="V35" s="8">
        <f>IF($G35="","",IF($D35="","⚠部屋が未選択",IF(COUNTIF('M_部屋'!$A$4:$A$20,$D35)=0,"⚠部屋が未登録",IF(OR($J35="",$N35="キャンセル"),"",IF(SUMPRODUCT(($D$5:$D$204=$D35)*($G$5:$G$204&lt;&gt;"")*($J$5:$J$204&lt;&gt;"")*($N$5:$N$204&lt;&gt;"キャンセル")*($G$5:$G$204&lt;$J35)*($J$5:$J$204&gt;$G35))&gt;1,"⚠重複","")))))</f>
        <v/>
      </c>
      <c r="W35" s="8">
        <f>IF(OR($B35="",$G35=""),"",IF(SUMPRODUCT(('利用者マスタ'!$A$4:$A$60=$B35)*('利用者マスタ'!$B$4:$B$60&lt;&gt;""))=0,"",IF(SUMIFS($X$5:$X$204,$B$5:$B$204,$B35,$G$5:$G$204,"&gt;="&amp;DATE(YEAR($G35),MONTH($G35),1),$G$5:$G$204,"&lt;="&amp;EOMONTH($G35,0))&gt;SUMIFS('利用者マスタ'!$B$4:$B$60,'利用者マスタ'!$A$4:$A$60,$B35),"⚠支給量超過","")))</f>
        <v/>
      </c>
      <c r="X35" s="8">
        <f>IF(OR($G35="",$J35="",$N35="キャンセル"),0,IF(IFERROR(INDEX('M_区分'!$B$4:$B$20,MATCH($C35,'M_区分'!$A$4:$A$20,0)),"○")="○",$J35-$G35+1,0))</f>
        <v/>
      </c>
      <c r="Y35" s="8">
        <f>IF($E35&lt;&gt;"",$E35,$Y34)</f>
        <v/>
      </c>
      <c r="Z35" s="8">
        <f>IF(OR($G35="",$J35=""),"",IF(AND($G35&lt;=EOMONTH('02_カレンダー'!$B$4,0),$J35&gt;='02_カレンダー'!$B$4),$G35*10000+ROW(),""))</f>
        <v/>
      </c>
      <c r="AA35" s="8">
        <f>IF($H35="","",IF(ISNUMBER($H35),TEXT($H35,"hh:mm"),$H35))</f>
        <v/>
      </c>
      <c r="AB35" s="8">
        <f>IF($K35="","",IF(ISNUMBER($K35),TEXT($K35,"hh:mm"),$K35))</f>
        <v/>
      </c>
      <c r="AC35" s="8">
        <f>IF($G35="",0,$G35)</f>
        <v/>
      </c>
      <c r="AD35" s="8">
        <f>IF($J35="",0,$J35)</f>
        <v/>
      </c>
    </row>
    <row r="36">
      <c r="A36" s="8">
        <f>IF($G36="","","SS-"&amp;TEXT(ROW()-4,"0000"))</f>
        <v/>
      </c>
      <c r="B36" s="9" t="n"/>
      <c r="C36" s="9" t="n"/>
      <c r="D36" s="9" t="n"/>
      <c r="E36" s="10" t="n"/>
      <c r="F36" s="11" t="n"/>
      <c r="G36" s="12">
        <f>IF($F36="","",IF($F36&gt;31,$F36,IF($Y36="","",DATE(YEAR($Y36),MONTH($Y36),$F36))))</f>
        <v/>
      </c>
      <c r="H36" s="13" t="n"/>
      <c r="I36" s="11" t="n"/>
      <c r="J36" s="12">
        <f>IF($I36="","",IF($I36&gt;31,$I36,IF($G36="","",IF(DATE(YEAR($G36),MONTH($G36),$I36)&gt;=$G36,DATE(YEAR($G36),MONTH($G36),$I36),DATE(YEAR($G36),MONTH($G36)+1,$I36)))))</f>
        <v/>
      </c>
      <c r="K36" s="13" t="n"/>
      <c r="L36" s="8">
        <f>IF(OR($G36="",$J36=""),"",$J36-$G36+1)</f>
        <v/>
      </c>
      <c r="M36" s="8">
        <f>IF(OR($G36="",$J36=""),"",$J36-$G36)</f>
        <v/>
      </c>
      <c r="N36" s="9" t="n"/>
      <c r="O36" s="9" t="n"/>
      <c r="P36" s="9" t="n"/>
      <c r="Q36" s="9" t="n"/>
      <c r="R36" s="9" t="n"/>
      <c r="S36" s="9" t="n"/>
      <c r="T36" s="14" t="n"/>
      <c r="U36" s="9" t="n"/>
      <c r="V36" s="8">
        <f>IF($G36="","",IF($D36="","⚠部屋が未選択",IF(COUNTIF('M_部屋'!$A$4:$A$20,$D36)=0,"⚠部屋が未登録",IF(OR($J36="",$N36="キャンセル"),"",IF(SUMPRODUCT(($D$5:$D$204=$D36)*($G$5:$G$204&lt;&gt;"")*($J$5:$J$204&lt;&gt;"")*($N$5:$N$204&lt;&gt;"キャンセル")*($G$5:$G$204&lt;$J36)*($J$5:$J$204&gt;$G36))&gt;1,"⚠重複","")))))</f>
        <v/>
      </c>
      <c r="W36" s="8">
        <f>IF(OR($B36="",$G36=""),"",IF(SUMPRODUCT(('利用者マスタ'!$A$4:$A$60=$B36)*('利用者マスタ'!$B$4:$B$60&lt;&gt;""))=0,"",IF(SUMIFS($X$5:$X$204,$B$5:$B$204,$B36,$G$5:$G$204,"&gt;="&amp;DATE(YEAR($G36),MONTH($G36),1),$G$5:$G$204,"&lt;="&amp;EOMONTH($G36,0))&gt;SUMIFS('利用者マスタ'!$B$4:$B$60,'利用者マスタ'!$A$4:$A$60,$B36),"⚠支給量超過","")))</f>
        <v/>
      </c>
      <c r="X36" s="8">
        <f>IF(OR($G36="",$J36="",$N36="キャンセル"),0,IF(IFERROR(INDEX('M_区分'!$B$4:$B$20,MATCH($C36,'M_区分'!$A$4:$A$20,0)),"○")="○",$J36-$G36+1,0))</f>
        <v/>
      </c>
      <c r="Y36" s="8">
        <f>IF($E36&lt;&gt;"",$E36,$Y35)</f>
        <v/>
      </c>
      <c r="Z36" s="8">
        <f>IF(OR($G36="",$J36=""),"",IF(AND($G36&lt;=EOMONTH('02_カレンダー'!$B$4,0),$J36&gt;='02_カレンダー'!$B$4),$G36*10000+ROW(),""))</f>
        <v/>
      </c>
      <c r="AA36" s="8">
        <f>IF($H36="","",IF(ISNUMBER($H36),TEXT($H36,"hh:mm"),$H36))</f>
        <v/>
      </c>
      <c r="AB36" s="8">
        <f>IF($K36="","",IF(ISNUMBER($K36),TEXT($K36,"hh:mm"),$K36))</f>
        <v/>
      </c>
      <c r="AC36" s="8">
        <f>IF($G36="",0,$G36)</f>
        <v/>
      </c>
      <c r="AD36" s="8">
        <f>IF($J36="",0,$J36)</f>
        <v/>
      </c>
    </row>
    <row r="37">
      <c r="A37" s="8">
        <f>IF($G37="","","SS-"&amp;TEXT(ROW()-4,"0000"))</f>
        <v/>
      </c>
      <c r="B37" s="9" t="n"/>
      <c r="C37" s="9" t="n"/>
      <c r="D37" s="9" t="n"/>
      <c r="E37" s="10" t="n"/>
      <c r="F37" s="11" t="n"/>
      <c r="G37" s="12">
        <f>IF($F37="","",IF($F37&gt;31,$F37,IF($Y37="","",DATE(YEAR($Y37),MONTH($Y37),$F37))))</f>
        <v/>
      </c>
      <c r="H37" s="13" t="n"/>
      <c r="I37" s="11" t="n"/>
      <c r="J37" s="12">
        <f>IF($I37="","",IF($I37&gt;31,$I37,IF($G37="","",IF(DATE(YEAR($G37),MONTH($G37),$I37)&gt;=$G37,DATE(YEAR($G37),MONTH($G37),$I37),DATE(YEAR($G37),MONTH($G37)+1,$I37)))))</f>
        <v/>
      </c>
      <c r="K37" s="13" t="n"/>
      <c r="L37" s="8">
        <f>IF(OR($G37="",$J37=""),"",$J37-$G37+1)</f>
        <v/>
      </c>
      <c r="M37" s="8">
        <f>IF(OR($G37="",$J37=""),"",$J37-$G37)</f>
        <v/>
      </c>
      <c r="N37" s="9" t="n"/>
      <c r="O37" s="9" t="n"/>
      <c r="P37" s="9" t="n"/>
      <c r="Q37" s="9" t="n"/>
      <c r="R37" s="9" t="n"/>
      <c r="S37" s="9" t="n"/>
      <c r="T37" s="14" t="n"/>
      <c r="U37" s="9" t="n"/>
      <c r="V37" s="8">
        <f>IF($G37="","",IF($D37="","⚠部屋が未選択",IF(COUNTIF('M_部屋'!$A$4:$A$20,$D37)=0,"⚠部屋が未登録",IF(OR($J37="",$N37="キャンセル"),"",IF(SUMPRODUCT(($D$5:$D$204=$D37)*($G$5:$G$204&lt;&gt;"")*($J$5:$J$204&lt;&gt;"")*($N$5:$N$204&lt;&gt;"キャンセル")*($G$5:$G$204&lt;$J37)*($J$5:$J$204&gt;$G37))&gt;1,"⚠重複","")))))</f>
        <v/>
      </c>
      <c r="W37" s="8">
        <f>IF(OR($B37="",$G37=""),"",IF(SUMPRODUCT(('利用者マスタ'!$A$4:$A$60=$B37)*('利用者マスタ'!$B$4:$B$60&lt;&gt;""))=0,"",IF(SUMIFS($X$5:$X$204,$B$5:$B$204,$B37,$G$5:$G$204,"&gt;="&amp;DATE(YEAR($G37),MONTH($G37),1),$G$5:$G$204,"&lt;="&amp;EOMONTH($G37,0))&gt;SUMIFS('利用者マスタ'!$B$4:$B$60,'利用者マスタ'!$A$4:$A$60,$B37),"⚠支給量超過","")))</f>
        <v/>
      </c>
      <c r="X37" s="8">
        <f>IF(OR($G37="",$J37="",$N37="キャンセル"),0,IF(IFERROR(INDEX('M_区分'!$B$4:$B$20,MATCH($C37,'M_区分'!$A$4:$A$20,0)),"○")="○",$J37-$G37+1,0))</f>
        <v/>
      </c>
      <c r="Y37" s="8">
        <f>IF($E37&lt;&gt;"",$E37,$Y36)</f>
        <v/>
      </c>
      <c r="Z37" s="8">
        <f>IF(OR($G37="",$J37=""),"",IF(AND($G37&lt;=EOMONTH('02_カレンダー'!$B$4,0),$J37&gt;='02_カレンダー'!$B$4),$G37*10000+ROW(),""))</f>
        <v/>
      </c>
      <c r="AA37" s="8">
        <f>IF($H37="","",IF(ISNUMBER($H37),TEXT($H37,"hh:mm"),$H37))</f>
        <v/>
      </c>
      <c r="AB37" s="8">
        <f>IF($K37="","",IF(ISNUMBER($K37),TEXT($K37,"hh:mm"),$K37))</f>
        <v/>
      </c>
      <c r="AC37" s="8">
        <f>IF($G37="",0,$G37)</f>
        <v/>
      </c>
      <c r="AD37" s="8">
        <f>IF($J37="",0,$J37)</f>
        <v/>
      </c>
    </row>
    <row r="38">
      <c r="A38" s="8">
        <f>IF($G38="","","SS-"&amp;TEXT(ROW()-4,"0000"))</f>
        <v/>
      </c>
      <c r="B38" s="9" t="n"/>
      <c r="C38" s="9" t="n"/>
      <c r="D38" s="9" t="n"/>
      <c r="E38" s="10" t="n"/>
      <c r="F38" s="11" t="n"/>
      <c r="G38" s="12">
        <f>IF($F38="","",IF($F38&gt;31,$F38,IF($Y38="","",DATE(YEAR($Y38),MONTH($Y38),$F38))))</f>
        <v/>
      </c>
      <c r="H38" s="13" t="n"/>
      <c r="I38" s="11" t="n"/>
      <c r="J38" s="12">
        <f>IF($I38="","",IF($I38&gt;31,$I38,IF($G38="","",IF(DATE(YEAR($G38),MONTH($G38),$I38)&gt;=$G38,DATE(YEAR($G38),MONTH($G38),$I38),DATE(YEAR($G38),MONTH($G38)+1,$I38)))))</f>
        <v/>
      </c>
      <c r="K38" s="13" t="n"/>
      <c r="L38" s="8">
        <f>IF(OR($G38="",$J38=""),"",$J38-$G38+1)</f>
        <v/>
      </c>
      <c r="M38" s="8">
        <f>IF(OR($G38="",$J38=""),"",$J38-$G38)</f>
        <v/>
      </c>
      <c r="N38" s="9" t="n"/>
      <c r="O38" s="9" t="n"/>
      <c r="P38" s="9" t="n"/>
      <c r="Q38" s="9" t="n"/>
      <c r="R38" s="9" t="n"/>
      <c r="S38" s="9" t="n"/>
      <c r="T38" s="14" t="n"/>
      <c r="U38" s="9" t="n"/>
      <c r="V38" s="8">
        <f>IF($G38="","",IF($D38="","⚠部屋が未選択",IF(COUNTIF('M_部屋'!$A$4:$A$20,$D38)=0,"⚠部屋が未登録",IF(OR($J38="",$N38="キャンセル"),"",IF(SUMPRODUCT(($D$5:$D$204=$D38)*($G$5:$G$204&lt;&gt;"")*($J$5:$J$204&lt;&gt;"")*($N$5:$N$204&lt;&gt;"キャンセル")*($G$5:$G$204&lt;$J38)*($J$5:$J$204&gt;$G38))&gt;1,"⚠重複","")))))</f>
        <v/>
      </c>
      <c r="W38" s="8">
        <f>IF(OR($B38="",$G38=""),"",IF(SUMPRODUCT(('利用者マスタ'!$A$4:$A$60=$B38)*('利用者マスタ'!$B$4:$B$60&lt;&gt;""))=0,"",IF(SUMIFS($X$5:$X$204,$B$5:$B$204,$B38,$G$5:$G$204,"&gt;="&amp;DATE(YEAR($G38),MONTH($G38),1),$G$5:$G$204,"&lt;="&amp;EOMONTH($G38,0))&gt;SUMIFS('利用者マスタ'!$B$4:$B$60,'利用者マスタ'!$A$4:$A$60,$B38),"⚠支給量超過","")))</f>
        <v/>
      </c>
      <c r="X38" s="8">
        <f>IF(OR($G38="",$J38="",$N38="キャンセル"),0,IF(IFERROR(INDEX('M_区分'!$B$4:$B$20,MATCH($C38,'M_区分'!$A$4:$A$20,0)),"○")="○",$J38-$G38+1,0))</f>
        <v/>
      </c>
      <c r="Y38" s="8">
        <f>IF($E38&lt;&gt;"",$E38,$Y37)</f>
        <v/>
      </c>
      <c r="Z38" s="8">
        <f>IF(OR($G38="",$J38=""),"",IF(AND($G38&lt;=EOMONTH('02_カレンダー'!$B$4,0),$J38&gt;='02_カレンダー'!$B$4),$G38*10000+ROW(),""))</f>
        <v/>
      </c>
      <c r="AA38" s="8">
        <f>IF($H38="","",IF(ISNUMBER($H38),TEXT($H38,"hh:mm"),$H38))</f>
        <v/>
      </c>
      <c r="AB38" s="8">
        <f>IF($K38="","",IF(ISNUMBER($K38),TEXT($K38,"hh:mm"),$K38))</f>
        <v/>
      </c>
      <c r="AC38" s="8">
        <f>IF($G38="",0,$G38)</f>
        <v/>
      </c>
      <c r="AD38" s="8">
        <f>IF($J38="",0,$J38)</f>
        <v/>
      </c>
    </row>
    <row r="39">
      <c r="A39" s="8">
        <f>IF($G39="","","SS-"&amp;TEXT(ROW()-4,"0000"))</f>
        <v/>
      </c>
      <c r="B39" s="9" t="n"/>
      <c r="C39" s="9" t="n"/>
      <c r="D39" s="9" t="n"/>
      <c r="E39" s="10" t="n"/>
      <c r="F39" s="11" t="n"/>
      <c r="G39" s="12">
        <f>IF($F39="","",IF($F39&gt;31,$F39,IF($Y39="","",DATE(YEAR($Y39),MONTH($Y39),$F39))))</f>
        <v/>
      </c>
      <c r="H39" s="13" t="n"/>
      <c r="I39" s="11" t="n"/>
      <c r="J39" s="12">
        <f>IF($I39="","",IF($I39&gt;31,$I39,IF($G39="","",IF(DATE(YEAR($G39),MONTH($G39),$I39)&gt;=$G39,DATE(YEAR($G39),MONTH($G39),$I39),DATE(YEAR($G39),MONTH($G39)+1,$I39)))))</f>
        <v/>
      </c>
      <c r="K39" s="13" t="n"/>
      <c r="L39" s="8">
        <f>IF(OR($G39="",$J39=""),"",$J39-$G39+1)</f>
        <v/>
      </c>
      <c r="M39" s="8">
        <f>IF(OR($G39="",$J39=""),"",$J39-$G39)</f>
        <v/>
      </c>
      <c r="N39" s="9" t="n"/>
      <c r="O39" s="9" t="n"/>
      <c r="P39" s="9" t="n"/>
      <c r="Q39" s="9" t="n"/>
      <c r="R39" s="9" t="n"/>
      <c r="S39" s="9" t="n"/>
      <c r="T39" s="14" t="n"/>
      <c r="U39" s="9" t="n"/>
      <c r="V39" s="8">
        <f>IF($G39="","",IF($D39="","⚠部屋が未選択",IF(COUNTIF('M_部屋'!$A$4:$A$20,$D39)=0,"⚠部屋が未登録",IF(OR($J39="",$N39="キャンセル"),"",IF(SUMPRODUCT(($D$5:$D$204=$D39)*($G$5:$G$204&lt;&gt;"")*($J$5:$J$204&lt;&gt;"")*($N$5:$N$204&lt;&gt;"キャンセル")*($G$5:$G$204&lt;$J39)*($J$5:$J$204&gt;$G39))&gt;1,"⚠重複","")))))</f>
        <v/>
      </c>
      <c r="W39" s="8">
        <f>IF(OR($B39="",$G39=""),"",IF(SUMPRODUCT(('利用者マスタ'!$A$4:$A$60=$B39)*('利用者マスタ'!$B$4:$B$60&lt;&gt;""))=0,"",IF(SUMIFS($X$5:$X$204,$B$5:$B$204,$B39,$G$5:$G$204,"&gt;="&amp;DATE(YEAR($G39),MONTH($G39),1),$G$5:$G$204,"&lt;="&amp;EOMONTH($G39,0))&gt;SUMIFS('利用者マスタ'!$B$4:$B$60,'利用者マスタ'!$A$4:$A$60,$B39),"⚠支給量超過","")))</f>
        <v/>
      </c>
      <c r="X39" s="8">
        <f>IF(OR($G39="",$J39="",$N39="キャンセル"),0,IF(IFERROR(INDEX('M_区分'!$B$4:$B$20,MATCH($C39,'M_区分'!$A$4:$A$20,0)),"○")="○",$J39-$G39+1,0))</f>
        <v/>
      </c>
      <c r="Y39" s="8">
        <f>IF($E39&lt;&gt;"",$E39,$Y38)</f>
        <v/>
      </c>
      <c r="Z39" s="8">
        <f>IF(OR($G39="",$J39=""),"",IF(AND($G39&lt;=EOMONTH('02_カレンダー'!$B$4,0),$J39&gt;='02_カレンダー'!$B$4),$G39*10000+ROW(),""))</f>
        <v/>
      </c>
      <c r="AA39" s="8">
        <f>IF($H39="","",IF(ISNUMBER($H39),TEXT($H39,"hh:mm"),$H39))</f>
        <v/>
      </c>
      <c r="AB39" s="8">
        <f>IF($K39="","",IF(ISNUMBER($K39),TEXT($K39,"hh:mm"),$K39))</f>
        <v/>
      </c>
      <c r="AC39" s="8">
        <f>IF($G39="",0,$G39)</f>
        <v/>
      </c>
      <c r="AD39" s="8">
        <f>IF($J39="",0,$J39)</f>
        <v/>
      </c>
    </row>
    <row r="40">
      <c r="A40" s="8">
        <f>IF($G40="","","SS-"&amp;TEXT(ROW()-4,"0000"))</f>
        <v/>
      </c>
      <c r="B40" s="9" t="n"/>
      <c r="C40" s="9" t="n"/>
      <c r="D40" s="9" t="n"/>
      <c r="E40" s="10" t="n"/>
      <c r="F40" s="11" t="n"/>
      <c r="G40" s="12">
        <f>IF($F40="","",IF($F40&gt;31,$F40,IF($Y40="","",DATE(YEAR($Y40),MONTH($Y40),$F40))))</f>
        <v/>
      </c>
      <c r="H40" s="13" t="n"/>
      <c r="I40" s="11" t="n"/>
      <c r="J40" s="12">
        <f>IF($I40="","",IF($I40&gt;31,$I40,IF($G40="","",IF(DATE(YEAR($G40),MONTH($G40),$I40)&gt;=$G40,DATE(YEAR($G40),MONTH($G40),$I40),DATE(YEAR($G40),MONTH($G40)+1,$I40)))))</f>
        <v/>
      </c>
      <c r="K40" s="13" t="n"/>
      <c r="L40" s="8">
        <f>IF(OR($G40="",$J40=""),"",$J40-$G40+1)</f>
        <v/>
      </c>
      <c r="M40" s="8">
        <f>IF(OR($G40="",$J40=""),"",$J40-$G40)</f>
        <v/>
      </c>
      <c r="N40" s="9" t="n"/>
      <c r="O40" s="9" t="n"/>
      <c r="P40" s="9" t="n"/>
      <c r="Q40" s="9" t="n"/>
      <c r="R40" s="9" t="n"/>
      <c r="S40" s="9" t="n"/>
      <c r="T40" s="14" t="n"/>
      <c r="U40" s="9" t="n"/>
      <c r="V40" s="8">
        <f>IF($G40="","",IF($D40="","⚠部屋が未選択",IF(COUNTIF('M_部屋'!$A$4:$A$20,$D40)=0,"⚠部屋が未登録",IF(OR($J40="",$N40="キャンセル"),"",IF(SUMPRODUCT(($D$5:$D$204=$D40)*($G$5:$G$204&lt;&gt;"")*($J$5:$J$204&lt;&gt;"")*($N$5:$N$204&lt;&gt;"キャンセル")*($G$5:$G$204&lt;$J40)*($J$5:$J$204&gt;$G40))&gt;1,"⚠重複","")))))</f>
        <v/>
      </c>
      <c r="W40" s="8">
        <f>IF(OR($B40="",$G40=""),"",IF(SUMPRODUCT(('利用者マスタ'!$A$4:$A$60=$B40)*('利用者マスタ'!$B$4:$B$60&lt;&gt;""))=0,"",IF(SUMIFS($X$5:$X$204,$B$5:$B$204,$B40,$G$5:$G$204,"&gt;="&amp;DATE(YEAR($G40),MONTH($G40),1),$G$5:$G$204,"&lt;="&amp;EOMONTH($G40,0))&gt;SUMIFS('利用者マスタ'!$B$4:$B$60,'利用者マスタ'!$A$4:$A$60,$B40),"⚠支給量超過","")))</f>
        <v/>
      </c>
      <c r="X40" s="8">
        <f>IF(OR($G40="",$J40="",$N40="キャンセル"),0,IF(IFERROR(INDEX('M_区分'!$B$4:$B$20,MATCH($C40,'M_区分'!$A$4:$A$20,0)),"○")="○",$J40-$G40+1,0))</f>
        <v/>
      </c>
      <c r="Y40" s="8">
        <f>IF($E40&lt;&gt;"",$E40,$Y39)</f>
        <v/>
      </c>
      <c r="Z40" s="8">
        <f>IF(OR($G40="",$J40=""),"",IF(AND($G40&lt;=EOMONTH('02_カレンダー'!$B$4,0),$J40&gt;='02_カレンダー'!$B$4),$G40*10000+ROW(),""))</f>
        <v/>
      </c>
      <c r="AA40" s="8">
        <f>IF($H40="","",IF(ISNUMBER($H40),TEXT($H40,"hh:mm"),$H40))</f>
        <v/>
      </c>
      <c r="AB40" s="8">
        <f>IF($K40="","",IF(ISNUMBER($K40),TEXT($K40,"hh:mm"),$K40))</f>
        <v/>
      </c>
      <c r="AC40" s="8">
        <f>IF($G40="",0,$G40)</f>
        <v/>
      </c>
      <c r="AD40" s="8">
        <f>IF($J40="",0,$J40)</f>
        <v/>
      </c>
    </row>
    <row r="41">
      <c r="A41" s="8">
        <f>IF($G41="","","SS-"&amp;TEXT(ROW()-4,"0000"))</f>
        <v/>
      </c>
      <c r="B41" s="9" t="n"/>
      <c r="C41" s="9" t="n"/>
      <c r="D41" s="9" t="n"/>
      <c r="E41" s="10" t="n"/>
      <c r="F41" s="11" t="n"/>
      <c r="G41" s="12">
        <f>IF($F41="","",IF($F41&gt;31,$F41,IF($Y41="","",DATE(YEAR($Y41),MONTH($Y41),$F41))))</f>
        <v/>
      </c>
      <c r="H41" s="13" t="n"/>
      <c r="I41" s="11" t="n"/>
      <c r="J41" s="12">
        <f>IF($I41="","",IF($I41&gt;31,$I41,IF($G41="","",IF(DATE(YEAR($G41),MONTH($G41),$I41)&gt;=$G41,DATE(YEAR($G41),MONTH($G41),$I41),DATE(YEAR($G41),MONTH($G41)+1,$I41)))))</f>
        <v/>
      </c>
      <c r="K41" s="13" t="n"/>
      <c r="L41" s="8">
        <f>IF(OR($G41="",$J41=""),"",$J41-$G41+1)</f>
        <v/>
      </c>
      <c r="M41" s="8">
        <f>IF(OR($G41="",$J41=""),"",$J41-$G41)</f>
        <v/>
      </c>
      <c r="N41" s="9" t="n"/>
      <c r="O41" s="9" t="n"/>
      <c r="P41" s="9" t="n"/>
      <c r="Q41" s="9" t="n"/>
      <c r="R41" s="9" t="n"/>
      <c r="S41" s="9" t="n"/>
      <c r="T41" s="14" t="n"/>
      <c r="U41" s="9" t="n"/>
      <c r="V41" s="8">
        <f>IF($G41="","",IF($D41="","⚠部屋が未選択",IF(COUNTIF('M_部屋'!$A$4:$A$20,$D41)=0,"⚠部屋が未登録",IF(OR($J41="",$N41="キャンセル"),"",IF(SUMPRODUCT(($D$5:$D$204=$D41)*($G$5:$G$204&lt;&gt;"")*($J$5:$J$204&lt;&gt;"")*($N$5:$N$204&lt;&gt;"キャンセル")*($G$5:$G$204&lt;$J41)*($J$5:$J$204&gt;$G41))&gt;1,"⚠重複","")))))</f>
        <v/>
      </c>
      <c r="W41" s="8">
        <f>IF(OR($B41="",$G41=""),"",IF(SUMPRODUCT(('利用者マスタ'!$A$4:$A$60=$B41)*('利用者マスタ'!$B$4:$B$60&lt;&gt;""))=0,"",IF(SUMIFS($X$5:$X$204,$B$5:$B$204,$B41,$G$5:$G$204,"&gt;="&amp;DATE(YEAR($G41),MONTH($G41),1),$G$5:$G$204,"&lt;="&amp;EOMONTH($G41,0))&gt;SUMIFS('利用者マスタ'!$B$4:$B$60,'利用者マスタ'!$A$4:$A$60,$B41),"⚠支給量超過","")))</f>
        <v/>
      </c>
      <c r="X41" s="8">
        <f>IF(OR($G41="",$J41="",$N41="キャンセル"),0,IF(IFERROR(INDEX('M_区分'!$B$4:$B$20,MATCH($C41,'M_区分'!$A$4:$A$20,0)),"○")="○",$J41-$G41+1,0))</f>
        <v/>
      </c>
      <c r="Y41" s="8">
        <f>IF($E41&lt;&gt;"",$E41,$Y40)</f>
        <v/>
      </c>
      <c r="Z41" s="8">
        <f>IF(OR($G41="",$J41=""),"",IF(AND($G41&lt;=EOMONTH('02_カレンダー'!$B$4,0),$J41&gt;='02_カレンダー'!$B$4),$G41*10000+ROW(),""))</f>
        <v/>
      </c>
      <c r="AA41" s="8">
        <f>IF($H41="","",IF(ISNUMBER($H41),TEXT($H41,"hh:mm"),$H41))</f>
        <v/>
      </c>
      <c r="AB41" s="8">
        <f>IF($K41="","",IF(ISNUMBER($K41),TEXT($K41,"hh:mm"),$K41))</f>
        <v/>
      </c>
      <c r="AC41" s="8">
        <f>IF($G41="",0,$G41)</f>
        <v/>
      </c>
      <c r="AD41" s="8">
        <f>IF($J41="",0,$J41)</f>
        <v/>
      </c>
    </row>
    <row r="42">
      <c r="A42" s="8">
        <f>IF($G42="","","SS-"&amp;TEXT(ROW()-4,"0000"))</f>
        <v/>
      </c>
      <c r="B42" s="9" t="n"/>
      <c r="C42" s="9" t="n"/>
      <c r="D42" s="9" t="n"/>
      <c r="E42" s="10" t="n"/>
      <c r="F42" s="11" t="n"/>
      <c r="G42" s="12">
        <f>IF($F42="","",IF($F42&gt;31,$F42,IF($Y42="","",DATE(YEAR($Y42),MONTH($Y42),$F42))))</f>
        <v/>
      </c>
      <c r="H42" s="13" t="n"/>
      <c r="I42" s="11" t="n"/>
      <c r="J42" s="12">
        <f>IF($I42="","",IF($I42&gt;31,$I42,IF($G42="","",IF(DATE(YEAR($G42),MONTH($G42),$I42)&gt;=$G42,DATE(YEAR($G42),MONTH($G42),$I42),DATE(YEAR($G42),MONTH($G42)+1,$I42)))))</f>
        <v/>
      </c>
      <c r="K42" s="13" t="n"/>
      <c r="L42" s="8">
        <f>IF(OR($G42="",$J42=""),"",$J42-$G42+1)</f>
        <v/>
      </c>
      <c r="M42" s="8">
        <f>IF(OR($G42="",$J42=""),"",$J42-$G42)</f>
        <v/>
      </c>
      <c r="N42" s="9" t="n"/>
      <c r="O42" s="9" t="n"/>
      <c r="P42" s="9" t="n"/>
      <c r="Q42" s="9" t="n"/>
      <c r="R42" s="9" t="n"/>
      <c r="S42" s="9" t="n"/>
      <c r="T42" s="14" t="n"/>
      <c r="U42" s="9" t="n"/>
      <c r="V42" s="8">
        <f>IF($G42="","",IF($D42="","⚠部屋が未選択",IF(COUNTIF('M_部屋'!$A$4:$A$20,$D42)=0,"⚠部屋が未登録",IF(OR($J42="",$N42="キャンセル"),"",IF(SUMPRODUCT(($D$5:$D$204=$D42)*($G$5:$G$204&lt;&gt;"")*($J$5:$J$204&lt;&gt;"")*($N$5:$N$204&lt;&gt;"キャンセル")*($G$5:$G$204&lt;$J42)*($J$5:$J$204&gt;$G42))&gt;1,"⚠重複","")))))</f>
        <v/>
      </c>
      <c r="W42" s="8">
        <f>IF(OR($B42="",$G42=""),"",IF(SUMPRODUCT(('利用者マスタ'!$A$4:$A$60=$B42)*('利用者マスタ'!$B$4:$B$60&lt;&gt;""))=0,"",IF(SUMIFS($X$5:$X$204,$B$5:$B$204,$B42,$G$5:$G$204,"&gt;="&amp;DATE(YEAR($G42),MONTH($G42),1),$G$5:$G$204,"&lt;="&amp;EOMONTH($G42,0))&gt;SUMIFS('利用者マスタ'!$B$4:$B$60,'利用者マスタ'!$A$4:$A$60,$B42),"⚠支給量超過","")))</f>
        <v/>
      </c>
      <c r="X42" s="8">
        <f>IF(OR($G42="",$J42="",$N42="キャンセル"),0,IF(IFERROR(INDEX('M_区分'!$B$4:$B$20,MATCH($C42,'M_区分'!$A$4:$A$20,0)),"○")="○",$J42-$G42+1,0))</f>
        <v/>
      </c>
      <c r="Y42" s="8">
        <f>IF($E42&lt;&gt;"",$E42,$Y41)</f>
        <v/>
      </c>
      <c r="Z42" s="8">
        <f>IF(OR($G42="",$J42=""),"",IF(AND($G42&lt;=EOMONTH('02_カレンダー'!$B$4,0),$J42&gt;='02_カレンダー'!$B$4),$G42*10000+ROW(),""))</f>
        <v/>
      </c>
      <c r="AA42" s="8">
        <f>IF($H42="","",IF(ISNUMBER($H42),TEXT($H42,"hh:mm"),$H42))</f>
        <v/>
      </c>
      <c r="AB42" s="8">
        <f>IF($K42="","",IF(ISNUMBER($K42),TEXT($K42,"hh:mm"),$K42))</f>
        <v/>
      </c>
      <c r="AC42" s="8">
        <f>IF($G42="",0,$G42)</f>
        <v/>
      </c>
      <c r="AD42" s="8">
        <f>IF($J42="",0,$J42)</f>
        <v/>
      </c>
    </row>
    <row r="43">
      <c r="A43" s="8">
        <f>IF($G43="","","SS-"&amp;TEXT(ROW()-4,"0000"))</f>
        <v/>
      </c>
      <c r="B43" s="9" t="n"/>
      <c r="C43" s="9" t="n"/>
      <c r="D43" s="9" t="n"/>
      <c r="E43" s="10" t="n"/>
      <c r="F43" s="11" t="n"/>
      <c r="G43" s="12">
        <f>IF($F43="","",IF($F43&gt;31,$F43,IF($Y43="","",DATE(YEAR($Y43),MONTH($Y43),$F43))))</f>
        <v/>
      </c>
      <c r="H43" s="13" t="n"/>
      <c r="I43" s="11" t="n"/>
      <c r="J43" s="12">
        <f>IF($I43="","",IF($I43&gt;31,$I43,IF($G43="","",IF(DATE(YEAR($G43),MONTH($G43),$I43)&gt;=$G43,DATE(YEAR($G43),MONTH($G43),$I43),DATE(YEAR($G43),MONTH($G43)+1,$I43)))))</f>
        <v/>
      </c>
      <c r="K43" s="13" t="n"/>
      <c r="L43" s="8">
        <f>IF(OR($G43="",$J43=""),"",$J43-$G43+1)</f>
        <v/>
      </c>
      <c r="M43" s="8">
        <f>IF(OR($G43="",$J43=""),"",$J43-$G43)</f>
        <v/>
      </c>
      <c r="N43" s="9" t="n"/>
      <c r="O43" s="9" t="n"/>
      <c r="P43" s="9" t="n"/>
      <c r="Q43" s="9" t="n"/>
      <c r="R43" s="9" t="n"/>
      <c r="S43" s="9" t="n"/>
      <c r="T43" s="14" t="n"/>
      <c r="U43" s="9" t="n"/>
      <c r="V43" s="8">
        <f>IF($G43="","",IF($D43="","⚠部屋が未選択",IF(COUNTIF('M_部屋'!$A$4:$A$20,$D43)=0,"⚠部屋が未登録",IF(OR($J43="",$N43="キャンセル"),"",IF(SUMPRODUCT(($D$5:$D$204=$D43)*($G$5:$G$204&lt;&gt;"")*($J$5:$J$204&lt;&gt;"")*($N$5:$N$204&lt;&gt;"キャンセル")*($G$5:$G$204&lt;$J43)*($J$5:$J$204&gt;$G43))&gt;1,"⚠重複","")))))</f>
        <v/>
      </c>
      <c r="W43" s="8">
        <f>IF(OR($B43="",$G43=""),"",IF(SUMPRODUCT(('利用者マスタ'!$A$4:$A$60=$B43)*('利用者マスタ'!$B$4:$B$60&lt;&gt;""))=0,"",IF(SUMIFS($X$5:$X$204,$B$5:$B$204,$B43,$G$5:$G$204,"&gt;="&amp;DATE(YEAR($G43),MONTH($G43),1),$G$5:$G$204,"&lt;="&amp;EOMONTH($G43,0))&gt;SUMIFS('利用者マスタ'!$B$4:$B$60,'利用者マスタ'!$A$4:$A$60,$B43),"⚠支給量超過","")))</f>
        <v/>
      </c>
      <c r="X43" s="8">
        <f>IF(OR($G43="",$J43="",$N43="キャンセル"),0,IF(IFERROR(INDEX('M_区分'!$B$4:$B$20,MATCH($C43,'M_区分'!$A$4:$A$20,0)),"○")="○",$J43-$G43+1,0))</f>
        <v/>
      </c>
      <c r="Y43" s="8">
        <f>IF($E43&lt;&gt;"",$E43,$Y42)</f>
        <v/>
      </c>
      <c r="Z43" s="8">
        <f>IF(OR($G43="",$J43=""),"",IF(AND($G43&lt;=EOMONTH('02_カレンダー'!$B$4,0),$J43&gt;='02_カレンダー'!$B$4),$G43*10000+ROW(),""))</f>
        <v/>
      </c>
      <c r="AA43" s="8">
        <f>IF($H43="","",IF(ISNUMBER($H43),TEXT($H43,"hh:mm"),$H43))</f>
        <v/>
      </c>
      <c r="AB43" s="8">
        <f>IF($K43="","",IF(ISNUMBER($K43),TEXT($K43,"hh:mm"),$K43))</f>
        <v/>
      </c>
      <c r="AC43" s="8">
        <f>IF($G43="",0,$G43)</f>
        <v/>
      </c>
      <c r="AD43" s="8">
        <f>IF($J43="",0,$J43)</f>
        <v/>
      </c>
    </row>
    <row r="44">
      <c r="A44" s="8">
        <f>IF($G44="","","SS-"&amp;TEXT(ROW()-4,"0000"))</f>
        <v/>
      </c>
      <c r="B44" s="9" t="n"/>
      <c r="C44" s="9" t="n"/>
      <c r="D44" s="9" t="n"/>
      <c r="E44" s="10" t="n"/>
      <c r="F44" s="11" t="n"/>
      <c r="G44" s="12">
        <f>IF($F44="","",IF($F44&gt;31,$F44,IF($Y44="","",DATE(YEAR($Y44),MONTH($Y44),$F44))))</f>
        <v/>
      </c>
      <c r="H44" s="13" t="n"/>
      <c r="I44" s="11" t="n"/>
      <c r="J44" s="12">
        <f>IF($I44="","",IF($I44&gt;31,$I44,IF($G44="","",IF(DATE(YEAR($G44),MONTH($G44),$I44)&gt;=$G44,DATE(YEAR($G44),MONTH($G44),$I44),DATE(YEAR($G44),MONTH($G44)+1,$I44)))))</f>
        <v/>
      </c>
      <c r="K44" s="13" t="n"/>
      <c r="L44" s="8">
        <f>IF(OR($G44="",$J44=""),"",$J44-$G44+1)</f>
        <v/>
      </c>
      <c r="M44" s="8">
        <f>IF(OR($G44="",$J44=""),"",$J44-$G44)</f>
        <v/>
      </c>
      <c r="N44" s="9" t="n"/>
      <c r="O44" s="9" t="n"/>
      <c r="P44" s="9" t="n"/>
      <c r="Q44" s="9" t="n"/>
      <c r="R44" s="9" t="n"/>
      <c r="S44" s="9" t="n"/>
      <c r="T44" s="14" t="n"/>
      <c r="U44" s="9" t="n"/>
      <c r="V44" s="8">
        <f>IF($G44="","",IF($D44="","⚠部屋が未選択",IF(COUNTIF('M_部屋'!$A$4:$A$20,$D44)=0,"⚠部屋が未登録",IF(OR($J44="",$N44="キャンセル"),"",IF(SUMPRODUCT(($D$5:$D$204=$D44)*($G$5:$G$204&lt;&gt;"")*($J$5:$J$204&lt;&gt;"")*($N$5:$N$204&lt;&gt;"キャンセル")*($G$5:$G$204&lt;$J44)*($J$5:$J$204&gt;$G44))&gt;1,"⚠重複","")))))</f>
        <v/>
      </c>
      <c r="W44" s="8">
        <f>IF(OR($B44="",$G44=""),"",IF(SUMPRODUCT(('利用者マスタ'!$A$4:$A$60=$B44)*('利用者マスタ'!$B$4:$B$60&lt;&gt;""))=0,"",IF(SUMIFS($X$5:$X$204,$B$5:$B$204,$B44,$G$5:$G$204,"&gt;="&amp;DATE(YEAR($G44),MONTH($G44),1),$G$5:$G$204,"&lt;="&amp;EOMONTH($G44,0))&gt;SUMIFS('利用者マスタ'!$B$4:$B$60,'利用者マスタ'!$A$4:$A$60,$B44),"⚠支給量超過","")))</f>
        <v/>
      </c>
      <c r="X44" s="8">
        <f>IF(OR($G44="",$J44="",$N44="キャンセル"),0,IF(IFERROR(INDEX('M_区分'!$B$4:$B$20,MATCH($C44,'M_区分'!$A$4:$A$20,0)),"○")="○",$J44-$G44+1,0))</f>
        <v/>
      </c>
      <c r="Y44" s="8">
        <f>IF($E44&lt;&gt;"",$E44,$Y43)</f>
        <v/>
      </c>
      <c r="Z44" s="8">
        <f>IF(OR($G44="",$J44=""),"",IF(AND($G44&lt;=EOMONTH('02_カレンダー'!$B$4,0),$J44&gt;='02_カレンダー'!$B$4),$G44*10000+ROW(),""))</f>
        <v/>
      </c>
      <c r="AA44" s="8">
        <f>IF($H44="","",IF(ISNUMBER($H44),TEXT($H44,"hh:mm"),$H44))</f>
        <v/>
      </c>
      <c r="AB44" s="8">
        <f>IF($K44="","",IF(ISNUMBER($K44),TEXT($K44,"hh:mm"),$K44))</f>
        <v/>
      </c>
      <c r="AC44" s="8">
        <f>IF($G44="",0,$G44)</f>
        <v/>
      </c>
      <c r="AD44" s="8">
        <f>IF($J44="",0,$J44)</f>
        <v/>
      </c>
    </row>
    <row r="45">
      <c r="A45" s="8">
        <f>IF($G45="","","SS-"&amp;TEXT(ROW()-4,"0000"))</f>
        <v/>
      </c>
      <c r="B45" s="9" t="n"/>
      <c r="C45" s="9" t="n"/>
      <c r="D45" s="9" t="n"/>
      <c r="E45" s="10" t="n"/>
      <c r="F45" s="11" t="n"/>
      <c r="G45" s="12">
        <f>IF($F45="","",IF($F45&gt;31,$F45,IF($Y45="","",DATE(YEAR($Y45),MONTH($Y45),$F45))))</f>
        <v/>
      </c>
      <c r="H45" s="13" t="n"/>
      <c r="I45" s="11" t="n"/>
      <c r="J45" s="12">
        <f>IF($I45="","",IF($I45&gt;31,$I45,IF($G45="","",IF(DATE(YEAR($G45),MONTH($G45),$I45)&gt;=$G45,DATE(YEAR($G45),MONTH($G45),$I45),DATE(YEAR($G45),MONTH($G45)+1,$I45)))))</f>
        <v/>
      </c>
      <c r="K45" s="13" t="n"/>
      <c r="L45" s="8">
        <f>IF(OR($G45="",$J45=""),"",$J45-$G45+1)</f>
        <v/>
      </c>
      <c r="M45" s="8">
        <f>IF(OR($G45="",$J45=""),"",$J45-$G45)</f>
        <v/>
      </c>
      <c r="N45" s="9" t="n"/>
      <c r="O45" s="9" t="n"/>
      <c r="P45" s="9" t="n"/>
      <c r="Q45" s="9" t="n"/>
      <c r="R45" s="9" t="n"/>
      <c r="S45" s="9" t="n"/>
      <c r="T45" s="14" t="n"/>
      <c r="U45" s="9" t="n"/>
      <c r="V45" s="8">
        <f>IF($G45="","",IF($D45="","⚠部屋が未選択",IF(COUNTIF('M_部屋'!$A$4:$A$20,$D45)=0,"⚠部屋が未登録",IF(OR($J45="",$N45="キャンセル"),"",IF(SUMPRODUCT(($D$5:$D$204=$D45)*($G$5:$G$204&lt;&gt;"")*($J$5:$J$204&lt;&gt;"")*($N$5:$N$204&lt;&gt;"キャンセル")*($G$5:$G$204&lt;$J45)*($J$5:$J$204&gt;$G45))&gt;1,"⚠重複","")))))</f>
        <v/>
      </c>
      <c r="W45" s="8">
        <f>IF(OR($B45="",$G45=""),"",IF(SUMPRODUCT(('利用者マスタ'!$A$4:$A$60=$B45)*('利用者マスタ'!$B$4:$B$60&lt;&gt;""))=0,"",IF(SUMIFS($X$5:$X$204,$B$5:$B$204,$B45,$G$5:$G$204,"&gt;="&amp;DATE(YEAR($G45),MONTH($G45),1),$G$5:$G$204,"&lt;="&amp;EOMONTH($G45,0))&gt;SUMIFS('利用者マスタ'!$B$4:$B$60,'利用者マスタ'!$A$4:$A$60,$B45),"⚠支給量超過","")))</f>
        <v/>
      </c>
      <c r="X45" s="8">
        <f>IF(OR($G45="",$J45="",$N45="キャンセル"),0,IF(IFERROR(INDEX('M_区分'!$B$4:$B$20,MATCH($C45,'M_区分'!$A$4:$A$20,0)),"○")="○",$J45-$G45+1,0))</f>
        <v/>
      </c>
      <c r="Y45" s="8">
        <f>IF($E45&lt;&gt;"",$E45,$Y44)</f>
        <v/>
      </c>
      <c r="Z45" s="8">
        <f>IF(OR($G45="",$J45=""),"",IF(AND($G45&lt;=EOMONTH('02_カレンダー'!$B$4,0),$J45&gt;='02_カレンダー'!$B$4),$G45*10000+ROW(),""))</f>
        <v/>
      </c>
      <c r="AA45" s="8">
        <f>IF($H45="","",IF(ISNUMBER($H45),TEXT($H45,"hh:mm"),$H45))</f>
        <v/>
      </c>
      <c r="AB45" s="8">
        <f>IF($K45="","",IF(ISNUMBER($K45),TEXT($K45,"hh:mm"),$K45))</f>
        <v/>
      </c>
      <c r="AC45" s="8">
        <f>IF($G45="",0,$G45)</f>
        <v/>
      </c>
      <c r="AD45" s="8">
        <f>IF($J45="",0,$J45)</f>
        <v/>
      </c>
    </row>
    <row r="46">
      <c r="A46" s="8">
        <f>IF($G46="","","SS-"&amp;TEXT(ROW()-4,"0000"))</f>
        <v/>
      </c>
      <c r="B46" s="9" t="n"/>
      <c r="C46" s="9" t="n"/>
      <c r="D46" s="9" t="n"/>
      <c r="E46" s="10" t="n"/>
      <c r="F46" s="11" t="n"/>
      <c r="G46" s="12">
        <f>IF($F46="","",IF($F46&gt;31,$F46,IF($Y46="","",DATE(YEAR($Y46),MONTH($Y46),$F46))))</f>
        <v/>
      </c>
      <c r="H46" s="13" t="n"/>
      <c r="I46" s="11" t="n"/>
      <c r="J46" s="12">
        <f>IF($I46="","",IF($I46&gt;31,$I46,IF($G46="","",IF(DATE(YEAR($G46),MONTH($G46),$I46)&gt;=$G46,DATE(YEAR($G46),MONTH($G46),$I46),DATE(YEAR($G46),MONTH($G46)+1,$I46)))))</f>
        <v/>
      </c>
      <c r="K46" s="13" t="n"/>
      <c r="L46" s="8">
        <f>IF(OR($G46="",$J46=""),"",$J46-$G46+1)</f>
        <v/>
      </c>
      <c r="M46" s="8">
        <f>IF(OR($G46="",$J46=""),"",$J46-$G46)</f>
        <v/>
      </c>
      <c r="N46" s="9" t="n"/>
      <c r="O46" s="9" t="n"/>
      <c r="P46" s="9" t="n"/>
      <c r="Q46" s="9" t="n"/>
      <c r="R46" s="9" t="n"/>
      <c r="S46" s="9" t="n"/>
      <c r="T46" s="14" t="n"/>
      <c r="U46" s="9" t="n"/>
      <c r="V46" s="8">
        <f>IF($G46="","",IF($D46="","⚠部屋が未選択",IF(COUNTIF('M_部屋'!$A$4:$A$20,$D46)=0,"⚠部屋が未登録",IF(OR($J46="",$N46="キャンセル"),"",IF(SUMPRODUCT(($D$5:$D$204=$D46)*($G$5:$G$204&lt;&gt;"")*($J$5:$J$204&lt;&gt;"")*($N$5:$N$204&lt;&gt;"キャンセル")*($G$5:$G$204&lt;$J46)*($J$5:$J$204&gt;$G46))&gt;1,"⚠重複","")))))</f>
        <v/>
      </c>
      <c r="W46" s="8">
        <f>IF(OR($B46="",$G46=""),"",IF(SUMPRODUCT(('利用者マスタ'!$A$4:$A$60=$B46)*('利用者マスタ'!$B$4:$B$60&lt;&gt;""))=0,"",IF(SUMIFS($X$5:$X$204,$B$5:$B$204,$B46,$G$5:$G$204,"&gt;="&amp;DATE(YEAR($G46),MONTH($G46),1),$G$5:$G$204,"&lt;="&amp;EOMONTH($G46,0))&gt;SUMIFS('利用者マスタ'!$B$4:$B$60,'利用者マスタ'!$A$4:$A$60,$B46),"⚠支給量超過","")))</f>
        <v/>
      </c>
      <c r="X46" s="8">
        <f>IF(OR($G46="",$J46="",$N46="キャンセル"),0,IF(IFERROR(INDEX('M_区分'!$B$4:$B$20,MATCH($C46,'M_区分'!$A$4:$A$20,0)),"○")="○",$J46-$G46+1,0))</f>
        <v/>
      </c>
      <c r="Y46" s="8">
        <f>IF($E46&lt;&gt;"",$E46,$Y45)</f>
        <v/>
      </c>
      <c r="Z46" s="8">
        <f>IF(OR($G46="",$J46=""),"",IF(AND($G46&lt;=EOMONTH('02_カレンダー'!$B$4,0),$J46&gt;='02_カレンダー'!$B$4),$G46*10000+ROW(),""))</f>
        <v/>
      </c>
      <c r="AA46" s="8">
        <f>IF($H46="","",IF(ISNUMBER($H46),TEXT($H46,"hh:mm"),$H46))</f>
        <v/>
      </c>
      <c r="AB46" s="8">
        <f>IF($K46="","",IF(ISNUMBER($K46),TEXT($K46,"hh:mm"),$K46))</f>
        <v/>
      </c>
      <c r="AC46" s="8">
        <f>IF($G46="",0,$G46)</f>
        <v/>
      </c>
      <c r="AD46" s="8">
        <f>IF($J46="",0,$J46)</f>
        <v/>
      </c>
    </row>
    <row r="47">
      <c r="A47" s="8">
        <f>IF($G47="","","SS-"&amp;TEXT(ROW()-4,"0000"))</f>
        <v/>
      </c>
      <c r="B47" s="9" t="n"/>
      <c r="C47" s="9" t="n"/>
      <c r="D47" s="9" t="n"/>
      <c r="E47" s="10" t="n"/>
      <c r="F47" s="11" t="n"/>
      <c r="G47" s="12">
        <f>IF($F47="","",IF($F47&gt;31,$F47,IF($Y47="","",DATE(YEAR($Y47),MONTH($Y47),$F47))))</f>
        <v/>
      </c>
      <c r="H47" s="13" t="n"/>
      <c r="I47" s="11" t="n"/>
      <c r="J47" s="12">
        <f>IF($I47="","",IF($I47&gt;31,$I47,IF($G47="","",IF(DATE(YEAR($G47),MONTH($G47),$I47)&gt;=$G47,DATE(YEAR($G47),MONTH($G47),$I47),DATE(YEAR($G47),MONTH($G47)+1,$I47)))))</f>
        <v/>
      </c>
      <c r="K47" s="13" t="n"/>
      <c r="L47" s="8">
        <f>IF(OR($G47="",$J47=""),"",$J47-$G47+1)</f>
        <v/>
      </c>
      <c r="M47" s="8">
        <f>IF(OR($G47="",$J47=""),"",$J47-$G47)</f>
        <v/>
      </c>
      <c r="N47" s="9" t="n"/>
      <c r="O47" s="9" t="n"/>
      <c r="P47" s="9" t="n"/>
      <c r="Q47" s="9" t="n"/>
      <c r="R47" s="9" t="n"/>
      <c r="S47" s="9" t="n"/>
      <c r="T47" s="14" t="n"/>
      <c r="U47" s="9" t="n"/>
      <c r="V47" s="8">
        <f>IF($G47="","",IF($D47="","⚠部屋が未選択",IF(COUNTIF('M_部屋'!$A$4:$A$20,$D47)=0,"⚠部屋が未登録",IF(OR($J47="",$N47="キャンセル"),"",IF(SUMPRODUCT(($D$5:$D$204=$D47)*($G$5:$G$204&lt;&gt;"")*($J$5:$J$204&lt;&gt;"")*($N$5:$N$204&lt;&gt;"キャンセル")*($G$5:$G$204&lt;$J47)*($J$5:$J$204&gt;$G47))&gt;1,"⚠重複","")))))</f>
        <v/>
      </c>
      <c r="W47" s="8">
        <f>IF(OR($B47="",$G47=""),"",IF(SUMPRODUCT(('利用者マスタ'!$A$4:$A$60=$B47)*('利用者マスタ'!$B$4:$B$60&lt;&gt;""))=0,"",IF(SUMIFS($X$5:$X$204,$B$5:$B$204,$B47,$G$5:$G$204,"&gt;="&amp;DATE(YEAR($G47),MONTH($G47),1),$G$5:$G$204,"&lt;="&amp;EOMONTH($G47,0))&gt;SUMIFS('利用者マスタ'!$B$4:$B$60,'利用者マスタ'!$A$4:$A$60,$B47),"⚠支給量超過","")))</f>
        <v/>
      </c>
      <c r="X47" s="8">
        <f>IF(OR($G47="",$J47="",$N47="キャンセル"),0,IF(IFERROR(INDEX('M_区分'!$B$4:$B$20,MATCH($C47,'M_区分'!$A$4:$A$20,0)),"○")="○",$J47-$G47+1,0))</f>
        <v/>
      </c>
      <c r="Y47" s="8">
        <f>IF($E47&lt;&gt;"",$E47,$Y46)</f>
        <v/>
      </c>
      <c r="Z47" s="8">
        <f>IF(OR($G47="",$J47=""),"",IF(AND($G47&lt;=EOMONTH('02_カレンダー'!$B$4,0),$J47&gt;='02_カレンダー'!$B$4),$G47*10000+ROW(),""))</f>
        <v/>
      </c>
      <c r="AA47" s="8">
        <f>IF($H47="","",IF(ISNUMBER($H47),TEXT($H47,"hh:mm"),$H47))</f>
        <v/>
      </c>
      <c r="AB47" s="8">
        <f>IF($K47="","",IF(ISNUMBER($K47),TEXT($K47,"hh:mm"),$K47))</f>
        <v/>
      </c>
      <c r="AC47" s="8">
        <f>IF($G47="",0,$G47)</f>
        <v/>
      </c>
      <c r="AD47" s="8">
        <f>IF($J47="",0,$J47)</f>
        <v/>
      </c>
    </row>
    <row r="48">
      <c r="A48" s="8">
        <f>IF($G48="","","SS-"&amp;TEXT(ROW()-4,"0000"))</f>
        <v/>
      </c>
      <c r="B48" s="9" t="n"/>
      <c r="C48" s="9" t="n"/>
      <c r="D48" s="9" t="n"/>
      <c r="E48" s="10" t="n"/>
      <c r="F48" s="11" t="n"/>
      <c r="G48" s="12">
        <f>IF($F48="","",IF($F48&gt;31,$F48,IF($Y48="","",DATE(YEAR($Y48),MONTH($Y48),$F48))))</f>
        <v/>
      </c>
      <c r="H48" s="13" t="n"/>
      <c r="I48" s="11" t="n"/>
      <c r="J48" s="12">
        <f>IF($I48="","",IF($I48&gt;31,$I48,IF($G48="","",IF(DATE(YEAR($G48),MONTH($G48),$I48)&gt;=$G48,DATE(YEAR($G48),MONTH($G48),$I48),DATE(YEAR($G48),MONTH($G48)+1,$I48)))))</f>
        <v/>
      </c>
      <c r="K48" s="13" t="n"/>
      <c r="L48" s="8">
        <f>IF(OR($G48="",$J48=""),"",$J48-$G48+1)</f>
        <v/>
      </c>
      <c r="M48" s="8">
        <f>IF(OR($G48="",$J48=""),"",$J48-$G48)</f>
        <v/>
      </c>
      <c r="N48" s="9" t="n"/>
      <c r="O48" s="9" t="n"/>
      <c r="P48" s="9" t="n"/>
      <c r="Q48" s="9" t="n"/>
      <c r="R48" s="9" t="n"/>
      <c r="S48" s="9" t="n"/>
      <c r="T48" s="14" t="n"/>
      <c r="U48" s="9" t="n"/>
      <c r="V48" s="8">
        <f>IF($G48="","",IF($D48="","⚠部屋が未選択",IF(COUNTIF('M_部屋'!$A$4:$A$20,$D48)=0,"⚠部屋が未登録",IF(OR($J48="",$N48="キャンセル"),"",IF(SUMPRODUCT(($D$5:$D$204=$D48)*($G$5:$G$204&lt;&gt;"")*($J$5:$J$204&lt;&gt;"")*($N$5:$N$204&lt;&gt;"キャンセル")*($G$5:$G$204&lt;$J48)*($J$5:$J$204&gt;$G48))&gt;1,"⚠重複","")))))</f>
        <v/>
      </c>
      <c r="W48" s="8">
        <f>IF(OR($B48="",$G48=""),"",IF(SUMPRODUCT(('利用者マスタ'!$A$4:$A$60=$B48)*('利用者マスタ'!$B$4:$B$60&lt;&gt;""))=0,"",IF(SUMIFS($X$5:$X$204,$B$5:$B$204,$B48,$G$5:$G$204,"&gt;="&amp;DATE(YEAR($G48),MONTH($G48),1),$G$5:$G$204,"&lt;="&amp;EOMONTH($G48,0))&gt;SUMIFS('利用者マスタ'!$B$4:$B$60,'利用者マスタ'!$A$4:$A$60,$B48),"⚠支給量超過","")))</f>
        <v/>
      </c>
      <c r="X48" s="8">
        <f>IF(OR($G48="",$J48="",$N48="キャンセル"),0,IF(IFERROR(INDEX('M_区分'!$B$4:$B$20,MATCH($C48,'M_区分'!$A$4:$A$20,0)),"○")="○",$J48-$G48+1,0))</f>
        <v/>
      </c>
      <c r="Y48" s="8">
        <f>IF($E48&lt;&gt;"",$E48,$Y47)</f>
        <v/>
      </c>
      <c r="Z48" s="8">
        <f>IF(OR($G48="",$J48=""),"",IF(AND($G48&lt;=EOMONTH('02_カレンダー'!$B$4,0),$J48&gt;='02_カレンダー'!$B$4),$G48*10000+ROW(),""))</f>
        <v/>
      </c>
      <c r="AA48" s="8">
        <f>IF($H48="","",IF(ISNUMBER($H48),TEXT($H48,"hh:mm"),$H48))</f>
        <v/>
      </c>
      <c r="AB48" s="8">
        <f>IF($K48="","",IF(ISNUMBER($K48),TEXT($K48,"hh:mm"),$K48))</f>
        <v/>
      </c>
      <c r="AC48" s="8">
        <f>IF($G48="",0,$G48)</f>
        <v/>
      </c>
      <c r="AD48" s="8">
        <f>IF($J48="",0,$J48)</f>
        <v/>
      </c>
    </row>
    <row r="49">
      <c r="A49" s="8">
        <f>IF($G49="","","SS-"&amp;TEXT(ROW()-4,"0000"))</f>
        <v/>
      </c>
      <c r="B49" s="9" t="n"/>
      <c r="C49" s="9" t="n"/>
      <c r="D49" s="9" t="n"/>
      <c r="E49" s="10" t="n"/>
      <c r="F49" s="11" t="n"/>
      <c r="G49" s="12">
        <f>IF($F49="","",IF($F49&gt;31,$F49,IF($Y49="","",DATE(YEAR($Y49),MONTH($Y49),$F49))))</f>
        <v/>
      </c>
      <c r="H49" s="13" t="n"/>
      <c r="I49" s="11" t="n"/>
      <c r="J49" s="12">
        <f>IF($I49="","",IF($I49&gt;31,$I49,IF($G49="","",IF(DATE(YEAR($G49),MONTH($G49),$I49)&gt;=$G49,DATE(YEAR($G49),MONTH($G49),$I49),DATE(YEAR($G49),MONTH($G49)+1,$I49)))))</f>
        <v/>
      </c>
      <c r="K49" s="13" t="n"/>
      <c r="L49" s="8">
        <f>IF(OR($G49="",$J49=""),"",$J49-$G49+1)</f>
        <v/>
      </c>
      <c r="M49" s="8">
        <f>IF(OR($G49="",$J49=""),"",$J49-$G49)</f>
        <v/>
      </c>
      <c r="N49" s="9" t="n"/>
      <c r="O49" s="9" t="n"/>
      <c r="P49" s="9" t="n"/>
      <c r="Q49" s="9" t="n"/>
      <c r="R49" s="9" t="n"/>
      <c r="S49" s="9" t="n"/>
      <c r="T49" s="14" t="n"/>
      <c r="U49" s="9" t="n"/>
      <c r="V49" s="8">
        <f>IF($G49="","",IF($D49="","⚠部屋が未選択",IF(COUNTIF('M_部屋'!$A$4:$A$20,$D49)=0,"⚠部屋が未登録",IF(OR($J49="",$N49="キャンセル"),"",IF(SUMPRODUCT(($D$5:$D$204=$D49)*($G$5:$G$204&lt;&gt;"")*($J$5:$J$204&lt;&gt;"")*($N$5:$N$204&lt;&gt;"キャンセル")*($G$5:$G$204&lt;$J49)*($J$5:$J$204&gt;$G49))&gt;1,"⚠重複","")))))</f>
        <v/>
      </c>
      <c r="W49" s="8">
        <f>IF(OR($B49="",$G49=""),"",IF(SUMPRODUCT(('利用者マスタ'!$A$4:$A$60=$B49)*('利用者マスタ'!$B$4:$B$60&lt;&gt;""))=0,"",IF(SUMIFS($X$5:$X$204,$B$5:$B$204,$B49,$G$5:$G$204,"&gt;="&amp;DATE(YEAR($G49),MONTH($G49),1),$G$5:$G$204,"&lt;="&amp;EOMONTH($G49,0))&gt;SUMIFS('利用者マスタ'!$B$4:$B$60,'利用者マスタ'!$A$4:$A$60,$B49),"⚠支給量超過","")))</f>
        <v/>
      </c>
      <c r="X49" s="8">
        <f>IF(OR($G49="",$J49="",$N49="キャンセル"),0,IF(IFERROR(INDEX('M_区分'!$B$4:$B$20,MATCH($C49,'M_区分'!$A$4:$A$20,0)),"○")="○",$J49-$G49+1,0))</f>
        <v/>
      </c>
      <c r="Y49" s="8">
        <f>IF($E49&lt;&gt;"",$E49,$Y48)</f>
        <v/>
      </c>
      <c r="Z49" s="8">
        <f>IF(OR($G49="",$J49=""),"",IF(AND($G49&lt;=EOMONTH('02_カレンダー'!$B$4,0),$J49&gt;='02_カレンダー'!$B$4),$G49*10000+ROW(),""))</f>
        <v/>
      </c>
      <c r="AA49" s="8">
        <f>IF($H49="","",IF(ISNUMBER($H49),TEXT($H49,"hh:mm"),$H49))</f>
        <v/>
      </c>
      <c r="AB49" s="8">
        <f>IF($K49="","",IF(ISNUMBER($K49),TEXT($K49,"hh:mm"),$K49))</f>
        <v/>
      </c>
      <c r="AC49" s="8">
        <f>IF($G49="",0,$G49)</f>
        <v/>
      </c>
      <c r="AD49" s="8">
        <f>IF($J49="",0,$J49)</f>
        <v/>
      </c>
    </row>
    <row r="50">
      <c r="A50" s="8">
        <f>IF($G50="","","SS-"&amp;TEXT(ROW()-4,"0000"))</f>
        <v/>
      </c>
      <c r="B50" s="9" t="n"/>
      <c r="C50" s="9" t="n"/>
      <c r="D50" s="9" t="n"/>
      <c r="E50" s="10" t="n"/>
      <c r="F50" s="11" t="n"/>
      <c r="G50" s="12">
        <f>IF($F50="","",IF($F50&gt;31,$F50,IF($Y50="","",DATE(YEAR($Y50),MONTH($Y50),$F50))))</f>
        <v/>
      </c>
      <c r="H50" s="13" t="n"/>
      <c r="I50" s="11" t="n"/>
      <c r="J50" s="12">
        <f>IF($I50="","",IF($I50&gt;31,$I50,IF($G50="","",IF(DATE(YEAR($G50),MONTH($G50),$I50)&gt;=$G50,DATE(YEAR($G50),MONTH($G50),$I50),DATE(YEAR($G50),MONTH($G50)+1,$I50)))))</f>
        <v/>
      </c>
      <c r="K50" s="13" t="n"/>
      <c r="L50" s="8">
        <f>IF(OR($G50="",$J50=""),"",$J50-$G50+1)</f>
        <v/>
      </c>
      <c r="M50" s="8">
        <f>IF(OR($G50="",$J50=""),"",$J50-$G50)</f>
        <v/>
      </c>
      <c r="N50" s="9" t="n"/>
      <c r="O50" s="9" t="n"/>
      <c r="P50" s="9" t="n"/>
      <c r="Q50" s="9" t="n"/>
      <c r="R50" s="9" t="n"/>
      <c r="S50" s="9" t="n"/>
      <c r="T50" s="14" t="n"/>
      <c r="U50" s="9" t="n"/>
      <c r="V50" s="8">
        <f>IF($G50="","",IF($D50="","⚠部屋が未選択",IF(COUNTIF('M_部屋'!$A$4:$A$20,$D50)=0,"⚠部屋が未登録",IF(OR($J50="",$N50="キャンセル"),"",IF(SUMPRODUCT(($D$5:$D$204=$D50)*($G$5:$G$204&lt;&gt;"")*($J$5:$J$204&lt;&gt;"")*($N$5:$N$204&lt;&gt;"キャンセル")*($G$5:$G$204&lt;$J50)*($J$5:$J$204&gt;$G50))&gt;1,"⚠重複","")))))</f>
        <v/>
      </c>
      <c r="W50" s="8">
        <f>IF(OR($B50="",$G50=""),"",IF(SUMPRODUCT(('利用者マスタ'!$A$4:$A$60=$B50)*('利用者マスタ'!$B$4:$B$60&lt;&gt;""))=0,"",IF(SUMIFS($X$5:$X$204,$B$5:$B$204,$B50,$G$5:$G$204,"&gt;="&amp;DATE(YEAR($G50),MONTH($G50),1),$G$5:$G$204,"&lt;="&amp;EOMONTH($G50,0))&gt;SUMIFS('利用者マスタ'!$B$4:$B$60,'利用者マスタ'!$A$4:$A$60,$B50),"⚠支給量超過","")))</f>
        <v/>
      </c>
      <c r="X50" s="8">
        <f>IF(OR($G50="",$J50="",$N50="キャンセル"),0,IF(IFERROR(INDEX('M_区分'!$B$4:$B$20,MATCH($C50,'M_区分'!$A$4:$A$20,0)),"○")="○",$J50-$G50+1,0))</f>
        <v/>
      </c>
      <c r="Y50" s="8">
        <f>IF($E50&lt;&gt;"",$E50,$Y49)</f>
        <v/>
      </c>
      <c r="Z50" s="8">
        <f>IF(OR($G50="",$J50=""),"",IF(AND($G50&lt;=EOMONTH('02_カレンダー'!$B$4,0),$J50&gt;='02_カレンダー'!$B$4),$G50*10000+ROW(),""))</f>
        <v/>
      </c>
      <c r="AA50" s="8">
        <f>IF($H50="","",IF(ISNUMBER($H50),TEXT($H50,"hh:mm"),$H50))</f>
        <v/>
      </c>
      <c r="AB50" s="8">
        <f>IF($K50="","",IF(ISNUMBER($K50),TEXT($K50,"hh:mm"),$K50))</f>
        <v/>
      </c>
      <c r="AC50" s="8">
        <f>IF($G50="",0,$G50)</f>
        <v/>
      </c>
      <c r="AD50" s="8">
        <f>IF($J50="",0,$J50)</f>
        <v/>
      </c>
    </row>
    <row r="51">
      <c r="A51" s="8">
        <f>IF($G51="","","SS-"&amp;TEXT(ROW()-4,"0000"))</f>
        <v/>
      </c>
      <c r="B51" s="9" t="n"/>
      <c r="C51" s="9" t="n"/>
      <c r="D51" s="9" t="n"/>
      <c r="E51" s="10" t="n"/>
      <c r="F51" s="11" t="n"/>
      <c r="G51" s="12">
        <f>IF($F51="","",IF($F51&gt;31,$F51,IF($Y51="","",DATE(YEAR($Y51),MONTH($Y51),$F51))))</f>
        <v/>
      </c>
      <c r="H51" s="13" t="n"/>
      <c r="I51" s="11" t="n"/>
      <c r="J51" s="12">
        <f>IF($I51="","",IF($I51&gt;31,$I51,IF($G51="","",IF(DATE(YEAR($G51),MONTH($G51),$I51)&gt;=$G51,DATE(YEAR($G51),MONTH($G51),$I51),DATE(YEAR($G51),MONTH($G51)+1,$I51)))))</f>
        <v/>
      </c>
      <c r="K51" s="13" t="n"/>
      <c r="L51" s="8">
        <f>IF(OR($G51="",$J51=""),"",$J51-$G51+1)</f>
        <v/>
      </c>
      <c r="M51" s="8">
        <f>IF(OR($G51="",$J51=""),"",$J51-$G51)</f>
        <v/>
      </c>
      <c r="N51" s="9" t="n"/>
      <c r="O51" s="9" t="n"/>
      <c r="P51" s="9" t="n"/>
      <c r="Q51" s="9" t="n"/>
      <c r="R51" s="9" t="n"/>
      <c r="S51" s="9" t="n"/>
      <c r="T51" s="14" t="n"/>
      <c r="U51" s="9" t="n"/>
      <c r="V51" s="8">
        <f>IF($G51="","",IF($D51="","⚠部屋が未選択",IF(COUNTIF('M_部屋'!$A$4:$A$20,$D51)=0,"⚠部屋が未登録",IF(OR($J51="",$N51="キャンセル"),"",IF(SUMPRODUCT(($D$5:$D$204=$D51)*($G$5:$G$204&lt;&gt;"")*($J$5:$J$204&lt;&gt;"")*($N$5:$N$204&lt;&gt;"キャンセル")*($G$5:$G$204&lt;$J51)*($J$5:$J$204&gt;$G51))&gt;1,"⚠重複","")))))</f>
        <v/>
      </c>
      <c r="W51" s="8">
        <f>IF(OR($B51="",$G51=""),"",IF(SUMPRODUCT(('利用者マスタ'!$A$4:$A$60=$B51)*('利用者マスタ'!$B$4:$B$60&lt;&gt;""))=0,"",IF(SUMIFS($X$5:$X$204,$B$5:$B$204,$B51,$G$5:$G$204,"&gt;="&amp;DATE(YEAR($G51),MONTH($G51),1),$G$5:$G$204,"&lt;="&amp;EOMONTH($G51,0))&gt;SUMIFS('利用者マスタ'!$B$4:$B$60,'利用者マスタ'!$A$4:$A$60,$B51),"⚠支給量超過","")))</f>
        <v/>
      </c>
      <c r="X51" s="8">
        <f>IF(OR($G51="",$J51="",$N51="キャンセル"),0,IF(IFERROR(INDEX('M_区分'!$B$4:$B$20,MATCH($C51,'M_区分'!$A$4:$A$20,0)),"○")="○",$J51-$G51+1,0))</f>
        <v/>
      </c>
      <c r="Y51" s="8">
        <f>IF($E51&lt;&gt;"",$E51,$Y50)</f>
        <v/>
      </c>
      <c r="Z51" s="8">
        <f>IF(OR($G51="",$J51=""),"",IF(AND($G51&lt;=EOMONTH('02_カレンダー'!$B$4,0),$J51&gt;='02_カレンダー'!$B$4),$G51*10000+ROW(),""))</f>
        <v/>
      </c>
      <c r="AA51" s="8">
        <f>IF($H51="","",IF(ISNUMBER($H51),TEXT($H51,"hh:mm"),$H51))</f>
        <v/>
      </c>
      <c r="AB51" s="8">
        <f>IF($K51="","",IF(ISNUMBER($K51),TEXT($K51,"hh:mm"),$K51))</f>
        <v/>
      </c>
      <c r="AC51" s="8">
        <f>IF($G51="",0,$G51)</f>
        <v/>
      </c>
      <c r="AD51" s="8">
        <f>IF($J51="",0,$J51)</f>
        <v/>
      </c>
    </row>
    <row r="52">
      <c r="A52" s="8">
        <f>IF($G52="","","SS-"&amp;TEXT(ROW()-4,"0000"))</f>
        <v/>
      </c>
      <c r="B52" s="9" t="n"/>
      <c r="C52" s="9" t="n"/>
      <c r="D52" s="9" t="n"/>
      <c r="E52" s="10" t="n"/>
      <c r="F52" s="11" t="n"/>
      <c r="G52" s="12">
        <f>IF($F52="","",IF($F52&gt;31,$F52,IF($Y52="","",DATE(YEAR($Y52),MONTH($Y52),$F52))))</f>
        <v/>
      </c>
      <c r="H52" s="13" t="n"/>
      <c r="I52" s="11" t="n"/>
      <c r="J52" s="12">
        <f>IF($I52="","",IF($I52&gt;31,$I52,IF($G52="","",IF(DATE(YEAR($G52),MONTH($G52),$I52)&gt;=$G52,DATE(YEAR($G52),MONTH($G52),$I52),DATE(YEAR($G52),MONTH($G52)+1,$I52)))))</f>
        <v/>
      </c>
      <c r="K52" s="13" t="n"/>
      <c r="L52" s="8">
        <f>IF(OR($G52="",$J52=""),"",$J52-$G52+1)</f>
        <v/>
      </c>
      <c r="M52" s="8">
        <f>IF(OR($G52="",$J52=""),"",$J52-$G52)</f>
        <v/>
      </c>
      <c r="N52" s="9" t="n"/>
      <c r="O52" s="9" t="n"/>
      <c r="P52" s="9" t="n"/>
      <c r="Q52" s="9" t="n"/>
      <c r="R52" s="9" t="n"/>
      <c r="S52" s="9" t="n"/>
      <c r="T52" s="14" t="n"/>
      <c r="U52" s="9" t="n"/>
      <c r="V52" s="8">
        <f>IF($G52="","",IF($D52="","⚠部屋が未選択",IF(COUNTIF('M_部屋'!$A$4:$A$20,$D52)=0,"⚠部屋が未登録",IF(OR($J52="",$N52="キャンセル"),"",IF(SUMPRODUCT(($D$5:$D$204=$D52)*($G$5:$G$204&lt;&gt;"")*($J$5:$J$204&lt;&gt;"")*($N$5:$N$204&lt;&gt;"キャンセル")*($G$5:$G$204&lt;$J52)*($J$5:$J$204&gt;$G52))&gt;1,"⚠重複","")))))</f>
        <v/>
      </c>
      <c r="W52" s="8">
        <f>IF(OR($B52="",$G52=""),"",IF(SUMPRODUCT(('利用者マスタ'!$A$4:$A$60=$B52)*('利用者マスタ'!$B$4:$B$60&lt;&gt;""))=0,"",IF(SUMIFS($X$5:$X$204,$B$5:$B$204,$B52,$G$5:$G$204,"&gt;="&amp;DATE(YEAR($G52),MONTH($G52),1),$G$5:$G$204,"&lt;="&amp;EOMONTH($G52,0))&gt;SUMIFS('利用者マスタ'!$B$4:$B$60,'利用者マスタ'!$A$4:$A$60,$B52),"⚠支給量超過","")))</f>
        <v/>
      </c>
      <c r="X52" s="8">
        <f>IF(OR($G52="",$J52="",$N52="キャンセル"),0,IF(IFERROR(INDEX('M_区分'!$B$4:$B$20,MATCH($C52,'M_区分'!$A$4:$A$20,0)),"○")="○",$J52-$G52+1,0))</f>
        <v/>
      </c>
      <c r="Y52" s="8">
        <f>IF($E52&lt;&gt;"",$E52,$Y51)</f>
        <v/>
      </c>
      <c r="Z52" s="8">
        <f>IF(OR($G52="",$J52=""),"",IF(AND($G52&lt;=EOMONTH('02_カレンダー'!$B$4,0),$J52&gt;='02_カレンダー'!$B$4),$G52*10000+ROW(),""))</f>
        <v/>
      </c>
      <c r="AA52" s="8">
        <f>IF($H52="","",IF(ISNUMBER($H52),TEXT($H52,"hh:mm"),$H52))</f>
        <v/>
      </c>
      <c r="AB52" s="8">
        <f>IF($K52="","",IF(ISNUMBER($K52),TEXT($K52,"hh:mm"),$K52))</f>
        <v/>
      </c>
      <c r="AC52" s="8">
        <f>IF($G52="",0,$G52)</f>
        <v/>
      </c>
      <c r="AD52" s="8">
        <f>IF($J52="",0,$J52)</f>
        <v/>
      </c>
    </row>
    <row r="53">
      <c r="A53" s="8">
        <f>IF($G53="","","SS-"&amp;TEXT(ROW()-4,"0000"))</f>
        <v/>
      </c>
      <c r="B53" s="9" t="n"/>
      <c r="C53" s="9" t="n"/>
      <c r="D53" s="9" t="n"/>
      <c r="E53" s="10" t="n"/>
      <c r="F53" s="11" t="n"/>
      <c r="G53" s="12">
        <f>IF($F53="","",IF($F53&gt;31,$F53,IF($Y53="","",DATE(YEAR($Y53),MONTH($Y53),$F53))))</f>
        <v/>
      </c>
      <c r="H53" s="13" t="n"/>
      <c r="I53" s="11" t="n"/>
      <c r="J53" s="12">
        <f>IF($I53="","",IF($I53&gt;31,$I53,IF($G53="","",IF(DATE(YEAR($G53),MONTH($G53),$I53)&gt;=$G53,DATE(YEAR($G53),MONTH($G53),$I53),DATE(YEAR($G53),MONTH($G53)+1,$I53)))))</f>
        <v/>
      </c>
      <c r="K53" s="13" t="n"/>
      <c r="L53" s="8">
        <f>IF(OR($G53="",$J53=""),"",$J53-$G53+1)</f>
        <v/>
      </c>
      <c r="M53" s="8">
        <f>IF(OR($G53="",$J53=""),"",$J53-$G53)</f>
        <v/>
      </c>
      <c r="N53" s="9" t="n"/>
      <c r="O53" s="9" t="n"/>
      <c r="P53" s="9" t="n"/>
      <c r="Q53" s="9" t="n"/>
      <c r="R53" s="9" t="n"/>
      <c r="S53" s="9" t="n"/>
      <c r="T53" s="14" t="n"/>
      <c r="U53" s="9" t="n"/>
      <c r="V53" s="8">
        <f>IF($G53="","",IF($D53="","⚠部屋が未選択",IF(COUNTIF('M_部屋'!$A$4:$A$20,$D53)=0,"⚠部屋が未登録",IF(OR($J53="",$N53="キャンセル"),"",IF(SUMPRODUCT(($D$5:$D$204=$D53)*($G$5:$G$204&lt;&gt;"")*($J$5:$J$204&lt;&gt;"")*($N$5:$N$204&lt;&gt;"キャンセル")*($G$5:$G$204&lt;$J53)*($J$5:$J$204&gt;$G53))&gt;1,"⚠重複","")))))</f>
        <v/>
      </c>
      <c r="W53" s="8">
        <f>IF(OR($B53="",$G53=""),"",IF(SUMPRODUCT(('利用者マスタ'!$A$4:$A$60=$B53)*('利用者マスタ'!$B$4:$B$60&lt;&gt;""))=0,"",IF(SUMIFS($X$5:$X$204,$B$5:$B$204,$B53,$G$5:$G$204,"&gt;="&amp;DATE(YEAR($G53),MONTH($G53),1),$G$5:$G$204,"&lt;="&amp;EOMONTH($G53,0))&gt;SUMIFS('利用者マスタ'!$B$4:$B$60,'利用者マスタ'!$A$4:$A$60,$B53),"⚠支給量超過","")))</f>
        <v/>
      </c>
      <c r="X53" s="8">
        <f>IF(OR($G53="",$J53="",$N53="キャンセル"),0,IF(IFERROR(INDEX('M_区分'!$B$4:$B$20,MATCH($C53,'M_区分'!$A$4:$A$20,0)),"○")="○",$J53-$G53+1,0))</f>
        <v/>
      </c>
      <c r="Y53" s="8">
        <f>IF($E53&lt;&gt;"",$E53,$Y52)</f>
        <v/>
      </c>
      <c r="Z53" s="8">
        <f>IF(OR($G53="",$J53=""),"",IF(AND($G53&lt;=EOMONTH('02_カレンダー'!$B$4,0),$J53&gt;='02_カレンダー'!$B$4),$G53*10000+ROW(),""))</f>
        <v/>
      </c>
      <c r="AA53" s="8">
        <f>IF($H53="","",IF(ISNUMBER($H53),TEXT($H53,"hh:mm"),$H53))</f>
        <v/>
      </c>
      <c r="AB53" s="8">
        <f>IF($K53="","",IF(ISNUMBER($K53),TEXT($K53,"hh:mm"),$K53))</f>
        <v/>
      </c>
      <c r="AC53" s="8">
        <f>IF($G53="",0,$G53)</f>
        <v/>
      </c>
      <c r="AD53" s="8">
        <f>IF($J53="",0,$J53)</f>
        <v/>
      </c>
    </row>
    <row r="54">
      <c r="A54" s="8">
        <f>IF($G54="","","SS-"&amp;TEXT(ROW()-4,"0000"))</f>
        <v/>
      </c>
      <c r="B54" s="9" t="n"/>
      <c r="C54" s="9" t="n"/>
      <c r="D54" s="9" t="n"/>
      <c r="E54" s="10" t="n"/>
      <c r="F54" s="11" t="n"/>
      <c r="G54" s="12">
        <f>IF($F54="","",IF($F54&gt;31,$F54,IF($Y54="","",DATE(YEAR($Y54),MONTH($Y54),$F54))))</f>
        <v/>
      </c>
      <c r="H54" s="13" t="n"/>
      <c r="I54" s="11" t="n"/>
      <c r="J54" s="12">
        <f>IF($I54="","",IF($I54&gt;31,$I54,IF($G54="","",IF(DATE(YEAR($G54),MONTH($G54),$I54)&gt;=$G54,DATE(YEAR($G54),MONTH($G54),$I54),DATE(YEAR($G54),MONTH($G54)+1,$I54)))))</f>
        <v/>
      </c>
      <c r="K54" s="13" t="n"/>
      <c r="L54" s="8">
        <f>IF(OR($G54="",$J54=""),"",$J54-$G54+1)</f>
        <v/>
      </c>
      <c r="M54" s="8">
        <f>IF(OR($G54="",$J54=""),"",$J54-$G54)</f>
        <v/>
      </c>
      <c r="N54" s="9" t="n"/>
      <c r="O54" s="9" t="n"/>
      <c r="P54" s="9" t="n"/>
      <c r="Q54" s="9" t="n"/>
      <c r="R54" s="9" t="n"/>
      <c r="S54" s="9" t="n"/>
      <c r="T54" s="14" t="n"/>
      <c r="U54" s="9" t="n"/>
      <c r="V54" s="8">
        <f>IF($G54="","",IF($D54="","⚠部屋が未選択",IF(COUNTIF('M_部屋'!$A$4:$A$20,$D54)=0,"⚠部屋が未登録",IF(OR($J54="",$N54="キャンセル"),"",IF(SUMPRODUCT(($D$5:$D$204=$D54)*($G$5:$G$204&lt;&gt;"")*($J$5:$J$204&lt;&gt;"")*($N$5:$N$204&lt;&gt;"キャンセル")*($G$5:$G$204&lt;$J54)*($J$5:$J$204&gt;$G54))&gt;1,"⚠重複","")))))</f>
        <v/>
      </c>
      <c r="W54" s="8">
        <f>IF(OR($B54="",$G54=""),"",IF(SUMPRODUCT(('利用者マスタ'!$A$4:$A$60=$B54)*('利用者マスタ'!$B$4:$B$60&lt;&gt;""))=0,"",IF(SUMIFS($X$5:$X$204,$B$5:$B$204,$B54,$G$5:$G$204,"&gt;="&amp;DATE(YEAR($G54),MONTH($G54),1),$G$5:$G$204,"&lt;="&amp;EOMONTH($G54,0))&gt;SUMIFS('利用者マスタ'!$B$4:$B$60,'利用者マスタ'!$A$4:$A$60,$B54),"⚠支給量超過","")))</f>
        <v/>
      </c>
      <c r="X54" s="8">
        <f>IF(OR($G54="",$J54="",$N54="キャンセル"),0,IF(IFERROR(INDEX('M_区分'!$B$4:$B$20,MATCH($C54,'M_区分'!$A$4:$A$20,0)),"○")="○",$J54-$G54+1,0))</f>
        <v/>
      </c>
      <c r="Y54" s="8">
        <f>IF($E54&lt;&gt;"",$E54,$Y53)</f>
        <v/>
      </c>
      <c r="Z54" s="8">
        <f>IF(OR($G54="",$J54=""),"",IF(AND($G54&lt;=EOMONTH('02_カレンダー'!$B$4,0),$J54&gt;='02_カレンダー'!$B$4),$G54*10000+ROW(),""))</f>
        <v/>
      </c>
      <c r="AA54" s="8">
        <f>IF($H54="","",IF(ISNUMBER($H54),TEXT($H54,"hh:mm"),$H54))</f>
        <v/>
      </c>
      <c r="AB54" s="8">
        <f>IF($K54="","",IF(ISNUMBER($K54),TEXT($K54,"hh:mm"),$K54))</f>
        <v/>
      </c>
      <c r="AC54" s="8">
        <f>IF($G54="",0,$G54)</f>
        <v/>
      </c>
      <c r="AD54" s="8">
        <f>IF($J54="",0,$J54)</f>
        <v/>
      </c>
    </row>
    <row r="55">
      <c r="A55" s="8">
        <f>IF($G55="","","SS-"&amp;TEXT(ROW()-4,"0000"))</f>
        <v/>
      </c>
      <c r="B55" s="9" t="n"/>
      <c r="C55" s="9" t="n"/>
      <c r="D55" s="9" t="n"/>
      <c r="E55" s="10" t="n"/>
      <c r="F55" s="11" t="n"/>
      <c r="G55" s="12">
        <f>IF($F55="","",IF($F55&gt;31,$F55,IF($Y55="","",DATE(YEAR($Y55),MONTH($Y55),$F55))))</f>
        <v/>
      </c>
      <c r="H55" s="13" t="n"/>
      <c r="I55" s="11" t="n"/>
      <c r="J55" s="12">
        <f>IF($I55="","",IF($I55&gt;31,$I55,IF($G55="","",IF(DATE(YEAR($G55),MONTH($G55),$I55)&gt;=$G55,DATE(YEAR($G55),MONTH($G55),$I55),DATE(YEAR($G55),MONTH($G55)+1,$I55)))))</f>
        <v/>
      </c>
      <c r="K55" s="13" t="n"/>
      <c r="L55" s="8">
        <f>IF(OR($G55="",$J55=""),"",$J55-$G55+1)</f>
        <v/>
      </c>
      <c r="M55" s="8">
        <f>IF(OR($G55="",$J55=""),"",$J55-$G55)</f>
        <v/>
      </c>
      <c r="N55" s="9" t="n"/>
      <c r="O55" s="9" t="n"/>
      <c r="P55" s="9" t="n"/>
      <c r="Q55" s="9" t="n"/>
      <c r="R55" s="9" t="n"/>
      <c r="S55" s="9" t="n"/>
      <c r="T55" s="14" t="n"/>
      <c r="U55" s="9" t="n"/>
      <c r="V55" s="8">
        <f>IF($G55="","",IF($D55="","⚠部屋が未選択",IF(COUNTIF('M_部屋'!$A$4:$A$20,$D55)=0,"⚠部屋が未登録",IF(OR($J55="",$N55="キャンセル"),"",IF(SUMPRODUCT(($D$5:$D$204=$D55)*($G$5:$G$204&lt;&gt;"")*($J$5:$J$204&lt;&gt;"")*($N$5:$N$204&lt;&gt;"キャンセル")*($G$5:$G$204&lt;$J55)*($J$5:$J$204&gt;$G55))&gt;1,"⚠重複","")))))</f>
        <v/>
      </c>
      <c r="W55" s="8">
        <f>IF(OR($B55="",$G55=""),"",IF(SUMPRODUCT(('利用者マスタ'!$A$4:$A$60=$B55)*('利用者マスタ'!$B$4:$B$60&lt;&gt;""))=0,"",IF(SUMIFS($X$5:$X$204,$B$5:$B$204,$B55,$G$5:$G$204,"&gt;="&amp;DATE(YEAR($G55),MONTH($G55),1),$G$5:$G$204,"&lt;="&amp;EOMONTH($G55,0))&gt;SUMIFS('利用者マスタ'!$B$4:$B$60,'利用者マスタ'!$A$4:$A$60,$B55),"⚠支給量超過","")))</f>
        <v/>
      </c>
      <c r="X55" s="8">
        <f>IF(OR($G55="",$J55="",$N55="キャンセル"),0,IF(IFERROR(INDEX('M_区分'!$B$4:$B$20,MATCH($C55,'M_区分'!$A$4:$A$20,0)),"○")="○",$J55-$G55+1,0))</f>
        <v/>
      </c>
      <c r="Y55" s="8">
        <f>IF($E55&lt;&gt;"",$E55,$Y54)</f>
        <v/>
      </c>
      <c r="Z55" s="8">
        <f>IF(OR($G55="",$J55=""),"",IF(AND($G55&lt;=EOMONTH('02_カレンダー'!$B$4,0),$J55&gt;='02_カレンダー'!$B$4),$G55*10000+ROW(),""))</f>
        <v/>
      </c>
      <c r="AA55" s="8">
        <f>IF($H55="","",IF(ISNUMBER($H55),TEXT($H55,"hh:mm"),$H55))</f>
        <v/>
      </c>
      <c r="AB55" s="8">
        <f>IF($K55="","",IF(ISNUMBER($K55),TEXT($K55,"hh:mm"),$K55))</f>
        <v/>
      </c>
      <c r="AC55" s="8">
        <f>IF($G55="",0,$G55)</f>
        <v/>
      </c>
      <c r="AD55" s="8">
        <f>IF($J55="",0,$J55)</f>
        <v/>
      </c>
    </row>
    <row r="56">
      <c r="A56" s="8">
        <f>IF($G56="","","SS-"&amp;TEXT(ROW()-4,"0000"))</f>
        <v/>
      </c>
      <c r="B56" s="9" t="n"/>
      <c r="C56" s="9" t="n"/>
      <c r="D56" s="9" t="n"/>
      <c r="E56" s="10" t="n"/>
      <c r="F56" s="11" t="n"/>
      <c r="G56" s="12">
        <f>IF($F56="","",IF($F56&gt;31,$F56,IF($Y56="","",DATE(YEAR($Y56),MONTH($Y56),$F56))))</f>
        <v/>
      </c>
      <c r="H56" s="13" t="n"/>
      <c r="I56" s="11" t="n"/>
      <c r="J56" s="12">
        <f>IF($I56="","",IF($I56&gt;31,$I56,IF($G56="","",IF(DATE(YEAR($G56),MONTH($G56),$I56)&gt;=$G56,DATE(YEAR($G56),MONTH($G56),$I56),DATE(YEAR($G56),MONTH($G56)+1,$I56)))))</f>
        <v/>
      </c>
      <c r="K56" s="13" t="n"/>
      <c r="L56" s="8">
        <f>IF(OR($G56="",$J56=""),"",$J56-$G56+1)</f>
        <v/>
      </c>
      <c r="M56" s="8">
        <f>IF(OR($G56="",$J56=""),"",$J56-$G56)</f>
        <v/>
      </c>
      <c r="N56" s="9" t="n"/>
      <c r="O56" s="9" t="n"/>
      <c r="P56" s="9" t="n"/>
      <c r="Q56" s="9" t="n"/>
      <c r="R56" s="9" t="n"/>
      <c r="S56" s="9" t="n"/>
      <c r="T56" s="14" t="n"/>
      <c r="U56" s="9" t="n"/>
      <c r="V56" s="8">
        <f>IF($G56="","",IF($D56="","⚠部屋が未選択",IF(COUNTIF('M_部屋'!$A$4:$A$20,$D56)=0,"⚠部屋が未登録",IF(OR($J56="",$N56="キャンセル"),"",IF(SUMPRODUCT(($D$5:$D$204=$D56)*($G$5:$G$204&lt;&gt;"")*($J$5:$J$204&lt;&gt;"")*($N$5:$N$204&lt;&gt;"キャンセル")*($G$5:$G$204&lt;$J56)*($J$5:$J$204&gt;$G56))&gt;1,"⚠重複","")))))</f>
        <v/>
      </c>
      <c r="W56" s="8">
        <f>IF(OR($B56="",$G56=""),"",IF(SUMPRODUCT(('利用者マスタ'!$A$4:$A$60=$B56)*('利用者マスタ'!$B$4:$B$60&lt;&gt;""))=0,"",IF(SUMIFS($X$5:$X$204,$B$5:$B$204,$B56,$G$5:$G$204,"&gt;="&amp;DATE(YEAR($G56),MONTH($G56),1),$G$5:$G$204,"&lt;="&amp;EOMONTH($G56,0))&gt;SUMIFS('利用者マスタ'!$B$4:$B$60,'利用者マスタ'!$A$4:$A$60,$B56),"⚠支給量超過","")))</f>
        <v/>
      </c>
      <c r="X56" s="8">
        <f>IF(OR($G56="",$J56="",$N56="キャンセル"),0,IF(IFERROR(INDEX('M_区分'!$B$4:$B$20,MATCH($C56,'M_区分'!$A$4:$A$20,0)),"○")="○",$J56-$G56+1,0))</f>
        <v/>
      </c>
      <c r="Y56" s="8">
        <f>IF($E56&lt;&gt;"",$E56,$Y55)</f>
        <v/>
      </c>
      <c r="Z56" s="8">
        <f>IF(OR($G56="",$J56=""),"",IF(AND($G56&lt;=EOMONTH('02_カレンダー'!$B$4,0),$J56&gt;='02_カレンダー'!$B$4),$G56*10000+ROW(),""))</f>
        <v/>
      </c>
      <c r="AA56" s="8">
        <f>IF($H56="","",IF(ISNUMBER($H56),TEXT($H56,"hh:mm"),$H56))</f>
        <v/>
      </c>
      <c r="AB56" s="8">
        <f>IF($K56="","",IF(ISNUMBER($K56),TEXT($K56,"hh:mm"),$K56))</f>
        <v/>
      </c>
      <c r="AC56" s="8">
        <f>IF($G56="",0,$G56)</f>
        <v/>
      </c>
      <c r="AD56" s="8">
        <f>IF($J56="",0,$J56)</f>
        <v/>
      </c>
    </row>
    <row r="57">
      <c r="A57" s="8">
        <f>IF($G57="","","SS-"&amp;TEXT(ROW()-4,"0000"))</f>
        <v/>
      </c>
      <c r="B57" s="9" t="n"/>
      <c r="C57" s="9" t="n"/>
      <c r="D57" s="9" t="n"/>
      <c r="E57" s="10" t="n"/>
      <c r="F57" s="11" t="n"/>
      <c r="G57" s="12">
        <f>IF($F57="","",IF($F57&gt;31,$F57,IF($Y57="","",DATE(YEAR($Y57),MONTH($Y57),$F57))))</f>
        <v/>
      </c>
      <c r="H57" s="13" t="n"/>
      <c r="I57" s="11" t="n"/>
      <c r="J57" s="12">
        <f>IF($I57="","",IF($I57&gt;31,$I57,IF($G57="","",IF(DATE(YEAR($G57),MONTH($G57),$I57)&gt;=$G57,DATE(YEAR($G57),MONTH($G57),$I57),DATE(YEAR($G57),MONTH($G57)+1,$I57)))))</f>
        <v/>
      </c>
      <c r="K57" s="13" t="n"/>
      <c r="L57" s="8">
        <f>IF(OR($G57="",$J57=""),"",$J57-$G57+1)</f>
        <v/>
      </c>
      <c r="M57" s="8">
        <f>IF(OR($G57="",$J57=""),"",$J57-$G57)</f>
        <v/>
      </c>
      <c r="N57" s="9" t="n"/>
      <c r="O57" s="9" t="n"/>
      <c r="P57" s="9" t="n"/>
      <c r="Q57" s="9" t="n"/>
      <c r="R57" s="9" t="n"/>
      <c r="S57" s="9" t="n"/>
      <c r="T57" s="14" t="n"/>
      <c r="U57" s="9" t="n"/>
      <c r="V57" s="8">
        <f>IF($G57="","",IF($D57="","⚠部屋が未選択",IF(COUNTIF('M_部屋'!$A$4:$A$20,$D57)=0,"⚠部屋が未登録",IF(OR($J57="",$N57="キャンセル"),"",IF(SUMPRODUCT(($D$5:$D$204=$D57)*($G$5:$G$204&lt;&gt;"")*($J$5:$J$204&lt;&gt;"")*($N$5:$N$204&lt;&gt;"キャンセル")*($G$5:$G$204&lt;$J57)*($J$5:$J$204&gt;$G57))&gt;1,"⚠重複","")))))</f>
        <v/>
      </c>
      <c r="W57" s="8">
        <f>IF(OR($B57="",$G57=""),"",IF(SUMPRODUCT(('利用者マスタ'!$A$4:$A$60=$B57)*('利用者マスタ'!$B$4:$B$60&lt;&gt;""))=0,"",IF(SUMIFS($X$5:$X$204,$B$5:$B$204,$B57,$G$5:$G$204,"&gt;="&amp;DATE(YEAR($G57),MONTH($G57),1),$G$5:$G$204,"&lt;="&amp;EOMONTH($G57,0))&gt;SUMIFS('利用者マスタ'!$B$4:$B$60,'利用者マスタ'!$A$4:$A$60,$B57),"⚠支給量超過","")))</f>
        <v/>
      </c>
      <c r="X57" s="8">
        <f>IF(OR($G57="",$J57="",$N57="キャンセル"),0,IF(IFERROR(INDEX('M_区分'!$B$4:$B$20,MATCH($C57,'M_区分'!$A$4:$A$20,0)),"○")="○",$J57-$G57+1,0))</f>
        <v/>
      </c>
      <c r="Y57" s="8">
        <f>IF($E57&lt;&gt;"",$E57,$Y56)</f>
        <v/>
      </c>
      <c r="Z57" s="8">
        <f>IF(OR($G57="",$J57=""),"",IF(AND($G57&lt;=EOMONTH('02_カレンダー'!$B$4,0),$J57&gt;='02_カレンダー'!$B$4),$G57*10000+ROW(),""))</f>
        <v/>
      </c>
      <c r="AA57" s="8">
        <f>IF($H57="","",IF(ISNUMBER($H57),TEXT($H57,"hh:mm"),$H57))</f>
        <v/>
      </c>
      <c r="AB57" s="8">
        <f>IF($K57="","",IF(ISNUMBER($K57),TEXT($K57,"hh:mm"),$K57))</f>
        <v/>
      </c>
      <c r="AC57" s="8">
        <f>IF($G57="",0,$G57)</f>
        <v/>
      </c>
      <c r="AD57" s="8">
        <f>IF($J57="",0,$J57)</f>
        <v/>
      </c>
    </row>
    <row r="58">
      <c r="A58" s="8">
        <f>IF($G58="","","SS-"&amp;TEXT(ROW()-4,"0000"))</f>
        <v/>
      </c>
      <c r="B58" s="9" t="n"/>
      <c r="C58" s="9" t="n"/>
      <c r="D58" s="9" t="n"/>
      <c r="E58" s="10" t="n"/>
      <c r="F58" s="11" t="n"/>
      <c r="G58" s="12">
        <f>IF($F58="","",IF($F58&gt;31,$F58,IF($Y58="","",DATE(YEAR($Y58),MONTH($Y58),$F58))))</f>
        <v/>
      </c>
      <c r="H58" s="13" t="n"/>
      <c r="I58" s="11" t="n"/>
      <c r="J58" s="12">
        <f>IF($I58="","",IF($I58&gt;31,$I58,IF($G58="","",IF(DATE(YEAR($G58),MONTH($G58),$I58)&gt;=$G58,DATE(YEAR($G58),MONTH($G58),$I58),DATE(YEAR($G58),MONTH($G58)+1,$I58)))))</f>
        <v/>
      </c>
      <c r="K58" s="13" t="n"/>
      <c r="L58" s="8">
        <f>IF(OR($G58="",$J58=""),"",$J58-$G58+1)</f>
        <v/>
      </c>
      <c r="M58" s="8">
        <f>IF(OR($G58="",$J58=""),"",$J58-$G58)</f>
        <v/>
      </c>
      <c r="N58" s="9" t="n"/>
      <c r="O58" s="9" t="n"/>
      <c r="P58" s="9" t="n"/>
      <c r="Q58" s="9" t="n"/>
      <c r="R58" s="9" t="n"/>
      <c r="S58" s="9" t="n"/>
      <c r="T58" s="14" t="n"/>
      <c r="U58" s="9" t="n"/>
      <c r="V58" s="8">
        <f>IF($G58="","",IF($D58="","⚠部屋が未選択",IF(COUNTIF('M_部屋'!$A$4:$A$20,$D58)=0,"⚠部屋が未登録",IF(OR($J58="",$N58="キャンセル"),"",IF(SUMPRODUCT(($D$5:$D$204=$D58)*($G$5:$G$204&lt;&gt;"")*($J$5:$J$204&lt;&gt;"")*($N$5:$N$204&lt;&gt;"キャンセル")*($G$5:$G$204&lt;$J58)*($J$5:$J$204&gt;$G58))&gt;1,"⚠重複","")))))</f>
        <v/>
      </c>
      <c r="W58" s="8">
        <f>IF(OR($B58="",$G58=""),"",IF(SUMPRODUCT(('利用者マスタ'!$A$4:$A$60=$B58)*('利用者マスタ'!$B$4:$B$60&lt;&gt;""))=0,"",IF(SUMIFS($X$5:$X$204,$B$5:$B$204,$B58,$G$5:$G$204,"&gt;="&amp;DATE(YEAR($G58),MONTH($G58),1),$G$5:$G$204,"&lt;="&amp;EOMONTH($G58,0))&gt;SUMIFS('利用者マスタ'!$B$4:$B$60,'利用者マスタ'!$A$4:$A$60,$B58),"⚠支給量超過","")))</f>
        <v/>
      </c>
      <c r="X58" s="8">
        <f>IF(OR($G58="",$J58="",$N58="キャンセル"),0,IF(IFERROR(INDEX('M_区分'!$B$4:$B$20,MATCH($C58,'M_区分'!$A$4:$A$20,0)),"○")="○",$J58-$G58+1,0))</f>
        <v/>
      </c>
      <c r="Y58" s="8">
        <f>IF($E58&lt;&gt;"",$E58,$Y57)</f>
        <v/>
      </c>
      <c r="Z58" s="8">
        <f>IF(OR($G58="",$J58=""),"",IF(AND($G58&lt;=EOMONTH('02_カレンダー'!$B$4,0),$J58&gt;='02_カレンダー'!$B$4),$G58*10000+ROW(),""))</f>
        <v/>
      </c>
      <c r="AA58" s="8">
        <f>IF($H58="","",IF(ISNUMBER($H58),TEXT($H58,"hh:mm"),$H58))</f>
        <v/>
      </c>
      <c r="AB58" s="8">
        <f>IF($K58="","",IF(ISNUMBER($K58),TEXT($K58,"hh:mm"),$K58))</f>
        <v/>
      </c>
      <c r="AC58" s="8">
        <f>IF($G58="",0,$G58)</f>
        <v/>
      </c>
      <c r="AD58" s="8">
        <f>IF($J58="",0,$J58)</f>
        <v/>
      </c>
    </row>
    <row r="59">
      <c r="A59" s="8">
        <f>IF($G59="","","SS-"&amp;TEXT(ROW()-4,"0000"))</f>
        <v/>
      </c>
      <c r="B59" s="9" t="n"/>
      <c r="C59" s="9" t="n"/>
      <c r="D59" s="9" t="n"/>
      <c r="E59" s="10" t="n"/>
      <c r="F59" s="11" t="n"/>
      <c r="G59" s="12">
        <f>IF($F59="","",IF($F59&gt;31,$F59,IF($Y59="","",DATE(YEAR($Y59),MONTH($Y59),$F59))))</f>
        <v/>
      </c>
      <c r="H59" s="13" t="n"/>
      <c r="I59" s="11" t="n"/>
      <c r="J59" s="12">
        <f>IF($I59="","",IF($I59&gt;31,$I59,IF($G59="","",IF(DATE(YEAR($G59),MONTH($G59),$I59)&gt;=$G59,DATE(YEAR($G59),MONTH($G59),$I59),DATE(YEAR($G59),MONTH($G59)+1,$I59)))))</f>
        <v/>
      </c>
      <c r="K59" s="13" t="n"/>
      <c r="L59" s="8">
        <f>IF(OR($G59="",$J59=""),"",$J59-$G59+1)</f>
        <v/>
      </c>
      <c r="M59" s="8">
        <f>IF(OR($G59="",$J59=""),"",$J59-$G59)</f>
        <v/>
      </c>
      <c r="N59" s="9" t="n"/>
      <c r="O59" s="9" t="n"/>
      <c r="P59" s="9" t="n"/>
      <c r="Q59" s="9" t="n"/>
      <c r="R59" s="9" t="n"/>
      <c r="S59" s="9" t="n"/>
      <c r="T59" s="14" t="n"/>
      <c r="U59" s="9" t="n"/>
      <c r="V59" s="8">
        <f>IF($G59="","",IF($D59="","⚠部屋が未選択",IF(COUNTIF('M_部屋'!$A$4:$A$20,$D59)=0,"⚠部屋が未登録",IF(OR($J59="",$N59="キャンセル"),"",IF(SUMPRODUCT(($D$5:$D$204=$D59)*($G$5:$G$204&lt;&gt;"")*($J$5:$J$204&lt;&gt;"")*($N$5:$N$204&lt;&gt;"キャンセル")*($G$5:$G$204&lt;$J59)*($J$5:$J$204&gt;$G59))&gt;1,"⚠重複","")))))</f>
        <v/>
      </c>
      <c r="W59" s="8">
        <f>IF(OR($B59="",$G59=""),"",IF(SUMPRODUCT(('利用者マスタ'!$A$4:$A$60=$B59)*('利用者マスタ'!$B$4:$B$60&lt;&gt;""))=0,"",IF(SUMIFS($X$5:$X$204,$B$5:$B$204,$B59,$G$5:$G$204,"&gt;="&amp;DATE(YEAR($G59),MONTH($G59),1),$G$5:$G$204,"&lt;="&amp;EOMONTH($G59,0))&gt;SUMIFS('利用者マスタ'!$B$4:$B$60,'利用者マスタ'!$A$4:$A$60,$B59),"⚠支給量超過","")))</f>
        <v/>
      </c>
      <c r="X59" s="8">
        <f>IF(OR($G59="",$J59="",$N59="キャンセル"),0,IF(IFERROR(INDEX('M_区分'!$B$4:$B$20,MATCH($C59,'M_区分'!$A$4:$A$20,0)),"○")="○",$J59-$G59+1,0))</f>
        <v/>
      </c>
      <c r="Y59" s="8">
        <f>IF($E59&lt;&gt;"",$E59,$Y58)</f>
        <v/>
      </c>
      <c r="Z59" s="8">
        <f>IF(OR($G59="",$J59=""),"",IF(AND($G59&lt;=EOMONTH('02_カレンダー'!$B$4,0),$J59&gt;='02_カレンダー'!$B$4),$G59*10000+ROW(),""))</f>
        <v/>
      </c>
      <c r="AA59" s="8">
        <f>IF($H59="","",IF(ISNUMBER($H59),TEXT($H59,"hh:mm"),$H59))</f>
        <v/>
      </c>
      <c r="AB59" s="8">
        <f>IF($K59="","",IF(ISNUMBER($K59),TEXT($K59,"hh:mm"),$K59))</f>
        <v/>
      </c>
      <c r="AC59" s="8">
        <f>IF($G59="",0,$G59)</f>
        <v/>
      </c>
      <c r="AD59" s="8">
        <f>IF($J59="",0,$J59)</f>
        <v/>
      </c>
    </row>
    <row r="60">
      <c r="A60" s="8">
        <f>IF($G60="","","SS-"&amp;TEXT(ROW()-4,"0000"))</f>
        <v/>
      </c>
      <c r="B60" s="9" t="n"/>
      <c r="C60" s="9" t="n"/>
      <c r="D60" s="9" t="n"/>
      <c r="E60" s="10" t="n"/>
      <c r="F60" s="11" t="n"/>
      <c r="G60" s="12">
        <f>IF($F60="","",IF($F60&gt;31,$F60,IF($Y60="","",DATE(YEAR($Y60),MONTH($Y60),$F60))))</f>
        <v/>
      </c>
      <c r="H60" s="13" t="n"/>
      <c r="I60" s="11" t="n"/>
      <c r="J60" s="12">
        <f>IF($I60="","",IF($I60&gt;31,$I60,IF($G60="","",IF(DATE(YEAR($G60),MONTH($G60),$I60)&gt;=$G60,DATE(YEAR($G60),MONTH($G60),$I60),DATE(YEAR($G60),MONTH($G60)+1,$I60)))))</f>
        <v/>
      </c>
      <c r="K60" s="13" t="n"/>
      <c r="L60" s="8">
        <f>IF(OR($G60="",$J60=""),"",$J60-$G60+1)</f>
        <v/>
      </c>
      <c r="M60" s="8">
        <f>IF(OR($G60="",$J60=""),"",$J60-$G60)</f>
        <v/>
      </c>
      <c r="N60" s="9" t="n"/>
      <c r="O60" s="9" t="n"/>
      <c r="P60" s="9" t="n"/>
      <c r="Q60" s="9" t="n"/>
      <c r="R60" s="9" t="n"/>
      <c r="S60" s="9" t="n"/>
      <c r="T60" s="14" t="n"/>
      <c r="U60" s="9" t="n"/>
      <c r="V60" s="8">
        <f>IF($G60="","",IF($D60="","⚠部屋が未選択",IF(COUNTIF('M_部屋'!$A$4:$A$20,$D60)=0,"⚠部屋が未登録",IF(OR($J60="",$N60="キャンセル"),"",IF(SUMPRODUCT(($D$5:$D$204=$D60)*($G$5:$G$204&lt;&gt;"")*($J$5:$J$204&lt;&gt;"")*($N$5:$N$204&lt;&gt;"キャンセル")*($G$5:$G$204&lt;$J60)*($J$5:$J$204&gt;$G60))&gt;1,"⚠重複","")))))</f>
        <v/>
      </c>
      <c r="W60" s="8">
        <f>IF(OR($B60="",$G60=""),"",IF(SUMPRODUCT(('利用者マスタ'!$A$4:$A$60=$B60)*('利用者マスタ'!$B$4:$B$60&lt;&gt;""))=0,"",IF(SUMIFS($X$5:$X$204,$B$5:$B$204,$B60,$G$5:$G$204,"&gt;="&amp;DATE(YEAR($G60),MONTH($G60),1),$G$5:$G$204,"&lt;="&amp;EOMONTH($G60,0))&gt;SUMIFS('利用者マスタ'!$B$4:$B$60,'利用者マスタ'!$A$4:$A$60,$B60),"⚠支給量超過","")))</f>
        <v/>
      </c>
      <c r="X60" s="8">
        <f>IF(OR($G60="",$J60="",$N60="キャンセル"),0,IF(IFERROR(INDEX('M_区分'!$B$4:$B$20,MATCH($C60,'M_区分'!$A$4:$A$20,0)),"○")="○",$J60-$G60+1,0))</f>
        <v/>
      </c>
      <c r="Y60" s="8">
        <f>IF($E60&lt;&gt;"",$E60,$Y59)</f>
        <v/>
      </c>
      <c r="Z60" s="8">
        <f>IF(OR($G60="",$J60=""),"",IF(AND($G60&lt;=EOMONTH('02_カレンダー'!$B$4,0),$J60&gt;='02_カレンダー'!$B$4),$G60*10000+ROW(),""))</f>
        <v/>
      </c>
      <c r="AA60" s="8">
        <f>IF($H60="","",IF(ISNUMBER($H60),TEXT($H60,"hh:mm"),$H60))</f>
        <v/>
      </c>
      <c r="AB60" s="8">
        <f>IF($K60="","",IF(ISNUMBER($K60),TEXT($K60,"hh:mm"),$K60))</f>
        <v/>
      </c>
      <c r="AC60" s="8">
        <f>IF($G60="",0,$G60)</f>
        <v/>
      </c>
      <c r="AD60" s="8">
        <f>IF($J60="",0,$J60)</f>
        <v/>
      </c>
    </row>
    <row r="61">
      <c r="A61" s="8">
        <f>IF($G61="","","SS-"&amp;TEXT(ROW()-4,"0000"))</f>
        <v/>
      </c>
      <c r="B61" s="9" t="n"/>
      <c r="C61" s="9" t="n"/>
      <c r="D61" s="9" t="n"/>
      <c r="E61" s="10" t="n"/>
      <c r="F61" s="11" t="n"/>
      <c r="G61" s="12">
        <f>IF($F61="","",IF($F61&gt;31,$F61,IF($Y61="","",DATE(YEAR($Y61),MONTH($Y61),$F61))))</f>
        <v/>
      </c>
      <c r="H61" s="13" t="n"/>
      <c r="I61" s="11" t="n"/>
      <c r="J61" s="12">
        <f>IF($I61="","",IF($I61&gt;31,$I61,IF($G61="","",IF(DATE(YEAR($G61),MONTH($G61),$I61)&gt;=$G61,DATE(YEAR($G61),MONTH($G61),$I61),DATE(YEAR($G61),MONTH($G61)+1,$I61)))))</f>
        <v/>
      </c>
      <c r="K61" s="13" t="n"/>
      <c r="L61" s="8">
        <f>IF(OR($G61="",$J61=""),"",$J61-$G61+1)</f>
        <v/>
      </c>
      <c r="M61" s="8">
        <f>IF(OR($G61="",$J61=""),"",$J61-$G61)</f>
        <v/>
      </c>
      <c r="N61" s="9" t="n"/>
      <c r="O61" s="9" t="n"/>
      <c r="P61" s="9" t="n"/>
      <c r="Q61" s="9" t="n"/>
      <c r="R61" s="9" t="n"/>
      <c r="S61" s="9" t="n"/>
      <c r="T61" s="14" t="n"/>
      <c r="U61" s="9" t="n"/>
      <c r="V61" s="8">
        <f>IF($G61="","",IF($D61="","⚠部屋が未選択",IF(COUNTIF('M_部屋'!$A$4:$A$20,$D61)=0,"⚠部屋が未登録",IF(OR($J61="",$N61="キャンセル"),"",IF(SUMPRODUCT(($D$5:$D$204=$D61)*($G$5:$G$204&lt;&gt;"")*($J$5:$J$204&lt;&gt;"")*($N$5:$N$204&lt;&gt;"キャンセル")*($G$5:$G$204&lt;$J61)*($J$5:$J$204&gt;$G61))&gt;1,"⚠重複","")))))</f>
        <v/>
      </c>
      <c r="W61" s="8">
        <f>IF(OR($B61="",$G61=""),"",IF(SUMPRODUCT(('利用者マスタ'!$A$4:$A$60=$B61)*('利用者マスタ'!$B$4:$B$60&lt;&gt;""))=0,"",IF(SUMIFS($X$5:$X$204,$B$5:$B$204,$B61,$G$5:$G$204,"&gt;="&amp;DATE(YEAR($G61),MONTH($G61),1),$G$5:$G$204,"&lt;="&amp;EOMONTH($G61,0))&gt;SUMIFS('利用者マスタ'!$B$4:$B$60,'利用者マスタ'!$A$4:$A$60,$B61),"⚠支給量超過","")))</f>
        <v/>
      </c>
      <c r="X61" s="8">
        <f>IF(OR($G61="",$J61="",$N61="キャンセル"),0,IF(IFERROR(INDEX('M_区分'!$B$4:$B$20,MATCH($C61,'M_区分'!$A$4:$A$20,0)),"○")="○",$J61-$G61+1,0))</f>
        <v/>
      </c>
      <c r="Y61" s="8">
        <f>IF($E61&lt;&gt;"",$E61,$Y60)</f>
        <v/>
      </c>
      <c r="Z61" s="8">
        <f>IF(OR($G61="",$J61=""),"",IF(AND($G61&lt;=EOMONTH('02_カレンダー'!$B$4,0),$J61&gt;='02_カレンダー'!$B$4),$G61*10000+ROW(),""))</f>
        <v/>
      </c>
      <c r="AA61" s="8">
        <f>IF($H61="","",IF(ISNUMBER($H61),TEXT($H61,"hh:mm"),$H61))</f>
        <v/>
      </c>
      <c r="AB61" s="8">
        <f>IF($K61="","",IF(ISNUMBER($K61),TEXT($K61,"hh:mm"),$K61))</f>
        <v/>
      </c>
      <c r="AC61" s="8">
        <f>IF($G61="",0,$G61)</f>
        <v/>
      </c>
      <c r="AD61" s="8">
        <f>IF($J61="",0,$J61)</f>
        <v/>
      </c>
    </row>
    <row r="62">
      <c r="A62" s="8">
        <f>IF($G62="","","SS-"&amp;TEXT(ROW()-4,"0000"))</f>
        <v/>
      </c>
      <c r="B62" s="9" t="n"/>
      <c r="C62" s="9" t="n"/>
      <c r="D62" s="9" t="n"/>
      <c r="E62" s="10" t="n"/>
      <c r="F62" s="11" t="n"/>
      <c r="G62" s="12">
        <f>IF($F62="","",IF($F62&gt;31,$F62,IF($Y62="","",DATE(YEAR($Y62),MONTH($Y62),$F62))))</f>
        <v/>
      </c>
      <c r="H62" s="13" t="n"/>
      <c r="I62" s="11" t="n"/>
      <c r="J62" s="12">
        <f>IF($I62="","",IF($I62&gt;31,$I62,IF($G62="","",IF(DATE(YEAR($G62),MONTH($G62),$I62)&gt;=$G62,DATE(YEAR($G62),MONTH($G62),$I62),DATE(YEAR($G62),MONTH($G62)+1,$I62)))))</f>
        <v/>
      </c>
      <c r="K62" s="13" t="n"/>
      <c r="L62" s="8">
        <f>IF(OR($G62="",$J62=""),"",$J62-$G62+1)</f>
        <v/>
      </c>
      <c r="M62" s="8">
        <f>IF(OR($G62="",$J62=""),"",$J62-$G62)</f>
        <v/>
      </c>
      <c r="N62" s="9" t="n"/>
      <c r="O62" s="9" t="n"/>
      <c r="P62" s="9" t="n"/>
      <c r="Q62" s="9" t="n"/>
      <c r="R62" s="9" t="n"/>
      <c r="S62" s="9" t="n"/>
      <c r="T62" s="14" t="n"/>
      <c r="U62" s="9" t="n"/>
      <c r="V62" s="8">
        <f>IF($G62="","",IF($D62="","⚠部屋が未選択",IF(COUNTIF('M_部屋'!$A$4:$A$20,$D62)=0,"⚠部屋が未登録",IF(OR($J62="",$N62="キャンセル"),"",IF(SUMPRODUCT(($D$5:$D$204=$D62)*($G$5:$G$204&lt;&gt;"")*($J$5:$J$204&lt;&gt;"")*($N$5:$N$204&lt;&gt;"キャンセル")*($G$5:$G$204&lt;$J62)*($J$5:$J$204&gt;$G62))&gt;1,"⚠重複","")))))</f>
        <v/>
      </c>
      <c r="W62" s="8">
        <f>IF(OR($B62="",$G62=""),"",IF(SUMPRODUCT(('利用者マスタ'!$A$4:$A$60=$B62)*('利用者マスタ'!$B$4:$B$60&lt;&gt;""))=0,"",IF(SUMIFS($X$5:$X$204,$B$5:$B$204,$B62,$G$5:$G$204,"&gt;="&amp;DATE(YEAR($G62),MONTH($G62),1),$G$5:$G$204,"&lt;="&amp;EOMONTH($G62,0))&gt;SUMIFS('利用者マスタ'!$B$4:$B$60,'利用者マスタ'!$A$4:$A$60,$B62),"⚠支給量超過","")))</f>
        <v/>
      </c>
      <c r="X62" s="8">
        <f>IF(OR($G62="",$J62="",$N62="キャンセル"),0,IF(IFERROR(INDEX('M_区分'!$B$4:$B$20,MATCH($C62,'M_区分'!$A$4:$A$20,0)),"○")="○",$J62-$G62+1,0))</f>
        <v/>
      </c>
      <c r="Y62" s="8">
        <f>IF($E62&lt;&gt;"",$E62,$Y61)</f>
        <v/>
      </c>
      <c r="Z62" s="8">
        <f>IF(OR($G62="",$J62=""),"",IF(AND($G62&lt;=EOMONTH('02_カレンダー'!$B$4,0),$J62&gt;='02_カレンダー'!$B$4),$G62*10000+ROW(),""))</f>
        <v/>
      </c>
      <c r="AA62" s="8">
        <f>IF($H62="","",IF(ISNUMBER($H62),TEXT($H62,"hh:mm"),$H62))</f>
        <v/>
      </c>
      <c r="AB62" s="8">
        <f>IF($K62="","",IF(ISNUMBER($K62),TEXT($K62,"hh:mm"),$K62))</f>
        <v/>
      </c>
      <c r="AC62" s="8">
        <f>IF($G62="",0,$G62)</f>
        <v/>
      </c>
      <c r="AD62" s="8">
        <f>IF($J62="",0,$J62)</f>
        <v/>
      </c>
    </row>
    <row r="63">
      <c r="A63" s="8">
        <f>IF($G63="","","SS-"&amp;TEXT(ROW()-4,"0000"))</f>
        <v/>
      </c>
      <c r="B63" s="9" t="n"/>
      <c r="C63" s="9" t="n"/>
      <c r="D63" s="9" t="n"/>
      <c r="E63" s="10" t="n"/>
      <c r="F63" s="11" t="n"/>
      <c r="G63" s="12">
        <f>IF($F63="","",IF($F63&gt;31,$F63,IF($Y63="","",DATE(YEAR($Y63),MONTH($Y63),$F63))))</f>
        <v/>
      </c>
      <c r="H63" s="13" t="n"/>
      <c r="I63" s="11" t="n"/>
      <c r="J63" s="12">
        <f>IF($I63="","",IF($I63&gt;31,$I63,IF($G63="","",IF(DATE(YEAR($G63),MONTH($G63),$I63)&gt;=$G63,DATE(YEAR($G63),MONTH($G63),$I63),DATE(YEAR($G63),MONTH($G63)+1,$I63)))))</f>
        <v/>
      </c>
      <c r="K63" s="13" t="n"/>
      <c r="L63" s="8">
        <f>IF(OR($G63="",$J63=""),"",$J63-$G63+1)</f>
        <v/>
      </c>
      <c r="M63" s="8">
        <f>IF(OR($G63="",$J63=""),"",$J63-$G63)</f>
        <v/>
      </c>
      <c r="N63" s="9" t="n"/>
      <c r="O63" s="9" t="n"/>
      <c r="P63" s="9" t="n"/>
      <c r="Q63" s="9" t="n"/>
      <c r="R63" s="9" t="n"/>
      <c r="S63" s="9" t="n"/>
      <c r="T63" s="14" t="n"/>
      <c r="U63" s="9" t="n"/>
      <c r="V63" s="8">
        <f>IF($G63="","",IF($D63="","⚠部屋が未選択",IF(COUNTIF('M_部屋'!$A$4:$A$20,$D63)=0,"⚠部屋が未登録",IF(OR($J63="",$N63="キャンセル"),"",IF(SUMPRODUCT(($D$5:$D$204=$D63)*($G$5:$G$204&lt;&gt;"")*($J$5:$J$204&lt;&gt;"")*($N$5:$N$204&lt;&gt;"キャンセル")*($G$5:$G$204&lt;$J63)*($J$5:$J$204&gt;$G63))&gt;1,"⚠重複","")))))</f>
        <v/>
      </c>
      <c r="W63" s="8">
        <f>IF(OR($B63="",$G63=""),"",IF(SUMPRODUCT(('利用者マスタ'!$A$4:$A$60=$B63)*('利用者マスタ'!$B$4:$B$60&lt;&gt;""))=0,"",IF(SUMIFS($X$5:$X$204,$B$5:$B$204,$B63,$G$5:$G$204,"&gt;="&amp;DATE(YEAR($G63),MONTH($G63),1),$G$5:$G$204,"&lt;="&amp;EOMONTH($G63,0))&gt;SUMIFS('利用者マスタ'!$B$4:$B$60,'利用者マスタ'!$A$4:$A$60,$B63),"⚠支給量超過","")))</f>
        <v/>
      </c>
      <c r="X63" s="8">
        <f>IF(OR($G63="",$J63="",$N63="キャンセル"),0,IF(IFERROR(INDEX('M_区分'!$B$4:$B$20,MATCH($C63,'M_区分'!$A$4:$A$20,0)),"○")="○",$J63-$G63+1,0))</f>
        <v/>
      </c>
      <c r="Y63" s="8">
        <f>IF($E63&lt;&gt;"",$E63,$Y62)</f>
        <v/>
      </c>
      <c r="Z63" s="8">
        <f>IF(OR($G63="",$J63=""),"",IF(AND($G63&lt;=EOMONTH('02_カレンダー'!$B$4,0),$J63&gt;='02_カレンダー'!$B$4),$G63*10000+ROW(),""))</f>
        <v/>
      </c>
      <c r="AA63" s="8">
        <f>IF($H63="","",IF(ISNUMBER($H63),TEXT($H63,"hh:mm"),$H63))</f>
        <v/>
      </c>
      <c r="AB63" s="8">
        <f>IF($K63="","",IF(ISNUMBER($K63),TEXT($K63,"hh:mm"),$K63))</f>
        <v/>
      </c>
      <c r="AC63" s="8">
        <f>IF($G63="",0,$G63)</f>
        <v/>
      </c>
      <c r="AD63" s="8">
        <f>IF($J63="",0,$J63)</f>
        <v/>
      </c>
    </row>
    <row r="64">
      <c r="A64" s="8">
        <f>IF($G64="","","SS-"&amp;TEXT(ROW()-4,"0000"))</f>
        <v/>
      </c>
      <c r="B64" s="9" t="n"/>
      <c r="C64" s="9" t="n"/>
      <c r="D64" s="9" t="n"/>
      <c r="E64" s="10" t="n"/>
      <c r="F64" s="11" t="n"/>
      <c r="G64" s="12">
        <f>IF($F64="","",IF($F64&gt;31,$F64,IF($Y64="","",DATE(YEAR($Y64),MONTH($Y64),$F64))))</f>
        <v/>
      </c>
      <c r="H64" s="13" t="n"/>
      <c r="I64" s="11" t="n"/>
      <c r="J64" s="12">
        <f>IF($I64="","",IF($I64&gt;31,$I64,IF($G64="","",IF(DATE(YEAR($G64),MONTH($G64),$I64)&gt;=$G64,DATE(YEAR($G64),MONTH($G64),$I64),DATE(YEAR($G64),MONTH($G64)+1,$I64)))))</f>
        <v/>
      </c>
      <c r="K64" s="13" t="n"/>
      <c r="L64" s="8">
        <f>IF(OR($G64="",$J64=""),"",$J64-$G64+1)</f>
        <v/>
      </c>
      <c r="M64" s="8">
        <f>IF(OR($G64="",$J64=""),"",$J64-$G64)</f>
        <v/>
      </c>
      <c r="N64" s="9" t="n"/>
      <c r="O64" s="9" t="n"/>
      <c r="P64" s="9" t="n"/>
      <c r="Q64" s="9" t="n"/>
      <c r="R64" s="9" t="n"/>
      <c r="S64" s="9" t="n"/>
      <c r="T64" s="14" t="n"/>
      <c r="U64" s="9" t="n"/>
      <c r="V64" s="8">
        <f>IF($G64="","",IF($D64="","⚠部屋が未選択",IF(COUNTIF('M_部屋'!$A$4:$A$20,$D64)=0,"⚠部屋が未登録",IF(OR($J64="",$N64="キャンセル"),"",IF(SUMPRODUCT(($D$5:$D$204=$D64)*($G$5:$G$204&lt;&gt;"")*($J$5:$J$204&lt;&gt;"")*($N$5:$N$204&lt;&gt;"キャンセル")*($G$5:$G$204&lt;$J64)*($J$5:$J$204&gt;$G64))&gt;1,"⚠重複","")))))</f>
        <v/>
      </c>
      <c r="W64" s="8">
        <f>IF(OR($B64="",$G64=""),"",IF(SUMPRODUCT(('利用者マスタ'!$A$4:$A$60=$B64)*('利用者マスタ'!$B$4:$B$60&lt;&gt;""))=0,"",IF(SUMIFS($X$5:$X$204,$B$5:$B$204,$B64,$G$5:$G$204,"&gt;="&amp;DATE(YEAR($G64),MONTH($G64),1),$G$5:$G$204,"&lt;="&amp;EOMONTH($G64,0))&gt;SUMIFS('利用者マスタ'!$B$4:$B$60,'利用者マスタ'!$A$4:$A$60,$B64),"⚠支給量超過","")))</f>
        <v/>
      </c>
      <c r="X64" s="8">
        <f>IF(OR($G64="",$J64="",$N64="キャンセル"),0,IF(IFERROR(INDEX('M_区分'!$B$4:$B$20,MATCH($C64,'M_区分'!$A$4:$A$20,0)),"○")="○",$J64-$G64+1,0))</f>
        <v/>
      </c>
      <c r="Y64" s="8">
        <f>IF($E64&lt;&gt;"",$E64,$Y63)</f>
        <v/>
      </c>
      <c r="Z64" s="8">
        <f>IF(OR($G64="",$J64=""),"",IF(AND($G64&lt;=EOMONTH('02_カレンダー'!$B$4,0),$J64&gt;='02_カレンダー'!$B$4),$G64*10000+ROW(),""))</f>
        <v/>
      </c>
      <c r="AA64" s="8">
        <f>IF($H64="","",IF(ISNUMBER($H64),TEXT($H64,"hh:mm"),$H64))</f>
        <v/>
      </c>
      <c r="AB64" s="8">
        <f>IF($K64="","",IF(ISNUMBER($K64),TEXT($K64,"hh:mm"),$K64))</f>
        <v/>
      </c>
      <c r="AC64" s="8">
        <f>IF($G64="",0,$G64)</f>
        <v/>
      </c>
      <c r="AD64" s="8">
        <f>IF($J64="",0,$J64)</f>
        <v/>
      </c>
    </row>
    <row r="65">
      <c r="A65" s="8">
        <f>IF($G65="","","SS-"&amp;TEXT(ROW()-4,"0000"))</f>
        <v/>
      </c>
      <c r="B65" s="9" t="n"/>
      <c r="C65" s="9" t="n"/>
      <c r="D65" s="9" t="n"/>
      <c r="E65" s="10" t="n"/>
      <c r="F65" s="11" t="n"/>
      <c r="G65" s="12">
        <f>IF($F65="","",IF($F65&gt;31,$F65,IF($Y65="","",DATE(YEAR($Y65),MONTH($Y65),$F65))))</f>
        <v/>
      </c>
      <c r="H65" s="13" t="n"/>
      <c r="I65" s="11" t="n"/>
      <c r="J65" s="12">
        <f>IF($I65="","",IF($I65&gt;31,$I65,IF($G65="","",IF(DATE(YEAR($G65),MONTH($G65),$I65)&gt;=$G65,DATE(YEAR($G65),MONTH($G65),$I65),DATE(YEAR($G65),MONTH($G65)+1,$I65)))))</f>
        <v/>
      </c>
      <c r="K65" s="13" t="n"/>
      <c r="L65" s="8">
        <f>IF(OR($G65="",$J65=""),"",$J65-$G65+1)</f>
        <v/>
      </c>
      <c r="M65" s="8">
        <f>IF(OR($G65="",$J65=""),"",$J65-$G65)</f>
        <v/>
      </c>
      <c r="N65" s="9" t="n"/>
      <c r="O65" s="9" t="n"/>
      <c r="P65" s="9" t="n"/>
      <c r="Q65" s="9" t="n"/>
      <c r="R65" s="9" t="n"/>
      <c r="S65" s="9" t="n"/>
      <c r="T65" s="14" t="n"/>
      <c r="U65" s="9" t="n"/>
      <c r="V65" s="8">
        <f>IF($G65="","",IF($D65="","⚠部屋が未選択",IF(COUNTIF('M_部屋'!$A$4:$A$20,$D65)=0,"⚠部屋が未登録",IF(OR($J65="",$N65="キャンセル"),"",IF(SUMPRODUCT(($D$5:$D$204=$D65)*($G$5:$G$204&lt;&gt;"")*($J$5:$J$204&lt;&gt;"")*($N$5:$N$204&lt;&gt;"キャンセル")*($G$5:$G$204&lt;$J65)*($J$5:$J$204&gt;$G65))&gt;1,"⚠重複","")))))</f>
        <v/>
      </c>
      <c r="W65" s="8">
        <f>IF(OR($B65="",$G65=""),"",IF(SUMPRODUCT(('利用者マスタ'!$A$4:$A$60=$B65)*('利用者マスタ'!$B$4:$B$60&lt;&gt;""))=0,"",IF(SUMIFS($X$5:$X$204,$B$5:$B$204,$B65,$G$5:$G$204,"&gt;="&amp;DATE(YEAR($G65),MONTH($G65),1),$G$5:$G$204,"&lt;="&amp;EOMONTH($G65,0))&gt;SUMIFS('利用者マスタ'!$B$4:$B$60,'利用者マスタ'!$A$4:$A$60,$B65),"⚠支給量超過","")))</f>
        <v/>
      </c>
      <c r="X65" s="8">
        <f>IF(OR($G65="",$J65="",$N65="キャンセル"),0,IF(IFERROR(INDEX('M_区分'!$B$4:$B$20,MATCH($C65,'M_区分'!$A$4:$A$20,0)),"○")="○",$J65-$G65+1,0))</f>
        <v/>
      </c>
      <c r="Y65" s="8">
        <f>IF($E65&lt;&gt;"",$E65,$Y64)</f>
        <v/>
      </c>
      <c r="Z65" s="8">
        <f>IF(OR($G65="",$J65=""),"",IF(AND($G65&lt;=EOMONTH('02_カレンダー'!$B$4,0),$J65&gt;='02_カレンダー'!$B$4),$G65*10000+ROW(),""))</f>
        <v/>
      </c>
      <c r="AA65" s="8">
        <f>IF($H65="","",IF(ISNUMBER($H65),TEXT($H65,"hh:mm"),$H65))</f>
        <v/>
      </c>
      <c r="AB65" s="8">
        <f>IF($K65="","",IF(ISNUMBER($K65),TEXT($K65,"hh:mm"),$K65))</f>
        <v/>
      </c>
      <c r="AC65" s="8">
        <f>IF($G65="",0,$G65)</f>
        <v/>
      </c>
      <c r="AD65" s="8">
        <f>IF($J65="",0,$J65)</f>
        <v/>
      </c>
    </row>
    <row r="66">
      <c r="A66" s="8">
        <f>IF($G66="","","SS-"&amp;TEXT(ROW()-4,"0000"))</f>
        <v/>
      </c>
      <c r="B66" s="9" t="n"/>
      <c r="C66" s="9" t="n"/>
      <c r="D66" s="9" t="n"/>
      <c r="E66" s="10" t="n"/>
      <c r="F66" s="11" t="n"/>
      <c r="G66" s="12">
        <f>IF($F66="","",IF($F66&gt;31,$F66,IF($Y66="","",DATE(YEAR($Y66),MONTH($Y66),$F66))))</f>
        <v/>
      </c>
      <c r="H66" s="13" t="n"/>
      <c r="I66" s="11" t="n"/>
      <c r="J66" s="12">
        <f>IF($I66="","",IF($I66&gt;31,$I66,IF($G66="","",IF(DATE(YEAR($G66),MONTH($G66),$I66)&gt;=$G66,DATE(YEAR($G66),MONTH($G66),$I66),DATE(YEAR($G66),MONTH($G66)+1,$I66)))))</f>
        <v/>
      </c>
      <c r="K66" s="13" t="n"/>
      <c r="L66" s="8">
        <f>IF(OR($G66="",$J66=""),"",$J66-$G66+1)</f>
        <v/>
      </c>
      <c r="M66" s="8">
        <f>IF(OR($G66="",$J66=""),"",$J66-$G66)</f>
        <v/>
      </c>
      <c r="N66" s="9" t="n"/>
      <c r="O66" s="9" t="n"/>
      <c r="P66" s="9" t="n"/>
      <c r="Q66" s="9" t="n"/>
      <c r="R66" s="9" t="n"/>
      <c r="S66" s="9" t="n"/>
      <c r="T66" s="14" t="n"/>
      <c r="U66" s="9" t="n"/>
      <c r="V66" s="8">
        <f>IF($G66="","",IF($D66="","⚠部屋が未選択",IF(COUNTIF('M_部屋'!$A$4:$A$20,$D66)=0,"⚠部屋が未登録",IF(OR($J66="",$N66="キャンセル"),"",IF(SUMPRODUCT(($D$5:$D$204=$D66)*($G$5:$G$204&lt;&gt;"")*($J$5:$J$204&lt;&gt;"")*($N$5:$N$204&lt;&gt;"キャンセル")*($G$5:$G$204&lt;$J66)*($J$5:$J$204&gt;$G66))&gt;1,"⚠重複","")))))</f>
        <v/>
      </c>
      <c r="W66" s="8">
        <f>IF(OR($B66="",$G66=""),"",IF(SUMPRODUCT(('利用者マスタ'!$A$4:$A$60=$B66)*('利用者マスタ'!$B$4:$B$60&lt;&gt;""))=0,"",IF(SUMIFS($X$5:$X$204,$B$5:$B$204,$B66,$G$5:$G$204,"&gt;="&amp;DATE(YEAR($G66),MONTH($G66),1),$G$5:$G$204,"&lt;="&amp;EOMONTH($G66,0))&gt;SUMIFS('利用者マスタ'!$B$4:$B$60,'利用者マスタ'!$A$4:$A$60,$B66),"⚠支給量超過","")))</f>
        <v/>
      </c>
      <c r="X66" s="8">
        <f>IF(OR($G66="",$J66="",$N66="キャンセル"),0,IF(IFERROR(INDEX('M_区分'!$B$4:$B$20,MATCH($C66,'M_区分'!$A$4:$A$20,0)),"○")="○",$J66-$G66+1,0))</f>
        <v/>
      </c>
      <c r="Y66" s="8">
        <f>IF($E66&lt;&gt;"",$E66,$Y65)</f>
        <v/>
      </c>
      <c r="Z66" s="8">
        <f>IF(OR($G66="",$J66=""),"",IF(AND($G66&lt;=EOMONTH('02_カレンダー'!$B$4,0),$J66&gt;='02_カレンダー'!$B$4),$G66*10000+ROW(),""))</f>
        <v/>
      </c>
      <c r="AA66" s="8">
        <f>IF($H66="","",IF(ISNUMBER($H66),TEXT($H66,"hh:mm"),$H66))</f>
        <v/>
      </c>
      <c r="AB66" s="8">
        <f>IF($K66="","",IF(ISNUMBER($K66),TEXT($K66,"hh:mm"),$K66))</f>
        <v/>
      </c>
      <c r="AC66" s="8">
        <f>IF($G66="",0,$G66)</f>
        <v/>
      </c>
      <c r="AD66" s="8">
        <f>IF($J66="",0,$J66)</f>
        <v/>
      </c>
    </row>
    <row r="67">
      <c r="A67" s="8">
        <f>IF($G67="","","SS-"&amp;TEXT(ROW()-4,"0000"))</f>
        <v/>
      </c>
      <c r="B67" s="9" t="n"/>
      <c r="C67" s="9" t="n"/>
      <c r="D67" s="9" t="n"/>
      <c r="E67" s="10" t="n"/>
      <c r="F67" s="11" t="n"/>
      <c r="G67" s="12">
        <f>IF($F67="","",IF($F67&gt;31,$F67,IF($Y67="","",DATE(YEAR($Y67),MONTH($Y67),$F67))))</f>
        <v/>
      </c>
      <c r="H67" s="13" t="n"/>
      <c r="I67" s="11" t="n"/>
      <c r="J67" s="12">
        <f>IF($I67="","",IF($I67&gt;31,$I67,IF($G67="","",IF(DATE(YEAR($G67),MONTH($G67),$I67)&gt;=$G67,DATE(YEAR($G67),MONTH($G67),$I67),DATE(YEAR($G67),MONTH($G67)+1,$I67)))))</f>
        <v/>
      </c>
      <c r="K67" s="13" t="n"/>
      <c r="L67" s="8">
        <f>IF(OR($G67="",$J67=""),"",$J67-$G67+1)</f>
        <v/>
      </c>
      <c r="M67" s="8">
        <f>IF(OR($G67="",$J67=""),"",$J67-$G67)</f>
        <v/>
      </c>
      <c r="N67" s="9" t="n"/>
      <c r="O67" s="9" t="n"/>
      <c r="P67" s="9" t="n"/>
      <c r="Q67" s="9" t="n"/>
      <c r="R67" s="9" t="n"/>
      <c r="S67" s="9" t="n"/>
      <c r="T67" s="14" t="n"/>
      <c r="U67" s="9" t="n"/>
      <c r="V67" s="8">
        <f>IF($G67="","",IF($D67="","⚠部屋が未選択",IF(COUNTIF('M_部屋'!$A$4:$A$20,$D67)=0,"⚠部屋が未登録",IF(OR($J67="",$N67="キャンセル"),"",IF(SUMPRODUCT(($D$5:$D$204=$D67)*($G$5:$G$204&lt;&gt;"")*($J$5:$J$204&lt;&gt;"")*($N$5:$N$204&lt;&gt;"キャンセル")*($G$5:$G$204&lt;$J67)*($J$5:$J$204&gt;$G67))&gt;1,"⚠重複","")))))</f>
        <v/>
      </c>
      <c r="W67" s="8">
        <f>IF(OR($B67="",$G67=""),"",IF(SUMPRODUCT(('利用者マスタ'!$A$4:$A$60=$B67)*('利用者マスタ'!$B$4:$B$60&lt;&gt;""))=0,"",IF(SUMIFS($X$5:$X$204,$B$5:$B$204,$B67,$G$5:$G$204,"&gt;="&amp;DATE(YEAR($G67),MONTH($G67),1),$G$5:$G$204,"&lt;="&amp;EOMONTH($G67,0))&gt;SUMIFS('利用者マスタ'!$B$4:$B$60,'利用者マスタ'!$A$4:$A$60,$B67),"⚠支給量超過","")))</f>
        <v/>
      </c>
      <c r="X67" s="8">
        <f>IF(OR($G67="",$J67="",$N67="キャンセル"),0,IF(IFERROR(INDEX('M_区分'!$B$4:$B$20,MATCH($C67,'M_区分'!$A$4:$A$20,0)),"○")="○",$J67-$G67+1,0))</f>
        <v/>
      </c>
      <c r="Y67" s="8">
        <f>IF($E67&lt;&gt;"",$E67,$Y66)</f>
        <v/>
      </c>
      <c r="Z67" s="8">
        <f>IF(OR($G67="",$J67=""),"",IF(AND($G67&lt;=EOMONTH('02_カレンダー'!$B$4,0),$J67&gt;='02_カレンダー'!$B$4),$G67*10000+ROW(),""))</f>
        <v/>
      </c>
      <c r="AA67" s="8">
        <f>IF($H67="","",IF(ISNUMBER($H67),TEXT($H67,"hh:mm"),$H67))</f>
        <v/>
      </c>
      <c r="AB67" s="8">
        <f>IF($K67="","",IF(ISNUMBER($K67),TEXT($K67,"hh:mm"),$K67))</f>
        <v/>
      </c>
      <c r="AC67" s="8">
        <f>IF($G67="",0,$G67)</f>
        <v/>
      </c>
      <c r="AD67" s="8">
        <f>IF($J67="",0,$J67)</f>
        <v/>
      </c>
    </row>
    <row r="68">
      <c r="A68" s="8">
        <f>IF($G68="","","SS-"&amp;TEXT(ROW()-4,"0000"))</f>
        <v/>
      </c>
      <c r="B68" s="9" t="n"/>
      <c r="C68" s="9" t="n"/>
      <c r="D68" s="9" t="n"/>
      <c r="E68" s="10" t="n"/>
      <c r="F68" s="11" t="n"/>
      <c r="G68" s="12">
        <f>IF($F68="","",IF($F68&gt;31,$F68,IF($Y68="","",DATE(YEAR($Y68),MONTH($Y68),$F68))))</f>
        <v/>
      </c>
      <c r="H68" s="13" t="n"/>
      <c r="I68" s="11" t="n"/>
      <c r="J68" s="12">
        <f>IF($I68="","",IF($I68&gt;31,$I68,IF($G68="","",IF(DATE(YEAR($G68),MONTH($G68),$I68)&gt;=$G68,DATE(YEAR($G68),MONTH($G68),$I68),DATE(YEAR($G68),MONTH($G68)+1,$I68)))))</f>
        <v/>
      </c>
      <c r="K68" s="13" t="n"/>
      <c r="L68" s="8">
        <f>IF(OR($G68="",$J68=""),"",$J68-$G68+1)</f>
        <v/>
      </c>
      <c r="M68" s="8">
        <f>IF(OR($G68="",$J68=""),"",$J68-$G68)</f>
        <v/>
      </c>
      <c r="N68" s="9" t="n"/>
      <c r="O68" s="9" t="n"/>
      <c r="P68" s="9" t="n"/>
      <c r="Q68" s="9" t="n"/>
      <c r="R68" s="9" t="n"/>
      <c r="S68" s="9" t="n"/>
      <c r="T68" s="14" t="n"/>
      <c r="U68" s="9" t="n"/>
      <c r="V68" s="8">
        <f>IF($G68="","",IF($D68="","⚠部屋が未選択",IF(COUNTIF('M_部屋'!$A$4:$A$20,$D68)=0,"⚠部屋が未登録",IF(OR($J68="",$N68="キャンセル"),"",IF(SUMPRODUCT(($D$5:$D$204=$D68)*($G$5:$G$204&lt;&gt;"")*($J$5:$J$204&lt;&gt;"")*($N$5:$N$204&lt;&gt;"キャンセル")*($G$5:$G$204&lt;$J68)*($J$5:$J$204&gt;$G68))&gt;1,"⚠重複","")))))</f>
        <v/>
      </c>
      <c r="W68" s="8">
        <f>IF(OR($B68="",$G68=""),"",IF(SUMPRODUCT(('利用者マスタ'!$A$4:$A$60=$B68)*('利用者マスタ'!$B$4:$B$60&lt;&gt;""))=0,"",IF(SUMIFS($X$5:$X$204,$B$5:$B$204,$B68,$G$5:$G$204,"&gt;="&amp;DATE(YEAR($G68),MONTH($G68),1),$G$5:$G$204,"&lt;="&amp;EOMONTH($G68,0))&gt;SUMIFS('利用者マスタ'!$B$4:$B$60,'利用者マスタ'!$A$4:$A$60,$B68),"⚠支給量超過","")))</f>
        <v/>
      </c>
      <c r="X68" s="8">
        <f>IF(OR($G68="",$J68="",$N68="キャンセル"),0,IF(IFERROR(INDEX('M_区分'!$B$4:$B$20,MATCH($C68,'M_区分'!$A$4:$A$20,0)),"○")="○",$J68-$G68+1,0))</f>
        <v/>
      </c>
      <c r="Y68" s="8">
        <f>IF($E68&lt;&gt;"",$E68,$Y67)</f>
        <v/>
      </c>
      <c r="Z68" s="8">
        <f>IF(OR($G68="",$J68=""),"",IF(AND($G68&lt;=EOMONTH('02_カレンダー'!$B$4,0),$J68&gt;='02_カレンダー'!$B$4),$G68*10000+ROW(),""))</f>
        <v/>
      </c>
      <c r="AA68" s="8">
        <f>IF($H68="","",IF(ISNUMBER($H68),TEXT($H68,"hh:mm"),$H68))</f>
        <v/>
      </c>
      <c r="AB68" s="8">
        <f>IF($K68="","",IF(ISNUMBER($K68),TEXT($K68,"hh:mm"),$K68))</f>
        <v/>
      </c>
      <c r="AC68" s="8">
        <f>IF($G68="",0,$G68)</f>
        <v/>
      </c>
      <c r="AD68" s="8">
        <f>IF($J68="",0,$J68)</f>
        <v/>
      </c>
    </row>
    <row r="69">
      <c r="A69" s="8">
        <f>IF($G69="","","SS-"&amp;TEXT(ROW()-4,"0000"))</f>
        <v/>
      </c>
      <c r="B69" s="9" t="n"/>
      <c r="C69" s="9" t="n"/>
      <c r="D69" s="9" t="n"/>
      <c r="E69" s="10" t="n"/>
      <c r="F69" s="11" t="n"/>
      <c r="G69" s="12">
        <f>IF($F69="","",IF($F69&gt;31,$F69,IF($Y69="","",DATE(YEAR($Y69),MONTH($Y69),$F69))))</f>
        <v/>
      </c>
      <c r="H69" s="13" t="n"/>
      <c r="I69" s="11" t="n"/>
      <c r="J69" s="12">
        <f>IF($I69="","",IF($I69&gt;31,$I69,IF($G69="","",IF(DATE(YEAR($G69),MONTH($G69),$I69)&gt;=$G69,DATE(YEAR($G69),MONTH($G69),$I69),DATE(YEAR($G69),MONTH($G69)+1,$I69)))))</f>
        <v/>
      </c>
      <c r="K69" s="13" t="n"/>
      <c r="L69" s="8">
        <f>IF(OR($G69="",$J69=""),"",$J69-$G69+1)</f>
        <v/>
      </c>
      <c r="M69" s="8">
        <f>IF(OR($G69="",$J69=""),"",$J69-$G69)</f>
        <v/>
      </c>
      <c r="N69" s="9" t="n"/>
      <c r="O69" s="9" t="n"/>
      <c r="P69" s="9" t="n"/>
      <c r="Q69" s="9" t="n"/>
      <c r="R69" s="9" t="n"/>
      <c r="S69" s="9" t="n"/>
      <c r="T69" s="14" t="n"/>
      <c r="U69" s="9" t="n"/>
      <c r="V69" s="8">
        <f>IF($G69="","",IF($D69="","⚠部屋が未選択",IF(COUNTIF('M_部屋'!$A$4:$A$20,$D69)=0,"⚠部屋が未登録",IF(OR($J69="",$N69="キャンセル"),"",IF(SUMPRODUCT(($D$5:$D$204=$D69)*($G$5:$G$204&lt;&gt;"")*($J$5:$J$204&lt;&gt;"")*($N$5:$N$204&lt;&gt;"キャンセル")*($G$5:$G$204&lt;$J69)*($J$5:$J$204&gt;$G69))&gt;1,"⚠重複","")))))</f>
        <v/>
      </c>
      <c r="W69" s="8">
        <f>IF(OR($B69="",$G69=""),"",IF(SUMPRODUCT(('利用者マスタ'!$A$4:$A$60=$B69)*('利用者マスタ'!$B$4:$B$60&lt;&gt;""))=0,"",IF(SUMIFS($X$5:$X$204,$B$5:$B$204,$B69,$G$5:$G$204,"&gt;="&amp;DATE(YEAR($G69),MONTH($G69),1),$G$5:$G$204,"&lt;="&amp;EOMONTH($G69,0))&gt;SUMIFS('利用者マスタ'!$B$4:$B$60,'利用者マスタ'!$A$4:$A$60,$B69),"⚠支給量超過","")))</f>
        <v/>
      </c>
      <c r="X69" s="8">
        <f>IF(OR($G69="",$J69="",$N69="キャンセル"),0,IF(IFERROR(INDEX('M_区分'!$B$4:$B$20,MATCH($C69,'M_区分'!$A$4:$A$20,0)),"○")="○",$J69-$G69+1,0))</f>
        <v/>
      </c>
      <c r="Y69" s="8">
        <f>IF($E69&lt;&gt;"",$E69,$Y68)</f>
        <v/>
      </c>
      <c r="Z69" s="8">
        <f>IF(OR($G69="",$J69=""),"",IF(AND($G69&lt;=EOMONTH('02_カレンダー'!$B$4,0),$J69&gt;='02_カレンダー'!$B$4),$G69*10000+ROW(),""))</f>
        <v/>
      </c>
      <c r="AA69" s="8">
        <f>IF($H69="","",IF(ISNUMBER($H69),TEXT($H69,"hh:mm"),$H69))</f>
        <v/>
      </c>
      <c r="AB69" s="8">
        <f>IF($K69="","",IF(ISNUMBER($K69),TEXT($K69,"hh:mm"),$K69))</f>
        <v/>
      </c>
      <c r="AC69" s="8">
        <f>IF($G69="",0,$G69)</f>
        <v/>
      </c>
      <c r="AD69" s="8">
        <f>IF($J69="",0,$J69)</f>
        <v/>
      </c>
    </row>
    <row r="70">
      <c r="A70" s="8">
        <f>IF($G70="","","SS-"&amp;TEXT(ROW()-4,"0000"))</f>
        <v/>
      </c>
      <c r="B70" s="9" t="n"/>
      <c r="C70" s="9" t="n"/>
      <c r="D70" s="9" t="n"/>
      <c r="E70" s="10" t="n"/>
      <c r="F70" s="11" t="n"/>
      <c r="G70" s="12">
        <f>IF($F70="","",IF($F70&gt;31,$F70,IF($Y70="","",DATE(YEAR($Y70),MONTH($Y70),$F70))))</f>
        <v/>
      </c>
      <c r="H70" s="13" t="n"/>
      <c r="I70" s="11" t="n"/>
      <c r="J70" s="12">
        <f>IF($I70="","",IF($I70&gt;31,$I70,IF($G70="","",IF(DATE(YEAR($G70),MONTH($G70),$I70)&gt;=$G70,DATE(YEAR($G70),MONTH($G70),$I70),DATE(YEAR($G70),MONTH($G70)+1,$I70)))))</f>
        <v/>
      </c>
      <c r="K70" s="13" t="n"/>
      <c r="L70" s="8">
        <f>IF(OR($G70="",$J70=""),"",$J70-$G70+1)</f>
        <v/>
      </c>
      <c r="M70" s="8">
        <f>IF(OR($G70="",$J70=""),"",$J70-$G70)</f>
        <v/>
      </c>
      <c r="N70" s="9" t="n"/>
      <c r="O70" s="9" t="n"/>
      <c r="P70" s="9" t="n"/>
      <c r="Q70" s="9" t="n"/>
      <c r="R70" s="9" t="n"/>
      <c r="S70" s="9" t="n"/>
      <c r="T70" s="14" t="n"/>
      <c r="U70" s="9" t="n"/>
      <c r="V70" s="8">
        <f>IF($G70="","",IF($D70="","⚠部屋が未選択",IF(COUNTIF('M_部屋'!$A$4:$A$20,$D70)=0,"⚠部屋が未登録",IF(OR($J70="",$N70="キャンセル"),"",IF(SUMPRODUCT(($D$5:$D$204=$D70)*($G$5:$G$204&lt;&gt;"")*($J$5:$J$204&lt;&gt;"")*($N$5:$N$204&lt;&gt;"キャンセル")*($G$5:$G$204&lt;$J70)*($J$5:$J$204&gt;$G70))&gt;1,"⚠重複","")))))</f>
        <v/>
      </c>
      <c r="W70" s="8">
        <f>IF(OR($B70="",$G70=""),"",IF(SUMPRODUCT(('利用者マスタ'!$A$4:$A$60=$B70)*('利用者マスタ'!$B$4:$B$60&lt;&gt;""))=0,"",IF(SUMIFS($X$5:$X$204,$B$5:$B$204,$B70,$G$5:$G$204,"&gt;="&amp;DATE(YEAR($G70),MONTH($G70),1),$G$5:$G$204,"&lt;="&amp;EOMONTH($G70,0))&gt;SUMIFS('利用者マスタ'!$B$4:$B$60,'利用者マスタ'!$A$4:$A$60,$B70),"⚠支給量超過","")))</f>
        <v/>
      </c>
      <c r="X70" s="8">
        <f>IF(OR($G70="",$J70="",$N70="キャンセル"),0,IF(IFERROR(INDEX('M_区分'!$B$4:$B$20,MATCH($C70,'M_区分'!$A$4:$A$20,0)),"○")="○",$J70-$G70+1,0))</f>
        <v/>
      </c>
      <c r="Y70" s="8">
        <f>IF($E70&lt;&gt;"",$E70,$Y69)</f>
        <v/>
      </c>
      <c r="Z70" s="8">
        <f>IF(OR($G70="",$J70=""),"",IF(AND($G70&lt;=EOMONTH('02_カレンダー'!$B$4,0),$J70&gt;='02_カレンダー'!$B$4),$G70*10000+ROW(),""))</f>
        <v/>
      </c>
      <c r="AA70" s="8">
        <f>IF($H70="","",IF(ISNUMBER($H70),TEXT($H70,"hh:mm"),$H70))</f>
        <v/>
      </c>
      <c r="AB70" s="8">
        <f>IF($K70="","",IF(ISNUMBER($K70),TEXT($K70,"hh:mm"),$K70))</f>
        <v/>
      </c>
      <c r="AC70" s="8">
        <f>IF($G70="",0,$G70)</f>
        <v/>
      </c>
      <c r="AD70" s="8">
        <f>IF($J70="",0,$J70)</f>
        <v/>
      </c>
    </row>
    <row r="71">
      <c r="A71" s="8">
        <f>IF($G71="","","SS-"&amp;TEXT(ROW()-4,"0000"))</f>
        <v/>
      </c>
      <c r="B71" s="9" t="n"/>
      <c r="C71" s="9" t="n"/>
      <c r="D71" s="9" t="n"/>
      <c r="E71" s="10" t="n"/>
      <c r="F71" s="11" t="n"/>
      <c r="G71" s="12">
        <f>IF($F71="","",IF($F71&gt;31,$F71,IF($Y71="","",DATE(YEAR($Y71),MONTH($Y71),$F71))))</f>
        <v/>
      </c>
      <c r="H71" s="13" t="n"/>
      <c r="I71" s="11" t="n"/>
      <c r="J71" s="12">
        <f>IF($I71="","",IF($I71&gt;31,$I71,IF($G71="","",IF(DATE(YEAR($G71),MONTH($G71),$I71)&gt;=$G71,DATE(YEAR($G71),MONTH($G71),$I71),DATE(YEAR($G71),MONTH($G71)+1,$I71)))))</f>
        <v/>
      </c>
      <c r="K71" s="13" t="n"/>
      <c r="L71" s="8">
        <f>IF(OR($G71="",$J71=""),"",$J71-$G71+1)</f>
        <v/>
      </c>
      <c r="M71" s="8">
        <f>IF(OR($G71="",$J71=""),"",$J71-$G71)</f>
        <v/>
      </c>
      <c r="N71" s="9" t="n"/>
      <c r="O71" s="9" t="n"/>
      <c r="P71" s="9" t="n"/>
      <c r="Q71" s="9" t="n"/>
      <c r="R71" s="9" t="n"/>
      <c r="S71" s="9" t="n"/>
      <c r="T71" s="14" t="n"/>
      <c r="U71" s="9" t="n"/>
      <c r="V71" s="8">
        <f>IF($G71="","",IF($D71="","⚠部屋が未選択",IF(COUNTIF('M_部屋'!$A$4:$A$20,$D71)=0,"⚠部屋が未登録",IF(OR($J71="",$N71="キャンセル"),"",IF(SUMPRODUCT(($D$5:$D$204=$D71)*($G$5:$G$204&lt;&gt;"")*($J$5:$J$204&lt;&gt;"")*($N$5:$N$204&lt;&gt;"キャンセル")*($G$5:$G$204&lt;$J71)*($J$5:$J$204&gt;$G71))&gt;1,"⚠重複","")))))</f>
        <v/>
      </c>
      <c r="W71" s="8">
        <f>IF(OR($B71="",$G71=""),"",IF(SUMPRODUCT(('利用者マスタ'!$A$4:$A$60=$B71)*('利用者マスタ'!$B$4:$B$60&lt;&gt;""))=0,"",IF(SUMIFS($X$5:$X$204,$B$5:$B$204,$B71,$G$5:$G$204,"&gt;="&amp;DATE(YEAR($G71),MONTH($G71),1),$G$5:$G$204,"&lt;="&amp;EOMONTH($G71,0))&gt;SUMIFS('利用者マスタ'!$B$4:$B$60,'利用者マスタ'!$A$4:$A$60,$B71),"⚠支給量超過","")))</f>
        <v/>
      </c>
      <c r="X71" s="8">
        <f>IF(OR($G71="",$J71="",$N71="キャンセル"),0,IF(IFERROR(INDEX('M_区分'!$B$4:$B$20,MATCH($C71,'M_区分'!$A$4:$A$20,0)),"○")="○",$J71-$G71+1,0))</f>
        <v/>
      </c>
      <c r="Y71" s="8">
        <f>IF($E71&lt;&gt;"",$E71,$Y70)</f>
        <v/>
      </c>
      <c r="Z71" s="8">
        <f>IF(OR($G71="",$J71=""),"",IF(AND($G71&lt;=EOMONTH('02_カレンダー'!$B$4,0),$J71&gt;='02_カレンダー'!$B$4),$G71*10000+ROW(),""))</f>
        <v/>
      </c>
      <c r="AA71" s="8">
        <f>IF($H71="","",IF(ISNUMBER($H71),TEXT($H71,"hh:mm"),$H71))</f>
        <v/>
      </c>
      <c r="AB71" s="8">
        <f>IF($K71="","",IF(ISNUMBER($K71),TEXT($K71,"hh:mm"),$K71))</f>
        <v/>
      </c>
      <c r="AC71" s="8">
        <f>IF($G71="",0,$G71)</f>
        <v/>
      </c>
      <c r="AD71" s="8">
        <f>IF($J71="",0,$J71)</f>
        <v/>
      </c>
    </row>
    <row r="72">
      <c r="A72" s="8">
        <f>IF($G72="","","SS-"&amp;TEXT(ROW()-4,"0000"))</f>
        <v/>
      </c>
      <c r="B72" s="9" t="n"/>
      <c r="C72" s="9" t="n"/>
      <c r="D72" s="9" t="n"/>
      <c r="E72" s="10" t="n"/>
      <c r="F72" s="11" t="n"/>
      <c r="G72" s="12">
        <f>IF($F72="","",IF($F72&gt;31,$F72,IF($Y72="","",DATE(YEAR($Y72),MONTH($Y72),$F72))))</f>
        <v/>
      </c>
      <c r="H72" s="13" t="n"/>
      <c r="I72" s="11" t="n"/>
      <c r="J72" s="12">
        <f>IF($I72="","",IF($I72&gt;31,$I72,IF($G72="","",IF(DATE(YEAR($G72),MONTH($G72),$I72)&gt;=$G72,DATE(YEAR($G72),MONTH($G72),$I72),DATE(YEAR($G72),MONTH($G72)+1,$I72)))))</f>
        <v/>
      </c>
      <c r="K72" s="13" t="n"/>
      <c r="L72" s="8">
        <f>IF(OR($G72="",$J72=""),"",$J72-$G72+1)</f>
        <v/>
      </c>
      <c r="M72" s="8">
        <f>IF(OR($G72="",$J72=""),"",$J72-$G72)</f>
        <v/>
      </c>
      <c r="N72" s="9" t="n"/>
      <c r="O72" s="9" t="n"/>
      <c r="P72" s="9" t="n"/>
      <c r="Q72" s="9" t="n"/>
      <c r="R72" s="9" t="n"/>
      <c r="S72" s="9" t="n"/>
      <c r="T72" s="14" t="n"/>
      <c r="U72" s="9" t="n"/>
      <c r="V72" s="8">
        <f>IF($G72="","",IF($D72="","⚠部屋が未選択",IF(COUNTIF('M_部屋'!$A$4:$A$20,$D72)=0,"⚠部屋が未登録",IF(OR($J72="",$N72="キャンセル"),"",IF(SUMPRODUCT(($D$5:$D$204=$D72)*($G$5:$G$204&lt;&gt;"")*($J$5:$J$204&lt;&gt;"")*($N$5:$N$204&lt;&gt;"キャンセル")*($G$5:$G$204&lt;$J72)*($J$5:$J$204&gt;$G72))&gt;1,"⚠重複","")))))</f>
        <v/>
      </c>
      <c r="W72" s="8">
        <f>IF(OR($B72="",$G72=""),"",IF(SUMPRODUCT(('利用者マスタ'!$A$4:$A$60=$B72)*('利用者マスタ'!$B$4:$B$60&lt;&gt;""))=0,"",IF(SUMIFS($X$5:$X$204,$B$5:$B$204,$B72,$G$5:$G$204,"&gt;="&amp;DATE(YEAR($G72),MONTH($G72),1),$G$5:$G$204,"&lt;="&amp;EOMONTH($G72,0))&gt;SUMIFS('利用者マスタ'!$B$4:$B$60,'利用者マスタ'!$A$4:$A$60,$B72),"⚠支給量超過","")))</f>
        <v/>
      </c>
      <c r="X72" s="8">
        <f>IF(OR($G72="",$J72="",$N72="キャンセル"),0,IF(IFERROR(INDEX('M_区分'!$B$4:$B$20,MATCH($C72,'M_区分'!$A$4:$A$20,0)),"○")="○",$J72-$G72+1,0))</f>
        <v/>
      </c>
      <c r="Y72" s="8">
        <f>IF($E72&lt;&gt;"",$E72,$Y71)</f>
        <v/>
      </c>
      <c r="Z72" s="8">
        <f>IF(OR($G72="",$J72=""),"",IF(AND($G72&lt;=EOMONTH('02_カレンダー'!$B$4,0),$J72&gt;='02_カレンダー'!$B$4),$G72*10000+ROW(),""))</f>
        <v/>
      </c>
      <c r="AA72" s="8">
        <f>IF($H72="","",IF(ISNUMBER($H72),TEXT($H72,"hh:mm"),$H72))</f>
        <v/>
      </c>
      <c r="AB72" s="8">
        <f>IF($K72="","",IF(ISNUMBER($K72),TEXT($K72,"hh:mm"),$K72))</f>
        <v/>
      </c>
      <c r="AC72" s="8">
        <f>IF($G72="",0,$G72)</f>
        <v/>
      </c>
      <c r="AD72" s="8">
        <f>IF($J72="",0,$J72)</f>
        <v/>
      </c>
    </row>
    <row r="73">
      <c r="A73" s="8">
        <f>IF($G73="","","SS-"&amp;TEXT(ROW()-4,"0000"))</f>
        <v/>
      </c>
      <c r="B73" s="9" t="n"/>
      <c r="C73" s="9" t="n"/>
      <c r="D73" s="9" t="n"/>
      <c r="E73" s="10" t="n"/>
      <c r="F73" s="11" t="n"/>
      <c r="G73" s="12">
        <f>IF($F73="","",IF($F73&gt;31,$F73,IF($Y73="","",DATE(YEAR($Y73),MONTH($Y73),$F73))))</f>
        <v/>
      </c>
      <c r="H73" s="13" t="n"/>
      <c r="I73" s="11" t="n"/>
      <c r="J73" s="12">
        <f>IF($I73="","",IF($I73&gt;31,$I73,IF($G73="","",IF(DATE(YEAR($G73),MONTH($G73),$I73)&gt;=$G73,DATE(YEAR($G73),MONTH($G73),$I73),DATE(YEAR($G73),MONTH($G73)+1,$I73)))))</f>
        <v/>
      </c>
      <c r="K73" s="13" t="n"/>
      <c r="L73" s="8">
        <f>IF(OR($G73="",$J73=""),"",$J73-$G73+1)</f>
        <v/>
      </c>
      <c r="M73" s="8">
        <f>IF(OR($G73="",$J73=""),"",$J73-$G73)</f>
        <v/>
      </c>
      <c r="N73" s="9" t="n"/>
      <c r="O73" s="9" t="n"/>
      <c r="P73" s="9" t="n"/>
      <c r="Q73" s="9" t="n"/>
      <c r="R73" s="9" t="n"/>
      <c r="S73" s="9" t="n"/>
      <c r="T73" s="14" t="n"/>
      <c r="U73" s="9" t="n"/>
      <c r="V73" s="8">
        <f>IF($G73="","",IF($D73="","⚠部屋が未選択",IF(COUNTIF('M_部屋'!$A$4:$A$20,$D73)=0,"⚠部屋が未登録",IF(OR($J73="",$N73="キャンセル"),"",IF(SUMPRODUCT(($D$5:$D$204=$D73)*($G$5:$G$204&lt;&gt;"")*($J$5:$J$204&lt;&gt;"")*($N$5:$N$204&lt;&gt;"キャンセル")*($G$5:$G$204&lt;$J73)*($J$5:$J$204&gt;$G73))&gt;1,"⚠重複","")))))</f>
        <v/>
      </c>
      <c r="W73" s="8">
        <f>IF(OR($B73="",$G73=""),"",IF(SUMPRODUCT(('利用者マスタ'!$A$4:$A$60=$B73)*('利用者マスタ'!$B$4:$B$60&lt;&gt;""))=0,"",IF(SUMIFS($X$5:$X$204,$B$5:$B$204,$B73,$G$5:$G$204,"&gt;="&amp;DATE(YEAR($G73),MONTH($G73),1),$G$5:$G$204,"&lt;="&amp;EOMONTH($G73,0))&gt;SUMIFS('利用者マスタ'!$B$4:$B$60,'利用者マスタ'!$A$4:$A$60,$B73),"⚠支給量超過","")))</f>
        <v/>
      </c>
      <c r="X73" s="8">
        <f>IF(OR($G73="",$J73="",$N73="キャンセル"),0,IF(IFERROR(INDEX('M_区分'!$B$4:$B$20,MATCH($C73,'M_区分'!$A$4:$A$20,0)),"○")="○",$J73-$G73+1,0))</f>
        <v/>
      </c>
      <c r="Y73" s="8">
        <f>IF($E73&lt;&gt;"",$E73,$Y72)</f>
        <v/>
      </c>
      <c r="Z73" s="8">
        <f>IF(OR($G73="",$J73=""),"",IF(AND($G73&lt;=EOMONTH('02_カレンダー'!$B$4,0),$J73&gt;='02_カレンダー'!$B$4),$G73*10000+ROW(),""))</f>
        <v/>
      </c>
      <c r="AA73" s="8">
        <f>IF($H73="","",IF(ISNUMBER($H73),TEXT($H73,"hh:mm"),$H73))</f>
        <v/>
      </c>
      <c r="AB73" s="8">
        <f>IF($K73="","",IF(ISNUMBER($K73),TEXT($K73,"hh:mm"),$K73))</f>
        <v/>
      </c>
      <c r="AC73" s="8">
        <f>IF($G73="",0,$G73)</f>
        <v/>
      </c>
      <c r="AD73" s="8">
        <f>IF($J73="",0,$J73)</f>
        <v/>
      </c>
    </row>
    <row r="74">
      <c r="A74" s="8">
        <f>IF($G74="","","SS-"&amp;TEXT(ROW()-4,"0000"))</f>
        <v/>
      </c>
      <c r="B74" s="9" t="n"/>
      <c r="C74" s="9" t="n"/>
      <c r="D74" s="9" t="n"/>
      <c r="E74" s="10" t="n"/>
      <c r="F74" s="11" t="n"/>
      <c r="G74" s="12">
        <f>IF($F74="","",IF($F74&gt;31,$F74,IF($Y74="","",DATE(YEAR($Y74),MONTH($Y74),$F74))))</f>
        <v/>
      </c>
      <c r="H74" s="13" t="n"/>
      <c r="I74" s="11" t="n"/>
      <c r="J74" s="12">
        <f>IF($I74="","",IF($I74&gt;31,$I74,IF($G74="","",IF(DATE(YEAR($G74),MONTH($G74),$I74)&gt;=$G74,DATE(YEAR($G74),MONTH($G74),$I74),DATE(YEAR($G74),MONTH($G74)+1,$I74)))))</f>
        <v/>
      </c>
      <c r="K74" s="13" t="n"/>
      <c r="L74" s="8">
        <f>IF(OR($G74="",$J74=""),"",$J74-$G74+1)</f>
        <v/>
      </c>
      <c r="M74" s="8">
        <f>IF(OR($G74="",$J74=""),"",$J74-$G74)</f>
        <v/>
      </c>
      <c r="N74" s="9" t="n"/>
      <c r="O74" s="9" t="n"/>
      <c r="P74" s="9" t="n"/>
      <c r="Q74" s="9" t="n"/>
      <c r="R74" s="9" t="n"/>
      <c r="S74" s="9" t="n"/>
      <c r="T74" s="14" t="n"/>
      <c r="U74" s="9" t="n"/>
      <c r="V74" s="8">
        <f>IF($G74="","",IF($D74="","⚠部屋が未選択",IF(COUNTIF('M_部屋'!$A$4:$A$20,$D74)=0,"⚠部屋が未登録",IF(OR($J74="",$N74="キャンセル"),"",IF(SUMPRODUCT(($D$5:$D$204=$D74)*($G$5:$G$204&lt;&gt;"")*($J$5:$J$204&lt;&gt;"")*($N$5:$N$204&lt;&gt;"キャンセル")*($G$5:$G$204&lt;$J74)*($J$5:$J$204&gt;$G74))&gt;1,"⚠重複","")))))</f>
        <v/>
      </c>
      <c r="W74" s="8">
        <f>IF(OR($B74="",$G74=""),"",IF(SUMPRODUCT(('利用者マスタ'!$A$4:$A$60=$B74)*('利用者マスタ'!$B$4:$B$60&lt;&gt;""))=0,"",IF(SUMIFS($X$5:$X$204,$B$5:$B$204,$B74,$G$5:$G$204,"&gt;="&amp;DATE(YEAR($G74),MONTH($G74),1),$G$5:$G$204,"&lt;="&amp;EOMONTH($G74,0))&gt;SUMIFS('利用者マスタ'!$B$4:$B$60,'利用者マスタ'!$A$4:$A$60,$B74),"⚠支給量超過","")))</f>
        <v/>
      </c>
      <c r="X74" s="8">
        <f>IF(OR($G74="",$J74="",$N74="キャンセル"),0,IF(IFERROR(INDEX('M_区分'!$B$4:$B$20,MATCH($C74,'M_区分'!$A$4:$A$20,0)),"○")="○",$J74-$G74+1,0))</f>
        <v/>
      </c>
      <c r="Y74" s="8">
        <f>IF($E74&lt;&gt;"",$E74,$Y73)</f>
        <v/>
      </c>
      <c r="Z74" s="8">
        <f>IF(OR($G74="",$J74=""),"",IF(AND($G74&lt;=EOMONTH('02_カレンダー'!$B$4,0),$J74&gt;='02_カレンダー'!$B$4),$G74*10000+ROW(),""))</f>
        <v/>
      </c>
      <c r="AA74" s="8">
        <f>IF($H74="","",IF(ISNUMBER($H74),TEXT($H74,"hh:mm"),$H74))</f>
        <v/>
      </c>
      <c r="AB74" s="8">
        <f>IF($K74="","",IF(ISNUMBER($K74),TEXT($K74,"hh:mm"),$K74))</f>
        <v/>
      </c>
      <c r="AC74" s="8">
        <f>IF($G74="",0,$G74)</f>
        <v/>
      </c>
      <c r="AD74" s="8">
        <f>IF($J74="",0,$J74)</f>
        <v/>
      </c>
    </row>
    <row r="75">
      <c r="A75" s="8">
        <f>IF($G75="","","SS-"&amp;TEXT(ROW()-4,"0000"))</f>
        <v/>
      </c>
      <c r="B75" s="9" t="n"/>
      <c r="C75" s="9" t="n"/>
      <c r="D75" s="9" t="n"/>
      <c r="E75" s="10" t="n"/>
      <c r="F75" s="11" t="n"/>
      <c r="G75" s="12">
        <f>IF($F75="","",IF($F75&gt;31,$F75,IF($Y75="","",DATE(YEAR($Y75),MONTH($Y75),$F75))))</f>
        <v/>
      </c>
      <c r="H75" s="13" t="n"/>
      <c r="I75" s="11" t="n"/>
      <c r="J75" s="12">
        <f>IF($I75="","",IF($I75&gt;31,$I75,IF($G75="","",IF(DATE(YEAR($G75),MONTH($G75),$I75)&gt;=$G75,DATE(YEAR($G75),MONTH($G75),$I75),DATE(YEAR($G75),MONTH($G75)+1,$I75)))))</f>
        <v/>
      </c>
      <c r="K75" s="13" t="n"/>
      <c r="L75" s="8">
        <f>IF(OR($G75="",$J75=""),"",$J75-$G75+1)</f>
        <v/>
      </c>
      <c r="M75" s="8">
        <f>IF(OR($G75="",$J75=""),"",$J75-$G75)</f>
        <v/>
      </c>
      <c r="N75" s="9" t="n"/>
      <c r="O75" s="9" t="n"/>
      <c r="P75" s="9" t="n"/>
      <c r="Q75" s="9" t="n"/>
      <c r="R75" s="9" t="n"/>
      <c r="S75" s="9" t="n"/>
      <c r="T75" s="14" t="n"/>
      <c r="U75" s="9" t="n"/>
      <c r="V75" s="8">
        <f>IF($G75="","",IF($D75="","⚠部屋が未選択",IF(COUNTIF('M_部屋'!$A$4:$A$20,$D75)=0,"⚠部屋が未登録",IF(OR($J75="",$N75="キャンセル"),"",IF(SUMPRODUCT(($D$5:$D$204=$D75)*($G$5:$G$204&lt;&gt;"")*($J$5:$J$204&lt;&gt;"")*($N$5:$N$204&lt;&gt;"キャンセル")*($G$5:$G$204&lt;$J75)*($J$5:$J$204&gt;$G75))&gt;1,"⚠重複","")))))</f>
        <v/>
      </c>
      <c r="W75" s="8">
        <f>IF(OR($B75="",$G75=""),"",IF(SUMPRODUCT(('利用者マスタ'!$A$4:$A$60=$B75)*('利用者マスタ'!$B$4:$B$60&lt;&gt;""))=0,"",IF(SUMIFS($X$5:$X$204,$B$5:$B$204,$B75,$G$5:$G$204,"&gt;="&amp;DATE(YEAR($G75),MONTH($G75),1),$G$5:$G$204,"&lt;="&amp;EOMONTH($G75,0))&gt;SUMIFS('利用者マスタ'!$B$4:$B$60,'利用者マスタ'!$A$4:$A$60,$B75),"⚠支給量超過","")))</f>
        <v/>
      </c>
      <c r="X75" s="8">
        <f>IF(OR($G75="",$J75="",$N75="キャンセル"),0,IF(IFERROR(INDEX('M_区分'!$B$4:$B$20,MATCH($C75,'M_区分'!$A$4:$A$20,0)),"○")="○",$J75-$G75+1,0))</f>
        <v/>
      </c>
      <c r="Y75" s="8">
        <f>IF($E75&lt;&gt;"",$E75,$Y74)</f>
        <v/>
      </c>
      <c r="Z75" s="8">
        <f>IF(OR($G75="",$J75=""),"",IF(AND($G75&lt;=EOMONTH('02_カレンダー'!$B$4,0),$J75&gt;='02_カレンダー'!$B$4),$G75*10000+ROW(),""))</f>
        <v/>
      </c>
      <c r="AA75" s="8">
        <f>IF($H75="","",IF(ISNUMBER($H75),TEXT($H75,"hh:mm"),$H75))</f>
        <v/>
      </c>
      <c r="AB75" s="8">
        <f>IF($K75="","",IF(ISNUMBER($K75),TEXT($K75,"hh:mm"),$K75))</f>
        <v/>
      </c>
      <c r="AC75" s="8">
        <f>IF($G75="",0,$G75)</f>
        <v/>
      </c>
      <c r="AD75" s="8">
        <f>IF($J75="",0,$J75)</f>
        <v/>
      </c>
    </row>
    <row r="76">
      <c r="A76" s="8">
        <f>IF($G76="","","SS-"&amp;TEXT(ROW()-4,"0000"))</f>
        <v/>
      </c>
      <c r="B76" s="9" t="n"/>
      <c r="C76" s="9" t="n"/>
      <c r="D76" s="9" t="n"/>
      <c r="E76" s="10" t="n"/>
      <c r="F76" s="11" t="n"/>
      <c r="G76" s="12">
        <f>IF($F76="","",IF($F76&gt;31,$F76,IF($Y76="","",DATE(YEAR($Y76),MONTH($Y76),$F76))))</f>
        <v/>
      </c>
      <c r="H76" s="13" t="n"/>
      <c r="I76" s="11" t="n"/>
      <c r="J76" s="12">
        <f>IF($I76="","",IF($I76&gt;31,$I76,IF($G76="","",IF(DATE(YEAR($G76),MONTH($G76),$I76)&gt;=$G76,DATE(YEAR($G76),MONTH($G76),$I76),DATE(YEAR($G76),MONTH($G76)+1,$I76)))))</f>
        <v/>
      </c>
      <c r="K76" s="13" t="n"/>
      <c r="L76" s="8">
        <f>IF(OR($G76="",$J76=""),"",$J76-$G76+1)</f>
        <v/>
      </c>
      <c r="M76" s="8">
        <f>IF(OR($G76="",$J76=""),"",$J76-$G76)</f>
        <v/>
      </c>
      <c r="N76" s="9" t="n"/>
      <c r="O76" s="9" t="n"/>
      <c r="P76" s="9" t="n"/>
      <c r="Q76" s="9" t="n"/>
      <c r="R76" s="9" t="n"/>
      <c r="S76" s="9" t="n"/>
      <c r="T76" s="14" t="n"/>
      <c r="U76" s="9" t="n"/>
      <c r="V76" s="8">
        <f>IF($G76="","",IF($D76="","⚠部屋が未選択",IF(COUNTIF('M_部屋'!$A$4:$A$20,$D76)=0,"⚠部屋が未登録",IF(OR($J76="",$N76="キャンセル"),"",IF(SUMPRODUCT(($D$5:$D$204=$D76)*($G$5:$G$204&lt;&gt;"")*($J$5:$J$204&lt;&gt;"")*($N$5:$N$204&lt;&gt;"キャンセル")*($G$5:$G$204&lt;$J76)*($J$5:$J$204&gt;$G76))&gt;1,"⚠重複","")))))</f>
        <v/>
      </c>
      <c r="W76" s="8">
        <f>IF(OR($B76="",$G76=""),"",IF(SUMPRODUCT(('利用者マスタ'!$A$4:$A$60=$B76)*('利用者マスタ'!$B$4:$B$60&lt;&gt;""))=0,"",IF(SUMIFS($X$5:$X$204,$B$5:$B$204,$B76,$G$5:$G$204,"&gt;="&amp;DATE(YEAR($G76),MONTH($G76),1),$G$5:$G$204,"&lt;="&amp;EOMONTH($G76,0))&gt;SUMIFS('利用者マスタ'!$B$4:$B$60,'利用者マスタ'!$A$4:$A$60,$B76),"⚠支給量超過","")))</f>
        <v/>
      </c>
      <c r="X76" s="8">
        <f>IF(OR($G76="",$J76="",$N76="キャンセル"),0,IF(IFERROR(INDEX('M_区分'!$B$4:$B$20,MATCH($C76,'M_区分'!$A$4:$A$20,0)),"○")="○",$J76-$G76+1,0))</f>
        <v/>
      </c>
      <c r="Y76" s="8">
        <f>IF($E76&lt;&gt;"",$E76,$Y75)</f>
        <v/>
      </c>
      <c r="Z76" s="8">
        <f>IF(OR($G76="",$J76=""),"",IF(AND($G76&lt;=EOMONTH('02_カレンダー'!$B$4,0),$J76&gt;='02_カレンダー'!$B$4),$G76*10000+ROW(),""))</f>
        <v/>
      </c>
      <c r="AA76" s="8">
        <f>IF($H76="","",IF(ISNUMBER($H76),TEXT($H76,"hh:mm"),$H76))</f>
        <v/>
      </c>
      <c r="AB76" s="8">
        <f>IF($K76="","",IF(ISNUMBER($K76),TEXT($K76,"hh:mm"),$K76))</f>
        <v/>
      </c>
      <c r="AC76" s="8">
        <f>IF($G76="",0,$G76)</f>
        <v/>
      </c>
      <c r="AD76" s="8">
        <f>IF($J76="",0,$J76)</f>
        <v/>
      </c>
    </row>
    <row r="77">
      <c r="A77" s="8">
        <f>IF($G77="","","SS-"&amp;TEXT(ROW()-4,"0000"))</f>
        <v/>
      </c>
      <c r="B77" s="9" t="n"/>
      <c r="C77" s="9" t="n"/>
      <c r="D77" s="9" t="n"/>
      <c r="E77" s="10" t="n"/>
      <c r="F77" s="11" t="n"/>
      <c r="G77" s="12">
        <f>IF($F77="","",IF($F77&gt;31,$F77,IF($Y77="","",DATE(YEAR($Y77),MONTH($Y77),$F77))))</f>
        <v/>
      </c>
      <c r="H77" s="13" t="n"/>
      <c r="I77" s="11" t="n"/>
      <c r="J77" s="12">
        <f>IF($I77="","",IF($I77&gt;31,$I77,IF($G77="","",IF(DATE(YEAR($G77),MONTH($G77),$I77)&gt;=$G77,DATE(YEAR($G77),MONTH($G77),$I77),DATE(YEAR($G77),MONTH($G77)+1,$I77)))))</f>
        <v/>
      </c>
      <c r="K77" s="13" t="n"/>
      <c r="L77" s="8">
        <f>IF(OR($G77="",$J77=""),"",$J77-$G77+1)</f>
        <v/>
      </c>
      <c r="M77" s="8">
        <f>IF(OR($G77="",$J77=""),"",$J77-$G77)</f>
        <v/>
      </c>
      <c r="N77" s="9" t="n"/>
      <c r="O77" s="9" t="n"/>
      <c r="P77" s="9" t="n"/>
      <c r="Q77" s="9" t="n"/>
      <c r="R77" s="9" t="n"/>
      <c r="S77" s="9" t="n"/>
      <c r="T77" s="14" t="n"/>
      <c r="U77" s="9" t="n"/>
      <c r="V77" s="8">
        <f>IF($G77="","",IF($D77="","⚠部屋が未選択",IF(COUNTIF('M_部屋'!$A$4:$A$20,$D77)=0,"⚠部屋が未登録",IF(OR($J77="",$N77="キャンセル"),"",IF(SUMPRODUCT(($D$5:$D$204=$D77)*($G$5:$G$204&lt;&gt;"")*($J$5:$J$204&lt;&gt;"")*($N$5:$N$204&lt;&gt;"キャンセル")*($G$5:$G$204&lt;$J77)*($J$5:$J$204&gt;$G77))&gt;1,"⚠重複","")))))</f>
        <v/>
      </c>
      <c r="W77" s="8">
        <f>IF(OR($B77="",$G77=""),"",IF(SUMPRODUCT(('利用者マスタ'!$A$4:$A$60=$B77)*('利用者マスタ'!$B$4:$B$60&lt;&gt;""))=0,"",IF(SUMIFS($X$5:$X$204,$B$5:$B$204,$B77,$G$5:$G$204,"&gt;="&amp;DATE(YEAR($G77),MONTH($G77),1),$G$5:$G$204,"&lt;="&amp;EOMONTH($G77,0))&gt;SUMIFS('利用者マスタ'!$B$4:$B$60,'利用者マスタ'!$A$4:$A$60,$B77),"⚠支給量超過","")))</f>
        <v/>
      </c>
      <c r="X77" s="8">
        <f>IF(OR($G77="",$J77="",$N77="キャンセル"),0,IF(IFERROR(INDEX('M_区分'!$B$4:$B$20,MATCH($C77,'M_区分'!$A$4:$A$20,0)),"○")="○",$J77-$G77+1,0))</f>
        <v/>
      </c>
      <c r="Y77" s="8">
        <f>IF($E77&lt;&gt;"",$E77,$Y76)</f>
        <v/>
      </c>
      <c r="Z77" s="8">
        <f>IF(OR($G77="",$J77=""),"",IF(AND($G77&lt;=EOMONTH('02_カレンダー'!$B$4,0),$J77&gt;='02_カレンダー'!$B$4),$G77*10000+ROW(),""))</f>
        <v/>
      </c>
      <c r="AA77" s="8">
        <f>IF($H77="","",IF(ISNUMBER($H77),TEXT($H77,"hh:mm"),$H77))</f>
        <v/>
      </c>
      <c r="AB77" s="8">
        <f>IF($K77="","",IF(ISNUMBER($K77),TEXT($K77,"hh:mm"),$K77))</f>
        <v/>
      </c>
      <c r="AC77" s="8">
        <f>IF($G77="",0,$G77)</f>
        <v/>
      </c>
      <c r="AD77" s="8">
        <f>IF($J77="",0,$J77)</f>
        <v/>
      </c>
    </row>
    <row r="78">
      <c r="A78" s="8">
        <f>IF($G78="","","SS-"&amp;TEXT(ROW()-4,"0000"))</f>
        <v/>
      </c>
      <c r="B78" s="9" t="n"/>
      <c r="C78" s="9" t="n"/>
      <c r="D78" s="9" t="n"/>
      <c r="E78" s="10" t="n"/>
      <c r="F78" s="11" t="n"/>
      <c r="G78" s="12">
        <f>IF($F78="","",IF($F78&gt;31,$F78,IF($Y78="","",DATE(YEAR($Y78),MONTH($Y78),$F78))))</f>
        <v/>
      </c>
      <c r="H78" s="13" t="n"/>
      <c r="I78" s="11" t="n"/>
      <c r="J78" s="12">
        <f>IF($I78="","",IF($I78&gt;31,$I78,IF($G78="","",IF(DATE(YEAR($G78),MONTH($G78),$I78)&gt;=$G78,DATE(YEAR($G78),MONTH($G78),$I78),DATE(YEAR($G78),MONTH($G78)+1,$I78)))))</f>
        <v/>
      </c>
      <c r="K78" s="13" t="n"/>
      <c r="L78" s="8">
        <f>IF(OR($G78="",$J78=""),"",$J78-$G78+1)</f>
        <v/>
      </c>
      <c r="M78" s="8">
        <f>IF(OR($G78="",$J78=""),"",$J78-$G78)</f>
        <v/>
      </c>
      <c r="N78" s="9" t="n"/>
      <c r="O78" s="9" t="n"/>
      <c r="P78" s="9" t="n"/>
      <c r="Q78" s="9" t="n"/>
      <c r="R78" s="9" t="n"/>
      <c r="S78" s="9" t="n"/>
      <c r="T78" s="14" t="n"/>
      <c r="U78" s="9" t="n"/>
      <c r="V78" s="8">
        <f>IF($G78="","",IF($D78="","⚠部屋が未選択",IF(COUNTIF('M_部屋'!$A$4:$A$20,$D78)=0,"⚠部屋が未登録",IF(OR($J78="",$N78="キャンセル"),"",IF(SUMPRODUCT(($D$5:$D$204=$D78)*($G$5:$G$204&lt;&gt;"")*($J$5:$J$204&lt;&gt;"")*($N$5:$N$204&lt;&gt;"キャンセル")*($G$5:$G$204&lt;$J78)*($J$5:$J$204&gt;$G78))&gt;1,"⚠重複","")))))</f>
        <v/>
      </c>
      <c r="W78" s="8">
        <f>IF(OR($B78="",$G78=""),"",IF(SUMPRODUCT(('利用者マスタ'!$A$4:$A$60=$B78)*('利用者マスタ'!$B$4:$B$60&lt;&gt;""))=0,"",IF(SUMIFS($X$5:$X$204,$B$5:$B$204,$B78,$G$5:$G$204,"&gt;="&amp;DATE(YEAR($G78),MONTH($G78),1),$G$5:$G$204,"&lt;="&amp;EOMONTH($G78,0))&gt;SUMIFS('利用者マスタ'!$B$4:$B$60,'利用者マスタ'!$A$4:$A$60,$B78),"⚠支給量超過","")))</f>
        <v/>
      </c>
      <c r="X78" s="8">
        <f>IF(OR($G78="",$J78="",$N78="キャンセル"),0,IF(IFERROR(INDEX('M_区分'!$B$4:$B$20,MATCH($C78,'M_区分'!$A$4:$A$20,0)),"○")="○",$J78-$G78+1,0))</f>
        <v/>
      </c>
      <c r="Y78" s="8">
        <f>IF($E78&lt;&gt;"",$E78,$Y77)</f>
        <v/>
      </c>
      <c r="Z78" s="8">
        <f>IF(OR($G78="",$J78=""),"",IF(AND($G78&lt;=EOMONTH('02_カレンダー'!$B$4,0),$J78&gt;='02_カレンダー'!$B$4),$G78*10000+ROW(),""))</f>
        <v/>
      </c>
      <c r="AA78" s="8">
        <f>IF($H78="","",IF(ISNUMBER($H78),TEXT($H78,"hh:mm"),$H78))</f>
        <v/>
      </c>
      <c r="AB78" s="8">
        <f>IF($K78="","",IF(ISNUMBER($K78),TEXT($K78,"hh:mm"),$K78))</f>
        <v/>
      </c>
      <c r="AC78" s="8">
        <f>IF($G78="",0,$G78)</f>
        <v/>
      </c>
      <c r="AD78" s="8">
        <f>IF($J78="",0,$J78)</f>
        <v/>
      </c>
    </row>
    <row r="79">
      <c r="A79" s="8">
        <f>IF($G79="","","SS-"&amp;TEXT(ROW()-4,"0000"))</f>
        <v/>
      </c>
      <c r="B79" s="9" t="n"/>
      <c r="C79" s="9" t="n"/>
      <c r="D79" s="9" t="n"/>
      <c r="E79" s="10" t="n"/>
      <c r="F79" s="11" t="n"/>
      <c r="G79" s="12">
        <f>IF($F79="","",IF($F79&gt;31,$F79,IF($Y79="","",DATE(YEAR($Y79),MONTH($Y79),$F79))))</f>
        <v/>
      </c>
      <c r="H79" s="13" t="n"/>
      <c r="I79" s="11" t="n"/>
      <c r="J79" s="12">
        <f>IF($I79="","",IF($I79&gt;31,$I79,IF($G79="","",IF(DATE(YEAR($G79),MONTH($G79),$I79)&gt;=$G79,DATE(YEAR($G79),MONTH($G79),$I79),DATE(YEAR($G79),MONTH($G79)+1,$I79)))))</f>
        <v/>
      </c>
      <c r="K79" s="13" t="n"/>
      <c r="L79" s="8">
        <f>IF(OR($G79="",$J79=""),"",$J79-$G79+1)</f>
        <v/>
      </c>
      <c r="M79" s="8">
        <f>IF(OR($G79="",$J79=""),"",$J79-$G79)</f>
        <v/>
      </c>
      <c r="N79" s="9" t="n"/>
      <c r="O79" s="9" t="n"/>
      <c r="P79" s="9" t="n"/>
      <c r="Q79" s="9" t="n"/>
      <c r="R79" s="9" t="n"/>
      <c r="S79" s="9" t="n"/>
      <c r="T79" s="14" t="n"/>
      <c r="U79" s="9" t="n"/>
      <c r="V79" s="8">
        <f>IF($G79="","",IF($D79="","⚠部屋が未選択",IF(COUNTIF('M_部屋'!$A$4:$A$20,$D79)=0,"⚠部屋が未登録",IF(OR($J79="",$N79="キャンセル"),"",IF(SUMPRODUCT(($D$5:$D$204=$D79)*($G$5:$G$204&lt;&gt;"")*($J$5:$J$204&lt;&gt;"")*($N$5:$N$204&lt;&gt;"キャンセル")*($G$5:$G$204&lt;$J79)*($J$5:$J$204&gt;$G79))&gt;1,"⚠重複","")))))</f>
        <v/>
      </c>
      <c r="W79" s="8">
        <f>IF(OR($B79="",$G79=""),"",IF(SUMPRODUCT(('利用者マスタ'!$A$4:$A$60=$B79)*('利用者マスタ'!$B$4:$B$60&lt;&gt;""))=0,"",IF(SUMIFS($X$5:$X$204,$B$5:$B$204,$B79,$G$5:$G$204,"&gt;="&amp;DATE(YEAR($G79),MONTH($G79),1),$G$5:$G$204,"&lt;="&amp;EOMONTH($G79,0))&gt;SUMIFS('利用者マスタ'!$B$4:$B$60,'利用者マスタ'!$A$4:$A$60,$B79),"⚠支給量超過","")))</f>
        <v/>
      </c>
      <c r="X79" s="8">
        <f>IF(OR($G79="",$J79="",$N79="キャンセル"),0,IF(IFERROR(INDEX('M_区分'!$B$4:$B$20,MATCH($C79,'M_区分'!$A$4:$A$20,0)),"○")="○",$J79-$G79+1,0))</f>
        <v/>
      </c>
      <c r="Y79" s="8">
        <f>IF($E79&lt;&gt;"",$E79,$Y78)</f>
        <v/>
      </c>
      <c r="Z79" s="8">
        <f>IF(OR($G79="",$J79=""),"",IF(AND($G79&lt;=EOMONTH('02_カレンダー'!$B$4,0),$J79&gt;='02_カレンダー'!$B$4),$G79*10000+ROW(),""))</f>
        <v/>
      </c>
      <c r="AA79" s="8">
        <f>IF($H79="","",IF(ISNUMBER($H79),TEXT($H79,"hh:mm"),$H79))</f>
        <v/>
      </c>
      <c r="AB79" s="8">
        <f>IF($K79="","",IF(ISNUMBER($K79),TEXT($K79,"hh:mm"),$K79))</f>
        <v/>
      </c>
      <c r="AC79" s="8">
        <f>IF($G79="",0,$G79)</f>
        <v/>
      </c>
      <c r="AD79" s="8">
        <f>IF($J79="",0,$J79)</f>
        <v/>
      </c>
    </row>
    <row r="80">
      <c r="A80" s="8">
        <f>IF($G80="","","SS-"&amp;TEXT(ROW()-4,"0000"))</f>
        <v/>
      </c>
      <c r="B80" s="9" t="n"/>
      <c r="C80" s="9" t="n"/>
      <c r="D80" s="9" t="n"/>
      <c r="E80" s="10" t="n"/>
      <c r="F80" s="11" t="n"/>
      <c r="G80" s="12">
        <f>IF($F80="","",IF($F80&gt;31,$F80,IF($Y80="","",DATE(YEAR($Y80),MONTH($Y80),$F80))))</f>
        <v/>
      </c>
      <c r="H80" s="13" t="n"/>
      <c r="I80" s="11" t="n"/>
      <c r="J80" s="12">
        <f>IF($I80="","",IF($I80&gt;31,$I80,IF($G80="","",IF(DATE(YEAR($G80),MONTH($G80),$I80)&gt;=$G80,DATE(YEAR($G80),MONTH($G80),$I80),DATE(YEAR($G80),MONTH($G80)+1,$I80)))))</f>
        <v/>
      </c>
      <c r="K80" s="13" t="n"/>
      <c r="L80" s="8">
        <f>IF(OR($G80="",$J80=""),"",$J80-$G80+1)</f>
        <v/>
      </c>
      <c r="M80" s="8">
        <f>IF(OR($G80="",$J80=""),"",$J80-$G80)</f>
        <v/>
      </c>
      <c r="N80" s="9" t="n"/>
      <c r="O80" s="9" t="n"/>
      <c r="P80" s="9" t="n"/>
      <c r="Q80" s="9" t="n"/>
      <c r="R80" s="9" t="n"/>
      <c r="S80" s="9" t="n"/>
      <c r="T80" s="14" t="n"/>
      <c r="U80" s="9" t="n"/>
      <c r="V80" s="8">
        <f>IF($G80="","",IF($D80="","⚠部屋が未選択",IF(COUNTIF('M_部屋'!$A$4:$A$20,$D80)=0,"⚠部屋が未登録",IF(OR($J80="",$N80="キャンセル"),"",IF(SUMPRODUCT(($D$5:$D$204=$D80)*($G$5:$G$204&lt;&gt;"")*($J$5:$J$204&lt;&gt;"")*($N$5:$N$204&lt;&gt;"キャンセル")*($G$5:$G$204&lt;$J80)*($J$5:$J$204&gt;$G80))&gt;1,"⚠重複","")))))</f>
        <v/>
      </c>
      <c r="W80" s="8">
        <f>IF(OR($B80="",$G80=""),"",IF(SUMPRODUCT(('利用者マスタ'!$A$4:$A$60=$B80)*('利用者マスタ'!$B$4:$B$60&lt;&gt;""))=0,"",IF(SUMIFS($X$5:$X$204,$B$5:$B$204,$B80,$G$5:$G$204,"&gt;="&amp;DATE(YEAR($G80),MONTH($G80),1),$G$5:$G$204,"&lt;="&amp;EOMONTH($G80,0))&gt;SUMIFS('利用者マスタ'!$B$4:$B$60,'利用者マスタ'!$A$4:$A$60,$B80),"⚠支給量超過","")))</f>
        <v/>
      </c>
      <c r="X80" s="8">
        <f>IF(OR($G80="",$J80="",$N80="キャンセル"),0,IF(IFERROR(INDEX('M_区分'!$B$4:$B$20,MATCH($C80,'M_区分'!$A$4:$A$20,0)),"○")="○",$J80-$G80+1,0))</f>
        <v/>
      </c>
      <c r="Y80" s="8">
        <f>IF($E80&lt;&gt;"",$E80,$Y79)</f>
        <v/>
      </c>
      <c r="Z80" s="8">
        <f>IF(OR($G80="",$J80=""),"",IF(AND($G80&lt;=EOMONTH('02_カレンダー'!$B$4,0),$J80&gt;='02_カレンダー'!$B$4),$G80*10000+ROW(),""))</f>
        <v/>
      </c>
      <c r="AA80" s="8">
        <f>IF($H80="","",IF(ISNUMBER($H80),TEXT($H80,"hh:mm"),$H80))</f>
        <v/>
      </c>
      <c r="AB80" s="8">
        <f>IF($K80="","",IF(ISNUMBER($K80),TEXT($K80,"hh:mm"),$K80))</f>
        <v/>
      </c>
      <c r="AC80" s="8">
        <f>IF($G80="",0,$G80)</f>
        <v/>
      </c>
      <c r="AD80" s="8">
        <f>IF($J80="",0,$J80)</f>
        <v/>
      </c>
    </row>
    <row r="81">
      <c r="A81" s="8">
        <f>IF($G81="","","SS-"&amp;TEXT(ROW()-4,"0000"))</f>
        <v/>
      </c>
      <c r="B81" s="9" t="n"/>
      <c r="C81" s="9" t="n"/>
      <c r="D81" s="9" t="n"/>
      <c r="E81" s="10" t="n"/>
      <c r="F81" s="11" t="n"/>
      <c r="G81" s="12">
        <f>IF($F81="","",IF($F81&gt;31,$F81,IF($Y81="","",DATE(YEAR($Y81),MONTH($Y81),$F81))))</f>
        <v/>
      </c>
      <c r="H81" s="13" t="n"/>
      <c r="I81" s="11" t="n"/>
      <c r="J81" s="12">
        <f>IF($I81="","",IF($I81&gt;31,$I81,IF($G81="","",IF(DATE(YEAR($G81),MONTH($G81),$I81)&gt;=$G81,DATE(YEAR($G81),MONTH($G81),$I81),DATE(YEAR($G81),MONTH($G81)+1,$I81)))))</f>
        <v/>
      </c>
      <c r="K81" s="13" t="n"/>
      <c r="L81" s="8">
        <f>IF(OR($G81="",$J81=""),"",$J81-$G81+1)</f>
        <v/>
      </c>
      <c r="M81" s="8">
        <f>IF(OR($G81="",$J81=""),"",$J81-$G81)</f>
        <v/>
      </c>
      <c r="N81" s="9" t="n"/>
      <c r="O81" s="9" t="n"/>
      <c r="P81" s="9" t="n"/>
      <c r="Q81" s="9" t="n"/>
      <c r="R81" s="9" t="n"/>
      <c r="S81" s="9" t="n"/>
      <c r="T81" s="14" t="n"/>
      <c r="U81" s="9" t="n"/>
      <c r="V81" s="8">
        <f>IF($G81="","",IF($D81="","⚠部屋が未選択",IF(COUNTIF('M_部屋'!$A$4:$A$20,$D81)=0,"⚠部屋が未登録",IF(OR($J81="",$N81="キャンセル"),"",IF(SUMPRODUCT(($D$5:$D$204=$D81)*($G$5:$G$204&lt;&gt;"")*($J$5:$J$204&lt;&gt;"")*($N$5:$N$204&lt;&gt;"キャンセル")*($G$5:$G$204&lt;$J81)*($J$5:$J$204&gt;$G81))&gt;1,"⚠重複","")))))</f>
        <v/>
      </c>
      <c r="W81" s="8">
        <f>IF(OR($B81="",$G81=""),"",IF(SUMPRODUCT(('利用者マスタ'!$A$4:$A$60=$B81)*('利用者マスタ'!$B$4:$B$60&lt;&gt;""))=0,"",IF(SUMIFS($X$5:$X$204,$B$5:$B$204,$B81,$G$5:$G$204,"&gt;="&amp;DATE(YEAR($G81),MONTH($G81),1),$G$5:$G$204,"&lt;="&amp;EOMONTH($G81,0))&gt;SUMIFS('利用者マスタ'!$B$4:$B$60,'利用者マスタ'!$A$4:$A$60,$B81),"⚠支給量超過","")))</f>
        <v/>
      </c>
      <c r="X81" s="8">
        <f>IF(OR($G81="",$J81="",$N81="キャンセル"),0,IF(IFERROR(INDEX('M_区分'!$B$4:$B$20,MATCH($C81,'M_区分'!$A$4:$A$20,0)),"○")="○",$J81-$G81+1,0))</f>
        <v/>
      </c>
      <c r="Y81" s="8">
        <f>IF($E81&lt;&gt;"",$E81,$Y80)</f>
        <v/>
      </c>
      <c r="Z81" s="8">
        <f>IF(OR($G81="",$J81=""),"",IF(AND($G81&lt;=EOMONTH('02_カレンダー'!$B$4,0),$J81&gt;='02_カレンダー'!$B$4),$G81*10000+ROW(),""))</f>
        <v/>
      </c>
      <c r="AA81" s="8">
        <f>IF($H81="","",IF(ISNUMBER($H81),TEXT($H81,"hh:mm"),$H81))</f>
        <v/>
      </c>
      <c r="AB81" s="8">
        <f>IF($K81="","",IF(ISNUMBER($K81),TEXT($K81,"hh:mm"),$K81))</f>
        <v/>
      </c>
      <c r="AC81" s="8">
        <f>IF($G81="",0,$G81)</f>
        <v/>
      </c>
      <c r="AD81" s="8">
        <f>IF($J81="",0,$J81)</f>
        <v/>
      </c>
    </row>
    <row r="82">
      <c r="A82" s="8">
        <f>IF($G82="","","SS-"&amp;TEXT(ROW()-4,"0000"))</f>
        <v/>
      </c>
      <c r="B82" s="9" t="n"/>
      <c r="C82" s="9" t="n"/>
      <c r="D82" s="9" t="n"/>
      <c r="E82" s="10" t="n"/>
      <c r="F82" s="11" t="n"/>
      <c r="G82" s="12">
        <f>IF($F82="","",IF($F82&gt;31,$F82,IF($Y82="","",DATE(YEAR($Y82),MONTH($Y82),$F82))))</f>
        <v/>
      </c>
      <c r="H82" s="13" t="n"/>
      <c r="I82" s="11" t="n"/>
      <c r="J82" s="12">
        <f>IF($I82="","",IF($I82&gt;31,$I82,IF($G82="","",IF(DATE(YEAR($G82),MONTH($G82),$I82)&gt;=$G82,DATE(YEAR($G82),MONTH($G82),$I82),DATE(YEAR($G82),MONTH($G82)+1,$I82)))))</f>
        <v/>
      </c>
      <c r="K82" s="13" t="n"/>
      <c r="L82" s="8">
        <f>IF(OR($G82="",$J82=""),"",$J82-$G82+1)</f>
        <v/>
      </c>
      <c r="M82" s="8">
        <f>IF(OR($G82="",$J82=""),"",$J82-$G82)</f>
        <v/>
      </c>
      <c r="N82" s="9" t="n"/>
      <c r="O82" s="9" t="n"/>
      <c r="P82" s="9" t="n"/>
      <c r="Q82" s="9" t="n"/>
      <c r="R82" s="9" t="n"/>
      <c r="S82" s="9" t="n"/>
      <c r="T82" s="14" t="n"/>
      <c r="U82" s="9" t="n"/>
      <c r="V82" s="8">
        <f>IF($G82="","",IF($D82="","⚠部屋が未選択",IF(COUNTIF('M_部屋'!$A$4:$A$20,$D82)=0,"⚠部屋が未登録",IF(OR($J82="",$N82="キャンセル"),"",IF(SUMPRODUCT(($D$5:$D$204=$D82)*($G$5:$G$204&lt;&gt;"")*($J$5:$J$204&lt;&gt;"")*($N$5:$N$204&lt;&gt;"キャンセル")*($G$5:$G$204&lt;$J82)*($J$5:$J$204&gt;$G82))&gt;1,"⚠重複","")))))</f>
        <v/>
      </c>
      <c r="W82" s="8">
        <f>IF(OR($B82="",$G82=""),"",IF(SUMPRODUCT(('利用者マスタ'!$A$4:$A$60=$B82)*('利用者マスタ'!$B$4:$B$60&lt;&gt;""))=0,"",IF(SUMIFS($X$5:$X$204,$B$5:$B$204,$B82,$G$5:$G$204,"&gt;="&amp;DATE(YEAR($G82),MONTH($G82),1),$G$5:$G$204,"&lt;="&amp;EOMONTH($G82,0))&gt;SUMIFS('利用者マスタ'!$B$4:$B$60,'利用者マスタ'!$A$4:$A$60,$B82),"⚠支給量超過","")))</f>
        <v/>
      </c>
      <c r="X82" s="8">
        <f>IF(OR($G82="",$J82="",$N82="キャンセル"),0,IF(IFERROR(INDEX('M_区分'!$B$4:$B$20,MATCH($C82,'M_区分'!$A$4:$A$20,0)),"○")="○",$J82-$G82+1,0))</f>
        <v/>
      </c>
      <c r="Y82" s="8">
        <f>IF($E82&lt;&gt;"",$E82,$Y81)</f>
        <v/>
      </c>
      <c r="Z82" s="8">
        <f>IF(OR($G82="",$J82=""),"",IF(AND($G82&lt;=EOMONTH('02_カレンダー'!$B$4,0),$J82&gt;='02_カレンダー'!$B$4),$G82*10000+ROW(),""))</f>
        <v/>
      </c>
      <c r="AA82" s="8">
        <f>IF($H82="","",IF(ISNUMBER($H82),TEXT($H82,"hh:mm"),$H82))</f>
        <v/>
      </c>
      <c r="AB82" s="8">
        <f>IF($K82="","",IF(ISNUMBER($K82),TEXT($K82,"hh:mm"),$K82))</f>
        <v/>
      </c>
      <c r="AC82" s="8">
        <f>IF($G82="",0,$G82)</f>
        <v/>
      </c>
      <c r="AD82" s="8">
        <f>IF($J82="",0,$J82)</f>
        <v/>
      </c>
    </row>
    <row r="83">
      <c r="A83" s="8">
        <f>IF($G83="","","SS-"&amp;TEXT(ROW()-4,"0000"))</f>
        <v/>
      </c>
      <c r="B83" s="9" t="n"/>
      <c r="C83" s="9" t="n"/>
      <c r="D83" s="9" t="n"/>
      <c r="E83" s="10" t="n"/>
      <c r="F83" s="11" t="n"/>
      <c r="G83" s="12">
        <f>IF($F83="","",IF($F83&gt;31,$F83,IF($Y83="","",DATE(YEAR($Y83),MONTH($Y83),$F83))))</f>
        <v/>
      </c>
      <c r="H83" s="13" t="n"/>
      <c r="I83" s="11" t="n"/>
      <c r="J83" s="12">
        <f>IF($I83="","",IF($I83&gt;31,$I83,IF($G83="","",IF(DATE(YEAR($G83),MONTH($G83),$I83)&gt;=$G83,DATE(YEAR($G83),MONTH($G83),$I83),DATE(YEAR($G83),MONTH($G83)+1,$I83)))))</f>
        <v/>
      </c>
      <c r="K83" s="13" t="n"/>
      <c r="L83" s="8">
        <f>IF(OR($G83="",$J83=""),"",$J83-$G83+1)</f>
        <v/>
      </c>
      <c r="M83" s="8">
        <f>IF(OR($G83="",$J83=""),"",$J83-$G83)</f>
        <v/>
      </c>
      <c r="N83" s="9" t="n"/>
      <c r="O83" s="9" t="n"/>
      <c r="P83" s="9" t="n"/>
      <c r="Q83" s="9" t="n"/>
      <c r="R83" s="9" t="n"/>
      <c r="S83" s="9" t="n"/>
      <c r="T83" s="14" t="n"/>
      <c r="U83" s="9" t="n"/>
      <c r="V83" s="8">
        <f>IF($G83="","",IF($D83="","⚠部屋が未選択",IF(COUNTIF('M_部屋'!$A$4:$A$20,$D83)=0,"⚠部屋が未登録",IF(OR($J83="",$N83="キャンセル"),"",IF(SUMPRODUCT(($D$5:$D$204=$D83)*($G$5:$G$204&lt;&gt;"")*($J$5:$J$204&lt;&gt;"")*($N$5:$N$204&lt;&gt;"キャンセル")*($G$5:$G$204&lt;$J83)*($J$5:$J$204&gt;$G83))&gt;1,"⚠重複","")))))</f>
        <v/>
      </c>
      <c r="W83" s="8">
        <f>IF(OR($B83="",$G83=""),"",IF(SUMPRODUCT(('利用者マスタ'!$A$4:$A$60=$B83)*('利用者マスタ'!$B$4:$B$60&lt;&gt;""))=0,"",IF(SUMIFS($X$5:$X$204,$B$5:$B$204,$B83,$G$5:$G$204,"&gt;="&amp;DATE(YEAR($G83),MONTH($G83),1),$G$5:$G$204,"&lt;="&amp;EOMONTH($G83,0))&gt;SUMIFS('利用者マスタ'!$B$4:$B$60,'利用者マスタ'!$A$4:$A$60,$B83),"⚠支給量超過","")))</f>
        <v/>
      </c>
      <c r="X83" s="8">
        <f>IF(OR($G83="",$J83="",$N83="キャンセル"),0,IF(IFERROR(INDEX('M_区分'!$B$4:$B$20,MATCH($C83,'M_区分'!$A$4:$A$20,0)),"○")="○",$J83-$G83+1,0))</f>
        <v/>
      </c>
      <c r="Y83" s="8">
        <f>IF($E83&lt;&gt;"",$E83,$Y82)</f>
        <v/>
      </c>
      <c r="Z83" s="8">
        <f>IF(OR($G83="",$J83=""),"",IF(AND($G83&lt;=EOMONTH('02_カレンダー'!$B$4,0),$J83&gt;='02_カレンダー'!$B$4),$G83*10000+ROW(),""))</f>
        <v/>
      </c>
      <c r="AA83" s="8">
        <f>IF($H83="","",IF(ISNUMBER($H83),TEXT($H83,"hh:mm"),$H83))</f>
        <v/>
      </c>
      <c r="AB83" s="8">
        <f>IF($K83="","",IF(ISNUMBER($K83),TEXT($K83,"hh:mm"),$K83))</f>
        <v/>
      </c>
      <c r="AC83" s="8">
        <f>IF($G83="",0,$G83)</f>
        <v/>
      </c>
      <c r="AD83" s="8">
        <f>IF($J83="",0,$J83)</f>
        <v/>
      </c>
    </row>
    <row r="84">
      <c r="A84" s="8">
        <f>IF($G84="","","SS-"&amp;TEXT(ROW()-4,"0000"))</f>
        <v/>
      </c>
      <c r="B84" s="9" t="n"/>
      <c r="C84" s="9" t="n"/>
      <c r="D84" s="9" t="n"/>
      <c r="E84" s="10" t="n"/>
      <c r="F84" s="11" t="n"/>
      <c r="G84" s="12">
        <f>IF($F84="","",IF($F84&gt;31,$F84,IF($Y84="","",DATE(YEAR($Y84),MONTH($Y84),$F84))))</f>
        <v/>
      </c>
      <c r="H84" s="13" t="n"/>
      <c r="I84" s="11" t="n"/>
      <c r="J84" s="12">
        <f>IF($I84="","",IF($I84&gt;31,$I84,IF($G84="","",IF(DATE(YEAR($G84),MONTH($G84),$I84)&gt;=$G84,DATE(YEAR($G84),MONTH($G84),$I84),DATE(YEAR($G84),MONTH($G84)+1,$I84)))))</f>
        <v/>
      </c>
      <c r="K84" s="13" t="n"/>
      <c r="L84" s="8">
        <f>IF(OR($G84="",$J84=""),"",$J84-$G84+1)</f>
        <v/>
      </c>
      <c r="M84" s="8">
        <f>IF(OR($G84="",$J84=""),"",$J84-$G84)</f>
        <v/>
      </c>
      <c r="N84" s="9" t="n"/>
      <c r="O84" s="9" t="n"/>
      <c r="P84" s="9" t="n"/>
      <c r="Q84" s="9" t="n"/>
      <c r="R84" s="9" t="n"/>
      <c r="S84" s="9" t="n"/>
      <c r="T84" s="14" t="n"/>
      <c r="U84" s="9" t="n"/>
      <c r="V84" s="8">
        <f>IF($G84="","",IF($D84="","⚠部屋が未選択",IF(COUNTIF('M_部屋'!$A$4:$A$20,$D84)=0,"⚠部屋が未登録",IF(OR($J84="",$N84="キャンセル"),"",IF(SUMPRODUCT(($D$5:$D$204=$D84)*($G$5:$G$204&lt;&gt;"")*($J$5:$J$204&lt;&gt;"")*($N$5:$N$204&lt;&gt;"キャンセル")*($G$5:$G$204&lt;$J84)*($J$5:$J$204&gt;$G84))&gt;1,"⚠重複","")))))</f>
        <v/>
      </c>
      <c r="W84" s="8">
        <f>IF(OR($B84="",$G84=""),"",IF(SUMPRODUCT(('利用者マスタ'!$A$4:$A$60=$B84)*('利用者マスタ'!$B$4:$B$60&lt;&gt;""))=0,"",IF(SUMIFS($X$5:$X$204,$B$5:$B$204,$B84,$G$5:$G$204,"&gt;="&amp;DATE(YEAR($G84),MONTH($G84),1),$G$5:$G$204,"&lt;="&amp;EOMONTH($G84,0))&gt;SUMIFS('利用者マスタ'!$B$4:$B$60,'利用者マスタ'!$A$4:$A$60,$B84),"⚠支給量超過","")))</f>
        <v/>
      </c>
      <c r="X84" s="8">
        <f>IF(OR($G84="",$J84="",$N84="キャンセル"),0,IF(IFERROR(INDEX('M_区分'!$B$4:$B$20,MATCH($C84,'M_区分'!$A$4:$A$20,0)),"○")="○",$J84-$G84+1,0))</f>
        <v/>
      </c>
      <c r="Y84" s="8">
        <f>IF($E84&lt;&gt;"",$E84,$Y83)</f>
        <v/>
      </c>
      <c r="Z84" s="8">
        <f>IF(OR($G84="",$J84=""),"",IF(AND($G84&lt;=EOMONTH('02_カレンダー'!$B$4,0),$J84&gt;='02_カレンダー'!$B$4),$G84*10000+ROW(),""))</f>
        <v/>
      </c>
      <c r="AA84" s="8">
        <f>IF($H84="","",IF(ISNUMBER($H84),TEXT($H84,"hh:mm"),$H84))</f>
        <v/>
      </c>
      <c r="AB84" s="8">
        <f>IF($K84="","",IF(ISNUMBER($K84),TEXT($K84,"hh:mm"),$K84))</f>
        <v/>
      </c>
      <c r="AC84" s="8">
        <f>IF($G84="",0,$G84)</f>
        <v/>
      </c>
      <c r="AD84" s="8">
        <f>IF($J84="",0,$J84)</f>
        <v/>
      </c>
    </row>
    <row r="85">
      <c r="A85" s="8">
        <f>IF($G85="","","SS-"&amp;TEXT(ROW()-4,"0000"))</f>
        <v/>
      </c>
      <c r="B85" s="9" t="n"/>
      <c r="C85" s="9" t="n"/>
      <c r="D85" s="9" t="n"/>
      <c r="E85" s="10" t="n"/>
      <c r="F85" s="11" t="n"/>
      <c r="G85" s="12">
        <f>IF($F85="","",IF($F85&gt;31,$F85,IF($Y85="","",DATE(YEAR($Y85),MONTH($Y85),$F85))))</f>
        <v/>
      </c>
      <c r="H85" s="13" t="n"/>
      <c r="I85" s="11" t="n"/>
      <c r="J85" s="12">
        <f>IF($I85="","",IF($I85&gt;31,$I85,IF($G85="","",IF(DATE(YEAR($G85),MONTH($G85),$I85)&gt;=$G85,DATE(YEAR($G85),MONTH($G85),$I85),DATE(YEAR($G85),MONTH($G85)+1,$I85)))))</f>
        <v/>
      </c>
      <c r="K85" s="13" t="n"/>
      <c r="L85" s="8">
        <f>IF(OR($G85="",$J85=""),"",$J85-$G85+1)</f>
        <v/>
      </c>
      <c r="M85" s="8">
        <f>IF(OR($G85="",$J85=""),"",$J85-$G85)</f>
        <v/>
      </c>
      <c r="N85" s="9" t="n"/>
      <c r="O85" s="9" t="n"/>
      <c r="P85" s="9" t="n"/>
      <c r="Q85" s="9" t="n"/>
      <c r="R85" s="9" t="n"/>
      <c r="S85" s="9" t="n"/>
      <c r="T85" s="14" t="n"/>
      <c r="U85" s="9" t="n"/>
      <c r="V85" s="8">
        <f>IF($G85="","",IF($D85="","⚠部屋が未選択",IF(COUNTIF('M_部屋'!$A$4:$A$20,$D85)=0,"⚠部屋が未登録",IF(OR($J85="",$N85="キャンセル"),"",IF(SUMPRODUCT(($D$5:$D$204=$D85)*($G$5:$G$204&lt;&gt;"")*($J$5:$J$204&lt;&gt;"")*($N$5:$N$204&lt;&gt;"キャンセル")*($G$5:$G$204&lt;$J85)*($J$5:$J$204&gt;$G85))&gt;1,"⚠重複","")))))</f>
        <v/>
      </c>
      <c r="W85" s="8">
        <f>IF(OR($B85="",$G85=""),"",IF(SUMPRODUCT(('利用者マスタ'!$A$4:$A$60=$B85)*('利用者マスタ'!$B$4:$B$60&lt;&gt;""))=0,"",IF(SUMIFS($X$5:$X$204,$B$5:$B$204,$B85,$G$5:$G$204,"&gt;="&amp;DATE(YEAR($G85),MONTH($G85),1),$G$5:$G$204,"&lt;="&amp;EOMONTH($G85,0))&gt;SUMIFS('利用者マスタ'!$B$4:$B$60,'利用者マスタ'!$A$4:$A$60,$B85),"⚠支給量超過","")))</f>
        <v/>
      </c>
      <c r="X85" s="8">
        <f>IF(OR($G85="",$J85="",$N85="キャンセル"),0,IF(IFERROR(INDEX('M_区分'!$B$4:$B$20,MATCH($C85,'M_区分'!$A$4:$A$20,0)),"○")="○",$J85-$G85+1,0))</f>
        <v/>
      </c>
      <c r="Y85" s="8">
        <f>IF($E85&lt;&gt;"",$E85,$Y84)</f>
        <v/>
      </c>
      <c r="Z85" s="8">
        <f>IF(OR($G85="",$J85=""),"",IF(AND($G85&lt;=EOMONTH('02_カレンダー'!$B$4,0),$J85&gt;='02_カレンダー'!$B$4),$G85*10000+ROW(),""))</f>
        <v/>
      </c>
      <c r="AA85" s="8">
        <f>IF($H85="","",IF(ISNUMBER($H85),TEXT($H85,"hh:mm"),$H85))</f>
        <v/>
      </c>
      <c r="AB85" s="8">
        <f>IF($K85="","",IF(ISNUMBER($K85),TEXT($K85,"hh:mm"),$K85))</f>
        <v/>
      </c>
      <c r="AC85" s="8">
        <f>IF($G85="",0,$G85)</f>
        <v/>
      </c>
      <c r="AD85" s="8">
        <f>IF($J85="",0,$J85)</f>
        <v/>
      </c>
    </row>
    <row r="86">
      <c r="A86" s="8">
        <f>IF($G86="","","SS-"&amp;TEXT(ROW()-4,"0000"))</f>
        <v/>
      </c>
      <c r="B86" s="9" t="n"/>
      <c r="C86" s="9" t="n"/>
      <c r="D86" s="9" t="n"/>
      <c r="E86" s="10" t="n"/>
      <c r="F86" s="11" t="n"/>
      <c r="G86" s="12">
        <f>IF($F86="","",IF($F86&gt;31,$F86,IF($Y86="","",DATE(YEAR($Y86),MONTH($Y86),$F86))))</f>
        <v/>
      </c>
      <c r="H86" s="13" t="n"/>
      <c r="I86" s="11" t="n"/>
      <c r="J86" s="12">
        <f>IF($I86="","",IF($I86&gt;31,$I86,IF($G86="","",IF(DATE(YEAR($G86),MONTH($G86),$I86)&gt;=$G86,DATE(YEAR($G86),MONTH($G86),$I86),DATE(YEAR($G86),MONTH($G86)+1,$I86)))))</f>
        <v/>
      </c>
      <c r="K86" s="13" t="n"/>
      <c r="L86" s="8">
        <f>IF(OR($G86="",$J86=""),"",$J86-$G86+1)</f>
        <v/>
      </c>
      <c r="M86" s="8">
        <f>IF(OR($G86="",$J86=""),"",$J86-$G86)</f>
        <v/>
      </c>
      <c r="N86" s="9" t="n"/>
      <c r="O86" s="9" t="n"/>
      <c r="P86" s="9" t="n"/>
      <c r="Q86" s="9" t="n"/>
      <c r="R86" s="9" t="n"/>
      <c r="S86" s="9" t="n"/>
      <c r="T86" s="14" t="n"/>
      <c r="U86" s="9" t="n"/>
      <c r="V86" s="8">
        <f>IF($G86="","",IF($D86="","⚠部屋が未選択",IF(COUNTIF('M_部屋'!$A$4:$A$20,$D86)=0,"⚠部屋が未登録",IF(OR($J86="",$N86="キャンセル"),"",IF(SUMPRODUCT(($D$5:$D$204=$D86)*($G$5:$G$204&lt;&gt;"")*($J$5:$J$204&lt;&gt;"")*($N$5:$N$204&lt;&gt;"キャンセル")*($G$5:$G$204&lt;$J86)*($J$5:$J$204&gt;$G86))&gt;1,"⚠重複","")))))</f>
        <v/>
      </c>
      <c r="W86" s="8">
        <f>IF(OR($B86="",$G86=""),"",IF(SUMPRODUCT(('利用者マスタ'!$A$4:$A$60=$B86)*('利用者マスタ'!$B$4:$B$60&lt;&gt;""))=0,"",IF(SUMIFS($X$5:$X$204,$B$5:$B$204,$B86,$G$5:$G$204,"&gt;="&amp;DATE(YEAR($G86),MONTH($G86),1),$G$5:$G$204,"&lt;="&amp;EOMONTH($G86,0))&gt;SUMIFS('利用者マスタ'!$B$4:$B$60,'利用者マスタ'!$A$4:$A$60,$B86),"⚠支給量超過","")))</f>
        <v/>
      </c>
      <c r="X86" s="8">
        <f>IF(OR($G86="",$J86="",$N86="キャンセル"),0,IF(IFERROR(INDEX('M_区分'!$B$4:$B$20,MATCH($C86,'M_区分'!$A$4:$A$20,0)),"○")="○",$J86-$G86+1,0))</f>
        <v/>
      </c>
      <c r="Y86" s="8">
        <f>IF($E86&lt;&gt;"",$E86,$Y85)</f>
        <v/>
      </c>
      <c r="Z86" s="8">
        <f>IF(OR($G86="",$J86=""),"",IF(AND($G86&lt;=EOMONTH('02_カレンダー'!$B$4,0),$J86&gt;='02_カレンダー'!$B$4),$G86*10000+ROW(),""))</f>
        <v/>
      </c>
      <c r="AA86" s="8">
        <f>IF($H86="","",IF(ISNUMBER($H86),TEXT($H86,"hh:mm"),$H86))</f>
        <v/>
      </c>
      <c r="AB86" s="8">
        <f>IF($K86="","",IF(ISNUMBER($K86),TEXT($K86,"hh:mm"),$K86))</f>
        <v/>
      </c>
      <c r="AC86" s="8">
        <f>IF($G86="",0,$G86)</f>
        <v/>
      </c>
      <c r="AD86" s="8">
        <f>IF($J86="",0,$J86)</f>
        <v/>
      </c>
    </row>
    <row r="87">
      <c r="A87" s="8">
        <f>IF($G87="","","SS-"&amp;TEXT(ROW()-4,"0000"))</f>
        <v/>
      </c>
      <c r="B87" s="9" t="n"/>
      <c r="C87" s="9" t="n"/>
      <c r="D87" s="9" t="n"/>
      <c r="E87" s="10" t="n"/>
      <c r="F87" s="11" t="n"/>
      <c r="G87" s="12">
        <f>IF($F87="","",IF($F87&gt;31,$F87,IF($Y87="","",DATE(YEAR($Y87),MONTH($Y87),$F87))))</f>
        <v/>
      </c>
      <c r="H87" s="13" t="n"/>
      <c r="I87" s="11" t="n"/>
      <c r="J87" s="12">
        <f>IF($I87="","",IF($I87&gt;31,$I87,IF($G87="","",IF(DATE(YEAR($G87),MONTH($G87),$I87)&gt;=$G87,DATE(YEAR($G87),MONTH($G87),$I87),DATE(YEAR($G87),MONTH($G87)+1,$I87)))))</f>
        <v/>
      </c>
      <c r="K87" s="13" t="n"/>
      <c r="L87" s="8">
        <f>IF(OR($G87="",$J87=""),"",$J87-$G87+1)</f>
        <v/>
      </c>
      <c r="M87" s="8">
        <f>IF(OR($G87="",$J87=""),"",$J87-$G87)</f>
        <v/>
      </c>
      <c r="N87" s="9" t="n"/>
      <c r="O87" s="9" t="n"/>
      <c r="P87" s="9" t="n"/>
      <c r="Q87" s="9" t="n"/>
      <c r="R87" s="9" t="n"/>
      <c r="S87" s="9" t="n"/>
      <c r="T87" s="14" t="n"/>
      <c r="U87" s="9" t="n"/>
      <c r="V87" s="8">
        <f>IF($G87="","",IF($D87="","⚠部屋が未選択",IF(COUNTIF('M_部屋'!$A$4:$A$20,$D87)=0,"⚠部屋が未登録",IF(OR($J87="",$N87="キャンセル"),"",IF(SUMPRODUCT(($D$5:$D$204=$D87)*($G$5:$G$204&lt;&gt;"")*($J$5:$J$204&lt;&gt;"")*($N$5:$N$204&lt;&gt;"キャンセル")*($G$5:$G$204&lt;$J87)*($J$5:$J$204&gt;$G87))&gt;1,"⚠重複","")))))</f>
        <v/>
      </c>
      <c r="W87" s="8">
        <f>IF(OR($B87="",$G87=""),"",IF(SUMPRODUCT(('利用者マスタ'!$A$4:$A$60=$B87)*('利用者マスタ'!$B$4:$B$60&lt;&gt;""))=0,"",IF(SUMIFS($X$5:$X$204,$B$5:$B$204,$B87,$G$5:$G$204,"&gt;="&amp;DATE(YEAR($G87),MONTH($G87),1),$G$5:$G$204,"&lt;="&amp;EOMONTH($G87,0))&gt;SUMIFS('利用者マスタ'!$B$4:$B$60,'利用者マスタ'!$A$4:$A$60,$B87),"⚠支給量超過","")))</f>
        <v/>
      </c>
      <c r="X87" s="8">
        <f>IF(OR($G87="",$J87="",$N87="キャンセル"),0,IF(IFERROR(INDEX('M_区分'!$B$4:$B$20,MATCH($C87,'M_区分'!$A$4:$A$20,0)),"○")="○",$J87-$G87+1,0))</f>
        <v/>
      </c>
      <c r="Y87" s="8">
        <f>IF($E87&lt;&gt;"",$E87,$Y86)</f>
        <v/>
      </c>
      <c r="Z87" s="8">
        <f>IF(OR($G87="",$J87=""),"",IF(AND($G87&lt;=EOMONTH('02_カレンダー'!$B$4,0),$J87&gt;='02_カレンダー'!$B$4),$G87*10000+ROW(),""))</f>
        <v/>
      </c>
      <c r="AA87" s="8">
        <f>IF($H87="","",IF(ISNUMBER($H87),TEXT($H87,"hh:mm"),$H87))</f>
        <v/>
      </c>
      <c r="AB87" s="8">
        <f>IF($K87="","",IF(ISNUMBER($K87),TEXT($K87,"hh:mm"),$K87))</f>
        <v/>
      </c>
      <c r="AC87" s="8">
        <f>IF($G87="",0,$G87)</f>
        <v/>
      </c>
      <c r="AD87" s="8">
        <f>IF($J87="",0,$J87)</f>
        <v/>
      </c>
    </row>
    <row r="88">
      <c r="A88" s="8">
        <f>IF($G88="","","SS-"&amp;TEXT(ROW()-4,"0000"))</f>
        <v/>
      </c>
      <c r="B88" s="9" t="n"/>
      <c r="C88" s="9" t="n"/>
      <c r="D88" s="9" t="n"/>
      <c r="E88" s="10" t="n"/>
      <c r="F88" s="11" t="n"/>
      <c r="G88" s="12">
        <f>IF($F88="","",IF($F88&gt;31,$F88,IF($Y88="","",DATE(YEAR($Y88),MONTH($Y88),$F88))))</f>
        <v/>
      </c>
      <c r="H88" s="13" t="n"/>
      <c r="I88" s="11" t="n"/>
      <c r="J88" s="12">
        <f>IF($I88="","",IF($I88&gt;31,$I88,IF($G88="","",IF(DATE(YEAR($G88),MONTH($G88),$I88)&gt;=$G88,DATE(YEAR($G88),MONTH($G88),$I88),DATE(YEAR($G88),MONTH($G88)+1,$I88)))))</f>
        <v/>
      </c>
      <c r="K88" s="13" t="n"/>
      <c r="L88" s="8">
        <f>IF(OR($G88="",$J88=""),"",$J88-$G88+1)</f>
        <v/>
      </c>
      <c r="M88" s="8">
        <f>IF(OR($G88="",$J88=""),"",$J88-$G88)</f>
        <v/>
      </c>
      <c r="N88" s="9" t="n"/>
      <c r="O88" s="9" t="n"/>
      <c r="P88" s="9" t="n"/>
      <c r="Q88" s="9" t="n"/>
      <c r="R88" s="9" t="n"/>
      <c r="S88" s="9" t="n"/>
      <c r="T88" s="14" t="n"/>
      <c r="U88" s="9" t="n"/>
      <c r="V88" s="8">
        <f>IF($G88="","",IF($D88="","⚠部屋が未選択",IF(COUNTIF('M_部屋'!$A$4:$A$20,$D88)=0,"⚠部屋が未登録",IF(OR($J88="",$N88="キャンセル"),"",IF(SUMPRODUCT(($D$5:$D$204=$D88)*($G$5:$G$204&lt;&gt;"")*($J$5:$J$204&lt;&gt;"")*($N$5:$N$204&lt;&gt;"キャンセル")*($G$5:$G$204&lt;$J88)*($J$5:$J$204&gt;$G88))&gt;1,"⚠重複","")))))</f>
        <v/>
      </c>
      <c r="W88" s="8">
        <f>IF(OR($B88="",$G88=""),"",IF(SUMPRODUCT(('利用者マスタ'!$A$4:$A$60=$B88)*('利用者マスタ'!$B$4:$B$60&lt;&gt;""))=0,"",IF(SUMIFS($X$5:$X$204,$B$5:$B$204,$B88,$G$5:$G$204,"&gt;="&amp;DATE(YEAR($G88),MONTH($G88),1),$G$5:$G$204,"&lt;="&amp;EOMONTH($G88,0))&gt;SUMIFS('利用者マスタ'!$B$4:$B$60,'利用者マスタ'!$A$4:$A$60,$B88),"⚠支給量超過","")))</f>
        <v/>
      </c>
      <c r="X88" s="8">
        <f>IF(OR($G88="",$J88="",$N88="キャンセル"),0,IF(IFERROR(INDEX('M_区分'!$B$4:$B$20,MATCH($C88,'M_区分'!$A$4:$A$20,0)),"○")="○",$J88-$G88+1,0))</f>
        <v/>
      </c>
      <c r="Y88" s="8">
        <f>IF($E88&lt;&gt;"",$E88,$Y87)</f>
        <v/>
      </c>
      <c r="Z88" s="8">
        <f>IF(OR($G88="",$J88=""),"",IF(AND($G88&lt;=EOMONTH('02_カレンダー'!$B$4,0),$J88&gt;='02_カレンダー'!$B$4),$G88*10000+ROW(),""))</f>
        <v/>
      </c>
      <c r="AA88" s="8">
        <f>IF($H88="","",IF(ISNUMBER($H88),TEXT($H88,"hh:mm"),$H88))</f>
        <v/>
      </c>
      <c r="AB88" s="8">
        <f>IF($K88="","",IF(ISNUMBER($K88),TEXT($K88,"hh:mm"),$K88))</f>
        <v/>
      </c>
      <c r="AC88" s="8">
        <f>IF($G88="",0,$G88)</f>
        <v/>
      </c>
      <c r="AD88" s="8">
        <f>IF($J88="",0,$J88)</f>
        <v/>
      </c>
    </row>
    <row r="89">
      <c r="A89" s="8">
        <f>IF($G89="","","SS-"&amp;TEXT(ROW()-4,"0000"))</f>
        <v/>
      </c>
      <c r="B89" s="9" t="n"/>
      <c r="C89" s="9" t="n"/>
      <c r="D89" s="9" t="n"/>
      <c r="E89" s="10" t="n"/>
      <c r="F89" s="11" t="n"/>
      <c r="G89" s="12">
        <f>IF($F89="","",IF($F89&gt;31,$F89,IF($Y89="","",DATE(YEAR($Y89),MONTH($Y89),$F89))))</f>
        <v/>
      </c>
      <c r="H89" s="13" t="n"/>
      <c r="I89" s="11" t="n"/>
      <c r="J89" s="12">
        <f>IF($I89="","",IF($I89&gt;31,$I89,IF($G89="","",IF(DATE(YEAR($G89),MONTH($G89),$I89)&gt;=$G89,DATE(YEAR($G89),MONTH($G89),$I89),DATE(YEAR($G89),MONTH($G89)+1,$I89)))))</f>
        <v/>
      </c>
      <c r="K89" s="13" t="n"/>
      <c r="L89" s="8">
        <f>IF(OR($G89="",$J89=""),"",$J89-$G89+1)</f>
        <v/>
      </c>
      <c r="M89" s="8">
        <f>IF(OR($G89="",$J89=""),"",$J89-$G89)</f>
        <v/>
      </c>
      <c r="N89" s="9" t="n"/>
      <c r="O89" s="9" t="n"/>
      <c r="P89" s="9" t="n"/>
      <c r="Q89" s="9" t="n"/>
      <c r="R89" s="9" t="n"/>
      <c r="S89" s="9" t="n"/>
      <c r="T89" s="14" t="n"/>
      <c r="U89" s="9" t="n"/>
      <c r="V89" s="8">
        <f>IF($G89="","",IF($D89="","⚠部屋が未選択",IF(COUNTIF('M_部屋'!$A$4:$A$20,$D89)=0,"⚠部屋が未登録",IF(OR($J89="",$N89="キャンセル"),"",IF(SUMPRODUCT(($D$5:$D$204=$D89)*($G$5:$G$204&lt;&gt;"")*($J$5:$J$204&lt;&gt;"")*($N$5:$N$204&lt;&gt;"キャンセル")*($G$5:$G$204&lt;$J89)*($J$5:$J$204&gt;$G89))&gt;1,"⚠重複","")))))</f>
        <v/>
      </c>
      <c r="W89" s="8">
        <f>IF(OR($B89="",$G89=""),"",IF(SUMPRODUCT(('利用者マスタ'!$A$4:$A$60=$B89)*('利用者マスタ'!$B$4:$B$60&lt;&gt;""))=0,"",IF(SUMIFS($X$5:$X$204,$B$5:$B$204,$B89,$G$5:$G$204,"&gt;="&amp;DATE(YEAR($G89),MONTH($G89),1),$G$5:$G$204,"&lt;="&amp;EOMONTH($G89,0))&gt;SUMIFS('利用者マスタ'!$B$4:$B$60,'利用者マスタ'!$A$4:$A$60,$B89),"⚠支給量超過","")))</f>
        <v/>
      </c>
      <c r="X89" s="8">
        <f>IF(OR($G89="",$J89="",$N89="キャンセル"),0,IF(IFERROR(INDEX('M_区分'!$B$4:$B$20,MATCH($C89,'M_区分'!$A$4:$A$20,0)),"○")="○",$J89-$G89+1,0))</f>
        <v/>
      </c>
      <c r="Y89" s="8">
        <f>IF($E89&lt;&gt;"",$E89,$Y88)</f>
        <v/>
      </c>
      <c r="Z89" s="8">
        <f>IF(OR($G89="",$J89=""),"",IF(AND($G89&lt;=EOMONTH('02_カレンダー'!$B$4,0),$J89&gt;='02_カレンダー'!$B$4),$G89*10000+ROW(),""))</f>
        <v/>
      </c>
      <c r="AA89" s="8">
        <f>IF($H89="","",IF(ISNUMBER($H89),TEXT($H89,"hh:mm"),$H89))</f>
        <v/>
      </c>
      <c r="AB89" s="8">
        <f>IF($K89="","",IF(ISNUMBER($K89),TEXT($K89,"hh:mm"),$K89))</f>
        <v/>
      </c>
      <c r="AC89" s="8">
        <f>IF($G89="",0,$G89)</f>
        <v/>
      </c>
      <c r="AD89" s="8">
        <f>IF($J89="",0,$J89)</f>
        <v/>
      </c>
    </row>
    <row r="90">
      <c r="A90" s="8">
        <f>IF($G90="","","SS-"&amp;TEXT(ROW()-4,"0000"))</f>
        <v/>
      </c>
      <c r="B90" s="9" t="n"/>
      <c r="C90" s="9" t="n"/>
      <c r="D90" s="9" t="n"/>
      <c r="E90" s="10" t="n"/>
      <c r="F90" s="11" t="n"/>
      <c r="G90" s="12">
        <f>IF($F90="","",IF($F90&gt;31,$F90,IF($Y90="","",DATE(YEAR($Y90),MONTH($Y90),$F90))))</f>
        <v/>
      </c>
      <c r="H90" s="13" t="n"/>
      <c r="I90" s="11" t="n"/>
      <c r="J90" s="12">
        <f>IF($I90="","",IF($I90&gt;31,$I90,IF($G90="","",IF(DATE(YEAR($G90),MONTH($G90),$I90)&gt;=$G90,DATE(YEAR($G90),MONTH($G90),$I90),DATE(YEAR($G90),MONTH($G90)+1,$I90)))))</f>
        <v/>
      </c>
      <c r="K90" s="13" t="n"/>
      <c r="L90" s="8">
        <f>IF(OR($G90="",$J90=""),"",$J90-$G90+1)</f>
        <v/>
      </c>
      <c r="M90" s="8">
        <f>IF(OR($G90="",$J90=""),"",$J90-$G90)</f>
        <v/>
      </c>
      <c r="N90" s="9" t="n"/>
      <c r="O90" s="9" t="n"/>
      <c r="P90" s="9" t="n"/>
      <c r="Q90" s="9" t="n"/>
      <c r="R90" s="9" t="n"/>
      <c r="S90" s="9" t="n"/>
      <c r="T90" s="14" t="n"/>
      <c r="U90" s="9" t="n"/>
      <c r="V90" s="8">
        <f>IF($G90="","",IF($D90="","⚠部屋が未選択",IF(COUNTIF('M_部屋'!$A$4:$A$20,$D90)=0,"⚠部屋が未登録",IF(OR($J90="",$N90="キャンセル"),"",IF(SUMPRODUCT(($D$5:$D$204=$D90)*($G$5:$G$204&lt;&gt;"")*($J$5:$J$204&lt;&gt;"")*($N$5:$N$204&lt;&gt;"キャンセル")*($G$5:$G$204&lt;$J90)*($J$5:$J$204&gt;$G90))&gt;1,"⚠重複","")))))</f>
        <v/>
      </c>
      <c r="W90" s="8">
        <f>IF(OR($B90="",$G90=""),"",IF(SUMPRODUCT(('利用者マスタ'!$A$4:$A$60=$B90)*('利用者マスタ'!$B$4:$B$60&lt;&gt;""))=0,"",IF(SUMIFS($X$5:$X$204,$B$5:$B$204,$B90,$G$5:$G$204,"&gt;="&amp;DATE(YEAR($G90),MONTH($G90),1),$G$5:$G$204,"&lt;="&amp;EOMONTH($G90,0))&gt;SUMIFS('利用者マスタ'!$B$4:$B$60,'利用者マスタ'!$A$4:$A$60,$B90),"⚠支給量超過","")))</f>
        <v/>
      </c>
      <c r="X90" s="8">
        <f>IF(OR($G90="",$J90="",$N90="キャンセル"),0,IF(IFERROR(INDEX('M_区分'!$B$4:$B$20,MATCH($C90,'M_区分'!$A$4:$A$20,0)),"○")="○",$J90-$G90+1,0))</f>
        <v/>
      </c>
      <c r="Y90" s="8">
        <f>IF($E90&lt;&gt;"",$E90,$Y89)</f>
        <v/>
      </c>
      <c r="Z90" s="8">
        <f>IF(OR($G90="",$J90=""),"",IF(AND($G90&lt;=EOMONTH('02_カレンダー'!$B$4,0),$J90&gt;='02_カレンダー'!$B$4),$G90*10000+ROW(),""))</f>
        <v/>
      </c>
      <c r="AA90" s="8">
        <f>IF($H90="","",IF(ISNUMBER($H90),TEXT($H90,"hh:mm"),$H90))</f>
        <v/>
      </c>
      <c r="AB90" s="8">
        <f>IF($K90="","",IF(ISNUMBER($K90),TEXT($K90,"hh:mm"),$K90))</f>
        <v/>
      </c>
      <c r="AC90" s="8">
        <f>IF($G90="",0,$G90)</f>
        <v/>
      </c>
      <c r="AD90" s="8">
        <f>IF($J90="",0,$J90)</f>
        <v/>
      </c>
    </row>
    <row r="91">
      <c r="A91" s="8">
        <f>IF($G91="","","SS-"&amp;TEXT(ROW()-4,"0000"))</f>
        <v/>
      </c>
      <c r="B91" s="9" t="n"/>
      <c r="C91" s="9" t="n"/>
      <c r="D91" s="9" t="n"/>
      <c r="E91" s="10" t="n"/>
      <c r="F91" s="11" t="n"/>
      <c r="G91" s="12">
        <f>IF($F91="","",IF($F91&gt;31,$F91,IF($Y91="","",DATE(YEAR($Y91),MONTH($Y91),$F91))))</f>
        <v/>
      </c>
      <c r="H91" s="13" t="n"/>
      <c r="I91" s="11" t="n"/>
      <c r="J91" s="12">
        <f>IF($I91="","",IF($I91&gt;31,$I91,IF($G91="","",IF(DATE(YEAR($G91),MONTH($G91),$I91)&gt;=$G91,DATE(YEAR($G91),MONTH($G91),$I91),DATE(YEAR($G91),MONTH($G91)+1,$I91)))))</f>
        <v/>
      </c>
      <c r="K91" s="13" t="n"/>
      <c r="L91" s="8">
        <f>IF(OR($G91="",$J91=""),"",$J91-$G91+1)</f>
        <v/>
      </c>
      <c r="M91" s="8">
        <f>IF(OR($G91="",$J91=""),"",$J91-$G91)</f>
        <v/>
      </c>
      <c r="N91" s="9" t="n"/>
      <c r="O91" s="9" t="n"/>
      <c r="P91" s="9" t="n"/>
      <c r="Q91" s="9" t="n"/>
      <c r="R91" s="9" t="n"/>
      <c r="S91" s="9" t="n"/>
      <c r="T91" s="14" t="n"/>
      <c r="U91" s="9" t="n"/>
      <c r="V91" s="8">
        <f>IF($G91="","",IF($D91="","⚠部屋が未選択",IF(COUNTIF('M_部屋'!$A$4:$A$20,$D91)=0,"⚠部屋が未登録",IF(OR($J91="",$N91="キャンセル"),"",IF(SUMPRODUCT(($D$5:$D$204=$D91)*($G$5:$G$204&lt;&gt;"")*($J$5:$J$204&lt;&gt;"")*($N$5:$N$204&lt;&gt;"キャンセル")*($G$5:$G$204&lt;$J91)*($J$5:$J$204&gt;$G91))&gt;1,"⚠重複","")))))</f>
        <v/>
      </c>
      <c r="W91" s="8">
        <f>IF(OR($B91="",$G91=""),"",IF(SUMPRODUCT(('利用者マスタ'!$A$4:$A$60=$B91)*('利用者マスタ'!$B$4:$B$60&lt;&gt;""))=0,"",IF(SUMIFS($X$5:$X$204,$B$5:$B$204,$B91,$G$5:$G$204,"&gt;="&amp;DATE(YEAR($G91),MONTH($G91),1),$G$5:$G$204,"&lt;="&amp;EOMONTH($G91,0))&gt;SUMIFS('利用者マスタ'!$B$4:$B$60,'利用者マスタ'!$A$4:$A$60,$B91),"⚠支給量超過","")))</f>
        <v/>
      </c>
      <c r="X91" s="8">
        <f>IF(OR($G91="",$J91="",$N91="キャンセル"),0,IF(IFERROR(INDEX('M_区分'!$B$4:$B$20,MATCH($C91,'M_区分'!$A$4:$A$20,0)),"○")="○",$J91-$G91+1,0))</f>
        <v/>
      </c>
      <c r="Y91" s="8">
        <f>IF($E91&lt;&gt;"",$E91,$Y90)</f>
        <v/>
      </c>
      <c r="Z91" s="8">
        <f>IF(OR($G91="",$J91=""),"",IF(AND($G91&lt;=EOMONTH('02_カレンダー'!$B$4,0),$J91&gt;='02_カレンダー'!$B$4),$G91*10000+ROW(),""))</f>
        <v/>
      </c>
      <c r="AA91" s="8">
        <f>IF($H91="","",IF(ISNUMBER($H91),TEXT($H91,"hh:mm"),$H91))</f>
        <v/>
      </c>
      <c r="AB91" s="8">
        <f>IF($K91="","",IF(ISNUMBER($K91),TEXT($K91,"hh:mm"),$K91))</f>
        <v/>
      </c>
      <c r="AC91" s="8">
        <f>IF($G91="",0,$G91)</f>
        <v/>
      </c>
      <c r="AD91" s="8">
        <f>IF($J91="",0,$J91)</f>
        <v/>
      </c>
    </row>
    <row r="92">
      <c r="A92" s="8">
        <f>IF($G92="","","SS-"&amp;TEXT(ROW()-4,"0000"))</f>
        <v/>
      </c>
      <c r="B92" s="9" t="n"/>
      <c r="C92" s="9" t="n"/>
      <c r="D92" s="9" t="n"/>
      <c r="E92" s="10" t="n"/>
      <c r="F92" s="11" t="n"/>
      <c r="G92" s="12">
        <f>IF($F92="","",IF($F92&gt;31,$F92,IF($Y92="","",DATE(YEAR($Y92),MONTH($Y92),$F92))))</f>
        <v/>
      </c>
      <c r="H92" s="13" t="n"/>
      <c r="I92" s="11" t="n"/>
      <c r="J92" s="12">
        <f>IF($I92="","",IF($I92&gt;31,$I92,IF($G92="","",IF(DATE(YEAR($G92),MONTH($G92),$I92)&gt;=$G92,DATE(YEAR($G92),MONTH($G92),$I92),DATE(YEAR($G92),MONTH($G92)+1,$I92)))))</f>
        <v/>
      </c>
      <c r="K92" s="13" t="n"/>
      <c r="L92" s="8">
        <f>IF(OR($G92="",$J92=""),"",$J92-$G92+1)</f>
        <v/>
      </c>
      <c r="M92" s="8">
        <f>IF(OR($G92="",$J92=""),"",$J92-$G92)</f>
        <v/>
      </c>
      <c r="N92" s="9" t="n"/>
      <c r="O92" s="9" t="n"/>
      <c r="P92" s="9" t="n"/>
      <c r="Q92" s="9" t="n"/>
      <c r="R92" s="9" t="n"/>
      <c r="S92" s="9" t="n"/>
      <c r="T92" s="14" t="n"/>
      <c r="U92" s="9" t="n"/>
      <c r="V92" s="8">
        <f>IF($G92="","",IF($D92="","⚠部屋が未選択",IF(COUNTIF('M_部屋'!$A$4:$A$20,$D92)=0,"⚠部屋が未登録",IF(OR($J92="",$N92="キャンセル"),"",IF(SUMPRODUCT(($D$5:$D$204=$D92)*($G$5:$G$204&lt;&gt;"")*($J$5:$J$204&lt;&gt;"")*($N$5:$N$204&lt;&gt;"キャンセル")*($G$5:$G$204&lt;$J92)*($J$5:$J$204&gt;$G92))&gt;1,"⚠重複","")))))</f>
        <v/>
      </c>
      <c r="W92" s="8">
        <f>IF(OR($B92="",$G92=""),"",IF(SUMPRODUCT(('利用者マスタ'!$A$4:$A$60=$B92)*('利用者マスタ'!$B$4:$B$60&lt;&gt;""))=0,"",IF(SUMIFS($X$5:$X$204,$B$5:$B$204,$B92,$G$5:$G$204,"&gt;="&amp;DATE(YEAR($G92),MONTH($G92),1),$G$5:$G$204,"&lt;="&amp;EOMONTH($G92,0))&gt;SUMIFS('利用者マスタ'!$B$4:$B$60,'利用者マスタ'!$A$4:$A$60,$B92),"⚠支給量超過","")))</f>
        <v/>
      </c>
      <c r="X92" s="8">
        <f>IF(OR($G92="",$J92="",$N92="キャンセル"),0,IF(IFERROR(INDEX('M_区分'!$B$4:$B$20,MATCH($C92,'M_区分'!$A$4:$A$20,0)),"○")="○",$J92-$G92+1,0))</f>
        <v/>
      </c>
      <c r="Y92" s="8">
        <f>IF($E92&lt;&gt;"",$E92,$Y91)</f>
        <v/>
      </c>
      <c r="Z92" s="8">
        <f>IF(OR($G92="",$J92=""),"",IF(AND($G92&lt;=EOMONTH('02_カレンダー'!$B$4,0),$J92&gt;='02_カレンダー'!$B$4),$G92*10000+ROW(),""))</f>
        <v/>
      </c>
      <c r="AA92" s="8">
        <f>IF($H92="","",IF(ISNUMBER($H92),TEXT($H92,"hh:mm"),$H92))</f>
        <v/>
      </c>
      <c r="AB92" s="8">
        <f>IF($K92="","",IF(ISNUMBER($K92),TEXT($K92,"hh:mm"),$K92))</f>
        <v/>
      </c>
      <c r="AC92" s="8">
        <f>IF($G92="",0,$G92)</f>
        <v/>
      </c>
      <c r="AD92" s="8">
        <f>IF($J92="",0,$J92)</f>
        <v/>
      </c>
    </row>
    <row r="93">
      <c r="A93" s="8">
        <f>IF($G93="","","SS-"&amp;TEXT(ROW()-4,"0000"))</f>
        <v/>
      </c>
      <c r="B93" s="9" t="n"/>
      <c r="C93" s="9" t="n"/>
      <c r="D93" s="9" t="n"/>
      <c r="E93" s="10" t="n"/>
      <c r="F93" s="11" t="n"/>
      <c r="G93" s="12">
        <f>IF($F93="","",IF($F93&gt;31,$F93,IF($Y93="","",DATE(YEAR($Y93),MONTH($Y93),$F93))))</f>
        <v/>
      </c>
      <c r="H93" s="13" t="n"/>
      <c r="I93" s="11" t="n"/>
      <c r="J93" s="12">
        <f>IF($I93="","",IF($I93&gt;31,$I93,IF($G93="","",IF(DATE(YEAR($G93),MONTH($G93),$I93)&gt;=$G93,DATE(YEAR($G93),MONTH($G93),$I93),DATE(YEAR($G93),MONTH($G93)+1,$I93)))))</f>
        <v/>
      </c>
      <c r="K93" s="13" t="n"/>
      <c r="L93" s="8">
        <f>IF(OR($G93="",$J93=""),"",$J93-$G93+1)</f>
        <v/>
      </c>
      <c r="M93" s="8">
        <f>IF(OR($G93="",$J93=""),"",$J93-$G93)</f>
        <v/>
      </c>
      <c r="N93" s="9" t="n"/>
      <c r="O93" s="9" t="n"/>
      <c r="P93" s="9" t="n"/>
      <c r="Q93" s="9" t="n"/>
      <c r="R93" s="9" t="n"/>
      <c r="S93" s="9" t="n"/>
      <c r="T93" s="14" t="n"/>
      <c r="U93" s="9" t="n"/>
      <c r="V93" s="8">
        <f>IF($G93="","",IF($D93="","⚠部屋が未選択",IF(COUNTIF('M_部屋'!$A$4:$A$20,$D93)=0,"⚠部屋が未登録",IF(OR($J93="",$N93="キャンセル"),"",IF(SUMPRODUCT(($D$5:$D$204=$D93)*($G$5:$G$204&lt;&gt;"")*($J$5:$J$204&lt;&gt;"")*($N$5:$N$204&lt;&gt;"キャンセル")*($G$5:$G$204&lt;$J93)*($J$5:$J$204&gt;$G93))&gt;1,"⚠重複","")))))</f>
        <v/>
      </c>
      <c r="W93" s="8">
        <f>IF(OR($B93="",$G93=""),"",IF(SUMPRODUCT(('利用者マスタ'!$A$4:$A$60=$B93)*('利用者マスタ'!$B$4:$B$60&lt;&gt;""))=0,"",IF(SUMIFS($X$5:$X$204,$B$5:$B$204,$B93,$G$5:$G$204,"&gt;="&amp;DATE(YEAR($G93),MONTH($G93),1),$G$5:$G$204,"&lt;="&amp;EOMONTH($G93,0))&gt;SUMIFS('利用者マスタ'!$B$4:$B$60,'利用者マスタ'!$A$4:$A$60,$B93),"⚠支給量超過","")))</f>
        <v/>
      </c>
      <c r="X93" s="8">
        <f>IF(OR($G93="",$J93="",$N93="キャンセル"),0,IF(IFERROR(INDEX('M_区分'!$B$4:$B$20,MATCH($C93,'M_区分'!$A$4:$A$20,0)),"○")="○",$J93-$G93+1,0))</f>
        <v/>
      </c>
      <c r="Y93" s="8">
        <f>IF($E93&lt;&gt;"",$E93,$Y92)</f>
        <v/>
      </c>
      <c r="Z93" s="8">
        <f>IF(OR($G93="",$J93=""),"",IF(AND($G93&lt;=EOMONTH('02_カレンダー'!$B$4,0),$J93&gt;='02_カレンダー'!$B$4),$G93*10000+ROW(),""))</f>
        <v/>
      </c>
      <c r="AA93" s="8">
        <f>IF($H93="","",IF(ISNUMBER($H93),TEXT($H93,"hh:mm"),$H93))</f>
        <v/>
      </c>
      <c r="AB93" s="8">
        <f>IF($K93="","",IF(ISNUMBER($K93),TEXT($K93,"hh:mm"),$K93))</f>
        <v/>
      </c>
      <c r="AC93" s="8">
        <f>IF($G93="",0,$G93)</f>
        <v/>
      </c>
      <c r="AD93" s="8">
        <f>IF($J93="",0,$J93)</f>
        <v/>
      </c>
    </row>
    <row r="94">
      <c r="A94" s="8">
        <f>IF($G94="","","SS-"&amp;TEXT(ROW()-4,"0000"))</f>
        <v/>
      </c>
      <c r="B94" s="9" t="n"/>
      <c r="C94" s="9" t="n"/>
      <c r="D94" s="9" t="n"/>
      <c r="E94" s="10" t="n"/>
      <c r="F94" s="11" t="n"/>
      <c r="G94" s="12">
        <f>IF($F94="","",IF($F94&gt;31,$F94,IF($Y94="","",DATE(YEAR($Y94),MONTH($Y94),$F94))))</f>
        <v/>
      </c>
      <c r="H94" s="13" t="n"/>
      <c r="I94" s="11" t="n"/>
      <c r="J94" s="12">
        <f>IF($I94="","",IF($I94&gt;31,$I94,IF($G94="","",IF(DATE(YEAR($G94),MONTH($G94),$I94)&gt;=$G94,DATE(YEAR($G94),MONTH($G94),$I94),DATE(YEAR($G94),MONTH($G94)+1,$I94)))))</f>
        <v/>
      </c>
      <c r="K94" s="13" t="n"/>
      <c r="L94" s="8">
        <f>IF(OR($G94="",$J94=""),"",$J94-$G94+1)</f>
        <v/>
      </c>
      <c r="M94" s="8">
        <f>IF(OR($G94="",$J94=""),"",$J94-$G94)</f>
        <v/>
      </c>
      <c r="N94" s="9" t="n"/>
      <c r="O94" s="9" t="n"/>
      <c r="P94" s="9" t="n"/>
      <c r="Q94" s="9" t="n"/>
      <c r="R94" s="9" t="n"/>
      <c r="S94" s="9" t="n"/>
      <c r="T94" s="14" t="n"/>
      <c r="U94" s="9" t="n"/>
      <c r="V94" s="8">
        <f>IF($G94="","",IF($D94="","⚠部屋が未選択",IF(COUNTIF('M_部屋'!$A$4:$A$20,$D94)=0,"⚠部屋が未登録",IF(OR($J94="",$N94="キャンセル"),"",IF(SUMPRODUCT(($D$5:$D$204=$D94)*($G$5:$G$204&lt;&gt;"")*($J$5:$J$204&lt;&gt;"")*($N$5:$N$204&lt;&gt;"キャンセル")*($G$5:$G$204&lt;$J94)*($J$5:$J$204&gt;$G94))&gt;1,"⚠重複","")))))</f>
        <v/>
      </c>
      <c r="W94" s="8">
        <f>IF(OR($B94="",$G94=""),"",IF(SUMPRODUCT(('利用者マスタ'!$A$4:$A$60=$B94)*('利用者マスタ'!$B$4:$B$60&lt;&gt;""))=0,"",IF(SUMIFS($X$5:$X$204,$B$5:$B$204,$B94,$G$5:$G$204,"&gt;="&amp;DATE(YEAR($G94),MONTH($G94),1),$G$5:$G$204,"&lt;="&amp;EOMONTH($G94,0))&gt;SUMIFS('利用者マスタ'!$B$4:$B$60,'利用者マスタ'!$A$4:$A$60,$B94),"⚠支給量超過","")))</f>
        <v/>
      </c>
      <c r="X94" s="8">
        <f>IF(OR($G94="",$J94="",$N94="キャンセル"),0,IF(IFERROR(INDEX('M_区分'!$B$4:$B$20,MATCH($C94,'M_区分'!$A$4:$A$20,0)),"○")="○",$J94-$G94+1,0))</f>
        <v/>
      </c>
      <c r="Y94" s="8">
        <f>IF($E94&lt;&gt;"",$E94,$Y93)</f>
        <v/>
      </c>
      <c r="Z94" s="8">
        <f>IF(OR($G94="",$J94=""),"",IF(AND($G94&lt;=EOMONTH('02_カレンダー'!$B$4,0),$J94&gt;='02_カレンダー'!$B$4),$G94*10000+ROW(),""))</f>
        <v/>
      </c>
      <c r="AA94" s="8">
        <f>IF($H94="","",IF(ISNUMBER($H94),TEXT($H94,"hh:mm"),$H94))</f>
        <v/>
      </c>
      <c r="AB94" s="8">
        <f>IF($K94="","",IF(ISNUMBER($K94),TEXT($K94,"hh:mm"),$K94))</f>
        <v/>
      </c>
      <c r="AC94" s="8">
        <f>IF($G94="",0,$G94)</f>
        <v/>
      </c>
      <c r="AD94" s="8">
        <f>IF($J94="",0,$J94)</f>
        <v/>
      </c>
    </row>
    <row r="95">
      <c r="A95" s="8">
        <f>IF($G95="","","SS-"&amp;TEXT(ROW()-4,"0000"))</f>
        <v/>
      </c>
      <c r="B95" s="9" t="n"/>
      <c r="C95" s="9" t="n"/>
      <c r="D95" s="9" t="n"/>
      <c r="E95" s="10" t="n"/>
      <c r="F95" s="11" t="n"/>
      <c r="G95" s="12">
        <f>IF($F95="","",IF($F95&gt;31,$F95,IF($Y95="","",DATE(YEAR($Y95),MONTH($Y95),$F95))))</f>
        <v/>
      </c>
      <c r="H95" s="13" t="n"/>
      <c r="I95" s="11" t="n"/>
      <c r="J95" s="12">
        <f>IF($I95="","",IF($I95&gt;31,$I95,IF($G95="","",IF(DATE(YEAR($G95),MONTH($G95),$I95)&gt;=$G95,DATE(YEAR($G95),MONTH($G95),$I95),DATE(YEAR($G95),MONTH($G95)+1,$I95)))))</f>
        <v/>
      </c>
      <c r="K95" s="13" t="n"/>
      <c r="L95" s="8">
        <f>IF(OR($G95="",$J95=""),"",$J95-$G95+1)</f>
        <v/>
      </c>
      <c r="M95" s="8">
        <f>IF(OR($G95="",$J95=""),"",$J95-$G95)</f>
        <v/>
      </c>
      <c r="N95" s="9" t="n"/>
      <c r="O95" s="9" t="n"/>
      <c r="P95" s="9" t="n"/>
      <c r="Q95" s="9" t="n"/>
      <c r="R95" s="9" t="n"/>
      <c r="S95" s="9" t="n"/>
      <c r="T95" s="14" t="n"/>
      <c r="U95" s="9" t="n"/>
      <c r="V95" s="8">
        <f>IF($G95="","",IF($D95="","⚠部屋が未選択",IF(COUNTIF('M_部屋'!$A$4:$A$20,$D95)=0,"⚠部屋が未登録",IF(OR($J95="",$N95="キャンセル"),"",IF(SUMPRODUCT(($D$5:$D$204=$D95)*($G$5:$G$204&lt;&gt;"")*($J$5:$J$204&lt;&gt;"")*($N$5:$N$204&lt;&gt;"キャンセル")*($G$5:$G$204&lt;$J95)*($J$5:$J$204&gt;$G95))&gt;1,"⚠重複","")))))</f>
        <v/>
      </c>
      <c r="W95" s="8">
        <f>IF(OR($B95="",$G95=""),"",IF(SUMPRODUCT(('利用者マスタ'!$A$4:$A$60=$B95)*('利用者マスタ'!$B$4:$B$60&lt;&gt;""))=0,"",IF(SUMIFS($X$5:$X$204,$B$5:$B$204,$B95,$G$5:$G$204,"&gt;="&amp;DATE(YEAR($G95),MONTH($G95),1),$G$5:$G$204,"&lt;="&amp;EOMONTH($G95,0))&gt;SUMIFS('利用者マスタ'!$B$4:$B$60,'利用者マスタ'!$A$4:$A$60,$B95),"⚠支給量超過","")))</f>
        <v/>
      </c>
      <c r="X95" s="8">
        <f>IF(OR($G95="",$J95="",$N95="キャンセル"),0,IF(IFERROR(INDEX('M_区分'!$B$4:$B$20,MATCH($C95,'M_区分'!$A$4:$A$20,0)),"○")="○",$J95-$G95+1,0))</f>
        <v/>
      </c>
      <c r="Y95" s="8">
        <f>IF($E95&lt;&gt;"",$E95,$Y94)</f>
        <v/>
      </c>
      <c r="Z95" s="8">
        <f>IF(OR($G95="",$J95=""),"",IF(AND($G95&lt;=EOMONTH('02_カレンダー'!$B$4,0),$J95&gt;='02_カレンダー'!$B$4),$G95*10000+ROW(),""))</f>
        <v/>
      </c>
      <c r="AA95" s="8">
        <f>IF($H95="","",IF(ISNUMBER($H95),TEXT($H95,"hh:mm"),$H95))</f>
        <v/>
      </c>
      <c r="AB95" s="8">
        <f>IF($K95="","",IF(ISNUMBER($K95),TEXT($K95,"hh:mm"),$K95))</f>
        <v/>
      </c>
      <c r="AC95" s="8">
        <f>IF($G95="",0,$G95)</f>
        <v/>
      </c>
      <c r="AD95" s="8">
        <f>IF($J95="",0,$J95)</f>
        <v/>
      </c>
    </row>
    <row r="96">
      <c r="A96" s="8">
        <f>IF($G96="","","SS-"&amp;TEXT(ROW()-4,"0000"))</f>
        <v/>
      </c>
      <c r="B96" s="9" t="n"/>
      <c r="C96" s="9" t="n"/>
      <c r="D96" s="9" t="n"/>
      <c r="E96" s="10" t="n"/>
      <c r="F96" s="11" t="n"/>
      <c r="G96" s="12">
        <f>IF($F96="","",IF($F96&gt;31,$F96,IF($Y96="","",DATE(YEAR($Y96),MONTH($Y96),$F96))))</f>
        <v/>
      </c>
      <c r="H96" s="13" t="n"/>
      <c r="I96" s="11" t="n"/>
      <c r="J96" s="12">
        <f>IF($I96="","",IF($I96&gt;31,$I96,IF($G96="","",IF(DATE(YEAR($G96),MONTH($G96),$I96)&gt;=$G96,DATE(YEAR($G96),MONTH($G96),$I96),DATE(YEAR($G96),MONTH($G96)+1,$I96)))))</f>
        <v/>
      </c>
      <c r="K96" s="13" t="n"/>
      <c r="L96" s="8">
        <f>IF(OR($G96="",$J96=""),"",$J96-$G96+1)</f>
        <v/>
      </c>
      <c r="M96" s="8">
        <f>IF(OR($G96="",$J96=""),"",$J96-$G96)</f>
        <v/>
      </c>
      <c r="N96" s="9" t="n"/>
      <c r="O96" s="9" t="n"/>
      <c r="P96" s="9" t="n"/>
      <c r="Q96" s="9" t="n"/>
      <c r="R96" s="9" t="n"/>
      <c r="S96" s="9" t="n"/>
      <c r="T96" s="14" t="n"/>
      <c r="U96" s="9" t="n"/>
      <c r="V96" s="8">
        <f>IF($G96="","",IF($D96="","⚠部屋が未選択",IF(COUNTIF('M_部屋'!$A$4:$A$20,$D96)=0,"⚠部屋が未登録",IF(OR($J96="",$N96="キャンセル"),"",IF(SUMPRODUCT(($D$5:$D$204=$D96)*($G$5:$G$204&lt;&gt;"")*($J$5:$J$204&lt;&gt;"")*($N$5:$N$204&lt;&gt;"キャンセル")*($G$5:$G$204&lt;$J96)*($J$5:$J$204&gt;$G96))&gt;1,"⚠重複","")))))</f>
        <v/>
      </c>
      <c r="W96" s="8">
        <f>IF(OR($B96="",$G96=""),"",IF(SUMPRODUCT(('利用者マスタ'!$A$4:$A$60=$B96)*('利用者マスタ'!$B$4:$B$60&lt;&gt;""))=0,"",IF(SUMIFS($X$5:$X$204,$B$5:$B$204,$B96,$G$5:$G$204,"&gt;="&amp;DATE(YEAR($G96),MONTH($G96),1),$G$5:$G$204,"&lt;="&amp;EOMONTH($G96,0))&gt;SUMIFS('利用者マスタ'!$B$4:$B$60,'利用者マスタ'!$A$4:$A$60,$B96),"⚠支給量超過","")))</f>
        <v/>
      </c>
      <c r="X96" s="8">
        <f>IF(OR($G96="",$J96="",$N96="キャンセル"),0,IF(IFERROR(INDEX('M_区分'!$B$4:$B$20,MATCH($C96,'M_区分'!$A$4:$A$20,0)),"○")="○",$J96-$G96+1,0))</f>
        <v/>
      </c>
      <c r="Y96" s="8">
        <f>IF($E96&lt;&gt;"",$E96,$Y95)</f>
        <v/>
      </c>
      <c r="Z96" s="8">
        <f>IF(OR($G96="",$J96=""),"",IF(AND($G96&lt;=EOMONTH('02_カレンダー'!$B$4,0),$J96&gt;='02_カレンダー'!$B$4),$G96*10000+ROW(),""))</f>
        <v/>
      </c>
      <c r="AA96" s="8">
        <f>IF($H96="","",IF(ISNUMBER($H96),TEXT($H96,"hh:mm"),$H96))</f>
        <v/>
      </c>
      <c r="AB96" s="8">
        <f>IF($K96="","",IF(ISNUMBER($K96),TEXT($K96,"hh:mm"),$K96))</f>
        <v/>
      </c>
      <c r="AC96" s="8">
        <f>IF($G96="",0,$G96)</f>
        <v/>
      </c>
      <c r="AD96" s="8">
        <f>IF($J96="",0,$J96)</f>
        <v/>
      </c>
    </row>
    <row r="97">
      <c r="A97" s="8">
        <f>IF($G97="","","SS-"&amp;TEXT(ROW()-4,"0000"))</f>
        <v/>
      </c>
      <c r="B97" s="9" t="n"/>
      <c r="C97" s="9" t="n"/>
      <c r="D97" s="9" t="n"/>
      <c r="E97" s="10" t="n"/>
      <c r="F97" s="11" t="n"/>
      <c r="G97" s="12">
        <f>IF($F97="","",IF($F97&gt;31,$F97,IF($Y97="","",DATE(YEAR($Y97),MONTH($Y97),$F97))))</f>
        <v/>
      </c>
      <c r="H97" s="13" t="n"/>
      <c r="I97" s="11" t="n"/>
      <c r="J97" s="12">
        <f>IF($I97="","",IF($I97&gt;31,$I97,IF($G97="","",IF(DATE(YEAR($G97),MONTH($G97),$I97)&gt;=$G97,DATE(YEAR($G97),MONTH($G97),$I97),DATE(YEAR($G97),MONTH($G97)+1,$I97)))))</f>
        <v/>
      </c>
      <c r="K97" s="13" t="n"/>
      <c r="L97" s="8">
        <f>IF(OR($G97="",$J97=""),"",$J97-$G97+1)</f>
        <v/>
      </c>
      <c r="M97" s="8">
        <f>IF(OR($G97="",$J97=""),"",$J97-$G97)</f>
        <v/>
      </c>
      <c r="N97" s="9" t="n"/>
      <c r="O97" s="9" t="n"/>
      <c r="P97" s="9" t="n"/>
      <c r="Q97" s="9" t="n"/>
      <c r="R97" s="9" t="n"/>
      <c r="S97" s="9" t="n"/>
      <c r="T97" s="14" t="n"/>
      <c r="U97" s="9" t="n"/>
      <c r="V97" s="8">
        <f>IF($G97="","",IF($D97="","⚠部屋が未選択",IF(COUNTIF('M_部屋'!$A$4:$A$20,$D97)=0,"⚠部屋が未登録",IF(OR($J97="",$N97="キャンセル"),"",IF(SUMPRODUCT(($D$5:$D$204=$D97)*($G$5:$G$204&lt;&gt;"")*($J$5:$J$204&lt;&gt;"")*($N$5:$N$204&lt;&gt;"キャンセル")*($G$5:$G$204&lt;$J97)*($J$5:$J$204&gt;$G97))&gt;1,"⚠重複","")))))</f>
        <v/>
      </c>
      <c r="W97" s="8">
        <f>IF(OR($B97="",$G97=""),"",IF(SUMPRODUCT(('利用者マスタ'!$A$4:$A$60=$B97)*('利用者マスタ'!$B$4:$B$60&lt;&gt;""))=0,"",IF(SUMIFS($X$5:$X$204,$B$5:$B$204,$B97,$G$5:$G$204,"&gt;="&amp;DATE(YEAR($G97),MONTH($G97),1),$G$5:$G$204,"&lt;="&amp;EOMONTH($G97,0))&gt;SUMIFS('利用者マスタ'!$B$4:$B$60,'利用者マスタ'!$A$4:$A$60,$B97),"⚠支給量超過","")))</f>
        <v/>
      </c>
      <c r="X97" s="8">
        <f>IF(OR($G97="",$J97="",$N97="キャンセル"),0,IF(IFERROR(INDEX('M_区分'!$B$4:$B$20,MATCH($C97,'M_区分'!$A$4:$A$20,0)),"○")="○",$J97-$G97+1,0))</f>
        <v/>
      </c>
      <c r="Y97" s="8">
        <f>IF($E97&lt;&gt;"",$E97,$Y96)</f>
        <v/>
      </c>
      <c r="Z97" s="8">
        <f>IF(OR($G97="",$J97=""),"",IF(AND($G97&lt;=EOMONTH('02_カレンダー'!$B$4,0),$J97&gt;='02_カレンダー'!$B$4),$G97*10000+ROW(),""))</f>
        <v/>
      </c>
      <c r="AA97" s="8">
        <f>IF($H97="","",IF(ISNUMBER($H97),TEXT($H97,"hh:mm"),$H97))</f>
        <v/>
      </c>
      <c r="AB97" s="8">
        <f>IF($K97="","",IF(ISNUMBER($K97),TEXT($K97,"hh:mm"),$K97))</f>
        <v/>
      </c>
      <c r="AC97" s="8">
        <f>IF($G97="",0,$G97)</f>
        <v/>
      </c>
      <c r="AD97" s="8">
        <f>IF($J97="",0,$J97)</f>
        <v/>
      </c>
    </row>
    <row r="98">
      <c r="A98" s="8">
        <f>IF($G98="","","SS-"&amp;TEXT(ROW()-4,"0000"))</f>
        <v/>
      </c>
      <c r="B98" s="9" t="n"/>
      <c r="C98" s="9" t="n"/>
      <c r="D98" s="9" t="n"/>
      <c r="E98" s="10" t="n"/>
      <c r="F98" s="11" t="n"/>
      <c r="G98" s="12">
        <f>IF($F98="","",IF($F98&gt;31,$F98,IF($Y98="","",DATE(YEAR($Y98),MONTH($Y98),$F98))))</f>
        <v/>
      </c>
      <c r="H98" s="13" t="n"/>
      <c r="I98" s="11" t="n"/>
      <c r="J98" s="12">
        <f>IF($I98="","",IF($I98&gt;31,$I98,IF($G98="","",IF(DATE(YEAR($G98),MONTH($G98),$I98)&gt;=$G98,DATE(YEAR($G98),MONTH($G98),$I98),DATE(YEAR($G98),MONTH($G98)+1,$I98)))))</f>
        <v/>
      </c>
      <c r="K98" s="13" t="n"/>
      <c r="L98" s="8">
        <f>IF(OR($G98="",$J98=""),"",$J98-$G98+1)</f>
        <v/>
      </c>
      <c r="M98" s="8">
        <f>IF(OR($G98="",$J98=""),"",$J98-$G98)</f>
        <v/>
      </c>
      <c r="N98" s="9" t="n"/>
      <c r="O98" s="9" t="n"/>
      <c r="P98" s="9" t="n"/>
      <c r="Q98" s="9" t="n"/>
      <c r="R98" s="9" t="n"/>
      <c r="S98" s="9" t="n"/>
      <c r="T98" s="14" t="n"/>
      <c r="U98" s="9" t="n"/>
      <c r="V98" s="8">
        <f>IF($G98="","",IF($D98="","⚠部屋が未選択",IF(COUNTIF('M_部屋'!$A$4:$A$20,$D98)=0,"⚠部屋が未登録",IF(OR($J98="",$N98="キャンセル"),"",IF(SUMPRODUCT(($D$5:$D$204=$D98)*($G$5:$G$204&lt;&gt;"")*($J$5:$J$204&lt;&gt;"")*($N$5:$N$204&lt;&gt;"キャンセル")*($G$5:$G$204&lt;$J98)*($J$5:$J$204&gt;$G98))&gt;1,"⚠重複","")))))</f>
        <v/>
      </c>
      <c r="W98" s="8">
        <f>IF(OR($B98="",$G98=""),"",IF(SUMPRODUCT(('利用者マスタ'!$A$4:$A$60=$B98)*('利用者マスタ'!$B$4:$B$60&lt;&gt;""))=0,"",IF(SUMIFS($X$5:$X$204,$B$5:$B$204,$B98,$G$5:$G$204,"&gt;="&amp;DATE(YEAR($G98),MONTH($G98),1),$G$5:$G$204,"&lt;="&amp;EOMONTH($G98,0))&gt;SUMIFS('利用者マスタ'!$B$4:$B$60,'利用者マスタ'!$A$4:$A$60,$B98),"⚠支給量超過","")))</f>
        <v/>
      </c>
      <c r="X98" s="8">
        <f>IF(OR($G98="",$J98="",$N98="キャンセル"),0,IF(IFERROR(INDEX('M_区分'!$B$4:$B$20,MATCH($C98,'M_区分'!$A$4:$A$20,0)),"○")="○",$J98-$G98+1,0))</f>
        <v/>
      </c>
      <c r="Y98" s="8">
        <f>IF($E98&lt;&gt;"",$E98,$Y97)</f>
        <v/>
      </c>
      <c r="Z98" s="8">
        <f>IF(OR($G98="",$J98=""),"",IF(AND($G98&lt;=EOMONTH('02_カレンダー'!$B$4,0),$J98&gt;='02_カレンダー'!$B$4),$G98*10000+ROW(),""))</f>
        <v/>
      </c>
      <c r="AA98" s="8">
        <f>IF($H98="","",IF(ISNUMBER($H98),TEXT($H98,"hh:mm"),$H98))</f>
        <v/>
      </c>
      <c r="AB98" s="8">
        <f>IF($K98="","",IF(ISNUMBER($K98),TEXT($K98,"hh:mm"),$K98))</f>
        <v/>
      </c>
      <c r="AC98" s="8">
        <f>IF($G98="",0,$G98)</f>
        <v/>
      </c>
      <c r="AD98" s="8">
        <f>IF($J98="",0,$J98)</f>
        <v/>
      </c>
    </row>
    <row r="99">
      <c r="A99" s="8">
        <f>IF($G99="","","SS-"&amp;TEXT(ROW()-4,"0000"))</f>
        <v/>
      </c>
      <c r="B99" s="9" t="n"/>
      <c r="C99" s="9" t="n"/>
      <c r="D99" s="9" t="n"/>
      <c r="E99" s="10" t="n"/>
      <c r="F99" s="11" t="n"/>
      <c r="G99" s="12">
        <f>IF($F99="","",IF($F99&gt;31,$F99,IF($Y99="","",DATE(YEAR($Y99),MONTH($Y99),$F99))))</f>
        <v/>
      </c>
      <c r="H99" s="13" t="n"/>
      <c r="I99" s="11" t="n"/>
      <c r="J99" s="12">
        <f>IF($I99="","",IF($I99&gt;31,$I99,IF($G99="","",IF(DATE(YEAR($G99),MONTH($G99),$I99)&gt;=$G99,DATE(YEAR($G99),MONTH($G99),$I99),DATE(YEAR($G99),MONTH($G99)+1,$I99)))))</f>
        <v/>
      </c>
      <c r="K99" s="13" t="n"/>
      <c r="L99" s="8">
        <f>IF(OR($G99="",$J99=""),"",$J99-$G99+1)</f>
        <v/>
      </c>
      <c r="M99" s="8">
        <f>IF(OR($G99="",$J99=""),"",$J99-$G99)</f>
        <v/>
      </c>
      <c r="N99" s="9" t="n"/>
      <c r="O99" s="9" t="n"/>
      <c r="P99" s="9" t="n"/>
      <c r="Q99" s="9" t="n"/>
      <c r="R99" s="9" t="n"/>
      <c r="S99" s="9" t="n"/>
      <c r="T99" s="14" t="n"/>
      <c r="U99" s="9" t="n"/>
      <c r="V99" s="8">
        <f>IF($G99="","",IF($D99="","⚠部屋が未選択",IF(COUNTIF('M_部屋'!$A$4:$A$20,$D99)=0,"⚠部屋が未登録",IF(OR($J99="",$N99="キャンセル"),"",IF(SUMPRODUCT(($D$5:$D$204=$D99)*($G$5:$G$204&lt;&gt;"")*($J$5:$J$204&lt;&gt;"")*($N$5:$N$204&lt;&gt;"キャンセル")*($G$5:$G$204&lt;$J99)*($J$5:$J$204&gt;$G99))&gt;1,"⚠重複","")))))</f>
        <v/>
      </c>
      <c r="W99" s="8">
        <f>IF(OR($B99="",$G99=""),"",IF(SUMPRODUCT(('利用者マスタ'!$A$4:$A$60=$B99)*('利用者マスタ'!$B$4:$B$60&lt;&gt;""))=0,"",IF(SUMIFS($X$5:$X$204,$B$5:$B$204,$B99,$G$5:$G$204,"&gt;="&amp;DATE(YEAR($G99),MONTH($G99),1),$G$5:$G$204,"&lt;="&amp;EOMONTH($G99,0))&gt;SUMIFS('利用者マスタ'!$B$4:$B$60,'利用者マスタ'!$A$4:$A$60,$B99),"⚠支給量超過","")))</f>
        <v/>
      </c>
      <c r="X99" s="8">
        <f>IF(OR($G99="",$J99="",$N99="キャンセル"),0,IF(IFERROR(INDEX('M_区分'!$B$4:$B$20,MATCH($C99,'M_区分'!$A$4:$A$20,0)),"○")="○",$J99-$G99+1,0))</f>
        <v/>
      </c>
      <c r="Y99" s="8">
        <f>IF($E99&lt;&gt;"",$E99,$Y98)</f>
        <v/>
      </c>
      <c r="Z99" s="8">
        <f>IF(OR($G99="",$J99=""),"",IF(AND($G99&lt;=EOMONTH('02_カレンダー'!$B$4,0),$J99&gt;='02_カレンダー'!$B$4),$G99*10000+ROW(),""))</f>
        <v/>
      </c>
      <c r="AA99" s="8">
        <f>IF($H99="","",IF(ISNUMBER($H99),TEXT($H99,"hh:mm"),$H99))</f>
        <v/>
      </c>
      <c r="AB99" s="8">
        <f>IF($K99="","",IF(ISNUMBER($K99),TEXT($K99,"hh:mm"),$K99))</f>
        <v/>
      </c>
      <c r="AC99" s="8">
        <f>IF($G99="",0,$G99)</f>
        <v/>
      </c>
      <c r="AD99" s="8">
        <f>IF($J99="",0,$J99)</f>
        <v/>
      </c>
    </row>
    <row r="100">
      <c r="A100" s="8">
        <f>IF($G100="","","SS-"&amp;TEXT(ROW()-4,"0000"))</f>
        <v/>
      </c>
      <c r="B100" s="9" t="n"/>
      <c r="C100" s="9" t="n"/>
      <c r="D100" s="9" t="n"/>
      <c r="E100" s="10" t="n"/>
      <c r="F100" s="11" t="n"/>
      <c r="G100" s="12">
        <f>IF($F100="","",IF($F100&gt;31,$F100,IF($Y100="","",DATE(YEAR($Y100),MONTH($Y100),$F100))))</f>
        <v/>
      </c>
      <c r="H100" s="13" t="n"/>
      <c r="I100" s="11" t="n"/>
      <c r="J100" s="12">
        <f>IF($I100="","",IF($I100&gt;31,$I100,IF($G100="","",IF(DATE(YEAR($G100),MONTH($G100),$I100)&gt;=$G100,DATE(YEAR($G100),MONTH($G100),$I100),DATE(YEAR($G100),MONTH($G100)+1,$I100)))))</f>
        <v/>
      </c>
      <c r="K100" s="13" t="n"/>
      <c r="L100" s="8">
        <f>IF(OR($G100="",$J100=""),"",$J100-$G100+1)</f>
        <v/>
      </c>
      <c r="M100" s="8">
        <f>IF(OR($G100="",$J100=""),"",$J100-$G100)</f>
        <v/>
      </c>
      <c r="N100" s="9" t="n"/>
      <c r="O100" s="9" t="n"/>
      <c r="P100" s="9" t="n"/>
      <c r="Q100" s="9" t="n"/>
      <c r="R100" s="9" t="n"/>
      <c r="S100" s="9" t="n"/>
      <c r="T100" s="14" t="n"/>
      <c r="U100" s="9" t="n"/>
      <c r="V100" s="8">
        <f>IF($G100="","",IF($D100="","⚠部屋が未選択",IF(COUNTIF('M_部屋'!$A$4:$A$20,$D100)=0,"⚠部屋が未登録",IF(OR($J100="",$N100="キャンセル"),"",IF(SUMPRODUCT(($D$5:$D$204=$D100)*($G$5:$G$204&lt;&gt;"")*($J$5:$J$204&lt;&gt;"")*($N$5:$N$204&lt;&gt;"キャンセル")*($G$5:$G$204&lt;$J100)*($J$5:$J$204&gt;$G100))&gt;1,"⚠重複","")))))</f>
        <v/>
      </c>
      <c r="W100" s="8">
        <f>IF(OR($B100="",$G100=""),"",IF(SUMPRODUCT(('利用者マスタ'!$A$4:$A$60=$B100)*('利用者マスタ'!$B$4:$B$60&lt;&gt;""))=0,"",IF(SUMIFS($X$5:$X$204,$B$5:$B$204,$B100,$G$5:$G$204,"&gt;="&amp;DATE(YEAR($G100),MONTH($G100),1),$G$5:$G$204,"&lt;="&amp;EOMONTH($G100,0))&gt;SUMIFS('利用者マスタ'!$B$4:$B$60,'利用者マスタ'!$A$4:$A$60,$B100),"⚠支給量超過","")))</f>
        <v/>
      </c>
      <c r="X100" s="8">
        <f>IF(OR($G100="",$J100="",$N100="キャンセル"),0,IF(IFERROR(INDEX('M_区分'!$B$4:$B$20,MATCH($C100,'M_区分'!$A$4:$A$20,0)),"○")="○",$J100-$G100+1,0))</f>
        <v/>
      </c>
      <c r="Y100" s="8">
        <f>IF($E100&lt;&gt;"",$E100,$Y99)</f>
        <v/>
      </c>
      <c r="Z100" s="8">
        <f>IF(OR($G100="",$J100=""),"",IF(AND($G100&lt;=EOMONTH('02_カレンダー'!$B$4,0),$J100&gt;='02_カレンダー'!$B$4),$G100*10000+ROW(),""))</f>
        <v/>
      </c>
      <c r="AA100" s="8">
        <f>IF($H100="","",IF(ISNUMBER($H100),TEXT($H100,"hh:mm"),$H100))</f>
        <v/>
      </c>
      <c r="AB100" s="8">
        <f>IF($K100="","",IF(ISNUMBER($K100),TEXT($K100,"hh:mm"),$K100))</f>
        <v/>
      </c>
      <c r="AC100" s="8">
        <f>IF($G100="",0,$G100)</f>
        <v/>
      </c>
      <c r="AD100" s="8">
        <f>IF($J100="",0,$J100)</f>
        <v/>
      </c>
    </row>
    <row r="101">
      <c r="A101" s="8">
        <f>IF($G101="","","SS-"&amp;TEXT(ROW()-4,"0000"))</f>
        <v/>
      </c>
      <c r="B101" s="9" t="n"/>
      <c r="C101" s="9" t="n"/>
      <c r="D101" s="9" t="n"/>
      <c r="E101" s="10" t="n"/>
      <c r="F101" s="11" t="n"/>
      <c r="G101" s="12">
        <f>IF($F101="","",IF($F101&gt;31,$F101,IF($Y101="","",DATE(YEAR($Y101),MONTH($Y101),$F101))))</f>
        <v/>
      </c>
      <c r="H101" s="13" t="n"/>
      <c r="I101" s="11" t="n"/>
      <c r="J101" s="12">
        <f>IF($I101="","",IF($I101&gt;31,$I101,IF($G101="","",IF(DATE(YEAR($G101),MONTH($G101),$I101)&gt;=$G101,DATE(YEAR($G101),MONTH($G101),$I101),DATE(YEAR($G101),MONTH($G101)+1,$I101)))))</f>
        <v/>
      </c>
      <c r="K101" s="13" t="n"/>
      <c r="L101" s="8">
        <f>IF(OR($G101="",$J101=""),"",$J101-$G101+1)</f>
        <v/>
      </c>
      <c r="M101" s="8">
        <f>IF(OR($G101="",$J101=""),"",$J101-$G101)</f>
        <v/>
      </c>
      <c r="N101" s="9" t="n"/>
      <c r="O101" s="9" t="n"/>
      <c r="P101" s="9" t="n"/>
      <c r="Q101" s="9" t="n"/>
      <c r="R101" s="9" t="n"/>
      <c r="S101" s="9" t="n"/>
      <c r="T101" s="14" t="n"/>
      <c r="U101" s="9" t="n"/>
      <c r="V101" s="8">
        <f>IF($G101="","",IF($D101="","⚠部屋が未選択",IF(COUNTIF('M_部屋'!$A$4:$A$20,$D101)=0,"⚠部屋が未登録",IF(OR($J101="",$N101="キャンセル"),"",IF(SUMPRODUCT(($D$5:$D$204=$D101)*($G$5:$G$204&lt;&gt;"")*($J$5:$J$204&lt;&gt;"")*($N$5:$N$204&lt;&gt;"キャンセル")*($G$5:$G$204&lt;$J101)*($J$5:$J$204&gt;$G101))&gt;1,"⚠重複","")))))</f>
        <v/>
      </c>
      <c r="W101" s="8">
        <f>IF(OR($B101="",$G101=""),"",IF(SUMPRODUCT(('利用者マスタ'!$A$4:$A$60=$B101)*('利用者マスタ'!$B$4:$B$60&lt;&gt;""))=0,"",IF(SUMIFS($X$5:$X$204,$B$5:$B$204,$B101,$G$5:$G$204,"&gt;="&amp;DATE(YEAR($G101),MONTH($G101),1),$G$5:$G$204,"&lt;="&amp;EOMONTH($G101,0))&gt;SUMIFS('利用者マスタ'!$B$4:$B$60,'利用者マスタ'!$A$4:$A$60,$B101),"⚠支給量超過","")))</f>
        <v/>
      </c>
      <c r="X101" s="8">
        <f>IF(OR($G101="",$J101="",$N101="キャンセル"),0,IF(IFERROR(INDEX('M_区分'!$B$4:$B$20,MATCH($C101,'M_区分'!$A$4:$A$20,0)),"○")="○",$J101-$G101+1,0))</f>
        <v/>
      </c>
      <c r="Y101" s="8">
        <f>IF($E101&lt;&gt;"",$E101,$Y100)</f>
        <v/>
      </c>
      <c r="Z101" s="8">
        <f>IF(OR($G101="",$J101=""),"",IF(AND($G101&lt;=EOMONTH('02_カレンダー'!$B$4,0),$J101&gt;='02_カレンダー'!$B$4),$G101*10000+ROW(),""))</f>
        <v/>
      </c>
      <c r="AA101" s="8">
        <f>IF($H101="","",IF(ISNUMBER($H101),TEXT($H101,"hh:mm"),$H101))</f>
        <v/>
      </c>
      <c r="AB101" s="8">
        <f>IF($K101="","",IF(ISNUMBER($K101),TEXT($K101,"hh:mm"),$K101))</f>
        <v/>
      </c>
      <c r="AC101" s="8">
        <f>IF($G101="",0,$G101)</f>
        <v/>
      </c>
      <c r="AD101" s="8">
        <f>IF($J101="",0,$J101)</f>
        <v/>
      </c>
    </row>
    <row r="102">
      <c r="A102" s="8">
        <f>IF($G102="","","SS-"&amp;TEXT(ROW()-4,"0000"))</f>
        <v/>
      </c>
      <c r="B102" s="9" t="n"/>
      <c r="C102" s="9" t="n"/>
      <c r="D102" s="9" t="n"/>
      <c r="E102" s="10" t="n"/>
      <c r="F102" s="11" t="n"/>
      <c r="G102" s="12">
        <f>IF($F102="","",IF($F102&gt;31,$F102,IF($Y102="","",DATE(YEAR($Y102),MONTH($Y102),$F102))))</f>
        <v/>
      </c>
      <c r="H102" s="13" t="n"/>
      <c r="I102" s="11" t="n"/>
      <c r="J102" s="12">
        <f>IF($I102="","",IF($I102&gt;31,$I102,IF($G102="","",IF(DATE(YEAR($G102),MONTH($G102),$I102)&gt;=$G102,DATE(YEAR($G102),MONTH($G102),$I102),DATE(YEAR($G102),MONTH($G102)+1,$I102)))))</f>
        <v/>
      </c>
      <c r="K102" s="13" t="n"/>
      <c r="L102" s="8">
        <f>IF(OR($G102="",$J102=""),"",$J102-$G102+1)</f>
        <v/>
      </c>
      <c r="M102" s="8">
        <f>IF(OR($G102="",$J102=""),"",$J102-$G102)</f>
        <v/>
      </c>
      <c r="N102" s="9" t="n"/>
      <c r="O102" s="9" t="n"/>
      <c r="P102" s="9" t="n"/>
      <c r="Q102" s="9" t="n"/>
      <c r="R102" s="9" t="n"/>
      <c r="S102" s="9" t="n"/>
      <c r="T102" s="14" t="n"/>
      <c r="U102" s="9" t="n"/>
      <c r="V102" s="8">
        <f>IF($G102="","",IF($D102="","⚠部屋が未選択",IF(COUNTIF('M_部屋'!$A$4:$A$20,$D102)=0,"⚠部屋が未登録",IF(OR($J102="",$N102="キャンセル"),"",IF(SUMPRODUCT(($D$5:$D$204=$D102)*($G$5:$G$204&lt;&gt;"")*($J$5:$J$204&lt;&gt;"")*($N$5:$N$204&lt;&gt;"キャンセル")*($G$5:$G$204&lt;$J102)*($J$5:$J$204&gt;$G102))&gt;1,"⚠重複","")))))</f>
        <v/>
      </c>
      <c r="W102" s="8">
        <f>IF(OR($B102="",$G102=""),"",IF(SUMPRODUCT(('利用者マスタ'!$A$4:$A$60=$B102)*('利用者マスタ'!$B$4:$B$60&lt;&gt;""))=0,"",IF(SUMIFS($X$5:$X$204,$B$5:$B$204,$B102,$G$5:$G$204,"&gt;="&amp;DATE(YEAR($G102),MONTH($G102),1),$G$5:$G$204,"&lt;="&amp;EOMONTH($G102,0))&gt;SUMIFS('利用者マスタ'!$B$4:$B$60,'利用者マスタ'!$A$4:$A$60,$B102),"⚠支給量超過","")))</f>
        <v/>
      </c>
      <c r="X102" s="8">
        <f>IF(OR($G102="",$J102="",$N102="キャンセル"),0,IF(IFERROR(INDEX('M_区分'!$B$4:$B$20,MATCH($C102,'M_区分'!$A$4:$A$20,0)),"○")="○",$J102-$G102+1,0))</f>
        <v/>
      </c>
      <c r="Y102" s="8">
        <f>IF($E102&lt;&gt;"",$E102,$Y101)</f>
        <v/>
      </c>
      <c r="Z102" s="8">
        <f>IF(OR($G102="",$J102=""),"",IF(AND($G102&lt;=EOMONTH('02_カレンダー'!$B$4,0),$J102&gt;='02_カレンダー'!$B$4),$G102*10000+ROW(),""))</f>
        <v/>
      </c>
      <c r="AA102" s="8">
        <f>IF($H102="","",IF(ISNUMBER($H102),TEXT($H102,"hh:mm"),$H102))</f>
        <v/>
      </c>
      <c r="AB102" s="8">
        <f>IF($K102="","",IF(ISNUMBER($K102),TEXT($K102,"hh:mm"),$K102))</f>
        <v/>
      </c>
      <c r="AC102" s="8">
        <f>IF($G102="",0,$G102)</f>
        <v/>
      </c>
      <c r="AD102" s="8">
        <f>IF($J102="",0,$J102)</f>
        <v/>
      </c>
    </row>
    <row r="103">
      <c r="A103" s="8">
        <f>IF($G103="","","SS-"&amp;TEXT(ROW()-4,"0000"))</f>
        <v/>
      </c>
      <c r="B103" s="9" t="n"/>
      <c r="C103" s="9" t="n"/>
      <c r="D103" s="9" t="n"/>
      <c r="E103" s="10" t="n"/>
      <c r="F103" s="11" t="n"/>
      <c r="G103" s="12">
        <f>IF($F103="","",IF($F103&gt;31,$F103,IF($Y103="","",DATE(YEAR($Y103),MONTH($Y103),$F103))))</f>
        <v/>
      </c>
      <c r="H103" s="13" t="n"/>
      <c r="I103" s="11" t="n"/>
      <c r="J103" s="12">
        <f>IF($I103="","",IF($I103&gt;31,$I103,IF($G103="","",IF(DATE(YEAR($G103),MONTH($G103),$I103)&gt;=$G103,DATE(YEAR($G103),MONTH($G103),$I103),DATE(YEAR($G103),MONTH($G103)+1,$I103)))))</f>
        <v/>
      </c>
      <c r="K103" s="13" t="n"/>
      <c r="L103" s="8">
        <f>IF(OR($G103="",$J103=""),"",$J103-$G103+1)</f>
        <v/>
      </c>
      <c r="M103" s="8">
        <f>IF(OR($G103="",$J103=""),"",$J103-$G103)</f>
        <v/>
      </c>
      <c r="N103" s="9" t="n"/>
      <c r="O103" s="9" t="n"/>
      <c r="P103" s="9" t="n"/>
      <c r="Q103" s="9" t="n"/>
      <c r="R103" s="9" t="n"/>
      <c r="S103" s="9" t="n"/>
      <c r="T103" s="14" t="n"/>
      <c r="U103" s="9" t="n"/>
      <c r="V103" s="8">
        <f>IF($G103="","",IF($D103="","⚠部屋が未選択",IF(COUNTIF('M_部屋'!$A$4:$A$20,$D103)=0,"⚠部屋が未登録",IF(OR($J103="",$N103="キャンセル"),"",IF(SUMPRODUCT(($D$5:$D$204=$D103)*($G$5:$G$204&lt;&gt;"")*($J$5:$J$204&lt;&gt;"")*($N$5:$N$204&lt;&gt;"キャンセル")*($G$5:$G$204&lt;$J103)*($J$5:$J$204&gt;$G103))&gt;1,"⚠重複","")))))</f>
        <v/>
      </c>
      <c r="W103" s="8">
        <f>IF(OR($B103="",$G103=""),"",IF(SUMPRODUCT(('利用者マスタ'!$A$4:$A$60=$B103)*('利用者マスタ'!$B$4:$B$60&lt;&gt;""))=0,"",IF(SUMIFS($X$5:$X$204,$B$5:$B$204,$B103,$G$5:$G$204,"&gt;="&amp;DATE(YEAR($G103),MONTH($G103),1),$G$5:$G$204,"&lt;="&amp;EOMONTH($G103,0))&gt;SUMIFS('利用者マスタ'!$B$4:$B$60,'利用者マスタ'!$A$4:$A$60,$B103),"⚠支給量超過","")))</f>
        <v/>
      </c>
      <c r="X103" s="8">
        <f>IF(OR($G103="",$J103="",$N103="キャンセル"),0,IF(IFERROR(INDEX('M_区分'!$B$4:$B$20,MATCH($C103,'M_区分'!$A$4:$A$20,0)),"○")="○",$J103-$G103+1,0))</f>
        <v/>
      </c>
      <c r="Y103" s="8">
        <f>IF($E103&lt;&gt;"",$E103,$Y102)</f>
        <v/>
      </c>
      <c r="Z103" s="8">
        <f>IF(OR($G103="",$J103=""),"",IF(AND($G103&lt;=EOMONTH('02_カレンダー'!$B$4,0),$J103&gt;='02_カレンダー'!$B$4),$G103*10000+ROW(),""))</f>
        <v/>
      </c>
      <c r="AA103" s="8">
        <f>IF($H103="","",IF(ISNUMBER($H103),TEXT($H103,"hh:mm"),$H103))</f>
        <v/>
      </c>
      <c r="AB103" s="8">
        <f>IF($K103="","",IF(ISNUMBER($K103),TEXT($K103,"hh:mm"),$K103))</f>
        <v/>
      </c>
      <c r="AC103" s="8">
        <f>IF($G103="",0,$G103)</f>
        <v/>
      </c>
      <c r="AD103" s="8">
        <f>IF($J103="",0,$J103)</f>
        <v/>
      </c>
    </row>
    <row r="104">
      <c r="A104" s="8">
        <f>IF($G104="","","SS-"&amp;TEXT(ROW()-4,"0000"))</f>
        <v/>
      </c>
      <c r="B104" s="9" t="n"/>
      <c r="C104" s="9" t="n"/>
      <c r="D104" s="9" t="n"/>
      <c r="E104" s="10" t="n"/>
      <c r="F104" s="11" t="n"/>
      <c r="G104" s="12">
        <f>IF($F104="","",IF($F104&gt;31,$F104,IF($Y104="","",DATE(YEAR($Y104),MONTH($Y104),$F104))))</f>
        <v/>
      </c>
      <c r="H104" s="13" t="n"/>
      <c r="I104" s="11" t="n"/>
      <c r="J104" s="12">
        <f>IF($I104="","",IF($I104&gt;31,$I104,IF($G104="","",IF(DATE(YEAR($G104),MONTH($G104),$I104)&gt;=$G104,DATE(YEAR($G104),MONTH($G104),$I104),DATE(YEAR($G104),MONTH($G104)+1,$I104)))))</f>
        <v/>
      </c>
      <c r="K104" s="13" t="n"/>
      <c r="L104" s="8">
        <f>IF(OR($G104="",$J104=""),"",$J104-$G104+1)</f>
        <v/>
      </c>
      <c r="M104" s="8">
        <f>IF(OR($G104="",$J104=""),"",$J104-$G104)</f>
        <v/>
      </c>
      <c r="N104" s="9" t="n"/>
      <c r="O104" s="9" t="n"/>
      <c r="P104" s="9" t="n"/>
      <c r="Q104" s="9" t="n"/>
      <c r="R104" s="9" t="n"/>
      <c r="S104" s="9" t="n"/>
      <c r="T104" s="14" t="n"/>
      <c r="U104" s="9" t="n"/>
      <c r="V104" s="8">
        <f>IF($G104="","",IF($D104="","⚠部屋が未選択",IF(COUNTIF('M_部屋'!$A$4:$A$20,$D104)=0,"⚠部屋が未登録",IF(OR($J104="",$N104="キャンセル"),"",IF(SUMPRODUCT(($D$5:$D$204=$D104)*($G$5:$G$204&lt;&gt;"")*($J$5:$J$204&lt;&gt;"")*($N$5:$N$204&lt;&gt;"キャンセル")*($G$5:$G$204&lt;$J104)*($J$5:$J$204&gt;$G104))&gt;1,"⚠重複","")))))</f>
        <v/>
      </c>
      <c r="W104" s="8">
        <f>IF(OR($B104="",$G104=""),"",IF(SUMPRODUCT(('利用者マスタ'!$A$4:$A$60=$B104)*('利用者マスタ'!$B$4:$B$60&lt;&gt;""))=0,"",IF(SUMIFS($X$5:$X$204,$B$5:$B$204,$B104,$G$5:$G$204,"&gt;="&amp;DATE(YEAR($G104),MONTH($G104),1),$G$5:$G$204,"&lt;="&amp;EOMONTH($G104,0))&gt;SUMIFS('利用者マスタ'!$B$4:$B$60,'利用者マスタ'!$A$4:$A$60,$B104),"⚠支給量超過","")))</f>
        <v/>
      </c>
      <c r="X104" s="8">
        <f>IF(OR($G104="",$J104="",$N104="キャンセル"),0,IF(IFERROR(INDEX('M_区分'!$B$4:$B$20,MATCH($C104,'M_区分'!$A$4:$A$20,0)),"○")="○",$J104-$G104+1,0))</f>
        <v/>
      </c>
      <c r="Y104" s="8">
        <f>IF($E104&lt;&gt;"",$E104,$Y103)</f>
        <v/>
      </c>
      <c r="Z104" s="8">
        <f>IF(OR($G104="",$J104=""),"",IF(AND($G104&lt;=EOMONTH('02_カレンダー'!$B$4,0),$J104&gt;='02_カレンダー'!$B$4),$G104*10000+ROW(),""))</f>
        <v/>
      </c>
      <c r="AA104" s="8">
        <f>IF($H104="","",IF(ISNUMBER($H104),TEXT($H104,"hh:mm"),$H104))</f>
        <v/>
      </c>
      <c r="AB104" s="8">
        <f>IF($K104="","",IF(ISNUMBER($K104),TEXT($K104,"hh:mm"),$K104))</f>
        <v/>
      </c>
      <c r="AC104" s="8">
        <f>IF($G104="",0,$G104)</f>
        <v/>
      </c>
      <c r="AD104" s="8">
        <f>IF($J104="",0,$J104)</f>
        <v/>
      </c>
    </row>
    <row r="105">
      <c r="A105" s="8">
        <f>IF($G105="","","SS-"&amp;TEXT(ROW()-4,"0000"))</f>
        <v/>
      </c>
      <c r="B105" s="9" t="n"/>
      <c r="C105" s="9" t="n"/>
      <c r="D105" s="9" t="n"/>
      <c r="E105" s="10" t="n"/>
      <c r="F105" s="11" t="n"/>
      <c r="G105" s="12">
        <f>IF($F105="","",IF($F105&gt;31,$F105,IF($Y105="","",DATE(YEAR($Y105),MONTH($Y105),$F105))))</f>
        <v/>
      </c>
      <c r="H105" s="13" t="n"/>
      <c r="I105" s="11" t="n"/>
      <c r="J105" s="12">
        <f>IF($I105="","",IF($I105&gt;31,$I105,IF($G105="","",IF(DATE(YEAR($G105),MONTH($G105),$I105)&gt;=$G105,DATE(YEAR($G105),MONTH($G105),$I105),DATE(YEAR($G105),MONTH($G105)+1,$I105)))))</f>
        <v/>
      </c>
      <c r="K105" s="13" t="n"/>
      <c r="L105" s="8">
        <f>IF(OR($G105="",$J105=""),"",$J105-$G105+1)</f>
        <v/>
      </c>
      <c r="M105" s="8">
        <f>IF(OR($G105="",$J105=""),"",$J105-$G105)</f>
        <v/>
      </c>
      <c r="N105" s="9" t="n"/>
      <c r="O105" s="9" t="n"/>
      <c r="P105" s="9" t="n"/>
      <c r="Q105" s="9" t="n"/>
      <c r="R105" s="9" t="n"/>
      <c r="S105" s="9" t="n"/>
      <c r="T105" s="14" t="n"/>
      <c r="U105" s="9" t="n"/>
      <c r="V105" s="8">
        <f>IF($G105="","",IF($D105="","⚠部屋が未選択",IF(COUNTIF('M_部屋'!$A$4:$A$20,$D105)=0,"⚠部屋が未登録",IF(OR($J105="",$N105="キャンセル"),"",IF(SUMPRODUCT(($D$5:$D$204=$D105)*($G$5:$G$204&lt;&gt;"")*($J$5:$J$204&lt;&gt;"")*($N$5:$N$204&lt;&gt;"キャンセル")*($G$5:$G$204&lt;$J105)*($J$5:$J$204&gt;$G105))&gt;1,"⚠重複","")))))</f>
        <v/>
      </c>
      <c r="W105" s="8">
        <f>IF(OR($B105="",$G105=""),"",IF(SUMPRODUCT(('利用者マスタ'!$A$4:$A$60=$B105)*('利用者マスタ'!$B$4:$B$60&lt;&gt;""))=0,"",IF(SUMIFS($X$5:$X$204,$B$5:$B$204,$B105,$G$5:$G$204,"&gt;="&amp;DATE(YEAR($G105),MONTH($G105),1),$G$5:$G$204,"&lt;="&amp;EOMONTH($G105,0))&gt;SUMIFS('利用者マスタ'!$B$4:$B$60,'利用者マスタ'!$A$4:$A$60,$B105),"⚠支給量超過","")))</f>
        <v/>
      </c>
      <c r="X105" s="8">
        <f>IF(OR($G105="",$J105="",$N105="キャンセル"),0,IF(IFERROR(INDEX('M_区分'!$B$4:$B$20,MATCH($C105,'M_区分'!$A$4:$A$20,0)),"○")="○",$J105-$G105+1,0))</f>
        <v/>
      </c>
      <c r="Y105" s="8">
        <f>IF($E105&lt;&gt;"",$E105,$Y104)</f>
        <v/>
      </c>
      <c r="Z105" s="8">
        <f>IF(OR($G105="",$J105=""),"",IF(AND($G105&lt;=EOMONTH('02_カレンダー'!$B$4,0),$J105&gt;='02_カレンダー'!$B$4),$G105*10000+ROW(),""))</f>
        <v/>
      </c>
      <c r="AA105" s="8">
        <f>IF($H105="","",IF(ISNUMBER($H105),TEXT($H105,"hh:mm"),$H105))</f>
        <v/>
      </c>
      <c r="AB105" s="8">
        <f>IF($K105="","",IF(ISNUMBER($K105),TEXT($K105,"hh:mm"),$K105))</f>
        <v/>
      </c>
      <c r="AC105" s="8">
        <f>IF($G105="",0,$G105)</f>
        <v/>
      </c>
      <c r="AD105" s="8">
        <f>IF($J105="",0,$J105)</f>
        <v/>
      </c>
    </row>
    <row r="106">
      <c r="A106" s="8">
        <f>IF($G106="","","SS-"&amp;TEXT(ROW()-4,"0000"))</f>
        <v/>
      </c>
      <c r="B106" s="9" t="n"/>
      <c r="C106" s="9" t="n"/>
      <c r="D106" s="9" t="n"/>
      <c r="E106" s="10" t="n"/>
      <c r="F106" s="11" t="n"/>
      <c r="G106" s="12">
        <f>IF($F106="","",IF($F106&gt;31,$F106,IF($Y106="","",DATE(YEAR($Y106),MONTH($Y106),$F106))))</f>
        <v/>
      </c>
      <c r="H106" s="13" t="n"/>
      <c r="I106" s="11" t="n"/>
      <c r="J106" s="12">
        <f>IF($I106="","",IF($I106&gt;31,$I106,IF($G106="","",IF(DATE(YEAR($G106),MONTH($G106),$I106)&gt;=$G106,DATE(YEAR($G106),MONTH($G106),$I106),DATE(YEAR($G106),MONTH($G106)+1,$I106)))))</f>
        <v/>
      </c>
      <c r="K106" s="13" t="n"/>
      <c r="L106" s="8">
        <f>IF(OR($G106="",$J106=""),"",$J106-$G106+1)</f>
        <v/>
      </c>
      <c r="M106" s="8">
        <f>IF(OR($G106="",$J106=""),"",$J106-$G106)</f>
        <v/>
      </c>
      <c r="N106" s="9" t="n"/>
      <c r="O106" s="9" t="n"/>
      <c r="P106" s="9" t="n"/>
      <c r="Q106" s="9" t="n"/>
      <c r="R106" s="9" t="n"/>
      <c r="S106" s="9" t="n"/>
      <c r="T106" s="14" t="n"/>
      <c r="U106" s="9" t="n"/>
      <c r="V106" s="8">
        <f>IF($G106="","",IF($D106="","⚠部屋が未選択",IF(COUNTIF('M_部屋'!$A$4:$A$20,$D106)=0,"⚠部屋が未登録",IF(OR($J106="",$N106="キャンセル"),"",IF(SUMPRODUCT(($D$5:$D$204=$D106)*($G$5:$G$204&lt;&gt;"")*($J$5:$J$204&lt;&gt;"")*($N$5:$N$204&lt;&gt;"キャンセル")*($G$5:$G$204&lt;$J106)*($J$5:$J$204&gt;$G106))&gt;1,"⚠重複","")))))</f>
        <v/>
      </c>
      <c r="W106" s="8">
        <f>IF(OR($B106="",$G106=""),"",IF(SUMPRODUCT(('利用者マスタ'!$A$4:$A$60=$B106)*('利用者マスタ'!$B$4:$B$60&lt;&gt;""))=0,"",IF(SUMIFS($X$5:$X$204,$B$5:$B$204,$B106,$G$5:$G$204,"&gt;="&amp;DATE(YEAR($G106),MONTH($G106),1),$G$5:$G$204,"&lt;="&amp;EOMONTH($G106,0))&gt;SUMIFS('利用者マスタ'!$B$4:$B$60,'利用者マスタ'!$A$4:$A$60,$B106),"⚠支給量超過","")))</f>
        <v/>
      </c>
      <c r="X106" s="8">
        <f>IF(OR($G106="",$J106="",$N106="キャンセル"),0,IF(IFERROR(INDEX('M_区分'!$B$4:$B$20,MATCH($C106,'M_区分'!$A$4:$A$20,0)),"○")="○",$J106-$G106+1,0))</f>
        <v/>
      </c>
      <c r="Y106" s="8">
        <f>IF($E106&lt;&gt;"",$E106,$Y105)</f>
        <v/>
      </c>
      <c r="Z106" s="8">
        <f>IF(OR($G106="",$J106=""),"",IF(AND($G106&lt;=EOMONTH('02_カレンダー'!$B$4,0),$J106&gt;='02_カレンダー'!$B$4),$G106*10000+ROW(),""))</f>
        <v/>
      </c>
      <c r="AA106" s="8">
        <f>IF($H106="","",IF(ISNUMBER($H106),TEXT($H106,"hh:mm"),$H106))</f>
        <v/>
      </c>
      <c r="AB106" s="8">
        <f>IF($K106="","",IF(ISNUMBER($K106),TEXT($K106,"hh:mm"),$K106))</f>
        <v/>
      </c>
      <c r="AC106" s="8">
        <f>IF($G106="",0,$G106)</f>
        <v/>
      </c>
      <c r="AD106" s="8">
        <f>IF($J106="",0,$J106)</f>
        <v/>
      </c>
    </row>
    <row r="107">
      <c r="A107" s="8">
        <f>IF($G107="","","SS-"&amp;TEXT(ROW()-4,"0000"))</f>
        <v/>
      </c>
      <c r="B107" s="9" t="n"/>
      <c r="C107" s="9" t="n"/>
      <c r="D107" s="9" t="n"/>
      <c r="E107" s="10" t="n"/>
      <c r="F107" s="11" t="n"/>
      <c r="G107" s="12">
        <f>IF($F107="","",IF($F107&gt;31,$F107,IF($Y107="","",DATE(YEAR($Y107),MONTH($Y107),$F107))))</f>
        <v/>
      </c>
      <c r="H107" s="13" t="n"/>
      <c r="I107" s="11" t="n"/>
      <c r="J107" s="12">
        <f>IF($I107="","",IF($I107&gt;31,$I107,IF($G107="","",IF(DATE(YEAR($G107),MONTH($G107),$I107)&gt;=$G107,DATE(YEAR($G107),MONTH($G107),$I107),DATE(YEAR($G107),MONTH($G107)+1,$I107)))))</f>
        <v/>
      </c>
      <c r="K107" s="13" t="n"/>
      <c r="L107" s="8">
        <f>IF(OR($G107="",$J107=""),"",$J107-$G107+1)</f>
        <v/>
      </c>
      <c r="M107" s="8">
        <f>IF(OR($G107="",$J107=""),"",$J107-$G107)</f>
        <v/>
      </c>
      <c r="N107" s="9" t="n"/>
      <c r="O107" s="9" t="n"/>
      <c r="P107" s="9" t="n"/>
      <c r="Q107" s="9" t="n"/>
      <c r="R107" s="9" t="n"/>
      <c r="S107" s="9" t="n"/>
      <c r="T107" s="14" t="n"/>
      <c r="U107" s="9" t="n"/>
      <c r="V107" s="8">
        <f>IF($G107="","",IF($D107="","⚠部屋が未選択",IF(COUNTIF('M_部屋'!$A$4:$A$20,$D107)=0,"⚠部屋が未登録",IF(OR($J107="",$N107="キャンセル"),"",IF(SUMPRODUCT(($D$5:$D$204=$D107)*($G$5:$G$204&lt;&gt;"")*($J$5:$J$204&lt;&gt;"")*($N$5:$N$204&lt;&gt;"キャンセル")*($G$5:$G$204&lt;$J107)*($J$5:$J$204&gt;$G107))&gt;1,"⚠重複","")))))</f>
        <v/>
      </c>
      <c r="W107" s="8">
        <f>IF(OR($B107="",$G107=""),"",IF(SUMPRODUCT(('利用者マスタ'!$A$4:$A$60=$B107)*('利用者マスタ'!$B$4:$B$60&lt;&gt;""))=0,"",IF(SUMIFS($X$5:$X$204,$B$5:$B$204,$B107,$G$5:$G$204,"&gt;="&amp;DATE(YEAR($G107),MONTH($G107),1),$G$5:$G$204,"&lt;="&amp;EOMONTH($G107,0))&gt;SUMIFS('利用者マスタ'!$B$4:$B$60,'利用者マスタ'!$A$4:$A$60,$B107),"⚠支給量超過","")))</f>
        <v/>
      </c>
      <c r="X107" s="8">
        <f>IF(OR($G107="",$J107="",$N107="キャンセル"),0,IF(IFERROR(INDEX('M_区分'!$B$4:$B$20,MATCH($C107,'M_区分'!$A$4:$A$20,0)),"○")="○",$J107-$G107+1,0))</f>
        <v/>
      </c>
      <c r="Y107" s="8">
        <f>IF($E107&lt;&gt;"",$E107,$Y106)</f>
        <v/>
      </c>
      <c r="Z107" s="8">
        <f>IF(OR($G107="",$J107=""),"",IF(AND($G107&lt;=EOMONTH('02_カレンダー'!$B$4,0),$J107&gt;='02_カレンダー'!$B$4),$G107*10000+ROW(),""))</f>
        <v/>
      </c>
      <c r="AA107" s="8">
        <f>IF($H107="","",IF(ISNUMBER($H107),TEXT($H107,"hh:mm"),$H107))</f>
        <v/>
      </c>
      <c r="AB107" s="8">
        <f>IF($K107="","",IF(ISNUMBER($K107),TEXT($K107,"hh:mm"),$K107))</f>
        <v/>
      </c>
      <c r="AC107" s="8">
        <f>IF($G107="",0,$G107)</f>
        <v/>
      </c>
      <c r="AD107" s="8">
        <f>IF($J107="",0,$J107)</f>
        <v/>
      </c>
    </row>
    <row r="108">
      <c r="A108" s="8">
        <f>IF($G108="","","SS-"&amp;TEXT(ROW()-4,"0000"))</f>
        <v/>
      </c>
      <c r="B108" s="9" t="n"/>
      <c r="C108" s="9" t="n"/>
      <c r="D108" s="9" t="n"/>
      <c r="E108" s="10" t="n"/>
      <c r="F108" s="11" t="n"/>
      <c r="G108" s="12">
        <f>IF($F108="","",IF($F108&gt;31,$F108,IF($Y108="","",DATE(YEAR($Y108),MONTH($Y108),$F108))))</f>
        <v/>
      </c>
      <c r="H108" s="13" t="n"/>
      <c r="I108" s="11" t="n"/>
      <c r="J108" s="12">
        <f>IF($I108="","",IF($I108&gt;31,$I108,IF($G108="","",IF(DATE(YEAR($G108),MONTH($G108),$I108)&gt;=$G108,DATE(YEAR($G108),MONTH($G108),$I108),DATE(YEAR($G108),MONTH($G108)+1,$I108)))))</f>
        <v/>
      </c>
      <c r="K108" s="13" t="n"/>
      <c r="L108" s="8">
        <f>IF(OR($G108="",$J108=""),"",$J108-$G108+1)</f>
        <v/>
      </c>
      <c r="M108" s="8">
        <f>IF(OR($G108="",$J108=""),"",$J108-$G108)</f>
        <v/>
      </c>
      <c r="N108" s="9" t="n"/>
      <c r="O108" s="9" t="n"/>
      <c r="P108" s="9" t="n"/>
      <c r="Q108" s="9" t="n"/>
      <c r="R108" s="9" t="n"/>
      <c r="S108" s="9" t="n"/>
      <c r="T108" s="14" t="n"/>
      <c r="U108" s="9" t="n"/>
      <c r="V108" s="8">
        <f>IF($G108="","",IF($D108="","⚠部屋が未選択",IF(COUNTIF('M_部屋'!$A$4:$A$20,$D108)=0,"⚠部屋が未登録",IF(OR($J108="",$N108="キャンセル"),"",IF(SUMPRODUCT(($D$5:$D$204=$D108)*($G$5:$G$204&lt;&gt;"")*($J$5:$J$204&lt;&gt;"")*($N$5:$N$204&lt;&gt;"キャンセル")*($G$5:$G$204&lt;$J108)*($J$5:$J$204&gt;$G108))&gt;1,"⚠重複","")))))</f>
        <v/>
      </c>
      <c r="W108" s="8">
        <f>IF(OR($B108="",$G108=""),"",IF(SUMPRODUCT(('利用者マスタ'!$A$4:$A$60=$B108)*('利用者マスタ'!$B$4:$B$60&lt;&gt;""))=0,"",IF(SUMIFS($X$5:$X$204,$B$5:$B$204,$B108,$G$5:$G$204,"&gt;="&amp;DATE(YEAR($G108),MONTH($G108),1),$G$5:$G$204,"&lt;="&amp;EOMONTH($G108,0))&gt;SUMIFS('利用者マスタ'!$B$4:$B$60,'利用者マスタ'!$A$4:$A$60,$B108),"⚠支給量超過","")))</f>
        <v/>
      </c>
      <c r="X108" s="8">
        <f>IF(OR($G108="",$J108="",$N108="キャンセル"),0,IF(IFERROR(INDEX('M_区分'!$B$4:$B$20,MATCH($C108,'M_区分'!$A$4:$A$20,0)),"○")="○",$J108-$G108+1,0))</f>
        <v/>
      </c>
      <c r="Y108" s="8">
        <f>IF($E108&lt;&gt;"",$E108,$Y107)</f>
        <v/>
      </c>
      <c r="Z108" s="8">
        <f>IF(OR($G108="",$J108=""),"",IF(AND($G108&lt;=EOMONTH('02_カレンダー'!$B$4,0),$J108&gt;='02_カレンダー'!$B$4),$G108*10000+ROW(),""))</f>
        <v/>
      </c>
      <c r="AA108" s="8">
        <f>IF($H108="","",IF(ISNUMBER($H108),TEXT($H108,"hh:mm"),$H108))</f>
        <v/>
      </c>
      <c r="AB108" s="8">
        <f>IF($K108="","",IF(ISNUMBER($K108),TEXT($K108,"hh:mm"),$K108))</f>
        <v/>
      </c>
      <c r="AC108" s="8">
        <f>IF($G108="",0,$G108)</f>
        <v/>
      </c>
      <c r="AD108" s="8">
        <f>IF($J108="",0,$J108)</f>
        <v/>
      </c>
    </row>
    <row r="109">
      <c r="A109" s="8">
        <f>IF($G109="","","SS-"&amp;TEXT(ROW()-4,"0000"))</f>
        <v/>
      </c>
      <c r="B109" s="9" t="n"/>
      <c r="C109" s="9" t="n"/>
      <c r="D109" s="9" t="n"/>
      <c r="E109" s="10" t="n"/>
      <c r="F109" s="11" t="n"/>
      <c r="G109" s="12">
        <f>IF($F109="","",IF($F109&gt;31,$F109,IF($Y109="","",DATE(YEAR($Y109),MONTH($Y109),$F109))))</f>
        <v/>
      </c>
      <c r="H109" s="13" t="n"/>
      <c r="I109" s="11" t="n"/>
      <c r="J109" s="12">
        <f>IF($I109="","",IF($I109&gt;31,$I109,IF($G109="","",IF(DATE(YEAR($G109),MONTH($G109),$I109)&gt;=$G109,DATE(YEAR($G109),MONTH($G109),$I109),DATE(YEAR($G109),MONTH($G109)+1,$I109)))))</f>
        <v/>
      </c>
      <c r="K109" s="13" t="n"/>
      <c r="L109" s="8">
        <f>IF(OR($G109="",$J109=""),"",$J109-$G109+1)</f>
        <v/>
      </c>
      <c r="M109" s="8">
        <f>IF(OR($G109="",$J109=""),"",$J109-$G109)</f>
        <v/>
      </c>
      <c r="N109" s="9" t="n"/>
      <c r="O109" s="9" t="n"/>
      <c r="P109" s="9" t="n"/>
      <c r="Q109" s="9" t="n"/>
      <c r="R109" s="9" t="n"/>
      <c r="S109" s="9" t="n"/>
      <c r="T109" s="14" t="n"/>
      <c r="U109" s="9" t="n"/>
      <c r="V109" s="8">
        <f>IF($G109="","",IF($D109="","⚠部屋が未選択",IF(COUNTIF('M_部屋'!$A$4:$A$20,$D109)=0,"⚠部屋が未登録",IF(OR($J109="",$N109="キャンセル"),"",IF(SUMPRODUCT(($D$5:$D$204=$D109)*($G$5:$G$204&lt;&gt;"")*($J$5:$J$204&lt;&gt;"")*($N$5:$N$204&lt;&gt;"キャンセル")*($G$5:$G$204&lt;$J109)*($J$5:$J$204&gt;$G109))&gt;1,"⚠重複","")))))</f>
        <v/>
      </c>
      <c r="W109" s="8">
        <f>IF(OR($B109="",$G109=""),"",IF(SUMPRODUCT(('利用者マスタ'!$A$4:$A$60=$B109)*('利用者マスタ'!$B$4:$B$60&lt;&gt;""))=0,"",IF(SUMIFS($X$5:$X$204,$B$5:$B$204,$B109,$G$5:$G$204,"&gt;="&amp;DATE(YEAR($G109),MONTH($G109),1),$G$5:$G$204,"&lt;="&amp;EOMONTH($G109,0))&gt;SUMIFS('利用者マスタ'!$B$4:$B$60,'利用者マスタ'!$A$4:$A$60,$B109),"⚠支給量超過","")))</f>
        <v/>
      </c>
      <c r="X109" s="8">
        <f>IF(OR($G109="",$J109="",$N109="キャンセル"),0,IF(IFERROR(INDEX('M_区分'!$B$4:$B$20,MATCH($C109,'M_区分'!$A$4:$A$20,0)),"○")="○",$J109-$G109+1,0))</f>
        <v/>
      </c>
      <c r="Y109" s="8">
        <f>IF($E109&lt;&gt;"",$E109,$Y108)</f>
        <v/>
      </c>
      <c r="Z109" s="8">
        <f>IF(OR($G109="",$J109=""),"",IF(AND($G109&lt;=EOMONTH('02_カレンダー'!$B$4,0),$J109&gt;='02_カレンダー'!$B$4),$G109*10000+ROW(),""))</f>
        <v/>
      </c>
      <c r="AA109" s="8">
        <f>IF($H109="","",IF(ISNUMBER($H109),TEXT($H109,"hh:mm"),$H109))</f>
        <v/>
      </c>
      <c r="AB109" s="8">
        <f>IF($K109="","",IF(ISNUMBER($K109),TEXT($K109,"hh:mm"),$K109))</f>
        <v/>
      </c>
      <c r="AC109" s="8">
        <f>IF($G109="",0,$G109)</f>
        <v/>
      </c>
      <c r="AD109" s="8">
        <f>IF($J109="",0,$J109)</f>
        <v/>
      </c>
    </row>
    <row r="110">
      <c r="A110" s="8">
        <f>IF($G110="","","SS-"&amp;TEXT(ROW()-4,"0000"))</f>
        <v/>
      </c>
      <c r="B110" s="9" t="n"/>
      <c r="C110" s="9" t="n"/>
      <c r="D110" s="9" t="n"/>
      <c r="E110" s="10" t="n"/>
      <c r="F110" s="11" t="n"/>
      <c r="G110" s="12">
        <f>IF($F110="","",IF($F110&gt;31,$F110,IF($Y110="","",DATE(YEAR($Y110),MONTH($Y110),$F110))))</f>
        <v/>
      </c>
      <c r="H110" s="13" t="n"/>
      <c r="I110" s="11" t="n"/>
      <c r="J110" s="12">
        <f>IF($I110="","",IF($I110&gt;31,$I110,IF($G110="","",IF(DATE(YEAR($G110),MONTH($G110),$I110)&gt;=$G110,DATE(YEAR($G110),MONTH($G110),$I110),DATE(YEAR($G110),MONTH($G110)+1,$I110)))))</f>
        <v/>
      </c>
      <c r="K110" s="13" t="n"/>
      <c r="L110" s="8">
        <f>IF(OR($G110="",$J110=""),"",$J110-$G110+1)</f>
        <v/>
      </c>
      <c r="M110" s="8">
        <f>IF(OR($G110="",$J110=""),"",$J110-$G110)</f>
        <v/>
      </c>
      <c r="N110" s="9" t="n"/>
      <c r="O110" s="9" t="n"/>
      <c r="P110" s="9" t="n"/>
      <c r="Q110" s="9" t="n"/>
      <c r="R110" s="9" t="n"/>
      <c r="S110" s="9" t="n"/>
      <c r="T110" s="14" t="n"/>
      <c r="U110" s="9" t="n"/>
      <c r="V110" s="8">
        <f>IF($G110="","",IF($D110="","⚠部屋が未選択",IF(COUNTIF('M_部屋'!$A$4:$A$20,$D110)=0,"⚠部屋が未登録",IF(OR($J110="",$N110="キャンセル"),"",IF(SUMPRODUCT(($D$5:$D$204=$D110)*($G$5:$G$204&lt;&gt;"")*($J$5:$J$204&lt;&gt;"")*($N$5:$N$204&lt;&gt;"キャンセル")*($G$5:$G$204&lt;$J110)*($J$5:$J$204&gt;$G110))&gt;1,"⚠重複","")))))</f>
        <v/>
      </c>
      <c r="W110" s="8">
        <f>IF(OR($B110="",$G110=""),"",IF(SUMPRODUCT(('利用者マスタ'!$A$4:$A$60=$B110)*('利用者マスタ'!$B$4:$B$60&lt;&gt;""))=0,"",IF(SUMIFS($X$5:$X$204,$B$5:$B$204,$B110,$G$5:$G$204,"&gt;="&amp;DATE(YEAR($G110),MONTH($G110),1),$G$5:$G$204,"&lt;="&amp;EOMONTH($G110,0))&gt;SUMIFS('利用者マスタ'!$B$4:$B$60,'利用者マスタ'!$A$4:$A$60,$B110),"⚠支給量超過","")))</f>
        <v/>
      </c>
      <c r="X110" s="8">
        <f>IF(OR($G110="",$J110="",$N110="キャンセル"),0,IF(IFERROR(INDEX('M_区分'!$B$4:$B$20,MATCH($C110,'M_区分'!$A$4:$A$20,0)),"○")="○",$J110-$G110+1,0))</f>
        <v/>
      </c>
      <c r="Y110" s="8">
        <f>IF($E110&lt;&gt;"",$E110,$Y109)</f>
        <v/>
      </c>
      <c r="Z110" s="8">
        <f>IF(OR($G110="",$J110=""),"",IF(AND($G110&lt;=EOMONTH('02_カレンダー'!$B$4,0),$J110&gt;='02_カレンダー'!$B$4),$G110*10000+ROW(),""))</f>
        <v/>
      </c>
      <c r="AA110" s="8">
        <f>IF($H110="","",IF(ISNUMBER($H110),TEXT($H110,"hh:mm"),$H110))</f>
        <v/>
      </c>
      <c r="AB110" s="8">
        <f>IF($K110="","",IF(ISNUMBER($K110),TEXT($K110,"hh:mm"),$K110))</f>
        <v/>
      </c>
      <c r="AC110" s="8">
        <f>IF($G110="",0,$G110)</f>
        <v/>
      </c>
      <c r="AD110" s="8">
        <f>IF($J110="",0,$J110)</f>
        <v/>
      </c>
    </row>
    <row r="111">
      <c r="A111" s="8">
        <f>IF($G111="","","SS-"&amp;TEXT(ROW()-4,"0000"))</f>
        <v/>
      </c>
      <c r="B111" s="9" t="n"/>
      <c r="C111" s="9" t="n"/>
      <c r="D111" s="9" t="n"/>
      <c r="E111" s="10" t="n"/>
      <c r="F111" s="11" t="n"/>
      <c r="G111" s="12">
        <f>IF($F111="","",IF($F111&gt;31,$F111,IF($Y111="","",DATE(YEAR($Y111),MONTH($Y111),$F111))))</f>
        <v/>
      </c>
      <c r="H111" s="13" t="n"/>
      <c r="I111" s="11" t="n"/>
      <c r="J111" s="12">
        <f>IF($I111="","",IF($I111&gt;31,$I111,IF($G111="","",IF(DATE(YEAR($G111),MONTH($G111),$I111)&gt;=$G111,DATE(YEAR($G111),MONTH($G111),$I111),DATE(YEAR($G111),MONTH($G111)+1,$I111)))))</f>
        <v/>
      </c>
      <c r="K111" s="13" t="n"/>
      <c r="L111" s="8">
        <f>IF(OR($G111="",$J111=""),"",$J111-$G111+1)</f>
        <v/>
      </c>
      <c r="M111" s="8">
        <f>IF(OR($G111="",$J111=""),"",$J111-$G111)</f>
        <v/>
      </c>
      <c r="N111" s="9" t="n"/>
      <c r="O111" s="9" t="n"/>
      <c r="P111" s="9" t="n"/>
      <c r="Q111" s="9" t="n"/>
      <c r="R111" s="9" t="n"/>
      <c r="S111" s="9" t="n"/>
      <c r="T111" s="14" t="n"/>
      <c r="U111" s="9" t="n"/>
      <c r="V111" s="8">
        <f>IF($G111="","",IF($D111="","⚠部屋が未選択",IF(COUNTIF('M_部屋'!$A$4:$A$20,$D111)=0,"⚠部屋が未登録",IF(OR($J111="",$N111="キャンセル"),"",IF(SUMPRODUCT(($D$5:$D$204=$D111)*($G$5:$G$204&lt;&gt;"")*($J$5:$J$204&lt;&gt;"")*($N$5:$N$204&lt;&gt;"キャンセル")*($G$5:$G$204&lt;$J111)*($J$5:$J$204&gt;$G111))&gt;1,"⚠重複","")))))</f>
        <v/>
      </c>
      <c r="W111" s="8">
        <f>IF(OR($B111="",$G111=""),"",IF(SUMPRODUCT(('利用者マスタ'!$A$4:$A$60=$B111)*('利用者マスタ'!$B$4:$B$60&lt;&gt;""))=0,"",IF(SUMIFS($X$5:$X$204,$B$5:$B$204,$B111,$G$5:$G$204,"&gt;="&amp;DATE(YEAR($G111),MONTH($G111),1),$G$5:$G$204,"&lt;="&amp;EOMONTH($G111,0))&gt;SUMIFS('利用者マスタ'!$B$4:$B$60,'利用者マスタ'!$A$4:$A$60,$B111),"⚠支給量超過","")))</f>
        <v/>
      </c>
      <c r="X111" s="8">
        <f>IF(OR($G111="",$J111="",$N111="キャンセル"),0,IF(IFERROR(INDEX('M_区分'!$B$4:$B$20,MATCH($C111,'M_区分'!$A$4:$A$20,0)),"○")="○",$J111-$G111+1,0))</f>
        <v/>
      </c>
      <c r="Y111" s="8">
        <f>IF($E111&lt;&gt;"",$E111,$Y110)</f>
        <v/>
      </c>
      <c r="Z111" s="8">
        <f>IF(OR($G111="",$J111=""),"",IF(AND($G111&lt;=EOMONTH('02_カレンダー'!$B$4,0),$J111&gt;='02_カレンダー'!$B$4),$G111*10000+ROW(),""))</f>
        <v/>
      </c>
      <c r="AA111" s="8">
        <f>IF($H111="","",IF(ISNUMBER($H111),TEXT($H111,"hh:mm"),$H111))</f>
        <v/>
      </c>
      <c r="AB111" s="8">
        <f>IF($K111="","",IF(ISNUMBER($K111),TEXT($K111,"hh:mm"),$K111))</f>
        <v/>
      </c>
      <c r="AC111" s="8">
        <f>IF($G111="",0,$G111)</f>
        <v/>
      </c>
      <c r="AD111" s="8">
        <f>IF($J111="",0,$J111)</f>
        <v/>
      </c>
    </row>
    <row r="112">
      <c r="A112" s="8">
        <f>IF($G112="","","SS-"&amp;TEXT(ROW()-4,"0000"))</f>
        <v/>
      </c>
      <c r="B112" s="9" t="n"/>
      <c r="C112" s="9" t="n"/>
      <c r="D112" s="9" t="n"/>
      <c r="E112" s="10" t="n"/>
      <c r="F112" s="11" t="n"/>
      <c r="G112" s="12">
        <f>IF($F112="","",IF($F112&gt;31,$F112,IF($Y112="","",DATE(YEAR($Y112),MONTH($Y112),$F112))))</f>
        <v/>
      </c>
      <c r="H112" s="13" t="n"/>
      <c r="I112" s="11" t="n"/>
      <c r="J112" s="12">
        <f>IF($I112="","",IF($I112&gt;31,$I112,IF($G112="","",IF(DATE(YEAR($G112),MONTH($G112),$I112)&gt;=$G112,DATE(YEAR($G112),MONTH($G112),$I112),DATE(YEAR($G112),MONTH($G112)+1,$I112)))))</f>
        <v/>
      </c>
      <c r="K112" s="13" t="n"/>
      <c r="L112" s="8">
        <f>IF(OR($G112="",$J112=""),"",$J112-$G112+1)</f>
        <v/>
      </c>
      <c r="M112" s="8">
        <f>IF(OR($G112="",$J112=""),"",$J112-$G112)</f>
        <v/>
      </c>
      <c r="N112" s="9" t="n"/>
      <c r="O112" s="9" t="n"/>
      <c r="P112" s="9" t="n"/>
      <c r="Q112" s="9" t="n"/>
      <c r="R112" s="9" t="n"/>
      <c r="S112" s="9" t="n"/>
      <c r="T112" s="14" t="n"/>
      <c r="U112" s="9" t="n"/>
      <c r="V112" s="8">
        <f>IF($G112="","",IF($D112="","⚠部屋が未選択",IF(COUNTIF('M_部屋'!$A$4:$A$20,$D112)=0,"⚠部屋が未登録",IF(OR($J112="",$N112="キャンセル"),"",IF(SUMPRODUCT(($D$5:$D$204=$D112)*($G$5:$G$204&lt;&gt;"")*($J$5:$J$204&lt;&gt;"")*($N$5:$N$204&lt;&gt;"キャンセル")*($G$5:$G$204&lt;$J112)*($J$5:$J$204&gt;$G112))&gt;1,"⚠重複","")))))</f>
        <v/>
      </c>
      <c r="W112" s="8">
        <f>IF(OR($B112="",$G112=""),"",IF(SUMPRODUCT(('利用者マスタ'!$A$4:$A$60=$B112)*('利用者マスタ'!$B$4:$B$60&lt;&gt;""))=0,"",IF(SUMIFS($X$5:$X$204,$B$5:$B$204,$B112,$G$5:$G$204,"&gt;="&amp;DATE(YEAR($G112),MONTH($G112),1),$G$5:$G$204,"&lt;="&amp;EOMONTH($G112,0))&gt;SUMIFS('利用者マスタ'!$B$4:$B$60,'利用者マスタ'!$A$4:$A$60,$B112),"⚠支給量超過","")))</f>
        <v/>
      </c>
      <c r="X112" s="8">
        <f>IF(OR($G112="",$J112="",$N112="キャンセル"),0,IF(IFERROR(INDEX('M_区分'!$B$4:$B$20,MATCH($C112,'M_区分'!$A$4:$A$20,0)),"○")="○",$J112-$G112+1,0))</f>
        <v/>
      </c>
      <c r="Y112" s="8">
        <f>IF($E112&lt;&gt;"",$E112,$Y111)</f>
        <v/>
      </c>
      <c r="Z112" s="8">
        <f>IF(OR($G112="",$J112=""),"",IF(AND($G112&lt;=EOMONTH('02_カレンダー'!$B$4,0),$J112&gt;='02_カレンダー'!$B$4),$G112*10000+ROW(),""))</f>
        <v/>
      </c>
      <c r="AA112" s="8">
        <f>IF($H112="","",IF(ISNUMBER($H112),TEXT($H112,"hh:mm"),$H112))</f>
        <v/>
      </c>
      <c r="AB112" s="8">
        <f>IF($K112="","",IF(ISNUMBER($K112),TEXT($K112,"hh:mm"),$K112))</f>
        <v/>
      </c>
      <c r="AC112" s="8">
        <f>IF($G112="",0,$G112)</f>
        <v/>
      </c>
      <c r="AD112" s="8">
        <f>IF($J112="",0,$J112)</f>
        <v/>
      </c>
    </row>
    <row r="113">
      <c r="A113" s="8">
        <f>IF($G113="","","SS-"&amp;TEXT(ROW()-4,"0000"))</f>
        <v/>
      </c>
      <c r="B113" s="9" t="n"/>
      <c r="C113" s="9" t="n"/>
      <c r="D113" s="9" t="n"/>
      <c r="E113" s="10" t="n"/>
      <c r="F113" s="11" t="n"/>
      <c r="G113" s="12">
        <f>IF($F113="","",IF($F113&gt;31,$F113,IF($Y113="","",DATE(YEAR($Y113),MONTH($Y113),$F113))))</f>
        <v/>
      </c>
      <c r="H113" s="13" t="n"/>
      <c r="I113" s="11" t="n"/>
      <c r="J113" s="12">
        <f>IF($I113="","",IF($I113&gt;31,$I113,IF($G113="","",IF(DATE(YEAR($G113),MONTH($G113),$I113)&gt;=$G113,DATE(YEAR($G113),MONTH($G113),$I113),DATE(YEAR($G113),MONTH($G113)+1,$I113)))))</f>
        <v/>
      </c>
      <c r="K113" s="13" t="n"/>
      <c r="L113" s="8">
        <f>IF(OR($G113="",$J113=""),"",$J113-$G113+1)</f>
        <v/>
      </c>
      <c r="M113" s="8">
        <f>IF(OR($G113="",$J113=""),"",$J113-$G113)</f>
        <v/>
      </c>
      <c r="N113" s="9" t="n"/>
      <c r="O113" s="9" t="n"/>
      <c r="P113" s="9" t="n"/>
      <c r="Q113" s="9" t="n"/>
      <c r="R113" s="9" t="n"/>
      <c r="S113" s="9" t="n"/>
      <c r="T113" s="14" t="n"/>
      <c r="U113" s="9" t="n"/>
      <c r="V113" s="8">
        <f>IF($G113="","",IF($D113="","⚠部屋が未選択",IF(COUNTIF('M_部屋'!$A$4:$A$20,$D113)=0,"⚠部屋が未登録",IF(OR($J113="",$N113="キャンセル"),"",IF(SUMPRODUCT(($D$5:$D$204=$D113)*($G$5:$G$204&lt;&gt;"")*($J$5:$J$204&lt;&gt;"")*($N$5:$N$204&lt;&gt;"キャンセル")*($G$5:$G$204&lt;$J113)*($J$5:$J$204&gt;$G113))&gt;1,"⚠重複","")))))</f>
        <v/>
      </c>
      <c r="W113" s="8">
        <f>IF(OR($B113="",$G113=""),"",IF(SUMPRODUCT(('利用者マスタ'!$A$4:$A$60=$B113)*('利用者マスタ'!$B$4:$B$60&lt;&gt;""))=0,"",IF(SUMIFS($X$5:$X$204,$B$5:$B$204,$B113,$G$5:$G$204,"&gt;="&amp;DATE(YEAR($G113),MONTH($G113),1),$G$5:$G$204,"&lt;="&amp;EOMONTH($G113,0))&gt;SUMIFS('利用者マスタ'!$B$4:$B$60,'利用者マスタ'!$A$4:$A$60,$B113),"⚠支給量超過","")))</f>
        <v/>
      </c>
      <c r="X113" s="8">
        <f>IF(OR($G113="",$J113="",$N113="キャンセル"),0,IF(IFERROR(INDEX('M_区分'!$B$4:$B$20,MATCH($C113,'M_区分'!$A$4:$A$20,0)),"○")="○",$J113-$G113+1,0))</f>
        <v/>
      </c>
      <c r="Y113" s="8">
        <f>IF($E113&lt;&gt;"",$E113,$Y112)</f>
        <v/>
      </c>
      <c r="Z113" s="8">
        <f>IF(OR($G113="",$J113=""),"",IF(AND($G113&lt;=EOMONTH('02_カレンダー'!$B$4,0),$J113&gt;='02_カレンダー'!$B$4),$G113*10000+ROW(),""))</f>
        <v/>
      </c>
      <c r="AA113" s="8">
        <f>IF($H113="","",IF(ISNUMBER($H113),TEXT($H113,"hh:mm"),$H113))</f>
        <v/>
      </c>
      <c r="AB113" s="8">
        <f>IF($K113="","",IF(ISNUMBER($K113),TEXT($K113,"hh:mm"),$K113))</f>
        <v/>
      </c>
      <c r="AC113" s="8">
        <f>IF($G113="",0,$G113)</f>
        <v/>
      </c>
      <c r="AD113" s="8">
        <f>IF($J113="",0,$J113)</f>
        <v/>
      </c>
    </row>
    <row r="114">
      <c r="A114" s="8">
        <f>IF($G114="","","SS-"&amp;TEXT(ROW()-4,"0000"))</f>
        <v/>
      </c>
      <c r="B114" s="9" t="n"/>
      <c r="C114" s="9" t="n"/>
      <c r="D114" s="9" t="n"/>
      <c r="E114" s="10" t="n"/>
      <c r="F114" s="11" t="n"/>
      <c r="G114" s="12">
        <f>IF($F114="","",IF($F114&gt;31,$F114,IF($Y114="","",DATE(YEAR($Y114),MONTH($Y114),$F114))))</f>
        <v/>
      </c>
      <c r="H114" s="13" t="n"/>
      <c r="I114" s="11" t="n"/>
      <c r="J114" s="12">
        <f>IF($I114="","",IF($I114&gt;31,$I114,IF($G114="","",IF(DATE(YEAR($G114),MONTH($G114),$I114)&gt;=$G114,DATE(YEAR($G114),MONTH($G114),$I114),DATE(YEAR($G114),MONTH($G114)+1,$I114)))))</f>
        <v/>
      </c>
      <c r="K114" s="13" t="n"/>
      <c r="L114" s="8">
        <f>IF(OR($G114="",$J114=""),"",$J114-$G114+1)</f>
        <v/>
      </c>
      <c r="M114" s="8">
        <f>IF(OR($G114="",$J114=""),"",$J114-$G114)</f>
        <v/>
      </c>
      <c r="N114" s="9" t="n"/>
      <c r="O114" s="9" t="n"/>
      <c r="P114" s="9" t="n"/>
      <c r="Q114" s="9" t="n"/>
      <c r="R114" s="9" t="n"/>
      <c r="S114" s="9" t="n"/>
      <c r="T114" s="14" t="n"/>
      <c r="U114" s="9" t="n"/>
      <c r="V114" s="8">
        <f>IF($G114="","",IF($D114="","⚠部屋が未選択",IF(COUNTIF('M_部屋'!$A$4:$A$20,$D114)=0,"⚠部屋が未登録",IF(OR($J114="",$N114="キャンセル"),"",IF(SUMPRODUCT(($D$5:$D$204=$D114)*($G$5:$G$204&lt;&gt;"")*($J$5:$J$204&lt;&gt;"")*($N$5:$N$204&lt;&gt;"キャンセル")*($G$5:$G$204&lt;$J114)*($J$5:$J$204&gt;$G114))&gt;1,"⚠重複","")))))</f>
        <v/>
      </c>
      <c r="W114" s="8">
        <f>IF(OR($B114="",$G114=""),"",IF(SUMPRODUCT(('利用者マスタ'!$A$4:$A$60=$B114)*('利用者マスタ'!$B$4:$B$60&lt;&gt;""))=0,"",IF(SUMIFS($X$5:$X$204,$B$5:$B$204,$B114,$G$5:$G$204,"&gt;="&amp;DATE(YEAR($G114),MONTH($G114),1),$G$5:$G$204,"&lt;="&amp;EOMONTH($G114,0))&gt;SUMIFS('利用者マスタ'!$B$4:$B$60,'利用者マスタ'!$A$4:$A$60,$B114),"⚠支給量超過","")))</f>
        <v/>
      </c>
      <c r="X114" s="8">
        <f>IF(OR($G114="",$J114="",$N114="キャンセル"),0,IF(IFERROR(INDEX('M_区分'!$B$4:$B$20,MATCH($C114,'M_区分'!$A$4:$A$20,0)),"○")="○",$J114-$G114+1,0))</f>
        <v/>
      </c>
      <c r="Y114" s="8">
        <f>IF($E114&lt;&gt;"",$E114,$Y113)</f>
        <v/>
      </c>
      <c r="Z114" s="8">
        <f>IF(OR($G114="",$J114=""),"",IF(AND($G114&lt;=EOMONTH('02_カレンダー'!$B$4,0),$J114&gt;='02_カレンダー'!$B$4),$G114*10000+ROW(),""))</f>
        <v/>
      </c>
      <c r="AA114" s="8">
        <f>IF($H114="","",IF(ISNUMBER($H114),TEXT($H114,"hh:mm"),$H114))</f>
        <v/>
      </c>
      <c r="AB114" s="8">
        <f>IF($K114="","",IF(ISNUMBER($K114),TEXT($K114,"hh:mm"),$K114))</f>
        <v/>
      </c>
      <c r="AC114" s="8">
        <f>IF($G114="",0,$G114)</f>
        <v/>
      </c>
      <c r="AD114" s="8">
        <f>IF($J114="",0,$J114)</f>
        <v/>
      </c>
    </row>
    <row r="115">
      <c r="A115" s="8">
        <f>IF($G115="","","SS-"&amp;TEXT(ROW()-4,"0000"))</f>
        <v/>
      </c>
      <c r="B115" s="9" t="n"/>
      <c r="C115" s="9" t="n"/>
      <c r="D115" s="9" t="n"/>
      <c r="E115" s="10" t="n"/>
      <c r="F115" s="11" t="n"/>
      <c r="G115" s="12">
        <f>IF($F115="","",IF($F115&gt;31,$F115,IF($Y115="","",DATE(YEAR($Y115),MONTH($Y115),$F115))))</f>
        <v/>
      </c>
      <c r="H115" s="13" t="n"/>
      <c r="I115" s="11" t="n"/>
      <c r="J115" s="12">
        <f>IF($I115="","",IF($I115&gt;31,$I115,IF($G115="","",IF(DATE(YEAR($G115),MONTH($G115),$I115)&gt;=$G115,DATE(YEAR($G115),MONTH($G115),$I115),DATE(YEAR($G115),MONTH($G115)+1,$I115)))))</f>
        <v/>
      </c>
      <c r="K115" s="13" t="n"/>
      <c r="L115" s="8">
        <f>IF(OR($G115="",$J115=""),"",$J115-$G115+1)</f>
        <v/>
      </c>
      <c r="M115" s="8">
        <f>IF(OR($G115="",$J115=""),"",$J115-$G115)</f>
        <v/>
      </c>
      <c r="N115" s="9" t="n"/>
      <c r="O115" s="9" t="n"/>
      <c r="P115" s="9" t="n"/>
      <c r="Q115" s="9" t="n"/>
      <c r="R115" s="9" t="n"/>
      <c r="S115" s="9" t="n"/>
      <c r="T115" s="14" t="n"/>
      <c r="U115" s="9" t="n"/>
      <c r="V115" s="8">
        <f>IF($G115="","",IF($D115="","⚠部屋が未選択",IF(COUNTIF('M_部屋'!$A$4:$A$20,$D115)=0,"⚠部屋が未登録",IF(OR($J115="",$N115="キャンセル"),"",IF(SUMPRODUCT(($D$5:$D$204=$D115)*($G$5:$G$204&lt;&gt;"")*($J$5:$J$204&lt;&gt;"")*($N$5:$N$204&lt;&gt;"キャンセル")*($G$5:$G$204&lt;$J115)*($J$5:$J$204&gt;$G115))&gt;1,"⚠重複","")))))</f>
        <v/>
      </c>
      <c r="W115" s="8">
        <f>IF(OR($B115="",$G115=""),"",IF(SUMPRODUCT(('利用者マスタ'!$A$4:$A$60=$B115)*('利用者マスタ'!$B$4:$B$60&lt;&gt;""))=0,"",IF(SUMIFS($X$5:$X$204,$B$5:$B$204,$B115,$G$5:$G$204,"&gt;="&amp;DATE(YEAR($G115),MONTH($G115),1),$G$5:$G$204,"&lt;="&amp;EOMONTH($G115,0))&gt;SUMIFS('利用者マスタ'!$B$4:$B$60,'利用者マスタ'!$A$4:$A$60,$B115),"⚠支給量超過","")))</f>
        <v/>
      </c>
      <c r="X115" s="8">
        <f>IF(OR($G115="",$J115="",$N115="キャンセル"),0,IF(IFERROR(INDEX('M_区分'!$B$4:$B$20,MATCH($C115,'M_区分'!$A$4:$A$20,0)),"○")="○",$J115-$G115+1,0))</f>
        <v/>
      </c>
      <c r="Y115" s="8">
        <f>IF($E115&lt;&gt;"",$E115,$Y114)</f>
        <v/>
      </c>
      <c r="Z115" s="8">
        <f>IF(OR($G115="",$J115=""),"",IF(AND($G115&lt;=EOMONTH('02_カレンダー'!$B$4,0),$J115&gt;='02_カレンダー'!$B$4),$G115*10000+ROW(),""))</f>
        <v/>
      </c>
      <c r="AA115" s="8">
        <f>IF($H115="","",IF(ISNUMBER($H115),TEXT($H115,"hh:mm"),$H115))</f>
        <v/>
      </c>
      <c r="AB115" s="8">
        <f>IF($K115="","",IF(ISNUMBER($K115),TEXT($K115,"hh:mm"),$K115))</f>
        <v/>
      </c>
      <c r="AC115" s="8">
        <f>IF($G115="",0,$G115)</f>
        <v/>
      </c>
      <c r="AD115" s="8">
        <f>IF($J115="",0,$J115)</f>
        <v/>
      </c>
    </row>
    <row r="116">
      <c r="A116" s="8">
        <f>IF($G116="","","SS-"&amp;TEXT(ROW()-4,"0000"))</f>
        <v/>
      </c>
      <c r="B116" s="9" t="n"/>
      <c r="C116" s="9" t="n"/>
      <c r="D116" s="9" t="n"/>
      <c r="E116" s="10" t="n"/>
      <c r="F116" s="11" t="n"/>
      <c r="G116" s="12">
        <f>IF($F116="","",IF($F116&gt;31,$F116,IF($Y116="","",DATE(YEAR($Y116),MONTH($Y116),$F116))))</f>
        <v/>
      </c>
      <c r="H116" s="13" t="n"/>
      <c r="I116" s="11" t="n"/>
      <c r="J116" s="12">
        <f>IF($I116="","",IF($I116&gt;31,$I116,IF($G116="","",IF(DATE(YEAR($G116),MONTH($G116),$I116)&gt;=$G116,DATE(YEAR($G116),MONTH($G116),$I116),DATE(YEAR($G116),MONTH($G116)+1,$I116)))))</f>
        <v/>
      </c>
      <c r="K116" s="13" t="n"/>
      <c r="L116" s="8">
        <f>IF(OR($G116="",$J116=""),"",$J116-$G116+1)</f>
        <v/>
      </c>
      <c r="M116" s="8">
        <f>IF(OR($G116="",$J116=""),"",$J116-$G116)</f>
        <v/>
      </c>
      <c r="N116" s="9" t="n"/>
      <c r="O116" s="9" t="n"/>
      <c r="P116" s="9" t="n"/>
      <c r="Q116" s="9" t="n"/>
      <c r="R116" s="9" t="n"/>
      <c r="S116" s="9" t="n"/>
      <c r="T116" s="14" t="n"/>
      <c r="U116" s="9" t="n"/>
      <c r="V116" s="8">
        <f>IF($G116="","",IF($D116="","⚠部屋が未選択",IF(COUNTIF('M_部屋'!$A$4:$A$20,$D116)=0,"⚠部屋が未登録",IF(OR($J116="",$N116="キャンセル"),"",IF(SUMPRODUCT(($D$5:$D$204=$D116)*($G$5:$G$204&lt;&gt;"")*($J$5:$J$204&lt;&gt;"")*($N$5:$N$204&lt;&gt;"キャンセル")*($G$5:$G$204&lt;$J116)*($J$5:$J$204&gt;$G116))&gt;1,"⚠重複","")))))</f>
        <v/>
      </c>
      <c r="W116" s="8">
        <f>IF(OR($B116="",$G116=""),"",IF(SUMPRODUCT(('利用者マスタ'!$A$4:$A$60=$B116)*('利用者マスタ'!$B$4:$B$60&lt;&gt;""))=0,"",IF(SUMIFS($X$5:$X$204,$B$5:$B$204,$B116,$G$5:$G$204,"&gt;="&amp;DATE(YEAR($G116),MONTH($G116),1),$G$5:$G$204,"&lt;="&amp;EOMONTH($G116,0))&gt;SUMIFS('利用者マスタ'!$B$4:$B$60,'利用者マスタ'!$A$4:$A$60,$B116),"⚠支給量超過","")))</f>
        <v/>
      </c>
      <c r="X116" s="8">
        <f>IF(OR($G116="",$J116="",$N116="キャンセル"),0,IF(IFERROR(INDEX('M_区分'!$B$4:$B$20,MATCH($C116,'M_区分'!$A$4:$A$20,0)),"○")="○",$J116-$G116+1,0))</f>
        <v/>
      </c>
      <c r="Y116" s="8">
        <f>IF($E116&lt;&gt;"",$E116,$Y115)</f>
        <v/>
      </c>
      <c r="Z116" s="8">
        <f>IF(OR($G116="",$J116=""),"",IF(AND($G116&lt;=EOMONTH('02_カレンダー'!$B$4,0),$J116&gt;='02_カレンダー'!$B$4),$G116*10000+ROW(),""))</f>
        <v/>
      </c>
      <c r="AA116" s="8">
        <f>IF($H116="","",IF(ISNUMBER($H116),TEXT($H116,"hh:mm"),$H116))</f>
        <v/>
      </c>
      <c r="AB116" s="8">
        <f>IF($K116="","",IF(ISNUMBER($K116),TEXT($K116,"hh:mm"),$K116))</f>
        <v/>
      </c>
      <c r="AC116" s="8">
        <f>IF($G116="",0,$G116)</f>
        <v/>
      </c>
      <c r="AD116" s="8">
        <f>IF($J116="",0,$J116)</f>
        <v/>
      </c>
    </row>
    <row r="117">
      <c r="A117" s="8">
        <f>IF($G117="","","SS-"&amp;TEXT(ROW()-4,"0000"))</f>
        <v/>
      </c>
      <c r="B117" s="9" t="n"/>
      <c r="C117" s="9" t="n"/>
      <c r="D117" s="9" t="n"/>
      <c r="E117" s="10" t="n"/>
      <c r="F117" s="11" t="n"/>
      <c r="G117" s="12">
        <f>IF($F117="","",IF($F117&gt;31,$F117,IF($Y117="","",DATE(YEAR($Y117),MONTH($Y117),$F117))))</f>
        <v/>
      </c>
      <c r="H117" s="13" t="n"/>
      <c r="I117" s="11" t="n"/>
      <c r="J117" s="12">
        <f>IF($I117="","",IF($I117&gt;31,$I117,IF($G117="","",IF(DATE(YEAR($G117),MONTH($G117),$I117)&gt;=$G117,DATE(YEAR($G117),MONTH($G117),$I117),DATE(YEAR($G117),MONTH($G117)+1,$I117)))))</f>
        <v/>
      </c>
      <c r="K117" s="13" t="n"/>
      <c r="L117" s="8">
        <f>IF(OR($G117="",$J117=""),"",$J117-$G117+1)</f>
        <v/>
      </c>
      <c r="M117" s="8">
        <f>IF(OR($G117="",$J117=""),"",$J117-$G117)</f>
        <v/>
      </c>
      <c r="N117" s="9" t="n"/>
      <c r="O117" s="9" t="n"/>
      <c r="P117" s="9" t="n"/>
      <c r="Q117" s="9" t="n"/>
      <c r="R117" s="9" t="n"/>
      <c r="S117" s="9" t="n"/>
      <c r="T117" s="14" t="n"/>
      <c r="U117" s="9" t="n"/>
      <c r="V117" s="8">
        <f>IF($G117="","",IF($D117="","⚠部屋が未選択",IF(COUNTIF('M_部屋'!$A$4:$A$20,$D117)=0,"⚠部屋が未登録",IF(OR($J117="",$N117="キャンセル"),"",IF(SUMPRODUCT(($D$5:$D$204=$D117)*($G$5:$G$204&lt;&gt;"")*($J$5:$J$204&lt;&gt;"")*($N$5:$N$204&lt;&gt;"キャンセル")*($G$5:$G$204&lt;$J117)*($J$5:$J$204&gt;$G117))&gt;1,"⚠重複","")))))</f>
        <v/>
      </c>
      <c r="W117" s="8">
        <f>IF(OR($B117="",$G117=""),"",IF(SUMPRODUCT(('利用者マスタ'!$A$4:$A$60=$B117)*('利用者マスタ'!$B$4:$B$60&lt;&gt;""))=0,"",IF(SUMIFS($X$5:$X$204,$B$5:$B$204,$B117,$G$5:$G$204,"&gt;="&amp;DATE(YEAR($G117),MONTH($G117),1),$G$5:$G$204,"&lt;="&amp;EOMONTH($G117,0))&gt;SUMIFS('利用者マスタ'!$B$4:$B$60,'利用者マスタ'!$A$4:$A$60,$B117),"⚠支給量超過","")))</f>
        <v/>
      </c>
      <c r="X117" s="8">
        <f>IF(OR($G117="",$J117="",$N117="キャンセル"),0,IF(IFERROR(INDEX('M_区分'!$B$4:$B$20,MATCH($C117,'M_区分'!$A$4:$A$20,0)),"○")="○",$J117-$G117+1,0))</f>
        <v/>
      </c>
      <c r="Y117" s="8">
        <f>IF($E117&lt;&gt;"",$E117,$Y116)</f>
        <v/>
      </c>
      <c r="Z117" s="8">
        <f>IF(OR($G117="",$J117=""),"",IF(AND($G117&lt;=EOMONTH('02_カレンダー'!$B$4,0),$J117&gt;='02_カレンダー'!$B$4),$G117*10000+ROW(),""))</f>
        <v/>
      </c>
      <c r="AA117" s="8">
        <f>IF($H117="","",IF(ISNUMBER($H117),TEXT($H117,"hh:mm"),$H117))</f>
        <v/>
      </c>
      <c r="AB117" s="8">
        <f>IF($K117="","",IF(ISNUMBER($K117),TEXT($K117,"hh:mm"),$K117))</f>
        <v/>
      </c>
      <c r="AC117" s="8">
        <f>IF($G117="",0,$G117)</f>
        <v/>
      </c>
      <c r="AD117" s="8">
        <f>IF($J117="",0,$J117)</f>
        <v/>
      </c>
    </row>
    <row r="118">
      <c r="A118" s="8">
        <f>IF($G118="","","SS-"&amp;TEXT(ROW()-4,"0000"))</f>
        <v/>
      </c>
      <c r="B118" s="9" t="n"/>
      <c r="C118" s="9" t="n"/>
      <c r="D118" s="9" t="n"/>
      <c r="E118" s="10" t="n"/>
      <c r="F118" s="11" t="n"/>
      <c r="G118" s="12">
        <f>IF($F118="","",IF($F118&gt;31,$F118,IF($Y118="","",DATE(YEAR($Y118),MONTH($Y118),$F118))))</f>
        <v/>
      </c>
      <c r="H118" s="13" t="n"/>
      <c r="I118" s="11" t="n"/>
      <c r="J118" s="12">
        <f>IF($I118="","",IF($I118&gt;31,$I118,IF($G118="","",IF(DATE(YEAR($G118),MONTH($G118),$I118)&gt;=$G118,DATE(YEAR($G118),MONTH($G118),$I118),DATE(YEAR($G118),MONTH($G118)+1,$I118)))))</f>
        <v/>
      </c>
      <c r="K118" s="13" t="n"/>
      <c r="L118" s="8">
        <f>IF(OR($G118="",$J118=""),"",$J118-$G118+1)</f>
        <v/>
      </c>
      <c r="M118" s="8">
        <f>IF(OR($G118="",$J118=""),"",$J118-$G118)</f>
        <v/>
      </c>
      <c r="N118" s="9" t="n"/>
      <c r="O118" s="9" t="n"/>
      <c r="P118" s="9" t="n"/>
      <c r="Q118" s="9" t="n"/>
      <c r="R118" s="9" t="n"/>
      <c r="S118" s="9" t="n"/>
      <c r="T118" s="14" t="n"/>
      <c r="U118" s="9" t="n"/>
      <c r="V118" s="8">
        <f>IF($G118="","",IF($D118="","⚠部屋が未選択",IF(COUNTIF('M_部屋'!$A$4:$A$20,$D118)=0,"⚠部屋が未登録",IF(OR($J118="",$N118="キャンセル"),"",IF(SUMPRODUCT(($D$5:$D$204=$D118)*($G$5:$G$204&lt;&gt;"")*($J$5:$J$204&lt;&gt;"")*($N$5:$N$204&lt;&gt;"キャンセル")*($G$5:$G$204&lt;$J118)*($J$5:$J$204&gt;$G118))&gt;1,"⚠重複","")))))</f>
        <v/>
      </c>
      <c r="W118" s="8">
        <f>IF(OR($B118="",$G118=""),"",IF(SUMPRODUCT(('利用者マスタ'!$A$4:$A$60=$B118)*('利用者マスタ'!$B$4:$B$60&lt;&gt;""))=0,"",IF(SUMIFS($X$5:$X$204,$B$5:$B$204,$B118,$G$5:$G$204,"&gt;="&amp;DATE(YEAR($G118),MONTH($G118),1),$G$5:$G$204,"&lt;="&amp;EOMONTH($G118,0))&gt;SUMIFS('利用者マスタ'!$B$4:$B$60,'利用者マスタ'!$A$4:$A$60,$B118),"⚠支給量超過","")))</f>
        <v/>
      </c>
      <c r="X118" s="8">
        <f>IF(OR($G118="",$J118="",$N118="キャンセル"),0,IF(IFERROR(INDEX('M_区分'!$B$4:$B$20,MATCH($C118,'M_区分'!$A$4:$A$20,0)),"○")="○",$J118-$G118+1,0))</f>
        <v/>
      </c>
      <c r="Y118" s="8">
        <f>IF($E118&lt;&gt;"",$E118,$Y117)</f>
        <v/>
      </c>
      <c r="Z118" s="8">
        <f>IF(OR($G118="",$J118=""),"",IF(AND($G118&lt;=EOMONTH('02_カレンダー'!$B$4,0),$J118&gt;='02_カレンダー'!$B$4),$G118*10000+ROW(),""))</f>
        <v/>
      </c>
      <c r="AA118" s="8">
        <f>IF($H118="","",IF(ISNUMBER($H118),TEXT($H118,"hh:mm"),$H118))</f>
        <v/>
      </c>
      <c r="AB118" s="8">
        <f>IF($K118="","",IF(ISNUMBER($K118),TEXT($K118,"hh:mm"),$K118))</f>
        <v/>
      </c>
      <c r="AC118" s="8">
        <f>IF($G118="",0,$G118)</f>
        <v/>
      </c>
      <c r="AD118" s="8">
        <f>IF($J118="",0,$J118)</f>
        <v/>
      </c>
    </row>
    <row r="119">
      <c r="A119" s="8">
        <f>IF($G119="","","SS-"&amp;TEXT(ROW()-4,"0000"))</f>
        <v/>
      </c>
      <c r="B119" s="9" t="n"/>
      <c r="C119" s="9" t="n"/>
      <c r="D119" s="9" t="n"/>
      <c r="E119" s="10" t="n"/>
      <c r="F119" s="11" t="n"/>
      <c r="G119" s="12">
        <f>IF($F119="","",IF($F119&gt;31,$F119,IF($Y119="","",DATE(YEAR($Y119),MONTH($Y119),$F119))))</f>
        <v/>
      </c>
      <c r="H119" s="13" t="n"/>
      <c r="I119" s="11" t="n"/>
      <c r="J119" s="12">
        <f>IF($I119="","",IF($I119&gt;31,$I119,IF($G119="","",IF(DATE(YEAR($G119),MONTH($G119),$I119)&gt;=$G119,DATE(YEAR($G119),MONTH($G119),$I119),DATE(YEAR($G119),MONTH($G119)+1,$I119)))))</f>
        <v/>
      </c>
      <c r="K119" s="13" t="n"/>
      <c r="L119" s="8">
        <f>IF(OR($G119="",$J119=""),"",$J119-$G119+1)</f>
        <v/>
      </c>
      <c r="M119" s="8">
        <f>IF(OR($G119="",$J119=""),"",$J119-$G119)</f>
        <v/>
      </c>
      <c r="N119" s="9" t="n"/>
      <c r="O119" s="9" t="n"/>
      <c r="P119" s="9" t="n"/>
      <c r="Q119" s="9" t="n"/>
      <c r="R119" s="9" t="n"/>
      <c r="S119" s="9" t="n"/>
      <c r="T119" s="14" t="n"/>
      <c r="U119" s="9" t="n"/>
      <c r="V119" s="8">
        <f>IF($G119="","",IF($D119="","⚠部屋が未選択",IF(COUNTIF('M_部屋'!$A$4:$A$20,$D119)=0,"⚠部屋が未登録",IF(OR($J119="",$N119="キャンセル"),"",IF(SUMPRODUCT(($D$5:$D$204=$D119)*($G$5:$G$204&lt;&gt;"")*($J$5:$J$204&lt;&gt;"")*($N$5:$N$204&lt;&gt;"キャンセル")*($G$5:$G$204&lt;$J119)*($J$5:$J$204&gt;$G119))&gt;1,"⚠重複","")))))</f>
        <v/>
      </c>
      <c r="W119" s="8">
        <f>IF(OR($B119="",$G119=""),"",IF(SUMPRODUCT(('利用者マスタ'!$A$4:$A$60=$B119)*('利用者マスタ'!$B$4:$B$60&lt;&gt;""))=0,"",IF(SUMIFS($X$5:$X$204,$B$5:$B$204,$B119,$G$5:$G$204,"&gt;="&amp;DATE(YEAR($G119),MONTH($G119),1),$G$5:$G$204,"&lt;="&amp;EOMONTH($G119,0))&gt;SUMIFS('利用者マスタ'!$B$4:$B$60,'利用者マスタ'!$A$4:$A$60,$B119),"⚠支給量超過","")))</f>
        <v/>
      </c>
      <c r="X119" s="8">
        <f>IF(OR($G119="",$J119="",$N119="キャンセル"),0,IF(IFERROR(INDEX('M_区分'!$B$4:$B$20,MATCH($C119,'M_区分'!$A$4:$A$20,0)),"○")="○",$J119-$G119+1,0))</f>
        <v/>
      </c>
      <c r="Y119" s="8">
        <f>IF($E119&lt;&gt;"",$E119,$Y118)</f>
        <v/>
      </c>
      <c r="Z119" s="8">
        <f>IF(OR($G119="",$J119=""),"",IF(AND($G119&lt;=EOMONTH('02_カレンダー'!$B$4,0),$J119&gt;='02_カレンダー'!$B$4),$G119*10000+ROW(),""))</f>
        <v/>
      </c>
      <c r="AA119" s="8">
        <f>IF($H119="","",IF(ISNUMBER($H119),TEXT($H119,"hh:mm"),$H119))</f>
        <v/>
      </c>
      <c r="AB119" s="8">
        <f>IF($K119="","",IF(ISNUMBER($K119),TEXT($K119,"hh:mm"),$K119))</f>
        <v/>
      </c>
      <c r="AC119" s="8">
        <f>IF($G119="",0,$G119)</f>
        <v/>
      </c>
      <c r="AD119" s="8">
        <f>IF($J119="",0,$J119)</f>
        <v/>
      </c>
    </row>
    <row r="120">
      <c r="A120" s="8">
        <f>IF($G120="","","SS-"&amp;TEXT(ROW()-4,"0000"))</f>
        <v/>
      </c>
      <c r="B120" s="9" t="n"/>
      <c r="C120" s="9" t="n"/>
      <c r="D120" s="9" t="n"/>
      <c r="E120" s="10" t="n"/>
      <c r="F120" s="11" t="n"/>
      <c r="G120" s="12">
        <f>IF($F120="","",IF($F120&gt;31,$F120,IF($Y120="","",DATE(YEAR($Y120),MONTH($Y120),$F120))))</f>
        <v/>
      </c>
      <c r="H120" s="13" t="n"/>
      <c r="I120" s="11" t="n"/>
      <c r="J120" s="12">
        <f>IF($I120="","",IF($I120&gt;31,$I120,IF($G120="","",IF(DATE(YEAR($G120),MONTH($G120),$I120)&gt;=$G120,DATE(YEAR($G120),MONTH($G120),$I120),DATE(YEAR($G120),MONTH($G120)+1,$I120)))))</f>
        <v/>
      </c>
      <c r="K120" s="13" t="n"/>
      <c r="L120" s="8">
        <f>IF(OR($G120="",$J120=""),"",$J120-$G120+1)</f>
        <v/>
      </c>
      <c r="M120" s="8">
        <f>IF(OR($G120="",$J120=""),"",$J120-$G120)</f>
        <v/>
      </c>
      <c r="N120" s="9" t="n"/>
      <c r="O120" s="9" t="n"/>
      <c r="P120" s="9" t="n"/>
      <c r="Q120" s="9" t="n"/>
      <c r="R120" s="9" t="n"/>
      <c r="S120" s="9" t="n"/>
      <c r="T120" s="14" t="n"/>
      <c r="U120" s="9" t="n"/>
      <c r="V120" s="8">
        <f>IF($G120="","",IF($D120="","⚠部屋が未選択",IF(COUNTIF('M_部屋'!$A$4:$A$20,$D120)=0,"⚠部屋が未登録",IF(OR($J120="",$N120="キャンセル"),"",IF(SUMPRODUCT(($D$5:$D$204=$D120)*($G$5:$G$204&lt;&gt;"")*($J$5:$J$204&lt;&gt;"")*($N$5:$N$204&lt;&gt;"キャンセル")*($G$5:$G$204&lt;$J120)*($J$5:$J$204&gt;$G120))&gt;1,"⚠重複","")))))</f>
        <v/>
      </c>
      <c r="W120" s="8">
        <f>IF(OR($B120="",$G120=""),"",IF(SUMPRODUCT(('利用者マスタ'!$A$4:$A$60=$B120)*('利用者マスタ'!$B$4:$B$60&lt;&gt;""))=0,"",IF(SUMIFS($X$5:$X$204,$B$5:$B$204,$B120,$G$5:$G$204,"&gt;="&amp;DATE(YEAR($G120),MONTH($G120),1),$G$5:$G$204,"&lt;="&amp;EOMONTH($G120,0))&gt;SUMIFS('利用者マスタ'!$B$4:$B$60,'利用者マスタ'!$A$4:$A$60,$B120),"⚠支給量超過","")))</f>
        <v/>
      </c>
      <c r="X120" s="8">
        <f>IF(OR($G120="",$J120="",$N120="キャンセル"),0,IF(IFERROR(INDEX('M_区分'!$B$4:$B$20,MATCH($C120,'M_区分'!$A$4:$A$20,0)),"○")="○",$J120-$G120+1,0))</f>
        <v/>
      </c>
      <c r="Y120" s="8">
        <f>IF($E120&lt;&gt;"",$E120,$Y119)</f>
        <v/>
      </c>
      <c r="Z120" s="8">
        <f>IF(OR($G120="",$J120=""),"",IF(AND($G120&lt;=EOMONTH('02_カレンダー'!$B$4,0),$J120&gt;='02_カレンダー'!$B$4),$G120*10000+ROW(),""))</f>
        <v/>
      </c>
      <c r="AA120" s="8">
        <f>IF($H120="","",IF(ISNUMBER($H120),TEXT($H120,"hh:mm"),$H120))</f>
        <v/>
      </c>
      <c r="AB120" s="8">
        <f>IF($K120="","",IF(ISNUMBER($K120),TEXT($K120,"hh:mm"),$K120))</f>
        <v/>
      </c>
      <c r="AC120" s="8">
        <f>IF($G120="",0,$G120)</f>
        <v/>
      </c>
      <c r="AD120" s="8">
        <f>IF($J120="",0,$J120)</f>
        <v/>
      </c>
    </row>
    <row r="121">
      <c r="A121" s="8">
        <f>IF($G121="","","SS-"&amp;TEXT(ROW()-4,"0000"))</f>
        <v/>
      </c>
      <c r="B121" s="9" t="n"/>
      <c r="C121" s="9" t="n"/>
      <c r="D121" s="9" t="n"/>
      <c r="E121" s="10" t="n"/>
      <c r="F121" s="11" t="n"/>
      <c r="G121" s="12">
        <f>IF($F121="","",IF($F121&gt;31,$F121,IF($Y121="","",DATE(YEAR($Y121),MONTH($Y121),$F121))))</f>
        <v/>
      </c>
      <c r="H121" s="13" t="n"/>
      <c r="I121" s="11" t="n"/>
      <c r="J121" s="12">
        <f>IF($I121="","",IF($I121&gt;31,$I121,IF($G121="","",IF(DATE(YEAR($G121),MONTH($G121),$I121)&gt;=$G121,DATE(YEAR($G121),MONTH($G121),$I121),DATE(YEAR($G121),MONTH($G121)+1,$I121)))))</f>
        <v/>
      </c>
      <c r="K121" s="13" t="n"/>
      <c r="L121" s="8">
        <f>IF(OR($G121="",$J121=""),"",$J121-$G121+1)</f>
        <v/>
      </c>
      <c r="M121" s="8">
        <f>IF(OR($G121="",$J121=""),"",$J121-$G121)</f>
        <v/>
      </c>
      <c r="N121" s="9" t="n"/>
      <c r="O121" s="9" t="n"/>
      <c r="P121" s="9" t="n"/>
      <c r="Q121" s="9" t="n"/>
      <c r="R121" s="9" t="n"/>
      <c r="S121" s="9" t="n"/>
      <c r="T121" s="14" t="n"/>
      <c r="U121" s="9" t="n"/>
      <c r="V121" s="8">
        <f>IF($G121="","",IF($D121="","⚠部屋が未選択",IF(COUNTIF('M_部屋'!$A$4:$A$20,$D121)=0,"⚠部屋が未登録",IF(OR($J121="",$N121="キャンセル"),"",IF(SUMPRODUCT(($D$5:$D$204=$D121)*($G$5:$G$204&lt;&gt;"")*($J$5:$J$204&lt;&gt;"")*($N$5:$N$204&lt;&gt;"キャンセル")*($G$5:$G$204&lt;$J121)*($J$5:$J$204&gt;$G121))&gt;1,"⚠重複","")))))</f>
        <v/>
      </c>
      <c r="W121" s="8">
        <f>IF(OR($B121="",$G121=""),"",IF(SUMPRODUCT(('利用者マスタ'!$A$4:$A$60=$B121)*('利用者マスタ'!$B$4:$B$60&lt;&gt;""))=0,"",IF(SUMIFS($X$5:$X$204,$B$5:$B$204,$B121,$G$5:$G$204,"&gt;="&amp;DATE(YEAR($G121),MONTH($G121),1),$G$5:$G$204,"&lt;="&amp;EOMONTH($G121,0))&gt;SUMIFS('利用者マスタ'!$B$4:$B$60,'利用者マスタ'!$A$4:$A$60,$B121),"⚠支給量超過","")))</f>
        <v/>
      </c>
      <c r="X121" s="8">
        <f>IF(OR($G121="",$J121="",$N121="キャンセル"),0,IF(IFERROR(INDEX('M_区分'!$B$4:$B$20,MATCH($C121,'M_区分'!$A$4:$A$20,0)),"○")="○",$J121-$G121+1,0))</f>
        <v/>
      </c>
      <c r="Y121" s="8">
        <f>IF($E121&lt;&gt;"",$E121,$Y120)</f>
        <v/>
      </c>
      <c r="Z121" s="8">
        <f>IF(OR($G121="",$J121=""),"",IF(AND($G121&lt;=EOMONTH('02_カレンダー'!$B$4,0),$J121&gt;='02_カレンダー'!$B$4),$G121*10000+ROW(),""))</f>
        <v/>
      </c>
      <c r="AA121" s="8">
        <f>IF($H121="","",IF(ISNUMBER($H121),TEXT($H121,"hh:mm"),$H121))</f>
        <v/>
      </c>
      <c r="AB121" s="8">
        <f>IF($K121="","",IF(ISNUMBER($K121),TEXT($K121,"hh:mm"),$K121))</f>
        <v/>
      </c>
      <c r="AC121" s="8">
        <f>IF($G121="",0,$G121)</f>
        <v/>
      </c>
      <c r="AD121" s="8">
        <f>IF($J121="",0,$J121)</f>
        <v/>
      </c>
    </row>
    <row r="122">
      <c r="A122" s="8">
        <f>IF($G122="","","SS-"&amp;TEXT(ROW()-4,"0000"))</f>
        <v/>
      </c>
      <c r="B122" s="9" t="n"/>
      <c r="C122" s="9" t="n"/>
      <c r="D122" s="9" t="n"/>
      <c r="E122" s="10" t="n"/>
      <c r="F122" s="11" t="n"/>
      <c r="G122" s="12">
        <f>IF($F122="","",IF($F122&gt;31,$F122,IF($Y122="","",DATE(YEAR($Y122),MONTH($Y122),$F122))))</f>
        <v/>
      </c>
      <c r="H122" s="13" t="n"/>
      <c r="I122" s="11" t="n"/>
      <c r="J122" s="12">
        <f>IF($I122="","",IF($I122&gt;31,$I122,IF($G122="","",IF(DATE(YEAR($G122),MONTH($G122),$I122)&gt;=$G122,DATE(YEAR($G122),MONTH($G122),$I122),DATE(YEAR($G122),MONTH($G122)+1,$I122)))))</f>
        <v/>
      </c>
      <c r="K122" s="13" t="n"/>
      <c r="L122" s="8">
        <f>IF(OR($G122="",$J122=""),"",$J122-$G122+1)</f>
        <v/>
      </c>
      <c r="M122" s="8">
        <f>IF(OR($G122="",$J122=""),"",$J122-$G122)</f>
        <v/>
      </c>
      <c r="N122" s="9" t="n"/>
      <c r="O122" s="9" t="n"/>
      <c r="P122" s="9" t="n"/>
      <c r="Q122" s="9" t="n"/>
      <c r="R122" s="9" t="n"/>
      <c r="S122" s="9" t="n"/>
      <c r="T122" s="14" t="n"/>
      <c r="U122" s="9" t="n"/>
      <c r="V122" s="8">
        <f>IF($G122="","",IF($D122="","⚠部屋が未選択",IF(COUNTIF('M_部屋'!$A$4:$A$20,$D122)=0,"⚠部屋が未登録",IF(OR($J122="",$N122="キャンセル"),"",IF(SUMPRODUCT(($D$5:$D$204=$D122)*($G$5:$G$204&lt;&gt;"")*($J$5:$J$204&lt;&gt;"")*($N$5:$N$204&lt;&gt;"キャンセル")*($G$5:$G$204&lt;$J122)*($J$5:$J$204&gt;$G122))&gt;1,"⚠重複","")))))</f>
        <v/>
      </c>
      <c r="W122" s="8">
        <f>IF(OR($B122="",$G122=""),"",IF(SUMPRODUCT(('利用者マスタ'!$A$4:$A$60=$B122)*('利用者マスタ'!$B$4:$B$60&lt;&gt;""))=0,"",IF(SUMIFS($X$5:$X$204,$B$5:$B$204,$B122,$G$5:$G$204,"&gt;="&amp;DATE(YEAR($G122),MONTH($G122),1),$G$5:$G$204,"&lt;="&amp;EOMONTH($G122,0))&gt;SUMIFS('利用者マスタ'!$B$4:$B$60,'利用者マスタ'!$A$4:$A$60,$B122),"⚠支給量超過","")))</f>
        <v/>
      </c>
      <c r="X122" s="8">
        <f>IF(OR($G122="",$J122="",$N122="キャンセル"),0,IF(IFERROR(INDEX('M_区分'!$B$4:$B$20,MATCH($C122,'M_区分'!$A$4:$A$20,0)),"○")="○",$J122-$G122+1,0))</f>
        <v/>
      </c>
      <c r="Y122" s="8">
        <f>IF($E122&lt;&gt;"",$E122,$Y121)</f>
        <v/>
      </c>
      <c r="Z122" s="8">
        <f>IF(OR($G122="",$J122=""),"",IF(AND($G122&lt;=EOMONTH('02_カレンダー'!$B$4,0),$J122&gt;='02_カレンダー'!$B$4),$G122*10000+ROW(),""))</f>
        <v/>
      </c>
      <c r="AA122" s="8">
        <f>IF($H122="","",IF(ISNUMBER($H122),TEXT($H122,"hh:mm"),$H122))</f>
        <v/>
      </c>
      <c r="AB122" s="8">
        <f>IF($K122="","",IF(ISNUMBER($K122),TEXT($K122,"hh:mm"),$K122))</f>
        <v/>
      </c>
      <c r="AC122" s="8">
        <f>IF($G122="",0,$G122)</f>
        <v/>
      </c>
      <c r="AD122" s="8">
        <f>IF($J122="",0,$J122)</f>
        <v/>
      </c>
    </row>
    <row r="123">
      <c r="A123" s="8">
        <f>IF($G123="","","SS-"&amp;TEXT(ROW()-4,"0000"))</f>
        <v/>
      </c>
      <c r="B123" s="9" t="n"/>
      <c r="C123" s="9" t="n"/>
      <c r="D123" s="9" t="n"/>
      <c r="E123" s="10" t="n"/>
      <c r="F123" s="11" t="n"/>
      <c r="G123" s="12">
        <f>IF($F123="","",IF($F123&gt;31,$F123,IF($Y123="","",DATE(YEAR($Y123),MONTH($Y123),$F123))))</f>
        <v/>
      </c>
      <c r="H123" s="13" t="n"/>
      <c r="I123" s="11" t="n"/>
      <c r="J123" s="12">
        <f>IF($I123="","",IF($I123&gt;31,$I123,IF($G123="","",IF(DATE(YEAR($G123),MONTH($G123),$I123)&gt;=$G123,DATE(YEAR($G123),MONTH($G123),$I123),DATE(YEAR($G123),MONTH($G123)+1,$I123)))))</f>
        <v/>
      </c>
      <c r="K123" s="13" t="n"/>
      <c r="L123" s="8">
        <f>IF(OR($G123="",$J123=""),"",$J123-$G123+1)</f>
        <v/>
      </c>
      <c r="M123" s="8">
        <f>IF(OR($G123="",$J123=""),"",$J123-$G123)</f>
        <v/>
      </c>
      <c r="N123" s="9" t="n"/>
      <c r="O123" s="9" t="n"/>
      <c r="P123" s="9" t="n"/>
      <c r="Q123" s="9" t="n"/>
      <c r="R123" s="9" t="n"/>
      <c r="S123" s="9" t="n"/>
      <c r="T123" s="14" t="n"/>
      <c r="U123" s="9" t="n"/>
      <c r="V123" s="8">
        <f>IF($G123="","",IF($D123="","⚠部屋が未選択",IF(COUNTIF('M_部屋'!$A$4:$A$20,$D123)=0,"⚠部屋が未登録",IF(OR($J123="",$N123="キャンセル"),"",IF(SUMPRODUCT(($D$5:$D$204=$D123)*($G$5:$G$204&lt;&gt;"")*($J$5:$J$204&lt;&gt;"")*($N$5:$N$204&lt;&gt;"キャンセル")*($G$5:$G$204&lt;$J123)*($J$5:$J$204&gt;$G123))&gt;1,"⚠重複","")))))</f>
        <v/>
      </c>
      <c r="W123" s="8">
        <f>IF(OR($B123="",$G123=""),"",IF(SUMPRODUCT(('利用者マスタ'!$A$4:$A$60=$B123)*('利用者マスタ'!$B$4:$B$60&lt;&gt;""))=0,"",IF(SUMIFS($X$5:$X$204,$B$5:$B$204,$B123,$G$5:$G$204,"&gt;="&amp;DATE(YEAR($G123),MONTH($G123),1),$G$5:$G$204,"&lt;="&amp;EOMONTH($G123,0))&gt;SUMIFS('利用者マスタ'!$B$4:$B$60,'利用者マスタ'!$A$4:$A$60,$B123),"⚠支給量超過","")))</f>
        <v/>
      </c>
      <c r="X123" s="8">
        <f>IF(OR($G123="",$J123="",$N123="キャンセル"),0,IF(IFERROR(INDEX('M_区分'!$B$4:$B$20,MATCH($C123,'M_区分'!$A$4:$A$20,0)),"○")="○",$J123-$G123+1,0))</f>
        <v/>
      </c>
      <c r="Y123" s="8">
        <f>IF($E123&lt;&gt;"",$E123,$Y122)</f>
        <v/>
      </c>
      <c r="Z123" s="8">
        <f>IF(OR($G123="",$J123=""),"",IF(AND($G123&lt;=EOMONTH('02_カレンダー'!$B$4,0),$J123&gt;='02_カレンダー'!$B$4),$G123*10000+ROW(),""))</f>
        <v/>
      </c>
      <c r="AA123" s="8">
        <f>IF($H123="","",IF(ISNUMBER($H123),TEXT($H123,"hh:mm"),$H123))</f>
        <v/>
      </c>
      <c r="AB123" s="8">
        <f>IF($K123="","",IF(ISNUMBER($K123),TEXT($K123,"hh:mm"),$K123))</f>
        <v/>
      </c>
      <c r="AC123" s="8">
        <f>IF($G123="",0,$G123)</f>
        <v/>
      </c>
      <c r="AD123" s="8">
        <f>IF($J123="",0,$J123)</f>
        <v/>
      </c>
    </row>
    <row r="124">
      <c r="A124" s="8">
        <f>IF($G124="","","SS-"&amp;TEXT(ROW()-4,"0000"))</f>
        <v/>
      </c>
      <c r="B124" s="9" t="n"/>
      <c r="C124" s="9" t="n"/>
      <c r="D124" s="9" t="n"/>
      <c r="E124" s="10" t="n"/>
      <c r="F124" s="11" t="n"/>
      <c r="G124" s="12">
        <f>IF($F124="","",IF($F124&gt;31,$F124,IF($Y124="","",DATE(YEAR($Y124),MONTH($Y124),$F124))))</f>
        <v/>
      </c>
      <c r="H124" s="13" t="n"/>
      <c r="I124" s="11" t="n"/>
      <c r="J124" s="12">
        <f>IF($I124="","",IF($I124&gt;31,$I124,IF($G124="","",IF(DATE(YEAR($G124),MONTH($G124),$I124)&gt;=$G124,DATE(YEAR($G124),MONTH($G124),$I124),DATE(YEAR($G124),MONTH($G124)+1,$I124)))))</f>
        <v/>
      </c>
      <c r="K124" s="13" t="n"/>
      <c r="L124" s="8">
        <f>IF(OR($G124="",$J124=""),"",$J124-$G124+1)</f>
        <v/>
      </c>
      <c r="M124" s="8">
        <f>IF(OR($G124="",$J124=""),"",$J124-$G124)</f>
        <v/>
      </c>
      <c r="N124" s="9" t="n"/>
      <c r="O124" s="9" t="n"/>
      <c r="P124" s="9" t="n"/>
      <c r="Q124" s="9" t="n"/>
      <c r="R124" s="9" t="n"/>
      <c r="S124" s="9" t="n"/>
      <c r="T124" s="14" t="n"/>
      <c r="U124" s="9" t="n"/>
      <c r="V124" s="8">
        <f>IF($G124="","",IF($D124="","⚠部屋が未選択",IF(COUNTIF('M_部屋'!$A$4:$A$20,$D124)=0,"⚠部屋が未登録",IF(OR($J124="",$N124="キャンセル"),"",IF(SUMPRODUCT(($D$5:$D$204=$D124)*($G$5:$G$204&lt;&gt;"")*($J$5:$J$204&lt;&gt;"")*($N$5:$N$204&lt;&gt;"キャンセル")*($G$5:$G$204&lt;$J124)*($J$5:$J$204&gt;$G124))&gt;1,"⚠重複","")))))</f>
        <v/>
      </c>
      <c r="W124" s="8">
        <f>IF(OR($B124="",$G124=""),"",IF(SUMPRODUCT(('利用者マスタ'!$A$4:$A$60=$B124)*('利用者マスタ'!$B$4:$B$60&lt;&gt;""))=0,"",IF(SUMIFS($X$5:$X$204,$B$5:$B$204,$B124,$G$5:$G$204,"&gt;="&amp;DATE(YEAR($G124),MONTH($G124),1),$G$5:$G$204,"&lt;="&amp;EOMONTH($G124,0))&gt;SUMIFS('利用者マスタ'!$B$4:$B$60,'利用者マスタ'!$A$4:$A$60,$B124),"⚠支給量超過","")))</f>
        <v/>
      </c>
      <c r="X124" s="8">
        <f>IF(OR($G124="",$J124="",$N124="キャンセル"),0,IF(IFERROR(INDEX('M_区分'!$B$4:$B$20,MATCH($C124,'M_区分'!$A$4:$A$20,0)),"○")="○",$J124-$G124+1,0))</f>
        <v/>
      </c>
      <c r="Y124" s="8">
        <f>IF($E124&lt;&gt;"",$E124,$Y123)</f>
        <v/>
      </c>
      <c r="Z124" s="8">
        <f>IF(OR($G124="",$J124=""),"",IF(AND($G124&lt;=EOMONTH('02_カレンダー'!$B$4,0),$J124&gt;='02_カレンダー'!$B$4),$G124*10000+ROW(),""))</f>
        <v/>
      </c>
      <c r="AA124" s="8">
        <f>IF($H124="","",IF(ISNUMBER($H124),TEXT($H124,"hh:mm"),$H124))</f>
        <v/>
      </c>
      <c r="AB124" s="8">
        <f>IF($K124="","",IF(ISNUMBER($K124),TEXT($K124,"hh:mm"),$K124))</f>
        <v/>
      </c>
      <c r="AC124" s="8">
        <f>IF($G124="",0,$G124)</f>
        <v/>
      </c>
      <c r="AD124" s="8">
        <f>IF($J124="",0,$J124)</f>
        <v/>
      </c>
    </row>
    <row r="125">
      <c r="A125" s="8">
        <f>IF($G125="","","SS-"&amp;TEXT(ROW()-4,"0000"))</f>
        <v/>
      </c>
      <c r="B125" s="9" t="n"/>
      <c r="C125" s="9" t="n"/>
      <c r="D125" s="9" t="n"/>
      <c r="E125" s="10" t="n"/>
      <c r="F125" s="11" t="n"/>
      <c r="G125" s="12">
        <f>IF($F125="","",IF($F125&gt;31,$F125,IF($Y125="","",DATE(YEAR($Y125),MONTH($Y125),$F125))))</f>
        <v/>
      </c>
      <c r="H125" s="13" t="n"/>
      <c r="I125" s="11" t="n"/>
      <c r="J125" s="12">
        <f>IF($I125="","",IF($I125&gt;31,$I125,IF($G125="","",IF(DATE(YEAR($G125),MONTH($G125),$I125)&gt;=$G125,DATE(YEAR($G125),MONTH($G125),$I125),DATE(YEAR($G125),MONTH($G125)+1,$I125)))))</f>
        <v/>
      </c>
      <c r="K125" s="13" t="n"/>
      <c r="L125" s="8">
        <f>IF(OR($G125="",$J125=""),"",$J125-$G125+1)</f>
        <v/>
      </c>
      <c r="M125" s="8">
        <f>IF(OR($G125="",$J125=""),"",$J125-$G125)</f>
        <v/>
      </c>
      <c r="N125" s="9" t="n"/>
      <c r="O125" s="9" t="n"/>
      <c r="P125" s="9" t="n"/>
      <c r="Q125" s="9" t="n"/>
      <c r="R125" s="9" t="n"/>
      <c r="S125" s="9" t="n"/>
      <c r="T125" s="14" t="n"/>
      <c r="U125" s="9" t="n"/>
      <c r="V125" s="8">
        <f>IF($G125="","",IF($D125="","⚠部屋が未選択",IF(COUNTIF('M_部屋'!$A$4:$A$20,$D125)=0,"⚠部屋が未登録",IF(OR($J125="",$N125="キャンセル"),"",IF(SUMPRODUCT(($D$5:$D$204=$D125)*($G$5:$G$204&lt;&gt;"")*($J$5:$J$204&lt;&gt;"")*($N$5:$N$204&lt;&gt;"キャンセル")*($G$5:$G$204&lt;$J125)*($J$5:$J$204&gt;$G125))&gt;1,"⚠重複","")))))</f>
        <v/>
      </c>
      <c r="W125" s="8">
        <f>IF(OR($B125="",$G125=""),"",IF(SUMPRODUCT(('利用者マスタ'!$A$4:$A$60=$B125)*('利用者マスタ'!$B$4:$B$60&lt;&gt;""))=0,"",IF(SUMIFS($X$5:$X$204,$B$5:$B$204,$B125,$G$5:$G$204,"&gt;="&amp;DATE(YEAR($G125),MONTH($G125),1),$G$5:$G$204,"&lt;="&amp;EOMONTH($G125,0))&gt;SUMIFS('利用者マスタ'!$B$4:$B$60,'利用者マスタ'!$A$4:$A$60,$B125),"⚠支給量超過","")))</f>
        <v/>
      </c>
      <c r="X125" s="8">
        <f>IF(OR($G125="",$J125="",$N125="キャンセル"),0,IF(IFERROR(INDEX('M_区分'!$B$4:$B$20,MATCH($C125,'M_区分'!$A$4:$A$20,0)),"○")="○",$J125-$G125+1,0))</f>
        <v/>
      </c>
      <c r="Y125" s="8">
        <f>IF($E125&lt;&gt;"",$E125,$Y124)</f>
        <v/>
      </c>
      <c r="Z125" s="8">
        <f>IF(OR($G125="",$J125=""),"",IF(AND($G125&lt;=EOMONTH('02_カレンダー'!$B$4,0),$J125&gt;='02_カレンダー'!$B$4),$G125*10000+ROW(),""))</f>
        <v/>
      </c>
      <c r="AA125" s="8">
        <f>IF($H125="","",IF(ISNUMBER($H125),TEXT($H125,"hh:mm"),$H125))</f>
        <v/>
      </c>
      <c r="AB125" s="8">
        <f>IF($K125="","",IF(ISNUMBER($K125),TEXT($K125,"hh:mm"),$K125))</f>
        <v/>
      </c>
      <c r="AC125" s="8">
        <f>IF($G125="",0,$G125)</f>
        <v/>
      </c>
      <c r="AD125" s="8">
        <f>IF($J125="",0,$J125)</f>
        <v/>
      </c>
    </row>
    <row r="126">
      <c r="A126" s="8">
        <f>IF($G126="","","SS-"&amp;TEXT(ROW()-4,"0000"))</f>
        <v/>
      </c>
      <c r="B126" s="9" t="n"/>
      <c r="C126" s="9" t="n"/>
      <c r="D126" s="9" t="n"/>
      <c r="E126" s="10" t="n"/>
      <c r="F126" s="11" t="n"/>
      <c r="G126" s="12">
        <f>IF($F126="","",IF($F126&gt;31,$F126,IF($Y126="","",DATE(YEAR($Y126),MONTH($Y126),$F126))))</f>
        <v/>
      </c>
      <c r="H126" s="13" t="n"/>
      <c r="I126" s="11" t="n"/>
      <c r="J126" s="12">
        <f>IF($I126="","",IF($I126&gt;31,$I126,IF($G126="","",IF(DATE(YEAR($G126),MONTH($G126),$I126)&gt;=$G126,DATE(YEAR($G126),MONTH($G126),$I126),DATE(YEAR($G126),MONTH($G126)+1,$I126)))))</f>
        <v/>
      </c>
      <c r="K126" s="13" t="n"/>
      <c r="L126" s="8">
        <f>IF(OR($G126="",$J126=""),"",$J126-$G126+1)</f>
        <v/>
      </c>
      <c r="M126" s="8">
        <f>IF(OR($G126="",$J126=""),"",$J126-$G126)</f>
        <v/>
      </c>
      <c r="N126" s="9" t="n"/>
      <c r="O126" s="9" t="n"/>
      <c r="P126" s="9" t="n"/>
      <c r="Q126" s="9" t="n"/>
      <c r="R126" s="9" t="n"/>
      <c r="S126" s="9" t="n"/>
      <c r="T126" s="14" t="n"/>
      <c r="U126" s="9" t="n"/>
      <c r="V126" s="8">
        <f>IF($G126="","",IF($D126="","⚠部屋が未選択",IF(COUNTIF('M_部屋'!$A$4:$A$20,$D126)=0,"⚠部屋が未登録",IF(OR($J126="",$N126="キャンセル"),"",IF(SUMPRODUCT(($D$5:$D$204=$D126)*($G$5:$G$204&lt;&gt;"")*($J$5:$J$204&lt;&gt;"")*($N$5:$N$204&lt;&gt;"キャンセル")*($G$5:$G$204&lt;$J126)*($J$5:$J$204&gt;$G126))&gt;1,"⚠重複","")))))</f>
        <v/>
      </c>
      <c r="W126" s="8">
        <f>IF(OR($B126="",$G126=""),"",IF(SUMPRODUCT(('利用者マスタ'!$A$4:$A$60=$B126)*('利用者マスタ'!$B$4:$B$60&lt;&gt;""))=0,"",IF(SUMIFS($X$5:$X$204,$B$5:$B$204,$B126,$G$5:$G$204,"&gt;="&amp;DATE(YEAR($G126),MONTH($G126),1),$G$5:$G$204,"&lt;="&amp;EOMONTH($G126,0))&gt;SUMIFS('利用者マスタ'!$B$4:$B$60,'利用者マスタ'!$A$4:$A$60,$B126),"⚠支給量超過","")))</f>
        <v/>
      </c>
      <c r="X126" s="8">
        <f>IF(OR($G126="",$J126="",$N126="キャンセル"),0,IF(IFERROR(INDEX('M_区分'!$B$4:$B$20,MATCH($C126,'M_区分'!$A$4:$A$20,0)),"○")="○",$J126-$G126+1,0))</f>
        <v/>
      </c>
      <c r="Y126" s="8">
        <f>IF($E126&lt;&gt;"",$E126,$Y125)</f>
        <v/>
      </c>
      <c r="Z126" s="8">
        <f>IF(OR($G126="",$J126=""),"",IF(AND($G126&lt;=EOMONTH('02_カレンダー'!$B$4,0),$J126&gt;='02_カレンダー'!$B$4),$G126*10000+ROW(),""))</f>
        <v/>
      </c>
      <c r="AA126" s="8">
        <f>IF($H126="","",IF(ISNUMBER($H126),TEXT($H126,"hh:mm"),$H126))</f>
        <v/>
      </c>
      <c r="AB126" s="8">
        <f>IF($K126="","",IF(ISNUMBER($K126),TEXT($K126,"hh:mm"),$K126))</f>
        <v/>
      </c>
      <c r="AC126" s="8">
        <f>IF($G126="",0,$G126)</f>
        <v/>
      </c>
      <c r="AD126" s="8">
        <f>IF($J126="",0,$J126)</f>
        <v/>
      </c>
    </row>
    <row r="127">
      <c r="A127" s="8">
        <f>IF($G127="","","SS-"&amp;TEXT(ROW()-4,"0000"))</f>
        <v/>
      </c>
      <c r="B127" s="9" t="n"/>
      <c r="C127" s="9" t="n"/>
      <c r="D127" s="9" t="n"/>
      <c r="E127" s="10" t="n"/>
      <c r="F127" s="11" t="n"/>
      <c r="G127" s="12">
        <f>IF($F127="","",IF($F127&gt;31,$F127,IF($Y127="","",DATE(YEAR($Y127),MONTH($Y127),$F127))))</f>
        <v/>
      </c>
      <c r="H127" s="13" t="n"/>
      <c r="I127" s="11" t="n"/>
      <c r="J127" s="12">
        <f>IF($I127="","",IF($I127&gt;31,$I127,IF($G127="","",IF(DATE(YEAR($G127),MONTH($G127),$I127)&gt;=$G127,DATE(YEAR($G127),MONTH($G127),$I127),DATE(YEAR($G127),MONTH($G127)+1,$I127)))))</f>
        <v/>
      </c>
      <c r="K127" s="13" t="n"/>
      <c r="L127" s="8">
        <f>IF(OR($G127="",$J127=""),"",$J127-$G127+1)</f>
        <v/>
      </c>
      <c r="M127" s="8">
        <f>IF(OR($G127="",$J127=""),"",$J127-$G127)</f>
        <v/>
      </c>
      <c r="N127" s="9" t="n"/>
      <c r="O127" s="9" t="n"/>
      <c r="P127" s="9" t="n"/>
      <c r="Q127" s="9" t="n"/>
      <c r="R127" s="9" t="n"/>
      <c r="S127" s="9" t="n"/>
      <c r="T127" s="14" t="n"/>
      <c r="U127" s="9" t="n"/>
      <c r="V127" s="8">
        <f>IF($G127="","",IF($D127="","⚠部屋が未選択",IF(COUNTIF('M_部屋'!$A$4:$A$20,$D127)=0,"⚠部屋が未登録",IF(OR($J127="",$N127="キャンセル"),"",IF(SUMPRODUCT(($D$5:$D$204=$D127)*($G$5:$G$204&lt;&gt;"")*($J$5:$J$204&lt;&gt;"")*($N$5:$N$204&lt;&gt;"キャンセル")*($G$5:$G$204&lt;$J127)*($J$5:$J$204&gt;$G127))&gt;1,"⚠重複","")))))</f>
        <v/>
      </c>
      <c r="W127" s="8">
        <f>IF(OR($B127="",$G127=""),"",IF(SUMPRODUCT(('利用者マスタ'!$A$4:$A$60=$B127)*('利用者マスタ'!$B$4:$B$60&lt;&gt;""))=0,"",IF(SUMIFS($X$5:$X$204,$B$5:$B$204,$B127,$G$5:$G$204,"&gt;="&amp;DATE(YEAR($G127),MONTH($G127),1),$G$5:$G$204,"&lt;="&amp;EOMONTH($G127,0))&gt;SUMIFS('利用者マスタ'!$B$4:$B$60,'利用者マスタ'!$A$4:$A$60,$B127),"⚠支給量超過","")))</f>
        <v/>
      </c>
      <c r="X127" s="8">
        <f>IF(OR($G127="",$J127="",$N127="キャンセル"),0,IF(IFERROR(INDEX('M_区分'!$B$4:$B$20,MATCH($C127,'M_区分'!$A$4:$A$20,0)),"○")="○",$J127-$G127+1,0))</f>
        <v/>
      </c>
      <c r="Y127" s="8">
        <f>IF($E127&lt;&gt;"",$E127,$Y126)</f>
        <v/>
      </c>
      <c r="Z127" s="8">
        <f>IF(OR($G127="",$J127=""),"",IF(AND($G127&lt;=EOMONTH('02_カレンダー'!$B$4,0),$J127&gt;='02_カレンダー'!$B$4),$G127*10000+ROW(),""))</f>
        <v/>
      </c>
      <c r="AA127" s="8">
        <f>IF($H127="","",IF(ISNUMBER($H127),TEXT($H127,"hh:mm"),$H127))</f>
        <v/>
      </c>
      <c r="AB127" s="8">
        <f>IF($K127="","",IF(ISNUMBER($K127),TEXT($K127,"hh:mm"),$K127))</f>
        <v/>
      </c>
      <c r="AC127" s="8">
        <f>IF($G127="",0,$G127)</f>
        <v/>
      </c>
      <c r="AD127" s="8">
        <f>IF($J127="",0,$J127)</f>
        <v/>
      </c>
    </row>
    <row r="128">
      <c r="A128" s="8">
        <f>IF($G128="","","SS-"&amp;TEXT(ROW()-4,"0000"))</f>
        <v/>
      </c>
      <c r="B128" s="9" t="n"/>
      <c r="C128" s="9" t="n"/>
      <c r="D128" s="9" t="n"/>
      <c r="E128" s="10" t="n"/>
      <c r="F128" s="11" t="n"/>
      <c r="G128" s="12">
        <f>IF($F128="","",IF($F128&gt;31,$F128,IF($Y128="","",DATE(YEAR($Y128),MONTH($Y128),$F128))))</f>
        <v/>
      </c>
      <c r="H128" s="13" t="n"/>
      <c r="I128" s="11" t="n"/>
      <c r="J128" s="12">
        <f>IF($I128="","",IF($I128&gt;31,$I128,IF($G128="","",IF(DATE(YEAR($G128),MONTH($G128),$I128)&gt;=$G128,DATE(YEAR($G128),MONTH($G128),$I128),DATE(YEAR($G128),MONTH($G128)+1,$I128)))))</f>
        <v/>
      </c>
      <c r="K128" s="13" t="n"/>
      <c r="L128" s="8">
        <f>IF(OR($G128="",$J128=""),"",$J128-$G128+1)</f>
        <v/>
      </c>
      <c r="M128" s="8">
        <f>IF(OR($G128="",$J128=""),"",$J128-$G128)</f>
        <v/>
      </c>
      <c r="N128" s="9" t="n"/>
      <c r="O128" s="9" t="n"/>
      <c r="P128" s="9" t="n"/>
      <c r="Q128" s="9" t="n"/>
      <c r="R128" s="9" t="n"/>
      <c r="S128" s="9" t="n"/>
      <c r="T128" s="14" t="n"/>
      <c r="U128" s="9" t="n"/>
      <c r="V128" s="8">
        <f>IF($G128="","",IF($D128="","⚠部屋が未選択",IF(COUNTIF('M_部屋'!$A$4:$A$20,$D128)=0,"⚠部屋が未登録",IF(OR($J128="",$N128="キャンセル"),"",IF(SUMPRODUCT(($D$5:$D$204=$D128)*($G$5:$G$204&lt;&gt;"")*($J$5:$J$204&lt;&gt;"")*($N$5:$N$204&lt;&gt;"キャンセル")*($G$5:$G$204&lt;$J128)*($J$5:$J$204&gt;$G128))&gt;1,"⚠重複","")))))</f>
        <v/>
      </c>
      <c r="W128" s="8">
        <f>IF(OR($B128="",$G128=""),"",IF(SUMPRODUCT(('利用者マスタ'!$A$4:$A$60=$B128)*('利用者マスタ'!$B$4:$B$60&lt;&gt;""))=0,"",IF(SUMIFS($X$5:$X$204,$B$5:$B$204,$B128,$G$5:$G$204,"&gt;="&amp;DATE(YEAR($G128),MONTH($G128),1),$G$5:$G$204,"&lt;="&amp;EOMONTH($G128,0))&gt;SUMIFS('利用者マスタ'!$B$4:$B$60,'利用者マスタ'!$A$4:$A$60,$B128),"⚠支給量超過","")))</f>
        <v/>
      </c>
      <c r="X128" s="8">
        <f>IF(OR($G128="",$J128="",$N128="キャンセル"),0,IF(IFERROR(INDEX('M_区分'!$B$4:$B$20,MATCH($C128,'M_区分'!$A$4:$A$20,0)),"○")="○",$J128-$G128+1,0))</f>
        <v/>
      </c>
      <c r="Y128" s="8">
        <f>IF($E128&lt;&gt;"",$E128,$Y127)</f>
        <v/>
      </c>
      <c r="Z128" s="8">
        <f>IF(OR($G128="",$J128=""),"",IF(AND($G128&lt;=EOMONTH('02_カレンダー'!$B$4,0),$J128&gt;='02_カレンダー'!$B$4),$G128*10000+ROW(),""))</f>
        <v/>
      </c>
      <c r="AA128" s="8">
        <f>IF($H128="","",IF(ISNUMBER($H128),TEXT($H128,"hh:mm"),$H128))</f>
        <v/>
      </c>
      <c r="AB128" s="8">
        <f>IF($K128="","",IF(ISNUMBER($K128),TEXT($K128,"hh:mm"),$K128))</f>
        <v/>
      </c>
      <c r="AC128" s="8">
        <f>IF($G128="",0,$G128)</f>
        <v/>
      </c>
      <c r="AD128" s="8">
        <f>IF($J128="",0,$J128)</f>
        <v/>
      </c>
    </row>
    <row r="129">
      <c r="A129" s="8">
        <f>IF($G129="","","SS-"&amp;TEXT(ROW()-4,"0000"))</f>
        <v/>
      </c>
      <c r="B129" s="9" t="n"/>
      <c r="C129" s="9" t="n"/>
      <c r="D129" s="9" t="n"/>
      <c r="E129" s="10" t="n"/>
      <c r="F129" s="11" t="n"/>
      <c r="G129" s="12">
        <f>IF($F129="","",IF($F129&gt;31,$F129,IF($Y129="","",DATE(YEAR($Y129),MONTH($Y129),$F129))))</f>
        <v/>
      </c>
      <c r="H129" s="13" t="n"/>
      <c r="I129" s="11" t="n"/>
      <c r="J129" s="12">
        <f>IF($I129="","",IF($I129&gt;31,$I129,IF($G129="","",IF(DATE(YEAR($G129),MONTH($G129),$I129)&gt;=$G129,DATE(YEAR($G129),MONTH($G129),$I129),DATE(YEAR($G129),MONTH($G129)+1,$I129)))))</f>
        <v/>
      </c>
      <c r="K129" s="13" t="n"/>
      <c r="L129" s="8">
        <f>IF(OR($G129="",$J129=""),"",$J129-$G129+1)</f>
        <v/>
      </c>
      <c r="M129" s="8">
        <f>IF(OR($G129="",$J129=""),"",$J129-$G129)</f>
        <v/>
      </c>
      <c r="N129" s="9" t="n"/>
      <c r="O129" s="9" t="n"/>
      <c r="P129" s="9" t="n"/>
      <c r="Q129" s="9" t="n"/>
      <c r="R129" s="9" t="n"/>
      <c r="S129" s="9" t="n"/>
      <c r="T129" s="14" t="n"/>
      <c r="U129" s="9" t="n"/>
      <c r="V129" s="8">
        <f>IF($G129="","",IF($D129="","⚠部屋が未選択",IF(COUNTIF('M_部屋'!$A$4:$A$20,$D129)=0,"⚠部屋が未登録",IF(OR($J129="",$N129="キャンセル"),"",IF(SUMPRODUCT(($D$5:$D$204=$D129)*($G$5:$G$204&lt;&gt;"")*($J$5:$J$204&lt;&gt;"")*($N$5:$N$204&lt;&gt;"キャンセル")*($G$5:$G$204&lt;$J129)*($J$5:$J$204&gt;$G129))&gt;1,"⚠重複","")))))</f>
        <v/>
      </c>
      <c r="W129" s="8">
        <f>IF(OR($B129="",$G129=""),"",IF(SUMPRODUCT(('利用者マスタ'!$A$4:$A$60=$B129)*('利用者マスタ'!$B$4:$B$60&lt;&gt;""))=0,"",IF(SUMIFS($X$5:$X$204,$B$5:$B$204,$B129,$G$5:$G$204,"&gt;="&amp;DATE(YEAR($G129),MONTH($G129),1),$G$5:$G$204,"&lt;="&amp;EOMONTH($G129,0))&gt;SUMIFS('利用者マスタ'!$B$4:$B$60,'利用者マスタ'!$A$4:$A$60,$B129),"⚠支給量超過","")))</f>
        <v/>
      </c>
      <c r="X129" s="8">
        <f>IF(OR($G129="",$J129="",$N129="キャンセル"),0,IF(IFERROR(INDEX('M_区分'!$B$4:$B$20,MATCH($C129,'M_区分'!$A$4:$A$20,0)),"○")="○",$J129-$G129+1,0))</f>
        <v/>
      </c>
      <c r="Y129" s="8">
        <f>IF($E129&lt;&gt;"",$E129,$Y128)</f>
        <v/>
      </c>
      <c r="Z129" s="8">
        <f>IF(OR($G129="",$J129=""),"",IF(AND($G129&lt;=EOMONTH('02_カレンダー'!$B$4,0),$J129&gt;='02_カレンダー'!$B$4),$G129*10000+ROW(),""))</f>
        <v/>
      </c>
      <c r="AA129" s="8">
        <f>IF($H129="","",IF(ISNUMBER($H129),TEXT($H129,"hh:mm"),$H129))</f>
        <v/>
      </c>
      <c r="AB129" s="8">
        <f>IF($K129="","",IF(ISNUMBER($K129),TEXT($K129,"hh:mm"),$K129))</f>
        <v/>
      </c>
      <c r="AC129" s="8">
        <f>IF($G129="",0,$G129)</f>
        <v/>
      </c>
      <c r="AD129" s="8">
        <f>IF($J129="",0,$J129)</f>
        <v/>
      </c>
    </row>
    <row r="130">
      <c r="A130" s="8">
        <f>IF($G130="","","SS-"&amp;TEXT(ROW()-4,"0000"))</f>
        <v/>
      </c>
      <c r="B130" s="9" t="n"/>
      <c r="C130" s="9" t="n"/>
      <c r="D130" s="9" t="n"/>
      <c r="E130" s="10" t="n"/>
      <c r="F130" s="11" t="n"/>
      <c r="G130" s="12">
        <f>IF($F130="","",IF($F130&gt;31,$F130,IF($Y130="","",DATE(YEAR($Y130),MONTH($Y130),$F130))))</f>
        <v/>
      </c>
      <c r="H130" s="13" t="n"/>
      <c r="I130" s="11" t="n"/>
      <c r="J130" s="12">
        <f>IF($I130="","",IF($I130&gt;31,$I130,IF($G130="","",IF(DATE(YEAR($G130),MONTH($G130),$I130)&gt;=$G130,DATE(YEAR($G130),MONTH($G130),$I130),DATE(YEAR($G130),MONTH($G130)+1,$I130)))))</f>
        <v/>
      </c>
      <c r="K130" s="13" t="n"/>
      <c r="L130" s="8">
        <f>IF(OR($G130="",$J130=""),"",$J130-$G130+1)</f>
        <v/>
      </c>
      <c r="M130" s="8">
        <f>IF(OR($G130="",$J130=""),"",$J130-$G130)</f>
        <v/>
      </c>
      <c r="N130" s="9" t="n"/>
      <c r="O130" s="9" t="n"/>
      <c r="P130" s="9" t="n"/>
      <c r="Q130" s="9" t="n"/>
      <c r="R130" s="9" t="n"/>
      <c r="S130" s="9" t="n"/>
      <c r="T130" s="14" t="n"/>
      <c r="U130" s="9" t="n"/>
      <c r="V130" s="8">
        <f>IF($G130="","",IF($D130="","⚠部屋が未選択",IF(COUNTIF('M_部屋'!$A$4:$A$20,$D130)=0,"⚠部屋が未登録",IF(OR($J130="",$N130="キャンセル"),"",IF(SUMPRODUCT(($D$5:$D$204=$D130)*($G$5:$G$204&lt;&gt;"")*($J$5:$J$204&lt;&gt;"")*($N$5:$N$204&lt;&gt;"キャンセル")*($G$5:$G$204&lt;$J130)*($J$5:$J$204&gt;$G130))&gt;1,"⚠重複","")))))</f>
        <v/>
      </c>
      <c r="W130" s="8">
        <f>IF(OR($B130="",$G130=""),"",IF(SUMPRODUCT(('利用者マスタ'!$A$4:$A$60=$B130)*('利用者マスタ'!$B$4:$B$60&lt;&gt;""))=0,"",IF(SUMIFS($X$5:$X$204,$B$5:$B$204,$B130,$G$5:$G$204,"&gt;="&amp;DATE(YEAR($G130),MONTH($G130),1),$G$5:$G$204,"&lt;="&amp;EOMONTH($G130,0))&gt;SUMIFS('利用者マスタ'!$B$4:$B$60,'利用者マスタ'!$A$4:$A$60,$B130),"⚠支給量超過","")))</f>
        <v/>
      </c>
      <c r="X130" s="8">
        <f>IF(OR($G130="",$J130="",$N130="キャンセル"),0,IF(IFERROR(INDEX('M_区分'!$B$4:$B$20,MATCH($C130,'M_区分'!$A$4:$A$20,0)),"○")="○",$J130-$G130+1,0))</f>
        <v/>
      </c>
      <c r="Y130" s="8">
        <f>IF($E130&lt;&gt;"",$E130,$Y129)</f>
        <v/>
      </c>
      <c r="Z130" s="8">
        <f>IF(OR($G130="",$J130=""),"",IF(AND($G130&lt;=EOMONTH('02_カレンダー'!$B$4,0),$J130&gt;='02_カレンダー'!$B$4),$G130*10000+ROW(),""))</f>
        <v/>
      </c>
      <c r="AA130" s="8">
        <f>IF($H130="","",IF(ISNUMBER($H130),TEXT($H130,"hh:mm"),$H130))</f>
        <v/>
      </c>
      <c r="AB130" s="8">
        <f>IF($K130="","",IF(ISNUMBER($K130),TEXT($K130,"hh:mm"),$K130))</f>
        <v/>
      </c>
      <c r="AC130" s="8">
        <f>IF($G130="",0,$G130)</f>
        <v/>
      </c>
      <c r="AD130" s="8">
        <f>IF($J130="",0,$J130)</f>
        <v/>
      </c>
    </row>
    <row r="131">
      <c r="A131" s="8">
        <f>IF($G131="","","SS-"&amp;TEXT(ROW()-4,"0000"))</f>
        <v/>
      </c>
      <c r="B131" s="9" t="n"/>
      <c r="C131" s="9" t="n"/>
      <c r="D131" s="9" t="n"/>
      <c r="E131" s="10" t="n"/>
      <c r="F131" s="11" t="n"/>
      <c r="G131" s="12">
        <f>IF($F131="","",IF($F131&gt;31,$F131,IF($Y131="","",DATE(YEAR($Y131),MONTH($Y131),$F131))))</f>
        <v/>
      </c>
      <c r="H131" s="13" t="n"/>
      <c r="I131" s="11" t="n"/>
      <c r="J131" s="12">
        <f>IF($I131="","",IF($I131&gt;31,$I131,IF($G131="","",IF(DATE(YEAR($G131),MONTH($G131),$I131)&gt;=$G131,DATE(YEAR($G131),MONTH($G131),$I131),DATE(YEAR($G131),MONTH($G131)+1,$I131)))))</f>
        <v/>
      </c>
      <c r="K131" s="13" t="n"/>
      <c r="L131" s="8">
        <f>IF(OR($G131="",$J131=""),"",$J131-$G131+1)</f>
        <v/>
      </c>
      <c r="M131" s="8">
        <f>IF(OR($G131="",$J131=""),"",$J131-$G131)</f>
        <v/>
      </c>
      <c r="N131" s="9" t="n"/>
      <c r="O131" s="9" t="n"/>
      <c r="P131" s="9" t="n"/>
      <c r="Q131" s="9" t="n"/>
      <c r="R131" s="9" t="n"/>
      <c r="S131" s="9" t="n"/>
      <c r="T131" s="14" t="n"/>
      <c r="U131" s="9" t="n"/>
      <c r="V131" s="8">
        <f>IF($G131="","",IF($D131="","⚠部屋が未選択",IF(COUNTIF('M_部屋'!$A$4:$A$20,$D131)=0,"⚠部屋が未登録",IF(OR($J131="",$N131="キャンセル"),"",IF(SUMPRODUCT(($D$5:$D$204=$D131)*($G$5:$G$204&lt;&gt;"")*($J$5:$J$204&lt;&gt;"")*($N$5:$N$204&lt;&gt;"キャンセル")*($G$5:$G$204&lt;$J131)*($J$5:$J$204&gt;$G131))&gt;1,"⚠重複","")))))</f>
        <v/>
      </c>
      <c r="W131" s="8">
        <f>IF(OR($B131="",$G131=""),"",IF(SUMPRODUCT(('利用者マスタ'!$A$4:$A$60=$B131)*('利用者マスタ'!$B$4:$B$60&lt;&gt;""))=0,"",IF(SUMIFS($X$5:$X$204,$B$5:$B$204,$B131,$G$5:$G$204,"&gt;="&amp;DATE(YEAR($G131),MONTH($G131),1),$G$5:$G$204,"&lt;="&amp;EOMONTH($G131,0))&gt;SUMIFS('利用者マスタ'!$B$4:$B$60,'利用者マスタ'!$A$4:$A$60,$B131),"⚠支給量超過","")))</f>
        <v/>
      </c>
      <c r="X131" s="8">
        <f>IF(OR($G131="",$J131="",$N131="キャンセル"),0,IF(IFERROR(INDEX('M_区分'!$B$4:$B$20,MATCH($C131,'M_区分'!$A$4:$A$20,0)),"○")="○",$J131-$G131+1,0))</f>
        <v/>
      </c>
      <c r="Y131" s="8">
        <f>IF($E131&lt;&gt;"",$E131,$Y130)</f>
        <v/>
      </c>
      <c r="Z131" s="8">
        <f>IF(OR($G131="",$J131=""),"",IF(AND($G131&lt;=EOMONTH('02_カレンダー'!$B$4,0),$J131&gt;='02_カレンダー'!$B$4),$G131*10000+ROW(),""))</f>
        <v/>
      </c>
      <c r="AA131" s="8">
        <f>IF($H131="","",IF(ISNUMBER($H131),TEXT($H131,"hh:mm"),$H131))</f>
        <v/>
      </c>
      <c r="AB131" s="8">
        <f>IF($K131="","",IF(ISNUMBER($K131),TEXT($K131,"hh:mm"),$K131))</f>
        <v/>
      </c>
      <c r="AC131" s="8">
        <f>IF($G131="",0,$G131)</f>
        <v/>
      </c>
      <c r="AD131" s="8">
        <f>IF($J131="",0,$J131)</f>
        <v/>
      </c>
    </row>
    <row r="132">
      <c r="A132" s="8">
        <f>IF($G132="","","SS-"&amp;TEXT(ROW()-4,"0000"))</f>
        <v/>
      </c>
      <c r="B132" s="9" t="n"/>
      <c r="C132" s="9" t="n"/>
      <c r="D132" s="9" t="n"/>
      <c r="E132" s="10" t="n"/>
      <c r="F132" s="11" t="n"/>
      <c r="G132" s="12">
        <f>IF($F132="","",IF($F132&gt;31,$F132,IF($Y132="","",DATE(YEAR($Y132),MONTH($Y132),$F132))))</f>
        <v/>
      </c>
      <c r="H132" s="13" t="n"/>
      <c r="I132" s="11" t="n"/>
      <c r="J132" s="12">
        <f>IF($I132="","",IF($I132&gt;31,$I132,IF($G132="","",IF(DATE(YEAR($G132),MONTH($G132),$I132)&gt;=$G132,DATE(YEAR($G132),MONTH($G132),$I132),DATE(YEAR($G132),MONTH($G132)+1,$I132)))))</f>
        <v/>
      </c>
      <c r="K132" s="13" t="n"/>
      <c r="L132" s="8">
        <f>IF(OR($G132="",$J132=""),"",$J132-$G132+1)</f>
        <v/>
      </c>
      <c r="M132" s="8">
        <f>IF(OR($G132="",$J132=""),"",$J132-$G132)</f>
        <v/>
      </c>
      <c r="N132" s="9" t="n"/>
      <c r="O132" s="9" t="n"/>
      <c r="P132" s="9" t="n"/>
      <c r="Q132" s="9" t="n"/>
      <c r="R132" s="9" t="n"/>
      <c r="S132" s="9" t="n"/>
      <c r="T132" s="14" t="n"/>
      <c r="U132" s="9" t="n"/>
      <c r="V132" s="8">
        <f>IF($G132="","",IF($D132="","⚠部屋が未選択",IF(COUNTIF('M_部屋'!$A$4:$A$20,$D132)=0,"⚠部屋が未登録",IF(OR($J132="",$N132="キャンセル"),"",IF(SUMPRODUCT(($D$5:$D$204=$D132)*($G$5:$G$204&lt;&gt;"")*($J$5:$J$204&lt;&gt;"")*($N$5:$N$204&lt;&gt;"キャンセル")*($G$5:$G$204&lt;$J132)*($J$5:$J$204&gt;$G132))&gt;1,"⚠重複","")))))</f>
        <v/>
      </c>
      <c r="W132" s="8">
        <f>IF(OR($B132="",$G132=""),"",IF(SUMPRODUCT(('利用者マスタ'!$A$4:$A$60=$B132)*('利用者マスタ'!$B$4:$B$60&lt;&gt;""))=0,"",IF(SUMIFS($X$5:$X$204,$B$5:$B$204,$B132,$G$5:$G$204,"&gt;="&amp;DATE(YEAR($G132),MONTH($G132),1),$G$5:$G$204,"&lt;="&amp;EOMONTH($G132,0))&gt;SUMIFS('利用者マスタ'!$B$4:$B$60,'利用者マスタ'!$A$4:$A$60,$B132),"⚠支給量超過","")))</f>
        <v/>
      </c>
      <c r="X132" s="8">
        <f>IF(OR($G132="",$J132="",$N132="キャンセル"),0,IF(IFERROR(INDEX('M_区分'!$B$4:$B$20,MATCH($C132,'M_区分'!$A$4:$A$20,0)),"○")="○",$J132-$G132+1,0))</f>
        <v/>
      </c>
      <c r="Y132" s="8">
        <f>IF($E132&lt;&gt;"",$E132,$Y131)</f>
        <v/>
      </c>
      <c r="Z132" s="8">
        <f>IF(OR($G132="",$J132=""),"",IF(AND($G132&lt;=EOMONTH('02_カレンダー'!$B$4,0),$J132&gt;='02_カレンダー'!$B$4),$G132*10000+ROW(),""))</f>
        <v/>
      </c>
      <c r="AA132" s="8">
        <f>IF($H132="","",IF(ISNUMBER($H132),TEXT($H132,"hh:mm"),$H132))</f>
        <v/>
      </c>
      <c r="AB132" s="8">
        <f>IF($K132="","",IF(ISNUMBER($K132),TEXT($K132,"hh:mm"),$K132))</f>
        <v/>
      </c>
      <c r="AC132" s="8">
        <f>IF($G132="",0,$G132)</f>
        <v/>
      </c>
      <c r="AD132" s="8">
        <f>IF($J132="",0,$J132)</f>
        <v/>
      </c>
    </row>
    <row r="133">
      <c r="A133" s="8">
        <f>IF($G133="","","SS-"&amp;TEXT(ROW()-4,"0000"))</f>
        <v/>
      </c>
      <c r="B133" s="9" t="n"/>
      <c r="C133" s="9" t="n"/>
      <c r="D133" s="9" t="n"/>
      <c r="E133" s="10" t="n"/>
      <c r="F133" s="11" t="n"/>
      <c r="G133" s="12">
        <f>IF($F133="","",IF($F133&gt;31,$F133,IF($Y133="","",DATE(YEAR($Y133),MONTH($Y133),$F133))))</f>
        <v/>
      </c>
      <c r="H133" s="13" t="n"/>
      <c r="I133" s="11" t="n"/>
      <c r="J133" s="12">
        <f>IF($I133="","",IF($I133&gt;31,$I133,IF($G133="","",IF(DATE(YEAR($G133),MONTH($G133),$I133)&gt;=$G133,DATE(YEAR($G133),MONTH($G133),$I133),DATE(YEAR($G133),MONTH($G133)+1,$I133)))))</f>
        <v/>
      </c>
      <c r="K133" s="13" t="n"/>
      <c r="L133" s="8">
        <f>IF(OR($G133="",$J133=""),"",$J133-$G133+1)</f>
        <v/>
      </c>
      <c r="M133" s="8">
        <f>IF(OR($G133="",$J133=""),"",$J133-$G133)</f>
        <v/>
      </c>
      <c r="N133" s="9" t="n"/>
      <c r="O133" s="9" t="n"/>
      <c r="P133" s="9" t="n"/>
      <c r="Q133" s="9" t="n"/>
      <c r="R133" s="9" t="n"/>
      <c r="S133" s="9" t="n"/>
      <c r="T133" s="14" t="n"/>
      <c r="U133" s="9" t="n"/>
      <c r="V133" s="8">
        <f>IF($G133="","",IF($D133="","⚠部屋が未選択",IF(COUNTIF('M_部屋'!$A$4:$A$20,$D133)=0,"⚠部屋が未登録",IF(OR($J133="",$N133="キャンセル"),"",IF(SUMPRODUCT(($D$5:$D$204=$D133)*($G$5:$G$204&lt;&gt;"")*($J$5:$J$204&lt;&gt;"")*($N$5:$N$204&lt;&gt;"キャンセル")*($G$5:$G$204&lt;$J133)*($J$5:$J$204&gt;$G133))&gt;1,"⚠重複","")))))</f>
        <v/>
      </c>
      <c r="W133" s="8">
        <f>IF(OR($B133="",$G133=""),"",IF(SUMPRODUCT(('利用者マスタ'!$A$4:$A$60=$B133)*('利用者マスタ'!$B$4:$B$60&lt;&gt;""))=0,"",IF(SUMIFS($X$5:$X$204,$B$5:$B$204,$B133,$G$5:$G$204,"&gt;="&amp;DATE(YEAR($G133),MONTH($G133),1),$G$5:$G$204,"&lt;="&amp;EOMONTH($G133,0))&gt;SUMIFS('利用者マスタ'!$B$4:$B$60,'利用者マスタ'!$A$4:$A$60,$B133),"⚠支給量超過","")))</f>
        <v/>
      </c>
      <c r="X133" s="8">
        <f>IF(OR($G133="",$J133="",$N133="キャンセル"),0,IF(IFERROR(INDEX('M_区分'!$B$4:$B$20,MATCH($C133,'M_区分'!$A$4:$A$20,0)),"○")="○",$J133-$G133+1,0))</f>
        <v/>
      </c>
      <c r="Y133" s="8">
        <f>IF($E133&lt;&gt;"",$E133,$Y132)</f>
        <v/>
      </c>
      <c r="Z133" s="8">
        <f>IF(OR($G133="",$J133=""),"",IF(AND($G133&lt;=EOMONTH('02_カレンダー'!$B$4,0),$J133&gt;='02_カレンダー'!$B$4),$G133*10000+ROW(),""))</f>
        <v/>
      </c>
      <c r="AA133" s="8">
        <f>IF($H133="","",IF(ISNUMBER($H133),TEXT($H133,"hh:mm"),$H133))</f>
        <v/>
      </c>
      <c r="AB133" s="8">
        <f>IF($K133="","",IF(ISNUMBER($K133),TEXT($K133,"hh:mm"),$K133))</f>
        <v/>
      </c>
      <c r="AC133" s="8">
        <f>IF($G133="",0,$G133)</f>
        <v/>
      </c>
      <c r="AD133" s="8">
        <f>IF($J133="",0,$J133)</f>
        <v/>
      </c>
    </row>
    <row r="134">
      <c r="A134" s="8">
        <f>IF($G134="","","SS-"&amp;TEXT(ROW()-4,"0000"))</f>
        <v/>
      </c>
      <c r="B134" s="9" t="n"/>
      <c r="C134" s="9" t="n"/>
      <c r="D134" s="9" t="n"/>
      <c r="E134" s="10" t="n"/>
      <c r="F134" s="11" t="n"/>
      <c r="G134" s="12">
        <f>IF($F134="","",IF($F134&gt;31,$F134,IF($Y134="","",DATE(YEAR($Y134),MONTH($Y134),$F134))))</f>
        <v/>
      </c>
      <c r="H134" s="13" t="n"/>
      <c r="I134" s="11" t="n"/>
      <c r="J134" s="12">
        <f>IF($I134="","",IF($I134&gt;31,$I134,IF($G134="","",IF(DATE(YEAR($G134),MONTH($G134),$I134)&gt;=$G134,DATE(YEAR($G134),MONTH($G134),$I134),DATE(YEAR($G134),MONTH($G134)+1,$I134)))))</f>
        <v/>
      </c>
      <c r="K134" s="13" t="n"/>
      <c r="L134" s="8">
        <f>IF(OR($G134="",$J134=""),"",$J134-$G134+1)</f>
        <v/>
      </c>
      <c r="M134" s="8">
        <f>IF(OR($G134="",$J134=""),"",$J134-$G134)</f>
        <v/>
      </c>
      <c r="N134" s="9" t="n"/>
      <c r="O134" s="9" t="n"/>
      <c r="P134" s="9" t="n"/>
      <c r="Q134" s="9" t="n"/>
      <c r="R134" s="9" t="n"/>
      <c r="S134" s="9" t="n"/>
      <c r="T134" s="14" t="n"/>
      <c r="U134" s="9" t="n"/>
      <c r="V134" s="8">
        <f>IF($G134="","",IF($D134="","⚠部屋が未選択",IF(COUNTIF('M_部屋'!$A$4:$A$20,$D134)=0,"⚠部屋が未登録",IF(OR($J134="",$N134="キャンセル"),"",IF(SUMPRODUCT(($D$5:$D$204=$D134)*($G$5:$G$204&lt;&gt;"")*($J$5:$J$204&lt;&gt;"")*($N$5:$N$204&lt;&gt;"キャンセル")*($G$5:$G$204&lt;$J134)*($J$5:$J$204&gt;$G134))&gt;1,"⚠重複","")))))</f>
        <v/>
      </c>
      <c r="W134" s="8">
        <f>IF(OR($B134="",$G134=""),"",IF(SUMPRODUCT(('利用者マスタ'!$A$4:$A$60=$B134)*('利用者マスタ'!$B$4:$B$60&lt;&gt;""))=0,"",IF(SUMIFS($X$5:$X$204,$B$5:$B$204,$B134,$G$5:$G$204,"&gt;="&amp;DATE(YEAR($G134),MONTH($G134),1),$G$5:$G$204,"&lt;="&amp;EOMONTH($G134,0))&gt;SUMIFS('利用者マスタ'!$B$4:$B$60,'利用者マスタ'!$A$4:$A$60,$B134),"⚠支給量超過","")))</f>
        <v/>
      </c>
      <c r="X134" s="8">
        <f>IF(OR($G134="",$J134="",$N134="キャンセル"),0,IF(IFERROR(INDEX('M_区分'!$B$4:$B$20,MATCH($C134,'M_区分'!$A$4:$A$20,0)),"○")="○",$J134-$G134+1,0))</f>
        <v/>
      </c>
      <c r="Y134" s="8">
        <f>IF($E134&lt;&gt;"",$E134,$Y133)</f>
        <v/>
      </c>
      <c r="Z134" s="8">
        <f>IF(OR($G134="",$J134=""),"",IF(AND($G134&lt;=EOMONTH('02_カレンダー'!$B$4,0),$J134&gt;='02_カレンダー'!$B$4),$G134*10000+ROW(),""))</f>
        <v/>
      </c>
      <c r="AA134" s="8">
        <f>IF($H134="","",IF(ISNUMBER($H134),TEXT($H134,"hh:mm"),$H134))</f>
        <v/>
      </c>
      <c r="AB134" s="8">
        <f>IF($K134="","",IF(ISNUMBER($K134),TEXT($K134,"hh:mm"),$K134))</f>
        <v/>
      </c>
      <c r="AC134" s="8">
        <f>IF($G134="",0,$G134)</f>
        <v/>
      </c>
      <c r="AD134" s="8">
        <f>IF($J134="",0,$J134)</f>
        <v/>
      </c>
    </row>
    <row r="135">
      <c r="A135" s="8">
        <f>IF($G135="","","SS-"&amp;TEXT(ROW()-4,"0000"))</f>
        <v/>
      </c>
      <c r="B135" s="9" t="n"/>
      <c r="C135" s="9" t="n"/>
      <c r="D135" s="9" t="n"/>
      <c r="E135" s="10" t="n"/>
      <c r="F135" s="11" t="n"/>
      <c r="G135" s="12">
        <f>IF($F135="","",IF($F135&gt;31,$F135,IF($Y135="","",DATE(YEAR($Y135),MONTH($Y135),$F135))))</f>
        <v/>
      </c>
      <c r="H135" s="13" t="n"/>
      <c r="I135" s="11" t="n"/>
      <c r="J135" s="12">
        <f>IF($I135="","",IF($I135&gt;31,$I135,IF($G135="","",IF(DATE(YEAR($G135),MONTH($G135),$I135)&gt;=$G135,DATE(YEAR($G135),MONTH($G135),$I135),DATE(YEAR($G135),MONTH($G135)+1,$I135)))))</f>
        <v/>
      </c>
      <c r="K135" s="13" t="n"/>
      <c r="L135" s="8">
        <f>IF(OR($G135="",$J135=""),"",$J135-$G135+1)</f>
        <v/>
      </c>
      <c r="M135" s="8">
        <f>IF(OR($G135="",$J135=""),"",$J135-$G135)</f>
        <v/>
      </c>
      <c r="N135" s="9" t="n"/>
      <c r="O135" s="9" t="n"/>
      <c r="P135" s="9" t="n"/>
      <c r="Q135" s="9" t="n"/>
      <c r="R135" s="9" t="n"/>
      <c r="S135" s="9" t="n"/>
      <c r="T135" s="14" t="n"/>
      <c r="U135" s="9" t="n"/>
      <c r="V135" s="8">
        <f>IF($G135="","",IF($D135="","⚠部屋が未選択",IF(COUNTIF('M_部屋'!$A$4:$A$20,$D135)=0,"⚠部屋が未登録",IF(OR($J135="",$N135="キャンセル"),"",IF(SUMPRODUCT(($D$5:$D$204=$D135)*($G$5:$G$204&lt;&gt;"")*($J$5:$J$204&lt;&gt;"")*($N$5:$N$204&lt;&gt;"キャンセル")*($G$5:$G$204&lt;$J135)*($J$5:$J$204&gt;$G135))&gt;1,"⚠重複","")))))</f>
        <v/>
      </c>
      <c r="W135" s="8">
        <f>IF(OR($B135="",$G135=""),"",IF(SUMPRODUCT(('利用者マスタ'!$A$4:$A$60=$B135)*('利用者マスタ'!$B$4:$B$60&lt;&gt;""))=0,"",IF(SUMIFS($X$5:$X$204,$B$5:$B$204,$B135,$G$5:$G$204,"&gt;="&amp;DATE(YEAR($G135),MONTH($G135),1),$G$5:$G$204,"&lt;="&amp;EOMONTH($G135,0))&gt;SUMIFS('利用者マスタ'!$B$4:$B$60,'利用者マスタ'!$A$4:$A$60,$B135),"⚠支給量超過","")))</f>
        <v/>
      </c>
      <c r="X135" s="8">
        <f>IF(OR($G135="",$J135="",$N135="キャンセル"),0,IF(IFERROR(INDEX('M_区分'!$B$4:$B$20,MATCH($C135,'M_区分'!$A$4:$A$20,0)),"○")="○",$J135-$G135+1,0))</f>
        <v/>
      </c>
      <c r="Y135" s="8">
        <f>IF($E135&lt;&gt;"",$E135,$Y134)</f>
        <v/>
      </c>
      <c r="Z135" s="8">
        <f>IF(OR($G135="",$J135=""),"",IF(AND($G135&lt;=EOMONTH('02_カレンダー'!$B$4,0),$J135&gt;='02_カレンダー'!$B$4),$G135*10000+ROW(),""))</f>
        <v/>
      </c>
      <c r="AA135" s="8">
        <f>IF($H135="","",IF(ISNUMBER($H135),TEXT($H135,"hh:mm"),$H135))</f>
        <v/>
      </c>
      <c r="AB135" s="8">
        <f>IF($K135="","",IF(ISNUMBER($K135),TEXT($K135,"hh:mm"),$K135))</f>
        <v/>
      </c>
      <c r="AC135" s="8">
        <f>IF($G135="",0,$G135)</f>
        <v/>
      </c>
      <c r="AD135" s="8">
        <f>IF($J135="",0,$J135)</f>
        <v/>
      </c>
    </row>
    <row r="136">
      <c r="A136" s="8">
        <f>IF($G136="","","SS-"&amp;TEXT(ROW()-4,"0000"))</f>
        <v/>
      </c>
      <c r="B136" s="9" t="n"/>
      <c r="C136" s="9" t="n"/>
      <c r="D136" s="9" t="n"/>
      <c r="E136" s="10" t="n"/>
      <c r="F136" s="11" t="n"/>
      <c r="G136" s="12">
        <f>IF($F136="","",IF($F136&gt;31,$F136,IF($Y136="","",DATE(YEAR($Y136),MONTH($Y136),$F136))))</f>
        <v/>
      </c>
      <c r="H136" s="13" t="n"/>
      <c r="I136" s="11" t="n"/>
      <c r="J136" s="12">
        <f>IF($I136="","",IF($I136&gt;31,$I136,IF($G136="","",IF(DATE(YEAR($G136),MONTH($G136),$I136)&gt;=$G136,DATE(YEAR($G136),MONTH($G136),$I136),DATE(YEAR($G136),MONTH($G136)+1,$I136)))))</f>
        <v/>
      </c>
      <c r="K136" s="13" t="n"/>
      <c r="L136" s="8">
        <f>IF(OR($G136="",$J136=""),"",$J136-$G136+1)</f>
        <v/>
      </c>
      <c r="M136" s="8">
        <f>IF(OR($G136="",$J136=""),"",$J136-$G136)</f>
        <v/>
      </c>
      <c r="N136" s="9" t="n"/>
      <c r="O136" s="9" t="n"/>
      <c r="P136" s="9" t="n"/>
      <c r="Q136" s="9" t="n"/>
      <c r="R136" s="9" t="n"/>
      <c r="S136" s="9" t="n"/>
      <c r="T136" s="14" t="n"/>
      <c r="U136" s="9" t="n"/>
      <c r="V136" s="8">
        <f>IF($G136="","",IF($D136="","⚠部屋が未選択",IF(COUNTIF('M_部屋'!$A$4:$A$20,$D136)=0,"⚠部屋が未登録",IF(OR($J136="",$N136="キャンセル"),"",IF(SUMPRODUCT(($D$5:$D$204=$D136)*($G$5:$G$204&lt;&gt;"")*($J$5:$J$204&lt;&gt;"")*($N$5:$N$204&lt;&gt;"キャンセル")*($G$5:$G$204&lt;$J136)*($J$5:$J$204&gt;$G136))&gt;1,"⚠重複","")))))</f>
        <v/>
      </c>
      <c r="W136" s="8">
        <f>IF(OR($B136="",$G136=""),"",IF(SUMPRODUCT(('利用者マスタ'!$A$4:$A$60=$B136)*('利用者マスタ'!$B$4:$B$60&lt;&gt;""))=0,"",IF(SUMIFS($X$5:$X$204,$B$5:$B$204,$B136,$G$5:$G$204,"&gt;="&amp;DATE(YEAR($G136),MONTH($G136),1),$G$5:$G$204,"&lt;="&amp;EOMONTH($G136,0))&gt;SUMIFS('利用者マスタ'!$B$4:$B$60,'利用者マスタ'!$A$4:$A$60,$B136),"⚠支給量超過","")))</f>
        <v/>
      </c>
      <c r="X136" s="8">
        <f>IF(OR($G136="",$J136="",$N136="キャンセル"),0,IF(IFERROR(INDEX('M_区分'!$B$4:$B$20,MATCH($C136,'M_区分'!$A$4:$A$20,0)),"○")="○",$J136-$G136+1,0))</f>
        <v/>
      </c>
      <c r="Y136" s="8">
        <f>IF($E136&lt;&gt;"",$E136,$Y135)</f>
        <v/>
      </c>
      <c r="Z136" s="8">
        <f>IF(OR($G136="",$J136=""),"",IF(AND($G136&lt;=EOMONTH('02_カレンダー'!$B$4,0),$J136&gt;='02_カレンダー'!$B$4),$G136*10000+ROW(),""))</f>
        <v/>
      </c>
      <c r="AA136" s="8">
        <f>IF($H136="","",IF(ISNUMBER($H136),TEXT($H136,"hh:mm"),$H136))</f>
        <v/>
      </c>
      <c r="AB136" s="8">
        <f>IF($K136="","",IF(ISNUMBER($K136),TEXT($K136,"hh:mm"),$K136))</f>
        <v/>
      </c>
      <c r="AC136" s="8">
        <f>IF($G136="",0,$G136)</f>
        <v/>
      </c>
      <c r="AD136" s="8">
        <f>IF($J136="",0,$J136)</f>
        <v/>
      </c>
    </row>
    <row r="137">
      <c r="A137" s="8">
        <f>IF($G137="","","SS-"&amp;TEXT(ROW()-4,"0000"))</f>
        <v/>
      </c>
      <c r="B137" s="9" t="n"/>
      <c r="C137" s="9" t="n"/>
      <c r="D137" s="9" t="n"/>
      <c r="E137" s="10" t="n"/>
      <c r="F137" s="11" t="n"/>
      <c r="G137" s="12">
        <f>IF($F137="","",IF($F137&gt;31,$F137,IF($Y137="","",DATE(YEAR($Y137),MONTH($Y137),$F137))))</f>
        <v/>
      </c>
      <c r="H137" s="13" t="n"/>
      <c r="I137" s="11" t="n"/>
      <c r="J137" s="12">
        <f>IF($I137="","",IF($I137&gt;31,$I137,IF($G137="","",IF(DATE(YEAR($G137),MONTH($G137),$I137)&gt;=$G137,DATE(YEAR($G137),MONTH($G137),$I137),DATE(YEAR($G137),MONTH($G137)+1,$I137)))))</f>
        <v/>
      </c>
      <c r="K137" s="13" t="n"/>
      <c r="L137" s="8">
        <f>IF(OR($G137="",$J137=""),"",$J137-$G137+1)</f>
        <v/>
      </c>
      <c r="M137" s="8">
        <f>IF(OR($G137="",$J137=""),"",$J137-$G137)</f>
        <v/>
      </c>
      <c r="N137" s="9" t="n"/>
      <c r="O137" s="9" t="n"/>
      <c r="P137" s="9" t="n"/>
      <c r="Q137" s="9" t="n"/>
      <c r="R137" s="9" t="n"/>
      <c r="S137" s="9" t="n"/>
      <c r="T137" s="14" t="n"/>
      <c r="U137" s="9" t="n"/>
      <c r="V137" s="8">
        <f>IF($G137="","",IF($D137="","⚠部屋が未選択",IF(COUNTIF('M_部屋'!$A$4:$A$20,$D137)=0,"⚠部屋が未登録",IF(OR($J137="",$N137="キャンセル"),"",IF(SUMPRODUCT(($D$5:$D$204=$D137)*($G$5:$G$204&lt;&gt;"")*($J$5:$J$204&lt;&gt;"")*($N$5:$N$204&lt;&gt;"キャンセル")*($G$5:$G$204&lt;$J137)*($J$5:$J$204&gt;$G137))&gt;1,"⚠重複","")))))</f>
        <v/>
      </c>
      <c r="W137" s="8">
        <f>IF(OR($B137="",$G137=""),"",IF(SUMPRODUCT(('利用者マスタ'!$A$4:$A$60=$B137)*('利用者マスタ'!$B$4:$B$60&lt;&gt;""))=0,"",IF(SUMIFS($X$5:$X$204,$B$5:$B$204,$B137,$G$5:$G$204,"&gt;="&amp;DATE(YEAR($G137),MONTH($G137),1),$G$5:$G$204,"&lt;="&amp;EOMONTH($G137,0))&gt;SUMIFS('利用者マスタ'!$B$4:$B$60,'利用者マスタ'!$A$4:$A$60,$B137),"⚠支給量超過","")))</f>
        <v/>
      </c>
      <c r="X137" s="8">
        <f>IF(OR($G137="",$J137="",$N137="キャンセル"),0,IF(IFERROR(INDEX('M_区分'!$B$4:$B$20,MATCH($C137,'M_区分'!$A$4:$A$20,0)),"○")="○",$J137-$G137+1,0))</f>
        <v/>
      </c>
      <c r="Y137" s="8">
        <f>IF($E137&lt;&gt;"",$E137,$Y136)</f>
        <v/>
      </c>
      <c r="Z137" s="8">
        <f>IF(OR($G137="",$J137=""),"",IF(AND($G137&lt;=EOMONTH('02_カレンダー'!$B$4,0),$J137&gt;='02_カレンダー'!$B$4),$G137*10000+ROW(),""))</f>
        <v/>
      </c>
      <c r="AA137" s="8">
        <f>IF($H137="","",IF(ISNUMBER($H137),TEXT($H137,"hh:mm"),$H137))</f>
        <v/>
      </c>
      <c r="AB137" s="8">
        <f>IF($K137="","",IF(ISNUMBER($K137),TEXT($K137,"hh:mm"),$K137))</f>
        <v/>
      </c>
      <c r="AC137" s="8">
        <f>IF($G137="",0,$G137)</f>
        <v/>
      </c>
      <c r="AD137" s="8">
        <f>IF($J137="",0,$J137)</f>
        <v/>
      </c>
    </row>
    <row r="138">
      <c r="A138" s="8">
        <f>IF($G138="","","SS-"&amp;TEXT(ROW()-4,"0000"))</f>
        <v/>
      </c>
      <c r="B138" s="9" t="n"/>
      <c r="C138" s="9" t="n"/>
      <c r="D138" s="9" t="n"/>
      <c r="E138" s="10" t="n"/>
      <c r="F138" s="11" t="n"/>
      <c r="G138" s="12">
        <f>IF($F138="","",IF($F138&gt;31,$F138,IF($Y138="","",DATE(YEAR($Y138),MONTH($Y138),$F138))))</f>
        <v/>
      </c>
      <c r="H138" s="13" t="n"/>
      <c r="I138" s="11" t="n"/>
      <c r="J138" s="12">
        <f>IF($I138="","",IF($I138&gt;31,$I138,IF($G138="","",IF(DATE(YEAR($G138),MONTH($G138),$I138)&gt;=$G138,DATE(YEAR($G138),MONTH($G138),$I138),DATE(YEAR($G138),MONTH($G138)+1,$I138)))))</f>
        <v/>
      </c>
      <c r="K138" s="13" t="n"/>
      <c r="L138" s="8">
        <f>IF(OR($G138="",$J138=""),"",$J138-$G138+1)</f>
        <v/>
      </c>
      <c r="M138" s="8">
        <f>IF(OR($G138="",$J138=""),"",$J138-$G138)</f>
        <v/>
      </c>
      <c r="N138" s="9" t="n"/>
      <c r="O138" s="9" t="n"/>
      <c r="P138" s="9" t="n"/>
      <c r="Q138" s="9" t="n"/>
      <c r="R138" s="9" t="n"/>
      <c r="S138" s="9" t="n"/>
      <c r="T138" s="14" t="n"/>
      <c r="U138" s="9" t="n"/>
      <c r="V138" s="8">
        <f>IF($G138="","",IF($D138="","⚠部屋が未選択",IF(COUNTIF('M_部屋'!$A$4:$A$20,$D138)=0,"⚠部屋が未登録",IF(OR($J138="",$N138="キャンセル"),"",IF(SUMPRODUCT(($D$5:$D$204=$D138)*($G$5:$G$204&lt;&gt;"")*($J$5:$J$204&lt;&gt;"")*($N$5:$N$204&lt;&gt;"キャンセル")*($G$5:$G$204&lt;$J138)*($J$5:$J$204&gt;$G138))&gt;1,"⚠重複","")))))</f>
        <v/>
      </c>
      <c r="W138" s="8">
        <f>IF(OR($B138="",$G138=""),"",IF(SUMPRODUCT(('利用者マスタ'!$A$4:$A$60=$B138)*('利用者マスタ'!$B$4:$B$60&lt;&gt;""))=0,"",IF(SUMIFS($X$5:$X$204,$B$5:$B$204,$B138,$G$5:$G$204,"&gt;="&amp;DATE(YEAR($G138),MONTH($G138),1),$G$5:$G$204,"&lt;="&amp;EOMONTH($G138,0))&gt;SUMIFS('利用者マスタ'!$B$4:$B$60,'利用者マスタ'!$A$4:$A$60,$B138),"⚠支給量超過","")))</f>
        <v/>
      </c>
      <c r="X138" s="8">
        <f>IF(OR($G138="",$J138="",$N138="キャンセル"),0,IF(IFERROR(INDEX('M_区分'!$B$4:$B$20,MATCH($C138,'M_区分'!$A$4:$A$20,0)),"○")="○",$J138-$G138+1,0))</f>
        <v/>
      </c>
      <c r="Y138" s="8">
        <f>IF($E138&lt;&gt;"",$E138,$Y137)</f>
        <v/>
      </c>
      <c r="Z138" s="8">
        <f>IF(OR($G138="",$J138=""),"",IF(AND($G138&lt;=EOMONTH('02_カレンダー'!$B$4,0),$J138&gt;='02_カレンダー'!$B$4),$G138*10000+ROW(),""))</f>
        <v/>
      </c>
      <c r="AA138" s="8">
        <f>IF($H138="","",IF(ISNUMBER($H138),TEXT($H138,"hh:mm"),$H138))</f>
        <v/>
      </c>
      <c r="AB138" s="8">
        <f>IF($K138="","",IF(ISNUMBER($K138),TEXT($K138,"hh:mm"),$K138))</f>
        <v/>
      </c>
      <c r="AC138" s="8">
        <f>IF($G138="",0,$G138)</f>
        <v/>
      </c>
      <c r="AD138" s="8">
        <f>IF($J138="",0,$J138)</f>
        <v/>
      </c>
    </row>
    <row r="139">
      <c r="A139" s="8">
        <f>IF($G139="","","SS-"&amp;TEXT(ROW()-4,"0000"))</f>
        <v/>
      </c>
      <c r="B139" s="9" t="n"/>
      <c r="C139" s="9" t="n"/>
      <c r="D139" s="9" t="n"/>
      <c r="E139" s="10" t="n"/>
      <c r="F139" s="11" t="n"/>
      <c r="G139" s="12">
        <f>IF($F139="","",IF($F139&gt;31,$F139,IF($Y139="","",DATE(YEAR($Y139),MONTH($Y139),$F139))))</f>
        <v/>
      </c>
      <c r="H139" s="13" t="n"/>
      <c r="I139" s="11" t="n"/>
      <c r="J139" s="12">
        <f>IF($I139="","",IF($I139&gt;31,$I139,IF($G139="","",IF(DATE(YEAR($G139),MONTH($G139),$I139)&gt;=$G139,DATE(YEAR($G139),MONTH($G139),$I139),DATE(YEAR($G139),MONTH($G139)+1,$I139)))))</f>
        <v/>
      </c>
      <c r="K139" s="13" t="n"/>
      <c r="L139" s="8">
        <f>IF(OR($G139="",$J139=""),"",$J139-$G139+1)</f>
        <v/>
      </c>
      <c r="M139" s="8">
        <f>IF(OR($G139="",$J139=""),"",$J139-$G139)</f>
        <v/>
      </c>
      <c r="N139" s="9" t="n"/>
      <c r="O139" s="9" t="n"/>
      <c r="P139" s="9" t="n"/>
      <c r="Q139" s="9" t="n"/>
      <c r="R139" s="9" t="n"/>
      <c r="S139" s="9" t="n"/>
      <c r="T139" s="14" t="n"/>
      <c r="U139" s="9" t="n"/>
      <c r="V139" s="8">
        <f>IF($G139="","",IF($D139="","⚠部屋が未選択",IF(COUNTIF('M_部屋'!$A$4:$A$20,$D139)=0,"⚠部屋が未登録",IF(OR($J139="",$N139="キャンセル"),"",IF(SUMPRODUCT(($D$5:$D$204=$D139)*($G$5:$G$204&lt;&gt;"")*($J$5:$J$204&lt;&gt;"")*($N$5:$N$204&lt;&gt;"キャンセル")*($G$5:$G$204&lt;$J139)*($J$5:$J$204&gt;$G139))&gt;1,"⚠重複","")))))</f>
        <v/>
      </c>
      <c r="W139" s="8">
        <f>IF(OR($B139="",$G139=""),"",IF(SUMPRODUCT(('利用者マスタ'!$A$4:$A$60=$B139)*('利用者マスタ'!$B$4:$B$60&lt;&gt;""))=0,"",IF(SUMIFS($X$5:$X$204,$B$5:$B$204,$B139,$G$5:$G$204,"&gt;="&amp;DATE(YEAR($G139),MONTH($G139),1),$G$5:$G$204,"&lt;="&amp;EOMONTH($G139,0))&gt;SUMIFS('利用者マスタ'!$B$4:$B$60,'利用者マスタ'!$A$4:$A$60,$B139),"⚠支給量超過","")))</f>
        <v/>
      </c>
      <c r="X139" s="8">
        <f>IF(OR($G139="",$J139="",$N139="キャンセル"),0,IF(IFERROR(INDEX('M_区分'!$B$4:$B$20,MATCH($C139,'M_区分'!$A$4:$A$20,0)),"○")="○",$J139-$G139+1,0))</f>
        <v/>
      </c>
      <c r="Y139" s="8">
        <f>IF($E139&lt;&gt;"",$E139,$Y138)</f>
        <v/>
      </c>
      <c r="Z139" s="8">
        <f>IF(OR($G139="",$J139=""),"",IF(AND($G139&lt;=EOMONTH('02_カレンダー'!$B$4,0),$J139&gt;='02_カレンダー'!$B$4),$G139*10000+ROW(),""))</f>
        <v/>
      </c>
      <c r="AA139" s="8">
        <f>IF($H139="","",IF(ISNUMBER($H139),TEXT($H139,"hh:mm"),$H139))</f>
        <v/>
      </c>
      <c r="AB139" s="8">
        <f>IF($K139="","",IF(ISNUMBER($K139),TEXT($K139,"hh:mm"),$K139))</f>
        <v/>
      </c>
      <c r="AC139" s="8">
        <f>IF($G139="",0,$G139)</f>
        <v/>
      </c>
      <c r="AD139" s="8">
        <f>IF($J139="",0,$J139)</f>
        <v/>
      </c>
    </row>
    <row r="140">
      <c r="A140" s="8">
        <f>IF($G140="","","SS-"&amp;TEXT(ROW()-4,"0000"))</f>
        <v/>
      </c>
      <c r="B140" s="9" t="n"/>
      <c r="C140" s="9" t="n"/>
      <c r="D140" s="9" t="n"/>
      <c r="E140" s="10" t="n"/>
      <c r="F140" s="11" t="n"/>
      <c r="G140" s="12">
        <f>IF($F140="","",IF($F140&gt;31,$F140,IF($Y140="","",DATE(YEAR($Y140),MONTH($Y140),$F140))))</f>
        <v/>
      </c>
      <c r="H140" s="13" t="n"/>
      <c r="I140" s="11" t="n"/>
      <c r="J140" s="12">
        <f>IF($I140="","",IF($I140&gt;31,$I140,IF($G140="","",IF(DATE(YEAR($G140),MONTH($G140),$I140)&gt;=$G140,DATE(YEAR($G140),MONTH($G140),$I140),DATE(YEAR($G140),MONTH($G140)+1,$I140)))))</f>
        <v/>
      </c>
      <c r="K140" s="13" t="n"/>
      <c r="L140" s="8">
        <f>IF(OR($G140="",$J140=""),"",$J140-$G140+1)</f>
        <v/>
      </c>
      <c r="M140" s="8">
        <f>IF(OR($G140="",$J140=""),"",$J140-$G140)</f>
        <v/>
      </c>
      <c r="N140" s="9" t="n"/>
      <c r="O140" s="9" t="n"/>
      <c r="P140" s="9" t="n"/>
      <c r="Q140" s="9" t="n"/>
      <c r="R140" s="9" t="n"/>
      <c r="S140" s="9" t="n"/>
      <c r="T140" s="14" t="n"/>
      <c r="U140" s="9" t="n"/>
      <c r="V140" s="8">
        <f>IF($G140="","",IF($D140="","⚠部屋が未選択",IF(COUNTIF('M_部屋'!$A$4:$A$20,$D140)=0,"⚠部屋が未登録",IF(OR($J140="",$N140="キャンセル"),"",IF(SUMPRODUCT(($D$5:$D$204=$D140)*($G$5:$G$204&lt;&gt;"")*($J$5:$J$204&lt;&gt;"")*($N$5:$N$204&lt;&gt;"キャンセル")*($G$5:$G$204&lt;$J140)*($J$5:$J$204&gt;$G140))&gt;1,"⚠重複","")))))</f>
        <v/>
      </c>
      <c r="W140" s="8">
        <f>IF(OR($B140="",$G140=""),"",IF(SUMPRODUCT(('利用者マスタ'!$A$4:$A$60=$B140)*('利用者マスタ'!$B$4:$B$60&lt;&gt;""))=0,"",IF(SUMIFS($X$5:$X$204,$B$5:$B$204,$B140,$G$5:$G$204,"&gt;="&amp;DATE(YEAR($G140),MONTH($G140),1),$G$5:$G$204,"&lt;="&amp;EOMONTH($G140,0))&gt;SUMIFS('利用者マスタ'!$B$4:$B$60,'利用者マスタ'!$A$4:$A$60,$B140),"⚠支給量超過","")))</f>
        <v/>
      </c>
      <c r="X140" s="8">
        <f>IF(OR($G140="",$J140="",$N140="キャンセル"),0,IF(IFERROR(INDEX('M_区分'!$B$4:$B$20,MATCH($C140,'M_区分'!$A$4:$A$20,0)),"○")="○",$J140-$G140+1,0))</f>
        <v/>
      </c>
      <c r="Y140" s="8">
        <f>IF($E140&lt;&gt;"",$E140,$Y139)</f>
        <v/>
      </c>
      <c r="Z140" s="8">
        <f>IF(OR($G140="",$J140=""),"",IF(AND($G140&lt;=EOMONTH('02_カレンダー'!$B$4,0),$J140&gt;='02_カレンダー'!$B$4),$G140*10000+ROW(),""))</f>
        <v/>
      </c>
      <c r="AA140" s="8">
        <f>IF($H140="","",IF(ISNUMBER($H140),TEXT($H140,"hh:mm"),$H140))</f>
        <v/>
      </c>
      <c r="AB140" s="8">
        <f>IF($K140="","",IF(ISNUMBER($K140),TEXT($K140,"hh:mm"),$K140))</f>
        <v/>
      </c>
      <c r="AC140" s="8">
        <f>IF($G140="",0,$G140)</f>
        <v/>
      </c>
      <c r="AD140" s="8">
        <f>IF($J140="",0,$J140)</f>
        <v/>
      </c>
    </row>
    <row r="141">
      <c r="A141" s="8">
        <f>IF($G141="","","SS-"&amp;TEXT(ROW()-4,"0000"))</f>
        <v/>
      </c>
      <c r="B141" s="9" t="n"/>
      <c r="C141" s="9" t="n"/>
      <c r="D141" s="9" t="n"/>
      <c r="E141" s="10" t="n"/>
      <c r="F141" s="11" t="n"/>
      <c r="G141" s="12">
        <f>IF($F141="","",IF($F141&gt;31,$F141,IF($Y141="","",DATE(YEAR($Y141),MONTH($Y141),$F141))))</f>
        <v/>
      </c>
      <c r="H141" s="13" t="n"/>
      <c r="I141" s="11" t="n"/>
      <c r="J141" s="12">
        <f>IF($I141="","",IF($I141&gt;31,$I141,IF($G141="","",IF(DATE(YEAR($G141),MONTH($G141),$I141)&gt;=$G141,DATE(YEAR($G141),MONTH($G141),$I141),DATE(YEAR($G141),MONTH($G141)+1,$I141)))))</f>
        <v/>
      </c>
      <c r="K141" s="13" t="n"/>
      <c r="L141" s="8">
        <f>IF(OR($G141="",$J141=""),"",$J141-$G141+1)</f>
        <v/>
      </c>
      <c r="M141" s="8">
        <f>IF(OR($G141="",$J141=""),"",$J141-$G141)</f>
        <v/>
      </c>
      <c r="N141" s="9" t="n"/>
      <c r="O141" s="9" t="n"/>
      <c r="P141" s="9" t="n"/>
      <c r="Q141" s="9" t="n"/>
      <c r="R141" s="9" t="n"/>
      <c r="S141" s="9" t="n"/>
      <c r="T141" s="14" t="n"/>
      <c r="U141" s="9" t="n"/>
      <c r="V141" s="8">
        <f>IF($G141="","",IF($D141="","⚠部屋が未選択",IF(COUNTIF('M_部屋'!$A$4:$A$20,$D141)=0,"⚠部屋が未登録",IF(OR($J141="",$N141="キャンセル"),"",IF(SUMPRODUCT(($D$5:$D$204=$D141)*($G$5:$G$204&lt;&gt;"")*($J$5:$J$204&lt;&gt;"")*($N$5:$N$204&lt;&gt;"キャンセル")*($G$5:$G$204&lt;$J141)*($J$5:$J$204&gt;$G141))&gt;1,"⚠重複","")))))</f>
        <v/>
      </c>
      <c r="W141" s="8">
        <f>IF(OR($B141="",$G141=""),"",IF(SUMPRODUCT(('利用者マスタ'!$A$4:$A$60=$B141)*('利用者マスタ'!$B$4:$B$60&lt;&gt;""))=0,"",IF(SUMIFS($X$5:$X$204,$B$5:$B$204,$B141,$G$5:$G$204,"&gt;="&amp;DATE(YEAR($G141),MONTH($G141),1),$G$5:$G$204,"&lt;="&amp;EOMONTH($G141,0))&gt;SUMIFS('利用者マスタ'!$B$4:$B$60,'利用者マスタ'!$A$4:$A$60,$B141),"⚠支給量超過","")))</f>
        <v/>
      </c>
      <c r="X141" s="8">
        <f>IF(OR($G141="",$J141="",$N141="キャンセル"),0,IF(IFERROR(INDEX('M_区分'!$B$4:$B$20,MATCH($C141,'M_区分'!$A$4:$A$20,0)),"○")="○",$J141-$G141+1,0))</f>
        <v/>
      </c>
      <c r="Y141" s="8">
        <f>IF($E141&lt;&gt;"",$E141,$Y140)</f>
        <v/>
      </c>
      <c r="Z141" s="8">
        <f>IF(OR($G141="",$J141=""),"",IF(AND($G141&lt;=EOMONTH('02_カレンダー'!$B$4,0),$J141&gt;='02_カレンダー'!$B$4),$G141*10000+ROW(),""))</f>
        <v/>
      </c>
      <c r="AA141" s="8">
        <f>IF($H141="","",IF(ISNUMBER($H141),TEXT($H141,"hh:mm"),$H141))</f>
        <v/>
      </c>
      <c r="AB141" s="8">
        <f>IF($K141="","",IF(ISNUMBER($K141),TEXT($K141,"hh:mm"),$K141))</f>
        <v/>
      </c>
      <c r="AC141" s="8">
        <f>IF($G141="",0,$G141)</f>
        <v/>
      </c>
      <c r="AD141" s="8">
        <f>IF($J141="",0,$J141)</f>
        <v/>
      </c>
    </row>
    <row r="142">
      <c r="A142" s="8">
        <f>IF($G142="","","SS-"&amp;TEXT(ROW()-4,"0000"))</f>
        <v/>
      </c>
      <c r="B142" s="9" t="n"/>
      <c r="C142" s="9" t="n"/>
      <c r="D142" s="9" t="n"/>
      <c r="E142" s="10" t="n"/>
      <c r="F142" s="11" t="n"/>
      <c r="G142" s="12">
        <f>IF($F142="","",IF($F142&gt;31,$F142,IF($Y142="","",DATE(YEAR($Y142),MONTH($Y142),$F142))))</f>
        <v/>
      </c>
      <c r="H142" s="13" t="n"/>
      <c r="I142" s="11" t="n"/>
      <c r="J142" s="12">
        <f>IF($I142="","",IF($I142&gt;31,$I142,IF($G142="","",IF(DATE(YEAR($G142),MONTH($G142),$I142)&gt;=$G142,DATE(YEAR($G142),MONTH($G142),$I142),DATE(YEAR($G142),MONTH($G142)+1,$I142)))))</f>
        <v/>
      </c>
      <c r="K142" s="13" t="n"/>
      <c r="L142" s="8">
        <f>IF(OR($G142="",$J142=""),"",$J142-$G142+1)</f>
        <v/>
      </c>
      <c r="M142" s="8">
        <f>IF(OR($G142="",$J142=""),"",$J142-$G142)</f>
        <v/>
      </c>
      <c r="N142" s="9" t="n"/>
      <c r="O142" s="9" t="n"/>
      <c r="P142" s="9" t="n"/>
      <c r="Q142" s="9" t="n"/>
      <c r="R142" s="9" t="n"/>
      <c r="S142" s="9" t="n"/>
      <c r="T142" s="14" t="n"/>
      <c r="U142" s="9" t="n"/>
      <c r="V142" s="8">
        <f>IF($G142="","",IF($D142="","⚠部屋が未選択",IF(COUNTIF('M_部屋'!$A$4:$A$20,$D142)=0,"⚠部屋が未登録",IF(OR($J142="",$N142="キャンセル"),"",IF(SUMPRODUCT(($D$5:$D$204=$D142)*($G$5:$G$204&lt;&gt;"")*($J$5:$J$204&lt;&gt;"")*($N$5:$N$204&lt;&gt;"キャンセル")*($G$5:$G$204&lt;$J142)*($J$5:$J$204&gt;$G142))&gt;1,"⚠重複","")))))</f>
        <v/>
      </c>
      <c r="W142" s="8">
        <f>IF(OR($B142="",$G142=""),"",IF(SUMPRODUCT(('利用者マスタ'!$A$4:$A$60=$B142)*('利用者マスタ'!$B$4:$B$60&lt;&gt;""))=0,"",IF(SUMIFS($X$5:$X$204,$B$5:$B$204,$B142,$G$5:$G$204,"&gt;="&amp;DATE(YEAR($G142),MONTH($G142),1),$G$5:$G$204,"&lt;="&amp;EOMONTH($G142,0))&gt;SUMIFS('利用者マスタ'!$B$4:$B$60,'利用者マスタ'!$A$4:$A$60,$B142),"⚠支給量超過","")))</f>
        <v/>
      </c>
      <c r="X142" s="8">
        <f>IF(OR($G142="",$J142="",$N142="キャンセル"),0,IF(IFERROR(INDEX('M_区分'!$B$4:$B$20,MATCH($C142,'M_区分'!$A$4:$A$20,0)),"○")="○",$J142-$G142+1,0))</f>
        <v/>
      </c>
      <c r="Y142" s="8">
        <f>IF($E142&lt;&gt;"",$E142,$Y141)</f>
        <v/>
      </c>
      <c r="Z142" s="8">
        <f>IF(OR($G142="",$J142=""),"",IF(AND($G142&lt;=EOMONTH('02_カレンダー'!$B$4,0),$J142&gt;='02_カレンダー'!$B$4),$G142*10000+ROW(),""))</f>
        <v/>
      </c>
      <c r="AA142" s="8">
        <f>IF($H142="","",IF(ISNUMBER($H142),TEXT($H142,"hh:mm"),$H142))</f>
        <v/>
      </c>
      <c r="AB142" s="8">
        <f>IF($K142="","",IF(ISNUMBER($K142),TEXT($K142,"hh:mm"),$K142))</f>
        <v/>
      </c>
      <c r="AC142" s="8">
        <f>IF($G142="",0,$G142)</f>
        <v/>
      </c>
      <c r="AD142" s="8">
        <f>IF($J142="",0,$J142)</f>
        <v/>
      </c>
    </row>
    <row r="143">
      <c r="A143" s="8">
        <f>IF($G143="","","SS-"&amp;TEXT(ROW()-4,"0000"))</f>
        <v/>
      </c>
      <c r="B143" s="9" t="n"/>
      <c r="C143" s="9" t="n"/>
      <c r="D143" s="9" t="n"/>
      <c r="E143" s="10" t="n"/>
      <c r="F143" s="11" t="n"/>
      <c r="G143" s="12">
        <f>IF($F143="","",IF($F143&gt;31,$F143,IF($Y143="","",DATE(YEAR($Y143),MONTH($Y143),$F143))))</f>
        <v/>
      </c>
      <c r="H143" s="13" t="n"/>
      <c r="I143" s="11" t="n"/>
      <c r="J143" s="12">
        <f>IF($I143="","",IF($I143&gt;31,$I143,IF($G143="","",IF(DATE(YEAR($G143),MONTH($G143),$I143)&gt;=$G143,DATE(YEAR($G143),MONTH($G143),$I143),DATE(YEAR($G143),MONTH($G143)+1,$I143)))))</f>
        <v/>
      </c>
      <c r="K143" s="13" t="n"/>
      <c r="L143" s="8">
        <f>IF(OR($G143="",$J143=""),"",$J143-$G143+1)</f>
        <v/>
      </c>
      <c r="M143" s="8">
        <f>IF(OR($G143="",$J143=""),"",$J143-$G143)</f>
        <v/>
      </c>
      <c r="N143" s="9" t="n"/>
      <c r="O143" s="9" t="n"/>
      <c r="P143" s="9" t="n"/>
      <c r="Q143" s="9" t="n"/>
      <c r="R143" s="9" t="n"/>
      <c r="S143" s="9" t="n"/>
      <c r="T143" s="14" t="n"/>
      <c r="U143" s="9" t="n"/>
      <c r="V143" s="8">
        <f>IF($G143="","",IF($D143="","⚠部屋が未選択",IF(COUNTIF('M_部屋'!$A$4:$A$20,$D143)=0,"⚠部屋が未登録",IF(OR($J143="",$N143="キャンセル"),"",IF(SUMPRODUCT(($D$5:$D$204=$D143)*($G$5:$G$204&lt;&gt;"")*($J$5:$J$204&lt;&gt;"")*($N$5:$N$204&lt;&gt;"キャンセル")*($G$5:$G$204&lt;$J143)*($J$5:$J$204&gt;$G143))&gt;1,"⚠重複","")))))</f>
        <v/>
      </c>
      <c r="W143" s="8">
        <f>IF(OR($B143="",$G143=""),"",IF(SUMPRODUCT(('利用者マスタ'!$A$4:$A$60=$B143)*('利用者マスタ'!$B$4:$B$60&lt;&gt;""))=0,"",IF(SUMIFS($X$5:$X$204,$B$5:$B$204,$B143,$G$5:$G$204,"&gt;="&amp;DATE(YEAR($G143),MONTH($G143),1),$G$5:$G$204,"&lt;="&amp;EOMONTH($G143,0))&gt;SUMIFS('利用者マスタ'!$B$4:$B$60,'利用者マスタ'!$A$4:$A$60,$B143),"⚠支給量超過","")))</f>
        <v/>
      </c>
      <c r="X143" s="8">
        <f>IF(OR($G143="",$J143="",$N143="キャンセル"),0,IF(IFERROR(INDEX('M_区分'!$B$4:$B$20,MATCH($C143,'M_区分'!$A$4:$A$20,0)),"○")="○",$J143-$G143+1,0))</f>
        <v/>
      </c>
      <c r="Y143" s="8">
        <f>IF($E143&lt;&gt;"",$E143,$Y142)</f>
        <v/>
      </c>
      <c r="Z143" s="8">
        <f>IF(OR($G143="",$J143=""),"",IF(AND($G143&lt;=EOMONTH('02_カレンダー'!$B$4,0),$J143&gt;='02_カレンダー'!$B$4),$G143*10000+ROW(),""))</f>
        <v/>
      </c>
      <c r="AA143" s="8">
        <f>IF($H143="","",IF(ISNUMBER($H143),TEXT($H143,"hh:mm"),$H143))</f>
        <v/>
      </c>
      <c r="AB143" s="8">
        <f>IF($K143="","",IF(ISNUMBER($K143),TEXT($K143,"hh:mm"),$K143))</f>
        <v/>
      </c>
      <c r="AC143" s="8">
        <f>IF($G143="",0,$G143)</f>
        <v/>
      </c>
      <c r="AD143" s="8">
        <f>IF($J143="",0,$J143)</f>
        <v/>
      </c>
    </row>
    <row r="144">
      <c r="A144" s="8">
        <f>IF($G144="","","SS-"&amp;TEXT(ROW()-4,"0000"))</f>
        <v/>
      </c>
      <c r="B144" s="9" t="n"/>
      <c r="C144" s="9" t="n"/>
      <c r="D144" s="9" t="n"/>
      <c r="E144" s="10" t="n"/>
      <c r="F144" s="11" t="n"/>
      <c r="G144" s="12">
        <f>IF($F144="","",IF($F144&gt;31,$F144,IF($Y144="","",DATE(YEAR($Y144),MONTH($Y144),$F144))))</f>
        <v/>
      </c>
      <c r="H144" s="13" t="n"/>
      <c r="I144" s="11" t="n"/>
      <c r="J144" s="12">
        <f>IF($I144="","",IF($I144&gt;31,$I144,IF($G144="","",IF(DATE(YEAR($G144),MONTH($G144),$I144)&gt;=$G144,DATE(YEAR($G144),MONTH($G144),$I144),DATE(YEAR($G144),MONTH($G144)+1,$I144)))))</f>
        <v/>
      </c>
      <c r="K144" s="13" t="n"/>
      <c r="L144" s="8">
        <f>IF(OR($G144="",$J144=""),"",$J144-$G144+1)</f>
        <v/>
      </c>
      <c r="M144" s="8">
        <f>IF(OR($G144="",$J144=""),"",$J144-$G144)</f>
        <v/>
      </c>
      <c r="N144" s="9" t="n"/>
      <c r="O144" s="9" t="n"/>
      <c r="P144" s="9" t="n"/>
      <c r="Q144" s="9" t="n"/>
      <c r="R144" s="9" t="n"/>
      <c r="S144" s="9" t="n"/>
      <c r="T144" s="14" t="n"/>
      <c r="U144" s="9" t="n"/>
      <c r="V144" s="8">
        <f>IF($G144="","",IF($D144="","⚠部屋が未選択",IF(COUNTIF('M_部屋'!$A$4:$A$20,$D144)=0,"⚠部屋が未登録",IF(OR($J144="",$N144="キャンセル"),"",IF(SUMPRODUCT(($D$5:$D$204=$D144)*($G$5:$G$204&lt;&gt;"")*($J$5:$J$204&lt;&gt;"")*($N$5:$N$204&lt;&gt;"キャンセル")*($G$5:$G$204&lt;$J144)*($J$5:$J$204&gt;$G144))&gt;1,"⚠重複","")))))</f>
        <v/>
      </c>
      <c r="W144" s="8">
        <f>IF(OR($B144="",$G144=""),"",IF(SUMPRODUCT(('利用者マスタ'!$A$4:$A$60=$B144)*('利用者マスタ'!$B$4:$B$60&lt;&gt;""))=0,"",IF(SUMIFS($X$5:$X$204,$B$5:$B$204,$B144,$G$5:$G$204,"&gt;="&amp;DATE(YEAR($G144),MONTH($G144),1),$G$5:$G$204,"&lt;="&amp;EOMONTH($G144,0))&gt;SUMIFS('利用者マスタ'!$B$4:$B$60,'利用者マスタ'!$A$4:$A$60,$B144),"⚠支給量超過","")))</f>
        <v/>
      </c>
      <c r="X144" s="8">
        <f>IF(OR($G144="",$J144="",$N144="キャンセル"),0,IF(IFERROR(INDEX('M_区分'!$B$4:$B$20,MATCH($C144,'M_区分'!$A$4:$A$20,0)),"○")="○",$J144-$G144+1,0))</f>
        <v/>
      </c>
      <c r="Y144" s="8">
        <f>IF($E144&lt;&gt;"",$E144,$Y143)</f>
        <v/>
      </c>
      <c r="Z144" s="8">
        <f>IF(OR($G144="",$J144=""),"",IF(AND($G144&lt;=EOMONTH('02_カレンダー'!$B$4,0),$J144&gt;='02_カレンダー'!$B$4),$G144*10000+ROW(),""))</f>
        <v/>
      </c>
      <c r="AA144" s="8">
        <f>IF($H144="","",IF(ISNUMBER($H144),TEXT($H144,"hh:mm"),$H144))</f>
        <v/>
      </c>
      <c r="AB144" s="8">
        <f>IF($K144="","",IF(ISNUMBER($K144),TEXT($K144,"hh:mm"),$K144))</f>
        <v/>
      </c>
      <c r="AC144" s="8">
        <f>IF($G144="",0,$G144)</f>
        <v/>
      </c>
      <c r="AD144" s="8">
        <f>IF($J144="",0,$J144)</f>
        <v/>
      </c>
    </row>
    <row r="145">
      <c r="A145" s="8">
        <f>IF($G145="","","SS-"&amp;TEXT(ROW()-4,"0000"))</f>
        <v/>
      </c>
      <c r="B145" s="9" t="n"/>
      <c r="C145" s="9" t="n"/>
      <c r="D145" s="9" t="n"/>
      <c r="E145" s="10" t="n"/>
      <c r="F145" s="11" t="n"/>
      <c r="G145" s="12">
        <f>IF($F145="","",IF($F145&gt;31,$F145,IF($Y145="","",DATE(YEAR($Y145),MONTH($Y145),$F145))))</f>
        <v/>
      </c>
      <c r="H145" s="13" t="n"/>
      <c r="I145" s="11" t="n"/>
      <c r="J145" s="12">
        <f>IF($I145="","",IF($I145&gt;31,$I145,IF($G145="","",IF(DATE(YEAR($G145),MONTH($G145),$I145)&gt;=$G145,DATE(YEAR($G145),MONTH($G145),$I145),DATE(YEAR($G145),MONTH($G145)+1,$I145)))))</f>
        <v/>
      </c>
      <c r="K145" s="13" t="n"/>
      <c r="L145" s="8">
        <f>IF(OR($G145="",$J145=""),"",$J145-$G145+1)</f>
        <v/>
      </c>
      <c r="M145" s="8">
        <f>IF(OR($G145="",$J145=""),"",$J145-$G145)</f>
        <v/>
      </c>
      <c r="N145" s="9" t="n"/>
      <c r="O145" s="9" t="n"/>
      <c r="P145" s="9" t="n"/>
      <c r="Q145" s="9" t="n"/>
      <c r="R145" s="9" t="n"/>
      <c r="S145" s="9" t="n"/>
      <c r="T145" s="14" t="n"/>
      <c r="U145" s="9" t="n"/>
      <c r="V145" s="8">
        <f>IF($G145="","",IF($D145="","⚠部屋が未選択",IF(COUNTIF('M_部屋'!$A$4:$A$20,$D145)=0,"⚠部屋が未登録",IF(OR($J145="",$N145="キャンセル"),"",IF(SUMPRODUCT(($D$5:$D$204=$D145)*($G$5:$G$204&lt;&gt;"")*($J$5:$J$204&lt;&gt;"")*($N$5:$N$204&lt;&gt;"キャンセル")*($G$5:$G$204&lt;$J145)*($J$5:$J$204&gt;$G145))&gt;1,"⚠重複","")))))</f>
        <v/>
      </c>
      <c r="W145" s="8">
        <f>IF(OR($B145="",$G145=""),"",IF(SUMPRODUCT(('利用者マスタ'!$A$4:$A$60=$B145)*('利用者マスタ'!$B$4:$B$60&lt;&gt;""))=0,"",IF(SUMIFS($X$5:$X$204,$B$5:$B$204,$B145,$G$5:$G$204,"&gt;="&amp;DATE(YEAR($G145),MONTH($G145),1),$G$5:$G$204,"&lt;="&amp;EOMONTH($G145,0))&gt;SUMIFS('利用者マスタ'!$B$4:$B$60,'利用者マスタ'!$A$4:$A$60,$B145),"⚠支給量超過","")))</f>
        <v/>
      </c>
      <c r="X145" s="8">
        <f>IF(OR($G145="",$J145="",$N145="キャンセル"),0,IF(IFERROR(INDEX('M_区分'!$B$4:$B$20,MATCH($C145,'M_区分'!$A$4:$A$20,0)),"○")="○",$J145-$G145+1,0))</f>
        <v/>
      </c>
      <c r="Y145" s="8">
        <f>IF($E145&lt;&gt;"",$E145,$Y144)</f>
        <v/>
      </c>
      <c r="Z145" s="8">
        <f>IF(OR($G145="",$J145=""),"",IF(AND($G145&lt;=EOMONTH('02_カレンダー'!$B$4,0),$J145&gt;='02_カレンダー'!$B$4),$G145*10000+ROW(),""))</f>
        <v/>
      </c>
      <c r="AA145" s="8">
        <f>IF($H145="","",IF(ISNUMBER($H145),TEXT($H145,"hh:mm"),$H145))</f>
        <v/>
      </c>
      <c r="AB145" s="8">
        <f>IF($K145="","",IF(ISNUMBER($K145),TEXT($K145,"hh:mm"),$K145))</f>
        <v/>
      </c>
      <c r="AC145" s="8">
        <f>IF($G145="",0,$G145)</f>
        <v/>
      </c>
      <c r="AD145" s="8">
        <f>IF($J145="",0,$J145)</f>
        <v/>
      </c>
    </row>
    <row r="146">
      <c r="A146" s="8">
        <f>IF($G146="","","SS-"&amp;TEXT(ROW()-4,"0000"))</f>
        <v/>
      </c>
      <c r="B146" s="9" t="n"/>
      <c r="C146" s="9" t="n"/>
      <c r="D146" s="9" t="n"/>
      <c r="E146" s="10" t="n"/>
      <c r="F146" s="11" t="n"/>
      <c r="G146" s="12">
        <f>IF($F146="","",IF($F146&gt;31,$F146,IF($Y146="","",DATE(YEAR($Y146),MONTH($Y146),$F146))))</f>
        <v/>
      </c>
      <c r="H146" s="13" t="n"/>
      <c r="I146" s="11" t="n"/>
      <c r="J146" s="12">
        <f>IF($I146="","",IF($I146&gt;31,$I146,IF($G146="","",IF(DATE(YEAR($G146),MONTH($G146),$I146)&gt;=$G146,DATE(YEAR($G146),MONTH($G146),$I146),DATE(YEAR($G146),MONTH($G146)+1,$I146)))))</f>
        <v/>
      </c>
      <c r="K146" s="13" t="n"/>
      <c r="L146" s="8">
        <f>IF(OR($G146="",$J146=""),"",$J146-$G146+1)</f>
        <v/>
      </c>
      <c r="M146" s="8">
        <f>IF(OR($G146="",$J146=""),"",$J146-$G146)</f>
        <v/>
      </c>
      <c r="N146" s="9" t="n"/>
      <c r="O146" s="9" t="n"/>
      <c r="P146" s="9" t="n"/>
      <c r="Q146" s="9" t="n"/>
      <c r="R146" s="9" t="n"/>
      <c r="S146" s="9" t="n"/>
      <c r="T146" s="14" t="n"/>
      <c r="U146" s="9" t="n"/>
      <c r="V146" s="8">
        <f>IF($G146="","",IF($D146="","⚠部屋が未選択",IF(COUNTIF('M_部屋'!$A$4:$A$20,$D146)=0,"⚠部屋が未登録",IF(OR($J146="",$N146="キャンセル"),"",IF(SUMPRODUCT(($D$5:$D$204=$D146)*($G$5:$G$204&lt;&gt;"")*($J$5:$J$204&lt;&gt;"")*($N$5:$N$204&lt;&gt;"キャンセル")*($G$5:$G$204&lt;$J146)*($J$5:$J$204&gt;$G146))&gt;1,"⚠重複","")))))</f>
        <v/>
      </c>
      <c r="W146" s="8">
        <f>IF(OR($B146="",$G146=""),"",IF(SUMPRODUCT(('利用者マスタ'!$A$4:$A$60=$B146)*('利用者マスタ'!$B$4:$B$60&lt;&gt;""))=0,"",IF(SUMIFS($X$5:$X$204,$B$5:$B$204,$B146,$G$5:$G$204,"&gt;="&amp;DATE(YEAR($G146),MONTH($G146),1),$G$5:$G$204,"&lt;="&amp;EOMONTH($G146,0))&gt;SUMIFS('利用者マスタ'!$B$4:$B$60,'利用者マスタ'!$A$4:$A$60,$B146),"⚠支給量超過","")))</f>
        <v/>
      </c>
      <c r="X146" s="8">
        <f>IF(OR($G146="",$J146="",$N146="キャンセル"),0,IF(IFERROR(INDEX('M_区分'!$B$4:$B$20,MATCH($C146,'M_区分'!$A$4:$A$20,0)),"○")="○",$J146-$G146+1,0))</f>
        <v/>
      </c>
      <c r="Y146" s="8">
        <f>IF($E146&lt;&gt;"",$E146,$Y145)</f>
        <v/>
      </c>
      <c r="Z146" s="8">
        <f>IF(OR($G146="",$J146=""),"",IF(AND($G146&lt;=EOMONTH('02_カレンダー'!$B$4,0),$J146&gt;='02_カレンダー'!$B$4),$G146*10000+ROW(),""))</f>
        <v/>
      </c>
      <c r="AA146" s="8">
        <f>IF($H146="","",IF(ISNUMBER($H146),TEXT($H146,"hh:mm"),$H146))</f>
        <v/>
      </c>
      <c r="AB146" s="8">
        <f>IF($K146="","",IF(ISNUMBER($K146),TEXT($K146,"hh:mm"),$K146))</f>
        <v/>
      </c>
      <c r="AC146" s="8">
        <f>IF($G146="",0,$G146)</f>
        <v/>
      </c>
      <c r="AD146" s="8">
        <f>IF($J146="",0,$J146)</f>
        <v/>
      </c>
    </row>
    <row r="147">
      <c r="A147" s="8">
        <f>IF($G147="","","SS-"&amp;TEXT(ROW()-4,"0000"))</f>
        <v/>
      </c>
      <c r="B147" s="9" t="n"/>
      <c r="C147" s="9" t="n"/>
      <c r="D147" s="9" t="n"/>
      <c r="E147" s="10" t="n"/>
      <c r="F147" s="11" t="n"/>
      <c r="G147" s="12">
        <f>IF($F147="","",IF($F147&gt;31,$F147,IF($Y147="","",DATE(YEAR($Y147),MONTH($Y147),$F147))))</f>
        <v/>
      </c>
      <c r="H147" s="13" t="n"/>
      <c r="I147" s="11" t="n"/>
      <c r="J147" s="12">
        <f>IF($I147="","",IF($I147&gt;31,$I147,IF($G147="","",IF(DATE(YEAR($G147),MONTH($G147),$I147)&gt;=$G147,DATE(YEAR($G147),MONTH($G147),$I147),DATE(YEAR($G147),MONTH($G147)+1,$I147)))))</f>
        <v/>
      </c>
      <c r="K147" s="13" t="n"/>
      <c r="L147" s="8">
        <f>IF(OR($G147="",$J147=""),"",$J147-$G147+1)</f>
        <v/>
      </c>
      <c r="M147" s="8">
        <f>IF(OR($G147="",$J147=""),"",$J147-$G147)</f>
        <v/>
      </c>
      <c r="N147" s="9" t="n"/>
      <c r="O147" s="9" t="n"/>
      <c r="P147" s="9" t="n"/>
      <c r="Q147" s="9" t="n"/>
      <c r="R147" s="9" t="n"/>
      <c r="S147" s="9" t="n"/>
      <c r="T147" s="14" t="n"/>
      <c r="U147" s="9" t="n"/>
      <c r="V147" s="8">
        <f>IF($G147="","",IF($D147="","⚠部屋が未選択",IF(COUNTIF('M_部屋'!$A$4:$A$20,$D147)=0,"⚠部屋が未登録",IF(OR($J147="",$N147="キャンセル"),"",IF(SUMPRODUCT(($D$5:$D$204=$D147)*($G$5:$G$204&lt;&gt;"")*($J$5:$J$204&lt;&gt;"")*($N$5:$N$204&lt;&gt;"キャンセル")*($G$5:$G$204&lt;$J147)*($J$5:$J$204&gt;$G147))&gt;1,"⚠重複","")))))</f>
        <v/>
      </c>
      <c r="W147" s="8">
        <f>IF(OR($B147="",$G147=""),"",IF(SUMPRODUCT(('利用者マスタ'!$A$4:$A$60=$B147)*('利用者マスタ'!$B$4:$B$60&lt;&gt;""))=0,"",IF(SUMIFS($X$5:$X$204,$B$5:$B$204,$B147,$G$5:$G$204,"&gt;="&amp;DATE(YEAR($G147),MONTH($G147),1),$G$5:$G$204,"&lt;="&amp;EOMONTH($G147,0))&gt;SUMIFS('利用者マスタ'!$B$4:$B$60,'利用者マスタ'!$A$4:$A$60,$B147),"⚠支給量超過","")))</f>
        <v/>
      </c>
      <c r="X147" s="8">
        <f>IF(OR($G147="",$J147="",$N147="キャンセル"),0,IF(IFERROR(INDEX('M_区分'!$B$4:$B$20,MATCH($C147,'M_区分'!$A$4:$A$20,0)),"○")="○",$J147-$G147+1,0))</f>
        <v/>
      </c>
      <c r="Y147" s="8">
        <f>IF($E147&lt;&gt;"",$E147,$Y146)</f>
        <v/>
      </c>
      <c r="Z147" s="8">
        <f>IF(OR($G147="",$J147=""),"",IF(AND($G147&lt;=EOMONTH('02_カレンダー'!$B$4,0),$J147&gt;='02_カレンダー'!$B$4),$G147*10000+ROW(),""))</f>
        <v/>
      </c>
      <c r="AA147" s="8">
        <f>IF($H147="","",IF(ISNUMBER($H147),TEXT($H147,"hh:mm"),$H147))</f>
        <v/>
      </c>
      <c r="AB147" s="8">
        <f>IF($K147="","",IF(ISNUMBER($K147),TEXT($K147,"hh:mm"),$K147))</f>
        <v/>
      </c>
      <c r="AC147" s="8">
        <f>IF($G147="",0,$G147)</f>
        <v/>
      </c>
      <c r="AD147" s="8">
        <f>IF($J147="",0,$J147)</f>
        <v/>
      </c>
    </row>
    <row r="148">
      <c r="A148" s="8">
        <f>IF($G148="","","SS-"&amp;TEXT(ROW()-4,"0000"))</f>
        <v/>
      </c>
      <c r="B148" s="9" t="n"/>
      <c r="C148" s="9" t="n"/>
      <c r="D148" s="9" t="n"/>
      <c r="E148" s="10" t="n"/>
      <c r="F148" s="11" t="n"/>
      <c r="G148" s="12">
        <f>IF($F148="","",IF($F148&gt;31,$F148,IF($Y148="","",DATE(YEAR($Y148),MONTH($Y148),$F148))))</f>
        <v/>
      </c>
      <c r="H148" s="13" t="n"/>
      <c r="I148" s="11" t="n"/>
      <c r="J148" s="12">
        <f>IF($I148="","",IF($I148&gt;31,$I148,IF($G148="","",IF(DATE(YEAR($G148),MONTH($G148),$I148)&gt;=$G148,DATE(YEAR($G148),MONTH($G148),$I148),DATE(YEAR($G148),MONTH($G148)+1,$I148)))))</f>
        <v/>
      </c>
      <c r="K148" s="13" t="n"/>
      <c r="L148" s="8">
        <f>IF(OR($G148="",$J148=""),"",$J148-$G148+1)</f>
        <v/>
      </c>
      <c r="M148" s="8">
        <f>IF(OR($G148="",$J148=""),"",$J148-$G148)</f>
        <v/>
      </c>
      <c r="N148" s="9" t="n"/>
      <c r="O148" s="9" t="n"/>
      <c r="P148" s="9" t="n"/>
      <c r="Q148" s="9" t="n"/>
      <c r="R148" s="9" t="n"/>
      <c r="S148" s="9" t="n"/>
      <c r="T148" s="14" t="n"/>
      <c r="U148" s="9" t="n"/>
      <c r="V148" s="8">
        <f>IF($G148="","",IF($D148="","⚠部屋が未選択",IF(COUNTIF('M_部屋'!$A$4:$A$20,$D148)=0,"⚠部屋が未登録",IF(OR($J148="",$N148="キャンセル"),"",IF(SUMPRODUCT(($D$5:$D$204=$D148)*($G$5:$G$204&lt;&gt;"")*($J$5:$J$204&lt;&gt;"")*($N$5:$N$204&lt;&gt;"キャンセル")*($G$5:$G$204&lt;$J148)*($J$5:$J$204&gt;$G148))&gt;1,"⚠重複","")))))</f>
        <v/>
      </c>
      <c r="W148" s="8">
        <f>IF(OR($B148="",$G148=""),"",IF(SUMPRODUCT(('利用者マスタ'!$A$4:$A$60=$B148)*('利用者マスタ'!$B$4:$B$60&lt;&gt;""))=0,"",IF(SUMIFS($X$5:$X$204,$B$5:$B$204,$B148,$G$5:$G$204,"&gt;="&amp;DATE(YEAR($G148),MONTH($G148),1),$G$5:$G$204,"&lt;="&amp;EOMONTH($G148,0))&gt;SUMIFS('利用者マスタ'!$B$4:$B$60,'利用者マスタ'!$A$4:$A$60,$B148),"⚠支給量超過","")))</f>
        <v/>
      </c>
      <c r="X148" s="8">
        <f>IF(OR($G148="",$J148="",$N148="キャンセル"),0,IF(IFERROR(INDEX('M_区分'!$B$4:$B$20,MATCH($C148,'M_区分'!$A$4:$A$20,0)),"○")="○",$J148-$G148+1,0))</f>
        <v/>
      </c>
      <c r="Y148" s="8">
        <f>IF($E148&lt;&gt;"",$E148,$Y147)</f>
        <v/>
      </c>
      <c r="Z148" s="8">
        <f>IF(OR($G148="",$J148=""),"",IF(AND($G148&lt;=EOMONTH('02_カレンダー'!$B$4,0),$J148&gt;='02_カレンダー'!$B$4),$G148*10000+ROW(),""))</f>
        <v/>
      </c>
      <c r="AA148" s="8">
        <f>IF($H148="","",IF(ISNUMBER($H148),TEXT($H148,"hh:mm"),$H148))</f>
        <v/>
      </c>
      <c r="AB148" s="8">
        <f>IF($K148="","",IF(ISNUMBER($K148),TEXT($K148,"hh:mm"),$K148))</f>
        <v/>
      </c>
      <c r="AC148" s="8">
        <f>IF($G148="",0,$G148)</f>
        <v/>
      </c>
      <c r="AD148" s="8">
        <f>IF($J148="",0,$J148)</f>
        <v/>
      </c>
    </row>
    <row r="149">
      <c r="A149" s="8">
        <f>IF($G149="","","SS-"&amp;TEXT(ROW()-4,"0000"))</f>
        <v/>
      </c>
      <c r="B149" s="9" t="n"/>
      <c r="C149" s="9" t="n"/>
      <c r="D149" s="9" t="n"/>
      <c r="E149" s="10" t="n"/>
      <c r="F149" s="11" t="n"/>
      <c r="G149" s="12">
        <f>IF($F149="","",IF($F149&gt;31,$F149,IF($Y149="","",DATE(YEAR($Y149),MONTH($Y149),$F149))))</f>
        <v/>
      </c>
      <c r="H149" s="13" t="n"/>
      <c r="I149" s="11" t="n"/>
      <c r="J149" s="12">
        <f>IF($I149="","",IF($I149&gt;31,$I149,IF($G149="","",IF(DATE(YEAR($G149),MONTH($G149),$I149)&gt;=$G149,DATE(YEAR($G149),MONTH($G149),$I149),DATE(YEAR($G149),MONTH($G149)+1,$I149)))))</f>
        <v/>
      </c>
      <c r="K149" s="13" t="n"/>
      <c r="L149" s="8">
        <f>IF(OR($G149="",$J149=""),"",$J149-$G149+1)</f>
        <v/>
      </c>
      <c r="M149" s="8">
        <f>IF(OR($G149="",$J149=""),"",$J149-$G149)</f>
        <v/>
      </c>
      <c r="N149" s="9" t="n"/>
      <c r="O149" s="9" t="n"/>
      <c r="P149" s="9" t="n"/>
      <c r="Q149" s="9" t="n"/>
      <c r="R149" s="9" t="n"/>
      <c r="S149" s="9" t="n"/>
      <c r="T149" s="14" t="n"/>
      <c r="U149" s="9" t="n"/>
      <c r="V149" s="8">
        <f>IF($G149="","",IF($D149="","⚠部屋が未選択",IF(COUNTIF('M_部屋'!$A$4:$A$20,$D149)=0,"⚠部屋が未登録",IF(OR($J149="",$N149="キャンセル"),"",IF(SUMPRODUCT(($D$5:$D$204=$D149)*($G$5:$G$204&lt;&gt;"")*($J$5:$J$204&lt;&gt;"")*($N$5:$N$204&lt;&gt;"キャンセル")*($G$5:$G$204&lt;$J149)*($J$5:$J$204&gt;$G149))&gt;1,"⚠重複","")))))</f>
        <v/>
      </c>
      <c r="W149" s="8">
        <f>IF(OR($B149="",$G149=""),"",IF(SUMPRODUCT(('利用者マスタ'!$A$4:$A$60=$B149)*('利用者マスタ'!$B$4:$B$60&lt;&gt;""))=0,"",IF(SUMIFS($X$5:$X$204,$B$5:$B$204,$B149,$G$5:$G$204,"&gt;="&amp;DATE(YEAR($G149),MONTH($G149),1),$G$5:$G$204,"&lt;="&amp;EOMONTH($G149,0))&gt;SUMIFS('利用者マスタ'!$B$4:$B$60,'利用者マスタ'!$A$4:$A$60,$B149),"⚠支給量超過","")))</f>
        <v/>
      </c>
      <c r="X149" s="8">
        <f>IF(OR($G149="",$J149="",$N149="キャンセル"),0,IF(IFERROR(INDEX('M_区分'!$B$4:$B$20,MATCH($C149,'M_区分'!$A$4:$A$20,0)),"○")="○",$J149-$G149+1,0))</f>
        <v/>
      </c>
      <c r="Y149" s="8">
        <f>IF($E149&lt;&gt;"",$E149,$Y148)</f>
        <v/>
      </c>
      <c r="Z149" s="8">
        <f>IF(OR($G149="",$J149=""),"",IF(AND($G149&lt;=EOMONTH('02_カレンダー'!$B$4,0),$J149&gt;='02_カレンダー'!$B$4),$G149*10000+ROW(),""))</f>
        <v/>
      </c>
      <c r="AA149" s="8">
        <f>IF($H149="","",IF(ISNUMBER($H149),TEXT($H149,"hh:mm"),$H149))</f>
        <v/>
      </c>
      <c r="AB149" s="8">
        <f>IF($K149="","",IF(ISNUMBER($K149),TEXT($K149,"hh:mm"),$K149))</f>
        <v/>
      </c>
      <c r="AC149" s="8">
        <f>IF($G149="",0,$G149)</f>
        <v/>
      </c>
      <c r="AD149" s="8">
        <f>IF($J149="",0,$J149)</f>
        <v/>
      </c>
    </row>
    <row r="150">
      <c r="A150" s="8">
        <f>IF($G150="","","SS-"&amp;TEXT(ROW()-4,"0000"))</f>
        <v/>
      </c>
      <c r="B150" s="9" t="n"/>
      <c r="C150" s="9" t="n"/>
      <c r="D150" s="9" t="n"/>
      <c r="E150" s="10" t="n"/>
      <c r="F150" s="11" t="n"/>
      <c r="G150" s="12">
        <f>IF($F150="","",IF($F150&gt;31,$F150,IF($Y150="","",DATE(YEAR($Y150),MONTH($Y150),$F150))))</f>
        <v/>
      </c>
      <c r="H150" s="13" t="n"/>
      <c r="I150" s="11" t="n"/>
      <c r="J150" s="12">
        <f>IF($I150="","",IF($I150&gt;31,$I150,IF($G150="","",IF(DATE(YEAR($G150),MONTH($G150),$I150)&gt;=$G150,DATE(YEAR($G150),MONTH($G150),$I150),DATE(YEAR($G150),MONTH($G150)+1,$I150)))))</f>
        <v/>
      </c>
      <c r="K150" s="13" t="n"/>
      <c r="L150" s="8">
        <f>IF(OR($G150="",$J150=""),"",$J150-$G150+1)</f>
        <v/>
      </c>
      <c r="M150" s="8">
        <f>IF(OR($G150="",$J150=""),"",$J150-$G150)</f>
        <v/>
      </c>
      <c r="N150" s="9" t="n"/>
      <c r="O150" s="9" t="n"/>
      <c r="P150" s="9" t="n"/>
      <c r="Q150" s="9" t="n"/>
      <c r="R150" s="9" t="n"/>
      <c r="S150" s="9" t="n"/>
      <c r="T150" s="14" t="n"/>
      <c r="U150" s="9" t="n"/>
      <c r="V150" s="8">
        <f>IF($G150="","",IF($D150="","⚠部屋が未選択",IF(COUNTIF('M_部屋'!$A$4:$A$20,$D150)=0,"⚠部屋が未登録",IF(OR($J150="",$N150="キャンセル"),"",IF(SUMPRODUCT(($D$5:$D$204=$D150)*($G$5:$G$204&lt;&gt;"")*($J$5:$J$204&lt;&gt;"")*($N$5:$N$204&lt;&gt;"キャンセル")*($G$5:$G$204&lt;$J150)*($J$5:$J$204&gt;$G150))&gt;1,"⚠重複","")))))</f>
        <v/>
      </c>
      <c r="W150" s="8">
        <f>IF(OR($B150="",$G150=""),"",IF(SUMPRODUCT(('利用者マスタ'!$A$4:$A$60=$B150)*('利用者マスタ'!$B$4:$B$60&lt;&gt;""))=0,"",IF(SUMIFS($X$5:$X$204,$B$5:$B$204,$B150,$G$5:$G$204,"&gt;="&amp;DATE(YEAR($G150),MONTH($G150),1),$G$5:$G$204,"&lt;="&amp;EOMONTH($G150,0))&gt;SUMIFS('利用者マスタ'!$B$4:$B$60,'利用者マスタ'!$A$4:$A$60,$B150),"⚠支給量超過","")))</f>
        <v/>
      </c>
      <c r="X150" s="8">
        <f>IF(OR($G150="",$J150="",$N150="キャンセル"),0,IF(IFERROR(INDEX('M_区分'!$B$4:$B$20,MATCH($C150,'M_区分'!$A$4:$A$20,0)),"○")="○",$J150-$G150+1,0))</f>
        <v/>
      </c>
      <c r="Y150" s="8">
        <f>IF($E150&lt;&gt;"",$E150,$Y149)</f>
        <v/>
      </c>
      <c r="Z150" s="8">
        <f>IF(OR($G150="",$J150=""),"",IF(AND($G150&lt;=EOMONTH('02_カレンダー'!$B$4,0),$J150&gt;='02_カレンダー'!$B$4),$G150*10000+ROW(),""))</f>
        <v/>
      </c>
      <c r="AA150" s="8">
        <f>IF($H150="","",IF(ISNUMBER($H150),TEXT($H150,"hh:mm"),$H150))</f>
        <v/>
      </c>
      <c r="AB150" s="8">
        <f>IF($K150="","",IF(ISNUMBER($K150),TEXT($K150,"hh:mm"),$K150))</f>
        <v/>
      </c>
      <c r="AC150" s="8">
        <f>IF($G150="",0,$G150)</f>
        <v/>
      </c>
      <c r="AD150" s="8">
        <f>IF($J150="",0,$J150)</f>
        <v/>
      </c>
    </row>
    <row r="151">
      <c r="A151" s="8">
        <f>IF($G151="","","SS-"&amp;TEXT(ROW()-4,"0000"))</f>
        <v/>
      </c>
      <c r="B151" s="9" t="n"/>
      <c r="C151" s="9" t="n"/>
      <c r="D151" s="9" t="n"/>
      <c r="E151" s="10" t="n"/>
      <c r="F151" s="11" t="n"/>
      <c r="G151" s="12">
        <f>IF($F151="","",IF($F151&gt;31,$F151,IF($Y151="","",DATE(YEAR($Y151),MONTH($Y151),$F151))))</f>
        <v/>
      </c>
      <c r="H151" s="13" t="n"/>
      <c r="I151" s="11" t="n"/>
      <c r="J151" s="12">
        <f>IF($I151="","",IF($I151&gt;31,$I151,IF($G151="","",IF(DATE(YEAR($G151),MONTH($G151),$I151)&gt;=$G151,DATE(YEAR($G151),MONTH($G151),$I151),DATE(YEAR($G151),MONTH($G151)+1,$I151)))))</f>
        <v/>
      </c>
      <c r="K151" s="13" t="n"/>
      <c r="L151" s="8">
        <f>IF(OR($G151="",$J151=""),"",$J151-$G151+1)</f>
        <v/>
      </c>
      <c r="M151" s="8">
        <f>IF(OR($G151="",$J151=""),"",$J151-$G151)</f>
        <v/>
      </c>
      <c r="N151" s="9" t="n"/>
      <c r="O151" s="9" t="n"/>
      <c r="P151" s="9" t="n"/>
      <c r="Q151" s="9" t="n"/>
      <c r="R151" s="9" t="n"/>
      <c r="S151" s="9" t="n"/>
      <c r="T151" s="14" t="n"/>
      <c r="U151" s="9" t="n"/>
      <c r="V151" s="8">
        <f>IF($G151="","",IF($D151="","⚠部屋が未選択",IF(COUNTIF('M_部屋'!$A$4:$A$20,$D151)=0,"⚠部屋が未登録",IF(OR($J151="",$N151="キャンセル"),"",IF(SUMPRODUCT(($D$5:$D$204=$D151)*($G$5:$G$204&lt;&gt;"")*($J$5:$J$204&lt;&gt;"")*($N$5:$N$204&lt;&gt;"キャンセル")*($G$5:$G$204&lt;$J151)*($J$5:$J$204&gt;$G151))&gt;1,"⚠重複","")))))</f>
        <v/>
      </c>
      <c r="W151" s="8">
        <f>IF(OR($B151="",$G151=""),"",IF(SUMPRODUCT(('利用者マスタ'!$A$4:$A$60=$B151)*('利用者マスタ'!$B$4:$B$60&lt;&gt;""))=0,"",IF(SUMIFS($X$5:$X$204,$B$5:$B$204,$B151,$G$5:$G$204,"&gt;="&amp;DATE(YEAR($G151),MONTH($G151),1),$G$5:$G$204,"&lt;="&amp;EOMONTH($G151,0))&gt;SUMIFS('利用者マスタ'!$B$4:$B$60,'利用者マスタ'!$A$4:$A$60,$B151),"⚠支給量超過","")))</f>
        <v/>
      </c>
      <c r="X151" s="8">
        <f>IF(OR($G151="",$J151="",$N151="キャンセル"),0,IF(IFERROR(INDEX('M_区分'!$B$4:$B$20,MATCH($C151,'M_区分'!$A$4:$A$20,0)),"○")="○",$J151-$G151+1,0))</f>
        <v/>
      </c>
      <c r="Y151" s="8">
        <f>IF($E151&lt;&gt;"",$E151,$Y150)</f>
        <v/>
      </c>
      <c r="Z151" s="8">
        <f>IF(OR($G151="",$J151=""),"",IF(AND($G151&lt;=EOMONTH('02_カレンダー'!$B$4,0),$J151&gt;='02_カレンダー'!$B$4),$G151*10000+ROW(),""))</f>
        <v/>
      </c>
      <c r="AA151" s="8">
        <f>IF($H151="","",IF(ISNUMBER($H151),TEXT($H151,"hh:mm"),$H151))</f>
        <v/>
      </c>
      <c r="AB151" s="8">
        <f>IF($K151="","",IF(ISNUMBER($K151),TEXT($K151,"hh:mm"),$K151))</f>
        <v/>
      </c>
      <c r="AC151" s="8">
        <f>IF($G151="",0,$G151)</f>
        <v/>
      </c>
      <c r="AD151" s="8">
        <f>IF($J151="",0,$J151)</f>
        <v/>
      </c>
    </row>
    <row r="152">
      <c r="A152" s="8">
        <f>IF($G152="","","SS-"&amp;TEXT(ROW()-4,"0000"))</f>
        <v/>
      </c>
      <c r="B152" s="9" t="n"/>
      <c r="C152" s="9" t="n"/>
      <c r="D152" s="9" t="n"/>
      <c r="E152" s="10" t="n"/>
      <c r="F152" s="11" t="n"/>
      <c r="G152" s="12">
        <f>IF($F152="","",IF($F152&gt;31,$F152,IF($Y152="","",DATE(YEAR($Y152),MONTH($Y152),$F152))))</f>
        <v/>
      </c>
      <c r="H152" s="13" t="n"/>
      <c r="I152" s="11" t="n"/>
      <c r="J152" s="12">
        <f>IF($I152="","",IF($I152&gt;31,$I152,IF($G152="","",IF(DATE(YEAR($G152),MONTH($G152),$I152)&gt;=$G152,DATE(YEAR($G152),MONTH($G152),$I152),DATE(YEAR($G152),MONTH($G152)+1,$I152)))))</f>
        <v/>
      </c>
      <c r="K152" s="13" t="n"/>
      <c r="L152" s="8">
        <f>IF(OR($G152="",$J152=""),"",$J152-$G152+1)</f>
        <v/>
      </c>
      <c r="M152" s="8">
        <f>IF(OR($G152="",$J152=""),"",$J152-$G152)</f>
        <v/>
      </c>
      <c r="N152" s="9" t="n"/>
      <c r="O152" s="9" t="n"/>
      <c r="P152" s="9" t="n"/>
      <c r="Q152" s="9" t="n"/>
      <c r="R152" s="9" t="n"/>
      <c r="S152" s="9" t="n"/>
      <c r="T152" s="14" t="n"/>
      <c r="U152" s="9" t="n"/>
      <c r="V152" s="8">
        <f>IF($G152="","",IF($D152="","⚠部屋が未選択",IF(COUNTIF('M_部屋'!$A$4:$A$20,$D152)=0,"⚠部屋が未登録",IF(OR($J152="",$N152="キャンセル"),"",IF(SUMPRODUCT(($D$5:$D$204=$D152)*($G$5:$G$204&lt;&gt;"")*($J$5:$J$204&lt;&gt;"")*($N$5:$N$204&lt;&gt;"キャンセル")*($G$5:$G$204&lt;$J152)*($J$5:$J$204&gt;$G152))&gt;1,"⚠重複","")))))</f>
        <v/>
      </c>
      <c r="W152" s="8">
        <f>IF(OR($B152="",$G152=""),"",IF(SUMPRODUCT(('利用者マスタ'!$A$4:$A$60=$B152)*('利用者マスタ'!$B$4:$B$60&lt;&gt;""))=0,"",IF(SUMIFS($X$5:$X$204,$B$5:$B$204,$B152,$G$5:$G$204,"&gt;="&amp;DATE(YEAR($G152),MONTH($G152),1),$G$5:$G$204,"&lt;="&amp;EOMONTH($G152,0))&gt;SUMIFS('利用者マスタ'!$B$4:$B$60,'利用者マスタ'!$A$4:$A$60,$B152),"⚠支給量超過","")))</f>
        <v/>
      </c>
      <c r="X152" s="8">
        <f>IF(OR($G152="",$J152="",$N152="キャンセル"),0,IF(IFERROR(INDEX('M_区分'!$B$4:$B$20,MATCH($C152,'M_区分'!$A$4:$A$20,0)),"○")="○",$J152-$G152+1,0))</f>
        <v/>
      </c>
      <c r="Y152" s="8">
        <f>IF($E152&lt;&gt;"",$E152,$Y151)</f>
        <v/>
      </c>
      <c r="Z152" s="8">
        <f>IF(OR($G152="",$J152=""),"",IF(AND($G152&lt;=EOMONTH('02_カレンダー'!$B$4,0),$J152&gt;='02_カレンダー'!$B$4),$G152*10000+ROW(),""))</f>
        <v/>
      </c>
      <c r="AA152" s="8">
        <f>IF($H152="","",IF(ISNUMBER($H152),TEXT($H152,"hh:mm"),$H152))</f>
        <v/>
      </c>
      <c r="AB152" s="8">
        <f>IF($K152="","",IF(ISNUMBER($K152),TEXT($K152,"hh:mm"),$K152))</f>
        <v/>
      </c>
      <c r="AC152" s="8">
        <f>IF($G152="",0,$G152)</f>
        <v/>
      </c>
      <c r="AD152" s="8">
        <f>IF($J152="",0,$J152)</f>
        <v/>
      </c>
    </row>
    <row r="153">
      <c r="A153" s="8">
        <f>IF($G153="","","SS-"&amp;TEXT(ROW()-4,"0000"))</f>
        <v/>
      </c>
      <c r="B153" s="9" t="n"/>
      <c r="C153" s="9" t="n"/>
      <c r="D153" s="9" t="n"/>
      <c r="E153" s="10" t="n"/>
      <c r="F153" s="11" t="n"/>
      <c r="G153" s="12">
        <f>IF($F153="","",IF($F153&gt;31,$F153,IF($Y153="","",DATE(YEAR($Y153),MONTH($Y153),$F153))))</f>
        <v/>
      </c>
      <c r="H153" s="13" t="n"/>
      <c r="I153" s="11" t="n"/>
      <c r="J153" s="12">
        <f>IF($I153="","",IF($I153&gt;31,$I153,IF($G153="","",IF(DATE(YEAR($G153),MONTH($G153),$I153)&gt;=$G153,DATE(YEAR($G153),MONTH($G153),$I153),DATE(YEAR($G153),MONTH($G153)+1,$I153)))))</f>
        <v/>
      </c>
      <c r="K153" s="13" t="n"/>
      <c r="L153" s="8">
        <f>IF(OR($G153="",$J153=""),"",$J153-$G153+1)</f>
        <v/>
      </c>
      <c r="M153" s="8">
        <f>IF(OR($G153="",$J153=""),"",$J153-$G153)</f>
        <v/>
      </c>
      <c r="N153" s="9" t="n"/>
      <c r="O153" s="9" t="n"/>
      <c r="P153" s="9" t="n"/>
      <c r="Q153" s="9" t="n"/>
      <c r="R153" s="9" t="n"/>
      <c r="S153" s="9" t="n"/>
      <c r="T153" s="14" t="n"/>
      <c r="U153" s="9" t="n"/>
      <c r="V153" s="8">
        <f>IF($G153="","",IF($D153="","⚠部屋が未選択",IF(COUNTIF('M_部屋'!$A$4:$A$20,$D153)=0,"⚠部屋が未登録",IF(OR($J153="",$N153="キャンセル"),"",IF(SUMPRODUCT(($D$5:$D$204=$D153)*($G$5:$G$204&lt;&gt;"")*($J$5:$J$204&lt;&gt;"")*($N$5:$N$204&lt;&gt;"キャンセル")*($G$5:$G$204&lt;$J153)*($J$5:$J$204&gt;$G153))&gt;1,"⚠重複","")))))</f>
        <v/>
      </c>
      <c r="W153" s="8">
        <f>IF(OR($B153="",$G153=""),"",IF(SUMPRODUCT(('利用者マスタ'!$A$4:$A$60=$B153)*('利用者マスタ'!$B$4:$B$60&lt;&gt;""))=0,"",IF(SUMIFS($X$5:$X$204,$B$5:$B$204,$B153,$G$5:$G$204,"&gt;="&amp;DATE(YEAR($G153),MONTH($G153),1),$G$5:$G$204,"&lt;="&amp;EOMONTH($G153,0))&gt;SUMIFS('利用者マスタ'!$B$4:$B$60,'利用者マスタ'!$A$4:$A$60,$B153),"⚠支給量超過","")))</f>
        <v/>
      </c>
      <c r="X153" s="8">
        <f>IF(OR($G153="",$J153="",$N153="キャンセル"),0,IF(IFERROR(INDEX('M_区分'!$B$4:$B$20,MATCH($C153,'M_区分'!$A$4:$A$20,0)),"○")="○",$J153-$G153+1,0))</f>
        <v/>
      </c>
      <c r="Y153" s="8">
        <f>IF($E153&lt;&gt;"",$E153,$Y152)</f>
        <v/>
      </c>
      <c r="Z153" s="8">
        <f>IF(OR($G153="",$J153=""),"",IF(AND($G153&lt;=EOMONTH('02_カレンダー'!$B$4,0),$J153&gt;='02_カレンダー'!$B$4),$G153*10000+ROW(),""))</f>
        <v/>
      </c>
      <c r="AA153" s="8">
        <f>IF($H153="","",IF(ISNUMBER($H153),TEXT($H153,"hh:mm"),$H153))</f>
        <v/>
      </c>
      <c r="AB153" s="8">
        <f>IF($K153="","",IF(ISNUMBER($K153),TEXT($K153,"hh:mm"),$K153))</f>
        <v/>
      </c>
      <c r="AC153" s="8">
        <f>IF($G153="",0,$G153)</f>
        <v/>
      </c>
      <c r="AD153" s="8">
        <f>IF($J153="",0,$J153)</f>
        <v/>
      </c>
    </row>
    <row r="154">
      <c r="A154" s="8">
        <f>IF($G154="","","SS-"&amp;TEXT(ROW()-4,"0000"))</f>
        <v/>
      </c>
      <c r="B154" s="9" t="n"/>
      <c r="C154" s="9" t="n"/>
      <c r="D154" s="9" t="n"/>
      <c r="E154" s="10" t="n"/>
      <c r="F154" s="11" t="n"/>
      <c r="G154" s="12">
        <f>IF($F154="","",IF($F154&gt;31,$F154,IF($Y154="","",DATE(YEAR($Y154),MONTH($Y154),$F154))))</f>
        <v/>
      </c>
      <c r="H154" s="13" t="n"/>
      <c r="I154" s="11" t="n"/>
      <c r="J154" s="12">
        <f>IF($I154="","",IF($I154&gt;31,$I154,IF($G154="","",IF(DATE(YEAR($G154),MONTH($G154),$I154)&gt;=$G154,DATE(YEAR($G154),MONTH($G154),$I154),DATE(YEAR($G154),MONTH($G154)+1,$I154)))))</f>
        <v/>
      </c>
      <c r="K154" s="13" t="n"/>
      <c r="L154" s="8">
        <f>IF(OR($G154="",$J154=""),"",$J154-$G154+1)</f>
        <v/>
      </c>
      <c r="M154" s="8">
        <f>IF(OR($G154="",$J154=""),"",$J154-$G154)</f>
        <v/>
      </c>
      <c r="N154" s="9" t="n"/>
      <c r="O154" s="9" t="n"/>
      <c r="P154" s="9" t="n"/>
      <c r="Q154" s="9" t="n"/>
      <c r="R154" s="9" t="n"/>
      <c r="S154" s="9" t="n"/>
      <c r="T154" s="14" t="n"/>
      <c r="U154" s="9" t="n"/>
      <c r="V154" s="8">
        <f>IF($G154="","",IF($D154="","⚠部屋が未選択",IF(COUNTIF('M_部屋'!$A$4:$A$20,$D154)=0,"⚠部屋が未登録",IF(OR($J154="",$N154="キャンセル"),"",IF(SUMPRODUCT(($D$5:$D$204=$D154)*($G$5:$G$204&lt;&gt;"")*($J$5:$J$204&lt;&gt;"")*($N$5:$N$204&lt;&gt;"キャンセル")*($G$5:$G$204&lt;$J154)*($J$5:$J$204&gt;$G154))&gt;1,"⚠重複","")))))</f>
        <v/>
      </c>
      <c r="W154" s="8">
        <f>IF(OR($B154="",$G154=""),"",IF(SUMPRODUCT(('利用者マスタ'!$A$4:$A$60=$B154)*('利用者マスタ'!$B$4:$B$60&lt;&gt;""))=0,"",IF(SUMIFS($X$5:$X$204,$B$5:$B$204,$B154,$G$5:$G$204,"&gt;="&amp;DATE(YEAR($G154),MONTH($G154),1),$G$5:$G$204,"&lt;="&amp;EOMONTH($G154,0))&gt;SUMIFS('利用者マスタ'!$B$4:$B$60,'利用者マスタ'!$A$4:$A$60,$B154),"⚠支給量超過","")))</f>
        <v/>
      </c>
      <c r="X154" s="8">
        <f>IF(OR($G154="",$J154="",$N154="キャンセル"),0,IF(IFERROR(INDEX('M_区分'!$B$4:$B$20,MATCH($C154,'M_区分'!$A$4:$A$20,0)),"○")="○",$J154-$G154+1,0))</f>
        <v/>
      </c>
      <c r="Y154" s="8">
        <f>IF($E154&lt;&gt;"",$E154,$Y153)</f>
        <v/>
      </c>
      <c r="Z154" s="8">
        <f>IF(OR($G154="",$J154=""),"",IF(AND($G154&lt;=EOMONTH('02_カレンダー'!$B$4,0),$J154&gt;='02_カレンダー'!$B$4),$G154*10000+ROW(),""))</f>
        <v/>
      </c>
      <c r="AA154" s="8">
        <f>IF($H154="","",IF(ISNUMBER($H154),TEXT($H154,"hh:mm"),$H154))</f>
        <v/>
      </c>
      <c r="AB154" s="8">
        <f>IF($K154="","",IF(ISNUMBER($K154),TEXT($K154,"hh:mm"),$K154))</f>
        <v/>
      </c>
      <c r="AC154" s="8">
        <f>IF($G154="",0,$G154)</f>
        <v/>
      </c>
      <c r="AD154" s="8">
        <f>IF($J154="",0,$J154)</f>
        <v/>
      </c>
    </row>
    <row r="155">
      <c r="A155" s="8">
        <f>IF($G155="","","SS-"&amp;TEXT(ROW()-4,"0000"))</f>
        <v/>
      </c>
      <c r="B155" s="9" t="n"/>
      <c r="C155" s="9" t="n"/>
      <c r="D155" s="9" t="n"/>
      <c r="E155" s="10" t="n"/>
      <c r="F155" s="11" t="n"/>
      <c r="G155" s="12">
        <f>IF($F155="","",IF($F155&gt;31,$F155,IF($Y155="","",DATE(YEAR($Y155),MONTH($Y155),$F155))))</f>
        <v/>
      </c>
      <c r="H155" s="13" t="n"/>
      <c r="I155" s="11" t="n"/>
      <c r="J155" s="12">
        <f>IF($I155="","",IF($I155&gt;31,$I155,IF($G155="","",IF(DATE(YEAR($G155),MONTH($G155),$I155)&gt;=$G155,DATE(YEAR($G155),MONTH($G155),$I155),DATE(YEAR($G155),MONTH($G155)+1,$I155)))))</f>
        <v/>
      </c>
      <c r="K155" s="13" t="n"/>
      <c r="L155" s="8">
        <f>IF(OR($G155="",$J155=""),"",$J155-$G155+1)</f>
        <v/>
      </c>
      <c r="M155" s="8">
        <f>IF(OR($G155="",$J155=""),"",$J155-$G155)</f>
        <v/>
      </c>
      <c r="N155" s="9" t="n"/>
      <c r="O155" s="9" t="n"/>
      <c r="P155" s="9" t="n"/>
      <c r="Q155" s="9" t="n"/>
      <c r="R155" s="9" t="n"/>
      <c r="S155" s="9" t="n"/>
      <c r="T155" s="14" t="n"/>
      <c r="U155" s="9" t="n"/>
      <c r="V155" s="8">
        <f>IF($G155="","",IF($D155="","⚠部屋が未選択",IF(COUNTIF('M_部屋'!$A$4:$A$20,$D155)=0,"⚠部屋が未登録",IF(OR($J155="",$N155="キャンセル"),"",IF(SUMPRODUCT(($D$5:$D$204=$D155)*($G$5:$G$204&lt;&gt;"")*($J$5:$J$204&lt;&gt;"")*($N$5:$N$204&lt;&gt;"キャンセル")*($G$5:$G$204&lt;$J155)*($J$5:$J$204&gt;$G155))&gt;1,"⚠重複","")))))</f>
        <v/>
      </c>
      <c r="W155" s="8">
        <f>IF(OR($B155="",$G155=""),"",IF(SUMPRODUCT(('利用者マスタ'!$A$4:$A$60=$B155)*('利用者マスタ'!$B$4:$B$60&lt;&gt;""))=0,"",IF(SUMIFS($X$5:$X$204,$B$5:$B$204,$B155,$G$5:$G$204,"&gt;="&amp;DATE(YEAR($G155),MONTH($G155),1),$G$5:$G$204,"&lt;="&amp;EOMONTH($G155,0))&gt;SUMIFS('利用者マスタ'!$B$4:$B$60,'利用者マスタ'!$A$4:$A$60,$B155),"⚠支給量超過","")))</f>
        <v/>
      </c>
      <c r="X155" s="8">
        <f>IF(OR($G155="",$J155="",$N155="キャンセル"),0,IF(IFERROR(INDEX('M_区分'!$B$4:$B$20,MATCH($C155,'M_区分'!$A$4:$A$20,0)),"○")="○",$J155-$G155+1,0))</f>
        <v/>
      </c>
      <c r="Y155" s="8">
        <f>IF($E155&lt;&gt;"",$E155,$Y154)</f>
        <v/>
      </c>
      <c r="Z155" s="8">
        <f>IF(OR($G155="",$J155=""),"",IF(AND($G155&lt;=EOMONTH('02_カレンダー'!$B$4,0),$J155&gt;='02_カレンダー'!$B$4),$G155*10000+ROW(),""))</f>
        <v/>
      </c>
      <c r="AA155" s="8">
        <f>IF($H155="","",IF(ISNUMBER($H155),TEXT($H155,"hh:mm"),$H155))</f>
        <v/>
      </c>
      <c r="AB155" s="8">
        <f>IF($K155="","",IF(ISNUMBER($K155),TEXT($K155,"hh:mm"),$K155))</f>
        <v/>
      </c>
      <c r="AC155" s="8">
        <f>IF($G155="",0,$G155)</f>
        <v/>
      </c>
      <c r="AD155" s="8">
        <f>IF($J155="",0,$J155)</f>
        <v/>
      </c>
    </row>
    <row r="156">
      <c r="A156" s="8">
        <f>IF($G156="","","SS-"&amp;TEXT(ROW()-4,"0000"))</f>
        <v/>
      </c>
      <c r="B156" s="9" t="n"/>
      <c r="C156" s="9" t="n"/>
      <c r="D156" s="9" t="n"/>
      <c r="E156" s="10" t="n"/>
      <c r="F156" s="11" t="n"/>
      <c r="G156" s="12">
        <f>IF($F156="","",IF($F156&gt;31,$F156,IF($Y156="","",DATE(YEAR($Y156),MONTH($Y156),$F156))))</f>
        <v/>
      </c>
      <c r="H156" s="13" t="n"/>
      <c r="I156" s="11" t="n"/>
      <c r="J156" s="12">
        <f>IF($I156="","",IF($I156&gt;31,$I156,IF($G156="","",IF(DATE(YEAR($G156),MONTH($G156),$I156)&gt;=$G156,DATE(YEAR($G156),MONTH($G156),$I156),DATE(YEAR($G156),MONTH($G156)+1,$I156)))))</f>
        <v/>
      </c>
      <c r="K156" s="13" t="n"/>
      <c r="L156" s="8">
        <f>IF(OR($G156="",$J156=""),"",$J156-$G156+1)</f>
        <v/>
      </c>
      <c r="M156" s="8">
        <f>IF(OR($G156="",$J156=""),"",$J156-$G156)</f>
        <v/>
      </c>
      <c r="N156" s="9" t="n"/>
      <c r="O156" s="9" t="n"/>
      <c r="P156" s="9" t="n"/>
      <c r="Q156" s="9" t="n"/>
      <c r="R156" s="9" t="n"/>
      <c r="S156" s="9" t="n"/>
      <c r="T156" s="14" t="n"/>
      <c r="U156" s="9" t="n"/>
      <c r="V156" s="8">
        <f>IF($G156="","",IF($D156="","⚠部屋が未選択",IF(COUNTIF('M_部屋'!$A$4:$A$20,$D156)=0,"⚠部屋が未登録",IF(OR($J156="",$N156="キャンセル"),"",IF(SUMPRODUCT(($D$5:$D$204=$D156)*($G$5:$G$204&lt;&gt;"")*($J$5:$J$204&lt;&gt;"")*($N$5:$N$204&lt;&gt;"キャンセル")*($G$5:$G$204&lt;$J156)*($J$5:$J$204&gt;$G156))&gt;1,"⚠重複","")))))</f>
        <v/>
      </c>
      <c r="W156" s="8">
        <f>IF(OR($B156="",$G156=""),"",IF(SUMPRODUCT(('利用者マスタ'!$A$4:$A$60=$B156)*('利用者マスタ'!$B$4:$B$60&lt;&gt;""))=0,"",IF(SUMIFS($X$5:$X$204,$B$5:$B$204,$B156,$G$5:$G$204,"&gt;="&amp;DATE(YEAR($G156),MONTH($G156),1),$G$5:$G$204,"&lt;="&amp;EOMONTH($G156,0))&gt;SUMIFS('利用者マスタ'!$B$4:$B$60,'利用者マスタ'!$A$4:$A$60,$B156),"⚠支給量超過","")))</f>
        <v/>
      </c>
      <c r="X156" s="8">
        <f>IF(OR($G156="",$J156="",$N156="キャンセル"),0,IF(IFERROR(INDEX('M_区分'!$B$4:$B$20,MATCH($C156,'M_区分'!$A$4:$A$20,0)),"○")="○",$J156-$G156+1,0))</f>
        <v/>
      </c>
      <c r="Y156" s="8">
        <f>IF($E156&lt;&gt;"",$E156,$Y155)</f>
        <v/>
      </c>
      <c r="Z156" s="8">
        <f>IF(OR($G156="",$J156=""),"",IF(AND($G156&lt;=EOMONTH('02_カレンダー'!$B$4,0),$J156&gt;='02_カレンダー'!$B$4),$G156*10000+ROW(),""))</f>
        <v/>
      </c>
      <c r="AA156" s="8">
        <f>IF($H156="","",IF(ISNUMBER($H156),TEXT($H156,"hh:mm"),$H156))</f>
        <v/>
      </c>
      <c r="AB156" s="8">
        <f>IF($K156="","",IF(ISNUMBER($K156),TEXT($K156,"hh:mm"),$K156))</f>
        <v/>
      </c>
      <c r="AC156" s="8">
        <f>IF($G156="",0,$G156)</f>
        <v/>
      </c>
      <c r="AD156" s="8">
        <f>IF($J156="",0,$J156)</f>
        <v/>
      </c>
    </row>
    <row r="157">
      <c r="A157" s="8">
        <f>IF($G157="","","SS-"&amp;TEXT(ROW()-4,"0000"))</f>
        <v/>
      </c>
      <c r="B157" s="9" t="n"/>
      <c r="C157" s="9" t="n"/>
      <c r="D157" s="9" t="n"/>
      <c r="E157" s="10" t="n"/>
      <c r="F157" s="11" t="n"/>
      <c r="G157" s="12">
        <f>IF($F157="","",IF($F157&gt;31,$F157,IF($Y157="","",DATE(YEAR($Y157),MONTH($Y157),$F157))))</f>
        <v/>
      </c>
      <c r="H157" s="13" t="n"/>
      <c r="I157" s="11" t="n"/>
      <c r="J157" s="12">
        <f>IF($I157="","",IF($I157&gt;31,$I157,IF($G157="","",IF(DATE(YEAR($G157),MONTH($G157),$I157)&gt;=$G157,DATE(YEAR($G157),MONTH($G157),$I157),DATE(YEAR($G157),MONTH($G157)+1,$I157)))))</f>
        <v/>
      </c>
      <c r="K157" s="13" t="n"/>
      <c r="L157" s="8">
        <f>IF(OR($G157="",$J157=""),"",$J157-$G157+1)</f>
        <v/>
      </c>
      <c r="M157" s="8">
        <f>IF(OR($G157="",$J157=""),"",$J157-$G157)</f>
        <v/>
      </c>
      <c r="N157" s="9" t="n"/>
      <c r="O157" s="9" t="n"/>
      <c r="P157" s="9" t="n"/>
      <c r="Q157" s="9" t="n"/>
      <c r="R157" s="9" t="n"/>
      <c r="S157" s="9" t="n"/>
      <c r="T157" s="14" t="n"/>
      <c r="U157" s="9" t="n"/>
      <c r="V157" s="8">
        <f>IF($G157="","",IF($D157="","⚠部屋が未選択",IF(COUNTIF('M_部屋'!$A$4:$A$20,$D157)=0,"⚠部屋が未登録",IF(OR($J157="",$N157="キャンセル"),"",IF(SUMPRODUCT(($D$5:$D$204=$D157)*($G$5:$G$204&lt;&gt;"")*($J$5:$J$204&lt;&gt;"")*($N$5:$N$204&lt;&gt;"キャンセル")*($G$5:$G$204&lt;$J157)*($J$5:$J$204&gt;$G157))&gt;1,"⚠重複","")))))</f>
        <v/>
      </c>
      <c r="W157" s="8">
        <f>IF(OR($B157="",$G157=""),"",IF(SUMPRODUCT(('利用者マスタ'!$A$4:$A$60=$B157)*('利用者マスタ'!$B$4:$B$60&lt;&gt;""))=0,"",IF(SUMIFS($X$5:$X$204,$B$5:$B$204,$B157,$G$5:$G$204,"&gt;="&amp;DATE(YEAR($G157),MONTH($G157),1),$G$5:$G$204,"&lt;="&amp;EOMONTH($G157,0))&gt;SUMIFS('利用者マスタ'!$B$4:$B$60,'利用者マスタ'!$A$4:$A$60,$B157),"⚠支給量超過","")))</f>
        <v/>
      </c>
      <c r="X157" s="8">
        <f>IF(OR($G157="",$J157="",$N157="キャンセル"),0,IF(IFERROR(INDEX('M_区分'!$B$4:$B$20,MATCH($C157,'M_区分'!$A$4:$A$20,0)),"○")="○",$J157-$G157+1,0))</f>
        <v/>
      </c>
      <c r="Y157" s="8">
        <f>IF($E157&lt;&gt;"",$E157,$Y156)</f>
        <v/>
      </c>
      <c r="Z157" s="8">
        <f>IF(OR($G157="",$J157=""),"",IF(AND($G157&lt;=EOMONTH('02_カレンダー'!$B$4,0),$J157&gt;='02_カレンダー'!$B$4),$G157*10000+ROW(),""))</f>
        <v/>
      </c>
      <c r="AA157" s="8">
        <f>IF($H157="","",IF(ISNUMBER($H157),TEXT($H157,"hh:mm"),$H157))</f>
        <v/>
      </c>
      <c r="AB157" s="8">
        <f>IF($K157="","",IF(ISNUMBER($K157),TEXT($K157,"hh:mm"),$K157))</f>
        <v/>
      </c>
      <c r="AC157" s="8">
        <f>IF($G157="",0,$G157)</f>
        <v/>
      </c>
      <c r="AD157" s="8">
        <f>IF($J157="",0,$J157)</f>
        <v/>
      </c>
    </row>
    <row r="158">
      <c r="A158" s="8">
        <f>IF($G158="","","SS-"&amp;TEXT(ROW()-4,"0000"))</f>
        <v/>
      </c>
      <c r="B158" s="9" t="n"/>
      <c r="C158" s="9" t="n"/>
      <c r="D158" s="9" t="n"/>
      <c r="E158" s="10" t="n"/>
      <c r="F158" s="11" t="n"/>
      <c r="G158" s="12">
        <f>IF($F158="","",IF($F158&gt;31,$F158,IF($Y158="","",DATE(YEAR($Y158),MONTH($Y158),$F158))))</f>
        <v/>
      </c>
      <c r="H158" s="13" t="n"/>
      <c r="I158" s="11" t="n"/>
      <c r="J158" s="12">
        <f>IF($I158="","",IF($I158&gt;31,$I158,IF($G158="","",IF(DATE(YEAR($G158),MONTH($G158),$I158)&gt;=$G158,DATE(YEAR($G158),MONTH($G158),$I158),DATE(YEAR($G158),MONTH($G158)+1,$I158)))))</f>
        <v/>
      </c>
      <c r="K158" s="13" t="n"/>
      <c r="L158" s="8">
        <f>IF(OR($G158="",$J158=""),"",$J158-$G158+1)</f>
        <v/>
      </c>
      <c r="M158" s="8">
        <f>IF(OR($G158="",$J158=""),"",$J158-$G158)</f>
        <v/>
      </c>
      <c r="N158" s="9" t="n"/>
      <c r="O158" s="9" t="n"/>
      <c r="P158" s="9" t="n"/>
      <c r="Q158" s="9" t="n"/>
      <c r="R158" s="9" t="n"/>
      <c r="S158" s="9" t="n"/>
      <c r="T158" s="14" t="n"/>
      <c r="U158" s="9" t="n"/>
      <c r="V158" s="8">
        <f>IF($G158="","",IF($D158="","⚠部屋が未選択",IF(COUNTIF('M_部屋'!$A$4:$A$20,$D158)=0,"⚠部屋が未登録",IF(OR($J158="",$N158="キャンセル"),"",IF(SUMPRODUCT(($D$5:$D$204=$D158)*($G$5:$G$204&lt;&gt;"")*($J$5:$J$204&lt;&gt;"")*($N$5:$N$204&lt;&gt;"キャンセル")*($G$5:$G$204&lt;$J158)*($J$5:$J$204&gt;$G158))&gt;1,"⚠重複","")))))</f>
        <v/>
      </c>
      <c r="W158" s="8">
        <f>IF(OR($B158="",$G158=""),"",IF(SUMPRODUCT(('利用者マスタ'!$A$4:$A$60=$B158)*('利用者マスタ'!$B$4:$B$60&lt;&gt;""))=0,"",IF(SUMIFS($X$5:$X$204,$B$5:$B$204,$B158,$G$5:$G$204,"&gt;="&amp;DATE(YEAR($G158),MONTH($G158),1),$G$5:$G$204,"&lt;="&amp;EOMONTH($G158,0))&gt;SUMIFS('利用者マスタ'!$B$4:$B$60,'利用者マスタ'!$A$4:$A$60,$B158),"⚠支給量超過","")))</f>
        <v/>
      </c>
      <c r="X158" s="8">
        <f>IF(OR($G158="",$J158="",$N158="キャンセル"),0,IF(IFERROR(INDEX('M_区分'!$B$4:$B$20,MATCH($C158,'M_区分'!$A$4:$A$20,0)),"○")="○",$J158-$G158+1,0))</f>
        <v/>
      </c>
      <c r="Y158" s="8">
        <f>IF($E158&lt;&gt;"",$E158,$Y157)</f>
        <v/>
      </c>
      <c r="Z158" s="8">
        <f>IF(OR($G158="",$J158=""),"",IF(AND($G158&lt;=EOMONTH('02_カレンダー'!$B$4,0),$J158&gt;='02_カレンダー'!$B$4),$G158*10000+ROW(),""))</f>
        <v/>
      </c>
      <c r="AA158" s="8">
        <f>IF($H158="","",IF(ISNUMBER($H158),TEXT($H158,"hh:mm"),$H158))</f>
        <v/>
      </c>
      <c r="AB158" s="8">
        <f>IF($K158="","",IF(ISNUMBER($K158),TEXT($K158,"hh:mm"),$K158))</f>
        <v/>
      </c>
      <c r="AC158" s="8">
        <f>IF($G158="",0,$G158)</f>
        <v/>
      </c>
      <c r="AD158" s="8">
        <f>IF($J158="",0,$J158)</f>
        <v/>
      </c>
    </row>
    <row r="159">
      <c r="A159" s="8">
        <f>IF($G159="","","SS-"&amp;TEXT(ROW()-4,"0000"))</f>
        <v/>
      </c>
      <c r="B159" s="9" t="n"/>
      <c r="C159" s="9" t="n"/>
      <c r="D159" s="9" t="n"/>
      <c r="E159" s="10" t="n"/>
      <c r="F159" s="11" t="n"/>
      <c r="G159" s="12">
        <f>IF($F159="","",IF($F159&gt;31,$F159,IF($Y159="","",DATE(YEAR($Y159),MONTH($Y159),$F159))))</f>
        <v/>
      </c>
      <c r="H159" s="13" t="n"/>
      <c r="I159" s="11" t="n"/>
      <c r="J159" s="12">
        <f>IF($I159="","",IF($I159&gt;31,$I159,IF($G159="","",IF(DATE(YEAR($G159),MONTH($G159),$I159)&gt;=$G159,DATE(YEAR($G159),MONTH($G159),$I159),DATE(YEAR($G159),MONTH($G159)+1,$I159)))))</f>
        <v/>
      </c>
      <c r="K159" s="13" t="n"/>
      <c r="L159" s="8">
        <f>IF(OR($G159="",$J159=""),"",$J159-$G159+1)</f>
        <v/>
      </c>
      <c r="M159" s="8">
        <f>IF(OR($G159="",$J159=""),"",$J159-$G159)</f>
        <v/>
      </c>
      <c r="N159" s="9" t="n"/>
      <c r="O159" s="9" t="n"/>
      <c r="P159" s="9" t="n"/>
      <c r="Q159" s="9" t="n"/>
      <c r="R159" s="9" t="n"/>
      <c r="S159" s="9" t="n"/>
      <c r="T159" s="14" t="n"/>
      <c r="U159" s="9" t="n"/>
      <c r="V159" s="8">
        <f>IF($G159="","",IF($D159="","⚠部屋が未選択",IF(COUNTIF('M_部屋'!$A$4:$A$20,$D159)=0,"⚠部屋が未登録",IF(OR($J159="",$N159="キャンセル"),"",IF(SUMPRODUCT(($D$5:$D$204=$D159)*($G$5:$G$204&lt;&gt;"")*($J$5:$J$204&lt;&gt;"")*($N$5:$N$204&lt;&gt;"キャンセル")*($G$5:$G$204&lt;$J159)*($J$5:$J$204&gt;$G159))&gt;1,"⚠重複","")))))</f>
        <v/>
      </c>
      <c r="W159" s="8">
        <f>IF(OR($B159="",$G159=""),"",IF(SUMPRODUCT(('利用者マスタ'!$A$4:$A$60=$B159)*('利用者マスタ'!$B$4:$B$60&lt;&gt;""))=0,"",IF(SUMIFS($X$5:$X$204,$B$5:$B$204,$B159,$G$5:$G$204,"&gt;="&amp;DATE(YEAR($G159),MONTH($G159),1),$G$5:$G$204,"&lt;="&amp;EOMONTH($G159,0))&gt;SUMIFS('利用者マスタ'!$B$4:$B$60,'利用者マスタ'!$A$4:$A$60,$B159),"⚠支給量超過","")))</f>
        <v/>
      </c>
      <c r="X159" s="8">
        <f>IF(OR($G159="",$J159="",$N159="キャンセル"),0,IF(IFERROR(INDEX('M_区分'!$B$4:$B$20,MATCH($C159,'M_区分'!$A$4:$A$20,0)),"○")="○",$J159-$G159+1,0))</f>
        <v/>
      </c>
      <c r="Y159" s="8">
        <f>IF($E159&lt;&gt;"",$E159,$Y158)</f>
        <v/>
      </c>
      <c r="Z159" s="8">
        <f>IF(OR($G159="",$J159=""),"",IF(AND($G159&lt;=EOMONTH('02_カレンダー'!$B$4,0),$J159&gt;='02_カレンダー'!$B$4),$G159*10000+ROW(),""))</f>
        <v/>
      </c>
      <c r="AA159" s="8">
        <f>IF($H159="","",IF(ISNUMBER($H159),TEXT($H159,"hh:mm"),$H159))</f>
        <v/>
      </c>
      <c r="AB159" s="8">
        <f>IF($K159="","",IF(ISNUMBER($K159),TEXT($K159,"hh:mm"),$K159))</f>
        <v/>
      </c>
      <c r="AC159" s="8">
        <f>IF($G159="",0,$G159)</f>
        <v/>
      </c>
      <c r="AD159" s="8">
        <f>IF($J159="",0,$J159)</f>
        <v/>
      </c>
    </row>
    <row r="160">
      <c r="A160" s="8">
        <f>IF($G160="","","SS-"&amp;TEXT(ROW()-4,"0000"))</f>
        <v/>
      </c>
      <c r="B160" s="9" t="n"/>
      <c r="C160" s="9" t="n"/>
      <c r="D160" s="9" t="n"/>
      <c r="E160" s="10" t="n"/>
      <c r="F160" s="11" t="n"/>
      <c r="G160" s="12">
        <f>IF($F160="","",IF($F160&gt;31,$F160,IF($Y160="","",DATE(YEAR($Y160),MONTH($Y160),$F160))))</f>
        <v/>
      </c>
      <c r="H160" s="13" t="n"/>
      <c r="I160" s="11" t="n"/>
      <c r="J160" s="12">
        <f>IF($I160="","",IF($I160&gt;31,$I160,IF($G160="","",IF(DATE(YEAR($G160),MONTH($G160),$I160)&gt;=$G160,DATE(YEAR($G160),MONTH($G160),$I160),DATE(YEAR($G160),MONTH($G160)+1,$I160)))))</f>
        <v/>
      </c>
      <c r="K160" s="13" t="n"/>
      <c r="L160" s="8">
        <f>IF(OR($G160="",$J160=""),"",$J160-$G160+1)</f>
        <v/>
      </c>
      <c r="M160" s="8">
        <f>IF(OR($G160="",$J160=""),"",$J160-$G160)</f>
        <v/>
      </c>
      <c r="N160" s="9" t="n"/>
      <c r="O160" s="9" t="n"/>
      <c r="P160" s="9" t="n"/>
      <c r="Q160" s="9" t="n"/>
      <c r="R160" s="9" t="n"/>
      <c r="S160" s="9" t="n"/>
      <c r="T160" s="14" t="n"/>
      <c r="U160" s="9" t="n"/>
      <c r="V160" s="8">
        <f>IF($G160="","",IF($D160="","⚠部屋が未選択",IF(COUNTIF('M_部屋'!$A$4:$A$20,$D160)=0,"⚠部屋が未登録",IF(OR($J160="",$N160="キャンセル"),"",IF(SUMPRODUCT(($D$5:$D$204=$D160)*($G$5:$G$204&lt;&gt;"")*($J$5:$J$204&lt;&gt;"")*($N$5:$N$204&lt;&gt;"キャンセル")*($G$5:$G$204&lt;$J160)*($J$5:$J$204&gt;$G160))&gt;1,"⚠重複","")))))</f>
        <v/>
      </c>
      <c r="W160" s="8">
        <f>IF(OR($B160="",$G160=""),"",IF(SUMPRODUCT(('利用者マスタ'!$A$4:$A$60=$B160)*('利用者マスタ'!$B$4:$B$60&lt;&gt;""))=0,"",IF(SUMIFS($X$5:$X$204,$B$5:$B$204,$B160,$G$5:$G$204,"&gt;="&amp;DATE(YEAR($G160),MONTH($G160),1),$G$5:$G$204,"&lt;="&amp;EOMONTH($G160,0))&gt;SUMIFS('利用者マスタ'!$B$4:$B$60,'利用者マスタ'!$A$4:$A$60,$B160),"⚠支給量超過","")))</f>
        <v/>
      </c>
      <c r="X160" s="8">
        <f>IF(OR($G160="",$J160="",$N160="キャンセル"),0,IF(IFERROR(INDEX('M_区分'!$B$4:$B$20,MATCH($C160,'M_区分'!$A$4:$A$20,0)),"○")="○",$J160-$G160+1,0))</f>
        <v/>
      </c>
      <c r="Y160" s="8">
        <f>IF($E160&lt;&gt;"",$E160,$Y159)</f>
        <v/>
      </c>
      <c r="Z160" s="8">
        <f>IF(OR($G160="",$J160=""),"",IF(AND($G160&lt;=EOMONTH('02_カレンダー'!$B$4,0),$J160&gt;='02_カレンダー'!$B$4),$G160*10000+ROW(),""))</f>
        <v/>
      </c>
      <c r="AA160" s="8">
        <f>IF($H160="","",IF(ISNUMBER($H160),TEXT($H160,"hh:mm"),$H160))</f>
        <v/>
      </c>
      <c r="AB160" s="8">
        <f>IF($K160="","",IF(ISNUMBER($K160),TEXT($K160,"hh:mm"),$K160))</f>
        <v/>
      </c>
      <c r="AC160" s="8">
        <f>IF($G160="",0,$G160)</f>
        <v/>
      </c>
      <c r="AD160" s="8">
        <f>IF($J160="",0,$J160)</f>
        <v/>
      </c>
    </row>
    <row r="161">
      <c r="A161" s="8">
        <f>IF($G161="","","SS-"&amp;TEXT(ROW()-4,"0000"))</f>
        <v/>
      </c>
      <c r="B161" s="9" t="n"/>
      <c r="C161" s="9" t="n"/>
      <c r="D161" s="9" t="n"/>
      <c r="E161" s="10" t="n"/>
      <c r="F161" s="11" t="n"/>
      <c r="G161" s="12">
        <f>IF($F161="","",IF($F161&gt;31,$F161,IF($Y161="","",DATE(YEAR($Y161),MONTH($Y161),$F161))))</f>
        <v/>
      </c>
      <c r="H161" s="13" t="n"/>
      <c r="I161" s="11" t="n"/>
      <c r="J161" s="12">
        <f>IF($I161="","",IF($I161&gt;31,$I161,IF($G161="","",IF(DATE(YEAR($G161),MONTH($G161),$I161)&gt;=$G161,DATE(YEAR($G161),MONTH($G161),$I161),DATE(YEAR($G161),MONTH($G161)+1,$I161)))))</f>
        <v/>
      </c>
      <c r="K161" s="13" t="n"/>
      <c r="L161" s="8">
        <f>IF(OR($G161="",$J161=""),"",$J161-$G161+1)</f>
        <v/>
      </c>
      <c r="M161" s="8">
        <f>IF(OR($G161="",$J161=""),"",$J161-$G161)</f>
        <v/>
      </c>
      <c r="N161" s="9" t="n"/>
      <c r="O161" s="9" t="n"/>
      <c r="P161" s="9" t="n"/>
      <c r="Q161" s="9" t="n"/>
      <c r="R161" s="9" t="n"/>
      <c r="S161" s="9" t="n"/>
      <c r="T161" s="14" t="n"/>
      <c r="U161" s="9" t="n"/>
      <c r="V161" s="8">
        <f>IF($G161="","",IF($D161="","⚠部屋が未選択",IF(COUNTIF('M_部屋'!$A$4:$A$20,$D161)=0,"⚠部屋が未登録",IF(OR($J161="",$N161="キャンセル"),"",IF(SUMPRODUCT(($D$5:$D$204=$D161)*($G$5:$G$204&lt;&gt;"")*($J$5:$J$204&lt;&gt;"")*($N$5:$N$204&lt;&gt;"キャンセル")*($G$5:$G$204&lt;$J161)*($J$5:$J$204&gt;$G161))&gt;1,"⚠重複","")))))</f>
        <v/>
      </c>
      <c r="W161" s="8">
        <f>IF(OR($B161="",$G161=""),"",IF(SUMPRODUCT(('利用者マスタ'!$A$4:$A$60=$B161)*('利用者マスタ'!$B$4:$B$60&lt;&gt;""))=0,"",IF(SUMIFS($X$5:$X$204,$B$5:$B$204,$B161,$G$5:$G$204,"&gt;="&amp;DATE(YEAR($G161),MONTH($G161),1),$G$5:$G$204,"&lt;="&amp;EOMONTH($G161,0))&gt;SUMIFS('利用者マスタ'!$B$4:$B$60,'利用者マスタ'!$A$4:$A$60,$B161),"⚠支給量超過","")))</f>
        <v/>
      </c>
      <c r="X161" s="8">
        <f>IF(OR($G161="",$J161="",$N161="キャンセル"),0,IF(IFERROR(INDEX('M_区分'!$B$4:$B$20,MATCH($C161,'M_区分'!$A$4:$A$20,0)),"○")="○",$J161-$G161+1,0))</f>
        <v/>
      </c>
      <c r="Y161" s="8">
        <f>IF($E161&lt;&gt;"",$E161,$Y160)</f>
        <v/>
      </c>
      <c r="Z161" s="8">
        <f>IF(OR($G161="",$J161=""),"",IF(AND($G161&lt;=EOMONTH('02_カレンダー'!$B$4,0),$J161&gt;='02_カレンダー'!$B$4),$G161*10000+ROW(),""))</f>
        <v/>
      </c>
      <c r="AA161" s="8">
        <f>IF($H161="","",IF(ISNUMBER($H161),TEXT($H161,"hh:mm"),$H161))</f>
        <v/>
      </c>
      <c r="AB161" s="8">
        <f>IF($K161="","",IF(ISNUMBER($K161),TEXT($K161,"hh:mm"),$K161))</f>
        <v/>
      </c>
      <c r="AC161" s="8">
        <f>IF($G161="",0,$G161)</f>
        <v/>
      </c>
      <c r="AD161" s="8">
        <f>IF($J161="",0,$J161)</f>
        <v/>
      </c>
    </row>
    <row r="162">
      <c r="A162" s="8">
        <f>IF($G162="","","SS-"&amp;TEXT(ROW()-4,"0000"))</f>
        <v/>
      </c>
      <c r="B162" s="9" t="n"/>
      <c r="C162" s="9" t="n"/>
      <c r="D162" s="9" t="n"/>
      <c r="E162" s="10" t="n"/>
      <c r="F162" s="11" t="n"/>
      <c r="G162" s="12">
        <f>IF($F162="","",IF($F162&gt;31,$F162,IF($Y162="","",DATE(YEAR($Y162),MONTH($Y162),$F162))))</f>
        <v/>
      </c>
      <c r="H162" s="13" t="n"/>
      <c r="I162" s="11" t="n"/>
      <c r="J162" s="12">
        <f>IF($I162="","",IF($I162&gt;31,$I162,IF($G162="","",IF(DATE(YEAR($G162),MONTH($G162),$I162)&gt;=$G162,DATE(YEAR($G162),MONTH($G162),$I162),DATE(YEAR($G162),MONTH($G162)+1,$I162)))))</f>
        <v/>
      </c>
      <c r="K162" s="13" t="n"/>
      <c r="L162" s="8">
        <f>IF(OR($G162="",$J162=""),"",$J162-$G162+1)</f>
        <v/>
      </c>
      <c r="M162" s="8">
        <f>IF(OR($G162="",$J162=""),"",$J162-$G162)</f>
        <v/>
      </c>
      <c r="N162" s="9" t="n"/>
      <c r="O162" s="9" t="n"/>
      <c r="P162" s="9" t="n"/>
      <c r="Q162" s="9" t="n"/>
      <c r="R162" s="9" t="n"/>
      <c r="S162" s="9" t="n"/>
      <c r="T162" s="14" t="n"/>
      <c r="U162" s="9" t="n"/>
      <c r="V162" s="8">
        <f>IF($G162="","",IF($D162="","⚠部屋が未選択",IF(COUNTIF('M_部屋'!$A$4:$A$20,$D162)=0,"⚠部屋が未登録",IF(OR($J162="",$N162="キャンセル"),"",IF(SUMPRODUCT(($D$5:$D$204=$D162)*($G$5:$G$204&lt;&gt;"")*($J$5:$J$204&lt;&gt;"")*($N$5:$N$204&lt;&gt;"キャンセル")*($G$5:$G$204&lt;$J162)*($J$5:$J$204&gt;$G162))&gt;1,"⚠重複","")))))</f>
        <v/>
      </c>
      <c r="W162" s="8">
        <f>IF(OR($B162="",$G162=""),"",IF(SUMPRODUCT(('利用者マスタ'!$A$4:$A$60=$B162)*('利用者マスタ'!$B$4:$B$60&lt;&gt;""))=0,"",IF(SUMIFS($X$5:$X$204,$B$5:$B$204,$B162,$G$5:$G$204,"&gt;="&amp;DATE(YEAR($G162),MONTH($G162),1),$G$5:$G$204,"&lt;="&amp;EOMONTH($G162,0))&gt;SUMIFS('利用者マスタ'!$B$4:$B$60,'利用者マスタ'!$A$4:$A$60,$B162),"⚠支給量超過","")))</f>
        <v/>
      </c>
      <c r="X162" s="8">
        <f>IF(OR($G162="",$J162="",$N162="キャンセル"),0,IF(IFERROR(INDEX('M_区分'!$B$4:$B$20,MATCH($C162,'M_区分'!$A$4:$A$20,0)),"○")="○",$J162-$G162+1,0))</f>
        <v/>
      </c>
      <c r="Y162" s="8">
        <f>IF($E162&lt;&gt;"",$E162,$Y161)</f>
        <v/>
      </c>
      <c r="Z162" s="8">
        <f>IF(OR($G162="",$J162=""),"",IF(AND($G162&lt;=EOMONTH('02_カレンダー'!$B$4,0),$J162&gt;='02_カレンダー'!$B$4),$G162*10000+ROW(),""))</f>
        <v/>
      </c>
      <c r="AA162" s="8">
        <f>IF($H162="","",IF(ISNUMBER($H162),TEXT($H162,"hh:mm"),$H162))</f>
        <v/>
      </c>
      <c r="AB162" s="8">
        <f>IF($K162="","",IF(ISNUMBER($K162),TEXT($K162,"hh:mm"),$K162))</f>
        <v/>
      </c>
      <c r="AC162" s="8">
        <f>IF($G162="",0,$G162)</f>
        <v/>
      </c>
      <c r="AD162" s="8">
        <f>IF($J162="",0,$J162)</f>
        <v/>
      </c>
    </row>
    <row r="163">
      <c r="A163" s="8">
        <f>IF($G163="","","SS-"&amp;TEXT(ROW()-4,"0000"))</f>
        <v/>
      </c>
      <c r="B163" s="9" t="n"/>
      <c r="C163" s="9" t="n"/>
      <c r="D163" s="9" t="n"/>
      <c r="E163" s="10" t="n"/>
      <c r="F163" s="11" t="n"/>
      <c r="G163" s="12">
        <f>IF($F163="","",IF($F163&gt;31,$F163,IF($Y163="","",DATE(YEAR($Y163),MONTH($Y163),$F163))))</f>
        <v/>
      </c>
      <c r="H163" s="13" t="n"/>
      <c r="I163" s="11" t="n"/>
      <c r="J163" s="12">
        <f>IF($I163="","",IF($I163&gt;31,$I163,IF($G163="","",IF(DATE(YEAR($G163),MONTH($G163),$I163)&gt;=$G163,DATE(YEAR($G163),MONTH($G163),$I163),DATE(YEAR($G163),MONTH($G163)+1,$I163)))))</f>
        <v/>
      </c>
      <c r="K163" s="13" t="n"/>
      <c r="L163" s="8">
        <f>IF(OR($G163="",$J163=""),"",$J163-$G163+1)</f>
        <v/>
      </c>
      <c r="M163" s="8">
        <f>IF(OR($G163="",$J163=""),"",$J163-$G163)</f>
        <v/>
      </c>
      <c r="N163" s="9" t="n"/>
      <c r="O163" s="9" t="n"/>
      <c r="P163" s="9" t="n"/>
      <c r="Q163" s="9" t="n"/>
      <c r="R163" s="9" t="n"/>
      <c r="S163" s="9" t="n"/>
      <c r="T163" s="14" t="n"/>
      <c r="U163" s="9" t="n"/>
      <c r="V163" s="8">
        <f>IF($G163="","",IF($D163="","⚠部屋が未選択",IF(COUNTIF('M_部屋'!$A$4:$A$20,$D163)=0,"⚠部屋が未登録",IF(OR($J163="",$N163="キャンセル"),"",IF(SUMPRODUCT(($D$5:$D$204=$D163)*($G$5:$G$204&lt;&gt;"")*($J$5:$J$204&lt;&gt;"")*($N$5:$N$204&lt;&gt;"キャンセル")*($G$5:$G$204&lt;$J163)*($J$5:$J$204&gt;$G163))&gt;1,"⚠重複","")))))</f>
        <v/>
      </c>
      <c r="W163" s="8">
        <f>IF(OR($B163="",$G163=""),"",IF(SUMPRODUCT(('利用者マスタ'!$A$4:$A$60=$B163)*('利用者マスタ'!$B$4:$B$60&lt;&gt;""))=0,"",IF(SUMIFS($X$5:$X$204,$B$5:$B$204,$B163,$G$5:$G$204,"&gt;="&amp;DATE(YEAR($G163),MONTH($G163),1),$G$5:$G$204,"&lt;="&amp;EOMONTH($G163,0))&gt;SUMIFS('利用者マスタ'!$B$4:$B$60,'利用者マスタ'!$A$4:$A$60,$B163),"⚠支給量超過","")))</f>
        <v/>
      </c>
      <c r="X163" s="8">
        <f>IF(OR($G163="",$J163="",$N163="キャンセル"),0,IF(IFERROR(INDEX('M_区分'!$B$4:$B$20,MATCH($C163,'M_区分'!$A$4:$A$20,0)),"○")="○",$J163-$G163+1,0))</f>
        <v/>
      </c>
      <c r="Y163" s="8">
        <f>IF($E163&lt;&gt;"",$E163,$Y162)</f>
        <v/>
      </c>
      <c r="Z163" s="8">
        <f>IF(OR($G163="",$J163=""),"",IF(AND($G163&lt;=EOMONTH('02_カレンダー'!$B$4,0),$J163&gt;='02_カレンダー'!$B$4),$G163*10000+ROW(),""))</f>
        <v/>
      </c>
      <c r="AA163" s="8">
        <f>IF($H163="","",IF(ISNUMBER($H163),TEXT($H163,"hh:mm"),$H163))</f>
        <v/>
      </c>
      <c r="AB163" s="8">
        <f>IF($K163="","",IF(ISNUMBER($K163),TEXT($K163,"hh:mm"),$K163))</f>
        <v/>
      </c>
      <c r="AC163" s="8">
        <f>IF($G163="",0,$G163)</f>
        <v/>
      </c>
      <c r="AD163" s="8">
        <f>IF($J163="",0,$J163)</f>
        <v/>
      </c>
    </row>
    <row r="164">
      <c r="A164" s="8">
        <f>IF($G164="","","SS-"&amp;TEXT(ROW()-4,"0000"))</f>
        <v/>
      </c>
      <c r="B164" s="9" t="n"/>
      <c r="C164" s="9" t="n"/>
      <c r="D164" s="9" t="n"/>
      <c r="E164" s="10" t="n"/>
      <c r="F164" s="11" t="n"/>
      <c r="G164" s="12">
        <f>IF($F164="","",IF($F164&gt;31,$F164,IF($Y164="","",DATE(YEAR($Y164),MONTH($Y164),$F164))))</f>
        <v/>
      </c>
      <c r="H164" s="13" t="n"/>
      <c r="I164" s="11" t="n"/>
      <c r="J164" s="12">
        <f>IF($I164="","",IF($I164&gt;31,$I164,IF($G164="","",IF(DATE(YEAR($G164),MONTH($G164),$I164)&gt;=$G164,DATE(YEAR($G164),MONTH($G164),$I164),DATE(YEAR($G164),MONTH($G164)+1,$I164)))))</f>
        <v/>
      </c>
      <c r="K164" s="13" t="n"/>
      <c r="L164" s="8">
        <f>IF(OR($G164="",$J164=""),"",$J164-$G164+1)</f>
        <v/>
      </c>
      <c r="M164" s="8">
        <f>IF(OR($G164="",$J164=""),"",$J164-$G164)</f>
        <v/>
      </c>
      <c r="N164" s="9" t="n"/>
      <c r="O164" s="9" t="n"/>
      <c r="P164" s="9" t="n"/>
      <c r="Q164" s="9" t="n"/>
      <c r="R164" s="9" t="n"/>
      <c r="S164" s="9" t="n"/>
      <c r="T164" s="14" t="n"/>
      <c r="U164" s="9" t="n"/>
      <c r="V164" s="8">
        <f>IF($G164="","",IF($D164="","⚠部屋が未選択",IF(COUNTIF('M_部屋'!$A$4:$A$20,$D164)=0,"⚠部屋が未登録",IF(OR($J164="",$N164="キャンセル"),"",IF(SUMPRODUCT(($D$5:$D$204=$D164)*($G$5:$G$204&lt;&gt;"")*($J$5:$J$204&lt;&gt;"")*($N$5:$N$204&lt;&gt;"キャンセル")*($G$5:$G$204&lt;$J164)*($J$5:$J$204&gt;$G164))&gt;1,"⚠重複","")))))</f>
        <v/>
      </c>
      <c r="W164" s="8">
        <f>IF(OR($B164="",$G164=""),"",IF(SUMPRODUCT(('利用者マスタ'!$A$4:$A$60=$B164)*('利用者マスタ'!$B$4:$B$60&lt;&gt;""))=0,"",IF(SUMIFS($X$5:$X$204,$B$5:$B$204,$B164,$G$5:$G$204,"&gt;="&amp;DATE(YEAR($G164),MONTH($G164),1),$G$5:$G$204,"&lt;="&amp;EOMONTH($G164,0))&gt;SUMIFS('利用者マスタ'!$B$4:$B$60,'利用者マスタ'!$A$4:$A$60,$B164),"⚠支給量超過","")))</f>
        <v/>
      </c>
      <c r="X164" s="8">
        <f>IF(OR($G164="",$J164="",$N164="キャンセル"),0,IF(IFERROR(INDEX('M_区分'!$B$4:$B$20,MATCH($C164,'M_区分'!$A$4:$A$20,0)),"○")="○",$J164-$G164+1,0))</f>
        <v/>
      </c>
      <c r="Y164" s="8">
        <f>IF($E164&lt;&gt;"",$E164,$Y163)</f>
        <v/>
      </c>
      <c r="Z164" s="8">
        <f>IF(OR($G164="",$J164=""),"",IF(AND($G164&lt;=EOMONTH('02_カレンダー'!$B$4,0),$J164&gt;='02_カレンダー'!$B$4),$G164*10000+ROW(),""))</f>
        <v/>
      </c>
      <c r="AA164" s="8">
        <f>IF($H164="","",IF(ISNUMBER($H164),TEXT($H164,"hh:mm"),$H164))</f>
        <v/>
      </c>
      <c r="AB164" s="8">
        <f>IF($K164="","",IF(ISNUMBER($K164),TEXT($K164,"hh:mm"),$K164))</f>
        <v/>
      </c>
      <c r="AC164" s="8">
        <f>IF($G164="",0,$G164)</f>
        <v/>
      </c>
      <c r="AD164" s="8">
        <f>IF($J164="",0,$J164)</f>
        <v/>
      </c>
    </row>
    <row r="165">
      <c r="A165" s="8">
        <f>IF($G165="","","SS-"&amp;TEXT(ROW()-4,"0000"))</f>
        <v/>
      </c>
      <c r="B165" s="9" t="n"/>
      <c r="C165" s="9" t="n"/>
      <c r="D165" s="9" t="n"/>
      <c r="E165" s="10" t="n"/>
      <c r="F165" s="11" t="n"/>
      <c r="G165" s="12">
        <f>IF($F165="","",IF($F165&gt;31,$F165,IF($Y165="","",DATE(YEAR($Y165),MONTH($Y165),$F165))))</f>
        <v/>
      </c>
      <c r="H165" s="13" t="n"/>
      <c r="I165" s="11" t="n"/>
      <c r="J165" s="12">
        <f>IF($I165="","",IF($I165&gt;31,$I165,IF($G165="","",IF(DATE(YEAR($G165),MONTH($G165),$I165)&gt;=$G165,DATE(YEAR($G165),MONTH($G165),$I165),DATE(YEAR($G165),MONTH($G165)+1,$I165)))))</f>
        <v/>
      </c>
      <c r="K165" s="13" t="n"/>
      <c r="L165" s="8">
        <f>IF(OR($G165="",$J165=""),"",$J165-$G165+1)</f>
        <v/>
      </c>
      <c r="M165" s="8">
        <f>IF(OR($G165="",$J165=""),"",$J165-$G165)</f>
        <v/>
      </c>
      <c r="N165" s="9" t="n"/>
      <c r="O165" s="9" t="n"/>
      <c r="P165" s="9" t="n"/>
      <c r="Q165" s="9" t="n"/>
      <c r="R165" s="9" t="n"/>
      <c r="S165" s="9" t="n"/>
      <c r="T165" s="14" t="n"/>
      <c r="U165" s="9" t="n"/>
      <c r="V165" s="8">
        <f>IF($G165="","",IF($D165="","⚠部屋が未選択",IF(COUNTIF('M_部屋'!$A$4:$A$20,$D165)=0,"⚠部屋が未登録",IF(OR($J165="",$N165="キャンセル"),"",IF(SUMPRODUCT(($D$5:$D$204=$D165)*($G$5:$G$204&lt;&gt;"")*($J$5:$J$204&lt;&gt;"")*($N$5:$N$204&lt;&gt;"キャンセル")*($G$5:$G$204&lt;$J165)*($J$5:$J$204&gt;$G165))&gt;1,"⚠重複","")))))</f>
        <v/>
      </c>
      <c r="W165" s="8">
        <f>IF(OR($B165="",$G165=""),"",IF(SUMPRODUCT(('利用者マスタ'!$A$4:$A$60=$B165)*('利用者マスタ'!$B$4:$B$60&lt;&gt;""))=0,"",IF(SUMIFS($X$5:$X$204,$B$5:$B$204,$B165,$G$5:$G$204,"&gt;="&amp;DATE(YEAR($G165),MONTH($G165),1),$G$5:$G$204,"&lt;="&amp;EOMONTH($G165,0))&gt;SUMIFS('利用者マスタ'!$B$4:$B$60,'利用者マスタ'!$A$4:$A$60,$B165),"⚠支給量超過","")))</f>
        <v/>
      </c>
      <c r="X165" s="8">
        <f>IF(OR($G165="",$J165="",$N165="キャンセル"),0,IF(IFERROR(INDEX('M_区分'!$B$4:$B$20,MATCH($C165,'M_区分'!$A$4:$A$20,0)),"○")="○",$J165-$G165+1,0))</f>
        <v/>
      </c>
      <c r="Y165" s="8">
        <f>IF($E165&lt;&gt;"",$E165,$Y164)</f>
        <v/>
      </c>
      <c r="Z165" s="8">
        <f>IF(OR($G165="",$J165=""),"",IF(AND($G165&lt;=EOMONTH('02_カレンダー'!$B$4,0),$J165&gt;='02_カレンダー'!$B$4),$G165*10000+ROW(),""))</f>
        <v/>
      </c>
      <c r="AA165" s="8">
        <f>IF($H165="","",IF(ISNUMBER($H165),TEXT($H165,"hh:mm"),$H165))</f>
        <v/>
      </c>
      <c r="AB165" s="8">
        <f>IF($K165="","",IF(ISNUMBER($K165),TEXT($K165,"hh:mm"),$K165))</f>
        <v/>
      </c>
      <c r="AC165" s="8">
        <f>IF($G165="",0,$G165)</f>
        <v/>
      </c>
      <c r="AD165" s="8">
        <f>IF($J165="",0,$J165)</f>
        <v/>
      </c>
    </row>
    <row r="166">
      <c r="A166" s="8">
        <f>IF($G166="","","SS-"&amp;TEXT(ROW()-4,"0000"))</f>
        <v/>
      </c>
      <c r="B166" s="9" t="n"/>
      <c r="C166" s="9" t="n"/>
      <c r="D166" s="9" t="n"/>
      <c r="E166" s="10" t="n"/>
      <c r="F166" s="11" t="n"/>
      <c r="G166" s="12">
        <f>IF($F166="","",IF($F166&gt;31,$F166,IF($Y166="","",DATE(YEAR($Y166),MONTH($Y166),$F166))))</f>
        <v/>
      </c>
      <c r="H166" s="13" t="n"/>
      <c r="I166" s="11" t="n"/>
      <c r="J166" s="12">
        <f>IF($I166="","",IF($I166&gt;31,$I166,IF($G166="","",IF(DATE(YEAR($G166),MONTH($G166),$I166)&gt;=$G166,DATE(YEAR($G166),MONTH($G166),$I166),DATE(YEAR($G166),MONTH($G166)+1,$I166)))))</f>
        <v/>
      </c>
      <c r="K166" s="13" t="n"/>
      <c r="L166" s="8">
        <f>IF(OR($G166="",$J166=""),"",$J166-$G166+1)</f>
        <v/>
      </c>
      <c r="M166" s="8">
        <f>IF(OR($G166="",$J166=""),"",$J166-$G166)</f>
        <v/>
      </c>
      <c r="N166" s="9" t="n"/>
      <c r="O166" s="9" t="n"/>
      <c r="P166" s="9" t="n"/>
      <c r="Q166" s="9" t="n"/>
      <c r="R166" s="9" t="n"/>
      <c r="S166" s="9" t="n"/>
      <c r="T166" s="14" t="n"/>
      <c r="U166" s="9" t="n"/>
      <c r="V166" s="8">
        <f>IF($G166="","",IF($D166="","⚠部屋が未選択",IF(COUNTIF('M_部屋'!$A$4:$A$20,$D166)=0,"⚠部屋が未登録",IF(OR($J166="",$N166="キャンセル"),"",IF(SUMPRODUCT(($D$5:$D$204=$D166)*($G$5:$G$204&lt;&gt;"")*($J$5:$J$204&lt;&gt;"")*($N$5:$N$204&lt;&gt;"キャンセル")*($G$5:$G$204&lt;$J166)*($J$5:$J$204&gt;$G166))&gt;1,"⚠重複","")))))</f>
        <v/>
      </c>
      <c r="W166" s="8">
        <f>IF(OR($B166="",$G166=""),"",IF(SUMPRODUCT(('利用者マスタ'!$A$4:$A$60=$B166)*('利用者マスタ'!$B$4:$B$60&lt;&gt;""))=0,"",IF(SUMIFS($X$5:$X$204,$B$5:$B$204,$B166,$G$5:$G$204,"&gt;="&amp;DATE(YEAR($G166),MONTH($G166),1),$G$5:$G$204,"&lt;="&amp;EOMONTH($G166,0))&gt;SUMIFS('利用者マスタ'!$B$4:$B$60,'利用者マスタ'!$A$4:$A$60,$B166),"⚠支給量超過","")))</f>
        <v/>
      </c>
      <c r="X166" s="8">
        <f>IF(OR($G166="",$J166="",$N166="キャンセル"),0,IF(IFERROR(INDEX('M_区分'!$B$4:$B$20,MATCH($C166,'M_区分'!$A$4:$A$20,0)),"○")="○",$J166-$G166+1,0))</f>
        <v/>
      </c>
      <c r="Y166" s="8">
        <f>IF($E166&lt;&gt;"",$E166,$Y165)</f>
        <v/>
      </c>
      <c r="Z166" s="8">
        <f>IF(OR($G166="",$J166=""),"",IF(AND($G166&lt;=EOMONTH('02_カレンダー'!$B$4,0),$J166&gt;='02_カレンダー'!$B$4),$G166*10000+ROW(),""))</f>
        <v/>
      </c>
      <c r="AA166" s="8">
        <f>IF($H166="","",IF(ISNUMBER($H166),TEXT($H166,"hh:mm"),$H166))</f>
        <v/>
      </c>
      <c r="AB166" s="8">
        <f>IF($K166="","",IF(ISNUMBER($K166),TEXT($K166,"hh:mm"),$K166))</f>
        <v/>
      </c>
      <c r="AC166" s="8">
        <f>IF($G166="",0,$G166)</f>
        <v/>
      </c>
      <c r="AD166" s="8">
        <f>IF($J166="",0,$J166)</f>
        <v/>
      </c>
    </row>
    <row r="167">
      <c r="A167" s="8">
        <f>IF($G167="","","SS-"&amp;TEXT(ROW()-4,"0000"))</f>
        <v/>
      </c>
      <c r="B167" s="9" t="n"/>
      <c r="C167" s="9" t="n"/>
      <c r="D167" s="9" t="n"/>
      <c r="E167" s="10" t="n"/>
      <c r="F167" s="11" t="n"/>
      <c r="G167" s="12">
        <f>IF($F167="","",IF($F167&gt;31,$F167,IF($Y167="","",DATE(YEAR($Y167),MONTH($Y167),$F167))))</f>
        <v/>
      </c>
      <c r="H167" s="13" t="n"/>
      <c r="I167" s="11" t="n"/>
      <c r="J167" s="12">
        <f>IF($I167="","",IF($I167&gt;31,$I167,IF($G167="","",IF(DATE(YEAR($G167),MONTH($G167),$I167)&gt;=$G167,DATE(YEAR($G167),MONTH($G167),$I167),DATE(YEAR($G167),MONTH($G167)+1,$I167)))))</f>
        <v/>
      </c>
      <c r="K167" s="13" t="n"/>
      <c r="L167" s="8">
        <f>IF(OR($G167="",$J167=""),"",$J167-$G167+1)</f>
        <v/>
      </c>
      <c r="M167" s="8">
        <f>IF(OR($G167="",$J167=""),"",$J167-$G167)</f>
        <v/>
      </c>
      <c r="N167" s="9" t="n"/>
      <c r="O167" s="9" t="n"/>
      <c r="P167" s="9" t="n"/>
      <c r="Q167" s="9" t="n"/>
      <c r="R167" s="9" t="n"/>
      <c r="S167" s="9" t="n"/>
      <c r="T167" s="14" t="n"/>
      <c r="U167" s="9" t="n"/>
      <c r="V167" s="8">
        <f>IF($G167="","",IF($D167="","⚠部屋が未選択",IF(COUNTIF('M_部屋'!$A$4:$A$20,$D167)=0,"⚠部屋が未登録",IF(OR($J167="",$N167="キャンセル"),"",IF(SUMPRODUCT(($D$5:$D$204=$D167)*($G$5:$G$204&lt;&gt;"")*($J$5:$J$204&lt;&gt;"")*($N$5:$N$204&lt;&gt;"キャンセル")*($G$5:$G$204&lt;$J167)*($J$5:$J$204&gt;$G167))&gt;1,"⚠重複","")))))</f>
        <v/>
      </c>
      <c r="W167" s="8">
        <f>IF(OR($B167="",$G167=""),"",IF(SUMPRODUCT(('利用者マスタ'!$A$4:$A$60=$B167)*('利用者マスタ'!$B$4:$B$60&lt;&gt;""))=0,"",IF(SUMIFS($X$5:$X$204,$B$5:$B$204,$B167,$G$5:$G$204,"&gt;="&amp;DATE(YEAR($G167),MONTH($G167),1),$G$5:$G$204,"&lt;="&amp;EOMONTH($G167,0))&gt;SUMIFS('利用者マスタ'!$B$4:$B$60,'利用者マスタ'!$A$4:$A$60,$B167),"⚠支給量超過","")))</f>
        <v/>
      </c>
      <c r="X167" s="8">
        <f>IF(OR($G167="",$J167="",$N167="キャンセル"),0,IF(IFERROR(INDEX('M_区分'!$B$4:$B$20,MATCH($C167,'M_区分'!$A$4:$A$20,0)),"○")="○",$J167-$G167+1,0))</f>
        <v/>
      </c>
      <c r="Y167" s="8">
        <f>IF($E167&lt;&gt;"",$E167,$Y166)</f>
        <v/>
      </c>
      <c r="Z167" s="8">
        <f>IF(OR($G167="",$J167=""),"",IF(AND($G167&lt;=EOMONTH('02_カレンダー'!$B$4,0),$J167&gt;='02_カレンダー'!$B$4),$G167*10000+ROW(),""))</f>
        <v/>
      </c>
      <c r="AA167" s="8">
        <f>IF($H167="","",IF(ISNUMBER($H167),TEXT($H167,"hh:mm"),$H167))</f>
        <v/>
      </c>
      <c r="AB167" s="8">
        <f>IF($K167="","",IF(ISNUMBER($K167),TEXT($K167,"hh:mm"),$K167))</f>
        <v/>
      </c>
      <c r="AC167" s="8">
        <f>IF($G167="",0,$G167)</f>
        <v/>
      </c>
      <c r="AD167" s="8">
        <f>IF($J167="",0,$J167)</f>
        <v/>
      </c>
    </row>
    <row r="168">
      <c r="A168" s="8">
        <f>IF($G168="","","SS-"&amp;TEXT(ROW()-4,"0000"))</f>
        <v/>
      </c>
      <c r="B168" s="9" t="n"/>
      <c r="C168" s="9" t="n"/>
      <c r="D168" s="9" t="n"/>
      <c r="E168" s="10" t="n"/>
      <c r="F168" s="11" t="n"/>
      <c r="G168" s="12">
        <f>IF($F168="","",IF($F168&gt;31,$F168,IF($Y168="","",DATE(YEAR($Y168),MONTH($Y168),$F168))))</f>
        <v/>
      </c>
      <c r="H168" s="13" t="n"/>
      <c r="I168" s="11" t="n"/>
      <c r="J168" s="12">
        <f>IF($I168="","",IF($I168&gt;31,$I168,IF($G168="","",IF(DATE(YEAR($G168),MONTH($G168),$I168)&gt;=$G168,DATE(YEAR($G168),MONTH($G168),$I168),DATE(YEAR($G168),MONTH($G168)+1,$I168)))))</f>
        <v/>
      </c>
      <c r="K168" s="13" t="n"/>
      <c r="L168" s="8">
        <f>IF(OR($G168="",$J168=""),"",$J168-$G168+1)</f>
        <v/>
      </c>
      <c r="M168" s="8">
        <f>IF(OR($G168="",$J168=""),"",$J168-$G168)</f>
        <v/>
      </c>
      <c r="N168" s="9" t="n"/>
      <c r="O168" s="9" t="n"/>
      <c r="P168" s="9" t="n"/>
      <c r="Q168" s="9" t="n"/>
      <c r="R168" s="9" t="n"/>
      <c r="S168" s="9" t="n"/>
      <c r="T168" s="14" t="n"/>
      <c r="U168" s="9" t="n"/>
      <c r="V168" s="8">
        <f>IF($G168="","",IF($D168="","⚠部屋が未選択",IF(COUNTIF('M_部屋'!$A$4:$A$20,$D168)=0,"⚠部屋が未登録",IF(OR($J168="",$N168="キャンセル"),"",IF(SUMPRODUCT(($D$5:$D$204=$D168)*($G$5:$G$204&lt;&gt;"")*($J$5:$J$204&lt;&gt;"")*($N$5:$N$204&lt;&gt;"キャンセル")*($G$5:$G$204&lt;$J168)*($J$5:$J$204&gt;$G168))&gt;1,"⚠重複","")))))</f>
        <v/>
      </c>
      <c r="W168" s="8">
        <f>IF(OR($B168="",$G168=""),"",IF(SUMPRODUCT(('利用者マスタ'!$A$4:$A$60=$B168)*('利用者マスタ'!$B$4:$B$60&lt;&gt;""))=0,"",IF(SUMIFS($X$5:$X$204,$B$5:$B$204,$B168,$G$5:$G$204,"&gt;="&amp;DATE(YEAR($G168),MONTH($G168),1),$G$5:$G$204,"&lt;="&amp;EOMONTH($G168,0))&gt;SUMIFS('利用者マスタ'!$B$4:$B$60,'利用者マスタ'!$A$4:$A$60,$B168),"⚠支給量超過","")))</f>
        <v/>
      </c>
      <c r="X168" s="8">
        <f>IF(OR($G168="",$J168="",$N168="キャンセル"),0,IF(IFERROR(INDEX('M_区分'!$B$4:$B$20,MATCH($C168,'M_区分'!$A$4:$A$20,0)),"○")="○",$J168-$G168+1,0))</f>
        <v/>
      </c>
      <c r="Y168" s="8">
        <f>IF($E168&lt;&gt;"",$E168,$Y167)</f>
        <v/>
      </c>
      <c r="Z168" s="8">
        <f>IF(OR($G168="",$J168=""),"",IF(AND($G168&lt;=EOMONTH('02_カレンダー'!$B$4,0),$J168&gt;='02_カレンダー'!$B$4),$G168*10000+ROW(),""))</f>
        <v/>
      </c>
      <c r="AA168" s="8">
        <f>IF($H168="","",IF(ISNUMBER($H168),TEXT($H168,"hh:mm"),$H168))</f>
        <v/>
      </c>
      <c r="AB168" s="8">
        <f>IF($K168="","",IF(ISNUMBER($K168),TEXT($K168,"hh:mm"),$K168))</f>
        <v/>
      </c>
      <c r="AC168" s="8">
        <f>IF($G168="",0,$G168)</f>
        <v/>
      </c>
      <c r="AD168" s="8">
        <f>IF($J168="",0,$J168)</f>
        <v/>
      </c>
    </row>
    <row r="169">
      <c r="A169" s="8">
        <f>IF($G169="","","SS-"&amp;TEXT(ROW()-4,"0000"))</f>
        <v/>
      </c>
      <c r="B169" s="9" t="n"/>
      <c r="C169" s="9" t="n"/>
      <c r="D169" s="9" t="n"/>
      <c r="E169" s="10" t="n"/>
      <c r="F169" s="11" t="n"/>
      <c r="G169" s="12">
        <f>IF($F169="","",IF($F169&gt;31,$F169,IF($Y169="","",DATE(YEAR($Y169),MONTH($Y169),$F169))))</f>
        <v/>
      </c>
      <c r="H169" s="13" t="n"/>
      <c r="I169" s="11" t="n"/>
      <c r="J169" s="12">
        <f>IF($I169="","",IF($I169&gt;31,$I169,IF($G169="","",IF(DATE(YEAR($G169),MONTH($G169),$I169)&gt;=$G169,DATE(YEAR($G169),MONTH($G169),$I169),DATE(YEAR($G169),MONTH($G169)+1,$I169)))))</f>
        <v/>
      </c>
      <c r="K169" s="13" t="n"/>
      <c r="L169" s="8">
        <f>IF(OR($G169="",$J169=""),"",$J169-$G169+1)</f>
        <v/>
      </c>
      <c r="M169" s="8">
        <f>IF(OR($G169="",$J169=""),"",$J169-$G169)</f>
        <v/>
      </c>
      <c r="N169" s="9" t="n"/>
      <c r="O169" s="9" t="n"/>
      <c r="P169" s="9" t="n"/>
      <c r="Q169" s="9" t="n"/>
      <c r="R169" s="9" t="n"/>
      <c r="S169" s="9" t="n"/>
      <c r="T169" s="14" t="n"/>
      <c r="U169" s="9" t="n"/>
      <c r="V169" s="8">
        <f>IF($G169="","",IF($D169="","⚠部屋が未選択",IF(COUNTIF('M_部屋'!$A$4:$A$20,$D169)=0,"⚠部屋が未登録",IF(OR($J169="",$N169="キャンセル"),"",IF(SUMPRODUCT(($D$5:$D$204=$D169)*($G$5:$G$204&lt;&gt;"")*($J$5:$J$204&lt;&gt;"")*($N$5:$N$204&lt;&gt;"キャンセル")*($G$5:$G$204&lt;$J169)*($J$5:$J$204&gt;$G169))&gt;1,"⚠重複","")))))</f>
        <v/>
      </c>
      <c r="W169" s="8">
        <f>IF(OR($B169="",$G169=""),"",IF(SUMPRODUCT(('利用者マスタ'!$A$4:$A$60=$B169)*('利用者マスタ'!$B$4:$B$60&lt;&gt;""))=0,"",IF(SUMIFS($X$5:$X$204,$B$5:$B$204,$B169,$G$5:$G$204,"&gt;="&amp;DATE(YEAR($G169),MONTH($G169),1),$G$5:$G$204,"&lt;="&amp;EOMONTH($G169,0))&gt;SUMIFS('利用者マスタ'!$B$4:$B$60,'利用者マスタ'!$A$4:$A$60,$B169),"⚠支給量超過","")))</f>
        <v/>
      </c>
      <c r="X169" s="8">
        <f>IF(OR($G169="",$J169="",$N169="キャンセル"),0,IF(IFERROR(INDEX('M_区分'!$B$4:$B$20,MATCH($C169,'M_区分'!$A$4:$A$20,0)),"○")="○",$J169-$G169+1,0))</f>
        <v/>
      </c>
      <c r="Y169" s="8">
        <f>IF($E169&lt;&gt;"",$E169,$Y168)</f>
        <v/>
      </c>
      <c r="Z169" s="8">
        <f>IF(OR($G169="",$J169=""),"",IF(AND($G169&lt;=EOMONTH('02_カレンダー'!$B$4,0),$J169&gt;='02_カレンダー'!$B$4),$G169*10000+ROW(),""))</f>
        <v/>
      </c>
      <c r="AA169" s="8">
        <f>IF($H169="","",IF(ISNUMBER($H169),TEXT($H169,"hh:mm"),$H169))</f>
        <v/>
      </c>
      <c r="AB169" s="8">
        <f>IF($K169="","",IF(ISNUMBER($K169),TEXT($K169,"hh:mm"),$K169))</f>
        <v/>
      </c>
      <c r="AC169" s="8">
        <f>IF($G169="",0,$G169)</f>
        <v/>
      </c>
      <c r="AD169" s="8">
        <f>IF($J169="",0,$J169)</f>
        <v/>
      </c>
    </row>
    <row r="170">
      <c r="A170" s="8">
        <f>IF($G170="","","SS-"&amp;TEXT(ROW()-4,"0000"))</f>
        <v/>
      </c>
      <c r="B170" s="9" t="n"/>
      <c r="C170" s="9" t="n"/>
      <c r="D170" s="9" t="n"/>
      <c r="E170" s="10" t="n"/>
      <c r="F170" s="11" t="n"/>
      <c r="G170" s="12">
        <f>IF($F170="","",IF($F170&gt;31,$F170,IF($Y170="","",DATE(YEAR($Y170),MONTH($Y170),$F170))))</f>
        <v/>
      </c>
      <c r="H170" s="13" t="n"/>
      <c r="I170" s="11" t="n"/>
      <c r="J170" s="12">
        <f>IF($I170="","",IF($I170&gt;31,$I170,IF($G170="","",IF(DATE(YEAR($G170),MONTH($G170),$I170)&gt;=$G170,DATE(YEAR($G170),MONTH($G170),$I170),DATE(YEAR($G170),MONTH($G170)+1,$I170)))))</f>
        <v/>
      </c>
      <c r="K170" s="13" t="n"/>
      <c r="L170" s="8">
        <f>IF(OR($G170="",$J170=""),"",$J170-$G170+1)</f>
        <v/>
      </c>
      <c r="M170" s="8">
        <f>IF(OR($G170="",$J170=""),"",$J170-$G170)</f>
        <v/>
      </c>
      <c r="N170" s="9" t="n"/>
      <c r="O170" s="9" t="n"/>
      <c r="P170" s="9" t="n"/>
      <c r="Q170" s="9" t="n"/>
      <c r="R170" s="9" t="n"/>
      <c r="S170" s="9" t="n"/>
      <c r="T170" s="14" t="n"/>
      <c r="U170" s="9" t="n"/>
      <c r="V170" s="8">
        <f>IF($G170="","",IF($D170="","⚠部屋が未選択",IF(COUNTIF('M_部屋'!$A$4:$A$20,$D170)=0,"⚠部屋が未登録",IF(OR($J170="",$N170="キャンセル"),"",IF(SUMPRODUCT(($D$5:$D$204=$D170)*($G$5:$G$204&lt;&gt;"")*($J$5:$J$204&lt;&gt;"")*($N$5:$N$204&lt;&gt;"キャンセル")*($G$5:$G$204&lt;$J170)*($J$5:$J$204&gt;$G170))&gt;1,"⚠重複","")))))</f>
        <v/>
      </c>
      <c r="W170" s="8">
        <f>IF(OR($B170="",$G170=""),"",IF(SUMPRODUCT(('利用者マスタ'!$A$4:$A$60=$B170)*('利用者マスタ'!$B$4:$B$60&lt;&gt;""))=0,"",IF(SUMIFS($X$5:$X$204,$B$5:$B$204,$B170,$G$5:$G$204,"&gt;="&amp;DATE(YEAR($G170),MONTH($G170),1),$G$5:$G$204,"&lt;="&amp;EOMONTH($G170,0))&gt;SUMIFS('利用者マスタ'!$B$4:$B$60,'利用者マスタ'!$A$4:$A$60,$B170),"⚠支給量超過","")))</f>
        <v/>
      </c>
      <c r="X170" s="8">
        <f>IF(OR($G170="",$J170="",$N170="キャンセル"),0,IF(IFERROR(INDEX('M_区分'!$B$4:$B$20,MATCH($C170,'M_区分'!$A$4:$A$20,0)),"○")="○",$J170-$G170+1,0))</f>
        <v/>
      </c>
      <c r="Y170" s="8">
        <f>IF($E170&lt;&gt;"",$E170,$Y169)</f>
        <v/>
      </c>
      <c r="Z170" s="8">
        <f>IF(OR($G170="",$J170=""),"",IF(AND($G170&lt;=EOMONTH('02_カレンダー'!$B$4,0),$J170&gt;='02_カレンダー'!$B$4),$G170*10000+ROW(),""))</f>
        <v/>
      </c>
      <c r="AA170" s="8">
        <f>IF($H170="","",IF(ISNUMBER($H170),TEXT($H170,"hh:mm"),$H170))</f>
        <v/>
      </c>
      <c r="AB170" s="8">
        <f>IF($K170="","",IF(ISNUMBER($K170),TEXT($K170,"hh:mm"),$K170))</f>
        <v/>
      </c>
      <c r="AC170" s="8">
        <f>IF($G170="",0,$G170)</f>
        <v/>
      </c>
      <c r="AD170" s="8">
        <f>IF($J170="",0,$J170)</f>
        <v/>
      </c>
    </row>
    <row r="171">
      <c r="A171" s="8">
        <f>IF($G171="","","SS-"&amp;TEXT(ROW()-4,"0000"))</f>
        <v/>
      </c>
      <c r="B171" s="9" t="n"/>
      <c r="C171" s="9" t="n"/>
      <c r="D171" s="9" t="n"/>
      <c r="E171" s="10" t="n"/>
      <c r="F171" s="11" t="n"/>
      <c r="G171" s="12">
        <f>IF($F171="","",IF($F171&gt;31,$F171,IF($Y171="","",DATE(YEAR($Y171),MONTH($Y171),$F171))))</f>
        <v/>
      </c>
      <c r="H171" s="13" t="n"/>
      <c r="I171" s="11" t="n"/>
      <c r="J171" s="12">
        <f>IF($I171="","",IF($I171&gt;31,$I171,IF($G171="","",IF(DATE(YEAR($G171),MONTH($G171),$I171)&gt;=$G171,DATE(YEAR($G171),MONTH($G171),$I171),DATE(YEAR($G171),MONTH($G171)+1,$I171)))))</f>
        <v/>
      </c>
      <c r="K171" s="13" t="n"/>
      <c r="L171" s="8">
        <f>IF(OR($G171="",$J171=""),"",$J171-$G171+1)</f>
        <v/>
      </c>
      <c r="M171" s="8">
        <f>IF(OR($G171="",$J171=""),"",$J171-$G171)</f>
        <v/>
      </c>
      <c r="N171" s="9" t="n"/>
      <c r="O171" s="9" t="n"/>
      <c r="P171" s="9" t="n"/>
      <c r="Q171" s="9" t="n"/>
      <c r="R171" s="9" t="n"/>
      <c r="S171" s="9" t="n"/>
      <c r="T171" s="14" t="n"/>
      <c r="U171" s="9" t="n"/>
      <c r="V171" s="8">
        <f>IF($G171="","",IF($D171="","⚠部屋が未選択",IF(COUNTIF('M_部屋'!$A$4:$A$20,$D171)=0,"⚠部屋が未登録",IF(OR($J171="",$N171="キャンセル"),"",IF(SUMPRODUCT(($D$5:$D$204=$D171)*($G$5:$G$204&lt;&gt;"")*($J$5:$J$204&lt;&gt;"")*($N$5:$N$204&lt;&gt;"キャンセル")*($G$5:$G$204&lt;$J171)*($J$5:$J$204&gt;$G171))&gt;1,"⚠重複","")))))</f>
        <v/>
      </c>
      <c r="W171" s="8">
        <f>IF(OR($B171="",$G171=""),"",IF(SUMPRODUCT(('利用者マスタ'!$A$4:$A$60=$B171)*('利用者マスタ'!$B$4:$B$60&lt;&gt;""))=0,"",IF(SUMIFS($X$5:$X$204,$B$5:$B$204,$B171,$G$5:$G$204,"&gt;="&amp;DATE(YEAR($G171),MONTH($G171),1),$G$5:$G$204,"&lt;="&amp;EOMONTH($G171,0))&gt;SUMIFS('利用者マスタ'!$B$4:$B$60,'利用者マスタ'!$A$4:$A$60,$B171),"⚠支給量超過","")))</f>
        <v/>
      </c>
      <c r="X171" s="8">
        <f>IF(OR($G171="",$J171="",$N171="キャンセル"),0,IF(IFERROR(INDEX('M_区分'!$B$4:$B$20,MATCH($C171,'M_区分'!$A$4:$A$20,0)),"○")="○",$J171-$G171+1,0))</f>
        <v/>
      </c>
      <c r="Y171" s="8">
        <f>IF($E171&lt;&gt;"",$E171,$Y170)</f>
        <v/>
      </c>
      <c r="Z171" s="8">
        <f>IF(OR($G171="",$J171=""),"",IF(AND($G171&lt;=EOMONTH('02_カレンダー'!$B$4,0),$J171&gt;='02_カレンダー'!$B$4),$G171*10000+ROW(),""))</f>
        <v/>
      </c>
      <c r="AA171" s="8">
        <f>IF($H171="","",IF(ISNUMBER($H171),TEXT($H171,"hh:mm"),$H171))</f>
        <v/>
      </c>
      <c r="AB171" s="8">
        <f>IF($K171="","",IF(ISNUMBER($K171),TEXT($K171,"hh:mm"),$K171))</f>
        <v/>
      </c>
      <c r="AC171" s="8">
        <f>IF($G171="",0,$G171)</f>
        <v/>
      </c>
      <c r="AD171" s="8">
        <f>IF($J171="",0,$J171)</f>
        <v/>
      </c>
    </row>
    <row r="172">
      <c r="A172" s="8">
        <f>IF($G172="","","SS-"&amp;TEXT(ROW()-4,"0000"))</f>
        <v/>
      </c>
      <c r="B172" s="9" t="n"/>
      <c r="C172" s="9" t="n"/>
      <c r="D172" s="9" t="n"/>
      <c r="E172" s="10" t="n"/>
      <c r="F172" s="11" t="n"/>
      <c r="G172" s="12">
        <f>IF($F172="","",IF($F172&gt;31,$F172,IF($Y172="","",DATE(YEAR($Y172),MONTH($Y172),$F172))))</f>
        <v/>
      </c>
      <c r="H172" s="13" t="n"/>
      <c r="I172" s="11" t="n"/>
      <c r="J172" s="12">
        <f>IF($I172="","",IF($I172&gt;31,$I172,IF($G172="","",IF(DATE(YEAR($G172),MONTH($G172),$I172)&gt;=$G172,DATE(YEAR($G172),MONTH($G172),$I172),DATE(YEAR($G172),MONTH($G172)+1,$I172)))))</f>
        <v/>
      </c>
      <c r="K172" s="13" t="n"/>
      <c r="L172" s="8">
        <f>IF(OR($G172="",$J172=""),"",$J172-$G172+1)</f>
        <v/>
      </c>
      <c r="M172" s="8">
        <f>IF(OR($G172="",$J172=""),"",$J172-$G172)</f>
        <v/>
      </c>
      <c r="N172" s="9" t="n"/>
      <c r="O172" s="9" t="n"/>
      <c r="P172" s="9" t="n"/>
      <c r="Q172" s="9" t="n"/>
      <c r="R172" s="9" t="n"/>
      <c r="S172" s="9" t="n"/>
      <c r="T172" s="14" t="n"/>
      <c r="U172" s="9" t="n"/>
      <c r="V172" s="8">
        <f>IF($G172="","",IF($D172="","⚠部屋が未選択",IF(COUNTIF('M_部屋'!$A$4:$A$20,$D172)=0,"⚠部屋が未登録",IF(OR($J172="",$N172="キャンセル"),"",IF(SUMPRODUCT(($D$5:$D$204=$D172)*($G$5:$G$204&lt;&gt;"")*($J$5:$J$204&lt;&gt;"")*($N$5:$N$204&lt;&gt;"キャンセル")*($G$5:$G$204&lt;$J172)*($J$5:$J$204&gt;$G172))&gt;1,"⚠重複","")))))</f>
        <v/>
      </c>
      <c r="W172" s="8">
        <f>IF(OR($B172="",$G172=""),"",IF(SUMPRODUCT(('利用者マスタ'!$A$4:$A$60=$B172)*('利用者マスタ'!$B$4:$B$60&lt;&gt;""))=0,"",IF(SUMIFS($X$5:$X$204,$B$5:$B$204,$B172,$G$5:$G$204,"&gt;="&amp;DATE(YEAR($G172),MONTH($G172),1),$G$5:$G$204,"&lt;="&amp;EOMONTH($G172,0))&gt;SUMIFS('利用者マスタ'!$B$4:$B$60,'利用者マスタ'!$A$4:$A$60,$B172),"⚠支給量超過","")))</f>
        <v/>
      </c>
      <c r="X172" s="8">
        <f>IF(OR($G172="",$J172="",$N172="キャンセル"),0,IF(IFERROR(INDEX('M_区分'!$B$4:$B$20,MATCH($C172,'M_区分'!$A$4:$A$20,0)),"○")="○",$J172-$G172+1,0))</f>
        <v/>
      </c>
      <c r="Y172" s="8">
        <f>IF($E172&lt;&gt;"",$E172,$Y171)</f>
        <v/>
      </c>
      <c r="Z172" s="8">
        <f>IF(OR($G172="",$J172=""),"",IF(AND($G172&lt;=EOMONTH('02_カレンダー'!$B$4,0),$J172&gt;='02_カレンダー'!$B$4),$G172*10000+ROW(),""))</f>
        <v/>
      </c>
      <c r="AA172" s="8">
        <f>IF($H172="","",IF(ISNUMBER($H172),TEXT($H172,"hh:mm"),$H172))</f>
        <v/>
      </c>
      <c r="AB172" s="8">
        <f>IF($K172="","",IF(ISNUMBER($K172),TEXT($K172,"hh:mm"),$K172))</f>
        <v/>
      </c>
      <c r="AC172" s="8">
        <f>IF($G172="",0,$G172)</f>
        <v/>
      </c>
      <c r="AD172" s="8">
        <f>IF($J172="",0,$J172)</f>
        <v/>
      </c>
    </row>
    <row r="173">
      <c r="A173" s="8">
        <f>IF($G173="","","SS-"&amp;TEXT(ROW()-4,"0000"))</f>
        <v/>
      </c>
      <c r="B173" s="9" t="n"/>
      <c r="C173" s="9" t="n"/>
      <c r="D173" s="9" t="n"/>
      <c r="E173" s="10" t="n"/>
      <c r="F173" s="11" t="n"/>
      <c r="G173" s="12">
        <f>IF($F173="","",IF($F173&gt;31,$F173,IF($Y173="","",DATE(YEAR($Y173),MONTH($Y173),$F173))))</f>
        <v/>
      </c>
      <c r="H173" s="13" t="n"/>
      <c r="I173" s="11" t="n"/>
      <c r="J173" s="12">
        <f>IF($I173="","",IF($I173&gt;31,$I173,IF($G173="","",IF(DATE(YEAR($G173),MONTH($G173),$I173)&gt;=$G173,DATE(YEAR($G173),MONTH($G173),$I173),DATE(YEAR($G173),MONTH($G173)+1,$I173)))))</f>
        <v/>
      </c>
      <c r="K173" s="13" t="n"/>
      <c r="L173" s="8">
        <f>IF(OR($G173="",$J173=""),"",$J173-$G173+1)</f>
        <v/>
      </c>
      <c r="M173" s="8">
        <f>IF(OR($G173="",$J173=""),"",$J173-$G173)</f>
        <v/>
      </c>
      <c r="N173" s="9" t="n"/>
      <c r="O173" s="9" t="n"/>
      <c r="P173" s="9" t="n"/>
      <c r="Q173" s="9" t="n"/>
      <c r="R173" s="9" t="n"/>
      <c r="S173" s="9" t="n"/>
      <c r="T173" s="14" t="n"/>
      <c r="U173" s="9" t="n"/>
      <c r="V173" s="8">
        <f>IF($G173="","",IF($D173="","⚠部屋が未選択",IF(COUNTIF('M_部屋'!$A$4:$A$20,$D173)=0,"⚠部屋が未登録",IF(OR($J173="",$N173="キャンセル"),"",IF(SUMPRODUCT(($D$5:$D$204=$D173)*($G$5:$G$204&lt;&gt;"")*($J$5:$J$204&lt;&gt;"")*($N$5:$N$204&lt;&gt;"キャンセル")*($G$5:$G$204&lt;$J173)*($J$5:$J$204&gt;$G173))&gt;1,"⚠重複","")))))</f>
        <v/>
      </c>
      <c r="W173" s="8">
        <f>IF(OR($B173="",$G173=""),"",IF(SUMPRODUCT(('利用者マスタ'!$A$4:$A$60=$B173)*('利用者マスタ'!$B$4:$B$60&lt;&gt;""))=0,"",IF(SUMIFS($X$5:$X$204,$B$5:$B$204,$B173,$G$5:$G$204,"&gt;="&amp;DATE(YEAR($G173),MONTH($G173),1),$G$5:$G$204,"&lt;="&amp;EOMONTH($G173,0))&gt;SUMIFS('利用者マスタ'!$B$4:$B$60,'利用者マスタ'!$A$4:$A$60,$B173),"⚠支給量超過","")))</f>
        <v/>
      </c>
      <c r="X173" s="8">
        <f>IF(OR($G173="",$J173="",$N173="キャンセル"),0,IF(IFERROR(INDEX('M_区分'!$B$4:$B$20,MATCH($C173,'M_区分'!$A$4:$A$20,0)),"○")="○",$J173-$G173+1,0))</f>
        <v/>
      </c>
      <c r="Y173" s="8">
        <f>IF($E173&lt;&gt;"",$E173,$Y172)</f>
        <v/>
      </c>
      <c r="Z173" s="8">
        <f>IF(OR($G173="",$J173=""),"",IF(AND($G173&lt;=EOMONTH('02_カレンダー'!$B$4,0),$J173&gt;='02_カレンダー'!$B$4),$G173*10000+ROW(),""))</f>
        <v/>
      </c>
      <c r="AA173" s="8">
        <f>IF($H173="","",IF(ISNUMBER($H173),TEXT($H173,"hh:mm"),$H173))</f>
        <v/>
      </c>
      <c r="AB173" s="8">
        <f>IF($K173="","",IF(ISNUMBER($K173),TEXT($K173,"hh:mm"),$K173))</f>
        <v/>
      </c>
      <c r="AC173" s="8">
        <f>IF($G173="",0,$G173)</f>
        <v/>
      </c>
      <c r="AD173" s="8">
        <f>IF($J173="",0,$J173)</f>
        <v/>
      </c>
    </row>
    <row r="174">
      <c r="A174" s="8">
        <f>IF($G174="","","SS-"&amp;TEXT(ROW()-4,"0000"))</f>
        <v/>
      </c>
      <c r="B174" s="9" t="n"/>
      <c r="C174" s="9" t="n"/>
      <c r="D174" s="9" t="n"/>
      <c r="E174" s="10" t="n"/>
      <c r="F174" s="11" t="n"/>
      <c r="G174" s="12">
        <f>IF($F174="","",IF($F174&gt;31,$F174,IF($Y174="","",DATE(YEAR($Y174),MONTH($Y174),$F174))))</f>
        <v/>
      </c>
      <c r="H174" s="13" t="n"/>
      <c r="I174" s="11" t="n"/>
      <c r="J174" s="12">
        <f>IF($I174="","",IF($I174&gt;31,$I174,IF($G174="","",IF(DATE(YEAR($G174),MONTH($G174),$I174)&gt;=$G174,DATE(YEAR($G174),MONTH($G174),$I174),DATE(YEAR($G174),MONTH($G174)+1,$I174)))))</f>
        <v/>
      </c>
      <c r="K174" s="13" t="n"/>
      <c r="L174" s="8">
        <f>IF(OR($G174="",$J174=""),"",$J174-$G174+1)</f>
        <v/>
      </c>
      <c r="M174" s="8">
        <f>IF(OR($G174="",$J174=""),"",$J174-$G174)</f>
        <v/>
      </c>
      <c r="N174" s="9" t="n"/>
      <c r="O174" s="9" t="n"/>
      <c r="P174" s="9" t="n"/>
      <c r="Q174" s="9" t="n"/>
      <c r="R174" s="9" t="n"/>
      <c r="S174" s="9" t="n"/>
      <c r="T174" s="14" t="n"/>
      <c r="U174" s="9" t="n"/>
      <c r="V174" s="8">
        <f>IF($G174="","",IF($D174="","⚠部屋が未選択",IF(COUNTIF('M_部屋'!$A$4:$A$20,$D174)=0,"⚠部屋が未登録",IF(OR($J174="",$N174="キャンセル"),"",IF(SUMPRODUCT(($D$5:$D$204=$D174)*($G$5:$G$204&lt;&gt;"")*($J$5:$J$204&lt;&gt;"")*($N$5:$N$204&lt;&gt;"キャンセル")*($G$5:$G$204&lt;$J174)*($J$5:$J$204&gt;$G174))&gt;1,"⚠重複","")))))</f>
        <v/>
      </c>
      <c r="W174" s="8">
        <f>IF(OR($B174="",$G174=""),"",IF(SUMPRODUCT(('利用者マスタ'!$A$4:$A$60=$B174)*('利用者マスタ'!$B$4:$B$60&lt;&gt;""))=0,"",IF(SUMIFS($X$5:$X$204,$B$5:$B$204,$B174,$G$5:$G$204,"&gt;="&amp;DATE(YEAR($G174),MONTH($G174),1),$G$5:$G$204,"&lt;="&amp;EOMONTH($G174,0))&gt;SUMIFS('利用者マスタ'!$B$4:$B$60,'利用者マスタ'!$A$4:$A$60,$B174),"⚠支給量超過","")))</f>
        <v/>
      </c>
      <c r="X174" s="8">
        <f>IF(OR($G174="",$J174="",$N174="キャンセル"),0,IF(IFERROR(INDEX('M_区分'!$B$4:$B$20,MATCH($C174,'M_区分'!$A$4:$A$20,0)),"○")="○",$J174-$G174+1,0))</f>
        <v/>
      </c>
      <c r="Y174" s="8">
        <f>IF($E174&lt;&gt;"",$E174,$Y173)</f>
        <v/>
      </c>
      <c r="Z174" s="8">
        <f>IF(OR($G174="",$J174=""),"",IF(AND($G174&lt;=EOMONTH('02_カレンダー'!$B$4,0),$J174&gt;='02_カレンダー'!$B$4),$G174*10000+ROW(),""))</f>
        <v/>
      </c>
      <c r="AA174" s="8">
        <f>IF($H174="","",IF(ISNUMBER($H174),TEXT($H174,"hh:mm"),$H174))</f>
        <v/>
      </c>
      <c r="AB174" s="8">
        <f>IF($K174="","",IF(ISNUMBER($K174),TEXT($K174,"hh:mm"),$K174))</f>
        <v/>
      </c>
      <c r="AC174" s="8">
        <f>IF($G174="",0,$G174)</f>
        <v/>
      </c>
      <c r="AD174" s="8">
        <f>IF($J174="",0,$J174)</f>
        <v/>
      </c>
    </row>
    <row r="175">
      <c r="A175" s="8">
        <f>IF($G175="","","SS-"&amp;TEXT(ROW()-4,"0000"))</f>
        <v/>
      </c>
      <c r="B175" s="9" t="n"/>
      <c r="C175" s="9" t="n"/>
      <c r="D175" s="9" t="n"/>
      <c r="E175" s="10" t="n"/>
      <c r="F175" s="11" t="n"/>
      <c r="G175" s="12">
        <f>IF($F175="","",IF($F175&gt;31,$F175,IF($Y175="","",DATE(YEAR($Y175),MONTH($Y175),$F175))))</f>
        <v/>
      </c>
      <c r="H175" s="13" t="n"/>
      <c r="I175" s="11" t="n"/>
      <c r="J175" s="12">
        <f>IF($I175="","",IF($I175&gt;31,$I175,IF($G175="","",IF(DATE(YEAR($G175),MONTH($G175),$I175)&gt;=$G175,DATE(YEAR($G175),MONTH($G175),$I175),DATE(YEAR($G175),MONTH($G175)+1,$I175)))))</f>
        <v/>
      </c>
      <c r="K175" s="13" t="n"/>
      <c r="L175" s="8">
        <f>IF(OR($G175="",$J175=""),"",$J175-$G175+1)</f>
        <v/>
      </c>
      <c r="M175" s="8">
        <f>IF(OR($G175="",$J175=""),"",$J175-$G175)</f>
        <v/>
      </c>
      <c r="N175" s="9" t="n"/>
      <c r="O175" s="9" t="n"/>
      <c r="P175" s="9" t="n"/>
      <c r="Q175" s="9" t="n"/>
      <c r="R175" s="9" t="n"/>
      <c r="S175" s="9" t="n"/>
      <c r="T175" s="14" t="n"/>
      <c r="U175" s="9" t="n"/>
      <c r="V175" s="8">
        <f>IF($G175="","",IF($D175="","⚠部屋が未選択",IF(COUNTIF('M_部屋'!$A$4:$A$20,$D175)=0,"⚠部屋が未登録",IF(OR($J175="",$N175="キャンセル"),"",IF(SUMPRODUCT(($D$5:$D$204=$D175)*($G$5:$G$204&lt;&gt;"")*($J$5:$J$204&lt;&gt;"")*($N$5:$N$204&lt;&gt;"キャンセル")*($G$5:$G$204&lt;$J175)*($J$5:$J$204&gt;$G175))&gt;1,"⚠重複","")))))</f>
        <v/>
      </c>
      <c r="W175" s="8">
        <f>IF(OR($B175="",$G175=""),"",IF(SUMPRODUCT(('利用者マスタ'!$A$4:$A$60=$B175)*('利用者マスタ'!$B$4:$B$60&lt;&gt;""))=0,"",IF(SUMIFS($X$5:$X$204,$B$5:$B$204,$B175,$G$5:$G$204,"&gt;="&amp;DATE(YEAR($G175),MONTH($G175),1),$G$5:$G$204,"&lt;="&amp;EOMONTH($G175,0))&gt;SUMIFS('利用者マスタ'!$B$4:$B$60,'利用者マスタ'!$A$4:$A$60,$B175),"⚠支給量超過","")))</f>
        <v/>
      </c>
      <c r="X175" s="8">
        <f>IF(OR($G175="",$J175="",$N175="キャンセル"),0,IF(IFERROR(INDEX('M_区分'!$B$4:$B$20,MATCH($C175,'M_区分'!$A$4:$A$20,0)),"○")="○",$J175-$G175+1,0))</f>
        <v/>
      </c>
      <c r="Y175" s="8">
        <f>IF($E175&lt;&gt;"",$E175,$Y174)</f>
        <v/>
      </c>
      <c r="Z175" s="8">
        <f>IF(OR($G175="",$J175=""),"",IF(AND($G175&lt;=EOMONTH('02_カレンダー'!$B$4,0),$J175&gt;='02_カレンダー'!$B$4),$G175*10000+ROW(),""))</f>
        <v/>
      </c>
      <c r="AA175" s="8">
        <f>IF($H175="","",IF(ISNUMBER($H175),TEXT($H175,"hh:mm"),$H175))</f>
        <v/>
      </c>
      <c r="AB175" s="8">
        <f>IF($K175="","",IF(ISNUMBER($K175),TEXT($K175,"hh:mm"),$K175))</f>
        <v/>
      </c>
      <c r="AC175" s="8">
        <f>IF($G175="",0,$G175)</f>
        <v/>
      </c>
      <c r="AD175" s="8">
        <f>IF($J175="",0,$J175)</f>
        <v/>
      </c>
    </row>
    <row r="176">
      <c r="A176" s="8">
        <f>IF($G176="","","SS-"&amp;TEXT(ROW()-4,"0000"))</f>
        <v/>
      </c>
      <c r="B176" s="9" t="n"/>
      <c r="C176" s="9" t="n"/>
      <c r="D176" s="9" t="n"/>
      <c r="E176" s="10" t="n"/>
      <c r="F176" s="11" t="n"/>
      <c r="G176" s="12">
        <f>IF($F176="","",IF($F176&gt;31,$F176,IF($Y176="","",DATE(YEAR($Y176),MONTH($Y176),$F176))))</f>
        <v/>
      </c>
      <c r="H176" s="13" t="n"/>
      <c r="I176" s="11" t="n"/>
      <c r="J176" s="12">
        <f>IF($I176="","",IF($I176&gt;31,$I176,IF($G176="","",IF(DATE(YEAR($G176),MONTH($G176),$I176)&gt;=$G176,DATE(YEAR($G176),MONTH($G176),$I176),DATE(YEAR($G176),MONTH($G176)+1,$I176)))))</f>
        <v/>
      </c>
      <c r="K176" s="13" t="n"/>
      <c r="L176" s="8">
        <f>IF(OR($G176="",$J176=""),"",$J176-$G176+1)</f>
        <v/>
      </c>
      <c r="M176" s="8">
        <f>IF(OR($G176="",$J176=""),"",$J176-$G176)</f>
        <v/>
      </c>
      <c r="N176" s="9" t="n"/>
      <c r="O176" s="9" t="n"/>
      <c r="P176" s="9" t="n"/>
      <c r="Q176" s="9" t="n"/>
      <c r="R176" s="9" t="n"/>
      <c r="S176" s="9" t="n"/>
      <c r="T176" s="14" t="n"/>
      <c r="U176" s="9" t="n"/>
      <c r="V176" s="8">
        <f>IF($G176="","",IF($D176="","⚠部屋が未選択",IF(COUNTIF('M_部屋'!$A$4:$A$20,$D176)=0,"⚠部屋が未登録",IF(OR($J176="",$N176="キャンセル"),"",IF(SUMPRODUCT(($D$5:$D$204=$D176)*($G$5:$G$204&lt;&gt;"")*($J$5:$J$204&lt;&gt;"")*($N$5:$N$204&lt;&gt;"キャンセル")*($G$5:$G$204&lt;$J176)*($J$5:$J$204&gt;$G176))&gt;1,"⚠重複","")))))</f>
        <v/>
      </c>
      <c r="W176" s="8">
        <f>IF(OR($B176="",$G176=""),"",IF(SUMPRODUCT(('利用者マスタ'!$A$4:$A$60=$B176)*('利用者マスタ'!$B$4:$B$60&lt;&gt;""))=0,"",IF(SUMIFS($X$5:$X$204,$B$5:$B$204,$B176,$G$5:$G$204,"&gt;="&amp;DATE(YEAR($G176),MONTH($G176),1),$G$5:$G$204,"&lt;="&amp;EOMONTH($G176,0))&gt;SUMIFS('利用者マスタ'!$B$4:$B$60,'利用者マスタ'!$A$4:$A$60,$B176),"⚠支給量超過","")))</f>
        <v/>
      </c>
      <c r="X176" s="8">
        <f>IF(OR($G176="",$J176="",$N176="キャンセル"),0,IF(IFERROR(INDEX('M_区分'!$B$4:$B$20,MATCH($C176,'M_区分'!$A$4:$A$20,0)),"○")="○",$J176-$G176+1,0))</f>
        <v/>
      </c>
      <c r="Y176" s="8">
        <f>IF($E176&lt;&gt;"",$E176,$Y175)</f>
        <v/>
      </c>
      <c r="Z176" s="8">
        <f>IF(OR($G176="",$J176=""),"",IF(AND($G176&lt;=EOMONTH('02_カレンダー'!$B$4,0),$J176&gt;='02_カレンダー'!$B$4),$G176*10000+ROW(),""))</f>
        <v/>
      </c>
      <c r="AA176" s="8">
        <f>IF($H176="","",IF(ISNUMBER($H176),TEXT($H176,"hh:mm"),$H176))</f>
        <v/>
      </c>
      <c r="AB176" s="8">
        <f>IF($K176="","",IF(ISNUMBER($K176),TEXT($K176,"hh:mm"),$K176))</f>
        <v/>
      </c>
      <c r="AC176" s="8">
        <f>IF($G176="",0,$G176)</f>
        <v/>
      </c>
      <c r="AD176" s="8">
        <f>IF($J176="",0,$J176)</f>
        <v/>
      </c>
    </row>
    <row r="177">
      <c r="A177" s="8">
        <f>IF($G177="","","SS-"&amp;TEXT(ROW()-4,"0000"))</f>
        <v/>
      </c>
      <c r="B177" s="9" t="n"/>
      <c r="C177" s="9" t="n"/>
      <c r="D177" s="9" t="n"/>
      <c r="E177" s="10" t="n"/>
      <c r="F177" s="11" t="n"/>
      <c r="G177" s="12">
        <f>IF($F177="","",IF($F177&gt;31,$F177,IF($Y177="","",DATE(YEAR($Y177),MONTH($Y177),$F177))))</f>
        <v/>
      </c>
      <c r="H177" s="13" t="n"/>
      <c r="I177" s="11" t="n"/>
      <c r="J177" s="12">
        <f>IF($I177="","",IF($I177&gt;31,$I177,IF($G177="","",IF(DATE(YEAR($G177),MONTH($G177),$I177)&gt;=$G177,DATE(YEAR($G177),MONTH($G177),$I177),DATE(YEAR($G177),MONTH($G177)+1,$I177)))))</f>
        <v/>
      </c>
      <c r="K177" s="13" t="n"/>
      <c r="L177" s="8">
        <f>IF(OR($G177="",$J177=""),"",$J177-$G177+1)</f>
        <v/>
      </c>
      <c r="M177" s="8">
        <f>IF(OR($G177="",$J177=""),"",$J177-$G177)</f>
        <v/>
      </c>
      <c r="N177" s="9" t="n"/>
      <c r="O177" s="9" t="n"/>
      <c r="P177" s="9" t="n"/>
      <c r="Q177" s="9" t="n"/>
      <c r="R177" s="9" t="n"/>
      <c r="S177" s="9" t="n"/>
      <c r="T177" s="14" t="n"/>
      <c r="U177" s="9" t="n"/>
      <c r="V177" s="8">
        <f>IF($G177="","",IF($D177="","⚠部屋が未選択",IF(COUNTIF('M_部屋'!$A$4:$A$20,$D177)=0,"⚠部屋が未登録",IF(OR($J177="",$N177="キャンセル"),"",IF(SUMPRODUCT(($D$5:$D$204=$D177)*($G$5:$G$204&lt;&gt;"")*($J$5:$J$204&lt;&gt;"")*($N$5:$N$204&lt;&gt;"キャンセル")*($G$5:$G$204&lt;$J177)*($J$5:$J$204&gt;$G177))&gt;1,"⚠重複","")))))</f>
        <v/>
      </c>
      <c r="W177" s="8">
        <f>IF(OR($B177="",$G177=""),"",IF(SUMPRODUCT(('利用者マスタ'!$A$4:$A$60=$B177)*('利用者マスタ'!$B$4:$B$60&lt;&gt;""))=0,"",IF(SUMIFS($X$5:$X$204,$B$5:$B$204,$B177,$G$5:$G$204,"&gt;="&amp;DATE(YEAR($G177),MONTH($G177),1),$G$5:$G$204,"&lt;="&amp;EOMONTH($G177,0))&gt;SUMIFS('利用者マスタ'!$B$4:$B$60,'利用者マスタ'!$A$4:$A$60,$B177),"⚠支給量超過","")))</f>
        <v/>
      </c>
      <c r="X177" s="8">
        <f>IF(OR($G177="",$J177="",$N177="キャンセル"),0,IF(IFERROR(INDEX('M_区分'!$B$4:$B$20,MATCH($C177,'M_区分'!$A$4:$A$20,0)),"○")="○",$J177-$G177+1,0))</f>
        <v/>
      </c>
      <c r="Y177" s="8">
        <f>IF($E177&lt;&gt;"",$E177,$Y176)</f>
        <v/>
      </c>
      <c r="Z177" s="8">
        <f>IF(OR($G177="",$J177=""),"",IF(AND($G177&lt;=EOMONTH('02_カレンダー'!$B$4,0),$J177&gt;='02_カレンダー'!$B$4),$G177*10000+ROW(),""))</f>
        <v/>
      </c>
      <c r="AA177" s="8">
        <f>IF($H177="","",IF(ISNUMBER($H177),TEXT($H177,"hh:mm"),$H177))</f>
        <v/>
      </c>
      <c r="AB177" s="8">
        <f>IF($K177="","",IF(ISNUMBER($K177),TEXT($K177,"hh:mm"),$K177))</f>
        <v/>
      </c>
      <c r="AC177" s="8">
        <f>IF($G177="",0,$G177)</f>
        <v/>
      </c>
      <c r="AD177" s="8">
        <f>IF($J177="",0,$J177)</f>
        <v/>
      </c>
    </row>
    <row r="178">
      <c r="A178" s="8">
        <f>IF($G178="","","SS-"&amp;TEXT(ROW()-4,"0000"))</f>
        <v/>
      </c>
      <c r="B178" s="9" t="n"/>
      <c r="C178" s="9" t="n"/>
      <c r="D178" s="9" t="n"/>
      <c r="E178" s="10" t="n"/>
      <c r="F178" s="11" t="n"/>
      <c r="G178" s="12">
        <f>IF($F178="","",IF($F178&gt;31,$F178,IF($Y178="","",DATE(YEAR($Y178),MONTH($Y178),$F178))))</f>
        <v/>
      </c>
      <c r="H178" s="13" t="n"/>
      <c r="I178" s="11" t="n"/>
      <c r="J178" s="12">
        <f>IF($I178="","",IF($I178&gt;31,$I178,IF($G178="","",IF(DATE(YEAR($G178),MONTH($G178),$I178)&gt;=$G178,DATE(YEAR($G178),MONTH($G178),$I178),DATE(YEAR($G178),MONTH($G178)+1,$I178)))))</f>
        <v/>
      </c>
      <c r="K178" s="13" t="n"/>
      <c r="L178" s="8">
        <f>IF(OR($G178="",$J178=""),"",$J178-$G178+1)</f>
        <v/>
      </c>
      <c r="M178" s="8">
        <f>IF(OR($G178="",$J178=""),"",$J178-$G178)</f>
        <v/>
      </c>
      <c r="N178" s="9" t="n"/>
      <c r="O178" s="9" t="n"/>
      <c r="P178" s="9" t="n"/>
      <c r="Q178" s="9" t="n"/>
      <c r="R178" s="9" t="n"/>
      <c r="S178" s="9" t="n"/>
      <c r="T178" s="14" t="n"/>
      <c r="U178" s="9" t="n"/>
      <c r="V178" s="8">
        <f>IF($G178="","",IF($D178="","⚠部屋が未選択",IF(COUNTIF('M_部屋'!$A$4:$A$20,$D178)=0,"⚠部屋が未登録",IF(OR($J178="",$N178="キャンセル"),"",IF(SUMPRODUCT(($D$5:$D$204=$D178)*($G$5:$G$204&lt;&gt;"")*($J$5:$J$204&lt;&gt;"")*($N$5:$N$204&lt;&gt;"キャンセル")*($G$5:$G$204&lt;$J178)*($J$5:$J$204&gt;$G178))&gt;1,"⚠重複","")))))</f>
        <v/>
      </c>
      <c r="W178" s="8">
        <f>IF(OR($B178="",$G178=""),"",IF(SUMPRODUCT(('利用者マスタ'!$A$4:$A$60=$B178)*('利用者マスタ'!$B$4:$B$60&lt;&gt;""))=0,"",IF(SUMIFS($X$5:$X$204,$B$5:$B$204,$B178,$G$5:$G$204,"&gt;="&amp;DATE(YEAR($G178),MONTH($G178),1),$G$5:$G$204,"&lt;="&amp;EOMONTH($G178,0))&gt;SUMIFS('利用者マスタ'!$B$4:$B$60,'利用者マスタ'!$A$4:$A$60,$B178),"⚠支給量超過","")))</f>
        <v/>
      </c>
      <c r="X178" s="8">
        <f>IF(OR($G178="",$J178="",$N178="キャンセル"),0,IF(IFERROR(INDEX('M_区分'!$B$4:$B$20,MATCH($C178,'M_区分'!$A$4:$A$20,0)),"○")="○",$J178-$G178+1,0))</f>
        <v/>
      </c>
      <c r="Y178" s="8">
        <f>IF($E178&lt;&gt;"",$E178,$Y177)</f>
        <v/>
      </c>
      <c r="Z178" s="8">
        <f>IF(OR($G178="",$J178=""),"",IF(AND($G178&lt;=EOMONTH('02_カレンダー'!$B$4,0),$J178&gt;='02_カレンダー'!$B$4),$G178*10000+ROW(),""))</f>
        <v/>
      </c>
      <c r="AA178" s="8">
        <f>IF($H178="","",IF(ISNUMBER($H178),TEXT($H178,"hh:mm"),$H178))</f>
        <v/>
      </c>
      <c r="AB178" s="8">
        <f>IF($K178="","",IF(ISNUMBER($K178),TEXT($K178,"hh:mm"),$K178))</f>
        <v/>
      </c>
      <c r="AC178" s="8">
        <f>IF($G178="",0,$G178)</f>
        <v/>
      </c>
      <c r="AD178" s="8">
        <f>IF($J178="",0,$J178)</f>
        <v/>
      </c>
    </row>
    <row r="179">
      <c r="A179" s="8">
        <f>IF($G179="","","SS-"&amp;TEXT(ROW()-4,"0000"))</f>
        <v/>
      </c>
      <c r="B179" s="9" t="n"/>
      <c r="C179" s="9" t="n"/>
      <c r="D179" s="9" t="n"/>
      <c r="E179" s="10" t="n"/>
      <c r="F179" s="11" t="n"/>
      <c r="G179" s="12">
        <f>IF($F179="","",IF($F179&gt;31,$F179,IF($Y179="","",DATE(YEAR($Y179),MONTH($Y179),$F179))))</f>
        <v/>
      </c>
      <c r="H179" s="13" t="n"/>
      <c r="I179" s="11" t="n"/>
      <c r="J179" s="12">
        <f>IF($I179="","",IF($I179&gt;31,$I179,IF($G179="","",IF(DATE(YEAR($G179),MONTH($G179),$I179)&gt;=$G179,DATE(YEAR($G179),MONTH($G179),$I179),DATE(YEAR($G179),MONTH($G179)+1,$I179)))))</f>
        <v/>
      </c>
      <c r="K179" s="13" t="n"/>
      <c r="L179" s="8">
        <f>IF(OR($G179="",$J179=""),"",$J179-$G179+1)</f>
        <v/>
      </c>
      <c r="M179" s="8">
        <f>IF(OR($G179="",$J179=""),"",$J179-$G179)</f>
        <v/>
      </c>
      <c r="N179" s="9" t="n"/>
      <c r="O179" s="9" t="n"/>
      <c r="P179" s="9" t="n"/>
      <c r="Q179" s="9" t="n"/>
      <c r="R179" s="9" t="n"/>
      <c r="S179" s="9" t="n"/>
      <c r="T179" s="14" t="n"/>
      <c r="U179" s="9" t="n"/>
      <c r="V179" s="8">
        <f>IF($G179="","",IF($D179="","⚠部屋が未選択",IF(COUNTIF('M_部屋'!$A$4:$A$20,$D179)=0,"⚠部屋が未登録",IF(OR($J179="",$N179="キャンセル"),"",IF(SUMPRODUCT(($D$5:$D$204=$D179)*($G$5:$G$204&lt;&gt;"")*($J$5:$J$204&lt;&gt;"")*($N$5:$N$204&lt;&gt;"キャンセル")*($G$5:$G$204&lt;$J179)*($J$5:$J$204&gt;$G179))&gt;1,"⚠重複","")))))</f>
        <v/>
      </c>
      <c r="W179" s="8">
        <f>IF(OR($B179="",$G179=""),"",IF(SUMPRODUCT(('利用者マスタ'!$A$4:$A$60=$B179)*('利用者マスタ'!$B$4:$B$60&lt;&gt;""))=0,"",IF(SUMIFS($X$5:$X$204,$B$5:$B$204,$B179,$G$5:$G$204,"&gt;="&amp;DATE(YEAR($G179),MONTH($G179),1),$G$5:$G$204,"&lt;="&amp;EOMONTH($G179,0))&gt;SUMIFS('利用者マスタ'!$B$4:$B$60,'利用者マスタ'!$A$4:$A$60,$B179),"⚠支給量超過","")))</f>
        <v/>
      </c>
      <c r="X179" s="8">
        <f>IF(OR($G179="",$J179="",$N179="キャンセル"),0,IF(IFERROR(INDEX('M_区分'!$B$4:$B$20,MATCH($C179,'M_区分'!$A$4:$A$20,0)),"○")="○",$J179-$G179+1,0))</f>
        <v/>
      </c>
      <c r="Y179" s="8">
        <f>IF($E179&lt;&gt;"",$E179,$Y178)</f>
        <v/>
      </c>
      <c r="Z179" s="8">
        <f>IF(OR($G179="",$J179=""),"",IF(AND($G179&lt;=EOMONTH('02_カレンダー'!$B$4,0),$J179&gt;='02_カレンダー'!$B$4),$G179*10000+ROW(),""))</f>
        <v/>
      </c>
      <c r="AA179" s="8">
        <f>IF($H179="","",IF(ISNUMBER($H179),TEXT($H179,"hh:mm"),$H179))</f>
        <v/>
      </c>
      <c r="AB179" s="8">
        <f>IF($K179="","",IF(ISNUMBER($K179),TEXT($K179,"hh:mm"),$K179))</f>
        <v/>
      </c>
      <c r="AC179" s="8">
        <f>IF($G179="",0,$G179)</f>
        <v/>
      </c>
      <c r="AD179" s="8">
        <f>IF($J179="",0,$J179)</f>
        <v/>
      </c>
    </row>
    <row r="180">
      <c r="A180" s="8">
        <f>IF($G180="","","SS-"&amp;TEXT(ROW()-4,"0000"))</f>
        <v/>
      </c>
      <c r="B180" s="9" t="n"/>
      <c r="C180" s="9" t="n"/>
      <c r="D180" s="9" t="n"/>
      <c r="E180" s="10" t="n"/>
      <c r="F180" s="11" t="n"/>
      <c r="G180" s="12">
        <f>IF($F180="","",IF($F180&gt;31,$F180,IF($Y180="","",DATE(YEAR($Y180),MONTH($Y180),$F180))))</f>
        <v/>
      </c>
      <c r="H180" s="13" t="n"/>
      <c r="I180" s="11" t="n"/>
      <c r="J180" s="12">
        <f>IF($I180="","",IF($I180&gt;31,$I180,IF($G180="","",IF(DATE(YEAR($G180),MONTH($G180),$I180)&gt;=$G180,DATE(YEAR($G180),MONTH($G180),$I180),DATE(YEAR($G180),MONTH($G180)+1,$I180)))))</f>
        <v/>
      </c>
      <c r="K180" s="13" t="n"/>
      <c r="L180" s="8">
        <f>IF(OR($G180="",$J180=""),"",$J180-$G180+1)</f>
        <v/>
      </c>
      <c r="M180" s="8">
        <f>IF(OR($G180="",$J180=""),"",$J180-$G180)</f>
        <v/>
      </c>
      <c r="N180" s="9" t="n"/>
      <c r="O180" s="9" t="n"/>
      <c r="P180" s="9" t="n"/>
      <c r="Q180" s="9" t="n"/>
      <c r="R180" s="9" t="n"/>
      <c r="S180" s="9" t="n"/>
      <c r="T180" s="14" t="n"/>
      <c r="U180" s="9" t="n"/>
      <c r="V180" s="8">
        <f>IF($G180="","",IF($D180="","⚠部屋が未選択",IF(COUNTIF('M_部屋'!$A$4:$A$20,$D180)=0,"⚠部屋が未登録",IF(OR($J180="",$N180="キャンセル"),"",IF(SUMPRODUCT(($D$5:$D$204=$D180)*($G$5:$G$204&lt;&gt;"")*($J$5:$J$204&lt;&gt;"")*($N$5:$N$204&lt;&gt;"キャンセル")*($G$5:$G$204&lt;$J180)*($J$5:$J$204&gt;$G180))&gt;1,"⚠重複","")))))</f>
        <v/>
      </c>
      <c r="W180" s="8">
        <f>IF(OR($B180="",$G180=""),"",IF(SUMPRODUCT(('利用者マスタ'!$A$4:$A$60=$B180)*('利用者マスタ'!$B$4:$B$60&lt;&gt;""))=0,"",IF(SUMIFS($X$5:$X$204,$B$5:$B$204,$B180,$G$5:$G$204,"&gt;="&amp;DATE(YEAR($G180),MONTH($G180),1),$G$5:$G$204,"&lt;="&amp;EOMONTH($G180,0))&gt;SUMIFS('利用者マスタ'!$B$4:$B$60,'利用者マスタ'!$A$4:$A$60,$B180),"⚠支給量超過","")))</f>
        <v/>
      </c>
      <c r="X180" s="8">
        <f>IF(OR($G180="",$J180="",$N180="キャンセル"),0,IF(IFERROR(INDEX('M_区分'!$B$4:$B$20,MATCH($C180,'M_区分'!$A$4:$A$20,0)),"○")="○",$J180-$G180+1,0))</f>
        <v/>
      </c>
      <c r="Y180" s="8">
        <f>IF($E180&lt;&gt;"",$E180,$Y179)</f>
        <v/>
      </c>
      <c r="Z180" s="8">
        <f>IF(OR($G180="",$J180=""),"",IF(AND($G180&lt;=EOMONTH('02_カレンダー'!$B$4,0),$J180&gt;='02_カレンダー'!$B$4),$G180*10000+ROW(),""))</f>
        <v/>
      </c>
      <c r="AA180" s="8">
        <f>IF($H180="","",IF(ISNUMBER($H180),TEXT($H180,"hh:mm"),$H180))</f>
        <v/>
      </c>
      <c r="AB180" s="8">
        <f>IF($K180="","",IF(ISNUMBER($K180),TEXT($K180,"hh:mm"),$K180))</f>
        <v/>
      </c>
      <c r="AC180" s="8">
        <f>IF($G180="",0,$G180)</f>
        <v/>
      </c>
      <c r="AD180" s="8">
        <f>IF($J180="",0,$J180)</f>
        <v/>
      </c>
    </row>
    <row r="181">
      <c r="A181" s="8">
        <f>IF($G181="","","SS-"&amp;TEXT(ROW()-4,"0000"))</f>
        <v/>
      </c>
      <c r="B181" s="9" t="n"/>
      <c r="C181" s="9" t="n"/>
      <c r="D181" s="9" t="n"/>
      <c r="E181" s="10" t="n"/>
      <c r="F181" s="11" t="n"/>
      <c r="G181" s="12">
        <f>IF($F181="","",IF($F181&gt;31,$F181,IF($Y181="","",DATE(YEAR($Y181),MONTH($Y181),$F181))))</f>
        <v/>
      </c>
      <c r="H181" s="13" t="n"/>
      <c r="I181" s="11" t="n"/>
      <c r="J181" s="12">
        <f>IF($I181="","",IF($I181&gt;31,$I181,IF($G181="","",IF(DATE(YEAR($G181),MONTH($G181),$I181)&gt;=$G181,DATE(YEAR($G181),MONTH($G181),$I181),DATE(YEAR($G181),MONTH($G181)+1,$I181)))))</f>
        <v/>
      </c>
      <c r="K181" s="13" t="n"/>
      <c r="L181" s="8">
        <f>IF(OR($G181="",$J181=""),"",$J181-$G181+1)</f>
        <v/>
      </c>
      <c r="M181" s="8">
        <f>IF(OR($G181="",$J181=""),"",$J181-$G181)</f>
        <v/>
      </c>
      <c r="N181" s="9" t="n"/>
      <c r="O181" s="9" t="n"/>
      <c r="P181" s="9" t="n"/>
      <c r="Q181" s="9" t="n"/>
      <c r="R181" s="9" t="n"/>
      <c r="S181" s="9" t="n"/>
      <c r="T181" s="14" t="n"/>
      <c r="U181" s="9" t="n"/>
      <c r="V181" s="8">
        <f>IF($G181="","",IF($D181="","⚠部屋が未選択",IF(COUNTIF('M_部屋'!$A$4:$A$20,$D181)=0,"⚠部屋が未登録",IF(OR($J181="",$N181="キャンセル"),"",IF(SUMPRODUCT(($D$5:$D$204=$D181)*($G$5:$G$204&lt;&gt;"")*($J$5:$J$204&lt;&gt;"")*($N$5:$N$204&lt;&gt;"キャンセル")*($G$5:$G$204&lt;$J181)*($J$5:$J$204&gt;$G181))&gt;1,"⚠重複","")))))</f>
        <v/>
      </c>
      <c r="W181" s="8">
        <f>IF(OR($B181="",$G181=""),"",IF(SUMPRODUCT(('利用者マスタ'!$A$4:$A$60=$B181)*('利用者マスタ'!$B$4:$B$60&lt;&gt;""))=0,"",IF(SUMIFS($X$5:$X$204,$B$5:$B$204,$B181,$G$5:$G$204,"&gt;="&amp;DATE(YEAR($G181),MONTH($G181),1),$G$5:$G$204,"&lt;="&amp;EOMONTH($G181,0))&gt;SUMIFS('利用者マスタ'!$B$4:$B$60,'利用者マスタ'!$A$4:$A$60,$B181),"⚠支給量超過","")))</f>
        <v/>
      </c>
      <c r="X181" s="8">
        <f>IF(OR($G181="",$J181="",$N181="キャンセル"),0,IF(IFERROR(INDEX('M_区分'!$B$4:$B$20,MATCH($C181,'M_区分'!$A$4:$A$20,0)),"○")="○",$J181-$G181+1,0))</f>
        <v/>
      </c>
      <c r="Y181" s="8">
        <f>IF($E181&lt;&gt;"",$E181,$Y180)</f>
        <v/>
      </c>
      <c r="Z181" s="8">
        <f>IF(OR($G181="",$J181=""),"",IF(AND($G181&lt;=EOMONTH('02_カレンダー'!$B$4,0),$J181&gt;='02_カレンダー'!$B$4),$G181*10000+ROW(),""))</f>
        <v/>
      </c>
      <c r="AA181" s="8">
        <f>IF($H181="","",IF(ISNUMBER($H181),TEXT($H181,"hh:mm"),$H181))</f>
        <v/>
      </c>
      <c r="AB181" s="8">
        <f>IF($K181="","",IF(ISNUMBER($K181),TEXT($K181,"hh:mm"),$K181))</f>
        <v/>
      </c>
      <c r="AC181" s="8">
        <f>IF($G181="",0,$G181)</f>
        <v/>
      </c>
      <c r="AD181" s="8">
        <f>IF($J181="",0,$J181)</f>
        <v/>
      </c>
    </row>
    <row r="182">
      <c r="A182" s="8">
        <f>IF($G182="","","SS-"&amp;TEXT(ROW()-4,"0000"))</f>
        <v/>
      </c>
      <c r="B182" s="9" t="n"/>
      <c r="C182" s="9" t="n"/>
      <c r="D182" s="9" t="n"/>
      <c r="E182" s="10" t="n"/>
      <c r="F182" s="11" t="n"/>
      <c r="G182" s="12">
        <f>IF($F182="","",IF($F182&gt;31,$F182,IF($Y182="","",DATE(YEAR($Y182),MONTH($Y182),$F182))))</f>
        <v/>
      </c>
      <c r="H182" s="13" t="n"/>
      <c r="I182" s="11" t="n"/>
      <c r="J182" s="12">
        <f>IF($I182="","",IF($I182&gt;31,$I182,IF($G182="","",IF(DATE(YEAR($G182),MONTH($G182),$I182)&gt;=$G182,DATE(YEAR($G182),MONTH($G182),$I182),DATE(YEAR($G182),MONTH($G182)+1,$I182)))))</f>
        <v/>
      </c>
      <c r="K182" s="13" t="n"/>
      <c r="L182" s="8">
        <f>IF(OR($G182="",$J182=""),"",$J182-$G182+1)</f>
        <v/>
      </c>
      <c r="M182" s="8">
        <f>IF(OR($G182="",$J182=""),"",$J182-$G182)</f>
        <v/>
      </c>
      <c r="N182" s="9" t="n"/>
      <c r="O182" s="9" t="n"/>
      <c r="P182" s="9" t="n"/>
      <c r="Q182" s="9" t="n"/>
      <c r="R182" s="9" t="n"/>
      <c r="S182" s="9" t="n"/>
      <c r="T182" s="14" t="n"/>
      <c r="U182" s="9" t="n"/>
      <c r="V182" s="8">
        <f>IF($G182="","",IF($D182="","⚠部屋が未選択",IF(COUNTIF('M_部屋'!$A$4:$A$20,$D182)=0,"⚠部屋が未登録",IF(OR($J182="",$N182="キャンセル"),"",IF(SUMPRODUCT(($D$5:$D$204=$D182)*($G$5:$G$204&lt;&gt;"")*($J$5:$J$204&lt;&gt;"")*($N$5:$N$204&lt;&gt;"キャンセル")*($G$5:$G$204&lt;$J182)*($J$5:$J$204&gt;$G182))&gt;1,"⚠重複","")))))</f>
        <v/>
      </c>
      <c r="W182" s="8">
        <f>IF(OR($B182="",$G182=""),"",IF(SUMPRODUCT(('利用者マスタ'!$A$4:$A$60=$B182)*('利用者マスタ'!$B$4:$B$60&lt;&gt;""))=0,"",IF(SUMIFS($X$5:$X$204,$B$5:$B$204,$B182,$G$5:$G$204,"&gt;="&amp;DATE(YEAR($G182),MONTH($G182),1),$G$5:$G$204,"&lt;="&amp;EOMONTH($G182,0))&gt;SUMIFS('利用者マスタ'!$B$4:$B$60,'利用者マスタ'!$A$4:$A$60,$B182),"⚠支給量超過","")))</f>
        <v/>
      </c>
      <c r="X182" s="8">
        <f>IF(OR($G182="",$J182="",$N182="キャンセル"),0,IF(IFERROR(INDEX('M_区分'!$B$4:$B$20,MATCH($C182,'M_区分'!$A$4:$A$20,0)),"○")="○",$J182-$G182+1,0))</f>
        <v/>
      </c>
      <c r="Y182" s="8">
        <f>IF($E182&lt;&gt;"",$E182,$Y181)</f>
        <v/>
      </c>
      <c r="Z182" s="8">
        <f>IF(OR($G182="",$J182=""),"",IF(AND($G182&lt;=EOMONTH('02_カレンダー'!$B$4,0),$J182&gt;='02_カレンダー'!$B$4),$G182*10000+ROW(),""))</f>
        <v/>
      </c>
      <c r="AA182" s="8">
        <f>IF($H182="","",IF(ISNUMBER($H182),TEXT($H182,"hh:mm"),$H182))</f>
        <v/>
      </c>
      <c r="AB182" s="8">
        <f>IF($K182="","",IF(ISNUMBER($K182),TEXT($K182,"hh:mm"),$K182))</f>
        <v/>
      </c>
      <c r="AC182" s="8">
        <f>IF($G182="",0,$G182)</f>
        <v/>
      </c>
      <c r="AD182" s="8">
        <f>IF($J182="",0,$J182)</f>
        <v/>
      </c>
    </row>
    <row r="183">
      <c r="A183" s="8">
        <f>IF($G183="","","SS-"&amp;TEXT(ROW()-4,"0000"))</f>
        <v/>
      </c>
      <c r="B183" s="9" t="n"/>
      <c r="C183" s="9" t="n"/>
      <c r="D183" s="9" t="n"/>
      <c r="E183" s="10" t="n"/>
      <c r="F183" s="11" t="n"/>
      <c r="G183" s="12">
        <f>IF($F183="","",IF($F183&gt;31,$F183,IF($Y183="","",DATE(YEAR($Y183),MONTH($Y183),$F183))))</f>
        <v/>
      </c>
      <c r="H183" s="13" t="n"/>
      <c r="I183" s="11" t="n"/>
      <c r="J183" s="12">
        <f>IF($I183="","",IF($I183&gt;31,$I183,IF($G183="","",IF(DATE(YEAR($G183),MONTH($G183),$I183)&gt;=$G183,DATE(YEAR($G183),MONTH($G183),$I183),DATE(YEAR($G183),MONTH($G183)+1,$I183)))))</f>
        <v/>
      </c>
      <c r="K183" s="13" t="n"/>
      <c r="L183" s="8">
        <f>IF(OR($G183="",$J183=""),"",$J183-$G183+1)</f>
        <v/>
      </c>
      <c r="M183" s="8">
        <f>IF(OR($G183="",$J183=""),"",$J183-$G183)</f>
        <v/>
      </c>
      <c r="N183" s="9" t="n"/>
      <c r="O183" s="9" t="n"/>
      <c r="P183" s="9" t="n"/>
      <c r="Q183" s="9" t="n"/>
      <c r="R183" s="9" t="n"/>
      <c r="S183" s="9" t="n"/>
      <c r="T183" s="14" t="n"/>
      <c r="U183" s="9" t="n"/>
      <c r="V183" s="8">
        <f>IF($G183="","",IF($D183="","⚠部屋が未選択",IF(COUNTIF('M_部屋'!$A$4:$A$20,$D183)=0,"⚠部屋が未登録",IF(OR($J183="",$N183="キャンセル"),"",IF(SUMPRODUCT(($D$5:$D$204=$D183)*($G$5:$G$204&lt;&gt;"")*($J$5:$J$204&lt;&gt;"")*($N$5:$N$204&lt;&gt;"キャンセル")*($G$5:$G$204&lt;$J183)*($J$5:$J$204&gt;$G183))&gt;1,"⚠重複","")))))</f>
        <v/>
      </c>
      <c r="W183" s="8">
        <f>IF(OR($B183="",$G183=""),"",IF(SUMPRODUCT(('利用者マスタ'!$A$4:$A$60=$B183)*('利用者マスタ'!$B$4:$B$60&lt;&gt;""))=0,"",IF(SUMIFS($X$5:$X$204,$B$5:$B$204,$B183,$G$5:$G$204,"&gt;="&amp;DATE(YEAR($G183),MONTH($G183),1),$G$5:$G$204,"&lt;="&amp;EOMONTH($G183,0))&gt;SUMIFS('利用者マスタ'!$B$4:$B$60,'利用者マスタ'!$A$4:$A$60,$B183),"⚠支給量超過","")))</f>
        <v/>
      </c>
      <c r="X183" s="8">
        <f>IF(OR($G183="",$J183="",$N183="キャンセル"),0,IF(IFERROR(INDEX('M_区分'!$B$4:$B$20,MATCH($C183,'M_区分'!$A$4:$A$20,0)),"○")="○",$J183-$G183+1,0))</f>
        <v/>
      </c>
      <c r="Y183" s="8">
        <f>IF($E183&lt;&gt;"",$E183,$Y182)</f>
        <v/>
      </c>
      <c r="Z183" s="8">
        <f>IF(OR($G183="",$J183=""),"",IF(AND($G183&lt;=EOMONTH('02_カレンダー'!$B$4,0),$J183&gt;='02_カレンダー'!$B$4),$G183*10000+ROW(),""))</f>
        <v/>
      </c>
      <c r="AA183" s="8">
        <f>IF($H183="","",IF(ISNUMBER($H183),TEXT($H183,"hh:mm"),$H183))</f>
        <v/>
      </c>
      <c r="AB183" s="8">
        <f>IF($K183="","",IF(ISNUMBER($K183),TEXT($K183,"hh:mm"),$K183))</f>
        <v/>
      </c>
      <c r="AC183" s="8">
        <f>IF($G183="",0,$G183)</f>
        <v/>
      </c>
      <c r="AD183" s="8">
        <f>IF($J183="",0,$J183)</f>
        <v/>
      </c>
    </row>
    <row r="184">
      <c r="A184" s="8">
        <f>IF($G184="","","SS-"&amp;TEXT(ROW()-4,"0000"))</f>
        <v/>
      </c>
      <c r="B184" s="9" t="n"/>
      <c r="C184" s="9" t="n"/>
      <c r="D184" s="9" t="n"/>
      <c r="E184" s="10" t="n"/>
      <c r="F184" s="11" t="n"/>
      <c r="G184" s="12">
        <f>IF($F184="","",IF($F184&gt;31,$F184,IF($Y184="","",DATE(YEAR($Y184),MONTH($Y184),$F184))))</f>
        <v/>
      </c>
      <c r="H184" s="13" t="n"/>
      <c r="I184" s="11" t="n"/>
      <c r="J184" s="12">
        <f>IF($I184="","",IF($I184&gt;31,$I184,IF($G184="","",IF(DATE(YEAR($G184),MONTH($G184),$I184)&gt;=$G184,DATE(YEAR($G184),MONTH($G184),$I184),DATE(YEAR($G184),MONTH($G184)+1,$I184)))))</f>
        <v/>
      </c>
      <c r="K184" s="13" t="n"/>
      <c r="L184" s="8">
        <f>IF(OR($G184="",$J184=""),"",$J184-$G184+1)</f>
        <v/>
      </c>
      <c r="M184" s="8">
        <f>IF(OR($G184="",$J184=""),"",$J184-$G184)</f>
        <v/>
      </c>
      <c r="N184" s="9" t="n"/>
      <c r="O184" s="9" t="n"/>
      <c r="P184" s="9" t="n"/>
      <c r="Q184" s="9" t="n"/>
      <c r="R184" s="9" t="n"/>
      <c r="S184" s="9" t="n"/>
      <c r="T184" s="14" t="n"/>
      <c r="U184" s="9" t="n"/>
      <c r="V184" s="8">
        <f>IF($G184="","",IF($D184="","⚠部屋が未選択",IF(COUNTIF('M_部屋'!$A$4:$A$20,$D184)=0,"⚠部屋が未登録",IF(OR($J184="",$N184="キャンセル"),"",IF(SUMPRODUCT(($D$5:$D$204=$D184)*($G$5:$G$204&lt;&gt;"")*($J$5:$J$204&lt;&gt;"")*($N$5:$N$204&lt;&gt;"キャンセル")*($G$5:$G$204&lt;$J184)*($J$5:$J$204&gt;$G184))&gt;1,"⚠重複","")))))</f>
        <v/>
      </c>
      <c r="W184" s="8">
        <f>IF(OR($B184="",$G184=""),"",IF(SUMPRODUCT(('利用者マスタ'!$A$4:$A$60=$B184)*('利用者マスタ'!$B$4:$B$60&lt;&gt;""))=0,"",IF(SUMIFS($X$5:$X$204,$B$5:$B$204,$B184,$G$5:$G$204,"&gt;="&amp;DATE(YEAR($G184),MONTH($G184),1),$G$5:$G$204,"&lt;="&amp;EOMONTH($G184,0))&gt;SUMIFS('利用者マスタ'!$B$4:$B$60,'利用者マスタ'!$A$4:$A$60,$B184),"⚠支給量超過","")))</f>
        <v/>
      </c>
      <c r="X184" s="8">
        <f>IF(OR($G184="",$J184="",$N184="キャンセル"),0,IF(IFERROR(INDEX('M_区分'!$B$4:$B$20,MATCH($C184,'M_区分'!$A$4:$A$20,0)),"○")="○",$J184-$G184+1,0))</f>
        <v/>
      </c>
      <c r="Y184" s="8">
        <f>IF($E184&lt;&gt;"",$E184,$Y183)</f>
        <v/>
      </c>
      <c r="Z184" s="8">
        <f>IF(OR($G184="",$J184=""),"",IF(AND($G184&lt;=EOMONTH('02_カレンダー'!$B$4,0),$J184&gt;='02_カレンダー'!$B$4),$G184*10000+ROW(),""))</f>
        <v/>
      </c>
      <c r="AA184" s="8">
        <f>IF($H184="","",IF(ISNUMBER($H184),TEXT($H184,"hh:mm"),$H184))</f>
        <v/>
      </c>
      <c r="AB184" s="8">
        <f>IF($K184="","",IF(ISNUMBER($K184),TEXT($K184,"hh:mm"),$K184))</f>
        <v/>
      </c>
      <c r="AC184" s="8">
        <f>IF($G184="",0,$G184)</f>
        <v/>
      </c>
      <c r="AD184" s="8">
        <f>IF($J184="",0,$J184)</f>
        <v/>
      </c>
    </row>
    <row r="185">
      <c r="A185" s="8">
        <f>IF($G185="","","SS-"&amp;TEXT(ROW()-4,"0000"))</f>
        <v/>
      </c>
      <c r="B185" s="9" t="n"/>
      <c r="C185" s="9" t="n"/>
      <c r="D185" s="9" t="n"/>
      <c r="E185" s="10" t="n"/>
      <c r="F185" s="11" t="n"/>
      <c r="G185" s="12">
        <f>IF($F185="","",IF($F185&gt;31,$F185,IF($Y185="","",DATE(YEAR($Y185),MONTH($Y185),$F185))))</f>
        <v/>
      </c>
      <c r="H185" s="13" t="n"/>
      <c r="I185" s="11" t="n"/>
      <c r="J185" s="12">
        <f>IF($I185="","",IF($I185&gt;31,$I185,IF($G185="","",IF(DATE(YEAR($G185),MONTH($G185),$I185)&gt;=$G185,DATE(YEAR($G185),MONTH($G185),$I185),DATE(YEAR($G185),MONTH($G185)+1,$I185)))))</f>
        <v/>
      </c>
      <c r="K185" s="13" t="n"/>
      <c r="L185" s="8">
        <f>IF(OR($G185="",$J185=""),"",$J185-$G185+1)</f>
        <v/>
      </c>
      <c r="M185" s="8">
        <f>IF(OR($G185="",$J185=""),"",$J185-$G185)</f>
        <v/>
      </c>
      <c r="N185" s="9" t="n"/>
      <c r="O185" s="9" t="n"/>
      <c r="P185" s="9" t="n"/>
      <c r="Q185" s="9" t="n"/>
      <c r="R185" s="9" t="n"/>
      <c r="S185" s="9" t="n"/>
      <c r="T185" s="14" t="n"/>
      <c r="U185" s="9" t="n"/>
      <c r="V185" s="8">
        <f>IF($G185="","",IF($D185="","⚠部屋が未選択",IF(COUNTIF('M_部屋'!$A$4:$A$20,$D185)=0,"⚠部屋が未登録",IF(OR($J185="",$N185="キャンセル"),"",IF(SUMPRODUCT(($D$5:$D$204=$D185)*($G$5:$G$204&lt;&gt;"")*($J$5:$J$204&lt;&gt;"")*($N$5:$N$204&lt;&gt;"キャンセル")*($G$5:$G$204&lt;$J185)*($J$5:$J$204&gt;$G185))&gt;1,"⚠重複","")))))</f>
        <v/>
      </c>
      <c r="W185" s="8">
        <f>IF(OR($B185="",$G185=""),"",IF(SUMPRODUCT(('利用者マスタ'!$A$4:$A$60=$B185)*('利用者マスタ'!$B$4:$B$60&lt;&gt;""))=0,"",IF(SUMIFS($X$5:$X$204,$B$5:$B$204,$B185,$G$5:$G$204,"&gt;="&amp;DATE(YEAR($G185),MONTH($G185),1),$G$5:$G$204,"&lt;="&amp;EOMONTH($G185,0))&gt;SUMIFS('利用者マスタ'!$B$4:$B$60,'利用者マスタ'!$A$4:$A$60,$B185),"⚠支給量超過","")))</f>
        <v/>
      </c>
      <c r="X185" s="8">
        <f>IF(OR($G185="",$J185="",$N185="キャンセル"),0,IF(IFERROR(INDEX('M_区分'!$B$4:$B$20,MATCH($C185,'M_区分'!$A$4:$A$20,0)),"○")="○",$J185-$G185+1,0))</f>
        <v/>
      </c>
      <c r="Y185" s="8">
        <f>IF($E185&lt;&gt;"",$E185,$Y184)</f>
        <v/>
      </c>
      <c r="Z185" s="8">
        <f>IF(OR($G185="",$J185=""),"",IF(AND($G185&lt;=EOMONTH('02_カレンダー'!$B$4,0),$J185&gt;='02_カレンダー'!$B$4),$G185*10000+ROW(),""))</f>
        <v/>
      </c>
      <c r="AA185" s="8">
        <f>IF($H185="","",IF(ISNUMBER($H185),TEXT($H185,"hh:mm"),$H185))</f>
        <v/>
      </c>
      <c r="AB185" s="8">
        <f>IF($K185="","",IF(ISNUMBER($K185),TEXT($K185,"hh:mm"),$K185))</f>
        <v/>
      </c>
      <c r="AC185" s="8">
        <f>IF($G185="",0,$G185)</f>
        <v/>
      </c>
      <c r="AD185" s="8">
        <f>IF($J185="",0,$J185)</f>
        <v/>
      </c>
    </row>
    <row r="186">
      <c r="A186" s="8">
        <f>IF($G186="","","SS-"&amp;TEXT(ROW()-4,"0000"))</f>
        <v/>
      </c>
      <c r="B186" s="9" t="n"/>
      <c r="C186" s="9" t="n"/>
      <c r="D186" s="9" t="n"/>
      <c r="E186" s="10" t="n"/>
      <c r="F186" s="11" t="n"/>
      <c r="G186" s="12">
        <f>IF($F186="","",IF($F186&gt;31,$F186,IF($Y186="","",DATE(YEAR($Y186),MONTH($Y186),$F186))))</f>
        <v/>
      </c>
      <c r="H186" s="13" t="n"/>
      <c r="I186" s="11" t="n"/>
      <c r="J186" s="12">
        <f>IF($I186="","",IF($I186&gt;31,$I186,IF($G186="","",IF(DATE(YEAR($G186),MONTH($G186),$I186)&gt;=$G186,DATE(YEAR($G186),MONTH($G186),$I186),DATE(YEAR($G186),MONTH($G186)+1,$I186)))))</f>
        <v/>
      </c>
      <c r="K186" s="13" t="n"/>
      <c r="L186" s="8">
        <f>IF(OR($G186="",$J186=""),"",$J186-$G186+1)</f>
        <v/>
      </c>
      <c r="M186" s="8">
        <f>IF(OR($G186="",$J186=""),"",$J186-$G186)</f>
        <v/>
      </c>
      <c r="N186" s="9" t="n"/>
      <c r="O186" s="9" t="n"/>
      <c r="P186" s="9" t="n"/>
      <c r="Q186" s="9" t="n"/>
      <c r="R186" s="9" t="n"/>
      <c r="S186" s="9" t="n"/>
      <c r="T186" s="14" t="n"/>
      <c r="U186" s="9" t="n"/>
      <c r="V186" s="8">
        <f>IF($G186="","",IF($D186="","⚠部屋が未選択",IF(COUNTIF('M_部屋'!$A$4:$A$20,$D186)=0,"⚠部屋が未登録",IF(OR($J186="",$N186="キャンセル"),"",IF(SUMPRODUCT(($D$5:$D$204=$D186)*($G$5:$G$204&lt;&gt;"")*($J$5:$J$204&lt;&gt;"")*($N$5:$N$204&lt;&gt;"キャンセル")*($G$5:$G$204&lt;$J186)*($J$5:$J$204&gt;$G186))&gt;1,"⚠重複","")))))</f>
        <v/>
      </c>
      <c r="W186" s="8">
        <f>IF(OR($B186="",$G186=""),"",IF(SUMPRODUCT(('利用者マスタ'!$A$4:$A$60=$B186)*('利用者マスタ'!$B$4:$B$60&lt;&gt;""))=0,"",IF(SUMIFS($X$5:$X$204,$B$5:$B$204,$B186,$G$5:$G$204,"&gt;="&amp;DATE(YEAR($G186),MONTH($G186),1),$G$5:$G$204,"&lt;="&amp;EOMONTH($G186,0))&gt;SUMIFS('利用者マスタ'!$B$4:$B$60,'利用者マスタ'!$A$4:$A$60,$B186),"⚠支給量超過","")))</f>
        <v/>
      </c>
      <c r="X186" s="8">
        <f>IF(OR($G186="",$J186="",$N186="キャンセル"),0,IF(IFERROR(INDEX('M_区分'!$B$4:$B$20,MATCH($C186,'M_区分'!$A$4:$A$20,0)),"○")="○",$J186-$G186+1,0))</f>
        <v/>
      </c>
      <c r="Y186" s="8">
        <f>IF($E186&lt;&gt;"",$E186,$Y185)</f>
        <v/>
      </c>
      <c r="Z186" s="8">
        <f>IF(OR($G186="",$J186=""),"",IF(AND($G186&lt;=EOMONTH('02_カレンダー'!$B$4,0),$J186&gt;='02_カレンダー'!$B$4),$G186*10000+ROW(),""))</f>
        <v/>
      </c>
      <c r="AA186" s="8">
        <f>IF($H186="","",IF(ISNUMBER($H186),TEXT($H186,"hh:mm"),$H186))</f>
        <v/>
      </c>
      <c r="AB186" s="8">
        <f>IF($K186="","",IF(ISNUMBER($K186),TEXT($K186,"hh:mm"),$K186))</f>
        <v/>
      </c>
      <c r="AC186" s="8">
        <f>IF($G186="",0,$G186)</f>
        <v/>
      </c>
      <c r="AD186" s="8">
        <f>IF($J186="",0,$J186)</f>
        <v/>
      </c>
    </row>
    <row r="187">
      <c r="A187" s="8">
        <f>IF($G187="","","SS-"&amp;TEXT(ROW()-4,"0000"))</f>
        <v/>
      </c>
      <c r="B187" s="9" t="n"/>
      <c r="C187" s="9" t="n"/>
      <c r="D187" s="9" t="n"/>
      <c r="E187" s="10" t="n"/>
      <c r="F187" s="11" t="n"/>
      <c r="G187" s="12">
        <f>IF($F187="","",IF($F187&gt;31,$F187,IF($Y187="","",DATE(YEAR($Y187),MONTH($Y187),$F187))))</f>
        <v/>
      </c>
      <c r="H187" s="13" t="n"/>
      <c r="I187" s="11" t="n"/>
      <c r="J187" s="12">
        <f>IF($I187="","",IF($I187&gt;31,$I187,IF($G187="","",IF(DATE(YEAR($G187),MONTH($G187),$I187)&gt;=$G187,DATE(YEAR($G187),MONTH($G187),$I187),DATE(YEAR($G187),MONTH($G187)+1,$I187)))))</f>
        <v/>
      </c>
      <c r="K187" s="13" t="n"/>
      <c r="L187" s="8">
        <f>IF(OR($G187="",$J187=""),"",$J187-$G187+1)</f>
        <v/>
      </c>
      <c r="M187" s="8">
        <f>IF(OR($G187="",$J187=""),"",$J187-$G187)</f>
        <v/>
      </c>
      <c r="N187" s="9" t="n"/>
      <c r="O187" s="9" t="n"/>
      <c r="P187" s="9" t="n"/>
      <c r="Q187" s="9" t="n"/>
      <c r="R187" s="9" t="n"/>
      <c r="S187" s="9" t="n"/>
      <c r="T187" s="14" t="n"/>
      <c r="U187" s="9" t="n"/>
      <c r="V187" s="8">
        <f>IF($G187="","",IF($D187="","⚠部屋が未選択",IF(COUNTIF('M_部屋'!$A$4:$A$20,$D187)=0,"⚠部屋が未登録",IF(OR($J187="",$N187="キャンセル"),"",IF(SUMPRODUCT(($D$5:$D$204=$D187)*($G$5:$G$204&lt;&gt;"")*($J$5:$J$204&lt;&gt;"")*($N$5:$N$204&lt;&gt;"キャンセル")*($G$5:$G$204&lt;$J187)*($J$5:$J$204&gt;$G187))&gt;1,"⚠重複","")))))</f>
        <v/>
      </c>
      <c r="W187" s="8">
        <f>IF(OR($B187="",$G187=""),"",IF(SUMPRODUCT(('利用者マスタ'!$A$4:$A$60=$B187)*('利用者マスタ'!$B$4:$B$60&lt;&gt;""))=0,"",IF(SUMIFS($X$5:$X$204,$B$5:$B$204,$B187,$G$5:$G$204,"&gt;="&amp;DATE(YEAR($G187),MONTH($G187),1),$G$5:$G$204,"&lt;="&amp;EOMONTH($G187,0))&gt;SUMIFS('利用者マスタ'!$B$4:$B$60,'利用者マスタ'!$A$4:$A$60,$B187),"⚠支給量超過","")))</f>
        <v/>
      </c>
      <c r="X187" s="8">
        <f>IF(OR($G187="",$J187="",$N187="キャンセル"),0,IF(IFERROR(INDEX('M_区分'!$B$4:$B$20,MATCH($C187,'M_区分'!$A$4:$A$20,0)),"○")="○",$J187-$G187+1,0))</f>
        <v/>
      </c>
      <c r="Y187" s="8">
        <f>IF($E187&lt;&gt;"",$E187,$Y186)</f>
        <v/>
      </c>
      <c r="Z187" s="8">
        <f>IF(OR($G187="",$J187=""),"",IF(AND($G187&lt;=EOMONTH('02_カレンダー'!$B$4,0),$J187&gt;='02_カレンダー'!$B$4),$G187*10000+ROW(),""))</f>
        <v/>
      </c>
      <c r="AA187" s="8">
        <f>IF($H187="","",IF(ISNUMBER($H187),TEXT($H187,"hh:mm"),$H187))</f>
        <v/>
      </c>
      <c r="AB187" s="8">
        <f>IF($K187="","",IF(ISNUMBER($K187),TEXT($K187,"hh:mm"),$K187))</f>
        <v/>
      </c>
      <c r="AC187" s="8">
        <f>IF($G187="",0,$G187)</f>
        <v/>
      </c>
      <c r="AD187" s="8">
        <f>IF($J187="",0,$J187)</f>
        <v/>
      </c>
    </row>
    <row r="188">
      <c r="A188" s="8">
        <f>IF($G188="","","SS-"&amp;TEXT(ROW()-4,"0000"))</f>
        <v/>
      </c>
      <c r="B188" s="9" t="n"/>
      <c r="C188" s="9" t="n"/>
      <c r="D188" s="9" t="n"/>
      <c r="E188" s="10" t="n"/>
      <c r="F188" s="11" t="n"/>
      <c r="G188" s="12">
        <f>IF($F188="","",IF($F188&gt;31,$F188,IF($Y188="","",DATE(YEAR($Y188),MONTH($Y188),$F188))))</f>
        <v/>
      </c>
      <c r="H188" s="13" t="n"/>
      <c r="I188" s="11" t="n"/>
      <c r="J188" s="12">
        <f>IF($I188="","",IF($I188&gt;31,$I188,IF($G188="","",IF(DATE(YEAR($G188),MONTH($G188),$I188)&gt;=$G188,DATE(YEAR($G188),MONTH($G188),$I188),DATE(YEAR($G188),MONTH($G188)+1,$I188)))))</f>
        <v/>
      </c>
      <c r="K188" s="13" t="n"/>
      <c r="L188" s="8">
        <f>IF(OR($G188="",$J188=""),"",$J188-$G188+1)</f>
        <v/>
      </c>
      <c r="M188" s="8">
        <f>IF(OR($G188="",$J188=""),"",$J188-$G188)</f>
        <v/>
      </c>
      <c r="N188" s="9" t="n"/>
      <c r="O188" s="9" t="n"/>
      <c r="P188" s="9" t="n"/>
      <c r="Q188" s="9" t="n"/>
      <c r="R188" s="9" t="n"/>
      <c r="S188" s="9" t="n"/>
      <c r="T188" s="14" t="n"/>
      <c r="U188" s="9" t="n"/>
      <c r="V188" s="8">
        <f>IF($G188="","",IF($D188="","⚠部屋が未選択",IF(COUNTIF('M_部屋'!$A$4:$A$20,$D188)=0,"⚠部屋が未登録",IF(OR($J188="",$N188="キャンセル"),"",IF(SUMPRODUCT(($D$5:$D$204=$D188)*($G$5:$G$204&lt;&gt;"")*($J$5:$J$204&lt;&gt;"")*($N$5:$N$204&lt;&gt;"キャンセル")*($G$5:$G$204&lt;$J188)*($J$5:$J$204&gt;$G188))&gt;1,"⚠重複","")))))</f>
        <v/>
      </c>
      <c r="W188" s="8">
        <f>IF(OR($B188="",$G188=""),"",IF(SUMPRODUCT(('利用者マスタ'!$A$4:$A$60=$B188)*('利用者マスタ'!$B$4:$B$60&lt;&gt;""))=0,"",IF(SUMIFS($X$5:$X$204,$B$5:$B$204,$B188,$G$5:$G$204,"&gt;="&amp;DATE(YEAR($G188),MONTH($G188),1),$G$5:$G$204,"&lt;="&amp;EOMONTH($G188,0))&gt;SUMIFS('利用者マスタ'!$B$4:$B$60,'利用者マスタ'!$A$4:$A$60,$B188),"⚠支給量超過","")))</f>
        <v/>
      </c>
      <c r="X188" s="8">
        <f>IF(OR($G188="",$J188="",$N188="キャンセル"),0,IF(IFERROR(INDEX('M_区分'!$B$4:$B$20,MATCH($C188,'M_区分'!$A$4:$A$20,0)),"○")="○",$J188-$G188+1,0))</f>
        <v/>
      </c>
      <c r="Y188" s="8">
        <f>IF($E188&lt;&gt;"",$E188,$Y187)</f>
        <v/>
      </c>
      <c r="Z188" s="8">
        <f>IF(OR($G188="",$J188=""),"",IF(AND($G188&lt;=EOMONTH('02_カレンダー'!$B$4,0),$J188&gt;='02_カレンダー'!$B$4),$G188*10000+ROW(),""))</f>
        <v/>
      </c>
      <c r="AA188" s="8">
        <f>IF($H188="","",IF(ISNUMBER($H188),TEXT($H188,"hh:mm"),$H188))</f>
        <v/>
      </c>
      <c r="AB188" s="8">
        <f>IF($K188="","",IF(ISNUMBER($K188),TEXT($K188,"hh:mm"),$K188))</f>
        <v/>
      </c>
      <c r="AC188" s="8">
        <f>IF($G188="",0,$G188)</f>
        <v/>
      </c>
      <c r="AD188" s="8">
        <f>IF($J188="",0,$J188)</f>
        <v/>
      </c>
    </row>
    <row r="189">
      <c r="A189" s="8">
        <f>IF($G189="","","SS-"&amp;TEXT(ROW()-4,"0000"))</f>
        <v/>
      </c>
      <c r="B189" s="9" t="n"/>
      <c r="C189" s="9" t="n"/>
      <c r="D189" s="9" t="n"/>
      <c r="E189" s="10" t="n"/>
      <c r="F189" s="11" t="n"/>
      <c r="G189" s="12">
        <f>IF($F189="","",IF($F189&gt;31,$F189,IF($Y189="","",DATE(YEAR($Y189),MONTH($Y189),$F189))))</f>
        <v/>
      </c>
      <c r="H189" s="13" t="n"/>
      <c r="I189" s="11" t="n"/>
      <c r="J189" s="12">
        <f>IF($I189="","",IF($I189&gt;31,$I189,IF($G189="","",IF(DATE(YEAR($G189),MONTH($G189),$I189)&gt;=$G189,DATE(YEAR($G189),MONTH($G189),$I189),DATE(YEAR($G189),MONTH($G189)+1,$I189)))))</f>
        <v/>
      </c>
      <c r="K189" s="13" t="n"/>
      <c r="L189" s="8">
        <f>IF(OR($G189="",$J189=""),"",$J189-$G189+1)</f>
        <v/>
      </c>
      <c r="M189" s="8">
        <f>IF(OR($G189="",$J189=""),"",$J189-$G189)</f>
        <v/>
      </c>
      <c r="N189" s="9" t="n"/>
      <c r="O189" s="9" t="n"/>
      <c r="P189" s="9" t="n"/>
      <c r="Q189" s="9" t="n"/>
      <c r="R189" s="9" t="n"/>
      <c r="S189" s="9" t="n"/>
      <c r="T189" s="14" t="n"/>
      <c r="U189" s="9" t="n"/>
      <c r="V189" s="8">
        <f>IF($G189="","",IF($D189="","⚠部屋が未選択",IF(COUNTIF('M_部屋'!$A$4:$A$20,$D189)=0,"⚠部屋が未登録",IF(OR($J189="",$N189="キャンセル"),"",IF(SUMPRODUCT(($D$5:$D$204=$D189)*($G$5:$G$204&lt;&gt;"")*($J$5:$J$204&lt;&gt;"")*($N$5:$N$204&lt;&gt;"キャンセル")*($G$5:$G$204&lt;$J189)*($J$5:$J$204&gt;$G189))&gt;1,"⚠重複","")))))</f>
        <v/>
      </c>
      <c r="W189" s="8">
        <f>IF(OR($B189="",$G189=""),"",IF(SUMPRODUCT(('利用者マスタ'!$A$4:$A$60=$B189)*('利用者マスタ'!$B$4:$B$60&lt;&gt;""))=0,"",IF(SUMIFS($X$5:$X$204,$B$5:$B$204,$B189,$G$5:$G$204,"&gt;="&amp;DATE(YEAR($G189),MONTH($G189),1),$G$5:$G$204,"&lt;="&amp;EOMONTH($G189,0))&gt;SUMIFS('利用者マスタ'!$B$4:$B$60,'利用者マスタ'!$A$4:$A$60,$B189),"⚠支給量超過","")))</f>
        <v/>
      </c>
      <c r="X189" s="8">
        <f>IF(OR($G189="",$J189="",$N189="キャンセル"),0,IF(IFERROR(INDEX('M_区分'!$B$4:$B$20,MATCH($C189,'M_区分'!$A$4:$A$20,0)),"○")="○",$J189-$G189+1,0))</f>
        <v/>
      </c>
      <c r="Y189" s="8">
        <f>IF($E189&lt;&gt;"",$E189,$Y188)</f>
        <v/>
      </c>
      <c r="Z189" s="8">
        <f>IF(OR($G189="",$J189=""),"",IF(AND($G189&lt;=EOMONTH('02_カレンダー'!$B$4,0),$J189&gt;='02_カレンダー'!$B$4),$G189*10000+ROW(),""))</f>
        <v/>
      </c>
      <c r="AA189" s="8">
        <f>IF($H189="","",IF(ISNUMBER($H189),TEXT($H189,"hh:mm"),$H189))</f>
        <v/>
      </c>
      <c r="AB189" s="8">
        <f>IF($K189="","",IF(ISNUMBER($K189),TEXT($K189,"hh:mm"),$K189))</f>
        <v/>
      </c>
      <c r="AC189" s="8">
        <f>IF($G189="",0,$G189)</f>
        <v/>
      </c>
      <c r="AD189" s="8">
        <f>IF($J189="",0,$J189)</f>
        <v/>
      </c>
    </row>
    <row r="190">
      <c r="A190" s="8">
        <f>IF($G190="","","SS-"&amp;TEXT(ROW()-4,"0000"))</f>
        <v/>
      </c>
      <c r="B190" s="9" t="n"/>
      <c r="C190" s="9" t="n"/>
      <c r="D190" s="9" t="n"/>
      <c r="E190" s="10" t="n"/>
      <c r="F190" s="11" t="n"/>
      <c r="G190" s="12">
        <f>IF($F190="","",IF($F190&gt;31,$F190,IF($Y190="","",DATE(YEAR($Y190),MONTH($Y190),$F190))))</f>
        <v/>
      </c>
      <c r="H190" s="13" t="n"/>
      <c r="I190" s="11" t="n"/>
      <c r="J190" s="12">
        <f>IF($I190="","",IF($I190&gt;31,$I190,IF($G190="","",IF(DATE(YEAR($G190),MONTH($G190),$I190)&gt;=$G190,DATE(YEAR($G190),MONTH($G190),$I190),DATE(YEAR($G190),MONTH($G190)+1,$I190)))))</f>
        <v/>
      </c>
      <c r="K190" s="13" t="n"/>
      <c r="L190" s="8">
        <f>IF(OR($G190="",$J190=""),"",$J190-$G190+1)</f>
        <v/>
      </c>
      <c r="M190" s="8">
        <f>IF(OR($G190="",$J190=""),"",$J190-$G190)</f>
        <v/>
      </c>
      <c r="N190" s="9" t="n"/>
      <c r="O190" s="9" t="n"/>
      <c r="P190" s="9" t="n"/>
      <c r="Q190" s="9" t="n"/>
      <c r="R190" s="9" t="n"/>
      <c r="S190" s="9" t="n"/>
      <c r="T190" s="14" t="n"/>
      <c r="U190" s="9" t="n"/>
      <c r="V190" s="8">
        <f>IF($G190="","",IF($D190="","⚠部屋が未選択",IF(COUNTIF('M_部屋'!$A$4:$A$20,$D190)=0,"⚠部屋が未登録",IF(OR($J190="",$N190="キャンセル"),"",IF(SUMPRODUCT(($D$5:$D$204=$D190)*($G$5:$G$204&lt;&gt;"")*($J$5:$J$204&lt;&gt;"")*($N$5:$N$204&lt;&gt;"キャンセル")*($G$5:$G$204&lt;$J190)*($J$5:$J$204&gt;$G190))&gt;1,"⚠重複","")))))</f>
        <v/>
      </c>
      <c r="W190" s="8">
        <f>IF(OR($B190="",$G190=""),"",IF(SUMPRODUCT(('利用者マスタ'!$A$4:$A$60=$B190)*('利用者マスタ'!$B$4:$B$60&lt;&gt;""))=0,"",IF(SUMIFS($X$5:$X$204,$B$5:$B$204,$B190,$G$5:$G$204,"&gt;="&amp;DATE(YEAR($G190),MONTH($G190),1),$G$5:$G$204,"&lt;="&amp;EOMONTH($G190,0))&gt;SUMIFS('利用者マスタ'!$B$4:$B$60,'利用者マスタ'!$A$4:$A$60,$B190),"⚠支給量超過","")))</f>
        <v/>
      </c>
      <c r="X190" s="8">
        <f>IF(OR($G190="",$J190="",$N190="キャンセル"),0,IF(IFERROR(INDEX('M_区分'!$B$4:$B$20,MATCH($C190,'M_区分'!$A$4:$A$20,0)),"○")="○",$J190-$G190+1,0))</f>
        <v/>
      </c>
      <c r="Y190" s="8">
        <f>IF($E190&lt;&gt;"",$E190,$Y189)</f>
        <v/>
      </c>
      <c r="Z190" s="8">
        <f>IF(OR($G190="",$J190=""),"",IF(AND($G190&lt;=EOMONTH('02_カレンダー'!$B$4,0),$J190&gt;='02_カレンダー'!$B$4),$G190*10000+ROW(),""))</f>
        <v/>
      </c>
      <c r="AA190" s="8">
        <f>IF($H190="","",IF(ISNUMBER($H190),TEXT($H190,"hh:mm"),$H190))</f>
        <v/>
      </c>
      <c r="AB190" s="8">
        <f>IF($K190="","",IF(ISNUMBER($K190),TEXT($K190,"hh:mm"),$K190))</f>
        <v/>
      </c>
      <c r="AC190" s="8">
        <f>IF($G190="",0,$G190)</f>
        <v/>
      </c>
      <c r="AD190" s="8">
        <f>IF($J190="",0,$J190)</f>
        <v/>
      </c>
    </row>
    <row r="191">
      <c r="A191" s="8">
        <f>IF($G191="","","SS-"&amp;TEXT(ROW()-4,"0000"))</f>
        <v/>
      </c>
      <c r="B191" s="9" t="n"/>
      <c r="C191" s="9" t="n"/>
      <c r="D191" s="9" t="n"/>
      <c r="E191" s="10" t="n"/>
      <c r="F191" s="11" t="n"/>
      <c r="G191" s="12">
        <f>IF($F191="","",IF($F191&gt;31,$F191,IF($Y191="","",DATE(YEAR($Y191),MONTH($Y191),$F191))))</f>
        <v/>
      </c>
      <c r="H191" s="13" t="n"/>
      <c r="I191" s="11" t="n"/>
      <c r="J191" s="12">
        <f>IF($I191="","",IF($I191&gt;31,$I191,IF($G191="","",IF(DATE(YEAR($G191),MONTH($G191),$I191)&gt;=$G191,DATE(YEAR($G191),MONTH($G191),$I191),DATE(YEAR($G191),MONTH($G191)+1,$I191)))))</f>
        <v/>
      </c>
      <c r="K191" s="13" t="n"/>
      <c r="L191" s="8">
        <f>IF(OR($G191="",$J191=""),"",$J191-$G191+1)</f>
        <v/>
      </c>
      <c r="M191" s="8">
        <f>IF(OR($G191="",$J191=""),"",$J191-$G191)</f>
        <v/>
      </c>
      <c r="N191" s="9" t="n"/>
      <c r="O191" s="9" t="n"/>
      <c r="P191" s="9" t="n"/>
      <c r="Q191" s="9" t="n"/>
      <c r="R191" s="9" t="n"/>
      <c r="S191" s="9" t="n"/>
      <c r="T191" s="14" t="n"/>
      <c r="U191" s="9" t="n"/>
      <c r="V191" s="8">
        <f>IF($G191="","",IF($D191="","⚠部屋が未選択",IF(COUNTIF('M_部屋'!$A$4:$A$20,$D191)=0,"⚠部屋が未登録",IF(OR($J191="",$N191="キャンセル"),"",IF(SUMPRODUCT(($D$5:$D$204=$D191)*($G$5:$G$204&lt;&gt;"")*($J$5:$J$204&lt;&gt;"")*($N$5:$N$204&lt;&gt;"キャンセル")*($G$5:$G$204&lt;$J191)*($J$5:$J$204&gt;$G191))&gt;1,"⚠重複","")))))</f>
        <v/>
      </c>
      <c r="W191" s="8">
        <f>IF(OR($B191="",$G191=""),"",IF(SUMPRODUCT(('利用者マスタ'!$A$4:$A$60=$B191)*('利用者マスタ'!$B$4:$B$60&lt;&gt;""))=0,"",IF(SUMIFS($X$5:$X$204,$B$5:$B$204,$B191,$G$5:$G$204,"&gt;="&amp;DATE(YEAR($G191),MONTH($G191),1),$G$5:$G$204,"&lt;="&amp;EOMONTH($G191,0))&gt;SUMIFS('利用者マスタ'!$B$4:$B$60,'利用者マスタ'!$A$4:$A$60,$B191),"⚠支給量超過","")))</f>
        <v/>
      </c>
      <c r="X191" s="8">
        <f>IF(OR($G191="",$J191="",$N191="キャンセル"),0,IF(IFERROR(INDEX('M_区分'!$B$4:$B$20,MATCH($C191,'M_区分'!$A$4:$A$20,0)),"○")="○",$J191-$G191+1,0))</f>
        <v/>
      </c>
      <c r="Y191" s="8">
        <f>IF($E191&lt;&gt;"",$E191,$Y190)</f>
        <v/>
      </c>
      <c r="Z191" s="8">
        <f>IF(OR($G191="",$J191=""),"",IF(AND($G191&lt;=EOMONTH('02_カレンダー'!$B$4,0),$J191&gt;='02_カレンダー'!$B$4),$G191*10000+ROW(),""))</f>
        <v/>
      </c>
      <c r="AA191" s="8">
        <f>IF($H191="","",IF(ISNUMBER($H191),TEXT($H191,"hh:mm"),$H191))</f>
        <v/>
      </c>
      <c r="AB191" s="8">
        <f>IF($K191="","",IF(ISNUMBER($K191),TEXT($K191,"hh:mm"),$K191))</f>
        <v/>
      </c>
      <c r="AC191" s="8">
        <f>IF($G191="",0,$G191)</f>
        <v/>
      </c>
      <c r="AD191" s="8">
        <f>IF($J191="",0,$J191)</f>
        <v/>
      </c>
    </row>
    <row r="192">
      <c r="A192" s="8">
        <f>IF($G192="","","SS-"&amp;TEXT(ROW()-4,"0000"))</f>
        <v/>
      </c>
      <c r="B192" s="9" t="n"/>
      <c r="C192" s="9" t="n"/>
      <c r="D192" s="9" t="n"/>
      <c r="E192" s="10" t="n"/>
      <c r="F192" s="11" t="n"/>
      <c r="G192" s="12">
        <f>IF($F192="","",IF($F192&gt;31,$F192,IF($Y192="","",DATE(YEAR($Y192),MONTH($Y192),$F192))))</f>
        <v/>
      </c>
      <c r="H192" s="13" t="n"/>
      <c r="I192" s="11" t="n"/>
      <c r="J192" s="12">
        <f>IF($I192="","",IF($I192&gt;31,$I192,IF($G192="","",IF(DATE(YEAR($G192),MONTH($G192),$I192)&gt;=$G192,DATE(YEAR($G192),MONTH($G192),$I192),DATE(YEAR($G192),MONTH($G192)+1,$I192)))))</f>
        <v/>
      </c>
      <c r="K192" s="13" t="n"/>
      <c r="L192" s="8">
        <f>IF(OR($G192="",$J192=""),"",$J192-$G192+1)</f>
        <v/>
      </c>
      <c r="M192" s="8">
        <f>IF(OR($G192="",$J192=""),"",$J192-$G192)</f>
        <v/>
      </c>
      <c r="N192" s="9" t="n"/>
      <c r="O192" s="9" t="n"/>
      <c r="P192" s="9" t="n"/>
      <c r="Q192" s="9" t="n"/>
      <c r="R192" s="9" t="n"/>
      <c r="S192" s="9" t="n"/>
      <c r="T192" s="14" t="n"/>
      <c r="U192" s="9" t="n"/>
      <c r="V192" s="8">
        <f>IF($G192="","",IF($D192="","⚠部屋が未選択",IF(COUNTIF('M_部屋'!$A$4:$A$20,$D192)=0,"⚠部屋が未登録",IF(OR($J192="",$N192="キャンセル"),"",IF(SUMPRODUCT(($D$5:$D$204=$D192)*($G$5:$G$204&lt;&gt;"")*($J$5:$J$204&lt;&gt;"")*($N$5:$N$204&lt;&gt;"キャンセル")*($G$5:$G$204&lt;$J192)*($J$5:$J$204&gt;$G192))&gt;1,"⚠重複","")))))</f>
        <v/>
      </c>
      <c r="W192" s="8">
        <f>IF(OR($B192="",$G192=""),"",IF(SUMPRODUCT(('利用者マスタ'!$A$4:$A$60=$B192)*('利用者マスタ'!$B$4:$B$60&lt;&gt;""))=0,"",IF(SUMIFS($X$5:$X$204,$B$5:$B$204,$B192,$G$5:$G$204,"&gt;="&amp;DATE(YEAR($G192),MONTH($G192),1),$G$5:$G$204,"&lt;="&amp;EOMONTH($G192,0))&gt;SUMIFS('利用者マスタ'!$B$4:$B$60,'利用者マスタ'!$A$4:$A$60,$B192),"⚠支給量超過","")))</f>
        <v/>
      </c>
      <c r="X192" s="8">
        <f>IF(OR($G192="",$J192="",$N192="キャンセル"),0,IF(IFERROR(INDEX('M_区分'!$B$4:$B$20,MATCH($C192,'M_区分'!$A$4:$A$20,0)),"○")="○",$J192-$G192+1,0))</f>
        <v/>
      </c>
      <c r="Y192" s="8">
        <f>IF($E192&lt;&gt;"",$E192,$Y191)</f>
        <v/>
      </c>
      <c r="Z192" s="8">
        <f>IF(OR($G192="",$J192=""),"",IF(AND($G192&lt;=EOMONTH('02_カレンダー'!$B$4,0),$J192&gt;='02_カレンダー'!$B$4),$G192*10000+ROW(),""))</f>
        <v/>
      </c>
      <c r="AA192" s="8">
        <f>IF($H192="","",IF(ISNUMBER($H192),TEXT($H192,"hh:mm"),$H192))</f>
        <v/>
      </c>
      <c r="AB192" s="8">
        <f>IF($K192="","",IF(ISNUMBER($K192),TEXT($K192,"hh:mm"),$K192))</f>
        <v/>
      </c>
      <c r="AC192" s="8">
        <f>IF($G192="",0,$G192)</f>
        <v/>
      </c>
      <c r="AD192" s="8">
        <f>IF($J192="",0,$J192)</f>
        <v/>
      </c>
    </row>
    <row r="193">
      <c r="A193" s="8">
        <f>IF($G193="","","SS-"&amp;TEXT(ROW()-4,"0000"))</f>
        <v/>
      </c>
      <c r="B193" s="9" t="n"/>
      <c r="C193" s="9" t="n"/>
      <c r="D193" s="9" t="n"/>
      <c r="E193" s="10" t="n"/>
      <c r="F193" s="11" t="n"/>
      <c r="G193" s="12">
        <f>IF($F193="","",IF($F193&gt;31,$F193,IF($Y193="","",DATE(YEAR($Y193),MONTH($Y193),$F193))))</f>
        <v/>
      </c>
      <c r="H193" s="13" t="n"/>
      <c r="I193" s="11" t="n"/>
      <c r="J193" s="12">
        <f>IF($I193="","",IF($I193&gt;31,$I193,IF($G193="","",IF(DATE(YEAR($G193),MONTH($G193),$I193)&gt;=$G193,DATE(YEAR($G193),MONTH($G193),$I193),DATE(YEAR($G193),MONTH($G193)+1,$I193)))))</f>
        <v/>
      </c>
      <c r="K193" s="13" t="n"/>
      <c r="L193" s="8">
        <f>IF(OR($G193="",$J193=""),"",$J193-$G193+1)</f>
        <v/>
      </c>
      <c r="M193" s="8">
        <f>IF(OR($G193="",$J193=""),"",$J193-$G193)</f>
        <v/>
      </c>
      <c r="N193" s="9" t="n"/>
      <c r="O193" s="9" t="n"/>
      <c r="P193" s="9" t="n"/>
      <c r="Q193" s="9" t="n"/>
      <c r="R193" s="9" t="n"/>
      <c r="S193" s="9" t="n"/>
      <c r="T193" s="14" t="n"/>
      <c r="U193" s="9" t="n"/>
      <c r="V193" s="8">
        <f>IF($G193="","",IF($D193="","⚠部屋が未選択",IF(COUNTIF('M_部屋'!$A$4:$A$20,$D193)=0,"⚠部屋が未登録",IF(OR($J193="",$N193="キャンセル"),"",IF(SUMPRODUCT(($D$5:$D$204=$D193)*($G$5:$G$204&lt;&gt;"")*($J$5:$J$204&lt;&gt;"")*($N$5:$N$204&lt;&gt;"キャンセル")*($G$5:$G$204&lt;$J193)*($J$5:$J$204&gt;$G193))&gt;1,"⚠重複","")))))</f>
        <v/>
      </c>
      <c r="W193" s="8">
        <f>IF(OR($B193="",$G193=""),"",IF(SUMPRODUCT(('利用者マスタ'!$A$4:$A$60=$B193)*('利用者マスタ'!$B$4:$B$60&lt;&gt;""))=0,"",IF(SUMIFS($X$5:$X$204,$B$5:$B$204,$B193,$G$5:$G$204,"&gt;="&amp;DATE(YEAR($G193),MONTH($G193),1),$G$5:$G$204,"&lt;="&amp;EOMONTH($G193,0))&gt;SUMIFS('利用者マスタ'!$B$4:$B$60,'利用者マスタ'!$A$4:$A$60,$B193),"⚠支給量超過","")))</f>
        <v/>
      </c>
      <c r="X193" s="8">
        <f>IF(OR($G193="",$J193="",$N193="キャンセル"),0,IF(IFERROR(INDEX('M_区分'!$B$4:$B$20,MATCH($C193,'M_区分'!$A$4:$A$20,0)),"○")="○",$J193-$G193+1,0))</f>
        <v/>
      </c>
      <c r="Y193" s="8">
        <f>IF($E193&lt;&gt;"",$E193,$Y192)</f>
        <v/>
      </c>
      <c r="Z193" s="8">
        <f>IF(OR($G193="",$J193=""),"",IF(AND($G193&lt;=EOMONTH('02_カレンダー'!$B$4,0),$J193&gt;='02_カレンダー'!$B$4),$G193*10000+ROW(),""))</f>
        <v/>
      </c>
      <c r="AA193" s="8">
        <f>IF($H193="","",IF(ISNUMBER($H193),TEXT($H193,"hh:mm"),$H193))</f>
        <v/>
      </c>
      <c r="AB193" s="8">
        <f>IF($K193="","",IF(ISNUMBER($K193),TEXT($K193,"hh:mm"),$K193))</f>
        <v/>
      </c>
      <c r="AC193" s="8">
        <f>IF($G193="",0,$G193)</f>
        <v/>
      </c>
      <c r="AD193" s="8">
        <f>IF($J193="",0,$J193)</f>
        <v/>
      </c>
    </row>
    <row r="194">
      <c r="A194" s="8">
        <f>IF($G194="","","SS-"&amp;TEXT(ROW()-4,"0000"))</f>
        <v/>
      </c>
      <c r="B194" s="9" t="n"/>
      <c r="C194" s="9" t="n"/>
      <c r="D194" s="9" t="n"/>
      <c r="E194" s="10" t="n"/>
      <c r="F194" s="11" t="n"/>
      <c r="G194" s="12">
        <f>IF($F194="","",IF($F194&gt;31,$F194,IF($Y194="","",DATE(YEAR($Y194),MONTH($Y194),$F194))))</f>
        <v/>
      </c>
      <c r="H194" s="13" t="n"/>
      <c r="I194" s="11" t="n"/>
      <c r="J194" s="12">
        <f>IF($I194="","",IF($I194&gt;31,$I194,IF($G194="","",IF(DATE(YEAR($G194),MONTH($G194),$I194)&gt;=$G194,DATE(YEAR($G194),MONTH($G194),$I194),DATE(YEAR($G194),MONTH($G194)+1,$I194)))))</f>
        <v/>
      </c>
      <c r="K194" s="13" t="n"/>
      <c r="L194" s="8">
        <f>IF(OR($G194="",$J194=""),"",$J194-$G194+1)</f>
        <v/>
      </c>
      <c r="M194" s="8">
        <f>IF(OR($G194="",$J194=""),"",$J194-$G194)</f>
        <v/>
      </c>
      <c r="N194" s="9" t="n"/>
      <c r="O194" s="9" t="n"/>
      <c r="P194" s="9" t="n"/>
      <c r="Q194" s="9" t="n"/>
      <c r="R194" s="9" t="n"/>
      <c r="S194" s="9" t="n"/>
      <c r="T194" s="14" t="n"/>
      <c r="U194" s="9" t="n"/>
      <c r="V194" s="8">
        <f>IF($G194="","",IF($D194="","⚠部屋が未選択",IF(COUNTIF('M_部屋'!$A$4:$A$20,$D194)=0,"⚠部屋が未登録",IF(OR($J194="",$N194="キャンセル"),"",IF(SUMPRODUCT(($D$5:$D$204=$D194)*($G$5:$G$204&lt;&gt;"")*($J$5:$J$204&lt;&gt;"")*($N$5:$N$204&lt;&gt;"キャンセル")*($G$5:$G$204&lt;$J194)*($J$5:$J$204&gt;$G194))&gt;1,"⚠重複","")))))</f>
        <v/>
      </c>
      <c r="W194" s="8">
        <f>IF(OR($B194="",$G194=""),"",IF(SUMPRODUCT(('利用者マスタ'!$A$4:$A$60=$B194)*('利用者マスタ'!$B$4:$B$60&lt;&gt;""))=0,"",IF(SUMIFS($X$5:$X$204,$B$5:$B$204,$B194,$G$5:$G$204,"&gt;="&amp;DATE(YEAR($G194),MONTH($G194),1),$G$5:$G$204,"&lt;="&amp;EOMONTH($G194,0))&gt;SUMIFS('利用者マスタ'!$B$4:$B$60,'利用者マスタ'!$A$4:$A$60,$B194),"⚠支給量超過","")))</f>
        <v/>
      </c>
      <c r="X194" s="8">
        <f>IF(OR($G194="",$J194="",$N194="キャンセル"),0,IF(IFERROR(INDEX('M_区分'!$B$4:$B$20,MATCH($C194,'M_区分'!$A$4:$A$20,0)),"○")="○",$J194-$G194+1,0))</f>
        <v/>
      </c>
      <c r="Y194" s="8">
        <f>IF($E194&lt;&gt;"",$E194,$Y193)</f>
        <v/>
      </c>
      <c r="Z194" s="8">
        <f>IF(OR($G194="",$J194=""),"",IF(AND($G194&lt;=EOMONTH('02_カレンダー'!$B$4,0),$J194&gt;='02_カレンダー'!$B$4),$G194*10000+ROW(),""))</f>
        <v/>
      </c>
      <c r="AA194" s="8">
        <f>IF($H194="","",IF(ISNUMBER($H194),TEXT($H194,"hh:mm"),$H194))</f>
        <v/>
      </c>
      <c r="AB194" s="8">
        <f>IF($K194="","",IF(ISNUMBER($K194),TEXT($K194,"hh:mm"),$K194))</f>
        <v/>
      </c>
      <c r="AC194" s="8">
        <f>IF($G194="",0,$G194)</f>
        <v/>
      </c>
      <c r="AD194" s="8">
        <f>IF($J194="",0,$J194)</f>
        <v/>
      </c>
    </row>
    <row r="195">
      <c r="A195" s="8">
        <f>IF($G195="","","SS-"&amp;TEXT(ROW()-4,"0000"))</f>
        <v/>
      </c>
      <c r="B195" s="9" t="n"/>
      <c r="C195" s="9" t="n"/>
      <c r="D195" s="9" t="n"/>
      <c r="E195" s="10" t="n"/>
      <c r="F195" s="11" t="n"/>
      <c r="G195" s="12">
        <f>IF($F195="","",IF($F195&gt;31,$F195,IF($Y195="","",DATE(YEAR($Y195),MONTH($Y195),$F195))))</f>
        <v/>
      </c>
      <c r="H195" s="13" t="n"/>
      <c r="I195" s="11" t="n"/>
      <c r="J195" s="12">
        <f>IF($I195="","",IF($I195&gt;31,$I195,IF($G195="","",IF(DATE(YEAR($G195),MONTH($G195),$I195)&gt;=$G195,DATE(YEAR($G195),MONTH($G195),$I195),DATE(YEAR($G195),MONTH($G195)+1,$I195)))))</f>
        <v/>
      </c>
      <c r="K195" s="13" t="n"/>
      <c r="L195" s="8">
        <f>IF(OR($G195="",$J195=""),"",$J195-$G195+1)</f>
        <v/>
      </c>
      <c r="M195" s="8">
        <f>IF(OR($G195="",$J195=""),"",$J195-$G195)</f>
        <v/>
      </c>
      <c r="N195" s="9" t="n"/>
      <c r="O195" s="9" t="n"/>
      <c r="P195" s="9" t="n"/>
      <c r="Q195" s="9" t="n"/>
      <c r="R195" s="9" t="n"/>
      <c r="S195" s="9" t="n"/>
      <c r="T195" s="14" t="n"/>
      <c r="U195" s="9" t="n"/>
      <c r="V195" s="8">
        <f>IF($G195="","",IF($D195="","⚠部屋が未選択",IF(COUNTIF('M_部屋'!$A$4:$A$20,$D195)=0,"⚠部屋が未登録",IF(OR($J195="",$N195="キャンセル"),"",IF(SUMPRODUCT(($D$5:$D$204=$D195)*($G$5:$G$204&lt;&gt;"")*($J$5:$J$204&lt;&gt;"")*($N$5:$N$204&lt;&gt;"キャンセル")*($G$5:$G$204&lt;$J195)*($J$5:$J$204&gt;$G195))&gt;1,"⚠重複","")))))</f>
        <v/>
      </c>
      <c r="W195" s="8">
        <f>IF(OR($B195="",$G195=""),"",IF(SUMPRODUCT(('利用者マスタ'!$A$4:$A$60=$B195)*('利用者マスタ'!$B$4:$B$60&lt;&gt;""))=0,"",IF(SUMIFS($X$5:$X$204,$B$5:$B$204,$B195,$G$5:$G$204,"&gt;="&amp;DATE(YEAR($G195),MONTH($G195),1),$G$5:$G$204,"&lt;="&amp;EOMONTH($G195,0))&gt;SUMIFS('利用者マスタ'!$B$4:$B$60,'利用者マスタ'!$A$4:$A$60,$B195),"⚠支給量超過","")))</f>
        <v/>
      </c>
      <c r="X195" s="8">
        <f>IF(OR($G195="",$J195="",$N195="キャンセル"),0,IF(IFERROR(INDEX('M_区分'!$B$4:$B$20,MATCH($C195,'M_区分'!$A$4:$A$20,0)),"○")="○",$J195-$G195+1,0))</f>
        <v/>
      </c>
      <c r="Y195" s="8">
        <f>IF($E195&lt;&gt;"",$E195,$Y194)</f>
        <v/>
      </c>
      <c r="Z195" s="8">
        <f>IF(OR($G195="",$J195=""),"",IF(AND($G195&lt;=EOMONTH('02_カレンダー'!$B$4,0),$J195&gt;='02_カレンダー'!$B$4),$G195*10000+ROW(),""))</f>
        <v/>
      </c>
      <c r="AA195" s="8">
        <f>IF($H195="","",IF(ISNUMBER($H195),TEXT($H195,"hh:mm"),$H195))</f>
        <v/>
      </c>
      <c r="AB195" s="8">
        <f>IF($K195="","",IF(ISNUMBER($K195),TEXT($K195,"hh:mm"),$K195))</f>
        <v/>
      </c>
      <c r="AC195" s="8">
        <f>IF($G195="",0,$G195)</f>
        <v/>
      </c>
      <c r="AD195" s="8">
        <f>IF($J195="",0,$J195)</f>
        <v/>
      </c>
    </row>
    <row r="196">
      <c r="A196" s="8">
        <f>IF($G196="","","SS-"&amp;TEXT(ROW()-4,"0000"))</f>
        <v/>
      </c>
      <c r="B196" s="9" t="n"/>
      <c r="C196" s="9" t="n"/>
      <c r="D196" s="9" t="n"/>
      <c r="E196" s="10" t="n"/>
      <c r="F196" s="11" t="n"/>
      <c r="G196" s="12">
        <f>IF($F196="","",IF($F196&gt;31,$F196,IF($Y196="","",DATE(YEAR($Y196),MONTH($Y196),$F196))))</f>
        <v/>
      </c>
      <c r="H196" s="13" t="n"/>
      <c r="I196" s="11" t="n"/>
      <c r="J196" s="12">
        <f>IF($I196="","",IF($I196&gt;31,$I196,IF($G196="","",IF(DATE(YEAR($G196),MONTH($G196),$I196)&gt;=$G196,DATE(YEAR($G196),MONTH($G196),$I196),DATE(YEAR($G196),MONTH($G196)+1,$I196)))))</f>
        <v/>
      </c>
      <c r="K196" s="13" t="n"/>
      <c r="L196" s="8">
        <f>IF(OR($G196="",$J196=""),"",$J196-$G196+1)</f>
        <v/>
      </c>
      <c r="M196" s="8">
        <f>IF(OR($G196="",$J196=""),"",$J196-$G196)</f>
        <v/>
      </c>
      <c r="N196" s="9" t="n"/>
      <c r="O196" s="9" t="n"/>
      <c r="P196" s="9" t="n"/>
      <c r="Q196" s="9" t="n"/>
      <c r="R196" s="9" t="n"/>
      <c r="S196" s="9" t="n"/>
      <c r="T196" s="14" t="n"/>
      <c r="U196" s="9" t="n"/>
      <c r="V196" s="8">
        <f>IF($G196="","",IF($D196="","⚠部屋が未選択",IF(COUNTIF('M_部屋'!$A$4:$A$20,$D196)=0,"⚠部屋が未登録",IF(OR($J196="",$N196="キャンセル"),"",IF(SUMPRODUCT(($D$5:$D$204=$D196)*($G$5:$G$204&lt;&gt;"")*($J$5:$J$204&lt;&gt;"")*($N$5:$N$204&lt;&gt;"キャンセル")*($G$5:$G$204&lt;$J196)*($J$5:$J$204&gt;$G196))&gt;1,"⚠重複","")))))</f>
        <v/>
      </c>
      <c r="W196" s="8">
        <f>IF(OR($B196="",$G196=""),"",IF(SUMPRODUCT(('利用者マスタ'!$A$4:$A$60=$B196)*('利用者マスタ'!$B$4:$B$60&lt;&gt;""))=0,"",IF(SUMIFS($X$5:$X$204,$B$5:$B$204,$B196,$G$5:$G$204,"&gt;="&amp;DATE(YEAR($G196),MONTH($G196),1),$G$5:$G$204,"&lt;="&amp;EOMONTH($G196,0))&gt;SUMIFS('利用者マスタ'!$B$4:$B$60,'利用者マスタ'!$A$4:$A$60,$B196),"⚠支給量超過","")))</f>
        <v/>
      </c>
      <c r="X196" s="8">
        <f>IF(OR($G196="",$J196="",$N196="キャンセル"),0,IF(IFERROR(INDEX('M_区分'!$B$4:$B$20,MATCH($C196,'M_区分'!$A$4:$A$20,0)),"○")="○",$J196-$G196+1,0))</f>
        <v/>
      </c>
      <c r="Y196" s="8">
        <f>IF($E196&lt;&gt;"",$E196,$Y195)</f>
        <v/>
      </c>
      <c r="Z196" s="8">
        <f>IF(OR($G196="",$J196=""),"",IF(AND($G196&lt;=EOMONTH('02_カレンダー'!$B$4,0),$J196&gt;='02_カレンダー'!$B$4),$G196*10000+ROW(),""))</f>
        <v/>
      </c>
      <c r="AA196" s="8">
        <f>IF($H196="","",IF(ISNUMBER($H196),TEXT($H196,"hh:mm"),$H196))</f>
        <v/>
      </c>
      <c r="AB196" s="8">
        <f>IF($K196="","",IF(ISNUMBER($K196),TEXT($K196,"hh:mm"),$K196))</f>
        <v/>
      </c>
      <c r="AC196" s="8">
        <f>IF($G196="",0,$G196)</f>
        <v/>
      </c>
      <c r="AD196" s="8">
        <f>IF($J196="",0,$J196)</f>
        <v/>
      </c>
    </row>
    <row r="197">
      <c r="A197" s="8">
        <f>IF($G197="","","SS-"&amp;TEXT(ROW()-4,"0000"))</f>
        <v/>
      </c>
      <c r="B197" s="9" t="n"/>
      <c r="C197" s="9" t="n"/>
      <c r="D197" s="9" t="n"/>
      <c r="E197" s="10" t="n"/>
      <c r="F197" s="11" t="n"/>
      <c r="G197" s="12">
        <f>IF($F197="","",IF($F197&gt;31,$F197,IF($Y197="","",DATE(YEAR($Y197),MONTH($Y197),$F197))))</f>
        <v/>
      </c>
      <c r="H197" s="13" t="n"/>
      <c r="I197" s="11" t="n"/>
      <c r="J197" s="12">
        <f>IF($I197="","",IF($I197&gt;31,$I197,IF($G197="","",IF(DATE(YEAR($G197),MONTH($G197),$I197)&gt;=$G197,DATE(YEAR($G197),MONTH($G197),$I197),DATE(YEAR($G197),MONTH($G197)+1,$I197)))))</f>
        <v/>
      </c>
      <c r="K197" s="13" t="n"/>
      <c r="L197" s="8">
        <f>IF(OR($G197="",$J197=""),"",$J197-$G197+1)</f>
        <v/>
      </c>
      <c r="M197" s="8">
        <f>IF(OR($G197="",$J197=""),"",$J197-$G197)</f>
        <v/>
      </c>
      <c r="N197" s="9" t="n"/>
      <c r="O197" s="9" t="n"/>
      <c r="P197" s="9" t="n"/>
      <c r="Q197" s="9" t="n"/>
      <c r="R197" s="9" t="n"/>
      <c r="S197" s="9" t="n"/>
      <c r="T197" s="14" t="n"/>
      <c r="U197" s="9" t="n"/>
      <c r="V197" s="8">
        <f>IF($G197="","",IF($D197="","⚠部屋が未選択",IF(COUNTIF('M_部屋'!$A$4:$A$20,$D197)=0,"⚠部屋が未登録",IF(OR($J197="",$N197="キャンセル"),"",IF(SUMPRODUCT(($D$5:$D$204=$D197)*($G$5:$G$204&lt;&gt;"")*($J$5:$J$204&lt;&gt;"")*($N$5:$N$204&lt;&gt;"キャンセル")*($G$5:$G$204&lt;$J197)*($J$5:$J$204&gt;$G197))&gt;1,"⚠重複","")))))</f>
        <v/>
      </c>
      <c r="W197" s="8">
        <f>IF(OR($B197="",$G197=""),"",IF(SUMPRODUCT(('利用者マスタ'!$A$4:$A$60=$B197)*('利用者マスタ'!$B$4:$B$60&lt;&gt;""))=0,"",IF(SUMIFS($X$5:$X$204,$B$5:$B$204,$B197,$G$5:$G$204,"&gt;="&amp;DATE(YEAR($G197),MONTH($G197),1),$G$5:$G$204,"&lt;="&amp;EOMONTH($G197,0))&gt;SUMIFS('利用者マスタ'!$B$4:$B$60,'利用者マスタ'!$A$4:$A$60,$B197),"⚠支給量超過","")))</f>
        <v/>
      </c>
      <c r="X197" s="8">
        <f>IF(OR($G197="",$J197="",$N197="キャンセル"),0,IF(IFERROR(INDEX('M_区分'!$B$4:$B$20,MATCH($C197,'M_区分'!$A$4:$A$20,0)),"○")="○",$J197-$G197+1,0))</f>
        <v/>
      </c>
      <c r="Y197" s="8">
        <f>IF($E197&lt;&gt;"",$E197,$Y196)</f>
        <v/>
      </c>
      <c r="Z197" s="8">
        <f>IF(OR($G197="",$J197=""),"",IF(AND($G197&lt;=EOMONTH('02_カレンダー'!$B$4,0),$J197&gt;='02_カレンダー'!$B$4),$G197*10000+ROW(),""))</f>
        <v/>
      </c>
      <c r="AA197" s="8">
        <f>IF($H197="","",IF(ISNUMBER($H197),TEXT($H197,"hh:mm"),$H197))</f>
        <v/>
      </c>
      <c r="AB197" s="8">
        <f>IF($K197="","",IF(ISNUMBER($K197),TEXT($K197,"hh:mm"),$K197))</f>
        <v/>
      </c>
      <c r="AC197" s="8">
        <f>IF($G197="",0,$G197)</f>
        <v/>
      </c>
      <c r="AD197" s="8">
        <f>IF($J197="",0,$J197)</f>
        <v/>
      </c>
    </row>
    <row r="198">
      <c r="A198" s="8">
        <f>IF($G198="","","SS-"&amp;TEXT(ROW()-4,"0000"))</f>
        <v/>
      </c>
      <c r="B198" s="9" t="n"/>
      <c r="C198" s="9" t="n"/>
      <c r="D198" s="9" t="n"/>
      <c r="E198" s="10" t="n"/>
      <c r="F198" s="11" t="n"/>
      <c r="G198" s="12">
        <f>IF($F198="","",IF($F198&gt;31,$F198,IF($Y198="","",DATE(YEAR($Y198),MONTH($Y198),$F198))))</f>
        <v/>
      </c>
      <c r="H198" s="13" t="n"/>
      <c r="I198" s="11" t="n"/>
      <c r="J198" s="12">
        <f>IF($I198="","",IF($I198&gt;31,$I198,IF($G198="","",IF(DATE(YEAR($G198),MONTH($G198),$I198)&gt;=$G198,DATE(YEAR($G198),MONTH($G198),$I198),DATE(YEAR($G198),MONTH($G198)+1,$I198)))))</f>
        <v/>
      </c>
      <c r="K198" s="13" t="n"/>
      <c r="L198" s="8">
        <f>IF(OR($G198="",$J198=""),"",$J198-$G198+1)</f>
        <v/>
      </c>
      <c r="M198" s="8">
        <f>IF(OR($G198="",$J198=""),"",$J198-$G198)</f>
        <v/>
      </c>
      <c r="N198" s="9" t="n"/>
      <c r="O198" s="9" t="n"/>
      <c r="P198" s="9" t="n"/>
      <c r="Q198" s="9" t="n"/>
      <c r="R198" s="9" t="n"/>
      <c r="S198" s="9" t="n"/>
      <c r="T198" s="14" t="n"/>
      <c r="U198" s="9" t="n"/>
      <c r="V198" s="8">
        <f>IF($G198="","",IF($D198="","⚠部屋が未選択",IF(COUNTIF('M_部屋'!$A$4:$A$20,$D198)=0,"⚠部屋が未登録",IF(OR($J198="",$N198="キャンセル"),"",IF(SUMPRODUCT(($D$5:$D$204=$D198)*($G$5:$G$204&lt;&gt;"")*($J$5:$J$204&lt;&gt;"")*($N$5:$N$204&lt;&gt;"キャンセル")*($G$5:$G$204&lt;$J198)*($J$5:$J$204&gt;$G198))&gt;1,"⚠重複","")))))</f>
        <v/>
      </c>
      <c r="W198" s="8">
        <f>IF(OR($B198="",$G198=""),"",IF(SUMPRODUCT(('利用者マスタ'!$A$4:$A$60=$B198)*('利用者マスタ'!$B$4:$B$60&lt;&gt;""))=0,"",IF(SUMIFS($X$5:$X$204,$B$5:$B$204,$B198,$G$5:$G$204,"&gt;="&amp;DATE(YEAR($G198),MONTH($G198),1),$G$5:$G$204,"&lt;="&amp;EOMONTH($G198,0))&gt;SUMIFS('利用者マスタ'!$B$4:$B$60,'利用者マスタ'!$A$4:$A$60,$B198),"⚠支給量超過","")))</f>
        <v/>
      </c>
      <c r="X198" s="8">
        <f>IF(OR($G198="",$J198="",$N198="キャンセル"),0,IF(IFERROR(INDEX('M_区分'!$B$4:$B$20,MATCH($C198,'M_区分'!$A$4:$A$20,0)),"○")="○",$J198-$G198+1,0))</f>
        <v/>
      </c>
      <c r="Y198" s="8">
        <f>IF($E198&lt;&gt;"",$E198,$Y197)</f>
        <v/>
      </c>
      <c r="Z198" s="8">
        <f>IF(OR($G198="",$J198=""),"",IF(AND($G198&lt;=EOMONTH('02_カレンダー'!$B$4,0),$J198&gt;='02_カレンダー'!$B$4),$G198*10000+ROW(),""))</f>
        <v/>
      </c>
      <c r="AA198" s="8">
        <f>IF($H198="","",IF(ISNUMBER($H198),TEXT($H198,"hh:mm"),$H198))</f>
        <v/>
      </c>
      <c r="AB198" s="8">
        <f>IF($K198="","",IF(ISNUMBER($K198),TEXT($K198,"hh:mm"),$K198))</f>
        <v/>
      </c>
      <c r="AC198" s="8">
        <f>IF($G198="",0,$G198)</f>
        <v/>
      </c>
      <c r="AD198" s="8">
        <f>IF($J198="",0,$J198)</f>
        <v/>
      </c>
    </row>
    <row r="199">
      <c r="A199" s="8">
        <f>IF($G199="","","SS-"&amp;TEXT(ROW()-4,"0000"))</f>
        <v/>
      </c>
      <c r="B199" s="9" t="n"/>
      <c r="C199" s="9" t="n"/>
      <c r="D199" s="9" t="n"/>
      <c r="E199" s="10" t="n"/>
      <c r="F199" s="11" t="n"/>
      <c r="G199" s="12">
        <f>IF($F199="","",IF($F199&gt;31,$F199,IF($Y199="","",DATE(YEAR($Y199),MONTH($Y199),$F199))))</f>
        <v/>
      </c>
      <c r="H199" s="13" t="n"/>
      <c r="I199" s="11" t="n"/>
      <c r="J199" s="12">
        <f>IF($I199="","",IF($I199&gt;31,$I199,IF($G199="","",IF(DATE(YEAR($G199),MONTH($G199),$I199)&gt;=$G199,DATE(YEAR($G199),MONTH($G199),$I199),DATE(YEAR($G199),MONTH($G199)+1,$I199)))))</f>
        <v/>
      </c>
      <c r="K199" s="13" t="n"/>
      <c r="L199" s="8">
        <f>IF(OR($G199="",$J199=""),"",$J199-$G199+1)</f>
        <v/>
      </c>
      <c r="M199" s="8">
        <f>IF(OR($G199="",$J199=""),"",$J199-$G199)</f>
        <v/>
      </c>
      <c r="N199" s="9" t="n"/>
      <c r="O199" s="9" t="n"/>
      <c r="P199" s="9" t="n"/>
      <c r="Q199" s="9" t="n"/>
      <c r="R199" s="9" t="n"/>
      <c r="S199" s="9" t="n"/>
      <c r="T199" s="14" t="n"/>
      <c r="U199" s="9" t="n"/>
      <c r="V199" s="8">
        <f>IF($G199="","",IF($D199="","⚠部屋が未選択",IF(COUNTIF('M_部屋'!$A$4:$A$20,$D199)=0,"⚠部屋が未登録",IF(OR($J199="",$N199="キャンセル"),"",IF(SUMPRODUCT(($D$5:$D$204=$D199)*($G$5:$G$204&lt;&gt;"")*($J$5:$J$204&lt;&gt;"")*($N$5:$N$204&lt;&gt;"キャンセル")*($G$5:$G$204&lt;$J199)*($J$5:$J$204&gt;$G199))&gt;1,"⚠重複","")))))</f>
        <v/>
      </c>
      <c r="W199" s="8">
        <f>IF(OR($B199="",$G199=""),"",IF(SUMPRODUCT(('利用者マスタ'!$A$4:$A$60=$B199)*('利用者マスタ'!$B$4:$B$60&lt;&gt;""))=0,"",IF(SUMIFS($X$5:$X$204,$B$5:$B$204,$B199,$G$5:$G$204,"&gt;="&amp;DATE(YEAR($G199),MONTH($G199),1),$G$5:$G$204,"&lt;="&amp;EOMONTH($G199,0))&gt;SUMIFS('利用者マスタ'!$B$4:$B$60,'利用者マスタ'!$A$4:$A$60,$B199),"⚠支給量超過","")))</f>
        <v/>
      </c>
      <c r="X199" s="8">
        <f>IF(OR($G199="",$J199="",$N199="キャンセル"),0,IF(IFERROR(INDEX('M_区分'!$B$4:$B$20,MATCH($C199,'M_区分'!$A$4:$A$20,0)),"○")="○",$J199-$G199+1,0))</f>
        <v/>
      </c>
      <c r="Y199" s="8">
        <f>IF($E199&lt;&gt;"",$E199,$Y198)</f>
        <v/>
      </c>
      <c r="Z199" s="8">
        <f>IF(OR($G199="",$J199=""),"",IF(AND($G199&lt;=EOMONTH('02_カレンダー'!$B$4,0),$J199&gt;='02_カレンダー'!$B$4),$G199*10000+ROW(),""))</f>
        <v/>
      </c>
      <c r="AA199" s="8">
        <f>IF($H199="","",IF(ISNUMBER($H199),TEXT($H199,"hh:mm"),$H199))</f>
        <v/>
      </c>
      <c r="AB199" s="8">
        <f>IF($K199="","",IF(ISNUMBER($K199),TEXT($K199,"hh:mm"),$K199))</f>
        <v/>
      </c>
      <c r="AC199" s="8">
        <f>IF($G199="",0,$G199)</f>
        <v/>
      </c>
      <c r="AD199" s="8">
        <f>IF($J199="",0,$J199)</f>
        <v/>
      </c>
    </row>
    <row r="200">
      <c r="A200" s="8">
        <f>IF($G200="","","SS-"&amp;TEXT(ROW()-4,"0000"))</f>
        <v/>
      </c>
      <c r="B200" s="9" t="n"/>
      <c r="C200" s="9" t="n"/>
      <c r="D200" s="9" t="n"/>
      <c r="E200" s="10" t="n"/>
      <c r="F200" s="11" t="n"/>
      <c r="G200" s="12">
        <f>IF($F200="","",IF($F200&gt;31,$F200,IF($Y200="","",DATE(YEAR($Y200),MONTH($Y200),$F200))))</f>
        <v/>
      </c>
      <c r="H200" s="13" t="n"/>
      <c r="I200" s="11" t="n"/>
      <c r="J200" s="12">
        <f>IF($I200="","",IF($I200&gt;31,$I200,IF($G200="","",IF(DATE(YEAR($G200),MONTH($G200),$I200)&gt;=$G200,DATE(YEAR($G200),MONTH($G200),$I200),DATE(YEAR($G200),MONTH($G200)+1,$I200)))))</f>
        <v/>
      </c>
      <c r="K200" s="13" t="n"/>
      <c r="L200" s="8">
        <f>IF(OR($G200="",$J200=""),"",$J200-$G200+1)</f>
        <v/>
      </c>
      <c r="M200" s="8">
        <f>IF(OR($G200="",$J200=""),"",$J200-$G200)</f>
        <v/>
      </c>
      <c r="N200" s="9" t="n"/>
      <c r="O200" s="9" t="n"/>
      <c r="P200" s="9" t="n"/>
      <c r="Q200" s="9" t="n"/>
      <c r="R200" s="9" t="n"/>
      <c r="S200" s="9" t="n"/>
      <c r="T200" s="14" t="n"/>
      <c r="U200" s="9" t="n"/>
      <c r="V200" s="8">
        <f>IF($G200="","",IF($D200="","⚠部屋が未選択",IF(COUNTIF('M_部屋'!$A$4:$A$20,$D200)=0,"⚠部屋が未登録",IF(OR($J200="",$N200="キャンセル"),"",IF(SUMPRODUCT(($D$5:$D$204=$D200)*($G$5:$G$204&lt;&gt;"")*($J$5:$J$204&lt;&gt;"")*($N$5:$N$204&lt;&gt;"キャンセル")*($G$5:$G$204&lt;$J200)*($J$5:$J$204&gt;$G200))&gt;1,"⚠重複","")))))</f>
        <v/>
      </c>
      <c r="W200" s="8">
        <f>IF(OR($B200="",$G200=""),"",IF(SUMPRODUCT(('利用者マスタ'!$A$4:$A$60=$B200)*('利用者マスタ'!$B$4:$B$60&lt;&gt;""))=0,"",IF(SUMIFS($X$5:$X$204,$B$5:$B$204,$B200,$G$5:$G$204,"&gt;="&amp;DATE(YEAR($G200),MONTH($G200),1),$G$5:$G$204,"&lt;="&amp;EOMONTH($G200,0))&gt;SUMIFS('利用者マスタ'!$B$4:$B$60,'利用者マスタ'!$A$4:$A$60,$B200),"⚠支給量超過","")))</f>
        <v/>
      </c>
      <c r="X200" s="8">
        <f>IF(OR($G200="",$J200="",$N200="キャンセル"),0,IF(IFERROR(INDEX('M_区分'!$B$4:$B$20,MATCH($C200,'M_区分'!$A$4:$A$20,0)),"○")="○",$J200-$G200+1,0))</f>
        <v/>
      </c>
      <c r="Y200" s="8">
        <f>IF($E200&lt;&gt;"",$E200,$Y199)</f>
        <v/>
      </c>
      <c r="Z200" s="8">
        <f>IF(OR($G200="",$J200=""),"",IF(AND($G200&lt;=EOMONTH('02_カレンダー'!$B$4,0),$J200&gt;='02_カレンダー'!$B$4),$G200*10000+ROW(),""))</f>
        <v/>
      </c>
      <c r="AA200" s="8">
        <f>IF($H200="","",IF(ISNUMBER($H200),TEXT($H200,"hh:mm"),$H200))</f>
        <v/>
      </c>
      <c r="AB200" s="8">
        <f>IF($K200="","",IF(ISNUMBER($K200),TEXT($K200,"hh:mm"),$K200))</f>
        <v/>
      </c>
      <c r="AC200" s="8">
        <f>IF($G200="",0,$G200)</f>
        <v/>
      </c>
      <c r="AD200" s="8">
        <f>IF($J200="",0,$J200)</f>
        <v/>
      </c>
    </row>
    <row r="201">
      <c r="A201" s="8">
        <f>IF($G201="","","SS-"&amp;TEXT(ROW()-4,"0000"))</f>
        <v/>
      </c>
      <c r="B201" s="9" t="n"/>
      <c r="C201" s="9" t="n"/>
      <c r="D201" s="9" t="n"/>
      <c r="E201" s="10" t="n"/>
      <c r="F201" s="11" t="n"/>
      <c r="G201" s="12">
        <f>IF($F201="","",IF($F201&gt;31,$F201,IF($Y201="","",DATE(YEAR($Y201),MONTH($Y201),$F201))))</f>
        <v/>
      </c>
      <c r="H201" s="13" t="n"/>
      <c r="I201" s="11" t="n"/>
      <c r="J201" s="12">
        <f>IF($I201="","",IF($I201&gt;31,$I201,IF($G201="","",IF(DATE(YEAR($G201),MONTH($G201),$I201)&gt;=$G201,DATE(YEAR($G201),MONTH($G201),$I201),DATE(YEAR($G201),MONTH($G201)+1,$I201)))))</f>
        <v/>
      </c>
      <c r="K201" s="13" t="n"/>
      <c r="L201" s="8">
        <f>IF(OR($G201="",$J201=""),"",$J201-$G201+1)</f>
        <v/>
      </c>
      <c r="M201" s="8">
        <f>IF(OR($G201="",$J201=""),"",$J201-$G201)</f>
        <v/>
      </c>
      <c r="N201" s="9" t="n"/>
      <c r="O201" s="9" t="n"/>
      <c r="P201" s="9" t="n"/>
      <c r="Q201" s="9" t="n"/>
      <c r="R201" s="9" t="n"/>
      <c r="S201" s="9" t="n"/>
      <c r="T201" s="14" t="n"/>
      <c r="U201" s="9" t="n"/>
      <c r="V201" s="8">
        <f>IF($G201="","",IF($D201="","⚠部屋が未選択",IF(COUNTIF('M_部屋'!$A$4:$A$20,$D201)=0,"⚠部屋が未登録",IF(OR($J201="",$N201="キャンセル"),"",IF(SUMPRODUCT(($D$5:$D$204=$D201)*($G$5:$G$204&lt;&gt;"")*($J$5:$J$204&lt;&gt;"")*($N$5:$N$204&lt;&gt;"キャンセル")*($G$5:$G$204&lt;$J201)*($J$5:$J$204&gt;$G201))&gt;1,"⚠重複","")))))</f>
        <v/>
      </c>
      <c r="W201" s="8">
        <f>IF(OR($B201="",$G201=""),"",IF(SUMPRODUCT(('利用者マスタ'!$A$4:$A$60=$B201)*('利用者マスタ'!$B$4:$B$60&lt;&gt;""))=0,"",IF(SUMIFS($X$5:$X$204,$B$5:$B$204,$B201,$G$5:$G$204,"&gt;="&amp;DATE(YEAR($G201),MONTH($G201),1),$G$5:$G$204,"&lt;="&amp;EOMONTH($G201,0))&gt;SUMIFS('利用者マスタ'!$B$4:$B$60,'利用者マスタ'!$A$4:$A$60,$B201),"⚠支給量超過","")))</f>
        <v/>
      </c>
      <c r="X201" s="8">
        <f>IF(OR($G201="",$J201="",$N201="キャンセル"),0,IF(IFERROR(INDEX('M_区分'!$B$4:$B$20,MATCH($C201,'M_区分'!$A$4:$A$20,0)),"○")="○",$J201-$G201+1,0))</f>
        <v/>
      </c>
      <c r="Y201" s="8">
        <f>IF($E201&lt;&gt;"",$E201,$Y200)</f>
        <v/>
      </c>
      <c r="Z201" s="8">
        <f>IF(OR($G201="",$J201=""),"",IF(AND($G201&lt;=EOMONTH('02_カレンダー'!$B$4,0),$J201&gt;='02_カレンダー'!$B$4),$G201*10000+ROW(),""))</f>
        <v/>
      </c>
      <c r="AA201" s="8">
        <f>IF($H201="","",IF(ISNUMBER($H201),TEXT($H201,"hh:mm"),$H201))</f>
        <v/>
      </c>
      <c r="AB201" s="8">
        <f>IF($K201="","",IF(ISNUMBER($K201),TEXT($K201,"hh:mm"),$K201))</f>
        <v/>
      </c>
      <c r="AC201" s="8">
        <f>IF($G201="",0,$G201)</f>
        <v/>
      </c>
      <c r="AD201" s="8">
        <f>IF($J201="",0,$J201)</f>
        <v/>
      </c>
    </row>
    <row r="202">
      <c r="A202" s="8">
        <f>IF($G202="","","SS-"&amp;TEXT(ROW()-4,"0000"))</f>
        <v/>
      </c>
      <c r="B202" s="9" t="n"/>
      <c r="C202" s="9" t="n"/>
      <c r="D202" s="9" t="n"/>
      <c r="E202" s="10" t="n"/>
      <c r="F202" s="11" t="n"/>
      <c r="G202" s="12">
        <f>IF($F202="","",IF($F202&gt;31,$F202,IF($Y202="","",DATE(YEAR($Y202),MONTH($Y202),$F202))))</f>
        <v/>
      </c>
      <c r="H202" s="13" t="n"/>
      <c r="I202" s="11" t="n"/>
      <c r="J202" s="12">
        <f>IF($I202="","",IF($I202&gt;31,$I202,IF($G202="","",IF(DATE(YEAR($G202),MONTH($G202),$I202)&gt;=$G202,DATE(YEAR($G202),MONTH($G202),$I202),DATE(YEAR($G202),MONTH($G202)+1,$I202)))))</f>
        <v/>
      </c>
      <c r="K202" s="13" t="n"/>
      <c r="L202" s="8">
        <f>IF(OR($G202="",$J202=""),"",$J202-$G202+1)</f>
        <v/>
      </c>
      <c r="M202" s="8">
        <f>IF(OR($G202="",$J202=""),"",$J202-$G202)</f>
        <v/>
      </c>
      <c r="N202" s="9" t="n"/>
      <c r="O202" s="9" t="n"/>
      <c r="P202" s="9" t="n"/>
      <c r="Q202" s="9" t="n"/>
      <c r="R202" s="9" t="n"/>
      <c r="S202" s="9" t="n"/>
      <c r="T202" s="14" t="n"/>
      <c r="U202" s="9" t="n"/>
      <c r="V202" s="8">
        <f>IF($G202="","",IF($D202="","⚠部屋が未選択",IF(COUNTIF('M_部屋'!$A$4:$A$20,$D202)=0,"⚠部屋が未登録",IF(OR($J202="",$N202="キャンセル"),"",IF(SUMPRODUCT(($D$5:$D$204=$D202)*($G$5:$G$204&lt;&gt;"")*($J$5:$J$204&lt;&gt;"")*($N$5:$N$204&lt;&gt;"キャンセル")*($G$5:$G$204&lt;$J202)*($J$5:$J$204&gt;$G202))&gt;1,"⚠重複","")))))</f>
        <v/>
      </c>
      <c r="W202" s="8">
        <f>IF(OR($B202="",$G202=""),"",IF(SUMPRODUCT(('利用者マスタ'!$A$4:$A$60=$B202)*('利用者マスタ'!$B$4:$B$60&lt;&gt;""))=0,"",IF(SUMIFS($X$5:$X$204,$B$5:$B$204,$B202,$G$5:$G$204,"&gt;="&amp;DATE(YEAR($G202),MONTH($G202),1),$G$5:$G$204,"&lt;="&amp;EOMONTH($G202,0))&gt;SUMIFS('利用者マスタ'!$B$4:$B$60,'利用者マスタ'!$A$4:$A$60,$B202),"⚠支給量超過","")))</f>
        <v/>
      </c>
      <c r="X202" s="8">
        <f>IF(OR($G202="",$J202="",$N202="キャンセル"),0,IF(IFERROR(INDEX('M_区分'!$B$4:$B$20,MATCH($C202,'M_区分'!$A$4:$A$20,0)),"○")="○",$J202-$G202+1,0))</f>
        <v/>
      </c>
      <c r="Y202" s="8">
        <f>IF($E202&lt;&gt;"",$E202,$Y201)</f>
        <v/>
      </c>
      <c r="Z202" s="8">
        <f>IF(OR($G202="",$J202=""),"",IF(AND($G202&lt;=EOMONTH('02_カレンダー'!$B$4,0),$J202&gt;='02_カレンダー'!$B$4),$G202*10000+ROW(),""))</f>
        <v/>
      </c>
      <c r="AA202" s="8">
        <f>IF($H202="","",IF(ISNUMBER($H202),TEXT($H202,"hh:mm"),$H202))</f>
        <v/>
      </c>
      <c r="AB202" s="8">
        <f>IF($K202="","",IF(ISNUMBER($K202),TEXT($K202,"hh:mm"),$K202))</f>
        <v/>
      </c>
      <c r="AC202" s="8">
        <f>IF($G202="",0,$G202)</f>
        <v/>
      </c>
      <c r="AD202" s="8">
        <f>IF($J202="",0,$J202)</f>
        <v/>
      </c>
    </row>
    <row r="203">
      <c r="A203" s="8">
        <f>IF($G203="","","SS-"&amp;TEXT(ROW()-4,"0000"))</f>
        <v/>
      </c>
      <c r="B203" s="9" t="n"/>
      <c r="C203" s="9" t="n"/>
      <c r="D203" s="9" t="n"/>
      <c r="E203" s="10" t="n"/>
      <c r="F203" s="11" t="n"/>
      <c r="G203" s="12">
        <f>IF($F203="","",IF($F203&gt;31,$F203,IF($Y203="","",DATE(YEAR($Y203),MONTH($Y203),$F203))))</f>
        <v/>
      </c>
      <c r="H203" s="13" t="n"/>
      <c r="I203" s="11" t="n"/>
      <c r="J203" s="12">
        <f>IF($I203="","",IF($I203&gt;31,$I203,IF($G203="","",IF(DATE(YEAR($G203),MONTH($G203),$I203)&gt;=$G203,DATE(YEAR($G203),MONTH($G203),$I203),DATE(YEAR($G203),MONTH($G203)+1,$I203)))))</f>
        <v/>
      </c>
      <c r="K203" s="13" t="n"/>
      <c r="L203" s="8">
        <f>IF(OR($G203="",$J203=""),"",$J203-$G203+1)</f>
        <v/>
      </c>
      <c r="M203" s="8">
        <f>IF(OR($G203="",$J203=""),"",$J203-$G203)</f>
        <v/>
      </c>
      <c r="N203" s="9" t="n"/>
      <c r="O203" s="9" t="n"/>
      <c r="P203" s="9" t="n"/>
      <c r="Q203" s="9" t="n"/>
      <c r="R203" s="9" t="n"/>
      <c r="S203" s="9" t="n"/>
      <c r="T203" s="14" t="n"/>
      <c r="U203" s="9" t="n"/>
      <c r="V203" s="8">
        <f>IF($G203="","",IF($D203="","⚠部屋が未選択",IF(COUNTIF('M_部屋'!$A$4:$A$20,$D203)=0,"⚠部屋が未登録",IF(OR($J203="",$N203="キャンセル"),"",IF(SUMPRODUCT(($D$5:$D$204=$D203)*($G$5:$G$204&lt;&gt;"")*($J$5:$J$204&lt;&gt;"")*($N$5:$N$204&lt;&gt;"キャンセル")*($G$5:$G$204&lt;$J203)*($J$5:$J$204&gt;$G203))&gt;1,"⚠重複","")))))</f>
        <v/>
      </c>
      <c r="W203" s="8">
        <f>IF(OR($B203="",$G203=""),"",IF(SUMPRODUCT(('利用者マスタ'!$A$4:$A$60=$B203)*('利用者マスタ'!$B$4:$B$60&lt;&gt;""))=0,"",IF(SUMIFS($X$5:$X$204,$B$5:$B$204,$B203,$G$5:$G$204,"&gt;="&amp;DATE(YEAR($G203),MONTH($G203),1),$G$5:$G$204,"&lt;="&amp;EOMONTH($G203,0))&gt;SUMIFS('利用者マスタ'!$B$4:$B$60,'利用者マスタ'!$A$4:$A$60,$B203),"⚠支給量超過","")))</f>
        <v/>
      </c>
      <c r="X203" s="8">
        <f>IF(OR($G203="",$J203="",$N203="キャンセル"),0,IF(IFERROR(INDEX('M_区分'!$B$4:$B$20,MATCH($C203,'M_区分'!$A$4:$A$20,0)),"○")="○",$J203-$G203+1,0))</f>
        <v/>
      </c>
      <c r="Y203" s="8">
        <f>IF($E203&lt;&gt;"",$E203,$Y202)</f>
        <v/>
      </c>
      <c r="Z203" s="8">
        <f>IF(OR($G203="",$J203=""),"",IF(AND($G203&lt;=EOMONTH('02_カレンダー'!$B$4,0),$J203&gt;='02_カレンダー'!$B$4),$G203*10000+ROW(),""))</f>
        <v/>
      </c>
      <c r="AA203" s="8">
        <f>IF($H203="","",IF(ISNUMBER($H203),TEXT($H203,"hh:mm"),$H203))</f>
        <v/>
      </c>
      <c r="AB203" s="8">
        <f>IF($K203="","",IF(ISNUMBER($K203),TEXT($K203,"hh:mm"),$K203))</f>
        <v/>
      </c>
      <c r="AC203" s="8">
        <f>IF($G203="",0,$G203)</f>
        <v/>
      </c>
      <c r="AD203" s="8">
        <f>IF($J203="",0,$J203)</f>
        <v/>
      </c>
    </row>
    <row r="204">
      <c r="A204" s="8">
        <f>IF($G204="","","SS-"&amp;TEXT(ROW()-4,"0000"))</f>
        <v/>
      </c>
      <c r="B204" s="9" t="n"/>
      <c r="C204" s="9" t="n"/>
      <c r="D204" s="9" t="n"/>
      <c r="E204" s="10" t="n"/>
      <c r="F204" s="11" t="n"/>
      <c r="G204" s="12">
        <f>IF($F204="","",IF($F204&gt;31,$F204,IF($Y204="","",DATE(YEAR($Y204),MONTH($Y204),$F204))))</f>
        <v/>
      </c>
      <c r="H204" s="13" t="n"/>
      <c r="I204" s="11" t="n"/>
      <c r="J204" s="12">
        <f>IF($I204="","",IF($I204&gt;31,$I204,IF($G204="","",IF(DATE(YEAR($G204),MONTH($G204),$I204)&gt;=$G204,DATE(YEAR($G204),MONTH($G204),$I204),DATE(YEAR($G204),MONTH($G204)+1,$I204)))))</f>
        <v/>
      </c>
      <c r="K204" s="13" t="n"/>
      <c r="L204" s="8">
        <f>IF(OR($G204="",$J204=""),"",$J204-$G204+1)</f>
        <v/>
      </c>
      <c r="M204" s="8">
        <f>IF(OR($G204="",$J204=""),"",$J204-$G204)</f>
        <v/>
      </c>
      <c r="N204" s="9" t="n"/>
      <c r="O204" s="9" t="n"/>
      <c r="P204" s="9" t="n"/>
      <c r="Q204" s="9" t="n"/>
      <c r="R204" s="9" t="n"/>
      <c r="S204" s="9" t="n"/>
      <c r="T204" s="14" t="n"/>
      <c r="U204" s="9" t="n"/>
      <c r="V204" s="8">
        <f>IF($G204="","",IF($D204="","⚠部屋が未選択",IF(COUNTIF('M_部屋'!$A$4:$A$20,$D204)=0,"⚠部屋が未登録",IF(OR($J204="",$N204="キャンセル"),"",IF(SUMPRODUCT(($D$5:$D$204=$D204)*($G$5:$G$204&lt;&gt;"")*($J$5:$J$204&lt;&gt;"")*($N$5:$N$204&lt;&gt;"キャンセル")*($G$5:$G$204&lt;$J204)*($J$5:$J$204&gt;$G204))&gt;1,"⚠重複","")))))</f>
        <v/>
      </c>
      <c r="W204" s="8">
        <f>IF(OR($B204="",$G204=""),"",IF(SUMPRODUCT(('利用者マスタ'!$A$4:$A$60=$B204)*('利用者マスタ'!$B$4:$B$60&lt;&gt;""))=0,"",IF(SUMIFS($X$5:$X$204,$B$5:$B$204,$B204,$G$5:$G$204,"&gt;="&amp;DATE(YEAR($G204),MONTH($G204),1),$G$5:$G$204,"&lt;="&amp;EOMONTH($G204,0))&gt;SUMIFS('利用者マスタ'!$B$4:$B$60,'利用者マスタ'!$A$4:$A$60,$B204),"⚠支給量超過","")))</f>
        <v/>
      </c>
      <c r="X204" s="8">
        <f>IF(OR($G204="",$J204="",$N204="キャンセル"),0,IF(IFERROR(INDEX('M_区分'!$B$4:$B$20,MATCH($C204,'M_区分'!$A$4:$A$20,0)),"○")="○",$J204-$G204+1,0))</f>
        <v/>
      </c>
      <c r="Y204" s="8">
        <f>IF($E204&lt;&gt;"",$E204,$Y203)</f>
        <v/>
      </c>
      <c r="Z204" s="8">
        <f>IF(OR($G204="",$J204=""),"",IF(AND($G204&lt;=EOMONTH('02_カレンダー'!$B$4,0),$J204&gt;='02_カレンダー'!$B$4),$G204*10000+ROW(),""))</f>
        <v/>
      </c>
      <c r="AA204" s="8">
        <f>IF($H204="","",IF(ISNUMBER($H204),TEXT($H204,"hh:mm"),$H204))</f>
        <v/>
      </c>
      <c r="AB204" s="8">
        <f>IF($K204="","",IF(ISNUMBER($K204),TEXT($K204,"hh:mm"),$K204))</f>
        <v/>
      </c>
      <c r="AC204" s="8">
        <f>IF($G204="",0,$G204)</f>
        <v/>
      </c>
      <c r="AD204" s="8">
        <f>IF($J204="",0,$J204)</f>
        <v/>
      </c>
    </row>
  </sheetData>
  <autoFilter ref="A4:X204"/>
  <conditionalFormatting sqref="A5:X204">
    <cfRule type="expression" priority="1" dxfId="0" stopIfTrue="1">
      <formula>$N5="キャンセル"</formula>
    </cfRule>
    <cfRule type="expression" priority="2" dxfId="1" stopIfTrue="1">
      <formula>$V5&lt;&gt;""</formula>
    </cfRule>
    <cfRule type="expression" priority="3" dxfId="2" stopIfTrue="1">
      <formula>$W5&lt;&gt;""</formula>
    </cfRule>
    <cfRule type="expression" priority="4" dxfId="3">
      <formula>OR($N5="仮予約",$N5="調整中")</formula>
    </cfRule>
  </conditionalFormatting>
  <dataValidations count="5">
    <dataValidation sqref="B5:B204" showDropDown="0" showInputMessage="0" showErrorMessage="0" allowBlank="1" errorTitle="入力できません" error="一覧にない値です。マスタに登録してから選んでください。" type="list">
      <formula1>=氏名一覧</formula1>
    </dataValidation>
    <dataValidation sqref="C5:C204" showDropDown="0" showInputMessage="0" showErrorMessage="0" allowBlank="1" errorTitle="入力できません" error="一覧にない値です。マスタに登録してから選んでください。" type="list">
      <formula1>=区分一覧</formula1>
    </dataValidation>
    <dataValidation sqref="D5:D204" showDropDown="0" showInputMessage="0" showErrorMessage="0" allowBlank="1" errorTitle="入力できません" error="一覧にない値です。マスタに登録してから選んでください。" type="list">
      <formula1>=部屋一覧</formula1>
    </dataValidation>
    <dataValidation sqref="N5:N204" showDropDown="0" showInputMessage="0" showErrorMessage="0" allowBlank="1" errorTitle="入力できません" error="一覧にない値です。マスタに登録してから選んでください。" type="list">
      <formula1>=状態一覧</formula1>
    </dataValidation>
    <dataValidation sqref="O5:O204" showDropDown="0" showInputMessage="0" showErrorMessage="0" allowBlank="1" errorTitle="入力できません" error="一覧にない値です。マスタに登録してから選んでください。" type="list">
      <formula1>=送迎一覧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53"/>
  <sheetViews>
    <sheetView showGridLines="0" workbookViewId="0">
      <pane xSplit="1" ySplit="8" topLeftCell="B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</cols>
  <sheetData>
    <row r="1">
      <c r="A1" s="1" t="inlineStr">
        <is>
          <t>カレンダー</t>
        </is>
      </c>
    </row>
    <row r="2">
      <c r="A2" s="2" t="inlineStr">
        <is>
          <t>★対象月を変えると、03_帯表・04_月間表・06_食数表・09_FAX空き表 も同じ月になります。</t>
        </is>
      </c>
    </row>
    <row r="3">
      <c r="A3" s="15" t="inlineStr">
        <is>
          <t>対象月</t>
        </is>
      </c>
      <c r="B3" s="16" t="n">
        <v>46235</v>
      </c>
      <c r="C3" s="2" t="inlineStr">
        <is>
          <t>その月の日付ならどれでも可（1日でなくてもかまいません）</t>
        </is>
      </c>
    </row>
    <row r="4">
      <c r="A4" s="15" t="inlineStr">
        <is>
          <t>月初</t>
        </is>
      </c>
      <c r="B4" s="17">
        <f>DATE(YEAR($B$3),MONTH($B$3),1)</f>
        <v/>
      </c>
      <c r="C4" s="2" t="inlineStr">
        <is>
          <t>自動</t>
        </is>
      </c>
    </row>
    <row r="5">
      <c r="A5" s="15" t="inlineStr">
        <is>
          <t>時刻を表示</t>
        </is>
      </c>
      <c r="B5" s="18" t="inlineStr">
        <is>
          <t>○</t>
        </is>
      </c>
      <c r="C5" s="2" t="inlineStr">
        <is>
          <t>○で入室・退室時刻を表示。狭く感じるときは空欄にしてください</t>
        </is>
      </c>
    </row>
    <row r="6">
      <c r="A6" s="15" t="inlineStr">
        <is>
          <t>確認</t>
        </is>
      </c>
      <c r="B6" s="19">
        <f>IF(SUMPRODUCT(('01_予約入力'!$D$5:$D$204="")*('01_予約入力'!$G$5:$G$204&lt;&gt;""))=0,"","⚠ 部屋が未選択の予約が "&amp;SUMPRODUCT(('01_予約入力'!$D$5:$D$204="")*('01_予約入力'!$G$5:$G$204&lt;&gt;""))&amp;" 件あります。部屋の行には出ませんが「空き」の判定には数えています。01_予約入力 のV列（赤）をご確認ください。")</f>
        <v/>
      </c>
    </row>
    <row r="7">
      <c r="A7" s="20" t="inlineStr">
        <is>
          <t>記号の読み方</t>
        </is>
      </c>
      <c r="B7" s="21" t="inlineStr">
        <is>
          <t>▶ 入所日（時刻つき）　／　記号なし 連泊の中日　／　◀ 退所日（朝に退所。その夜は空きます）　／　◆ 日帰り（体験利用）</t>
        </is>
      </c>
    </row>
    <row r="8" ht="22" customHeight="1">
      <c r="B8" s="22" t="inlineStr">
        <is>
          <t>日</t>
        </is>
      </c>
      <c r="C8" s="23" t="inlineStr">
        <is>
          <t>月</t>
        </is>
      </c>
      <c r="D8" s="23" t="inlineStr">
        <is>
          <t>火</t>
        </is>
      </c>
      <c r="E8" s="23" t="inlineStr">
        <is>
          <t>水</t>
        </is>
      </c>
      <c r="F8" s="23" t="inlineStr">
        <is>
          <t>木</t>
        </is>
      </c>
      <c r="G8" s="23" t="inlineStr">
        <is>
          <t>金</t>
        </is>
      </c>
      <c r="H8" s="24" t="inlineStr">
        <is>
          <t>土</t>
        </is>
      </c>
    </row>
    <row r="9" ht="20" customHeight="1">
      <c r="A9" s="25" t="inlineStr">
        <is>
          <t>第1週</t>
        </is>
      </c>
      <c r="B9" s="57">
        <f>IF(MONTH($B$4-WEEKDAY($B$4)+1+0)&lt;&gt;MONTH($B$4),"",$B$4-WEEKDAY($B$4)+1+0)</f>
        <v/>
      </c>
      <c r="C9" s="58">
        <f>IF(MONTH($B$4-WEEKDAY($B$4)+1+1)&lt;&gt;MONTH($B$4),"",$B$4-WEEKDAY($B$4)+1+1)</f>
        <v/>
      </c>
      <c r="D9" s="58">
        <f>IF(MONTH($B$4-WEEKDAY($B$4)+1+2)&lt;&gt;MONTH($B$4),"",$B$4-WEEKDAY($B$4)+1+2)</f>
        <v/>
      </c>
      <c r="E9" s="58">
        <f>IF(MONTH($B$4-WEEKDAY($B$4)+1+3)&lt;&gt;MONTH($B$4),"",$B$4-WEEKDAY($B$4)+1+3)</f>
        <v/>
      </c>
      <c r="F9" s="58">
        <f>IF(MONTH($B$4-WEEKDAY($B$4)+1+4)&lt;&gt;MONTH($B$4),"",$B$4-WEEKDAY($B$4)+1+4)</f>
        <v/>
      </c>
      <c r="G9" s="58">
        <f>IF(MONTH($B$4-WEEKDAY($B$4)+1+5)&lt;&gt;MONTH($B$4),"",$B$4-WEEKDAY($B$4)+1+5)</f>
        <v/>
      </c>
      <c r="H9" s="59">
        <f>IF(MONTH($B$4-WEEKDAY($B$4)+1+6)&lt;&gt;MONTH($B$4),"",$B$4-WEEKDAY($B$4)+1+6)</f>
        <v/>
      </c>
    </row>
    <row r="10" ht="17" customHeight="1">
      <c r="A10" s="29">
        <f>IF(COUNTA('M_部屋'!$A$4:$A$20)&gt;=1,INDEX('M_部屋'!$A$4:$A$20,1),"")</f>
        <v/>
      </c>
      <c r="B10" s="30">
        <f>IF(B9="","",IFERROR(INDEX('04_月間表'!C$7:C$37,MATCH(B9,'04_月間表'!$A$7:$A$37,0)),""))</f>
        <v/>
      </c>
      <c r="C10" s="30">
        <f>IF(C9="","",IFERROR(INDEX('04_月間表'!C$7:C$37,MATCH(C9,'04_月間表'!$A$7:$A$37,0)),""))</f>
        <v/>
      </c>
      <c r="D10" s="30">
        <f>IF(D9="","",IFERROR(INDEX('04_月間表'!C$7:C$37,MATCH(D9,'04_月間表'!$A$7:$A$37,0)),""))</f>
        <v/>
      </c>
      <c r="E10" s="30">
        <f>IF(E9="","",IFERROR(INDEX('04_月間表'!C$7:C$37,MATCH(E9,'04_月間表'!$A$7:$A$37,0)),""))</f>
        <v/>
      </c>
      <c r="F10" s="30">
        <f>IF(F9="","",IFERROR(INDEX('04_月間表'!C$7:C$37,MATCH(F9,'04_月間表'!$A$7:$A$37,0)),""))</f>
        <v/>
      </c>
      <c r="G10" s="30">
        <f>IF(G9="","",IFERROR(INDEX('04_月間表'!C$7:C$37,MATCH(G9,'04_月間表'!$A$7:$A$37,0)),""))</f>
        <v/>
      </c>
      <c r="H10" s="30">
        <f>IF(H9="","",IFERROR(INDEX('04_月間表'!C$7:C$37,MATCH(H9,'04_月間表'!$A$7:$A$37,0)),""))</f>
        <v/>
      </c>
      <c r="J10">
        <f>IF(B9="","",IFERROR(INDEX('04_月間表'!X$7:X$37,MATCH(B9,'04_月間表'!$A$7:$A$37,0)),""))</f>
        <v/>
      </c>
      <c r="K10">
        <f>IF(C9="","",IFERROR(INDEX('04_月間表'!X$7:X$37,MATCH(C9,'04_月間表'!$A$7:$A$37,0)),""))</f>
        <v/>
      </c>
      <c r="L10">
        <f>IF(D9="","",IFERROR(INDEX('04_月間表'!X$7:X$37,MATCH(D9,'04_月間表'!$A$7:$A$37,0)),""))</f>
        <v/>
      </c>
      <c r="M10">
        <f>IF(E9="","",IFERROR(INDEX('04_月間表'!X$7:X$37,MATCH(E9,'04_月間表'!$A$7:$A$37,0)),""))</f>
        <v/>
      </c>
      <c r="N10">
        <f>IF(F9="","",IFERROR(INDEX('04_月間表'!X$7:X$37,MATCH(F9,'04_月間表'!$A$7:$A$37,0)),""))</f>
        <v/>
      </c>
      <c r="O10">
        <f>IF(G9="","",IFERROR(INDEX('04_月間表'!X$7:X$37,MATCH(G9,'04_月間表'!$A$7:$A$37,0)),""))</f>
        <v/>
      </c>
      <c r="P10">
        <f>IF(H9="","",IFERROR(INDEX('04_月間表'!X$7:X$37,MATCH(H9,'04_月間表'!$A$7:$A$37,0)),""))</f>
        <v/>
      </c>
    </row>
    <row r="11" ht="17" customHeight="1">
      <c r="A11" s="29">
        <f>IF(COUNTA('M_部屋'!$A$4:$A$20)&gt;=2,INDEX('M_部屋'!$A$4:$A$20,2),"")</f>
        <v/>
      </c>
      <c r="B11" s="30">
        <f>IF(B9="","",IFERROR(INDEX('04_月間表'!D$7:D$37,MATCH(B9,'04_月間表'!$A$7:$A$37,0)),""))</f>
        <v/>
      </c>
      <c r="C11" s="30">
        <f>IF(C9="","",IFERROR(INDEX('04_月間表'!D$7:D$37,MATCH(C9,'04_月間表'!$A$7:$A$37,0)),""))</f>
        <v/>
      </c>
      <c r="D11" s="30">
        <f>IF(D9="","",IFERROR(INDEX('04_月間表'!D$7:D$37,MATCH(D9,'04_月間表'!$A$7:$A$37,0)),""))</f>
        <v/>
      </c>
      <c r="E11" s="30">
        <f>IF(E9="","",IFERROR(INDEX('04_月間表'!D$7:D$37,MATCH(E9,'04_月間表'!$A$7:$A$37,0)),""))</f>
        <v/>
      </c>
      <c r="F11" s="30">
        <f>IF(F9="","",IFERROR(INDEX('04_月間表'!D$7:D$37,MATCH(F9,'04_月間表'!$A$7:$A$37,0)),""))</f>
        <v/>
      </c>
      <c r="G11" s="30">
        <f>IF(G9="","",IFERROR(INDEX('04_月間表'!D$7:D$37,MATCH(G9,'04_月間表'!$A$7:$A$37,0)),""))</f>
        <v/>
      </c>
      <c r="H11" s="30">
        <f>IF(H9="","",IFERROR(INDEX('04_月間表'!D$7:D$37,MATCH(H9,'04_月間表'!$A$7:$A$37,0)),""))</f>
        <v/>
      </c>
      <c r="J11">
        <f>IF(B9="","",IFERROR(INDEX('04_月間表'!Y$7:Y$37,MATCH(B9,'04_月間表'!$A$7:$A$37,0)),""))</f>
        <v/>
      </c>
      <c r="K11">
        <f>IF(C9="","",IFERROR(INDEX('04_月間表'!Y$7:Y$37,MATCH(C9,'04_月間表'!$A$7:$A$37,0)),""))</f>
        <v/>
      </c>
      <c r="L11">
        <f>IF(D9="","",IFERROR(INDEX('04_月間表'!Y$7:Y$37,MATCH(D9,'04_月間表'!$A$7:$A$37,0)),""))</f>
        <v/>
      </c>
      <c r="M11">
        <f>IF(E9="","",IFERROR(INDEX('04_月間表'!Y$7:Y$37,MATCH(E9,'04_月間表'!$A$7:$A$37,0)),""))</f>
        <v/>
      </c>
      <c r="N11">
        <f>IF(F9="","",IFERROR(INDEX('04_月間表'!Y$7:Y$37,MATCH(F9,'04_月間表'!$A$7:$A$37,0)),""))</f>
        <v/>
      </c>
      <c r="O11">
        <f>IF(G9="","",IFERROR(INDEX('04_月間表'!Y$7:Y$37,MATCH(G9,'04_月間表'!$A$7:$A$37,0)),""))</f>
        <v/>
      </c>
      <c r="P11">
        <f>IF(H9="","",IFERROR(INDEX('04_月間表'!Y$7:Y$37,MATCH(H9,'04_月間表'!$A$7:$A$37,0)),""))</f>
        <v/>
      </c>
    </row>
    <row r="12" ht="17" customHeight="1">
      <c r="A12" s="29">
        <f>IF(COUNTA('M_部屋'!$A$4:$A$20)&gt;=3,INDEX('M_部屋'!$A$4:$A$20,3),"")</f>
        <v/>
      </c>
      <c r="B12" s="30">
        <f>IF(B9="","",IFERROR(INDEX('04_月間表'!E$7:E$37,MATCH(B9,'04_月間表'!$A$7:$A$37,0)),""))</f>
        <v/>
      </c>
      <c r="C12" s="30">
        <f>IF(C9="","",IFERROR(INDEX('04_月間表'!E$7:E$37,MATCH(C9,'04_月間表'!$A$7:$A$37,0)),""))</f>
        <v/>
      </c>
      <c r="D12" s="30">
        <f>IF(D9="","",IFERROR(INDEX('04_月間表'!E$7:E$37,MATCH(D9,'04_月間表'!$A$7:$A$37,0)),""))</f>
        <v/>
      </c>
      <c r="E12" s="30">
        <f>IF(E9="","",IFERROR(INDEX('04_月間表'!E$7:E$37,MATCH(E9,'04_月間表'!$A$7:$A$37,0)),""))</f>
        <v/>
      </c>
      <c r="F12" s="30">
        <f>IF(F9="","",IFERROR(INDEX('04_月間表'!E$7:E$37,MATCH(F9,'04_月間表'!$A$7:$A$37,0)),""))</f>
        <v/>
      </c>
      <c r="G12" s="30">
        <f>IF(G9="","",IFERROR(INDEX('04_月間表'!E$7:E$37,MATCH(G9,'04_月間表'!$A$7:$A$37,0)),""))</f>
        <v/>
      </c>
      <c r="H12" s="30">
        <f>IF(H9="","",IFERROR(INDEX('04_月間表'!E$7:E$37,MATCH(H9,'04_月間表'!$A$7:$A$37,0)),""))</f>
        <v/>
      </c>
      <c r="J12">
        <f>IF(B9="","",IFERROR(INDEX('04_月間表'!Z$7:Z$37,MATCH(B9,'04_月間表'!$A$7:$A$37,0)),""))</f>
        <v/>
      </c>
      <c r="K12">
        <f>IF(C9="","",IFERROR(INDEX('04_月間表'!Z$7:Z$37,MATCH(C9,'04_月間表'!$A$7:$A$37,0)),""))</f>
        <v/>
      </c>
      <c r="L12">
        <f>IF(D9="","",IFERROR(INDEX('04_月間表'!Z$7:Z$37,MATCH(D9,'04_月間表'!$A$7:$A$37,0)),""))</f>
        <v/>
      </c>
      <c r="M12">
        <f>IF(E9="","",IFERROR(INDEX('04_月間表'!Z$7:Z$37,MATCH(E9,'04_月間表'!$A$7:$A$37,0)),""))</f>
        <v/>
      </c>
      <c r="N12">
        <f>IF(F9="","",IFERROR(INDEX('04_月間表'!Z$7:Z$37,MATCH(F9,'04_月間表'!$A$7:$A$37,0)),""))</f>
        <v/>
      </c>
      <c r="O12">
        <f>IF(G9="","",IFERROR(INDEX('04_月間表'!Z$7:Z$37,MATCH(G9,'04_月間表'!$A$7:$A$37,0)),""))</f>
        <v/>
      </c>
      <c r="P12">
        <f>IF(H9="","",IFERROR(INDEX('04_月間表'!Z$7:Z$37,MATCH(H9,'04_月間表'!$A$7:$A$37,0)),""))</f>
        <v/>
      </c>
    </row>
    <row r="13" ht="17" customHeight="1">
      <c r="A13" s="29">
        <f>IF(COUNTA('M_部屋'!$A$4:$A$20)&gt;=4,INDEX('M_部屋'!$A$4:$A$20,4),"")</f>
        <v/>
      </c>
      <c r="B13" s="30">
        <f>IF(B9="","",IFERROR(INDEX('04_月間表'!F$7:F$37,MATCH(B9,'04_月間表'!$A$7:$A$37,0)),""))</f>
        <v/>
      </c>
      <c r="C13" s="30">
        <f>IF(C9="","",IFERROR(INDEX('04_月間表'!F$7:F$37,MATCH(C9,'04_月間表'!$A$7:$A$37,0)),""))</f>
        <v/>
      </c>
      <c r="D13" s="30">
        <f>IF(D9="","",IFERROR(INDEX('04_月間表'!F$7:F$37,MATCH(D9,'04_月間表'!$A$7:$A$37,0)),""))</f>
        <v/>
      </c>
      <c r="E13" s="30">
        <f>IF(E9="","",IFERROR(INDEX('04_月間表'!F$7:F$37,MATCH(E9,'04_月間表'!$A$7:$A$37,0)),""))</f>
        <v/>
      </c>
      <c r="F13" s="30">
        <f>IF(F9="","",IFERROR(INDEX('04_月間表'!F$7:F$37,MATCH(F9,'04_月間表'!$A$7:$A$37,0)),""))</f>
        <v/>
      </c>
      <c r="G13" s="30">
        <f>IF(G9="","",IFERROR(INDEX('04_月間表'!F$7:F$37,MATCH(G9,'04_月間表'!$A$7:$A$37,0)),""))</f>
        <v/>
      </c>
      <c r="H13" s="30">
        <f>IF(H9="","",IFERROR(INDEX('04_月間表'!F$7:F$37,MATCH(H9,'04_月間表'!$A$7:$A$37,0)),""))</f>
        <v/>
      </c>
      <c r="J13">
        <f>IF(B9="","",IFERROR(INDEX('04_月間表'!AA$7:AA$37,MATCH(B9,'04_月間表'!$A$7:$A$37,0)),""))</f>
        <v/>
      </c>
      <c r="K13">
        <f>IF(C9="","",IFERROR(INDEX('04_月間表'!AA$7:AA$37,MATCH(C9,'04_月間表'!$A$7:$A$37,0)),""))</f>
        <v/>
      </c>
      <c r="L13">
        <f>IF(D9="","",IFERROR(INDEX('04_月間表'!AA$7:AA$37,MATCH(D9,'04_月間表'!$A$7:$A$37,0)),""))</f>
        <v/>
      </c>
      <c r="M13">
        <f>IF(E9="","",IFERROR(INDEX('04_月間表'!AA$7:AA$37,MATCH(E9,'04_月間表'!$A$7:$A$37,0)),""))</f>
        <v/>
      </c>
      <c r="N13">
        <f>IF(F9="","",IFERROR(INDEX('04_月間表'!AA$7:AA$37,MATCH(F9,'04_月間表'!$A$7:$A$37,0)),""))</f>
        <v/>
      </c>
      <c r="O13">
        <f>IF(G9="","",IFERROR(INDEX('04_月間表'!AA$7:AA$37,MATCH(G9,'04_月間表'!$A$7:$A$37,0)),""))</f>
        <v/>
      </c>
      <c r="P13">
        <f>IF(H9="","",IFERROR(INDEX('04_月間表'!AA$7:AA$37,MATCH(H9,'04_月間表'!$A$7:$A$37,0)),""))</f>
        <v/>
      </c>
    </row>
    <row r="14" ht="19" customHeight="1">
      <c r="A14" s="29" t="inlineStr">
        <is>
          <t>空き</t>
        </is>
      </c>
      <c r="B14" s="31">
        <f>IF(B9="","",IFERROR(INDEX('04_月間表'!$J$7:$J$37,MATCH(B9,'04_月間表'!$A$7:$A$37,0)),""))</f>
        <v/>
      </c>
      <c r="C14" s="31">
        <f>IF(C9="","",IFERROR(INDEX('04_月間表'!$J$7:$J$37,MATCH(C9,'04_月間表'!$A$7:$A$37,0)),""))</f>
        <v/>
      </c>
      <c r="D14" s="31">
        <f>IF(D9="","",IFERROR(INDEX('04_月間表'!$J$7:$J$37,MATCH(D9,'04_月間表'!$A$7:$A$37,0)),""))</f>
        <v/>
      </c>
      <c r="E14" s="31">
        <f>IF(E9="","",IFERROR(INDEX('04_月間表'!$J$7:$J$37,MATCH(E9,'04_月間表'!$A$7:$A$37,0)),""))</f>
        <v/>
      </c>
      <c r="F14" s="31">
        <f>IF(F9="","",IFERROR(INDEX('04_月間表'!$J$7:$J$37,MATCH(F9,'04_月間表'!$A$7:$A$37,0)),""))</f>
        <v/>
      </c>
      <c r="G14" s="31">
        <f>IF(G9="","",IFERROR(INDEX('04_月間表'!$J$7:$J$37,MATCH(G9,'04_月間表'!$A$7:$A$37,0)),""))</f>
        <v/>
      </c>
      <c r="H14" s="31">
        <f>IF(H9="","",IFERROR(INDEX('04_月間表'!$J$7:$J$37,MATCH(H9,'04_月間表'!$A$7:$A$37,0)),""))</f>
        <v/>
      </c>
    </row>
    <row r="16" ht="20" customHeight="1">
      <c r="A16" s="25" t="inlineStr">
        <is>
          <t>第2週</t>
        </is>
      </c>
      <c r="B16" s="57">
        <f>IF(MONTH($B$4-WEEKDAY($B$4)+1+7)&lt;&gt;MONTH($B$4),"",$B$4-WEEKDAY($B$4)+1+7)</f>
        <v/>
      </c>
      <c r="C16" s="58">
        <f>IF(MONTH($B$4-WEEKDAY($B$4)+1+8)&lt;&gt;MONTH($B$4),"",$B$4-WEEKDAY($B$4)+1+8)</f>
        <v/>
      </c>
      <c r="D16" s="58">
        <f>IF(MONTH($B$4-WEEKDAY($B$4)+1+9)&lt;&gt;MONTH($B$4),"",$B$4-WEEKDAY($B$4)+1+9)</f>
        <v/>
      </c>
      <c r="E16" s="58">
        <f>IF(MONTH($B$4-WEEKDAY($B$4)+1+10)&lt;&gt;MONTH($B$4),"",$B$4-WEEKDAY($B$4)+1+10)</f>
        <v/>
      </c>
      <c r="F16" s="58">
        <f>IF(MONTH($B$4-WEEKDAY($B$4)+1+11)&lt;&gt;MONTH($B$4),"",$B$4-WEEKDAY($B$4)+1+11)</f>
        <v/>
      </c>
      <c r="G16" s="58">
        <f>IF(MONTH($B$4-WEEKDAY($B$4)+1+12)&lt;&gt;MONTH($B$4),"",$B$4-WEEKDAY($B$4)+1+12)</f>
        <v/>
      </c>
      <c r="H16" s="59">
        <f>IF(MONTH($B$4-WEEKDAY($B$4)+1+13)&lt;&gt;MONTH($B$4),"",$B$4-WEEKDAY($B$4)+1+13)</f>
        <v/>
      </c>
    </row>
    <row r="17" ht="17" customHeight="1">
      <c r="A17" s="29">
        <f>IF(COUNTA('M_部屋'!$A$4:$A$20)&gt;=1,INDEX('M_部屋'!$A$4:$A$20,1),"")</f>
        <v/>
      </c>
      <c r="B17" s="30">
        <f>IF(B16="","",IFERROR(INDEX('04_月間表'!C$7:C$37,MATCH(B16,'04_月間表'!$A$7:$A$37,0)),""))</f>
        <v/>
      </c>
      <c r="C17" s="30">
        <f>IF(C16="","",IFERROR(INDEX('04_月間表'!C$7:C$37,MATCH(C16,'04_月間表'!$A$7:$A$37,0)),""))</f>
        <v/>
      </c>
      <c r="D17" s="30">
        <f>IF(D16="","",IFERROR(INDEX('04_月間表'!C$7:C$37,MATCH(D16,'04_月間表'!$A$7:$A$37,0)),""))</f>
        <v/>
      </c>
      <c r="E17" s="30">
        <f>IF(E16="","",IFERROR(INDEX('04_月間表'!C$7:C$37,MATCH(E16,'04_月間表'!$A$7:$A$37,0)),""))</f>
        <v/>
      </c>
      <c r="F17" s="30">
        <f>IF(F16="","",IFERROR(INDEX('04_月間表'!C$7:C$37,MATCH(F16,'04_月間表'!$A$7:$A$37,0)),""))</f>
        <v/>
      </c>
      <c r="G17" s="30">
        <f>IF(G16="","",IFERROR(INDEX('04_月間表'!C$7:C$37,MATCH(G16,'04_月間表'!$A$7:$A$37,0)),""))</f>
        <v/>
      </c>
      <c r="H17" s="30">
        <f>IF(H16="","",IFERROR(INDEX('04_月間表'!C$7:C$37,MATCH(H16,'04_月間表'!$A$7:$A$37,0)),""))</f>
        <v/>
      </c>
      <c r="J17">
        <f>IF(B16="","",IFERROR(INDEX('04_月間表'!X$7:X$37,MATCH(B16,'04_月間表'!$A$7:$A$37,0)),""))</f>
        <v/>
      </c>
      <c r="K17">
        <f>IF(C16="","",IFERROR(INDEX('04_月間表'!X$7:X$37,MATCH(C16,'04_月間表'!$A$7:$A$37,0)),""))</f>
        <v/>
      </c>
      <c r="L17">
        <f>IF(D16="","",IFERROR(INDEX('04_月間表'!X$7:X$37,MATCH(D16,'04_月間表'!$A$7:$A$37,0)),""))</f>
        <v/>
      </c>
      <c r="M17">
        <f>IF(E16="","",IFERROR(INDEX('04_月間表'!X$7:X$37,MATCH(E16,'04_月間表'!$A$7:$A$37,0)),""))</f>
        <v/>
      </c>
      <c r="N17">
        <f>IF(F16="","",IFERROR(INDEX('04_月間表'!X$7:X$37,MATCH(F16,'04_月間表'!$A$7:$A$37,0)),""))</f>
        <v/>
      </c>
      <c r="O17">
        <f>IF(G16="","",IFERROR(INDEX('04_月間表'!X$7:X$37,MATCH(G16,'04_月間表'!$A$7:$A$37,0)),""))</f>
        <v/>
      </c>
      <c r="P17">
        <f>IF(H16="","",IFERROR(INDEX('04_月間表'!X$7:X$37,MATCH(H16,'04_月間表'!$A$7:$A$37,0)),""))</f>
        <v/>
      </c>
    </row>
    <row r="18" ht="17" customHeight="1">
      <c r="A18" s="29">
        <f>IF(COUNTA('M_部屋'!$A$4:$A$20)&gt;=2,INDEX('M_部屋'!$A$4:$A$20,2),"")</f>
        <v/>
      </c>
      <c r="B18" s="30">
        <f>IF(B16="","",IFERROR(INDEX('04_月間表'!D$7:D$37,MATCH(B16,'04_月間表'!$A$7:$A$37,0)),""))</f>
        <v/>
      </c>
      <c r="C18" s="30">
        <f>IF(C16="","",IFERROR(INDEX('04_月間表'!D$7:D$37,MATCH(C16,'04_月間表'!$A$7:$A$37,0)),""))</f>
        <v/>
      </c>
      <c r="D18" s="30">
        <f>IF(D16="","",IFERROR(INDEX('04_月間表'!D$7:D$37,MATCH(D16,'04_月間表'!$A$7:$A$37,0)),""))</f>
        <v/>
      </c>
      <c r="E18" s="30">
        <f>IF(E16="","",IFERROR(INDEX('04_月間表'!D$7:D$37,MATCH(E16,'04_月間表'!$A$7:$A$37,0)),""))</f>
        <v/>
      </c>
      <c r="F18" s="30">
        <f>IF(F16="","",IFERROR(INDEX('04_月間表'!D$7:D$37,MATCH(F16,'04_月間表'!$A$7:$A$37,0)),""))</f>
        <v/>
      </c>
      <c r="G18" s="30">
        <f>IF(G16="","",IFERROR(INDEX('04_月間表'!D$7:D$37,MATCH(G16,'04_月間表'!$A$7:$A$37,0)),""))</f>
        <v/>
      </c>
      <c r="H18" s="30">
        <f>IF(H16="","",IFERROR(INDEX('04_月間表'!D$7:D$37,MATCH(H16,'04_月間表'!$A$7:$A$37,0)),""))</f>
        <v/>
      </c>
      <c r="J18">
        <f>IF(B16="","",IFERROR(INDEX('04_月間表'!Y$7:Y$37,MATCH(B16,'04_月間表'!$A$7:$A$37,0)),""))</f>
        <v/>
      </c>
      <c r="K18">
        <f>IF(C16="","",IFERROR(INDEX('04_月間表'!Y$7:Y$37,MATCH(C16,'04_月間表'!$A$7:$A$37,0)),""))</f>
        <v/>
      </c>
      <c r="L18">
        <f>IF(D16="","",IFERROR(INDEX('04_月間表'!Y$7:Y$37,MATCH(D16,'04_月間表'!$A$7:$A$37,0)),""))</f>
        <v/>
      </c>
      <c r="M18">
        <f>IF(E16="","",IFERROR(INDEX('04_月間表'!Y$7:Y$37,MATCH(E16,'04_月間表'!$A$7:$A$37,0)),""))</f>
        <v/>
      </c>
      <c r="N18">
        <f>IF(F16="","",IFERROR(INDEX('04_月間表'!Y$7:Y$37,MATCH(F16,'04_月間表'!$A$7:$A$37,0)),""))</f>
        <v/>
      </c>
      <c r="O18">
        <f>IF(G16="","",IFERROR(INDEX('04_月間表'!Y$7:Y$37,MATCH(G16,'04_月間表'!$A$7:$A$37,0)),""))</f>
        <v/>
      </c>
      <c r="P18">
        <f>IF(H16="","",IFERROR(INDEX('04_月間表'!Y$7:Y$37,MATCH(H16,'04_月間表'!$A$7:$A$37,0)),""))</f>
        <v/>
      </c>
    </row>
    <row r="19" ht="17" customHeight="1">
      <c r="A19" s="29">
        <f>IF(COUNTA('M_部屋'!$A$4:$A$20)&gt;=3,INDEX('M_部屋'!$A$4:$A$20,3),"")</f>
        <v/>
      </c>
      <c r="B19" s="30">
        <f>IF(B16="","",IFERROR(INDEX('04_月間表'!E$7:E$37,MATCH(B16,'04_月間表'!$A$7:$A$37,0)),""))</f>
        <v/>
      </c>
      <c r="C19" s="30">
        <f>IF(C16="","",IFERROR(INDEX('04_月間表'!E$7:E$37,MATCH(C16,'04_月間表'!$A$7:$A$37,0)),""))</f>
        <v/>
      </c>
      <c r="D19" s="30">
        <f>IF(D16="","",IFERROR(INDEX('04_月間表'!E$7:E$37,MATCH(D16,'04_月間表'!$A$7:$A$37,0)),""))</f>
        <v/>
      </c>
      <c r="E19" s="30">
        <f>IF(E16="","",IFERROR(INDEX('04_月間表'!E$7:E$37,MATCH(E16,'04_月間表'!$A$7:$A$37,0)),""))</f>
        <v/>
      </c>
      <c r="F19" s="30">
        <f>IF(F16="","",IFERROR(INDEX('04_月間表'!E$7:E$37,MATCH(F16,'04_月間表'!$A$7:$A$37,0)),""))</f>
        <v/>
      </c>
      <c r="G19" s="30">
        <f>IF(G16="","",IFERROR(INDEX('04_月間表'!E$7:E$37,MATCH(G16,'04_月間表'!$A$7:$A$37,0)),""))</f>
        <v/>
      </c>
      <c r="H19" s="30">
        <f>IF(H16="","",IFERROR(INDEX('04_月間表'!E$7:E$37,MATCH(H16,'04_月間表'!$A$7:$A$37,0)),""))</f>
        <v/>
      </c>
      <c r="J19">
        <f>IF(B16="","",IFERROR(INDEX('04_月間表'!Z$7:Z$37,MATCH(B16,'04_月間表'!$A$7:$A$37,0)),""))</f>
        <v/>
      </c>
      <c r="K19">
        <f>IF(C16="","",IFERROR(INDEX('04_月間表'!Z$7:Z$37,MATCH(C16,'04_月間表'!$A$7:$A$37,0)),""))</f>
        <v/>
      </c>
      <c r="L19">
        <f>IF(D16="","",IFERROR(INDEX('04_月間表'!Z$7:Z$37,MATCH(D16,'04_月間表'!$A$7:$A$37,0)),""))</f>
        <v/>
      </c>
      <c r="M19">
        <f>IF(E16="","",IFERROR(INDEX('04_月間表'!Z$7:Z$37,MATCH(E16,'04_月間表'!$A$7:$A$37,0)),""))</f>
        <v/>
      </c>
      <c r="N19">
        <f>IF(F16="","",IFERROR(INDEX('04_月間表'!Z$7:Z$37,MATCH(F16,'04_月間表'!$A$7:$A$37,0)),""))</f>
        <v/>
      </c>
      <c r="O19">
        <f>IF(G16="","",IFERROR(INDEX('04_月間表'!Z$7:Z$37,MATCH(G16,'04_月間表'!$A$7:$A$37,0)),""))</f>
        <v/>
      </c>
      <c r="P19">
        <f>IF(H16="","",IFERROR(INDEX('04_月間表'!Z$7:Z$37,MATCH(H16,'04_月間表'!$A$7:$A$37,0)),""))</f>
        <v/>
      </c>
    </row>
    <row r="20" ht="17" customHeight="1">
      <c r="A20" s="29">
        <f>IF(COUNTA('M_部屋'!$A$4:$A$20)&gt;=4,INDEX('M_部屋'!$A$4:$A$20,4),"")</f>
        <v/>
      </c>
      <c r="B20" s="30">
        <f>IF(B16="","",IFERROR(INDEX('04_月間表'!F$7:F$37,MATCH(B16,'04_月間表'!$A$7:$A$37,0)),""))</f>
        <v/>
      </c>
      <c r="C20" s="30">
        <f>IF(C16="","",IFERROR(INDEX('04_月間表'!F$7:F$37,MATCH(C16,'04_月間表'!$A$7:$A$37,0)),""))</f>
        <v/>
      </c>
      <c r="D20" s="30">
        <f>IF(D16="","",IFERROR(INDEX('04_月間表'!F$7:F$37,MATCH(D16,'04_月間表'!$A$7:$A$37,0)),""))</f>
        <v/>
      </c>
      <c r="E20" s="30">
        <f>IF(E16="","",IFERROR(INDEX('04_月間表'!F$7:F$37,MATCH(E16,'04_月間表'!$A$7:$A$37,0)),""))</f>
        <v/>
      </c>
      <c r="F20" s="30">
        <f>IF(F16="","",IFERROR(INDEX('04_月間表'!F$7:F$37,MATCH(F16,'04_月間表'!$A$7:$A$37,0)),""))</f>
        <v/>
      </c>
      <c r="G20" s="30">
        <f>IF(G16="","",IFERROR(INDEX('04_月間表'!F$7:F$37,MATCH(G16,'04_月間表'!$A$7:$A$37,0)),""))</f>
        <v/>
      </c>
      <c r="H20" s="30">
        <f>IF(H16="","",IFERROR(INDEX('04_月間表'!F$7:F$37,MATCH(H16,'04_月間表'!$A$7:$A$37,0)),""))</f>
        <v/>
      </c>
      <c r="J20">
        <f>IF(B16="","",IFERROR(INDEX('04_月間表'!AA$7:AA$37,MATCH(B16,'04_月間表'!$A$7:$A$37,0)),""))</f>
        <v/>
      </c>
      <c r="K20">
        <f>IF(C16="","",IFERROR(INDEX('04_月間表'!AA$7:AA$37,MATCH(C16,'04_月間表'!$A$7:$A$37,0)),""))</f>
        <v/>
      </c>
      <c r="L20">
        <f>IF(D16="","",IFERROR(INDEX('04_月間表'!AA$7:AA$37,MATCH(D16,'04_月間表'!$A$7:$A$37,0)),""))</f>
        <v/>
      </c>
      <c r="M20">
        <f>IF(E16="","",IFERROR(INDEX('04_月間表'!AA$7:AA$37,MATCH(E16,'04_月間表'!$A$7:$A$37,0)),""))</f>
        <v/>
      </c>
      <c r="N20">
        <f>IF(F16="","",IFERROR(INDEX('04_月間表'!AA$7:AA$37,MATCH(F16,'04_月間表'!$A$7:$A$37,0)),""))</f>
        <v/>
      </c>
      <c r="O20">
        <f>IF(G16="","",IFERROR(INDEX('04_月間表'!AA$7:AA$37,MATCH(G16,'04_月間表'!$A$7:$A$37,0)),""))</f>
        <v/>
      </c>
      <c r="P20">
        <f>IF(H16="","",IFERROR(INDEX('04_月間表'!AA$7:AA$37,MATCH(H16,'04_月間表'!$A$7:$A$37,0)),""))</f>
        <v/>
      </c>
    </row>
    <row r="21" ht="19" customHeight="1">
      <c r="A21" s="29" t="inlineStr">
        <is>
          <t>空き</t>
        </is>
      </c>
      <c r="B21" s="31">
        <f>IF(B16="","",IFERROR(INDEX('04_月間表'!$J$7:$J$37,MATCH(B16,'04_月間表'!$A$7:$A$37,0)),""))</f>
        <v/>
      </c>
      <c r="C21" s="31">
        <f>IF(C16="","",IFERROR(INDEX('04_月間表'!$J$7:$J$37,MATCH(C16,'04_月間表'!$A$7:$A$37,0)),""))</f>
        <v/>
      </c>
      <c r="D21" s="31">
        <f>IF(D16="","",IFERROR(INDEX('04_月間表'!$J$7:$J$37,MATCH(D16,'04_月間表'!$A$7:$A$37,0)),""))</f>
        <v/>
      </c>
      <c r="E21" s="31">
        <f>IF(E16="","",IFERROR(INDEX('04_月間表'!$J$7:$J$37,MATCH(E16,'04_月間表'!$A$7:$A$37,0)),""))</f>
        <v/>
      </c>
      <c r="F21" s="31">
        <f>IF(F16="","",IFERROR(INDEX('04_月間表'!$J$7:$J$37,MATCH(F16,'04_月間表'!$A$7:$A$37,0)),""))</f>
        <v/>
      </c>
      <c r="G21" s="31">
        <f>IF(G16="","",IFERROR(INDEX('04_月間表'!$J$7:$J$37,MATCH(G16,'04_月間表'!$A$7:$A$37,0)),""))</f>
        <v/>
      </c>
      <c r="H21" s="31">
        <f>IF(H16="","",IFERROR(INDEX('04_月間表'!$J$7:$J$37,MATCH(H16,'04_月間表'!$A$7:$A$37,0)),""))</f>
        <v/>
      </c>
    </row>
    <row r="23" ht="20" customHeight="1">
      <c r="A23" s="25" t="inlineStr">
        <is>
          <t>第3週</t>
        </is>
      </c>
      <c r="B23" s="57">
        <f>IF(MONTH($B$4-WEEKDAY($B$4)+1+14)&lt;&gt;MONTH($B$4),"",$B$4-WEEKDAY($B$4)+1+14)</f>
        <v/>
      </c>
      <c r="C23" s="58">
        <f>IF(MONTH($B$4-WEEKDAY($B$4)+1+15)&lt;&gt;MONTH($B$4),"",$B$4-WEEKDAY($B$4)+1+15)</f>
        <v/>
      </c>
      <c r="D23" s="58">
        <f>IF(MONTH($B$4-WEEKDAY($B$4)+1+16)&lt;&gt;MONTH($B$4),"",$B$4-WEEKDAY($B$4)+1+16)</f>
        <v/>
      </c>
      <c r="E23" s="58">
        <f>IF(MONTH($B$4-WEEKDAY($B$4)+1+17)&lt;&gt;MONTH($B$4),"",$B$4-WEEKDAY($B$4)+1+17)</f>
        <v/>
      </c>
      <c r="F23" s="58">
        <f>IF(MONTH($B$4-WEEKDAY($B$4)+1+18)&lt;&gt;MONTH($B$4),"",$B$4-WEEKDAY($B$4)+1+18)</f>
        <v/>
      </c>
      <c r="G23" s="58">
        <f>IF(MONTH($B$4-WEEKDAY($B$4)+1+19)&lt;&gt;MONTH($B$4),"",$B$4-WEEKDAY($B$4)+1+19)</f>
        <v/>
      </c>
      <c r="H23" s="59">
        <f>IF(MONTH($B$4-WEEKDAY($B$4)+1+20)&lt;&gt;MONTH($B$4),"",$B$4-WEEKDAY($B$4)+1+20)</f>
        <v/>
      </c>
    </row>
    <row r="24" ht="17" customHeight="1">
      <c r="A24" s="29">
        <f>IF(COUNTA('M_部屋'!$A$4:$A$20)&gt;=1,INDEX('M_部屋'!$A$4:$A$20,1),"")</f>
        <v/>
      </c>
      <c r="B24" s="30">
        <f>IF(B23="","",IFERROR(INDEX('04_月間表'!C$7:C$37,MATCH(B23,'04_月間表'!$A$7:$A$37,0)),""))</f>
        <v/>
      </c>
      <c r="C24" s="30">
        <f>IF(C23="","",IFERROR(INDEX('04_月間表'!C$7:C$37,MATCH(C23,'04_月間表'!$A$7:$A$37,0)),""))</f>
        <v/>
      </c>
      <c r="D24" s="30">
        <f>IF(D23="","",IFERROR(INDEX('04_月間表'!C$7:C$37,MATCH(D23,'04_月間表'!$A$7:$A$37,0)),""))</f>
        <v/>
      </c>
      <c r="E24" s="30">
        <f>IF(E23="","",IFERROR(INDEX('04_月間表'!C$7:C$37,MATCH(E23,'04_月間表'!$A$7:$A$37,0)),""))</f>
        <v/>
      </c>
      <c r="F24" s="30">
        <f>IF(F23="","",IFERROR(INDEX('04_月間表'!C$7:C$37,MATCH(F23,'04_月間表'!$A$7:$A$37,0)),""))</f>
        <v/>
      </c>
      <c r="G24" s="30">
        <f>IF(G23="","",IFERROR(INDEX('04_月間表'!C$7:C$37,MATCH(G23,'04_月間表'!$A$7:$A$37,0)),""))</f>
        <v/>
      </c>
      <c r="H24" s="30">
        <f>IF(H23="","",IFERROR(INDEX('04_月間表'!C$7:C$37,MATCH(H23,'04_月間表'!$A$7:$A$37,0)),""))</f>
        <v/>
      </c>
      <c r="J24">
        <f>IF(B23="","",IFERROR(INDEX('04_月間表'!X$7:X$37,MATCH(B23,'04_月間表'!$A$7:$A$37,0)),""))</f>
        <v/>
      </c>
      <c r="K24">
        <f>IF(C23="","",IFERROR(INDEX('04_月間表'!X$7:X$37,MATCH(C23,'04_月間表'!$A$7:$A$37,0)),""))</f>
        <v/>
      </c>
      <c r="L24">
        <f>IF(D23="","",IFERROR(INDEX('04_月間表'!X$7:X$37,MATCH(D23,'04_月間表'!$A$7:$A$37,0)),""))</f>
        <v/>
      </c>
      <c r="M24">
        <f>IF(E23="","",IFERROR(INDEX('04_月間表'!X$7:X$37,MATCH(E23,'04_月間表'!$A$7:$A$37,0)),""))</f>
        <v/>
      </c>
      <c r="N24">
        <f>IF(F23="","",IFERROR(INDEX('04_月間表'!X$7:X$37,MATCH(F23,'04_月間表'!$A$7:$A$37,0)),""))</f>
        <v/>
      </c>
      <c r="O24">
        <f>IF(G23="","",IFERROR(INDEX('04_月間表'!X$7:X$37,MATCH(G23,'04_月間表'!$A$7:$A$37,0)),""))</f>
        <v/>
      </c>
      <c r="P24">
        <f>IF(H23="","",IFERROR(INDEX('04_月間表'!X$7:X$37,MATCH(H23,'04_月間表'!$A$7:$A$37,0)),""))</f>
        <v/>
      </c>
    </row>
    <row r="25" ht="17" customHeight="1">
      <c r="A25" s="29">
        <f>IF(COUNTA('M_部屋'!$A$4:$A$20)&gt;=2,INDEX('M_部屋'!$A$4:$A$20,2),"")</f>
        <v/>
      </c>
      <c r="B25" s="30">
        <f>IF(B23="","",IFERROR(INDEX('04_月間表'!D$7:D$37,MATCH(B23,'04_月間表'!$A$7:$A$37,0)),""))</f>
        <v/>
      </c>
      <c r="C25" s="30">
        <f>IF(C23="","",IFERROR(INDEX('04_月間表'!D$7:D$37,MATCH(C23,'04_月間表'!$A$7:$A$37,0)),""))</f>
        <v/>
      </c>
      <c r="D25" s="30">
        <f>IF(D23="","",IFERROR(INDEX('04_月間表'!D$7:D$37,MATCH(D23,'04_月間表'!$A$7:$A$37,0)),""))</f>
        <v/>
      </c>
      <c r="E25" s="30">
        <f>IF(E23="","",IFERROR(INDEX('04_月間表'!D$7:D$37,MATCH(E23,'04_月間表'!$A$7:$A$37,0)),""))</f>
        <v/>
      </c>
      <c r="F25" s="30">
        <f>IF(F23="","",IFERROR(INDEX('04_月間表'!D$7:D$37,MATCH(F23,'04_月間表'!$A$7:$A$37,0)),""))</f>
        <v/>
      </c>
      <c r="G25" s="30">
        <f>IF(G23="","",IFERROR(INDEX('04_月間表'!D$7:D$37,MATCH(G23,'04_月間表'!$A$7:$A$37,0)),""))</f>
        <v/>
      </c>
      <c r="H25" s="30">
        <f>IF(H23="","",IFERROR(INDEX('04_月間表'!D$7:D$37,MATCH(H23,'04_月間表'!$A$7:$A$37,0)),""))</f>
        <v/>
      </c>
      <c r="J25">
        <f>IF(B23="","",IFERROR(INDEX('04_月間表'!Y$7:Y$37,MATCH(B23,'04_月間表'!$A$7:$A$37,0)),""))</f>
        <v/>
      </c>
      <c r="K25">
        <f>IF(C23="","",IFERROR(INDEX('04_月間表'!Y$7:Y$37,MATCH(C23,'04_月間表'!$A$7:$A$37,0)),""))</f>
        <v/>
      </c>
      <c r="L25">
        <f>IF(D23="","",IFERROR(INDEX('04_月間表'!Y$7:Y$37,MATCH(D23,'04_月間表'!$A$7:$A$37,0)),""))</f>
        <v/>
      </c>
      <c r="M25">
        <f>IF(E23="","",IFERROR(INDEX('04_月間表'!Y$7:Y$37,MATCH(E23,'04_月間表'!$A$7:$A$37,0)),""))</f>
        <v/>
      </c>
      <c r="N25">
        <f>IF(F23="","",IFERROR(INDEX('04_月間表'!Y$7:Y$37,MATCH(F23,'04_月間表'!$A$7:$A$37,0)),""))</f>
        <v/>
      </c>
      <c r="O25">
        <f>IF(G23="","",IFERROR(INDEX('04_月間表'!Y$7:Y$37,MATCH(G23,'04_月間表'!$A$7:$A$37,0)),""))</f>
        <v/>
      </c>
      <c r="P25">
        <f>IF(H23="","",IFERROR(INDEX('04_月間表'!Y$7:Y$37,MATCH(H23,'04_月間表'!$A$7:$A$37,0)),""))</f>
        <v/>
      </c>
    </row>
    <row r="26" ht="17" customHeight="1">
      <c r="A26" s="29">
        <f>IF(COUNTA('M_部屋'!$A$4:$A$20)&gt;=3,INDEX('M_部屋'!$A$4:$A$20,3),"")</f>
        <v/>
      </c>
      <c r="B26" s="30">
        <f>IF(B23="","",IFERROR(INDEX('04_月間表'!E$7:E$37,MATCH(B23,'04_月間表'!$A$7:$A$37,0)),""))</f>
        <v/>
      </c>
      <c r="C26" s="30">
        <f>IF(C23="","",IFERROR(INDEX('04_月間表'!E$7:E$37,MATCH(C23,'04_月間表'!$A$7:$A$37,0)),""))</f>
        <v/>
      </c>
      <c r="D26" s="30">
        <f>IF(D23="","",IFERROR(INDEX('04_月間表'!E$7:E$37,MATCH(D23,'04_月間表'!$A$7:$A$37,0)),""))</f>
        <v/>
      </c>
      <c r="E26" s="30">
        <f>IF(E23="","",IFERROR(INDEX('04_月間表'!E$7:E$37,MATCH(E23,'04_月間表'!$A$7:$A$37,0)),""))</f>
        <v/>
      </c>
      <c r="F26" s="30">
        <f>IF(F23="","",IFERROR(INDEX('04_月間表'!E$7:E$37,MATCH(F23,'04_月間表'!$A$7:$A$37,0)),""))</f>
        <v/>
      </c>
      <c r="G26" s="30">
        <f>IF(G23="","",IFERROR(INDEX('04_月間表'!E$7:E$37,MATCH(G23,'04_月間表'!$A$7:$A$37,0)),""))</f>
        <v/>
      </c>
      <c r="H26" s="30">
        <f>IF(H23="","",IFERROR(INDEX('04_月間表'!E$7:E$37,MATCH(H23,'04_月間表'!$A$7:$A$37,0)),""))</f>
        <v/>
      </c>
      <c r="J26">
        <f>IF(B23="","",IFERROR(INDEX('04_月間表'!Z$7:Z$37,MATCH(B23,'04_月間表'!$A$7:$A$37,0)),""))</f>
        <v/>
      </c>
      <c r="K26">
        <f>IF(C23="","",IFERROR(INDEX('04_月間表'!Z$7:Z$37,MATCH(C23,'04_月間表'!$A$7:$A$37,0)),""))</f>
        <v/>
      </c>
      <c r="L26">
        <f>IF(D23="","",IFERROR(INDEX('04_月間表'!Z$7:Z$37,MATCH(D23,'04_月間表'!$A$7:$A$37,0)),""))</f>
        <v/>
      </c>
      <c r="M26">
        <f>IF(E23="","",IFERROR(INDEX('04_月間表'!Z$7:Z$37,MATCH(E23,'04_月間表'!$A$7:$A$37,0)),""))</f>
        <v/>
      </c>
      <c r="N26">
        <f>IF(F23="","",IFERROR(INDEX('04_月間表'!Z$7:Z$37,MATCH(F23,'04_月間表'!$A$7:$A$37,0)),""))</f>
        <v/>
      </c>
      <c r="O26">
        <f>IF(G23="","",IFERROR(INDEX('04_月間表'!Z$7:Z$37,MATCH(G23,'04_月間表'!$A$7:$A$37,0)),""))</f>
        <v/>
      </c>
      <c r="P26">
        <f>IF(H23="","",IFERROR(INDEX('04_月間表'!Z$7:Z$37,MATCH(H23,'04_月間表'!$A$7:$A$37,0)),""))</f>
        <v/>
      </c>
    </row>
    <row r="27" ht="17" customHeight="1">
      <c r="A27" s="29">
        <f>IF(COUNTA('M_部屋'!$A$4:$A$20)&gt;=4,INDEX('M_部屋'!$A$4:$A$20,4),"")</f>
        <v/>
      </c>
      <c r="B27" s="30">
        <f>IF(B23="","",IFERROR(INDEX('04_月間表'!F$7:F$37,MATCH(B23,'04_月間表'!$A$7:$A$37,0)),""))</f>
        <v/>
      </c>
      <c r="C27" s="30">
        <f>IF(C23="","",IFERROR(INDEX('04_月間表'!F$7:F$37,MATCH(C23,'04_月間表'!$A$7:$A$37,0)),""))</f>
        <v/>
      </c>
      <c r="D27" s="30">
        <f>IF(D23="","",IFERROR(INDEX('04_月間表'!F$7:F$37,MATCH(D23,'04_月間表'!$A$7:$A$37,0)),""))</f>
        <v/>
      </c>
      <c r="E27" s="30">
        <f>IF(E23="","",IFERROR(INDEX('04_月間表'!F$7:F$37,MATCH(E23,'04_月間表'!$A$7:$A$37,0)),""))</f>
        <v/>
      </c>
      <c r="F27" s="30">
        <f>IF(F23="","",IFERROR(INDEX('04_月間表'!F$7:F$37,MATCH(F23,'04_月間表'!$A$7:$A$37,0)),""))</f>
        <v/>
      </c>
      <c r="G27" s="30">
        <f>IF(G23="","",IFERROR(INDEX('04_月間表'!F$7:F$37,MATCH(G23,'04_月間表'!$A$7:$A$37,0)),""))</f>
        <v/>
      </c>
      <c r="H27" s="30">
        <f>IF(H23="","",IFERROR(INDEX('04_月間表'!F$7:F$37,MATCH(H23,'04_月間表'!$A$7:$A$37,0)),""))</f>
        <v/>
      </c>
      <c r="J27">
        <f>IF(B23="","",IFERROR(INDEX('04_月間表'!AA$7:AA$37,MATCH(B23,'04_月間表'!$A$7:$A$37,0)),""))</f>
        <v/>
      </c>
      <c r="K27">
        <f>IF(C23="","",IFERROR(INDEX('04_月間表'!AA$7:AA$37,MATCH(C23,'04_月間表'!$A$7:$A$37,0)),""))</f>
        <v/>
      </c>
      <c r="L27">
        <f>IF(D23="","",IFERROR(INDEX('04_月間表'!AA$7:AA$37,MATCH(D23,'04_月間表'!$A$7:$A$37,0)),""))</f>
        <v/>
      </c>
      <c r="M27">
        <f>IF(E23="","",IFERROR(INDEX('04_月間表'!AA$7:AA$37,MATCH(E23,'04_月間表'!$A$7:$A$37,0)),""))</f>
        <v/>
      </c>
      <c r="N27">
        <f>IF(F23="","",IFERROR(INDEX('04_月間表'!AA$7:AA$37,MATCH(F23,'04_月間表'!$A$7:$A$37,0)),""))</f>
        <v/>
      </c>
      <c r="O27">
        <f>IF(G23="","",IFERROR(INDEX('04_月間表'!AA$7:AA$37,MATCH(G23,'04_月間表'!$A$7:$A$37,0)),""))</f>
        <v/>
      </c>
      <c r="P27">
        <f>IF(H23="","",IFERROR(INDEX('04_月間表'!AA$7:AA$37,MATCH(H23,'04_月間表'!$A$7:$A$37,0)),""))</f>
        <v/>
      </c>
    </row>
    <row r="28" ht="19" customHeight="1">
      <c r="A28" s="29" t="inlineStr">
        <is>
          <t>空き</t>
        </is>
      </c>
      <c r="B28" s="31">
        <f>IF(B23="","",IFERROR(INDEX('04_月間表'!$J$7:$J$37,MATCH(B23,'04_月間表'!$A$7:$A$37,0)),""))</f>
        <v/>
      </c>
      <c r="C28" s="31">
        <f>IF(C23="","",IFERROR(INDEX('04_月間表'!$J$7:$J$37,MATCH(C23,'04_月間表'!$A$7:$A$37,0)),""))</f>
        <v/>
      </c>
      <c r="D28" s="31">
        <f>IF(D23="","",IFERROR(INDEX('04_月間表'!$J$7:$J$37,MATCH(D23,'04_月間表'!$A$7:$A$37,0)),""))</f>
        <v/>
      </c>
      <c r="E28" s="31">
        <f>IF(E23="","",IFERROR(INDEX('04_月間表'!$J$7:$J$37,MATCH(E23,'04_月間表'!$A$7:$A$37,0)),""))</f>
        <v/>
      </c>
      <c r="F28" s="31">
        <f>IF(F23="","",IFERROR(INDEX('04_月間表'!$J$7:$J$37,MATCH(F23,'04_月間表'!$A$7:$A$37,0)),""))</f>
        <v/>
      </c>
      <c r="G28" s="31">
        <f>IF(G23="","",IFERROR(INDEX('04_月間表'!$J$7:$J$37,MATCH(G23,'04_月間表'!$A$7:$A$37,0)),""))</f>
        <v/>
      </c>
      <c r="H28" s="31">
        <f>IF(H23="","",IFERROR(INDEX('04_月間表'!$J$7:$J$37,MATCH(H23,'04_月間表'!$A$7:$A$37,0)),""))</f>
        <v/>
      </c>
    </row>
    <row r="30" ht="20" customHeight="1">
      <c r="A30" s="25" t="inlineStr">
        <is>
          <t>第4週</t>
        </is>
      </c>
      <c r="B30" s="57">
        <f>IF(MONTH($B$4-WEEKDAY($B$4)+1+21)&lt;&gt;MONTH($B$4),"",$B$4-WEEKDAY($B$4)+1+21)</f>
        <v/>
      </c>
      <c r="C30" s="58">
        <f>IF(MONTH($B$4-WEEKDAY($B$4)+1+22)&lt;&gt;MONTH($B$4),"",$B$4-WEEKDAY($B$4)+1+22)</f>
        <v/>
      </c>
      <c r="D30" s="58">
        <f>IF(MONTH($B$4-WEEKDAY($B$4)+1+23)&lt;&gt;MONTH($B$4),"",$B$4-WEEKDAY($B$4)+1+23)</f>
        <v/>
      </c>
      <c r="E30" s="58">
        <f>IF(MONTH($B$4-WEEKDAY($B$4)+1+24)&lt;&gt;MONTH($B$4),"",$B$4-WEEKDAY($B$4)+1+24)</f>
        <v/>
      </c>
      <c r="F30" s="58">
        <f>IF(MONTH($B$4-WEEKDAY($B$4)+1+25)&lt;&gt;MONTH($B$4),"",$B$4-WEEKDAY($B$4)+1+25)</f>
        <v/>
      </c>
      <c r="G30" s="58">
        <f>IF(MONTH($B$4-WEEKDAY($B$4)+1+26)&lt;&gt;MONTH($B$4),"",$B$4-WEEKDAY($B$4)+1+26)</f>
        <v/>
      </c>
      <c r="H30" s="59">
        <f>IF(MONTH($B$4-WEEKDAY($B$4)+1+27)&lt;&gt;MONTH($B$4),"",$B$4-WEEKDAY($B$4)+1+27)</f>
        <v/>
      </c>
    </row>
    <row r="31" ht="17" customHeight="1">
      <c r="A31" s="29">
        <f>IF(COUNTA('M_部屋'!$A$4:$A$20)&gt;=1,INDEX('M_部屋'!$A$4:$A$20,1),"")</f>
        <v/>
      </c>
      <c r="B31" s="30">
        <f>IF(B30="","",IFERROR(INDEX('04_月間表'!C$7:C$37,MATCH(B30,'04_月間表'!$A$7:$A$37,0)),""))</f>
        <v/>
      </c>
      <c r="C31" s="30">
        <f>IF(C30="","",IFERROR(INDEX('04_月間表'!C$7:C$37,MATCH(C30,'04_月間表'!$A$7:$A$37,0)),""))</f>
        <v/>
      </c>
      <c r="D31" s="30">
        <f>IF(D30="","",IFERROR(INDEX('04_月間表'!C$7:C$37,MATCH(D30,'04_月間表'!$A$7:$A$37,0)),""))</f>
        <v/>
      </c>
      <c r="E31" s="30">
        <f>IF(E30="","",IFERROR(INDEX('04_月間表'!C$7:C$37,MATCH(E30,'04_月間表'!$A$7:$A$37,0)),""))</f>
        <v/>
      </c>
      <c r="F31" s="30">
        <f>IF(F30="","",IFERROR(INDEX('04_月間表'!C$7:C$37,MATCH(F30,'04_月間表'!$A$7:$A$37,0)),""))</f>
        <v/>
      </c>
      <c r="G31" s="30">
        <f>IF(G30="","",IFERROR(INDEX('04_月間表'!C$7:C$37,MATCH(G30,'04_月間表'!$A$7:$A$37,0)),""))</f>
        <v/>
      </c>
      <c r="H31" s="30">
        <f>IF(H30="","",IFERROR(INDEX('04_月間表'!C$7:C$37,MATCH(H30,'04_月間表'!$A$7:$A$37,0)),""))</f>
        <v/>
      </c>
      <c r="J31">
        <f>IF(B30="","",IFERROR(INDEX('04_月間表'!X$7:X$37,MATCH(B30,'04_月間表'!$A$7:$A$37,0)),""))</f>
        <v/>
      </c>
      <c r="K31">
        <f>IF(C30="","",IFERROR(INDEX('04_月間表'!X$7:X$37,MATCH(C30,'04_月間表'!$A$7:$A$37,0)),""))</f>
        <v/>
      </c>
      <c r="L31">
        <f>IF(D30="","",IFERROR(INDEX('04_月間表'!X$7:X$37,MATCH(D30,'04_月間表'!$A$7:$A$37,0)),""))</f>
        <v/>
      </c>
      <c r="M31">
        <f>IF(E30="","",IFERROR(INDEX('04_月間表'!X$7:X$37,MATCH(E30,'04_月間表'!$A$7:$A$37,0)),""))</f>
        <v/>
      </c>
      <c r="N31">
        <f>IF(F30="","",IFERROR(INDEX('04_月間表'!X$7:X$37,MATCH(F30,'04_月間表'!$A$7:$A$37,0)),""))</f>
        <v/>
      </c>
      <c r="O31">
        <f>IF(G30="","",IFERROR(INDEX('04_月間表'!X$7:X$37,MATCH(G30,'04_月間表'!$A$7:$A$37,0)),""))</f>
        <v/>
      </c>
      <c r="P31">
        <f>IF(H30="","",IFERROR(INDEX('04_月間表'!X$7:X$37,MATCH(H30,'04_月間表'!$A$7:$A$37,0)),""))</f>
        <v/>
      </c>
    </row>
    <row r="32" ht="17" customHeight="1">
      <c r="A32" s="29">
        <f>IF(COUNTA('M_部屋'!$A$4:$A$20)&gt;=2,INDEX('M_部屋'!$A$4:$A$20,2),"")</f>
        <v/>
      </c>
      <c r="B32" s="30">
        <f>IF(B30="","",IFERROR(INDEX('04_月間表'!D$7:D$37,MATCH(B30,'04_月間表'!$A$7:$A$37,0)),""))</f>
        <v/>
      </c>
      <c r="C32" s="30">
        <f>IF(C30="","",IFERROR(INDEX('04_月間表'!D$7:D$37,MATCH(C30,'04_月間表'!$A$7:$A$37,0)),""))</f>
        <v/>
      </c>
      <c r="D32" s="30">
        <f>IF(D30="","",IFERROR(INDEX('04_月間表'!D$7:D$37,MATCH(D30,'04_月間表'!$A$7:$A$37,0)),""))</f>
        <v/>
      </c>
      <c r="E32" s="30">
        <f>IF(E30="","",IFERROR(INDEX('04_月間表'!D$7:D$37,MATCH(E30,'04_月間表'!$A$7:$A$37,0)),""))</f>
        <v/>
      </c>
      <c r="F32" s="30">
        <f>IF(F30="","",IFERROR(INDEX('04_月間表'!D$7:D$37,MATCH(F30,'04_月間表'!$A$7:$A$37,0)),""))</f>
        <v/>
      </c>
      <c r="G32" s="30">
        <f>IF(G30="","",IFERROR(INDEX('04_月間表'!D$7:D$37,MATCH(G30,'04_月間表'!$A$7:$A$37,0)),""))</f>
        <v/>
      </c>
      <c r="H32" s="30">
        <f>IF(H30="","",IFERROR(INDEX('04_月間表'!D$7:D$37,MATCH(H30,'04_月間表'!$A$7:$A$37,0)),""))</f>
        <v/>
      </c>
      <c r="J32">
        <f>IF(B30="","",IFERROR(INDEX('04_月間表'!Y$7:Y$37,MATCH(B30,'04_月間表'!$A$7:$A$37,0)),""))</f>
        <v/>
      </c>
      <c r="K32">
        <f>IF(C30="","",IFERROR(INDEX('04_月間表'!Y$7:Y$37,MATCH(C30,'04_月間表'!$A$7:$A$37,0)),""))</f>
        <v/>
      </c>
      <c r="L32">
        <f>IF(D30="","",IFERROR(INDEX('04_月間表'!Y$7:Y$37,MATCH(D30,'04_月間表'!$A$7:$A$37,0)),""))</f>
        <v/>
      </c>
      <c r="M32">
        <f>IF(E30="","",IFERROR(INDEX('04_月間表'!Y$7:Y$37,MATCH(E30,'04_月間表'!$A$7:$A$37,0)),""))</f>
        <v/>
      </c>
      <c r="N32">
        <f>IF(F30="","",IFERROR(INDEX('04_月間表'!Y$7:Y$37,MATCH(F30,'04_月間表'!$A$7:$A$37,0)),""))</f>
        <v/>
      </c>
      <c r="O32">
        <f>IF(G30="","",IFERROR(INDEX('04_月間表'!Y$7:Y$37,MATCH(G30,'04_月間表'!$A$7:$A$37,0)),""))</f>
        <v/>
      </c>
      <c r="P32">
        <f>IF(H30="","",IFERROR(INDEX('04_月間表'!Y$7:Y$37,MATCH(H30,'04_月間表'!$A$7:$A$37,0)),""))</f>
        <v/>
      </c>
    </row>
    <row r="33" ht="17" customHeight="1">
      <c r="A33" s="29">
        <f>IF(COUNTA('M_部屋'!$A$4:$A$20)&gt;=3,INDEX('M_部屋'!$A$4:$A$20,3),"")</f>
        <v/>
      </c>
      <c r="B33" s="30">
        <f>IF(B30="","",IFERROR(INDEX('04_月間表'!E$7:E$37,MATCH(B30,'04_月間表'!$A$7:$A$37,0)),""))</f>
        <v/>
      </c>
      <c r="C33" s="30">
        <f>IF(C30="","",IFERROR(INDEX('04_月間表'!E$7:E$37,MATCH(C30,'04_月間表'!$A$7:$A$37,0)),""))</f>
        <v/>
      </c>
      <c r="D33" s="30">
        <f>IF(D30="","",IFERROR(INDEX('04_月間表'!E$7:E$37,MATCH(D30,'04_月間表'!$A$7:$A$37,0)),""))</f>
        <v/>
      </c>
      <c r="E33" s="30">
        <f>IF(E30="","",IFERROR(INDEX('04_月間表'!E$7:E$37,MATCH(E30,'04_月間表'!$A$7:$A$37,0)),""))</f>
        <v/>
      </c>
      <c r="F33" s="30">
        <f>IF(F30="","",IFERROR(INDEX('04_月間表'!E$7:E$37,MATCH(F30,'04_月間表'!$A$7:$A$37,0)),""))</f>
        <v/>
      </c>
      <c r="G33" s="30">
        <f>IF(G30="","",IFERROR(INDEX('04_月間表'!E$7:E$37,MATCH(G30,'04_月間表'!$A$7:$A$37,0)),""))</f>
        <v/>
      </c>
      <c r="H33" s="30">
        <f>IF(H30="","",IFERROR(INDEX('04_月間表'!E$7:E$37,MATCH(H30,'04_月間表'!$A$7:$A$37,0)),""))</f>
        <v/>
      </c>
      <c r="J33">
        <f>IF(B30="","",IFERROR(INDEX('04_月間表'!Z$7:Z$37,MATCH(B30,'04_月間表'!$A$7:$A$37,0)),""))</f>
        <v/>
      </c>
      <c r="K33">
        <f>IF(C30="","",IFERROR(INDEX('04_月間表'!Z$7:Z$37,MATCH(C30,'04_月間表'!$A$7:$A$37,0)),""))</f>
        <v/>
      </c>
      <c r="L33">
        <f>IF(D30="","",IFERROR(INDEX('04_月間表'!Z$7:Z$37,MATCH(D30,'04_月間表'!$A$7:$A$37,0)),""))</f>
        <v/>
      </c>
      <c r="M33">
        <f>IF(E30="","",IFERROR(INDEX('04_月間表'!Z$7:Z$37,MATCH(E30,'04_月間表'!$A$7:$A$37,0)),""))</f>
        <v/>
      </c>
      <c r="N33">
        <f>IF(F30="","",IFERROR(INDEX('04_月間表'!Z$7:Z$37,MATCH(F30,'04_月間表'!$A$7:$A$37,0)),""))</f>
        <v/>
      </c>
      <c r="O33">
        <f>IF(G30="","",IFERROR(INDEX('04_月間表'!Z$7:Z$37,MATCH(G30,'04_月間表'!$A$7:$A$37,0)),""))</f>
        <v/>
      </c>
      <c r="P33">
        <f>IF(H30="","",IFERROR(INDEX('04_月間表'!Z$7:Z$37,MATCH(H30,'04_月間表'!$A$7:$A$37,0)),""))</f>
        <v/>
      </c>
    </row>
    <row r="34" ht="17" customHeight="1">
      <c r="A34" s="29">
        <f>IF(COUNTA('M_部屋'!$A$4:$A$20)&gt;=4,INDEX('M_部屋'!$A$4:$A$20,4),"")</f>
        <v/>
      </c>
      <c r="B34" s="30">
        <f>IF(B30="","",IFERROR(INDEX('04_月間表'!F$7:F$37,MATCH(B30,'04_月間表'!$A$7:$A$37,0)),""))</f>
        <v/>
      </c>
      <c r="C34" s="30">
        <f>IF(C30="","",IFERROR(INDEX('04_月間表'!F$7:F$37,MATCH(C30,'04_月間表'!$A$7:$A$37,0)),""))</f>
        <v/>
      </c>
      <c r="D34" s="30">
        <f>IF(D30="","",IFERROR(INDEX('04_月間表'!F$7:F$37,MATCH(D30,'04_月間表'!$A$7:$A$37,0)),""))</f>
        <v/>
      </c>
      <c r="E34" s="30">
        <f>IF(E30="","",IFERROR(INDEX('04_月間表'!F$7:F$37,MATCH(E30,'04_月間表'!$A$7:$A$37,0)),""))</f>
        <v/>
      </c>
      <c r="F34" s="30">
        <f>IF(F30="","",IFERROR(INDEX('04_月間表'!F$7:F$37,MATCH(F30,'04_月間表'!$A$7:$A$37,0)),""))</f>
        <v/>
      </c>
      <c r="G34" s="30">
        <f>IF(G30="","",IFERROR(INDEX('04_月間表'!F$7:F$37,MATCH(G30,'04_月間表'!$A$7:$A$37,0)),""))</f>
        <v/>
      </c>
      <c r="H34" s="30">
        <f>IF(H30="","",IFERROR(INDEX('04_月間表'!F$7:F$37,MATCH(H30,'04_月間表'!$A$7:$A$37,0)),""))</f>
        <v/>
      </c>
      <c r="J34">
        <f>IF(B30="","",IFERROR(INDEX('04_月間表'!AA$7:AA$37,MATCH(B30,'04_月間表'!$A$7:$A$37,0)),""))</f>
        <v/>
      </c>
      <c r="K34">
        <f>IF(C30="","",IFERROR(INDEX('04_月間表'!AA$7:AA$37,MATCH(C30,'04_月間表'!$A$7:$A$37,0)),""))</f>
        <v/>
      </c>
      <c r="L34">
        <f>IF(D30="","",IFERROR(INDEX('04_月間表'!AA$7:AA$37,MATCH(D30,'04_月間表'!$A$7:$A$37,0)),""))</f>
        <v/>
      </c>
      <c r="M34">
        <f>IF(E30="","",IFERROR(INDEX('04_月間表'!AA$7:AA$37,MATCH(E30,'04_月間表'!$A$7:$A$37,0)),""))</f>
        <v/>
      </c>
      <c r="N34">
        <f>IF(F30="","",IFERROR(INDEX('04_月間表'!AA$7:AA$37,MATCH(F30,'04_月間表'!$A$7:$A$37,0)),""))</f>
        <v/>
      </c>
      <c r="O34">
        <f>IF(G30="","",IFERROR(INDEX('04_月間表'!AA$7:AA$37,MATCH(G30,'04_月間表'!$A$7:$A$37,0)),""))</f>
        <v/>
      </c>
      <c r="P34">
        <f>IF(H30="","",IFERROR(INDEX('04_月間表'!AA$7:AA$37,MATCH(H30,'04_月間表'!$A$7:$A$37,0)),""))</f>
        <v/>
      </c>
    </row>
    <row r="35" ht="19" customHeight="1">
      <c r="A35" s="29" t="inlineStr">
        <is>
          <t>空き</t>
        </is>
      </c>
      <c r="B35" s="31">
        <f>IF(B30="","",IFERROR(INDEX('04_月間表'!$J$7:$J$37,MATCH(B30,'04_月間表'!$A$7:$A$37,0)),""))</f>
        <v/>
      </c>
      <c r="C35" s="31">
        <f>IF(C30="","",IFERROR(INDEX('04_月間表'!$J$7:$J$37,MATCH(C30,'04_月間表'!$A$7:$A$37,0)),""))</f>
        <v/>
      </c>
      <c r="D35" s="31">
        <f>IF(D30="","",IFERROR(INDEX('04_月間表'!$J$7:$J$37,MATCH(D30,'04_月間表'!$A$7:$A$37,0)),""))</f>
        <v/>
      </c>
      <c r="E35" s="31">
        <f>IF(E30="","",IFERROR(INDEX('04_月間表'!$J$7:$J$37,MATCH(E30,'04_月間表'!$A$7:$A$37,0)),""))</f>
        <v/>
      </c>
      <c r="F35" s="31">
        <f>IF(F30="","",IFERROR(INDEX('04_月間表'!$J$7:$J$37,MATCH(F30,'04_月間表'!$A$7:$A$37,0)),""))</f>
        <v/>
      </c>
      <c r="G35" s="31">
        <f>IF(G30="","",IFERROR(INDEX('04_月間表'!$J$7:$J$37,MATCH(G30,'04_月間表'!$A$7:$A$37,0)),""))</f>
        <v/>
      </c>
      <c r="H35" s="31">
        <f>IF(H30="","",IFERROR(INDEX('04_月間表'!$J$7:$J$37,MATCH(H30,'04_月間表'!$A$7:$A$37,0)),""))</f>
        <v/>
      </c>
    </row>
    <row r="37" ht="20" customHeight="1">
      <c r="A37" s="25" t="inlineStr">
        <is>
          <t>第5週</t>
        </is>
      </c>
      <c r="B37" s="57">
        <f>IF(MONTH($B$4-WEEKDAY($B$4)+1+28)&lt;&gt;MONTH($B$4),"",$B$4-WEEKDAY($B$4)+1+28)</f>
        <v/>
      </c>
      <c r="C37" s="58">
        <f>IF(MONTH($B$4-WEEKDAY($B$4)+1+29)&lt;&gt;MONTH($B$4),"",$B$4-WEEKDAY($B$4)+1+29)</f>
        <v/>
      </c>
      <c r="D37" s="58">
        <f>IF(MONTH($B$4-WEEKDAY($B$4)+1+30)&lt;&gt;MONTH($B$4),"",$B$4-WEEKDAY($B$4)+1+30)</f>
        <v/>
      </c>
      <c r="E37" s="58">
        <f>IF(MONTH($B$4-WEEKDAY($B$4)+1+31)&lt;&gt;MONTH($B$4),"",$B$4-WEEKDAY($B$4)+1+31)</f>
        <v/>
      </c>
      <c r="F37" s="58">
        <f>IF(MONTH($B$4-WEEKDAY($B$4)+1+32)&lt;&gt;MONTH($B$4),"",$B$4-WEEKDAY($B$4)+1+32)</f>
        <v/>
      </c>
      <c r="G37" s="58">
        <f>IF(MONTH($B$4-WEEKDAY($B$4)+1+33)&lt;&gt;MONTH($B$4),"",$B$4-WEEKDAY($B$4)+1+33)</f>
        <v/>
      </c>
      <c r="H37" s="59">
        <f>IF(MONTH($B$4-WEEKDAY($B$4)+1+34)&lt;&gt;MONTH($B$4),"",$B$4-WEEKDAY($B$4)+1+34)</f>
        <v/>
      </c>
    </row>
    <row r="38" ht="17" customHeight="1">
      <c r="A38" s="29">
        <f>IF(COUNTA('M_部屋'!$A$4:$A$20)&gt;=1,INDEX('M_部屋'!$A$4:$A$20,1),"")</f>
        <v/>
      </c>
      <c r="B38" s="30">
        <f>IF(B37="","",IFERROR(INDEX('04_月間表'!C$7:C$37,MATCH(B37,'04_月間表'!$A$7:$A$37,0)),""))</f>
        <v/>
      </c>
      <c r="C38" s="30">
        <f>IF(C37="","",IFERROR(INDEX('04_月間表'!C$7:C$37,MATCH(C37,'04_月間表'!$A$7:$A$37,0)),""))</f>
        <v/>
      </c>
      <c r="D38" s="30">
        <f>IF(D37="","",IFERROR(INDEX('04_月間表'!C$7:C$37,MATCH(D37,'04_月間表'!$A$7:$A$37,0)),""))</f>
        <v/>
      </c>
      <c r="E38" s="30">
        <f>IF(E37="","",IFERROR(INDEX('04_月間表'!C$7:C$37,MATCH(E37,'04_月間表'!$A$7:$A$37,0)),""))</f>
        <v/>
      </c>
      <c r="F38" s="30">
        <f>IF(F37="","",IFERROR(INDEX('04_月間表'!C$7:C$37,MATCH(F37,'04_月間表'!$A$7:$A$37,0)),""))</f>
        <v/>
      </c>
      <c r="G38" s="30">
        <f>IF(G37="","",IFERROR(INDEX('04_月間表'!C$7:C$37,MATCH(G37,'04_月間表'!$A$7:$A$37,0)),""))</f>
        <v/>
      </c>
      <c r="H38" s="30">
        <f>IF(H37="","",IFERROR(INDEX('04_月間表'!C$7:C$37,MATCH(H37,'04_月間表'!$A$7:$A$37,0)),""))</f>
        <v/>
      </c>
      <c r="J38">
        <f>IF(B37="","",IFERROR(INDEX('04_月間表'!X$7:X$37,MATCH(B37,'04_月間表'!$A$7:$A$37,0)),""))</f>
        <v/>
      </c>
      <c r="K38">
        <f>IF(C37="","",IFERROR(INDEX('04_月間表'!X$7:X$37,MATCH(C37,'04_月間表'!$A$7:$A$37,0)),""))</f>
        <v/>
      </c>
      <c r="L38">
        <f>IF(D37="","",IFERROR(INDEX('04_月間表'!X$7:X$37,MATCH(D37,'04_月間表'!$A$7:$A$37,0)),""))</f>
        <v/>
      </c>
      <c r="M38">
        <f>IF(E37="","",IFERROR(INDEX('04_月間表'!X$7:X$37,MATCH(E37,'04_月間表'!$A$7:$A$37,0)),""))</f>
        <v/>
      </c>
      <c r="N38">
        <f>IF(F37="","",IFERROR(INDEX('04_月間表'!X$7:X$37,MATCH(F37,'04_月間表'!$A$7:$A$37,0)),""))</f>
        <v/>
      </c>
      <c r="O38">
        <f>IF(G37="","",IFERROR(INDEX('04_月間表'!X$7:X$37,MATCH(G37,'04_月間表'!$A$7:$A$37,0)),""))</f>
        <v/>
      </c>
      <c r="P38">
        <f>IF(H37="","",IFERROR(INDEX('04_月間表'!X$7:X$37,MATCH(H37,'04_月間表'!$A$7:$A$37,0)),""))</f>
        <v/>
      </c>
    </row>
    <row r="39" ht="17" customHeight="1">
      <c r="A39" s="29">
        <f>IF(COUNTA('M_部屋'!$A$4:$A$20)&gt;=2,INDEX('M_部屋'!$A$4:$A$20,2),"")</f>
        <v/>
      </c>
      <c r="B39" s="30">
        <f>IF(B37="","",IFERROR(INDEX('04_月間表'!D$7:D$37,MATCH(B37,'04_月間表'!$A$7:$A$37,0)),""))</f>
        <v/>
      </c>
      <c r="C39" s="30">
        <f>IF(C37="","",IFERROR(INDEX('04_月間表'!D$7:D$37,MATCH(C37,'04_月間表'!$A$7:$A$37,0)),""))</f>
        <v/>
      </c>
      <c r="D39" s="30">
        <f>IF(D37="","",IFERROR(INDEX('04_月間表'!D$7:D$37,MATCH(D37,'04_月間表'!$A$7:$A$37,0)),""))</f>
        <v/>
      </c>
      <c r="E39" s="30">
        <f>IF(E37="","",IFERROR(INDEX('04_月間表'!D$7:D$37,MATCH(E37,'04_月間表'!$A$7:$A$37,0)),""))</f>
        <v/>
      </c>
      <c r="F39" s="30">
        <f>IF(F37="","",IFERROR(INDEX('04_月間表'!D$7:D$37,MATCH(F37,'04_月間表'!$A$7:$A$37,0)),""))</f>
        <v/>
      </c>
      <c r="G39" s="30">
        <f>IF(G37="","",IFERROR(INDEX('04_月間表'!D$7:D$37,MATCH(G37,'04_月間表'!$A$7:$A$37,0)),""))</f>
        <v/>
      </c>
      <c r="H39" s="30">
        <f>IF(H37="","",IFERROR(INDEX('04_月間表'!D$7:D$37,MATCH(H37,'04_月間表'!$A$7:$A$37,0)),""))</f>
        <v/>
      </c>
      <c r="J39">
        <f>IF(B37="","",IFERROR(INDEX('04_月間表'!Y$7:Y$37,MATCH(B37,'04_月間表'!$A$7:$A$37,0)),""))</f>
        <v/>
      </c>
      <c r="K39">
        <f>IF(C37="","",IFERROR(INDEX('04_月間表'!Y$7:Y$37,MATCH(C37,'04_月間表'!$A$7:$A$37,0)),""))</f>
        <v/>
      </c>
      <c r="L39">
        <f>IF(D37="","",IFERROR(INDEX('04_月間表'!Y$7:Y$37,MATCH(D37,'04_月間表'!$A$7:$A$37,0)),""))</f>
        <v/>
      </c>
      <c r="M39">
        <f>IF(E37="","",IFERROR(INDEX('04_月間表'!Y$7:Y$37,MATCH(E37,'04_月間表'!$A$7:$A$37,0)),""))</f>
        <v/>
      </c>
      <c r="N39">
        <f>IF(F37="","",IFERROR(INDEX('04_月間表'!Y$7:Y$37,MATCH(F37,'04_月間表'!$A$7:$A$37,0)),""))</f>
        <v/>
      </c>
      <c r="O39">
        <f>IF(G37="","",IFERROR(INDEX('04_月間表'!Y$7:Y$37,MATCH(G37,'04_月間表'!$A$7:$A$37,0)),""))</f>
        <v/>
      </c>
      <c r="P39">
        <f>IF(H37="","",IFERROR(INDEX('04_月間表'!Y$7:Y$37,MATCH(H37,'04_月間表'!$A$7:$A$37,0)),""))</f>
        <v/>
      </c>
    </row>
    <row r="40" ht="17" customHeight="1">
      <c r="A40" s="29">
        <f>IF(COUNTA('M_部屋'!$A$4:$A$20)&gt;=3,INDEX('M_部屋'!$A$4:$A$20,3),"")</f>
        <v/>
      </c>
      <c r="B40" s="30">
        <f>IF(B37="","",IFERROR(INDEX('04_月間表'!E$7:E$37,MATCH(B37,'04_月間表'!$A$7:$A$37,0)),""))</f>
        <v/>
      </c>
      <c r="C40" s="30">
        <f>IF(C37="","",IFERROR(INDEX('04_月間表'!E$7:E$37,MATCH(C37,'04_月間表'!$A$7:$A$37,0)),""))</f>
        <v/>
      </c>
      <c r="D40" s="30">
        <f>IF(D37="","",IFERROR(INDEX('04_月間表'!E$7:E$37,MATCH(D37,'04_月間表'!$A$7:$A$37,0)),""))</f>
        <v/>
      </c>
      <c r="E40" s="30">
        <f>IF(E37="","",IFERROR(INDEX('04_月間表'!E$7:E$37,MATCH(E37,'04_月間表'!$A$7:$A$37,0)),""))</f>
        <v/>
      </c>
      <c r="F40" s="30">
        <f>IF(F37="","",IFERROR(INDEX('04_月間表'!E$7:E$37,MATCH(F37,'04_月間表'!$A$7:$A$37,0)),""))</f>
        <v/>
      </c>
      <c r="G40" s="30">
        <f>IF(G37="","",IFERROR(INDEX('04_月間表'!E$7:E$37,MATCH(G37,'04_月間表'!$A$7:$A$37,0)),""))</f>
        <v/>
      </c>
      <c r="H40" s="30">
        <f>IF(H37="","",IFERROR(INDEX('04_月間表'!E$7:E$37,MATCH(H37,'04_月間表'!$A$7:$A$37,0)),""))</f>
        <v/>
      </c>
      <c r="J40">
        <f>IF(B37="","",IFERROR(INDEX('04_月間表'!Z$7:Z$37,MATCH(B37,'04_月間表'!$A$7:$A$37,0)),""))</f>
        <v/>
      </c>
      <c r="K40">
        <f>IF(C37="","",IFERROR(INDEX('04_月間表'!Z$7:Z$37,MATCH(C37,'04_月間表'!$A$7:$A$37,0)),""))</f>
        <v/>
      </c>
      <c r="L40">
        <f>IF(D37="","",IFERROR(INDEX('04_月間表'!Z$7:Z$37,MATCH(D37,'04_月間表'!$A$7:$A$37,0)),""))</f>
        <v/>
      </c>
      <c r="M40">
        <f>IF(E37="","",IFERROR(INDEX('04_月間表'!Z$7:Z$37,MATCH(E37,'04_月間表'!$A$7:$A$37,0)),""))</f>
        <v/>
      </c>
      <c r="N40">
        <f>IF(F37="","",IFERROR(INDEX('04_月間表'!Z$7:Z$37,MATCH(F37,'04_月間表'!$A$7:$A$37,0)),""))</f>
        <v/>
      </c>
      <c r="O40">
        <f>IF(G37="","",IFERROR(INDEX('04_月間表'!Z$7:Z$37,MATCH(G37,'04_月間表'!$A$7:$A$37,0)),""))</f>
        <v/>
      </c>
      <c r="P40">
        <f>IF(H37="","",IFERROR(INDEX('04_月間表'!Z$7:Z$37,MATCH(H37,'04_月間表'!$A$7:$A$37,0)),""))</f>
        <v/>
      </c>
    </row>
    <row r="41" ht="17" customHeight="1">
      <c r="A41" s="29">
        <f>IF(COUNTA('M_部屋'!$A$4:$A$20)&gt;=4,INDEX('M_部屋'!$A$4:$A$20,4),"")</f>
        <v/>
      </c>
      <c r="B41" s="30">
        <f>IF(B37="","",IFERROR(INDEX('04_月間表'!F$7:F$37,MATCH(B37,'04_月間表'!$A$7:$A$37,0)),""))</f>
        <v/>
      </c>
      <c r="C41" s="30">
        <f>IF(C37="","",IFERROR(INDEX('04_月間表'!F$7:F$37,MATCH(C37,'04_月間表'!$A$7:$A$37,0)),""))</f>
        <v/>
      </c>
      <c r="D41" s="30">
        <f>IF(D37="","",IFERROR(INDEX('04_月間表'!F$7:F$37,MATCH(D37,'04_月間表'!$A$7:$A$37,0)),""))</f>
        <v/>
      </c>
      <c r="E41" s="30">
        <f>IF(E37="","",IFERROR(INDEX('04_月間表'!F$7:F$37,MATCH(E37,'04_月間表'!$A$7:$A$37,0)),""))</f>
        <v/>
      </c>
      <c r="F41" s="30">
        <f>IF(F37="","",IFERROR(INDEX('04_月間表'!F$7:F$37,MATCH(F37,'04_月間表'!$A$7:$A$37,0)),""))</f>
        <v/>
      </c>
      <c r="G41" s="30">
        <f>IF(G37="","",IFERROR(INDEX('04_月間表'!F$7:F$37,MATCH(G37,'04_月間表'!$A$7:$A$37,0)),""))</f>
        <v/>
      </c>
      <c r="H41" s="30">
        <f>IF(H37="","",IFERROR(INDEX('04_月間表'!F$7:F$37,MATCH(H37,'04_月間表'!$A$7:$A$37,0)),""))</f>
        <v/>
      </c>
      <c r="J41">
        <f>IF(B37="","",IFERROR(INDEX('04_月間表'!AA$7:AA$37,MATCH(B37,'04_月間表'!$A$7:$A$37,0)),""))</f>
        <v/>
      </c>
      <c r="K41">
        <f>IF(C37="","",IFERROR(INDEX('04_月間表'!AA$7:AA$37,MATCH(C37,'04_月間表'!$A$7:$A$37,0)),""))</f>
        <v/>
      </c>
      <c r="L41">
        <f>IF(D37="","",IFERROR(INDEX('04_月間表'!AA$7:AA$37,MATCH(D37,'04_月間表'!$A$7:$A$37,0)),""))</f>
        <v/>
      </c>
      <c r="M41">
        <f>IF(E37="","",IFERROR(INDEX('04_月間表'!AA$7:AA$37,MATCH(E37,'04_月間表'!$A$7:$A$37,0)),""))</f>
        <v/>
      </c>
      <c r="N41">
        <f>IF(F37="","",IFERROR(INDEX('04_月間表'!AA$7:AA$37,MATCH(F37,'04_月間表'!$A$7:$A$37,0)),""))</f>
        <v/>
      </c>
      <c r="O41">
        <f>IF(G37="","",IFERROR(INDEX('04_月間表'!AA$7:AA$37,MATCH(G37,'04_月間表'!$A$7:$A$37,0)),""))</f>
        <v/>
      </c>
      <c r="P41">
        <f>IF(H37="","",IFERROR(INDEX('04_月間表'!AA$7:AA$37,MATCH(H37,'04_月間表'!$A$7:$A$37,0)),""))</f>
        <v/>
      </c>
    </row>
    <row r="42" ht="19" customHeight="1">
      <c r="A42" s="29" t="inlineStr">
        <is>
          <t>空き</t>
        </is>
      </c>
      <c r="B42" s="31">
        <f>IF(B37="","",IFERROR(INDEX('04_月間表'!$J$7:$J$37,MATCH(B37,'04_月間表'!$A$7:$A$37,0)),""))</f>
        <v/>
      </c>
      <c r="C42" s="31">
        <f>IF(C37="","",IFERROR(INDEX('04_月間表'!$J$7:$J$37,MATCH(C37,'04_月間表'!$A$7:$A$37,0)),""))</f>
        <v/>
      </c>
      <c r="D42" s="31">
        <f>IF(D37="","",IFERROR(INDEX('04_月間表'!$J$7:$J$37,MATCH(D37,'04_月間表'!$A$7:$A$37,0)),""))</f>
        <v/>
      </c>
      <c r="E42" s="31">
        <f>IF(E37="","",IFERROR(INDEX('04_月間表'!$J$7:$J$37,MATCH(E37,'04_月間表'!$A$7:$A$37,0)),""))</f>
        <v/>
      </c>
      <c r="F42" s="31">
        <f>IF(F37="","",IFERROR(INDEX('04_月間表'!$J$7:$J$37,MATCH(F37,'04_月間表'!$A$7:$A$37,0)),""))</f>
        <v/>
      </c>
      <c r="G42" s="31">
        <f>IF(G37="","",IFERROR(INDEX('04_月間表'!$J$7:$J$37,MATCH(G37,'04_月間表'!$A$7:$A$37,0)),""))</f>
        <v/>
      </c>
      <c r="H42" s="31">
        <f>IF(H37="","",IFERROR(INDEX('04_月間表'!$J$7:$J$37,MATCH(H37,'04_月間表'!$A$7:$A$37,0)),""))</f>
        <v/>
      </c>
    </row>
    <row r="44" ht="20" customHeight="1">
      <c r="A44" s="25" t="inlineStr">
        <is>
          <t>第6週</t>
        </is>
      </c>
      <c r="B44" s="57">
        <f>IF(MONTH($B$4-WEEKDAY($B$4)+1+35)&lt;&gt;MONTH($B$4),"",$B$4-WEEKDAY($B$4)+1+35)</f>
        <v/>
      </c>
      <c r="C44" s="58">
        <f>IF(MONTH($B$4-WEEKDAY($B$4)+1+36)&lt;&gt;MONTH($B$4),"",$B$4-WEEKDAY($B$4)+1+36)</f>
        <v/>
      </c>
      <c r="D44" s="58">
        <f>IF(MONTH($B$4-WEEKDAY($B$4)+1+37)&lt;&gt;MONTH($B$4),"",$B$4-WEEKDAY($B$4)+1+37)</f>
        <v/>
      </c>
      <c r="E44" s="58">
        <f>IF(MONTH($B$4-WEEKDAY($B$4)+1+38)&lt;&gt;MONTH($B$4),"",$B$4-WEEKDAY($B$4)+1+38)</f>
        <v/>
      </c>
      <c r="F44" s="58">
        <f>IF(MONTH($B$4-WEEKDAY($B$4)+1+39)&lt;&gt;MONTH($B$4),"",$B$4-WEEKDAY($B$4)+1+39)</f>
        <v/>
      </c>
      <c r="G44" s="58">
        <f>IF(MONTH($B$4-WEEKDAY($B$4)+1+40)&lt;&gt;MONTH($B$4),"",$B$4-WEEKDAY($B$4)+1+40)</f>
        <v/>
      </c>
      <c r="H44" s="59">
        <f>IF(MONTH($B$4-WEEKDAY($B$4)+1+41)&lt;&gt;MONTH($B$4),"",$B$4-WEEKDAY($B$4)+1+41)</f>
        <v/>
      </c>
    </row>
    <row r="45" ht="17" customHeight="1">
      <c r="A45" s="29">
        <f>IF(COUNTA('M_部屋'!$A$4:$A$20)&gt;=1,INDEX('M_部屋'!$A$4:$A$20,1),"")</f>
        <v/>
      </c>
      <c r="B45" s="30">
        <f>IF(B44="","",IFERROR(INDEX('04_月間表'!C$7:C$37,MATCH(B44,'04_月間表'!$A$7:$A$37,0)),""))</f>
        <v/>
      </c>
      <c r="C45" s="30">
        <f>IF(C44="","",IFERROR(INDEX('04_月間表'!C$7:C$37,MATCH(C44,'04_月間表'!$A$7:$A$37,0)),""))</f>
        <v/>
      </c>
      <c r="D45" s="30">
        <f>IF(D44="","",IFERROR(INDEX('04_月間表'!C$7:C$37,MATCH(D44,'04_月間表'!$A$7:$A$37,0)),""))</f>
        <v/>
      </c>
      <c r="E45" s="30">
        <f>IF(E44="","",IFERROR(INDEX('04_月間表'!C$7:C$37,MATCH(E44,'04_月間表'!$A$7:$A$37,0)),""))</f>
        <v/>
      </c>
      <c r="F45" s="30">
        <f>IF(F44="","",IFERROR(INDEX('04_月間表'!C$7:C$37,MATCH(F44,'04_月間表'!$A$7:$A$37,0)),""))</f>
        <v/>
      </c>
      <c r="G45" s="30">
        <f>IF(G44="","",IFERROR(INDEX('04_月間表'!C$7:C$37,MATCH(G44,'04_月間表'!$A$7:$A$37,0)),""))</f>
        <v/>
      </c>
      <c r="H45" s="30">
        <f>IF(H44="","",IFERROR(INDEX('04_月間表'!C$7:C$37,MATCH(H44,'04_月間表'!$A$7:$A$37,0)),""))</f>
        <v/>
      </c>
      <c r="J45">
        <f>IF(B44="","",IFERROR(INDEX('04_月間表'!X$7:X$37,MATCH(B44,'04_月間表'!$A$7:$A$37,0)),""))</f>
        <v/>
      </c>
      <c r="K45">
        <f>IF(C44="","",IFERROR(INDEX('04_月間表'!X$7:X$37,MATCH(C44,'04_月間表'!$A$7:$A$37,0)),""))</f>
        <v/>
      </c>
      <c r="L45">
        <f>IF(D44="","",IFERROR(INDEX('04_月間表'!X$7:X$37,MATCH(D44,'04_月間表'!$A$7:$A$37,0)),""))</f>
        <v/>
      </c>
      <c r="M45">
        <f>IF(E44="","",IFERROR(INDEX('04_月間表'!X$7:X$37,MATCH(E44,'04_月間表'!$A$7:$A$37,0)),""))</f>
        <v/>
      </c>
      <c r="N45">
        <f>IF(F44="","",IFERROR(INDEX('04_月間表'!X$7:X$37,MATCH(F44,'04_月間表'!$A$7:$A$37,0)),""))</f>
        <v/>
      </c>
      <c r="O45">
        <f>IF(G44="","",IFERROR(INDEX('04_月間表'!X$7:X$37,MATCH(G44,'04_月間表'!$A$7:$A$37,0)),""))</f>
        <v/>
      </c>
      <c r="P45">
        <f>IF(H44="","",IFERROR(INDEX('04_月間表'!X$7:X$37,MATCH(H44,'04_月間表'!$A$7:$A$37,0)),""))</f>
        <v/>
      </c>
    </row>
    <row r="46" ht="17" customHeight="1">
      <c r="A46" s="29">
        <f>IF(COUNTA('M_部屋'!$A$4:$A$20)&gt;=2,INDEX('M_部屋'!$A$4:$A$20,2),"")</f>
        <v/>
      </c>
      <c r="B46" s="30">
        <f>IF(B44="","",IFERROR(INDEX('04_月間表'!D$7:D$37,MATCH(B44,'04_月間表'!$A$7:$A$37,0)),""))</f>
        <v/>
      </c>
      <c r="C46" s="30">
        <f>IF(C44="","",IFERROR(INDEX('04_月間表'!D$7:D$37,MATCH(C44,'04_月間表'!$A$7:$A$37,0)),""))</f>
        <v/>
      </c>
      <c r="D46" s="30">
        <f>IF(D44="","",IFERROR(INDEX('04_月間表'!D$7:D$37,MATCH(D44,'04_月間表'!$A$7:$A$37,0)),""))</f>
        <v/>
      </c>
      <c r="E46" s="30">
        <f>IF(E44="","",IFERROR(INDEX('04_月間表'!D$7:D$37,MATCH(E44,'04_月間表'!$A$7:$A$37,0)),""))</f>
        <v/>
      </c>
      <c r="F46" s="30">
        <f>IF(F44="","",IFERROR(INDEX('04_月間表'!D$7:D$37,MATCH(F44,'04_月間表'!$A$7:$A$37,0)),""))</f>
        <v/>
      </c>
      <c r="G46" s="30">
        <f>IF(G44="","",IFERROR(INDEX('04_月間表'!D$7:D$37,MATCH(G44,'04_月間表'!$A$7:$A$37,0)),""))</f>
        <v/>
      </c>
      <c r="H46" s="30">
        <f>IF(H44="","",IFERROR(INDEX('04_月間表'!D$7:D$37,MATCH(H44,'04_月間表'!$A$7:$A$37,0)),""))</f>
        <v/>
      </c>
      <c r="J46">
        <f>IF(B44="","",IFERROR(INDEX('04_月間表'!Y$7:Y$37,MATCH(B44,'04_月間表'!$A$7:$A$37,0)),""))</f>
        <v/>
      </c>
      <c r="K46">
        <f>IF(C44="","",IFERROR(INDEX('04_月間表'!Y$7:Y$37,MATCH(C44,'04_月間表'!$A$7:$A$37,0)),""))</f>
        <v/>
      </c>
      <c r="L46">
        <f>IF(D44="","",IFERROR(INDEX('04_月間表'!Y$7:Y$37,MATCH(D44,'04_月間表'!$A$7:$A$37,0)),""))</f>
        <v/>
      </c>
      <c r="M46">
        <f>IF(E44="","",IFERROR(INDEX('04_月間表'!Y$7:Y$37,MATCH(E44,'04_月間表'!$A$7:$A$37,0)),""))</f>
        <v/>
      </c>
      <c r="N46">
        <f>IF(F44="","",IFERROR(INDEX('04_月間表'!Y$7:Y$37,MATCH(F44,'04_月間表'!$A$7:$A$37,0)),""))</f>
        <v/>
      </c>
      <c r="O46">
        <f>IF(G44="","",IFERROR(INDEX('04_月間表'!Y$7:Y$37,MATCH(G44,'04_月間表'!$A$7:$A$37,0)),""))</f>
        <v/>
      </c>
      <c r="P46">
        <f>IF(H44="","",IFERROR(INDEX('04_月間表'!Y$7:Y$37,MATCH(H44,'04_月間表'!$A$7:$A$37,0)),""))</f>
        <v/>
      </c>
    </row>
    <row r="47" ht="17" customHeight="1">
      <c r="A47" s="29">
        <f>IF(COUNTA('M_部屋'!$A$4:$A$20)&gt;=3,INDEX('M_部屋'!$A$4:$A$20,3),"")</f>
        <v/>
      </c>
      <c r="B47" s="30">
        <f>IF(B44="","",IFERROR(INDEX('04_月間表'!E$7:E$37,MATCH(B44,'04_月間表'!$A$7:$A$37,0)),""))</f>
        <v/>
      </c>
      <c r="C47" s="30">
        <f>IF(C44="","",IFERROR(INDEX('04_月間表'!E$7:E$37,MATCH(C44,'04_月間表'!$A$7:$A$37,0)),""))</f>
        <v/>
      </c>
      <c r="D47" s="30">
        <f>IF(D44="","",IFERROR(INDEX('04_月間表'!E$7:E$37,MATCH(D44,'04_月間表'!$A$7:$A$37,0)),""))</f>
        <v/>
      </c>
      <c r="E47" s="30">
        <f>IF(E44="","",IFERROR(INDEX('04_月間表'!E$7:E$37,MATCH(E44,'04_月間表'!$A$7:$A$37,0)),""))</f>
        <v/>
      </c>
      <c r="F47" s="30">
        <f>IF(F44="","",IFERROR(INDEX('04_月間表'!E$7:E$37,MATCH(F44,'04_月間表'!$A$7:$A$37,0)),""))</f>
        <v/>
      </c>
      <c r="G47" s="30">
        <f>IF(G44="","",IFERROR(INDEX('04_月間表'!E$7:E$37,MATCH(G44,'04_月間表'!$A$7:$A$37,0)),""))</f>
        <v/>
      </c>
      <c r="H47" s="30">
        <f>IF(H44="","",IFERROR(INDEX('04_月間表'!E$7:E$37,MATCH(H44,'04_月間表'!$A$7:$A$37,0)),""))</f>
        <v/>
      </c>
      <c r="J47">
        <f>IF(B44="","",IFERROR(INDEX('04_月間表'!Z$7:Z$37,MATCH(B44,'04_月間表'!$A$7:$A$37,0)),""))</f>
        <v/>
      </c>
      <c r="K47">
        <f>IF(C44="","",IFERROR(INDEX('04_月間表'!Z$7:Z$37,MATCH(C44,'04_月間表'!$A$7:$A$37,0)),""))</f>
        <v/>
      </c>
      <c r="L47">
        <f>IF(D44="","",IFERROR(INDEX('04_月間表'!Z$7:Z$37,MATCH(D44,'04_月間表'!$A$7:$A$37,0)),""))</f>
        <v/>
      </c>
      <c r="M47">
        <f>IF(E44="","",IFERROR(INDEX('04_月間表'!Z$7:Z$37,MATCH(E44,'04_月間表'!$A$7:$A$37,0)),""))</f>
        <v/>
      </c>
      <c r="N47">
        <f>IF(F44="","",IFERROR(INDEX('04_月間表'!Z$7:Z$37,MATCH(F44,'04_月間表'!$A$7:$A$37,0)),""))</f>
        <v/>
      </c>
      <c r="O47">
        <f>IF(G44="","",IFERROR(INDEX('04_月間表'!Z$7:Z$37,MATCH(G44,'04_月間表'!$A$7:$A$37,0)),""))</f>
        <v/>
      </c>
      <c r="P47">
        <f>IF(H44="","",IFERROR(INDEX('04_月間表'!Z$7:Z$37,MATCH(H44,'04_月間表'!$A$7:$A$37,0)),""))</f>
        <v/>
      </c>
    </row>
    <row r="48" ht="17" customHeight="1">
      <c r="A48" s="29">
        <f>IF(COUNTA('M_部屋'!$A$4:$A$20)&gt;=4,INDEX('M_部屋'!$A$4:$A$20,4),"")</f>
        <v/>
      </c>
      <c r="B48" s="30">
        <f>IF(B44="","",IFERROR(INDEX('04_月間表'!F$7:F$37,MATCH(B44,'04_月間表'!$A$7:$A$37,0)),""))</f>
        <v/>
      </c>
      <c r="C48" s="30">
        <f>IF(C44="","",IFERROR(INDEX('04_月間表'!F$7:F$37,MATCH(C44,'04_月間表'!$A$7:$A$37,0)),""))</f>
        <v/>
      </c>
      <c r="D48" s="30">
        <f>IF(D44="","",IFERROR(INDEX('04_月間表'!F$7:F$37,MATCH(D44,'04_月間表'!$A$7:$A$37,0)),""))</f>
        <v/>
      </c>
      <c r="E48" s="30">
        <f>IF(E44="","",IFERROR(INDEX('04_月間表'!F$7:F$37,MATCH(E44,'04_月間表'!$A$7:$A$37,0)),""))</f>
        <v/>
      </c>
      <c r="F48" s="30">
        <f>IF(F44="","",IFERROR(INDEX('04_月間表'!F$7:F$37,MATCH(F44,'04_月間表'!$A$7:$A$37,0)),""))</f>
        <v/>
      </c>
      <c r="G48" s="30">
        <f>IF(G44="","",IFERROR(INDEX('04_月間表'!F$7:F$37,MATCH(G44,'04_月間表'!$A$7:$A$37,0)),""))</f>
        <v/>
      </c>
      <c r="H48" s="30">
        <f>IF(H44="","",IFERROR(INDEX('04_月間表'!F$7:F$37,MATCH(H44,'04_月間表'!$A$7:$A$37,0)),""))</f>
        <v/>
      </c>
      <c r="J48">
        <f>IF(B44="","",IFERROR(INDEX('04_月間表'!AA$7:AA$37,MATCH(B44,'04_月間表'!$A$7:$A$37,0)),""))</f>
        <v/>
      </c>
      <c r="K48">
        <f>IF(C44="","",IFERROR(INDEX('04_月間表'!AA$7:AA$37,MATCH(C44,'04_月間表'!$A$7:$A$37,0)),""))</f>
        <v/>
      </c>
      <c r="L48">
        <f>IF(D44="","",IFERROR(INDEX('04_月間表'!AA$7:AA$37,MATCH(D44,'04_月間表'!$A$7:$A$37,0)),""))</f>
        <v/>
      </c>
      <c r="M48">
        <f>IF(E44="","",IFERROR(INDEX('04_月間表'!AA$7:AA$37,MATCH(E44,'04_月間表'!$A$7:$A$37,0)),""))</f>
        <v/>
      </c>
      <c r="N48">
        <f>IF(F44="","",IFERROR(INDEX('04_月間表'!AA$7:AA$37,MATCH(F44,'04_月間表'!$A$7:$A$37,0)),""))</f>
        <v/>
      </c>
      <c r="O48">
        <f>IF(G44="","",IFERROR(INDEX('04_月間表'!AA$7:AA$37,MATCH(G44,'04_月間表'!$A$7:$A$37,0)),""))</f>
        <v/>
      </c>
      <c r="P48">
        <f>IF(H44="","",IFERROR(INDEX('04_月間表'!AA$7:AA$37,MATCH(H44,'04_月間表'!$A$7:$A$37,0)),""))</f>
        <v/>
      </c>
    </row>
    <row r="49" ht="19" customHeight="1">
      <c r="A49" s="29" t="inlineStr">
        <is>
          <t>空き</t>
        </is>
      </c>
      <c r="B49" s="31">
        <f>IF(B44="","",IFERROR(INDEX('04_月間表'!$J$7:$J$37,MATCH(B44,'04_月間表'!$A$7:$A$37,0)),""))</f>
        <v/>
      </c>
      <c r="C49" s="31">
        <f>IF(C44="","",IFERROR(INDEX('04_月間表'!$J$7:$J$37,MATCH(C44,'04_月間表'!$A$7:$A$37,0)),""))</f>
        <v/>
      </c>
      <c r="D49" s="31">
        <f>IF(D44="","",IFERROR(INDEX('04_月間表'!$J$7:$J$37,MATCH(D44,'04_月間表'!$A$7:$A$37,0)),""))</f>
        <v/>
      </c>
      <c r="E49" s="31">
        <f>IF(E44="","",IFERROR(INDEX('04_月間表'!$J$7:$J$37,MATCH(E44,'04_月間表'!$A$7:$A$37,0)),""))</f>
        <v/>
      </c>
      <c r="F49" s="31">
        <f>IF(F44="","",IFERROR(INDEX('04_月間表'!$J$7:$J$37,MATCH(F44,'04_月間表'!$A$7:$A$37,0)),""))</f>
        <v/>
      </c>
      <c r="G49" s="31">
        <f>IF(G44="","",IFERROR(INDEX('04_月間表'!$J$7:$J$37,MATCH(G44,'04_月間表'!$A$7:$A$37,0)),""))</f>
        <v/>
      </c>
      <c r="H49" s="31">
        <f>IF(H44="","",IFERROR(INDEX('04_月間表'!$J$7:$J$37,MATCH(H44,'04_月間表'!$A$7:$A$37,0)),""))</f>
        <v/>
      </c>
    </row>
    <row r="51">
      <c r="A51" s="2" t="inlineStr">
        <is>
          <t>※ 1〜2室の施設では、使わない部屋の行（部屋名が空欄の行）を6週ぶんまとめて選択し、右クリック→非表示 にしてください。数式を消す必要はありません。</t>
        </is>
      </c>
    </row>
    <row r="52">
      <c r="A52" s="2" t="inlineStr">
        <is>
          <t>※ J〜P列は色分け用の隠し列です。表示しても構いませんが、編集しないでください。</t>
        </is>
      </c>
    </row>
    <row r="53">
      <c r="A53" s="2" t="inlineStr">
        <is>
          <t>※ 退所日に名前が出ていても、その日の夜は空いています（「空き」行の記号が正です）。</t>
        </is>
      </c>
    </row>
  </sheetData>
  <conditionalFormatting sqref="B9:H49">
    <cfRule type="expression" priority="1" dxfId="4" stopIfTrue="1">
      <formula>AND(B9&lt;&gt;"",J9="仮")</formula>
    </cfRule>
    <cfRule type="expression" priority="2" dxfId="5" stopIfTrue="1">
      <formula>AND(B9&lt;&gt;"",'M_区分'!$A$4&lt;&gt;"",J9='M_区分'!$A$4)</formula>
    </cfRule>
    <cfRule type="expression" priority="3" dxfId="6" stopIfTrue="1">
      <formula>AND(B9&lt;&gt;"",'M_区分'!$A$5&lt;&gt;"",J9='M_区分'!$A$5)</formula>
    </cfRule>
    <cfRule type="expression" priority="4" dxfId="7" stopIfTrue="1">
      <formula>AND(B9&lt;&gt;"",'M_区分'!$A$6&lt;&gt;"",J9='M_区分'!$A$6)</formula>
    </cfRule>
    <cfRule type="expression" priority="5" dxfId="8" stopIfTrue="1">
      <formula>AND(B9&lt;&gt;"",'M_区分'!$A$7&lt;&gt;"",J9='M_区分'!$A$7)</formula>
    </cfRule>
  </conditionalFormatting>
  <conditionalFormatting sqref="B14:H14">
    <cfRule type="expression" priority="6" dxfId="1">
      <formula>B14="×"</formula>
    </cfRule>
    <cfRule type="expression" priority="7" dxfId="2">
      <formula>B14="△"</formula>
    </cfRule>
    <cfRule type="expression" priority="8" dxfId="3">
      <formula>B14="仮"</formula>
    </cfRule>
    <cfRule type="expression" priority="9" dxfId="9">
      <formula>B14="○"</formula>
    </cfRule>
  </conditionalFormatting>
  <conditionalFormatting sqref="B21:H21">
    <cfRule type="expression" priority="10" dxfId="1">
      <formula>B21="×"</formula>
    </cfRule>
    <cfRule type="expression" priority="11" dxfId="2">
      <formula>B21="△"</formula>
    </cfRule>
    <cfRule type="expression" priority="12" dxfId="3">
      <formula>B21="仮"</formula>
    </cfRule>
    <cfRule type="expression" priority="13" dxfId="9">
      <formula>B21="○"</formula>
    </cfRule>
  </conditionalFormatting>
  <conditionalFormatting sqref="B28:H28">
    <cfRule type="expression" priority="14" dxfId="1">
      <formula>B28="×"</formula>
    </cfRule>
    <cfRule type="expression" priority="15" dxfId="2">
      <formula>B28="△"</formula>
    </cfRule>
    <cfRule type="expression" priority="16" dxfId="3">
      <formula>B28="仮"</formula>
    </cfRule>
    <cfRule type="expression" priority="17" dxfId="9">
      <formula>B28="○"</formula>
    </cfRule>
  </conditionalFormatting>
  <conditionalFormatting sqref="B35:H35">
    <cfRule type="expression" priority="18" dxfId="1">
      <formula>B35="×"</formula>
    </cfRule>
    <cfRule type="expression" priority="19" dxfId="2">
      <formula>B35="△"</formula>
    </cfRule>
    <cfRule type="expression" priority="20" dxfId="3">
      <formula>B35="仮"</formula>
    </cfRule>
    <cfRule type="expression" priority="21" dxfId="9">
      <formula>B35="○"</formula>
    </cfRule>
  </conditionalFormatting>
  <conditionalFormatting sqref="B42:H42">
    <cfRule type="expression" priority="22" dxfId="1">
      <formula>B42="×"</formula>
    </cfRule>
    <cfRule type="expression" priority="23" dxfId="2">
      <formula>B42="△"</formula>
    </cfRule>
    <cfRule type="expression" priority="24" dxfId="3">
      <formula>B42="仮"</formula>
    </cfRule>
    <cfRule type="expression" priority="25" dxfId="9">
      <formula>B42="○"</formula>
    </cfRule>
  </conditionalFormatting>
  <conditionalFormatting sqref="B49:H49">
    <cfRule type="expression" priority="26" dxfId="1">
      <formula>B49="×"</formula>
    </cfRule>
    <cfRule type="expression" priority="27" dxfId="2">
      <formula>B49="△"</formula>
    </cfRule>
    <cfRule type="expression" priority="28" dxfId="3">
      <formula>B49="仮"</formula>
    </cfRule>
    <cfRule type="expression" priority="29" dxfId="9">
      <formula>B49="○"</formula>
    </cfRule>
  </conditionalFormatting>
  <pageMargins left="0.75" right="0.75" top="1" bottom="1" header="0.5" footer="0.5"/>
  <pageSetup orientation="landscape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T75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3.1" customWidth="1" min="2" max="2"/>
    <col width="3.1" customWidth="1" min="3" max="3"/>
    <col width="3.1" customWidth="1" min="4" max="4"/>
    <col width="3.1" customWidth="1" min="5" max="5"/>
    <col width="3.1" customWidth="1" min="6" max="6"/>
    <col width="3.1" customWidth="1" min="7" max="7"/>
    <col width="3.1" customWidth="1" min="8" max="8"/>
    <col width="3.1" customWidth="1" min="9" max="9"/>
    <col width="3.1" customWidth="1" min="10" max="10"/>
    <col width="3.1" customWidth="1" min="11" max="11"/>
    <col width="3.1" customWidth="1" min="12" max="12"/>
    <col width="3.1" customWidth="1" min="13" max="13"/>
    <col width="3.1" customWidth="1" min="14" max="14"/>
    <col width="3.1" customWidth="1" min="15" max="15"/>
    <col width="3.1" customWidth="1" min="16" max="16"/>
    <col width="3.1" customWidth="1" min="17" max="17"/>
    <col width="3.1" customWidth="1" min="18" max="18"/>
    <col width="3.1" customWidth="1" min="19" max="19"/>
    <col width="3.1" customWidth="1" min="20" max="20"/>
    <col width="3.1" customWidth="1" min="21" max="21"/>
    <col width="3.1" customWidth="1" min="22" max="22"/>
    <col width="3.1" customWidth="1" min="23" max="23"/>
    <col width="3.1" customWidth="1" min="24" max="24"/>
    <col width="3.1" customWidth="1" min="25" max="25"/>
    <col width="3.1" customWidth="1" min="26" max="26"/>
    <col width="3.1" customWidth="1" min="27" max="27"/>
    <col width="3.1" customWidth="1" min="28" max="28"/>
    <col width="3.1" customWidth="1" min="29" max="29"/>
    <col width="3.1" customWidth="1" min="30" max="30"/>
    <col width="3.1" customWidth="1" min="31" max="31"/>
    <col width="3.1" customWidth="1" min="32" max="32"/>
    <col width="10" customWidth="1" min="33" max="33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</cols>
  <sheetData>
    <row r="1">
      <c r="A1" s="1" t="inlineStr">
        <is>
          <t>帯表（だれが・いつから・いつまで）</t>
        </is>
      </c>
    </row>
    <row r="2">
      <c r="A2" s="2" t="inlineStr">
        <is>
          <t>1人1行、横軸が1〜31日。▶入所　■連泊　◀退所　◆日帰り。白抜き（▷□◁◇）は仮予約・調整中です。</t>
        </is>
      </c>
    </row>
    <row r="3">
      <c r="A3" s="15" t="inlineStr">
        <is>
          <t>対象月</t>
        </is>
      </c>
      <c r="B3" s="17">
        <f>'02_カレンダー'!$B$4</f>
        <v/>
      </c>
      <c r="C3" s="2" t="inlineStr">
        <is>
          <t>02_カレンダー の対象月に連動します</t>
        </is>
      </c>
    </row>
    <row r="4" hidden="1">
      <c r="A4" s="29" t="inlineStr">
        <is>
          <t>日付</t>
        </is>
      </c>
      <c r="B4">
        <f>IF(MONTH('02_カレンダー'!$B$4+0)&lt;&gt;MONTH('02_カレンダー'!$B$4),"",'02_カレンダー'!$B$4+0)</f>
        <v/>
      </c>
      <c r="C4">
        <f>IF(MONTH('02_カレンダー'!$B$4+1)&lt;&gt;MONTH('02_カレンダー'!$B$4),"",'02_カレンダー'!$B$4+1)</f>
        <v/>
      </c>
      <c r="D4">
        <f>IF(MONTH('02_カレンダー'!$B$4+2)&lt;&gt;MONTH('02_カレンダー'!$B$4),"",'02_カレンダー'!$B$4+2)</f>
        <v/>
      </c>
      <c r="E4">
        <f>IF(MONTH('02_カレンダー'!$B$4+3)&lt;&gt;MONTH('02_カレンダー'!$B$4),"",'02_カレンダー'!$B$4+3)</f>
        <v/>
      </c>
      <c r="F4">
        <f>IF(MONTH('02_カレンダー'!$B$4+4)&lt;&gt;MONTH('02_カレンダー'!$B$4),"",'02_カレンダー'!$B$4+4)</f>
        <v/>
      </c>
      <c r="G4">
        <f>IF(MONTH('02_カレンダー'!$B$4+5)&lt;&gt;MONTH('02_カレンダー'!$B$4),"",'02_カレンダー'!$B$4+5)</f>
        <v/>
      </c>
      <c r="H4">
        <f>IF(MONTH('02_カレンダー'!$B$4+6)&lt;&gt;MONTH('02_カレンダー'!$B$4),"",'02_カレンダー'!$B$4+6)</f>
        <v/>
      </c>
      <c r="I4">
        <f>IF(MONTH('02_カレンダー'!$B$4+7)&lt;&gt;MONTH('02_カレンダー'!$B$4),"",'02_カレンダー'!$B$4+7)</f>
        <v/>
      </c>
      <c r="J4">
        <f>IF(MONTH('02_カレンダー'!$B$4+8)&lt;&gt;MONTH('02_カレンダー'!$B$4),"",'02_カレンダー'!$B$4+8)</f>
        <v/>
      </c>
      <c r="K4">
        <f>IF(MONTH('02_カレンダー'!$B$4+9)&lt;&gt;MONTH('02_カレンダー'!$B$4),"",'02_カレンダー'!$B$4+9)</f>
        <v/>
      </c>
      <c r="L4">
        <f>IF(MONTH('02_カレンダー'!$B$4+10)&lt;&gt;MONTH('02_カレンダー'!$B$4),"",'02_カレンダー'!$B$4+10)</f>
        <v/>
      </c>
      <c r="M4">
        <f>IF(MONTH('02_カレンダー'!$B$4+11)&lt;&gt;MONTH('02_カレンダー'!$B$4),"",'02_カレンダー'!$B$4+11)</f>
        <v/>
      </c>
      <c r="N4">
        <f>IF(MONTH('02_カレンダー'!$B$4+12)&lt;&gt;MONTH('02_カレンダー'!$B$4),"",'02_カレンダー'!$B$4+12)</f>
        <v/>
      </c>
      <c r="O4">
        <f>IF(MONTH('02_カレンダー'!$B$4+13)&lt;&gt;MONTH('02_カレンダー'!$B$4),"",'02_カレンダー'!$B$4+13)</f>
        <v/>
      </c>
      <c r="P4">
        <f>IF(MONTH('02_カレンダー'!$B$4+14)&lt;&gt;MONTH('02_カレンダー'!$B$4),"",'02_カレンダー'!$B$4+14)</f>
        <v/>
      </c>
      <c r="Q4">
        <f>IF(MONTH('02_カレンダー'!$B$4+15)&lt;&gt;MONTH('02_カレンダー'!$B$4),"",'02_カレンダー'!$B$4+15)</f>
        <v/>
      </c>
      <c r="R4">
        <f>IF(MONTH('02_カレンダー'!$B$4+16)&lt;&gt;MONTH('02_カレンダー'!$B$4),"",'02_カレンダー'!$B$4+16)</f>
        <v/>
      </c>
      <c r="S4">
        <f>IF(MONTH('02_カレンダー'!$B$4+17)&lt;&gt;MONTH('02_カレンダー'!$B$4),"",'02_カレンダー'!$B$4+17)</f>
        <v/>
      </c>
      <c r="T4">
        <f>IF(MONTH('02_カレンダー'!$B$4+18)&lt;&gt;MONTH('02_カレンダー'!$B$4),"",'02_カレンダー'!$B$4+18)</f>
        <v/>
      </c>
      <c r="U4">
        <f>IF(MONTH('02_カレンダー'!$B$4+19)&lt;&gt;MONTH('02_カレンダー'!$B$4),"",'02_カレンダー'!$B$4+19)</f>
        <v/>
      </c>
      <c r="V4">
        <f>IF(MONTH('02_カレンダー'!$B$4+20)&lt;&gt;MONTH('02_カレンダー'!$B$4),"",'02_カレンダー'!$B$4+20)</f>
        <v/>
      </c>
      <c r="W4">
        <f>IF(MONTH('02_カレンダー'!$B$4+21)&lt;&gt;MONTH('02_カレンダー'!$B$4),"",'02_カレンダー'!$B$4+21)</f>
        <v/>
      </c>
      <c r="X4">
        <f>IF(MONTH('02_カレンダー'!$B$4+22)&lt;&gt;MONTH('02_カレンダー'!$B$4),"",'02_カレンダー'!$B$4+22)</f>
        <v/>
      </c>
      <c r="Y4">
        <f>IF(MONTH('02_カレンダー'!$B$4+23)&lt;&gt;MONTH('02_カレンダー'!$B$4),"",'02_カレンダー'!$B$4+23)</f>
        <v/>
      </c>
      <c r="Z4">
        <f>IF(MONTH('02_カレンダー'!$B$4+24)&lt;&gt;MONTH('02_カレンダー'!$B$4),"",'02_カレンダー'!$B$4+24)</f>
        <v/>
      </c>
      <c r="AA4">
        <f>IF(MONTH('02_カレンダー'!$B$4+25)&lt;&gt;MONTH('02_カレンダー'!$B$4),"",'02_カレンダー'!$B$4+25)</f>
        <v/>
      </c>
      <c r="AB4">
        <f>IF(MONTH('02_カレンダー'!$B$4+26)&lt;&gt;MONTH('02_カレンダー'!$B$4),"",'02_カレンダー'!$B$4+26)</f>
        <v/>
      </c>
      <c r="AC4">
        <f>IF(MONTH('02_カレンダー'!$B$4+27)&lt;&gt;MONTH('02_カレンダー'!$B$4),"",'02_カレンダー'!$B$4+27)</f>
        <v/>
      </c>
      <c r="AD4">
        <f>IF(MONTH('02_カレンダー'!$B$4+28)&lt;&gt;MONTH('02_カレンダー'!$B$4),"",'02_カレンダー'!$B$4+28)</f>
        <v/>
      </c>
      <c r="AE4">
        <f>IF(MONTH('02_カレンダー'!$B$4+29)&lt;&gt;MONTH('02_カレンダー'!$B$4),"",'02_カレンダー'!$B$4+29)</f>
        <v/>
      </c>
      <c r="AF4">
        <f>IF(MONTH('02_カレンダー'!$B$4+30)&lt;&gt;MONTH('02_カレンダー'!$B$4),"",'02_カレンダー'!$B$4+30)</f>
        <v/>
      </c>
    </row>
    <row r="5">
      <c r="A5" s="29" t="inlineStr">
        <is>
          <t>日</t>
        </is>
      </c>
      <c r="B5" s="32">
        <f>IF(B4="","",DAY(B4))</f>
        <v/>
      </c>
      <c r="C5" s="32">
        <f>IF(C4="","",DAY(C4))</f>
        <v/>
      </c>
      <c r="D5" s="32">
        <f>IF(D4="","",DAY(D4))</f>
        <v/>
      </c>
      <c r="E5" s="32">
        <f>IF(E4="","",DAY(E4))</f>
        <v/>
      </c>
      <c r="F5" s="32">
        <f>IF(F4="","",DAY(F4))</f>
        <v/>
      </c>
      <c r="G5" s="32">
        <f>IF(G4="","",DAY(G4))</f>
        <v/>
      </c>
      <c r="H5" s="32">
        <f>IF(H4="","",DAY(H4))</f>
        <v/>
      </c>
      <c r="I5" s="32">
        <f>IF(I4="","",DAY(I4))</f>
        <v/>
      </c>
      <c r="J5" s="32">
        <f>IF(J4="","",DAY(J4))</f>
        <v/>
      </c>
      <c r="K5" s="32">
        <f>IF(K4="","",DAY(K4))</f>
        <v/>
      </c>
      <c r="L5" s="32">
        <f>IF(L4="","",DAY(L4))</f>
        <v/>
      </c>
      <c r="M5" s="32">
        <f>IF(M4="","",DAY(M4))</f>
        <v/>
      </c>
      <c r="N5" s="32">
        <f>IF(N4="","",DAY(N4))</f>
        <v/>
      </c>
      <c r="O5" s="32">
        <f>IF(O4="","",DAY(O4))</f>
        <v/>
      </c>
      <c r="P5" s="32">
        <f>IF(P4="","",DAY(P4))</f>
        <v/>
      </c>
      <c r="Q5" s="32">
        <f>IF(Q4="","",DAY(Q4))</f>
        <v/>
      </c>
      <c r="R5" s="32">
        <f>IF(R4="","",DAY(R4))</f>
        <v/>
      </c>
      <c r="S5" s="32">
        <f>IF(S4="","",DAY(S4))</f>
        <v/>
      </c>
      <c r="T5" s="32">
        <f>IF(T4="","",DAY(T4))</f>
        <v/>
      </c>
      <c r="U5" s="32">
        <f>IF(U4="","",DAY(U4))</f>
        <v/>
      </c>
      <c r="V5" s="32">
        <f>IF(V4="","",DAY(V4))</f>
        <v/>
      </c>
      <c r="W5" s="32">
        <f>IF(W4="","",DAY(W4))</f>
        <v/>
      </c>
      <c r="X5" s="32">
        <f>IF(X4="","",DAY(X4))</f>
        <v/>
      </c>
      <c r="Y5" s="32">
        <f>IF(Y4="","",DAY(Y4))</f>
        <v/>
      </c>
      <c r="Z5" s="32">
        <f>IF(Z4="","",DAY(Z4))</f>
        <v/>
      </c>
      <c r="AA5" s="32">
        <f>IF(AA4="","",DAY(AA4))</f>
        <v/>
      </c>
      <c r="AB5" s="32">
        <f>IF(AB4="","",DAY(AB4))</f>
        <v/>
      </c>
      <c r="AC5" s="32">
        <f>IF(AC4="","",DAY(AC4))</f>
        <v/>
      </c>
      <c r="AD5" s="32">
        <f>IF(AD4="","",DAY(AD4))</f>
        <v/>
      </c>
      <c r="AE5" s="32">
        <f>IF(AE4="","",DAY(AE4))</f>
        <v/>
      </c>
      <c r="AF5" s="32">
        <f>IF(AF4="","",DAY(AF4))</f>
        <v/>
      </c>
      <c r="AG5" s="29" t="inlineStr">
        <is>
          <t>当月</t>
        </is>
      </c>
    </row>
    <row r="6">
      <c r="A6" s="29" t="inlineStr">
        <is>
          <t>曜日</t>
        </is>
      </c>
      <c r="B6" s="33">
        <f>IF(B4="","",MID("日月火水木金土",WEEKDAY(B4),1))</f>
        <v/>
      </c>
      <c r="C6" s="33">
        <f>IF(C4="","",MID("日月火水木金土",WEEKDAY(C4),1))</f>
        <v/>
      </c>
      <c r="D6" s="33">
        <f>IF(D4="","",MID("日月火水木金土",WEEKDAY(D4),1))</f>
        <v/>
      </c>
      <c r="E6" s="33">
        <f>IF(E4="","",MID("日月火水木金土",WEEKDAY(E4),1))</f>
        <v/>
      </c>
      <c r="F6" s="33">
        <f>IF(F4="","",MID("日月火水木金土",WEEKDAY(F4),1))</f>
        <v/>
      </c>
      <c r="G6" s="33">
        <f>IF(G4="","",MID("日月火水木金土",WEEKDAY(G4),1))</f>
        <v/>
      </c>
      <c r="H6" s="33">
        <f>IF(H4="","",MID("日月火水木金土",WEEKDAY(H4),1))</f>
        <v/>
      </c>
      <c r="I6" s="33">
        <f>IF(I4="","",MID("日月火水木金土",WEEKDAY(I4),1))</f>
        <v/>
      </c>
      <c r="J6" s="33">
        <f>IF(J4="","",MID("日月火水木金土",WEEKDAY(J4),1))</f>
        <v/>
      </c>
      <c r="K6" s="33">
        <f>IF(K4="","",MID("日月火水木金土",WEEKDAY(K4),1))</f>
        <v/>
      </c>
      <c r="L6" s="33">
        <f>IF(L4="","",MID("日月火水木金土",WEEKDAY(L4),1))</f>
        <v/>
      </c>
      <c r="M6" s="33">
        <f>IF(M4="","",MID("日月火水木金土",WEEKDAY(M4),1))</f>
        <v/>
      </c>
      <c r="N6" s="33">
        <f>IF(N4="","",MID("日月火水木金土",WEEKDAY(N4),1))</f>
        <v/>
      </c>
      <c r="O6" s="33">
        <f>IF(O4="","",MID("日月火水木金土",WEEKDAY(O4),1))</f>
        <v/>
      </c>
      <c r="P6" s="33">
        <f>IF(P4="","",MID("日月火水木金土",WEEKDAY(P4),1))</f>
        <v/>
      </c>
      <c r="Q6" s="33">
        <f>IF(Q4="","",MID("日月火水木金土",WEEKDAY(Q4),1))</f>
        <v/>
      </c>
      <c r="R6" s="33">
        <f>IF(R4="","",MID("日月火水木金土",WEEKDAY(R4),1))</f>
        <v/>
      </c>
      <c r="S6" s="33">
        <f>IF(S4="","",MID("日月火水木金土",WEEKDAY(S4),1))</f>
        <v/>
      </c>
      <c r="T6" s="33">
        <f>IF(T4="","",MID("日月火水木金土",WEEKDAY(T4),1))</f>
        <v/>
      </c>
      <c r="U6" s="33">
        <f>IF(U4="","",MID("日月火水木金土",WEEKDAY(U4),1))</f>
        <v/>
      </c>
      <c r="V6" s="33">
        <f>IF(V4="","",MID("日月火水木金土",WEEKDAY(V4),1))</f>
        <v/>
      </c>
      <c r="W6" s="33">
        <f>IF(W4="","",MID("日月火水木金土",WEEKDAY(W4),1))</f>
        <v/>
      </c>
      <c r="X6" s="33">
        <f>IF(X4="","",MID("日月火水木金土",WEEKDAY(X4),1))</f>
        <v/>
      </c>
      <c r="Y6" s="33">
        <f>IF(Y4="","",MID("日月火水木金土",WEEKDAY(Y4),1))</f>
        <v/>
      </c>
      <c r="Z6" s="33">
        <f>IF(Z4="","",MID("日月火水木金土",WEEKDAY(Z4),1))</f>
        <v/>
      </c>
      <c r="AA6" s="33">
        <f>IF(AA4="","",MID("日月火水木金土",WEEKDAY(AA4),1))</f>
        <v/>
      </c>
      <c r="AB6" s="33">
        <f>IF(AB4="","",MID("日月火水木金土",WEEKDAY(AB4),1))</f>
        <v/>
      </c>
      <c r="AC6" s="33">
        <f>IF(AC4="","",MID("日月火水木金土",WEEKDAY(AC4),1))</f>
        <v/>
      </c>
      <c r="AD6" s="33">
        <f>IF(AD4="","",MID("日月火水木金土",WEEKDAY(AD4),1))</f>
        <v/>
      </c>
      <c r="AE6" s="33">
        <f>IF(AE4="","",MID("日月火水木金土",WEEKDAY(AE4),1))</f>
        <v/>
      </c>
      <c r="AF6" s="33">
        <f>IF(AF4="","",MID("日月火水木金土",WEEKDAY(AF4),1))</f>
        <v/>
      </c>
      <c r="AG6" s="29" t="inlineStr">
        <is>
          <t>利用日数</t>
        </is>
      </c>
    </row>
    <row r="7">
      <c r="A7" s="34">
        <f>IF(COUNTA('利用者マスタ'!$A$4:$A$60)&gt;=1,INDEX('利用者マスタ'!$A$4:$A$60,1),"")</f>
        <v/>
      </c>
      <c r="B7" s="35">
        <f>IF($AP7=0,"",IF(MOD($AP7,8)=7,IF($AP7&gt;=8,"◇","◆"),IF(MOD($AP7,8)=3,IF($AP7&gt;=8,"▷","▶"),IF(MOD($AP7,8)=5,IF($AP7&gt;=8,"◁","◀"),IF($AP7&gt;=8,"□","■")))))</f>
        <v/>
      </c>
      <c r="C7" s="35">
        <f>IF($AQ7=0,"",IF(MOD($AQ7,8)=7,IF($AQ7&gt;=8,"◇","◆"),IF(MOD($AQ7,8)=3,IF($AQ7&gt;=8,"▷","▶"),IF(MOD($AQ7,8)=5,IF($AQ7&gt;=8,"◁","◀"),IF($AQ7&gt;=8,"□","■")))))</f>
        <v/>
      </c>
      <c r="D7" s="35">
        <f>IF($AR7=0,"",IF(MOD($AR7,8)=7,IF($AR7&gt;=8,"◇","◆"),IF(MOD($AR7,8)=3,IF($AR7&gt;=8,"▷","▶"),IF(MOD($AR7,8)=5,IF($AR7&gt;=8,"◁","◀"),IF($AR7&gt;=8,"□","■")))))</f>
        <v/>
      </c>
      <c r="E7" s="35">
        <f>IF($AS7=0,"",IF(MOD($AS7,8)=7,IF($AS7&gt;=8,"◇","◆"),IF(MOD($AS7,8)=3,IF($AS7&gt;=8,"▷","▶"),IF(MOD($AS7,8)=5,IF($AS7&gt;=8,"◁","◀"),IF($AS7&gt;=8,"□","■")))))</f>
        <v/>
      </c>
      <c r="F7" s="35">
        <f>IF($AT7=0,"",IF(MOD($AT7,8)=7,IF($AT7&gt;=8,"◇","◆"),IF(MOD($AT7,8)=3,IF($AT7&gt;=8,"▷","▶"),IF(MOD($AT7,8)=5,IF($AT7&gt;=8,"◁","◀"),IF($AT7&gt;=8,"□","■")))))</f>
        <v/>
      </c>
      <c r="G7" s="35">
        <f>IF($AU7=0,"",IF(MOD($AU7,8)=7,IF($AU7&gt;=8,"◇","◆"),IF(MOD($AU7,8)=3,IF($AU7&gt;=8,"▷","▶"),IF(MOD($AU7,8)=5,IF($AU7&gt;=8,"◁","◀"),IF($AU7&gt;=8,"□","■")))))</f>
        <v/>
      </c>
      <c r="H7" s="35">
        <f>IF($AV7=0,"",IF(MOD($AV7,8)=7,IF($AV7&gt;=8,"◇","◆"),IF(MOD($AV7,8)=3,IF($AV7&gt;=8,"▷","▶"),IF(MOD($AV7,8)=5,IF($AV7&gt;=8,"◁","◀"),IF($AV7&gt;=8,"□","■")))))</f>
        <v/>
      </c>
      <c r="I7" s="35">
        <f>IF($AW7=0,"",IF(MOD($AW7,8)=7,IF($AW7&gt;=8,"◇","◆"),IF(MOD($AW7,8)=3,IF($AW7&gt;=8,"▷","▶"),IF(MOD($AW7,8)=5,IF($AW7&gt;=8,"◁","◀"),IF($AW7&gt;=8,"□","■")))))</f>
        <v/>
      </c>
      <c r="J7" s="35">
        <f>IF($AX7=0,"",IF(MOD($AX7,8)=7,IF($AX7&gt;=8,"◇","◆"),IF(MOD($AX7,8)=3,IF($AX7&gt;=8,"▷","▶"),IF(MOD($AX7,8)=5,IF($AX7&gt;=8,"◁","◀"),IF($AX7&gt;=8,"□","■")))))</f>
        <v/>
      </c>
      <c r="K7" s="35">
        <f>IF($AY7=0,"",IF(MOD($AY7,8)=7,IF($AY7&gt;=8,"◇","◆"),IF(MOD($AY7,8)=3,IF($AY7&gt;=8,"▷","▶"),IF(MOD($AY7,8)=5,IF($AY7&gt;=8,"◁","◀"),IF($AY7&gt;=8,"□","■")))))</f>
        <v/>
      </c>
      <c r="L7" s="35">
        <f>IF($AZ7=0,"",IF(MOD($AZ7,8)=7,IF($AZ7&gt;=8,"◇","◆"),IF(MOD($AZ7,8)=3,IF($AZ7&gt;=8,"▷","▶"),IF(MOD($AZ7,8)=5,IF($AZ7&gt;=8,"◁","◀"),IF($AZ7&gt;=8,"□","■")))))</f>
        <v/>
      </c>
      <c r="M7" s="35">
        <f>IF($BA7=0,"",IF(MOD($BA7,8)=7,IF($BA7&gt;=8,"◇","◆"),IF(MOD($BA7,8)=3,IF($BA7&gt;=8,"▷","▶"),IF(MOD($BA7,8)=5,IF($BA7&gt;=8,"◁","◀"),IF($BA7&gt;=8,"□","■")))))</f>
        <v/>
      </c>
      <c r="N7" s="35">
        <f>IF($BB7=0,"",IF(MOD($BB7,8)=7,IF($BB7&gt;=8,"◇","◆"),IF(MOD($BB7,8)=3,IF($BB7&gt;=8,"▷","▶"),IF(MOD($BB7,8)=5,IF($BB7&gt;=8,"◁","◀"),IF($BB7&gt;=8,"□","■")))))</f>
        <v/>
      </c>
      <c r="O7" s="35">
        <f>IF($BC7=0,"",IF(MOD($BC7,8)=7,IF($BC7&gt;=8,"◇","◆"),IF(MOD($BC7,8)=3,IF($BC7&gt;=8,"▷","▶"),IF(MOD($BC7,8)=5,IF($BC7&gt;=8,"◁","◀"),IF($BC7&gt;=8,"□","■")))))</f>
        <v/>
      </c>
      <c r="P7" s="35">
        <f>IF($BD7=0,"",IF(MOD($BD7,8)=7,IF($BD7&gt;=8,"◇","◆"),IF(MOD($BD7,8)=3,IF($BD7&gt;=8,"▷","▶"),IF(MOD($BD7,8)=5,IF($BD7&gt;=8,"◁","◀"),IF($BD7&gt;=8,"□","■")))))</f>
        <v/>
      </c>
      <c r="Q7" s="35">
        <f>IF($BE7=0,"",IF(MOD($BE7,8)=7,IF($BE7&gt;=8,"◇","◆"),IF(MOD($BE7,8)=3,IF($BE7&gt;=8,"▷","▶"),IF(MOD($BE7,8)=5,IF($BE7&gt;=8,"◁","◀"),IF($BE7&gt;=8,"□","■")))))</f>
        <v/>
      </c>
      <c r="R7" s="35">
        <f>IF($BF7=0,"",IF(MOD($BF7,8)=7,IF($BF7&gt;=8,"◇","◆"),IF(MOD($BF7,8)=3,IF($BF7&gt;=8,"▷","▶"),IF(MOD($BF7,8)=5,IF($BF7&gt;=8,"◁","◀"),IF($BF7&gt;=8,"□","■")))))</f>
        <v/>
      </c>
      <c r="S7" s="35">
        <f>IF($BG7=0,"",IF(MOD($BG7,8)=7,IF($BG7&gt;=8,"◇","◆"),IF(MOD($BG7,8)=3,IF($BG7&gt;=8,"▷","▶"),IF(MOD($BG7,8)=5,IF($BG7&gt;=8,"◁","◀"),IF($BG7&gt;=8,"□","■")))))</f>
        <v/>
      </c>
      <c r="T7" s="35">
        <f>IF($BH7=0,"",IF(MOD($BH7,8)=7,IF($BH7&gt;=8,"◇","◆"),IF(MOD($BH7,8)=3,IF($BH7&gt;=8,"▷","▶"),IF(MOD($BH7,8)=5,IF($BH7&gt;=8,"◁","◀"),IF($BH7&gt;=8,"□","■")))))</f>
        <v/>
      </c>
      <c r="U7" s="35">
        <f>IF($BI7=0,"",IF(MOD($BI7,8)=7,IF($BI7&gt;=8,"◇","◆"),IF(MOD($BI7,8)=3,IF($BI7&gt;=8,"▷","▶"),IF(MOD($BI7,8)=5,IF($BI7&gt;=8,"◁","◀"),IF($BI7&gt;=8,"□","■")))))</f>
        <v/>
      </c>
      <c r="V7" s="35">
        <f>IF($BJ7=0,"",IF(MOD($BJ7,8)=7,IF($BJ7&gt;=8,"◇","◆"),IF(MOD($BJ7,8)=3,IF($BJ7&gt;=8,"▷","▶"),IF(MOD($BJ7,8)=5,IF($BJ7&gt;=8,"◁","◀"),IF($BJ7&gt;=8,"□","■")))))</f>
        <v/>
      </c>
      <c r="W7" s="35">
        <f>IF($BK7=0,"",IF(MOD($BK7,8)=7,IF($BK7&gt;=8,"◇","◆"),IF(MOD($BK7,8)=3,IF($BK7&gt;=8,"▷","▶"),IF(MOD($BK7,8)=5,IF($BK7&gt;=8,"◁","◀"),IF($BK7&gt;=8,"□","■")))))</f>
        <v/>
      </c>
      <c r="X7" s="35">
        <f>IF($BL7=0,"",IF(MOD($BL7,8)=7,IF($BL7&gt;=8,"◇","◆"),IF(MOD($BL7,8)=3,IF($BL7&gt;=8,"▷","▶"),IF(MOD($BL7,8)=5,IF($BL7&gt;=8,"◁","◀"),IF($BL7&gt;=8,"□","■")))))</f>
        <v/>
      </c>
      <c r="Y7" s="35">
        <f>IF($BM7=0,"",IF(MOD($BM7,8)=7,IF($BM7&gt;=8,"◇","◆"),IF(MOD($BM7,8)=3,IF($BM7&gt;=8,"▷","▶"),IF(MOD($BM7,8)=5,IF($BM7&gt;=8,"◁","◀"),IF($BM7&gt;=8,"□","■")))))</f>
        <v/>
      </c>
      <c r="Z7" s="35">
        <f>IF($BN7=0,"",IF(MOD($BN7,8)=7,IF($BN7&gt;=8,"◇","◆"),IF(MOD($BN7,8)=3,IF($BN7&gt;=8,"▷","▶"),IF(MOD($BN7,8)=5,IF($BN7&gt;=8,"◁","◀"),IF($BN7&gt;=8,"□","■")))))</f>
        <v/>
      </c>
      <c r="AA7" s="35">
        <f>IF($BO7=0,"",IF(MOD($BO7,8)=7,IF($BO7&gt;=8,"◇","◆"),IF(MOD($BO7,8)=3,IF($BO7&gt;=8,"▷","▶"),IF(MOD($BO7,8)=5,IF($BO7&gt;=8,"◁","◀"),IF($BO7&gt;=8,"□","■")))))</f>
        <v/>
      </c>
      <c r="AB7" s="35">
        <f>IF($BP7=0,"",IF(MOD($BP7,8)=7,IF($BP7&gt;=8,"◇","◆"),IF(MOD($BP7,8)=3,IF($BP7&gt;=8,"▷","▶"),IF(MOD($BP7,8)=5,IF($BP7&gt;=8,"◁","◀"),IF($BP7&gt;=8,"□","■")))))</f>
        <v/>
      </c>
      <c r="AC7" s="35">
        <f>IF($BQ7=0,"",IF(MOD($BQ7,8)=7,IF($BQ7&gt;=8,"◇","◆"),IF(MOD($BQ7,8)=3,IF($BQ7&gt;=8,"▷","▶"),IF(MOD($BQ7,8)=5,IF($BQ7&gt;=8,"◁","◀"),IF($BQ7&gt;=8,"□","■")))))</f>
        <v/>
      </c>
      <c r="AD7" s="35">
        <f>IF($BR7=0,"",IF(MOD($BR7,8)=7,IF($BR7&gt;=8,"◇","◆"),IF(MOD($BR7,8)=3,IF($BR7&gt;=8,"▷","▶"),IF(MOD($BR7,8)=5,IF($BR7&gt;=8,"◁","◀"),IF($BR7&gt;=8,"□","■")))))</f>
        <v/>
      </c>
      <c r="AE7" s="35">
        <f>IF($BS7=0,"",IF(MOD($BS7,8)=7,IF($BS7&gt;=8,"◇","◆"),IF(MOD($BS7,8)=3,IF($BS7&gt;=8,"▷","▶"),IF(MOD($BS7,8)=5,IF($BS7&gt;=8,"◁","◀"),IF($BS7&gt;=8,"□","■")))))</f>
        <v/>
      </c>
      <c r="AF7" s="35">
        <f>IF($BT7=0,"",IF(MOD($BT7,8)=7,IF($BT7&gt;=8,"◇","◆"),IF(MOD($BT7,8)=3,IF($BT7&gt;=8,"▷","▶"),IF(MOD($BT7,8)=5,IF($BT7&gt;=8,"◁","◀"),IF($BT7&gt;=8,"□","■")))))</f>
        <v/>
      </c>
      <c r="AG7" s="36">
        <f>IF($A7="","",COUNTIF($AP7:$BT7,"&gt;0"))</f>
        <v/>
      </c>
      <c r="AP7">
        <f>IF(OR($A7="",B$4=""),0,SUMPRODUCT(('01_予約入力'!$G$5:$G$204&lt;&gt;"")*('01_予約入力'!$N$5:$N$204&lt;&gt;"キャンセル")*('01_予約入力'!$B$5:$B$204=$A7)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7">
        <f>IF(OR($A7="",C$4=""),0,SUMPRODUCT(('01_予約入力'!$G$5:$G$204&lt;&gt;"")*('01_予約入力'!$N$5:$N$204&lt;&gt;"キャンセル")*('01_予約入力'!$B$5:$B$204=$A7)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7">
        <f>IF(OR($A7="",D$4=""),0,SUMPRODUCT(('01_予約入力'!$G$5:$G$204&lt;&gt;"")*('01_予約入力'!$N$5:$N$204&lt;&gt;"キャンセル")*('01_予約入力'!$B$5:$B$204=$A7)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7">
        <f>IF(OR($A7="",E$4=""),0,SUMPRODUCT(('01_予約入力'!$G$5:$G$204&lt;&gt;"")*('01_予約入力'!$N$5:$N$204&lt;&gt;"キャンセル")*('01_予約入力'!$B$5:$B$204=$A7)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7">
        <f>IF(OR($A7="",F$4=""),0,SUMPRODUCT(('01_予約入力'!$G$5:$G$204&lt;&gt;"")*('01_予約入力'!$N$5:$N$204&lt;&gt;"キャンセル")*('01_予約入力'!$B$5:$B$204=$A7)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7">
        <f>IF(OR($A7="",G$4=""),0,SUMPRODUCT(('01_予約入力'!$G$5:$G$204&lt;&gt;"")*('01_予約入力'!$N$5:$N$204&lt;&gt;"キャンセル")*('01_予約入力'!$B$5:$B$204=$A7)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7">
        <f>IF(OR($A7="",H$4=""),0,SUMPRODUCT(('01_予約入力'!$G$5:$G$204&lt;&gt;"")*('01_予約入力'!$N$5:$N$204&lt;&gt;"キャンセル")*('01_予約入力'!$B$5:$B$204=$A7)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7">
        <f>IF(OR($A7="",I$4=""),0,SUMPRODUCT(('01_予約入力'!$G$5:$G$204&lt;&gt;"")*('01_予約入力'!$N$5:$N$204&lt;&gt;"キャンセル")*('01_予約入力'!$B$5:$B$204=$A7)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7">
        <f>IF(OR($A7="",J$4=""),0,SUMPRODUCT(('01_予約入力'!$G$5:$G$204&lt;&gt;"")*('01_予約入力'!$N$5:$N$204&lt;&gt;"キャンセル")*('01_予約入力'!$B$5:$B$204=$A7)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7">
        <f>IF(OR($A7="",K$4=""),0,SUMPRODUCT(('01_予約入力'!$G$5:$G$204&lt;&gt;"")*('01_予約入力'!$N$5:$N$204&lt;&gt;"キャンセル")*('01_予約入力'!$B$5:$B$204=$A7)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7">
        <f>IF(OR($A7="",L$4=""),0,SUMPRODUCT(('01_予約入力'!$G$5:$G$204&lt;&gt;"")*('01_予約入力'!$N$5:$N$204&lt;&gt;"キャンセル")*('01_予約入力'!$B$5:$B$204=$A7)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7">
        <f>IF(OR($A7="",M$4=""),0,SUMPRODUCT(('01_予約入力'!$G$5:$G$204&lt;&gt;"")*('01_予約入力'!$N$5:$N$204&lt;&gt;"キャンセル")*('01_予約入力'!$B$5:$B$204=$A7)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7">
        <f>IF(OR($A7="",N$4=""),0,SUMPRODUCT(('01_予約入力'!$G$5:$G$204&lt;&gt;"")*('01_予約入力'!$N$5:$N$204&lt;&gt;"キャンセル")*('01_予約入力'!$B$5:$B$204=$A7)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7">
        <f>IF(OR($A7="",O$4=""),0,SUMPRODUCT(('01_予約入力'!$G$5:$G$204&lt;&gt;"")*('01_予約入力'!$N$5:$N$204&lt;&gt;"キャンセル")*('01_予約入力'!$B$5:$B$204=$A7)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7">
        <f>IF(OR($A7="",P$4=""),0,SUMPRODUCT(('01_予約入力'!$G$5:$G$204&lt;&gt;"")*('01_予約入力'!$N$5:$N$204&lt;&gt;"キャンセル")*('01_予約入力'!$B$5:$B$204=$A7)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7">
        <f>IF(OR($A7="",Q$4=""),0,SUMPRODUCT(('01_予約入力'!$G$5:$G$204&lt;&gt;"")*('01_予約入力'!$N$5:$N$204&lt;&gt;"キャンセル")*('01_予約入力'!$B$5:$B$204=$A7)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7">
        <f>IF(OR($A7="",R$4=""),0,SUMPRODUCT(('01_予約入力'!$G$5:$G$204&lt;&gt;"")*('01_予約入力'!$N$5:$N$204&lt;&gt;"キャンセル")*('01_予約入力'!$B$5:$B$204=$A7)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7">
        <f>IF(OR($A7="",S$4=""),0,SUMPRODUCT(('01_予約入力'!$G$5:$G$204&lt;&gt;"")*('01_予約入力'!$N$5:$N$204&lt;&gt;"キャンセル")*('01_予約入力'!$B$5:$B$204=$A7)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7">
        <f>IF(OR($A7="",T$4=""),0,SUMPRODUCT(('01_予約入力'!$G$5:$G$204&lt;&gt;"")*('01_予約入力'!$N$5:$N$204&lt;&gt;"キャンセル")*('01_予約入力'!$B$5:$B$204=$A7)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7">
        <f>IF(OR($A7="",U$4=""),0,SUMPRODUCT(('01_予約入力'!$G$5:$G$204&lt;&gt;"")*('01_予約入力'!$N$5:$N$204&lt;&gt;"キャンセル")*('01_予約入力'!$B$5:$B$204=$A7)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7">
        <f>IF(OR($A7="",V$4=""),0,SUMPRODUCT(('01_予約入力'!$G$5:$G$204&lt;&gt;"")*('01_予約入力'!$N$5:$N$204&lt;&gt;"キャンセル")*('01_予約入力'!$B$5:$B$204=$A7)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7">
        <f>IF(OR($A7="",W$4=""),0,SUMPRODUCT(('01_予約入力'!$G$5:$G$204&lt;&gt;"")*('01_予約入力'!$N$5:$N$204&lt;&gt;"キャンセル")*('01_予約入力'!$B$5:$B$204=$A7)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7">
        <f>IF(OR($A7="",X$4=""),0,SUMPRODUCT(('01_予約入力'!$G$5:$G$204&lt;&gt;"")*('01_予約入力'!$N$5:$N$204&lt;&gt;"キャンセル")*('01_予約入力'!$B$5:$B$204=$A7)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7">
        <f>IF(OR($A7="",Y$4=""),0,SUMPRODUCT(('01_予約入力'!$G$5:$G$204&lt;&gt;"")*('01_予約入力'!$N$5:$N$204&lt;&gt;"キャンセル")*('01_予約入力'!$B$5:$B$204=$A7)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7">
        <f>IF(OR($A7="",Z$4=""),0,SUMPRODUCT(('01_予約入力'!$G$5:$G$204&lt;&gt;"")*('01_予約入力'!$N$5:$N$204&lt;&gt;"キャンセル")*('01_予約入力'!$B$5:$B$204=$A7)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7">
        <f>IF(OR($A7="",AA$4=""),0,SUMPRODUCT(('01_予約入力'!$G$5:$G$204&lt;&gt;"")*('01_予約入力'!$N$5:$N$204&lt;&gt;"キャンセル")*('01_予約入力'!$B$5:$B$204=$A7)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7">
        <f>IF(OR($A7="",AB$4=""),0,SUMPRODUCT(('01_予約入力'!$G$5:$G$204&lt;&gt;"")*('01_予約入力'!$N$5:$N$204&lt;&gt;"キャンセル")*('01_予約入力'!$B$5:$B$204=$A7)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7">
        <f>IF(OR($A7="",AC$4=""),0,SUMPRODUCT(('01_予約入力'!$G$5:$G$204&lt;&gt;"")*('01_予約入力'!$N$5:$N$204&lt;&gt;"キャンセル")*('01_予約入力'!$B$5:$B$204=$A7)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7">
        <f>IF(OR($A7="",AD$4=""),0,SUMPRODUCT(('01_予約入力'!$G$5:$G$204&lt;&gt;"")*('01_予約入力'!$N$5:$N$204&lt;&gt;"キャンセル")*('01_予約入力'!$B$5:$B$204=$A7)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7">
        <f>IF(OR($A7="",AE$4=""),0,SUMPRODUCT(('01_予約入力'!$G$5:$G$204&lt;&gt;"")*('01_予約入力'!$N$5:$N$204&lt;&gt;"キャンセル")*('01_予約入力'!$B$5:$B$204=$A7)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7">
        <f>IF(OR($A7="",AF$4=""),0,SUMPRODUCT(('01_予約入力'!$G$5:$G$204&lt;&gt;"")*('01_予約入力'!$N$5:$N$204&lt;&gt;"キャンセル")*('01_予約入力'!$B$5:$B$204=$A7)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8">
      <c r="A8" s="34">
        <f>IF(COUNTA('利用者マスタ'!$A$4:$A$60)&gt;=2,INDEX('利用者マスタ'!$A$4:$A$60,2),"")</f>
        <v/>
      </c>
      <c r="B8" s="35">
        <f>IF($AP8=0,"",IF(MOD($AP8,8)=7,IF($AP8&gt;=8,"◇","◆"),IF(MOD($AP8,8)=3,IF($AP8&gt;=8,"▷","▶"),IF(MOD($AP8,8)=5,IF($AP8&gt;=8,"◁","◀"),IF($AP8&gt;=8,"□","■")))))</f>
        <v/>
      </c>
      <c r="C8" s="35">
        <f>IF($AQ8=0,"",IF(MOD($AQ8,8)=7,IF($AQ8&gt;=8,"◇","◆"),IF(MOD($AQ8,8)=3,IF($AQ8&gt;=8,"▷","▶"),IF(MOD($AQ8,8)=5,IF($AQ8&gt;=8,"◁","◀"),IF($AQ8&gt;=8,"□","■")))))</f>
        <v/>
      </c>
      <c r="D8" s="35">
        <f>IF($AR8=0,"",IF(MOD($AR8,8)=7,IF($AR8&gt;=8,"◇","◆"),IF(MOD($AR8,8)=3,IF($AR8&gt;=8,"▷","▶"),IF(MOD($AR8,8)=5,IF($AR8&gt;=8,"◁","◀"),IF($AR8&gt;=8,"□","■")))))</f>
        <v/>
      </c>
      <c r="E8" s="35">
        <f>IF($AS8=0,"",IF(MOD($AS8,8)=7,IF($AS8&gt;=8,"◇","◆"),IF(MOD($AS8,8)=3,IF($AS8&gt;=8,"▷","▶"),IF(MOD($AS8,8)=5,IF($AS8&gt;=8,"◁","◀"),IF($AS8&gt;=8,"□","■")))))</f>
        <v/>
      </c>
      <c r="F8" s="35">
        <f>IF($AT8=0,"",IF(MOD($AT8,8)=7,IF($AT8&gt;=8,"◇","◆"),IF(MOD($AT8,8)=3,IF($AT8&gt;=8,"▷","▶"),IF(MOD($AT8,8)=5,IF($AT8&gt;=8,"◁","◀"),IF($AT8&gt;=8,"□","■")))))</f>
        <v/>
      </c>
      <c r="G8" s="35">
        <f>IF($AU8=0,"",IF(MOD($AU8,8)=7,IF($AU8&gt;=8,"◇","◆"),IF(MOD($AU8,8)=3,IF($AU8&gt;=8,"▷","▶"),IF(MOD($AU8,8)=5,IF($AU8&gt;=8,"◁","◀"),IF($AU8&gt;=8,"□","■")))))</f>
        <v/>
      </c>
      <c r="H8" s="35">
        <f>IF($AV8=0,"",IF(MOD($AV8,8)=7,IF($AV8&gt;=8,"◇","◆"),IF(MOD($AV8,8)=3,IF($AV8&gt;=8,"▷","▶"),IF(MOD($AV8,8)=5,IF($AV8&gt;=8,"◁","◀"),IF($AV8&gt;=8,"□","■")))))</f>
        <v/>
      </c>
      <c r="I8" s="35">
        <f>IF($AW8=0,"",IF(MOD($AW8,8)=7,IF($AW8&gt;=8,"◇","◆"),IF(MOD($AW8,8)=3,IF($AW8&gt;=8,"▷","▶"),IF(MOD($AW8,8)=5,IF($AW8&gt;=8,"◁","◀"),IF($AW8&gt;=8,"□","■")))))</f>
        <v/>
      </c>
      <c r="J8" s="35">
        <f>IF($AX8=0,"",IF(MOD($AX8,8)=7,IF($AX8&gt;=8,"◇","◆"),IF(MOD($AX8,8)=3,IF($AX8&gt;=8,"▷","▶"),IF(MOD($AX8,8)=5,IF($AX8&gt;=8,"◁","◀"),IF($AX8&gt;=8,"□","■")))))</f>
        <v/>
      </c>
      <c r="K8" s="35">
        <f>IF($AY8=0,"",IF(MOD($AY8,8)=7,IF($AY8&gt;=8,"◇","◆"),IF(MOD($AY8,8)=3,IF($AY8&gt;=8,"▷","▶"),IF(MOD($AY8,8)=5,IF($AY8&gt;=8,"◁","◀"),IF($AY8&gt;=8,"□","■")))))</f>
        <v/>
      </c>
      <c r="L8" s="35">
        <f>IF($AZ8=0,"",IF(MOD($AZ8,8)=7,IF($AZ8&gt;=8,"◇","◆"),IF(MOD($AZ8,8)=3,IF($AZ8&gt;=8,"▷","▶"),IF(MOD($AZ8,8)=5,IF($AZ8&gt;=8,"◁","◀"),IF($AZ8&gt;=8,"□","■")))))</f>
        <v/>
      </c>
      <c r="M8" s="35">
        <f>IF($BA8=0,"",IF(MOD($BA8,8)=7,IF($BA8&gt;=8,"◇","◆"),IF(MOD($BA8,8)=3,IF($BA8&gt;=8,"▷","▶"),IF(MOD($BA8,8)=5,IF($BA8&gt;=8,"◁","◀"),IF($BA8&gt;=8,"□","■")))))</f>
        <v/>
      </c>
      <c r="N8" s="35">
        <f>IF($BB8=0,"",IF(MOD($BB8,8)=7,IF($BB8&gt;=8,"◇","◆"),IF(MOD($BB8,8)=3,IF($BB8&gt;=8,"▷","▶"),IF(MOD($BB8,8)=5,IF($BB8&gt;=8,"◁","◀"),IF($BB8&gt;=8,"□","■")))))</f>
        <v/>
      </c>
      <c r="O8" s="35">
        <f>IF($BC8=0,"",IF(MOD($BC8,8)=7,IF($BC8&gt;=8,"◇","◆"),IF(MOD($BC8,8)=3,IF($BC8&gt;=8,"▷","▶"),IF(MOD($BC8,8)=5,IF($BC8&gt;=8,"◁","◀"),IF($BC8&gt;=8,"□","■")))))</f>
        <v/>
      </c>
      <c r="P8" s="35">
        <f>IF($BD8=0,"",IF(MOD($BD8,8)=7,IF($BD8&gt;=8,"◇","◆"),IF(MOD($BD8,8)=3,IF($BD8&gt;=8,"▷","▶"),IF(MOD($BD8,8)=5,IF($BD8&gt;=8,"◁","◀"),IF($BD8&gt;=8,"□","■")))))</f>
        <v/>
      </c>
      <c r="Q8" s="35">
        <f>IF($BE8=0,"",IF(MOD($BE8,8)=7,IF($BE8&gt;=8,"◇","◆"),IF(MOD($BE8,8)=3,IF($BE8&gt;=8,"▷","▶"),IF(MOD($BE8,8)=5,IF($BE8&gt;=8,"◁","◀"),IF($BE8&gt;=8,"□","■")))))</f>
        <v/>
      </c>
      <c r="R8" s="35">
        <f>IF($BF8=0,"",IF(MOD($BF8,8)=7,IF($BF8&gt;=8,"◇","◆"),IF(MOD($BF8,8)=3,IF($BF8&gt;=8,"▷","▶"),IF(MOD($BF8,8)=5,IF($BF8&gt;=8,"◁","◀"),IF($BF8&gt;=8,"□","■")))))</f>
        <v/>
      </c>
      <c r="S8" s="35">
        <f>IF($BG8=0,"",IF(MOD($BG8,8)=7,IF($BG8&gt;=8,"◇","◆"),IF(MOD($BG8,8)=3,IF($BG8&gt;=8,"▷","▶"),IF(MOD($BG8,8)=5,IF($BG8&gt;=8,"◁","◀"),IF($BG8&gt;=8,"□","■")))))</f>
        <v/>
      </c>
      <c r="T8" s="35">
        <f>IF($BH8=0,"",IF(MOD($BH8,8)=7,IF($BH8&gt;=8,"◇","◆"),IF(MOD($BH8,8)=3,IF($BH8&gt;=8,"▷","▶"),IF(MOD($BH8,8)=5,IF($BH8&gt;=8,"◁","◀"),IF($BH8&gt;=8,"□","■")))))</f>
        <v/>
      </c>
      <c r="U8" s="35">
        <f>IF($BI8=0,"",IF(MOD($BI8,8)=7,IF($BI8&gt;=8,"◇","◆"),IF(MOD($BI8,8)=3,IF($BI8&gt;=8,"▷","▶"),IF(MOD($BI8,8)=5,IF($BI8&gt;=8,"◁","◀"),IF($BI8&gt;=8,"□","■")))))</f>
        <v/>
      </c>
      <c r="V8" s="35">
        <f>IF($BJ8=0,"",IF(MOD($BJ8,8)=7,IF($BJ8&gt;=8,"◇","◆"),IF(MOD($BJ8,8)=3,IF($BJ8&gt;=8,"▷","▶"),IF(MOD($BJ8,8)=5,IF($BJ8&gt;=8,"◁","◀"),IF($BJ8&gt;=8,"□","■")))))</f>
        <v/>
      </c>
      <c r="W8" s="35">
        <f>IF($BK8=0,"",IF(MOD($BK8,8)=7,IF($BK8&gt;=8,"◇","◆"),IF(MOD($BK8,8)=3,IF($BK8&gt;=8,"▷","▶"),IF(MOD($BK8,8)=5,IF($BK8&gt;=8,"◁","◀"),IF($BK8&gt;=8,"□","■")))))</f>
        <v/>
      </c>
      <c r="X8" s="35">
        <f>IF($BL8=0,"",IF(MOD($BL8,8)=7,IF($BL8&gt;=8,"◇","◆"),IF(MOD($BL8,8)=3,IF($BL8&gt;=8,"▷","▶"),IF(MOD($BL8,8)=5,IF($BL8&gt;=8,"◁","◀"),IF($BL8&gt;=8,"□","■")))))</f>
        <v/>
      </c>
      <c r="Y8" s="35">
        <f>IF($BM8=0,"",IF(MOD($BM8,8)=7,IF($BM8&gt;=8,"◇","◆"),IF(MOD($BM8,8)=3,IF($BM8&gt;=8,"▷","▶"),IF(MOD($BM8,8)=5,IF($BM8&gt;=8,"◁","◀"),IF($BM8&gt;=8,"□","■")))))</f>
        <v/>
      </c>
      <c r="Z8" s="35">
        <f>IF($BN8=0,"",IF(MOD($BN8,8)=7,IF($BN8&gt;=8,"◇","◆"),IF(MOD($BN8,8)=3,IF($BN8&gt;=8,"▷","▶"),IF(MOD($BN8,8)=5,IF($BN8&gt;=8,"◁","◀"),IF($BN8&gt;=8,"□","■")))))</f>
        <v/>
      </c>
      <c r="AA8" s="35">
        <f>IF($BO8=0,"",IF(MOD($BO8,8)=7,IF($BO8&gt;=8,"◇","◆"),IF(MOD($BO8,8)=3,IF($BO8&gt;=8,"▷","▶"),IF(MOD($BO8,8)=5,IF($BO8&gt;=8,"◁","◀"),IF($BO8&gt;=8,"□","■")))))</f>
        <v/>
      </c>
      <c r="AB8" s="35">
        <f>IF($BP8=0,"",IF(MOD($BP8,8)=7,IF($BP8&gt;=8,"◇","◆"),IF(MOD($BP8,8)=3,IF($BP8&gt;=8,"▷","▶"),IF(MOD($BP8,8)=5,IF($BP8&gt;=8,"◁","◀"),IF($BP8&gt;=8,"□","■")))))</f>
        <v/>
      </c>
      <c r="AC8" s="35">
        <f>IF($BQ8=0,"",IF(MOD($BQ8,8)=7,IF($BQ8&gt;=8,"◇","◆"),IF(MOD($BQ8,8)=3,IF($BQ8&gt;=8,"▷","▶"),IF(MOD($BQ8,8)=5,IF($BQ8&gt;=8,"◁","◀"),IF($BQ8&gt;=8,"□","■")))))</f>
        <v/>
      </c>
      <c r="AD8" s="35">
        <f>IF($BR8=0,"",IF(MOD($BR8,8)=7,IF($BR8&gt;=8,"◇","◆"),IF(MOD($BR8,8)=3,IF($BR8&gt;=8,"▷","▶"),IF(MOD($BR8,8)=5,IF($BR8&gt;=8,"◁","◀"),IF($BR8&gt;=8,"□","■")))))</f>
        <v/>
      </c>
      <c r="AE8" s="35">
        <f>IF($BS8=0,"",IF(MOD($BS8,8)=7,IF($BS8&gt;=8,"◇","◆"),IF(MOD($BS8,8)=3,IF($BS8&gt;=8,"▷","▶"),IF(MOD($BS8,8)=5,IF($BS8&gt;=8,"◁","◀"),IF($BS8&gt;=8,"□","■")))))</f>
        <v/>
      </c>
      <c r="AF8" s="35">
        <f>IF($BT8=0,"",IF(MOD($BT8,8)=7,IF($BT8&gt;=8,"◇","◆"),IF(MOD($BT8,8)=3,IF($BT8&gt;=8,"▷","▶"),IF(MOD($BT8,8)=5,IF($BT8&gt;=8,"◁","◀"),IF($BT8&gt;=8,"□","■")))))</f>
        <v/>
      </c>
      <c r="AG8" s="36">
        <f>IF($A8="","",COUNTIF($AP8:$BT8,"&gt;0"))</f>
        <v/>
      </c>
      <c r="AP8">
        <f>IF(OR($A8="",B$4=""),0,SUMPRODUCT(('01_予約入力'!$G$5:$G$204&lt;&gt;"")*('01_予約入力'!$N$5:$N$204&lt;&gt;"キャンセル")*('01_予約入力'!$B$5:$B$204=$A8)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8">
        <f>IF(OR($A8="",C$4=""),0,SUMPRODUCT(('01_予約入力'!$G$5:$G$204&lt;&gt;"")*('01_予約入力'!$N$5:$N$204&lt;&gt;"キャンセル")*('01_予約入力'!$B$5:$B$204=$A8)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8">
        <f>IF(OR($A8="",D$4=""),0,SUMPRODUCT(('01_予約入力'!$G$5:$G$204&lt;&gt;"")*('01_予約入力'!$N$5:$N$204&lt;&gt;"キャンセル")*('01_予約入力'!$B$5:$B$204=$A8)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8">
        <f>IF(OR($A8="",E$4=""),0,SUMPRODUCT(('01_予約入力'!$G$5:$G$204&lt;&gt;"")*('01_予約入力'!$N$5:$N$204&lt;&gt;"キャンセル")*('01_予約入力'!$B$5:$B$204=$A8)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8">
        <f>IF(OR($A8="",F$4=""),0,SUMPRODUCT(('01_予約入力'!$G$5:$G$204&lt;&gt;"")*('01_予約入力'!$N$5:$N$204&lt;&gt;"キャンセル")*('01_予約入力'!$B$5:$B$204=$A8)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8">
        <f>IF(OR($A8="",G$4=""),0,SUMPRODUCT(('01_予約入力'!$G$5:$G$204&lt;&gt;"")*('01_予約入力'!$N$5:$N$204&lt;&gt;"キャンセル")*('01_予約入力'!$B$5:$B$204=$A8)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8">
        <f>IF(OR($A8="",H$4=""),0,SUMPRODUCT(('01_予約入力'!$G$5:$G$204&lt;&gt;"")*('01_予約入力'!$N$5:$N$204&lt;&gt;"キャンセル")*('01_予約入力'!$B$5:$B$204=$A8)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8">
        <f>IF(OR($A8="",I$4=""),0,SUMPRODUCT(('01_予約入力'!$G$5:$G$204&lt;&gt;"")*('01_予約入力'!$N$5:$N$204&lt;&gt;"キャンセル")*('01_予約入力'!$B$5:$B$204=$A8)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8">
        <f>IF(OR($A8="",J$4=""),0,SUMPRODUCT(('01_予約入力'!$G$5:$G$204&lt;&gt;"")*('01_予約入力'!$N$5:$N$204&lt;&gt;"キャンセル")*('01_予約入力'!$B$5:$B$204=$A8)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8">
        <f>IF(OR($A8="",K$4=""),0,SUMPRODUCT(('01_予約入力'!$G$5:$G$204&lt;&gt;"")*('01_予約入力'!$N$5:$N$204&lt;&gt;"キャンセル")*('01_予約入力'!$B$5:$B$204=$A8)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8">
        <f>IF(OR($A8="",L$4=""),0,SUMPRODUCT(('01_予約入力'!$G$5:$G$204&lt;&gt;"")*('01_予約入力'!$N$5:$N$204&lt;&gt;"キャンセル")*('01_予約入力'!$B$5:$B$204=$A8)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8">
        <f>IF(OR($A8="",M$4=""),0,SUMPRODUCT(('01_予約入力'!$G$5:$G$204&lt;&gt;"")*('01_予約入力'!$N$5:$N$204&lt;&gt;"キャンセル")*('01_予約入力'!$B$5:$B$204=$A8)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8">
        <f>IF(OR($A8="",N$4=""),0,SUMPRODUCT(('01_予約入力'!$G$5:$G$204&lt;&gt;"")*('01_予約入力'!$N$5:$N$204&lt;&gt;"キャンセル")*('01_予約入力'!$B$5:$B$204=$A8)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8">
        <f>IF(OR($A8="",O$4=""),0,SUMPRODUCT(('01_予約入力'!$G$5:$G$204&lt;&gt;"")*('01_予約入力'!$N$5:$N$204&lt;&gt;"キャンセル")*('01_予約入力'!$B$5:$B$204=$A8)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8">
        <f>IF(OR($A8="",P$4=""),0,SUMPRODUCT(('01_予約入力'!$G$5:$G$204&lt;&gt;"")*('01_予約入力'!$N$5:$N$204&lt;&gt;"キャンセル")*('01_予約入力'!$B$5:$B$204=$A8)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8">
        <f>IF(OR($A8="",Q$4=""),0,SUMPRODUCT(('01_予約入力'!$G$5:$G$204&lt;&gt;"")*('01_予約入力'!$N$5:$N$204&lt;&gt;"キャンセル")*('01_予約入力'!$B$5:$B$204=$A8)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8">
        <f>IF(OR($A8="",R$4=""),0,SUMPRODUCT(('01_予約入力'!$G$5:$G$204&lt;&gt;"")*('01_予約入力'!$N$5:$N$204&lt;&gt;"キャンセル")*('01_予約入力'!$B$5:$B$204=$A8)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8">
        <f>IF(OR($A8="",S$4=""),0,SUMPRODUCT(('01_予約入力'!$G$5:$G$204&lt;&gt;"")*('01_予約入力'!$N$5:$N$204&lt;&gt;"キャンセル")*('01_予約入力'!$B$5:$B$204=$A8)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8">
        <f>IF(OR($A8="",T$4=""),0,SUMPRODUCT(('01_予約入力'!$G$5:$G$204&lt;&gt;"")*('01_予約入力'!$N$5:$N$204&lt;&gt;"キャンセル")*('01_予約入力'!$B$5:$B$204=$A8)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8">
        <f>IF(OR($A8="",U$4=""),0,SUMPRODUCT(('01_予約入力'!$G$5:$G$204&lt;&gt;"")*('01_予約入力'!$N$5:$N$204&lt;&gt;"キャンセル")*('01_予約入力'!$B$5:$B$204=$A8)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8">
        <f>IF(OR($A8="",V$4=""),0,SUMPRODUCT(('01_予約入力'!$G$5:$G$204&lt;&gt;"")*('01_予約入力'!$N$5:$N$204&lt;&gt;"キャンセル")*('01_予約入力'!$B$5:$B$204=$A8)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8">
        <f>IF(OR($A8="",W$4=""),0,SUMPRODUCT(('01_予約入力'!$G$5:$G$204&lt;&gt;"")*('01_予約入力'!$N$5:$N$204&lt;&gt;"キャンセル")*('01_予約入力'!$B$5:$B$204=$A8)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8">
        <f>IF(OR($A8="",X$4=""),0,SUMPRODUCT(('01_予約入力'!$G$5:$G$204&lt;&gt;"")*('01_予約入力'!$N$5:$N$204&lt;&gt;"キャンセル")*('01_予約入力'!$B$5:$B$204=$A8)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8">
        <f>IF(OR($A8="",Y$4=""),0,SUMPRODUCT(('01_予約入力'!$G$5:$G$204&lt;&gt;"")*('01_予約入力'!$N$5:$N$204&lt;&gt;"キャンセル")*('01_予約入力'!$B$5:$B$204=$A8)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8">
        <f>IF(OR($A8="",Z$4=""),0,SUMPRODUCT(('01_予約入力'!$G$5:$G$204&lt;&gt;"")*('01_予約入力'!$N$5:$N$204&lt;&gt;"キャンセル")*('01_予約入力'!$B$5:$B$204=$A8)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8">
        <f>IF(OR($A8="",AA$4=""),0,SUMPRODUCT(('01_予約入力'!$G$5:$G$204&lt;&gt;"")*('01_予約入力'!$N$5:$N$204&lt;&gt;"キャンセル")*('01_予約入力'!$B$5:$B$204=$A8)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8">
        <f>IF(OR($A8="",AB$4=""),0,SUMPRODUCT(('01_予約入力'!$G$5:$G$204&lt;&gt;"")*('01_予約入力'!$N$5:$N$204&lt;&gt;"キャンセル")*('01_予約入力'!$B$5:$B$204=$A8)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8">
        <f>IF(OR($A8="",AC$4=""),0,SUMPRODUCT(('01_予約入力'!$G$5:$G$204&lt;&gt;"")*('01_予約入力'!$N$5:$N$204&lt;&gt;"キャンセル")*('01_予約入力'!$B$5:$B$204=$A8)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8">
        <f>IF(OR($A8="",AD$4=""),0,SUMPRODUCT(('01_予約入力'!$G$5:$G$204&lt;&gt;"")*('01_予約入力'!$N$5:$N$204&lt;&gt;"キャンセル")*('01_予約入力'!$B$5:$B$204=$A8)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8">
        <f>IF(OR($A8="",AE$4=""),0,SUMPRODUCT(('01_予約入力'!$G$5:$G$204&lt;&gt;"")*('01_予約入力'!$N$5:$N$204&lt;&gt;"キャンセル")*('01_予約入力'!$B$5:$B$204=$A8)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8">
        <f>IF(OR($A8="",AF$4=""),0,SUMPRODUCT(('01_予約入力'!$G$5:$G$204&lt;&gt;"")*('01_予約入力'!$N$5:$N$204&lt;&gt;"キャンセル")*('01_予約入力'!$B$5:$B$204=$A8)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9">
      <c r="A9" s="34">
        <f>IF(COUNTA('利用者マスタ'!$A$4:$A$60)&gt;=3,INDEX('利用者マスタ'!$A$4:$A$60,3),"")</f>
        <v/>
      </c>
      <c r="B9" s="35">
        <f>IF($AP9=0,"",IF(MOD($AP9,8)=7,IF($AP9&gt;=8,"◇","◆"),IF(MOD($AP9,8)=3,IF($AP9&gt;=8,"▷","▶"),IF(MOD($AP9,8)=5,IF($AP9&gt;=8,"◁","◀"),IF($AP9&gt;=8,"□","■")))))</f>
        <v/>
      </c>
      <c r="C9" s="35">
        <f>IF($AQ9=0,"",IF(MOD($AQ9,8)=7,IF($AQ9&gt;=8,"◇","◆"),IF(MOD($AQ9,8)=3,IF($AQ9&gt;=8,"▷","▶"),IF(MOD($AQ9,8)=5,IF($AQ9&gt;=8,"◁","◀"),IF($AQ9&gt;=8,"□","■")))))</f>
        <v/>
      </c>
      <c r="D9" s="35">
        <f>IF($AR9=0,"",IF(MOD($AR9,8)=7,IF($AR9&gt;=8,"◇","◆"),IF(MOD($AR9,8)=3,IF($AR9&gt;=8,"▷","▶"),IF(MOD($AR9,8)=5,IF($AR9&gt;=8,"◁","◀"),IF($AR9&gt;=8,"□","■")))))</f>
        <v/>
      </c>
      <c r="E9" s="35">
        <f>IF($AS9=0,"",IF(MOD($AS9,8)=7,IF($AS9&gt;=8,"◇","◆"),IF(MOD($AS9,8)=3,IF($AS9&gt;=8,"▷","▶"),IF(MOD($AS9,8)=5,IF($AS9&gt;=8,"◁","◀"),IF($AS9&gt;=8,"□","■")))))</f>
        <v/>
      </c>
      <c r="F9" s="35">
        <f>IF($AT9=0,"",IF(MOD($AT9,8)=7,IF($AT9&gt;=8,"◇","◆"),IF(MOD($AT9,8)=3,IF($AT9&gt;=8,"▷","▶"),IF(MOD($AT9,8)=5,IF($AT9&gt;=8,"◁","◀"),IF($AT9&gt;=8,"□","■")))))</f>
        <v/>
      </c>
      <c r="G9" s="35">
        <f>IF($AU9=0,"",IF(MOD($AU9,8)=7,IF($AU9&gt;=8,"◇","◆"),IF(MOD($AU9,8)=3,IF($AU9&gt;=8,"▷","▶"),IF(MOD($AU9,8)=5,IF($AU9&gt;=8,"◁","◀"),IF($AU9&gt;=8,"□","■")))))</f>
        <v/>
      </c>
      <c r="H9" s="35">
        <f>IF($AV9=0,"",IF(MOD($AV9,8)=7,IF($AV9&gt;=8,"◇","◆"),IF(MOD($AV9,8)=3,IF($AV9&gt;=8,"▷","▶"),IF(MOD($AV9,8)=5,IF($AV9&gt;=8,"◁","◀"),IF($AV9&gt;=8,"□","■")))))</f>
        <v/>
      </c>
      <c r="I9" s="35">
        <f>IF($AW9=0,"",IF(MOD($AW9,8)=7,IF($AW9&gt;=8,"◇","◆"),IF(MOD($AW9,8)=3,IF($AW9&gt;=8,"▷","▶"),IF(MOD($AW9,8)=5,IF($AW9&gt;=8,"◁","◀"),IF($AW9&gt;=8,"□","■")))))</f>
        <v/>
      </c>
      <c r="J9" s="35">
        <f>IF($AX9=0,"",IF(MOD($AX9,8)=7,IF($AX9&gt;=8,"◇","◆"),IF(MOD($AX9,8)=3,IF($AX9&gt;=8,"▷","▶"),IF(MOD($AX9,8)=5,IF($AX9&gt;=8,"◁","◀"),IF($AX9&gt;=8,"□","■")))))</f>
        <v/>
      </c>
      <c r="K9" s="35">
        <f>IF($AY9=0,"",IF(MOD($AY9,8)=7,IF($AY9&gt;=8,"◇","◆"),IF(MOD($AY9,8)=3,IF($AY9&gt;=8,"▷","▶"),IF(MOD($AY9,8)=5,IF($AY9&gt;=8,"◁","◀"),IF($AY9&gt;=8,"□","■")))))</f>
        <v/>
      </c>
      <c r="L9" s="35">
        <f>IF($AZ9=0,"",IF(MOD($AZ9,8)=7,IF($AZ9&gt;=8,"◇","◆"),IF(MOD($AZ9,8)=3,IF($AZ9&gt;=8,"▷","▶"),IF(MOD($AZ9,8)=5,IF($AZ9&gt;=8,"◁","◀"),IF($AZ9&gt;=8,"□","■")))))</f>
        <v/>
      </c>
      <c r="M9" s="35">
        <f>IF($BA9=0,"",IF(MOD($BA9,8)=7,IF($BA9&gt;=8,"◇","◆"),IF(MOD($BA9,8)=3,IF($BA9&gt;=8,"▷","▶"),IF(MOD($BA9,8)=5,IF($BA9&gt;=8,"◁","◀"),IF($BA9&gt;=8,"□","■")))))</f>
        <v/>
      </c>
      <c r="N9" s="35">
        <f>IF($BB9=0,"",IF(MOD($BB9,8)=7,IF($BB9&gt;=8,"◇","◆"),IF(MOD($BB9,8)=3,IF($BB9&gt;=8,"▷","▶"),IF(MOD($BB9,8)=5,IF($BB9&gt;=8,"◁","◀"),IF($BB9&gt;=8,"□","■")))))</f>
        <v/>
      </c>
      <c r="O9" s="35">
        <f>IF($BC9=0,"",IF(MOD($BC9,8)=7,IF($BC9&gt;=8,"◇","◆"),IF(MOD($BC9,8)=3,IF($BC9&gt;=8,"▷","▶"),IF(MOD($BC9,8)=5,IF($BC9&gt;=8,"◁","◀"),IF($BC9&gt;=8,"□","■")))))</f>
        <v/>
      </c>
      <c r="P9" s="35">
        <f>IF($BD9=0,"",IF(MOD($BD9,8)=7,IF($BD9&gt;=8,"◇","◆"),IF(MOD($BD9,8)=3,IF($BD9&gt;=8,"▷","▶"),IF(MOD($BD9,8)=5,IF($BD9&gt;=8,"◁","◀"),IF($BD9&gt;=8,"□","■")))))</f>
        <v/>
      </c>
      <c r="Q9" s="35">
        <f>IF($BE9=0,"",IF(MOD($BE9,8)=7,IF($BE9&gt;=8,"◇","◆"),IF(MOD($BE9,8)=3,IF($BE9&gt;=8,"▷","▶"),IF(MOD($BE9,8)=5,IF($BE9&gt;=8,"◁","◀"),IF($BE9&gt;=8,"□","■")))))</f>
        <v/>
      </c>
      <c r="R9" s="35">
        <f>IF($BF9=0,"",IF(MOD($BF9,8)=7,IF($BF9&gt;=8,"◇","◆"),IF(MOD($BF9,8)=3,IF($BF9&gt;=8,"▷","▶"),IF(MOD($BF9,8)=5,IF($BF9&gt;=8,"◁","◀"),IF($BF9&gt;=8,"□","■")))))</f>
        <v/>
      </c>
      <c r="S9" s="35">
        <f>IF($BG9=0,"",IF(MOD($BG9,8)=7,IF($BG9&gt;=8,"◇","◆"),IF(MOD($BG9,8)=3,IF($BG9&gt;=8,"▷","▶"),IF(MOD($BG9,8)=5,IF($BG9&gt;=8,"◁","◀"),IF($BG9&gt;=8,"□","■")))))</f>
        <v/>
      </c>
      <c r="T9" s="35">
        <f>IF($BH9=0,"",IF(MOD($BH9,8)=7,IF($BH9&gt;=8,"◇","◆"),IF(MOD($BH9,8)=3,IF($BH9&gt;=8,"▷","▶"),IF(MOD($BH9,8)=5,IF($BH9&gt;=8,"◁","◀"),IF($BH9&gt;=8,"□","■")))))</f>
        <v/>
      </c>
      <c r="U9" s="35">
        <f>IF($BI9=0,"",IF(MOD($BI9,8)=7,IF($BI9&gt;=8,"◇","◆"),IF(MOD($BI9,8)=3,IF($BI9&gt;=8,"▷","▶"),IF(MOD($BI9,8)=5,IF($BI9&gt;=8,"◁","◀"),IF($BI9&gt;=8,"□","■")))))</f>
        <v/>
      </c>
      <c r="V9" s="35">
        <f>IF($BJ9=0,"",IF(MOD($BJ9,8)=7,IF($BJ9&gt;=8,"◇","◆"),IF(MOD($BJ9,8)=3,IF($BJ9&gt;=8,"▷","▶"),IF(MOD($BJ9,8)=5,IF($BJ9&gt;=8,"◁","◀"),IF($BJ9&gt;=8,"□","■")))))</f>
        <v/>
      </c>
      <c r="W9" s="35">
        <f>IF($BK9=0,"",IF(MOD($BK9,8)=7,IF($BK9&gt;=8,"◇","◆"),IF(MOD($BK9,8)=3,IF($BK9&gt;=8,"▷","▶"),IF(MOD($BK9,8)=5,IF($BK9&gt;=8,"◁","◀"),IF($BK9&gt;=8,"□","■")))))</f>
        <v/>
      </c>
      <c r="X9" s="35">
        <f>IF($BL9=0,"",IF(MOD($BL9,8)=7,IF($BL9&gt;=8,"◇","◆"),IF(MOD($BL9,8)=3,IF($BL9&gt;=8,"▷","▶"),IF(MOD($BL9,8)=5,IF($BL9&gt;=8,"◁","◀"),IF($BL9&gt;=8,"□","■")))))</f>
        <v/>
      </c>
      <c r="Y9" s="35">
        <f>IF($BM9=0,"",IF(MOD($BM9,8)=7,IF($BM9&gt;=8,"◇","◆"),IF(MOD($BM9,8)=3,IF($BM9&gt;=8,"▷","▶"),IF(MOD($BM9,8)=5,IF($BM9&gt;=8,"◁","◀"),IF($BM9&gt;=8,"□","■")))))</f>
        <v/>
      </c>
      <c r="Z9" s="35">
        <f>IF($BN9=0,"",IF(MOD($BN9,8)=7,IF($BN9&gt;=8,"◇","◆"),IF(MOD($BN9,8)=3,IF($BN9&gt;=8,"▷","▶"),IF(MOD($BN9,8)=5,IF($BN9&gt;=8,"◁","◀"),IF($BN9&gt;=8,"□","■")))))</f>
        <v/>
      </c>
      <c r="AA9" s="35">
        <f>IF($BO9=0,"",IF(MOD($BO9,8)=7,IF($BO9&gt;=8,"◇","◆"),IF(MOD($BO9,8)=3,IF($BO9&gt;=8,"▷","▶"),IF(MOD($BO9,8)=5,IF($BO9&gt;=8,"◁","◀"),IF($BO9&gt;=8,"□","■")))))</f>
        <v/>
      </c>
      <c r="AB9" s="35">
        <f>IF($BP9=0,"",IF(MOD($BP9,8)=7,IF($BP9&gt;=8,"◇","◆"),IF(MOD($BP9,8)=3,IF($BP9&gt;=8,"▷","▶"),IF(MOD($BP9,8)=5,IF($BP9&gt;=8,"◁","◀"),IF($BP9&gt;=8,"□","■")))))</f>
        <v/>
      </c>
      <c r="AC9" s="35">
        <f>IF($BQ9=0,"",IF(MOD($BQ9,8)=7,IF($BQ9&gt;=8,"◇","◆"),IF(MOD($BQ9,8)=3,IF($BQ9&gt;=8,"▷","▶"),IF(MOD($BQ9,8)=5,IF($BQ9&gt;=8,"◁","◀"),IF($BQ9&gt;=8,"□","■")))))</f>
        <v/>
      </c>
      <c r="AD9" s="35">
        <f>IF($BR9=0,"",IF(MOD($BR9,8)=7,IF($BR9&gt;=8,"◇","◆"),IF(MOD($BR9,8)=3,IF($BR9&gt;=8,"▷","▶"),IF(MOD($BR9,8)=5,IF($BR9&gt;=8,"◁","◀"),IF($BR9&gt;=8,"□","■")))))</f>
        <v/>
      </c>
      <c r="AE9" s="35">
        <f>IF($BS9=0,"",IF(MOD($BS9,8)=7,IF($BS9&gt;=8,"◇","◆"),IF(MOD($BS9,8)=3,IF($BS9&gt;=8,"▷","▶"),IF(MOD($BS9,8)=5,IF($BS9&gt;=8,"◁","◀"),IF($BS9&gt;=8,"□","■")))))</f>
        <v/>
      </c>
      <c r="AF9" s="35">
        <f>IF($BT9=0,"",IF(MOD($BT9,8)=7,IF($BT9&gt;=8,"◇","◆"),IF(MOD($BT9,8)=3,IF($BT9&gt;=8,"▷","▶"),IF(MOD($BT9,8)=5,IF($BT9&gt;=8,"◁","◀"),IF($BT9&gt;=8,"□","■")))))</f>
        <v/>
      </c>
      <c r="AG9" s="36">
        <f>IF($A9="","",COUNTIF($AP9:$BT9,"&gt;0"))</f>
        <v/>
      </c>
      <c r="AP9">
        <f>IF(OR($A9="",B$4=""),0,SUMPRODUCT(('01_予約入力'!$G$5:$G$204&lt;&gt;"")*('01_予約入力'!$N$5:$N$204&lt;&gt;"キャンセル")*('01_予約入力'!$B$5:$B$204=$A9)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9">
        <f>IF(OR($A9="",C$4=""),0,SUMPRODUCT(('01_予約入力'!$G$5:$G$204&lt;&gt;"")*('01_予約入力'!$N$5:$N$204&lt;&gt;"キャンセル")*('01_予約入力'!$B$5:$B$204=$A9)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9">
        <f>IF(OR($A9="",D$4=""),0,SUMPRODUCT(('01_予約入力'!$G$5:$G$204&lt;&gt;"")*('01_予約入力'!$N$5:$N$204&lt;&gt;"キャンセル")*('01_予約入力'!$B$5:$B$204=$A9)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9">
        <f>IF(OR($A9="",E$4=""),0,SUMPRODUCT(('01_予約入力'!$G$5:$G$204&lt;&gt;"")*('01_予約入力'!$N$5:$N$204&lt;&gt;"キャンセル")*('01_予約入力'!$B$5:$B$204=$A9)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9">
        <f>IF(OR($A9="",F$4=""),0,SUMPRODUCT(('01_予約入力'!$G$5:$G$204&lt;&gt;"")*('01_予約入力'!$N$5:$N$204&lt;&gt;"キャンセル")*('01_予約入力'!$B$5:$B$204=$A9)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9">
        <f>IF(OR($A9="",G$4=""),0,SUMPRODUCT(('01_予約入力'!$G$5:$G$204&lt;&gt;"")*('01_予約入力'!$N$5:$N$204&lt;&gt;"キャンセル")*('01_予約入力'!$B$5:$B$204=$A9)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9">
        <f>IF(OR($A9="",H$4=""),0,SUMPRODUCT(('01_予約入力'!$G$5:$G$204&lt;&gt;"")*('01_予約入力'!$N$5:$N$204&lt;&gt;"キャンセル")*('01_予約入力'!$B$5:$B$204=$A9)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9">
        <f>IF(OR($A9="",I$4=""),0,SUMPRODUCT(('01_予約入力'!$G$5:$G$204&lt;&gt;"")*('01_予約入力'!$N$5:$N$204&lt;&gt;"キャンセル")*('01_予約入力'!$B$5:$B$204=$A9)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9">
        <f>IF(OR($A9="",J$4=""),0,SUMPRODUCT(('01_予約入力'!$G$5:$G$204&lt;&gt;"")*('01_予約入力'!$N$5:$N$204&lt;&gt;"キャンセル")*('01_予約入力'!$B$5:$B$204=$A9)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9">
        <f>IF(OR($A9="",K$4=""),0,SUMPRODUCT(('01_予約入力'!$G$5:$G$204&lt;&gt;"")*('01_予約入力'!$N$5:$N$204&lt;&gt;"キャンセル")*('01_予約入力'!$B$5:$B$204=$A9)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9">
        <f>IF(OR($A9="",L$4=""),0,SUMPRODUCT(('01_予約入力'!$G$5:$G$204&lt;&gt;"")*('01_予約入力'!$N$5:$N$204&lt;&gt;"キャンセル")*('01_予約入力'!$B$5:$B$204=$A9)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9">
        <f>IF(OR($A9="",M$4=""),0,SUMPRODUCT(('01_予約入力'!$G$5:$G$204&lt;&gt;"")*('01_予約入力'!$N$5:$N$204&lt;&gt;"キャンセル")*('01_予約入力'!$B$5:$B$204=$A9)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9">
        <f>IF(OR($A9="",N$4=""),0,SUMPRODUCT(('01_予約入力'!$G$5:$G$204&lt;&gt;"")*('01_予約入力'!$N$5:$N$204&lt;&gt;"キャンセル")*('01_予約入力'!$B$5:$B$204=$A9)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9">
        <f>IF(OR($A9="",O$4=""),0,SUMPRODUCT(('01_予約入力'!$G$5:$G$204&lt;&gt;"")*('01_予約入力'!$N$5:$N$204&lt;&gt;"キャンセル")*('01_予約入力'!$B$5:$B$204=$A9)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9">
        <f>IF(OR($A9="",P$4=""),0,SUMPRODUCT(('01_予約入力'!$G$5:$G$204&lt;&gt;"")*('01_予約入力'!$N$5:$N$204&lt;&gt;"キャンセル")*('01_予約入力'!$B$5:$B$204=$A9)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9">
        <f>IF(OR($A9="",Q$4=""),0,SUMPRODUCT(('01_予約入力'!$G$5:$G$204&lt;&gt;"")*('01_予約入力'!$N$5:$N$204&lt;&gt;"キャンセル")*('01_予約入力'!$B$5:$B$204=$A9)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9">
        <f>IF(OR($A9="",R$4=""),0,SUMPRODUCT(('01_予約入力'!$G$5:$G$204&lt;&gt;"")*('01_予約入力'!$N$5:$N$204&lt;&gt;"キャンセル")*('01_予約入力'!$B$5:$B$204=$A9)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9">
        <f>IF(OR($A9="",S$4=""),0,SUMPRODUCT(('01_予約入力'!$G$5:$G$204&lt;&gt;"")*('01_予約入力'!$N$5:$N$204&lt;&gt;"キャンセル")*('01_予約入力'!$B$5:$B$204=$A9)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9">
        <f>IF(OR($A9="",T$4=""),0,SUMPRODUCT(('01_予約入力'!$G$5:$G$204&lt;&gt;"")*('01_予約入力'!$N$5:$N$204&lt;&gt;"キャンセル")*('01_予約入力'!$B$5:$B$204=$A9)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9">
        <f>IF(OR($A9="",U$4=""),0,SUMPRODUCT(('01_予約入力'!$G$5:$G$204&lt;&gt;"")*('01_予約入力'!$N$5:$N$204&lt;&gt;"キャンセル")*('01_予約入力'!$B$5:$B$204=$A9)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9">
        <f>IF(OR($A9="",V$4=""),0,SUMPRODUCT(('01_予約入力'!$G$5:$G$204&lt;&gt;"")*('01_予約入力'!$N$5:$N$204&lt;&gt;"キャンセル")*('01_予約入力'!$B$5:$B$204=$A9)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9">
        <f>IF(OR($A9="",W$4=""),0,SUMPRODUCT(('01_予約入力'!$G$5:$G$204&lt;&gt;"")*('01_予約入力'!$N$5:$N$204&lt;&gt;"キャンセル")*('01_予約入力'!$B$5:$B$204=$A9)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9">
        <f>IF(OR($A9="",X$4=""),0,SUMPRODUCT(('01_予約入力'!$G$5:$G$204&lt;&gt;"")*('01_予約入力'!$N$5:$N$204&lt;&gt;"キャンセル")*('01_予約入力'!$B$5:$B$204=$A9)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9">
        <f>IF(OR($A9="",Y$4=""),0,SUMPRODUCT(('01_予約入力'!$G$5:$G$204&lt;&gt;"")*('01_予約入力'!$N$5:$N$204&lt;&gt;"キャンセル")*('01_予約入力'!$B$5:$B$204=$A9)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9">
        <f>IF(OR($A9="",Z$4=""),0,SUMPRODUCT(('01_予約入力'!$G$5:$G$204&lt;&gt;"")*('01_予約入力'!$N$5:$N$204&lt;&gt;"キャンセル")*('01_予約入力'!$B$5:$B$204=$A9)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9">
        <f>IF(OR($A9="",AA$4=""),0,SUMPRODUCT(('01_予約入力'!$G$5:$G$204&lt;&gt;"")*('01_予約入力'!$N$5:$N$204&lt;&gt;"キャンセル")*('01_予約入力'!$B$5:$B$204=$A9)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9">
        <f>IF(OR($A9="",AB$4=""),0,SUMPRODUCT(('01_予約入力'!$G$5:$G$204&lt;&gt;"")*('01_予約入力'!$N$5:$N$204&lt;&gt;"キャンセル")*('01_予約入力'!$B$5:$B$204=$A9)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9">
        <f>IF(OR($A9="",AC$4=""),0,SUMPRODUCT(('01_予約入力'!$G$5:$G$204&lt;&gt;"")*('01_予約入力'!$N$5:$N$204&lt;&gt;"キャンセル")*('01_予約入力'!$B$5:$B$204=$A9)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9">
        <f>IF(OR($A9="",AD$4=""),0,SUMPRODUCT(('01_予約入力'!$G$5:$G$204&lt;&gt;"")*('01_予約入力'!$N$5:$N$204&lt;&gt;"キャンセル")*('01_予約入力'!$B$5:$B$204=$A9)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9">
        <f>IF(OR($A9="",AE$4=""),0,SUMPRODUCT(('01_予約入力'!$G$5:$G$204&lt;&gt;"")*('01_予約入力'!$N$5:$N$204&lt;&gt;"キャンセル")*('01_予約入力'!$B$5:$B$204=$A9)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9">
        <f>IF(OR($A9="",AF$4=""),0,SUMPRODUCT(('01_予約入力'!$G$5:$G$204&lt;&gt;"")*('01_予約入力'!$N$5:$N$204&lt;&gt;"キャンセル")*('01_予約入力'!$B$5:$B$204=$A9)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10">
      <c r="A10" s="34">
        <f>IF(COUNTA('利用者マスタ'!$A$4:$A$60)&gt;=4,INDEX('利用者マスタ'!$A$4:$A$60,4),"")</f>
        <v/>
      </c>
      <c r="B10" s="35">
        <f>IF($AP10=0,"",IF(MOD($AP10,8)=7,IF($AP10&gt;=8,"◇","◆"),IF(MOD($AP10,8)=3,IF($AP10&gt;=8,"▷","▶"),IF(MOD($AP10,8)=5,IF($AP10&gt;=8,"◁","◀"),IF($AP10&gt;=8,"□","■")))))</f>
        <v/>
      </c>
      <c r="C10" s="35">
        <f>IF($AQ10=0,"",IF(MOD($AQ10,8)=7,IF($AQ10&gt;=8,"◇","◆"),IF(MOD($AQ10,8)=3,IF($AQ10&gt;=8,"▷","▶"),IF(MOD($AQ10,8)=5,IF($AQ10&gt;=8,"◁","◀"),IF($AQ10&gt;=8,"□","■")))))</f>
        <v/>
      </c>
      <c r="D10" s="35">
        <f>IF($AR10=0,"",IF(MOD($AR10,8)=7,IF($AR10&gt;=8,"◇","◆"),IF(MOD($AR10,8)=3,IF($AR10&gt;=8,"▷","▶"),IF(MOD($AR10,8)=5,IF($AR10&gt;=8,"◁","◀"),IF($AR10&gt;=8,"□","■")))))</f>
        <v/>
      </c>
      <c r="E10" s="35">
        <f>IF($AS10=0,"",IF(MOD($AS10,8)=7,IF($AS10&gt;=8,"◇","◆"),IF(MOD($AS10,8)=3,IF($AS10&gt;=8,"▷","▶"),IF(MOD($AS10,8)=5,IF($AS10&gt;=8,"◁","◀"),IF($AS10&gt;=8,"□","■")))))</f>
        <v/>
      </c>
      <c r="F10" s="35">
        <f>IF($AT10=0,"",IF(MOD($AT10,8)=7,IF($AT10&gt;=8,"◇","◆"),IF(MOD($AT10,8)=3,IF($AT10&gt;=8,"▷","▶"),IF(MOD($AT10,8)=5,IF($AT10&gt;=8,"◁","◀"),IF($AT10&gt;=8,"□","■")))))</f>
        <v/>
      </c>
      <c r="G10" s="35">
        <f>IF($AU10=0,"",IF(MOD($AU10,8)=7,IF($AU10&gt;=8,"◇","◆"),IF(MOD($AU10,8)=3,IF($AU10&gt;=8,"▷","▶"),IF(MOD($AU10,8)=5,IF($AU10&gt;=8,"◁","◀"),IF($AU10&gt;=8,"□","■")))))</f>
        <v/>
      </c>
      <c r="H10" s="35">
        <f>IF($AV10=0,"",IF(MOD($AV10,8)=7,IF($AV10&gt;=8,"◇","◆"),IF(MOD($AV10,8)=3,IF($AV10&gt;=8,"▷","▶"),IF(MOD($AV10,8)=5,IF($AV10&gt;=8,"◁","◀"),IF($AV10&gt;=8,"□","■")))))</f>
        <v/>
      </c>
      <c r="I10" s="35">
        <f>IF($AW10=0,"",IF(MOD($AW10,8)=7,IF($AW10&gt;=8,"◇","◆"),IF(MOD($AW10,8)=3,IF($AW10&gt;=8,"▷","▶"),IF(MOD($AW10,8)=5,IF($AW10&gt;=8,"◁","◀"),IF($AW10&gt;=8,"□","■")))))</f>
        <v/>
      </c>
      <c r="J10" s="35">
        <f>IF($AX10=0,"",IF(MOD($AX10,8)=7,IF($AX10&gt;=8,"◇","◆"),IF(MOD($AX10,8)=3,IF($AX10&gt;=8,"▷","▶"),IF(MOD($AX10,8)=5,IF($AX10&gt;=8,"◁","◀"),IF($AX10&gt;=8,"□","■")))))</f>
        <v/>
      </c>
      <c r="K10" s="35">
        <f>IF($AY10=0,"",IF(MOD($AY10,8)=7,IF($AY10&gt;=8,"◇","◆"),IF(MOD($AY10,8)=3,IF($AY10&gt;=8,"▷","▶"),IF(MOD($AY10,8)=5,IF($AY10&gt;=8,"◁","◀"),IF($AY10&gt;=8,"□","■")))))</f>
        <v/>
      </c>
      <c r="L10" s="35">
        <f>IF($AZ10=0,"",IF(MOD($AZ10,8)=7,IF($AZ10&gt;=8,"◇","◆"),IF(MOD($AZ10,8)=3,IF($AZ10&gt;=8,"▷","▶"),IF(MOD($AZ10,8)=5,IF($AZ10&gt;=8,"◁","◀"),IF($AZ10&gt;=8,"□","■")))))</f>
        <v/>
      </c>
      <c r="M10" s="35">
        <f>IF($BA10=0,"",IF(MOD($BA10,8)=7,IF($BA10&gt;=8,"◇","◆"),IF(MOD($BA10,8)=3,IF($BA10&gt;=8,"▷","▶"),IF(MOD($BA10,8)=5,IF($BA10&gt;=8,"◁","◀"),IF($BA10&gt;=8,"□","■")))))</f>
        <v/>
      </c>
      <c r="N10" s="35">
        <f>IF($BB10=0,"",IF(MOD($BB10,8)=7,IF($BB10&gt;=8,"◇","◆"),IF(MOD($BB10,8)=3,IF($BB10&gt;=8,"▷","▶"),IF(MOD($BB10,8)=5,IF($BB10&gt;=8,"◁","◀"),IF($BB10&gt;=8,"□","■")))))</f>
        <v/>
      </c>
      <c r="O10" s="35">
        <f>IF($BC10=0,"",IF(MOD($BC10,8)=7,IF($BC10&gt;=8,"◇","◆"),IF(MOD($BC10,8)=3,IF($BC10&gt;=8,"▷","▶"),IF(MOD($BC10,8)=5,IF($BC10&gt;=8,"◁","◀"),IF($BC10&gt;=8,"□","■")))))</f>
        <v/>
      </c>
      <c r="P10" s="35">
        <f>IF($BD10=0,"",IF(MOD($BD10,8)=7,IF($BD10&gt;=8,"◇","◆"),IF(MOD($BD10,8)=3,IF($BD10&gt;=8,"▷","▶"),IF(MOD($BD10,8)=5,IF($BD10&gt;=8,"◁","◀"),IF($BD10&gt;=8,"□","■")))))</f>
        <v/>
      </c>
      <c r="Q10" s="35">
        <f>IF($BE10=0,"",IF(MOD($BE10,8)=7,IF($BE10&gt;=8,"◇","◆"),IF(MOD($BE10,8)=3,IF($BE10&gt;=8,"▷","▶"),IF(MOD($BE10,8)=5,IF($BE10&gt;=8,"◁","◀"),IF($BE10&gt;=8,"□","■")))))</f>
        <v/>
      </c>
      <c r="R10" s="35">
        <f>IF($BF10=0,"",IF(MOD($BF10,8)=7,IF($BF10&gt;=8,"◇","◆"),IF(MOD($BF10,8)=3,IF($BF10&gt;=8,"▷","▶"),IF(MOD($BF10,8)=5,IF($BF10&gt;=8,"◁","◀"),IF($BF10&gt;=8,"□","■")))))</f>
        <v/>
      </c>
      <c r="S10" s="35">
        <f>IF($BG10=0,"",IF(MOD($BG10,8)=7,IF($BG10&gt;=8,"◇","◆"),IF(MOD($BG10,8)=3,IF($BG10&gt;=8,"▷","▶"),IF(MOD($BG10,8)=5,IF($BG10&gt;=8,"◁","◀"),IF($BG10&gt;=8,"□","■")))))</f>
        <v/>
      </c>
      <c r="T10" s="35">
        <f>IF($BH10=0,"",IF(MOD($BH10,8)=7,IF($BH10&gt;=8,"◇","◆"),IF(MOD($BH10,8)=3,IF($BH10&gt;=8,"▷","▶"),IF(MOD($BH10,8)=5,IF($BH10&gt;=8,"◁","◀"),IF($BH10&gt;=8,"□","■")))))</f>
        <v/>
      </c>
      <c r="U10" s="35">
        <f>IF($BI10=0,"",IF(MOD($BI10,8)=7,IF($BI10&gt;=8,"◇","◆"),IF(MOD($BI10,8)=3,IF($BI10&gt;=8,"▷","▶"),IF(MOD($BI10,8)=5,IF($BI10&gt;=8,"◁","◀"),IF($BI10&gt;=8,"□","■")))))</f>
        <v/>
      </c>
      <c r="V10" s="35">
        <f>IF($BJ10=0,"",IF(MOD($BJ10,8)=7,IF($BJ10&gt;=8,"◇","◆"),IF(MOD($BJ10,8)=3,IF($BJ10&gt;=8,"▷","▶"),IF(MOD($BJ10,8)=5,IF($BJ10&gt;=8,"◁","◀"),IF($BJ10&gt;=8,"□","■")))))</f>
        <v/>
      </c>
      <c r="W10" s="35">
        <f>IF($BK10=0,"",IF(MOD($BK10,8)=7,IF($BK10&gt;=8,"◇","◆"),IF(MOD($BK10,8)=3,IF($BK10&gt;=8,"▷","▶"),IF(MOD($BK10,8)=5,IF($BK10&gt;=8,"◁","◀"),IF($BK10&gt;=8,"□","■")))))</f>
        <v/>
      </c>
      <c r="X10" s="35">
        <f>IF($BL10=0,"",IF(MOD($BL10,8)=7,IF($BL10&gt;=8,"◇","◆"),IF(MOD($BL10,8)=3,IF($BL10&gt;=8,"▷","▶"),IF(MOD($BL10,8)=5,IF($BL10&gt;=8,"◁","◀"),IF($BL10&gt;=8,"□","■")))))</f>
        <v/>
      </c>
      <c r="Y10" s="35">
        <f>IF($BM10=0,"",IF(MOD($BM10,8)=7,IF($BM10&gt;=8,"◇","◆"),IF(MOD($BM10,8)=3,IF($BM10&gt;=8,"▷","▶"),IF(MOD($BM10,8)=5,IF($BM10&gt;=8,"◁","◀"),IF($BM10&gt;=8,"□","■")))))</f>
        <v/>
      </c>
      <c r="Z10" s="35">
        <f>IF($BN10=0,"",IF(MOD($BN10,8)=7,IF($BN10&gt;=8,"◇","◆"),IF(MOD($BN10,8)=3,IF($BN10&gt;=8,"▷","▶"),IF(MOD($BN10,8)=5,IF($BN10&gt;=8,"◁","◀"),IF($BN10&gt;=8,"□","■")))))</f>
        <v/>
      </c>
      <c r="AA10" s="35">
        <f>IF($BO10=0,"",IF(MOD($BO10,8)=7,IF($BO10&gt;=8,"◇","◆"),IF(MOD($BO10,8)=3,IF($BO10&gt;=8,"▷","▶"),IF(MOD($BO10,8)=5,IF($BO10&gt;=8,"◁","◀"),IF($BO10&gt;=8,"□","■")))))</f>
        <v/>
      </c>
      <c r="AB10" s="35">
        <f>IF($BP10=0,"",IF(MOD($BP10,8)=7,IF($BP10&gt;=8,"◇","◆"),IF(MOD($BP10,8)=3,IF($BP10&gt;=8,"▷","▶"),IF(MOD($BP10,8)=5,IF($BP10&gt;=8,"◁","◀"),IF($BP10&gt;=8,"□","■")))))</f>
        <v/>
      </c>
      <c r="AC10" s="35">
        <f>IF($BQ10=0,"",IF(MOD($BQ10,8)=7,IF($BQ10&gt;=8,"◇","◆"),IF(MOD($BQ10,8)=3,IF($BQ10&gt;=8,"▷","▶"),IF(MOD($BQ10,8)=5,IF($BQ10&gt;=8,"◁","◀"),IF($BQ10&gt;=8,"□","■")))))</f>
        <v/>
      </c>
      <c r="AD10" s="35">
        <f>IF($BR10=0,"",IF(MOD($BR10,8)=7,IF($BR10&gt;=8,"◇","◆"),IF(MOD($BR10,8)=3,IF($BR10&gt;=8,"▷","▶"),IF(MOD($BR10,8)=5,IF($BR10&gt;=8,"◁","◀"),IF($BR10&gt;=8,"□","■")))))</f>
        <v/>
      </c>
      <c r="AE10" s="35">
        <f>IF($BS10=0,"",IF(MOD($BS10,8)=7,IF($BS10&gt;=8,"◇","◆"),IF(MOD($BS10,8)=3,IF($BS10&gt;=8,"▷","▶"),IF(MOD($BS10,8)=5,IF($BS10&gt;=8,"◁","◀"),IF($BS10&gt;=8,"□","■")))))</f>
        <v/>
      </c>
      <c r="AF10" s="35">
        <f>IF($BT10=0,"",IF(MOD($BT10,8)=7,IF($BT10&gt;=8,"◇","◆"),IF(MOD($BT10,8)=3,IF($BT10&gt;=8,"▷","▶"),IF(MOD($BT10,8)=5,IF($BT10&gt;=8,"◁","◀"),IF($BT10&gt;=8,"□","■")))))</f>
        <v/>
      </c>
      <c r="AG10" s="36">
        <f>IF($A10="","",COUNTIF($AP10:$BT10,"&gt;0"))</f>
        <v/>
      </c>
      <c r="AP10">
        <f>IF(OR($A10="",B$4=""),0,SUMPRODUCT(('01_予約入力'!$G$5:$G$204&lt;&gt;"")*('01_予約入力'!$N$5:$N$204&lt;&gt;"キャンセル")*('01_予約入力'!$B$5:$B$204=$A10)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10">
        <f>IF(OR($A10="",C$4=""),0,SUMPRODUCT(('01_予約入力'!$G$5:$G$204&lt;&gt;"")*('01_予約入力'!$N$5:$N$204&lt;&gt;"キャンセル")*('01_予約入力'!$B$5:$B$204=$A10)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10">
        <f>IF(OR($A10="",D$4=""),0,SUMPRODUCT(('01_予約入力'!$G$5:$G$204&lt;&gt;"")*('01_予約入力'!$N$5:$N$204&lt;&gt;"キャンセル")*('01_予約入力'!$B$5:$B$204=$A10)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10">
        <f>IF(OR($A10="",E$4=""),0,SUMPRODUCT(('01_予約入力'!$G$5:$G$204&lt;&gt;"")*('01_予約入力'!$N$5:$N$204&lt;&gt;"キャンセル")*('01_予約入力'!$B$5:$B$204=$A10)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10">
        <f>IF(OR($A10="",F$4=""),0,SUMPRODUCT(('01_予約入力'!$G$5:$G$204&lt;&gt;"")*('01_予約入力'!$N$5:$N$204&lt;&gt;"キャンセル")*('01_予約入力'!$B$5:$B$204=$A10)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10">
        <f>IF(OR($A10="",G$4=""),0,SUMPRODUCT(('01_予約入力'!$G$5:$G$204&lt;&gt;"")*('01_予約入力'!$N$5:$N$204&lt;&gt;"キャンセル")*('01_予約入力'!$B$5:$B$204=$A10)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10">
        <f>IF(OR($A10="",H$4=""),0,SUMPRODUCT(('01_予約入力'!$G$5:$G$204&lt;&gt;"")*('01_予約入力'!$N$5:$N$204&lt;&gt;"キャンセル")*('01_予約入力'!$B$5:$B$204=$A10)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10">
        <f>IF(OR($A10="",I$4=""),0,SUMPRODUCT(('01_予約入力'!$G$5:$G$204&lt;&gt;"")*('01_予約入力'!$N$5:$N$204&lt;&gt;"キャンセル")*('01_予約入力'!$B$5:$B$204=$A10)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10">
        <f>IF(OR($A10="",J$4=""),0,SUMPRODUCT(('01_予約入力'!$G$5:$G$204&lt;&gt;"")*('01_予約入力'!$N$5:$N$204&lt;&gt;"キャンセル")*('01_予約入力'!$B$5:$B$204=$A10)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10">
        <f>IF(OR($A10="",K$4=""),0,SUMPRODUCT(('01_予約入力'!$G$5:$G$204&lt;&gt;"")*('01_予約入力'!$N$5:$N$204&lt;&gt;"キャンセル")*('01_予約入力'!$B$5:$B$204=$A10)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10">
        <f>IF(OR($A10="",L$4=""),0,SUMPRODUCT(('01_予約入力'!$G$5:$G$204&lt;&gt;"")*('01_予約入力'!$N$5:$N$204&lt;&gt;"キャンセル")*('01_予約入力'!$B$5:$B$204=$A10)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10">
        <f>IF(OR($A10="",M$4=""),0,SUMPRODUCT(('01_予約入力'!$G$5:$G$204&lt;&gt;"")*('01_予約入力'!$N$5:$N$204&lt;&gt;"キャンセル")*('01_予約入力'!$B$5:$B$204=$A10)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10">
        <f>IF(OR($A10="",N$4=""),0,SUMPRODUCT(('01_予約入力'!$G$5:$G$204&lt;&gt;"")*('01_予約入力'!$N$5:$N$204&lt;&gt;"キャンセル")*('01_予約入力'!$B$5:$B$204=$A10)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10">
        <f>IF(OR($A10="",O$4=""),0,SUMPRODUCT(('01_予約入力'!$G$5:$G$204&lt;&gt;"")*('01_予約入力'!$N$5:$N$204&lt;&gt;"キャンセル")*('01_予約入力'!$B$5:$B$204=$A10)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10">
        <f>IF(OR($A10="",P$4=""),0,SUMPRODUCT(('01_予約入力'!$G$5:$G$204&lt;&gt;"")*('01_予約入力'!$N$5:$N$204&lt;&gt;"キャンセル")*('01_予約入力'!$B$5:$B$204=$A10)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10">
        <f>IF(OR($A10="",Q$4=""),0,SUMPRODUCT(('01_予約入力'!$G$5:$G$204&lt;&gt;"")*('01_予約入力'!$N$5:$N$204&lt;&gt;"キャンセル")*('01_予約入力'!$B$5:$B$204=$A10)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10">
        <f>IF(OR($A10="",R$4=""),0,SUMPRODUCT(('01_予約入力'!$G$5:$G$204&lt;&gt;"")*('01_予約入力'!$N$5:$N$204&lt;&gt;"キャンセル")*('01_予約入力'!$B$5:$B$204=$A10)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10">
        <f>IF(OR($A10="",S$4=""),0,SUMPRODUCT(('01_予約入力'!$G$5:$G$204&lt;&gt;"")*('01_予約入力'!$N$5:$N$204&lt;&gt;"キャンセル")*('01_予約入力'!$B$5:$B$204=$A10)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10">
        <f>IF(OR($A10="",T$4=""),0,SUMPRODUCT(('01_予約入力'!$G$5:$G$204&lt;&gt;"")*('01_予約入力'!$N$5:$N$204&lt;&gt;"キャンセル")*('01_予約入力'!$B$5:$B$204=$A10)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10">
        <f>IF(OR($A10="",U$4=""),0,SUMPRODUCT(('01_予約入力'!$G$5:$G$204&lt;&gt;"")*('01_予約入力'!$N$5:$N$204&lt;&gt;"キャンセル")*('01_予約入力'!$B$5:$B$204=$A10)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10">
        <f>IF(OR($A10="",V$4=""),0,SUMPRODUCT(('01_予約入力'!$G$5:$G$204&lt;&gt;"")*('01_予約入力'!$N$5:$N$204&lt;&gt;"キャンセル")*('01_予約入力'!$B$5:$B$204=$A10)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10">
        <f>IF(OR($A10="",W$4=""),0,SUMPRODUCT(('01_予約入力'!$G$5:$G$204&lt;&gt;"")*('01_予約入力'!$N$5:$N$204&lt;&gt;"キャンセル")*('01_予約入力'!$B$5:$B$204=$A10)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10">
        <f>IF(OR($A10="",X$4=""),0,SUMPRODUCT(('01_予約入力'!$G$5:$G$204&lt;&gt;"")*('01_予約入力'!$N$5:$N$204&lt;&gt;"キャンセル")*('01_予約入力'!$B$5:$B$204=$A10)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10">
        <f>IF(OR($A10="",Y$4=""),0,SUMPRODUCT(('01_予約入力'!$G$5:$G$204&lt;&gt;"")*('01_予約入力'!$N$5:$N$204&lt;&gt;"キャンセル")*('01_予約入力'!$B$5:$B$204=$A10)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10">
        <f>IF(OR($A10="",Z$4=""),0,SUMPRODUCT(('01_予約入力'!$G$5:$G$204&lt;&gt;"")*('01_予約入力'!$N$5:$N$204&lt;&gt;"キャンセル")*('01_予約入力'!$B$5:$B$204=$A10)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10">
        <f>IF(OR($A10="",AA$4=""),0,SUMPRODUCT(('01_予約入力'!$G$5:$G$204&lt;&gt;"")*('01_予約入力'!$N$5:$N$204&lt;&gt;"キャンセル")*('01_予約入力'!$B$5:$B$204=$A10)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10">
        <f>IF(OR($A10="",AB$4=""),0,SUMPRODUCT(('01_予約入力'!$G$5:$G$204&lt;&gt;"")*('01_予約入力'!$N$5:$N$204&lt;&gt;"キャンセル")*('01_予約入力'!$B$5:$B$204=$A10)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10">
        <f>IF(OR($A10="",AC$4=""),0,SUMPRODUCT(('01_予約入力'!$G$5:$G$204&lt;&gt;"")*('01_予約入力'!$N$5:$N$204&lt;&gt;"キャンセル")*('01_予約入力'!$B$5:$B$204=$A10)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10">
        <f>IF(OR($A10="",AD$4=""),0,SUMPRODUCT(('01_予約入力'!$G$5:$G$204&lt;&gt;"")*('01_予約入力'!$N$5:$N$204&lt;&gt;"キャンセル")*('01_予約入力'!$B$5:$B$204=$A10)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10">
        <f>IF(OR($A10="",AE$4=""),0,SUMPRODUCT(('01_予約入力'!$G$5:$G$204&lt;&gt;"")*('01_予約入力'!$N$5:$N$204&lt;&gt;"キャンセル")*('01_予約入力'!$B$5:$B$204=$A10)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10">
        <f>IF(OR($A10="",AF$4=""),0,SUMPRODUCT(('01_予約入力'!$G$5:$G$204&lt;&gt;"")*('01_予約入力'!$N$5:$N$204&lt;&gt;"キャンセル")*('01_予約入力'!$B$5:$B$204=$A10)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11">
      <c r="A11" s="34">
        <f>IF(COUNTA('利用者マスタ'!$A$4:$A$60)&gt;=5,INDEX('利用者マスタ'!$A$4:$A$60,5),"")</f>
        <v/>
      </c>
      <c r="B11" s="35">
        <f>IF($AP11=0,"",IF(MOD($AP11,8)=7,IF($AP11&gt;=8,"◇","◆"),IF(MOD($AP11,8)=3,IF($AP11&gt;=8,"▷","▶"),IF(MOD($AP11,8)=5,IF($AP11&gt;=8,"◁","◀"),IF($AP11&gt;=8,"□","■")))))</f>
        <v/>
      </c>
      <c r="C11" s="35">
        <f>IF($AQ11=0,"",IF(MOD($AQ11,8)=7,IF($AQ11&gt;=8,"◇","◆"),IF(MOD($AQ11,8)=3,IF($AQ11&gt;=8,"▷","▶"),IF(MOD($AQ11,8)=5,IF($AQ11&gt;=8,"◁","◀"),IF($AQ11&gt;=8,"□","■")))))</f>
        <v/>
      </c>
      <c r="D11" s="35">
        <f>IF($AR11=0,"",IF(MOD($AR11,8)=7,IF($AR11&gt;=8,"◇","◆"),IF(MOD($AR11,8)=3,IF($AR11&gt;=8,"▷","▶"),IF(MOD($AR11,8)=5,IF($AR11&gt;=8,"◁","◀"),IF($AR11&gt;=8,"□","■")))))</f>
        <v/>
      </c>
      <c r="E11" s="35">
        <f>IF($AS11=0,"",IF(MOD($AS11,8)=7,IF($AS11&gt;=8,"◇","◆"),IF(MOD($AS11,8)=3,IF($AS11&gt;=8,"▷","▶"),IF(MOD($AS11,8)=5,IF($AS11&gt;=8,"◁","◀"),IF($AS11&gt;=8,"□","■")))))</f>
        <v/>
      </c>
      <c r="F11" s="35">
        <f>IF($AT11=0,"",IF(MOD($AT11,8)=7,IF($AT11&gt;=8,"◇","◆"),IF(MOD($AT11,8)=3,IF($AT11&gt;=8,"▷","▶"),IF(MOD($AT11,8)=5,IF($AT11&gt;=8,"◁","◀"),IF($AT11&gt;=8,"□","■")))))</f>
        <v/>
      </c>
      <c r="G11" s="35">
        <f>IF($AU11=0,"",IF(MOD($AU11,8)=7,IF($AU11&gt;=8,"◇","◆"),IF(MOD($AU11,8)=3,IF($AU11&gt;=8,"▷","▶"),IF(MOD($AU11,8)=5,IF($AU11&gt;=8,"◁","◀"),IF($AU11&gt;=8,"□","■")))))</f>
        <v/>
      </c>
      <c r="H11" s="35">
        <f>IF($AV11=0,"",IF(MOD($AV11,8)=7,IF($AV11&gt;=8,"◇","◆"),IF(MOD($AV11,8)=3,IF($AV11&gt;=8,"▷","▶"),IF(MOD($AV11,8)=5,IF($AV11&gt;=8,"◁","◀"),IF($AV11&gt;=8,"□","■")))))</f>
        <v/>
      </c>
      <c r="I11" s="35">
        <f>IF($AW11=0,"",IF(MOD($AW11,8)=7,IF($AW11&gt;=8,"◇","◆"),IF(MOD($AW11,8)=3,IF($AW11&gt;=8,"▷","▶"),IF(MOD($AW11,8)=5,IF($AW11&gt;=8,"◁","◀"),IF($AW11&gt;=8,"□","■")))))</f>
        <v/>
      </c>
      <c r="J11" s="35">
        <f>IF($AX11=0,"",IF(MOD($AX11,8)=7,IF($AX11&gt;=8,"◇","◆"),IF(MOD($AX11,8)=3,IF($AX11&gt;=8,"▷","▶"),IF(MOD($AX11,8)=5,IF($AX11&gt;=8,"◁","◀"),IF($AX11&gt;=8,"□","■")))))</f>
        <v/>
      </c>
      <c r="K11" s="35">
        <f>IF($AY11=0,"",IF(MOD($AY11,8)=7,IF($AY11&gt;=8,"◇","◆"),IF(MOD($AY11,8)=3,IF($AY11&gt;=8,"▷","▶"),IF(MOD($AY11,8)=5,IF($AY11&gt;=8,"◁","◀"),IF($AY11&gt;=8,"□","■")))))</f>
        <v/>
      </c>
      <c r="L11" s="35">
        <f>IF($AZ11=0,"",IF(MOD($AZ11,8)=7,IF($AZ11&gt;=8,"◇","◆"),IF(MOD($AZ11,8)=3,IF($AZ11&gt;=8,"▷","▶"),IF(MOD($AZ11,8)=5,IF($AZ11&gt;=8,"◁","◀"),IF($AZ11&gt;=8,"□","■")))))</f>
        <v/>
      </c>
      <c r="M11" s="35">
        <f>IF($BA11=0,"",IF(MOD($BA11,8)=7,IF($BA11&gt;=8,"◇","◆"),IF(MOD($BA11,8)=3,IF($BA11&gt;=8,"▷","▶"),IF(MOD($BA11,8)=5,IF($BA11&gt;=8,"◁","◀"),IF($BA11&gt;=8,"□","■")))))</f>
        <v/>
      </c>
      <c r="N11" s="35">
        <f>IF($BB11=0,"",IF(MOD($BB11,8)=7,IF($BB11&gt;=8,"◇","◆"),IF(MOD($BB11,8)=3,IF($BB11&gt;=8,"▷","▶"),IF(MOD($BB11,8)=5,IF($BB11&gt;=8,"◁","◀"),IF($BB11&gt;=8,"□","■")))))</f>
        <v/>
      </c>
      <c r="O11" s="35">
        <f>IF($BC11=0,"",IF(MOD($BC11,8)=7,IF($BC11&gt;=8,"◇","◆"),IF(MOD($BC11,8)=3,IF($BC11&gt;=8,"▷","▶"),IF(MOD($BC11,8)=5,IF($BC11&gt;=8,"◁","◀"),IF($BC11&gt;=8,"□","■")))))</f>
        <v/>
      </c>
      <c r="P11" s="35">
        <f>IF($BD11=0,"",IF(MOD($BD11,8)=7,IF($BD11&gt;=8,"◇","◆"),IF(MOD($BD11,8)=3,IF($BD11&gt;=8,"▷","▶"),IF(MOD($BD11,8)=5,IF($BD11&gt;=8,"◁","◀"),IF($BD11&gt;=8,"□","■")))))</f>
        <v/>
      </c>
      <c r="Q11" s="35">
        <f>IF($BE11=0,"",IF(MOD($BE11,8)=7,IF($BE11&gt;=8,"◇","◆"),IF(MOD($BE11,8)=3,IF($BE11&gt;=8,"▷","▶"),IF(MOD($BE11,8)=5,IF($BE11&gt;=8,"◁","◀"),IF($BE11&gt;=8,"□","■")))))</f>
        <v/>
      </c>
      <c r="R11" s="35">
        <f>IF($BF11=0,"",IF(MOD($BF11,8)=7,IF($BF11&gt;=8,"◇","◆"),IF(MOD($BF11,8)=3,IF($BF11&gt;=8,"▷","▶"),IF(MOD($BF11,8)=5,IF($BF11&gt;=8,"◁","◀"),IF($BF11&gt;=8,"□","■")))))</f>
        <v/>
      </c>
      <c r="S11" s="35">
        <f>IF($BG11=0,"",IF(MOD($BG11,8)=7,IF($BG11&gt;=8,"◇","◆"),IF(MOD($BG11,8)=3,IF($BG11&gt;=8,"▷","▶"),IF(MOD($BG11,8)=5,IF($BG11&gt;=8,"◁","◀"),IF($BG11&gt;=8,"□","■")))))</f>
        <v/>
      </c>
      <c r="T11" s="35">
        <f>IF($BH11=0,"",IF(MOD($BH11,8)=7,IF($BH11&gt;=8,"◇","◆"),IF(MOD($BH11,8)=3,IF($BH11&gt;=8,"▷","▶"),IF(MOD($BH11,8)=5,IF($BH11&gt;=8,"◁","◀"),IF($BH11&gt;=8,"□","■")))))</f>
        <v/>
      </c>
      <c r="U11" s="35">
        <f>IF($BI11=0,"",IF(MOD($BI11,8)=7,IF($BI11&gt;=8,"◇","◆"),IF(MOD($BI11,8)=3,IF($BI11&gt;=8,"▷","▶"),IF(MOD($BI11,8)=5,IF($BI11&gt;=8,"◁","◀"),IF($BI11&gt;=8,"□","■")))))</f>
        <v/>
      </c>
      <c r="V11" s="35">
        <f>IF($BJ11=0,"",IF(MOD($BJ11,8)=7,IF($BJ11&gt;=8,"◇","◆"),IF(MOD($BJ11,8)=3,IF($BJ11&gt;=8,"▷","▶"),IF(MOD($BJ11,8)=5,IF($BJ11&gt;=8,"◁","◀"),IF($BJ11&gt;=8,"□","■")))))</f>
        <v/>
      </c>
      <c r="W11" s="35">
        <f>IF($BK11=0,"",IF(MOD($BK11,8)=7,IF($BK11&gt;=8,"◇","◆"),IF(MOD($BK11,8)=3,IF($BK11&gt;=8,"▷","▶"),IF(MOD($BK11,8)=5,IF($BK11&gt;=8,"◁","◀"),IF($BK11&gt;=8,"□","■")))))</f>
        <v/>
      </c>
      <c r="X11" s="35">
        <f>IF($BL11=0,"",IF(MOD($BL11,8)=7,IF($BL11&gt;=8,"◇","◆"),IF(MOD($BL11,8)=3,IF($BL11&gt;=8,"▷","▶"),IF(MOD($BL11,8)=5,IF($BL11&gt;=8,"◁","◀"),IF($BL11&gt;=8,"□","■")))))</f>
        <v/>
      </c>
      <c r="Y11" s="35">
        <f>IF($BM11=0,"",IF(MOD($BM11,8)=7,IF($BM11&gt;=8,"◇","◆"),IF(MOD($BM11,8)=3,IF($BM11&gt;=8,"▷","▶"),IF(MOD($BM11,8)=5,IF($BM11&gt;=8,"◁","◀"),IF($BM11&gt;=8,"□","■")))))</f>
        <v/>
      </c>
      <c r="Z11" s="35">
        <f>IF($BN11=0,"",IF(MOD($BN11,8)=7,IF($BN11&gt;=8,"◇","◆"),IF(MOD($BN11,8)=3,IF($BN11&gt;=8,"▷","▶"),IF(MOD($BN11,8)=5,IF($BN11&gt;=8,"◁","◀"),IF($BN11&gt;=8,"□","■")))))</f>
        <v/>
      </c>
      <c r="AA11" s="35">
        <f>IF($BO11=0,"",IF(MOD($BO11,8)=7,IF($BO11&gt;=8,"◇","◆"),IF(MOD($BO11,8)=3,IF($BO11&gt;=8,"▷","▶"),IF(MOD($BO11,8)=5,IF($BO11&gt;=8,"◁","◀"),IF($BO11&gt;=8,"□","■")))))</f>
        <v/>
      </c>
      <c r="AB11" s="35">
        <f>IF($BP11=0,"",IF(MOD($BP11,8)=7,IF($BP11&gt;=8,"◇","◆"),IF(MOD($BP11,8)=3,IF($BP11&gt;=8,"▷","▶"),IF(MOD($BP11,8)=5,IF($BP11&gt;=8,"◁","◀"),IF($BP11&gt;=8,"□","■")))))</f>
        <v/>
      </c>
      <c r="AC11" s="35">
        <f>IF($BQ11=0,"",IF(MOD($BQ11,8)=7,IF($BQ11&gt;=8,"◇","◆"),IF(MOD($BQ11,8)=3,IF($BQ11&gt;=8,"▷","▶"),IF(MOD($BQ11,8)=5,IF($BQ11&gt;=8,"◁","◀"),IF($BQ11&gt;=8,"□","■")))))</f>
        <v/>
      </c>
      <c r="AD11" s="35">
        <f>IF($BR11=0,"",IF(MOD($BR11,8)=7,IF($BR11&gt;=8,"◇","◆"),IF(MOD($BR11,8)=3,IF($BR11&gt;=8,"▷","▶"),IF(MOD($BR11,8)=5,IF($BR11&gt;=8,"◁","◀"),IF($BR11&gt;=8,"□","■")))))</f>
        <v/>
      </c>
      <c r="AE11" s="35">
        <f>IF($BS11=0,"",IF(MOD($BS11,8)=7,IF($BS11&gt;=8,"◇","◆"),IF(MOD($BS11,8)=3,IF($BS11&gt;=8,"▷","▶"),IF(MOD($BS11,8)=5,IF($BS11&gt;=8,"◁","◀"),IF($BS11&gt;=8,"□","■")))))</f>
        <v/>
      </c>
      <c r="AF11" s="35">
        <f>IF($BT11=0,"",IF(MOD($BT11,8)=7,IF($BT11&gt;=8,"◇","◆"),IF(MOD($BT11,8)=3,IF($BT11&gt;=8,"▷","▶"),IF(MOD($BT11,8)=5,IF($BT11&gt;=8,"◁","◀"),IF($BT11&gt;=8,"□","■")))))</f>
        <v/>
      </c>
      <c r="AG11" s="36">
        <f>IF($A11="","",COUNTIF($AP11:$BT11,"&gt;0"))</f>
        <v/>
      </c>
      <c r="AP11">
        <f>IF(OR($A11="",B$4=""),0,SUMPRODUCT(('01_予約入力'!$G$5:$G$204&lt;&gt;"")*('01_予約入力'!$N$5:$N$204&lt;&gt;"キャンセル")*('01_予約入力'!$B$5:$B$204=$A11)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11">
        <f>IF(OR($A11="",C$4=""),0,SUMPRODUCT(('01_予約入力'!$G$5:$G$204&lt;&gt;"")*('01_予約入力'!$N$5:$N$204&lt;&gt;"キャンセル")*('01_予約入力'!$B$5:$B$204=$A11)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11">
        <f>IF(OR($A11="",D$4=""),0,SUMPRODUCT(('01_予約入力'!$G$5:$G$204&lt;&gt;"")*('01_予約入力'!$N$5:$N$204&lt;&gt;"キャンセル")*('01_予約入力'!$B$5:$B$204=$A11)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11">
        <f>IF(OR($A11="",E$4=""),0,SUMPRODUCT(('01_予約入力'!$G$5:$G$204&lt;&gt;"")*('01_予約入力'!$N$5:$N$204&lt;&gt;"キャンセル")*('01_予約入力'!$B$5:$B$204=$A11)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11">
        <f>IF(OR($A11="",F$4=""),0,SUMPRODUCT(('01_予約入力'!$G$5:$G$204&lt;&gt;"")*('01_予約入力'!$N$5:$N$204&lt;&gt;"キャンセル")*('01_予約入力'!$B$5:$B$204=$A11)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11">
        <f>IF(OR($A11="",G$4=""),0,SUMPRODUCT(('01_予約入力'!$G$5:$G$204&lt;&gt;"")*('01_予約入力'!$N$5:$N$204&lt;&gt;"キャンセル")*('01_予約入力'!$B$5:$B$204=$A11)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11">
        <f>IF(OR($A11="",H$4=""),0,SUMPRODUCT(('01_予約入力'!$G$5:$G$204&lt;&gt;"")*('01_予約入力'!$N$5:$N$204&lt;&gt;"キャンセル")*('01_予約入力'!$B$5:$B$204=$A11)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11">
        <f>IF(OR($A11="",I$4=""),0,SUMPRODUCT(('01_予約入力'!$G$5:$G$204&lt;&gt;"")*('01_予約入力'!$N$5:$N$204&lt;&gt;"キャンセル")*('01_予約入力'!$B$5:$B$204=$A11)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11">
        <f>IF(OR($A11="",J$4=""),0,SUMPRODUCT(('01_予約入力'!$G$5:$G$204&lt;&gt;"")*('01_予約入力'!$N$5:$N$204&lt;&gt;"キャンセル")*('01_予約入力'!$B$5:$B$204=$A11)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11">
        <f>IF(OR($A11="",K$4=""),0,SUMPRODUCT(('01_予約入力'!$G$5:$G$204&lt;&gt;"")*('01_予約入力'!$N$5:$N$204&lt;&gt;"キャンセル")*('01_予約入力'!$B$5:$B$204=$A11)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11">
        <f>IF(OR($A11="",L$4=""),0,SUMPRODUCT(('01_予約入力'!$G$5:$G$204&lt;&gt;"")*('01_予約入力'!$N$5:$N$204&lt;&gt;"キャンセル")*('01_予約入力'!$B$5:$B$204=$A11)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11">
        <f>IF(OR($A11="",M$4=""),0,SUMPRODUCT(('01_予約入力'!$G$5:$G$204&lt;&gt;"")*('01_予約入力'!$N$5:$N$204&lt;&gt;"キャンセル")*('01_予約入力'!$B$5:$B$204=$A11)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11">
        <f>IF(OR($A11="",N$4=""),0,SUMPRODUCT(('01_予約入力'!$G$5:$G$204&lt;&gt;"")*('01_予約入力'!$N$5:$N$204&lt;&gt;"キャンセル")*('01_予約入力'!$B$5:$B$204=$A11)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11">
        <f>IF(OR($A11="",O$4=""),0,SUMPRODUCT(('01_予約入力'!$G$5:$G$204&lt;&gt;"")*('01_予約入力'!$N$5:$N$204&lt;&gt;"キャンセル")*('01_予約入力'!$B$5:$B$204=$A11)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11">
        <f>IF(OR($A11="",P$4=""),0,SUMPRODUCT(('01_予約入力'!$G$5:$G$204&lt;&gt;"")*('01_予約入力'!$N$5:$N$204&lt;&gt;"キャンセル")*('01_予約入力'!$B$5:$B$204=$A11)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11">
        <f>IF(OR($A11="",Q$4=""),0,SUMPRODUCT(('01_予約入力'!$G$5:$G$204&lt;&gt;"")*('01_予約入力'!$N$5:$N$204&lt;&gt;"キャンセル")*('01_予約入力'!$B$5:$B$204=$A11)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11">
        <f>IF(OR($A11="",R$4=""),0,SUMPRODUCT(('01_予約入力'!$G$5:$G$204&lt;&gt;"")*('01_予約入力'!$N$5:$N$204&lt;&gt;"キャンセル")*('01_予約入力'!$B$5:$B$204=$A11)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11">
        <f>IF(OR($A11="",S$4=""),0,SUMPRODUCT(('01_予約入力'!$G$5:$G$204&lt;&gt;"")*('01_予約入力'!$N$5:$N$204&lt;&gt;"キャンセル")*('01_予約入力'!$B$5:$B$204=$A11)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11">
        <f>IF(OR($A11="",T$4=""),0,SUMPRODUCT(('01_予約入力'!$G$5:$G$204&lt;&gt;"")*('01_予約入力'!$N$5:$N$204&lt;&gt;"キャンセル")*('01_予約入力'!$B$5:$B$204=$A11)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11">
        <f>IF(OR($A11="",U$4=""),0,SUMPRODUCT(('01_予約入力'!$G$5:$G$204&lt;&gt;"")*('01_予約入力'!$N$5:$N$204&lt;&gt;"キャンセル")*('01_予約入力'!$B$5:$B$204=$A11)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11">
        <f>IF(OR($A11="",V$4=""),0,SUMPRODUCT(('01_予約入力'!$G$5:$G$204&lt;&gt;"")*('01_予約入力'!$N$5:$N$204&lt;&gt;"キャンセル")*('01_予約入力'!$B$5:$B$204=$A11)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11">
        <f>IF(OR($A11="",W$4=""),0,SUMPRODUCT(('01_予約入力'!$G$5:$G$204&lt;&gt;"")*('01_予約入力'!$N$5:$N$204&lt;&gt;"キャンセル")*('01_予約入力'!$B$5:$B$204=$A11)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11">
        <f>IF(OR($A11="",X$4=""),0,SUMPRODUCT(('01_予約入力'!$G$5:$G$204&lt;&gt;"")*('01_予約入力'!$N$5:$N$204&lt;&gt;"キャンセル")*('01_予約入力'!$B$5:$B$204=$A11)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11">
        <f>IF(OR($A11="",Y$4=""),0,SUMPRODUCT(('01_予約入力'!$G$5:$G$204&lt;&gt;"")*('01_予約入力'!$N$5:$N$204&lt;&gt;"キャンセル")*('01_予約入力'!$B$5:$B$204=$A11)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11">
        <f>IF(OR($A11="",Z$4=""),0,SUMPRODUCT(('01_予約入力'!$G$5:$G$204&lt;&gt;"")*('01_予約入力'!$N$5:$N$204&lt;&gt;"キャンセル")*('01_予約入力'!$B$5:$B$204=$A11)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11">
        <f>IF(OR($A11="",AA$4=""),0,SUMPRODUCT(('01_予約入力'!$G$5:$G$204&lt;&gt;"")*('01_予約入力'!$N$5:$N$204&lt;&gt;"キャンセル")*('01_予約入力'!$B$5:$B$204=$A11)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11">
        <f>IF(OR($A11="",AB$4=""),0,SUMPRODUCT(('01_予約入力'!$G$5:$G$204&lt;&gt;"")*('01_予約入力'!$N$5:$N$204&lt;&gt;"キャンセル")*('01_予約入力'!$B$5:$B$204=$A11)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11">
        <f>IF(OR($A11="",AC$4=""),0,SUMPRODUCT(('01_予約入力'!$G$5:$G$204&lt;&gt;"")*('01_予約入力'!$N$5:$N$204&lt;&gt;"キャンセル")*('01_予約入力'!$B$5:$B$204=$A11)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11">
        <f>IF(OR($A11="",AD$4=""),0,SUMPRODUCT(('01_予約入力'!$G$5:$G$204&lt;&gt;"")*('01_予約入力'!$N$5:$N$204&lt;&gt;"キャンセル")*('01_予約入力'!$B$5:$B$204=$A11)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11">
        <f>IF(OR($A11="",AE$4=""),0,SUMPRODUCT(('01_予約入力'!$G$5:$G$204&lt;&gt;"")*('01_予約入力'!$N$5:$N$204&lt;&gt;"キャンセル")*('01_予約入力'!$B$5:$B$204=$A11)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11">
        <f>IF(OR($A11="",AF$4=""),0,SUMPRODUCT(('01_予約入力'!$G$5:$G$204&lt;&gt;"")*('01_予約入力'!$N$5:$N$204&lt;&gt;"キャンセル")*('01_予約入力'!$B$5:$B$204=$A11)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12">
      <c r="A12" s="34">
        <f>IF(COUNTA('利用者マスタ'!$A$4:$A$60)&gt;=6,INDEX('利用者マスタ'!$A$4:$A$60,6),"")</f>
        <v/>
      </c>
      <c r="B12" s="35">
        <f>IF($AP12=0,"",IF(MOD($AP12,8)=7,IF($AP12&gt;=8,"◇","◆"),IF(MOD($AP12,8)=3,IF($AP12&gt;=8,"▷","▶"),IF(MOD($AP12,8)=5,IF($AP12&gt;=8,"◁","◀"),IF($AP12&gt;=8,"□","■")))))</f>
        <v/>
      </c>
      <c r="C12" s="35">
        <f>IF($AQ12=0,"",IF(MOD($AQ12,8)=7,IF($AQ12&gt;=8,"◇","◆"),IF(MOD($AQ12,8)=3,IF($AQ12&gt;=8,"▷","▶"),IF(MOD($AQ12,8)=5,IF($AQ12&gt;=8,"◁","◀"),IF($AQ12&gt;=8,"□","■")))))</f>
        <v/>
      </c>
      <c r="D12" s="35">
        <f>IF($AR12=0,"",IF(MOD($AR12,8)=7,IF($AR12&gt;=8,"◇","◆"),IF(MOD($AR12,8)=3,IF($AR12&gt;=8,"▷","▶"),IF(MOD($AR12,8)=5,IF($AR12&gt;=8,"◁","◀"),IF($AR12&gt;=8,"□","■")))))</f>
        <v/>
      </c>
      <c r="E12" s="35">
        <f>IF($AS12=0,"",IF(MOD($AS12,8)=7,IF($AS12&gt;=8,"◇","◆"),IF(MOD($AS12,8)=3,IF($AS12&gt;=8,"▷","▶"),IF(MOD($AS12,8)=5,IF($AS12&gt;=8,"◁","◀"),IF($AS12&gt;=8,"□","■")))))</f>
        <v/>
      </c>
      <c r="F12" s="35">
        <f>IF($AT12=0,"",IF(MOD($AT12,8)=7,IF($AT12&gt;=8,"◇","◆"),IF(MOD($AT12,8)=3,IF($AT12&gt;=8,"▷","▶"),IF(MOD($AT12,8)=5,IF($AT12&gt;=8,"◁","◀"),IF($AT12&gt;=8,"□","■")))))</f>
        <v/>
      </c>
      <c r="G12" s="35">
        <f>IF($AU12=0,"",IF(MOD($AU12,8)=7,IF($AU12&gt;=8,"◇","◆"),IF(MOD($AU12,8)=3,IF($AU12&gt;=8,"▷","▶"),IF(MOD($AU12,8)=5,IF($AU12&gt;=8,"◁","◀"),IF($AU12&gt;=8,"□","■")))))</f>
        <v/>
      </c>
      <c r="H12" s="35">
        <f>IF($AV12=0,"",IF(MOD($AV12,8)=7,IF($AV12&gt;=8,"◇","◆"),IF(MOD($AV12,8)=3,IF($AV12&gt;=8,"▷","▶"),IF(MOD($AV12,8)=5,IF($AV12&gt;=8,"◁","◀"),IF($AV12&gt;=8,"□","■")))))</f>
        <v/>
      </c>
      <c r="I12" s="35">
        <f>IF($AW12=0,"",IF(MOD($AW12,8)=7,IF($AW12&gt;=8,"◇","◆"),IF(MOD($AW12,8)=3,IF($AW12&gt;=8,"▷","▶"),IF(MOD($AW12,8)=5,IF($AW12&gt;=8,"◁","◀"),IF($AW12&gt;=8,"□","■")))))</f>
        <v/>
      </c>
      <c r="J12" s="35">
        <f>IF($AX12=0,"",IF(MOD($AX12,8)=7,IF($AX12&gt;=8,"◇","◆"),IF(MOD($AX12,8)=3,IF($AX12&gt;=8,"▷","▶"),IF(MOD($AX12,8)=5,IF($AX12&gt;=8,"◁","◀"),IF($AX12&gt;=8,"□","■")))))</f>
        <v/>
      </c>
      <c r="K12" s="35">
        <f>IF($AY12=0,"",IF(MOD($AY12,8)=7,IF($AY12&gt;=8,"◇","◆"),IF(MOD($AY12,8)=3,IF($AY12&gt;=8,"▷","▶"),IF(MOD($AY12,8)=5,IF($AY12&gt;=8,"◁","◀"),IF($AY12&gt;=8,"□","■")))))</f>
        <v/>
      </c>
      <c r="L12" s="35">
        <f>IF($AZ12=0,"",IF(MOD($AZ12,8)=7,IF($AZ12&gt;=8,"◇","◆"),IF(MOD($AZ12,8)=3,IF($AZ12&gt;=8,"▷","▶"),IF(MOD($AZ12,8)=5,IF($AZ12&gt;=8,"◁","◀"),IF($AZ12&gt;=8,"□","■")))))</f>
        <v/>
      </c>
      <c r="M12" s="35">
        <f>IF($BA12=0,"",IF(MOD($BA12,8)=7,IF($BA12&gt;=8,"◇","◆"),IF(MOD($BA12,8)=3,IF($BA12&gt;=8,"▷","▶"),IF(MOD($BA12,8)=5,IF($BA12&gt;=8,"◁","◀"),IF($BA12&gt;=8,"□","■")))))</f>
        <v/>
      </c>
      <c r="N12" s="35">
        <f>IF($BB12=0,"",IF(MOD($BB12,8)=7,IF($BB12&gt;=8,"◇","◆"),IF(MOD($BB12,8)=3,IF($BB12&gt;=8,"▷","▶"),IF(MOD($BB12,8)=5,IF($BB12&gt;=8,"◁","◀"),IF($BB12&gt;=8,"□","■")))))</f>
        <v/>
      </c>
      <c r="O12" s="35">
        <f>IF($BC12=0,"",IF(MOD($BC12,8)=7,IF($BC12&gt;=8,"◇","◆"),IF(MOD($BC12,8)=3,IF($BC12&gt;=8,"▷","▶"),IF(MOD($BC12,8)=5,IF($BC12&gt;=8,"◁","◀"),IF($BC12&gt;=8,"□","■")))))</f>
        <v/>
      </c>
      <c r="P12" s="35">
        <f>IF($BD12=0,"",IF(MOD($BD12,8)=7,IF($BD12&gt;=8,"◇","◆"),IF(MOD($BD12,8)=3,IF($BD12&gt;=8,"▷","▶"),IF(MOD($BD12,8)=5,IF($BD12&gt;=8,"◁","◀"),IF($BD12&gt;=8,"□","■")))))</f>
        <v/>
      </c>
      <c r="Q12" s="35">
        <f>IF($BE12=0,"",IF(MOD($BE12,8)=7,IF($BE12&gt;=8,"◇","◆"),IF(MOD($BE12,8)=3,IF($BE12&gt;=8,"▷","▶"),IF(MOD($BE12,8)=5,IF($BE12&gt;=8,"◁","◀"),IF($BE12&gt;=8,"□","■")))))</f>
        <v/>
      </c>
      <c r="R12" s="35">
        <f>IF($BF12=0,"",IF(MOD($BF12,8)=7,IF($BF12&gt;=8,"◇","◆"),IF(MOD($BF12,8)=3,IF($BF12&gt;=8,"▷","▶"),IF(MOD($BF12,8)=5,IF($BF12&gt;=8,"◁","◀"),IF($BF12&gt;=8,"□","■")))))</f>
        <v/>
      </c>
      <c r="S12" s="35">
        <f>IF($BG12=0,"",IF(MOD($BG12,8)=7,IF($BG12&gt;=8,"◇","◆"),IF(MOD($BG12,8)=3,IF($BG12&gt;=8,"▷","▶"),IF(MOD($BG12,8)=5,IF($BG12&gt;=8,"◁","◀"),IF($BG12&gt;=8,"□","■")))))</f>
        <v/>
      </c>
      <c r="T12" s="35">
        <f>IF($BH12=0,"",IF(MOD($BH12,8)=7,IF($BH12&gt;=8,"◇","◆"),IF(MOD($BH12,8)=3,IF($BH12&gt;=8,"▷","▶"),IF(MOD($BH12,8)=5,IF($BH12&gt;=8,"◁","◀"),IF($BH12&gt;=8,"□","■")))))</f>
        <v/>
      </c>
      <c r="U12" s="35">
        <f>IF($BI12=0,"",IF(MOD($BI12,8)=7,IF($BI12&gt;=8,"◇","◆"),IF(MOD($BI12,8)=3,IF($BI12&gt;=8,"▷","▶"),IF(MOD($BI12,8)=5,IF($BI12&gt;=8,"◁","◀"),IF($BI12&gt;=8,"□","■")))))</f>
        <v/>
      </c>
      <c r="V12" s="35">
        <f>IF($BJ12=0,"",IF(MOD($BJ12,8)=7,IF($BJ12&gt;=8,"◇","◆"),IF(MOD($BJ12,8)=3,IF($BJ12&gt;=8,"▷","▶"),IF(MOD($BJ12,8)=5,IF($BJ12&gt;=8,"◁","◀"),IF($BJ12&gt;=8,"□","■")))))</f>
        <v/>
      </c>
      <c r="W12" s="35">
        <f>IF($BK12=0,"",IF(MOD($BK12,8)=7,IF($BK12&gt;=8,"◇","◆"),IF(MOD($BK12,8)=3,IF($BK12&gt;=8,"▷","▶"),IF(MOD($BK12,8)=5,IF($BK12&gt;=8,"◁","◀"),IF($BK12&gt;=8,"□","■")))))</f>
        <v/>
      </c>
      <c r="X12" s="35">
        <f>IF($BL12=0,"",IF(MOD($BL12,8)=7,IF($BL12&gt;=8,"◇","◆"),IF(MOD($BL12,8)=3,IF($BL12&gt;=8,"▷","▶"),IF(MOD($BL12,8)=5,IF($BL12&gt;=8,"◁","◀"),IF($BL12&gt;=8,"□","■")))))</f>
        <v/>
      </c>
      <c r="Y12" s="35">
        <f>IF($BM12=0,"",IF(MOD($BM12,8)=7,IF($BM12&gt;=8,"◇","◆"),IF(MOD($BM12,8)=3,IF($BM12&gt;=8,"▷","▶"),IF(MOD($BM12,8)=5,IF($BM12&gt;=8,"◁","◀"),IF($BM12&gt;=8,"□","■")))))</f>
        <v/>
      </c>
      <c r="Z12" s="35">
        <f>IF($BN12=0,"",IF(MOD($BN12,8)=7,IF($BN12&gt;=8,"◇","◆"),IF(MOD($BN12,8)=3,IF($BN12&gt;=8,"▷","▶"),IF(MOD($BN12,8)=5,IF($BN12&gt;=8,"◁","◀"),IF($BN12&gt;=8,"□","■")))))</f>
        <v/>
      </c>
      <c r="AA12" s="35">
        <f>IF($BO12=0,"",IF(MOD($BO12,8)=7,IF($BO12&gt;=8,"◇","◆"),IF(MOD($BO12,8)=3,IF($BO12&gt;=8,"▷","▶"),IF(MOD($BO12,8)=5,IF($BO12&gt;=8,"◁","◀"),IF($BO12&gt;=8,"□","■")))))</f>
        <v/>
      </c>
      <c r="AB12" s="35">
        <f>IF($BP12=0,"",IF(MOD($BP12,8)=7,IF($BP12&gt;=8,"◇","◆"),IF(MOD($BP12,8)=3,IF($BP12&gt;=8,"▷","▶"),IF(MOD($BP12,8)=5,IF($BP12&gt;=8,"◁","◀"),IF($BP12&gt;=8,"□","■")))))</f>
        <v/>
      </c>
      <c r="AC12" s="35">
        <f>IF($BQ12=0,"",IF(MOD($BQ12,8)=7,IF($BQ12&gt;=8,"◇","◆"),IF(MOD($BQ12,8)=3,IF($BQ12&gt;=8,"▷","▶"),IF(MOD($BQ12,8)=5,IF($BQ12&gt;=8,"◁","◀"),IF($BQ12&gt;=8,"□","■")))))</f>
        <v/>
      </c>
      <c r="AD12" s="35">
        <f>IF($BR12=0,"",IF(MOD($BR12,8)=7,IF($BR12&gt;=8,"◇","◆"),IF(MOD($BR12,8)=3,IF($BR12&gt;=8,"▷","▶"),IF(MOD($BR12,8)=5,IF($BR12&gt;=8,"◁","◀"),IF($BR12&gt;=8,"□","■")))))</f>
        <v/>
      </c>
      <c r="AE12" s="35">
        <f>IF($BS12=0,"",IF(MOD($BS12,8)=7,IF($BS12&gt;=8,"◇","◆"),IF(MOD($BS12,8)=3,IF($BS12&gt;=8,"▷","▶"),IF(MOD($BS12,8)=5,IF($BS12&gt;=8,"◁","◀"),IF($BS12&gt;=8,"□","■")))))</f>
        <v/>
      </c>
      <c r="AF12" s="35">
        <f>IF($BT12=0,"",IF(MOD($BT12,8)=7,IF($BT12&gt;=8,"◇","◆"),IF(MOD($BT12,8)=3,IF($BT12&gt;=8,"▷","▶"),IF(MOD($BT12,8)=5,IF($BT12&gt;=8,"◁","◀"),IF($BT12&gt;=8,"□","■")))))</f>
        <v/>
      </c>
      <c r="AG12" s="36">
        <f>IF($A12="","",COUNTIF($AP12:$BT12,"&gt;0"))</f>
        <v/>
      </c>
      <c r="AP12">
        <f>IF(OR($A12="",B$4=""),0,SUMPRODUCT(('01_予約入力'!$G$5:$G$204&lt;&gt;"")*('01_予約入力'!$N$5:$N$204&lt;&gt;"キャンセル")*('01_予約入力'!$B$5:$B$204=$A12)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12">
        <f>IF(OR($A12="",C$4=""),0,SUMPRODUCT(('01_予約入力'!$G$5:$G$204&lt;&gt;"")*('01_予約入力'!$N$5:$N$204&lt;&gt;"キャンセル")*('01_予約入力'!$B$5:$B$204=$A12)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12">
        <f>IF(OR($A12="",D$4=""),0,SUMPRODUCT(('01_予約入力'!$G$5:$G$204&lt;&gt;"")*('01_予約入力'!$N$5:$N$204&lt;&gt;"キャンセル")*('01_予約入力'!$B$5:$B$204=$A12)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12">
        <f>IF(OR($A12="",E$4=""),0,SUMPRODUCT(('01_予約入力'!$G$5:$G$204&lt;&gt;"")*('01_予約入力'!$N$5:$N$204&lt;&gt;"キャンセル")*('01_予約入力'!$B$5:$B$204=$A12)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12">
        <f>IF(OR($A12="",F$4=""),0,SUMPRODUCT(('01_予約入力'!$G$5:$G$204&lt;&gt;"")*('01_予約入力'!$N$5:$N$204&lt;&gt;"キャンセル")*('01_予約入力'!$B$5:$B$204=$A12)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12">
        <f>IF(OR($A12="",G$4=""),0,SUMPRODUCT(('01_予約入力'!$G$5:$G$204&lt;&gt;"")*('01_予約入力'!$N$5:$N$204&lt;&gt;"キャンセル")*('01_予約入力'!$B$5:$B$204=$A12)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12">
        <f>IF(OR($A12="",H$4=""),0,SUMPRODUCT(('01_予約入力'!$G$5:$G$204&lt;&gt;"")*('01_予約入力'!$N$5:$N$204&lt;&gt;"キャンセル")*('01_予約入力'!$B$5:$B$204=$A12)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12">
        <f>IF(OR($A12="",I$4=""),0,SUMPRODUCT(('01_予約入力'!$G$5:$G$204&lt;&gt;"")*('01_予約入力'!$N$5:$N$204&lt;&gt;"キャンセル")*('01_予約入力'!$B$5:$B$204=$A12)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12">
        <f>IF(OR($A12="",J$4=""),0,SUMPRODUCT(('01_予約入力'!$G$5:$G$204&lt;&gt;"")*('01_予約入力'!$N$5:$N$204&lt;&gt;"キャンセル")*('01_予約入力'!$B$5:$B$204=$A12)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12">
        <f>IF(OR($A12="",K$4=""),0,SUMPRODUCT(('01_予約入力'!$G$5:$G$204&lt;&gt;"")*('01_予約入力'!$N$5:$N$204&lt;&gt;"キャンセル")*('01_予約入力'!$B$5:$B$204=$A12)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12">
        <f>IF(OR($A12="",L$4=""),0,SUMPRODUCT(('01_予約入力'!$G$5:$G$204&lt;&gt;"")*('01_予約入力'!$N$5:$N$204&lt;&gt;"キャンセル")*('01_予約入力'!$B$5:$B$204=$A12)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12">
        <f>IF(OR($A12="",M$4=""),0,SUMPRODUCT(('01_予約入力'!$G$5:$G$204&lt;&gt;"")*('01_予約入力'!$N$5:$N$204&lt;&gt;"キャンセル")*('01_予約入力'!$B$5:$B$204=$A12)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12">
        <f>IF(OR($A12="",N$4=""),0,SUMPRODUCT(('01_予約入力'!$G$5:$G$204&lt;&gt;"")*('01_予約入力'!$N$5:$N$204&lt;&gt;"キャンセル")*('01_予約入力'!$B$5:$B$204=$A12)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12">
        <f>IF(OR($A12="",O$4=""),0,SUMPRODUCT(('01_予約入力'!$G$5:$G$204&lt;&gt;"")*('01_予約入力'!$N$5:$N$204&lt;&gt;"キャンセル")*('01_予約入力'!$B$5:$B$204=$A12)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12">
        <f>IF(OR($A12="",P$4=""),0,SUMPRODUCT(('01_予約入力'!$G$5:$G$204&lt;&gt;"")*('01_予約入力'!$N$5:$N$204&lt;&gt;"キャンセル")*('01_予約入力'!$B$5:$B$204=$A12)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12">
        <f>IF(OR($A12="",Q$4=""),0,SUMPRODUCT(('01_予約入力'!$G$5:$G$204&lt;&gt;"")*('01_予約入力'!$N$5:$N$204&lt;&gt;"キャンセル")*('01_予約入力'!$B$5:$B$204=$A12)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12">
        <f>IF(OR($A12="",R$4=""),0,SUMPRODUCT(('01_予約入力'!$G$5:$G$204&lt;&gt;"")*('01_予約入力'!$N$5:$N$204&lt;&gt;"キャンセル")*('01_予約入力'!$B$5:$B$204=$A12)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12">
        <f>IF(OR($A12="",S$4=""),0,SUMPRODUCT(('01_予約入力'!$G$5:$G$204&lt;&gt;"")*('01_予約入力'!$N$5:$N$204&lt;&gt;"キャンセル")*('01_予約入力'!$B$5:$B$204=$A12)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12">
        <f>IF(OR($A12="",T$4=""),0,SUMPRODUCT(('01_予約入力'!$G$5:$G$204&lt;&gt;"")*('01_予約入力'!$N$5:$N$204&lt;&gt;"キャンセル")*('01_予約入力'!$B$5:$B$204=$A12)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12">
        <f>IF(OR($A12="",U$4=""),0,SUMPRODUCT(('01_予約入力'!$G$5:$G$204&lt;&gt;"")*('01_予約入力'!$N$5:$N$204&lt;&gt;"キャンセル")*('01_予約入力'!$B$5:$B$204=$A12)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12">
        <f>IF(OR($A12="",V$4=""),0,SUMPRODUCT(('01_予約入力'!$G$5:$G$204&lt;&gt;"")*('01_予約入力'!$N$5:$N$204&lt;&gt;"キャンセル")*('01_予約入力'!$B$5:$B$204=$A12)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12">
        <f>IF(OR($A12="",W$4=""),0,SUMPRODUCT(('01_予約入力'!$G$5:$G$204&lt;&gt;"")*('01_予約入力'!$N$5:$N$204&lt;&gt;"キャンセル")*('01_予約入力'!$B$5:$B$204=$A12)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12">
        <f>IF(OR($A12="",X$4=""),0,SUMPRODUCT(('01_予約入力'!$G$5:$G$204&lt;&gt;"")*('01_予約入力'!$N$5:$N$204&lt;&gt;"キャンセル")*('01_予約入力'!$B$5:$B$204=$A12)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12">
        <f>IF(OR($A12="",Y$4=""),0,SUMPRODUCT(('01_予約入力'!$G$5:$G$204&lt;&gt;"")*('01_予約入力'!$N$5:$N$204&lt;&gt;"キャンセル")*('01_予約入力'!$B$5:$B$204=$A12)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12">
        <f>IF(OR($A12="",Z$4=""),0,SUMPRODUCT(('01_予約入力'!$G$5:$G$204&lt;&gt;"")*('01_予約入力'!$N$5:$N$204&lt;&gt;"キャンセル")*('01_予約入力'!$B$5:$B$204=$A12)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12">
        <f>IF(OR($A12="",AA$4=""),0,SUMPRODUCT(('01_予約入力'!$G$5:$G$204&lt;&gt;"")*('01_予約入力'!$N$5:$N$204&lt;&gt;"キャンセル")*('01_予約入力'!$B$5:$B$204=$A12)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12">
        <f>IF(OR($A12="",AB$4=""),0,SUMPRODUCT(('01_予約入力'!$G$5:$G$204&lt;&gt;"")*('01_予約入力'!$N$5:$N$204&lt;&gt;"キャンセル")*('01_予約入力'!$B$5:$B$204=$A12)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12">
        <f>IF(OR($A12="",AC$4=""),0,SUMPRODUCT(('01_予約入力'!$G$5:$G$204&lt;&gt;"")*('01_予約入力'!$N$5:$N$204&lt;&gt;"キャンセル")*('01_予約入力'!$B$5:$B$204=$A12)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12">
        <f>IF(OR($A12="",AD$4=""),0,SUMPRODUCT(('01_予約入力'!$G$5:$G$204&lt;&gt;"")*('01_予約入力'!$N$5:$N$204&lt;&gt;"キャンセル")*('01_予約入力'!$B$5:$B$204=$A12)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12">
        <f>IF(OR($A12="",AE$4=""),0,SUMPRODUCT(('01_予約入力'!$G$5:$G$204&lt;&gt;"")*('01_予約入力'!$N$5:$N$204&lt;&gt;"キャンセル")*('01_予約入力'!$B$5:$B$204=$A12)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12">
        <f>IF(OR($A12="",AF$4=""),0,SUMPRODUCT(('01_予約入力'!$G$5:$G$204&lt;&gt;"")*('01_予約入力'!$N$5:$N$204&lt;&gt;"キャンセル")*('01_予約入力'!$B$5:$B$204=$A12)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13">
      <c r="A13" s="34">
        <f>IF(COUNTA('利用者マスタ'!$A$4:$A$60)&gt;=7,INDEX('利用者マスタ'!$A$4:$A$60,7),"")</f>
        <v/>
      </c>
      <c r="B13" s="35">
        <f>IF($AP13=0,"",IF(MOD($AP13,8)=7,IF($AP13&gt;=8,"◇","◆"),IF(MOD($AP13,8)=3,IF($AP13&gt;=8,"▷","▶"),IF(MOD($AP13,8)=5,IF($AP13&gt;=8,"◁","◀"),IF($AP13&gt;=8,"□","■")))))</f>
        <v/>
      </c>
      <c r="C13" s="35">
        <f>IF($AQ13=0,"",IF(MOD($AQ13,8)=7,IF($AQ13&gt;=8,"◇","◆"),IF(MOD($AQ13,8)=3,IF($AQ13&gt;=8,"▷","▶"),IF(MOD($AQ13,8)=5,IF($AQ13&gt;=8,"◁","◀"),IF($AQ13&gt;=8,"□","■")))))</f>
        <v/>
      </c>
      <c r="D13" s="35">
        <f>IF($AR13=0,"",IF(MOD($AR13,8)=7,IF($AR13&gt;=8,"◇","◆"),IF(MOD($AR13,8)=3,IF($AR13&gt;=8,"▷","▶"),IF(MOD($AR13,8)=5,IF($AR13&gt;=8,"◁","◀"),IF($AR13&gt;=8,"□","■")))))</f>
        <v/>
      </c>
      <c r="E13" s="35">
        <f>IF($AS13=0,"",IF(MOD($AS13,8)=7,IF($AS13&gt;=8,"◇","◆"),IF(MOD($AS13,8)=3,IF($AS13&gt;=8,"▷","▶"),IF(MOD($AS13,8)=5,IF($AS13&gt;=8,"◁","◀"),IF($AS13&gt;=8,"□","■")))))</f>
        <v/>
      </c>
      <c r="F13" s="35">
        <f>IF($AT13=0,"",IF(MOD($AT13,8)=7,IF($AT13&gt;=8,"◇","◆"),IF(MOD($AT13,8)=3,IF($AT13&gt;=8,"▷","▶"),IF(MOD($AT13,8)=5,IF($AT13&gt;=8,"◁","◀"),IF($AT13&gt;=8,"□","■")))))</f>
        <v/>
      </c>
      <c r="G13" s="35">
        <f>IF($AU13=0,"",IF(MOD($AU13,8)=7,IF($AU13&gt;=8,"◇","◆"),IF(MOD($AU13,8)=3,IF($AU13&gt;=8,"▷","▶"),IF(MOD($AU13,8)=5,IF($AU13&gt;=8,"◁","◀"),IF($AU13&gt;=8,"□","■")))))</f>
        <v/>
      </c>
      <c r="H13" s="35">
        <f>IF($AV13=0,"",IF(MOD($AV13,8)=7,IF($AV13&gt;=8,"◇","◆"),IF(MOD($AV13,8)=3,IF($AV13&gt;=8,"▷","▶"),IF(MOD($AV13,8)=5,IF($AV13&gt;=8,"◁","◀"),IF($AV13&gt;=8,"□","■")))))</f>
        <v/>
      </c>
      <c r="I13" s="35">
        <f>IF($AW13=0,"",IF(MOD($AW13,8)=7,IF($AW13&gt;=8,"◇","◆"),IF(MOD($AW13,8)=3,IF($AW13&gt;=8,"▷","▶"),IF(MOD($AW13,8)=5,IF($AW13&gt;=8,"◁","◀"),IF($AW13&gt;=8,"□","■")))))</f>
        <v/>
      </c>
      <c r="J13" s="35">
        <f>IF($AX13=0,"",IF(MOD($AX13,8)=7,IF($AX13&gt;=8,"◇","◆"),IF(MOD($AX13,8)=3,IF($AX13&gt;=8,"▷","▶"),IF(MOD($AX13,8)=5,IF($AX13&gt;=8,"◁","◀"),IF($AX13&gt;=8,"□","■")))))</f>
        <v/>
      </c>
      <c r="K13" s="35">
        <f>IF($AY13=0,"",IF(MOD($AY13,8)=7,IF($AY13&gt;=8,"◇","◆"),IF(MOD($AY13,8)=3,IF($AY13&gt;=8,"▷","▶"),IF(MOD($AY13,8)=5,IF($AY13&gt;=8,"◁","◀"),IF($AY13&gt;=8,"□","■")))))</f>
        <v/>
      </c>
      <c r="L13" s="35">
        <f>IF($AZ13=0,"",IF(MOD($AZ13,8)=7,IF($AZ13&gt;=8,"◇","◆"),IF(MOD($AZ13,8)=3,IF($AZ13&gt;=8,"▷","▶"),IF(MOD($AZ13,8)=5,IF($AZ13&gt;=8,"◁","◀"),IF($AZ13&gt;=8,"□","■")))))</f>
        <v/>
      </c>
      <c r="M13" s="35">
        <f>IF($BA13=0,"",IF(MOD($BA13,8)=7,IF($BA13&gt;=8,"◇","◆"),IF(MOD($BA13,8)=3,IF($BA13&gt;=8,"▷","▶"),IF(MOD($BA13,8)=5,IF($BA13&gt;=8,"◁","◀"),IF($BA13&gt;=8,"□","■")))))</f>
        <v/>
      </c>
      <c r="N13" s="35">
        <f>IF($BB13=0,"",IF(MOD($BB13,8)=7,IF($BB13&gt;=8,"◇","◆"),IF(MOD($BB13,8)=3,IF($BB13&gt;=8,"▷","▶"),IF(MOD($BB13,8)=5,IF($BB13&gt;=8,"◁","◀"),IF($BB13&gt;=8,"□","■")))))</f>
        <v/>
      </c>
      <c r="O13" s="35">
        <f>IF($BC13=0,"",IF(MOD($BC13,8)=7,IF($BC13&gt;=8,"◇","◆"),IF(MOD($BC13,8)=3,IF($BC13&gt;=8,"▷","▶"),IF(MOD($BC13,8)=5,IF($BC13&gt;=8,"◁","◀"),IF($BC13&gt;=8,"□","■")))))</f>
        <v/>
      </c>
      <c r="P13" s="35">
        <f>IF($BD13=0,"",IF(MOD($BD13,8)=7,IF($BD13&gt;=8,"◇","◆"),IF(MOD($BD13,8)=3,IF($BD13&gt;=8,"▷","▶"),IF(MOD($BD13,8)=5,IF($BD13&gt;=8,"◁","◀"),IF($BD13&gt;=8,"□","■")))))</f>
        <v/>
      </c>
      <c r="Q13" s="35">
        <f>IF($BE13=0,"",IF(MOD($BE13,8)=7,IF($BE13&gt;=8,"◇","◆"),IF(MOD($BE13,8)=3,IF($BE13&gt;=8,"▷","▶"),IF(MOD($BE13,8)=5,IF($BE13&gt;=8,"◁","◀"),IF($BE13&gt;=8,"□","■")))))</f>
        <v/>
      </c>
      <c r="R13" s="35">
        <f>IF($BF13=0,"",IF(MOD($BF13,8)=7,IF($BF13&gt;=8,"◇","◆"),IF(MOD($BF13,8)=3,IF($BF13&gt;=8,"▷","▶"),IF(MOD($BF13,8)=5,IF($BF13&gt;=8,"◁","◀"),IF($BF13&gt;=8,"□","■")))))</f>
        <v/>
      </c>
      <c r="S13" s="35">
        <f>IF($BG13=0,"",IF(MOD($BG13,8)=7,IF($BG13&gt;=8,"◇","◆"),IF(MOD($BG13,8)=3,IF($BG13&gt;=8,"▷","▶"),IF(MOD($BG13,8)=5,IF($BG13&gt;=8,"◁","◀"),IF($BG13&gt;=8,"□","■")))))</f>
        <v/>
      </c>
      <c r="T13" s="35">
        <f>IF($BH13=0,"",IF(MOD($BH13,8)=7,IF($BH13&gt;=8,"◇","◆"),IF(MOD($BH13,8)=3,IF($BH13&gt;=8,"▷","▶"),IF(MOD($BH13,8)=5,IF($BH13&gt;=8,"◁","◀"),IF($BH13&gt;=8,"□","■")))))</f>
        <v/>
      </c>
      <c r="U13" s="35">
        <f>IF($BI13=0,"",IF(MOD($BI13,8)=7,IF($BI13&gt;=8,"◇","◆"),IF(MOD($BI13,8)=3,IF($BI13&gt;=8,"▷","▶"),IF(MOD($BI13,8)=5,IF($BI13&gt;=8,"◁","◀"),IF($BI13&gt;=8,"□","■")))))</f>
        <v/>
      </c>
      <c r="V13" s="35">
        <f>IF($BJ13=0,"",IF(MOD($BJ13,8)=7,IF($BJ13&gt;=8,"◇","◆"),IF(MOD($BJ13,8)=3,IF($BJ13&gt;=8,"▷","▶"),IF(MOD($BJ13,8)=5,IF($BJ13&gt;=8,"◁","◀"),IF($BJ13&gt;=8,"□","■")))))</f>
        <v/>
      </c>
      <c r="W13" s="35">
        <f>IF($BK13=0,"",IF(MOD($BK13,8)=7,IF($BK13&gt;=8,"◇","◆"),IF(MOD($BK13,8)=3,IF($BK13&gt;=8,"▷","▶"),IF(MOD($BK13,8)=5,IF($BK13&gt;=8,"◁","◀"),IF($BK13&gt;=8,"□","■")))))</f>
        <v/>
      </c>
      <c r="X13" s="35">
        <f>IF($BL13=0,"",IF(MOD($BL13,8)=7,IF($BL13&gt;=8,"◇","◆"),IF(MOD($BL13,8)=3,IF($BL13&gt;=8,"▷","▶"),IF(MOD($BL13,8)=5,IF($BL13&gt;=8,"◁","◀"),IF($BL13&gt;=8,"□","■")))))</f>
        <v/>
      </c>
      <c r="Y13" s="35">
        <f>IF($BM13=0,"",IF(MOD($BM13,8)=7,IF($BM13&gt;=8,"◇","◆"),IF(MOD($BM13,8)=3,IF($BM13&gt;=8,"▷","▶"),IF(MOD($BM13,8)=5,IF($BM13&gt;=8,"◁","◀"),IF($BM13&gt;=8,"□","■")))))</f>
        <v/>
      </c>
      <c r="Z13" s="35">
        <f>IF($BN13=0,"",IF(MOD($BN13,8)=7,IF($BN13&gt;=8,"◇","◆"),IF(MOD($BN13,8)=3,IF($BN13&gt;=8,"▷","▶"),IF(MOD($BN13,8)=5,IF($BN13&gt;=8,"◁","◀"),IF($BN13&gt;=8,"□","■")))))</f>
        <v/>
      </c>
      <c r="AA13" s="35">
        <f>IF($BO13=0,"",IF(MOD($BO13,8)=7,IF($BO13&gt;=8,"◇","◆"),IF(MOD($BO13,8)=3,IF($BO13&gt;=8,"▷","▶"),IF(MOD($BO13,8)=5,IF($BO13&gt;=8,"◁","◀"),IF($BO13&gt;=8,"□","■")))))</f>
        <v/>
      </c>
      <c r="AB13" s="35">
        <f>IF($BP13=0,"",IF(MOD($BP13,8)=7,IF($BP13&gt;=8,"◇","◆"),IF(MOD($BP13,8)=3,IF($BP13&gt;=8,"▷","▶"),IF(MOD($BP13,8)=5,IF($BP13&gt;=8,"◁","◀"),IF($BP13&gt;=8,"□","■")))))</f>
        <v/>
      </c>
      <c r="AC13" s="35">
        <f>IF($BQ13=0,"",IF(MOD($BQ13,8)=7,IF($BQ13&gt;=8,"◇","◆"),IF(MOD($BQ13,8)=3,IF($BQ13&gt;=8,"▷","▶"),IF(MOD($BQ13,8)=5,IF($BQ13&gt;=8,"◁","◀"),IF($BQ13&gt;=8,"□","■")))))</f>
        <v/>
      </c>
      <c r="AD13" s="35">
        <f>IF($BR13=0,"",IF(MOD($BR13,8)=7,IF($BR13&gt;=8,"◇","◆"),IF(MOD($BR13,8)=3,IF($BR13&gt;=8,"▷","▶"),IF(MOD($BR13,8)=5,IF($BR13&gt;=8,"◁","◀"),IF($BR13&gt;=8,"□","■")))))</f>
        <v/>
      </c>
      <c r="AE13" s="35">
        <f>IF($BS13=0,"",IF(MOD($BS13,8)=7,IF($BS13&gt;=8,"◇","◆"),IF(MOD($BS13,8)=3,IF($BS13&gt;=8,"▷","▶"),IF(MOD($BS13,8)=5,IF($BS13&gt;=8,"◁","◀"),IF($BS13&gt;=8,"□","■")))))</f>
        <v/>
      </c>
      <c r="AF13" s="35">
        <f>IF($BT13=0,"",IF(MOD($BT13,8)=7,IF($BT13&gt;=8,"◇","◆"),IF(MOD($BT13,8)=3,IF($BT13&gt;=8,"▷","▶"),IF(MOD($BT13,8)=5,IF($BT13&gt;=8,"◁","◀"),IF($BT13&gt;=8,"□","■")))))</f>
        <v/>
      </c>
      <c r="AG13" s="36">
        <f>IF($A13="","",COUNTIF($AP13:$BT13,"&gt;0"))</f>
        <v/>
      </c>
      <c r="AP13">
        <f>IF(OR($A13="",B$4=""),0,SUMPRODUCT(('01_予約入力'!$G$5:$G$204&lt;&gt;"")*('01_予約入力'!$N$5:$N$204&lt;&gt;"キャンセル")*('01_予約入力'!$B$5:$B$204=$A13)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13">
        <f>IF(OR($A13="",C$4=""),0,SUMPRODUCT(('01_予約入力'!$G$5:$G$204&lt;&gt;"")*('01_予約入力'!$N$5:$N$204&lt;&gt;"キャンセル")*('01_予約入力'!$B$5:$B$204=$A13)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13">
        <f>IF(OR($A13="",D$4=""),0,SUMPRODUCT(('01_予約入力'!$G$5:$G$204&lt;&gt;"")*('01_予約入力'!$N$5:$N$204&lt;&gt;"キャンセル")*('01_予約入力'!$B$5:$B$204=$A13)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13">
        <f>IF(OR($A13="",E$4=""),0,SUMPRODUCT(('01_予約入力'!$G$5:$G$204&lt;&gt;"")*('01_予約入力'!$N$5:$N$204&lt;&gt;"キャンセル")*('01_予約入力'!$B$5:$B$204=$A13)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13">
        <f>IF(OR($A13="",F$4=""),0,SUMPRODUCT(('01_予約入力'!$G$5:$G$204&lt;&gt;"")*('01_予約入力'!$N$5:$N$204&lt;&gt;"キャンセル")*('01_予約入力'!$B$5:$B$204=$A13)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13">
        <f>IF(OR($A13="",G$4=""),0,SUMPRODUCT(('01_予約入力'!$G$5:$G$204&lt;&gt;"")*('01_予約入力'!$N$5:$N$204&lt;&gt;"キャンセル")*('01_予約入力'!$B$5:$B$204=$A13)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13">
        <f>IF(OR($A13="",H$4=""),0,SUMPRODUCT(('01_予約入力'!$G$5:$G$204&lt;&gt;"")*('01_予約入力'!$N$5:$N$204&lt;&gt;"キャンセル")*('01_予約入力'!$B$5:$B$204=$A13)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13">
        <f>IF(OR($A13="",I$4=""),0,SUMPRODUCT(('01_予約入力'!$G$5:$G$204&lt;&gt;"")*('01_予約入力'!$N$5:$N$204&lt;&gt;"キャンセル")*('01_予約入力'!$B$5:$B$204=$A13)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13">
        <f>IF(OR($A13="",J$4=""),0,SUMPRODUCT(('01_予約入力'!$G$5:$G$204&lt;&gt;"")*('01_予約入力'!$N$5:$N$204&lt;&gt;"キャンセル")*('01_予約入力'!$B$5:$B$204=$A13)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13">
        <f>IF(OR($A13="",K$4=""),0,SUMPRODUCT(('01_予約入力'!$G$5:$G$204&lt;&gt;"")*('01_予約入力'!$N$5:$N$204&lt;&gt;"キャンセル")*('01_予約入力'!$B$5:$B$204=$A13)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13">
        <f>IF(OR($A13="",L$4=""),0,SUMPRODUCT(('01_予約入力'!$G$5:$G$204&lt;&gt;"")*('01_予約入力'!$N$5:$N$204&lt;&gt;"キャンセル")*('01_予約入力'!$B$5:$B$204=$A13)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13">
        <f>IF(OR($A13="",M$4=""),0,SUMPRODUCT(('01_予約入力'!$G$5:$G$204&lt;&gt;"")*('01_予約入力'!$N$5:$N$204&lt;&gt;"キャンセル")*('01_予約入力'!$B$5:$B$204=$A13)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13">
        <f>IF(OR($A13="",N$4=""),0,SUMPRODUCT(('01_予約入力'!$G$5:$G$204&lt;&gt;"")*('01_予約入力'!$N$5:$N$204&lt;&gt;"キャンセル")*('01_予約入力'!$B$5:$B$204=$A13)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13">
        <f>IF(OR($A13="",O$4=""),0,SUMPRODUCT(('01_予約入力'!$G$5:$G$204&lt;&gt;"")*('01_予約入力'!$N$5:$N$204&lt;&gt;"キャンセル")*('01_予約入力'!$B$5:$B$204=$A13)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13">
        <f>IF(OR($A13="",P$4=""),0,SUMPRODUCT(('01_予約入力'!$G$5:$G$204&lt;&gt;"")*('01_予約入力'!$N$5:$N$204&lt;&gt;"キャンセル")*('01_予約入力'!$B$5:$B$204=$A13)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13">
        <f>IF(OR($A13="",Q$4=""),0,SUMPRODUCT(('01_予約入力'!$G$5:$G$204&lt;&gt;"")*('01_予約入力'!$N$5:$N$204&lt;&gt;"キャンセル")*('01_予約入力'!$B$5:$B$204=$A13)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13">
        <f>IF(OR($A13="",R$4=""),0,SUMPRODUCT(('01_予約入力'!$G$5:$G$204&lt;&gt;"")*('01_予約入力'!$N$5:$N$204&lt;&gt;"キャンセル")*('01_予約入力'!$B$5:$B$204=$A13)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13">
        <f>IF(OR($A13="",S$4=""),0,SUMPRODUCT(('01_予約入力'!$G$5:$G$204&lt;&gt;"")*('01_予約入力'!$N$5:$N$204&lt;&gt;"キャンセル")*('01_予約入力'!$B$5:$B$204=$A13)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13">
        <f>IF(OR($A13="",T$4=""),0,SUMPRODUCT(('01_予約入力'!$G$5:$G$204&lt;&gt;"")*('01_予約入力'!$N$5:$N$204&lt;&gt;"キャンセル")*('01_予約入力'!$B$5:$B$204=$A13)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13">
        <f>IF(OR($A13="",U$4=""),0,SUMPRODUCT(('01_予約入力'!$G$5:$G$204&lt;&gt;"")*('01_予約入力'!$N$5:$N$204&lt;&gt;"キャンセル")*('01_予約入力'!$B$5:$B$204=$A13)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13">
        <f>IF(OR($A13="",V$4=""),0,SUMPRODUCT(('01_予約入力'!$G$5:$G$204&lt;&gt;"")*('01_予約入力'!$N$5:$N$204&lt;&gt;"キャンセル")*('01_予約入力'!$B$5:$B$204=$A13)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13">
        <f>IF(OR($A13="",W$4=""),0,SUMPRODUCT(('01_予約入力'!$G$5:$G$204&lt;&gt;"")*('01_予約入力'!$N$5:$N$204&lt;&gt;"キャンセル")*('01_予約入力'!$B$5:$B$204=$A13)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13">
        <f>IF(OR($A13="",X$4=""),0,SUMPRODUCT(('01_予約入力'!$G$5:$G$204&lt;&gt;"")*('01_予約入力'!$N$5:$N$204&lt;&gt;"キャンセル")*('01_予約入力'!$B$5:$B$204=$A13)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13">
        <f>IF(OR($A13="",Y$4=""),0,SUMPRODUCT(('01_予約入力'!$G$5:$G$204&lt;&gt;"")*('01_予約入力'!$N$5:$N$204&lt;&gt;"キャンセル")*('01_予約入力'!$B$5:$B$204=$A13)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13">
        <f>IF(OR($A13="",Z$4=""),0,SUMPRODUCT(('01_予約入力'!$G$5:$G$204&lt;&gt;"")*('01_予約入力'!$N$5:$N$204&lt;&gt;"キャンセル")*('01_予約入力'!$B$5:$B$204=$A13)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13">
        <f>IF(OR($A13="",AA$4=""),0,SUMPRODUCT(('01_予約入力'!$G$5:$G$204&lt;&gt;"")*('01_予約入力'!$N$5:$N$204&lt;&gt;"キャンセル")*('01_予約入力'!$B$5:$B$204=$A13)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13">
        <f>IF(OR($A13="",AB$4=""),0,SUMPRODUCT(('01_予約入力'!$G$5:$G$204&lt;&gt;"")*('01_予約入力'!$N$5:$N$204&lt;&gt;"キャンセル")*('01_予約入力'!$B$5:$B$204=$A13)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13">
        <f>IF(OR($A13="",AC$4=""),0,SUMPRODUCT(('01_予約入力'!$G$5:$G$204&lt;&gt;"")*('01_予約入力'!$N$5:$N$204&lt;&gt;"キャンセル")*('01_予約入力'!$B$5:$B$204=$A13)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13">
        <f>IF(OR($A13="",AD$4=""),0,SUMPRODUCT(('01_予約入力'!$G$5:$G$204&lt;&gt;"")*('01_予約入力'!$N$5:$N$204&lt;&gt;"キャンセル")*('01_予約入力'!$B$5:$B$204=$A13)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13">
        <f>IF(OR($A13="",AE$4=""),0,SUMPRODUCT(('01_予約入力'!$G$5:$G$204&lt;&gt;"")*('01_予約入力'!$N$5:$N$204&lt;&gt;"キャンセル")*('01_予約入力'!$B$5:$B$204=$A13)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13">
        <f>IF(OR($A13="",AF$4=""),0,SUMPRODUCT(('01_予約入力'!$G$5:$G$204&lt;&gt;"")*('01_予約入力'!$N$5:$N$204&lt;&gt;"キャンセル")*('01_予約入力'!$B$5:$B$204=$A13)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14">
      <c r="A14" s="34">
        <f>IF(COUNTA('利用者マスタ'!$A$4:$A$60)&gt;=8,INDEX('利用者マスタ'!$A$4:$A$60,8),"")</f>
        <v/>
      </c>
      <c r="B14" s="35">
        <f>IF($AP14=0,"",IF(MOD($AP14,8)=7,IF($AP14&gt;=8,"◇","◆"),IF(MOD($AP14,8)=3,IF($AP14&gt;=8,"▷","▶"),IF(MOD($AP14,8)=5,IF($AP14&gt;=8,"◁","◀"),IF($AP14&gt;=8,"□","■")))))</f>
        <v/>
      </c>
      <c r="C14" s="35">
        <f>IF($AQ14=0,"",IF(MOD($AQ14,8)=7,IF($AQ14&gt;=8,"◇","◆"),IF(MOD($AQ14,8)=3,IF($AQ14&gt;=8,"▷","▶"),IF(MOD($AQ14,8)=5,IF($AQ14&gt;=8,"◁","◀"),IF($AQ14&gt;=8,"□","■")))))</f>
        <v/>
      </c>
      <c r="D14" s="35">
        <f>IF($AR14=0,"",IF(MOD($AR14,8)=7,IF($AR14&gt;=8,"◇","◆"),IF(MOD($AR14,8)=3,IF($AR14&gt;=8,"▷","▶"),IF(MOD($AR14,8)=5,IF($AR14&gt;=8,"◁","◀"),IF($AR14&gt;=8,"□","■")))))</f>
        <v/>
      </c>
      <c r="E14" s="35">
        <f>IF($AS14=0,"",IF(MOD($AS14,8)=7,IF($AS14&gt;=8,"◇","◆"),IF(MOD($AS14,8)=3,IF($AS14&gt;=8,"▷","▶"),IF(MOD($AS14,8)=5,IF($AS14&gt;=8,"◁","◀"),IF($AS14&gt;=8,"□","■")))))</f>
        <v/>
      </c>
      <c r="F14" s="35">
        <f>IF($AT14=0,"",IF(MOD($AT14,8)=7,IF($AT14&gt;=8,"◇","◆"),IF(MOD($AT14,8)=3,IF($AT14&gt;=8,"▷","▶"),IF(MOD($AT14,8)=5,IF($AT14&gt;=8,"◁","◀"),IF($AT14&gt;=8,"□","■")))))</f>
        <v/>
      </c>
      <c r="G14" s="35">
        <f>IF($AU14=0,"",IF(MOD($AU14,8)=7,IF($AU14&gt;=8,"◇","◆"),IF(MOD($AU14,8)=3,IF($AU14&gt;=8,"▷","▶"),IF(MOD($AU14,8)=5,IF($AU14&gt;=8,"◁","◀"),IF($AU14&gt;=8,"□","■")))))</f>
        <v/>
      </c>
      <c r="H14" s="35">
        <f>IF($AV14=0,"",IF(MOD($AV14,8)=7,IF($AV14&gt;=8,"◇","◆"),IF(MOD($AV14,8)=3,IF($AV14&gt;=8,"▷","▶"),IF(MOD($AV14,8)=5,IF($AV14&gt;=8,"◁","◀"),IF($AV14&gt;=8,"□","■")))))</f>
        <v/>
      </c>
      <c r="I14" s="35">
        <f>IF($AW14=0,"",IF(MOD($AW14,8)=7,IF($AW14&gt;=8,"◇","◆"),IF(MOD($AW14,8)=3,IF($AW14&gt;=8,"▷","▶"),IF(MOD($AW14,8)=5,IF($AW14&gt;=8,"◁","◀"),IF($AW14&gt;=8,"□","■")))))</f>
        <v/>
      </c>
      <c r="J14" s="35">
        <f>IF($AX14=0,"",IF(MOD($AX14,8)=7,IF($AX14&gt;=8,"◇","◆"),IF(MOD($AX14,8)=3,IF($AX14&gt;=8,"▷","▶"),IF(MOD($AX14,8)=5,IF($AX14&gt;=8,"◁","◀"),IF($AX14&gt;=8,"□","■")))))</f>
        <v/>
      </c>
      <c r="K14" s="35">
        <f>IF($AY14=0,"",IF(MOD($AY14,8)=7,IF($AY14&gt;=8,"◇","◆"),IF(MOD($AY14,8)=3,IF($AY14&gt;=8,"▷","▶"),IF(MOD($AY14,8)=5,IF($AY14&gt;=8,"◁","◀"),IF($AY14&gt;=8,"□","■")))))</f>
        <v/>
      </c>
      <c r="L14" s="35">
        <f>IF($AZ14=0,"",IF(MOD($AZ14,8)=7,IF($AZ14&gt;=8,"◇","◆"),IF(MOD($AZ14,8)=3,IF($AZ14&gt;=8,"▷","▶"),IF(MOD($AZ14,8)=5,IF($AZ14&gt;=8,"◁","◀"),IF($AZ14&gt;=8,"□","■")))))</f>
        <v/>
      </c>
      <c r="M14" s="35">
        <f>IF($BA14=0,"",IF(MOD($BA14,8)=7,IF($BA14&gt;=8,"◇","◆"),IF(MOD($BA14,8)=3,IF($BA14&gt;=8,"▷","▶"),IF(MOD($BA14,8)=5,IF($BA14&gt;=8,"◁","◀"),IF($BA14&gt;=8,"□","■")))))</f>
        <v/>
      </c>
      <c r="N14" s="35">
        <f>IF($BB14=0,"",IF(MOD($BB14,8)=7,IF($BB14&gt;=8,"◇","◆"),IF(MOD($BB14,8)=3,IF($BB14&gt;=8,"▷","▶"),IF(MOD($BB14,8)=5,IF($BB14&gt;=8,"◁","◀"),IF($BB14&gt;=8,"□","■")))))</f>
        <v/>
      </c>
      <c r="O14" s="35">
        <f>IF($BC14=0,"",IF(MOD($BC14,8)=7,IF($BC14&gt;=8,"◇","◆"),IF(MOD($BC14,8)=3,IF($BC14&gt;=8,"▷","▶"),IF(MOD($BC14,8)=5,IF($BC14&gt;=8,"◁","◀"),IF($BC14&gt;=8,"□","■")))))</f>
        <v/>
      </c>
      <c r="P14" s="35">
        <f>IF($BD14=0,"",IF(MOD($BD14,8)=7,IF($BD14&gt;=8,"◇","◆"),IF(MOD($BD14,8)=3,IF($BD14&gt;=8,"▷","▶"),IF(MOD($BD14,8)=5,IF($BD14&gt;=8,"◁","◀"),IF($BD14&gt;=8,"□","■")))))</f>
        <v/>
      </c>
      <c r="Q14" s="35">
        <f>IF($BE14=0,"",IF(MOD($BE14,8)=7,IF($BE14&gt;=8,"◇","◆"),IF(MOD($BE14,8)=3,IF($BE14&gt;=8,"▷","▶"),IF(MOD($BE14,8)=5,IF($BE14&gt;=8,"◁","◀"),IF($BE14&gt;=8,"□","■")))))</f>
        <v/>
      </c>
      <c r="R14" s="35">
        <f>IF($BF14=0,"",IF(MOD($BF14,8)=7,IF($BF14&gt;=8,"◇","◆"),IF(MOD($BF14,8)=3,IF($BF14&gt;=8,"▷","▶"),IF(MOD($BF14,8)=5,IF($BF14&gt;=8,"◁","◀"),IF($BF14&gt;=8,"□","■")))))</f>
        <v/>
      </c>
      <c r="S14" s="35">
        <f>IF($BG14=0,"",IF(MOD($BG14,8)=7,IF($BG14&gt;=8,"◇","◆"),IF(MOD($BG14,8)=3,IF($BG14&gt;=8,"▷","▶"),IF(MOD($BG14,8)=5,IF($BG14&gt;=8,"◁","◀"),IF($BG14&gt;=8,"□","■")))))</f>
        <v/>
      </c>
      <c r="T14" s="35">
        <f>IF($BH14=0,"",IF(MOD($BH14,8)=7,IF($BH14&gt;=8,"◇","◆"),IF(MOD($BH14,8)=3,IF($BH14&gt;=8,"▷","▶"),IF(MOD($BH14,8)=5,IF($BH14&gt;=8,"◁","◀"),IF($BH14&gt;=8,"□","■")))))</f>
        <v/>
      </c>
      <c r="U14" s="35">
        <f>IF($BI14=0,"",IF(MOD($BI14,8)=7,IF($BI14&gt;=8,"◇","◆"),IF(MOD($BI14,8)=3,IF($BI14&gt;=8,"▷","▶"),IF(MOD($BI14,8)=5,IF($BI14&gt;=8,"◁","◀"),IF($BI14&gt;=8,"□","■")))))</f>
        <v/>
      </c>
      <c r="V14" s="35">
        <f>IF($BJ14=0,"",IF(MOD($BJ14,8)=7,IF($BJ14&gt;=8,"◇","◆"),IF(MOD($BJ14,8)=3,IF($BJ14&gt;=8,"▷","▶"),IF(MOD($BJ14,8)=5,IF($BJ14&gt;=8,"◁","◀"),IF($BJ14&gt;=8,"□","■")))))</f>
        <v/>
      </c>
      <c r="W14" s="35">
        <f>IF($BK14=0,"",IF(MOD($BK14,8)=7,IF($BK14&gt;=8,"◇","◆"),IF(MOD($BK14,8)=3,IF($BK14&gt;=8,"▷","▶"),IF(MOD($BK14,8)=5,IF($BK14&gt;=8,"◁","◀"),IF($BK14&gt;=8,"□","■")))))</f>
        <v/>
      </c>
      <c r="X14" s="35">
        <f>IF($BL14=0,"",IF(MOD($BL14,8)=7,IF($BL14&gt;=8,"◇","◆"),IF(MOD($BL14,8)=3,IF($BL14&gt;=8,"▷","▶"),IF(MOD($BL14,8)=5,IF($BL14&gt;=8,"◁","◀"),IF($BL14&gt;=8,"□","■")))))</f>
        <v/>
      </c>
      <c r="Y14" s="35">
        <f>IF($BM14=0,"",IF(MOD($BM14,8)=7,IF($BM14&gt;=8,"◇","◆"),IF(MOD($BM14,8)=3,IF($BM14&gt;=8,"▷","▶"),IF(MOD($BM14,8)=5,IF($BM14&gt;=8,"◁","◀"),IF($BM14&gt;=8,"□","■")))))</f>
        <v/>
      </c>
      <c r="Z14" s="35">
        <f>IF($BN14=0,"",IF(MOD($BN14,8)=7,IF($BN14&gt;=8,"◇","◆"),IF(MOD($BN14,8)=3,IF($BN14&gt;=8,"▷","▶"),IF(MOD($BN14,8)=5,IF($BN14&gt;=8,"◁","◀"),IF($BN14&gt;=8,"□","■")))))</f>
        <v/>
      </c>
      <c r="AA14" s="35">
        <f>IF($BO14=0,"",IF(MOD($BO14,8)=7,IF($BO14&gt;=8,"◇","◆"),IF(MOD($BO14,8)=3,IF($BO14&gt;=8,"▷","▶"),IF(MOD($BO14,8)=5,IF($BO14&gt;=8,"◁","◀"),IF($BO14&gt;=8,"□","■")))))</f>
        <v/>
      </c>
      <c r="AB14" s="35">
        <f>IF($BP14=0,"",IF(MOD($BP14,8)=7,IF($BP14&gt;=8,"◇","◆"),IF(MOD($BP14,8)=3,IF($BP14&gt;=8,"▷","▶"),IF(MOD($BP14,8)=5,IF($BP14&gt;=8,"◁","◀"),IF($BP14&gt;=8,"□","■")))))</f>
        <v/>
      </c>
      <c r="AC14" s="35">
        <f>IF($BQ14=0,"",IF(MOD($BQ14,8)=7,IF($BQ14&gt;=8,"◇","◆"),IF(MOD($BQ14,8)=3,IF($BQ14&gt;=8,"▷","▶"),IF(MOD($BQ14,8)=5,IF($BQ14&gt;=8,"◁","◀"),IF($BQ14&gt;=8,"□","■")))))</f>
        <v/>
      </c>
      <c r="AD14" s="35">
        <f>IF($BR14=0,"",IF(MOD($BR14,8)=7,IF($BR14&gt;=8,"◇","◆"),IF(MOD($BR14,8)=3,IF($BR14&gt;=8,"▷","▶"),IF(MOD($BR14,8)=5,IF($BR14&gt;=8,"◁","◀"),IF($BR14&gt;=8,"□","■")))))</f>
        <v/>
      </c>
      <c r="AE14" s="35">
        <f>IF($BS14=0,"",IF(MOD($BS14,8)=7,IF($BS14&gt;=8,"◇","◆"),IF(MOD($BS14,8)=3,IF($BS14&gt;=8,"▷","▶"),IF(MOD($BS14,8)=5,IF($BS14&gt;=8,"◁","◀"),IF($BS14&gt;=8,"□","■")))))</f>
        <v/>
      </c>
      <c r="AF14" s="35">
        <f>IF($BT14=0,"",IF(MOD($BT14,8)=7,IF($BT14&gt;=8,"◇","◆"),IF(MOD($BT14,8)=3,IF($BT14&gt;=8,"▷","▶"),IF(MOD($BT14,8)=5,IF($BT14&gt;=8,"◁","◀"),IF($BT14&gt;=8,"□","■")))))</f>
        <v/>
      </c>
      <c r="AG14" s="36">
        <f>IF($A14="","",COUNTIF($AP14:$BT14,"&gt;0"))</f>
        <v/>
      </c>
      <c r="AP14">
        <f>IF(OR($A14="",B$4=""),0,SUMPRODUCT(('01_予約入力'!$G$5:$G$204&lt;&gt;"")*('01_予約入力'!$N$5:$N$204&lt;&gt;"キャンセル")*('01_予約入力'!$B$5:$B$204=$A14)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14">
        <f>IF(OR($A14="",C$4=""),0,SUMPRODUCT(('01_予約入力'!$G$5:$G$204&lt;&gt;"")*('01_予約入力'!$N$5:$N$204&lt;&gt;"キャンセル")*('01_予約入力'!$B$5:$B$204=$A14)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14">
        <f>IF(OR($A14="",D$4=""),0,SUMPRODUCT(('01_予約入力'!$G$5:$G$204&lt;&gt;"")*('01_予約入力'!$N$5:$N$204&lt;&gt;"キャンセル")*('01_予約入力'!$B$5:$B$204=$A14)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14">
        <f>IF(OR($A14="",E$4=""),0,SUMPRODUCT(('01_予約入力'!$G$5:$G$204&lt;&gt;"")*('01_予約入力'!$N$5:$N$204&lt;&gt;"キャンセル")*('01_予約入力'!$B$5:$B$204=$A14)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14">
        <f>IF(OR($A14="",F$4=""),0,SUMPRODUCT(('01_予約入力'!$G$5:$G$204&lt;&gt;"")*('01_予約入力'!$N$5:$N$204&lt;&gt;"キャンセル")*('01_予約入力'!$B$5:$B$204=$A14)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14">
        <f>IF(OR($A14="",G$4=""),0,SUMPRODUCT(('01_予約入力'!$G$5:$G$204&lt;&gt;"")*('01_予約入力'!$N$5:$N$204&lt;&gt;"キャンセル")*('01_予約入力'!$B$5:$B$204=$A14)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14">
        <f>IF(OR($A14="",H$4=""),0,SUMPRODUCT(('01_予約入力'!$G$5:$G$204&lt;&gt;"")*('01_予約入力'!$N$5:$N$204&lt;&gt;"キャンセル")*('01_予約入力'!$B$5:$B$204=$A14)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14">
        <f>IF(OR($A14="",I$4=""),0,SUMPRODUCT(('01_予約入力'!$G$5:$G$204&lt;&gt;"")*('01_予約入力'!$N$5:$N$204&lt;&gt;"キャンセル")*('01_予約入力'!$B$5:$B$204=$A14)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14">
        <f>IF(OR($A14="",J$4=""),0,SUMPRODUCT(('01_予約入力'!$G$5:$G$204&lt;&gt;"")*('01_予約入力'!$N$5:$N$204&lt;&gt;"キャンセル")*('01_予約入力'!$B$5:$B$204=$A14)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14">
        <f>IF(OR($A14="",K$4=""),0,SUMPRODUCT(('01_予約入力'!$G$5:$G$204&lt;&gt;"")*('01_予約入力'!$N$5:$N$204&lt;&gt;"キャンセル")*('01_予約入力'!$B$5:$B$204=$A14)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14">
        <f>IF(OR($A14="",L$4=""),0,SUMPRODUCT(('01_予約入力'!$G$5:$G$204&lt;&gt;"")*('01_予約入力'!$N$5:$N$204&lt;&gt;"キャンセル")*('01_予約入力'!$B$5:$B$204=$A14)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14">
        <f>IF(OR($A14="",M$4=""),0,SUMPRODUCT(('01_予約入力'!$G$5:$G$204&lt;&gt;"")*('01_予約入力'!$N$5:$N$204&lt;&gt;"キャンセル")*('01_予約入力'!$B$5:$B$204=$A14)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14">
        <f>IF(OR($A14="",N$4=""),0,SUMPRODUCT(('01_予約入力'!$G$5:$G$204&lt;&gt;"")*('01_予約入力'!$N$5:$N$204&lt;&gt;"キャンセル")*('01_予約入力'!$B$5:$B$204=$A14)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14">
        <f>IF(OR($A14="",O$4=""),0,SUMPRODUCT(('01_予約入力'!$G$5:$G$204&lt;&gt;"")*('01_予約入力'!$N$5:$N$204&lt;&gt;"キャンセル")*('01_予約入力'!$B$5:$B$204=$A14)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14">
        <f>IF(OR($A14="",P$4=""),0,SUMPRODUCT(('01_予約入力'!$G$5:$G$204&lt;&gt;"")*('01_予約入力'!$N$5:$N$204&lt;&gt;"キャンセル")*('01_予約入力'!$B$5:$B$204=$A14)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14">
        <f>IF(OR($A14="",Q$4=""),0,SUMPRODUCT(('01_予約入力'!$G$5:$G$204&lt;&gt;"")*('01_予約入力'!$N$5:$N$204&lt;&gt;"キャンセル")*('01_予約入力'!$B$5:$B$204=$A14)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14">
        <f>IF(OR($A14="",R$4=""),0,SUMPRODUCT(('01_予約入力'!$G$5:$G$204&lt;&gt;"")*('01_予約入力'!$N$5:$N$204&lt;&gt;"キャンセル")*('01_予約入力'!$B$5:$B$204=$A14)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14">
        <f>IF(OR($A14="",S$4=""),0,SUMPRODUCT(('01_予約入力'!$G$5:$G$204&lt;&gt;"")*('01_予約入力'!$N$5:$N$204&lt;&gt;"キャンセル")*('01_予約入力'!$B$5:$B$204=$A14)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14">
        <f>IF(OR($A14="",T$4=""),0,SUMPRODUCT(('01_予約入力'!$G$5:$G$204&lt;&gt;"")*('01_予約入力'!$N$5:$N$204&lt;&gt;"キャンセル")*('01_予約入力'!$B$5:$B$204=$A14)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14">
        <f>IF(OR($A14="",U$4=""),0,SUMPRODUCT(('01_予約入力'!$G$5:$G$204&lt;&gt;"")*('01_予約入力'!$N$5:$N$204&lt;&gt;"キャンセル")*('01_予約入力'!$B$5:$B$204=$A14)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14">
        <f>IF(OR($A14="",V$4=""),0,SUMPRODUCT(('01_予約入力'!$G$5:$G$204&lt;&gt;"")*('01_予約入力'!$N$5:$N$204&lt;&gt;"キャンセル")*('01_予約入力'!$B$5:$B$204=$A14)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14">
        <f>IF(OR($A14="",W$4=""),0,SUMPRODUCT(('01_予約入力'!$G$5:$G$204&lt;&gt;"")*('01_予約入力'!$N$5:$N$204&lt;&gt;"キャンセル")*('01_予約入力'!$B$5:$B$204=$A14)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14">
        <f>IF(OR($A14="",X$4=""),0,SUMPRODUCT(('01_予約入力'!$G$5:$G$204&lt;&gt;"")*('01_予約入力'!$N$5:$N$204&lt;&gt;"キャンセル")*('01_予約入力'!$B$5:$B$204=$A14)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14">
        <f>IF(OR($A14="",Y$4=""),0,SUMPRODUCT(('01_予約入力'!$G$5:$G$204&lt;&gt;"")*('01_予約入力'!$N$5:$N$204&lt;&gt;"キャンセル")*('01_予約入力'!$B$5:$B$204=$A14)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14">
        <f>IF(OR($A14="",Z$4=""),0,SUMPRODUCT(('01_予約入力'!$G$5:$G$204&lt;&gt;"")*('01_予約入力'!$N$5:$N$204&lt;&gt;"キャンセル")*('01_予約入力'!$B$5:$B$204=$A14)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14">
        <f>IF(OR($A14="",AA$4=""),0,SUMPRODUCT(('01_予約入力'!$G$5:$G$204&lt;&gt;"")*('01_予約入力'!$N$5:$N$204&lt;&gt;"キャンセル")*('01_予約入力'!$B$5:$B$204=$A14)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14">
        <f>IF(OR($A14="",AB$4=""),0,SUMPRODUCT(('01_予約入力'!$G$5:$G$204&lt;&gt;"")*('01_予約入力'!$N$5:$N$204&lt;&gt;"キャンセル")*('01_予約入力'!$B$5:$B$204=$A14)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14">
        <f>IF(OR($A14="",AC$4=""),0,SUMPRODUCT(('01_予約入力'!$G$5:$G$204&lt;&gt;"")*('01_予約入力'!$N$5:$N$204&lt;&gt;"キャンセル")*('01_予約入力'!$B$5:$B$204=$A14)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14">
        <f>IF(OR($A14="",AD$4=""),0,SUMPRODUCT(('01_予約入力'!$G$5:$G$204&lt;&gt;"")*('01_予約入力'!$N$5:$N$204&lt;&gt;"キャンセル")*('01_予約入力'!$B$5:$B$204=$A14)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14">
        <f>IF(OR($A14="",AE$4=""),0,SUMPRODUCT(('01_予約入力'!$G$5:$G$204&lt;&gt;"")*('01_予約入力'!$N$5:$N$204&lt;&gt;"キャンセル")*('01_予約入力'!$B$5:$B$204=$A14)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14">
        <f>IF(OR($A14="",AF$4=""),0,SUMPRODUCT(('01_予約入力'!$G$5:$G$204&lt;&gt;"")*('01_予約入力'!$N$5:$N$204&lt;&gt;"キャンセル")*('01_予約入力'!$B$5:$B$204=$A14)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15">
      <c r="A15" s="34">
        <f>IF(COUNTA('利用者マスタ'!$A$4:$A$60)&gt;=9,INDEX('利用者マスタ'!$A$4:$A$60,9),"")</f>
        <v/>
      </c>
      <c r="B15" s="35">
        <f>IF($AP15=0,"",IF(MOD($AP15,8)=7,IF($AP15&gt;=8,"◇","◆"),IF(MOD($AP15,8)=3,IF($AP15&gt;=8,"▷","▶"),IF(MOD($AP15,8)=5,IF($AP15&gt;=8,"◁","◀"),IF($AP15&gt;=8,"□","■")))))</f>
        <v/>
      </c>
      <c r="C15" s="35">
        <f>IF($AQ15=0,"",IF(MOD($AQ15,8)=7,IF($AQ15&gt;=8,"◇","◆"),IF(MOD($AQ15,8)=3,IF($AQ15&gt;=8,"▷","▶"),IF(MOD($AQ15,8)=5,IF($AQ15&gt;=8,"◁","◀"),IF($AQ15&gt;=8,"□","■")))))</f>
        <v/>
      </c>
      <c r="D15" s="35">
        <f>IF($AR15=0,"",IF(MOD($AR15,8)=7,IF($AR15&gt;=8,"◇","◆"),IF(MOD($AR15,8)=3,IF($AR15&gt;=8,"▷","▶"),IF(MOD($AR15,8)=5,IF($AR15&gt;=8,"◁","◀"),IF($AR15&gt;=8,"□","■")))))</f>
        <v/>
      </c>
      <c r="E15" s="35">
        <f>IF($AS15=0,"",IF(MOD($AS15,8)=7,IF($AS15&gt;=8,"◇","◆"),IF(MOD($AS15,8)=3,IF($AS15&gt;=8,"▷","▶"),IF(MOD($AS15,8)=5,IF($AS15&gt;=8,"◁","◀"),IF($AS15&gt;=8,"□","■")))))</f>
        <v/>
      </c>
      <c r="F15" s="35">
        <f>IF($AT15=0,"",IF(MOD($AT15,8)=7,IF($AT15&gt;=8,"◇","◆"),IF(MOD($AT15,8)=3,IF($AT15&gt;=8,"▷","▶"),IF(MOD($AT15,8)=5,IF($AT15&gt;=8,"◁","◀"),IF($AT15&gt;=8,"□","■")))))</f>
        <v/>
      </c>
      <c r="G15" s="35">
        <f>IF($AU15=0,"",IF(MOD($AU15,8)=7,IF($AU15&gt;=8,"◇","◆"),IF(MOD($AU15,8)=3,IF($AU15&gt;=8,"▷","▶"),IF(MOD($AU15,8)=5,IF($AU15&gt;=8,"◁","◀"),IF($AU15&gt;=8,"□","■")))))</f>
        <v/>
      </c>
      <c r="H15" s="35">
        <f>IF($AV15=0,"",IF(MOD($AV15,8)=7,IF($AV15&gt;=8,"◇","◆"),IF(MOD($AV15,8)=3,IF($AV15&gt;=8,"▷","▶"),IF(MOD($AV15,8)=5,IF($AV15&gt;=8,"◁","◀"),IF($AV15&gt;=8,"□","■")))))</f>
        <v/>
      </c>
      <c r="I15" s="35">
        <f>IF($AW15=0,"",IF(MOD($AW15,8)=7,IF($AW15&gt;=8,"◇","◆"),IF(MOD($AW15,8)=3,IF($AW15&gt;=8,"▷","▶"),IF(MOD($AW15,8)=5,IF($AW15&gt;=8,"◁","◀"),IF($AW15&gt;=8,"□","■")))))</f>
        <v/>
      </c>
      <c r="J15" s="35">
        <f>IF($AX15=0,"",IF(MOD($AX15,8)=7,IF($AX15&gt;=8,"◇","◆"),IF(MOD($AX15,8)=3,IF($AX15&gt;=8,"▷","▶"),IF(MOD($AX15,8)=5,IF($AX15&gt;=8,"◁","◀"),IF($AX15&gt;=8,"□","■")))))</f>
        <v/>
      </c>
      <c r="K15" s="35">
        <f>IF($AY15=0,"",IF(MOD($AY15,8)=7,IF($AY15&gt;=8,"◇","◆"),IF(MOD($AY15,8)=3,IF($AY15&gt;=8,"▷","▶"),IF(MOD($AY15,8)=5,IF($AY15&gt;=8,"◁","◀"),IF($AY15&gt;=8,"□","■")))))</f>
        <v/>
      </c>
      <c r="L15" s="35">
        <f>IF($AZ15=0,"",IF(MOD($AZ15,8)=7,IF($AZ15&gt;=8,"◇","◆"),IF(MOD($AZ15,8)=3,IF($AZ15&gt;=8,"▷","▶"),IF(MOD($AZ15,8)=5,IF($AZ15&gt;=8,"◁","◀"),IF($AZ15&gt;=8,"□","■")))))</f>
        <v/>
      </c>
      <c r="M15" s="35">
        <f>IF($BA15=0,"",IF(MOD($BA15,8)=7,IF($BA15&gt;=8,"◇","◆"),IF(MOD($BA15,8)=3,IF($BA15&gt;=8,"▷","▶"),IF(MOD($BA15,8)=5,IF($BA15&gt;=8,"◁","◀"),IF($BA15&gt;=8,"□","■")))))</f>
        <v/>
      </c>
      <c r="N15" s="35">
        <f>IF($BB15=0,"",IF(MOD($BB15,8)=7,IF($BB15&gt;=8,"◇","◆"),IF(MOD($BB15,8)=3,IF($BB15&gt;=8,"▷","▶"),IF(MOD($BB15,8)=5,IF($BB15&gt;=8,"◁","◀"),IF($BB15&gt;=8,"□","■")))))</f>
        <v/>
      </c>
      <c r="O15" s="35">
        <f>IF($BC15=0,"",IF(MOD($BC15,8)=7,IF($BC15&gt;=8,"◇","◆"),IF(MOD($BC15,8)=3,IF($BC15&gt;=8,"▷","▶"),IF(MOD($BC15,8)=5,IF($BC15&gt;=8,"◁","◀"),IF($BC15&gt;=8,"□","■")))))</f>
        <v/>
      </c>
      <c r="P15" s="35">
        <f>IF($BD15=0,"",IF(MOD($BD15,8)=7,IF($BD15&gt;=8,"◇","◆"),IF(MOD($BD15,8)=3,IF($BD15&gt;=8,"▷","▶"),IF(MOD($BD15,8)=5,IF($BD15&gt;=8,"◁","◀"),IF($BD15&gt;=8,"□","■")))))</f>
        <v/>
      </c>
      <c r="Q15" s="35">
        <f>IF($BE15=0,"",IF(MOD($BE15,8)=7,IF($BE15&gt;=8,"◇","◆"),IF(MOD($BE15,8)=3,IF($BE15&gt;=8,"▷","▶"),IF(MOD($BE15,8)=5,IF($BE15&gt;=8,"◁","◀"),IF($BE15&gt;=8,"□","■")))))</f>
        <v/>
      </c>
      <c r="R15" s="35">
        <f>IF($BF15=0,"",IF(MOD($BF15,8)=7,IF($BF15&gt;=8,"◇","◆"),IF(MOD($BF15,8)=3,IF($BF15&gt;=8,"▷","▶"),IF(MOD($BF15,8)=5,IF($BF15&gt;=8,"◁","◀"),IF($BF15&gt;=8,"□","■")))))</f>
        <v/>
      </c>
      <c r="S15" s="35">
        <f>IF($BG15=0,"",IF(MOD($BG15,8)=7,IF($BG15&gt;=8,"◇","◆"),IF(MOD($BG15,8)=3,IF($BG15&gt;=8,"▷","▶"),IF(MOD($BG15,8)=5,IF($BG15&gt;=8,"◁","◀"),IF($BG15&gt;=8,"□","■")))))</f>
        <v/>
      </c>
      <c r="T15" s="35">
        <f>IF($BH15=0,"",IF(MOD($BH15,8)=7,IF($BH15&gt;=8,"◇","◆"),IF(MOD($BH15,8)=3,IF($BH15&gt;=8,"▷","▶"),IF(MOD($BH15,8)=5,IF($BH15&gt;=8,"◁","◀"),IF($BH15&gt;=8,"□","■")))))</f>
        <v/>
      </c>
      <c r="U15" s="35">
        <f>IF($BI15=0,"",IF(MOD($BI15,8)=7,IF($BI15&gt;=8,"◇","◆"),IF(MOD($BI15,8)=3,IF($BI15&gt;=8,"▷","▶"),IF(MOD($BI15,8)=5,IF($BI15&gt;=8,"◁","◀"),IF($BI15&gt;=8,"□","■")))))</f>
        <v/>
      </c>
      <c r="V15" s="35">
        <f>IF($BJ15=0,"",IF(MOD($BJ15,8)=7,IF($BJ15&gt;=8,"◇","◆"),IF(MOD($BJ15,8)=3,IF($BJ15&gt;=8,"▷","▶"),IF(MOD($BJ15,8)=5,IF($BJ15&gt;=8,"◁","◀"),IF($BJ15&gt;=8,"□","■")))))</f>
        <v/>
      </c>
      <c r="W15" s="35">
        <f>IF($BK15=0,"",IF(MOD($BK15,8)=7,IF($BK15&gt;=8,"◇","◆"),IF(MOD($BK15,8)=3,IF($BK15&gt;=8,"▷","▶"),IF(MOD($BK15,8)=5,IF($BK15&gt;=8,"◁","◀"),IF($BK15&gt;=8,"□","■")))))</f>
        <v/>
      </c>
      <c r="X15" s="35">
        <f>IF($BL15=0,"",IF(MOD($BL15,8)=7,IF($BL15&gt;=8,"◇","◆"),IF(MOD($BL15,8)=3,IF($BL15&gt;=8,"▷","▶"),IF(MOD($BL15,8)=5,IF($BL15&gt;=8,"◁","◀"),IF($BL15&gt;=8,"□","■")))))</f>
        <v/>
      </c>
      <c r="Y15" s="35">
        <f>IF($BM15=0,"",IF(MOD($BM15,8)=7,IF($BM15&gt;=8,"◇","◆"),IF(MOD($BM15,8)=3,IF($BM15&gt;=8,"▷","▶"),IF(MOD($BM15,8)=5,IF($BM15&gt;=8,"◁","◀"),IF($BM15&gt;=8,"□","■")))))</f>
        <v/>
      </c>
      <c r="Z15" s="35">
        <f>IF($BN15=0,"",IF(MOD($BN15,8)=7,IF($BN15&gt;=8,"◇","◆"),IF(MOD($BN15,8)=3,IF($BN15&gt;=8,"▷","▶"),IF(MOD($BN15,8)=5,IF($BN15&gt;=8,"◁","◀"),IF($BN15&gt;=8,"□","■")))))</f>
        <v/>
      </c>
      <c r="AA15" s="35">
        <f>IF($BO15=0,"",IF(MOD($BO15,8)=7,IF($BO15&gt;=8,"◇","◆"),IF(MOD($BO15,8)=3,IF($BO15&gt;=8,"▷","▶"),IF(MOD($BO15,8)=5,IF($BO15&gt;=8,"◁","◀"),IF($BO15&gt;=8,"□","■")))))</f>
        <v/>
      </c>
      <c r="AB15" s="35">
        <f>IF($BP15=0,"",IF(MOD($BP15,8)=7,IF($BP15&gt;=8,"◇","◆"),IF(MOD($BP15,8)=3,IF($BP15&gt;=8,"▷","▶"),IF(MOD($BP15,8)=5,IF($BP15&gt;=8,"◁","◀"),IF($BP15&gt;=8,"□","■")))))</f>
        <v/>
      </c>
      <c r="AC15" s="35">
        <f>IF($BQ15=0,"",IF(MOD($BQ15,8)=7,IF($BQ15&gt;=8,"◇","◆"),IF(MOD($BQ15,8)=3,IF($BQ15&gt;=8,"▷","▶"),IF(MOD($BQ15,8)=5,IF($BQ15&gt;=8,"◁","◀"),IF($BQ15&gt;=8,"□","■")))))</f>
        <v/>
      </c>
      <c r="AD15" s="35">
        <f>IF($BR15=0,"",IF(MOD($BR15,8)=7,IF($BR15&gt;=8,"◇","◆"),IF(MOD($BR15,8)=3,IF($BR15&gt;=8,"▷","▶"),IF(MOD($BR15,8)=5,IF($BR15&gt;=8,"◁","◀"),IF($BR15&gt;=8,"□","■")))))</f>
        <v/>
      </c>
      <c r="AE15" s="35">
        <f>IF($BS15=0,"",IF(MOD($BS15,8)=7,IF($BS15&gt;=8,"◇","◆"),IF(MOD($BS15,8)=3,IF($BS15&gt;=8,"▷","▶"),IF(MOD($BS15,8)=5,IF($BS15&gt;=8,"◁","◀"),IF($BS15&gt;=8,"□","■")))))</f>
        <v/>
      </c>
      <c r="AF15" s="35">
        <f>IF($BT15=0,"",IF(MOD($BT15,8)=7,IF($BT15&gt;=8,"◇","◆"),IF(MOD($BT15,8)=3,IF($BT15&gt;=8,"▷","▶"),IF(MOD($BT15,8)=5,IF($BT15&gt;=8,"◁","◀"),IF($BT15&gt;=8,"□","■")))))</f>
        <v/>
      </c>
      <c r="AG15" s="36">
        <f>IF($A15="","",COUNTIF($AP15:$BT15,"&gt;0"))</f>
        <v/>
      </c>
      <c r="AP15">
        <f>IF(OR($A15="",B$4=""),0,SUMPRODUCT(('01_予約入力'!$G$5:$G$204&lt;&gt;"")*('01_予約入力'!$N$5:$N$204&lt;&gt;"キャンセル")*('01_予約入力'!$B$5:$B$204=$A15)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15">
        <f>IF(OR($A15="",C$4=""),0,SUMPRODUCT(('01_予約入力'!$G$5:$G$204&lt;&gt;"")*('01_予約入力'!$N$5:$N$204&lt;&gt;"キャンセル")*('01_予約入力'!$B$5:$B$204=$A15)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15">
        <f>IF(OR($A15="",D$4=""),0,SUMPRODUCT(('01_予約入力'!$G$5:$G$204&lt;&gt;"")*('01_予約入力'!$N$5:$N$204&lt;&gt;"キャンセル")*('01_予約入力'!$B$5:$B$204=$A15)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15">
        <f>IF(OR($A15="",E$4=""),0,SUMPRODUCT(('01_予約入力'!$G$5:$G$204&lt;&gt;"")*('01_予約入力'!$N$5:$N$204&lt;&gt;"キャンセル")*('01_予約入力'!$B$5:$B$204=$A15)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15">
        <f>IF(OR($A15="",F$4=""),0,SUMPRODUCT(('01_予約入力'!$G$5:$G$204&lt;&gt;"")*('01_予約入力'!$N$5:$N$204&lt;&gt;"キャンセル")*('01_予約入力'!$B$5:$B$204=$A15)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15">
        <f>IF(OR($A15="",G$4=""),0,SUMPRODUCT(('01_予約入力'!$G$5:$G$204&lt;&gt;"")*('01_予約入力'!$N$5:$N$204&lt;&gt;"キャンセル")*('01_予約入力'!$B$5:$B$204=$A15)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15">
        <f>IF(OR($A15="",H$4=""),0,SUMPRODUCT(('01_予約入力'!$G$5:$G$204&lt;&gt;"")*('01_予約入力'!$N$5:$N$204&lt;&gt;"キャンセル")*('01_予約入力'!$B$5:$B$204=$A15)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15">
        <f>IF(OR($A15="",I$4=""),0,SUMPRODUCT(('01_予約入力'!$G$5:$G$204&lt;&gt;"")*('01_予約入力'!$N$5:$N$204&lt;&gt;"キャンセル")*('01_予約入力'!$B$5:$B$204=$A15)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15">
        <f>IF(OR($A15="",J$4=""),0,SUMPRODUCT(('01_予約入力'!$G$5:$G$204&lt;&gt;"")*('01_予約入力'!$N$5:$N$204&lt;&gt;"キャンセル")*('01_予約入力'!$B$5:$B$204=$A15)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15">
        <f>IF(OR($A15="",K$4=""),0,SUMPRODUCT(('01_予約入力'!$G$5:$G$204&lt;&gt;"")*('01_予約入力'!$N$5:$N$204&lt;&gt;"キャンセル")*('01_予約入力'!$B$5:$B$204=$A15)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15">
        <f>IF(OR($A15="",L$4=""),0,SUMPRODUCT(('01_予約入力'!$G$5:$G$204&lt;&gt;"")*('01_予約入力'!$N$5:$N$204&lt;&gt;"キャンセル")*('01_予約入力'!$B$5:$B$204=$A15)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15">
        <f>IF(OR($A15="",M$4=""),0,SUMPRODUCT(('01_予約入力'!$G$5:$G$204&lt;&gt;"")*('01_予約入力'!$N$5:$N$204&lt;&gt;"キャンセル")*('01_予約入力'!$B$5:$B$204=$A15)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15">
        <f>IF(OR($A15="",N$4=""),0,SUMPRODUCT(('01_予約入力'!$G$5:$G$204&lt;&gt;"")*('01_予約入力'!$N$5:$N$204&lt;&gt;"キャンセル")*('01_予約入力'!$B$5:$B$204=$A15)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15">
        <f>IF(OR($A15="",O$4=""),0,SUMPRODUCT(('01_予約入力'!$G$5:$G$204&lt;&gt;"")*('01_予約入力'!$N$5:$N$204&lt;&gt;"キャンセル")*('01_予約入力'!$B$5:$B$204=$A15)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15">
        <f>IF(OR($A15="",P$4=""),0,SUMPRODUCT(('01_予約入力'!$G$5:$G$204&lt;&gt;"")*('01_予約入力'!$N$5:$N$204&lt;&gt;"キャンセル")*('01_予約入力'!$B$5:$B$204=$A15)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15">
        <f>IF(OR($A15="",Q$4=""),0,SUMPRODUCT(('01_予約入力'!$G$5:$G$204&lt;&gt;"")*('01_予約入力'!$N$5:$N$204&lt;&gt;"キャンセル")*('01_予約入力'!$B$5:$B$204=$A15)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15">
        <f>IF(OR($A15="",R$4=""),0,SUMPRODUCT(('01_予約入力'!$G$5:$G$204&lt;&gt;"")*('01_予約入力'!$N$5:$N$204&lt;&gt;"キャンセル")*('01_予約入力'!$B$5:$B$204=$A15)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15">
        <f>IF(OR($A15="",S$4=""),0,SUMPRODUCT(('01_予約入力'!$G$5:$G$204&lt;&gt;"")*('01_予約入力'!$N$5:$N$204&lt;&gt;"キャンセル")*('01_予約入力'!$B$5:$B$204=$A15)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15">
        <f>IF(OR($A15="",T$4=""),0,SUMPRODUCT(('01_予約入力'!$G$5:$G$204&lt;&gt;"")*('01_予約入力'!$N$5:$N$204&lt;&gt;"キャンセル")*('01_予約入力'!$B$5:$B$204=$A15)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15">
        <f>IF(OR($A15="",U$4=""),0,SUMPRODUCT(('01_予約入力'!$G$5:$G$204&lt;&gt;"")*('01_予約入力'!$N$5:$N$204&lt;&gt;"キャンセル")*('01_予約入力'!$B$5:$B$204=$A15)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15">
        <f>IF(OR($A15="",V$4=""),0,SUMPRODUCT(('01_予約入力'!$G$5:$G$204&lt;&gt;"")*('01_予約入力'!$N$5:$N$204&lt;&gt;"キャンセル")*('01_予約入力'!$B$5:$B$204=$A15)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15">
        <f>IF(OR($A15="",W$4=""),0,SUMPRODUCT(('01_予約入力'!$G$5:$G$204&lt;&gt;"")*('01_予約入力'!$N$5:$N$204&lt;&gt;"キャンセル")*('01_予約入力'!$B$5:$B$204=$A15)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15">
        <f>IF(OR($A15="",X$4=""),0,SUMPRODUCT(('01_予約入力'!$G$5:$G$204&lt;&gt;"")*('01_予約入力'!$N$5:$N$204&lt;&gt;"キャンセル")*('01_予約入力'!$B$5:$B$204=$A15)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15">
        <f>IF(OR($A15="",Y$4=""),0,SUMPRODUCT(('01_予約入力'!$G$5:$G$204&lt;&gt;"")*('01_予約入力'!$N$5:$N$204&lt;&gt;"キャンセル")*('01_予約入力'!$B$5:$B$204=$A15)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15">
        <f>IF(OR($A15="",Z$4=""),0,SUMPRODUCT(('01_予約入力'!$G$5:$G$204&lt;&gt;"")*('01_予約入力'!$N$5:$N$204&lt;&gt;"キャンセル")*('01_予約入力'!$B$5:$B$204=$A15)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15">
        <f>IF(OR($A15="",AA$4=""),0,SUMPRODUCT(('01_予約入力'!$G$5:$G$204&lt;&gt;"")*('01_予約入力'!$N$5:$N$204&lt;&gt;"キャンセル")*('01_予約入力'!$B$5:$B$204=$A15)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15">
        <f>IF(OR($A15="",AB$4=""),0,SUMPRODUCT(('01_予約入力'!$G$5:$G$204&lt;&gt;"")*('01_予約入力'!$N$5:$N$204&lt;&gt;"キャンセル")*('01_予約入力'!$B$5:$B$204=$A15)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15">
        <f>IF(OR($A15="",AC$4=""),0,SUMPRODUCT(('01_予約入力'!$G$5:$G$204&lt;&gt;"")*('01_予約入力'!$N$5:$N$204&lt;&gt;"キャンセル")*('01_予約入力'!$B$5:$B$204=$A15)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15">
        <f>IF(OR($A15="",AD$4=""),0,SUMPRODUCT(('01_予約入力'!$G$5:$G$204&lt;&gt;"")*('01_予約入力'!$N$5:$N$204&lt;&gt;"キャンセル")*('01_予約入力'!$B$5:$B$204=$A15)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15">
        <f>IF(OR($A15="",AE$4=""),0,SUMPRODUCT(('01_予約入力'!$G$5:$G$204&lt;&gt;"")*('01_予約入力'!$N$5:$N$204&lt;&gt;"キャンセル")*('01_予約入力'!$B$5:$B$204=$A15)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15">
        <f>IF(OR($A15="",AF$4=""),0,SUMPRODUCT(('01_予約入力'!$G$5:$G$204&lt;&gt;"")*('01_予約入力'!$N$5:$N$204&lt;&gt;"キャンセル")*('01_予約入力'!$B$5:$B$204=$A15)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16">
      <c r="A16" s="34">
        <f>IF(COUNTA('利用者マスタ'!$A$4:$A$60)&gt;=10,INDEX('利用者マスタ'!$A$4:$A$60,10),"")</f>
        <v/>
      </c>
      <c r="B16" s="35">
        <f>IF($AP16=0,"",IF(MOD($AP16,8)=7,IF($AP16&gt;=8,"◇","◆"),IF(MOD($AP16,8)=3,IF($AP16&gt;=8,"▷","▶"),IF(MOD($AP16,8)=5,IF($AP16&gt;=8,"◁","◀"),IF($AP16&gt;=8,"□","■")))))</f>
        <v/>
      </c>
      <c r="C16" s="35">
        <f>IF($AQ16=0,"",IF(MOD($AQ16,8)=7,IF($AQ16&gt;=8,"◇","◆"),IF(MOD($AQ16,8)=3,IF($AQ16&gt;=8,"▷","▶"),IF(MOD($AQ16,8)=5,IF($AQ16&gt;=8,"◁","◀"),IF($AQ16&gt;=8,"□","■")))))</f>
        <v/>
      </c>
      <c r="D16" s="35">
        <f>IF($AR16=0,"",IF(MOD($AR16,8)=7,IF($AR16&gt;=8,"◇","◆"),IF(MOD($AR16,8)=3,IF($AR16&gt;=8,"▷","▶"),IF(MOD($AR16,8)=5,IF($AR16&gt;=8,"◁","◀"),IF($AR16&gt;=8,"□","■")))))</f>
        <v/>
      </c>
      <c r="E16" s="35">
        <f>IF($AS16=0,"",IF(MOD($AS16,8)=7,IF($AS16&gt;=8,"◇","◆"),IF(MOD($AS16,8)=3,IF($AS16&gt;=8,"▷","▶"),IF(MOD($AS16,8)=5,IF($AS16&gt;=8,"◁","◀"),IF($AS16&gt;=8,"□","■")))))</f>
        <v/>
      </c>
      <c r="F16" s="35">
        <f>IF($AT16=0,"",IF(MOD($AT16,8)=7,IF($AT16&gt;=8,"◇","◆"),IF(MOD($AT16,8)=3,IF($AT16&gt;=8,"▷","▶"),IF(MOD($AT16,8)=5,IF($AT16&gt;=8,"◁","◀"),IF($AT16&gt;=8,"□","■")))))</f>
        <v/>
      </c>
      <c r="G16" s="35">
        <f>IF($AU16=0,"",IF(MOD($AU16,8)=7,IF($AU16&gt;=8,"◇","◆"),IF(MOD($AU16,8)=3,IF($AU16&gt;=8,"▷","▶"),IF(MOD($AU16,8)=5,IF($AU16&gt;=8,"◁","◀"),IF($AU16&gt;=8,"□","■")))))</f>
        <v/>
      </c>
      <c r="H16" s="35">
        <f>IF($AV16=0,"",IF(MOD($AV16,8)=7,IF($AV16&gt;=8,"◇","◆"),IF(MOD($AV16,8)=3,IF($AV16&gt;=8,"▷","▶"),IF(MOD($AV16,8)=5,IF($AV16&gt;=8,"◁","◀"),IF($AV16&gt;=8,"□","■")))))</f>
        <v/>
      </c>
      <c r="I16" s="35">
        <f>IF($AW16=0,"",IF(MOD($AW16,8)=7,IF($AW16&gt;=8,"◇","◆"),IF(MOD($AW16,8)=3,IF($AW16&gt;=8,"▷","▶"),IF(MOD($AW16,8)=5,IF($AW16&gt;=8,"◁","◀"),IF($AW16&gt;=8,"□","■")))))</f>
        <v/>
      </c>
      <c r="J16" s="35">
        <f>IF($AX16=0,"",IF(MOD($AX16,8)=7,IF($AX16&gt;=8,"◇","◆"),IF(MOD($AX16,8)=3,IF($AX16&gt;=8,"▷","▶"),IF(MOD($AX16,8)=5,IF($AX16&gt;=8,"◁","◀"),IF($AX16&gt;=8,"□","■")))))</f>
        <v/>
      </c>
      <c r="K16" s="35">
        <f>IF($AY16=0,"",IF(MOD($AY16,8)=7,IF($AY16&gt;=8,"◇","◆"),IF(MOD($AY16,8)=3,IF($AY16&gt;=8,"▷","▶"),IF(MOD($AY16,8)=5,IF($AY16&gt;=8,"◁","◀"),IF($AY16&gt;=8,"□","■")))))</f>
        <v/>
      </c>
      <c r="L16" s="35">
        <f>IF($AZ16=0,"",IF(MOD($AZ16,8)=7,IF($AZ16&gt;=8,"◇","◆"),IF(MOD($AZ16,8)=3,IF($AZ16&gt;=8,"▷","▶"),IF(MOD($AZ16,8)=5,IF($AZ16&gt;=8,"◁","◀"),IF($AZ16&gt;=8,"□","■")))))</f>
        <v/>
      </c>
      <c r="M16" s="35">
        <f>IF($BA16=0,"",IF(MOD($BA16,8)=7,IF($BA16&gt;=8,"◇","◆"),IF(MOD($BA16,8)=3,IF($BA16&gt;=8,"▷","▶"),IF(MOD($BA16,8)=5,IF($BA16&gt;=8,"◁","◀"),IF($BA16&gt;=8,"□","■")))))</f>
        <v/>
      </c>
      <c r="N16" s="35">
        <f>IF($BB16=0,"",IF(MOD($BB16,8)=7,IF($BB16&gt;=8,"◇","◆"),IF(MOD($BB16,8)=3,IF($BB16&gt;=8,"▷","▶"),IF(MOD($BB16,8)=5,IF($BB16&gt;=8,"◁","◀"),IF($BB16&gt;=8,"□","■")))))</f>
        <v/>
      </c>
      <c r="O16" s="35">
        <f>IF($BC16=0,"",IF(MOD($BC16,8)=7,IF($BC16&gt;=8,"◇","◆"),IF(MOD($BC16,8)=3,IF($BC16&gt;=8,"▷","▶"),IF(MOD($BC16,8)=5,IF($BC16&gt;=8,"◁","◀"),IF($BC16&gt;=8,"□","■")))))</f>
        <v/>
      </c>
      <c r="P16" s="35">
        <f>IF($BD16=0,"",IF(MOD($BD16,8)=7,IF($BD16&gt;=8,"◇","◆"),IF(MOD($BD16,8)=3,IF($BD16&gt;=8,"▷","▶"),IF(MOD($BD16,8)=5,IF($BD16&gt;=8,"◁","◀"),IF($BD16&gt;=8,"□","■")))))</f>
        <v/>
      </c>
      <c r="Q16" s="35">
        <f>IF($BE16=0,"",IF(MOD($BE16,8)=7,IF($BE16&gt;=8,"◇","◆"),IF(MOD($BE16,8)=3,IF($BE16&gt;=8,"▷","▶"),IF(MOD($BE16,8)=5,IF($BE16&gt;=8,"◁","◀"),IF($BE16&gt;=8,"□","■")))))</f>
        <v/>
      </c>
      <c r="R16" s="35">
        <f>IF($BF16=0,"",IF(MOD($BF16,8)=7,IF($BF16&gt;=8,"◇","◆"),IF(MOD($BF16,8)=3,IF($BF16&gt;=8,"▷","▶"),IF(MOD($BF16,8)=5,IF($BF16&gt;=8,"◁","◀"),IF($BF16&gt;=8,"□","■")))))</f>
        <v/>
      </c>
      <c r="S16" s="35">
        <f>IF($BG16=0,"",IF(MOD($BG16,8)=7,IF($BG16&gt;=8,"◇","◆"),IF(MOD($BG16,8)=3,IF($BG16&gt;=8,"▷","▶"),IF(MOD($BG16,8)=5,IF($BG16&gt;=8,"◁","◀"),IF($BG16&gt;=8,"□","■")))))</f>
        <v/>
      </c>
      <c r="T16" s="35">
        <f>IF($BH16=0,"",IF(MOD($BH16,8)=7,IF($BH16&gt;=8,"◇","◆"),IF(MOD($BH16,8)=3,IF($BH16&gt;=8,"▷","▶"),IF(MOD($BH16,8)=5,IF($BH16&gt;=8,"◁","◀"),IF($BH16&gt;=8,"□","■")))))</f>
        <v/>
      </c>
      <c r="U16" s="35">
        <f>IF($BI16=0,"",IF(MOD($BI16,8)=7,IF($BI16&gt;=8,"◇","◆"),IF(MOD($BI16,8)=3,IF($BI16&gt;=8,"▷","▶"),IF(MOD($BI16,8)=5,IF($BI16&gt;=8,"◁","◀"),IF($BI16&gt;=8,"□","■")))))</f>
        <v/>
      </c>
      <c r="V16" s="35">
        <f>IF($BJ16=0,"",IF(MOD($BJ16,8)=7,IF($BJ16&gt;=8,"◇","◆"),IF(MOD($BJ16,8)=3,IF($BJ16&gt;=8,"▷","▶"),IF(MOD($BJ16,8)=5,IF($BJ16&gt;=8,"◁","◀"),IF($BJ16&gt;=8,"□","■")))))</f>
        <v/>
      </c>
      <c r="W16" s="35">
        <f>IF($BK16=0,"",IF(MOD($BK16,8)=7,IF($BK16&gt;=8,"◇","◆"),IF(MOD($BK16,8)=3,IF($BK16&gt;=8,"▷","▶"),IF(MOD($BK16,8)=5,IF($BK16&gt;=8,"◁","◀"),IF($BK16&gt;=8,"□","■")))))</f>
        <v/>
      </c>
      <c r="X16" s="35">
        <f>IF($BL16=0,"",IF(MOD($BL16,8)=7,IF($BL16&gt;=8,"◇","◆"),IF(MOD($BL16,8)=3,IF($BL16&gt;=8,"▷","▶"),IF(MOD($BL16,8)=5,IF($BL16&gt;=8,"◁","◀"),IF($BL16&gt;=8,"□","■")))))</f>
        <v/>
      </c>
      <c r="Y16" s="35">
        <f>IF($BM16=0,"",IF(MOD($BM16,8)=7,IF($BM16&gt;=8,"◇","◆"),IF(MOD($BM16,8)=3,IF($BM16&gt;=8,"▷","▶"),IF(MOD($BM16,8)=5,IF($BM16&gt;=8,"◁","◀"),IF($BM16&gt;=8,"□","■")))))</f>
        <v/>
      </c>
      <c r="Z16" s="35">
        <f>IF($BN16=0,"",IF(MOD($BN16,8)=7,IF($BN16&gt;=8,"◇","◆"),IF(MOD($BN16,8)=3,IF($BN16&gt;=8,"▷","▶"),IF(MOD($BN16,8)=5,IF($BN16&gt;=8,"◁","◀"),IF($BN16&gt;=8,"□","■")))))</f>
        <v/>
      </c>
      <c r="AA16" s="35">
        <f>IF($BO16=0,"",IF(MOD($BO16,8)=7,IF($BO16&gt;=8,"◇","◆"),IF(MOD($BO16,8)=3,IF($BO16&gt;=8,"▷","▶"),IF(MOD($BO16,8)=5,IF($BO16&gt;=8,"◁","◀"),IF($BO16&gt;=8,"□","■")))))</f>
        <v/>
      </c>
      <c r="AB16" s="35">
        <f>IF($BP16=0,"",IF(MOD($BP16,8)=7,IF($BP16&gt;=8,"◇","◆"),IF(MOD($BP16,8)=3,IF($BP16&gt;=8,"▷","▶"),IF(MOD($BP16,8)=5,IF($BP16&gt;=8,"◁","◀"),IF($BP16&gt;=8,"□","■")))))</f>
        <v/>
      </c>
      <c r="AC16" s="35">
        <f>IF($BQ16=0,"",IF(MOD($BQ16,8)=7,IF($BQ16&gt;=8,"◇","◆"),IF(MOD($BQ16,8)=3,IF($BQ16&gt;=8,"▷","▶"),IF(MOD($BQ16,8)=5,IF($BQ16&gt;=8,"◁","◀"),IF($BQ16&gt;=8,"□","■")))))</f>
        <v/>
      </c>
      <c r="AD16" s="35">
        <f>IF($BR16=0,"",IF(MOD($BR16,8)=7,IF($BR16&gt;=8,"◇","◆"),IF(MOD($BR16,8)=3,IF($BR16&gt;=8,"▷","▶"),IF(MOD($BR16,8)=5,IF($BR16&gt;=8,"◁","◀"),IF($BR16&gt;=8,"□","■")))))</f>
        <v/>
      </c>
      <c r="AE16" s="35">
        <f>IF($BS16=0,"",IF(MOD($BS16,8)=7,IF($BS16&gt;=8,"◇","◆"),IF(MOD($BS16,8)=3,IF($BS16&gt;=8,"▷","▶"),IF(MOD($BS16,8)=5,IF($BS16&gt;=8,"◁","◀"),IF($BS16&gt;=8,"□","■")))))</f>
        <v/>
      </c>
      <c r="AF16" s="35">
        <f>IF($BT16=0,"",IF(MOD($BT16,8)=7,IF($BT16&gt;=8,"◇","◆"),IF(MOD($BT16,8)=3,IF($BT16&gt;=8,"▷","▶"),IF(MOD($BT16,8)=5,IF($BT16&gt;=8,"◁","◀"),IF($BT16&gt;=8,"□","■")))))</f>
        <v/>
      </c>
      <c r="AG16" s="36">
        <f>IF($A16="","",COUNTIF($AP16:$BT16,"&gt;0"))</f>
        <v/>
      </c>
      <c r="AP16">
        <f>IF(OR($A16="",B$4=""),0,SUMPRODUCT(('01_予約入力'!$G$5:$G$204&lt;&gt;"")*('01_予約入力'!$N$5:$N$204&lt;&gt;"キャンセル")*('01_予約入力'!$B$5:$B$204=$A16)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16">
        <f>IF(OR($A16="",C$4=""),0,SUMPRODUCT(('01_予約入力'!$G$5:$G$204&lt;&gt;"")*('01_予約入力'!$N$5:$N$204&lt;&gt;"キャンセル")*('01_予約入力'!$B$5:$B$204=$A16)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16">
        <f>IF(OR($A16="",D$4=""),0,SUMPRODUCT(('01_予約入力'!$G$5:$G$204&lt;&gt;"")*('01_予約入力'!$N$5:$N$204&lt;&gt;"キャンセル")*('01_予約入力'!$B$5:$B$204=$A16)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16">
        <f>IF(OR($A16="",E$4=""),0,SUMPRODUCT(('01_予約入力'!$G$5:$G$204&lt;&gt;"")*('01_予約入力'!$N$5:$N$204&lt;&gt;"キャンセル")*('01_予約入力'!$B$5:$B$204=$A16)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16">
        <f>IF(OR($A16="",F$4=""),0,SUMPRODUCT(('01_予約入力'!$G$5:$G$204&lt;&gt;"")*('01_予約入力'!$N$5:$N$204&lt;&gt;"キャンセル")*('01_予約入力'!$B$5:$B$204=$A16)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16">
        <f>IF(OR($A16="",G$4=""),0,SUMPRODUCT(('01_予約入力'!$G$5:$G$204&lt;&gt;"")*('01_予約入力'!$N$5:$N$204&lt;&gt;"キャンセル")*('01_予約入力'!$B$5:$B$204=$A16)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16">
        <f>IF(OR($A16="",H$4=""),0,SUMPRODUCT(('01_予約入力'!$G$5:$G$204&lt;&gt;"")*('01_予約入力'!$N$5:$N$204&lt;&gt;"キャンセル")*('01_予約入力'!$B$5:$B$204=$A16)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16">
        <f>IF(OR($A16="",I$4=""),0,SUMPRODUCT(('01_予約入力'!$G$5:$G$204&lt;&gt;"")*('01_予約入力'!$N$5:$N$204&lt;&gt;"キャンセル")*('01_予約入力'!$B$5:$B$204=$A16)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16">
        <f>IF(OR($A16="",J$4=""),0,SUMPRODUCT(('01_予約入力'!$G$5:$G$204&lt;&gt;"")*('01_予約入力'!$N$5:$N$204&lt;&gt;"キャンセル")*('01_予約入力'!$B$5:$B$204=$A16)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16">
        <f>IF(OR($A16="",K$4=""),0,SUMPRODUCT(('01_予約入力'!$G$5:$G$204&lt;&gt;"")*('01_予約入力'!$N$5:$N$204&lt;&gt;"キャンセル")*('01_予約入力'!$B$5:$B$204=$A16)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16">
        <f>IF(OR($A16="",L$4=""),0,SUMPRODUCT(('01_予約入力'!$G$5:$G$204&lt;&gt;"")*('01_予約入力'!$N$5:$N$204&lt;&gt;"キャンセル")*('01_予約入力'!$B$5:$B$204=$A16)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16">
        <f>IF(OR($A16="",M$4=""),0,SUMPRODUCT(('01_予約入力'!$G$5:$G$204&lt;&gt;"")*('01_予約入力'!$N$5:$N$204&lt;&gt;"キャンセル")*('01_予約入力'!$B$5:$B$204=$A16)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16">
        <f>IF(OR($A16="",N$4=""),0,SUMPRODUCT(('01_予約入力'!$G$5:$G$204&lt;&gt;"")*('01_予約入力'!$N$5:$N$204&lt;&gt;"キャンセル")*('01_予約入力'!$B$5:$B$204=$A16)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16">
        <f>IF(OR($A16="",O$4=""),0,SUMPRODUCT(('01_予約入力'!$G$5:$G$204&lt;&gt;"")*('01_予約入力'!$N$5:$N$204&lt;&gt;"キャンセル")*('01_予約入力'!$B$5:$B$204=$A16)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16">
        <f>IF(OR($A16="",P$4=""),0,SUMPRODUCT(('01_予約入力'!$G$5:$G$204&lt;&gt;"")*('01_予約入力'!$N$5:$N$204&lt;&gt;"キャンセル")*('01_予約入力'!$B$5:$B$204=$A16)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16">
        <f>IF(OR($A16="",Q$4=""),0,SUMPRODUCT(('01_予約入力'!$G$5:$G$204&lt;&gt;"")*('01_予約入力'!$N$5:$N$204&lt;&gt;"キャンセル")*('01_予約入力'!$B$5:$B$204=$A16)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16">
        <f>IF(OR($A16="",R$4=""),0,SUMPRODUCT(('01_予約入力'!$G$5:$G$204&lt;&gt;"")*('01_予約入力'!$N$5:$N$204&lt;&gt;"キャンセル")*('01_予約入力'!$B$5:$B$204=$A16)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16">
        <f>IF(OR($A16="",S$4=""),0,SUMPRODUCT(('01_予約入力'!$G$5:$G$204&lt;&gt;"")*('01_予約入力'!$N$5:$N$204&lt;&gt;"キャンセル")*('01_予約入力'!$B$5:$B$204=$A16)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16">
        <f>IF(OR($A16="",T$4=""),0,SUMPRODUCT(('01_予約入力'!$G$5:$G$204&lt;&gt;"")*('01_予約入力'!$N$5:$N$204&lt;&gt;"キャンセル")*('01_予約入力'!$B$5:$B$204=$A16)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16">
        <f>IF(OR($A16="",U$4=""),0,SUMPRODUCT(('01_予約入力'!$G$5:$G$204&lt;&gt;"")*('01_予約入力'!$N$5:$N$204&lt;&gt;"キャンセル")*('01_予約入力'!$B$5:$B$204=$A16)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16">
        <f>IF(OR($A16="",V$4=""),0,SUMPRODUCT(('01_予約入力'!$G$5:$G$204&lt;&gt;"")*('01_予約入力'!$N$5:$N$204&lt;&gt;"キャンセル")*('01_予約入力'!$B$5:$B$204=$A16)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16">
        <f>IF(OR($A16="",W$4=""),0,SUMPRODUCT(('01_予約入力'!$G$5:$G$204&lt;&gt;"")*('01_予約入力'!$N$5:$N$204&lt;&gt;"キャンセル")*('01_予約入力'!$B$5:$B$204=$A16)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16">
        <f>IF(OR($A16="",X$4=""),0,SUMPRODUCT(('01_予約入力'!$G$5:$G$204&lt;&gt;"")*('01_予約入力'!$N$5:$N$204&lt;&gt;"キャンセル")*('01_予約入力'!$B$5:$B$204=$A16)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16">
        <f>IF(OR($A16="",Y$4=""),0,SUMPRODUCT(('01_予約入力'!$G$5:$G$204&lt;&gt;"")*('01_予約入力'!$N$5:$N$204&lt;&gt;"キャンセル")*('01_予約入力'!$B$5:$B$204=$A16)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16">
        <f>IF(OR($A16="",Z$4=""),0,SUMPRODUCT(('01_予約入力'!$G$5:$G$204&lt;&gt;"")*('01_予約入力'!$N$5:$N$204&lt;&gt;"キャンセル")*('01_予約入力'!$B$5:$B$204=$A16)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16">
        <f>IF(OR($A16="",AA$4=""),0,SUMPRODUCT(('01_予約入力'!$G$5:$G$204&lt;&gt;"")*('01_予約入力'!$N$5:$N$204&lt;&gt;"キャンセル")*('01_予約入力'!$B$5:$B$204=$A16)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16">
        <f>IF(OR($A16="",AB$4=""),0,SUMPRODUCT(('01_予約入力'!$G$5:$G$204&lt;&gt;"")*('01_予約入力'!$N$5:$N$204&lt;&gt;"キャンセル")*('01_予約入力'!$B$5:$B$204=$A16)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16">
        <f>IF(OR($A16="",AC$4=""),0,SUMPRODUCT(('01_予約入力'!$G$5:$G$204&lt;&gt;"")*('01_予約入力'!$N$5:$N$204&lt;&gt;"キャンセル")*('01_予約入力'!$B$5:$B$204=$A16)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16">
        <f>IF(OR($A16="",AD$4=""),0,SUMPRODUCT(('01_予約入力'!$G$5:$G$204&lt;&gt;"")*('01_予約入力'!$N$5:$N$204&lt;&gt;"キャンセル")*('01_予約入力'!$B$5:$B$204=$A16)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16">
        <f>IF(OR($A16="",AE$4=""),0,SUMPRODUCT(('01_予約入力'!$G$5:$G$204&lt;&gt;"")*('01_予約入力'!$N$5:$N$204&lt;&gt;"キャンセル")*('01_予約入力'!$B$5:$B$204=$A16)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16">
        <f>IF(OR($A16="",AF$4=""),0,SUMPRODUCT(('01_予約入力'!$G$5:$G$204&lt;&gt;"")*('01_予約入力'!$N$5:$N$204&lt;&gt;"キャンセル")*('01_予約入力'!$B$5:$B$204=$A16)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17">
      <c r="A17" s="34">
        <f>IF(COUNTA('利用者マスタ'!$A$4:$A$60)&gt;=11,INDEX('利用者マスタ'!$A$4:$A$60,11),"")</f>
        <v/>
      </c>
      <c r="B17" s="35">
        <f>IF($AP17=0,"",IF(MOD($AP17,8)=7,IF($AP17&gt;=8,"◇","◆"),IF(MOD($AP17,8)=3,IF($AP17&gt;=8,"▷","▶"),IF(MOD($AP17,8)=5,IF($AP17&gt;=8,"◁","◀"),IF($AP17&gt;=8,"□","■")))))</f>
        <v/>
      </c>
      <c r="C17" s="35">
        <f>IF($AQ17=0,"",IF(MOD($AQ17,8)=7,IF($AQ17&gt;=8,"◇","◆"),IF(MOD($AQ17,8)=3,IF($AQ17&gt;=8,"▷","▶"),IF(MOD($AQ17,8)=5,IF($AQ17&gt;=8,"◁","◀"),IF($AQ17&gt;=8,"□","■")))))</f>
        <v/>
      </c>
      <c r="D17" s="35">
        <f>IF($AR17=0,"",IF(MOD($AR17,8)=7,IF($AR17&gt;=8,"◇","◆"),IF(MOD($AR17,8)=3,IF($AR17&gt;=8,"▷","▶"),IF(MOD($AR17,8)=5,IF($AR17&gt;=8,"◁","◀"),IF($AR17&gt;=8,"□","■")))))</f>
        <v/>
      </c>
      <c r="E17" s="35">
        <f>IF($AS17=0,"",IF(MOD($AS17,8)=7,IF($AS17&gt;=8,"◇","◆"),IF(MOD($AS17,8)=3,IF($AS17&gt;=8,"▷","▶"),IF(MOD($AS17,8)=5,IF($AS17&gt;=8,"◁","◀"),IF($AS17&gt;=8,"□","■")))))</f>
        <v/>
      </c>
      <c r="F17" s="35">
        <f>IF($AT17=0,"",IF(MOD($AT17,8)=7,IF($AT17&gt;=8,"◇","◆"),IF(MOD($AT17,8)=3,IF($AT17&gt;=8,"▷","▶"),IF(MOD($AT17,8)=5,IF($AT17&gt;=8,"◁","◀"),IF($AT17&gt;=8,"□","■")))))</f>
        <v/>
      </c>
      <c r="G17" s="35">
        <f>IF($AU17=0,"",IF(MOD($AU17,8)=7,IF($AU17&gt;=8,"◇","◆"),IF(MOD($AU17,8)=3,IF($AU17&gt;=8,"▷","▶"),IF(MOD($AU17,8)=5,IF($AU17&gt;=8,"◁","◀"),IF($AU17&gt;=8,"□","■")))))</f>
        <v/>
      </c>
      <c r="H17" s="35">
        <f>IF($AV17=0,"",IF(MOD($AV17,8)=7,IF($AV17&gt;=8,"◇","◆"),IF(MOD($AV17,8)=3,IF($AV17&gt;=8,"▷","▶"),IF(MOD($AV17,8)=5,IF($AV17&gt;=8,"◁","◀"),IF($AV17&gt;=8,"□","■")))))</f>
        <v/>
      </c>
      <c r="I17" s="35">
        <f>IF($AW17=0,"",IF(MOD($AW17,8)=7,IF($AW17&gt;=8,"◇","◆"),IF(MOD($AW17,8)=3,IF($AW17&gt;=8,"▷","▶"),IF(MOD($AW17,8)=5,IF($AW17&gt;=8,"◁","◀"),IF($AW17&gt;=8,"□","■")))))</f>
        <v/>
      </c>
      <c r="J17" s="35">
        <f>IF($AX17=0,"",IF(MOD($AX17,8)=7,IF($AX17&gt;=8,"◇","◆"),IF(MOD($AX17,8)=3,IF($AX17&gt;=8,"▷","▶"),IF(MOD($AX17,8)=5,IF($AX17&gt;=8,"◁","◀"),IF($AX17&gt;=8,"□","■")))))</f>
        <v/>
      </c>
      <c r="K17" s="35">
        <f>IF($AY17=0,"",IF(MOD($AY17,8)=7,IF($AY17&gt;=8,"◇","◆"),IF(MOD($AY17,8)=3,IF($AY17&gt;=8,"▷","▶"),IF(MOD($AY17,8)=5,IF($AY17&gt;=8,"◁","◀"),IF($AY17&gt;=8,"□","■")))))</f>
        <v/>
      </c>
      <c r="L17" s="35">
        <f>IF($AZ17=0,"",IF(MOD($AZ17,8)=7,IF($AZ17&gt;=8,"◇","◆"),IF(MOD($AZ17,8)=3,IF($AZ17&gt;=8,"▷","▶"),IF(MOD($AZ17,8)=5,IF($AZ17&gt;=8,"◁","◀"),IF($AZ17&gt;=8,"□","■")))))</f>
        <v/>
      </c>
      <c r="M17" s="35">
        <f>IF($BA17=0,"",IF(MOD($BA17,8)=7,IF($BA17&gt;=8,"◇","◆"),IF(MOD($BA17,8)=3,IF($BA17&gt;=8,"▷","▶"),IF(MOD($BA17,8)=5,IF($BA17&gt;=8,"◁","◀"),IF($BA17&gt;=8,"□","■")))))</f>
        <v/>
      </c>
      <c r="N17" s="35">
        <f>IF($BB17=0,"",IF(MOD($BB17,8)=7,IF($BB17&gt;=8,"◇","◆"),IF(MOD($BB17,8)=3,IF($BB17&gt;=8,"▷","▶"),IF(MOD($BB17,8)=5,IF($BB17&gt;=8,"◁","◀"),IF($BB17&gt;=8,"□","■")))))</f>
        <v/>
      </c>
      <c r="O17" s="35">
        <f>IF($BC17=0,"",IF(MOD($BC17,8)=7,IF($BC17&gt;=8,"◇","◆"),IF(MOD($BC17,8)=3,IF($BC17&gt;=8,"▷","▶"),IF(MOD($BC17,8)=5,IF($BC17&gt;=8,"◁","◀"),IF($BC17&gt;=8,"□","■")))))</f>
        <v/>
      </c>
      <c r="P17" s="35">
        <f>IF($BD17=0,"",IF(MOD($BD17,8)=7,IF($BD17&gt;=8,"◇","◆"),IF(MOD($BD17,8)=3,IF($BD17&gt;=8,"▷","▶"),IF(MOD($BD17,8)=5,IF($BD17&gt;=8,"◁","◀"),IF($BD17&gt;=8,"□","■")))))</f>
        <v/>
      </c>
      <c r="Q17" s="35">
        <f>IF($BE17=0,"",IF(MOD($BE17,8)=7,IF($BE17&gt;=8,"◇","◆"),IF(MOD($BE17,8)=3,IF($BE17&gt;=8,"▷","▶"),IF(MOD($BE17,8)=5,IF($BE17&gt;=8,"◁","◀"),IF($BE17&gt;=8,"□","■")))))</f>
        <v/>
      </c>
      <c r="R17" s="35">
        <f>IF($BF17=0,"",IF(MOD($BF17,8)=7,IF($BF17&gt;=8,"◇","◆"),IF(MOD($BF17,8)=3,IF($BF17&gt;=8,"▷","▶"),IF(MOD($BF17,8)=5,IF($BF17&gt;=8,"◁","◀"),IF($BF17&gt;=8,"□","■")))))</f>
        <v/>
      </c>
      <c r="S17" s="35">
        <f>IF($BG17=0,"",IF(MOD($BG17,8)=7,IF($BG17&gt;=8,"◇","◆"),IF(MOD($BG17,8)=3,IF($BG17&gt;=8,"▷","▶"),IF(MOD($BG17,8)=5,IF($BG17&gt;=8,"◁","◀"),IF($BG17&gt;=8,"□","■")))))</f>
        <v/>
      </c>
      <c r="T17" s="35">
        <f>IF($BH17=0,"",IF(MOD($BH17,8)=7,IF($BH17&gt;=8,"◇","◆"),IF(MOD($BH17,8)=3,IF($BH17&gt;=8,"▷","▶"),IF(MOD($BH17,8)=5,IF($BH17&gt;=8,"◁","◀"),IF($BH17&gt;=8,"□","■")))))</f>
        <v/>
      </c>
      <c r="U17" s="35">
        <f>IF($BI17=0,"",IF(MOD($BI17,8)=7,IF($BI17&gt;=8,"◇","◆"),IF(MOD($BI17,8)=3,IF($BI17&gt;=8,"▷","▶"),IF(MOD($BI17,8)=5,IF($BI17&gt;=8,"◁","◀"),IF($BI17&gt;=8,"□","■")))))</f>
        <v/>
      </c>
      <c r="V17" s="35">
        <f>IF($BJ17=0,"",IF(MOD($BJ17,8)=7,IF($BJ17&gt;=8,"◇","◆"),IF(MOD($BJ17,8)=3,IF($BJ17&gt;=8,"▷","▶"),IF(MOD($BJ17,8)=5,IF($BJ17&gt;=8,"◁","◀"),IF($BJ17&gt;=8,"□","■")))))</f>
        <v/>
      </c>
      <c r="W17" s="35">
        <f>IF($BK17=0,"",IF(MOD($BK17,8)=7,IF($BK17&gt;=8,"◇","◆"),IF(MOD($BK17,8)=3,IF($BK17&gt;=8,"▷","▶"),IF(MOD($BK17,8)=5,IF($BK17&gt;=8,"◁","◀"),IF($BK17&gt;=8,"□","■")))))</f>
        <v/>
      </c>
      <c r="X17" s="35">
        <f>IF($BL17=0,"",IF(MOD($BL17,8)=7,IF($BL17&gt;=8,"◇","◆"),IF(MOD($BL17,8)=3,IF($BL17&gt;=8,"▷","▶"),IF(MOD($BL17,8)=5,IF($BL17&gt;=8,"◁","◀"),IF($BL17&gt;=8,"□","■")))))</f>
        <v/>
      </c>
      <c r="Y17" s="35">
        <f>IF($BM17=0,"",IF(MOD($BM17,8)=7,IF($BM17&gt;=8,"◇","◆"),IF(MOD($BM17,8)=3,IF($BM17&gt;=8,"▷","▶"),IF(MOD($BM17,8)=5,IF($BM17&gt;=8,"◁","◀"),IF($BM17&gt;=8,"□","■")))))</f>
        <v/>
      </c>
      <c r="Z17" s="35">
        <f>IF($BN17=0,"",IF(MOD($BN17,8)=7,IF($BN17&gt;=8,"◇","◆"),IF(MOD($BN17,8)=3,IF($BN17&gt;=8,"▷","▶"),IF(MOD($BN17,8)=5,IF($BN17&gt;=8,"◁","◀"),IF($BN17&gt;=8,"□","■")))))</f>
        <v/>
      </c>
      <c r="AA17" s="35">
        <f>IF($BO17=0,"",IF(MOD($BO17,8)=7,IF($BO17&gt;=8,"◇","◆"),IF(MOD($BO17,8)=3,IF($BO17&gt;=8,"▷","▶"),IF(MOD($BO17,8)=5,IF($BO17&gt;=8,"◁","◀"),IF($BO17&gt;=8,"□","■")))))</f>
        <v/>
      </c>
      <c r="AB17" s="35">
        <f>IF($BP17=0,"",IF(MOD($BP17,8)=7,IF($BP17&gt;=8,"◇","◆"),IF(MOD($BP17,8)=3,IF($BP17&gt;=8,"▷","▶"),IF(MOD($BP17,8)=5,IF($BP17&gt;=8,"◁","◀"),IF($BP17&gt;=8,"□","■")))))</f>
        <v/>
      </c>
      <c r="AC17" s="35">
        <f>IF($BQ17=0,"",IF(MOD($BQ17,8)=7,IF($BQ17&gt;=8,"◇","◆"),IF(MOD($BQ17,8)=3,IF($BQ17&gt;=8,"▷","▶"),IF(MOD($BQ17,8)=5,IF($BQ17&gt;=8,"◁","◀"),IF($BQ17&gt;=8,"□","■")))))</f>
        <v/>
      </c>
      <c r="AD17" s="35">
        <f>IF($BR17=0,"",IF(MOD($BR17,8)=7,IF($BR17&gt;=8,"◇","◆"),IF(MOD($BR17,8)=3,IF($BR17&gt;=8,"▷","▶"),IF(MOD($BR17,8)=5,IF($BR17&gt;=8,"◁","◀"),IF($BR17&gt;=8,"□","■")))))</f>
        <v/>
      </c>
      <c r="AE17" s="35">
        <f>IF($BS17=0,"",IF(MOD($BS17,8)=7,IF($BS17&gt;=8,"◇","◆"),IF(MOD($BS17,8)=3,IF($BS17&gt;=8,"▷","▶"),IF(MOD($BS17,8)=5,IF($BS17&gt;=8,"◁","◀"),IF($BS17&gt;=8,"□","■")))))</f>
        <v/>
      </c>
      <c r="AF17" s="35">
        <f>IF($BT17=0,"",IF(MOD($BT17,8)=7,IF($BT17&gt;=8,"◇","◆"),IF(MOD($BT17,8)=3,IF($BT17&gt;=8,"▷","▶"),IF(MOD($BT17,8)=5,IF($BT17&gt;=8,"◁","◀"),IF($BT17&gt;=8,"□","■")))))</f>
        <v/>
      </c>
      <c r="AG17" s="36">
        <f>IF($A17="","",COUNTIF($AP17:$BT17,"&gt;0"))</f>
        <v/>
      </c>
      <c r="AP17">
        <f>IF(OR($A17="",B$4=""),0,SUMPRODUCT(('01_予約入力'!$G$5:$G$204&lt;&gt;"")*('01_予約入力'!$N$5:$N$204&lt;&gt;"キャンセル")*('01_予約入力'!$B$5:$B$204=$A17)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17">
        <f>IF(OR($A17="",C$4=""),0,SUMPRODUCT(('01_予約入力'!$G$5:$G$204&lt;&gt;"")*('01_予約入力'!$N$5:$N$204&lt;&gt;"キャンセル")*('01_予約入力'!$B$5:$B$204=$A17)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17">
        <f>IF(OR($A17="",D$4=""),0,SUMPRODUCT(('01_予約入力'!$G$5:$G$204&lt;&gt;"")*('01_予約入力'!$N$5:$N$204&lt;&gt;"キャンセル")*('01_予約入力'!$B$5:$B$204=$A17)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17">
        <f>IF(OR($A17="",E$4=""),0,SUMPRODUCT(('01_予約入力'!$G$5:$G$204&lt;&gt;"")*('01_予約入力'!$N$5:$N$204&lt;&gt;"キャンセル")*('01_予約入力'!$B$5:$B$204=$A17)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17">
        <f>IF(OR($A17="",F$4=""),0,SUMPRODUCT(('01_予約入力'!$G$5:$G$204&lt;&gt;"")*('01_予約入力'!$N$5:$N$204&lt;&gt;"キャンセル")*('01_予約入力'!$B$5:$B$204=$A17)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17">
        <f>IF(OR($A17="",G$4=""),0,SUMPRODUCT(('01_予約入力'!$G$5:$G$204&lt;&gt;"")*('01_予約入力'!$N$5:$N$204&lt;&gt;"キャンセル")*('01_予約入力'!$B$5:$B$204=$A17)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17">
        <f>IF(OR($A17="",H$4=""),0,SUMPRODUCT(('01_予約入力'!$G$5:$G$204&lt;&gt;"")*('01_予約入力'!$N$5:$N$204&lt;&gt;"キャンセル")*('01_予約入力'!$B$5:$B$204=$A17)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17">
        <f>IF(OR($A17="",I$4=""),0,SUMPRODUCT(('01_予約入力'!$G$5:$G$204&lt;&gt;"")*('01_予約入力'!$N$5:$N$204&lt;&gt;"キャンセル")*('01_予約入力'!$B$5:$B$204=$A17)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17">
        <f>IF(OR($A17="",J$4=""),0,SUMPRODUCT(('01_予約入力'!$G$5:$G$204&lt;&gt;"")*('01_予約入力'!$N$5:$N$204&lt;&gt;"キャンセル")*('01_予約入力'!$B$5:$B$204=$A17)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17">
        <f>IF(OR($A17="",K$4=""),0,SUMPRODUCT(('01_予約入力'!$G$5:$G$204&lt;&gt;"")*('01_予約入力'!$N$5:$N$204&lt;&gt;"キャンセル")*('01_予約入力'!$B$5:$B$204=$A17)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17">
        <f>IF(OR($A17="",L$4=""),0,SUMPRODUCT(('01_予約入力'!$G$5:$G$204&lt;&gt;"")*('01_予約入力'!$N$5:$N$204&lt;&gt;"キャンセル")*('01_予約入力'!$B$5:$B$204=$A17)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17">
        <f>IF(OR($A17="",M$4=""),0,SUMPRODUCT(('01_予約入力'!$G$5:$G$204&lt;&gt;"")*('01_予約入力'!$N$5:$N$204&lt;&gt;"キャンセル")*('01_予約入力'!$B$5:$B$204=$A17)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17">
        <f>IF(OR($A17="",N$4=""),0,SUMPRODUCT(('01_予約入力'!$G$5:$G$204&lt;&gt;"")*('01_予約入力'!$N$5:$N$204&lt;&gt;"キャンセル")*('01_予約入力'!$B$5:$B$204=$A17)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17">
        <f>IF(OR($A17="",O$4=""),0,SUMPRODUCT(('01_予約入力'!$G$5:$G$204&lt;&gt;"")*('01_予約入力'!$N$5:$N$204&lt;&gt;"キャンセル")*('01_予約入力'!$B$5:$B$204=$A17)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17">
        <f>IF(OR($A17="",P$4=""),0,SUMPRODUCT(('01_予約入力'!$G$5:$G$204&lt;&gt;"")*('01_予約入力'!$N$5:$N$204&lt;&gt;"キャンセル")*('01_予約入力'!$B$5:$B$204=$A17)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17">
        <f>IF(OR($A17="",Q$4=""),0,SUMPRODUCT(('01_予約入力'!$G$5:$G$204&lt;&gt;"")*('01_予約入力'!$N$5:$N$204&lt;&gt;"キャンセル")*('01_予約入力'!$B$5:$B$204=$A17)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17">
        <f>IF(OR($A17="",R$4=""),0,SUMPRODUCT(('01_予約入力'!$G$5:$G$204&lt;&gt;"")*('01_予約入力'!$N$5:$N$204&lt;&gt;"キャンセル")*('01_予約入力'!$B$5:$B$204=$A17)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17">
        <f>IF(OR($A17="",S$4=""),0,SUMPRODUCT(('01_予約入力'!$G$5:$G$204&lt;&gt;"")*('01_予約入力'!$N$5:$N$204&lt;&gt;"キャンセル")*('01_予約入力'!$B$5:$B$204=$A17)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17">
        <f>IF(OR($A17="",T$4=""),0,SUMPRODUCT(('01_予約入力'!$G$5:$G$204&lt;&gt;"")*('01_予約入力'!$N$5:$N$204&lt;&gt;"キャンセル")*('01_予約入力'!$B$5:$B$204=$A17)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17">
        <f>IF(OR($A17="",U$4=""),0,SUMPRODUCT(('01_予約入力'!$G$5:$G$204&lt;&gt;"")*('01_予約入力'!$N$5:$N$204&lt;&gt;"キャンセル")*('01_予約入力'!$B$5:$B$204=$A17)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17">
        <f>IF(OR($A17="",V$4=""),0,SUMPRODUCT(('01_予約入力'!$G$5:$G$204&lt;&gt;"")*('01_予約入力'!$N$5:$N$204&lt;&gt;"キャンセル")*('01_予約入力'!$B$5:$B$204=$A17)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17">
        <f>IF(OR($A17="",W$4=""),0,SUMPRODUCT(('01_予約入力'!$G$5:$G$204&lt;&gt;"")*('01_予約入力'!$N$5:$N$204&lt;&gt;"キャンセル")*('01_予約入力'!$B$5:$B$204=$A17)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17">
        <f>IF(OR($A17="",X$4=""),0,SUMPRODUCT(('01_予約入力'!$G$5:$G$204&lt;&gt;"")*('01_予約入力'!$N$5:$N$204&lt;&gt;"キャンセル")*('01_予約入力'!$B$5:$B$204=$A17)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17">
        <f>IF(OR($A17="",Y$4=""),0,SUMPRODUCT(('01_予約入力'!$G$5:$G$204&lt;&gt;"")*('01_予約入力'!$N$5:$N$204&lt;&gt;"キャンセル")*('01_予約入力'!$B$5:$B$204=$A17)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17">
        <f>IF(OR($A17="",Z$4=""),0,SUMPRODUCT(('01_予約入力'!$G$5:$G$204&lt;&gt;"")*('01_予約入力'!$N$5:$N$204&lt;&gt;"キャンセル")*('01_予約入力'!$B$5:$B$204=$A17)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17">
        <f>IF(OR($A17="",AA$4=""),0,SUMPRODUCT(('01_予約入力'!$G$5:$G$204&lt;&gt;"")*('01_予約入力'!$N$5:$N$204&lt;&gt;"キャンセル")*('01_予約入力'!$B$5:$B$204=$A17)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17">
        <f>IF(OR($A17="",AB$4=""),0,SUMPRODUCT(('01_予約入力'!$G$5:$G$204&lt;&gt;"")*('01_予約入力'!$N$5:$N$204&lt;&gt;"キャンセル")*('01_予約入力'!$B$5:$B$204=$A17)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17">
        <f>IF(OR($A17="",AC$4=""),0,SUMPRODUCT(('01_予約入力'!$G$5:$G$204&lt;&gt;"")*('01_予約入力'!$N$5:$N$204&lt;&gt;"キャンセル")*('01_予約入力'!$B$5:$B$204=$A17)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17">
        <f>IF(OR($A17="",AD$4=""),0,SUMPRODUCT(('01_予約入力'!$G$5:$G$204&lt;&gt;"")*('01_予約入力'!$N$5:$N$204&lt;&gt;"キャンセル")*('01_予約入力'!$B$5:$B$204=$A17)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17">
        <f>IF(OR($A17="",AE$4=""),0,SUMPRODUCT(('01_予約入力'!$G$5:$G$204&lt;&gt;"")*('01_予約入力'!$N$5:$N$204&lt;&gt;"キャンセル")*('01_予約入力'!$B$5:$B$204=$A17)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17">
        <f>IF(OR($A17="",AF$4=""),0,SUMPRODUCT(('01_予約入力'!$G$5:$G$204&lt;&gt;"")*('01_予約入力'!$N$5:$N$204&lt;&gt;"キャンセル")*('01_予約入力'!$B$5:$B$204=$A17)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18">
      <c r="A18" s="34">
        <f>IF(COUNTA('利用者マスタ'!$A$4:$A$60)&gt;=12,INDEX('利用者マスタ'!$A$4:$A$60,12),"")</f>
        <v/>
      </c>
      <c r="B18" s="35">
        <f>IF($AP18=0,"",IF(MOD($AP18,8)=7,IF($AP18&gt;=8,"◇","◆"),IF(MOD($AP18,8)=3,IF($AP18&gt;=8,"▷","▶"),IF(MOD($AP18,8)=5,IF($AP18&gt;=8,"◁","◀"),IF($AP18&gt;=8,"□","■")))))</f>
        <v/>
      </c>
      <c r="C18" s="35">
        <f>IF($AQ18=0,"",IF(MOD($AQ18,8)=7,IF($AQ18&gt;=8,"◇","◆"),IF(MOD($AQ18,8)=3,IF($AQ18&gt;=8,"▷","▶"),IF(MOD($AQ18,8)=5,IF($AQ18&gt;=8,"◁","◀"),IF($AQ18&gt;=8,"□","■")))))</f>
        <v/>
      </c>
      <c r="D18" s="35">
        <f>IF($AR18=0,"",IF(MOD($AR18,8)=7,IF($AR18&gt;=8,"◇","◆"),IF(MOD($AR18,8)=3,IF($AR18&gt;=8,"▷","▶"),IF(MOD($AR18,8)=5,IF($AR18&gt;=8,"◁","◀"),IF($AR18&gt;=8,"□","■")))))</f>
        <v/>
      </c>
      <c r="E18" s="35">
        <f>IF($AS18=0,"",IF(MOD($AS18,8)=7,IF($AS18&gt;=8,"◇","◆"),IF(MOD($AS18,8)=3,IF($AS18&gt;=8,"▷","▶"),IF(MOD($AS18,8)=5,IF($AS18&gt;=8,"◁","◀"),IF($AS18&gt;=8,"□","■")))))</f>
        <v/>
      </c>
      <c r="F18" s="35">
        <f>IF($AT18=0,"",IF(MOD($AT18,8)=7,IF($AT18&gt;=8,"◇","◆"),IF(MOD($AT18,8)=3,IF($AT18&gt;=8,"▷","▶"),IF(MOD($AT18,8)=5,IF($AT18&gt;=8,"◁","◀"),IF($AT18&gt;=8,"□","■")))))</f>
        <v/>
      </c>
      <c r="G18" s="35">
        <f>IF($AU18=0,"",IF(MOD($AU18,8)=7,IF($AU18&gt;=8,"◇","◆"),IF(MOD($AU18,8)=3,IF($AU18&gt;=8,"▷","▶"),IF(MOD($AU18,8)=5,IF($AU18&gt;=8,"◁","◀"),IF($AU18&gt;=8,"□","■")))))</f>
        <v/>
      </c>
      <c r="H18" s="35">
        <f>IF($AV18=0,"",IF(MOD($AV18,8)=7,IF($AV18&gt;=8,"◇","◆"),IF(MOD($AV18,8)=3,IF($AV18&gt;=8,"▷","▶"),IF(MOD($AV18,8)=5,IF($AV18&gt;=8,"◁","◀"),IF($AV18&gt;=8,"□","■")))))</f>
        <v/>
      </c>
      <c r="I18" s="35">
        <f>IF($AW18=0,"",IF(MOD($AW18,8)=7,IF($AW18&gt;=8,"◇","◆"),IF(MOD($AW18,8)=3,IF($AW18&gt;=8,"▷","▶"),IF(MOD($AW18,8)=5,IF($AW18&gt;=8,"◁","◀"),IF($AW18&gt;=8,"□","■")))))</f>
        <v/>
      </c>
      <c r="J18" s="35">
        <f>IF($AX18=0,"",IF(MOD($AX18,8)=7,IF($AX18&gt;=8,"◇","◆"),IF(MOD($AX18,8)=3,IF($AX18&gt;=8,"▷","▶"),IF(MOD($AX18,8)=5,IF($AX18&gt;=8,"◁","◀"),IF($AX18&gt;=8,"□","■")))))</f>
        <v/>
      </c>
      <c r="K18" s="35">
        <f>IF($AY18=0,"",IF(MOD($AY18,8)=7,IF($AY18&gt;=8,"◇","◆"),IF(MOD($AY18,8)=3,IF($AY18&gt;=8,"▷","▶"),IF(MOD($AY18,8)=5,IF($AY18&gt;=8,"◁","◀"),IF($AY18&gt;=8,"□","■")))))</f>
        <v/>
      </c>
      <c r="L18" s="35">
        <f>IF($AZ18=0,"",IF(MOD($AZ18,8)=7,IF($AZ18&gt;=8,"◇","◆"),IF(MOD($AZ18,8)=3,IF($AZ18&gt;=8,"▷","▶"),IF(MOD($AZ18,8)=5,IF($AZ18&gt;=8,"◁","◀"),IF($AZ18&gt;=8,"□","■")))))</f>
        <v/>
      </c>
      <c r="M18" s="35">
        <f>IF($BA18=0,"",IF(MOD($BA18,8)=7,IF($BA18&gt;=8,"◇","◆"),IF(MOD($BA18,8)=3,IF($BA18&gt;=8,"▷","▶"),IF(MOD($BA18,8)=5,IF($BA18&gt;=8,"◁","◀"),IF($BA18&gt;=8,"□","■")))))</f>
        <v/>
      </c>
      <c r="N18" s="35">
        <f>IF($BB18=0,"",IF(MOD($BB18,8)=7,IF($BB18&gt;=8,"◇","◆"),IF(MOD($BB18,8)=3,IF($BB18&gt;=8,"▷","▶"),IF(MOD($BB18,8)=5,IF($BB18&gt;=8,"◁","◀"),IF($BB18&gt;=8,"□","■")))))</f>
        <v/>
      </c>
      <c r="O18" s="35">
        <f>IF($BC18=0,"",IF(MOD($BC18,8)=7,IF($BC18&gt;=8,"◇","◆"),IF(MOD($BC18,8)=3,IF($BC18&gt;=8,"▷","▶"),IF(MOD($BC18,8)=5,IF($BC18&gt;=8,"◁","◀"),IF($BC18&gt;=8,"□","■")))))</f>
        <v/>
      </c>
      <c r="P18" s="35">
        <f>IF($BD18=0,"",IF(MOD($BD18,8)=7,IF($BD18&gt;=8,"◇","◆"),IF(MOD($BD18,8)=3,IF($BD18&gt;=8,"▷","▶"),IF(MOD($BD18,8)=5,IF($BD18&gt;=8,"◁","◀"),IF($BD18&gt;=8,"□","■")))))</f>
        <v/>
      </c>
      <c r="Q18" s="35">
        <f>IF($BE18=0,"",IF(MOD($BE18,8)=7,IF($BE18&gt;=8,"◇","◆"),IF(MOD($BE18,8)=3,IF($BE18&gt;=8,"▷","▶"),IF(MOD($BE18,8)=5,IF($BE18&gt;=8,"◁","◀"),IF($BE18&gt;=8,"□","■")))))</f>
        <v/>
      </c>
      <c r="R18" s="35">
        <f>IF($BF18=0,"",IF(MOD($BF18,8)=7,IF($BF18&gt;=8,"◇","◆"),IF(MOD($BF18,8)=3,IF($BF18&gt;=8,"▷","▶"),IF(MOD($BF18,8)=5,IF($BF18&gt;=8,"◁","◀"),IF($BF18&gt;=8,"□","■")))))</f>
        <v/>
      </c>
      <c r="S18" s="35">
        <f>IF($BG18=0,"",IF(MOD($BG18,8)=7,IF($BG18&gt;=8,"◇","◆"),IF(MOD($BG18,8)=3,IF($BG18&gt;=8,"▷","▶"),IF(MOD($BG18,8)=5,IF($BG18&gt;=8,"◁","◀"),IF($BG18&gt;=8,"□","■")))))</f>
        <v/>
      </c>
      <c r="T18" s="35">
        <f>IF($BH18=0,"",IF(MOD($BH18,8)=7,IF($BH18&gt;=8,"◇","◆"),IF(MOD($BH18,8)=3,IF($BH18&gt;=8,"▷","▶"),IF(MOD($BH18,8)=5,IF($BH18&gt;=8,"◁","◀"),IF($BH18&gt;=8,"□","■")))))</f>
        <v/>
      </c>
      <c r="U18" s="35">
        <f>IF($BI18=0,"",IF(MOD($BI18,8)=7,IF($BI18&gt;=8,"◇","◆"),IF(MOD($BI18,8)=3,IF($BI18&gt;=8,"▷","▶"),IF(MOD($BI18,8)=5,IF($BI18&gt;=8,"◁","◀"),IF($BI18&gt;=8,"□","■")))))</f>
        <v/>
      </c>
      <c r="V18" s="35">
        <f>IF($BJ18=0,"",IF(MOD($BJ18,8)=7,IF($BJ18&gt;=8,"◇","◆"),IF(MOD($BJ18,8)=3,IF($BJ18&gt;=8,"▷","▶"),IF(MOD($BJ18,8)=5,IF($BJ18&gt;=8,"◁","◀"),IF($BJ18&gt;=8,"□","■")))))</f>
        <v/>
      </c>
      <c r="W18" s="35">
        <f>IF($BK18=0,"",IF(MOD($BK18,8)=7,IF($BK18&gt;=8,"◇","◆"),IF(MOD($BK18,8)=3,IF($BK18&gt;=8,"▷","▶"),IF(MOD($BK18,8)=5,IF($BK18&gt;=8,"◁","◀"),IF($BK18&gt;=8,"□","■")))))</f>
        <v/>
      </c>
      <c r="X18" s="35">
        <f>IF($BL18=0,"",IF(MOD($BL18,8)=7,IF($BL18&gt;=8,"◇","◆"),IF(MOD($BL18,8)=3,IF($BL18&gt;=8,"▷","▶"),IF(MOD($BL18,8)=5,IF($BL18&gt;=8,"◁","◀"),IF($BL18&gt;=8,"□","■")))))</f>
        <v/>
      </c>
      <c r="Y18" s="35">
        <f>IF($BM18=0,"",IF(MOD($BM18,8)=7,IF($BM18&gt;=8,"◇","◆"),IF(MOD($BM18,8)=3,IF($BM18&gt;=8,"▷","▶"),IF(MOD($BM18,8)=5,IF($BM18&gt;=8,"◁","◀"),IF($BM18&gt;=8,"□","■")))))</f>
        <v/>
      </c>
      <c r="Z18" s="35">
        <f>IF($BN18=0,"",IF(MOD($BN18,8)=7,IF($BN18&gt;=8,"◇","◆"),IF(MOD($BN18,8)=3,IF($BN18&gt;=8,"▷","▶"),IF(MOD($BN18,8)=5,IF($BN18&gt;=8,"◁","◀"),IF($BN18&gt;=8,"□","■")))))</f>
        <v/>
      </c>
      <c r="AA18" s="35">
        <f>IF($BO18=0,"",IF(MOD($BO18,8)=7,IF($BO18&gt;=8,"◇","◆"),IF(MOD($BO18,8)=3,IF($BO18&gt;=8,"▷","▶"),IF(MOD($BO18,8)=5,IF($BO18&gt;=8,"◁","◀"),IF($BO18&gt;=8,"□","■")))))</f>
        <v/>
      </c>
      <c r="AB18" s="35">
        <f>IF($BP18=0,"",IF(MOD($BP18,8)=7,IF($BP18&gt;=8,"◇","◆"),IF(MOD($BP18,8)=3,IF($BP18&gt;=8,"▷","▶"),IF(MOD($BP18,8)=5,IF($BP18&gt;=8,"◁","◀"),IF($BP18&gt;=8,"□","■")))))</f>
        <v/>
      </c>
      <c r="AC18" s="35">
        <f>IF($BQ18=0,"",IF(MOD($BQ18,8)=7,IF($BQ18&gt;=8,"◇","◆"),IF(MOD($BQ18,8)=3,IF($BQ18&gt;=8,"▷","▶"),IF(MOD($BQ18,8)=5,IF($BQ18&gt;=8,"◁","◀"),IF($BQ18&gt;=8,"□","■")))))</f>
        <v/>
      </c>
      <c r="AD18" s="35">
        <f>IF($BR18=0,"",IF(MOD($BR18,8)=7,IF($BR18&gt;=8,"◇","◆"),IF(MOD($BR18,8)=3,IF($BR18&gt;=8,"▷","▶"),IF(MOD($BR18,8)=5,IF($BR18&gt;=8,"◁","◀"),IF($BR18&gt;=8,"□","■")))))</f>
        <v/>
      </c>
      <c r="AE18" s="35">
        <f>IF($BS18=0,"",IF(MOD($BS18,8)=7,IF($BS18&gt;=8,"◇","◆"),IF(MOD($BS18,8)=3,IF($BS18&gt;=8,"▷","▶"),IF(MOD($BS18,8)=5,IF($BS18&gt;=8,"◁","◀"),IF($BS18&gt;=8,"□","■")))))</f>
        <v/>
      </c>
      <c r="AF18" s="35">
        <f>IF($BT18=0,"",IF(MOD($BT18,8)=7,IF($BT18&gt;=8,"◇","◆"),IF(MOD($BT18,8)=3,IF($BT18&gt;=8,"▷","▶"),IF(MOD($BT18,8)=5,IF($BT18&gt;=8,"◁","◀"),IF($BT18&gt;=8,"□","■")))))</f>
        <v/>
      </c>
      <c r="AG18" s="36">
        <f>IF($A18="","",COUNTIF($AP18:$BT18,"&gt;0"))</f>
        <v/>
      </c>
      <c r="AP18">
        <f>IF(OR($A18="",B$4=""),0,SUMPRODUCT(('01_予約入力'!$G$5:$G$204&lt;&gt;"")*('01_予約入力'!$N$5:$N$204&lt;&gt;"キャンセル")*('01_予約入力'!$B$5:$B$204=$A18)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18">
        <f>IF(OR($A18="",C$4=""),0,SUMPRODUCT(('01_予約入力'!$G$5:$G$204&lt;&gt;"")*('01_予約入力'!$N$5:$N$204&lt;&gt;"キャンセル")*('01_予約入力'!$B$5:$B$204=$A18)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18">
        <f>IF(OR($A18="",D$4=""),0,SUMPRODUCT(('01_予約入力'!$G$5:$G$204&lt;&gt;"")*('01_予約入力'!$N$5:$N$204&lt;&gt;"キャンセル")*('01_予約入力'!$B$5:$B$204=$A18)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18">
        <f>IF(OR($A18="",E$4=""),0,SUMPRODUCT(('01_予約入力'!$G$5:$G$204&lt;&gt;"")*('01_予約入力'!$N$5:$N$204&lt;&gt;"キャンセル")*('01_予約入力'!$B$5:$B$204=$A18)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18">
        <f>IF(OR($A18="",F$4=""),0,SUMPRODUCT(('01_予約入力'!$G$5:$G$204&lt;&gt;"")*('01_予約入力'!$N$5:$N$204&lt;&gt;"キャンセル")*('01_予約入力'!$B$5:$B$204=$A18)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18">
        <f>IF(OR($A18="",G$4=""),0,SUMPRODUCT(('01_予約入力'!$G$5:$G$204&lt;&gt;"")*('01_予約入力'!$N$5:$N$204&lt;&gt;"キャンセル")*('01_予約入力'!$B$5:$B$204=$A18)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18">
        <f>IF(OR($A18="",H$4=""),0,SUMPRODUCT(('01_予約入力'!$G$5:$G$204&lt;&gt;"")*('01_予約入力'!$N$5:$N$204&lt;&gt;"キャンセル")*('01_予約入力'!$B$5:$B$204=$A18)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18">
        <f>IF(OR($A18="",I$4=""),0,SUMPRODUCT(('01_予約入力'!$G$5:$G$204&lt;&gt;"")*('01_予約入力'!$N$5:$N$204&lt;&gt;"キャンセル")*('01_予約入力'!$B$5:$B$204=$A18)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18">
        <f>IF(OR($A18="",J$4=""),0,SUMPRODUCT(('01_予約入力'!$G$5:$G$204&lt;&gt;"")*('01_予約入力'!$N$5:$N$204&lt;&gt;"キャンセル")*('01_予約入力'!$B$5:$B$204=$A18)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18">
        <f>IF(OR($A18="",K$4=""),0,SUMPRODUCT(('01_予約入力'!$G$5:$G$204&lt;&gt;"")*('01_予約入力'!$N$5:$N$204&lt;&gt;"キャンセル")*('01_予約入力'!$B$5:$B$204=$A18)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18">
        <f>IF(OR($A18="",L$4=""),0,SUMPRODUCT(('01_予約入力'!$G$5:$G$204&lt;&gt;"")*('01_予約入力'!$N$5:$N$204&lt;&gt;"キャンセル")*('01_予約入力'!$B$5:$B$204=$A18)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18">
        <f>IF(OR($A18="",M$4=""),0,SUMPRODUCT(('01_予約入力'!$G$5:$G$204&lt;&gt;"")*('01_予約入力'!$N$5:$N$204&lt;&gt;"キャンセル")*('01_予約入力'!$B$5:$B$204=$A18)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18">
        <f>IF(OR($A18="",N$4=""),0,SUMPRODUCT(('01_予約入力'!$G$5:$G$204&lt;&gt;"")*('01_予約入力'!$N$5:$N$204&lt;&gt;"キャンセル")*('01_予約入力'!$B$5:$B$204=$A18)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18">
        <f>IF(OR($A18="",O$4=""),0,SUMPRODUCT(('01_予約入力'!$G$5:$G$204&lt;&gt;"")*('01_予約入力'!$N$5:$N$204&lt;&gt;"キャンセル")*('01_予約入力'!$B$5:$B$204=$A18)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18">
        <f>IF(OR($A18="",P$4=""),0,SUMPRODUCT(('01_予約入力'!$G$5:$G$204&lt;&gt;"")*('01_予約入力'!$N$5:$N$204&lt;&gt;"キャンセル")*('01_予約入力'!$B$5:$B$204=$A18)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18">
        <f>IF(OR($A18="",Q$4=""),0,SUMPRODUCT(('01_予約入力'!$G$5:$G$204&lt;&gt;"")*('01_予約入力'!$N$5:$N$204&lt;&gt;"キャンセル")*('01_予約入力'!$B$5:$B$204=$A18)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18">
        <f>IF(OR($A18="",R$4=""),0,SUMPRODUCT(('01_予約入力'!$G$5:$G$204&lt;&gt;"")*('01_予約入力'!$N$5:$N$204&lt;&gt;"キャンセル")*('01_予約入力'!$B$5:$B$204=$A18)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18">
        <f>IF(OR($A18="",S$4=""),0,SUMPRODUCT(('01_予約入力'!$G$5:$G$204&lt;&gt;"")*('01_予約入力'!$N$5:$N$204&lt;&gt;"キャンセル")*('01_予約入力'!$B$5:$B$204=$A18)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18">
        <f>IF(OR($A18="",T$4=""),0,SUMPRODUCT(('01_予約入力'!$G$5:$G$204&lt;&gt;"")*('01_予約入力'!$N$5:$N$204&lt;&gt;"キャンセル")*('01_予約入力'!$B$5:$B$204=$A18)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18">
        <f>IF(OR($A18="",U$4=""),0,SUMPRODUCT(('01_予約入力'!$G$5:$G$204&lt;&gt;"")*('01_予約入力'!$N$5:$N$204&lt;&gt;"キャンセル")*('01_予約入力'!$B$5:$B$204=$A18)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18">
        <f>IF(OR($A18="",V$4=""),0,SUMPRODUCT(('01_予約入力'!$G$5:$G$204&lt;&gt;"")*('01_予約入力'!$N$5:$N$204&lt;&gt;"キャンセル")*('01_予約入力'!$B$5:$B$204=$A18)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18">
        <f>IF(OR($A18="",W$4=""),0,SUMPRODUCT(('01_予約入力'!$G$5:$G$204&lt;&gt;"")*('01_予約入力'!$N$5:$N$204&lt;&gt;"キャンセル")*('01_予約入力'!$B$5:$B$204=$A18)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18">
        <f>IF(OR($A18="",X$4=""),0,SUMPRODUCT(('01_予約入力'!$G$5:$G$204&lt;&gt;"")*('01_予約入力'!$N$5:$N$204&lt;&gt;"キャンセル")*('01_予約入力'!$B$5:$B$204=$A18)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18">
        <f>IF(OR($A18="",Y$4=""),0,SUMPRODUCT(('01_予約入力'!$G$5:$G$204&lt;&gt;"")*('01_予約入力'!$N$5:$N$204&lt;&gt;"キャンセル")*('01_予約入力'!$B$5:$B$204=$A18)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18">
        <f>IF(OR($A18="",Z$4=""),0,SUMPRODUCT(('01_予約入力'!$G$5:$G$204&lt;&gt;"")*('01_予約入力'!$N$5:$N$204&lt;&gt;"キャンセル")*('01_予約入力'!$B$5:$B$204=$A18)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18">
        <f>IF(OR($A18="",AA$4=""),0,SUMPRODUCT(('01_予約入力'!$G$5:$G$204&lt;&gt;"")*('01_予約入力'!$N$5:$N$204&lt;&gt;"キャンセル")*('01_予約入力'!$B$5:$B$204=$A18)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18">
        <f>IF(OR($A18="",AB$4=""),0,SUMPRODUCT(('01_予約入力'!$G$5:$G$204&lt;&gt;"")*('01_予約入力'!$N$5:$N$204&lt;&gt;"キャンセル")*('01_予約入力'!$B$5:$B$204=$A18)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18">
        <f>IF(OR($A18="",AC$4=""),0,SUMPRODUCT(('01_予約入力'!$G$5:$G$204&lt;&gt;"")*('01_予約入力'!$N$5:$N$204&lt;&gt;"キャンセル")*('01_予約入力'!$B$5:$B$204=$A18)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18">
        <f>IF(OR($A18="",AD$4=""),0,SUMPRODUCT(('01_予約入力'!$G$5:$G$204&lt;&gt;"")*('01_予約入力'!$N$5:$N$204&lt;&gt;"キャンセル")*('01_予約入力'!$B$5:$B$204=$A18)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18">
        <f>IF(OR($A18="",AE$4=""),0,SUMPRODUCT(('01_予約入力'!$G$5:$G$204&lt;&gt;"")*('01_予約入力'!$N$5:$N$204&lt;&gt;"キャンセル")*('01_予約入力'!$B$5:$B$204=$A18)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18">
        <f>IF(OR($A18="",AF$4=""),0,SUMPRODUCT(('01_予約入力'!$G$5:$G$204&lt;&gt;"")*('01_予約入力'!$N$5:$N$204&lt;&gt;"キャンセル")*('01_予約入力'!$B$5:$B$204=$A18)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19">
      <c r="A19" s="34">
        <f>IF(COUNTA('利用者マスタ'!$A$4:$A$60)&gt;=13,INDEX('利用者マスタ'!$A$4:$A$60,13),"")</f>
        <v/>
      </c>
      <c r="B19" s="35">
        <f>IF($AP19=0,"",IF(MOD($AP19,8)=7,IF($AP19&gt;=8,"◇","◆"),IF(MOD($AP19,8)=3,IF($AP19&gt;=8,"▷","▶"),IF(MOD($AP19,8)=5,IF($AP19&gt;=8,"◁","◀"),IF($AP19&gt;=8,"□","■")))))</f>
        <v/>
      </c>
      <c r="C19" s="35">
        <f>IF($AQ19=0,"",IF(MOD($AQ19,8)=7,IF($AQ19&gt;=8,"◇","◆"),IF(MOD($AQ19,8)=3,IF($AQ19&gt;=8,"▷","▶"),IF(MOD($AQ19,8)=5,IF($AQ19&gt;=8,"◁","◀"),IF($AQ19&gt;=8,"□","■")))))</f>
        <v/>
      </c>
      <c r="D19" s="35">
        <f>IF($AR19=0,"",IF(MOD($AR19,8)=7,IF($AR19&gt;=8,"◇","◆"),IF(MOD($AR19,8)=3,IF($AR19&gt;=8,"▷","▶"),IF(MOD($AR19,8)=5,IF($AR19&gt;=8,"◁","◀"),IF($AR19&gt;=8,"□","■")))))</f>
        <v/>
      </c>
      <c r="E19" s="35">
        <f>IF($AS19=0,"",IF(MOD($AS19,8)=7,IF($AS19&gt;=8,"◇","◆"),IF(MOD($AS19,8)=3,IF($AS19&gt;=8,"▷","▶"),IF(MOD($AS19,8)=5,IF($AS19&gt;=8,"◁","◀"),IF($AS19&gt;=8,"□","■")))))</f>
        <v/>
      </c>
      <c r="F19" s="35">
        <f>IF($AT19=0,"",IF(MOD($AT19,8)=7,IF($AT19&gt;=8,"◇","◆"),IF(MOD($AT19,8)=3,IF($AT19&gt;=8,"▷","▶"),IF(MOD($AT19,8)=5,IF($AT19&gt;=8,"◁","◀"),IF($AT19&gt;=8,"□","■")))))</f>
        <v/>
      </c>
      <c r="G19" s="35">
        <f>IF($AU19=0,"",IF(MOD($AU19,8)=7,IF($AU19&gt;=8,"◇","◆"),IF(MOD($AU19,8)=3,IF($AU19&gt;=8,"▷","▶"),IF(MOD($AU19,8)=5,IF($AU19&gt;=8,"◁","◀"),IF($AU19&gt;=8,"□","■")))))</f>
        <v/>
      </c>
      <c r="H19" s="35">
        <f>IF($AV19=0,"",IF(MOD($AV19,8)=7,IF($AV19&gt;=8,"◇","◆"),IF(MOD($AV19,8)=3,IF($AV19&gt;=8,"▷","▶"),IF(MOD($AV19,8)=5,IF($AV19&gt;=8,"◁","◀"),IF($AV19&gt;=8,"□","■")))))</f>
        <v/>
      </c>
      <c r="I19" s="35">
        <f>IF($AW19=0,"",IF(MOD($AW19,8)=7,IF($AW19&gt;=8,"◇","◆"),IF(MOD($AW19,8)=3,IF($AW19&gt;=8,"▷","▶"),IF(MOD($AW19,8)=5,IF($AW19&gt;=8,"◁","◀"),IF($AW19&gt;=8,"□","■")))))</f>
        <v/>
      </c>
      <c r="J19" s="35">
        <f>IF($AX19=0,"",IF(MOD($AX19,8)=7,IF($AX19&gt;=8,"◇","◆"),IF(MOD($AX19,8)=3,IF($AX19&gt;=8,"▷","▶"),IF(MOD($AX19,8)=5,IF($AX19&gt;=8,"◁","◀"),IF($AX19&gt;=8,"□","■")))))</f>
        <v/>
      </c>
      <c r="K19" s="35">
        <f>IF($AY19=0,"",IF(MOD($AY19,8)=7,IF($AY19&gt;=8,"◇","◆"),IF(MOD($AY19,8)=3,IF($AY19&gt;=8,"▷","▶"),IF(MOD($AY19,8)=5,IF($AY19&gt;=8,"◁","◀"),IF($AY19&gt;=8,"□","■")))))</f>
        <v/>
      </c>
      <c r="L19" s="35">
        <f>IF($AZ19=0,"",IF(MOD($AZ19,8)=7,IF($AZ19&gt;=8,"◇","◆"),IF(MOD($AZ19,8)=3,IF($AZ19&gt;=8,"▷","▶"),IF(MOD($AZ19,8)=5,IF($AZ19&gt;=8,"◁","◀"),IF($AZ19&gt;=8,"□","■")))))</f>
        <v/>
      </c>
      <c r="M19" s="35">
        <f>IF($BA19=0,"",IF(MOD($BA19,8)=7,IF($BA19&gt;=8,"◇","◆"),IF(MOD($BA19,8)=3,IF($BA19&gt;=8,"▷","▶"),IF(MOD($BA19,8)=5,IF($BA19&gt;=8,"◁","◀"),IF($BA19&gt;=8,"□","■")))))</f>
        <v/>
      </c>
      <c r="N19" s="35">
        <f>IF($BB19=0,"",IF(MOD($BB19,8)=7,IF($BB19&gt;=8,"◇","◆"),IF(MOD($BB19,8)=3,IF($BB19&gt;=8,"▷","▶"),IF(MOD($BB19,8)=5,IF($BB19&gt;=8,"◁","◀"),IF($BB19&gt;=8,"□","■")))))</f>
        <v/>
      </c>
      <c r="O19" s="35">
        <f>IF($BC19=0,"",IF(MOD($BC19,8)=7,IF($BC19&gt;=8,"◇","◆"),IF(MOD($BC19,8)=3,IF($BC19&gt;=8,"▷","▶"),IF(MOD($BC19,8)=5,IF($BC19&gt;=8,"◁","◀"),IF($BC19&gt;=8,"□","■")))))</f>
        <v/>
      </c>
      <c r="P19" s="35">
        <f>IF($BD19=0,"",IF(MOD($BD19,8)=7,IF($BD19&gt;=8,"◇","◆"),IF(MOD($BD19,8)=3,IF($BD19&gt;=8,"▷","▶"),IF(MOD($BD19,8)=5,IF($BD19&gt;=8,"◁","◀"),IF($BD19&gt;=8,"□","■")))))</f>
        <v/>
      </c>
      <c r="Q19" s="35">
        <f>IF($BE19=0,"",IF(MOD($BE19,8)=7,IF($BE19&gt;=8,"◇","◆"),IF(MOD($BE19,8)=3,IF($BE19&gt;=8,"▷","▶"),IF(MOD($BE19,8)=5,IF($BE19&gt;=8,"◁","◀"),IF($BE19&gt;=8,"□","■")))))</f>
        <v/>
      </c>
      <c r="R19" s="35">
        <f>IF($BF19=0,"",IF(MOD($BF19,8)=7,IF($BF19&gt;=8,"◇","◆"),IF(MOD($BF19,8)=3,IF($BF19&gt;=8,"▷","▶"),IF(MOD($BF19,8)=5,IF($BF19&gt;=8,"◁","◀"),IF($BF19&gt;=8,"□","■")))))</f>
        <v/>
      </c>
      <c r="S19" s="35">
        <f>IF($BG19=0,"",IF(MOD($BG19,8)=7,IF($BG19&gt;=8,"◇","◆"),IF(MOD($BG19,8)=3,IF($BG19&gt;=8,"▷","▶"),IF(MOD($BG19,8)=5,IF($BG19&gt;=8,"◁","◀"),IF($BG19&gt;=8,"□","■")))))</f>
        <v/>
      </c>
      <c r="T19" s="35">
        <f>IF($BH19=0,"",IF(MOD($BH19,8)=7,IF($BH19&gt;=8,"◇","◆"),IF(MOD($BH19,8)=3,IF($BH19&gt;=8,"▷","▶"),IF(MOD($BH19,8)=5,IF($BH19&gt;=8,"◁","◀"),IF($BH19&gt;=8,"□","■")))))</f>
        <v/>
      </c>
      <c r="U19" s="35">
        <f>IF($BI19=0,"",IF(MOD($BI19,8)=7,IF($BI19&gt;=8,"◇","◆"),IF(MOD($BI19,8)=3,IF($BI19&gt;=8,"▷","▶"),IF(MOD($BI19,8)=5,IF($BI19&gt;=8,"◁","◀"),IF($BI19&gt;=8,"□","■")))))</f>
        <v/>
      </c>
      <c r="V19" s="35">
        <f>IF($BJ19=0,"",IF(MOD($BJ19,8)=7,IF($BJ19&gt;=8,"◇","◆"),IF(MOD($BJ19,8)=3,IF($BJ19&gt;=8,"▷","▶"),IF(MOD($BJ19,8)=5,IF($BJ19&gt;=8,"◁","◀"),IF($BJ19&gt;=8,"□","■")))))</f>
        <v/>
      </c>
      <c r="W19" s="35">
        <f>IF($BK19=0,"",IF(MOD($BK19,8)=7,IF($BK19&gt;=8,"◇","◆"),IF(MOD($BK19,8)=3,IF($BK19&gt;=8,"▷","▶"),IF(MOD($BK19,8)=5,IF($BK19&gt;=8,"◁","◀"),IF($BK19&gt;=8,"□","■")))))</f>
        <v/>
      </c>
      <c r="X19" s="35">
        <f>IF($BL19=0,"",IF(MOD($BL19,8)=7,IF($BL19&gt;=8,"◇","◆"),IF(MOD($BL19,8)=3,IF($BL19&gt;=8,"▷","▶"),IF(MOD($BL19,8)=5,IF($BL19&gt;=8,"◁","◀"),IF($BL19&gt;=8,"□","■")))))</f>
        <v/>
      </c>
      <c r="Y19" s="35">
        <f>IF($BM19=0,"",IF(MOD($BM19,8)=7,IF($BM19&gt;=8,"◇","◆"),IF(MOD($BM19,8)=3,IF($BM19&gt;=8,"▷","▶"),IF(MOD($BM19,8)=5,IF($BM19&gt;=8,"◁","◀"),IF($BM19&gt;=8,"□","■")))))</f>
        <v/>
      </c>
      <c r="Z19" s="35">
        <f>IF($BN19=0,"",IF(MOD($BN19,8)=7,IF($BN19&gt;=8,"◇","◆"),IF(MOD($BN19,8)=3,IF($BN19&gt;=8,"▷","▶"),IF(MOD($BN19,8)=5,IF($BN19&gt;=8,"◁","◀"),IF($BN19&gt;=8,"□","■")))))</f>
        <v/>
      </c>
      <c r="AA19" s="35">
        <f>IF($BO19=0,"",IF(MOD($BO19,8)=7,IF($BO19&gt;=8,"◇","◆"),IF(MOD($BO19,8)=3,IF($BO19&gt;=8,"▷","▶"),IF(MOD($BO19,8)=5,IF($BO19&gt;=8,"◁","◀"),IF($BO19&gt;=8,"□","■")))))</f>
        <v/>
      </c>
      <c r="AB19" s="35">
        <f>IF($BP19=0,"",IF(MOD($BP19,8)=7,IF($BP19&gt;=8,"◇","◆"),IF(MOD($BP19,8)=3,IF($BP19&gt;=8,"▷","▶"),IF(MOD($BP19,8)=5,IF($BP19&gt;=8,"◁","◀"),IF($BP19&gt;=8,"□","■")))))</f>
        <v/>
      </c>
      <c r="AC19" s="35">
        <f>IF($BQ19=0,"",IF(MOD($BQ19,8)=7,IF($BQ19&gt;=8,"◇","◆"),IF(MOD($BQ19,8)=3,IF($BQ19&gt;=8,"▷","▶"),IF(MOD($BQ19,8)=5,IF($BQ19&gt;=8,"◁","◀"),IF($BQ19&gt;=8,"□","■")))))</f>
        <v/>
      </c>
      <c r="AD19" s="35">
        <f>IF($BR19=0,"",IF(MOD($BR19,8)=7,IF($BR19&gt;=8,"◇","◆"),IF(MOD($BR19,8)=3,IF($BR19&gt;=8,"▷","▶"),IF(MOD($BR19,8)=5,IF($BR19&gt;=8,"◁","◀"),IF($BR19&gt;=8,"□","■")))))</f>
        <v/>
      </c>
      <c r="AE19" s="35">
        <f>IF($BS19=0,"",IF(MOD($BS19,8)=7,IF($BS19&gt;=8,"◇","◆"),IF(MOD($BS19,8)=3,IF($BS19&gt;=8,"▷","▶"),IF(MOD($BS19,8)=5,IF($BS19&gt;=8,"◁","◀"),IF($BS19&gt;=8,"□","■")))))</f>
        <v/>
      </c>
      <c r="AF19" s="35">
        <f>IF($BT19=0,"",IF(MOD($BT19,8)=7,IF($BT19&gt;=8,"◇","◆"),IF(MOD($BT19,8)=3,IF($BT19&gt;=8,"▷","▶"),IF(MOD($BT19,8)=5,IF($BT19&gt;=8,"◁","◀"),IF($BT19&gt;=8,"□","■")))))</f>
        <v/>
      </c>
      <c r="AG19" s="36">
        <f>IF($A19="","",COUNTIF($AP19:$BT19,"&gt;0"))</f>
        <v/>
      </c>
      <c r="AP19">
        <f>IF(OR($A19="",B$4=""),0,SUMPRODUCT(('01_予約入力'!$G$5:$G$204&lt;&gt;"")*('01_予約入力'!$N$5:$N$204&lt;&gt;"キャンセル")*('01_予約入力'!$B$5:$B$204=$A19)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19">
        <f>IF(OR($A19="",C$4=""),0,SUMPRODUCT(('01_予約入力'!$G$5:$G$204&lt;&gt;"")*('01_予約入力'!$N$5:$N$204&lt;&gt;"キャンセル")*('01_予約入力'!$B$5:$B$204=$A19)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19">
        <f>IF(OR($A19="",D$4=""),0,SUMPRODUCT(('01_予約入力'!$G$5:$G$204&lt;&gt;"")*('01_予約入力'!$N$5:$N$204&lt;&gt;"キャンセル")*('01_予約入力'!$B$5:$B$204=$A19)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19">
        <f>IF(OR($A19="",E$4=""),0,SUMPRODUCT(('01_予約入力'!$G$5:$G$204&lt;&gt;"")*('01_予約入力'!$N$5:$N$204&lt;&gt;"キャンセル")*('01_予約入力'!$B$5:$B$204=$A19)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19">
        <f>IF(OR($A19="",F$4=""),0,SUMPRODUCT(('01_予約入力'!$G$5:$G$204&lt;&gt;"")*('01_予約入力'!$N$5:$N$204&lt;&gt;"キャンセル")*('01_予約入力'!$B$5:$B$204=$A19)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19">
        <f>IF(OR($A19="",G$4=""),0,SUMPRODUCT(('01_予約入力'!$G$5:$G$204&lt;&gt;"")*('01_予約入力'!$N$5:$N$204&lt;&gt;"キャンセル")*('01_予約入力'!$B$5:$B$204=$A19)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19">
        <f>IF(OR($A19="",H$4=""),0,SUMPRODUCT(('01_予約入力'!$G$5:$G$204&lt;&gt;"")*('01_予約入力'!$N$5:$N$204&lt;&gt;"キャンセル")*('01_予約入力'!$B$5:$B$204=$A19)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19">
        <f>IF(OR($A19="",I$4=""),0,SUMPRODUCT(('01_予約入力'!$G$5:$G$204&lt;&gt;"")*('01_予約入力'!$N$5:$N$204&lt;&gt;"キャンセル")*('01_予約入力'!$B$5:$B$204=$A19)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19">
        <f>IF(OR($A19="",J$4=""),0,SUMPRODUCT(('01_予約入力'!$G$5:$G$204&lt;&gt;"")*('01_予約入力'!$N$5:$N$204&lt;&gt;"キャンセル")*('01_予約入力'!$B$5:$B$204=$A19)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19">
        <f>IF(OR($A19="",K$4=""),0,SUMPRODUCT(('01_予約入力'!$G$5:$G$204&lt;&gt;"")*('01_予約入力'!$N$5:$N$204&lt;&gt;"キャンセル")*('01_予約入力'!$B$5:$B$204=$A19)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19">
        <f>IF(OR($A19="",L$4=""),0,SUMPRODUCT(('01_予約入力'!$G$5:$G$204&lt;&gt;"")*('01_予約入力'!$N$5:$N$204&lt;&gt;"キャンセル")*('01_予約入力'!$B$5:$B$204=$A19)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19">
        <f>IF(OR($A19="",M$4=""),0,SUMPRODUCT(('01_予約入力'!$G$5:$G$204&lt;&gt;"")*('01_予約入力'!$N$5:$N$204&lt;&gt;"キャンセル")*('01_予約入力'!$B$5:$B$204=$A19)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19">
        <f>IF(OR($A19="",N$4=""),0,SUMPRODUCT(('01_予約入力'!$G$5:$G$204&lt;&gt;"")*('01_予約入力'!$N$5:$N$204&lt;&gt;"キャンセル")*('01_予約入力'!$B$5:$B$204=$A19)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19">
        <f>IF(OR($A19="",O$4=""),0,SUMPRODUCT(('01_予約入力'!$G$5:$G$204&lt;&gt;"")*('01_予約入力'!$N$5:$N$204&lt;&gt;"キャンセル")*('01_予約入力'!$B$5:$B$204=$A19)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19">
        <f>IF(OR($A19="",P$4=""),0,SUMPRODUCT(('01_予約入力'!$G$5:$G$204&lt;&gt;"")*('01_予約入力'!$N$5:$N$204&lt;&gt;"キャンセル")*('01_予約入力'!$B$5:$B$204=$A19)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19">
        <f>IF(OR($A19="",Q$4=""),0,SUMPRODUCT(('01_予約入力'!$G$5:$G$204&lt;&gt;"")*('01_予約入力'!$N$5:$N$204&lt;&gt;"キャンセル")*('01_予約入力'!$B$5:$B$204=$A19)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19">
        <f>IF(OR($A19="",R$4=""),0,SUMPRODUCT(('01_予約入力'!$G$5:$G$204&lt;&gt;"")*('01_予約入力'!$N$5:$N$204&lt;&gt;"キャンセル")*('01_予約入力'!$B$5:$B$204=$A19)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19">
        <f>IF(OR($A19="",S$4=""),0,SUMPRODUCT(('01_予約入力'!$G$5:$G$204&lt;&gt;"")*('01_予約入力'!$N$5:$N$204&lt;&gt;"キャンセル")*('01_予約入力'!$B$5:$B$204=$A19)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19">
        <f>IF(OR($A19="",T$4=""),0,SUMPRODUCT(('01_予約入力'!$G$5:$G$204&lt;&gt;"")*('01_予約入力'!$N$5:$N$204&lt;&gt;"キャンセル")*('01_予約入力'!$B$5:$B$204=$A19)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19">
        <f>IF(OR($A19="",U$4=""),0,SUMPRODUCT(('01_予約入力'!$G$5:$G$204&lt;&gt;"")*('01_予約入力'!$N$5:$N$204&lt;&gt;"キャンセル")*('01_予約入力'!$B$5:$B$204=$A19)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19">
        <f>IF(OR($A19="",V$4=""),0,SUMPRODUCT(('01_予約入力'!$G$5:$G$204&lt;&gt;"")*('01_予約入力'!$N$5:$N$204&lt;&gt;"キャンセル")*('01_予約入力'!$B$5:$B$204=$A19)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19">
        <f>IF(OR($A19="",W$4=""),0,SUMPRODUCT(('01_予約入力'!$G$5:$G$204&lt;&gt;"")*('01_予約入力'!$N$5:$N$204&lt;&gt;"キャンセル")*('01_予約入力'!$B$5:$B$204=$A19)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19">
        <f>IF(OR($A19="",X$4=""),0,SUMPRODUCT(('01_予約入力'!$G$5:$G$204&lt;&gt;"")*('01_予約入力'!$N$5:$N$204&lt;&gt;"キャンセル")*('01_予約入力'!$B$5:$B$204=$A19)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19">
        <f>IF(OR($A19="",Y$4=""),0,SUMPRODUCT(('01_予約入力'!$G$5:$G$204&lt;&gt;"")*('01_予約入力'!$N$5:$N$204&lt;&gt;"キャンセル")*('01_予約入力'!$B$5:$B$204=$A19)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19">
        <f>IF(OR($A19="",Z$4=""),0,SUMPRODUCT(('01_予約入力'!$G$5:$G$204&lt;&gt;"")*('01_予約入力'!$N$5:$N$204&lt;&gt;"キャンセル")*('01_予約入力'!$B$5:$B$204=$A19)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19">
        <f>IF(OR($A19="",AA$4=""),0,SUMPRODUCT(('01_予約入力'!$G$5:$G$204&lt;&gt;"")*('01_予約入力'!$N$5:$N$204&lt;&gt;"キャンセル")*('01_予約入力'!$B$5:$B$204=$A19)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19">
        <f>IF(OR($A19="",AB$4=""),0,SUMPRODUCT(('01_予約入力'!$G$5:$G$204&lt;&gt;"")*('01_予約入力'!$N$5:$N$204&lt;&gt;"キャンセル")*('01_予約入力'!$B$5:$B$204=$A19)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19">
        <f>IF(OR($A19="",AC$4=""),0,SUMPRODUCT(('01_予約入力'!$G$5:$G$204&lt;&gt;"")*('01_予約入力'!$N$5:$N$204&lt;&gt;"キャンセル")*('01_予約入力'!$B$5:$B$204=$A19)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19">
        <f>IF(OR($A19="",AD$4=""),0,SUMPRODUCT(('01_予約入力'!$G$5:$G$204&lt;&gt;"")*('01_予約入力'!$N$5:$N$204&lt;&gt;"キャンセル")*('01_予約入力'!$B$5:$B$204=$A19)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19">
        <f>IF(OR($A19="",AE$4=""),0,SUMPRODUCT(('01_予約入力'!$G$5:$G$204&lt;&gt;"")*('01_予約入力'!$N$5:$N$204&lt;&gt;"キャンセル")*('01_予約入力'!$B$5:$B$204=$A19)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19">
        <f>IF(OR($A19="",AF$4=""),0,SUMPRODUCT(('01_予約入力'!$G$5:$G$204&lt;&gt;"")*('01_予約入力'!$N$5:$N$204&lt;&gt;"キャンセル")*('01_予約入力'!$B$5:$B$204=$A19)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20">
      <c r="A20" s="34">
        <f>IF(COUNTA('利用者マスタ'!$A$4:$A$60)&gt;=14,INDEX('利用者マスタ'!$A$4:$A$60,14),"")</f>
        <v/>
      </c>
      <c r="B20" s="35">
        <f>IF($AP20=0,"",IF(MOD($AP20,8)=7,IF($AP20&gt;=8,"◇","◆"),IF(MOD($AP20,8)=3,IF($AP20&gt;=8,"▷","▶"),IF(MOD($AP20,8)=5,IF($AP20&gt;=8,"◁","◀"),IF($AP20&gt;=8,"□","■")))))</f>
        <v/>
      </c>
      <c r="C20" s="35">
        <f>IF($AQ20=0,"",IF(MOD($AQ20,8)=7,IF($AQ20&gt;=8,"◇","◆"),IF(MOD($AQ20,8)=3,IF($AQ20&gt;=8,"▷","▶"),IF(MOD($AQ20,8)=5,IF($AQ20&gt;=8,"◁","◀"),IF($AQ20&gt;=8,"□","■")))))</f>
        <v/>
      </c>
      <c r="D20" s="35">
        <f>IF($AR20=0,"",IF(MOD($AR20,8)=7,IF($AR20&gt;=8,"◇","◆"),IF(MOD($AR20,8)=3,IF($AR20&gt;=8,"▷","▶"),IF(MOD($AR20,8)=5,IF($AR20&gt;=8,"◁","◀"),IF($AR20&gt;=8,"□","■")))))</f>
        <v/>
      </c>
      <c r="E20" s="35">
        <f>IF($AS20=0,"",IF(MOD($AS20,8)=7,IF($AS20&gt;=8,"◇","◆"),IF(MOD($AS20,8)=3,IF($AS20&gt;=8,"▷","▶"),IF(MOD($AS20,8)=5,IF($AS20&gt;=8,"◁","◀"),IF($AS20&gt;=8,"□","■")))))</f>
        <v/>
      </c>
      <c r="F20" s="35">
        <f>IF($AT20=0,"",IF(MOD($AT20,8)=7,IF($AT20&gt;=8,"◇","◆"),IF(MOD($AT20,8)=3,IF($AT20&gt;=8,"▷","▶"),IF(MOD($AT20,8)=5,IF($AT20&gt;=8,"◁","◀"),IF($AT20&gt;=8,"□","■")))))</f>
        <v/>
      </c>
      <c r="G20" s="35">
        <f>IF($AU20=0,"",IF(MOD($AU20,8)=7,IF($AU20&gt;=8,"◇","◆"),IF(MOD($AU20,8)=3,IF($AU20&gt;=8,"▷","▶"),IF(MOD($AU20,8)=5,IF($AU20&gt;=8,"◁","◀"),IF($AU20&gt;=8,"□","■")))))</f>
        <v/>
      </c>
      <c r="H20" s="35">
        <f>IF($AV20=0,"",IF(MOD($AV20,8)=7,IF($AV20&gt;=8,"◇","◆"),IF(MOD($AV20,8)=3,IF($AV20&gt;=8,"▷","▶"),IF(MOD($AV20,8)=5,IF($AV20&gt;=8,"◁","◀"),IF($AV20&gt;=8,"□","■")))))</f>
        <v/>
      </c>
      <c r="I20" s="35">
        <f>IF($AW20=0,"",IF(MOD($AW20,8)=7,IF($AW20&gt;=8,"◇","◆"),IF(MOD($AW20,8)=3,IF($AW20&gt;=8,"▷","▶"),IF(MOD($AW20,8)=5,IF($AW20&gt;=8,"◁","◀"),IF($AW20&gt;=8,"□","■")))))</f>
        <v/>
      </c>
      <c r="J20" s="35">
        <f>IF($AX20=0,"",IF(MOD($AX20,8)=7,IF($AX20&gt;=8,"◇","◆"),IF(MOD($AX20,8)=3,IF($AX20&gt;=8,"▷","▶"),IF(MOD($AX20,8)=5,IF($AX20&gt;=8,"◁","◀"),IF($AX20&gt;=8,"□","■")))))</f>
        <v/>
      </c>
      <c r="K20" s="35">
        <f>IF($AY20=0,"",IF(MOD($AY20,8)=7,IF($AY20&gt;=8,"◇","◆"),IF(MOD($AY20,8)=3,IF($AY20&gt;=8,"▷","▶"),IF(MOD($AY20,8)=5,IF($AY20&gt;=8,"◁","◀"),IF($AY20&gt;=8,"□","■")))))</f>
        <v/>
      </c>
      <c r="L20" s="35">
        <f>IF($AZ20=0,"",IF(MOD($AZ20,8)=7,IF($AZ20&gt;=8,"◇","◆"),IF(MOD($AZ20,8)=3,IF($AZ20&gt;=8,"▷","▶"),IF(MOD($AZ20,8)=5,IF($AZ20&gt;=8,"◁","◀"),IF($AZ20&gt;=8,"□","■")))))</f>
        <v/>
      </c>
      <c r="M20" s="35">
        <f>IF($BA20=0,"",IF(MOD($BA20,8)=7,IF($BA20&gt;=8,"◇","◆"),IF(MOD($BA20,8)=3,IF($BA20&gt;=8,"▷","▶"),IF(MOD($BA20,8)=5,IF($BA20&gt;=8,"◁","◀"),IF($BA20&gt;=8,"□","■")))))</f>
        <v/>
      </c>
      <c r="N20" s="35">
        <f>IF($BB20=0,"",IF(MOD($BB20,8)=7,IF($BB20&gt;=8,"◇","◆"),IF(MOD($BB20,8)=3,IF($BB20&gt;=8,"▷","▶"),IF(MOD($BB20,8)=5,IF($BB20&gt;=8,"◁","◀"),IF($BB20&gt;=8,"□","■")))))</f>
        <v/>
      </c>
      <c r="O20" s="35">
        <f>IF($BC20=0,"",IF(MOD($BC20,8)=7,IF($BC20&gt;=8,"◇","◆"),IF(MOD($BC20,8)=3,IF($BC20&gt;=8,"▷","▶"),IF(MOD($BC20,8)=5,IF($BC20&gt;=8,"◁","◀"),IF($BC20&gt;=8,"□","■")))))</f>
        <v/>
      </c>
      <c r="P20" s="35">
        <f>IF($BD20=0,"",IF(MOD($BD20,8)=7,IF($BD20&gt;=8,"◇","◆"),IF(MOD($BD20,8)=3,IF($BD20&gt;=8,"▷","▶"),IF(MOD($BD20,8)=5,IF($BD20&gt;=8,"◁","◀"),IF($BD20&gt;=8,"□","■")))))</f>
        <v/>
      </c>
      <c r="Q20" s="35">
        <f>IF($BE20=0,"",IF(MOD($BE20,8)=7,IF($BE20&gt;=8,"◇","◆"),IF(MOD($BE20,8)=3,IF($BE20&gt;=8,"▷","▶"),IF(MOD($BE20,8)=5,IF($BE20&gt;=8,"◁","◀"),IF($BE20&gt;=8,"□","■")))))</f>
        <v/>
      </c>
      <c r="R20" s="35">
        <f>IF($BF20=0,"",IF(MOD($BF20,8)=7,IF($BF20&gt;=8,"◇","◆"),IF(MOD($BF20,8)=3,IF($BF20&gt;=8,"▷","▶"),IF(MOD($BF20,8)=5,IF($BF20&gt;=8,"◁","◀"),IF($BF20&gt;=8,"□","■")))))</f>
        <v/>
      </c>
      <c r="S20" s="35">
        <f>IF($BG20=0,"",IF(MOD($BG20,8)=7,IF($BG20&gt;=8,"◇","◆"),IF(MOD($BG20,8)=3,IF($BG20&gt;=8,"▷","▶"),IF(MOD($BG20,8)=5,IF($BG20&gt;=8,"◁","◀"),IF($BG20&gt;=8,"□","■")))))</f>
        <v/>
      </c>
      <c r="T20" s="35">
        <f>IF($BH20=0,"",IF(MOD($BH20,8)=7,IF($BH20&gt;=8,"◇","◆"),IF(MOD($BH20,8)=3,IF($BH20&gt;=8,"▷","▶"),IF(MOD($BH20,8)=5,IF($BH20&gt;=8,"◁","◀"),IF($BH20&gt;=8,"□","■")))))</f>
        <v/>
      </c>
      <c r="U20" s="35">
        <f>IF($BI20=0,"",IF(MOD($BI20,8)=7,IF($BI20&gt;=8,"◇","◆"),IF(MOD($BI20,8)=3,IF($BI20&gt;=8,"▷","▶"),IF(MOD($BI20,8)=5,IF($BI20&gt;=8,"◁","◀"),IF($BI20&gt;=8,"□","■")))))</f>
        <v/>
      </c>
      <c r="V20" s="35">
        <f>IF($BJ20=0,"",IF(MOD($BJ20,8)=7,IF($BJ20&gt;=8,"◇","◆"),IF(MOD($BJ20,8)=3,IF($BJ20&gt;=8,"▷","▶"),IF(MOD($BJ20,8)=5,IF($BJ20&gt;=8,"◁","◀"),IF($BJ20&gt;=8,"□","■")))))</f>
        <v/>
      </c>
      <c r="W20" s="35">
        <f>IF($BK20=0,"",IF(MOD($BK20,8)=7,IF($BK20&gt;=8,"◇","◆"),IF(MOD($BK20,8)=3,IF($BK20&gt;=8,"▷","▶"),IF(MOD($BK20,8)=5,IF($BK20&gt;=8,"◁","◀"),IF($BK20&gt;=8,"□","■")))))</f>
        <v/>
      </c>
      <c r="X20" s="35">
        <f>IF($BL20=0,"",IF(MOD($BL20,8)=7,IF($BL20&gt;=8,"◇","◆"),IF(MOD($BL20,8)=3,IF($BL20&gt;=8,"▷","▶"),IF(MOD($BL20,8)=5,IF($BL20&gt;=8,"◁","◀"),IF($BL20&gt;=8,"□","■")))))</f>
        <v/>
      </c>
      <c r="Y20" s="35">
        <f>IF($BM20=0,"",IF(MOD($BM20,8)=7,IF($BM20&gt;=8,"◇","◆"),IF(MOD($BM20,8)=3,IF($BM20&gt;=8,"▷","▶"),IF(MOD($BM20,8)=5,IF($BM20&gt;=8,"◁","◀"),IF($BM20&gt;=8,"□","■")))))</f>
        <v/>
      </c>
      <c r="Z20" s="35">
        <f>IF($BN20=0,"",IF(MOD($BN20,8)=7,IF($BN20&gt;=8,"◇","◆"),IF(MOD($BN20,8)=3,IF($BN20&gt;=8,"▷","▶"),IF(MOD($BN20,8)=5,IF($BN20&gt;=8,"◁","◀"),IF($BN20&gt;=8,"□","■")))))</f>
        <v/>
      </c>
      <c r="AA20" s="35">
        <f>IF($BO20=0,"",IF(MOD($BO20,8)=7,IF($BO20&gt;=8,"◇","◆"),IF(MOD($BO20,8)=3,IF($BO20&gt;=8,"▷","▶"),IF(MOD($BO20,8)=5,IF($BO20&gt;=8,"◁","◀"),IF($BO20&gt;=8,"□","■")))))</f>
        <v/>
      </c>
      <c r="AB20" s="35">
        <f>IF($BP20=0,"",IF(MOD($BP20,8)=7,IF($BP20&gt;=8,"◇","◆"),IF(MOD($BP20,8)=3,IF($BP20&gt;=8,"▷","▶"),IF(MOD($BP20,8)=5,IF($BP20&gt;=8,"◁","◀"),IF($BP20&gt;=8,"□","■")))))</f>
        <v/>
      </c>
      <c r="AC20" s="35">
        <f>IF($BQ20=0,"",IF(MOD($BQ20,8)=7,IF($BQ20&gt;=8,"◇","◆"),IF(MOD($BQ20,8)=3,IF($BQ20&gt;=8,"▷","▶"),IF(MOD($BQ20,8)=5,IF($BQ20&gt;=8,"◁","◀"),IF($BQ20&gt;=8,"□","■")))))</f>
        <v/>
      </c>
      <c r="AD20" s="35">
        <f>IF($BR20=0,"",IF(MOD($BR20,8)=7,IF($BR20&gt;=8,"◇","◆"),IF(MOD($BR20,8)=3,IF($BR20&gt;=8,"▷","▶"),IF(MOD($BR20,8)=5,IF($BR20&gt;=8,"◁","◀"),IF($BR20&gt;=8,"□","■")))))</f>
        <v/>
      </c>
      <c r="AE20" s="35">
        <f>IF($BS20=0,"",IF(MOD($BS20,8)=7,IF($BS20&gt;=8,"◇","◆"),IF(MOD($BS20,8)=3,IF($BS20&gt;=8,"▷","▶"),IF(MOD($BS20,8)=5,IF($BS20&gt;=8,"◁","◀"),IF($BS20&gt;=8,"□","■")))))</f>
        <v/>
      </c>
      <c r="AF20" s="35">
        <f>IF($BT20=0,"",IF(MOD($BT20,8)=7,IF($BT20&gt;=8,"◇","◆"),IF(MOD($BT20,8)=3,IF($BT20&gt;=8,"▷","▶"),IF(MOD($BT20,8)=5,IF($BT20&gt;=8,"◁","◀"),IF($BT20&gt;=8,"□","■")))))</f>
        <v/>
      </c>
      <c r="AG20" s="36">
        <f>IF($A20="","",COUNTIF($AP20:$BT20,"&gt;0"))</f>
        <v/>
      </c>
      <c r="AP20">
        <f>IF(OR($A20="",B$4=""),0,SUMPRODUCT(('01_予約入力'!$G$5:$G$204&lt;&gt;"")*('01_予約入力'!$N$5:$N$204&lt;&gt;"キャンセル")*('01_予約入力'!$B$5:$B$204=$A20)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20">
        <f>IF(OR($A20="",C$4=""),0,SUMPRODUCT(('01_予約入力'!$G$5:$G$204&lt;&gt;"")*('01_予約入力'!$N$5:$N$204&lt;&gt;"キャンセル")*('01_予約入力'!$B$5:$B$204=$A20)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20">
        <f>IF(OR($A20="",D$4=""),0,SUMPRODUCT(('01_予約入力'!$G$5:$G$204&lt;&gt;"")*('01_予約入力'!$N$5:$N$204&lt;&gt;"キャンセル")*('01_予約入力'!$B$5:$B$204=$A20)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20">
        <f>IF(OR($A20="",E$4=""),0,SUMPRODUCT(('01_予約入力'!$G$5:$G$204&lt;&gt;"")*('01_予約入力'!$N$5:$N$204&lt;&gt;"キャンセル")*('01_予約入力'!$B$5:$B$204=$A20)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20">
        <f>IF(OR($A20="",F$4=""),0,SUMPRODUCT(('01_予約入力'!$G$5:$G$204&lt;&gt;"")*('01_予約入力'!$N$5:$N$204&lt;&gt;"キャンセル")*('01_予約入力'!$B$5:$B$204=$A20)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20">
        <f>IF(OR($A20="",G$4=""),0,SUMPRODUCT(('01_予約入力'!$G$5:$G$204&lt;&gt;"")*('01_予約入力'!$N$5:$N$204&lt;&gt;"キャンセル")*('01_予約入力'!$B$5:$B$204=$A20)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20">
        <f>IF(OR($A20="",H$4=""),0,SUMPRODUCT(('01_予約入力'!$G$5:$G$204&lt;&gt;"")*('01_予約入力'!$N$5:$N$204&lt;&gt;"キャンセル")*('01_予約入力'!$B$5:$B$204=$A20)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20">
        <f>IF(OR($A20="",I$4=""),0,SUMPRODUCT(('01_予約入力'!$G$5:$G$204&lt;&gt;"")*('01_予約入力'!$N$5:$N$204&lt;&gt;"キャンセル")*('01_予約入力'!$B$5:$B$204=$A20)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20">
        <f>IF(OR($A20="",J$4=""),0,SUMPRODUCT(('01_予約入力'!$G$5:$G$204&lt;&gt;"")*('01_予約入力'!$N$5:$N$204&lt;&gt;"キャンセル")*('01_予約入力'!$B$5:$B$204=$A20)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20">
        <f>IF(OR($A20="",K$4=""),0,SUMPRODUCT(('01_予約入力'!$G$5:$G$204&lt;&gt;"")*('01_予約入力'!$N$5:$N$204&lt;&gt;"キャンセル")*('01_予約入力'!$B$5:$B$204=$A20)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20">
        <f>IF(OR($A20="",L$4=""),0,SUMPRODUCT(('01_予約入力'!$G$5:$G$204&lt;&gt;"")*('01_予約入力'!$N$5:$N$204&lt;&gt;"キャンセル")*('01_予約入力'!$B$5:$B$204=$A20)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20">
        <f>IF(OR($A20="",M$4=""),0,SUMPRODUCT(('01_予約入力'!$G$5:$G$204&lt;&gt;"")*('01_予約入力'!$N$5:$N$204&lt;&gt;"キャンセル")*('01_予約入力'!$B$5:$B$204=$A20)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20">
        <f>IF(OR($A20="",N$4=""),0,SUMPRODUCT(('01_予約入力'!$G$5:$G$204&lt;&gt;"")*('01_予約入力'!$N$5:$N$204&lt;&gt;"キャンセル")*('01_予約入力'!$B$5:$B$204=$A20)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20">
        <f>IF(OR($A20="",O$4=""),0,SUMPRODUCT(('01_予約入力'!$G$5:$G$204&lt;&gt;"")*('01_予約入力'!$N$5:$N$204&lt;&gt;"キャンセル")*('01_予約入力'!$B$5:$B$204=$A20)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20">
        <f>IF(OR($A20="",P$4=""),0,SUMPRODUCT(('01_予約入力'!$G$5:$G$204&lt;&gt;"")*('01_予約入力'!$N$5:$N$204&lt;&gt;"キャンセル")*('01_予約入力'!$B$5:$B$204=$A20)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20">
        <f>IF(OR($A20="",Q$4=""),0,SUMPRODUCT(('01_予約入力'!$G$5:$G$204&lt;&gt;"")*('01_予約入力'!$N$5:$N$204&lt;&gt;"キャンセル")*('01_予約入力'!$B$5:$B$204=$A20)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20">
        <f>IF(OR($A20="",R$4=""),0,SUMPRODUCT(('01_予約入力'!$G$5:$G$204&lt;&gt;"")*('01_予約入力'!$N$5:$N$204&lt;&gt;"キャンセル")*('01_予約入力'!$B$5:$B$204=$A20)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20">
        <f>IF(OR($A20="",S$4=""),0,SUMPRODUCT(('01_予約入力'!$G$5:$G$204&lt;&gt;"")*('01_予約入力'!$N$5:$N$204&lt;&gt;"キャンセル")*('01_予約入力'!$B$5:$B$204=$A20)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20">
        <f>IF(OR($A20="",T$4=""),0,SUMPRODUCT(('01_予約入力'!$G$5:$G$204&lt;&gt;"")*('01_予約入力'!$N$5:$N$204&lt;&gt;"キャンセル")*('01_予約入力'!$B$5:$B$204=$A20)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20">
        <f>IF(OR($A20="",U$4=""),0,SUMPRODUCT(('01_予約入力'!$G$5:$G$204&lt;&gt;"")*('01_予約入力'!$N$5:$N$204&lt;&gt;"キャンセル")*('01_予約入力'!$B$5:$B$204=$A20)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20">
        <f>IF(OR($A20="",V$4=""),0,SUMPRODUCT(('01_予約入力'!$G$5:$G$204&lt;&gt;"")*('01_予約入力'!$N$5:$N$204&lt;&gt;"キャンセル")*('01_予約入力'!$B$5:$B$204=$A20)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20">
        <f>IF(OR($A20="",W$4=""),0,SUMPRODUCT(('01_予約入力'!$G$5:$G$204&lt;&gt;"")*('01_予約入力'!$N$5:$N$204&lt;&gt;"キャンセル")*('01_予約入力'!$B$5:$B$204=$A20)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20">
        <f>IF(OR($A20="",X$4=""),0,SUMPRODUCT(('01_予約入力'!$G$5:$G$204&lt;&gt;"")*('01_予約入力'!$N$5:$N$204&lt;&gt;"キャンセル")*('01_予約入力'!$B$5:$B$204=$A20)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20">
        <f>IF(OR($A20="",Y$4=""),0,SUMPRODUCT(('01_予約入力'!$G$5:$G$204&lt;&gt;"")*('01_予約入力'!$N$5:$N$204&lt;&gt;"キャンセル")*('01_予約入力'!$B$5:$B$204=$A20)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20">
        <f>IF(OR($A20="",Z$4=""),0,SUMPRODUCT(('01_予約入力'!$G$5:$G$204&lt;&gt;"")*('01_予約入力'!$N$5:$N$204&lt;&gt;"キャンセル")*('01_予約入力'!$B$5:$B$204=$A20)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20">
        <f>IF(OR($A20="",AA$4=""),0,SUMPRODUCT(('01_予約入力'!$G$5:$G$204&lt;&gt;"")*('01_予約入力'!$N$5:$N$204&lt;&gt;"キャンセル")*('01_予約入力'!$B$5:$B$204=$A20)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20">
        <f>IF(OR($A20="",AB$4=""),0,SUMPRODUCT(('01_予約入力'!$G$5:$G$204&lt;&gt;"")*('01_予約入力'!$N$5:$N$204&lt;&gt;"キャンセル")*('01_予約入力'!$B$5:$B$204=$A20)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20">
        <f>IF(OR($A20="",AC$4=""),0,SUMPRODUCT(('01_予約入力'!$G$5:$G$204&lt;&gt;"")*('01_予約入力'!$N$5:$N$204&lt;&gt;"キャンセル")*('01_予約入力'!$B$5:$B$204=$A20)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20">
        <f>IF(OR($A20="",AD$4=""),0,SUMPRODUCT(('01_予約入力'!$G$5:$G$204&lt;&gt;"")*('01_予約入力'!$N$5:$N$204&lt;&gt;"キャンセル")*('01_予約入力'!$B$5:$B$204=$A20)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20">
        <f>IF(OR($A20="",AE$4=""),0,SUMPRODUCT(('01_予約入力'!$G$5:$G$204&lt;&gt;"")*('01_予約入力'!$N$5:$N$204&lt;&gt;"キャンセル")*('01_予約入力'!$B$5:$B$204=$A20)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20">
        <f>IF(OR($A20="",AF$4=""),0,SUMPRODUCT(('01_予約入力'!$G$5:$G$204&lt;&gt;"")*('01_予約入力'!$N$5:$N$204&lt;&gt;"キャンセル")*('01_予約入力'!$B$5:$B$204=$A20)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21">
      <c r="A21" s="34">
        <f>IF(COUNTA('利用者マスタ'!$A$4:$A$60)&gt;=15,INDEX('利用者マスタ'!$A$4:$A$60,15),"")</f>
        <v/>
      </c>
      <c r="B21" s="35">
        <f>IF($AP21=0,"",IF(MOD($AP21,8)=7,IF($AP21&gt;=8,"◇","◆"),IF(MOD($AP21,8)=3,IF($AP21&gt;=8,"▷","▶"),IF(MOD($AP21,8)=5,IF($AP21&gt;=8,"◁","◀"),IF($AP21&gt;=8,"□","■")))))</f>
        <v/>
      </c>
      <c r="C21" s="35">
        <f>IF($AQ21=0,"",IF(MOD($AQ21,8)=7,IF($AQ21&gt;=8,"◇","◆"),IF(MOD($AQ21,8)=3,IF($AQ21&gt;=8,"▷","▶"),IF(MOD($AQ21,8)=5,IF($AQ21&gt;=8,"◁","◀"),IF($AQ21&gt;=8,"□","■")))))</f>
        <v/>
      </c>
      <c r="D21" s="35">
        <f>IF($AR21=0,"",IF(MOD($AR21,8)=7,IF($AR21&gt;=8,"◇","◆"),IF(MOD($AR21,8)=3,IF($AR21&gt;=8,"▷","▶"),IF(MOD($AR21,8)=5,IF($AR21&gt;=8,"◁","◀"),IF($AR21&gt;=8,"□","■")))))</f>
        <v/>
      </c>
      <c r="E21" s="35">
        <f>IF($AS21=0,"",IF(MOD($AS21,8)=7,IF($AS21&gt;=8,"◇","◆"),IF(MOD($AS21,8)=3,IF($AS21&gt;=8,"▷","▶"),IF(MOD($AS21,8)=5,IF($AS21&gt;=8,"◁","◀"),IF($AS21&gt;=8,"□","■")))))</f>
        <v/>
      </c>
      <c r="F21" s="35">
        <f>IF($AT21=0,"",IF(MOD($AT21,8)=7,IF($AT21&gt;=8,"◇","◆"),IF(MOD($AT21,8)=3,IF($AT21&gt;=8,"▷","▶"),IF(MOD($AT21,8)=5,IF($AT21&gt;=8,"◁","◀"),IF($AT21&gt;=8,"□","■")))))</f>
        <v/>
      </c>
      <c r="G21" s="35">
        <f>IF($AU21=0,"",IF(MOD($AU21,8)=7,IF($AU21&gt;=8,"◇","◆"),IF(MOD($AU21,8)=3,IF($AU21&gt;=8,"▷","▶"),IF(MOD($AU21,8)=5,IF($AU21&gt;=8,"◁","◀"),IF($AU21&gt;=8,"□","■")))))</f>
        <v/>
      </c>
      <c r="H21" s="35">
        <f>IF($AV21=0,"",IF(MOD($AV21,8)=7,IF($AV21&gt;=8,"◇","◆"),IF(MOD($AV21,8)=3,IF($AV21&gt;=8,"▷","▶"),IF(MOD($AV21,8)=5,IF($AV21&gt;=8,"◁","◀"),IF($AV21&gt;=8,"□","■")))))</f>
        <v/>
      </c>
      <c r="I21" s="35">
        <f>IF($AW21=0,"",IF(MOD($AW21,8)=7,IF($AW21&gt;=8,"◇","◆"),IF(MOD($AW21,8)=3,IF($AW21&gt;=8,"▷","▶"),IF(MOD($AW21,8)=5,IF($AW21&gt;=8,"◁","◀"),IF($AW21&gt;=8,"□","■")))))</f>
        <v/>
      </c>
      <c r="J21" s="35">
        <f>IF($AX21=0,"",IF(MOD($AX21,8)=7,IF($AX21&gt;=8,"◇","◆"),IF(MOD($AX21,8)=3,IF($AX21&gt;=8,"▷","▶"),IF(MOD($AX21,8)=5,IF($AX21&gt;=8,"◁","◀"),IF($AX21&gt;=8,"□","■")))))</f>
        <v/>
      </c>
      <c r="K21" s="35">
        <f>IF($AY21=0,"",IF(MOD($AY21,8)=7,IF($AY21&gt;=8,"◇","◆"),IF(MOD($AY21,8)=3,IF($AY21&gt;=8,"▷","▶"),IF(MOD($AY21,8)=5,IF($AY21&gt;=8,"◁","◀"),IF($AY21&gt;=8,"□","■")))))</f>
        <v/>
      </c>
      <c r="L21" s="35">
        <f>IF($AZ21=0,"",IF(MOD($AZ21,8)=7,IF($AZ21&gt;=8,"◇","◆"),IF(MOD($AZ21,8)=3,IF($AZ21&gt;=8,"▷","▶"),IF(MOD($AZ21,8)=5,IF($AZ21&gt;=8,"◁","◀"),IF($AZ21&gt;=8,"□","■")))))</f>
        <v/>
      </c>
      <c r="M21" s="35">
        <f>IF($BA21=0,"",IF(MOD($BA21,8)=7,IF($BA21&gt;=8,"◇","◆"),IF(MOD($BA21,8)=3,IF($BA21&gt;=8,"▷","▶"),IF(MOD($BA21,8)=5,IF($BA21&gt;=8,"◁","◀"),IF($BA21&gt;=8,"□","■")))))</f>
        <v/>
      </c>
      <c r="N21" s="35">
        <f>IF($BB21=0,"",IF(MOD($BB21,8)=7,IF($BB21&gt;=8,"◇","◆"),IF(MOD($BB21,8)=3,IF($BB21&gt;=8,"▷","▶"),IF(MOD($BB21,8)=5,IF($BB21&gt;=8,"◁","◀"),IF($BB21&gt;=8,"□","■")))))</f>
        <v/>
      </c>
      <c r="O21" s="35">
        <f>IF($BC21=0,"",IF(MOD($BC21,8)=7,IF($BC21&gt;=8,"◇","◆"),IF(MOD($BC21,8)=3,IF($BC21&gt;=8,"▷","▶"),IF(MOD($BC21,8)=5,IF($BC21&gt;=8,"◁","◀"),IF($BC21&gt;=8,"□","■")))))</f>
        <v/>
      </c>
      <c r="P21" s="35">
        <f>IF($BD21=0,"",IF(MOD($BD21,8)=7,IF($BD21&gt;=8,"◇","◆"),IF(MOD($BD21,8)=3,IF($BD21&gt;=8,"▷","▶"),IF(MOD($BD21,8)=5,IF($BD21&gt;=8,"◁","◀"),IF($BD21&gt;=8,"□","■")))))</f>
        <v/>
      </c>
      <c r="Q21" s="35">
        <f>IF($BE21=0,"",IF(MOD($BE21,8)=7,IF($BE21&gt;=8,"◇","◆"),IF(MOD($BE21,8)=3,IF($BE21&gt;=8,"▷","▶"),IF(MOD($BE21,8)=5,IF($BE21&gt;=8,"◁","◀"),IF($BE21&gt;=8,"□","■")))))</f>
        <v/>
      </c>
      <c r="R21" s="35">
        <f>IF($BF21=0,"",IF(MOD($BF21,8)=7,IF($BF21&gt;=8,"◇","◆"),IF(MOD($BF21,8)=3,IF($BF21&gt;=8,"▷","▶"),IF(MOD($BF21,8)=5,IF($BF21&gt;=8,"◁","◀"),IF($BF21&gt;=8,"□","■")))))</f>
        <v/>
      </c>
      <c r="S21" s="35">
        <f>IF($BG21=0,"",IF(MOD($BG21,8)=7,IF($BG21&gt;=8,"◇","◆"),IF(MOD($BG21,8)=3,IF($BG21&gt;=8,"▷","▶"),IF(MOD($BG21,8)=5,IF($BG21&gt;=8,"◁","◀"),IF($BG21&gt;=8,"□","■")))))</f>
        <v/>
      </c>
      <c r="T21" s="35">
        <f>IF($BH21=0,"",IF(MOD($BH21,8)=7,IF($BH21&gt;=8,"◇","◆"),IF(MOD($BH21,8)=3,IF($BH21&gt;=8,"▷","▶"),IF(MOD($BH21,8)=5,IF($BH21&gt;=8,"◁","◀"),IF($BH21&gt;=8,"□","■")))))</f>
        <v/>
      </c>
      <c r="U21" s="35">
        <f>IF($BI21=0,"",IF(MOD($BI21,8)=7,IF($BI21&gt;=8,"◇","◆"),IF(MOD($BI21,8)=3,IF($BI21&gt;=8,"▷","▶"),IF(MOD($BI21,8)=5,IF($BI21&gt;=8,"◁","◀"),IF($BI21&gt;=8,"□","■")))))</f>
        <v/>
      </c>
      <c r="V21" s="35">
        <f>IF($BJ21=0,"",IF(MOD($BJ21,8)=7,IF($BJ21&gt;=8,"◇","◆"),IF(MOD($BJ21,8)=3,IF($BJ21&gt;=8,"▷","▶"),IF(MOD($BJ21,8)=5,IF($BJ21&gt;=8,"◁","◀"),IF($BJ21&gt;=8,"□","■")))))</f>
        <v/>
      </c>
      <c r="W21" s="35">
        <f>IF($BK21=0,"",IF(MOD($BK21,8)=7,IF($BK21&gt;=8,"◇","◆"),IF(MOD($BK21,8)=3,IF($BK21&gt;=8,"▷","▶"),IF(MOD($BK21,8)=5,IF($BK21&gt;=8,"◁","◀"),IF($BK21&gt;=8,"□","■")))))</f>
        <v/>
      </c>
      <c r="X21" s="35">
        <f>IF($BL21=0,"",IF(MOD($BL21,8)=7,IF($BL21&gt;=8,"◇","◆"),IF(MOD($BL21,8)=3,IF($BL21&gt;=8,"▷","▶"),IF(MOD($BL21,8)=5,IF($BL21&gt;=8,"◁","◀"),IF($BL21&gt;=8,"□","■")))))</f>
        <v/>
      </c>
      <c r="Y21" s="35">
        <f>IF($BM21=0,"",IF(MOD($BM21,8)=7,IF($BM21&gt;=8,"◇","◆"),IF(MOD($BM21,8)=3,IF($BM21&gt;=8,"▷","▶"),IF(MOD($BM21,8)=5,IF($BM21&gt;=8,"◁","◀"),IF($BM21&gt;=8,"□","■")))))</f>
        <v/>
      </c>
      <c r="Z21" s="35">
        <f>IF($BN21=0,"",IF(MOD($BN21,8)=7,IF($BN21&gt;=8,"◇","◆"),IF(MOD($BN21,8)=3,IF($BN21&gt;=8,"▷","▶"),IF(MOD($BN21,8)=5,IF($BN21&gt;=8,"◁","◀"),IF($BN21&gt;=8,"□","■")))))</f>
        <v/>
      </c>
      <c r="AA21" s="35">
        <f>IF($BO21=0,"",IF(MOD($BO21,8)=7,IF($BO21&gt;=8,"◇","◆"),IF(MOD($BO21,8)=3,IF($BO21&gt;=8,"▷","▶"),IF(MOD($BO21,8)=5,IF($BO21&gt;=8,"◁","◀"),IF($BO21&gt;=8,"□","■")))))</f>
        <v/>
      </c>
      <c r="AB21" s="35">
        <f>IF($BP21=0,"",IF(MOD($BP21,8)=7,IF($BP21&gt;=8,"◇","◆"),IF(MOD($BP21,8)=3,IF($BP21&gt;=8,"▷","▶"),IF(MOD($BP21,8)=5,IF($BP21&gt;=8,"◁","◀"),IF($BP21&gt;=8,"□","■")))))</f>
        <v/>
      </c>
      <c r="AC21" s="35">
        <f>IF($BQ21=0,"",IF(MOD($BQ21,8)=7,IF($BQ21&gt;=8,"◇","◆"),IF(MOD($BQ21,8)=3,IF($BQ21&gt;=8,"▷","▶"),IF(MOD($BQ21,8)=5,IF($BQ21&gt;=8,"◁","◀"),IF($BQ21&gt;=8,"□","■")))))</f>
        <v/>
      </c>
      <c r="AD21" s="35">
        <f>IF($BR21=0,"",IF(MOD($BR21,8)=7,IF($BR21&gt;=8,"◇","◆"),IF(MOD($BR21,8)=3,IF($BR21&gt;=8,"▷","▶"),IF(MOD($BR21,8)=5,IF($BR21&gt;=8,"◁","◀"),IF($BR21&gt;=8,"□","■")))))</f>
        <v/>
      </c>
      <c r="AE21" s="35">
        <f>IF($BS21=0,"",IF(MOD($BS21,8)=7,IF($BS21&gt;=8,"◇","◆"),IF(MOD($BS21,8)=3,IF($BS21&gt;=8,"▷","▶"),IF(MOD($BS21,8)=5,IF($BS21&gt;=8,"◁","◀"),IF($BS21&gt;=8,"□","■")))))</f>
        <v/>
      </c>
      <c r="AF21" s="35">
        <f>IF($BT21=0,"",IF(MOD($BT21,8)=7,IF($BT21&gt;=8,"◇","◆"),IF(MOD($BT21,8)=3,IF($BT21&gt;=8,"▷","▶"),IF(MOD($BT21,8)=5,IF($BT21&gt;=8,"◁","◀"),IF($BT21&gt;=8,"□","■")))))</f>
        <v/>
      </c>
      <c r="AG21" s="36">
        <f>IF($A21="","",COUNTIF($AP21:$BT21,"&gt;0"))</f>
        <v/>
      </c>
      <c r="AP21">
        <f>IF(OR($A21="",B$4=""),0,SUMPRODUCT(('01_予約入力'!$G$5:$G$204&lt;&gt;"")*('01_予約入力'!$N$5:$N$204&lt;&gt;"キャンセル")*('01_予約入力'!$B$5:$B$204=$A21)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21">
        <f>IF(OR($A21="",C$4=""),0,SUMPRODUCT(('01_予約入力'!$G$5:$G$204&lt;&gt;"")*('01_予約入力'!$N$5:$N$204&lt;&gt;"キャンセル")*('01_予約入力'!$B$5:$B$204=$A21)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21">
        <f>IF(OR($A21="",D$4=""),0,SUMPRODUCT(('01_予約入力'!$G$5:$G$204&lt;&gt;"")*('01_予約入力'!$N$5:$N$204&lt;&gt;"キャンセル")*('01_予約入力'!$B$5:$B$204=$A21)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21">
        <f>IF(OR($A21="",E$4=""),0,SUMPRODUCT(('01_予約入力'!$G$5:$G$204&lt;&gt;"")*('01_予約入力'!$N$5:$N$204&lt;&gt;"キャンセル")*('01_予約入力'!$B$5:$B$204=$A21)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21">
        <f>IF(OR($A21="",F$4=""),0,SUMPRODUCT(('01_予約入力'!$G$5:$G$204&lt;&gt;"")*('01_予約入力'!$N$5:$N$204&lt;&gt;"キャンセル")*('01_予約入力'!$B$5:$B$204=$A21)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21">
        <f>IF(OR($A21="",G$4=""),0,SUMPRODUCT(('01_予約入力'!$G$5:$G$204&lt;&gt;"")*('01_予約入力'!$N$5:$N$204&lt;&gt;"キャンセル")*('01_予約入力'!$B$5:$B$204=$A21)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21">
        <f>IF(OR($A21="",H$4=""),0,SUMPRODUCT(('01_予約入力'!$G$5:$G$204&lt;&gt;"")*('01_予約入力'!$N$5:$N$204&lt;&gt;"キャンセル")*('01_予約入力'!$B$5:$B$204=$A21)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21">
        <f>IF(OR($A21="",I$4=""),0,SUMPRODUCT(('01_予約入力'!$G$5:$G$204&lt;&gt;"")*('01_予約入力'!$N$5:$N$204&lt;&gt;"キャンセル")*('01_予約入力'!$B$5:$B$204=$A21)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21">
        <f>IF(OR($A21="",J$4=""),0,SUMPRODUCT(('01_予約入力'!$G$5:$G$204&lt;&gt;"")*('01_予約入力'!$N$5:$N$204&lt;&gt;"キャンセル")*('01_予約入力'!$B$5:$B$204=$A21)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21">
        <f>IF(OR($A21="",K$4=""),0,SUMPRODUCT(('01_予約入力'!$G$5:$G$204&lt;&gt;"")*('01_予約入力'!$N$5:$N$204&lt;&gt;"キャンセル")*('01_予約入力'!$B$5:$B$204=$A21)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21">
        <f>IF(OR($A21="",L$4=""),0,SUMPRODUCT(('01_予約入力'!$G$5:$G$204&lt;&gt;"")*('01_予約入力'!$N$5:$N$204&lt;&gt;"キャンセル")*('01_予約入力'!$B$5:$B$204=$A21)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21">
        <f>IF(OR($A21="",M$4=""),0,SUMPRODUCT(('01_予約入力'!$G$5:$G$204&lt;&gt;"")*('01_予約入力'!$N$5:$N$204&lt;&gt;"キャンセル")*('01_予約入力'!$B$5:$B$204=$A21)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21">
        <f>IF(OR($A21="",N$4=""),0,SUMPRODUCT(('01_予約入力'!$G$5:$G$204&lt;&gt;"")*('01_予約入力'!$N$5:$N$204&lt;&gt;"キャンセル")*('01_予約入力'!$B$5:$B$204=$A21)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21">
        <f>IF(OR($A21="",O$4=""),0,SUMPRODUCT(('01_予約入力'!$G$5:$G$204&lt;&gt;"")*('01_予約入力'!$N$5:$N$204&lt;&gt;"キャンセル")*('01_予約入力'!$B$5:$B$204=$A21)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21">
        <f>IF(OR($A21="",P$4=""),0,SUMPRODUCT(('01_予約入力'!$G$5:$G$204&lt;&gt;"")*('01_予約入力'!$N$5:$N$204&lt;&gt;"キャンセル")*('01_予約入力'!$B$5:$B$204=$A21)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21">
        <f>IF(OR($A21="",Q$4=""),0,SUMPRODUCT(('01_予約入力'!$G$5:$G$204&lt;&gt;"")*('01_予約入力'!$N$5:$N$204&lt;&gt;"キャンセル")*('01_予約入力'!$B$5:$B$204=$A21)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21">
        <f>IF(OR($A21="",R$4=""),0,SUMPRODUCT(('01_予約入力'!$G$5:$G$204&lt;&gt;"")*('01_予約入力'!$N$5:$N$204&lt;&gt;"キャンセル")*('01_予約入力'!$B$5:$B$204=$A21)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21">
        <f>IF(OR($A21="",S$4=""),0,SUMPRODUCT(('01_予約入力'!$G$5:$G$204&lt;&gt;"")*('01_予約入力'!$N$5:$N$204&lt;&gt;"キャンセル")*('01_予約入力'!$B$5:$B$204=$A21)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21">
        <f>IF(OR($A21="",T$4=""),0,SUMPRODUCT(('01_予約入力'!$G$5:$G$204&lt;&gt;"")*('01_予約入力'!$N$5:$N$204&lt;&gt;"キャンセル")*('01_予約入力'!$B$5:$B$204=$A21)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21">
        <f>IF(OR($A21="",U$4=""),0,SUMPRODUCT(('01_予約入力'!$G$5:$G$204&lt;&gt;"")*('01_予約入力'!$N$5:$N$204&lt;&gt;"キャンセル")*('01_予約入力'!$B$5:$B$204=$A21)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21">
        <f>IF(OR($A21="",V$4=""),0,SUMPRODUCT(('01_予約入力'!$G$5:$G$204&lt;&gt;"")*('01_予約入力'!$N$5:$N$204&lt;&gt;"キャンセル")*('01_予約入力'!$B$5:$B$204=$A21)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21">
        <f>IF(OR($A21="",W$4=""),0,SUMPRODUCT(('01_予約入力'!$G$5:$G$204&lt;&gt;"")*('01_予約入力'!$N$5:$N$204&lt;&gt;"キャンセル")*('01_予約入力'!$B$5:$B$204=$A21)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21">
        <f>IF(OR($A21="",X$4=""),0,SUMPRODUCT(('01_予約入力'!$G$5:$G$204&lt;&gt;"")*('01_予約入力'!$N$5:$N$204&lt;&gt;"キャンセル")*('01_予約入力'!$B$5:$B$204=$A21)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21">
        <f>IF(OR($A21="",Y$4=""),0,SUMPRODUCT(('01_予約入力'!$G$5:$G$204&lt;&gt;"")*('01_予約入力'!$N$5:$N$204&lt;&gt;"キャンセル")*('01_予約入力'!$B$5:$B$204=$A21)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21">
        <f>IF(OR($A21="",Z$4=""),0,SUMPRODUCT(('01_予約入力'!$G$5:$G$204&lt;&gt;"")*('01_予約入力'!$N$5:$N$204&lt;&gt;"キャンセル")*('01_予約入力'!$B$5:$B$204=$A21)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21">
        <f>IF(OR($A21="",AA$4=""),0,SUMPRODUCT(('01_予約入力'!$G$5:$G$204&lt;&gt;"")*('01_予約入力'!$N$5:$N$204&lt;&gt;"キャンセル")*('01_予約入力'!$B$5:$B$204=$A21)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21">
        <f>IF(OR($A21="",AB$4=""),0,SUMPRODUCT(('01_予約入力'!$G$5:$G$204&lt;&gt;"")*('01_予約入力'!$N$5:$N$204&lt;&gt;"キャンセル")*('01_予約入力'!$B$5:$B$204=$A21)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21">
        <f>IF(OR($A21="",AC$4=""),0,SUMPRODUCT(('01_予約入力'!$G$5:$G$204&lt;&gt;"")*('01_予約入力'!$N$5:$N$204&lt;&gt;"キャンセル")*('01_予約入力'!$B$5:$B$204=$A21)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21">
        <f>IF(OR($A21="",AD$4=""),0,SUMPRODUCT(('01_予約入力'!$G$5:$G$204&lt;&gt;"")*('01_予約入力'!$N$5:$N$204&lt;&gt;"キャンセル")*('01_予約入力'!$B$5:$B$204=$A21)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21">
        <f>IF(OR($A21="",AE$4=""),0,SUMPRODUCT(('01_予約入力'!$G$5:$G$204&lt;&gt;"")*('01_予約入力'!$N$5:$N$204&lt;&gt;"キャンセル")*('01_予約入力'!$B$5:$B$204=$A21)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21">
        <f>IF(OR($A21="",AF$4=""),0,SUMPRODUCT(('01_予約入力'!$G$5:$G$204&lt;&gt;"")*('01_予約入力'!$N$5:$N$204&lt;&gt;"キャンセル")*('01_予約入力'!$B$5:$B$204=$A21)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22">
      <c r="A22" s="34">
        <f>IF(COUNTA('利用者マスタ'!$A$4:$A$60)&gt;=16,INDEX('利用者マスタ'!$A$4:$A$60,16),"")</f>
        <v/>
      </c>
      <c r="B22" s="35">
        <f>IF($AP22=0,"",IF(MOD($AP22,8)=7,IF($AP22&gt;=8,"◇","◆"),IF(MOD($AP22,8)=3,IF($AP22&gt;=8,"▷","▶"),IF(MOD($AP22,8)=5,IF($AP22&gt;=8,"◁","◀"),IF($AP22&gt;=8,"□","■")))))</f>
        <v/>
      </c>
      <c r="C22" s="35">
        <f>IF($AQ22=0,"",IF(MOD($AQ22,8)=7,IF($AQ22&gt;=8,"◇","◆"),IF(MOD($AQ22,8)=3,IF($AQ22&gt;=8,"▷","▶"),IF(MOD($AQ22,8)=5,IF($AQ22&gt;=8,"◁","◀"),IF($AQ22&gt;=8,"□","■")))))</f>
        <v/>
      </c>
      <c r="D22" s="35">
        <f>IF($AR22=0,"",IF(MOD($AR22,8)=7,IF($AR22&gt;=8,"◇","◆"),IF(MOD($AR22,8)=3,IF($AR22&gt;=8,"▷","▶"),IF(MOD($AR22,8)=5,IF($AR22&gt;=8,"◁","◀"),IF($AR22&gt;=8,"□","■")))))</f>
        <v/>
      </c>
      <c r="E22" s="35">
        <f>IF($AS22=0,"",IF(MOD($AS22,8)=7,IF($AS22&gt;=8,"◇","◆"),IF(MOD($AS22,8)=3,IF($AS22&gt;=8,"▷","▶"),IF(MOD($AS22,8)=5,IF($AS22&gt;=8,"◁","◀"),IF($AS22&gt;=8,"□","■")))))</f>
        <v/>
      </c>
      <c r="F22" s="35">
        <f>IF($AT22=0,"",IF(MOD($AT22,8)=7,IF($AT22&gt;=8,"◇","◆"),IF(MOD($AT22,8)=3,IF($AT22&gt;=8,"▷","▶"),IF(MOD($AT22,8)=5,IF($AT22&gt;=8,"◁","◀"),IF($AT22&gt;=8,"□","■")))))</f>
        <v/>
      </c>
      <c r="G22" s="35">
        <f>IF($AU22=0,"",IF(MOD($AU22,8)=7,IF($AU22&gt;=8,"◇","◆"),IF(MOD($AU22,8)=3,IF($AU22&gt;=8,"▷","▶"),IF(MOD($AU22,8)=5,IF($AU22&gt;=8,"◁","◀"),IF($AU22&gt;=8,"□","■")))))</f>
        <v/>
      </c>
      <c r="H22" s="35">
        <f>IF($AV22=0,"",IF(MOD($AV22,8)=7,IF($AV22&gt;=8,"◇","◆"),IF(MOD($AV22,8)=3,IF($AV22&gt;=8,"▷","▶"),IF(MOD($AV22,8)=5,IF($AV22&gt;=8,"◁","◀"),IF($AV22&gt;=8,"□","■")))))</f>
        <v/>
      </c>
      <c r="I22" s="35">
        <f>IF($AW22=0,"",IF(MOD($AW22,8)=7,IF($AW22&gt;=8,"◇","◆"),IF(MOD($AW22,8)=3,IF($AW22&gt;=8,"▷","▶"),IF(MOD($AW22,8)=5,IF($AW22&gt;=8,"◁","◀"),IF($AW22&gt;=8,"□","■")))))</f>
        <v/>
      </c>
      <c r="J22" s="35">
        <f>IF($AX22=0,"",IF(MOD($AX22,8)=7,IF($AX22&gt;=8,"◇","◆"),IF(MOD($AX22,8)=3,IF($AX22&gt;=8,"▷","▶"),IF(MOD($AX22,8)=5,IF($AX22&gt;=8,"◁","◀"),IF($AX22&gt;=8,"□","■")))))</f>
        <v/>
      </c>
      <c r="K22" s="35">
        <f>IF($AY22=0,"",IF(MOD($AY22,8)=7,IF($AY22&gt;=8,"◇","◆"),IF(MOD($AY22,8)=3,IF($AY22&gt;=8,"▷","▶"),IF(MOD($AY22,8)=5,IF($AY22&gt;=8,"◁","◀"),IF($AY22&gt;=8,"□","■")))))</f>
        <v/>
      </c>
      <c r="L22" s="35">
        <f>IF($AZ22=0,"",IF(MOD($AZ22,8)=7,IF($AZ22&gt;=8,"◇","◆"),IF(MOD($AZ22,8)=3,IF($AZ22&gt;=8,"▷","▶"),IF(MOD($AZ22,8)=5,IF($AZ22&gt;=8,"◁","◀"),IF($AZ22&gt;=8,"□","■")))))</f>
        <v/>
      </c>
      <c r="M22" s="35">
        <f>IF($BA22=0,"",IF(MOD($BA22,8)=7,IF($BA22&gt;=8,"◇","◆"),IF(MOD($BA22,8)=3,IF($BA22&gt;=8,"▷","▶"),IF(MOD($BA22,8)=5,IF($BA22&gt;=8,"◁","◀"),IF($BA22&gt;=8,"□","■")))))</f>
        <v/>
      </c>
      <c r="N22" s="35">
        <f>IF($BB22=0,"",IF(MOD($BB22,8)=7,IF($BB22&gt;=8,"◇","◆"),IF(MOD($BB22,8)=3,IF($BB22&gt;=8,"▷","▶"),IF(MOD($BB22,8)=5,IF($BB22&gt;=8,"◁","◀"),IF($BB22&gt;=8,"□","■")))))</f>
        <v/>
      </c>
      <c r="O22" s="35">
        <f>IF($BC22=0,"",IF(MOD($BC22,8)=7,IF($BC22&gt;=8,"◇","◆"),IF(MOD($BC22,8)=3,IF($BC22&gt;=8,"▷","▶"),IF(MOD($BC22,8)=5,IF($BC22&gt;=8,"◁","◀"),IF($BC22&gt;=8,"□","■")))))</f>
        <v/>
      </c>
      <c r="P22" s="35">
        <f>IF($BD22=0,"",IF(MOD($BD22,8)=7,IF($BD22&gt;=8,"◇","◆"),IF(MOD($BD22,8)=3,IF($BD22&gt;=8,"▷","▶"),IF(MOD($BD22,8)=5,IF($BD22&gt;=8,"◁","◀"),IF($BD22&gt;=8,"□","■")))))</f>
        <v/>
      </c>
      <c r="Q22" s="35">
        <f>IF($BE22=0,"",IF(MOD($BE22,8)=7,IF($BE22&gt;=8,"◇","◆"),IF(MOD($BE22,8)=3,IF($BE22&gt;=8,"▷","▶"),IF(MOD($BE22,8)=5,IF($BE22&gt;=8,"◁","◀"),IF($BE22&gt;=8,"□","■")))))</f>
        <v/>
      </c>
      <c r="R22" s="35">
        <f>IF($BF22=0,"",IF(MOD($BF22,8)=7,IF($BF22&gt;=8,"◇","◆"),IF(MOD($BF22,8)=3,IF($BF22&gt;=8,"▷","▶"),IF(MOD($BF22,8)=5,IF($BF22&gt;=8,"◁","◀"),IF($BF22&gt;=8,"□","■")))))</f>
        <v/>
      </c>
      <c r="S22" s="35">
        <f>IF($BG22=0,"",IF(MOD($BG22,8)=7,IF($BG22&gt;=8,"◇","◆"),IF(MOD($BG22,8)=3,IF($BG22&gt;=8,"▷","▶"),IF(MOD($BG22,8)=5,IF($BG22&gt;=8,"◁","◀"),IF($BG22&gt;=8,"□","■")))))</f>
        <v/>
      </c>
      <c r="T22" s="35">
        <f>IF($BH22=0,"",IF(MOD($BH22,8)=7,IF($BH22&gt;=8,"◇","◆"),IF(MOD($BH22,8)=3,IF($BH22&gt;=8,"▷","▶"),IF(MOD($BH22,8)=5,IF($BH22&gt;=8,"◁","◀"),IF($BH22&gt;=8,"□","■")))))</f>
        <v/>
      </c>
      <c r="U22" s="35">
        <f>IF($BI22=0,"",IF(MOD($BI22,8)=7,IF($BI22&gt;=8,"◇","◆"),IF(MOD($BI22,8)=3,IF($BI22&gt;=8,"▷","▶"),IF(MOD($BI22,8)=5,IF($BI22&gt;=8,"◁","◀"),IF($BI22&gt;=8,"□","■")))))</f>
        <v/>
      </c>
      <c r="V22" s="35">
        <f>IF($BJ22=0,"",IF(MOD($BJ22,8)=7,IF($BJ22&gt;=8,"◇","◆"),IF(MOD($BJ22,8)=3,IF($BJ22&gt;=8,"▷","▶"),IF(MOD($BJ22,8)=5,IF($BJ22&gt;=8,"◁","◀"),IF($BJ22&gt;=8,"□","■")))))</f>
        <v/>
      </c>
      <c r="W22" s="35">
        <f>IF($BK22=0,"",IF(MOD($BK22,8)=7,IF($BK22&gt;=8,"◇","◆"),IF(MOD($BK22,8)=3,IF($BK22&gt;=8,"▷","▶"),IF(MOD($BK22,8)=5,IF($BK22&gt;=8,"◁","◀"),IF($BK22&gt;=8,"□","■")))))</f>
        <v/>
      </c>
      <c r="X22" s="35">
        <f>IF($BL22=0,"",IF(MOD($BL22,8)=7,IF($BL22&gt;=8,"◇","◆"),IF(MOD($BL22,8)=3,IF($BL22&gt;=8,"▷","▶"),IF(MOD($BL22,8)=5,IF($BL22&gt;=8,"◁","◀"),IF($BL22&gt;=8,"□","■")))))</f>
        <v/>
      </c>
      <c r="Y22" s="35">
        <f>IF($BM22=0,"",IF(MOD($BM22,8)=7,IF($BM22&gt;=8,"◇","◆"),IF(MOD($BM22,8)=3,IF($BM22&gt;=8,"▷","▶"),IF(MOD($BM22,8)=5,IF($BM22&gt;=8,"◁","◀"),IF($BM22&gt;=8,"□","■")))))</f>
        <v/>
      </c>
      <c r="Z22" s="35">
        <f>IF($BN22=0,"",IF(MOD($BN22,8)=7,IF($BN22&gt;=8,"◇","◆"),IF(MOD($BN22,8)=3,IF($BN22&gt;=8,"▷","▶"),IF(MOD($BN22,8)=5,IF($BN22&gt;=8,"◁","◀"),IF($BN22&gt;=8,"□","■")))))</f>
        <v/>
      </c>
      <c r="AA22" s="35">
        <f>IF($BO22=0,"",IF(MOD($BO22,8)=7,IF($BO22&gt;=8,"◇","◆"),IF(MOD($BO22,8)=3,IF($BO22&gt;=8,"▷","▶"),IF(MOD($BO22,8)=5,IF($BO22&gt;=8,"◁","◀"),IF($BO22&gt;=8,"□","■")))))</f>
        <v/>
      </c>
      <c r="AB22" s="35">
        <f>IF($BP22=0,"",IF(MOD($BP22,8)=7,IF($BP22&gt;=8,"◇","◆"),IF(MOD($BP22,8)=3,IF($BP22&gt;=8,"▷","▶"),IF(MOD($BP22,8)=5,IF($BP22&gt;=8,"◁","◀"),IF($BP22&gt;=8,"□","■")))))</f>
        <v/>
      </c>
      <c r="AC22" s="35">
        <f>IF($BQ22=0,"",IF(MOD($BQ22,8)=7,IF($BQ22&gt;=8,"◇","◆"),IF(MOD($BQ22,8)=3,IF($BQ22&gt;=8,"▷","▶"),IF(MOD($BQ22,8)=5,IF($BQ22&gt;=8,"◁","◀"),IF($BQ22&gt;=8,"□","■")))))</f>
        <v/>
      </c>
      <c r="AD22" s="35">
        <f>IF($BR22=0,"",IF(MOD($BR22,8)=7,IF($BR22&gt;=8,"◇","◆"),IF(MOD($BR22,8)=3,IF($BR22&gt;=8,"▷","▶"),IF(MOD($BR22,8)=5,IF($BR22&gt;=8,"◁","◀"),IF($BR22&gt;=8,"□","■")))))</f>
        <v/>
      </c>
      <c r="AE22" s="35">
        <f>IF($BS22=0,"",IF(MOD($BS22,8)=7,IF($BS22&gt;=8,"◇","◆"),IF(MOD($BS22,8)=3,IF($BS22&gt;=8,"▷","▶"),IF(MOD($BS22,8)=5,IF($BS22&gt;=8,"◁","◀"),IF($BS22&gt;=8,"□","■")))))</f>
        <v/>
      </c>
      <c r="AF22" s="35">
        <f>IF($BT22=0,"",IF(MOD($BT22,8)=7,IF($BT22&gt;=8,"◇","◆"),IF(MOD($BT22,8)=3,IF($BT22&gt;=8,"▷","▶"),IF(MOD($BT22,8)=5,IF($BT22&gt;=8,"◁","◀"),IF($BT22&gt;=8,"□","■")))))</f>
        <v/>
      </c>
      <c r="AG22" s="36">
        <f>IF($A22="","",COUNTIF($AP22:$BT22,"&gt;0"))</f>
        <v/>
      </c>
      <c r="AP22">
        <f>IF(OR($A22="",B$4=""),0,SUMPRODUCT(('01_予約入力'!$G$5:$G$204&lt;&gt;"")*('01_予約入力'!$N$5:$N$204&lt;&gt;"キャンセル")*('01_予約入力'!$B$5:$B$204=$A22)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22">
        <f>IF(OR($A22="",C$4=""),0,SUMPRODUCT(('01_予約入力'!$G$5:$G$204&lt;&gt;"")*('01_予約入力'!$N$5:$N$204&lt;&gt;"キャンセル")*('01_予約入力'!$B$5:$B$204=$A22)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22">
        <f>IF(OR($A22="",D$4=""),0,SUMPRODUCT(('01_予約入力'!$G$5:$G$204&lt;&gt;"")*('01_予約入力'!$N$5:$N$204&lt;&gt;"キャンセル")*('01_予約入力'!$B$5:$B$204=$A22)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22">
        <f>IF(OR($A22="",E$4=""),0,SUMPRODUCT(('01_予約入力'!$G$5:$G$204&lt;&gt;"")*('01_予約入力'!$N$5:$N$204&lt;&gt;"キャンセル")*('01_予約入力'!$B$5:$B$204=$A22)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22">
        <f>IF(OR($A22="",F$4=""),0,SUMPRODUCT(('01_予約入力'!$G$5:$G$204&lt;&gt;"")*('01_予約入力'!$N$5:$N$204&lt;&gt;"キャンセル")*('01_予約入力'!$B$5:$B$204=$A22)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22">
        <f>IF(OR($A22="",G$4=""),0,SUMPRODUCT(('01_予約入力'!$G$5:$G$204&lt;&gt;"")*('01_予約入力'!$N$5:$N$204&lt;&gt;"キャンセル")*('01_予約入力'!$B$5:$B$204=$A22)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22">
        <f>IF(OR($A22="",H$4=""),0,SUMPRODUCT(('01_予約入力'!$G$5:$G$204&lt;&gt;"")*('01_予約入力'!$N$5:$N$204&lt;&gt;"キャンセル")*('01_予約入力'!$B$5:$B$204=$A22)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22">
        <f>IF(OR($A22="",I$4=""),0,SUMPRODUCT(('01_予約入力'!$G$5:$G$204&lt;&gt;"")*('01_予約入力'!$N$5:$N$204&lt;&gt;"キャンセル")*('01_予約入力'!$B$5:$B$204=$A22)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22">
        <f>IF(OR($A22="",J$4=""),0,SUMPRODUCT(('01_予約入力'!$G$5:$G$204&lt;&gt;"")*('01_予約入力'!$N$5:$N$204&lt;&gt;"キャンセル")*('01_予約入力'!$B$5:$B$204=$A22)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22">
        <f>IF(OR($A22="",K$4=""),0,SUMPRODUCT(('01_予約入力'!$G$5:$G$204&lt;&gt;"")*('01_予約入力'!$N$5:$N$204&lt;&gt;"キャンセル")*('01_予約入力'!$B$5:$B$204=$A22)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22">
        <f>IF(OR($A22="",L$4=""),0,SUMPRODUCT(('01_予約入力'!$G$5:$G$204&lt;&gt;"")*('01_予約入力'!$N$5:$N$204&lt;&gt;"キャンセル")*('01_予約入力'!$B$5:$B$204=$A22)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22">
        <f>IF(OR($A22="",M$4=""),0,SUMPRODUCT(('01_予約入力'!$G$5:$G$204&lt;&gt;"")*('01_予約入力'!$N$5:$N$204&lt;&gt;"キャンセル")*('01_予約入力'!$B$5:$B$204=$A22)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22">
        <f>IF(OR($A22="",N$4=""),0,SUMPRODUCT(('01_予約入力'!$G$5:$G$204&lt;&gt;"")*('01_予約入力'!$N$5:$N$204&lt;&gt;"キャンセル")*('01_予約入力'!$B$5:$B$204=$A22)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22">
        <f>IF(OR($A22="",O$4=""),0,SUMPRODUCT(('01_予約入力'!$G$5:$G$204&lt;&gt;"")*('01_予約入力'!$N$5:$N$204&lt;&gt;"キャンセル")*('01_予約入力'!$B$5:$B$204=$A22)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22">
        <f>IF(OR($A22="",P$4=""),0,SUMPRODUCT(('01_予約入力'!$G$5:$G$204&lt;&gt;"")*('01_予約入力'!$N$5:$N$204&lt;&gt;"キャンセル")*('01_予約入力'!$B$5:$B$204=$A22)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22">
        <f>IF(OR($A22="",Q$4=""),0,SUMPRODUCT(('01_予約入力'!$G$5:$G$204&lt;&gt;"")*('01_予約入力'!$N$5:$N$204&lt;&gt;"キャンセル")*('01_予約入力'!$B$5:$B$204=$A22)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22">
        <f>IF(OR($A22="",R$4=""),0,SUMPRODUCT(('01_予約入力'!$G$5:$G$204&lt;&gt;"")*('01_予約入力'!$N$5:$N$204&lt;&gt;"キャンセル")*('01_予約入力'!$B$5:$B$204=$A22)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22">
        <f>IF(OR($A22="",S$4=""),0,SUMPRODUCT(('01_予約入力'!$G$5:$G$204&lt;&gt;"")*('01_予約入力'!$N$5:$N$204&lt;&gt;"キャンセル")*('01_予約入力'!$B$5:$B$204=$A22)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22">
        <f>IF(OR($A22="",T$4=""),0,SUMPRODUCT(('01_予約入力'!$G$5:$G$204&lt;&gt;"")*('01_予約入力'!$N$5:$N$204&lt;&gt;"キャンセル")*('01_予約入力'!$B$5:$B$204=$A22)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22">
        <f>IF(OR($A22="",U$4=""),0,SUMPRODUCT(('01_予約入力'!$G$5:$G$204&lt;&gt;"")*('01_予約入力'!$N$5:$N$204&lt;&gt;"キャンセル")*('01_予約入力'!$B$5:$B$204=$A22)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22">
        <f>IF(OR($A22="",V$4=""),0,SUMPRODUCT(('01_予約入力'!$G$5:$G$204&lt;&gt;"")*('01_予約入力'!$N$5:$N$204&lt;&gt;"キャンセル")*('01_予約入力'!$B$5:$B$204=$A22)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22">
        <f>IF(OR($A22="",W$4=""),0,SUMPRODUCT(('01_予約入力'!$G$5:$G$204&lt;&gt;"")*('01_予約入力'!$N$5:$N$204&lt;&gt;"キャンセル")*('01_予約入力'!$B$5:$B$204=$A22)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22">
        <f>IF(OR($A22="",X$4=""),0,SUMPRODUCT(('01_予約入力'!$G$5:$G$204&lt;&gt;"")*('01_予約入力'!$N$5:$N$204&lt;&gt;"キャンセル")*('01_予約入力'!$B$5:$B$204=$A22)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22">
        <f>IF(OR($A22="",Y$4=""),0,SUMPRODUCT(('01_予約入力'!$G$5:$G$204&lt;&gt;"")*('01_予約入力'!$N$5:$N$204&lt;&gt;"キャンセル")*('01_予約入力'!$B$5:$B$204=$A22)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22">
        <f>IF(OR($A22="",Z$4=""),0,SUMPRODUCT(('01_予約入力'!$G$5:$G$204&lt;&gt;"")*('01_予約入力'!$N$5:$N$204&lt;&gt;"キャンセル")*('01_予約入力'!$B$5:$B$204=$A22)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22">
        <f>IF(OR($A22="",AA$4=""),0,SUMPRODUCT(('01_予約入力'!$G$5:$G$204&lt;&gt;"")*('01_予約入力'!$N$5:$N$204&lt;&gt;"キャンセル")*('01_予約入力'!$B$5:$B$204=$A22)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22">
        <f>IF(OR($A22="",AB$4=""),0,SUMPRODUCT(('01_予約入力'!$G$5:$G$204&lt;&gt;"")*('01_予約入力'!$N$5:$N$204&lt;&gt;"キャンセル")*('01_予約入力'!$B$5:$B$204=$A22)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22">
        <f>IF(OR($A22="",AC$4=""),0,SUMPRODUCT(('01_予約入力'!$G$5:$G$204&lt;&gt;"")*('01_予約入力'!$N$5:$N$204&lt;&gt;"キャンセル")*('01_予約入力'!$B$5:$B$204=$A22)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22">
        <f>IF(OR($A22="",AD$4=""),0,SUMPRODUCT(('01_予約入力'!$G$5:$G$204&lt;&gt;"")*('01_予約入力'!$N$5:$N$204&lt;&gt;"キャンセル")*('01_予約入力'!$B$5:$B$204=$A22)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22">
        <f>IF(OR($A22="",AE$4=""),0,SUMPRODUCT(('01_予約入力'!$G$5:$G$204&lt;&gt;"")*('01_予約入力'!$N$5:$N$204&lt;&gt;"キャンセル")*('01_予約入力'!$B$5:$B$204=$A22)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22">
        <f>IF(OR($A22="",AF$4=""),0,SUMPRODUCT(('01_予約入力'!$G$5:$G$204&lt;&gt;"")*('01_予約入力'!$N$5:$N$204&lt;&gt;"キャンセル")*('01_予約入力'!$B$5:$B$204=$A22)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23">
      <c r="A23" s="34">
        <f>IF(COUNTA('利用者マスタ'!$A$4:$A$60)&gt;=17,INDEX('利用者マスタ'!$A$4:$A$60,17),"")</f>
        <v/>
      </c>
      <c r="B23" s="35">
        <f>IF($AP23=0,"",IF(MOD($AP23,8)=7,IF($AP23&gt;=8,"◇","◆"),IF(MOD($AP23,8)=3,IF($AP23&gt;=8,"▷","▶"),IF(MOD($AP23,8)=5,IF($AP23&gt;=8,"◁","◀"),IF($AP23&gt;=8,"□","■")))))</f>
        <v/>
      </c>
      <c r="C23" s="35">
        <f>IF($AQ23=0,"",IF(MOD($AQ23,8)=7,IF($AQ23&gt;=8,"◇","◆"),IF(MOD($AQ23,8)=3,IF($AQ23&gt;=8,"▷","▶"),IF(MOD($AQ23,8)=5,IF($AQ23&gt;=8,"◁","◀"),IF($AQ23&gt;=8,"□","■")))))</f>
        <v/>
      </c>
      <c r="D23" s="35">
        <f>IF($AR23=0,"",IF(MOD($AR23,8)=7,IF($AR23&gt;=8,"◇","◆"),IF(MOD($AR23,8)=3,IF($AR23&gt;=8,"▷","▶"),IF(MOD($AR23,8)=5,IF($AR23&gt;=8,"◁","◀"),IF($AR23&gt;=8,"□","■")))))</f>
        <v/>
      </c>
      <c r="E23" s="35">
        <f>IF($AS23=0,"",IF(MOD($AS23,8)=7,IF($AS23&gt;=8,"◇","◆"),IF(MOD($AS23,8)=3,IF($AS23&gt;=8,"▷","▶"),IF(MOD($AS23,8)=5,IF($AS23&gt;=8,"◁","◀"),IF($AS23&gt;=8,"□","■")))))</f>
        <v/>
      </c>
      <c r="F23" s="35">
        <f>IF($AT23=0,"",IF(MOD($AT23,8)=7,IF($AT23&gt;=8,"◇","◆"),IF(MOD($AT23,8)=3,IF($AT23&gt;=8,"▷","▶"),IF(MOD($AT23,8)=5,IF($AT23&gt;=8,"◁","◀"),IF($AT23&gt;=8,"□","■")))))</f>
        <v/>
      </c>
      <c r="G23" s="35">
        <f>IF($AU23=0,"",IF(MOD($AU23,8)=7,IF($AU23&gt;=8,"◇","◆"),IF(MOD($AU23,8)=3,IF($AU23&gt;=8,"▷","▶"),IF(MOD($AU23,8)=5,IF($AU23&gt;=8,"◁","◀"),IF($AU23&gt;=8,"□","■")))))</f>
        <v/>
      </c>
      <c r="H23" s="35">
        <f>IF($AV23=0,"",IF(MOD($AV23,8)=7,IF($AV23&gt;=8,"◇","◆"),IF(MOD($AV23,8)=3,IF($AV23&gt;=8,"▷","▶"),IF(MOD($AV23,8)=5,IF($AV23&gt;=8,"◁","◀"),IF($AV23&gt;=8,"□","■")))))</f>
        <v/>
      </c>
      <c r="I23" s="35">
        <f>IF($AW23=0,"",IF(MOD($AW23,8)=7,IF($AW23&gt;=8,"◇","◆"),IF(MOD($AW23,8)=3,IF($AW23&gt;=8,"▷","▶"),IF(MOD($AW23,8)=5,IF($AW23&gt;=8,"◁","◀"),IF($AW23&gt;=8,"□","■")))))</f>
        <v/>
      </c>
      <c r="J23" s="35">
        <f>IF($AX23=0,"",IF(MOD($AX23,8)=7,IF($AX23&gt;=8,"◇","◆"),IF(MOD($AX23,8)=3,IF($AX23&gt;=8,"▷","▶"),IF(MOD($AX23,8)=5,IF($AX23&gt;=8,"◁","◀"),IF($AX23&gt;=8,"□","■")))))</f>
        <v/>
      </c>
      <c r="K23" s="35">
        <f>IF($AY23=0,"",IF(MOD($AY23,8)=7,IF($AY23&gt;=8,"◇","◆"),IF(MOD($AY23,8)=3,IF($AY23&gt;=8,"▷","▶"),IF(MOD($AY23,8)=5,IF($AY23&gt;=8,"◁","◀"),IF($AY23&gt;=8,"□","■")))))</f>
        <v/>
      </c>
      <c r="L23" s="35">
        <f>IF($AZ23=0,"",IF(MOD($AZ23,8)=7,IF($AZ23&gt;=8,"◇","◆"),IF(MOD($AZ23,8)=3,IF($AZ23&gt;=8,"▷","▶"),IF(MOD($AZ23,8)=5,IF($AZ23&gt;=8,"◁","◀"),IF($AZ23&gt;=8,"□","■")))))</f>
        <v/>
      </c>
      <c r="M23" s="35">
        <f>IF($BA23=0,"",IF(MOD($BA23,8)=7,IF($BA23&gt;=8,"◇","◆"),IF(MOD($BA23,8)=3,IF($BA23&gt;=8,"▷","▶"),IF(MOD($BA23,8)=5,IF($BA23&gt;=8,"◁","◀"),IF($BA23&gt;=8,"□","■")))))</f>
        <v/>
      </c>
      <c r="N23" s="35">
        <f>IF($BB23=0,"",IF(MOD($BB23,8)=7,IF($BB23&gt;=8,"◇","◆"),IF(MOD($BB23,8)=3,IF($BB23&gt;=8,"▷","▶"),IF(MOD($BB23,8)=5,IF($BB23&gt;=8,"◁","◀"),IF($BB23&gt;=8,"□","■")))))</f>
        <v/>
      </c>
      <c r="O23" s="35">
        <f>IF($BC23=0,"",IF(MOD($BC23,8)=7,IF($BC23&gt;=8,"◇","◆"),IF(MOD($BC23,8)=3,IF($BC23&gt;=8,"▷","▶"),IF(MOD($BC23,8)=5,IF($BC23&gt;=8,"◁","◀"),IF($BC23&gt;=8,"□","■")))))</f>
        <v/>
      </c>
      <c r="P23" s="35">
        <f>IF($BD23=0,"",IF(MOD($BD23,8)=7,IF($BD23&gt;=8,"◇","◆"),IF(MOD($BD23,8)=3,IF($BD23&gt;=8,"▷","▶"),IF(MOD($BD23,8)=5,IF($BD23&gt;=8,"◁","◀"),IF($BD23&gt;=8,"□","■")))))</f>
        <v/>
      </c>
      <c r="Q23" s="35">
        <f>IF($BE23=0,"",IF(MOD($BE23,8)=7,IF($BE23&gt;=8,"◇","◆"),IF(MOD($BE23,8)=3,IF($BE23&gt;=8,"▷","▶"),IF(MOD($BE23,8)=5,IF($BE23&gt;=8,"◁","◀"),IF($BE23&gt;=8,"□","■")))))</f>
        <v/>
      </c>
      <c r="R23" s="35">
        <f>IF($BF23=0,"",IF(MOD($BF23,8)=7,IF($BF23&gt;=8,"◇","◆"),IF(MOD($BF23,8)=3,IF($BF23&gt;=8,"▷","▶"),IF(MOD($BF23,8)=5,IF($BF23&gt;=8,"◁","◀"),IF($BF23&gt;=8,"□","■")))))</f>
        <v/>
      </c>
      <c r="S23" s="35">
        <f>IF($BG23=0,"",IF(MOD($BG23,8)=7,IF($BG23&gt;=8,"◇","◆"),IF(MOD($BG23,8)=3,IF($BG23&gt;=8,"▷","▶"),IF(MOD($BG23,8)=5,IF($BG23&gt;=8,"◁","◀"),IF($BG23&gt;=8,"□","■")))))</f>
        <v/>
      </c>
      <c r="T23" s="35">
        <f>IF($BH23=0,"",IF(MOD($BH23,8)=7,IF($BH23&gt;=8,"◇","◆"),IF(MOD($BH23,8)=3,IF($BH23&gt;=8,"▷","▶"),IF(MOD($BH23,8)=5,IF($BH23&gt;=8,"◁","◀"),IF($BH23&gt;=8,"□","■")))))</f>
        <v/>
      </c>
      <c r="U23" s="35">
        <f>IF($BI23=0,"",IF(MOD($BI23,8)=7,IF($BI23&gt;=8,"◇","◆"),IF(MOD($BI23,8)=3,IF($BI23&gt;=8,"▷","▶"),IF(MOD($BI23,8)=5,IF($BI23&gt;=8,"◁","◀"),IF($BI23&gt;=8,"□","■")))))</f>
        <v/>
      </c>
      <c r="V23" s="35">
        <f>IF($BJ23=0,"",IF(MOD($BJ23,8)=7,IF($BJ23&gt;=8,"◇","◆"),IF(MOD($BJ23,8)=3,IF($BJ23&gt;=8,"▷","▶"),IF(MOD($BJ23,8)=5,IF($BJ23&gt;=8,"◁","◀"),IF($BJ23&gt;=8,"□","■")))))</f>
        <v/>
      </c>
      <c r="W23" s="35">
        <f>IF($BK23=0,"",IF(MOD($BK23,8)=7,IF($BK23&gt;=8,"◇","◆"),IF(MOD($BK23,8)=3,IF($BK23&gt;=8,"▷","▶"),IF(MOD($BK23,8)=5,IF($BK23&gt;=8,"◁","◀"),IF($BK23&gt;=8,"□","■")))))</f>
        <v/>
      </c>
      <c r="X23" s="35">
        <f>IF($BL23=0,"",IF(MOD($BL23,8)=7,IF($BL23&gt;=8,"◇","◆"),IF(MOD($BL23,8)=3,IF($BL23&gt;=8,"▷","▶"),IF(MOD($BL23,8)=5,IF($BL23&gt;=8,"◁","◀"),IF($BL23&gt;=8,"□","■")))))</f>
        <v/>
      </c>
      <c r="Y23" s="35">
        <f>IF($BM23=0,"",IF(MOD($BM23,8)=7,IF($BM23&gt;=8,"◇","◆"),IF(MOD($BM23,8)=3,IF($BM23&gt;=8,"▷","▶"),IF(MOD($BM23,8)=5,IF($BM23&gt;=8,"◁","◀"),IF($BM23&gt;=8,"□","■")))))</f>
        <v/>
      </c>
      <c r="Z23" s="35">
        <f>IF($BN23=0,"",IF(MOD($BN23,8)=7,IF($BN23&gt;=8,"◇","◆"),IF(MOD($BN23,8)=3,IF($BN23&gt;=8,"▷","▶"),IF(MOD($BN23,8)=5,IF($BN23&gt;=8,"◁","◀"),IF($BN23&gt;=8,"□","■")))))</f>
        <v/>
      </c>
      <c r="AA23" s="35">
        <f>IF($BO23=0,"",IF(MOD($BO23,8)=7,IF($BO23&gt;=8,"◇","◆"),IF(MOD($BO23,8)=3,IF($BO23&gt;=8,"▷","▶"),IF(MOD($BO23,8)=5,IF($BO23&gt;=8,"◁","◀"),IF($BO23&gt;=8,"□","■")))))</f>
        <v/>
      </c>
      <c r="AB23" s="35">
        <f>IF($BP23=0,"",IF(MOD($BP23,8)=7,IF($BP23&gt;=8,"◇","◆"),IF(MOD($BP23,8)=3,IF($BP23&gt;=8,"▷","▶"),IF(MOD($BP23,8)=5,IF($BP23&gt;=8,"◁","◀"),IF($BP23&gt;=8,"□","■")))))</f>
        <v/>
      </c>
      <c r="AC23" s="35">
        <f>IF($BQ23=0,"",IF(MOD($BQ23,8)=7,IF($BQ23&gt;=8,"◇","◆"),IF(MOD($BQ23,8)=3,IF($BQ23&gt;=8,"▷","▶"),IF(MOD($BQ23,8)=5,IF($BQ23&gt;=8,"◁","◀"),IF($BQ23&gt;=8,"□","■")))))</f>
        <v/>
      </c>
      <c r="AD23" s="35">
        <f>IF($BR23=0,"",IF(MOD($BR23,8)=7,IF($BR23&gt;=8,"◇","◆"),IF(MOD($BR23,8)=3,IF($BR23&gt;=8,"▷","▶"),IF(MOD($BR23,8)=5,IF($BR23&gt;=8,"◁","◀"),IF($BR23&gt;=8,"□","■")))))</f>
        <v/>
      </c>
      <c r="AE23" s="35">
        <f>IF($BS23=0,"",IF(MOD($BS23,8)=7,IF($BS23&gt;=8,"◇","◆"),IF(MOD($BS23,8)=3,IF($BS23&gt;=8,"▷","▶"),IF(MOD($BS23,8)=5,IF($BS23&gt;=8,"◁","◀"),IF($BS23&gt;=8,"□","■")))))</f>
        <v/>
      </c>
      <c r="AF23" s="35">
        <f>IF($BT23=0,"",IF(MOD($BT23,8)=7,IF($BT23&gt;=8,"◇","◆"),IF(MOD($BT23,8)=3,IF($BT23&gt;=8,"▷","▶"),IF(MOD($BT23,8)=5,IF($BT23&gt;=8,"◁","◀"),IF($BT23&gt;=8,"□","■")))))</f>
        <v/>
      </c>
      <c r="AG23" s="36">
        <f>IF($A23="","",COUNTIF($AP23:$BT23,"&gt;0"))</f>
        <v/>
      </c>
      <c r="AP23">
        <f>IF(OR($A23="",B$4=""),0,SUMPRODUCT(('01_予約入力'!$G$5:$G$204&lt;&gt;"")*('01_予約入力'!$N$5:$N$204&lt;&gt;"キャンセル")*('01_予約入力'!$B$5:$B$204=$A23)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23">
        <f>IF(OR($A23="",C$4=""),0,SUMPRODUCT(('01_予約入力'!$G$5:$G$204&lt;&gt;"")*('01_予約入力'!$N$5:$N$204&lt;&gt;"キャンセル")*('01_予約入力'!$B$5:$B$204=$A23)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23">
        <f>IF(OR($A23="",D$4=""),0,SUMPRODUCT(('01_予約入力'!$G$5:$G$204&lt;&gt;"")*('01_予約入力'!$N$5:$N$204&lt;&gt;"キャンセル")*('01_予約入力'!$B$5:$B$204=$A23)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23">
        <f>IF(OR($A23="",E$4=""),0,SUMPRODUCT(('01_予約入力'!$G$5:$G$204&lt;&gt;"")*('01_予約入力'!$N$5:$N$204&lt;&gt;"キャンセル")*('01_予約入力'!$B$5:$B$204=$A23)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23">
        <f>IF(OR($A23="",F$4=""),0,SUMPRODUCT(('01_予約入力'!$G$5:$G$204&lt;&gt;"")*('01_予約入力'!$N$5:$N$204&lt;&gt;"キャンセル")*('01_予約入力'!$B$5:$B$204=$A23)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23">
        <f>IF(OR($A23="",G$4=""),0,SUMPRODUCT(('01_予約入力'!$G$5:$G$204&lt;&gt;"")*('01_予約入力'!$N$5:$N$204&lt;&gt;"キャンセル")*('01_予約入力'!$B$5:$B$204=$A23)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23">
        <f>IF(OR($A23="",H$4=""),0,SUMPRODUCT(('01_予約入力'!$G$5:$G$204&lt;&gt;"")*('01_予約入力'!$N$5:$N$204&lt;&gt;"キャンセル")*('01_予約入力'!$B$5:$B$204=$A23)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23">
        <f>IF(OR($A23="",I$4=""),0,SUMPRODUCT(('01_予約入力'!$G$5:$G$204&lt;&gt;"")*('01_予約入力'!$N$5:$N$204&lt;&gt;"キャンセル")*('01_予約入力'!$B$5:$B$204=$A23)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23">
        <f>IF(OR($A23="",J$4=""),0,SUMPRODUCT(('01_予約入力'!$G$5:$G$204&lt;&gt;"")*('01_予約入力'!$N$5:$N$204&lt;&gt;"キャンセル")*('01_予約入力'!$B$5:$B$204=$A23)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23">
        <f>IF(OR($A23="",K$4=""),0,SUMPRODUCT(('01_予約入力'!$G$5:$G$204&lt;&gt;"")*('01_予約入力'!$N$5:$N$204&lt;&gt;"キャンセル")*('01_予約入力'!$B$5:$B$204=$A23)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23">
        <f>IF(OR($A23="",L$4=""),0,SUMPRODUCT(('01_予約入力'!$G$5:$G$204&lt;&gt;"")*('01_予約入力'!$N$5:$N$204&lt;&gt;"キャンセル")*('01_予約入力'!$B$5:$B$204=$A23)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23">
        <f>IF(OR($A23="",M$4=""),0,SUMPRODUCT(('01_予約入力'!$G$5:$G$204&lt;&gt;"")*('01_予約入力'!$N$5:$N$204&lt;&gt;"キャンセル")*('01_予約入力'!$B$5:$B$204=$A23)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23">
        <f>IF(OR($A23="",N$4=""),0,SUMPRODUCT(('01_予約入力'!$G$5:$G$204&lt;&gt;"")*('01_予約入力'!$N$5:$N$204&lt;&gt;"キャンセル")*('01_予約入力'!$B$5:$B$204=$A23)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23">
        <f>IF(OR($A23="",O$4=""),0,SUMPRODUCT(('01_予約入力'!$G$5:$G$204&lt;&gt;"")*('01_予約入力'!$N$5:$N$204&lt;&gt;"キャンセル")*('01_予約入力'!$B$5:$B$204=$A23)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23">
        <f>IF(OR($A23="",P$4=""),0,SUMPRODUCT(('01_予約入力'!$G$5:$G$204&lt;&gt;"")*('01_予約入力'!$N$5:$N$204&lt;&gt;"キャンセル")*('01_予約入力'!$B$5:$B$204=$A23)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23">
        <f>IF(OR($A23="",Q$4=""),0,SUMPRODUCT(('01_予約入力'!$G$5:$G$204&lt;&gt;"")*('01_予約入力'!$N$5:$N$204&lt;&gt;"キャンセル")*('01_予約入力'!$B$5:$B$204=$A23)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23">
        <f>IF(OR($A23="",R$4=""),0,SUMPRODUCT(('01_予約入力'!$G$5:$G$204&lt;&gt;"")*('01_予約入力'!$N$5:$N$204&lt;&gt;"キャンセル")*('01_予約入力'!$B$5:$B$204=$A23)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23">
        <f>IF(OR($A23="",S$4=""),0,SUMPRODUCT(('01_予約入力'!$G$5:$G$204&lt;&gt;"")*('01_予約入力'!$N$5:$N$204&lt;&gt;"キャンセル")*('01_予約入力'!$B$5:$B$204=$A23)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23">
        <f>IF(OR($A23="",T$4=""),0,SUMPRODUCT(('01_予約入力'!$G$5:$G$204&lt;&gt;"")*('01_予約入力'!$N$5:$N$204&lt;&gt;"キャンセル")*('01_予約入力'!$B$5:$B$204=$A23)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23">
        <f>IF(OR($A23="",U$4=""),0,SUMPRODUCT(('01_予約入力'!$G$5:$G$204&lt;&gt;"")*('01_予約入力'!$N$5:$N$204&lt;&gt;"キャンセル")*('01_予約入力'!$B$5:$B$204=$A23)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23">
        <f>IF(OR($A23="",V$4=""),0,SUMPRODUCT(('01_予約入力'!$G$5:$G$204&lt;&gt;"")*('01_予約入力'!$N$5:$N$204&lt;&gt;"キャンセル")*('01_予約入力'!$B$5:$B$204=$A23)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23">
        <f>IF(OR($A23="",W$4=""),0,SUMPRODUCT(('01_予約入力'!$G$5:$G$204&lt;&gt;"")*('01_予約入力'!$N$5:$N$204&lt;&gt;"キャンセル")*('01_予約入力'!$B$5:$B$204=$A23)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23">
        <f>IF(OR($A23="",X$4=""),0,SUMPRODUCT(('01_予約入力'!$G$5:$G$204&lt;&gt;"")*('01_予約入力'!$N$5:$N$204&lt;&gt;"キャンセル")*('01_予約入力'!$B$5:$B$204=$A23)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23">
        <f>IF(OR($A23="",Y$4=""),0,SUMPRODUCT(('01_予約入力'!$G$5:$G$204&lt;&gt;"")*('01_予約入力'!$N$5:$N$204&lt;&gt;"キャンセル")*('01_予約入力'!$B$5:$B$204=$A23)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23">
        <f>IF(OR($A23="",Z$4=""),0,SUMPRODUCT(('01_予約入力'!$G$5:$G$204&lt;&gt;"")*('01_予約入力'!$N$5:$N$204&lt;&gt;"キャンセル")*('01_予約入力'!$B$5:$B$204=$A23)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23">
        <f>IF(OR($A23="",AA$4=""),0,SUMPRODUCT(('01_予約入力'!$G$5:$G$204&lt;&gt;"")*('01_予約入力'!$N$5:$N$204&lt;&gt;"キャンセル")*('01_予約入力'!$B$5:$B$204=$A23)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23">
        <f>IF(OR($A23="",AB$4=""),0,SUMPRODUCT(('01_予約入力'!$G$5:$G$204&lt;&gt;"")*('01_予約入力'!$N$5:$N$204&lt;&gt;"キャンセル")*('01_予約入力'!$B$5:$B$204=$A23)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23">
        <f>IF(OR($A23="",AC$4=""),0,SUMPRODUCT(('01_予約入力'!$G$5:$G$204&lt;&gt;"")*('01_予約入力'!$N$5:$N$204&lt;&gt;"キャンセル")*('01_予約入力'!$B$5:$B$204=$A23)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23">
        <f>IF(OR($A23="",AD$4=""),0,SUMPRODUCT(('01_予約入力'!$G$5:$G$204&lt;&gt;"")*('01_予約入力'!$N$5:$N$204&lt;&gt;"キャンセル")*('01_予約入力'!$B$5:$B$204=$A23)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23">
        <f>IF(OR($A23="",AE$4=""),0,SUMPRODUCT(('01_予約入力'!$G$5:$G$204&lt;&gt;"")*('01_予約入力'!$N$5:$N$204&lt;&gt;"キャンセル")*('01_予約入力'!$B$5:$B$204=$A23)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23">
        <f>IF(OR($A23="",AF$4=""),0,SUMPRODUCT(('01_予約入力'!$G$5:$G$204&lt;&gt;"")*('01_予約入力'!$N$5:$N$204&lt;&gt;"キャンセル")*('01_予約入力'!$B$5:$B$204=$A23)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24">
      <c r="A24" s="34">
        <f>IF(COUNTA('利用者マスタ'!$A$4:$A$60)&gt;=18,INDEX('利用者マスタ'!$A$4:$A$60,18),"")</f>
        <v/>
      </c>
      <c r="B24" s="35">
        <f>IF($AP24=0,"",IF(MOD($AP24,8)=7,IF($AP24&gt;=8,"◇","◆"),IF(MOD($AP24,8)=3,IF($AP24&gt;=8,"▷","▶"),IF(MOD($AP24,8)=5,IF($AP24&gt;=8,"◁","◀"),IF($AP24&gt;=8,"□","■")))))</f>
        <v/>
      </c>
      <c r="C24" s="35">
        <f>IF($AQ24=0,"",IF(MOD($AQ24,8)=7,IF($AQ24&gt;=8,"◇","◆"),IF(MOD($AQ24,8)=3,IF($AQ24&gt;=8,"▷","▶"),IF(MOD($AQ24,8)=5,IF($AQ24&gt;=8,"◁","◀"),IF($AQ24&gt;=8,"□","■")))))</f>
        <v/>
      </c>
      <c r="D24" s="35">
        <f>IF($AR24=0,"",IF(MOD($AR24,8)=7,IF($AR24&gt;=8,"◇","◆"),IF(MOD($AR24,8)=3,IF($AR24&gt;=8,"▷","▶"),IF(MOD($AR24,8)=5,IF($AR24&gt;=8,"◁","◀"),IF($AR24&gt;=8,"□","■")))))</f>
        <v/>
      </c>
      <c r="E24" s="35">
        <f>IF($AS24=0,"",IF(MOD($AS24,8)=7,IF($AS24&gt;=8,"◇","◆"),IF(MOD($AS24,8)=3,IF($AS24&gt;=8,"▷","▶"),IF(MOD($AS24,8)=5,IF($AS24&gt;=8,"◁","◀"),IF($AS24&gt;=8,"□","■")))))</f>
        <v/>
      </c>
      <c r="F24" s="35">
        <f>IF($AT24=0,"",IF(MOD($AT24,8)=7,IF($AT24&gt;=8,"◇","◆"),IF(MOD($AT24,8)=3,IF($AT24&gt;=8,"▷","▶"),IF(MOD($AT24,8)=5,IF($AT24&gt;=8,"◁","◀"),IF($AT24&gt;=8,"□","■")))))</f>
        <v/>
      </c>
      <c r="G24" s="35">
        <f>IF($AU24=0,"",IF(MOD($AU24,8)=7,IF($AU24&gt;=8,"◇","◆"),IF(MOD($AU24,8)=3,IF($AU24&gt;=8,"▷","▶"),IF(MOD($AU24,8)=5,IF($AU24&gt;=8,"◁","◀"),IF($AU24&gt;=8,"□","■")))))</f>
        <v/>
      </c>
      <c r="H24" s="35">
        <f>IF($AV24=0,"",IF(MOD($AV24,8)=7,IF($AV24&gt;=8,"◇","◆"),IF(MOD($AV24,8)=3,IF($AV24&gt;=8,"▷","▶"),IF(MOD($AV24,8)=5,IF($AV24&gt;=8,"◁","◀"),IF($AV24&gt;=8,"□","■")))))</f>
        <v/>
      </c>
      <c r="I24" s="35">
        <f>IF($AW24=0,"",IF(MOD($AW24,8)=7,IF($AW24&gt;=8,"◇","◆"),IF(MOD($AW24,8)=3,IF($AW24&gt;=8,"▷","▶"),IF(MOD($AW24,8)=5,IF($AW24&gt;=8,"◁","◀"),IF($AW24&gt;=8,"□","■")))))</f>
        <v/>
      </c>
      <c r="J24" s="35">
        <f>IF($AX24=0,"",IF(MOD($AX24,8)=7,IF($AX24&gt;=8,"◇","◆"),IF(MOD($AX24,8)=3,IF($AX24&gt;=8,"▷","▶"),IF(MOD($AX24,8)=5,IF($AX24&gt;=8,"◁","◀"),IF($AX24&gt;=8,"□","■")))))</f>
        <v/>
      </c>
      <c r="K24" s="35">
        <f>IF($AY24=0,"",IF(MOD($AY24,8)=7,IF($AY24&gt;=8,"◇","◆"),IF(MOD($AY24,8)=3,IF($AY24&gt;=8,"▷","▶"),IF(MOD($AY24,8)=5,IF($AY24&gt;=8,"◁","◀"),IF($AY24&gt;=8,"□","■")))))</f>
        <v/>
      </c>
      <c r="L24" s="35">
        <f>IF($AZ24=0,"",IF(MOD($AZ24,8)=7,IF($AZ24&gt;=8,"◇","◆"),IF(MOD($AZ24,8)=3,IF($AZ24&gt;=8,"▷","▶"),IF(MOD($AZ24,8)=5,IF($AZ24&gt;=8,"◁","◀"),IF($AZ24&gt;=8,"□","■")))))</f>
        <v/>
      </c>
      <c r="M24" s="35">
        <f>IF($BA24=0,"",IF(MOD($BA24,8)=7,IF($BA24&gt;=8,"◇","◆"),IF(MOD($BA24,8)=3,IF($BA24&gt;=8,"▷","▶"),IF(MOD($BA24,8)=5,IF($BA24&gt;=8,"◁","◀"),IF($BA24&gt;=8,"□","■")))))</f>
        <v/>
      </c>
      <c r="N24" s="35">
        <f>IF($BB24=0,"",IF(MOD($BB24,8)=7,IF($BB24&gt;=8,"◇","◆"),IF(MOD($BB24,8)=3,IF($BB24&gt;=8,"▷","▶"),IF(MOD($BB24,8)=5,IF($BB24&gt;=8,"◁","◀"),IF($BB24&gt;=8,"□","■")))))</f>
        <v/>
      </c>
      <c r="O24" s="35">
        <f>IF($BC24=0,"",IF(MOD($BC24,8)=7,IF($BC24&gt;=8,"◇","◆"),IF(MOD($BC24,8)=3,IF($BC24&gt;=8,"▷","▶"),IF(MOD($BC24,8)=5,IF($BC24&gt;=8,"◁","◀"),IF($BC24&gt;=8,"□","■")))))</f>
        <v/>
      </c>
      <c r="P24" s="35">
        <f>IF($BD24=0,"",IF(MOD($BD24,8)=7,IF($BD24&gt;=8,"◇","◆"),IF(MOD($BD24,8)=3,IF($BD24&gt;=8,"▷","▶"),IF(MOD($BD24,8)=5,IF($BD24&gt;=8,"◁","◀"),IF($BD24&gt;=8,"□","■")))))</f>
        <v/>
      </c>
      <c r="Q24" s="35">
        <f>IF($BE24=0,"",IF(MOD($BE24,8)=7,IF($BE24&gt;=8,"◇","◆"),IF(MOD($BE24,8)=3,IF($BE24&gt;=8,"▷","▶"),IF(MOD($BE24,8)=5,IF($BE24&gt;=8,"◁","◀"),IF($BE24&gt;=8,"□","■")))))</f>
        <v/>
      </c>
      <c r="R24" s="35">
        <f>IF($BF24=0,"",IF(MOD($BF24,8)=7,IF($BF24&gt;=8,"◇","◆"),IF(MOD($BF24,8)=3,IF($BF24&gt;=8,"▷","▶"),IF(MOD($BF24,8)=5,IF($BF24&gt;=8,"◁","◀"),IF($BF24&gt;=8,"□","■")))))</f>
        <v/>
      </c>
      <c r="S24" s="35">
        <f>IF($BG24=0,"",IF(MOD($BG24,8)=7,IF($BG24&gt;=8,"◇","◆"),IF(MOD($BG24,8)=3,IF($BG24&gt;=8,"▷","▶"),IF(MOD($BG24,8)=5,IF($BG24&gt;=8,"◁","◀"),IF($BG24&gt;=8,"□","■")))))</f>
        <v/>
      </c>
      <c r="T24" s="35">
        <f>IF($BH24=0,"",IF(MOD($BH24,8)=7,IF($BH24&gt;=8,"◇","◆"),IF(MOD($BH24,8)=3,IF($BH24&gt;=8,"▷","▶"),IF(MOD($BH24,8)=5,IF($BH24&gt;=8,"◁","◀"),IF($BH24&gt;=8,"□","■")))))</f>
        <v/>
      </c>
      <c r="U24" s="35">
        <f>IF($BI24=0,"",IF(MOD($BI24,8)=7,IF($BI24&gt;=8,"◇","◆"),IF(MOD($BI24,8)=3,IF($BI24&gt;=8,"▷","▶"),IF(MOD($BI24,8)=5,IF($BI24&gt;=8,"◁","◀"),IF($BI24&gt;=8,"□","■")))))</f>
        <v/>
      </c>
      <c r="V24" s="35">
        <f>IF($BJ24=0,"",IF(MOD($BJ24,8)=7,IF($BJ24&gt;=8,"◇","◆"),IF(MOD($BJ24,8)=3,IF($BJ24&gt;=8,"▷","▶"),IF(MOD($BJ24,8)=5,IF($BJ24&gt;=8,"◁","◀"),IF($BJ24&gt;=8,"□","■")))))</f>
        <v/>
      </c>
      <c r="W24" s="35">
        <f>IF($BK24=0,"",IF(MOD($BK24,8)=7,IF($BK24&gt;=8,"◇","◆"),IF(MOD($BK24,8)=3,IF($BK24&gt;=8,"▷","▶"),IF(MOD($BK24,8)=5,IF($BK24&gt;=8,"◁","◀"),IF($BK24&gt;=8,"□","■")))))</f>
        <v/>
      </c>
      <c r="X24" s="35">
        <f>IF($BL24=0,"",IF(MOD($BL24,8)=7,IF($BL24&gt;=8,"◇","◆"),IF(MOD($BL24,8)=3,IF($BL24&gt;=8,"▷","▶"),IF(MOD($BL24,8)=5,IF($BL24&gt;=8,"◁","◀"),IF($BL24&gt;=8,"□","■")))))</f>
        <v/>
      </c>
      <c r="Y24" s="35">
        <f>IF($BM24=0,"",IF(MOD($BM24,8)=7,IF($BM24&gt;=8,"◇","◆"),IF(MOD($BM24,8)=3,IF($BM24&gt;=8,"▷","▶"),IF(MOD($BM24,8)=5,IF($BM24&gt;=8,"◁","◀"),IF($BM24&gt;=8,"□","■")))))</f>
        <v/>
      </c>
      <c r="Z24" s="35">
        <f>IF($BN24=0,"",IF(MOD($BN24,8)=7,IF($BN24&gt;=8,"◇","◆"),IF(MOD($BN24,8)=3,IF($BN24&gt;=8,"▷","▶"),IF(MOD($BN24,8)=5,IF($BN24&gt;=8,"◁","◀"),IF($BN24&gt;=8,"□","■")))))</f>
        <v/>
      </c>
      <c r="AA24" s="35">
        <f>IF($BO24=0,"",IF(MOD($BO24,8)=7,IF($BO24&gt;=8,"◇","◆"),IF(MOD($BO24,8)=3,IF($BO24&gt;=8,"▷","▶"),IF(MOD($BO24,8)=5,IF($BO24&gt;=8,"◁","◀"),IF($BO24&gt;=8,"□","■")))))</f>
        <v/>
      </c>
      <c r="AB24" s="35">
        <f>IF($BP24=0,"",IF(MOD($BP24,8)=7,IF($BP24&gt;=8,"◇","◆"),IF(MOD($BP24,8)=3,IF($BP24&gt;=8,"▷","▶"),IF(MOD($BP24,8)=5,IF($BP24&gt;=8,"◁","◀"),IF($BP24&gt;=8,"□","■")))))</f>
        <v/>
      </c>
      <c r="AC24" s="35">
        <f>IF($BQ24=0,"",IF(MOD($BQ24,8)=7,IF($BQ24&gt;=8,"◇","◆"),IF(MOD($BQ24,8)=3,IF($BQ24&gt;=8,"▷","▶"),IF(MOD($BQ24,8)=5,IF($BQ24&gt;=8,"◁","◀"),IF($BQ24&gt;=8,"□","■")))))</f>
        <v/>
      </c>
      <c r="AD24" s="35">
        <f>IF($BR24=0,"",IF(MOD($BR24,8)=7,IF($BR24&gt;=8,"◇","◆"),IF(MOD($BR24,8)=3,IF($BR24&gt;=8,"▷","▶"),IF(MOD($BR24,8)=5,IF($BR24&gt;=8,"◁","◀"),IF($BR24&gt;=8,"□","■")))))</f>
        <v/>
      </c>
      <c r="AE24" s="35">
        <f>IF($BS24=0,"",IF(MOD($BS24,8)=7,IF($BS24&gt;=8,"◇","◆"),IF(MOD($BS24,8)=3,IF($BS24&gt;=8,"▷","▶"),IF(MOD($BS24,8)=5,IF($BS24&gt;=8,"◁","◀"),IF($BS24&gt;=8,"□","■")))))</f>
        <v/>
      </c>
      <c r="AF24" s="35">
        <f>IF($BT24=0,"",IF(MOD($BT24,8)=7,IF($BT24&gt;=8,"◇","◆"),IF(MOD($BT24,8)=3,IF($BT24&gt;=8,"▷","▶"),IF(MOD($BT24,8)=5,IF($BT24&gt;=8,"◁","◀"),IF($BT24&gt;=8,"□","■")))))</f>
        <v/>
      </c>
      <c r="AG24" s="36">
        <f>IF($A24="","",COUNTIF($AP24:$BT24,"&gt;0"))</f>
        <v/>
      </c>
      <c r="AP24">
        <f>IF(OR($A24="",B$4=""),0,SUMPRODUCT(('01_予約入力'!$G$5:$G$204&lt;&gt;"")*('01_予約入力'!$N$5:$N$204&lt;&gt;"キャンセル")*('01_予約入力'!$B$5:$B$204=$A24)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24">
        <f>IF(OR($A24="",C$4=""),0,SUMPRODUCT(('01_予約入力'!$G$5:$G$204&lt;&gt;"")*('01_予約入力'!$N$5:$N$204&lt;&gt;"キャンセル")*('01_予約入力'!$B$5:$B$204=$A24)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24">
        <f>IF(OR($A24="",D$4=""),0,SUMPRODUCT(('01_予約入力'!$G$5:$G$204&lt;&gt;"")*('01_予約入力'!$N$5:$N$204&lt;&gt;"キャンセル")*('01_予約入力'!$B$5:$B$204=$A24)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24">
        <f>IF(OR($A24="",E$4=""),0,SUMPRODUCT(('01_予約入力'!$G$5:$G$204&lt;&gt;"")*('01_予約入力'!$N$5:$N$204&lt;&gt;"キャンセル")*('01_予約入力'!$B$5:$B$204=$A24)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24">
        <f>IF(OR($A24="",F$4=""),0,SUMPRODUCT(('01_予約入力'!$G$5:$G$204&lt;&gt;"")*('01_予約入力'!$N$5:$N$204&lt;&gt;"キャンセル")*('01_予約入力'!$B$5:$B$204=$A24)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24">
        <f>IF(OR($A24="",G$4=""),0,SUMPRODUCT(('01_予約入力'!$G$5:$G$204&lt;&gt;"")*('01_予約入力'!$N$5:$N$204&lt;&gt;"キャンセル")*('01_予約入力'!$B$5:$B$204=$A24)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24">
        <f>IF(OR($A24="",H$4=""),0,SUMPRODUCT(('01_予約入力'!$G$5:$G$204&lt;&gt;"")*('01_予約入力'!$N$5:$N$204&lt;&gt;"キャンセル")*('01_予約入力'!$B$5:$B$204=$A24)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24">
        <f>IF(OR($A24="",I$4=""),0,SUMPRODUCT(('01_予約入力'!$G$5:$G$204&lt;&gt;"")*('01_予約入力'!$N$5:$N$204&lt;&gt;"キャンセル")*('01_予約入力'!$B$5:$B$204=$A24)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24">
        <f>IF(OR($A24="",J$4=""),0,SUMPRODUCT(('01_予約入力'!$G$5:$G$204&lt;&gt;"")*('01_予約入力'!$N$5:$N$204&lt;&gt;"キャンセル")*('01_予約入力'!$B$5:$B$204=$A24)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24">
        <f>IF(OR($A24="",K$4=""),0,SUMPRODUCT(('01_予約入力'!$G$5:$G$204&lt;&gt;"")*('01_予約入力'!$N$5:$N$204&lt;&gt;"キャンセル")*('01_予約入力'!$B$5:$B$204=$A24)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24">
        <f>IF(OR($A24="",L$4=""),0,SUMPRODUCT(('01_予約入力'!$G$5:$G$204&lt;&gt;"")*('01_予約入力'!$N$5:$N$204&lt;&gt;"キャンセル")*('01_予約入力'!$B$5:$B$204=$A24)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24">
        <f>IF(OR($A24="",M$4=""),0,SUMPRODUCT(('01_予約入力'!$G$5:$G$204&lt;&gt;"")*('01_予約入力'!$N$5:$N$204&lt;&gt;"キャンセル")*('01_予約入力'!$B$5:$B$204=$A24)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24">
        <f>IF(OR($A24="",N$4=""),0,SUMPRODUCT(('01_予約入力'!$G$5:$G$204&lt;&gt;"")*('01_予約入力'!$N$5:$N$204&lt;&gt;"キャンセル")*('01_予約入力'!$B$5:$B$204=$A24)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24">
        <f>IF(OR($A24="",O$4=""),0,SUMPRODUCT(('01_予約入力'!$G$5:$G$204&lt;&gt;"")*('01_予約入力'!$N$5:$N$204&lt;&gt;"キャンセル")*('01_予約入力'!$B$5:$B$204=$A24)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24">
        <f>IF(OR($A24="",P$4=""),0,SUMPRODUCT(('01_予約入力'!$G$5:$G$204&lt;&gt;"")*('01_予約入力'!$N$5:$N$204&lt;&gt;"キャンセル")*('01_予約入力'!$B$5:$B$204=$A24)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24">
        <f>IF(OR($A24="",Q$4=""),0,SUMPRODUCT(('01_予約入力'!$G$5:$G$204&lt;&gt;"")*('01_予約入力'!$N$5:$N$204&lt;&gt;"キャンセル")*('01_予約入力'!$B$5:$B$204=$A24)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24">
        <f>IF(OR($A24="",R$4=""),0,SUMPRODUCT(('01_予約入力'!$G$5:$G$204&lt;&gt;"")*('01_予約入力'!$N$5:$N$204&lt;&gt;"キャンセル")*('01_予約入力'!$B$5:$B$204=$A24)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24">
        <f>IF(OR($A24="",S$4=""),0,SUMPRODUCT(('01_予約入力'!$G$5:$G$204&lt;&gt;"")*('01_予約入力'!$N$5:$N$204&lt;&gt;"キャンセル")*('01_予約入力'!$B$5:$B$204=$A24)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24">
        <f>IF(OR($A24="",T$4=""),0,SUMPRODUCT(('01_予約入力'!$G$5:$G$204&lt;&gt;"")*('01_予約入力'!$N$5:$N$204&lt;&gt;"キャンセル")*('01_予約入力'!$B$5:$B$204=$A24)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24">
        <f>IF(OR($A24="",U$4=""),0,SUMPRODUCT(('01_予約入力'!$G$5:$G$204&lt;&gt;"")*('01_予約入力'!$N$5:$N$204&lt;&gt;"キャンセル")*('01_予約入力'!$B$5:$B$204=$A24)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24">
        <f>IF(OR($A24="",V$4=""),0,SUMPRODUCT(('01_予約入力'!$G$5:$G$204&lt;&gt;"")*('01_予約入力'!$N$5:$N$204&lt;&gt;"キャンセル")*('01_予約入力'!$B$5:$B$204=$A24)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24">
        <f>IF(OR($A24="",W$4=""),0,SUMPRODUCT(('01_予約入力'!$G$5:$G$204&lt;&gt;"")*('01_予約入力'!$N$5:$N$204&lt;&gt;"キャンセル")*('01_予約入力'!$B$5:$B$204=$A24)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24">
        <f>IF(OR($A24="",X$4=""),0,SUMPRODUCT(('01_予約入力'!$G$5:$G$204&lt;&gt;"")*('01_予約入力'!$N$5:$N$204&lt;&gt;"キャンセル")*('01_予約入力'!$B$5:$B$204=$A24)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24">
        <f>IF(OR($A24="",Y$4=""),0,SUMPRODUCT(('01_予約入力'!$G$5:$G$204&lt;&gt;"")*('01_予約入力'!$N$5:$N$204&lt;&gt;"キャンセル")*('01_予約入力'!$B$5:$B$204=$A24)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24">
        <f>IF(OR($A24="",Z$4=""),0,SUMPRODUCT(('01_予約入力'!$G$5:$G$204&lt;&gt;"")*('01_予約入力'!$N$5:$N$204&lt;&gt;"キャンセル")*('01_予約入力'!$B$5:$B$204=$A24)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24">
        <f>IF(OR($A24="",AA$4=""),0,SUMPRODUCT(('01_予約入力'!$G$5:$G$204&lt;&gt;"")*('01_予約入力'!$N$5:$N$204&lt;&gt;"キャンセル")*('01_予約入力'!$B$5:$B$204=$A24)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24">
        <f>IF(OR($A24="",AB$4=""),0,SUMPRODUCT(('01_予約入力'!$G$5:$G$204&lt;&gt;"")*('01_予約入力'!$N$5:$N$204&lt;&gt;"キャンセル")*('01_予約入力'!$B$5:$B$204=$A24)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24">
        <f>IF(OR($A24="",AC$4=""),0,SUMPRODUCT(('01_予約入力'!$G$5:$G$204&lt;&gt;"")*('01_予約入力'!$N$5:$N$204&lt;&gt;"キャンセル")*('01_予約入力'!$B$5:$B$204=$A24)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24">
        <f>IF(OR($A24="",AD$4=""),0,SUMPRODUCT(('01_予約入力'!$G$5:$G$204&lt;&gt;"")*('01_予約入力'!$N$5:$N$204&lt;&gt;"キャンセル")*('01_予約入力'!$B$5:$B$204=$A24)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24">
        <f>IF(OR($A24="",AE$4=""),0,SUMPRODUCT(('01_予約入力'!$G$5:$G$204&lt;&gt;"")*('01_予約入力'!$N$5:$N$204&lt;&gt;"キャンセル")*('01_予約入力'!$B$5:$B$204=$A24)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24">
        <f>IF(OR($A24="",AF$4=""),0,SUMPRODUCT(('01_予約入力'!$G$5:$G$204&lt;&gt;"")*('01_予約入力'!$N$5:$N$204&lt;&gt;"キャンセル")*('01_予約入力'!$B$5:$B$204=$A24)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25">
      <c r="A25" s="34">
        <f>IF(COUNTA('利用者マスタ'!$A$4:$A$60)&gt;=19,INDEX('利用者マスタ'!$A$4:$A$60,19),"")</f>
        <v/>
      </c>
      <c r="B25" s="35">
        <f>IF($AP25=0,"",IF(MOD($AP25,8)=7,IF($AP25&gt;=8,"◇","◆"),IF(MOD($AP25,8)=3,IF($AP25&gt;=8,"▷","▶"),IF(MOD($AP25,8)=5,IF($AP25&gt;=8,"◁","◀"),IF($AP25&gt;=8,"□","■")))))</f>
        <v/>
      </c>
      <c r="C25" s="35">
        <f>IF($AQ25=0,"",IF(MOD($AQ25,8)=7,IF($AQ25&gt;=8,"◇","◆"),IF(MOD($AQ25,8)=3,IF($AQ25&gt;=8,"▷","▶"),IF(MOD($AQ25,8)=5,IF($AQ25&gt;=8,"◁","◀"),IF($AQ25&gt;=8,"□","■")))))</f>
        <v/>
      </c>
      <c r="D25" s="35">
        <f>IF($AR25=0,"",IF(MOD($AR25,8)=7,IF($AR25&gt;=8,"◇","◆"),IF(MOD($AR25,8)=3,IF($AR25&gt;=8,"▷","▶"),IF(MOD($AR25,8)=5,IF($AR25&gt;=8,"◁","◀"),IF($AR25&gt;=8,"□","■")))))</f>
        <v/>
      </c>
      <c r="E25" s="35">
        <f>IF($AS25=0,"",IF(MOD($AS25,8)=7,IF($AS25&gt;=8,"◇","◆"),IF(MOD($AS25,8)=3,IF($AS25&gt;=8,"▷","▶"),IF(MOD($AS25,8)=5,IF($AS25&gt;=8,"◁","◀"),IF($AS25&gt;=8,"□","■")))))</f>
        <v/>
      </c>
      <c r="F25" s="35">
        <f>IF($AT25=0,"",IF(MOD($AT25,8)=7,IF($AT25&gt;=8,"◇","◆"),IF(MOD($AT25,8)=3,IF($AT25&gt;=8,"▷","▶"),IF(MOD($AT25,8)=5,IF($AT25&gt;=8,"◁","◀"),IF($AT25&gt;=8,"□","■")))))</f>
        <v/>
      </c>
      <c r="G25" s="35">
        <f>IF($AU25=0,"",IF(MOD($AU25,8)=7,IF($AU25&gt;=8,"◇","◆"),IF(MOD($AU25,8)=3,IF($AU25&gt;=8,"▷","▶"),IF(MOD($AU25,8)=5,IF($AU25&gt;=8,"◁","◀"),IF($AU25&gt;=8,"□","■")))))</f>
        <v/>
      </c>
      <c r="H25" s="35">
        <f>IF($AV25=0,"",IF(MOD($AV25,8)=7,IF($AV25&gt;=8,"◇","◆"),IF(MOD($AV25,8)=3,IF($AV25&gt;=8,"▷","▶"),IF(MOD($AV25,8)=5,IF($AV25&gt;=8,"◁","◀"),IF($AV25&gt;=8,"□","■")))))</f>
        <v/>
      </c>
      <c r="I25" s="35">
        <f>IF($AW25=0,"",IF(MOD($AW25,8)=7,IF($AW25&gt;=8,"◇","◆"),IF(MOD($AW25,8)=3,IF($AW25&gt;=8,"▷","▶"),IF(MOD($AW25,8)=5,IF($AW25&gt;=8,"◁","◀"),IF($AW25&gt;=8,"□","■")))))</f>
        <v/>
      </c>
      <c r="J25" s="35">
        <f>IF($AX25=0,"",IF(MOD($AX25,8)=7,IF($AX25&gt;=8,"◇","◆"),IF(MOD($AX25,8)=3,IF($AX25&gt;=8,"▷","▶"),IF(MOD($AX25,8)=5,IF($AX25&gt;=8,"◁","◀"),IF($AX25&gt;=8,"□","■")))))</f>
        <v/>
      </c>
      <c r="K25" s="35">
        <f>IF($AY25=0,"",IF(MOD($AY25,8)=7,IF($AY25&gt;=8,"◇","◆"),IF(MOD($AY25,8)=3,IF($AY25&gt;=8,"▷","▶"),IF(MOD($AY25,8)=5,IF($AY25&gt;=8,"◁","◀"),IF($AY25&gt;=8,"□","■")))))</f>
        <v/>
      </c>
      <c r="L25" s="35">
        <f>IF($AZ25=0,"",IF(MOD($AZ25,8)=7,IF($AZ25&gt;=8,"◇","◆"),IF(MOD($AZ25,8)=3,IF($AZ25&gt;=8,"▷","▶"),IF(MOD($AZ25,8)=5,IF($AZ25&gt;=8,"◁","◀"),IF($AZ25&gt;=8,"□","■")))))</f>
        <v/>
      </c>
      <c r="M25" s="35">
        <f>IF($BA25=0,"",IF(MOD($BA25,8)=7,IF($BA25&gt;=8,"◇","◆"),IF(MOD($BA25,8)=3,IF($BA25&gt;=8,"▷","▶"),IF(MOD($BA25,8)=5,IF($BA25&gt;=8,"◁","◀"),IF($BA25&gt;=8,"□","■")))))</f>
        <v/>
      </c>
      <c r="N25" s="35">
        <f>IF($BB25=0,"",IF(MOD($BB25,8)=7,IF($BB25&gt;=8,"◇","◆"),IF(MOD($BB25,8)=3,IF($BB25&gt;=8,"▷","▶"),IF(MOD($BB25,8)=5,IF($BB25&gt;=8,"◁","◀"),IF($BB25&gt;=8,"□","■")))))</f>
        <v/>
      </c>
      <c r="O25" s="35">
        <f>IF($BC25=0,"",IF(MOD($BC25,8)=7,IF($BC25&gt;=8,"◇","◆"),IF(MOD($BC25,8)=3,IF($BC25&gt;=8,"▷","▶"),IF(MOD($BC25,8)=5,IF($BC25&gt;=8,"◁","◀"),IF($BC25&gt;=8,"□","■")))))</f>
        <v/>
      </c>
      <c r="P25" s="35">
        <f>IF($BD25=0,"",IF(MOD($BD25,8)=7,IF($BD25&gt;=8,"◇","◆"),IF(MOD($BD25,8)=3,IF($BD25&gt;=8,"▷","▶"),IF(MOD($BD25,8)=5,IF($BD25&gt;=8,"◁","◀"),IF($BD25&gt;=8,"□","■")))))</f>
        <v/>
      </c>
      <c r="Q25" s="35">
        <f>IF($BE25=0,"",IF(MOD($BE25,8)=7,IF($BE25&gt;=8,"◇","◆"),IF(MOD($BE25,8)=3,IF($BE25&gt;=8,"▷","▶"),IF(MOD($BE25,8)=5,IF($BE25&gt;=8,"◁","◀"),IF($BE25&gt;=8,"□","■")))))</f>
        <v/>
      </c>
      <c r="R25" s="35">
        <f>IF($BF25=0,"",IF(MOD($BF25,8)=7,IF($BF25&gt;=8,"◇","◆"),IF(MOD($BF25,8)=3,IF($BF25&gt;=8,"▷","▶"),IF(MOD($BF25,8)=5,IF($BF25&gt;=8,"◁","◀"),IF($BF25&gt;=8,"□","■")))))</f>
        <v/>
      </c>
      <c r="S25" s="35">
        <f>IF($BG25=0,"",IF(MOD($BG25,8)=7,IF($BG25&gt;=8,"◇","◆"),IF(MOD($BG25,8)=3,IF($BG25&gt;=8,"▷","▶"),IF(MOD($BG25,8)=5,IF($BG25&gt;=8,"◁","◀"),IF($BG25&gt;=8,"□","■")))))</f>
        <v/>
      </c>
      <c r="T25" s="35">
        <f>IF($BH25=0,"",IF(MOD($BH25,8)=7,IF($BH25&gt;=8,"◇","◆"),IF(MOD($BH25,8)=3,IF($BH25&gt;=8,"▷","▶"),IF(MOD($BH25,8)=5,IF($BH25&gt;=8,"◁","◀"),IF($BH25&gt;=8,"□","■")))))</f>
        <v/>
      </c>
      <c r="U25" s="35">
        <f>IF($BI25=0,"",IF(MOD($BI25,8)=7,IF($BI25&gt;=8,"◇","◆"),IF(MOD($BI25,8)=3,IF($BI25&gt;=8,"▷","▶"),IF(MOD($BI25,8)=5,IF($BI25&gt;=8,"◁","◀"),IF($BI25&gt;=8,"□","■")))))</f>
        <v/>
      </c>
      <c r="V25" s="35">
        <f>IF($BJ25=0,"",IF(MOD($BJ25,8)=7,IF($BJ25&gt;=8,"◇","◆"),IF(MOD($BJ25,8)=3,IF($BJ25&gt;=8,"▷","▶"),IF(MOD($BJ25,8)=5,IF($BJ25&gt;=8,"◁","◀"),IF($BJ25&gt;=8,"□","■")))))</f>
        <v/>
      </c>
      <c r="W25" s="35">
        <f>IF($BK25=0,"",IF(MOD($BK25,8)=7,IF($BK25&gt;=8,"◇","◆"),IF(MOD($BK25,8)=3,IF($BK25&gt;=8,"▷","▶"),IF(MOD($BK25,8)=5,IF($BK25&gt;=8,"◁","◀"),IF($BK25&gt;=8,"□","■")))))</f>
        <v/>
      </c>
      <c r="X25" s="35">
        <f>IF($BL25=0,"",IF(MOD($BL25,8)=7,IF($BL25&gt;=8,"◇","◆"),IF(MOD($BL25,8)=3,IF($BL25&gt;=8,"▷","▶"),IF(MOD($BL25,8)=5,IF($BL25&gt;=8,"◁","◀"),IF($BL25&gt;=8,"□","■")))))</f>
        <v/>
      </c>
      <c r="Y25" s="35">
        <f>IF($BM25=0,"",IF(MOD($BM25,8)=7,IF($BM25&gt;=8,"◇","◆"),IF(MOD($BM25,8)=3,IF($BM25&gt;=8,"▷","▶"),IF(MOD($BM25,8)=5,IF($BM25&gt;=8,"◁","◀"),IF($BM25&gt;=8,"□","■")))))</f>
        <v/>
      </c>
      <c r="Z25" s="35">
        <f>IF($BN25=0,"",IF(MOD($BN25,8)=7,IF($BN25&gt;=8,"◇","◆"),IF(MOD($BN25,8)=3,IF($BN25&gt;=8,"▷","▶"),IF(MOD($BN25,8)=5,IF($BN25&gt;=8,"◁","◀"),IF($BN25&gt;=8,"□","■")))))</f>
        <v/>
      </c>
      <c r="AA25" s="35">
        <f>IF($BO25=0,"",IF(MOD($BO25,8)=7,IF($BO25&gt;=8,"◇","◆"),IF(MOD($BO25,8)=3,IF($BO25&gt;=8,"▷","▶"),IF(MOD($BO25,8)=5,IF($BO25&gt;=8,"◁","◀"),IF($BO25&gt;=8,"□","■")))))</f>
        <v/>
      </c>
      <c r="AB25" s="35">
        <f>IF($BP25=0,"",IF(MOD($BP25,8)=7,IF($BP25&gt;=8,"◇","◆"),IF(MOD($BP25,8)=3,IF($BP25&gt;=8,"▷","▶"),IF(MOD($BP25,8)=5,IF($BP25&gt;=8,"◁","◀"),IF($BP25&gt;=8,"□","■")))))</f>
        <v/>
      </c>
      <c r="AC25" s="35">
        <f>IF($BQ25=0,"",IF(MOD($BQ25,8)=7,IF($BQ25&gt;=8,"◇","◆"),IF(MOD($BQ25,8)=3,IF($BQ25&gt;=8,"▷","▶"),IF(MOD($BQ25,8)=5,IF($BQ25&gt;=8,"◁","◀"),IF($BQ25&gt;=8,"□","■")))))</f>
        <v/>
      </c>
      <c r="AD25" s="35">
        <f>IF($BR25=0,"",IF(MOD($BR25,8)=7,IF($BR25&gt;=8,"◇","◆"),IF(MOD($BR25,8)=3,IF($BR25&gt;=8,"▷","▶"),IF(MOD($BR25,8)=5,IF($BR25&gt;=8,"◁","◀"),IF($BR25&gt;=8,"□","■")))))</f>
        <v/>
      </c>
      <c r="AE25" s="35">
        <f>IF($BS25=0,"",IF(MOD($BS25,8)=7,IF($BS25&gt;=8,"◇","◆"),IF(MOD($BS25,8)=3,IF($BS25&gt;=8,"▷","▶"),IF(MOD($BS25,8)=5,IF($BS25&gt;=8,"◁","◀"),IF($BS25&gt;=8,"□","■")))))</f>
        <v/>
      </c>
      <c r="AF25" s="35">
        <f>IF($BT25=0,"",IF(MOD($BT25,8)=7,IF($BT25&gt;=8,"◇","◆"),IF(MOD($BT25,8)=3,IF($BT25&gt;=8,"▷","▶"),IF(MOD($BT25,8)=5,IF($BT25&gt;=8,"◁","◀"),IF($BT25&gt;=8,"□","■")))))</f>
        <v/>
      </c>
      <c r="AG25" s="36">
        <f>IF($A25="","",COUNTIF($AP25:$BT25,"&gt;0"))</f>
        <v/>
      </c>
      <c r="AP25">
        <f>IF(OR($A25="",B$4=""),0,SUMPRODUCT(('01_予約入力'!$G$5:$G$204&lt;&gt;"")*('01_予約入力'!$N$5:$N$204&lt;&gt;"キャンセル")*('01_予約入力'!$B$5:$B$204=$A25)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25">
        <f>IF(OR($A25="",C$4=""),0,SUMPRODUCT(('01_予約入力'!$G$5:$G$204&lt;&gt;"")*('01_予約入力'!$N$5:$N$204&lt;&gt;"キャンセル")*('01_予約入力'!$B$5:$B$204=$A25)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25">
        <f>IF(OR($A25="",D$4=""),0,SUMPRODUCT(('01_予約入力'!$G$5:$G$204&lt;&gt;"")*('01_予約入力'!$N$5:$N$204&lt;&gt;"キャンセル")*('01_予約入力'!$B$5:$B$204=$A25)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25">
        <f>IF(OR($A25="",E$4=""),0,SUMPRODUCT(('01_予約入力'!$G$5:$G$204&lt;&gt;"")*('01_予約入力'!$N$5:$N$204&lt;&gt;"キャンセル")*('01_予約入力'!$B$5:$B$204=$A25)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25">
        <f>IF(OR($A25="",F$4=""),0,SUMPRODUCT(('01_予約入力'!$G$5:$G$204&lt;&gt;"")*('01_予約入力'!$N$5:$N$204&lt;&gt;"キャンセル")*('01_予約入力'!$B$5:$B$204=$A25)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25">
        <f>IF(OR($A25="",G$4=""),0,SUMPRODUCT(('01_予約入力'!$G$5:$G$204&lt;&gt;"")*('01_予約入力'!$N$5:$N$204&lt;&gt;"キャンセル")*('01_予約入力'!$B$5:$B$204=$A25)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25">
        <f>IF(OR($A25="",H$4=""),0,SUMPRODUCT(('01_予約入力'!$G$5:$G$204&lt;&gt;"")*('01_予約入力'!$N$5:$N$204&lt;&gt;"キャンセル")*('01_予約入力'!$B$5:$B$204=$A25)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25">
        <f>IF(OR($A25="",I$4=""),0,SUMPRODUCT(('01_予約入力'!$G$5:$G$204&lt;&gt;"")*('01_予約入力'!$N$5:$N$204&lt;&gt;"キャンセル")*('01_予約入力'!$B$5:$B$204=$A25)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25">
        <f>IF(OR($A25="",J$4=""),0,SUMPRODUCT(('01_予約入力'!$G$5:$G$204&lt;&gt;"")*('01_予約入力'!$N$5:$N$204&lt;&gt;"キャンセル")*('01_予約入力'!$B$5:$B$204=$A25)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25">
        <f>IF(OR($A25="",K$4=""),0,SUMPRODUCT(('01_予約入力'!$G$5:$G$204&lt;&gt;"")*('01_予約入力'!$N$5:$N$204&lt;&gt;"キャンセル")*('01_予約入力'!$B$5:$B$204=$A25)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25">
        <f>IF(OR($A25="",L$4=""),0,SUMPRODUCT(('01_予約入力'!$G$5:$G$204&lt;&gt;"")*('01_予約入力'!$N$5:$N$204&lt;&gt;"キャンセル")*('01_予約入力'!$B$5:$B$204=$A25)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25">
        <f>IF(OR($A25="",M$4=""),0,SUMPRODUCT(('01_予約入力'!$G$5:$G$204&lt;&gt;"")*('01_予約入力'!$N$5:$N$204&lt;&gt;"キャンセル")*('01_予約入力'!$B$5:$B$204=$A25)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25">
        <f>IF(OR($A25="",N$4=""),0,SUMPRODUCT(('01_予約入力'!$G$5:$G$204&lt;&gt;"")*('01_予約入力'!$N$5:$N$204&lt;&gt;"キャンセル")*('01_予約入力'!$B$5:$B$204=$A25)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25">
        <f>IF(OR($A25="",O$4=""),0,SUMPRODUCT(('01_予約入力'!$G$5:$G$204&lt;&gt;"")*('01_予約入力'!$N$5:$N$204&lt;&gt;"キャンセル")*('01_予約入力'!$B$5:$B$204=$A25)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25">
        <f>IF(OR($A25="",P$4=""),0,SUMPRODUCT(('01_予約入力'!$G$5:$G$204&lt;&gt;"")*('01_予約入力'!$N$5:$N$204&lt;&gt;"キャンセル")*('01_予約入力'!$B$5:$B$204=$A25)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25">
        <f>IF(OR($A25="",Q$4=""),0,SUMPRODUCT(('01_予約入力'!$G$5:$G$204&lt;&gt;"")*('01_予約入力'!$N$5:$N$204&lt;&gt;"キャンセル")*('01_予約入力'!$B$5:$B$204=$A25)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25">
        <f>IF(OR($A25="",R$4=""),0,SUMPRODUCT(('01_予約入力'!$G$5:$G$204&lt;&gt;"")*('01_予約入力'!$N$5:$N$204&lt;&gt;"キャンセル")*('01_予約入力'!$B$5:$B$204=$A25)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25">
        <f>IF(OR($A25="",S$4=""),0,SUMPRODUCT(('01_予約入力'!$G$5:$G$204&lt;&gt;"")*('01_予約入力'!$N$5:$N$204&lt;&gt;"キャンセル")*('01_予約入力'!$B$5:$B$204=$A25)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25">
        <f>IF(OR($A25="",T$4=""),0,SUMPRODUCT(('01_予約入力'!$G$5:$G$204&lt;&gt;"")*('01_予約入力'!$N$5:$N$204&lt;&gt;"キャンセル")*('01_予約入力'!$B$5:$B$204=$A25)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25">
        <f>IF(OR($A25="",U$4=""),0,SUMPRODUCT(('01_予約入力'!$G$5:$G$204&lt;&gt;"")*('01_予約入力'!$N$5:$N$204&lt;&gt;"キャンセル")*('01_予約入力'!$B$5:$B$204=$A25)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25">
        <f>IF(OR($A25="",V$4=""),0,SUMPRODUCT(('01_予約入力'!$G$5:$G$204&lt;&gt;"")*('01_予約入力'!$N$5:$N$204&lt;&gt;"キャンセル")*('01_予約入力'!$B$5:$B$204=$A25)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25">
        <f>IF(OR($A25="",W$4=""),0,SUMPRODUCT(('01_予約入力'!$G$5:$G$204&lt;&gt;"")*('01_予約入力'!$N$5:$N$204&lt;&gt;"キャンセル")*('01_予約入力'!$B$5:$B$204=$A25)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25">
        <f>IF(OR($A25="",X$4=""),0,SUMPRODUCT(('01_予約入力'!$G$5:$G$204&lt;&gt;"")*('01_予約入力'!$N$5:$N$204&lt;&gt;"キャンセル")*('01_予約入力'!$B$5:$B$204=$A25)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25">
        <f>IF(OR($A25="",Y$4=""),0,SUMPRODUCT(('01_予約入力'!$G$5:$G$204&lt;&gt;"")*('01_予約入力'!$N$5:$N$204&lt;&gt;"キャンセル")*('01_予約入力'!$B$5:$B$204=$A25)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25">
        <f>IF(OR($A25="",Z$4=""),0,SUMPRODUCT(('01_予約入力'!$G$5:$G$204&lt;&gt;"")*('01_予約入力'!$N$5:$N$204&lt;&gt;"キャンセル")*('01_予約入力'!$B$5:$B$204=$A25)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25">
        <f>IF(OR($A25="",AA$4=""),0,SUMPRODUCT(('01_予約入力'!$G$5:$G$204&lt;&gt;"")*('01_予約入力'!$N$5:$N$204&lt;&gt;"キャンセル")*('01_予約入力'!$B$5:$B$204=$A25)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25">
        <f>IF(OR($A25="",AB$4=""),0,SUMPRODUCT(('01_予約入力'!$G$5:$G$204&lt;&gt;"")*('01_予約入力'!$N$5:$N$204&lt;&gt;"キャンセル")*('01_予約入力'!$B$5:$B$204=$A25)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25">
        <f>IF(OR($A25="",AC$4=""),0,SUMPRODUCT(('01_予約入力'!$G$5:$G$204&lt;&gt;"")*('01_予約入力'!$N$5:$N$204&lt;&gt;"キャンセル")*('01_予約入力'!$B$5:$B$204=$A25)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25">
        <f>IF(OR($A25="",AD$4=""),0,SUMPRODUCT(('01_予約入力'!$G$5:$G$204&lt;&gt;"")*('01_予約入力'!$N$5:$N$204&lt;&gt;"キャンセル")*('01_予約入力'!$B$5:$B$204=$A25)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25">
        <f>IF(OR($A25="",AE$4=""),0,SUMPRODUCT(('01_予約入力'!$G$5:$G$204&lt;&gt;"")*('01_予約入力'!$N$5:$N$204&lt;&gt;"キャンセル")*('01_予約入力'!$B$5:$B$204=$A25)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25">
        <f>IF(OR($A25="",AF$4=""),0,SUMPRODUCT(('01_予約入力'!$G$5:$G$204&lt;&gt;"")*('01_予約入力'!$N$5:$N$204&lt;&gt;"キャンセル")*('01_予約入力'!$B$5:$B$204=$A25)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26">
      <c r="A26" s="34">
        <f>IF(COUNTA('利用者マスタ'!$A$4:$A$60)&gt;=20,INDEX('利用者マスタ'!$A$4:$A$60,20),"")</f>
        <v/>
      </c>
      <c r="B26" s="35">
        <f>IF($AP26=0,"",IF(MOD($AP26,8)=7,IF($AP26&gt;=8,"◇","◆"),IF(MOD($AP26,8)=3,IF($AP26&gt;=8,"▷","▶"),IF(MOD($AP26,8)=5,IF($AP26&gt;=8,"◁","◀"),IF($AP26&gt;=8,"□","■")))))</f>
        <v/>
      </c>
      <c r="C26" s="35">
        <f>IF($AQ26=0,"",IF(MOD($AQ26,8)=7,IF($AQ26&gt;=8,"◇","◆"),IF(MOD($AQ26,8)=3,IF($AQ26&gt;=8,"▷","▶"),IF(MOD($AQ26,8)=5,IF($AQ26&gt;=8,"◁","◀"),IF($AQ26&gt;=8,"□","■")))))</f>
        <v/>
      </c>
      <c r="D26" s="35">
        <f>IF($AR26=0,"",IF(MOD($AR26,8)=7,IF($AR26&gt;=8,"◇","◆"),IF(MOD($AR26,8)=3,IF($AR26&gt;=8,"▷","▶"),IF(MOD($AR26,8)=5,IF($AR26&gt;=8,"◁","◀"),IF($AR26&gt;=8,"□","■")))))</f>
        <v/>
      </c>
      <c r="E26" s="35">
        <f>IF($AS26=0,"",IF(MOD($AS26,8)=7,IF($AS26&gt;=8,"◇","◆"),IF(MOD($AS26,8)=3,IF($AS26&gt;=8,"▷","▶"),IF(MOD($AS26,8)=5,IF($AS26&gt;=8,"◁","◀"),IF($AS26&gt;=8,"□","■")))))</f>
        <v/>
      </c>
      <c r="F26" s="35">
        <f>IF($AT26=0,"",IF(MOD($AT26,8)=7,IF($AT26&gt;=8,"◇","◆"),IF(MOD($AT26,8)=3,IF($AT26&gt;=8,"▷","▶"),IF(MOD($AT26,8)=5,IF($AT26&gt;=8,"◁","◀"),IF($AT26&gt;=8,"□","■")))))</f>
        <v/>
      </c>
      <c r="G26" s="35">
        <f>IF($AU26=0,"",IF(MOD($AU26,8)=7,IF($AU26&gt;=8,"◇","◆"),IF(MOD($AU26,8)=3,IF($AU26&gt;=8,"▷","▶"),IF(MOD($AU26,8)=5,IF($AU26&gt;=8,"◁","◀"),IF($AU26&gt;=8,"□","■")))))</f>
        <v/>
      </c>
      <c r="H26" s="35">
        <f>IF($AV26=0,"",IF(MOD($AV26,8)=7,IF($AV26&gt;=8,"◇","◆"),IF(MOD($AV26,8)=3,IF($AV26&gt;=8,"▷","▶"),IF(MOD($AV26,8)=5,IF($AV26&gt;=8,"◁","◀"),IF($AV26&gt;=8,"□","■")))))</f>
        <v/>
      </c>
      <c r="I26" s="35">
        <f>IF($AW26=0,"",IF(MOD($AW26,8)=7,IF($AW26&gt;=8,"◇","◆"),IF(MOD($AW26,8)=3,IF($AW26&gt;=8,"▷","▶"),IF(MOD($AW26,8)=5,IF($AW26&gt;=8,"◁","◀"),IF($AW26&gt;=8,"□","■")))))</f>
        <v/>
      </c>
      <c r="J26" s="35">
        <f>IF($AX26=0,"",IF(MOD($AX26,8)=7,IF($AX26&gt;=8,"◇","◆"),IF(MOD($AX26,8)=3,IF($AX26&gt;=8,"▷","▶"),IF(MOD($AX26,8)=5,IF($AX26&gt;=8,"◁","◀"),IF($AX26&gt;=8,"□","■")))))</f>
        <v/>
      </c>
      <c r="K26" s="35">
        <f>IF($AY26=0,"",IF(MOD($AY26,8)=7,IF($AY26&gt;=8,"◇","◆"),IF(MOD($AY26,8)=3,IF($AY26&gt;=8,"▷","▶"),IF(MOD($AY26,8)=5,IF($AY26&gt;=8,"◁","◀"),IF($AY26&gt;=8,"□","■")))))</f>
        <v/>
      </c>
      <c r="L26" s="35">
        <f>IF($AZ26=0,"",IF(MOD($AZ26,8)=7,IF($AZ26&gt;=8,"◇","◆"),IF(MOD($AZ26,8)=3,IF($AZ26&gt;=8,"▷","▶"),IF(MOD($AZ26,8)=5,IF($AZ26&gt;=8,"◁","◀"),IF($AZ26&gt;=8,"□","■")))))</f>
        <v/>
      </c>
      <c r="M26" s="35">
        <f>IF($BA26=0,"",IF(MOD($BA26,8)=7,IF($BA26&gt;=8,"◇","◆"),IF(MOD($BA26,8)=3,IF($BA26&gt;=8,"▷","▶"),IF(MOD($BA26,8)=5,IF($BA26&gt;=8,"◁","◀"),IF($BA26&gt;=8,"□","■")))))</f>
        <v/>
      </c>
      <c r="N26" s="35">
        <f>IF($BB26=0,"",IF(MOD($BB26,8)=7,IF($BB26&gt;=8,"◇","◆"),IF(MOD($BB26,8)=3,IF($BB26&gt;=8,"▷","▶"),IF(MOD($BB26,8)=5,IF($BB26&gt;=8,"◁","◀"),IF($BB26&gt;=8,"□","■")))))</f>
        <v/>
      </c>
      <c r="O26" s="35">
        <f>IF($BC26=0,"",IF(MOD($BC26,8)=7,IF($BC26&gt;=8,"◇","◆"),IF(MOD($BC26,8)=3,IF($BC26&gt;=8,"▷","▶"),IF(MOD($BC26,8)=5,IF($BC26&gt;=8,"◁","◀"),IF($BC26&gt;=8,"□","■")))))</f>
        <v/>
      </c>
      <c r="P26" s="35">
        <f>IF($BD26=0,"",IF(MOD($BD26,8)=7,IF($BD26&gt;=8,"◇","◆"),IF(MOD($BD26,8)=3,IF($BD26&gt;=8,"▷","▶"),IF(MOD($BD26,8)=5,IF($BD26&gt;=8,"◁","◀"),IF($BD26&gt;=8,"□","■")))))</f>
        <v/>
      </c>
      <c r="Q26" s="35">
        <f>IF($BE26=0,"",IF(MOD($BE26,8)=7,IF($BE26&gt;=8,"◇","◆"),IF(MOD($BE26,8)=3,IF($BE26&gt;=8,"▷","▶"),IF(MOD($BE26,8)=5,IF($BE26&gt;=8,"◁","◀"),IF($BE26&gt;=8,"□","■")))))</f>
        <v/>
      </c>
      <c r="R26" s="35">
        <f>IF($BF26=0,"",IF(MOD($BF26,8)=7,IF($BF26&gt;=8,"◇","◆"),IF(MOD($BF26,8)=3,IF($BF26&gt;=8,"▷","▶"),IF(MOD($BF26,8)=5,IF($BF26&gt;=8,"◁","◀"),IF($BF26&gt;=8,"□","■")))))</f>
        <v/>
      </c>
      <c r="S26" s="35">
        <f>IF($BG26=0,"",IF(MOD($BG26,8)=7,IF($BG26&gt;=8,"◇","◆"),IF(MOD($BG26,8)=3,IF($BG26&gt;=8,"▷","▶"),IF(MOD($BG26,8)=5,IF($BG26&gt;=8,"◁","◀"),IF($BG26&gt;=8,"□","■")))))</f>
        <v/>
      </c>
      <c r="T26" s="35">
        <f>IF($BH26=0,"",IF(MOD($BH26,8)=7,IF($BH26&gt;=8,"◇","◆"),IF(MOD($BH26,8)=3,IF($BH26&gt;=8,"▷","▶"),IF(MOD($BH26,8)=5,IF($BH26&gt;=8,"◁","◀"),IF($BH26&gt;=8,"□","■")))))</f>
        <v/>
      </c>
      <c r="U26" s="35">
        <f>IF($BI26=0,"",IF(MOD($BI26,8)=7,IF($BI26&gt;=8,"◇","◆"),IF(MOD($BI26,8)=3,IF($BI26&gt;=8,"▷","▶"),IF(MOD($BI26,8)=5,IF($BI26&gt;=8,"◁","◀"),IF($BI26&gt;=8,"□","■")))))</f>
        <v/>
      </c>
      <c r="V26" s="35">
        <f>IF($BJ26=0,"",IF(MOD($BJ26,8)=7,IF($BJ26&gt;=8,"◇","◆"),IF(MOD($BJ26,8)=3,IF($BJ26&gt;=8,"▷","▶"),IF(MOD($BJ26,8)=5,IF($BJ26&gt;=8,"◁","◀"),IF($BJ26&gt;=8,"□","■")))))</f>
        <v/>
      </c>
      <c r="W26" s="35">
        <f>IF($BK26=0,"",IF(MOD($BK26,8)=7,IF($BK26&gt;=8,"◇","◆"),IF(MOD($BK26,8)=3,IF($BK26&gt;=8,"▷","▶"),IF(MOD($BK26,8)=5,IF($BK26&gt;=8,"◁","◀"),IF($BK26&gt;=8,"□","■")))))</f>
        <v/>
      </c>
      <c r="X26" s="35">
        <f>IF($BL26=0,"",IF(MOD($BL26,8)=7,IF($BL26&gt;=8,"◇","◆"),IF(MOD($BL26,8)=3,IF($BL26&gt;=8,"▷","▶"),IF(MOD($BL26,8)=5,IF($BL26&gt;=8,"◁","◀"),IF($BL26&gt;=8,"□","■")))))</f>
        <v/>
      </c>
      <c r="Y26" s="35">
        <f>IF($BM26=0,"",IF(MOD($BM26,8)=7,IF($BM26&gt;=8,"◇","◆"),IF(MOD($BM26,8)=3,IF($BM26&gt;=8,"▷","▶"),IF(MOD($BM26,8)=5,IF($BM26&gt;=8,"◁","◀"),IF($BM26&gt;=8,"□","■")))))</f>
        <v/>
      </c>
      <c r="Z26" s="35">
        <f>IF($BN26=0,"",IF(MOD($BN26,8)=7,IF($BN26&gt;=8,"◇","◆"),IF(MOD($BN26,8)=3,IF($BN26&gt;=8,"▷","▶"),IF(MOD($BN26,8)=5,IF($BN26&gt;=8,"◁","◀"),IF($BN26&gt;=8,"□","■")))))</f>
        <v/>
      </c>
      <c r="AA26" s="35">
        <f>IF($BO26=0,"",IF(MOD($BO26,8)=7,IF($BO26&gt;=8,"◇","◆"),IF(MOD($BO26,8)=3,IF($BO26&gt;=8,"▷","▶"),IF(MOD($BO26,8)=5,IF($BO26&gt;=8,"◁","◀"),IF($BO26&gt;=8,"□","■")))))</f>
        <v/>
      </c>
      <c r="AB26" s="35">
        <f>IF($BP26=0,"",IF(MOD($BP26,8)=7,IF($BP26&gt;=8,"◇","◆"),IF(MOD($BP26,8)=3,IF($BP26&gt;=8,"▷","▶"),IF(MOD($BP26,8)=5,IF($BP26&gt;=8,"◁","◀"),IF($BP26&gt;=8,"□","■")))))</f>
        <v/>
      </c>
      <c r="AC26" s="35">
        <f>IF($BQ26=0,"",IF(MOD($BQ26,8)=7,IF($BQ26&gt;=8,"◇","◆"),IF(MOD($BQ26,8)=3,IF($BQ26&gt;=8,"▷","▶"),IF(MOD($BQ26,8)=5,IF($BQ26&gt;=8,"◁","◀"),IF($BQ26&gt;=8,"□","■")))))</f>
        <v/>
      </c>
      <c r="AD26" s="35">
        <f>IF($BR26=0,"",IF(MOD($BR26,8)=7,IF($BR26&gt;=8,"◇","◆"),IF(MOD($BR26,8)=3,IF($BR26&gt;=8,"▷","▶"),IF(MOD($BR26,8)=5,IF($BR26&gt;=8,"◁","◀"),IF($BR26&gt;=8,"□","■")))))</f>
        <v/>
      </c>
      <c r="AE26" s="35">
        <f>IF($BS26=0,"",IF(MOD($BS26,8)=7,IF($BS26&gt;=8,"◇","◆"),IF(MOD($BS26,8)=3,IF($BS26&gt;=8,"▷","▶"),IF(MOD($BS26,8)=5,IF($BS26&gt;=8,"◁","◀"),IF($BS26&gt;=8,"□","■")))))</f>
        <v/>
      </c>
      <c r="AF26" s="35">
        <f>IF($BT26=0,"",IF(MOD($BT26,8)=7,IF($BT26&gt;=8,"◇","◆"),IF(MOD($BT26,8)=3,IF($BT26&gt;=8,"▷","▶"),IF(MOD($BT26,8)=5,IF($BT26&gt;=8,"◁","◀"),IF($BT26&gt;=8,"□","■")))))</f>
        <v/>
      </c>
      <c r="AG26" s="36">
        <f>IF($A26="","",COUNTIF($AP26:$BT26,"&gt;0"))</f>
        <v/>
      </c>
      <c r="AP26">
        <f>IF(OR($A26="",B$4=""),0,SUMPRODUCT(('01_予約入力'!$G$5:$G$204&lt;&gt;"")*('01_予約入力'!$N$5:$N$204&lt;&gt;"キャンセル")*('01_予約入力'!$B$5:$B$204=$A26)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26">
        <f>IF(OR($A26="",C$4=""),0,SUMPRODUCT(('01_予約入力'!$G$5:$G$204&lt;&gt;"")*('01_予約入力'!$N$5:$N$204&lt;&gt;"キャンセル")*('01_予約入力'!$B$5:$B$204=$A26)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26">
        <f>IF(OR($A26="",D$4=""),0,SUMPRODUCT(('01_予約入力'!$G$5:$G$204&lt;&gt;"")*('01_予約入力'!$N$5:$N$204&lt;&gt;"キャンセル")*('01_予約入力'!$B$5:$B$204=$A26)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26">
        <f>IF(OR($A26="",E$4=""),0,SUMPRODUCT(('01_予約入力'!$G$5:$G$204&lt;&gt;"")*('01_予約入力'!$N$5:$N$204&lt;&gt;"キャンセル")*('01_予約入力'!$B$5:$B$204=$A26)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26">
        <f>IF(OR($A26="",F$4=""),0,SUMPRODUCT(('01_予約入力'!$G$5:$G$204&lt;&gt;"")*('01_予約入力'!$N$5:$N$204&lt;&gt;"キャンセル")*('01_予約入力'!$B$5:$B$204=$A26)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26">
        <f>IF(OR($A26="",G$4=""),0,SUMPRODUCT(('01_予約入力'!$G$5:$G$204&lt;&gt;"")*('01_予約入力'!$N$5:$N$204&lt;&gt;"キャンセル")*('01_予約入力'!$B$5:$B$204=$A26)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26">
        <f>IF(OR($A26="",H$4=""),0,SUMPRODUCT(('01_予約入力'!$G$5:$G$204&lt;&gt;"")*('01_予約入力'!$N$5:$N$204&lt;&gt;"キャンセル")*('01_予約入力'!$B$5:$B$204=$A26)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26">
        <f>IF(OR($A26="",I$4=""),0,SUMPRODUCT(('01_予約入力'!$G$5:$G$204&lt;&gt;"")*('01_予約入力'!$N$5:$N$204&lt;&gt;"キャンセル")*('01_予約入力'!$B$5:$B$204=$A26)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26">
        <f>IF(OR($A26="",J$4=""),0,SUMPRODUCT(('01_予約入力'!$G$5:$G$204&lt;&gt;"")*('01_予約入力'!$N$5:$N$204&lt;&gt;"キャンセル")*('01_予約入力'!$B$5:$B$204=$A26)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26">
        <f>IF(OR($A26="",K$4=""),0,SUMPRODUCT(('01_予約入力'!$G$5:$G$204&lt;&gt;"")*('01_予約入力'!$N$5:$N$204&lt;&gt;"キャンセル")*('01_予約入力'!$B$5:$B$204=$A26)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26">
        <f>IF(OR($A26="",L$4=""),0,SUMPRODUCT(('01_予約入力'!$G$5:$G$204&lt;&gt;"")*('01_予約入力'!$N$5:$N$204&lt;&gt;"キャンセル")*('01_予約入力'!$B$5:$B$204=$A26)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26">
        <f>IF(OR($A26="",M$4=""),0,SUMPRODUCT(('01_予約入力'!$G$5:$G$204&lt;&gt;"")*('01_予約入力'!$N$5:$N$204&lt;&gt;"キャンセル")*('01_予約入力'!$B$5:$B$204=$A26)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26">
        <f>IF(OR($A26="",N$4=""),0,SUMPRODUCT(('01_予約入力'!$G$5:$G$204&lt;&gt;"")*('01_予約入力'!$N$5:$N$204&lt;&gt;"キャンセル")*('01_予約入力'!$B$5:$B$204=$A26)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26">
        <f>IF(OR($A26="",O$4=""),0,SUMPRODUCT(('01_予約入力'!$G$5:$G$204&lt;&gt;"")*('01_予約入力'!$N$5:$N$204&lt;&gt;"キャンセル")*('01_予約入力'!$B$5:$B$204=$A26)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26">
        <f>IF(OR($A26="",P$4=""),0,SUMPRODUCT(('01_予約入力'!$G$5:$G$204&lt;&gt;"")*('01_予約入力'!$N$5:$N$204&lt;&gt;"キャンセル")*('01_予約入力'!$B$5:$B$204=$A26)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26">
        <f>IF(OR($A26="",Q$4=""),0,SUMPRODUCT(('01_予約入力'!$G$5:$G$204&lt;&gt;"")*('01_予約入力'!$N$5:$N$204&lt;&gt;"キャンセル")*('01_予約入力'!$B$5:$B$204=$A26)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26">
        <f>IF(OR($A26="",R$4=""),0,SUMPRODUCT(('01_予約入力'!$G$5:$G$204&lt;&gt;"")*('01_予約入力'!$N$5:$N$204&lt;&gt;"キャンセル")*('01_予約入力'!$B$5:$B$204=$A26)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26">
        <f>IF(OR($A26="",S$4=""),0,SUMPRODUCT(('01_予約入力'!$G$5:$G$204&lt;&gt;"")*('01_予約入力'!$N$5:$N$204&lt;&gt;"キャンセル")*('01_予約入力'!$B$5:$B$204=$A26)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26">
        <f>IF(OR($A26="",T$4=""),0,SUMPRODUCT(('01_予約入力'!$G$5:$G$204&lt;&gt;"")*('01_予約入力'!$N$5:$N$204&lt;&gt;"キャンセル")*('01_予約入力'!$B$5:$B$204=$A26)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26">
        <f>IF(OR($A26="",U$4=""),0,SUMPRODUCT(('01_予約入力'!$G$5:$G$204&lt;&gt;"")*('01_予約入力'!$N$5:$N$204&lt;&gt;"キャンセル")*('01_予約入力'!$B$5:$B$204=$A26)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26">
        <f>IF(OR($A26="",V$4=""),0,SUMPRODUCT(('01_予約入力'!$G$5:$G$204&lt;&gt;"")*('01_予約入力'!$N$5:$N$204&lt;&gt;"キャンセル")*('01_予約入力'!$B$5:$B$204=$A26)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26">
        <f>IF(OR($A26="",W$4=""),0,SUMPRODUCT(('01_予約入力'!$G$5:$G$204&lt;&gt;"")*('01_予約入力'!$N$5:$N$204&lt;&gt;"キャンセル")*('01_予約入力'!$B$5:$B$204=$A26)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26">
        <f>IF(OR($A26="",X$4=""),0,SUMPRODUCT(('01_予約入力'!$G$5:$G$204&lt;&gt;"")*('01_予約入力'!$N$5:$N$204&lt;&gt;"キャンセル")*('01_予約入力'!$B$5:$B$204=$A26)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26">
        <f>IF(OR($A26="",Y$4=""),0,SUMPRODUCT(('01_予約入力'!$G$5:$G$204&lt;&gt;"")*('01_予約入力'!$N$5:$N$204&lt;&gt;"キャンセル")*('01_予約入力'!$B$5:$B$204=$A26)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26">
        <f>IF(OR($A26="",Z$4=""),0,SUMPRODUCT(('01_予約入力'!$G$5:$G$204&lt;&gt;"")*('01_予約入力'!$N$5:$N$204&lt;&gt;"キャンセル")*('01_予約入力'!$B$5:$B$204=$A26)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26">
        <f>IF(OR($A26="",AA$4=""),0,SUMPRODUCT(('01_予約入力'!$G$5:$G$204&lt;&gt;"")*('01_予約入力'!$N$5:$N$204&lt;&gt;"キャンセル")*('01_予約入力'!$B$5:$B$204=$A26)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26">
        <f>IF(OR($A26="",AB$4=""),0,SUMPRODUCT(('01_予約入力'!$G$5:$G$204&lt;&gt;"")*('01_予約入力'!$N$5:$N$204&lt;&gt;"キャンセル")*('01_予約入力'!$B$5:$B$204=$A26)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26">
        <f>IF(OR($A26="",AC$4=""),0,SUMPRODUCT(('01_予約入力'!$G$5:$G$204&lt;&gt;"")*('01_予約入力'!$N$5:$N$204&lt;&gt;"キャンセル")*('01_予約入力'!$B$5:$B$204=$A26)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26">
        <f>IF(OR($A26="",AD$4=""),0,SUMPRODUCT(('01_予約入力'!$G$5:$G$204&lt;&gt;"")*('01_予約入力'!$N$5:$N$204&lt;&gt;"キャンセル")*('01_予約入力'!$B$5:$B$204=$A26)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26">
        <f>IF(OR($A26="",AE$4=""),0,SUMPRODUCT(('01_予約入力'!$G$5:$G$204&lt;&gt;"")*('01_予約入力'!$N$5:$N$204&lt;&gt;"キャンセル")*('01_予約入力'!$B$5:$B$204=$A26)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26">
        <f>IF(OR($A26="",AF$4=""),0,SUMPRODUCT(('01_予約入力'!$G$5:$G$204&lt;&gt;"")*('01_予約入力'!$N$5:$N$204&lt;&gt;"キャンセル")*('01_予約入力'!$B$5:$B$204=$A26)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28">
      <c r="A28" s="2" t="inlineStr">
        <is>
          <t>※ 帯に出るのは 利用者マスタ の上から20名を表示します。並び順を変えたいときは 利用者マスタ の行を入れ替えてください。</t>
        </is>
      </c>
    </row>
    <row r="29">
      <c r="A29" s="2" t="inlineStr">
        <is>
          <t>※ 「当月利用日数」は入所日〜退所日を数えた日数です。支給量の残は 08_支給量管理 で確認してください。</t>
        </is>
      </c>
    </row>
    <row r="30">
      <c r="A30" s="2" t="inlineStr">
        <is>
          <t>※ AP列より右は色分け用の隠し列です。編集しないでください。</t>
        </is>
      </c>
    </row>
    <row r="31">
      <c r="A31" s="20" t="inlineStr">
        <is>
          <t>■ 当月の予約明細（入所日順・01_予約入力 から自動）</t>
        </is>
      </c>
    </row>
    <row r="32" ht="20" customHeight="1">
      <c r="A32" s="23" t="inlineStr">
        <is>
          <t>氏名</t>
        </is>
      </c>
      <c r="B32" s="23" t="inlineStr">
        <is>
          <t>部屋</t>
        </is>
      </c>
      <c r="C32" s="60" t="n"/>
      <c r="D32" s="60" t="n"/>
      <c r="E32" s="61" t="n"/>
      <c r="F32" s="23" t="inlineStr">
        <is>
          <t>区分</t>
        </is>
      </c>
      <c r="G32" s="60" t="n"/>
      <c r="H32" s="61" t="n"/>
      <c r="I32" s="23" t="inlineStr">
        <is>
          <t>入所</t>
        </is>
      </c>
      <c r="J32" s="60" t="n"/>
      <c r="K32" s="60" t="n"/>
      <c r="L32" s="60" t="n"/>
      <c r="M32" s="60" t="n"/>
      <c r="N32" s="60" t="n"/>
      <c r="O32" s="61" t="n"/>
      <c r="P32" s="23" t="inlineStr">
        <is>
          <t>退所</t>
        </is>
      </c>
      <c r="Q32" s="60" t="n"/>
      <c r="R32" s="60" t="n"/>
      <c r="S32" s="60" t="n"/>
      <c r="T32" s="60" t="n"/>
      <c r="U32" s="60" t="n"/>
      <c r="V32" s="61" t="n"/>
      <c r="W32" s="23" t="inlineStr">
        <is>
          <t>泊数</t>
        </is>
      </c>
      <c r="X32" s="60" t="n"/>
      <c r="Y32" s="61" t="n"/>
      <c r="Z32" s="23" t="inlineStr">
        <is>
          <t>状態</t>
        </is>
      </c>
      <c r="AA32" s="60" t="n"/>
      <c r="AB32" s="61" t="n"/>
      <c r="AC32" s="23" t="inlineStr">
        <is>
          <t>備考</t>
        </is>
      </c>
      <c r="AD32" s="60" t="n"/>
      <c r="AE32" s="60" t="n"/>
      <c r="AF32" s="61" t="n"/>
    </row>
    <row r="33">
      <c r="A33" s="38">
        <f>IF($AQ33=0,"",INDEX('01_予約入力'!$B$5:$B$204,$AQ33))</f>
        <v/>
      </c>
      <c r="B33" s="39">
        <f>IF($AQ33=0,"",IF(INDEX('01_予約入力'!$D$5:$D$204,$AQ33)="","⚠未選択",INDEX('01_予約入力'!$D$5:$D$204,$AQ33)))</f>
        <v/>
      </c>
      <c r="C33" s="60" t="n"/>
      <c r="D33" s="60" t="n"/>
      <c r="E33" s="61" t="n"/>
      <c r="F33" s="39">
        <f>IF($AQ33=0,"",INDEX('01_予約入力'!$C$5:$C$204,$AQ33))</f>
        <v/>
      </c>
      <c r="G33" s="60" t="n"/>
      <c r="H33" s="61" t="n"/>
      <c r="I33" s="38">
        <f>IF($AQ33=0,"",MONTH(INDEX('01_予約入力'!$G$5:$G$204,$AQ33))&amp;"/"&amp;DAY(INDEX('01_予約入力'!$G$5:$G$204,$AQ33))&amp;"("&amp;MID("日月火水木金土",WEEKDAY(INDEX('01_予約入力'!$G$5:$G$204,$AQ33)),1)&amp;")"&amp;" "&amp;INDEX('01_予約入力'!$AA$5:$AA$204,$AQ33))</f>
        <v/>
      </c>
      <c r="J33" s="60" t="n"/>
      <c r="K33" s="60" t="n"/>
      <c r="L33" s="60" t="n"/>
      <c r="M33" s="60" t="n"/>
      <c r="N33" s="60" t="n"/>
      <c r="O33" s="61" t="n"/>
      <c r="P33" s="38">
        <f>IF($AQ33=0,"",MONTH(INDEX('01_予約入力'!$J$5:$J$204,$AQ33))&amp;"/"&amp;DAY(INDEX('01_予約入力'!$J$5:$J$204,$AQ33))&amp;"("&amp;MID("日月火水木金土",WEEKDAY(INDEX('01_予約入力'!$J$5:$J$204,$AQ33)),1)&amp;")"&amp;" "&amp;INDEX('01_予約入力'!$AB$5:$AB$204,$AQ33))</f>
        <v/>
      </c>
      <c r="Q33" s="60" t="n"/>
      <c r="R33" s="60" t="n"/>
      <c r="S33" s="60" t="n"/>
      <c r="T33" s="60" t="n"/>
      <c r="U33" s="60" t="n"/>
      <c r="V33" s="61" t="n"/>
      <c r="W33" s="39">
        <f>IF($AQ33=0,"",IF(INDEX('01_予約入力'!$J$5:$J$204,$AQ33)=INDEX('01_予約入力'!$G$5:$G$204,$AQ33),"日帰り",INDEX('01_予約入力'!$J$5:$J$204,$AQ33)-INDEX('01_予約入力'!$G$5:$G$204,$AQ33)&amp;"泊"))</f>
        <v/>
      </c>
      <c r="X33" s="60" t="n"/>
      <c r="Y33" s="61" t="n"/>
      <c r="Z33" s="39">
        <f>IF($AQ33=0,"",IF(INDEX('01_予約入力'!$N$5:$N$204,$AQ33)="","確定",INDEX('01_予約入力'!$N$5:$N$204,$AQ33)))</f>
        <v/>
      </c>
      <c r="AA33" s="60" t="n"/>
      <c r="AB33" s="61" t="n"/>
      <c r="AC33" s="38">
        <f>IF($AQ33=0,"",INDEX('01_予約入力'!$S$5:$S$204,$AQ33))</f>
        <v/>
      </c>
      <c r="AD33" s="60" t="n"/>
      <c r="AE33" s="60" t="n"/>
      <c r="AF33" s="61" t="n"/>
      <c r="AP33">
        <f>IFERROR(SMALL('01_予約入力'!$Z$5:$Z$204,1),"")</f>
        <v/>
      </c>
      <c r="AQ33">
        <f>IF($AP33="",0,IFERROR(MATCH($AP33,'01_予約入力'!$Z$5:$Z$204,0),0))</f>
        <v/>
      </c>
    </row>
    <row r="34">
      <c r="A34" s="38">
        <f>IF($AQ34=0,"",INDEX('01_予約入力'!$B$5:$B$204,$AQ34))</f>
        <v/>
      </c>
      <c r="B34" s="39">
        <f>IF($AQ34=0,"",IF(INDEX('01_予約入力'!$D$5:$D$204,$AQ34)="","⚠未選択",INDEX('01_予約入力'!$D$5:$D$204,$AQ34)))</f>
        <v/>
      </c>
      <c r="C34" s="60" t="n"/>
      <c r="D34" s="60" t="n"/>
      <c r="E34" s="61" t="n"/>
      <c r="F34" s="39">
        <f>IF($AQ34=0,"",INDEX('01_予約入力'!$C$5:$C$204,$AQ34))</f>
        <v/>
      </c>
      <c r="G34" s="60" t="n"/>
      <c r="H34" s="61" t="n"/>
      <c r="I34" s="38">
        <f>IF($AQ34=0,"",MONTH(INDEX('01_予約入力'!$G$5:$G$204,$AQ34))&amp;"/"&amp;DAY(INDEX('01_予約入力'!$G$5:$G$204,$AQ34))&amp;"("&amp;MID("日月火水木金土",WEEKDAY(INDEX('01_予約入力'!$G$5:$G$204,$AQ34)),1)&amp;")"&amp;" "&amp;INDEX('01_予約入力'!$AA$5:$AA$204,$AQ34))</f>
        <v/>
      </c>
      <c r="J34" s="60" t="n"/>
      <c r="K34" s="60" t="n"/>
      <c r="L34" s="60" t="n"/>
      <c r="M34" s="60" t="n"/>
      <c r="N34" s="60" t="n"/>
      <c r="O34" s="61" t="n"/>
      <c r="P34" s="38">
        <f>IF($AQ34=0,"",MONTH(INDEX('01_予約入力'!$J$5:$J$204,$AQ34))&amp;"/"&amp;DAY(INDEX('01_予約入力'!$J$5:$J$204,$AQ34))&amp;"("&amp;MID("日月火水木金土",WEEKDAY(INDEX('01_予約入力'!$J$5:$J$204,$AQ34)),1)&amp;")"&amp;" "&amp;INDEX('01_予約入力'!$AB$5:$AB$204,$AQ34))</f>
        <v/>
      </c>
      <c r="Q34" s="60" t="n"/>
      <c r="R34" s="60" t="n"/>
      <c r="S34" s="60" t="n"/>
      <c r="T34" s="60" t="n"/>
      <c r="U34" s="60" t="n"/>
      <c r="V34" s="61" t="n"/>
      <c r="W34" s="39">
        <f>IF($AQ34=0,"",IF(INDEX('01_予約入力'!$J$5:$J$204,$AQ34)=INDEX('01_予約入力'!$G$5:$G$204,$AQ34),"日帰り",INDEX('01_予約入力'!$J$5:$J$204,$AQ34)-INDEX('01_予約入力'!$G$5:$G$204,$AQ34)&amp;"泊"))</f>
        <v/>
      </c>
      <c r="X34" s="60" t="n"/>
      <c r="Y34" s="61" t="n"/>
      <c r="Z34" s="39">
        <f>IF($AQ34=0,"",IF(INDEX('01_予約入力'!$N$5:$N$204,$AQ34)="","確定",INDEX('01_予約入力'!$N$5:$N$204,$AQ34)))</f>
        <v/>
      </c>
      <c r="AA34" s="60" t="n"/>
      <c r="AB34" s="61" t="n"/>
      <c r="AC34" s="38">
        <f>IF($AQ34=0,"",INDEX('01_予約入力'!$S$5:$S$204,$AQ34))</f>
        <v/>
      </c>
      <c r="AD34" s="60" t="n"/>
      <c r="AE34" s="60" t="n"/>
      <c r="AF34" s="61" t="n"/>
      <c r="AP34">
        <f>IFERROR(SMALL('01_予約入力'!$Z$5:$Z$204,2),"")</f>
        <v/>
      </c>
      <c r="AQ34">
        <f>IF($AP34="",0,IFERROR(MATCH($AP34,'01_予約入力'!$Z$5:$Z$204,0),0))</f>
        <v/>
      </c>
    </row>
    <row r="35">
      <c r="A35" s="38">
        <f>IF($AQ35=0,"",INDEX('01_予約入力'!$B$5:$B$204,$AQ35))</f>
        <v/>
      </c>
      <c r="B35" s="39">
        <f>IF($AQ35=0,"",IF(INDEX('01_予約入力'!$D$5:$D$204,$AQ35)="","⚠未選択",INDEX('01_予約入力'!$D$5:$D$204,$AQ35)))</f>
        <v/>
      </c>
      <c r="C35" s="60" t="n"/>
      <c r="D35" s="60" t="n"/>
      <c r="E35" s="61" t="n"/>
      <c r="F35" s="39">
        <f>IF($AQ35=0,"",INDEX('01_予約入力'!$C$5:$C$204,$AQ35))</f>
        <v/>
      </c>
      <c r="G35" s="60" t="n"/>
      <c r="H35" s="61" t="n"/>
      <c r="I35" s="38">
        <f>IF($AQ35=0,"",MONTH(INDEX('01_予約入力'!$G$5:$G$204,$AQ35))&amp;"/"&amp;DAY(INDEX('01_予約入力'!$G$5:$G$204,$AQ35))&amp;"("&amp;MID("日月火水木金土",WEEKDAY(INDEX('01_予約入力'!$G$5:$G$204,$AQ35)),1)&amp;")"&amp;" "&amp;INDEX('01_予約入力'!$AA$5:$AA$204,$AQ35))</f>
        <v/>
      </c>
      <c r="J35" s="60" t="n"/>
      <c r="K35" s="60" t="n"/>
      <c r="L35" s="60" t="n"/>
      <c r="M35" s="60" t="n"/>
      <c r="N35" s="60" t="n"/>
      <c r="O35" s="61" t="n"/>
      <c r="P35" s="38">
        <f>IF($AQ35=0,"",MONTH(INDEX('01_予約入力'!$J$5:$J$204,$AQ35))&amp;"/"&amp;DAY(INDEX('01_予約入力'!$J$5:$J$204,$AQ35))&amp;"("&amp;MID("日月火水木金土",WEEKDAY(INDEX('01_予約入力'!$J$5:$J$204,$AQ35)),1)&amp;")"&amp;" "&amp;INDEX('01_予約入力'!$AB$5:$AB$204,$AQ35))</f>
        <v/>
      </c>
      <c r="Q35" s="60" t="n"/>
      <c r="R35" s="60" t="n"/>
      <c r="S35" s="60" t="n"/>
      <c r="T35" s="60" t="n"/>
      <c r="U35" s="60" t="n"/>
      <c r="V35" s="61" t="n"/>
      <c r="W35" s="39">
        <f>IF($AQ35=0,"",IF(INDEX('01_予約入力'!$J$5:$J$204,$AQ35)=INDEX('01_予約入力'!$G$5:$G$204,$AQ35),"日帰り",INDEX('01_予約入力'!$J$5:$J$204,$AQ35)-INDEX('01_予約入力'!$G$5:$G$204,$AQ35)&amp;"泊"))</f>
        <v/>
      </c>
      <c r="X35" s="60" t="n"/>
      <c r="Y35" s="61" t="n"/>
      <c r="Z35" s="39">
        <f>IF($AQ35=0,"",IF(INDEX('01_予約入力'!$N$5:$N$204,$AQ35)="","確定",INDEX('01_予約入力'!$N$5:$N$204,$AQ35)))</f>
        <v/>
      </c>
      <c r="AA35" s="60" t="n"/>
      <c r="AB35" s="61" t="n"/>
      <c r="AC35" s="38">
        <f>IF($AQ35=0,"",INDEX('01_予約入力'!$S$5:$S$204,$AQ35))</f>
        <v/>
      </c>
      <c r="AD35" s="60" t="n"/>
      <c r="AE35" s="60" t="n"/>
      <c r="AF35" s="61" t="n"/>
      <c r="AP35">
        <f>IFERROR(SMALL('01_予約入力'!$Z$5:$Z$204,3),"")</f>
        <v/>
      </c>
      <c r="AQ35">
        <f>IF($AP35="",0,IFERROR(MATCH($AP35,'01_予約入力'!$Z$5:$Z$204,0),0))</f>
        <v/>
      </c>
    </row>
    <row r="36">
      <c r="A36" s="38">
        <f>IF($AQ36=0,"",INDEX('01_予約入力'!$B$5:$B$204,$AQ36))</f>
        <v/>
      </c>
      <c r="B36" s="39">
        <f>IF($AQ36=0,"",IF(INDEX('01_予約入力'!$D$5:$D$204,$AQ36)="","⚠未選択",INDEX('01_予約入力'!$D$5:$D$204,$AQ36)))</f>
        <v/>
      </c>
      <c r="C36" s="60" t="n"/>
      <c r="D36" s="60" t="n"/>
      <c r="E36" s="61" t="n"/>
      <c r="F36" s="39">
        <f>IF($AQ36=0,"",INDEX('01_予約入力'!$C$5:$C$204,$AQ36))</f>
        <v/>
      </c>
      <c r="G36" s="60" t="n"/>
      <c r="H36" s="61" t="n"/>
      <c r="I36" s="38">
        <f>IF($AQ36=0,"",MONTH(INDEX('01_予約入力'!$G$5:$G$204,$AQ36))&amp;"/"&amp;DAY(INDEX('01_予約入力'!$G$5:$G$204,$AQ36))&amp;"("&amp;MID("日月火水木金土",WEEKDAY(INDEX('01_予約入力'!$G$5:$G$204,$AQ36)),1)&amp;")"&amp;" "&amp;INDEX('01_予約入力'!$AA$5:$AA$204,$AQ36))</f>
        <v/>
      </c>
      <c r="J36" s="60" t="n"/>
      <c r="K36" s="60" t="n"/>
      <c r="L36" s="60" t="n"/>
      <c r="M36" s="60" t="n"/>
      <c r="N36" s="60" t="n"/>
      <c r="O36" s="61" t="n"/>
      <c r="P36" s="38">
        <f>IF($AQ36=0,"",MONTH(INDEX('01_予約入力'!$J$5:$J$204,$AQ36))&amp;"/"&amp;DAY(INDEX('01_予約入力'!$J$5:$J$204,$AQ36))&amp;"("&amp;MID("日月火水木金土",WEEKDAY(INDEX('01_予約入力'!$J$5:$J$204,$AQ36)),1)&amp;")"&amp;" "&amp;INDEX('01_予約入力'!$AB$5:$AB$204,$AQ36))</f>
        <v/>
      </c>
      <c r="Q36" s="60" t="n"/>
      <c r="R36" s="60" t="n"/>
      <c r="S36" s="60" t="n"/>
      <c r="T36" s="60" t="n"/>
      <c r="U36" s="60" t="n"/>
      <c r="V36" s="61" t="n"/>
      <c r="W36" s="39">
        <f>IF($AQ36=0,"",IF(INDEX('01_予約入力'!$J$5:$J$204,$AQ36)=INDEX('01_予約入力'!$G$5:$G$204,$AQ36),"日帰り",INDEX('01_予約入力'!$J$5:$J$204,$AQ36)-INDEX('01_予約入力'!$G$5:$G$204,$AQ36)&amp;"泊"))</f>
        <v/>
      </c>
      <c r="X36" s="60" t="n"/>
      <c r="Y36" s="61" t="n"/>
      <c r="Z36" s="39">
        <f>IF($AQ36=0,"",IF(INDEX('01_予約入力'!$N$5:$N$204,$AQ36)="","確定",INDEX('01_予約入力'!$N$5:$N$204,$AQ36)))</f>
        <v/>
      </c>
      <c r="AA36" s="60" t="n"/>
      <c r="AB36" s="61" t="n"/>
      <c r="AC36" s="38">
        <f>IF($AQ36=0,"",INDEX('01_予約入力'!$S$5:$S$204,$AQ36))</f>
        <v/>
      </c>
      <c r="AD36" s="60" t="n"/>
      <c r="AE36" s="60" t="n"/>
      <c r="AF36" s="61" t="n"/>
      <c r="AP36">
        <f>IFERROR(SMALL('01_予約入力'!$Z$5:$Z$204,4),"")</f>
        <v/>
      </c>
      <c r="AQ36">
        <f>IF($AP36="",0,IFERROR(MATCH($AP36,'01_予約入力'!$Z$5:$Z$204,0),0))</f>
        <v/>
      </c>
    </row>
    <row r="37">
      <c r="A37" s="38">
        <f>IF($AQ37=0,"",INDEX('01_予約入力'!$B$5:$B$204,$AQ37))</f>
        <v/>
      </c>
      <c r="B37" s="39">
        <f>IF($AQ37=0,"",IF(INDEX('01_予約入力'!$D$5:$D$204,$AQ37)="","⚠未選択",INDEX('01_予約入力'!$D$5:$D$204,$AQ37)))</f>
        <v/>
      </c>
      <c r="C37" s="60" t="n"/>
      <c r="D37" s="60" t="n"/>
      <c r="E37" s="61" t="n"/>
      <c r="F37" s="39">
        <f>IF($AQ37=0,"",INDEX('01_予約入力'!$C$5:$C$204,$AQ37))</f>
        <v/>
      </c>
      <c r="G37" s="60" t="n"/>
      <c r="H37" s="61" t="n"/>
      <c r="I37" s="38">
        <f>IF($AQ37=0,"",MONTH(INDEX('01_予約入力'!$G$5:$G$204,$AQ37))&amp;"/"&amp;DAY(INDEX('01_予約入力'!$G$5:$G$204,$AQ37))&amp;"("&amp;MID("日月火水木金土",WEEKDAY(INDEX('01_予約入力'!$G$5:$G$204,$AQ37)),1)&amp;")"&amp;" "&amp;INDEX('01_予約入力'!$AA$5:$AA$204,$AQ37))</f>
        <v/>
      </c>
      <c r="J37" s="60" t="n"/>
      <c r="K37" s="60" t="n"/>
      <c r="L37" s="60" t="n"/>
      <c r="M37" s="60" t="n"/>
      <c r="N37" s="60" t="n"/>
      <c r="O37" s="61" t="n"/>
      <c r="P37" s="38">
        <f>IF($AQ37=0,"",MONTH(INDEX('01_予約入力'!$J$5:$J$204,$AQ37))&amp;"/"&amp;DAY(INDEX('01_予約入力'!$J$5:$J$204,$AQ37))&amp;"("&amp;MID("日月火水木金土",WEEKDAY(INDEX('01_予約入力'!$J$5:$J$204,$AQ37)),1)&amp;")"&amp;" "&amp;INDEX('01_予約入力'!$AB$5:$AB$204,$AQ37))</f>
        <v/>
      </c>
      <c r="Q37" s="60" t="n"/>
      <c r="R37" s="60" t="n"/>
      <c r="S37" s="60" t="n"/>
      <c r="T37" s="60" t="n"/>
      <c r="U37" s="60" t="n"/>
      <c r="V37" s="61" t="n"/>
      <c r="W37" s="39">
        <f>IF($AQ37=0,"",IF(INDEX('01_予約入力'!$J$5:$J$204,$AQ37)=INDEX('01_予約入力'!$G$5:$G$204,$AQ37),"日帰り",INDEX('01_予約入力'!$J$5:$J$204,$AQ37)-INDEX('01_予約入力'!$G$5:$G$204,$AQ37)&amp;"泊"))</f>
        <v/>
      </c>
      <c r="X37" s="60" t="n"/>
      <c r="Y37" s="61" t="n"/>
      <c r="Z37" s="39">
        <f>IF($AQ37=0,"",IF(INDEX('01_予約入力'!$N$5:$N$204,$AQ37)="","確定",INDEX('01_予約入力'!$N$5:$N$204,$AQ37)))</f>
        <v/>
      </c>
      <c r="AA37" s="60" t="n"/>
      <c r="AB37" s="61" t="n"/>
      <c r="AC37" s="38">
        <f>IF($AQ37=0,"",INDEX('01_予約入力'!$S$5:$S$204,$AQ37))</f>
        <v/>
      </c>
      <c r="AD37" s="60" t="n"/>
      <c r="AE37" s="60" t="n"/>
      <c r="AF37" s="61" t="n"/>
      <c r="AP37">
        <f>IFERROR(SMALL('01_予約入力'!$Z$5:$Z$204,5),"")</f>
        <v/>
      </c>
      <c r="AQ37">
        <f>IF($AP37="",0,IFERROR(MATCH($AP37,'01_予約入力'!$Z$5:$Z$204,0),0))</f>
        <v/>
      </c>
    </row>
    <row r="38">
      <c r="A38" s="38">
        <f>IF($AQ38=0,"",INDEX('01_予約入力'!$B$5:$B$204,$AQ38))</f>
        <v/>
      </c>
      <c r="B38" s="39">
        <f>IF($AQ38=0,"",IF(INDEX('01_予約入力'!$D$5:$D$204,$AQ38)="","⚠未選択",INDEX('01_予約入力'!$D$5:$D$204,$AQ38)))</f>
        <v/>
      </c>
      <c r="C38" s="60" t="n"/>
      <c r="D38" s="60" t="n"/>
      <c r="E38" s="61" t="n"/>
      <c r="F38" s="39">
        <f>IF($AQ38=0,"",INDEX('01_予約入力'!$C$5:$C$204,$AQ38))</f>
        <v/>
      </c>
      <c r="G38" s="60" t="n"/>
      <c r="H38" s="61" t="n"/>
      <c r="I38" s="38">
        <f>IF($AQ38=0,"",MONTH(INDEX('01_予約入力'!$G$5:$G$204,$AQ38))&amp;"/"&amp;DAY(INDEX('01_予約入力'!$G$5:$G$204,$AQ38))&amp;"("&amp;MID("日月火水木金土",WEEKDAY(INDEX('01_予約入力'!$G$5:$G$204,$AQ38)),1)&amp;")"&amp;" "&amp;INDEX('01_予約入力'!$AA$5:$AA$204,$AQ38))</f>
        <v/>
      </c>
      <c r="J38" s="60" t="n"/>
      <c r="K38" s="60" t="n"/>
      <c r="L38" s="60" t="n"/>
      <c r="M38" s="60" t="n"/>
      <c r="N38" s="60" t="n"/>
      <c r="O38" s="61" t="n"/>
      <c r="P38" s="38">
        <f>IF($AQ38=0,"",MONTH(INDEX('01_予約入力'!$J$5:$J$204,$AQ38))&amp;"/"&amp;DAY(INDEX('01_予約入力'!$J$5:$J$204,$AQ38))&amp;"("&amp;MID("日月火水木金土",WEEKDAY(INDEX('01_予約入力'!$J$5:$J$204,$AQ38)),1)&amp;")"&amp;" "&amp;INDEX('01_予約入力'!$AB$5:$AB$204,$AQ38))</f>
        <v/>
      </c>
      <c r="Q38" s="60" t="n"/>
      <c r="R38" s="60" t="n"/>
      <c r="S38" s="60" t="n"/>
      <c r="T38" s="60" t="n"/>
      <c r="U38" s="60" t="n"/>
      <c r="V38" s="61" t="n"/>
      <c r="W38" s="39">
        <f>IF($AQ38=0,"",IF(INDEX('01_予約入力'!$J$5:$J$204,$AQ38)=INDEX('01_予約入力'!$G$5:$G$204,$AQ38),"日帰り",INDEX('01_予約入力'!$J$5:$J$204,$AQ38)-INDEX('01_予約入力'!$G$5:$G$204,$AQ38)&amp;"泊"))</f>
        <v/>
      </c>
      <c r="X38" s="60" t="n"/>
      <c r="Y38" s="61" t="n"/>
      <c r="Z38" s="39">
        <f>IF($AQ38=0,"",IF(INDEX('01_予約入力'!$N$5:$N$204,$AQ38)="","確定",INDEX('01_予約入力'!$N$5:$N$204,$AQ38)))</f>
        <v/>
      </c>
      <c r="AA38" s="60" t="n"/>
      <c r="AB38" s="61" t="n"/>
      <c r="AC38" s="38">
        <f>IF($AQ38=0,"",INDEX('01_予約入力'!$S$5:$S$204,$AQ38))</f>
        <v/>
      </c>
      <c r="AD38" s="60" t="n"/>
      <c r="AE38" s="60" t="n"/>
      <c r="AF38" s="61" t="n"/>
      <c r="AP38">
        <f>IFERROR(SMALL('01_予約入力'!$Z$5:$Z$204,6),"")</f>
        <v/>
      </c>
      <c r="AQ38">
        <f>IF($AP38="",0,IFERROR(MATCH($AP38,'01_予約入力'!$Z$5:$Z$204,0),0))</f>
        <v/>
      </c>
    </row>
    <row r="39">
      <c r="A39" s="38">
        <f>IF($AQ39=0,"",INDEX('01_予約入力'!$B$5:$B$204,$AQ39))</f>
        <v/>
      </c>
      <c r="B39" s="39">
        <f>IF($AQ39=0,"",IF(INDEX('01_予約入力'!$D$5:$D$204,$AQ39)="","⚠未選択",INDEX('01_予約入力'!$D$5:$D$204,$AQ39)))</f>
        <v/>
      </c>
      <c r="C39" s="60" t="n"/>
      <c r="D39" s="60" t="n"/>
      <c r="E39" s="61" t="n"/>
      <c r="F39" s="39">
        <f>IF($AQ39=0,"",INDEX('01_予約入力'!$C$5:$C$204,$AQ39))</f>
        <v/>
      </c>
      <c r="G39" s="60" t="n"/>
      <c r="H39" s="61" t="n"/>
      <c r="I39" s="38">
        <f>IF($AQ39=0,"",MONTH(INDEX('01_予約入力'!$G$5:$G$204,$AQ39))&amp;"/"&amp;DAY(INDEX('01_予約入力'!$G$5:$G$204,$AQ39))&amp;"("&amp;MID("日月火水木金土",WEEKDAY(INDEX('01_予約入力'!$G$5:$G$204,$AQ39)),1)&amp;")"&amp;" "&amp;INDEX('01_予約入力'!$AA$5:$AA$204,$AQ39))</f>
        <v/>
      </c>
      <c r="J39" s="60" t="n"/>
      <c r="K39" s="60" t="n"/>
      <c r="L39" s="60" t="n"/>
      <c r="M39" s="60" t="n"/>
      <c r="N39" s="60" t="n"/>
      <c r="O39" s="61" t="n"/>
      <c r="P39" s="38">
        <f>IF($AQ39=0,"",MONTH(INDEX('01_予約入力'!$J$5:$J$204,$AQ39))&amp;"/"&amp;DAY(INDEX('01_予約入力'!$J$5:$J$204,$AQ39))&amp;"("&amp;MID("日月火水木金土",WEEKDAY(INDEX('01_予約入力'!$J$5:$J$204,$AQ39)),1)&amp;")"&amp;" "&amp;INDEX('01_予約入力'!$AB$5:$AB$204,$AQ39))</f>
        <v/>
      </c>
      <c r="Q39" s="60" t="n"/>
      <c r="R39" s="60" t="n"/>
      <c r="S39" s="60" t="n"/>
      <c r="T39" s="60" t="n"/>
      <c r="U39" s="60" t="n"/>
      <c r="V39" s="61" t="n"/>
      <c r="W39" s="39">
        <f>IF($AQ39=0,"",IF(INDEX('01_予約入力'!$J$5:$J$204,$AQ39)=INDEX('01_予約入力'!$G$5:$G$204,$AQ39),"日帰り",INDEX('01_予約入力'!$J$5:$J$204,$AQ39)-INDEX('01_予約入力'!$G$5:$G$204,$AQ39)&amp;"泊"))</f>
        <v/>
      </c>
      <c r="X39" s="60" t="n"/>
      <c r="Y39" s="61" t="n"/>
      <c r="Z39" s="39">
        <f>IF($AQ39=0,"",IF(INDEX('01_予約入力'!$N$5:$N$204,$AQ39)="","確定",INDEX('01_予約入力'!$N$5:$N$204,$AQ39)))</f>
        <v/>
      </c>
      <c r="AA39" s="60" t="n"/>
      <c r="AB39" s="61" t="n"/>
      <c r="AC39" s="38">
        <f>IF($AQ39=0,"",INDEX('01_予約入力'!$S$5:$S$204,$AQ39))</f>
        <v/>
      </c>
      <c r="AD39" s="60" t="n"/>
      <c r="AE39" s="60" t="n"/>
      <c r="AF39" s="61" t="n"/>
      <c r="AP39">
        <f>IFERROR(SMALL('01_予約入力'!$Z$5:$Z$204,7),"")</f>
        <v/>
      </c>
      <c r="AQ39">
        <f>IF($AP39="",0,IFERROR(MATCH($AP39,'01_予約入力'!$Z$5:$Z$204,0),0))</f>
        <v/>
      </c>
    </row>
    <row r="40">
      <c r="A40" s="38">
        <f>IF($AQ40=0,"",INDEX('01_予約入力'!$B$5:$B$204,$AQ40))</f>
        <v/>
      </c>
      <c r="B40" s="39">
        <f>IF($AQ40=0,"",IF(INDEX('01_予約入力'!$D$5:$D$204,$AQ40)="","⚠未選択",INDEX('01_予約入力'!$D$5:$D$204,$AQ40)))</f>
        <v/>
      </c>
      <c r="C40" s="60" t="n"/>
      <c r="D40" s="60" t="n"/>
      <c r="E40" s="61" t="n"/>
      <c r="F40" s="39">
        <f>IF($AQ40=0,"",INDEX('01_予約入力'!$C$5:$C$204,$AQ40))</f>
        <v/>
      </c>
      <c r="G40" s="60" t="n"/>
      <c r="H40" s="61" t="n"/>
      <c r="I40" s="38">
        <f>IF($AQ40=0,"",MONTH(INDEX('01_予約入力'!$G$5:$G$204,$AQ40))&amp;"/"&amp;DAY(INDEX('01_予約入力'!$G$5:$G$204,$AQ40))&amp;"("&amp;MID("日月火水木金土",WEEKDAY(INDEX('01_予約入力'!$G$5:$G$204,$AQ40)),1)&amp;")"&amp;" "&amp;INDEX('01_予約入力'!$AA$5:$AA$204,$AQ40))</f>
        <v/>
      </c>
      <c r="J40" s="60" t="n"/>
      <c r="K40" s="60" t="n"/>
      <c r="L40" s="60" t="n"/>
      <c r="M40" s="60" t="n"/>
      <c r="N40" s="60" t="n"/>
      <c r="O40" s="61" t="n"/>
      <c r="P40" s="38">
        <f>IF($AQ40=0,"",MONTH(INDEX('01_予約入力'!$J$5:$J$204,$AQ40))&amp;"/"&amp;DAY(INDEX('01_予約入力'!$J$5:$J$204,$AQ40))&amp;"("&amp;MID("日月火水木金土",WEEKDAY(INDEX('01_予約入力'!$J$5:$J$204,$AQ40)),1)&amp;")"&amp;" "&amp;INDEX('01_予約入力'!$AB$5:$AB$204,$AQ40))</f>
        <v/>
      </c>
      <c r="Q40" s="60" t="n"/>
      <c r="R40" s="60" t="n"/>
      <c r="S40" s="60" t="n"/>
      <c r="T40" s="60" t="n"/>
      <c r="U40" s="60" t="n"/>
      <c r="V40" s="61" t="n"/>
      <c r="W40" s="39">
        <f>IF($AQ40=0,"",IF(INDEX('01_予約入力'!$J$5:$J$204,$AQ40)=INDEX('01_予約入力'!$G$5:$G$204,$AQ40),"日帰り",INDEX('01_予約入力'!$J$5:$J$204,$AQ40)-INDEX('01_予約入力'!$G$5:$G$204,$AQ40)&amp;"泊"))</f>
        <v/>
      </c>
      <c r="X40" s="60" t="n"/>
      <c r="Y40" s="61" t="n"/>
      <c r="Z40" s="39">
        <f>IF($AQ40=0,"",IF(INDEX('01_予約入力'!$N$5:$N$204,$AQ40)="","確定",INDEX('01_予約入力'!$N$5:$N$204,$AQ40)))</f>
        <v/>
      </c>
      <c r="AA40" s="60" t="n"/>
      <c r="AB40" s="61" t="n"/>
      <c r="AC40" s="38">
        <f>IF($AQ40=0,"",INDEX('01_予約入力'!$S$5:$S$204,$AQ40))</f>
        <v/>
      </c>
      <c r="AD40" s="60" t="n"/>
      <c r="AE40" s="60" t="n"/>
      <c r="AF40" s="61" t="n"/>
      <c r="AP40">
        <f>IFERROR(SMALL('01_予約入力'!$Z$5:$Z$204,8),"")</f>
        <v/>
      </c>
      <c r="AQ40">
        <f>IF($AP40="",0,IFERROR(MATCH($AP40,'01_予約入力'!$Z$5:$Z$204,0),0))</f>
        <v/>
      </c>
    </row>
    <row r="41">
      <c r="A41" s="38">
        <f>IF($AQ41=0,"",INDEX('01_予約入力'!$B$5:$B$204,$AQ41))</f>
        <v/>
      </c>
      <c r="B41" s="39">
        <f>IF($AQ41=0,"",IF(INDEX('01_予約入力'!$D$5:$D$204,$AQ41)="","⚠未選択",INDEX('01_予約入力'!$D$5:$D$204,$AQ41)))</f>
        <v/>
      </c>
      <c r="C41" s="60" t="n"/>
      <c r="D41" s="60" t="n"/>
      <c r="E41" s="61" t="n"/>
      <c r="F41" s="39">
        <f>IF($AQ41=0,"",INDEX('01_予約入力'!$C$5:$C$204,$AQ41))</f>
        <v/>
      </c>
      <c r="G41" s="60" t="n"/>
      <c r="H41" s="61" t="n"/>
      <c r="I41" s="38">
        <f>IF($AQ41=0,"",MONTH(INDEX('01_予約入力'!$G$5:$G$204,$AQ41))&amp;"/"&amp;DAY(INDEX('01_予約入力'!$G$5:$G$204,$AQ41))&amp;"("&amp;MID("日月火水木金土",WEEKDAY(INDEX('01_予約入力'!$G$5:$G$204,$AQ41)),1)&amp;")"&amp;" "&amp;INDEX('01_予約入力'!$AA$5:$AA$204,$AQ41))</f>
        <v/>
      </c>
      <c r="J41" s="60" t="n"/>
      <c r="K41" s="60" t="n"/>
      <c r="L41" s="60" t="n"/>
      <c r="M41" s="60" t="n"/>
      <c r="N41" s="60" t="n"/>
      <c r="O41" s="61" t="n"/>
      <c r="P41" s="38">
        <f>IF($AQ41=0,"",MONTH(INDEX('01_予約入力'!$J$5:$J$204,$AQ41))&amp;"/"&amp;DAY(INDEX('01_予約入力'!$J$5:$J$204,$AQ41))&amp;"("&amp;MID("日月火水木金土",WEEKDAY(INDEX('01_予約入力'!$J$5:$J$204,$AQ41)),1)&amp;")"&amp;" "&amp;INDEX('01_予約入力'!$AB$5:$AB$204,$AQ41))</f>
        <v/>
      </c>
      <c r="Q41" s="60" t="n"/>
      <c r="R41" s="60" t="n"/>
      <c r="S41" s="60" t="n"/>
      <c r="T41" s="60" t="n"/>
      <c r="U41" s="60" t="n"/>
      <c r="V41" s="61" t="n"/>
      <c r="W41" s="39">
        <f>IF($AQ41=0,"",IF(INDEX('01_予約入力'!$J$5:$J$204,$AQ41)=INDEX('01_予約入力'!$G$5:$G$204,$AQ41),"日帰り",INDEX('01_予約入力'!$J$5:$J$204,$AQ41)-INDEX('01_予約入力'!$G$5:$G$204,$AQ41)&amp;"泊"))</f>
        <v/>
      </c>
      <c r="X41" s="60" t="n"/>
      <c r="Y41" s="61" t="n"/>
      <c r="Z41" s="39">
        <f>IF($AQ41=0,"",IF(INDEX('01_予約入力'!$N$5:$N$204,$AQ41)="","確定",INDEX('01_予約入力'!$N$5:$N$204,$AQ41)))</f>
        <v/>
      </c>
      <c r="AA41" s="60" t="n"/>
      <c r="AB41" s="61" t="n"/>
      <c r="AC41" s="38">
        <f>IF($AQ41=0,"",INDEX('01_予約入力'!$S$5:$S$204,$AQ41))</f>
        <v/>
      </c>
      <c r="AD41" s="60" t="n"/>
      <c r="AE41" s="60" t="n"/>
      <c r="AF41" s="61" t="n"/>
      <c r="AP41">
        <f>IFERROR(SMALL('01_予約入力'!$Z$5:$Z$204,9),"")</f>
        <v/>
      </c>
      <c r="AQ41">
        <f>IF($AP41="",0,IFERROR(MATCH($AP41,'01_予約入力'!$Z$5:$Z$204,0),0))</f>
        <v/>
      </c>
    </row>
    <row r="42">
      <c r="A42" s="38">
        <f>IF($AQ42=0,"",INDEX('01_予約入力'!$B$5:$B$204,$AQ42))</f>
        <v/>
      </c>
      <c r="B42" s="39">
        <f>IF($AQ42=0,"",IF(INDEX('01_予約入力'!$D$5:$D$204,$AQ42)="","⚠未選択",INDEX('01_予約入力'!$D$5:$D$204,$AQ42)))</f>
        <v/>
      </c>
      <c r="C42" s="60" t="n"/>
      <c r="D42" s="60" t="n"/>
      <c r="E42" s="61" t="n"/>
      <c r="F42" s="39">
        <f>IF($AQ42=0,"",INDEX('01_予約入力'!$C$5:$C$204,$AQ42))</f>
        <v/>
      </c>
      <c r="G42" s="60" t="n"/>
      <c r="H42" s="61" t="n"/>
      <c r="I42" s="38">
        <f>IF($AQ42=0,"",MONTH(INDEX('01_予約入力'!$G$5:$G$204,$AQ42))&amp;"/"&amp;DAY(INDEX('01_予約入力'!$G$5:$G$204,$AQ42))&amp;"("&amp;MID("日月火水木金土",WEEKDAY(INDEX('01_予約入力'!$G$5:$G$204,$AQ42)),1)&amp;")"&amp;" "&amp;INDEX('01_予約入力'!$AA$5:$AA$204,$AQ42))</f>
        <v/>
      </c>
      <c r="J42" s="60" t="n"/>
      <c r="K42" s="60" t="n"/>
      <c r="L42" s="60" t="n"/>
      <c r="M42" s="60" t="n"/>
      <c r="N42" s="60" t="n"/>
      <c r="O42" s="61" t="n"/>
      <c r="P42" s="38">
        <f>IF($AQ42=0,"",MONTH(INDEX('01_予約入力'!$J$5:$J$204,$AQ42))&amp;"/"&amp;DAY(INDEX('01_予約入力'!$J$5:$J$204,$AQ42))&amp;"("&amp;MID("日月火水木金土",WEEKDAY(INDEX('01_予約入力'!$J$5:$J$204,$AQ42)),1)&amp;")"&amp;" "&amp;INDEX('01_予約入力'!$AB$5:$AB$204,$AQ42))</f>
        <v/>
      </c>
      <c r="Q42" s="60" t="n"/>
      <c r="R42" s="60" t="n"/>
      <c r="S42" s="60" t="n"/>
      <c r="T42" s="60" t="n"/>
      <c r="U42" s="60" t="n"/>
      <c r="V42" s="61" t="n"/>
      <c r="W42" s="39">
        <f>IF($AQ42=0,"",IF(INDEX('01_予約入力'!$J$5:$J$204,$AQ42)=INDEX('01_予約入力'!$G$5:$G$204,$AQ42),"日帰り",INDEX('01_予約入力'!$J$5:$J$204,$AQ42)-INDEX('01_予約入力'!$G$5:$G$204,$AQ42)&amp;"泊"))</f>
        <v/>
      </c>
      <c r="X42" s="60" t="n"/>
      <c r="Y42" s="61" t="n"/>
      <c r="Z42" s="39">
        <f>IF($AQ42=0,"",IF(INDEX('01_予約入力'!$N$5:$N$204,$AQ42)="","確定",INDEX('01_予約入力'!$N$5:$N$204,$AQ42)))</f>
        <v/>
      </c>
      <c r="AA42" s="60" t="n"/>
      <c r="AB42" s="61" t="n"/>
      <c r="AC42" s="38">
        <f>IF($AQ42=0,"",INDEX('01_予約入力'!$S$5:$S$204,$AQ42))</f>
        <v/>
      </c>
      <c r="AD42" s="60" t="n"/>
      <c r="AE42" s="60" t="n"/>
      <c r="AF42" s="61" t="n"/>
      <c r="AP42">
        <f>IFERROR(SMALL('01_予約入力'!$Z$5:$Z$204,10),"")</f>
        <v/>
      </c>
      <c r="AQ42">
        <f>IF($AP42="",0,IFERROR(MATCH($AP42,'01_予約入力'!$Z$5:$Z$204,0),0))</f>
        <v/>
      </c>
    </row>
    <row r="43">
      <c r="A43" s="38">
        <f>IF($AQ43=0,"",INDEX('01_予約入力'!$B$5:$B$204,$AQ43))</f>
        <v/>
      </c>
      <c r="B43" s="39">
        <f>IF($AQ43=0,"",IF(INDEX('01_予約入力'!$D$5:$D$204,$AQ43)="","⚠未選択",INDEX('01_予約入力'!$D$5:$D$204,$AQ43)))</f>
        <v/>
      </c>
      <c r="C43" s="60" t="n"/>
      <c r="D43" s="60" t="n"/>
      <c r="E43" s="61" t="n"/>
      <c r="F43" s="39">
        <f>IF($AQ43=0,"",INDEX('01_予約入力'!$C$5:$C$204,$AQ43))</f>
        <v/>
      </c>
      <c r="G43" s="60" t="n"/>
      <c r="H43" s="61" t="n"/>
      <c r="I43" s="38">
        <f>IF($AQ43=0,"",MONTH(INDEX('01_予約入力'!$G$5:$G$204,$AQ43))&amp;"/"&amp;DAY(INDEX('01_予約入力'!$G$5:$G$204,$AQ43))&amp;"("&amp;MID("日月火水木金土",WEEKDAY(INDEX('01_予約入力'!$G$5:$G$204,$AQ43)),1)&amp;")"&amp;" "&amp;INDEX('01_予約入力'!$AA$5:$AA$204,$AQ43))</f>
        <v/>
      </c>
      <c r="J43" s="60" t="n"/>
      <c r="K43" s="60" t="n"/>
      <c r="L43" s="60" t="n"/>
      <c r="M43" s="60" t="n"/>
      <c r="N43" s="60" t="n"/>
      <c r="O43" s="61" t="n"/>
      <c r="P43" s="38">
        <f>IF($AQ43=0,"",MONTH(INDEX('01_予約入力'!$J$5:$J$204,$AQ43))&amp;"/"&amp;DAY(INDEX('01_予約入力'!$J$5:$J$204,$AQ43))&amp;"("&amp;MID("日月火水木金土",WEEKDAY(INDEX('01_予約入力'!$J$5:$J$204,$AQ43)),1)&amp;")"&amp;" "&amp;INDEX('01_予約入力'!$AB$5:$AB$204,$AQ43))</f>
        <v/>
      </c>
      <c r="Q43" s="60" t="n"/>
      <c r="R43" s="60" t="n"/>
      <c r="S43" s="60" t="n"/>
      <c r="T43" s="60" t="n"/>
      <c r="U43" s="60" t="n"/>
      <c r="V43" s="61" t="n"/>
      <c r="W43" s="39">
        <f>IF($AQ43=0,"",IF(INDEX('01_予約入力'!$J$5:$J$204,$AQ43)=INDEX('01_予約入力'!$G$5:$G$204,$AQ43),"日帰り",INDEX('01_予約入力'!$J$5:$J$204,$AQ43)-INDEX('01_予約入力'!$G$5:$G$204,$AQ43)&amp;"泊"))</f>
        <v/>
      </c>
      <c r="X43" s="60" t="n"/>
      <c r="Y43" s="61" t="n"/>
      <c r="Z43" s="39">
        <f>IF($AQ43=0,"",IF(INDEX('01_予約入力'!$N$5:$N$204,$AQ43)="","確定",INDEX('01_予約入力'!$N$5:$N$204,$AQ43)))</f>
        <v/>
      </c>
      <c r="AA43" s="60" t="n"/>
      <c r="AB43" s="61" t="n"/>
      <c r="AC43" s="38">
        <f>IF($AQ43=0,"",INDEX('01_予約入力'!$S$5:$S$204,$AQ43))</f>
        <v/>
      </c>
      <c r="AD43" s="60" t="n"/>
      <c r="AE43" s="60" t="n"/>
      <c r="AF43" s="61" t="n"/>
      <c r="AP43">
        <f>IFERROR(SMALL('01_予約入力'!$Z$5:$Z$204,11),"")</f>
        <v/>
      </c>
      <c r="AQ43">
        <f>IF($AP43="",0,IFERROR(MATCH($AP43,'01_予約入力'!$Z$5:$Z$204,0),0))</f>
        <v/>
      </c>
    </row>
    <row r="44">
      <c r="A44" s="38">
        <f>IF($AQ44=0,"",INDEX('01_予約入力'!$B$5:$B$204,$AQ44))</f>
        <v/>
      </c>
      <c r="B44" s="39">
        <f>IF($AQ44=0,"",IF(INDEX('01_予約入力'!$D$5:$D$204,$AQ44)="","⚠未選択",INDEX('01_予約入力'!$D$5:$D$204,$AQ44)))</f>
        <v/>
      </c>
      <c r="C44" s="60" t="n"/>
      <c r="D44" s="60" t="n"/>
      <c r="E44" s="61" t="n"/>
      <c r="F44" s="39">
        <f>IF($AQ44=0,"",INDEX('01_予約入力'!$C$5:$C$204,$AQ44))</f>
        <v/>
      </c>
      <c r="G44" s="60" t="n"/>
      <c r="H44" s="61" t="n"/>
      <c r="I44" s="38">
        <f>IF($AQ44=0,"",MONTH(INDEX('01_予約入力'!$G$5:$G$204,$AQ44))&amp;"/"&amp;DAY(INDEX('01_予約入力'!$G$5:$G$204,$AQ44))&amp;"("&amp;MID("日月火水木金土",WEEKDAY(INDEX('01_予約入力'!$G$5:$G$204,$AQ44)),1)&amp;")"&amp;" "&amp;INDEX('01_予約入力'!$AA$5:$AA$204,$AQ44))</f>
        <v/>
      </c>
      <c r="J44" s="60" t="n"/>
      <c r="K44" s="60" t="n"/>
      <c r="L44" s="60" t="n"/>
      <c r="M44" s="60" t="n"/>
      <c r="N44" s="60" t="n"/>
      <c r="O44" s="61" t="n"/>
      <c r="P44" s="38">
        <f>IF($AQ44=0,"",MONTH(INDEX('01_予約入力'!$J$5:$J$204,$AQ44))&amp;"/"&amp;DAY(INDEX('01_予約入力'!$J$5:$J$204,$AQ44))&amp;"("&amp;MID("日月火水木金土",WEEKDAY(INDEX('01_予約入力'!$J$5:$J$204,$AQ44)),1)&amp;")"&amp;" "&amp;INDEX('01_予約入力'!$AB$5:$AB$204,$AQ44))</f>
        <v/>
      </c>
      <c r="Q44" s="60" t="n"/>
      <c r="R44" s="60" t="n"/>
      <c r="S44" s="60" t="n"/>
      <c r="T44" s="60" t="n"/>
      <c r="U44" s="60" t="n"/>
      <c r="V44" s="61" t="n"/>
      <c r="W44" s="39">
        <f>IF($AQ44=0,"",IF(INDEX('01_予約入力'!$J$5:$J$204,$AQ44)=INDEX('01_予約入力'!$G$5:$G$204,$AQ44),"日帰り",INDEX('01_予約入力'!$J$5:$J$204,$AQ44)-INDEX('01_予約入力'!$G$5:$G$204,$AQ44)&amp;"泊"))</f>
        <v/>
      </c>
      <c r="X44" s="60" t="n"/>
      <c r="Y44" s="61" t="n"/>
      <c r="Z44" s="39">
        <f>IF($AQ44=0,"",IF(INDEX('01_予約入力'!$N$5:$N$204,$AQ44)="","確定",INDEX('01_予約入力'!$N$5:$N$204,$AQ44)))</f>
        <v/>
      </c>
      <c r="AA44" s="60" t="n"/>
      <c r="AB44" s="61" t="n"/>
      <c r="AC44" s="38">
        <f>IF($AQ44=0,"",INDEX('01_予約入力'!$S$5:$S$204,$AQ44))</f>
        <v/>
      </c>
      <c r="AD44" s="60" t="n"/>
      <c r="AE44" s="60" t="n"/>
      <c r="AF44" s="61" t="n"/>
      <c r="AP44">
        <f>IFERROR(SMALL('01_予約入力'!$Z$5:$Z$204,12),"")</f>
        <v/>
      </c>
      <c r="AQ44">
        <f>IF($AP44="",0,IFERROR(MATCH($AP44,'01_予約入力'!$Z$5:$Z$204,0),0))</f>
        <v/>
      </c>
    </row>
    <row r="45">
      <c r="A45" s="38">
        <f>IF($AQ45=0,"",INDEX('01_予約入力'!$B$5:$B$204,$AQ45))</f>
        <v/>
      </c>
      <c r="B45" s="39">
        <f>IF($AQ45=0,"",IF(INDEX('01_予約入力'!$D$5:$D$204,$AQ45)="","⚠未選択",INDEX('01_予約入力'!$D$5:$D$204,$AQ45)))</f>
        <v/>
      </c>
      <c r="C45" s="60" t="n"/>
      <c r="D45" s="60" t="n"/>
      <c r="E45" s="61" t="n"/>
      <c r="F45" s="39">
        <f>IF($AQ45=0,"",INDEX('01_予約入力'!$C$5:$C$204,$AQ45))</f>
        <v/>
      </c>
      <c r="G45" s="60" t="n"/>
      <c r="H45" s="61" t="n"/>
      <c r="I45" s="38">
        <f>IF($AQ45=0,"",MONTH(INDEX('01_予約入力'!$G$5:$G$204,$AQ45))&amp;"/"&amp;DAY(INDEX('01_予約入力'!$G$5:$G$204,$AQ45))&amp;"("&amp;MID("日月火水木金土",WEEKDAY(INDEX('01_予約入力'!$G$5:$G$204,$AQ45)),1)&amp;")"&amp;" "&amp;INDEX('01_予約入力'!$AA$5:$AA$204,$AQ45))</f>
        <v/>
      </c>
      <c r="J45" s="60" t="n"/>
      <c r="K45" s="60" t="n"/>
      <c r="L45" s="60" t="n"/>
      <c r="M45" s="60" t="n"/>
      <c r="N45" s="60" t="n"/>
      <c r="O45" s="61" t="n"/>
      <c r="P45" s="38">
        <f>IF($AQ45=0,"",MONTH(INDEX('01_予約入力'!$J$5:$J$204,$AQ45))&amp;"/"&amp;DAY(INDEX('01_予約入力'!$J$5:$J$204,$AQ45))&amp;"("&amp;MID("日月火水木金土",WEEKDAY(INDEX('01_予約入力'!$J$5:$J$204,$AQ45)),1)&amp;")"&amp;" "&amp;INDEX('01_予約入力'!$AB$5:$AB$204,$AQ45))</f>
        <v/>
      </c>
      <c r="Q45" s="60" t="n"/>
      <c r="R45" s="60" t="n"/>
      <c r="S45" s="60" t="n"/>
      <c r="T45" s="60" t="n"/>
      <c r="U45" s="60" t="n"/>
      <c r="V45" s="61" t="n"/>
      <c r="W45" s="39">
        <f>IF($AQ45=0,"",IF(INDEX('01_予約入力'!$J$5:$J$204,$AQ45)=INDEX('01_予約入力'!$G$5:$G$204,$AQ45),"日帰り",INDEX('01_予約入力'!$J$5:$J$204,$AQ45)-INDEX('01_予約入力'!$G$5:$G$204,$AQ45)&amp;"泊"))</f>
        <v/>
      </c>
      <c r="X45" s="60" t="n"/>
      <c r="Y45" s="61" t="n"/>
      <c r="Z45" s="39">
        <f>IF($AQ45=0,"",IF(INDEX('01_予約入力'!$N$5:$N$204,$AQ45)="","確定",INDEX('01_予約入力'!$N$5:$N$204,$AQ45)))</f>
        <v/>
      </c>
      <c r="AA45" s="60" t="n"/>
      <c r="AB45" s="61" t="n"/>
      <c r="AC45" s="38">
        <f>IF($AQ45=0,"",INDEX('01_予約入力'!$S$5:$S$204,$AQ45))</f>
        <v/>
      </c>
      <c r="AD45" s="60" t="n"/>
      <c r="AE45" s="60" t="n"/>
      <c r="AF45" s="61" t="n"/>
      <c r="AP45">
        <f>IFERROR(SMALL('01_予約入力'!$Z$5:$Z$204,13),"")</f>
        <v/>
      </c>
      <c r="AQ45">
        <f>IF($AP45="",0,IFERROR(MATCH($AP45,'01_予約入力'!$Z$5:$Z$204,0),0))</f>
        <v/>
      </c>
    </row>
    <row r="46">
      <c r="A46" s="38">
        <f>IF($AQ46=0,"",INDEX('01_予約入力'!$B$5:$B$204,$AQ46))</f>
        <v/>
      </c>
      <c r="B46" s="39">
        <f>IF($AQ46=0,"",IF(INDEX('01_予約入力'!$D$5:$D$204,$AQ46)="","⚠未選択",INDEX('01_予約入力'!$D$5:$D$204,$AQ46)))</f>
        <v/>
      </c>
      <c r="C46" s="60" t="n"/>
      <c r="D46" s="60" t="n"/>
      <c r="E46" s="61" t="n"/>
      <c r="F46" s="39">
        <f>IF($AQ46=0,"",INDEX('01_予約入力'!$C$5:$C$204,$AQ46))</f>
        <v/>
      </c>
      <c r="G46" s="60" t="n"/>
      <c r="H46" s="61" t="n"/>
      <c r="I46" s="38">
        <f>IF($AQ46=0,"",MONTH(INDEX('01_予約入力'!$G$5:$G$204,$AQ46))&amp;"/"&amp;DAY(INDEX('01_予約入力'!$G$5:$G$204,$AQ46))&amp;"("&amp;MID("日月火水木金土",WEEKDAY(INDEX('01_予約入力'!$G$5:$G$204,$AQ46)),1)&amp;")"&amp;" "&amp;INDEX('01_予約入力'!$AA$5:$AA$204,$AQ46))</f>
        <v/>
      </c>
      <c r="J46" s="60" t="n"/>
      <c r="K46" s="60" t="n"/>
      <c r="L46" s="60" t="n"/>
      <c r="M46" s="60" t="n"/>
      <c r="N46" s="60" t="n"/>
      <c r="O46" s="61" t="n"/>
      <c r="P46" s="38">
        <f>IF($AQ46=0,"",MONTH(INDEX('01_予約入力'!$J$5:$J$204,$AQ46))&amp;"/"&amp;DAY(INDEX('01_予約入力'!$J$5:$J$204,$AQ46))&amp;"("&amp;MID("日月火水木金土",WEEKDAY(INDEX('01_予約入力'!$J$5:$J$204,$AQ46)),1)&amp;")"&amp;" "&amp;INDEX('01_予約入力'!$AB$5:$AB$204,$AQ46))</f>
        <v/>
      </c>
      <c r="Q46" s="60" t="n"/>
      <c r="R46" s="60" t="n"/>
      <c r="S46" s="60" t="n"/>
      <c r="T46" s="60" t="n"/>
      <c r="U46" s="60" t="n"/>
      <c r="V46" s="61" t="n"/>
      <c r="W46" s="39">
        <f>IF($AQ46=0,"",IF(INDEX('01_予約入力'!$J$5:$J$204,$AQ46)=INDEX('01_予約入力'!$G$5:$G$204,$AQ46),"日帰り",INDEX('01_予約入力'!$J$5:$J$204,$AQ46)-INDEX('01_予約入力'!$G$5:$G$204,$AQ46)&amp;"泊"))</f>
        <v/>
      </c>
      <c r="X46" s="60" t="n"/>
      <c r="Y46" s="61" t="n"/>
      <c r="Z46" s="39">
        <f>IF($AQ46=0,"",IF(INDEX('01_予約入力'!$N$5:$N$204,$AQ46)="","確定",INDEX('01_予約入力'!$N$5:$N$204,$AQ46)))</f>
        <v/>
      </c>
      <c r="AA46" s="60" t="n"/>
      <c r="AB46" s="61" t="n"/>
      <c r="AC46" s="38">
        <f>IF($AQ46=0,"",INDEX('01_予約入力'!$S$5:$S$204,$AQ46))</f>
        <v/>
      </c>
      <c r="AD46" s="60" t="n"/>
      <c r="AE46" s="60" t="n"/>
      <c r="AF46" s="61" t="n"/>
      <c r="AP46">
        <f>IFERROR(SMALL('01_予約入力'!$Z$5:$Z$204,14),"")</f>
        <v/>
      </c>
      <c r="AQ46">
        <f>IF($AP46="",0,IFERROR(MATCH($AP46,'01_予約入力'!$Z$5:$Z$204,0),0))</f>
        <v/>
      </c>
    </row>
    <row r="47">
      <c r="A47" s="38">
        <f>IF($AQ47=0,"",INDEX('01_予約入力'!$B$5:$B$204,$AQ47))</f>
        <v/>
      </c>
      <c r="B47" s="39">
        <f>IF($AQ47=0,"",IF(INDEX('01_予約入力'!$D$5:$D$204,$AQ47)="","⚠未選択",INDEX('01_予約入力'!$D$5:$D$204,$AQ47)))</f>
        <v/>
      </c>
      <c r="C47" s="60" t="n"/>
      <c r="D47" s="60" t="n"/>
      <c r="E47" s="61" t="n"/>
      <c r="F47" s="39">
        <f>IF($AQ47=0,"",INDEX('01_予約入力'!$C$5:$C$204,$AQ47))</f>
        <v/>
      </c>
      <c r="G47" s="60" t="n"/>
      <c r="H47" s="61" t="n"/>
      <c r="I47" s="38">
        <f>IF($AQ47=0,"",MONTH(INDEX('01_予約入力'!$G$5:$G$204,$AQ47))&amp;"/"&amp;DAY(INDEX('01_予約入力'!$G$5:$G$204,$AQ47))&amp;"("&amp;MID("日月火水木金土",WEEKDAY(INDEX('01_予約入力'!$G$5:$G$204,$AQ47)),1)&amp;")"&amp;" "&amp;INDEX('01_予約入力'!$AA$5:$AA$204,$AQ47))</f>
        <v/>
      </c>
      <c r="J47" s="60" t="n"/>
      <c r="K47" s="60" t="n"/>
      <c r="L47" s="60" t="n"/>
      <c r="M47" s="60" t="n"/>
      <c r="N47" s="60" t="n"/>
      <c r="O47" s="61" t="n"/>
      <c r="P47" s="38">
        <f>IF($AQ47=0,"",MONTH(INDEX('01_予約入力'!$J$5:$J$204,$AQ47))&amp;"/"&amp;DAY(INDEX('01_予約入力'!$J$5:$J$204,$AQ47))&amp;"("&amp;MID("日月火水木金土",WEEKDAY(INDEX('01_予約入力'!$J$5:$J$204,$AQ47)),1)&amp;")"&amp;" "&amp;INDEX('01_予約入力'!$AB$5:$AB$204,$AQ47))</f>
        <v/>
      </c>
      <c r="Q47" s="60" t="n"/>
      <c r="R47" s="60" t="n"/>
      <c r="S47" s="60" t="n"/>
      <c r="T47" s="60" t="n"/>
      <c r="U47" s="60" t="n"/>
      <c r="V47" s="61" t="n"/>
      <c r="W47" s="39">
        <f>IF($AQ47=0,"",IF(INDEX('01_予約入力'!$J$5:$J$204,$AQ47)=INDEX('01_予約入力'!$G$5:$G$204,$AQ47),"日帰り",INDEX('01_予約入力'!$J$5:$J$204,$AQ47)-INDEX('01_予約入力'!$G$5:$G$204,$AQ47)&amp;"泊"))</f>
        <v/>
      </c>
      <c r="X47" s="60" t="n"/>
      <c r="Y47" s="61" t="n"/>
      <c r="Z47" s="39">
        <f>IF($AQ47=0,"",IF(INDEX('01_予約入力'!$N$5:$N$204,$AQ47)="","確定",INDEX('01_予約入力'!$N$5:$N$204,$AQ47)))</f>
        <v/>
      </c>
      <c r="AA47" s="60" t="n"/>
      <c r="AB47" s="61" t="n"/>
      <c r="AC47" s="38">
        <f>IF($AQ47=0,"",INDEX('01_予約入力'!$S$5:$S$204,$AQ47))</f>
        <v/>
      </c>
      <c r="AD47" s="60" t="n"/>
      <c r="AE47" s="60" t="n"/>
      <c r="AF47" s="61" t="n"/>
      <c r="AP47">
        <f>IFERROR(SMALL('01_予約入力'!$Z$5:$Z$204,15),"")</f>
        <v/>
      </c>
      <c r="AQ47">
        <f>IF($AP47="",0,IFERROR(MATCH($AP47,'01_予約入力'!$Z$5:$Z$204,0),0))</f>
        <v/>
      </c>
    </row>
    <row r="48">
      <c r="A48" s="38">
        <f>IF($AQ48=0,"",INDEX('01_予約入力'!$B$5:$B$204,$AQ48))</f>
        <v/>
      </c>
      <c r="B48" s="39">
        <f>IF($AQ48=0,"",IF(INDEX('01_予約入力'!$D$5:$D$204,$AQ48)="","⚠未選択",INDEX('01_予約入力'!$D$5:$D$204,$AQ48)))</f>
        <v/>
      </c>
      <c r="C48" s="60" t="n"/>
      <c r="D48" s="60" t="n"/>
      <c r="E48" s="61" t="n"/>
      <c r="F48" s="39">
        <f>IF($AQ48=0,"",INDEX('01_予約入力'!$C$5:$C$204,$AQ48))</f>
        <v/>
      </c>
      <c r="G48" s="60" t="n"/>
      <c r="H48" s="61" t="n"/>
      <c r="I48" s="38">
        <f>IF($AQ48=0,"",MONTH(INDEX('01_予約入力'!$G$5:$G$204,$AQ48))&amp;"/"&amp;DAY(INDEX('01_予約入力'!$G$5:$G$204,$AQ48))&amp;"("&amp;MID("日月火水木金土",WEEKDAY(INDEX('01_予約入力'!$G$5:$G$204,$AQ48)),1)&amp;")"&amp;" "&amp;INDEX('01_予約入力'!$AA$5:$AA$204,$AQ48))</f>
        <v/>
      </c>
      <c r="J48" s="60" t="n"/>
      <c r="K48" s="60" t="n"/>
      <c r="L48" s="60" t="n"/>
      <c r="M48" s="60" t="n"/>
      <c r="N48" s="60" t="n"/>
      <c r="O48" s="61" t="n"/>
      <c r="P48" s="38">
        <f>IF($AQ48=0,"",MONTH(INDEX('01_予約入力'!$J$5:$J$204,$AQ48))&amp;"/"&amp;DAY(INDEX('01_予約入力'!$J$5:$J$204,$AQ48))&amp;"("&amp;MID("日月火水木金土",WEEKDAY(INDEX('01_予約入力'!$J$5:$J$204,$AQ48)),1)&amp;")"&amp;" "&amp;INDEX('01_予約入力'!$AB$5:$AB$204,$AQ48))</f>
        <v/>
      </c>
      <c r="Q48" s="60" t="n"/>
      <c r="R48" s="60" t="n"/>
      <c r="S48" s="60" t="n"/>
      <c r="T48" s="60" t="n"/>
      <c r="U48" s="60" t="n"/>
      <c r="V48" s="61" t="n"/>
      <c r="W48" s="39">
        <f>IF($AQ48=0,"",IF(INDEX('01_予約入力'!$J$5:$J$204,$AQ48)=INDEX('01_予約入力'!$G$5:$G$204,$AQ48),"日帰り",INDEX('01_予約入力'!$J$5:$J$204,$AQ48)-INDEX('01_予約入力'!$G$5:$G$204,$AQ48)&amp;"泊"))</f>
        <v/>
      </c>
      <c r="X48" s="60" t="n"/>
      <c r="Y48" s="61" t="n"/>
      <c r="Z48" s="39">
        <f>IF($AQ48=0,"",IF(INDEX('01_予約入力'!$N$5:$N$204,$AQ48)="","確定",INDEX('01_予約入力'!$N$5:$N$204,$AQ48)))</f>
        <v/>
      </c>
      <c r="AA48" s="60" t="n"/>
      <c r="AB48" s="61" t="n"/>
      <c r="AC48" s="38">
        <f>IF($AQ48=0,"",INDEX('01_予約入力'!$S$5:$S$204,$AQ48))</f>
        <v/>
      </c>
      <c r="AD48" s="60" t="n"/>
      <c r="AE48" s="60" t="n"/>
      <c r="AF48" s="61" t="n"/>
      <c r="AP48">
        <f>IFERROR(SMALL('01_予約入力'!$Z$5:$Z$204,16),"")</f>
        <v/>
      </c>
      <c r="AQ48">
        <f>IF($AP48="",0,IFERROR(MATCH($AP48,'01_予約入力'!$Z$5:$Z$204,0),0))</f>
        <v/>
      </c>
    </row>
    <row r="49">
      <c r="A49" s="38">
        <f>IF($AQ49=0,"",INDEX('01_予約入力'!$B$5:$B$204,$AQ49))</f>
        <v/>
      </c>
      <c r="B49" s="39">
        <f>IF($AQ49=0,"",IF(INDEX('01_予約入力'!$D$5:$D$204,$AQ49)="","⚠未選択",INDEX('01_予約入力'!$D$5:$D$204,$AQ49)))</f>
        <v/>
      </c>
      <c r="C49" s="60" t="n"/>
      <c r="D49" s="60" t="n"/>
      <c r="E49" s="61" t="n"/>
      <c r="F49" s="39">
        <f>IF($AQ49=0,"",INDEX('01_予約入力'!$C$5:$C$204,$AQ49))</f>
        <v/>
      </c>
      <c r="G49" s="60" t="n"/>
      <c r="H49" s="61" t="n"/>
      <c r="I49" s="38">
        <f>IF($AQ49=0,"",MONTH(INDEX('01_予約入力'!$G$5:$G$204,$AQ49))&amp;"/"&amp;DAY(INDEX('01_予約入力'!$G$5:$G$204,$AQ49))&amp;"("&amp;MID("日月火水木金土",WEEKDAY(INDEX('01_予約入力'!$G$5:$G$204,$AQ49)),1)&amp;")"&amp;" "&amp;INDEX('01_予約入力'!$AA$5:$AA$204,$AQ49))</f>
        <v/>
      </c>
      <c r="J49" s="60" t="n"/>
      <c r="K49" s="60" t="n"/>
      <c r="L49" s="60" t="n"/>
      <c r="M49" s="60" t="n"/>
      <c r="N49" s="60" t="n"/>
      <c r="O49" s="61" t="n"/>
      <c r="P49" s="38">
        <f>IF($AQ49=0,"",MONTH(INDEX('01_予約入力'!$J$5:$J$204,$AQ49))&amp;"/"&amp;DAY(INDEX('01_予約入力'!$J$5:$J$204,$AQ49))&amp;"("&amp;MID("日月火水木金土",WEEKDAY(INDEX('01_予約入力'!$J$5:$J$204,$AQ49)),1)&amp;")"&amp;" "&amp;INDEX('01_予約入力'!$AB$5:$AB$204,$AQ49))</f>
        <v/>
      </c>
      <c r="Q49" s="60" t="n"/>
      <c r="R49" s="60" t="n"/>
      <c r="S49" s="60" t="n"/>
      <c r="T49" s="60" t="n"/>
      <c r="U49" s="60" t="n"/>
      <c r="V49" s="61" t="n"/>
      <c r="W49" s="39">
        <f>IF($AQ49=0,"",IF(INDEX('01_予約入力'!$J$5:$J$204,$AQ49)=INDEX('01_予約入力'!$G$5:$G$204,$AQ49),"日帰り",INDEX('01_予約入力'!$J$5:$J$204,$AQ49)-INDEX('01_予約入力'!$G$5:$G$204,$AQ49)&amp;"泊"))</f>
        <v/>
      </c>
      <c r="X49" s="60" t="n"/>
      <c r="Y49" s="61" t="n"/>
      <c r="Z49" s="39">
        <f>IF($AQ49=0,"",IF(INDEX('01_予約入力'!$N$5:$N$204,$AQ49)="","確定",INDEX('01_予約入力'!$N$5:$N$204,$AQ49)))</f>
        <v/>
      </c>
      <c r="AA49" s="60" t="n"/>
      <c r="AB49" s="61" t="n"/>
      <c r="AC49" s="38">
        <f>IF($AQ49=0,"",INDEX('01_予約入力'!$S$5:$S$204,$AQ49))</f>
        <v/>
      </c>
      <c r="AD49" s="60" t="n"/>
      <c r="AE49" s="60" t="n"/>
      <c r="AF49" s="61" t="n"/>
      <c r="AP49">
        <f>IFERROR(SMALL('01_予約入力'!$Z$5:$Z$204,17),"")</f>
        <v/>
      </c>
      <c r="AQ49">
        <f>IF($AP49="",0,IFERROR(MATCH($AP49,'01_予約入力'!$Z$5:$Z$204,0),0))</f>
        <v/>
      </c>
    </row>
    <row r="50">
      <c r="A50" s="38">
        <f>IF($AQ50=0,"",INDEX('01_予約入力'!$B$5:$B$204,$AQ50))</f>
        <v/>
      </c>
      <c r="B50" s="39">
        <f>IF($AQ50=0,"",IF(INDEX('01_予約入力'!$D$5:$D$204,$AQ50)="","⚠未選択",INDEX('01_予約入力'!$D$5:$D$204,$AQ50)))</f>
        <v/>
      </c>
      <c r="C50" s="60" t="n"/>
      <c r="D50" s="60" t="n"/>
      <c r="E50" s="61" t="n"/>
      <c r="F50" s="39">
        <f>IF($AQ50=0,"",INDEX('01_予約入力'!$C$5:$C$204,$AQ50))</f>
        <v/>
      </c>
      <c r="G50" s="60" t="n"/>
      <c r="H50" s="61" t="n"/>
      <c r="I50" s="38">
        <f>IF($AQ50=0,"",MONTH(INDEX('01_予約入力'!$G$5:$G$204,$AQ50))&amp;"/"&amp;DAY(INDEX('01_予約入力'!$G$5:$G$204,$AQ50))&amp;"("&amp;MID("日月火水木金土",WEEKDAY(INDEX('01_予約入力'!$G$5:$G$204,$AQ50)),1)&amp;")"&amp;" "&amp;INDEX('01_予約入力'!$AA$5:$AA$204,$AQ50))</f>
        <v/>
      </c>
      <c r="J50" s="60" t="n"/>
      <c r="K50" s="60" t="n"/>
      <c r="L50" s="60" t="n"/>
      <c r="M50" s="60" t="n"/>
      <c r="N50" s="60" t="n"/>
      <c r="O50" s="61" t="n"/>
      <c r="P50" s="38">
        <f>IF($AQ50=0,"",MONTH(INDEX('01_予約入力'!$J$5:$J$204,$AQ50))&amp;"/"&amp;DAY(INDEX('01_予約入力'!$J$5:$J$204,$AQ50))&amp;"("&amp;MID("日月火水木金土",WEEKDAY(INDEX('01_予約入力'!$J$5:$J$204,$AQ50)),1)&amp;")"&amp;" "&amp;INDEX('01_予約入力'!$AB$5:$AB$204,$AQ50))</f>
        <v/>
      </c>
      <c r="Q50" s="60" t="n"/>
      <c r="R50" s="60" t="n"/>
      <c r="S50" s="60" t="n"/>
      <c r="T50" s="60" t="n"/>
      <c r="U50" s="60" t="n"/>
      <c r="V50" s="61" t="n"/>
      <c r="W50" s="39">
        <f>IF($AQ50=0,"",IF(INDEX('01_予約入力'!$J$5:$J$204,$AQ50)=INDEX('01_予約入力'!$G$5:$G$204,$AQ50),"日帰り",INDEX('01_予約入力'!$J$5:$J$204,$AQ50)-INDEX('01_予約入力'!$G$5:$G$204,$AQ50)&amp;"泊"))</f>
        <v/>
      </c>
      <c r="X50" s="60" t="n"/>
      <c r="Y50" s="61" t="n"/>
      <c r="Z50" s="39">
        <f>IF($AQ50=0,"",IF(INDEX('01_予約入力'!$N$5:$N$204,$AQ50)="","確定",INDEX('01_予約入力'!$N$5:$N$204,$AQ50)))</f>
        <v/>
      </c>
      <c r="AA50" s="60" t="n"/>
      <c r="AB50" s="61" t="n"/>
      <c r="AC50" s="38">
        <f>IF($AQ50=0,"",INDEX('01_予約入力'!$S$5:$S$204,$AQ50))</f>
        <v/>
      </c>
      <c r="AD50" s="60" t="n"/>
      <c r="AE50" s="60" t="n"/>
      <c r="AF50" s="61" t="n"/>
      <c r="AP50">
        <f>IFERROR(SMALL('01_予約入力'!$Z$5:$Z$204,18),"")</f>
        <v/>
      </c>
      <c r="AQ50">
        <f>IF($AP50="",0,IFERROR(MATCH($AP50,'01_予約入力'!$Z$5:$Z$204,0),0))</f>
        <v/>
      </c>
    </row>
    <row r="51">
      <c r="A51" s="38">
        <f>IF($AQ51=0,"",INDEX('01_予約入力'!$B$5:$B$204,$AQ51))</f>
        <v/>
      </c>
      <c r="B51" s="39">
        <f>IF($AQ51=0,"",IF(INDEX('01_予約入力'!$D$5:$D$204,$AQ51)="","⚠未選択",INDEX('01_予約入力'!$D$5:$D$204,$AQ51)))</f>
        <v/>
      </c>
      <c r="C51" s="60" t="n"/>
      <c r="D51" s="60" t="n"/>
      <c r="E51" s="61" t="n"/>
      <c r="F51" s="39">
        <f>IF($AQ51=0,"",INDEX('01_予約入力'!$C$5:$C$204,$AQ51))</f>
        <v/>
      </c>
      <c r="G51" s="60" t="n"/>
      <c r="H51" s="61" t="n"/>
      <c r="I51" s="38">
        <f>IF($AQ51=0,"",MONTH(INDEX('01_予約入力'!$G$5:$G$204,$AQ51))&amp;"/"&amp;DAY(INDEX('01_予約入力'!$G$5:$G$204,$AQ51))&amp;"("&amp;MID("日月火水木金土",WEEKDAY(INDEX('01_予約入力'!$G$5:$G$204,$AQ51)),1)&amp;")"&amp;" "&amp;INDEX('01_予約入力'!$AA$5:$AA$204,$AQ51))</f>
        <v/>
      </c>
      <c r="J51" s="60" t="n"/>
      <c r="K51" s="60" t="n"/>
      <c r="L51" s="60" t="n"/>
      <c r="M51" s="60" t="n"/>
      <c r="N51" s="60" t="n"/>
      <c r="O51" s="61" t="n"/>
      <c r="P51" s="38">
        <f>IF($AQ51=0,"",MONTH(INDEX('01_予約入力'!$J$5:$J$204,$AQ51))&amp;"/"&amp;DAY(INDEX('01_予約入力'!$J$5:$J$204,$AQ51))&amp;"("&amp;MID("日月火水木金土",WEEKDAY(INDEX('01_予約入力'!$J$5:$J$204,$AQ51)),1)&amp;")"&amp;" "&amp;INDEX('01_予約入力'!$AB$5:$AB$204,$AQ51))</f>
        <v/>
      </c>
      <c r="Q51" s="60" t="n"/>
      <c r="R51" s="60" t="n"/>
      <c r="S51" s="60" t="n"/>
      <c r="T51" s="60" t="n"/>
      <c r="U51" s="60" t="n"/>
      <c r="V51" s="61" t="n"/>
      <c r="W51" s="39">
        <f>IF($AQ51=0,"",IF(INDEX('01_予約入力'!$J$5:$J$204,$AQ51)=INDEX('01_予約入力'!$G$5:$G$204,$AQ51),"日帰り",INDEX('01_予約入力'!$J$5:$J$204,$AQ51)-INDEX('01_予約入力'!$G$5:$G$204,$AQ51)&amp;"泊"))</f>
        <v/>
      </c>
      <c r="X51" s="60" t="n"/>
      <c r="Y51" s="61" t="n"/>
      <c r="Z51" s="39">
        <f>IF($AQ51=0,"",IF(INDEX('01_予約入力'!$N$5:$N$204,$AQ51)="","確定",INDEX('01_予約入力'!$N$5:$N$204,$AQ51)))</f>
        <v/>
      </c>
      <c r="AA51" s="60" t="n"/>
      <c r="AB51" s="61" t="n"/>
      <c r="AC51" s="38">
        <f>IF($AQ51=0,"",INDEX('01_予約入力'!$S$5:$S$204,$AQ51))</f>
        <v/>
      </c>
      <c r="AD51" s="60" t="n"/>
      <c r="AE51" s="60" t="n"/>
      <c r="AF51" s="61" t="n"/>
      <c r="AP51">
        <f>IFERROR(SMALL('01_予約入力'!$Z$5:$Z$204,19),"")</f>
        <v/>
      </c>
      <c r="AQ51">
        <f>IF($AP51="",0,IFERROR(MATCH($AP51,'01_予約入力'!$Z$5:$Z$204,0),0))</f>
        <v/>
      </c>
    </row>
    <row r="52">
      <c r="A52" s="38">
        <f>IF($AQ52=0,"",INDEX('01_予約入力'!$B$5:$B$204,$AQ52))</f>
        <v/>
      </c>
      <c r="B52" s="39">
        <f>IF($AQ52=0,"",IF(INDEX('01_予約入力'!$D$5:$D$204,$AQ52)="","⚠未選択",INDEX('01_予約入力'!$D$5:$D$204,$AQ52)))</f>
        <v/>
      </c>
      <c r="C52" s="60" t="n"/>
      <c r="D52" s="60" t="n"/>
      <c r="E52" s="61" t="n"/>
      <c r="F52" s="39">
        <f>IF($AQ52=0,"",INDEX('01_予約入力'!$C$5:$C$204,$AQ52))</f>
        <v/>
      </c>
      <c r="G52" s="60" t="n"/>
      <c r="H52" s="61" t="n"/>
      <c r="I52" s="38">
        <f>IF($AQ52=0,"",MONTH(INDEX('01_予約入力'!$G$5:$G$204,$AQ52))&amp;"/"&amp;DAY(INDEX('01_予約入力'!$G$5:$G$204,$AQ52))&amp;"("&amp;MID("日月火水木金土",WEEKDAY(INDEX('01_予約入力'!$G$5:$G$204,$AQ52)),1)&amp;")"&amp;" "&amp;INDEX('01_予約入力'!$AA$5:$AA$204,$AQ52))</f>
        <v/>
      </c>
      <c r="J52" s="60" t="n"/>
      <c r="K52" s="60" t="n"/>
      <c r="L52" s="60" t="n"/>
      <c r="M52" s="60" t="n"/>
      <c r="N52" s="60" t="n"/>
      <c r="O52" s="61" t="n"/>
      <c r="P52" s="38">
        <f>IF($AQ52=0,"",MONTH(INDEX('01_予約入力'!$J$5:$J$204,$AQ52))&amp;"/"&amp;DAY(INDEX('01_予約入力'!$J$5:$J$204,$AQ52))&amp;"("&amp;MID("日月火水木金土",WEEKDAY(INDEX('01_予約入力'!$J$5:$J$204,$AQ52)),1)&amp;")"&amp;" "&amp;INDEX('01_予約入力'!$AB$5:$AB$204,$AQ52))</f>
        <v/>
      </c>
      <c r="Q52" s="60" t="n"/>
      <c r="R52" s="60" t="n"/>
      <c r="S52" s="60" t="n"/>
      <c r="T52" s="60" t="n"/>
      <c r="U52" s="60" t="n"/>
      <c r="V52" s="61" t="n"/>
      <c r="W52" s="39">
        <f>IF($AQ52=0,"",IF(INDEX('01_予約入力'!$J$5:$J$204,$AQ52)=INDEX('01_予約入力'!$G$5:$G$204,$AQ52),"日帰り",INDEX('01_予約入力'!$J$5:$J$204,$AQ52)-INDEX('01_予約入力'!$G$5:$G$204,$AQ52)&amp;"泊"))</f>
        <v/>
      </c>
      <c r="X52" s="60" t="n"/>
      <c r="Y52" s="61" t="n"/>
      <c r="Z52" s="39">
        <f>IF($AQ52=0,"",IF(INDEX('01_予約入力'!$N$5:$N$204,$AQ52)="","確定",INDEX('01_予約入力'!$N$5:$N$204,$AQ52)))</f>
        <v/>
      </c>
      <c r="AA52" s="60" t="n"/>
      <c r="AB52" s="61" t="n"/>
      <c r="AC52" s="38">
        <f>IF($AQ52=0,"",INDEX('01_予約入力'!$S$5:$S$204,$AQ52))</f>
        <v/>
      </c>
      <c r="AD52" s="60" t="n"/>
      <c r="AE52" s="60" t="n"/>
      <c r="AF52" s="61" t="n"/>
      <c r="AP52">
        <f>IFERROR(SMALL('01_予約入力'!$Z$5:$Z$204,20),"")</f>
        <v/>
      </c>
      <c r="AQ52">
        <f>IF($AP52="",0,IFERROR(MATCH($AP52,'01_予約入力'!$Z$5:$Z$204,0),0))</f>
        <v/>
      </c>
    </row>
    <row r="53">
      <c r="A53" s="38">
        <f>IF($AQ53=0,"",INDEX('01_予約入力'!$B$5:$B$204,$AQ53))</f>
        <v/>
      </c>
      <c r="B53" s="39">
        <f>IF($AQ53=0,"",IF(INDEX('01_予約入力'!$D$5:$D$204,$AQ53)="","⚠未選択",INDEX('01_予約入力'!$D$5:$D$204,$AQ53)))</f>
        <v/>
      </c>
      <c r="C53" s="60" t="n"/>
      <c r="D53" s="60" t="n"/>
      <c r="E53" s="61" t="n"/>
      <c r="F53" s="39">
        <f>IF($AQ53=0,"",INDEX('01_予約入力'!$C$5:$C$204,$AQ53))</f>
        <v/>
      </c>
      <c r="G53" s="60" t="n"/>
      <c r="H53" s="61" t="n"/>
      <c r="I53" s="38">
        <f>IF($AQ53=0,"",MONTH(INDEX('01_予約入力'!$G$5:$G$204,$AQ53))&amp;"/"&amp;DAY(INDEX('01_予約入力'!$G$5:$G$204,$AQ53))&amp;"("&amp;MID("日月火水木金土",WEEKDAY(INDEX('01_予約入力'!$G$5:$G$204,$AQ53)),1)&amp;")"&amp;" "&amp;INDEX('01_予約入力'!$AA$5:$AA$204,$AQ53))</f>
        <v/>
      </c>
      <c r="J53" s="60" t="n"/>
      <c r="K53" s="60" t="n"/>
      <c r="L53" s="60" t="n"/>
      <c r="M53" s="60" t="n"/>
      <c r="N53" s="60" t="n"/>
      <c r="O53" s="61" t="n"/>
      <c r="P53" s="38">
        <f>IF($AQ53=0,"",MONTH(INDEX('01_予約入力'!$J$5:$J$204,$AQ53))&amp;"/"&amp;DAY(INDEX('01_予約入力'!$J$5:$J$204,$AQ53))&amp;"("&amp;MID("日月火水木金土",WEEKDAY(INDEX('01_予約入力'!$J$5:$J$204,$AQ53)),1)&amp;")"&amp;" "&amp;INDEX('01_予約入力'!$AB$5:$AB$204,$AQ53))</f>
        <v/>
      </c>
      <c r="Q53" s="60" t="n"/>
      <c r="R53" s="60" t="n"/>
      <c r="S53" s="60" t="n"/>
      <c r="T53" s="60" t="n"/>
      <c r="U53" s="60" t="n"/>
      <c r="V53" s="61" t="n"/>
      <c r="W53" s="39">
        <f>IF($AQ53=0,"",IF(INDEX('01_予約入力'!$J$5:$J$204,$AQ53)=INDEX('01_予約入力'!$G$5:$G$204,$AQ53),"日帰り",INDEX('01_予約入力'!$J$5:$J$204,$AQ53)-INDEX('01_予約入力'!$G$5:$G$204,$AQ53)&amp;"泊"))</f>
        <v/>
      </c>
      <c r="X53" s="60" t="n"/>
      <c r="Y53" s="61" t="n"/>
      <c r="Z53" s="39">
        <f>IF($AQ53=0,"",IF(INDEX('01_予約入力'!$N$5:$N$204,$AQ53)="","確定",INDEX('01_予約入力'!$N$5:$N$204,$AQ53)))</f>
        <v/>
      </c>
      <c r="AA53" s="60" t="n"/>
      <c r="AB53" s="61" t="n"/>
      <c r="AC53" s="38">
        <f>IF($AQ53=0,"",INDEX('01_予約入力'!$S$5:$S$204,$AQ53))</f>
        <v/>
      </c>
      <c r="AD53" s="60" t="n"/>
      <c r="AE53" s="60" t="n"/>
      <c r="AF53" s="61" t="n"/>
      <c r="AP53">
        <f>IFERROR(SMALL('01_予約入力'!$Z$5:$Z$204,21),"")</f>
        <v/>
      </c>
      <c r="AQ53">
        <f>IF($AP53="",0,IFERROR(MATCH($AP53,'01_予約入力'!$Z$5:$Z$204,0),0))</f>
        <v/>
      </c>
    </row>
    <row r="54">
      <c r="A54" s="38">
        <f>IF($AQ54=0,"",INDEX('01_予約入力'!$B$5:$B$204,$AQ54))</f>
        <v/>
      </c>
      <c r="B54" s="39">
        <f>IF($AQ54=0,"",IF(INDEX('01_予約入力'!$D$5:$D$204,$AQ54)="","⚠未選択",INDEX('01_予約入力'!$D$5:$D$204,$AQ54)))</f>
        <v/>
      </c>
      <c r="C54" s="60" t="n"/>
      <c r="D54" s="60" t="n"/>
      <c r="E54" s="61" t="n"/>
      <c r="F54" s="39">
        <f>IF($AQ54=0,"",INDEX('01_予約入力'!$C$5:$C$204,$AQ54))</f>
        <v/>
      </c>
      <c r="G54" s="60" t="n"/>
      <c r="H54" s="61" t="n"/>
      <c r="I54" s="38">
        <f>IF($AQ54=0,"",MONTH(INDEX('01_予約入力'!$G$5:$G$204,$AQ54))&amp;"/"&amp;DAY(INDEX('01_予約入力'!$G$5:$G$204,$AQ54))&amp;"("&amp;MID("日月火水木金土",WEEKDAY(INDEX('01_予約入力'!$G$5:$G$204,$AQ54)),1)&amp;")"&amp;" "&amp;INDEX('01_予約入力'!$AA$5:$AA$204,$AQ54))</f>
        <v/>
      </c>
      <c r="J54" s="60" t="n"/>
      <c r="K54" s="60" t="n"/>
      <c r="L54" s="60" t="n"/>
      <c r="M54" s="60" t="n"/>
      <c r="N54" s="60" t="n"/>
      <c r="O54" s="61" t="n"/>
      <c r="P54" s="38">
        <f>IF($AQ54=0,"",MONTH(INDEX('01_予約入力'!$J$5:$J$204,$AQ54))&amp;"/"&amp;DAY(INDEX('01_予約入力'!$J$5:$J$204,$AQ54))&amp;"("&amp;MID("日月火水木金土",WEEKDAY(INDEX('01_予約入力'!$J$5:$J$204,$AQ54)),1)&amp;")"&amp;" "&amp;INDEX('01_予約入力'!$AB$5:$AB$204,$AQ54))</f>
        <v/>
      </c>
      <c r="Q54" s="60" t="n"/>
      <c r="R54" s="60" t="n"/>
      <c r="S54" s="60" t="n"/>
      <c r="T54" s="60" t="n"/>
      <c r="U54" s="60" t="n"/>
      <c r="V54" s="61" t="n"/>
      <c r="W54" s="39">
        <f>IF($AQ54=0,"",IF(INDEX('01_予約入力'!$J$5:$J$204,$AQ54)=INDEX('01_予約入力'!$G$5:$G$204,$AQ54),"日帰り",INDEX('01_予約入力'!$J$5:$J$204,$AQ54)-INDEX('01_予約入力'!$G$5:$G$204,$AQ54)&amp;"泊"))</f>
        <v/>
      </c>
      <c r="X54" s="60" t="n"/>
      <c r="Y54" s="61" t="n"/>
      <c r="Z54" s="39">
        <f>IF($AQ54=0,"",IF(INDEX('01_予約入力'!$N$5:$N$204,$AQ54)="","確定",INDEX('01_予約入力'!$N$5:$N$204,$AQ54)))</f>
        <v/>
      </c>
      <c r="AA54" s="60" t="n"/>
      <c r="AB54" s="61" t="n"/>
      <c r="AC54" s="38">
        <f>IF($AQ54=0,"",INDEX('01_予約入力'!$S$5:$S$204,$AQ54))</f>
        <v/>
      </c>
      <c r="AD54" s="60" t="n"/>
      <c r="AE54" s="60" t="n"/>
      <c r="AF54" s="61" t="n"/>
      <c r="AP54">
        <f>IFERROR(SMALL('01_予約入力'!$Z$5:$Z$204,22),"")</f>
        <v/>
      </c>
      <c r="AQ54">
        <f>IF($AP54="",0,IFERROR(MATCH($AP54,'01_予約入力'!$Z$5:$Z$204,0),0))</f>
        <v/>
      </c>
    </row>
    <row r="55">
      <c r="A55" s="38">
        <f>IF($AQ55=0,"",INDEX('01_予約入力'!$B$5:$B$204,$AQ55))</f>
        <v/>
      </c>
      <c r="B55" s="39">
        <f>IF($AQ55=0,"",IF(INDEX('01_予約入力'!$D$5:$D$204,$AQ55)="","⚠未選択",INDEX('01_予約入力'!$D$5:$D$204,$AQ55)))</f>
        <v/>
      </c>
      <c r="C55" s="60" t="n"/>
      <c r="D55" s="60" t="n"/>
      <c r="E55" s="61" t="n"/>
      <c r="F55" s="39">
        <f>IF($AQ55=0,"",INDEX('01_予約入力'!$C$5:$C$204,$AQ55))</f>
        <v/>
      </c>
      <c r="G55" s="60" t="n"/>
      <c r="H55" s="61" t="n"/>
      <c r="I55" s="38">
        <f>IF($AQ55=0,"",MONTH(INDEX('01_予約入力'!$G$5:$G$204,$AQ55))&amp;"/"&amp;DAY(INDEX('01_予約入力'!$G$5:$G$204,$AQ55))&amp;"("&amp;MID("日月火水木金土",WEEKDAY(INDEX('01_予約入力'!$G$5:$G$204,$AQ55)),1)&amp;")"&amp;" "&amp;INDEX('01_予約入力'!$AA$5:$AA$204,$AQ55))</f>
        <v/>
      </c>
      <c r="J55" s="60" t="n"/>
      <c r="K55" s="60" t="n"/>
      <c r="L55" s="60" t="n"/>
      <c r="M55" s="60" t="n"/>
      <c r="N55" s="60" t="n"/>
      <c r="O55" s="61" t="n"/>
      <c r="P55" s="38">
        <f>IF($AQ55=0,"",MONTH(INDEX('01_予約入力'!$J$5:$J$204,$AQ55))&amp;"/"&amp;DAY(INDEX('01_予約入力'!$J$5:$J$204,$AQ55))&amp;"("&amp;MID("日月火水木金土",WEEKDAY(INDEX('01_予約入力'!$J$5:$J$204,$AQ55)),1)&amp;")"&amp;" "&amp;INDEX('01_予約入力'!$AB$5:$AB$204,$AQ55))</f>
        <v/>
      </c>
      <c r="Q55" s="60" t="n"/>
      <c r="R55" s="60" t="n"/>
      <c r="S55" s="60" t="n"/>
      <c r="T55" s="60" t="n"/>
      <c r="U55" s="60" t="n"/>
      <c r="V55" s="61" t="n"/>
      <c r="W55" s="39">
        <f>IF($AQ55=0,"",IF(INDEX('01_予約入力'!$J$5:$J$204,$AQ55)=INDEX('01_予約入力'!$G$5:$G$204,$AQ55),"日帰り",INDEX('01_予約入力'!$J$5:$J$204,$AQ55)-INDEX('01_予約入力'!$G$5:$G$204,$AQ55)&amp;"泊"))</f>
        <v/>
      </c>
      <c r="X55" s="60" t="n"/>
      <c r="Y55" s="61" t="n"/>
      <c r="Z55" s="39">
        <f>IF($AQ55=0,"",IF(INDEX('01_予約入力'!$N$5:$N$204,$AQ55)="","確定",INDEX('01_予約入力'!$N$5:$N$204,$AQ55)))</f>
        <v/>
      </c>
      <c r="AA55" s="60" t="n"/>
      <c r="AB55" s="61" t="n"/>
      <c r="AC55" s="38">
        <f>IF($AQ55=0,"",INDEX('01_予約入力'!$S$5:$S$204,$AQ55))</f>
        <v/>
      </c>
      <c r="AD55" s="60" t="n"/>
      <c r="AE55" s="60" t="n"/>
      <c r="AF55" s="61" t="n"/>
      <c r="AP55">
        <f>IFERROR(SMALL('01_予約入力'!$Z$5:$Z$204,23),"")</f>
        <v/>
      </c>
      <c r="AQ55">
        <f>IF($AP55="",0,IFERROR(MATCH($AP55,'01_予約入力'!$Z$5:$Z$204,0),0))</f>
        <v/>
      </c>
    </row>
    <row r="56">
      <c r="A56" s="38">
        <f>IF($AQ56=0,"",INDEX('01_予約入力'!$B$5:$B$204,$AQ56))</f>
        <v/>
      </c>
      <c r="B56" s="39">
        <f>IF($AQ56=0,"",IF(INDEX('01_予約入力'!$D$5:$D$204,$AQ56)="","⚠未選択",INDEX('01_予約入力'!$D$5:$D$204,$AQ56)))</f>
        <v/>
      </c>
      <c r="C56" s="60" t="n"/>
      <c r="D56" s="60" t="n"/>
      <c r="E56" s="61" t="n"/>
      <c r="F56" s="39">
        <f>IF($AQ56=0,"",INDEX('01_予約入力'!$C$5:$C$204,$AQ56))</f>
        <v/>
      </c>
      <c r="G56" s="60" t="n"/>
      <c r="H56" s="61" t="n"/>
      <c r="I56" s="38">
        <f>IF($AQ56=0,"",MONTH(INDEX('01_予約入力'!$G$5:$G$204,$AQ56))&amp;"/"&amp;DAY(INDEX('01_予約入力'!$G$5:$G$204,$AQ56))&amp;"("&amp;MID("日月火水木金土",WEEKDAY(INDEX('01_予約入力'!$G$5:$G$204,$AQ56)),1)&amp;")"&amp;" "&amp;INDEX('01_予約入力'!$AA$5:$AA$204,$AQ56))</f>
        <v/>
      </c>
      <c r="J56" s="60" t="n"/>
      <c r="K56" s="60" t="n"/>
      <c r="L56" s="60" t="n"/>
      <c r="M56" s="60" t="n"/>
      <c r="N56" s="60" t="n"/>
      <c r="O56" s="61" t="n"/>
      <c r="P56" s="38">
        <f>IF($AQ56=0,"",MONTH(INDEX('01_予約入力'!$J$5:$J$204,$AQ56))&amp;"/"&amp;DAY(INDEX('01_予約入力'!$J$5:$J$204,$AQ56))&amp;"("&amp;MID("日月火水木金土",WEEKDAY(INDEX('01_予約入力'!$J$5:$J$204,$AQ56)),1)&amp;")"&amp;" "&amp;INDEX('01_予約入力'!$AB$5:$AB$204,$AQ56))</f>
        <v/>
      </c>
      <c r="Q56" s="60" t="n"/>
      <c r="R56" s="60" t="n"/>
      <c r="S56" s="60" t="n"/>
      <c r="T56" s="60" t="n"/>
      <c r="U56" s="60" t="n"/>
      <c r="V56" s="61" t="n"/>
      <c r="W56" s="39">
        <f>IF($AQ56=0,"",IF(INDEX('01_予約入力'!$J$5:$J$204,$AQ56)=INDEX('01_予約入力'!$G$5:$G$204,$AQ56),"日帰り",INDEX('01_予約入力'!$J$5:$J$204,$AQ56)-INDEX('01_予約入力'!$G$5:$G$204,$AQ56)&amp;"泊"))</f>
        <v/>
      </c>
      <c r="X56" s="60" t="n"/>
      <c r="Y56" s="61" t="n"/>
      <c r="Z56" s="39">
        <f>IF($AQ56=0,"",IF(INDEX('01_予約入力'!$N$5:$N$204,$AQ56)="","確定",INDEX('01_予約入力'!$N$5:$N$204,$AQ56)))</f>
        <v/>
      </c>
      <c r="AA56" s="60" t="n"/>
      <c r="AB56" s="61" t="n"/>
      <c r="AC56" s="38">
        <f>IF($AQ56=0,"",INDEX('01_予約入力'!$S$5:$S$204,$AQ56))</f>
        <v/>
      </c>
      <c r="AD56" s="60" t="n"/>
      <c r="AE56" s="60" t="n"/>
      <c r="AF56" s="61" t="n"/>
      <c r="AP56">
        <f>IFERROR(SMALL('01_予約入力'!$Z$5:$Z$204,24),"")</f>
        <v/>
      </c>
      <c r="AQ56">
        <f>IF($AP56="",0,IFERROR(MATCH($AP56,'01_予約入力'!$Z$5:$Z$204,0),0))</f>
        <v/>
      </c>
    </row>
    <row r="57">
      <c r="A57" s="38">
        <f>IF($AQ57=0,"",INDEX('01_予約入力'!$B$5:$B$204,$AQ57))</f>
        <v/>
      </c>
      <c r="B57" s="39">
        <f>IF($AQ57=0,"",IF(INDEX('01_予約入力'!$D$5:$D$204,$AQ57)="","⚠未選択",INDEX('01_予約入力'!$D$5:$D$204,$AQ57)))</f>
        <v/>
      </c>
      <c r="C57" s="60" t="n"/>
      <c r="D57" s="60" t="n"/>
      <c r="E57" s="61" t="n"/>
      <c r="F57" s="39">
        <f>IF($AQ57=0,"",INDEX('01_予約入力'!$C$5:$C$204,$AQ57))</f>
        <v/>
      </c>
      <c r="G57" s="60" t="n"/>
      <c r="H57" s="61" t="n"/>
      <c r="I57" s="38">
        <f>IF($AQ57=0,"",MONTH(INDEX('01_予約入力'!$G$5:$G$204,$AQ57))&amp;"/"&amp;DAY(INDEX('01_予約入力'!$G$5:$G$204,$AQ57))&amp;"("&amp;MID("日月火水木金土",WEEKDAY(INDEX('01_予約入力'!$G$5:$G$204,$AQ57)),1)&amp;")"&amp;" "&amp;INDEX('01_予約入力'!$AA$5:$AA$204,$AQ57))</f>
        <v/>
      </c>
      <c r="J57" s="60" t="n"/>
      <c r="K57" s="60" t="n"/>
      <c r="L57" s="60" t="n"/>
      <c r="M57" s="60" t="n"/>
      <c r="N57" s="60" t="n"/>
      <c r="O57" s="61" t="n"/>
      <c r="P57" s="38">
        <f>IF($AQ57=0,"",MONTH(INDEX('01_予約入力'!$J$5:$J$204,$AQ57))&amp;"/"&amp;DAY(INDEX('01_予約入力'!$J$5:$J$204,$AQ57))&amp;"("&amp;MID("日月火水木金土",WEEKDAY(INDEX('01_予約入力'!$J$5:$J$204,$AQ57)),1)&amp;")"&amp;" "&amp;INDEX('01_予約入力'!$AB$5:$AB$204,$AQ57))</f>
        <v/>
      </c>
      <c r="Q57" s="60" t="n"/>
      <c r="R57" s="60" t="n"/>
      <c r="S57" s="60" t="n"/>
      <c r="T57" s="60" t="n"/>
      <c r="U57" s="60" t="n"/>
      <c r="V57" s="61" t="n"/>
      <c r="W57" s="39">
        <f>IF($AQ57=0,"",IF(INDEX('01_予約入力'!$J$5:$J$204,$AQ57)=INDEX('01_予約入力'!$G$5:$G$204,$AQ57),"日帰り",INDEX('01_予約入力'!$J$5:$J$204,$AQ57)-INDEX('01_予約入力'!$G$5:$G$204,$AQ57)&amp;"泊"))</f>
        <v/>
      </c>
      <c r="X57" s="60" t="n"/>
      <c r="Y57" s="61" t="n"/>
      <c r="Z57" s="39">
        <f>IF($AQ57=0,"",IF(INDEX('01_予約入力'!$N$5:$N$204,$AQ57)="","確定",INDEX('01_予約入力'!$N$5:$N$204,$AQ57)))</f>
        <v/>
      </c>
      <c r="AA57" s="60" t="n"/>
      <c r="AB57" s="61" t="n"/>
      <c r="AC57" s="38">
        <f>IF($AQ57=0,"",INDEX('01_予約入力'!$S$5:$S$204,$AQ57))</f>
        <v/>
      </c>
      <c r="AD57" s="60" t="n"/>
      <c r="AE57" s="60" t="n"/>
      <c r="AF57" s="61" t="n"/>
      <c r="AP57">
        <f>IFERROR(SMALL('01_予約入力'!$Z$5:$Z$204,25),"")</f>
        <v/>
      </c>
      <c r="AQ57">
        <f>IF($AP57="",0,IFERROR(MATCH($AP57,'01_予約入力'!$Z$5:$Z$204,0),0))</f>
        <v/>
      </c>
    </row>
    <row r="58">
      <c r="A58" s="38">
        <f>IF($AQ58=0,"",INDEX('01_予約入力'!$B$5:$B$204,$AQ58))</f>
        <v/>
      </c>
      <c r="B58" s="39">
        <f>IF($AQ58=0,"",IF(INDEX('01_予約入力'!$D$5:$D$204,$AQ58)="","⚠未選択",INDEX('01_予約入力'!$D$5:$D$204,$AQ58)))</f>
        <v/>
      </c>
      <c r="C58" s="60" t="n"/>
      <c r="D58" s="60" t="n"/>
      <c r="E58" s="61" t="n"/>
      <c r="F58" s="39">
        <f>IF($AQ58=0,"",INDEX('01_予約入力'!$C$5:$C$204,$AQ58))</f>
        <v/>
      </c>
      <c r="G58" s="60" t="n"/>
      <c r="H58" s="61" t="n"/>
      <c r="I58" s="38">
        <f>IF($AQ58=0,"",MONTH(INDEX('01_予約入力'!$G$5:$G$204,$AQ58))&amp;"/"&amp;DAY(INDEX('01_予約入力'!$G$5:$G$204,$AQ58))&amp;"("&amp;MID("日月火水木金土",WEEKDAY(INDEX('01_予約入力'!$G$5:$G$204,$AQ58)),1)&amp;")"&amp;" "&amp;INDEX('01_予約入力'!$AA$5:$AA$204,$AQ58))</f>
        <v/>
      </c>
      <c r="J58" s="60" t="n"/>
      <c r="K58" s="60" t="n"/>
      <c r="L58" s="60" t="n"/>
      <c r="M58" s="60" t="n"/>
      <c r="N58" s="60" t="n"/>
      <c r="O58" s="61" t="n"/>
      <c r="P58" s="38">
        <f>IF($AQ58=0,"",MONTH(INDEX('01_予約入力'!$J$5:$J$204,$AQ58))&amp;"/"&amp;DAY(INDEX('01_予約入力'!$J$5:$J$204,$AQ58))&amp;"("&amp;MID("日月火水木金土",WEEKDAY(INDEX('01_予約入力'!$J$5:$J$204,$AQ58)),1)&amp;")"&amp;" "&amp;INDEX('01_予約入力'!$AB$5:$AB$204,$AQ58))</f>
        <v/>
      </c>
      <c r="Q58" s="60" t="n"/>
      <c r="R58" s="60" t="n"/>
      <c r="S58" s="60" t="n"/>
      <c r="T58" s="60" t="n"/>
      <c r="U58" s="60" t="n"/>
      <c r="V58" s="61" t="n"/>
      <c r="W58" s="39">
        <f>IF($AQ58=0,"",IF(INDEX('01_予約入力'!$J$5:$J$204,$AQ58)=INDEX('01_予約入力'!$G$5:$G$204,$AQ58),"日帰り",INDEX('01_予約入力'!$J$5:$J$204,$AQ58)-INDEX('01_予約入力'!$G$5:$G$204,$AQ58)&amp;"泊"))</f>
        <v/>
      </c>
      <c r="X58" s="60" t="n"/>
      <c r="Y58" s="61" t="n"/>
      <c r="Z58" s="39">
        <f>IF($AQ58=0,"",IF(INDEX('01_予約入力'!$N$5:$N$204,$AQ58)="","確定",INDEX('01_予約入力'!$N$5:$N$204,$AQ58)))</f>
        <v/>
      </c>
      <c r="AA58" s="60" t="n"/>
      <c r="AB58" s="61" t="n"/>
      <c r="AC58" s="38">
        <f>IF($AQ58=0,"",INDEX('01_予約入力'!$S$5:$S$204,$AQ58))</f>
        <v/>
      </c>
      <c r="AD58" s="60" t="n"/>
      <c r="AE58" s="60" t="n"/>
      <c r="AF58" s="61" t="n"/>
      <c r="AP58">
        <f>IFERROR(SMALL('01_予約入力'!$Z$5:$Z$204,26),"")</f>
        <v/>
      </c>
      <c r="AQ58">
        <f>IF($AP58="",0,IFERROR(MATCH($AP58,'01_予約入力'!$Z$5:$Z$204,0),0))</f>
        <v/>
      </c>
    </row>
    <row r="59">
      <c r="A59" s="38">
        <f>IF($AQ59=0,"",INDEX('01_予約入力'!$B$5:$B$204,$AQ59))</f>
        <v/>
      </c>
      <c r="B59" s="39">
        <f>IF($AQ59=0,"",IF(INDEX('01_予約入力'!$D$5:$D$204,$AQ59)="","⚠未選択",INDEX('01_予約入力'!$D$5:$D$204,$AQ59)))</f>
        <v/>
      </c>
      <c r="C59" s="60" t="n"/>
      <c r="D59" s="60" t="n"/>
      <c r="E59" s="61" t="n"/>
      <c r="F59" s="39">
        <f>IF($AQ59=0,"",INDEX('01_予約入力'!$C$5:$C$204,$AQ59))</f>
        <v/>
      </c>
      <c r="G59" s="60" t="n"/>
      <c r="H59" s="61" t="n"/>
      <c r="I59" s="38">
        <f>IF($AQ59=0,"",MONTH(INDEX('01_予約入力'!$G$5:$G$204,$AQ59))&amp;"/"&amp;DAY(INDEX('01_予約入力'!$G$5:$G$204,$AQ59))&amp;"("&amp;MID("日月火水木金土",WEEKDAY(INDEX('01_予約入力'!$G$5:$G$204,$AQ59)),1)&amp;")"&amp;" "&amp;INDEX('01_予約入力'!$AA$5:$AA$204,$AQ59))</f>
        <v/>
      </c>
      <c r="J59" s="60" t="n"/>
      <c r="K59" s="60" t="n"/>
      <c r="L59" s="60" t="n"/>
      <c r="M59" s="60" t="n"/>
      <c r="N59" s="60" t="n"/>
      <c r="O59" s="61" t="n"/>
      <c r="P59" s="38">
        <f>IF($AQ59=0,"",MONTH(INDEX('01_予約入力'!$J$5:$J$204,$AQ59))&amp;"/"&amp;DAY(INDEX('01_予約入力'!$J$5:$J$204,$AQ59))&amp;"("&amp;MID("日月火水木金土",WEEKDAY(INDEX('01_予約入力'!$J$5:$J$204,$AQ59)),1)&amp;")"&amp;" "&amp;INDEX('01_予約入力'!$AB$5:$AB$204,$AQ59))</f>
        <v/>
      </c>
      <c r="Q59" s="60" t="n"/>
      <c r="R59" s="60" t="n"/>
      <c r="S59" s="60" t="n"/>
      <c r="T59" s="60" t="n"/>
      <c r="U59" s="60" t="n"/>
      <c r="V59" s="61" t="n"/>
      <c r="W59" s="39">
        <f>IF($AQ59=0,"",IF(INDEX('01_予約入力'!$J$5:$J$204,$AQ59)=INDEX('01_予約入力'!$G$5:$G$204,$AQ59),"日帰り",INDEX('01_予約入力'!$J$5:$J$204,$AQ59)-INDEX('01_予約入力'!$G$5:$G$204,$AQ59)&amp;"泊"))</f>
        <v/>
      </c>
      <c r="X59" s="60" t="n"/>
      <c r="Y59" s="61" t="n"/>
      <c r="Z59" s="39">
        <f>IF($AQ59=0,"",IF(INDEX('01_予約入力'!$N$5:$N$204,$AQ59)="","確定",INDEX('01_予約入力'!$N$5:$N$204,$AQ59)))</f>
        <v/>
      </c>
      <c r="AA59" s="60" t="n"/>
      <c r="AB59" s="61" t="n"/>
      <c r="AC59" s="38">
        <f>IF($AQ59=0,"",INDEX('01_予約入力'!$S$5:$S$204,$AQ59))</f>
        <v/>
      </c>
      <c r="AD59" s="60" t="n"/>
      <c r="AE59" s="60" t="n"/>
      <c r="AF59" s="61" t="n"/>
      <c r="AP59">
        <f>IFERROR(SMALL('01_予約入力'!$Z$5:$Z$204,27),"")</f>
        <v/>
      </c>
      <c r="AQ59">
        <f>IF($AP59="",0,IFERROR(MATCH($AP59,'01_予約入力'!$Z$5:$Z$204,0),0))</f>
        <v/>
      </c>
    </row>
    <row r="60">
      <c r="A60" s="38">
        <f>IF($AQ60=0,"",INDEX('01_予約入力'!$B$5:$B$204,$AQ60))</f>
        <v/>
      </c>
      <c r="B60" s="39">
        <f>IF($AQ60=0,"",IF(INDEX('01_予約入力'!$D$5:$D$204,$AQ60)="","⚠未選択",INDEX('01_予約入力'!$D$5:$D$204,$AQ60)))</f>
        <v/>
      </c>
      <c r="C60" s="60" t="n"/>
      <c r="D60" s="60" t="n"/>
      <c r="E60" s="61" t="n"/>
      <c r="F60" s="39">
        <f>IF($AQ60=0,"",INDEX('01_予約入力'!$C$5:$C$204,$AQ60))</f>
        <v/>
      </c>
      <c r="G60" s="60" t="n"/>
      <c r="H60" s="61" t="n"/>
      <c r="I60" s="38">
        <f>IF($AQ60=0,"",MONTH(INDEX('01_予約入力'!$G$5:$G$204,$AQ60))&amp;"/"&amp;DAY(INDEX('01_予約入力'!$G$5:$G$204,$AQ60))&amp;"("&amp;MID("日月火水木金土",WEEKDAY(INDEX('01_予約入力'!$G$5:$G$204,$AQ60)),1)&amp;")"&amp;" "&amp;INDEX('01_予約入力'!$AA$5:$AA$204,$AQ60))</f>
        <v/>
      </c>
      <c r="J60" s="60" t="n"/>
      <c r="K60" s="60" t="n"/>
      <c r="L60" s="60" t="n"/>
      <c r="M60" s="60" t="n"/>
      <c r="N60" s="60" t="n"/>
      <c r="O60" s="61" t="n"/>
      <c r="P60" s="38">
        <f>IF($AQ60=0,"",MONTH(INDEX('01_予約入力'!$J$5:$J$204,$AQ60))&amp;"/"&amp;DAY(INDEX('01_予約入力'!$J$5:$J$204,$AQ60))&amp;"("&amp;MID("日月火水木金土",WEEKDAY(INDEX('01_予約入力'!$J$5:$J$204,$AQ60)),1)&amp;")"&amp;" "&amp;INDEX('01_予約入力'!$AB$5:$AB$204,$AQ60))</f>
        <v/>
      </c>
      <c r="Q60" s="60" t="n"/>
      <c r="R60" s="60" t="n"/>
      <c r="S60" s="60" t="n"/>
      <c r="T60" s="60" t="n"/>
      <c r="U60" s="60" t="n"/>
      <c r="V60" s="61" t="n"/>
      <c r="W60" s="39">
        <f>IF($AQ60=0,"",IF(INDEX('01_予約入力'!$J$5:$J$204,$AQ60)=INDEX('01_予約入力'!$G$5:$G$204,$AQ60),"日帰り",INDEX('01_予約入力'!$J$5:$J$204,$AQ60)-INDEX('01_予約入力'!$G$5:$G$204,$AQ60)&amp;"泊"))</f>
        <v/>
      </c>
      <c r="X60" s="60" t="n"/>
      <c r="Y60" s="61" t="n"/>
      <c r="Z60" s="39">
        <f>IF($AQ60=0,"",IF(INDEX('01_予約入力'!$N$5:$N$204,$AQ60)="","確定",INDEX('01_予約入力'!$N$5:$N$204,$AQ60)))</f>
        <v/>
      </c>
      <c r="AA60" s="60" t="n"/>
      <c r="AB60" s="61" t="n"/>
      <c r="AC60" s="38">
        <f>IF($AQ60=0,"",INDEX('01_予約入力'!$S$5:$S$204,$AQ60))</f>
        <v/>
      </c>
      <c r="AD60" s="60" t="n"/>
      <c r="AE60" s="60" t="n"/>
      <c r="AF60" s="61" t="n"/>
      <c r="AP60">
        <f>IFERROR(SMALL('01_予約入力'!$Z$5:$Z$204,28),"")</f>
        <v/>
      </c>
      <c r="AQ60">
        <f>IF($AP60="",0,IFERROR(MATCH($AP60,'01_予約入力'!$Z$5:$Z$204,0),0))</f>
        <v/>
      </c>
    </row>
    <row r="61">
      <c r="A61" s="38">
        <f>IF($AQ61=0,"",INDEX('01_予約入力'!$B$5:$B$204,$AQ61))</f>
        <v/>
      </c>
      <c r="B61" s="39">
        <f>IF($AQ61=0,"",IF(INDEX('01_予約入力'!$D$5:$D$204,$AQ61)="","⚠未選択",INDEX('01_予約入力'!$D$5:$D$204,$AQ61)))</f>
        <v/>
      </c>
      <c r="C61" s="60" t="n"/>
      <c r="D61" s="60" t="n"/>
      <c r="E61" s="61" t="n"/>
      <c r="F61" s="39">
        <f>IF($AQ61=0,"",INDEX('01_予約入力'!$C$5:$C$204,$AQ61))</f>
        <v/>
      </c>
      <c r="G61" s="60" t="n"/>
      <c r="H61" s="61" t="n"/>
      <c r="I61" s="38">
        <f>IF($AQ61=0,"",MONTH(INDEX('01_予約入力'!$G$5:$G$204,$AQ61))&amp;"/"&amp;DAY(INDEX('01_予約入力'!$G$5:$G$204,$AQ61))&amp;"("&amp;MID("日月火水木金土",WEEKDAY(INDEX('01_予約入力'!$G$5:$G$204,$AQ61)),1)&amp;")"&amp;" "&amp;INDEX('01_予約入力'!$AA$5:$AA$204,$AQ61))</f>
        <v/>
      </c>
      <c r="J61" s="60" t="n"/>
      <c r="K61" s="60" t="n"/>
      <c r="L61" s="60" t="n"/>
      <c r="M61" s="60" t="n"/>
      <c r="N61" s="60" t="n"/>
      <c r="O61" s="61" t="n"/>
      <c r="P61" s="38">
        <f>IF($AQ61=0,"",MONTH(INDEX('01_予約入力'!$J$5:$J$204,$AQ61))&amp;"/"&amp;DAY(INDEX('01_予約入力'!$J$5:$J$204,$AQ61))&amp;"("&amp;MID("日月火水木金土",WEEKDAY(INDEX('01_予約入力'!$J$5:$J$204,$AQ61)),1)&amp;")"&amp;" "&amp;INDEX('01_予約入力'!$AB$5:$AB$204,$AQ61))</f>
        <v/>
      </c>
      <c r="Q61" s="60" t="n"/>
      <c r="R61" s="60" t="n"/>
      <c r="S61" s="60" t="n"/>
      <c r="T61" s="60" t="n"/>
      <c r="U61" s="60" t="n"/>
      <c r="V61" s="61" t="n"/>
      <c r="W61" s="39">
        <f>IF($AQ61=0,"",IF(INDEX('01_予約入力'!$J$5:$J$204,$AQ61)=INDEX('01_予約入力'!$G$5:$G$204,$AQ61),"日帰り",INDEX('01_予約入力'!$J$5:$J$204,$AQ61)-INDEX('01_予約入力'!$G$5:$G$204,$AQ61)&amp;"泊"))</f>
        <v/>
      </c>
      <c r="X61" s="60" t="n"/>
      <c r="Y61" s="61" t="n"/>
      <c r="Z61" s="39">
        <f>IF($AQ61=0,"",IF(INDEX('01_予約入力'!$N$5:$N$204,$AQ61)="","確定",INDEX('01_予約入力'!$N$5:$N$204,$AQ61)))</f>
        <v/>
      </c>
      <c r="AA61" s="60" t="n"/>
      <c r="AB61" s="61" t="n"/>
      <c r="AC61" s="38">
        <f>IF($AQ61=0,"",INDEX('01_予約入力'!$S$5:$S$204,$AQ61))</f>
        <v/>
      </c>
      <c r="AD61" s="60" t="n"/>
      <c r="AE61" s="60" t="n"/>
      <c r="AF61" s="61" t="n"/>
      <c r="AP61">
        <f>IFERROR(SMALL('01_予約入力'!$Z$5:$Z$204,29),"")</f>
        <v/>
      </c>
      <c r="AQ61">
        <f>IF($AP61="",0,IFERROR(MATCH($AP61,'01_予約入力'!$Z$5:$Z$204,0),0))</f>
        <v/>
      </c>
    </row>
    <row r="62">
      <c r="A62" s="38">
        <f>IF($AQ62=0,"",INDEX('01_予約入力'!$B$5:$B$204,$AQ62))</f>
        <v/>
      </c>
      <c r="B62" s="39">
        <f>IF($AQ62=0,"",IF(INDEX('01_予約入力'!$D$5:$D$204,$AQ62)="","⚠未選択",INDEX('01_予約入力'!$D$5:$D$204,$AQ62)))</f>
        <v/>
      </c>
      <c r="C62" s="60" t="n"/>
      <c r="D62" s="60" t="n"/>
      <c r="E62" s="61" t="n"/>
      <c r="F62" s="39">
        <f>IF($AQ62=0,"",INDEX('01_予約入力'!$C$5:$C$204,$AQ62))</f>
        <v/>
      </c>
      <c r="G62" s="60" t="n"/>
      <c r="H62" s="61" t="n"/>
      <c r="I62" s="38">
        <f>IF($AQ62=0,"",MONTH(INDEX('01_予約入力'!$G$5:$G$204,$AQ62))&amp;"/"&amp;DAY(INDEX('01_予約入力'!$G$5:$G$204,$AQ62))&amp;"("&amp;MID("日月火水木金土",WEEKDAY(INDEX('01_予約入力'!$G$5:$G$204,$AQ62)),1)&amp;")"&amp;" "&amp;INDEX('01_予約入力'!$AA$5:$AA$204,$AQ62))</f>
        <v/>
      </c>
      <c r="J62" s="60" t="n"/>
      <c r="K62" s="60" t="n"/>
      <c r="L62" s="60" t="n"/>
      <c r="M62" s="60" t="n"/>
      <c r="N62" s="60" t="n"/>
      <c r="O62" s="61" t="n"/>
      <c r="P62" s="38">
        <f>IF($AQ62=0,"",MONTH(INDEX('01_予約入力'!$J$5:$J$204,$AQ62))&amp;"/"&amp;DAY(INDEX('01_予約入力'!$J$5:$J$204,$AQ62))&amp;"("&amp;MID("日月火水木金土",WEEKDAY(INDEX('01_予約入力'!$J$5:$J$204,$AQ62)),1)&amp;")"&amp;" "&amp;INDEX('01_予約入力'!$AB$5:$AB$204,$AQ62))</f>
        <v/>
      </c>
      <c r="Q62" s="60" t="n"/>
      <c r="R62" s="60" t="n"/>
      <c r="S62" s="60" t="n"/>
      <c r="T62" s="60" t="n"/>
      <c r="U62" s="60" t="n"/>
      <c r="V62" s="61" t="n"/>
      <c r="W62" s="39">
        <f>IF($AQ62=0,"",IF(INDEX('01_予約入力'!$J$5:$J$204,$AQ62)=INDEX('01_予約入力'!$G$5:$G$204,$AQ62),"日帰り",INDEX('01_予約入力'!$J$5:$J$204,$AQ62)-INDEX('01_予約入力'!$G$5:$G$204,$AQ62)&amp;"泊"))</f>
        <v/>
      </c>
      <c r="X62" s="60" t="n"/>
      <c r="Y62" s="61" t="n"/>
      <c r="Z62" s="39">
        <f>IF($AQ62=0,"",IF(INDEX('01_予約入力'!$N$5:$N$204,$AQ62)="","確定",INDEX('01_予約入力'!$N$5:$N$204,$AQ62)))</f>
        <v/>
      </c>
      <c r="AA62" s="60" t="n"/>
      <c r="AB62" s="61" t="n"/>
      <c r="AC62" s="38">
        <f>IF($AQ62=0,"",INDEX('01_予約入力'!$S$5:$S$204,$AQ62))</f>
        <v/>
      </c>
      <c r="AD62" s="60" t="n"/>
      <c r="AE62" s="60" t="n"/>
      <c r="AF62" s="61" t="n"/>
      <c r="AP62">
        <f>IFERROR(SMALL('01_予約入力'!$Z$5:$Z$204,30),"")</f>
        <v/>
      </c>
      <c r="AQ62">
        <f>IF($AP62="",0,IFERROR(MATCH($AP62,'01_予約入力'!$Z$5:$Z$204,0),0))</f>
        <v/>
      </c>
    </row>
    <row r="63">
      <c r="A63" s="38">
        <f>IF($AQ63=0,"",INDEX('01_予約入力'!$B$5:$B$204,$AQ63))</f>
        <v/>
      </c>
      <c r="B63" s="39">
        <f>IF($AQ63=0,"",IF(INDEX('01_予約入力'!$D$5:$D$204,$AQ63)="","⚠未選択",INDEX('01_予約入力'!$D$5:$D$204,$AQ63)))</f>
        <v/>
      </c>
      <c r="C63" s="60" t="n"/>
      <c r="D63" s="60" t="n"/>
      <c r="E63" s="61" t="n"/>
      <c r="F63" s="39">
        <f>IF($AQ63=0,"",INDEX('01_予約入力'!$C$5:$C$204,$AQ63))</f>
        <v/>
      </c>
      <c r="G63" s="60" t="n"/>
      <c r="H63" s="61" t="n"/>
      <c r="I63" s="38">
        <f>IF($AQ63=0,"",MONTH(INDEX('01_予約入力'!$G$5:$G$204,$AQ63))&amp;"/"&amp;DAY(INDEX('01_予約入力'!$G$5:$G$204,$AQ63))&amp;"("&amp;MID("日月火水木金土",WEEKDAY(INDEX('01_予約入力'!$G$5:$G$204,$AQ63)),1)&amp;")"&amp;" "&amp;INDEX('01_予約入力'!$AA$5:$AA$204,$AQ63))</f>
        <v/>
      </c>
      <c r="J63" s="60" t="n"/>
      <c r="K63" s="60" t="n"/>
      <c r="L63" s="60" t="n"/>
      <c r="M63" s="60" t="n"/>
      <c r="N63" s="60" t="n"/>
      <c r="O63" s="61" t="n"/>
      <c r="P63" s="38">
        <f>IF($AQ63=0,"",MONTH(INDEX('01_予約入力'!$J$5:$J$204,$AQ63))&amp;"/"&amp;DAY(INDEX('01_予約入力'!$J$5:$J$204,$AQ63))&amp;"("&amp;MID("日月火水木金土",WEEKDAY(INDEX('01_予約入力'!$J$5:$J$204,$AQ63)),1)&amp;")"&amp;" "&amp;INDEX('01_予約入力'!$AB$5:$AB$204,$AQ63))</f>
        <v/>
      </c>
      <c r="Q63" s="60" t="n"/>
      <c r="R63" s="60" t="n"/>
      <c r="S63" s="60" t="n"/>
      <c r="T63" s="60" t="n"/>
      <c r="U63" s="60" t="n"/>
      <c r="V63" s="61" t="n"/>
      <c r="W63" s="39">
        <f>IF($AQ63=0,"",IF(INDEX('01_予約入力'!$J$5:$J$204,$AQ63)=INDEX('01_予約入力'!$G$5:$G$204,$AQ63),"日帰り",INDEX('01_予約入力'!$J$5:$J$204,$AQ63)-INDEX('01_予約入力'!$G$5:$G$204,$AQ63)&amp;"泊"))</f>
        <v/>
      </c>
      <c r="X63" s="60" t="n"/>
      <c r="Y63" s="61" t="n"/>
      <c r="Z63" s="39">
        <f>IF($AQ63=0,"",IF(INDEX('01_予約入力'!$N$5:$N$204,$AQ63)="","確定",INDEX('01_予約入力'!$N$5:$N$204,$AQ63)))</f>
        <v/>
      </c>
      <c r="AA63" s="60" t="n"/>
      <c r="AB63" s="61" t="n"/>
      <c r="AC63" s="38">
        <f>IF($AQ63=0,"",INDEX('01_予約入力'!$S$5:$S$204,$AQ63))</f>
        <v/>
      </c>
      <c r="AD63" s="60" t="n"/>
      <c r="AE63" s="60" t="n"/>
      <c r="AF63" s="61" t="n"/>
      <c r="AP63">
        <f>IFERROR(SMALL('01_予約入力'!$Z$5:$Z$204,31),"")</f>
        <v/>
      </c>
      <c r="AQ63">
        <f>IF($AP63="",0,IFERROR(MATCH($AP63,'01_予約入力'!$Z$5:$Z$204,0),0))</f>
        <v/>
      </c>
    </row>
    <row r="64">
      <c r="A64" s="38">
        <f>IF($AQ64=0,"",INDEX('01_予約入力'!$B$5:$B$204,$AQ64))</f>
        <v/>
      </c>
      <c r="B64" s="39">
        <f>IF($AQ64=0,"",IF(INDEX('01_予約入力'!$D$5:$D$204,$AQ64)="","⚠未選択",INDEX('01_予約入力'!$D$5:$D$204,$AQ64)))</f>
        <v/>
      </c>
      <c r="C64" s="60" t="n"/>
      <c r="D64" s="60" t="n"/>
      <c r="E64" s="61" t="n"/>
      <c r="F64" s="39">
        <f>IF($AQ64=0,"",INDEX('01_予約入力'!$C$5:$C$204,$AQ64))</f>
        <v/>
      </c>
      <c r="G64" s="60" t="n"/>
      <c r="H64" s="61" t="n"/>
      <c r="I64" s="38">
        <f>IF($AQ64=0,"",MONTH(INDEX('01_予約入力'!$G$5:$G$204,$AQ64))&amp;"/"&amp;DAY(INDEX('01_予約入力'!$G$5:$G$204,$AQ64))&amp;"("&amp;MID("日月火水木金土",WEEKDAY(INDEX('01_予約入力'!$G$5:$G$204,$AQ64)),1)&amp;")"&amp;" "&amp;INDEX('01_予約入力'!$AA$5:$AA$204,$AQ64))</f>
        <v/>
      </c>
      <c r="J64" s="60" t="n"/>
      <c r="K64" s="60" t="n"/>
      <c r="L64" s="60" t="n"/>
      <c r="M64" s="60" t="n"/>
      <c r="N64" s="60" t="n"/>
      <c r="O64" s="61" t="n"/>
      <c r="P64" s="38">
        <f>IF($AQ64=0,"",MONTH(INDEX('01_予約入力'!$J$5:$J$204,$AQ64))&amp;"/"&amp;DAY(INDEX('01_予約入力'!$J$5:$J$204,$AQ64))&amp;"("&amp;MID("日月火水木金土",WEEKDAY(INDEX('01_予約入力'!$J$5:$J$204,$AQ64)),1)&amp;")"&amp;" "&amp;INDEX('01_予約入力'!$AB$5:$AB$204,$AQ64))</f>
        <v/>
      </c>
      <c r="Q64" s="60" t="n"/>
      <c r="R64" s="60" t="n"/>
      <c r="S64" s="60" t="n"/>
      <c r="T64" s="60" t="n"/>
      <c r="U64" s="60" t="n"/>
      <c r="V64" s="61" t="n"/>
      <c r="W64" s="39">
        <f>IF($AQ64=0,"",IF(INDEX('01_予約入力'!$J$5:$J$204,$AQ64)=INDEX('01_予約入力'!$G$5:$G$204,$AQ64),"日帰り",INDEX('01_予約入力'!$J$5:$J$204,$AQ64)-INDEX('01_予約入力'!$G$5:$G$204,$AQ64)&amp;"泊"))</f>
        <v/>
      </c>
      <c r="X64" s="60" t="n"/>
      <c r="Y64" s="61" t="n"/>
      <c r="Z64" s="39">
        <f>IF($AQ64=0,"",IF(INDEX('01_予約入力'!$N$5:$N$204,$AQ64)="","確定",INDEX('01_予約入力'!$N$5:$N$204,$AQ64)))</f>
        <v/>
      </c>
      <c r="AA64" s="60" t="n"/>
      <c r="AB64" s="61" t="n"/>
      <c r="AC64" s="38">
        <f>IF($AQ64=0,"",INDEX('01_予約入力'!$S$5:$S$204,$AQ64))</f>
        <v/>
      </c>
      <c r="AD64" s="60" t="n"/>
      <c r="AE64" s="60" t="n"/>
      <c r="AF64" s="61" t="n"/>
      <c r="AP64">
        <f>IFERROR(SMALL('01_予約入力'!$Z$5:$Z$204,32),"")</f>
        <v/>
      </c>
      <c r="AQ64">
        <f>IF($AP64="",0,IFERROR(MATCH($AP64,'01_予約入力'!$Z$5:$Z$204,0),0))</f>
        <v/>
      </c>
    </row>
    <row r="65">
      <c r="A65" s="38">
        <f>IF($AQ65=0,"",INDEX('01_予約入力'!$B$5:$B$204,$AQ65))</f>
        <v/>
      </c>
      <c r="B65" s="39">
        <f>IF($AQ65=0,"",IF(INDEX('01_予約入力'!$D$5:$D$204,$AQ65)="","⚠未選択",INDEX('01_予約入力'!$D$5:$D$204,$AQ65)))</f>
        <v/>
      </c>
      <c r="C65" s="60" t="n"/>
      <c r="D65" s="60" t="n"/>
      <c r="E65" s="61" t="n"/>
      <c r="F65" s="39">
        <f>IF($AQ65=0,"",INDEX('01_予約入力'!$C$5:$C$204,$AQ65))</f>
        <v/>
      </c>
      <c r="G65" s="60" t="n"/>
      <c r="H65" s="61" t="n"/>
      <c r="I65" s="38">
        <f>IF($AQ65=0,"",MONTH(INDEX('01_予約入力'!$G$5:$G$204,$AQ65))&amp;"/"&amp;DAY(INDEX('01_予約入力'!$G$5:$G$204,$AQ65))&amp;"("&amp;MID("日月火水木金土",WEEKDAY(INDEX('01_予約入力'!$G$5:$G$204,$AQ65)),1)&amp;")"&amp;" "&amp;INDEX('01_予約入力'!$AA$5:$AA$204,$AQ65))</f>
        <v/>
      </c>
      <c r="J65" s="60" t="n"/>
      <c r="K65" s="60" t="n"/>
      <c r="L65" s="60" t="n"/>
      <c r="M65" s="60" t="n"/>
      <c r="N65" s="60" t="n"/>
      <c r="O65" s="61" t="n"/>
      <c r="P65" s="38">
        <f>IF($AQ65=0,"",MONTH(INDEX('01_予約入力'!$J$5:$J$204,$AQ65))&amp;"/"&amp;DAY(INDEX('01_予約入力'!$J$5:$J$204,$AQ65))&amp;"("&amp;MID("日月火水木金土",WEEKDAY(INDEX('01_予約入力'!$J$5:$J$204,$AQ65)),1)&amp;")"&amp;" "&amp;INDEX('01_予約入力'!$AB$5:$AB$204,$AQ65))</f>
        <v/>
      </c>
      <c r="Q65" s="60" t="n"/>
      <c r="R65" s="60" t="n"/>
      <c r="S65" s="60" t="n"/>
      <c r="T65" s="60" t="n"/>
      <c r="U65" s="60" t="n"/>
      <c r="V65" s="61" t="n"/>
      <c r="W65" s="39">
        <f>IF($AQ65=0,"",IF(INDEX('01_予約入力'!$J$5:$J$204,$AQ65)=INDEX('01_予約入力'!$G$5:$G$204,$AQ65),"日帰り",INDEX('01_予約入力'!$J$5:$J$204,$AQ65)-INDEX('01_予約入力'!$G$5:$G$204,$AQ65)&amp;"泊"))</f>
        <v/>
      </c>
      <c r="X65" s="60" t="n"/>
      <c r="Y65" s="61" t="n"/>
      <c r="Z65" s="39">
        <f>IF($AQ65=0,"",IF(INDEX('01_予約入力'!$N$5:$N$204,$AQ65)="","確定",INDEX('01_予約入力'!$N$5:$N$204,$AQ65)))</f>
        <v/>
      </c>
      <c r="AA65" s="60" t="n"/>
      <c r="AB65" s="61" t="n"/>
      <c r="AC65" s="38">
        <f>IF($AQ65=0,"",INDEX('01_予約入力'!$S$5:$S$204,$AQ65))</f>
        <v/>
      </c>
      <c r="AD65" s="60" t="n"/>
      <c r="AE65" s="60" t="n"/>
      <c r="AF65" s="61" t="n"/>
      <c r="AP65">
        <f>IFERROR(SMALL('01_予約入力'!$Z$5:$Z$204,33),"")</f>
        <v/>
      </c>
      <c r="AQ65">
        <f>IF($AP65="",0,IFERROR(MATCH($AP65,'01_予約入力'!$Z$5:$Z$204,0),0))</f>
        <v/>
      </c>
    </row>
    <row r="66">
      <c r="A66" s="38">
        <f>IF($AQ66=0,"",INDEX('01_予約入力'!$B$5:$B$204,$AQ66))</f>
        <v/>
      </c>
      <c r="B66" s="39">
        <f>IF($AQ66=0,"",IF(INDEX('01_予約入力'!$D$5:$D$204,$AQ66)="","⚠未選択",INDEX('01_予約入力'!$D$5:$D$204,$AQ66)))</f>
        <v/>
      </c>
      <c r="C66" s="60" t="n"/>
      <c r="D66" s="60" t="n"/>
      <c r="E66" s="61" t="n"/>
      <c r="F66" s="39">
        <f>IF($AQ66=0,"",INDEX('01_予約入力'!$C$5:$C$204,$AQ66))</f>
        <v/>
      </c>
      <c r="G66" s="60" t="n"/>
      <c r="H66" s="61" t="n"/>
      <c r="I66" s="38">
        <f>IF($AQ66=0,"",MONTH(INDEX('01_予約入力'!$G$5:$G$204,$AQ66))&amp;"/"&amp;DAY(INDEX('01_予約入力'!$G$5:$G$204,$AQ66))&amp;"("&amp;MID("日月火水木金土",WEEKDAY(INDEX('01_予約入力'!$G$5:$G$204,$AQ66)),1)&amp;")"&amp;" "&amp;INDEX('01_予約入力'!$AA$5:$AA$204,$AQ66))</f>
        <v/>
      </c>
      <c r="J66" s="60" t="n"/>
      <c r="K66" s="60" t="n"/>
      <c r="L66" s="60" t="n"/>
      <c r="M66" s="60" t="n"/>
      <c r="N66" s="60" t="n"/>
      <c r="O66" s="61" t="n"/>
      <c r="P66" s="38">
        <f>IF($AQ66=0,"",MONTH(INDEX('01_予約入力'!$J$5:$J$204,$AQ66))&amp;"/"&amp;DAY(INDEX('01_予約入力'!$J$5:$J$204,$AQ66))&amp;"("&amp;MID("日月火水木金土",WEEKDAY(INDEX('01_予約入力'!$J$5:$J$204,$AQ66)),1)&amp;")"&amp;" "&amp;INDEX('01_予約入力'!$AB$5:$AB$204,$AQ66))</f>
        <v/>
      </c>
      <c r="Q66" s="60" t="n"/>
      <c r="R66" s="60" t="n"/>
      <c r="S66" s="60" t="n"/>
      <c r="T66" s="60" t="n"/>
      <c r="U66" s="60" t="n"/>
      <c r="V66" s="61" t="n"/>
      <c r="W66" s="39">
        <f>IF($AQ66=0,"",IF(INDEX('01_予約入力'!$J$5:$J$204,$AQ66)=INDEX('01_予約入力'!$G$5:$G$204,$AQ66),"日帰り",INDEX('01_予約入力'!$J$5:$J$204,$AQ66)-INDEX('01_予約入力'!$G$5:$G$204,$AQ66)&amp;"泊"))</f>
        <v/>
      </c>
      <c r="X66" s="60" t="n"/>
      <c r="Y66" s="61" t="n"/>
      <c r="Z66" s="39">
        <f>IF($AQ66=0,"",IF(INDEX('01_予約入力'!$N$5:$N$204,$AQ66)="","確定",INDEX('01_予約入力'!$N$5:$N$204,$AQ66)))</f>
        <v/>
      </c>
      <c r="AA66" s="60" t="n"/>
      <c r="AB66" s="61" t="n"/>
      <c r="AC66" s="38">
        <f>IF($AQ66=0,"",INDEX('01_予約入力'!$S$5:$S$204,$AQ66))</f>
        <v/>
      </c>
      <c r="AD66" s="60" t="n"/>
      <c r="AE66" s="60" t="n"/>
      <c r="AF66" s="61" t="n"/>
      <c r="AP66">
        <f>IFERROR(SMALL('01_予約入力'!$Z$5:$Z$204,34),"")</f>
        <v/>
      </c>
      <c r="AQ66">
        <f>IF($AP66="",0,IFERROR(MATCH($AP66,'01_予約入力'!$Z$5:$Z$204,0),0))</f>
        <v/>
      </c>
    </row>
    <row r="67">
      <c r="A67" s="38">
        <f>IF($AQ67=0,"",INDEX('01_予約入力'!$B$5:$B$204,$AQ67))</f>
        <v/>
      </c>
      <c r="B67" s="39">
        <f>IF($AQ67=0,"",IF(INDEX('01_予約入力'!$D$5:$D$204,$AQ67)="","⚠未選択",INDEX('01_予約入力'!$D$5:$D$204,$AQ67)))</f>
        <v/>
      </c>
      <c r="C67" s="60" t="n"/>
      <c r="D67" s="60" t="n"/>
      <c r="E67" s="61" t="n"/>
      <c r="F67" s="39">
        <f>IF($AQ67=0,"",INDEX('01_予約入力'!$C$5:$C$204,$AQ67))</f>
        <v/>
      </c>
      <c r="G67" s="60" t="n"/>
      <c r="H67" s="61" t="n"/>
      <c r="I67" s="38">
        <f>IF($AQ67=0,"",MONTH(INDEX('01_予約入力'!$G$5:$G$204,$AQ67))&amp;"/"&amp;DAY(INDEX('01_予約入力'!$G$5:$G$204,$AQ67))&amp;"("&amp;MID("日月火水木金土",WEEKDAY(INDEX('01_予約入力'!$G$5:$G$204,$AQ67)),1)&amp;")"&amp;" "&amp;INDEX('01_予約入力'!$AA$5:$AA$204,$AQ67))</f>
        <v/>
      </c>
      <c r="J67" s="60" t="n"/>
      <c r="K67" s="60" t="n"/>
      <c r="L67" s="60" t="n"/>
      <c r="M67" s="60" t="n"/>
      <c r="N67" s="60" t="n"/>
      <c r="O67" s="61" t="n"/>
      <c r="P67" s="38">
        <f>IF($AQ67=0,"",MONTH(INDEX('01_予約入力'!$J$5:$J$204,$AQ67))&amp;"/"&amp;DAY(INDEX('01_予約入力'!$J$5:$J$204,$AQ67))&amp;"("&amp;MID("日月火水木金土",WEEKDAY(INDEX('01_予約入力'!$J$5:$J$204,$AQ67)),1)&amp;")"&amp;" "&amp;INDEX('01_予約入力'!$AB$5:$AB$204,$AQ67))</f>
        <v/>
      </c>
      <c r="Q67" s="60" t="n"/>
      <c r="R67" s="60" t="n"/>
      <c r="S67" s="60" t="n"/>
      <c r="T67" s="60" t="n"/>
      <c r="U67" s="60" t="n"/>
      <c r="V67" s="61" t="n"/>
      <c r="W67" s="39">
        <f>IF($AQ67=0,"",IF(INDEX('01_予約入力'!$J$5:$J$204,$AQ67)=INDEX('01_予約入力'!$G$5:$G$204,$AQ67),"日帰り",INDEX('01_予約入力'!$J$5:$J$204,$AQ67)-INDEX('01_予約入力'!$G$5:$G$204,$AQ67)&amp;"泊"))</f>
        <v/>
      </c>
      <c r="X67" s="60" t="n"/>
      <c r="Y67" s="61" t="n"/>
      <c r="Z67" s="39">
        <f>IF($AQ67=0,"",IF(INDEX('01_予約入力'!$N$5:$N$204,$AQ67)="","確定",INDEX('01_予約入力'!$N$5:$N$204,$AQ67)))</f>
        <v/>
      </c>
      <c r="AA67" s="60" t="n"/>
      <c r="AB67" s="61" t="n"/>
      <c r="AC67" s="38">
        <f>IF($AQ67=0,"",INDEX('01_予約入力'!$S$5:$S$204,$AQ67))</f>
        <v/>
      </c>
      <c r="AD67" s="60" t="n"/>
      <c r="AE67" s="60" t="n"/>
      <c r="AF67" s="61" t="n"/>
      <c r="AP67">
        <f>IFERROR(SMALL('01_予約入力'!$Z$5:$Z$204,35),"")</f>
        <v/>
      </c>
      <c r="AQ67">
        <f>IF($AP67="",0,IFERROR(MATCH($AP67,'01_予約入力'!$Z$5:$Z$204,0),0))</f>
        <v/>
      </c>
    </row>
    <row r="68">
      <c r="A68" s="38">
        <f>IF($AQ68=0,"",INDEX('01_予約入力'!$B$5:$B$204,$AQ68))</f>
        <v/>
      </c>
      <c r="B68" s="39">
        <f>IF($AQ68=0,"",IF(INDEX('01_予約入力'!$D$5:$D$204,$AQ68)="","⚠未選択",INDEX('01_予約入力'!$D$5:$D$204,$AQ68)))</f>
        <v/>
      </c>
      <c r="C68" s="60" t="n"/>
      <c r="D68" s="60" t="n"/>
      <c r="E68" s="61" t="n"/>
      <c r="F68" s="39">
        <f>IF($AQ68=0,"",INDEX('01_予約入力'!$C$5:$C$204,$AQ68))</f>
        <v/>
      </c>
      <c r="G68" s="60" t="n"/>
      <c r="H68" s="61" t="n"/>
      <c r="I68" s="38">
        <f>IF($AQ68=0,"",MONTH(INDEX('01_予約入力'!$G$5:$G$204,$AQ68))&amp;"/"&amp;DAY(INDEX('01_予約入力'!$G$5:$G$204,$AQ68))&amp;"("&amp;MID("日月火水木金土",WEEKDAY(INDEX('01_予約入力'!$G$5:$G$204,$AQ68)),1)&amp;")"&amp;" "&amp;INDEX('01_予約入力'!$AA$5:$AA$204,$AQ68))</f>
        <v/>
      </c>
      <c r="J68" s="60" t="n"/>
      <c r="K68" s="60" t="n"/>
      <c r="L68" s="60" t="n"/>
      <c r="M68" s="60" t="n"/>
      <c r="N68" s="60" t="n"/>
      <c r="O68" s="61" t="n"/>
      <c r="P68" s="38">
        <f>IF($AQ68=0,"",MONTH(INDEX('01_予約入力'!$J$5:$J$204,$AQ68))&amp;"/"&amp;DAY(INDEX('01_予約入力'!$J$5:$J$204,$AQ68))&amp;"("&amp;MID("日月火水木金土",WEEKDAY(INDEX('01_予約入力'!$J$5:$J$204,$AQ68)),1)&amp;")"&amp;" "&amp;INDEX('01_予約入力'!$AB$5:$AB$204,$AQ68))</f>
        <v/>
      </c>
      <c r="Q68" s="60" t="n"/>
      <c r="R68" s="60" t="n"/>
      <c r="S68" s="60" t="n"/>
      <c r="T68" s="60" t="n"/>
      <c r="U68" s="60" t="n"/>
      <c r="V68" s="61" t="n"/>
      <c r="W68" s="39">
        <f>IF($AQ68=0,"",IF(INDEX('01_予約入力'!$J$5:$J$204,$AQ68)=INDEX('01_予約入力'!$G$5:$G$204,$AQ68),"日帰り",INDEX('01_予約入力'!$J$5:$J$204,$AQ68)-INDEX('01_予約入力'!$G$5:$G$204,$AQ68)&amp;"泊"))</f>
        <v/>
      </c>
      <c r="X68" s="60" t="n"/>
      <c r="Y68" s="61" t="n"/>
      <c r="Z68" s="39">
        <f>IF($AQ68=0,"",IF(INDEX('01_予約入力'!$N$5:$N$204,$AQ68)="","確定",INDEX('01_予約入力'!$N$5:$N$204,$AQ68)))</f>
        <v/>
      </c>
      <c r="AA68" s="60" t="n"/>
      <c r="AB68" s="61" t="n"/>
      <c r="AC68" s="38">
        <f>IF($AQ68=0,"",INDEX('01_予約入力'!$S$5:$S$204,$AQ68))</f>
        <v/>
      </c>
      <c r="AD68" s="60" t="n"/>
      <c r="AE68" s="60" t="n"/>
      <c r="AF68" s="61" t="n"/>
      <c r="AP68">
        <f>IFERROR(SMALL('01_予約入力'!$Z$5:$Z$204,36),"")</f>
        <v/>
      </c>
      <c r="AQ68">
        <f>IF($AP68="",0,IFERROR(MATCH($AP68,'01_予約入力'!$Z$5:$Z$204,0),0))</f>
        <v/>
      </c>
    </row>
    <row r="69">
      <c r="A69" s="38">
        <f>IF($AQ69=0,"",INDEX('01_予約入力'!$B$5:$B$204,$AQ69))</f>
        <v/>
      </c>
      <c r="B69" s="39">
        <f>IF($AQ69=0,"",IF(INDEX('01_予約入力'!$D$5:$D$204,$AQ69)="","⚠未選択",INDEX('01_予約入力'!$D$5:$D$204,$AQ69)))</f>
        <v/>
      </c>
      <c r="C69" s="60" t="n"/>
      <c r="D69" s="60" t="n"/>
      <c r="E69" s="61" t="n"/>
      <c r="F69" s="39">
        <f>IF($AQ69=0,"",INDEX('01_予約入力'!$C$5:$C$204,$AQ69))</f>
        <v/>
      </c>
      <c r="G69" s="60" t="n"/>
      <c r="H69" s="61" t="n"/>
      <c r="I69" s="38">
        <f>IF($AQ69=0,"",MONTH(INDEX('01_予約入力'!$G$5:$G$204,$AQ69))&amp;"/"&amp;DAY(INDEX('01_予約入力'!$G$5:$G$204,$AQ69))&amp;"("&amp;MID("日月火水木金土",WEEKDAY(INDEX('01_予約入力'!$G$5:$G$204,$AQ69)),1)&amp;")"&amp;" "&amp;INDEX('01_予約入力'!$AA$5:$AA$204,$AQ69))</f>
        <v/>
      </c>
      <c r="J69" s="60" t="n"/>
      <c r="K69" s="60" t="n"/>
      <c r="L69" s="60" t="n"/>
      <c r="M69" s="60" t="n"/>
      <c r="N69" s="60" t="n"/>
      <c r="O69" s="61" t="n"/>
      <c r="P69" s="38">
        <f>IF($AQ69=0,"",MONTH(INDEX('01_予約入力'!$J$5:$J$204,$AQ69))&amp;"/"&amp;DAY(INDEX('01_予約入力'!$J$5:$J$204,$AQ69))&amp;"("&amp;MID("日月火水木金土",WEEKDAY(INDEX('01_予約入力'!$J$5:$J$204,$AQ69)),1)&amp;")"&amp;" "&amp;INDEX('01_予約入力'!$AB$5:$AB$204,$AQ69))</f>
        <v/>
      </c>
      <c r="Q69" s="60" t="n"/>
      <c r="R69" s="60" t="n"/>
      <c r="S69" s="60" t="n"/>
      <c r="T69" s="60" t="n"/>
      <c r="U69" s="60" t="n"/>
      <c r="V69" s="61" t="n"/>
      <c r="W69" s="39">
        <f>IF($AQ69=0,"",IF(INDEX('01_予約入力'!$J$5:$J$204,$AQ69)=INDEX('01_予約入力'!$G$5:$G$204,$AQ69),"日帰り",INDEX('01_予約入力'!$J$5:$J$204,$AQ69)-INDEX('01_予約入力'!$G$5:$G$204,$AQ69)&amp;"泊"))</f>
        <v/>
      </c>
      <c r="X69" s="60" t="n"/>
      <c r="Y69" s="61" t="n"/>
      <c r="Z69" s="39">
        <f>IF($AQ69=0,"",IF(INDEX('01_予約入力'!$N$5:$N$204,$AQ69)="","確定",INDEX('01_予約入力'!$N$5:$N$204,$AQ69)))</f>
        <v/>
      </c>
      <c r="AA69" s="60" t="n"/>
      <c r="AB69" s="61" t="n"/>
      <c r="AC69" s="38">
        <f>IF($AQ69=0,"",INDEX('01_予約入力'!$S$5:$S$204,$AQ69))</f>
        <v/>
      </c>
      <c r="AD69" s="60" t="n"/>
      <c r="AE69" s="60" t="n"/>
      <c r="AF69" s="61" t="n"/>
      <c r="AP69">
        <f>IFERROR(SMALL('01_予約入力'!$Z$5:$Z$204,37),"")</f>
        <v/>
      </c>
      <c r="AQ69">
        <f>IF($AP69="",0,IFERROR(MATCH($AP69,'01_予約入力'!$Z$5:$Z$204,0),0))</f>
        <v/>
      </c>
    </row>
    <row r="70">
      <c r="A70" s="38">
        <f>IF($AQ70=0,"",INDEX('01_予約入力'!$B$5:$B$204,$AQ70))</f>
        <v/>
      </c>
      <c r="B70" s="39">
        <f>IF($AQ70=0,"",IF(INDEX('01_予約入力'!$D$5:$D$204,$AQ70)="","⚠未選択",INDEX('01_予約入力'!$D$5:$D$204,$AQ70)))</f>
        <v/>
      </c>
      <c r="C70" s="60" t="n"/>
      <c r="D70" s="60" t="n"/>
      <c r="E70" s="61" t="n"/>
      <c r="F70" s="39">
        <f>IF($AQ70=0,"",INDEX('01_予約入力'!$C$5:$C$204,$AQ70))</f>
        <v/>
      </c>
      <c r="G70" s="60" t="n"/>
      <c r="H70" s="61" t="n"/>
      <c r="I70" s="38">
        <f>IF($AQ70=0,"",MONTH(INDEX('01_予約入力'!$G$5:$G$204,$AQ70))&amp;"/"&amp;DAY(INDEX('01_予約入力'!$G$5:$G$204,$AQ70))&amp;"("&amp;MID("日月火水木金土",WEEKDAY(INDEX('01_予約入力'!$G$5:$G$204,$AQ70)),1)&amp;")"&amp;" "&amp;INDEX('01_予約入力'!$AA$5:$AA$204,$AQ70))</f>
        <v/>
      </c>
      <c r="J70" s="60" t="n"/>
      <c r="K70" s="60" t="n"/>
      <c r="L70" s="60" t="n"/>
      <c r="M70" s="60" t="n"/>
      <c r="N70" s="60" t="n"/>
      <c r="O70" s="61" t="n"/>
      <c r="P70" s="38">
        <f>IF($AQ70=0,"",MONTH(INDEX('01_予約入力'!$J$5:$J$204,$AQ70))&amp;"/"&amp;DAY(INDEX('01_予約入力'!$J$5:$J$204,$AQ70))&amp;"("&amp;MID("日月火水木金土",WEEKDAY(INDEX('01_予約入力'!$J$5:$J$204,$AQ70)),1)&amp;")"&amp;" "&amp;INDEX('01_予約入力'!$AB$5:$AB$204,$AQ70))</f>
        <v/>
      </c>
      <c r="Q70" s="60" t="n"/>
      <c r="R70" s="60" t="n"/>
      <c r="S70" s="60" t="n"/>
      <c r="T70" s="60" t="n"/>
      <c r="U70" s="60" t="n"/>
      <c r="V70" s="61" t="n"/>
      <c r="W70" s="39">
        <f>IF($AQ70=0,"",IF(INDEX('01_予約入力'!$J$5:$J$204,$AQ70)=INDEX('01_予約入力'!$G$5:$G$204,$AQ70),"日帰り",INDEX('01_予約入力'!$J$5:$J$204,$AQ70)-INDEX('01_予約入力'!$G$5:$G$204,$AQ70)&amp;"泊"))</f>
        <v/>
      </c>
      <c r="X70" s="60" t="n"/>
      <c r="Y70" s="61" t="n"/>
      <c r="Z70" s="39">
        <f>IF($AQ70=0,"",IF(INDEX('01_予約入力'!$N$5:$N$204,$AQ70)="","確定",INDEX('01_予約入力'!$N$5:$N$204,$AQ70)))</f>
        <v/>
      </c>
      <c r="AA70" s="60" t="n"/>
      <c r="AB70" s="61" t="n"/>
      <c r="AC70" s="38">
        <f>IF($AQ70=0,"",INDEX('01_予約入力'!$S$5:$S$204,$AQ70))</f>
        <v/>
      </c>
      <c r="AD70" s="60" t="n"/>
      <c r="AE70" s="60" t="n"/>
      <c r="AF70" s="61" t="n"/>
      <c r="AP70">
        <f>IFERROR(SMALL('01_予約入力'!$Z$5:$Z$204,38),"")</f>
        <v/>
      </c>
      <c r="AQ70">
        <f>IF($AP70="",0,IFERROR(MATCH($AP70,'01_予約入力'!$Z$5:$Z$204,0),0))</f>
        <v/>
      </c>
    </row>
    <row r="71">
      <c r="A71" s="38">
        <f>IF($AQ71=0,"",INDEX('01_予約入力'!$B$5:$B$204,$AQ71))</f>
        <v/>
      </c>
      <c r="B71" s="39">
        <f>IF($AQ71=0,"",IF(INDEX('01_予約入力'!$D$5:$D$204,$AQ71)="","⚠未選択",INDEX('01_予約入力'!$D$5:$D$204,$AQ71)))</f>
        <v/>
      </c>
      <c r="C71" s="60" t="n"/>
      <c r="D71" s="60" t="n"/>
      <c r="E71" s="61" t="n"/>
      <c r="F71" s="39">
        <f>IF($AQ71=0,"",INDEX('01_予約入力'!$C$5:$C$204,$AQ71))</f>
        <v/>
      </c>
      <c r="G71" s="60" t="n"/>
      <c r="H71" s="61" t="n"/>
      <c r="I71" s="38">
        <f>IF($AQ71=0,"",MONTH(INDEX('01_予約入力'!$G$5:$G$204,$AQ71))&amp;"/"&amp;DAY(INDEX('01_予約入力'!$G$5:$G$204,$AQ71))&amp;"("&amp;MID("日月火水木金土",WEEKDAY(INDEX('01_予約入力'!$G$5:$G$204,$AQ71)),1)&amp;")"&amp;" "&amp;INDEX('01_予約入力'!$AA$5:$AA$204,$AQ71))</f>
        <v/>
      </c>
      <c r="J71" s="60" t="n"/>
      <c r="K71" s="60" t="n"/>
      <c r="L71" s="60" t="n"/>
      <c r="M71" s="60" t="n"/>
      <c r="N71" s="60" t="n"/>
      <c r="O71" s="61" t="n"/>
      <c r="P71" s="38">
        <f>IF($AQ71=0,"",MONTH(INDEX('01_予約入力'!$J$5:$J$204,$AQ71))&amp;"/"&amp;DAY(INDEX('01_予約入力'!$J$5:$J$204,$AQ71))&amp;"("&amp;MID("日月火水木金土",WEEKDAY(INDEX('01_予約入力'!$J$5:$J$204,$AQ71)),1)&amp;")"&amp;" "&amp;INDEX('01_予約入力'!$AB$5:$AB$204,$AQ71))</f>
        <v/>
      </c>
      <c r="Q71" s="60" t="n"/>
      <c r="R71" s="60" t="n"/>
      <c r="S71" s="60" t="n"/>
      <c r="T71" s="60" t="n"/>
      <c r="U71" s="60" t="n"/>
      <c r="V71" s="61" t="n"/>
      <c r="W71" s="39">
        <f>IF($AQ71=0,"",IF(INDEX('01_予約入力'!$J$5:$J$204,$AQ71)=INDEX('01_予約入力'!$G$5:$G$204,$AQ71),"日帰り",INDEX('01_予約入力'!$J$5:$J$204,$AQ71)-INDEX('01_予約入力'!$G$5:$G$204,$AQ71)&amp;"泊"))</f>
        <v/>
      </c>
      <c r="X71" s="60" t="n"/>
      <c r="Y71" s="61" t="n"/>
      <c r="Z71" s="39">
        <f>IF($AQ71=0,"",IF(INDEX('01_予約入力'!$N$5:$N$204,$AQ71)="","確定",INDEX('01_予約入力'!$N$5:$N$204,$AQ71)))</f>
        <v/>
      </c>
      <c r="AA71" s="60" t="n"/>
      <c r="AB71" s="61" t="n"/>
      <c r="AC71" s="38">
        <f>IF($AQ71=0,"",INDEX('01_予約入力'!$S$5:$S$204,$AQ71))</f>
        <v/>
      </c>
      <c r="AD71" s="60" t="n"/>
      <c r="AE71" s="60" t="n"/>
      <c r="AF71" s="61" t="n"/>
      <c r="AP71">
        <f>IFERROR(SMALL('01_予約入力'!$Z$5:$Z$204,39),"")</f>
        <v/>
      </c>
      <c r="AQ71">
        <f>IF($AP71="",0,IFERROR(MATCH($AP71,'01_予約入力'!$Z$5:$Z$204,0),0))</f>
        <v/>
      </c>
    </row>
    <row r="72">
      <c r="A72" s="38">
        <f>IF($AQ72=0,"",INDEX('01_予約入力'!$B$5:$B$204,$AQ72))</f>
        <v/>
      </c>
      <c r="B72" s="39">
        <f>IF($AQ72=0,"",IF(INDEX('01_予約入力'!$D$5:$D$204,$AQ72)="","⚠未選択",INDEX('01_予約入力'!$D$5:$D$204,$AQ72)))</f>
        <v/>
      </c>
      <c r="C72" s="60" t="n"/>
      <c r="D72" s="60" t="n"/>
      <c r="E72" s="61" t="n"/>
      <c r="F72" s="39">
        <f>IF($AQ72=0,"",INDEX('01_予約入力'!$C$5:$C$204,$AQ72))</f>
        <v/>
      </c>
      <c r="G72" s="60" t="n"/>
      <c r="H72" s="61" t="n"/>
      <c r="I72" s="38">
        <f>IF($AQ72=0,"",MONTH(INDEX('01_予約入力'!$G$5:$G$204,$AQ72))&amp;"/"&amp;DAY(INDEX('01_予約入力'!$G$5:$G$204,$AQ72))&amp;"("&amp;MID("日月火水木金土",WEEKDAY(INDEX('01_予約入力'!$G$5:$G$204,$AQ72)),1)&amp;")"&amp;" "&amp;INDEX('01_予約入力'!$AA$5:$AA$204,$AQ72))</f>
        <v/>
      </c>
      <c r="J72" s="60" t="n"/>
      <c r="K72" s="60" t="n"/>
      <c r="L72" s="60" t="n"/>
      <c r="M72" s="60" t="n"/>
      <c r="N72" s="60" t="n"/>
      <c r="O72" s="61" t="n"/>
      <c r="P72" s="38">
        <f>IF($AQ72=0,"",MONTH(INDEX('01_予約入力'!$J$5:$J$204,$AQ72))&amp;"/"&amp;DAY(INDEX('01_予約入力'!$J$5:$J$204,$AQ72))&amp;"("&amp;MID("日月火水木金土",WEEKDAY(INDEX('01_予約入力'!$J$5:$J$204,$AQ72)),1)&amp;")"&amp;" "&amp;INDEX('01_予約入力'!$AB$5:$AB$204,$AQ72))</f>
        <v/>
      </c>
      <c r="Q72" s="60" t="n"/>
      <c r="R72" s="60" t="n"/>
      <c r="S72" s="60" t="n"/>
      <c r="T72" s="60" t="n"/>
      <c r="U72" s="60" t="n"/>
      <c r="V72" s="61" t="n"/>
      <c r="W72" s="39">
        <f>IF($AQ72=0,"",IF(INDEX('01_予約入力'!$J$5:$J$204,$AQ72)=INDEX('01_予約入力'!$G$5:$G$204,$AQ72),"日帰り",INDEX('01_予約入力'!$J$5:$J$204,$AQ72)-INDEX('01_予約入力'!$G$5:$G$204,$AQ72)&amp;"泊"))</f>
        <v/>
      </c>
      <c r="X72" s="60" t="n"/>
      <c r="Y72" s="61" t="n"/>
      <c r="Z72" s="39">
        <f>IF($AQ72=0,"",IF(INDEX('01_予約入力'!$N$5:$N$204,$AQ72)="","確定",INDEX('01_予約入力'!$N$5:$N$204,$AQ72)))</f>
        <v/>
      </c>
      <c r="AA72" s="60" t="n"/>
      <c r="AB72" s="61" t="n"/>
      <c r="AC72" s="38">
        <f>IF($AQ72=0,"",INDEX('01_予約入力'!$S$5:$S$204,$AQ72))</f>
        <v/>
      </c>
      <c r="AD72" s="60" t="n"/>
      <c r="AE72" s="60" t="n"/>
      <c r="AF72" s="61" t="n"/>
      <c r="AP72">
        <f>IFERROR(SMALL('01_予約入力'!$Z$5:$Z$204,40),"")</f>
        <v/>
      </c>
      <c r="AQ72">
        <f>IF($AP72="",0,IFERROR(MATCH($AP72,'01_予約入力'!$Z$5:$Z$204,0),0))</f>
        <v/>
      </c>
    </row>
    <row r="74">
      <c r="A74" s="2" t="inlineStr">
        <is>
          <t>※ この一覧は 01_予約入力 をそのまま入所日順に並べたものです。対象月にかかる予約だけが出ます（月をまたぐ滞在も含みます）。</t>
        </is>
      </c>
    </row>
    <row r="75">
      <c r="A75" s="2" t="inlineStr">
        <is>
          <t>※ 部屋が「⚠未選択」の行は、カレンダーの部屋の行に表示されません。01_予約入力 で部屋を選んでください。</t>
        </is>
      </c>
    </row>
  </sheetData>
  <mergeCells count="287">
    <mergeCell ref="Z43:AB43"/>
    <mergeCell ref="W47:Y47"/>
    <mergeCell ref="I52:O52"/>
    <mergeCell ref="F36:H36"/>
    <mergeCell ref="B65:E65"/>
    <mergeCell ref="F33:H33"/>
    <mergeCell ref="F45:H45"/>
    <mergeCell ref="P47:V47"/>
    <mergeCell ref="B68:E68"/>
    <mergeCell ref="W32:Y32"/>
    <mergeCell ref="I44:O44"/>
    <mergeCell ref="AC59:AF59"/>
    <mergeCell ref="F66:H66"/>
    <mergeCell ref="P71:V71"/>
    <mergeCell ref="W72:Y72"/>
    <mergeCell ref="B36:E36"/>
    <mergeCell ref="Z68:AB68"/>
    <mergeCell ref="AC51:AF51"/>
    <mergeCell ref="F47:H47"/>
    <mergeCell ref="B45:E45"/>
    <mergeCell ref="P58:V58"/>
    <mergeCell ref="AC61:AF61"/>
    <mergeCell ref="I69:O69"/>
    <mergeCell ref="AC70:AF70"/>
    <mergeCell ref="Z67:AB67"/>
    <mergeCell ref="AC48:AF48"/>
    <mergeCell ref="W71:Y71"/>
    <mergeCell ref="AC45:AF45"/>
    <mergeCell ref="W58:Y58"/>
    <mergeCell ref="B47:E47"/>
    <mergeCell ref="AC32:AF32"/>
    <mergeCell ref="I46:O46"/>
    <mergeCell ref="Z60:AB60"/>
    <mergeCell ref="F39:H39"/>
    <mergeCell ref="F61:H61"/>
    <mergeCell ref="P63:V63"/>
    <mergeCell ref="Z69:AB69"/>
    <mergeCell ref="P50:V50"/>
    <mergeCell ref="AC47:AF47"/>
    <mergeCell ref="AC62:AF62"/>
    <mergeCell ref="W60:Y60"/>
    <mergeCell ref="I61:O61"/>
    <mergeCell ref="Z59:AB59"/>
    <mergeCell ref="I70:O70"/>
    <mergeCell ref="W57:Y57"/>
    <mergeCell ref="P34:V34"/>
    <mergeCell ref="I57:O57"/>
    <mergeCell ref="B39:E39"/>
    <mergeCell ref="Z45:AB45"/>
    <mergeCell ref="P52:V52"/>
    <mergeCell ref="W44:Y44"/>
    <mergeCell ref="W53:Y53"/>
    <mergeCell ref="I32:O32"/>
    <mergeCell ref="I54:O54"/>
    <mergeCell ref="F64:H64"/>
    <mergeCell ref="AC33:AF33"/>
    <mergeCell ref="I41:O41"/>
    <mergeCell ref="P49:V49"/>
    <mergeCell ref="Z55:AB55"/>
    <mergeCell ref="W34:Y34"/>
    <mergeCell ref="F65:H65"/>
    <mergeCell ref="P36:V36"/>
    <mergeCell ref="I72:O72"/>
    <mergeCell ref="W68:Y68"/>
    <mergeCell ref="I56:O56"/>
    <mergeCell ref="B69:E69"/>
    <mergeCell ref="B38:E38"/>
    <mergeCell ref="Z70:AB70"/>
    <mergeCell ref="AC35:AF35"/>
    <mergeCell ref="I43:O43"/>
    <mergeCell ref="W36:Y36"/>
    <mergeCell ref="AC50:AF50"/>
    <mergeCell ref="I33:O33"/>
    <mergeCell ref="Z72:AB72"/>
    <mergeCell ref="F51:H51"/>
    <mergeCell ref="B40:E40"/>
    <mergeCell ref="B49:E49"/>
    <mergeCell ref="P37:V37"/>
    <mergeCell ref="AC60:AF60"/>
    <mergeCell ref="Z62:AB62"/>
    <mergeCell ref="F41:H41"/>
    <mergeCell ref="Z56:AB56"/>
    <mergeCell ref="F35:H35"/>
    <mergeCell ref="F50:H50"/>
    <mergeCell ref="B64:E64"/>
    <mergeCell ref="B33:E33"/>
    <mergeCell ref="I35:O35"/>
    <mergeCell ref="Z71:AB71"/>
    <mergeCell ref="Z58:AB58"/>
    <mergeCell ref="B51:E51"/>
    <mergeCell ref="W62:Y62"/>
    <mergeCell ref="P62:V62"/>
    <mergeCell ref="Z64:AB64"/>
    <mergeCell ref="I50:O50"/>
    <mergeCell ref="B32:E32"/>
    <mergeCell ref="W59:Y59"/>
    <mergeCell ref="Z33:AB33"/>
    <mergeCell ref="I59:O59"/>
    <mergeCell ref="B41:E41"/>
    <mergeCell ref="W46:Y46"/>
    <mergeCell ref="Z42:AB42"/>
    <mergeCell ref="B35:E35"/>
    <mergeCell ref="B50:E50"/>
    <mergeCell ref="Z51:AB51"/>
    <mergeCell ref="AC52:AF52"/>
    <mergeCell ref="I60:O60"/>
    <mergeCell ref="Z48:AB48"/>
    <mergeCell ref="P55:V55"/>
    <mergeCell ref="W61:Y61"/>
    <mergeCell ref="P64:V64"/>
    <mergeCell ref="Z35:AB35"/>
    <mergeCell ref="W70:Y70"/>
    <mergeCell ref="W48:Y48"/>
    <mergeCell ref="Z44:AB44"/>
    <mergeCell ref="P51:V51"/>
    <mergeCell ref="B66:E66"/>
    <mergeCell ref="AC37:AF37"/>
    <mergeCell ref="Z34:AB34"/>
    <mergeCell ref="I45:O45"/>
    <mergeCell ref="W38:Y38"/>
    <mergeCell ref="P41:V41"/>
    <mergeCell ref="F49:H49"/>
    <mergeCell ref="P56:V56"/>
    <mergeCell ref="Z36:AB36"/>
    <mergeCell ref="I47:O47"/>
    <mergeCell ref="W40:Y40"/>
    <mergeCell ref="F69:H69"/>
    <mergeCell ref="W49:Y49"/>
    <mergeCell ref="B67:E67"/>
    <mergeCell ref="B61:E61"/>
    <mergeCell ref="I37:O37"/>
    <mergeCell ref="B53:E53"/>
    <mergeCell ref="AC55:AF55"/>
    <mergeCell ref="W33:Y33"/>
    <mergeCell ref="P67:V67"/>
    <mergeCell ref="AC64:AF64"/>
    <mergeCell ref="W65:Y65"/>
    <mergeCell ref="Z61:AB61"/>
    <mergeCell ref="F40:H40"/>
    <mergeCell ref="B37:E37"/>
    <mergeCell ref="AC54:AF54"/>
    <mergeCell ref="F59:H59"/>
    <mergeCell ref="I62:O62"/>
    <mergeCell ref="F55:H55"/>
    <mergeCell ref="W35:Y35"/>
    <mergeCell ref="AC63:AF63"/>
    <mergeCell ref="P66:V66"/>
    <mergeCell ref="P53:V53"/>
    <mergeCell ref="AC56:AF56"/>
    <mergeCell ref="I64:O64"/>
    <mergeCell ref="F32:H32"/>
    <mergeCell ref="AC65:AF65"/>
    <mergeCell ref="Z47:AB47"/>
    <mergeCell ref="B55:E55"/>
    <mergeCell ref="I51:O51"/>
    <mergeCell ref="W66:Y66"/>
    <mergeCell ref="P68:V68"/>
    <mergeCell ref="AC49:AF49"/>
    <mergeCell ref="I63:O63"/>
    <mergeCell ref="F38:H38"/>
    <mergeCell ref="AC36:AF36"/>
    <mergeCell ref="Z38:AB38"/>
    <mergeCell ref="P45:V45"/>
    <mergeCell ref="F71:H71"/>
    <mergeCell ref="P54:V54"/>
    <mergeCell ref="B54:E54"/>
    <mergeCell ref="I65:O65"/>
    <mergeCell ref="I34:O34"/>
    <mergeCell ref="F43:H43"/>
    <mergeCell ref="F58:H58"/>
    <mergeCell ref="B72:E72"/>
    <mergeCell ref="W52:Y52"/>
    <mergeCell ref="F52:H52"/>
    <mergeCell ref="F67:H67"/>
    <mergeCell ref="P38:V38"/>
    <mergeCell ref="F37:H37"/>
    <mergeCell ref="W39:Y39"/>
    <mergeCell ref="AC66:AF66"/>
    <mergeCell ref="I49:O49"/>
    <mergeCell ref="Z63:AB63"/>
    <mergeCell ref="B56:E56"/>
    <mergeCell ref="P44:V44"/>
    <mergeCell ref="I36:O36"/>
    <mergeCell ref="B71:E71"/>
    <mergeCell ref="F60:H60"/>
    <mergeCell ref="B43:E43"/>
    <mergeCell ref="B58:E58"/>
    <mergeCell ref="B52:E52"/>
    <mergeCell ref="W37:Y37"/>
    <mergeCell ref="P40:V40"/>
    <mergeCell ref="F57:H57"/>
    <mergeCell ref="AC68:AF68"/>
    <mergeCell ref="Z65:AB65"/>
    <mergeCell ref="P72:V72"/>
    <mergeCell ref="F44:H44"/>
    <mergeCell ref="F53:H53"/>
    <mergeCell ref="B42:E42"/>
    <mergeCell ref="AC53:AF53"/>
    <mergeCell ref="AC58:AF58"/>
    <mergeCell ref="B60:E60"/>
    <mergeCell ref="F63:H63"/>
    <mergeCell ref="F34:H34"/>
    <mergeCell ref="I66:O66"/>
    <mergeCell ref="Z49:AB49"/>
    <mergeCell ref="AC39:AF39"/>
    <mergeCell ref="B57:E57"/>
    <mergeCell ref="I53:O53"/>
    <mergeCell ref="P65:V65"/>
    <mergeCell ref="AC67:AF67"/>
    <mergeCell ref="F68:H68"/>
    <mergeCell ref="B44:E44"/>
    <mergeCell ref="AC69:AF69"/>
    <mergeCell ref="Z57:AB57"/>
    <mergeCell ref="AC38:AF38"/>
    <mergeCell ref="I68:O68"/>
    <mergeCell ref="B34:E34"/>
    <mergeCell ref="Z66:AB66"/>
    <mergeCell ref="I55:O55"/>
    <mergeCell ref="W64:Y64"/>
    <mergeCell ref="Z53:AB53"/>
    <mergeCell ref="AC44:AF44"/>
    <mergeCell ref="W51:Y51"/>
    <mergeCell ref="I67:O67"/>
    <mergeCell ref="Z50:AB50"/>
    <mergeCell ref="I39:O39"/>
    <mergeCell ref="F42:H42"/>
    <mergeCell ref="AC46:AF46"/>
    <mergeCell ref="AC40:AF40"/>
    <mergeCell ref="I48:O48"/>
    <mergeCell ref="W54:Y54"/>
    <mergeCell ref="P57:V57"/>
    <mergeCell ref="W41:Y41"/>
    <mergeCell ref="Z37:AB37"/>
    <mergeCell ref="P43:V43"/>
    <mergeCell ref="W63:Y63"/>
    <mergeCell ref="W50:Y50"/>
    <mergeCell ref="F70:H70"/>
    <mergeCell ref="I38:O38"/>
    <mergeCell ref="Z52:AB52"/>
    <mergeCell ref="F62:H62"/>
    <mergeCell ref="W56:Y56"/>
    <mergeCell ref="P33:V33"/>
    <mergeCell ref="B63:E63"/>
    <mergeCell ref="Z39:AB39"/>
    <mergeCell ref="P42:V42"/>
    <mergeCell ref="W43:Y43"/>
    <mergeCell ref="F72:H72"/>
    <mergeCell ref="F46:H46"/>
    <mergeCell ref="AC41:AF41"/>
    <mergeCell ref="I40:O40"/>
    <mergeCell ref="P35:V35"/>
    <mergeCell ref="B62:E62"/>
    <mergeCell ref="W42:Y42"/>
    <mergeCell ref="F56:H56"/>
    <mergeCell ref="B59:E59"/>
    <mergeCell ref="F48:H48"/>
    <mergeCell ref="B46:E46"/>
    <mergeCell ref="AC57:AF57"/>
    <mergeCell ref="AC71:AF71"/>
    <mergeCell ref="P60:V60"/>
    <mergeCell ref="W67:Y67"/>
    <mergeCell ref="Z46:AB46"/>
    <mergeCell ref="P69:V69"/>
    <mergeCell ref="Z40:AB40"/>
    <mergeCell ref="B70:E70"/>
    <mergeCell ref="B48:E48"/>
    <mergeCell ref="P59:V59"/>
    <mergeCell ref="W69:Y69"/>
    <mergeCell ref="P46:V46"/>
    <mergeCell ref="AC43:AF43"/>
    <mergeCell ref="F54:H54"/>
    <mergeCell ref="I71:O71"/>
    <mergeCell ref="Z54:AB54"/>
    <mergeCell ref="Z32:AB32"/>
    <mergeCell ref="I58:O58"/>
    <mergeCell ref="P61:V61"/>
    <mergeCell ref="P39:V39"/>
    <mergeCell ref="Z41:AB41"/>
    <mergeCell ref="P70:V70"/>
    <mergeCell ref="AC42:AF42"/>
    <mergeCell ref="W45:Y45"/>
    <mergeCell ref="P48:V48"/>
    <mergeCell ref="AC34:AF34"/>
    <mergeCell ref="AC72:AF72"/>
    <mergeCell ref="I42:O42"/>
    <mergeCell ref="W55:Y55"/>
    <mergeCell ref="P32:V32"/>
  </mergeCells>
  <conditionalFormatting sqref="B7:AF26">
    <cfRule type="expression" priority="1" dxfId="10" stopIfTrue="1">
      <formula>AND(B7&lt;&gt;"",AP7&gt;=8)</formula>
    </cfRule>
    <cfRule type="expression" priority="2" dxfId="11" stopIfTrue="1">
      <formula>AND(B7&lt;&gt;"",AP7&gt;0)</formula>
    </cfRule>
    <cfRule type="expression" priority="3" dxfId="12">
      <formula>OR(B$6="土",B$6="日")</formula>
    </cfRule>
  </conditionalFormatting>
  <conditionalFormatting sqref="B5:AF6">
    <cfRule type="expression" priority="4" dxfId="12">
      <formula>OR(B$6="土",B$6="日")</formula>
    </cfRule>
  </conditionalFormatting>
  <conditionalFormatting sqref="A33:AF72">
    <cfRule type="expression" priority="5" dxfId="1">
      <formula>$B33="⚠未選択"</formula>
    </cfRule>
    <cfRule type="expression" priority="6" dxfId="3">
      <formula>OR($Z33="仮予約",$Z33="調整中")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A4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24" customWidth="1" min="3" max="3"/>
    <col width="24" customWidth="1" min="4" max="4"/>
    <col width="24" customWidth="1" min="5" max="5"/>
    <col width="24" customWidth="1" min="6" max="6"/>
    <col width="9" customWidth="1" min="7" max="7"/>
    <col width="9" customWidth="1" min="8" max="8"/>
    <col width="9" customWidth="1" min="9" max="9"/>
    <col width="11" customWidth="1" min="10" max="10"/>
    <col width="9" customWidth="1" min="11" max="11"/>
    <col hidden="1" width="8" customWidth="1" min="12" max="12"/>
    <col hidden="1" width="8" customWidth="1" min="13" max="13"/>
    <col hidden="1" width="8" customWidth="1" min="14" max="14"/>
    <col hidden="1" width="8" customWidth="1" min="15" max="15"/>
    <col hidden="1" width="8" customWidth="1" min="16" max="16"/>
    <col hidden="1" width="8" customWidth="1" min="17" max="17"/>
    <col hidden="1" width="8" customWidth="1" min="18" max="18"/>
    <col hidden="1" width="8" customWidth="1" min="19" max="19"/>
    <col hidden="1" width="8" customWidth="1" min="20" max="20"/>
    <col hidden="1" width="8" customWidth="1" min="21" max="21"/>
    <col hidden="1" width="8" customWidth="1" min="22" max="22"/>
    <col hidden="1" width="8" customWidth="1" min="23" max="23"/>
    <col hidden="1" width="8" customWidth="1" min="24" max="24"/>
    <col hidden="1" width="8" customWidth="1" min="25" max="25"/>
    <col hidden="1" width="8" customWidth="1" min="26" max="26"/>
    <col hidden="1" width="8" customWidth="1" min="27" max="27"/>
  </cols>
  <sheetData>
    <row r="1">
      <c r="A1" s="1" t="inlineStr">
        <is>
          <t>月間表（日別の一覧・自動計算）</t>
        </is>
      </c>
    </row>
    <row r="2">
      <c r="A2" s="2" t="inlineStr">
        <is>
          <t>★対象月の変更は 02_カレンダー で行います。L列より右は計算用の作業列です（非表示にしてあります）。</t>
        </is>
      </c>
    </row>
    <row r="3">
      <c r="A3" s="15" t="inlineStr">
        <is>
          <t>対象月</t>
        </is>
      </c>
      <c r="B3" s="17">
        <f>'02_カレンダー'!$B$4</f>
        <v/>
      </c>
      <c r="C3" s="2" t="inlineStr">
        <is>
          <t>02_カレンダー の対象月に連動します</t>
        </is>
      </c>
    </row>
    <row r="6" ht="30" customHeight="1">
      <c r="A6" s="7" t="inlineStr">
        <is>
          <t>日付</t>
        </is>
      </c>
      <c r="B6" s="7" t="inlineStr">
        <is>
          <t>曜日</t>
        </is>
      </c>
      <c r="C6" s="7">
        <f>IF(COUNTA('M_部屋'!$A$4:$A$20)&gt;=1,INDEX('M_部屋'!$A$4:$A$20,1),"")</f>
        <v/>
      </c>
      <c r="D6" s="7">
        <f>IF(COUNTA('M_部屋'!$A$4:$A$20)&gt;=2,INDEX('M_部屋'!$A$4:$A$20,2),"")</f>
        <v/>
      </c>
      <c r="E6" s="7">
        <f>IF(COUNTA('M_部屋'!$A$4:$A$20)&gt;=3,INDEX('M_部屋'!$A$4:$A$20,3),"")</f>
        <v/>
      </c>
      <c r="F6" s="7">
        <f>IF(COUNTA('M_部屋'!$A$4:$A$20)&gt;=4,INDEX('M_部屋'!$A$4:$A$20,4),"")</f>
        <v/>
      </c>
      <c r="G6" s="7" t="inlineStr">
        <is>
          <t>使用室数</t>
        </is>
      </c>
      <c r="H6" s="7" t="inlineStr">
        <is>
          <t>空室数</t>
        </is>
      </c>
      <c r="I6" s="7" t="inlineStr">
        <is>
          <t>仮予約</t>
        </is>
      </c>
      <c r="J6" s="7" t="inlineStr">
        <is>
          <t>空き記号</t>
        </is>
      </c>
      <c r="K6" s="7" t="inlineStr">
        <is>
          <t>日帰り</t>
        </is>
      </c>
      <c r="L6" s="40" t="inlineStr">
        <is>
          <t>作業1退所</t>
        </is>
      </c>
      <c r="M6" s="40" t="inlineStr">
        <is>
          <t>作業1宿泊</t>
        </is>
      </c>
      <c r="N6" s="40" t="inlineStr">
        <is>
          <t>作業1日帰</t>
        </is>
      </c>
      <c r="O6" s="40" t="inlineStr">
        <is>
          <t>作業2退所</t>
        </is>
      </c>
      <c r="P6" s="40" t="inlineStr">
        <is>
          <t>作業2宿泊</t>
        </is>
      </c>
      <c r="Q6" s="40" t="inlineStr">
        <is>
          <t>作業2日帰</t>
        </is>
      </c>
      <c r="R6" s="40" t="inlineStr">
        <is>
          <t>作業3退所</t>
        </is>
      </c>
      <c r="S6" s="40" t="inlineStr">
        <is>
          <t>作業3宿泊</t>
        </is>
      </c>
      <c r="T6" s="40" t="inlineStr">
        <is>
          <t>作業3日帰</t>
        </is>
      </c>
      <c r="U6" s="40" t="inlineStr">
        <is>
          <t>作業4退所</t>
        </is>
      </c>
      <c r="V6" s="40" t="inlineStr">
        <is>
          <t>作業4宿泊</t>
        </is>
      </c>
      <c r="W6" s="40" t="inlineStr">
        <is>
          <t>作業4日帰</t>
        </is>
      </c>
      <c r="X6" s="40" t="inlineStr">
        <is>
          <t>色1</t>
        </is>
      </c>
      <c r="Y6" s="40" t="inlineStr">
        <is>
          <t>色2</t>
        </is>
      </c>
      <c r="Z6" s="40" t="inlineStr">
        <is>
          <t>色3</t>
        </is>
      </c>
      <c r="AA6" s="40" t="inlineStr">
        <is>
          <t>色4</t>
        </is>
      </c>
    </row>
    <row r="7">
      <c r="A7" s="41">
        <f>IF(MONTH('02_カレンダー'!$B$4+0)&lt;&gt;MONTH('02_カレンダー'!$B$4),"",'02_カレンダー'!$B$4+0)</f>
        <v/>
      </c>
      <c r="B7" s="36">
        <f>IF($A7="","",MID("日月火水木金土",WEEKDAY($A7),1))</f>
        <v/>
      </c>
      <c r="C7" s="42">
        <f>IF(OR($A7="",C$6=""),"",IF($L7=0,"",INDEX('01_予約入力'!$B$5:$B$204,$L7)&amp;" ◀"&amp;IF(('02_カレンダー'!$B$5="○"),INDEX('01_予約入力'!$AB$5:$AB$204,$L7),""))&amp;IF(AND($L7&gt;0,OR($M7&gt;0,$N7&gt;0)),"  ","")&amp;IF($M7=0,"",IF(INDEX('01_予約入力'!$G$5:$G$204,$M7)=$A7,"▶"&amp;IF(('02_カレンダー'!$B$5="○"),INDEX('01_予約入力'!$AA$5:$AA$204,$M7)&amp;" "," "),"")&amp;INDEX('01_予約入力'!$B$5:$B$204,$M7))&amp;IF(AND($M7&gt;0,$N7&gt;0),"  ","")&amp;IF($N7=0,"","◆ "&amp;INDEX('01_予約入力'!$B$5:$B$204,$N7)&amp;IF(('02_カレンダー'!$B$5="○")," "&amp;INDEX('01_予約入力'!$AA$5:$AA$204,$N7)&amp;"-"&amp;INDEX('01_予約入力'!$AB$5:$AB$204,$N7),"")))</f>
        <v/>
      </c>
      <c r="D7" s="42">
        <f>IF(OR($A7="",D$6=""),"",IF($O7=0,"",INDEX('01_予約入力'!$B$5:$B$204,$O7)&amp;" ◀"&amp;IF(('02_カレンダー'!$B$5="○"),INDEX('01_予約入力'!$AB$5:$AB$204,$O7),""))&amp;IF(AND($O7&gt;0,OR($P7&gt;0,$Q7&gt;0)),"  ","")&amp;IF($P7=0,"",IF(INDEX('01_予約入力'!$G$5:$G$204,$P7)=$A7,"▶"&amp;IF(('02_カレンダー'!$B$5="○"),INDEX('01_予約入力'!$AA$5:$AA$204,$P7)&amp;" "," "),"")&amp;INDEX('01_予約入力'!$B$5:$B$204,$P7))&amp;IF(AND($P7&gt;0,$Q7&gt;0),"  ","")&amp;IF($Q7=0,"","◆ "&amp;INDEX('01_予約入力'!$B$5:$B$204,$Q7)&amp;IF(('02_カレンダー'!$B$5="○")," "&amp;INDEX('01_予約入力'!$AA$5:$AA$204,$Q7)&amp;"-"&amp;INDEX('01_予約入力'!$AB$5:$AB$204,$Q7),"")))</f>
        <v/>
      </c>
      <c r="E7" s="42">
        <f>IF(OR($A7="",E$6=""),"",IF($R7=0,"",INDEX('01_予約入力'!$B$5:$B$204,$R7)&amp;" ◀"&amp;IF(('02_カレンダー'!$B$5="○"),INDEX('01_予約入力'!$AB$5:$AB$204,$R7),""))&amp;IF(AND($R7&gt;0,OR($S7&gt;0,$T7&gt;0)),"  ","")&amp;IF($S7=0,"",IF(INDEX('01_予約入力'!$G$5:$G$204,$S7)=$A7,"▶"&amp;IF(('02_カレンダー'!$B$5="○"),INDEX('01_予約入力'!$AA$5:$AA$204,$S7)&amp;" "," "),"")&amp;INDEX('01_予約入力'!$B$5:$B$204,$S7))&amp;IF(AND($S7&gt;0,$T7&gt;0),"  ","")&amp;IF($T7=0,"","◆ "&amp;INDEX('01_予約入力'!$B$5:$B$204,$T7)&amp;IF(('02_カレンダー'!$B$5="○")," "&amp;INDEX('01_予約入力'!$AA$5:$AA$204,$T7)&amp;"-"&amp;INDEX('01_予約入力'!$AB$5:$AB$204,$T7),"")))</f>
        <v/>
      </c>
      <c r="F7" s="42">
        <f>IF(OR($A7="",F$6=""),"",IF($U7=0,"",INDEX('01_予約入力'!$B$5:$B$204,$U7)&amp;" ◀"&amp;IF(('02_カレンダー'!$B$5="○"),INDEX('01_予約入力'!$AB$5:$AB$204,$U7),""))&amp;IF(AND($U7&gt;0,OR($V7&gt;0,$W7&gt;0)),"  ","")&amp;IF($V7=0,"",IF(INDEX('01_予約入力'!$G$5:$G$204,$V7)=$A7,"▶"&amp;IF(('02_カレンダー'!$B$5="○"),INDEX('01_予約入力'!$AA$5:$AA$204,$V7)&amp;" "," "),"")&amp;INDEX('01_予約入力'!$B$5:$B$204,$V7))&amp;IF(AND($V7&gt;0,$W7&gt;0),"  ","")&amp;IF($W7=0,"","◆ "&amp;INDEX('01_予約入力'!$B$5:$B$204,$W7)&amp;IF(('02_カレンダー'!$B$5="○")," "&amp;INDEX('01_予約入力'!$AA$5:$AA$204,$W7)&amp;"-"&amp;INDEX('01_予約入力'!$AB$5:$AB$204,$W7),"")))</f>
        <v/>
      </c>
      <c r="G7" s="36">
        <f>IF($A7="","",SUMPRODUCT(('01_予約入力'!$G$5:$G$204&lt;&gt;"")*('01_予約入力'!$N$5:$N$204&lt;&gt;"キャンセル")*('01_予約入力'!$G$5:$G$204&lt;=$A7)*('01_予約入力'!$J$5:$J$204&gt;$A7)))</f>
        <v/>
      </c>
      <c r="H7" s="36">
        <f>IF($A7="","",'M_施設設定'!$B$6-$G7)</f>
        <v/>
      </c>
      <c r="I7" s="36">
        <f>IF($A7="","",SUMPRODUCT((('01_予約入力'!$N$5:$N$204="仮予約")+('01_予約入力'!$N$5:$N$204="調整中"))*('01_予約入力'!$G$5:$G$204&lt;&gt;"")*('01_予約入力'!$G$5:$G$204&lt;=$A7)*('01_予約入力'!$J$5:$J$204&gt;$A7)))</f>
        <v/>
      </c>
      <c r="J7" s="36">
        <f>IF($A7="","",IF($I7&gt;0,"仮",IF($H7&lt;=0,"×",IF($H7&lt;'M_施設設定'!$B$6,"△","○"))))</f>
        <v/>
      </c>
      <c r="K7" s="36">
        <f>IF($A7="","",SUMPRODUCT(('01_予約入力'!$G$5:$G$204&lt;&gt;"")*('01_予約入力'!$N$5:$N$204&lt;&gt;"キャンセル")*('01_予約入力'!$G$5:$G$204=$A7)*('01_予約入力'!$J$5:$J$204=$A7)))</f>
        <v/>
      </c>
      <c r="L7" s="36">
        <f>IF(OR($A7="",C$6=""),0,SUMPRODUCT(MAX(('01_予約入力'!$D$5:$D$204=C$6)*('01_予約入力'!$N$5:$N$204&lt;&gt;"キャンセル")*('01_予約入力'!$G$5:$G$204&lt;&gt;"")*('01_予約入力'!$J$5:$J$204=$A7)*('01_予約入力'!$G$5:$G$204&lt;$A7)*(ROW('01_予約入力'!$G$5:$G$204)-4))))</f>
        <v/>
      </c>
      <c r="M7" s="36">
        <f>IF(OR($A7="",C$6=""),0,SUMPRODUCT(MAX(('01_予約入力'!$D$5:$D$204=C$6)*('01_予約入力'!$N$5:$N$204&lt;&gt;"キャンセル")*('01_予約入力'!$G$5:$G$204&lt;&gt;"")*('01_予約入力'!$G$5:$G$204&lt;=$A7)*('01_予約入力'!$J$5:$J$204&gt;$A7)*(ROW('01_予約入力'!$G$5:$G$204)-4))))</f>
        <v/>
      </c>
      <c r="N7" s="36">
        <f>IF(OR($A7="",C$6=""),0,SUMPRODUCT(MAX(('01_予約入力'!$D$5:$D$204=C$6)*('01_予約入力'!$N$5:$N$204&lt;&gt;"キャンセル")*('01_予約入力'!$G$5:$G$204&lt;&gt;"")*('01_予約入力'!$G$5:$G$204=$A7)*('01_予約入力'!$J$5:$J$204=$A7)*(ROW('01_予約入力'!$G$5:$G$204)-4))))</f>
        <v/>
      </c>
      <c r="O7" s="36">
        <f>IF(OR($A7="",D$6=""),0,SUMPRODUCT(MAX(('01_予約入力'!$D$5:$D$204=D$6)*('01_予約入力'!$N$5:$N$204&lt;&gt;"キャンセル")*('01_予約入力'!$G$5:$G$204&lt;&gt;"")*('01_予約入力'!$J$5:$J$204=$A7)*('01_予約入力'!$G$5:$G$204&lt;$A7)*(ROW('01_予約入力'!$G$5:$G$204)-4))))</f>
        <v/>
      </c>
      <c r="P7" s="36">
        <f>IF(OR($A7="",D$6=""),0,SUMPRODUCT(MAX(('01_予約入力'!$D$5:$D$204=D$6)*('01_予約入力'!$N$5:$N$204&lt;&gt;"キャンセル")*('01_予約入力'!$G$5:$G$204&lt;&gt;"")*('01_予約入力'!$G$5:$G$204&lt;=$A7)*('01_予約入力'!$J$5:$J$204&gt;$A7)*(ROW('01_予約入力'!$G$5:$G$204)-4))))</f>
        <v/>
      </c>
      <c r="Q7" s="36">
        <f>IF(OR($A7="",D$6=""),0,SUMPRODUCT(MAX(('01_予約入力'!$D$5:$D$204=D$6)*('01_予約入力'!$N$5:$N$204&lt;&gt;"キャンセル")*('01_予約入力'!$G$5:$G$204&lt;&gt;"")*('01_予約入力'!$G$5:$G$204=$A7)*('01_予約入力'!$J$5:$J$204=$A7)*(ROW('01_予約入力'!$G$5:$G$204)-4))))</f>
        <v/>
      </c>
      <c r="R7" s="36">
        <f>IF(OR($A7="",E$6=""),0,SUMPRODUCT(MAX(('01_予約入力'!$D$5:$D$204=E$6)*('01_予約入力'!$N$5:$N$204&lt;&gt;"キャンセル")*('01_予約入力'!$G$5:$G$204&lt;&gt;"")*('01_予約入力'!$J$5:$J$204=$A7)*('01_予約入力'!$G$5:$G$204&lt;$A7)*(ROW('01_予約入力'!$G$5:$G$204)-4))))</f>
        <v/>
      </c>
      <c r="S7" s="36">
        <f>IF(OR($A7="",E$6=""),0,SUMPRODUCT(MAX(('01_予約入力'!$D$5:$D$204=E$6)*('01_予約入力'!$N$5:$N$204&lt;&gt;"キャンセル")*('01_予約入力'!$G$5:$G$204&lt;&gt;"")*('01_予約入力'!$G$5:$G$204&lt;=$A7)*('01_予約入力'!$J$5:$J$204&gt;$A7)*(ROW('01_予約入力'!$G$5:$G$204)-4))))</f>
        <v/>
      </c>
      <c r="T7" s="36">
        <f>IF(OR($A7="",E$6=""),0,SUMPRODUCT(MAX(('01_予約入力'!$D$5:$D$204=E$6)*('01_予約入力'!$N$5:$N$204&lt;&gt;"キャンセル")*('01_予約入力'!$G$5:$G$204&lt;&gt;"")*('01_予約入力'!$G$5:$G$204=$A7)*('01_予約入力'!$J$5:$J$204=$A7)*(ROW('01_予約入力'!$G$5:$G$204)-4))))</f>
        <v/>
      </c>
      <c r="U7" s="36">
        <f>IF(OR($A7="",F$6=""),0,SUMPRODUCT(MAX(('01_予約入力'!$D$5:$D$204=F$6)*('01_予約入力'!$N$5:$N$204&lt;&gt;"キャンセル")*('01_予約入力'!$G$5:$G$204&lt;&gt;"")*('01_予約入力'!$J$5:$J$204=$A7)*('01_予約入力'!$G$5:$G$204&lt;$A7)*(ROW('01_予約入力'!$G$5:$G$204)-4))))</f>
        <v/>
      </c>
      <c r="V7" s="36">
        <f>IF(OR($A7="",F$6=""),0,SUMPRODUCT(MAX(('01_予約入力'!$D$5:$D$204=F$6)*('01_予約入力'!$N$5:$N$204&lt;&gt;"キャンセル")*('01_予約入力'!$G$5:$G$204&lt;&gt;"")*('01_予約入力'!$G$5:$G$204&lt;=$A7)*('01_予約入力'!$J$5:$J$204&gt;$A7)*(ROW('01_予約入力'!$G$5:$G$204)-4))))</f>
        <v/>
      </c>
      <c r="W7" s="36">
        <f>IF(OR($A7="",F$6=""),0,SUMPRODUCT(MAX(('01_予約入力'!$D$5:$D$204=F$6)*('01_予約入力'!$N$5:$N$204&lt;&gt;"キャンセル")*('01_予約入力'!$G$5:$G$204&lt;&gt;"")*('01_予約入力'!$G$5:$G$204=$A7)*('01_予約入力'!$J$5:$J$204=$A7)*(ROW('01_予約入力'!$G$5:$G$204)-4))))</f>
        <v/>
      </c>
      <c r="X7" s="36">
        <f>IF($A7="","",IF($M7&gt;0,IF(OR(INDEX('01_予約入力'!$N$5:$N$204,$M7)="仮予約",INDEX('01_予約入力'!$N$5:$N$204,$M7)="調整中"),"仮",INDEX('01_予約入力'!$C$5:$C$204,$M7)),IF($N7&gt;0,IF(OR(INDEX('01_予約入力'!$N$5:$N$204,$N7)="仮予約",INDEX('01_予約入力'!$N$5:$N$204,$N7)="調整中"),"仮",INDEX('01_予約入力'!$C$5:$C$204,$N7)),IF($L7&gt;0,IF(OR(INDEX('01_予約入力'!$N$5:$N$204,$L7)="仮予約",INDEX('01_予約入力'!$N$5:$N$204,$L7)="調整中"),"仮",INDEX('01_予約入力'!$C$5:$C$204,$L7)),""))))</f>
        <v/>
      </c>
      <c r="Y7" s="36">
        <f>IF($A7="","",IF($P7&gt;0,IF(OR(INDEX('01_予約入力'!$N$5:$N$204,$P7)="仮予約",INDEX('01_予約入力'!$N$5:$N$204,$P7)="調整中"),"仮",INDEX('01_予約入力'!$C$5:$C$204,$P7)),IF($Q7&gt;0,IF(OR(INDEX('01_予約入力'!$N$5:$N$204,$Q7)="仮予約",INDEX('01_予約入力'!$N$5:$N$204,$Q7)="調整中"),"仮",INDEX('01_予約入力'!$C$5:$C$204,$Q7)),IF($O7&gt;0,IF(OR(INDEX('01_予約入力'!$N$5:$N$204,$O7)="仮予約",INDEX('01_予約入力'!$N$5:$N$204,$O7)="調整中"),"仮",INDEX('01_予約入力'!$C$5:$C$204,$O7)),""))))</f>
        <v/>
      </c>
      <c r="Z7" s="36">
        <f>IF($A7="","",IF($S7&gt;0,IF(OR(INDEX('01_予約入力'!$N$5:$N$204,$S7)="仮予約",INDEX('01_予約入力'!$N$5:$N$204,$S7)="調整中"),"仮",INDEX('01_予約入力'!$C$5:$C$204,$S7)),IF($T7&gt;0,IF(OR(INDEX('01_予約入力'!$N$5:$N$204,$T7)="仮予約",INDEX('01_予約入力'!$N$5:$N$204,$T7)="調整中"),"仮",INDEX('01_予約入力'!$C$5:$C$204,$T7)),IF($R7&gt;0,IF(OR(INDEX('01_予約入力'!$N$5:$N$204,$R7)="仮予約",INDEX('01_予約入力'!$N$5:$N$204,$R7)="調整中"),"仮",INDEX('01_予約入力'!$C$5:$C$204,$R7)),""))))</f>
        <v/>
      </c>
      <c r="AA7" s="36">
        <f>IF($A7="","",IF($V7&gt;0,IF(OR(INDEX('01_予約入力'!$N$5:$N$204,$V7)="仮予約",INDEX('01_予約入力'!$N$5:$N$204,$V7)="調整中"),"仮",INDEX('01_予約入力'!$C$5:$C$204,$V7)),IF($W7&gt;0,IF(OR(INDEX('01_予約入力'!$N$5:$N$204,$W7)="仮予約",INDEX('01_予約入力'!$N$5:$N$204,$W7)="調整中"),"仮",INDEX('01_予約入力'!$C$5:$C$204,$W7)),IF($U7&gt;0,IF(OR(INDEX('01_予約入力'!$N$5:$N$204,$U7)="仮予約",INDEX('01_予約入力'!$N$5:$N$204,$U7)="調整中"),"仮",INDEX('01_予約入力'!$C$5:$C$204,$U7)),""))))</f>
        <v/>
      </c>
    </row>
    <row r="8">
      <c r="A8" s="41">
        <f>IF(MONTH('02_カレンダー'!$B$4+1)&lt;&gt;MONTH('02_カレンダー'!$B$4),"",'02_カレンダー'!$B$4+1)</f>
        <v/>
      </c>
      <c r="B8" s="36">
        <f>IF($A8="","",MID("日月火水木金土",WEEKDAY($A8),1))</f>
        <v/>
      </c>
      <c r="C8" s="42">
        <f>IF(OR($A8="",C$6=""),"",IF($L8=0,"",INDEX('01_予約入力'!$B$5:$B$204,$L8)&amp;" ◀"&amp;IF(('02_カレンダー'!$B$5="○"),INDEX('01_予約入力'!$AB$5:$AB$204,$L8),""))&amp;IF(AND($L8&gt;0,OR($M8&gt;0,$N8&gt;0)),"  ","")&amp;IF($M8=0,"",IF(INDEX('01_予約入力'!$G$5:$G$204,$M8)=$A8,"▶"&amp;IF(('02_カレンダー'!$B$5="○"),INDEX('01_予約入力'!$AA$5:$AA$204,$M8)&amp;" "," "),"")&amp;INDEX('01_予約入力'!$B$5:$B$204,$M8))&amp;IF(AND($M8&gt;0,$N8&gt;0),"  ","")&amp;IF($N8=0,"","◆ "&amp;INDEX('01_予約入力'!$B$5:$B$204,$N8)&amp;IF(('02_カレンダー'!$B$5="○")," "&amp;INDEX('01_予約入力'!$AA$5:$AA$204,$N8)&amp;"-"&amp;INDEX('01_予約入力'!$AB$5:$AB$204,$N8),"")))</f>
        <v/>
      </c>
      <c r="D8" s="42">
        <f>IF(OR($A8="",D$6=""),"",IF($O8=0,"",INDEX('01_予約入力'!$B$5:$B$204,$O8)&amp;" ◀"&amp;IF(('02_カレンダー'!$B$5="○"),INDEX('01_予約入力'!$AB$5:$AB$204,$O8),""))&amp;IF(AND($O8&gt;0,OR($P8&gt;0,$Q8&gt;0)),"  ","")&amp;IF($P8=0,"",IF(INDEX('01_予約入力'!$G$5:$G$204,$P8)=$A8,"▶"&amp;IF(('02_カレンダー'!$B$5="○"),INDEX('01_予約入力'!$AA$5:$AA$204,$P8)&amp;" "," "),"")&amp;INDEX('01_予約入力'!$B$5:$B$204,$P8))&amp;IF(AND($P8&gt;0,$Q8&gt;0),"  ","")&amp;IF($Q8=0,"","◆ "&amp;INDEX('01_予約入力'!$B$5:$B$204,$Q8)&amp;IF(('02_カレンダー'!$B$5="○")," "&amp;INDEX('01_予約入力'!$AA$5:$AA$204,$Q8)&amp;"-"&amp;INDEX('01_予約入力'!$AB$5:$AB$204,$Q8),"")))</f>
        <v/>
      </c>
      <c r="E8" s="42">
        <f>IF(OR($A8="",E$6=""),"",IF($R8=0,"",INDEX('01_予約入力'!$B$5:$B$204,$R8)&amp;" ◀"&amp;IF(('02_カレンダー'!$B$5="○"),INDEX('01_予約入力'!$AB$5:$AB$204,$R8),""))&amp;IF(AND($R8&gt;0,OR($S8&gt;0,$T8&gt;0)),"  ","")&amp;IF($S8=0,"",IF(INDEX('01_予約入力'!$G$5:$G$204,$S8)=$A8,"▶"&amp;IF(('02_カレンダー'!$B$5="○"),INDEX('01_予約入力'!$AA$5:$AA$204,$S8)&amp;" "," "),"")&amp;INDEX('01_予約入力'!$B$5:$B$204,$S8))&amp;IF(AND($S8&gt;0,$T8&gt;0),"  ","")&amp;IF($T8=0,"","◆ "&amp;INDEX('01_予約入力'!$B$5:$B$204,$T8)&amp;IF(('02_カレンダー'!$B$5="○")," "&amp;INDEX('01_予約入力'!$AA$5:$AA$204,$T8)&amp;"-"&amp;INDEX('01_予約入力'!$AB$5:$AB$204,$T8),"")))</f>
        <v/>
      </c>
      <c r="F8" s="42">
        <f>IF(OR($A8="",F$6=""),"",IF($U8=0,"",INDEX('01_予約入力'!$B$5:$B$204,$U8)&amp;" ◀"&amp;IF(('02_カレンダー'!$B$5="○"),INDEX('01_予約入力'!$AB$5:$AB$204,$U8),""))&amp;IF(AND($U8&gt;0,OR($V8&gt;0,$W8&gt;0)),"  ","")&amp;IF($V8=0,"",IF(INDEX('01_予約入力'!$G$5:$G$204,$V8)=$A8,"▶"&amp;IF(('02_カレンダー'!$B$5="○"),INDEX('01_予約入力'!$AA$5:$AA$204,$V8)&amp;" "," "),"")&amp;INDEX('01_予約入力'!$B$5:$B$204,$V8))&amp;IF(AND($V8&gt;0,$W8&gt;0),"  ","")&amp;IF($W8=0,"","◆ "&amp;INDEX('01_予約入力'!$B$5:$B$204,$W8)&amp;IF(('02_カレンダー'!$B$5="○")," "&amp;INDEX('01_予約入力'!$AA$5:$AA$204,$W8)&amp;"-"&amp;INDEX('01_予約入力'!$AB$5:$AB$204,$W8),"")))</f>
        <v/>
      </c>
      <c r="G8" s="36">
        <f>IF($A8="","",SUMPRODUCT(('01_予約入力'!$G$5:$G$204&lt;&gt;"")*('01_予約入力'!$N$5:$N$204&lt;&gt;"キャンセル")*('01_予約入力'!$G$5:$G$204&lt;=$A8)*('01_予約入力'!$J$5:$J$204&gt;$A8)))</f>
        <v/>
      </c>
      <c r="H8" s="36">
        <f>IF($A8="","",'M_施設設定'!$B$6-$G8)</f>
        <v/>
      </c>
      <c r="I8" s="36">
        <f>IF($A8="","",SUMPRODUCT((('01_予約入力'!$N$5:$N$204="仮予約")+('01_予約入力'!$N$5:$N$204="調整中"))*('01_予約入力'!$G$5:$G$204&lt;&gt;"")*('01_予約入力'!$G$5:$G$204&lt;=$A8)*('01_予約入力'!$J$5:$J$204&gt;$A8)))</f>
        <v/>
      </c>
      <c r="J8" s="36">
        <f>IF($A8="","",IF($I8&gt;0,"仮",IF($H8&lt;=0,"×",IF($H8&lt;'M_施設設定'!$B$6,"△","○"))))</f>
        <v/>
      </c>
      <c r="K8" s="36">
        <f>IF($A8="","",SUMPRODUCT(('01_予約入力'!$G$5:$G$204&lt;&gt;"")*('01_予約入力'!$N$5:$N$204&lt;&gt;"キャンセル")*('01_予約入力'!$G$5:$G$204=$A8)*('01_予約入力'!$J$5:$J$204=$A8)))</f>
        <v/>
      </c>
      <c r="L8" s="36">
        <f>IF(OR($A8="",C$6=""),0,SUMPRODUCT(MAX(('01_予約入力'!$D$5:$D$204=C$6)*('01_予約入力'!$N$5:$N$204&lt;&gt;"キャンセル")*('01_予約入力'!$G$5:$G$204&lt;&gt;"")*('01_予約入力'!$J$5:$J$204=$A8)*('01_予約入力'!$G$5:$G$204&lt;$A8)*(ROW('01_予約入力'!$G$5:$G$204)-4))))</f>
        <v/>
      </c>
      <c r="M8" s="36">
        <f>IF(OR($A8="",C$6=""),0,SUMPRODUCT(MAX(('01_予約入力'!$D$5:$D$204=C$6)*('01_予約入力'!$N$5:$N$204&lt;&gt;"キャンセル")*('01_予約入力'!$G$5:$G$204&lt;&gt;"")*('01_予約入力'!$G$5:$G$204&lt;=$A8)*('01_予約入力'!$J$5:$J$204&gt;$A8)*(ROW('01_予約入力'!$G$5:$G$204)-4))))</f>
        <v/>
      </c>
      <c r="N8" s="36">
        <f>IF(OR($A8="",C$6=""),0,SUMPRODUCT(MAX(('01_予約入力'!$D$5:$D$204=C$6)*('01_予約入力'!$N$5:$N$204&lt;&gt;"キャンセル")*('01_予約入力'!$G$5:$G$204&lt;&gt;"")*('01_予約入力'!$G$5:$G$204=$A8)*('01_予約入力'!$J$5:$J$204=$A8)*(ROW('01_予約入力'!$G$5:$G$204)-4))))</f>
        <v/>
      </c>
      <c r="O8" s="36">
        <f>IF(OR($A8="",D$6=""),0,SUMPRODUCT(MAX(('01_予約入力'!$D$5:$D$204=D$6)*('01_予約入力'!$N$5:$N$204&lt;&gt;"キャンセル")*('01_予約入力'!$G$5:$G$204&lt;&gt;"")*('01_予約入力'!$J$5:$J$204=$A8)*('01_予約入力'!$G$5:$G$204&lt;$A8)*(ROW('01_予約入力'!$G$5:$G$204)-4))))</f>
        <v/>
      </c>
      <c r="P8" s="36">
        <f>IF(OR($A8="",D$6=""),0,SUMPRODUCT(MAX(('01_予約入力'!$D$5:$D$204=D$6)*('01_予約入力'!$N$5:$N$204&lt;&gt;"キャンセル")*('01_予約入力'!$G$5:$G$204&lt;&gt;"")*('01_予約入力'!$G$5:$G$204&lt;=$A8)*('01_予約入力'!$J$5:$J$204&gt;$A8)*(ROW('01_予約入力'!$G$5:$G$204)-4))))</f>
        <v/>
      </c>
      <c r="Q8" s="36">
        <f>IF(OR($A8="",D$6=""),0,SUMPRODUCT(MAX(('01_予約入力'!$D$5:$D$204=D$6)*('01_予約入力'!$N$5:$N$204&lt;&gt;"キャンセル")*('01_予約入力'!$G$5:$G$204&lt;&gt;"")*('01_予約入力'!$G$5:$G$204=$A8)*('01_予約入力'!$J$5:$J$204=$A8)*(ROW('01_予約入力'!$G$5:$G$204)-4))))</f>
        <v/>
      </c>
      <c r="R8" s="36">
        <f>IF(OR($A8="",E$6=""),0,SUMPRODUCT(MAX(('01_予約入力'!$D$5:$D$204=E$6)*('01_予約入力'!$N$5:$N$204&lt;&gt;"キャンセル")*('01_予約入力'!$G$5:$G$204&lt;&gt;"")*('01_予約入力'!$J$5:$J$204=$A8)*('01_予約入力'!$G$5:$G$204&lt;$A8)*(ROW('01_予約入力'!$G$5:$G$204)-4))))</f>
        <v/>
      </c>
      <c r="S8" s="36">
        <f>IF(OR($A8="",E$6=""),0,SUMPRODUCT(MAX(('01_予約入力'!$D$5:$D$204=E$6)*('01_予約入力'!$N$5:$N$204&lt;&gt;"キャンセル")*('01_予約入力'!$G$5:$G$204&lt;&gt;"")*('01_予約入力'!$G$5:$G$204&lt;=$A8)*('01_予約入力'!$J$5:$J$204&gt;$A8)*(ROW('01_予約入力'!$G$5:$G$204)-4))))</f>
        <v/>
      </c>
      <c r="T8" s="36">
        <f>IF(OR($A8="",E$6=""),0,SUMPRODUCT(MAX(('01_予約入力'!$D$5:$D$204=E$6)*('01_予約入力'!$N$5:$N$204&lt;&gt;"キャンセル")*('01_予約入力'!$G$5:$G$204&lt;&gt;"")*('01_予約入力'!$G$5:$G$204=$A8)*('01_予約入力'!$J$5:$J$204=$A8)*(ROW('01_予約入力'!$G$5:$G$204)-4))))</f>
        <v/>
      </c>
      <c r="U8" s="36">
        <f>IF(OR($A8="",F$6=""),0,SUMPRODUCT(MAX(('01_予約入力'!$D$5:$D$204=F$6)*('01_予約入力'!$N$5:$N$204&lt;&gt;"キャンセル")*('01_予約入力'!$G$5:$G$204&lt;&gt;"")*('01_予約入力'!$J$5:$J$204=$A8)*('01_予約入力'!$G$5:$G$204&lt;$A8)*(ROW('01_予約入力'!$G$5:$G$204)-4))))</f>
        <v/>
      </c>
      <c r="V8" s="36">
        <f>IF(OR($A8="",F$6=""),0,SUMPRODUCT(MAX(('01_予約入力'!$D$5:$D$204=F$6)*('01_予約入力'!$N$5:$N$204&lt;&gt;"キャンセル")*('01_予約入力'!$G$5:$G$204&lt;&gt;"")*('01_予約入力'!$G$5:$G$204&lt;=$A8)*('01_予約入力'!$J$5:$J$204&gt;$A8)*(ROW('01_予約入力'!$G$5:$G$204)-4))))</f>
        <v/>
      </c>
      <c r="W8" s="36">
        <f>IF(OR($A8="",F$6=""),0,SUMPRODUCT(MAX(('01_予約入力'!$D$5:$D$204=F$6)*('01_予約入力'!$N$5:$N$204&lt;&gt;"キャンセル")*('01_予約入力'!$G$5:$G$204&lt;&gt;"")*('01_予約入力'!$G$5:$G$204=$A8)*('01_予約入力'!$J$5:$J$204=$A8)*(ROW('01_予約入力'!$G$5:$G$204)-4))))</f>
        <v/>
      </c>
      <c r="X8" s="36">
        <f>IF($A8="","",IF($M8&gt;0,IF(OR(INDEX('01_予約入力'!$N$5:$N$204,$M8)="仮予約",INDEX('01_予約入力'!$N$5:$N$204,$M8)="調整中"),"仮",INDEX('01_予約入力'!$C$5:$C$204,$M8)),IF($N8&gt;0,IF(OR(INDEX('01_予約入力'!$N$5:$N$204,$N8)="仮予約",INDEX('01_予約入力'!$N$5:$N$204,$N8)="調整中"),"仮",INDEX('01_予約入力'!$C$5:$C$204,$N8)),IF($L8&gt;0,IF(OR(INDEX('01_予約入力'!$N$5:$N$204,$L8)="仮予約",INDEX('01_予約入力'!$N$5:$N$204,$L8)="調整中"),"仮",INDEX('01_予約入力'!$C$5:$C$204,$L8)),""))))</f>
        <v/>
      </c>
      <c r="Y8" s="36">
        <f>IF($A8="","",IF($P8&gt;0,IF(OR(INDEX('01_予約入力'!$N$5:$N$204,$P8)="仮予約",INDEX('01_予約入力'!$N$5:$N$204,$P8)="調整中"),"仮",INDEX('01_予約入力'!$C$5:$C$204,$P8)),IF($Q8&gt;0,IF(OR(INDEX('01_予約入力'!$N$5:$N$204,$Q8)="仮予約",INDEX('01_予約入力'!$N$5:$N$204,$Q8)="調整中"),"仮",INDEX('01_予約入力'!$C$5:$C$204,$Q8)),IF($O8&gt;0,IF(OR(INDEX('01_予約入力'!$N$5:$N$204,$O8)="仮予約",INDEX('01_予約入力'!$N$5:$N$204,$O8)="調整中"),"仮",INDEX('01_予約入力'!$C$5:$C$204,$O8)),""))))</f>
        <v/>
      </c>
      <c r="Z8" s="36">
        <f>IF($A8="","",IF($S8&gt;0,IF(OR(INDEX('01_予約入力'!$N$5:$N$204,$S8)="仮予約",INDEX('01_予約入力'!$N$5:$N$204,$S8)="調整中"),"仮",INDEX('01_予約入力'!$C$5:$C$204,$S8)),IF($T8&gt;0,IF(OR(INDEX('01_予約入力'!$N$5:$N$204,$T8)="仮予約",INDEX('01_予約入力'!$N$5:$N$204,$T8)="調整中"),"仮",INDEX('01_予約入力'!$C$5:$C$204,$T8)),IF($R8&gt;0,IF(OR(INDEX('01_予約入力'!$N$5:$N$204,$R8)="仮予約",INDEX('01_予約入力'!$N$5:$N$204,$R8)="調整中"),"仮",INDEX('01_予約入力'!$C$5:$C$204,$R8)),""))))</f>
        <v/>
      </c>
      <c r="AA8" s="36">
        <f>IF($A8="","",IF($V8&gt;0,IF(OR(INDEX('01_予約入力'!$N$5:$N$204,$V8)="仮予約",INDEX('01_予約入力'!$N$5:$N$204,$V8)="調整中"),"仮",INDEX('01_予約入力'!$C$5:$C$204,$V8)),IF($W8&gt;0,IF(OR(INDEX('01_予約入力'!$N$5:$N$204,$W8)="仮予約",INDEX('01_予約入力'!$N$5:$N$204,$W8)="調整中"),"仮",INDEX('01_予約入力'!$C$5:$C$204,$W8)),IF($U8&gt;0,IF(OR(INDEX('01_予約入力'!$N$5:$N$204,$U8)="仮予約",INDEX('01_予約入力'!$N$5:$N$204,$U8)="調整中"),"仮",INDEX('01_予約入力'!$C$5:$C$204,$U8)),""))))</f>
        <v/>
      </c>
    </row>
    <row r="9">
      <c r="A9" s="41">
        <f>IF(MONTH('02_カレンダー'!$B$4+2)&lt;&gt;MONTH('02_カレンダー'!$B$4),"",'02_カレンダー'!$B$4+2)</f>
        <v/>
      </c>
      <c r="B9" s="36">
        <f>IF($A9="","",MID("日月火水木金土",WEEKDAY($A9),1))</f>
        <v/>
      </c>
      <c r="C9" s="42">
        <f>IF(OR($A9="",C$6=""),"",IF($L9=0,"",INDEX('01_予約入力'!$B$5:$B$204,$L9)&amp;" ◀"&amp;IF(('02_カレンダー'!$B$5="○"),INDEX('01_予約入力'!$AB$5:$AB$204,$L9),""))&amp;IF(AND($L9&gt;0,OR($M9&gt;0,$N9&gt;0)),"  ","")&amp;IF($M9=0,"",IF(INDEX('01_予約入力'!$G$5:$G$204,$M9)=$A9,"▶"&amp;IF(('02_カレンダー'!$B$5="○"),INDEX('01_予約入力'!$AA$5:$AA$204,$M9)&amp;" "," "),"")&amp;INDEX('01_予約入力'!$B$5:$B$204,$M9))&amp;IF(AND($M9&gt;0,$N9&gt;0),"  ","")&amp;IF($N9=0,"","◆ "&amp;INDEX('01_予約入力'!$B$5:$B$204,$N9)&amp;IF(('02_カレンダー'!$B$5="○")," "&amp;INDEX('01_予約入力'!$AA$5:$AA$204,$N9)&amp;"-"&amp;INDEX('01_予約入力'!$AB$5:$AB$204,$N9),"")))</f>
        <v/>
      </c>
      <c r="D9" s="42">
        <f>IF(OR($A9="",D$6=""),"",IF($O9=0,"",INDEX('01_予約入力'!$B$5:$B$204,$O9)&amp;" ◀"&amp;IF(('02_カレンダー'!$B$5="○"),INDEX('01_予約入力'!$AB$5:$AB$204,$O9),""))&amp;IF(AND($O9&gt;0,OR($P9&gt;0,$Q9&gt;0)),"  ","")&amp;IF($P9=0,"",IF(INDEX('01_予約入力'!$G$5:$G$204,$P9)=$A9,"▶"&amp;IF(('02_カレンダー'!$B$5="○"),INDEX('01_予約入力'!$AA$5:$AA$204,$P9)&amp;" "," "),"")&amp;INDEX('01_予約入力'!$B$5:$B$204,$P9))&amp;IF(AND($P9&gt;0,$Q9&gt;0),"  ","")&amp;IF($Q9=0,"","◆ "&amp;INDEX('01_予約入力'!$B$5:$B$204,$Q9)&amp;IF(('02_カレンダー'!$B$5="○")," "&amp;INDEX('01_予約入力'!$AA$5:$AA$204,$Q9)&amp;"-"&amp;INDEX('01_予約入力'!$AB$5:$AB$204,$Q9),"")))</f>
        <v/>
      </c>
      <c r="E9" s="42">
        <f>IF(OR($A9="",E$6=""),"",IF($R9=0,"",INDEX('01_予約入力'!$B$5:$B$204,$R9)&amp;" ◀"&amp;IF(('02_カレンダー'!$B$5="○"),INDEX('01_予約入力'!$AB$5:$AB$204,$R9),""))&amp;IF(AND($R9&gt;0,OR($S9&gt;0,$T9&gt;0)),"  ","")&amp;IF($S9=0,"",IF(INDEX('01_予約入力'!$G$5:$G$204,$S9)=$A9,"▶"&amp;IF(('02_カレンダー'!$B$5="○"),INDEX('01_予約入力'!$AA$5:$AA$204,$S9)&amp;" "," "),"")&amp;INDEX('01_予約入力'!$B$5:$B$204,$S9))&amp;IF(AND($S9&gt;0,$T9&gt;0),"  ","")&amp;IF($T9=0,"","◆ "&amp;INDEX('01_予約入力'!$B$5:$B$204,$T9)&amp;IF(('02_カレンダー'!$B$5="○")," "&amp;INDEX('01_予約入力'!$AA$5:$AA$204,$T9)&amp;"-"&amp;INDEX('01_予約入力'!$AB$5:$AB$204,$T9),"")))</f>
        <v/>
      </c>
      <c r="F9" s="42">
        <f>IF(OR($A9="",F$6=""),"",IF($U9=0,"",INDEX('01_予約入力'!$B$5:$B$204,$U9)&amp;" ◀"&amp;IF(('02_カレンダー'!$B$5="○"),INDEX('01_予約入力'!$AB$5:$AB$204,$U9),""))&amp;IF(AND($U9&gt;0,OR($V9&gt;0,$W9&gt;0)),"  ","")&amp;IF($V9=0,"",IF(INDEX('01_予約入力'!$G$5:$G$204,$V9)=$A9,"▶"&amp;IF(('02_カレンダー'!$B$5="○"),INDEX('01_予約入力'!$AA$5:$AA$204,$V9)&amp;" "," "),"")&amp;INDEX('01_予約入力'!$B$5:$B$204,$V9))&amp;IF(AND($V9&gt;0,$W9&gt;0),"  ","")&amp;IF($W9=0,"","◆ "&amp;INDEX('01_予約入力'!$B$5:$B$204,$W9)&amp;IF(('02_カレンダー'!$B$5="○")," "&amp;INDEX('01_予約入力'!$AA$5:$AA$204,$W9)&amp;"-"&amp;INDEX('01_予約入力'!$AB$5:$AB$204,$W9),"")))</f>
        <v/>
      </c>
      <c r="G9" s="36">
        <f>IF($A9="","",SUMPRODUCT(('01_予約入力'!$G$5:$G$204&lt;&gt;"")*('01_予約入力'!$N$5:$N$204&lt;&gt;"キャンセル")*('01_予約入力'!$G$5:$G$204&lt;=$A9)*('01_予約入力'!$J$5:$J$204&gt;$A9)))</f>
        <v/>
      </c>
      <c r="H9" s="36">
        <f>IF($A9="","",'M_施設設定'!$B$6-$G9)</f>
        <v/>
      </c>
      <c r="I9" s="36">
        <f>IF($A9="","",SUMPRODUCT((('01_予約入力'!$N$5:$N$204="仮予約")+('01_予約入力'!$N$5:$N$204="調整中"))*('01_予約入力'!$G$5:$G$204&lt;&gt;"")*('01_予約入力'!$G$5:$G$204&lt;=$A9)*('01_予約入力'!$J$5:$J$204&gt;$A9)))</f>
        <v/>
      </c>
      <c r="J9" s="36">
        <f>IF($A9="","",IF($I9&gt;0,"仮",IF($H9&lt;=0,"×",IF($H9&lt;'M_施設設定'!$B$6,"△","○"))))</f>
        <v/>
      </c>
      <c r="K9" s="36">
        <f>IF($A9="","",SUMPRODUCT(('01_予約入力'!$G$5:$G$204&lt;&gt;"")*('01_予約入力'!$N$5:$N$204&lt;&gt;"キャンセル")*('01_予約入力'!$G$5:$G$204=$A9)*('01_予約入力'!$J$5:$J$204=$A9)))</f>
        <v/>
      </c>
      <c r="L9" s="36">
        <f>IF(OR($A9="",C$6=""),0,SUMPRODUCT(MAX(('01_予約入力'!$D$5:$D$204=C$6)*('01_予約入力'!$N$5:$N$204&lt;&gt;"キャンセル")*('01_予約入力'!$G$5:$G$204&lt;&gt;"")*('01_予約入力'!$J$5:$J$204=$A9)*('01_予約入力'!$G$5:$G$204&lt;$A9)*(ROW('01_予約入力'!$G$5:$G$204)-4))))</f>
        <v/>
      </c>
      <c r="M9" s="36">
        <f>IF(OR($A9="",C$6=""),0,SUMPRODUCT(MAX(('01_予約入力'!$D$5:$D$204=C$6)*('01_予約入力'!$N$5:$N$204&lt;&gt;"キャンセル")*('01_予約入力'!$G$5:$G$204&lt;&gt;"")*('01_予約入力'!$G$5:$G$204&lt;=$A9)*('01_予約入力'!$J$5:$J$204&gt;$A9)*(ROW('01_予約入力'!$G$5:$G$204)-4))))</f>
        <v/>
      </c>
      <c r="N9" s="36">
        <f>IF(OR($A9="",C$6=""),0,SUMPRODUCT(MAX(('01_予約入力'!$D$5:$D$204=C$6)*('01_予約入力'!$N$5:$N$204&lt;&gt;"キャンセル")*('01_予約入力'!$G$5:$G$204&lt;&gt;"")*('01_予約入力'!$G$5:$G$204=$A9)*('01_予約入力'!$J$5:$J$204=$A9)*(ROW('01_予約入力'!$G$5:$G$204)-4))))</f>
        <v/>
      </c>
      <c r="O9" s="36">
        <f>IF(OR($A9="",D$6=""),0,SUMPRODUCT(MAX(('01_予約入力'!$D$5:$D$204=D$6)*('01_予約入力'!$N$5:$N$204&lt;&gt;"キャンセル")*('01_予約入力'!$G$5:$G$204&lt;&gt;"")*('01_予約入力'!$J$5:$J$204=$A9)*('01_予約入力'!$G$5:$G$204&lt;$A9)*(ROW('01_予約入力'!$G$5:$G$204)-4))))</f>
        <v/>
      </c>
      <c r="P9" s="36">
        <f>IF(OR($A9="",D$6=""),0,SUMPRODUCT(MAX(('01_予約入力'!$D$5:$D$204=D$6)*('01_予約入力'!$N$5:$N$204&lt;&gt;"キャンセル")*('01_予約入力'!$G$5:$G$204&lt;&gt;"")*('01_予約入力'!$G$5:$G$204&lt;=$A9)*('01_予約入力'!$J$5:$J$204&gt;$A9)*(ROW('01_予約入力'!$G$5:$G$204)-4))))</f>
        <v/>
      </c>
      <c r="Q9" s="36">
        <f>IF(OR($A9="",D$6=""),0,SUMPRODUCT(MAX(('01_予約入力'!$D$5:$D$204=D$6)*('01_予約入力'!$N$5:$N$204&lt;&gt;"キャンセル")*('01_予約入力'!$G$5:$G$204&lt;&gt;"")*('01_予約入力'!$G$5:$G$204=$A9)*('01_予約入力'!$J$5:$J$204=$A9)*(ROW('01_予約入力'!$G$5:$G$204)-4))))</f>
        <v/>
      </c>
      <c r="R9" s="36">
        <f>IF(OR($A9="",E$6=""),0,SUMPRODUCT(MAX(('01_予約入力'!$D$5:$D$204=E$6)*('01_予約入力'!$N$5:$N$204&lt;&gt;"キャンセル")*('01_予約入力'!$G$5:$G$204&lt;&gt;"")*('01_予約入力'!$J$5:$J$204=$A9)*('01_予約入力'!$G$5:$G$204&lt;$A9)*(ROW('01_予約入力'!$G$5:$G$204)-4))))</f>
        <v/>
      </c>
      <c r="S9" s="36">
        <f>IF(OR($A9="",E$6=""),0,SUMPRODUCT(MAX(('01_予約入力'!$D$5:$D$204=E$6)*('01_予約入力'!$N$5:$N$204&lt;&gt;"キャンセル")*('01_予約入力'!$G$5:$G$204&lt;&gt;"")*('01_予約入力'!$G$5:$G$204&lt;=$A9)*('01_予約入力'!$J$5:$J$204&gt;$A9)*(ROW('01_予約入力'!$G$5:$G$204)-4))))</f>
        <v/>
      </c>
      <c r="T9" s="36">
        <f>IF(OR($A9="",E$6=""),0,SUMPRODUCT(MAX(('01_予約入力'!$D$5:$D$204=E$6)*('01_予約入力'!$N$5:$N$204&lt;&gt;"キャンセル")*('01_予約入力'!$G$5:$G$204&lt;&gt;"")*('01_予約入力'!$G$5:$G$204=$A9)*('01_予約入力'!$J$5:$J$204=$A9)*(ROW('01_予約入力'!$G$5:$G$204)-4))))</f>
        <v/>
      </c>
      <c r="U9" s="36">
        <f>IF(OR($A9="",F$6=""),0,SUMPRODUCT(MAX(('01_予約入力'!$D$5:$D$204=F$6)*('01_予約入力'!$N$5:$N$204&lt;&gt;"キャンセル")*('01_予約入力'!$G$5:$G$204&lt;&gt;"")*('01_予約入力'!$J$5:$J$204=$A9)*('01_予約入力'!$G$5:$G$204&lt;$A9)*(ROW('01_予約入力'!$G$5:$G$204)-4))))</f>
        <v/>
      </c>
      <c r="V9" s="36">
        <f>IF(OR($A9="",F$6=""),0,SUMPRODUCT(MAX(('01_予約入力'!$D$5:$D$204=F$6)*('01_予約入力'!$N$5:$N$204&lt;&gt;"キャンセル")*('01_予約入力'!$G$5:$G$204&lt;&gt;"")*('01_予約入力'!$G$5:$G$204&lt;=$A9)*('01_予約入力'!$J$5:$J$204&gt;$A9)*(ROW('01_予約入力'!$G$5:$G$204)-4))))</f>
        <v/>
      </c>
      <c r="W9" s="36">
        <f>IF(OR($A9="",F$6=""),0,SUMPRODUCT(MAX(('01_予約入力'!$D$5:$D$204=F$6)*('01_予約入力'!$N$5:$N$204&lt;&gt;"キャンセル")*('01_予約入力'!$G$5:$G$204&lt;&gt;"")*('01_予約入力'!$G$5:$G$204=$A9)*('01_予約入力'!$J$5:$J$204=$A9)*(ROW('01_予約入力'!$G$5:$G$204)-4))))</f>
        <v/>
      </c>
      <c r="X9" s="36">
        <f>IF($A9="","",IF($M9&gt;0,IF(OR(INDEX('01_予約入力'!$N$5:$N$204,$M9)="仮予約",INDEX('01_予約入力'!$N$5:$N$204,$M9)="調整中"),"仮",INDEX('01_予約入力'!$C$5:$C$204,$M9)),IF($N9&gt;0,IF(OR(INDEX('01_予約入力'!$N$5:$N$204,$N9)="仮予約",INDEX('01_予約入力'!$N$5:$N$204,$N9)="調整中"),"仮",INDEX('01_予約入力'!$C$5:$C$204,$N9)),IF($L9&gt;0,IF(OR(INDEX('01_予約入力'!$N$5:$N$204,$L9)="仮予約",INDEX('01_予約入力'!$N$5:$N$204,$L9)="調整中"),"仮",INDEX('01_予約入力'!$C$5:$C$204,$L9)),""))))</f>
        <v/>
      </c>
      <c r="Y9" s="36">
        <f>IF($A9="","",IF($P9&gt;0,IF(OR(INDEX('01_予約入力'!$N$5:$N$204,$P9)="仮予約",INDEX('01_予約入力'!$N$5:$N$204,$P9)="調整中"),"仮",INDEX('01_予約入力'!$C$5:$C$204,$P9)),IF($Q9&gt;0,IF(OR(INDEX('01_予約入力'!$N$5:$N$204,$Q9)="仮予約",INDEX('01_予約入力'!$N$5:$N$204,$Q9)="調整中"),"仮",INDEX('01_予約入力'!$C$5:$C$204,$Q9)),IF($O9&gt;0,IF(OR(INDEX('01_予約入力'!$N$5:$N$204,$O9)="仮予約",INDEX('01_予約入力'!$N$5:$N$204,$O9)="調整中"),"仮",INDEX('01_予約入力'!$C$5:$C$204,$O9)),""))))</f>
        <v/>
      </c>
      <c r="Z9" s="36">
        <f>IF($A9="","",IF($S9&gt;0,IF(OR(INDEX('01_予約入力'!$N$5:$N$204,$S9)="仮予約",INDEX('01_予約入力'!$N$5:$N$204,$S9)="調整中"),"仮",INDEX('01_予約入力'!$C$5:$C$204,$S9)),IF($T9&gt;0,IF(OR(INDEX('01_予約入力'!$N$5:$N$204,$T9)="仮予約",INDEX('01_予約入力'!$N$5:$N$204,$T9)="調整中"),"仮",INDEX('01_予約入力'!$C$5:$C$204,$T9)),IF($R9&gt;0,IF(OR(INDEX('01_予約入力'!$N$5:$N$204,$R9)="仮予約",INDEX('01_予約入力'!$N$5:$N$204,$R9)="調整中"),"仮",INDEX('01_予約入力'!$C$5:$C$204,$R9)),""))))</f>
        <v/>
      </c>
      <c r="AA9" s="36">
        <f>IF($A9="","",IF($V9&gt;0,IF(OR(INDEX('01_予約入力'!$N$5:$N$204,$V9)="仮予約",INDEX('01_予約入力'!$N$5:$N$204,$V9)="調整中"),"仮",INDEX('01_予約入力'!$C$5:$C$204,$V9)),IF($W9&gt;0,IF(OR(INDEX('01_予約入力'!$N$5:$N$204,$W9)="仮予約",INDEX('01_予約入力'!$N$5:$N$204,$W9)="調整中"),"仮",INDEX('01_予約入力'!$C$5:$C$204,$W9)),IF($U9&gt;0,IF(OR(INDEX('01_予約入力'!$N$5:$N$204,$U9)="仮予約",INDEX('01_予約入力'!$N$5:$N$204,$U9)="調整中"),"仮",INDEX('01_予約入力'!$C$5:$C$204,$U9)),""))))</f>
        <v/>
      </c>
    </row>
    <row r="10">
      <c r="A10" s="41">
        <f>IF(MONTH('02_カレンダー'!$B$4+3)&lt;&gt;MONTH('02_カレンダー'!$B$4),"",'02_カレンダー'!$B$4+3)</f>
        <v/>
      </c>
      <c r="B10" s="36">
        <f>IF($A10="","",MID("日月火水木金土",WEEKDAY($A10),1))</f>
        <v/>
      </c>
      <c r="C10" s="42">
        <f>IF(OR($A10="",C$6=""),"",IF($L10=0,"",INDEX('01_予約入力'!$B$5:$B$204,$L10)&amp;" ◀"&amp;IF(('02_カレンダー'!$B$5="○"),INDEX('01_予約入力'!$AB$5:$AB$204,$L10),""))&amp;IF(AND($L10&gt;0,OR($M10&gt;0,$N10&gt;0)),"  ","")&amp;IF($M10=0,"",IF(INDEX('01_予約入力'!$G$5:$G$204,$M10)=$A10,"▶"&amp;IF(('02_カレンダー'!$B$5="○"),INDEX('01_予約入力'!$AA$5:$AA$204,$M10)&amp;" "," "),"")&amp;INDEX('01_予約入力'!$B$5:$B$204,$M10))&amp;IF(AND($M10&gt;0,$N10&gt;0),"  ","")&amp;IF($N10=0,"","◆ "&amp;INDEX('01_予約入力'!$B$5:$B$204,$N10)&amp;IF(('02_カレンダー'!$B$5="○")," "&amp;INDEX('01_予約入力'!$AA$5:$AA$204,$N10)&amp;"-"&amp;INDEX('01_予約入力'!$AB$5:$AB$204,$N10),"")))</f>
        <v/>
      </c>
      <c r="D10" s="42">
        <f>IF(OR($A10="",D$6=""),"",IF($O10=0,"",INDEX('01_予約入力'!$B$5:$B$204,$O10)&amp;" ◀"&amp;IF(('02_カレンダー'!$B$5="○"),INDEX('01_予約入力'!$AB$5:$AB$204,$O10),""))&amp;IF(AND($O10&gt;0,OR($P10&gt;0,$Q10&gt;0)),"  ","")&amp;IF($P10=0,"",IF(INDEX('01_予約入力'!$G$5:$G$204,$P10)=$A10,"▶"&amp;IF(('02_カレンダー'!$B$5="○"),INDEX('01_予約入力'!$AA$5:$AA$204,$P10)&amp;" "," "),"")&amp;INDEX('01_予約入力'!$B$5:$B$204,$P10))&amp;IF(AND($P10&gt;0,$Q10&gt;0),"  ","")&amp;IF($Q10=0,"","◆ "&amp;INDEX('01_予約入力'!$B$5:$B$204,$Q10)&amp;IF(('02_カレンダー'!$B$5="○")," "&amp;INDEX('01_予約入力'!$AA$5:$AA$204,$Q10)&amp;"-"&amp;INDEX('01_予約入力'!$AB$5:$AB$204,$Q10),"")))</f>
        <v/>
      </c>
      <c r="E10" s="42">
        <f>IF(OR($A10="",E$6=""),"",IF($R10=0,"",INDEX('01_予約入力'!$B$5:$B$204,$R10)&amp;" ◀"&amp;IF(('02_カレンダー'!$B$5="○"),INDEX('01_予約入力'!$AB$5:$AB$204,$R10),""))&amp;IF(AND($R10&gt;0,OR($S10&gt;0,$T10&gt;0)),"  ","")&amp;IF($S10=0,"",IF(INDEX('01_予約入力'!$G$5:$G$204,$S10)=$A10,"▶"&amp;IF(('02_カレンダー'!$B$5="○"),INDEX('01_予約入力'!$AA$5:$AA$204,$S10)&amp;" "," "),"")&amp;INDEX('01_予約入力'!$B$5:$B$204,$S10))&amp;IF(AND($S10&gt;0,$T10&gt;0),"  ","")&amp;IF($T10=0,"","◆ "&amp;INDEX('01_予約入力'!$B$5:$B$204,$T10)&amp;IF(('02_カレンダー'!$B$5="○")," "&amp;INDEX('01_予約入力'!$AA$5:$AA$204,$T10)&amp;"-"&amp;INDEX('01_予約入力'!$AB$5:$AB$204,$T10),"")))</f>
        <v/>
      </c>
      <c r="F10" s="42">
        <f>IF(OR($A10="",F$6=""),"",IF($U10=0,"",INDEX('01_予約入力'!$B$5:$B$204,$U10)&amp;" ◀"&amp;IF(('02_カレンダー'!$B$5="○"),INDEX('01_予約入力'!$AB$5:$AB$204,$U10),""))&amp;IF(AND($U10&gt;0,OR($V10&gt;0,$W10&gt;0)),"  ","")&amp;IF($V10=0,"",IF(INDEX('01_予約入力'!$G$5:$G$204,$V10)=$A10,"▶"&amp;IF(('02_カレンダー'!$B$5="○"),INDEX('01_予約入力'!$AA$5:$AA$204,$V10)&amp;" "," "),"")&amp;INDEX('01_予約入力'!$B$5:$B$204,$V10))&amp;IF(AND($V10&gt;0,$W10&gt;0),"  ","")&amp;IF($W10=0,"","◆ "&amp;INDEX('01_予約入力'!$B$5:$B$204,$W10)&amp;IF(('02_カレンダー'!$B$5="○")," "&amp;INDEX('01_予約入力'!$AA$5:$AA$204,$W10)&amp;"-"&amp;INDEX('01_予約入力'!$AB$5:$AB$204,$W10),"")))</f>
        <v/>
      </c>
      <c r="G10" s="36">
        <f>IF($A10="","",SUMPRODUCT(('01_予約入力'!$G$5:$G$204&lt;&gt;"")*('01_予約入力'!$N$5:$N$204&lt;&gt;"キャンセル")*('01_予約入力'!$G$5:$G$204&lt;=$A10)*('01_予約入力'!$J$5:$J$204&gt;$A10)))</f>
        <v/>
      </c>
      <c r="H10" s="36">
        <f>IF($A10="","",'M_施設設定'!$B$6-$G10)</f>
        <v/>
      </c>
      <c r="I10" s="36">
        <f>IF($A10="","",SUMPRODUCT((('01_予約入力'!$N$5:$N$204="仮予約")+('01_予約入力'!$N$5:$N$204="調整中"))*('01_予約入力'!$G$5:$G$204&lt;&gt;"")*('01_予約入力'!$G$5:$G$204&lt;=$A10)*('01_予約入力'!$J$5:$J$204&gt;$A10)))</f>
        <v/>
      </c>
      <c r="J10" s="36">
        <f>IF($A10="","",IF($I10&gt;0,"仮",IF($H10&lt;=0,"×",IF($H10&lt;'M_施設設定'!$B$6,"△","○"))))</f>
        <v/>
      </c>
      <c r="K10" s="36">
        <f>IF($A10="","",SUMPRODUCT(('01_予約入力'!$G$5:$G$204&lt;&gt;"")*('01_予約入力'!$N$5:$N$204&lt;&gt;"キャンセル")*('01_予約入力'!$G$5:$G$204=$A10)*('01_予約入力'!$J$5:$J$204=$A10)))</f>
        <v/>
      </c>
      <c r="L10" s="36">
        <f>IF(OR($A10="",C$6=""),0,SUMPRODUCT(MAX(('01_予約入力'!$D$5:$D$204=C$6)*('01_予約入力'!$N$5:$N$204&lt;&gt;"キャンセル")*('01_予約入力'!$G$5:$G$204&lt;&gt;"")*('01_予約入力'!$J$5:$J$204=$A10)*('01_予約入力'!$G$5:$G$204&lt;$A10)*(ROW('01_予約入力'!$G$5:$G$204)-4))))</f>
        <v/>
      </c>
      <c r="M10" s="36">
        <f>IF(OR($A10="",C$6=""),0,SUMPRODUCT(MAX(('01_予約入力'!$D$5:$D$204=C$6)*('01_予約入力'!$N$5:$N$204&lt;&gt;"キャンセル")*('01_予約入力'!$G$5:$G$204&lt;&gt;"")*('01_予約入力'!$G$5:$G$204&lt;=$A10)*('01_予約入力'!$J$5:$J$204&gt;$A10)*(ROW('01_予約入力'!$G$5:$G$204)-4))))</f>
        <v/>
      </c>
      <c r="N10" s="36">
        <f>IF(OR($A10="",C$6=""),0,SUMPRODUCT(MAX(('01_予約入力'!$D$5:$D$204=C$6)*('01_予約入力'!$N$5:$N$204&lt;&gt;"キャンセル")*('01_予約入力'!$G$5:$G$204&lt;&gt;"")*('01_予約入力'!$G$5:$G$204=$A10)*('01_予約入力'!$J$5:$J$204=$A10)*(ROW('01_予約入力'!$G$5:$G$204)-4))))</f>
        <v/>
      </c>
      <c r="O10" s="36">
        <f>IF(OR($A10="",D$6=""),0,SUMPRODUCT(MAX(('01_予約入力'!$D$5:$D$204=D$6)*('01_予約入力'!$N$5:$N$204&lt;&gt;"キャンセル")*('01_予約入力'!$G$5:$G$204&lt;&gt;"")*('01_予約入力'!$J$5:$J$204=$A10)*('01_予約入力'!$G$5:$G$204&lt;$A10)*(ROW('01_予約入力'!$G$5:$G$204)-4))))</f>
        <v/>
      </c>
      <c r="P10" s="36">
        <f>IF(OR($A10="",D$6=""),0,SUMPRODUCT(MAX(('01_予約入力'!$D$5:$D$204=D$6)*('01_予約入力'!$N$5:$N$204&lt;&gt;"キャンセル")*('01_予約入力'!$G$5:$G$204&lt;&gt;"")*('01_予約入力'!$G$5:$G$204&lt;=$A10)*('01_予約入力'!$J$5:$J$204&gt;$A10)*(ROW('01_予約入力'!$G$5:$G$204)-4))))</f>
        <v/>
      </c>
      <c r="Q10" s="36">
        <f>IF(OR($A10="",D$6=""),0,SUMPRODUCT(MAX(('01_予約入力'!$D$5:$D$204=D$6)*('01_予約入力'!$N$5:$N$204&lt;&gt;"キャンセル")*('01_予約入力'!$G$5:$G$204&lt;&gt;"")*('01_予約入力'!$G$5:$G$204=$A10)*('01_予約入力'!$J$5:$J$204=$A10)*(ROW('01_予約入力'!$G$5:$G$204)-4))))</f>
        <v/>
      </c>
      <c r="R10" s="36">
        <f>IF(OR($A10="",E$6=""),0,SUMPRODUCT(MAX(('01_予約入力'!$D$5:$D$204=E$6)*('01_予約入力'!$N$5:$N$204&lt;&gt;"キャンセル")*('01_予約入力'!$G$5:$G$204&lt;&gt;"")*('01_予約入力'!$J$5:$J$204=$A10)*('01_予約入力'!$G$5:$G$204&lt;$A10)*(ROW('01_予約入力'!$G$5:$G$204)-4))))</f>
        <v/>
      </c>
      <c r="S10" s="36">
        <f>IF(OR($A10="",E$6=""),0,SUMPRODUCT(MAX(('01_予約入力'!$D$5:$D$204=E$6)*('01_予約入力'!$N$5:$N$204&lt;&gt;"キャンセル")*('01_予約入力'!$G$5:$G$204&lt;&gt;"")*('01_予約入力'!$G$5:$G$204&lt;=$A10)*('01_予約入力'!$J$5:$J$204&gt;$A10)*(ROW('01_予約入力'!$G$5:$G$204)-4))))</f>
        <v/>
      </c>
      <c r="T10" s="36">
        <f>IF(OR($A10="",E$6=""),0,SUMPRODUCT(MAX(('01_予約入力'!$D$5:$D$204=E$6)*('01_予約入力'!$N$5:$N$204&lt;&gt;"キャンセル")*('01_予約入力'!$G$5:$G$204&lt;&gt;"")*('01_予約入力'!$G$5:$G$204=$A10)*('01_予約入力'!$J$5:$J$204=$A10)*(ROW('01_予約入力'!$G$5:$G$204)-4))))</f>
        <v/>
      </c>
      <c r="U10" s="36">
        <f>IF(OR($A10="",F$6=""),0,SUMPRODUCT(MAX(('01_予約入力'!$D$5:$D$204=F$6)*('01_予約入力'!$N$5:$N$204&lt;&gt;"キャンセル")*('01_予約入力'!$G$5:$G$204&lt;&gt;"")*('01_予約入力'!$J$5:$J$204=$A10)*('01_予約入力'!$G$5:$G$204&lt;$A10)*(ROW('01_予約入力'!$G$5:$G$204)-4))))</f>
        <v/>
      </c>
      <c r="V10" s="36">
        <f>IF(OR($A10="",F$6=""),0,SUMPRODUCT(MAX(('01_予約入力'!$D$5:$D$204=F$6)*('01_予約入力'!$N$5:$N$204&lt;&gt;"キャンセル")*('01_予約入力'!$G$5:$G$204&lt;&gt;"")*('01_予約入力'!$G$5:$G$204&lt;=$A10)*('01_予約入力'!$J$5:$J$204&gt;$A10)*(ROW('01_予約入力'!$G$5:$G$204)-4))))</f>
        <v/>
      </c>
      <c r="W10" s="36">
        <f>IF(OR($A10="",F$6=""),0,SUMPRODUCT(MAX(('01_予約入力'!$D$5:$D$204=F$6)*('01_予約入力'!$N$5:$N$204&lt;&gt;"キャンセル")*('01_予約入力'!$G$5:$G$204&lt;&gt;"")*('01_予約入力'!$G$5:$G$204=$A10)*('01_予約入力'!$J$5:$J$204=$A10)*(ROW('01_予約入力'!$G$5:$G$204)-4))))</f>
        <v/>
      </c>
      <c r="X10" s="36">
        <f>IF($A10="","",IF($M10&gt;0,IF(OR(INDEX('01_予約入力'!$N$5:$N$204,$M10)="仮予約",INDEX('01_予約入力'!$N$5:$N$204,$M10)="調整中"),"仮",INDEX('01_予約入力'!$C$5:$C$204,$M10)),IF($N10&gt;0,IF(OR(INDEX('01_予約入力'!$N$5:$N$204,$N10)="仮予約",INDEX('01_予約入力'!$N$5:$N$204,$N10)="調整中"),"仮",INDEX('01_予約入力'!$C$5:$C$204,$N10)),IF($L10&gt;0,IF(OR(INDEX('01_予約入力'!$N$5:$N$204,$L10)="仮予約",INDEX('01_予約入力'!$N$5:$N$204,$L10)="調整中"),"仮",INDEX('01_予約入力'!$C$5:$C$204,$L10)),""))))</f>
        <v/>
      </c>
      <c r="Y10" s="36">
        <f>IF($A10="","",IF($P10&gt;0,IF(OR(INDEX('01_予約入力'!$N$5:$N$204,$P10)="仮予約",INDEX('01_予約入力'!$N$5:$N$204,$P10)="調整中"),"仮",INDEX('01_予約入力'!$C$5:$C$204,$P10)),IF($Q10&gt;0,IF(OR(INDEX('01_予約入力'!$N$5:$N$204,$Q10)="仮予約",INDEX('01_予約入力'!$N$5:$N$204,$Q10)="調整中"),"仮",INDEX('01_予約入力'!$C$5:$C$204,$Q10)),IF($O10&gt;0,IF(OR(INDEX('01_予約入力'!$N$5:$N$204,$O10)="仮予約",INDEX('01_予約入力'!$N$5:$N$204,$O10)="調整中"),"仮",INDEX('01_予約入力'!$C$5:$C$204,$O10)),""))))</f>
        <v/>
      </c>
      <c r="Z10" s="36">
        <f>IF($A10="","",IF($S10&gt;0,IF(OR(INDEX('01_予約入力'!$N$5:$N$204,$S10)="仮予約",INDEX('01_予約入力'!$N$5:$N$204,$S10)="調整中"),"仮",INDEX('01_予約入力'!$C$5:$C$204,$S10)),IF($T10&gt;0,IF(OR(INDEX('01_予約入力'!$N$5:$N$204,$T10)="仮予約",INDEX('01_予約入力'!$N$5:$N$204,$T10)="調整中"),"仮",INDEX('01_予約入力'!$C$5:$C$204,$T10)),IF($R10&gt;0,IF(OR(INDEX('01_予約入力'!$N$5:$N$204,$R10)="仮予約",INDEX('01_予約入力'!$N$5:$N$204,$R10)="調整中"),"仮",INDEX('01_予約入力'!$C$5:$C$204,$R10)),""))))</f>
        <v/>
      </c>
      <c r="AA10" s="36">
        <f>IF($A10="","",IF($V10&gt;0,IF(OR(INDEX('01_予約入力'!$N$5:$N$204,$V10)="仮予約",INDEX('01_予約入力'!$N$5:$N$204,$V10)="調整中"),"仮",INDEX('01_予約入力'!$C$5:$C$204,$V10)),IF($W10&gt;0,IF(OR(INDEX('01_予約入力'!$N$5:$N$204,$W10)="仮予約",INDEX('01_予約入力'!$N$5:$N$204,$W10)="調整中"),"仮",INDEX('01_予約入力'!$C$5:$C$204,$W10)),IF($U10&gt;0,IF(OR(INDEX('01_予約入力'!$N$5:$N$204,$U10)="仮予約",INDEX('01_予約入力'!$N$5:$N$204,$U10)="調整中"),"仮",INDEX('01_予約入力'!$C$5:$C$204,$U10)),""))))</f>
        <v/>
      </c>
    </row>
    <row r="11">
      <c r="A11" s="41">
        <f>IF(MONTH('02_カレンダー'!$B$4+4)&lt;&gt;MONTH('02_カレンダー'!$B$4),"",'02_カレンダー'!$B$4+4)</f>
        <v/>
      </c>
      <c r="B11" s="36">
        <f>IF($A11="","",MID("日月火水木金土",WEEKDAY($A11),1))</f>
        <v/>
      </c>
      <c r="C11" s="42">
        <f>IF(OR($A11="",C$6=""),"",IF($L11=0,"",INDEX('01_予約入力'!$B$5:$B$204,$L11)&amp;" ◀"&amp;IF(('02_カレンダー'!$B$5="○"),INDEX('01_予約入力'!$AB$5:$AB$204,$L11),""))&amp;IF(AND($L11&gt;0,OR($M11&gt;0,$N11&gt;0)),"  ","")&amp;IF($M11=0,"",IF(INDEX('01_予約入力'!$G$5:$G$204,$M11)=$A11,"▶"&amp;IF(('02_カレンダー'!$B$5="○"),INDEX('01_予約入力'!$AA$5:$AA$204,$M11)&amp;" "," "),"")&amp;INDEX('01_予約入力'!$B$5:$B$204,$M11))&amp;IF(AND($M11&gt;0,$N11&gt;0),"  ","")&amp;IF($N11=0,"","◆ "&amp;INDEX('01_予約入力'!$B$5:$B$204,$N11)&amp;IF(('02_カレンダー'!$B$5="○")," "&amp;INDEX('01_予約入力'!$AA$5:$AA$204,$N11)&amp;"-"&amp;INDEX('01_予約入力'!$AB$5:$AB$204,$N11),"")))</f>
        <v/>
      </c>
      <c r="D11" s="42">
        <f>IF(OR($A11="",D$6=""),"",IF($O11=0,"",INDEX('01_予約入力'!$B$5:$B$204,$O11)&amp;" ◀"&amp;IF(('02_カレンダー'!$B$5="○"),INDEX('01_予約入力'!$AB$5:$AB$204,$O11),""))&amp;IF(AND($O11&gt;0,OR($P11&gt;0,$Q11&gt;0)),"  ","")&amp;IF($P11=0,"",IF(INDEX('01_予約入力'!$G$5:$G$204,$P11)=$A11,"▶"&amp;IF(('02_カレンダー'!$B$5="○"),INDEX('01_予約入力'!$AA$5:$AA$204,$P11)&amp;" "," "),"")&amp;INDEX('01_予約入力'!$B$5:$B$204,$P11))&amp;IF(AND($P11&gt;0,$Q11&gt;0),"  ","")&amp;IF($Q11=0,"","◆ "&amp;INDEX('01_予約入力'!$B$5:$B$204,$Q11)&amp;IF(('02_カレンダー'!$B$5="○")," "&amp;INDEX('01_予約入力'!$AA$5:$AA$204,$Q11)&amp;"-"&amp;INDEX('01_予約入力'!$AB$5:$AB$204,$Q11),"")))</f>
        <v/>
      </c>
      <c r="E11" s="42">
        <f>IF(OR($A11="",E$6=""),"",IF($R11=0,"",INDEX('01_予約入力'!$B$5:$B$204,$R11)&amp;" ◀"&amp;IF(('02_カレンダー'!$B$5="○"),INDEX('01_予約入力'!$AB$5:$AB$204,$R11),""))&amp;IF(AND($R11&gt;0,OR($S11&gt;0,$T11&gt;0)),"  ","")&amp;IF($S11=0,"",IF(INDEX('01_予約入力'!$G$5:$G$204,$S11)=$A11,"▶"&amp;IF(('02_カレンダー'!$B$5="○"),INDEX('01_予約入力'!$AA$5:$AA$204,$S11)&amp;" "," "),"")&amp;INDEX('01_予約入力'!$B$5:$B$204,$S11))&amp;IF(AND($S11&gt;0,$T11&gt;0),"  ","")&amp;IF($T11=0,"","◆ "&amp;INDEX('01_予約入力'!$B$5:$B$204,$T11)&amp;IF(('02_カレンダー'!$B$5="○")," "&amp;INDEX('01_予約入力'!$AA$5:$AA$204,$T11)&amp;"-"&amp;INDEX('01_予約入力'!$AB$5:$AB$204,$T11),"")))</f>
        <v/>
      </c>
      <c r="F11" s="42">
        <f>IF(OR($A11="",F$6=""),"",IF($U11=0,"",INDEX('01_予約入力'!$B$5:$B$204,$U11)&amp;" ◀"&amp;IF(('02_カレンダー'!$B$5="○"),INDEX('01_予約入力'!$AB$5:$AB$204,$U11),""))&amp;IF(AND($U11&gt;0,OR($V11&gt;0,$W11&gt;0)),"  ","")&amp;IF($V11=0,"",IF(INDEX('01_予約入力'!$G$5:$G$204,$V11)=$A11,"▶"&amp;IF(('02_カレンダー'!$B$5="○"),INDEX('01_予約入力'!$AA$5:$AA$204,$V11)&amp;" "," "),"")&amp;INDEX('01_予約入力'!$B$5:$B$204,$V11))&amp;IF(AND($V11&gt;0,$W11&gt;0),"  ","")&amp;IF($W11=0,"","◆ "&amp;INDEX('01_予約入力'!$B$5:$B$204,$W11)&amp;IF(('02_カレンダー'!$B$5="○")," "&amp;INDEX('01_予約入力'!$AA$5:$AA$204,$W11)&amp;"-"&amp;INDEX('01_予約入力'!$AB$5:$AB$204,$W11),"")))</f>
        <v/>
      </c>
      <c r="G11" s="36">
        <f>IF($A11="","",SUMPRODUCT(('01_予約入力'!$G$5:$G$204&lt;&gt;"")*('01_予約入力'!$N$5:$N$204&lt;&gt;"キャンセル")*('01_予約入力'!$G$5:$G$204&lt;=$A11)*('01_予約入力'!$J$5:$J$204&gt;$A11)))</f>
        <v/>
      </c>
      <c r="H11" s="36">
        <f>IF($A11="","",'M_施設設定'!$B$6-$G11)</f>
        <v/>
      </c>
      <c r="I11" s="36">
        <f>IF($A11="","",SUMPRODUCT((('01_予約入力'!$N$5:$N$204="仮予約")+('01_予約入力'!$N$5:$N$204="調整中"))*('01_予約入力'!$G$5:$G$204&lt;&gt;"")*('01_予約入力'!$G$5:$G$204&lt;=$A11)*('01_予約入力'!$J$5:$J$204&gt;$A11)))</f>
        <v/>
      </c>
      <c r="J11" s="36">
        <f>IF($A11="","",IF($I11&gt;0,"仮",IF($H11&lt;=0,"×",IF($H11&lt;'M_施設設定'!$B$6,"△","○"))))</f>
        <v/>
      </c>
      <c r="K11" s="36">
        <f>IF($A11="","",SUMPRODUCT(('01_予約入力'!$G$5:$G$204&lt;&gt;"")*('01_予約入力'!$N$5:$N$204&lt;&gt;"キャンセル")*('01_予約入力'!$G$5:$G$204=$A11)*('01_予約入力'!$J$5:$J$204=$A11)))</f>
        <v/>
      </c>
      <c r="L11" s="36">
        <f>IF(OR($A11="",C$6=""),0,SUMPRODUCT(MAX(('01_予約入力'!$D$5:$D$204=C$6)*('01_予約入力'!$N$5:$N$204&lt;&gt;"キャンセル")*('01_予約入力'!$G$5:$G$204&lt;&gt;"")*('01_予約入力'!$J$5:$J$204=$A11)*('01_予約入力'!$G$5:$G$204&lt;$A11)*(ROW('01_予約入力'!$G$5:$G$204)-4))))</f>
        <v/>
      </c>
      <c r="M11" s="36">
        <f>IF(OR($A11="",C$6=""),0,SUMPRODUCT(MAX(('01_予約入力'!$D$5:$D$204=C$6)*('01_予約入力'!$N$5:$N$204&lt;&gt;"キャンセル")*('01_予約入力'!$G$5:$G$204&lt;&gt;"")*('01_予約入力'!$G$5:$G$204&lt;=$A11)*('01_予約入力'!$J$5:$J$204&gt;$A11)*(ROW('01_予約入力'!$G$5:$G$204)-4))))</f>
        <v/>
      </c>
      <c r="N11" s="36">
        <f>IF(OR($A11="",C$6=""),0,SUMPRODUCT(MAX(('01_予約入力'!$D$5:$D$204=C$6)*('01_予約入力'!$N$5:$N$204&lt;&gt;"キャンセル")*('01_予約入力'!$G$5:$G$204&lt;&gt;"")*('01_予約入力'!$G$5:$G$204=$A11)*('01_予約入力'!$J$5:$J$204=$A11)*(ROW('01_予約入力'!$G$5:$G$204)-4))))</f>
        <v/>
      </c>
      <c r="O11" s="36">
        <f>IF(OR($A11="",D$6=""),0,SUMPRODUCT(MAX(('01_予約入力'!$D$5:$D$204=D$6)*('01_予約入力'!$N$5:$N$204&lt;&gt;"キャンセル")*('01_予約入力'!$G$5:$G$204&lt;&gt;"")*('01_予約入力'!$J$5:$J$204=$A11)*('01_予約入力'!$G$5:$G$204&lt;$A11)*(ROW('01_予約入力'!$G$5:$G$204)-4))))</f>
        <v/>
      </c>
      <c r="P11" s="36">
        <f>IF(OR($A11="",D$6=""),0,SUMPRODUCT(MAX(('01_予約入力'!$D$5:$D$204=D$6)*('01_予約入力'!$N$5:$N$204&lt;&gt;"キャンセル")*('01_予約入力'!$G$5:$G$204&lt;&gt;"")*('01_予約入力'!$G$5:$G$204&lt;=$A11)*('01_予約入力'!$J$5:$J$204&gt;$A11)*(ROW('01_予約入力'!$G$5:$G$204)-4))))</f>
        <v/>
      </c>
      <c r="Q11" s="36">
        <f>IF(OR($A11="",D$6=""),0,SUMPRODUCT(MAX(('01_予約入力'!$D$5:$D$204=D$6)*('01_予約入力'!$N$5:$N$204&lt;&gt;"キャンセル")*('01_予約入力'!$G$5:$G$204&lt;&gt;"")*('01_予約入力'!$G$5:$G$204=$A11)*('01_予約入力'!$J$5:$J$204=$A11)*(ROW('01_予約入力'!$G$5:$G$204)-4))))</f>
        <v/>
      </c>
      <c r="R11" s="36">
        <f>IF(OR($A11="",E$6=""),0,SUMPRODUCT(MAX(('01_予約入力'!$D$5:$D$204=E$6)*('01_予約入力'!$N$5:$N$204&lt;&gt;"キャンセル")*('01_予約入力'!$G$5:$G$204&lt;&gt;"")*('01_予約入力'!$J$5:$J$204=$A11)*('01_予約入力'!$G$5:$G$204&lt;$A11)*(ROW('01_予約入力'!$G$5:$G$204)-4))))</f>
        <v/>
      </c>
      <c r="S11" s="36">
        <f>IF(OR($A11="",E$6=""),0,SUMPRODUCT(MAX(('01_予約入力'!$D$5:$D$204=E$6)*('01_予約入力'!$N$5:$N$204&lt;&gt;"キャンセル")*('01_予約入力'!$G$5:$G$204&lt;&gt;"")*('01_予約入力'!$G$5:$G$204&lt;=$A11)*('01_予約入力'!$J$5:$J$204&gt;$A11)*(ROW('01_予約入力'!$G$5:$G$204)-4))))</f>
        <v/>
      </c>
      <c r="T11" s="36">
        <f>IF(OR($A11="",E$6=""),0,SUMPRODUCT(MAX(('01_予約入力'!$D$5:$D$204=E$6)*('01_予約入力'!$N$5:$N$204&lt;&gt;"キャンセル")*('01_予約入力'!$G$5:$G$204&lt;&gt;"")*('01_予約入力'!$G$5:$G$204=$A11)*('01_予約入力'!$J$5:$J$204=$A11)*(ROW('01_予約入力'!$G$5:$G$204)-4))))</f>
        <v/>
      </c>
      <c r="U11" s="36">
        <f>IF(OR($A11="",F$6=""),0,SUMPRODUCT(MAX(('01_予約入力'!$D$5:$D$204=F$6)*('01_予約入力'!$N$5:$N$204&lt;&gt;"キャンセル")*('01_予約入力'!$G$5:$G$204&lt;&gt;"")*('01_予約入力'!$J$5:$J$204=$A11)*('01_予約入力'!$G$5:$G$204&lt;$A11)*(ROW('01_予約入力'!$G$5:$G$204)-4))))</f>
        <v/>
      </c>
      <c r="V11" s="36">
        <f>IF(OR($A11="",F$6=""),0,SUMPRODUCT(MAX(('01_予約入力'!$D$5:$D$204=F$6)*('01_予約入力'!$N$5:$N$204&lt;&gt;"キャンセル")*('01_予約入力'!$G$5:$G$204&lt;&gt;"")*('01_予約入力'!$G$5:$G$204&lt;=$A11)*('01_予約入力'!$J$5:$J$204&gt;$A11)*(ROW('01_予約入力'!$G$5:$G$204)-4))))</f>
        <v/>
      </c>
      <c r="W11" s="36">
        <f>IF(OR($A11="",F$6=""),0,SUMPRODUCT(MAX(('01_予約入力'!$D$5:$D$204=F$6)*('01_予約入力'!$N$5:$N$204&lt;&gt;"キャンセル")*('01_予約入力'!$G$5:$G$204&lt;&gt;"")*('01_予約入力'!$G$5:$G$204=$A11)*('01_予約入力'!$J$5:$J$204=$A11)*(ROW('01_予約入力'!$G$5:$G$204)-4))))</f>
        <v/>
      </c>
      <c r="X11" s="36">
        <f>IF($A11="","",IF($M11&gt;0,IF(OR(INDEX('01_予約入力'!$N$5:$N$204,$M11)="仮予約",INDEX('01_予約入力'!$N$5:$N$204,$M11)="調整中"),"仮",INDEX('01_予約入力'!$C$5:$C$204,$M11)),IF($N11&gt;0,IF(OR(INDEX('01_予約入力'!$N$5:$N$204,$N11)="仮予約",INDEX('01_予約入力'!$N$5:$N$204,$N11)="調整中"),"仮",INDEX('01_予約入力'!$C$5:$C$204,$N11)),IF($L11&gt;0,IF(OR(INDEX('01_予約入力'!$N$5:$N$204,$L11)="仮予約",INDEX('01_予約入力'!$N$5:$N$204,$L11)="調整中"),"仮",INDEX('01_予約入力'!$C$5:$C$204,$L11)),""))))</f>
        <v/>
      </c>
      <c r="Y11" s="36">
        <f>IF($A11="","",IF($P11&gt;0,IF(OR(INDEX('01_予約入力'!$N$5:$N$204,$P11)="仮予約",INDEX('01_予約入力'!$N$5:$N$204,$P11)="調整中"),"仮",INDEX('01_予約入力'!$C$5:$C$204,$P11)),IF($Q11&gt;0,IF(OR(INDEX('01_予約入力'!$N$5:$N$204,$Q11)="仮予約",INDEX('01_予約入力'!$N$5:$N$204,$Q11)="調整中"),"仮",INDEX('01_予約入力'!$C$5:$C$204,$Q11)),IF($O11&gt;0,IF(OR(INDEX('01_予約入力'!$N$5:$N$204,$O11)="仮予約",INDEX('01_予約入力'!$N$5:$N$204,$O11)="調整中"),"仮",INDEX('01_予約入力'!$C$5:$C$204,$O11)),""))))</f>
        <v/>
      </c>
      <c r="Z11" s="36">
        <f>IF($A11="","",IF($S11&gt;0,IF(OR(INDEX('01_予約入力'!$N$5:$N$204,$S11)="仮予約",INDEX('01_予約入力'!$N$5:$N$204,$S11)="調整中"),"仮",INDEX('01_予約入力'!$C$5:$C$204,$S11)),IF($T11&gt;0,IF(OR(INDEX('01_予約入力'!$N$5:$N$204,$T11)="仮予約",INDEX('01_予約入力'!$N$5:$N$204,$T11)="調整中"),"仮",INDEX('01_予約入力'!$C$5:$C$204,$T11)),IF($R11&gt;0,IF(OR(INDEX('01_予約入力'!$N$5:$N$204,$R11)="仮予約",INDEX('01_予約入力'!$N$5:$N$204,$R11)="調整中"),"仮",INDEX('01_予約入力'!$C$5:$C$204,$R11)),""))))</f>
        <v/>
      </c>
      <c r="AA11" s="36">
        <f>IF($A11="","",IF($V11&gt;0,IF(OR(INDEX('01_予約入力'!$N$5:$N$204,$V11)="仮予約",INDEX('01_予約入力'!$N$5:$N$204,$V11)="調整中"),"仮",INDEX('01_予約入力'!$C$5:$C$204,$V11)),IF($W11&gt;0,IF(OR(INDEX('01_予約入力'!$N$5:$N$204,$W11)="仮予約",INDEX('01_予約入力'!$N$5:$N$204,$W11)="調整中"),"仮",INDEX('01_予約入力'!$C$5:$C$204,$W11)),IF($U11&gt;0,IF(OR(INDEX('01_予約入力'!$N$5:$N$204,$U11)="仮予約",INDEX('01_予約入力'!$N$5:$N$204,$U11)="調整中"),"仮",INDEX('01_予約入力'!$C$5:$C$204,$U11)),""))))</f>
        <v/>
      </c>
    </row>
    <row r="12">
      <c r="A12" s="41">
        <f>IF(MONTH('02_カレンダー'!$B$4+5)&lt;&gt;MONTH('02_カレンダー'!$B$4),"",'02_カレンダー'!$B$4+5)</f>
        <v/>
      </c>
      <c r="B12" s="36">
        <f>IF($A12="","",MID("日月火水木金土",WEEKDAY($A12),1))</f>
        <v/>
      </c>
      <c r="C12" s="42">
        <f>IF(OR($A12="",C$6=""),"",IF($L12=0,"",INDEX('01_予約入力'!$B$5:$B$204,$L12)&amp;" ◀"&amp;IF(('02_カレンダー'!$B$5="○"),INDEX('01_予約入力'!$AB$5:$AB$204,$L12),""))&amp;IF(AND($L12&gt;0,OR($M12&gt;0,$N12&gt;0)),"  ","")&amp;IF($M12=0,"",IF(INDEX('01_予約入力'!$G$5:$G$204,$M12)=$A12,"▶"&amp;IF(('02_カレンダー'!$B$5="○"),INDEX('01_予約入力'!$AA$5:$AA$204,$M12)&amp;" "," "),"")&amp;INDEX('01_予約入力'!$B$5:$B$204,$M12))&amp;IF(AND($M12&gt;0,$N12&gt;0),"  ","")&amp;IF($N12=0,"","◆ "&amp;INDEX('01_予約入力'!$B$5:$B$204,$N12)&amp;IF(('02_カレンダー'!$B$5="○")," "&amp;INDEX('01_予約入力'!$AA$5:$AA$204,$N12)&amp;"-"&amp;INDEX('01_予約入力'!$AB$5:$AB$204,$N12),"")))</f>
        <v/>
      </c>
      <c r="D12" s="42">
        <f>IF(OR($A12="",D$6=""),"",IF($O12=0,"",INDEX('01_予約入力'!$B$5:$B$204,$O12)&amp;" ◀"&amp;IF(('02_カレンダー'!$B$5="○"),INDEX('01_予約入力'!$AB$5:$AB$204,$O12),""))&amp;IF(AND($O12&gt;0,OR($P12&gt;0,$Q12&gt;0)),"  ","")&amp;IF($P12=0,"",IF(INDEX('01_予約入力'!$G$5:$G$204,$P12)=$A12,"▶"&amp;IF(('02_カレンダー'!$B$5="○"),INDEX('01_予約入力'!$AA$5:$AA$204,$P12)&amp;" "," "),"")&amp;INDEX('01_予約入力'!$B$5:$B$204,$P12))&amp;IF(AND($P12&gt;0,$Q12&gt;0),"  ","")&amp;IF($Q12=0,"","◆ "&amp;INDEX('01_予約入力'!$B$5:$B$204,$Q12)&amp;IF(('02_カレンダー'!$B$5="○")," "&amp;INDEX('01_予約入力'!$AA$5:$AA$204,$Q12)&amp;"-"&amp;INDEX('01_予約入力'!$AB$5:$AB$204,$Q12),"")))</f>
        <v/>
      </c>
      <c r="E12" s="42">
        <f>IF(OR($A12="",E$6=""),"",IF($R12=0,"",INDEX('01_予約入力'!$B$5:$B$204,$R12)&amp;" ◀"&amp;IF(('02_カレンダー'!$B$5="○"),INDEX('01_予約入力'!$AB$5:$AB$204,$R12),""))&amp;IF(AND($R12&gt;0,OR($S12&gt;0,$T12&gt;0)),"  ","")&amp;IF($S12=0,"",IF(INDEX('01_予約入力'!$G$5:$G$204,$S12)=$A12,"▶"&amp;IF(('02_カレンダー'!$B$5="○"),INDEX('01_予約入力'!$AA$5:$AA$204,$S12)&amp;" "," "),"")&amp;INDEX('01_予約入力'!$B$5:$B$204,$S12))&amp;IF(AND($S12&gt;0,$T12&gt;0),"  ","")&amp;IF($T12=0,"","◆ "&amp;INDEX('01_予約入力'!$B$5:$B$204,$T12)&amp;IF(('02_カレンダー'!$B$5="○")," "&amp;INDEX('01_予約入力'!$AA$5:$AA$204,$T12)&amp;"-"&amp;INDEX('01_予約入力'!$AB$5:$AB$204,$T12),"")))</f>
        <v/>
      </c>
      <c r="F12" s="42">
        <f>IF(OR($A12="",F$6=""),"",IF($U12=0,"",INDEX('01_予約入力'!$B$5:$B$204,$U12)&amp;" ◀"&amp;IF(('02_カレンダー'!$B$5="○"),INDEX('01_予約入力'!$AB$5:$AB$204,$U12),""))&amp;IF(AND($U12&gt;0,OR($V12&gt;0,$W12&gt;0)),"  ","")&amp;IF($V12=0,"",IF(INDEX('01_予約入力'!$G$5:$G$204,$V12)=$A12,"▶"&amp;IF(('02_カレンダー'!$B$5="○"),INDEX('01_予約入力'!$AA$5:$AA$204,$V12)&amp;" "," "),"")&amp;INDEX('01_予約入力'!$B$5:$B$204,$V12))&amp;IF(AND($V12&gt;0,$W12&gt;0),"  ","")&amp;IF($W12=0,"","◆ "&amp;INDEX('01_予約入力'!$B$5:$B$204,$W12)&amp;IF(('02_カレンダー'!$B$5="○")," "&amp;INDEX('01_予約入力'!$AA$5:$AA$204,$W12)&amp;"-"&amp;INDEX('01_予約入力'!$AB$5:$AB$204,$W12),"")))</f>
        <v/>
      </c>
      <c r="G12" s="36">
        <f>IF($A12="","",SUMPRODUCT(('01_予約入力'!$G$5:$G$204&lt;&gt;"")*('01_予約入力'!$N$5:$N$204&lt;&gt;"キャンセル")*('01_予約入力'!$G$5:$G$204&lt;=$A12)*('01_予約入力'!$J$5:$J$204&gt;$A12)))</f>
        <v/>
      </c>
      <c r="H12" s="36">
        <f>IF($A12="","",'M_施設設定'!$B$6-$G12)</f>
        <v/>
      </c>
      <c r="I12" s="36">
        <f>IF($A12="","",SUMPRODUCT((('01_予約入力'!$N$5:$N$204="仮予約")+('01_予約入力'!$N$5:$N$204="調整中"))*('01_予約入力'!$G$5:$G$204&lt;&gt;"")*('01_予約入力'!$G$5:$G$204&lt;=$A12)*('01_予約入力'!$J$5:$J$204&gt;$A12)))</f>
        <v/>
      </c>
      <c r="J12" s="36">
        <f>IF($A12="","",IF($I12&gt;0,"仮",IF($H12&lt;=0,"×",IF($H12&lt;'M_施設設定'!$B$6,"△","○"))))</f>
        <v/>
      </c>
      <c r="K12" s="36">
        <f>IF($A12="","",SUMPRODUCT(('01_予約入力'!$G$5:$G$204&lt;&gt;"")*('01_予約入力'!$N$5:$N$204&lt;&gt;"キャンセル")*('01_予約入力'!$G$5:$G$204=$A12)*('01_予約入力'!$J$5:$J$204=$A12)))</f>
        <v/>
      </c>
      <c r="L12" s="36">
        <f>IF(OR($A12="",C$6=""),0,SUMPRODUCT(MAX(('01_予約入力'!$D$5:$D$204=C$6)*('01_予約入力'!$N$5:$N$204&lt;&gt;"キャンセル")*('01_予約入力'!$G$5:$G$204&lt;&gt;"")*('01_予約入力'!$J$5:$J$204=$A12)*('01_予約入力'!$G$5:$G$204&lt;$A12)*(ROW('01_予約入力'!$G$5:$G$204)-4))))</f>
        <v/>
      </c>
      <c r="M12" s="36">
        <f>IF(OR($A12="",C$6=""),0,SUMPRODUCT(MAX(('01_予約入力'!$D$5:$D$204=C$6)*('01_予約入力'!$N$5:$N$204&lt;&gt;"キャンセル")*('01_予約入力'!$G$5:$G$204&lt;&gt;"")*('01_予約入力'!$G$5:$G$204&lt;=$A12)*('01_予約入力'!$J$5:$J$204&gt;$A12)*(ROW('01_予約入力'!$G$5:$G$204)-4))))</f>
        <v/>
      </c>
      <c r="N12" s="36">
        <f>IF(OR($A12="",C$6=""),0,SUMPRODUCT(MAX(('01_予約入力'!$D$5:$D$204=C$6)*('01_予約入力'!$N$5:$N$204&lt;&gt;"キャンセル")*('01_予約入力'!$G$5:$G$204&lt;&gt;"")*('01_予約入力'!$G$5:$G$204=$A12)*('01_予約入力'!$J$5:$J$204=$A12)*(ROW('01_予約入力'!$G$5:$G$204)-4))))</f>
        <v/>
      </c>
      <c r="O12" s="36">
        <f>IF(OR($A12="",D$6=""),0,SUMPRODUCT(MAX(('01_予約入力'!$D$5:$D$204=D$6)*('01_予約入力'!$N$5:$N$204&lt;&gt;"キャンセル")*('01_予約入力'!$G$5:$G$204&lt;&gt;"")*('01_予約入力'!$J$5:$J$204=$A12)*('01_予約入力'!$G$5:$G$204&lt;$A12)*(ROW('01_予約入力'!$G$5:$G$204)-4))))</f>
        <v/>
      </c>
      <c r="P12" s="36">
        <f>IF(OR($A12="",D$6=""),0,SUMPRODUCT(MAX(('01_予約入力'!$D$5:$D$204=D$6)*('01_予約入力'!$N$5:$N$204&lt;&gt;"キャンセル")*('01_予約入力'!$G$5:$G$204&lt;&gt;"")*('01_予約入力'!$G$5:$G$204&lt;=$A12)*('01_予約入力'!$J$5:$J$204&gt;$A12)*(ROW('01_予約入力'!$G$5:$G$204)-4))))</f>
        <v/>
      </c>
      <c r="Q12" s="36">
        <f>IF(OR($A12="",D$6=""),0,SUMPRODUCT(MAX(('01_予約入力'!$D$5:$D$204=D$6)*('01_予約入力'!$N$5:$N$204&lt;&gt;"キャンセル")*('01_予約入力'!$G$5:$G$204&lt;&gt;"")*('01_予約入力'!$G$5:$G$204=$A12)*('01_予約入力'!$J$5:$J$204=$A12)*(ROW('01_予約入力'!$G$5:$G$204)-4))))</f>
        <v/>
      </c>
      <c r="R12" s="36">
        <f>IF(OR($A12="",E$6=""),0,SUMPRODUCT(MAX(('01_予約入力'!$D$5:$D$204=E$6)*('01_予約入力'!$N$5:$N$204&lt;&gt;"キャンセル")*('01_予約入力'!$G$5:$G$204&lt;&gt;"")*('01_予約入力'!$J$5:$J$204=$A12)*('01_予約入力'!$G$5:$G$204&lt;$A12)*(ROW('01_予約入力'!$G$5:$G$204)-4))))</f>
        <v/>
      </c>
      <c r="S12" s="36">
        <f>IF(OR($A12="",E$6=""),0,SUMPRODUCT(MAX(('01_予約入力'!$D$5:$D$204=E$6)*('01_予約入力'!$N$5:$N$204&lt;&gt;"キャンセル")*('01_予約入力'!$G$5:$G$204&lt;&gt;"")*('01_予約入力'!$G$5:$G$204&lt;=$A12)*('01_予約入力'!$J$5:$J$204&gt;$A12)*(ROW('01_予約入力'!$G$5:$G$204)-4))))</f>
        <v/>
      </c>
      <c r="T12" s="36">
        <f>IF(OR($A12="",E$6=""),0,SUMPRODUCT(MAX(('01_予約入力'!$D$5:$D$204=E$6)*('01_予約入力'!$N$5:$N$204&lt;&gt;"キャンセル")*('01_予約入力'!$G$5:$G$204&lt;&gt;"")*('01_予約入力'!$G$5:$G$204=$A12)*('01_予約入力'!$J$5:$J$204=$A12)*(ROW('01_予約入力'!$G$5:$G$204)-4))))</f>
        <v/>
      </c>
      <c r="U12" s="36">
        <f>IF(OR($A12="",F$6=""),0,SUMPRODUCT(MAX(('01_予約入力'!$D$5:$D$204=F$6)*('01_予約入力'!$N$5:$N$204&lt;&gt;"キャンセル")*('01_予約入力'!$G$5:$G$204&lt;&gt;"")*('01_予約入力'!$J$5:$J$204=$A12)*('01_予約入力'!$G$5:$G$204&lt;$A12)*(ROW('01_予約入力'!$G$5:$G$204)-4))))</f>
        <v/>
      </c>
      <c r="V12" s="36">
        <f>IF(OR($A12="",F$6=""),0,SUMPRODUCT(MAX(('01_予約入力'!$D$5:$D$204=F$6)*('01_予約入力'!$N$5:$N$204&lt;&gt;"キャンセル")*('01_予約入力'!$G$5:$G$204&lt;&gt;"")*('01_予約入力'!$G$5:$G$204&lt;=$A12)*('01_予約入力'!$J$5:$J$204&gt;$A12)*(ROW('01_予約入力'!$G$5:$G$204)-4))))</f>
        <v/>
      </c>
      <c r="W12" s="36">
        <f>IF(OR($A12="",F$6=""),0,SUMPRODUCT(MAX(('01_予約入力'!$D$5:$D$204=F$6)*('01_予約入力'!$N$5:$N$204&lt;&gt;"キャンセル")*('01_予約入力'!$G$5:$G$204&lt;&gt;"")*('01_予約入力'!$G$5:$G$204=$A12)*('01_予約入力'!$J$5:$J$204=$A12)*(ROW('01_予約入力'!$G$5:$G$204)-4))))</f>
        <v/>
      </c>
      <c r="X12" s="36">
        <f>IF($A12="","",IF($M12&gt;0,IF(OR(INDEX('01_予約入力'!$N$5:$N$204,$M12)="仮予約",INDEX('01_予約入力'!$N$5:$N$204,$M12)="調整中"),"仮",INDEX('01_予約入力'!$C$5:$C$204,$M12)),IF($N12&gt;0,IF(OR(INDEX('01_予約入力'!$N$5:$N$204,$N12)="仮予約",INDEX('01_予約入力'!$N$5:$N$204,$N12)="調整中"),"仮",INDEX('01_予約入力'!$C$5:$C$204,$N12)),IF($L12&gt;0,IF(OR(INDEX('01_予約入力'!$N$5:$N$204,$L12)="仮予約",INDEX('01_予約入力'!$N$5:$N$204,$L12)="調整中"),"仮",INDEX('01_予約入力'!$C$5:$C$204,$L12)),""))))</f>
        <v/>
      </c>
      <c r="Y12" s="36">
        <f>IF($A12="","",IF($P12&gt;0,IF(OR(INDEX('01_予約入力'!$N$5:$N$204,$P12)="仮予約",INDEX('01_予約入力'!$N$5:$N$204,$P12)="調整中"),"仮",INDEX('01_予約入力'!$C$5:$C$204,$P12)),IF($Q12&gt;0,IF(OR(INDEX('01_予約入力'!$N$5:$N$204,$Q12)="仮予約",INDEX('01_予約入力'!$N$5:$N$204,$Q12)="調整中"),"仮",INDEX('01_予約入力'!$C$5:$C$204,$Q12)),IF($O12&gt;0,IF(OR(INDEX('01_予約入力'!$N$5:$N$204,$O12)="仮予約",INDEX('01_予約入力'!$N$5:$N$204,$O12)="調整中"),"仮",INDEX('01_予約入力'!$C$5:$C$204,$O12)),""))))</f>
        <v/>
      </c>
      <c r="Z12" s="36">
        <f>IF($A12="","",IF($S12&gt;0,IF(OR(INDEX('01_予約入力'!$N$5:$N$204,$S12)="仮予約",INDEX('01_予約入力'!$N$5:$N$204,$S12)="調整中"),"仮",INDEX('01_予約入力'!$C$5:$C$204,$S12)),IF($T12&gt;0,IF(OR(INDEX('01_予約入力'!$N$5:$N$204,$T12)="仮予約",INDEX('01_予約入力'!$N$5:$N$204,$T12)="調整中"),"仮",INDEX('01_予約入力'!$C$5:$C$204,$T12)),IF($R12&gt;0,IF(OR(INDEX('01_予約入力'!$N$5:$N$204,$R12)="仮予約",INDEX('01_予約入力'!$N$5:$N$204,$R12)="調整中"),"仮",INDEX('01_予約入力'!$C$5:$C$204,$R12)),""))))</f>
        <v/>
      </c>
      <c r="AA12" s="36">
        <f>IF($A12="","",IF($V12&gt;0,IF(OR(INDEX('01_予約入力'!$N$5:$N$204,$V12)="仮予約",INDEX('01_予約入力'!$N$5:$N$204,$V12)="調整中"),"仮",INDEX('01_予約入力'!$C$5:$C$204,$V12)),IF($W12&gt;0,IF(OR(INDEX('01_予約入力'!$N$5:$N$204,$W12)="仮予約",INDEX('01_予約入力'!$N$5:$N$204,$W12)="調整中"),"仮",INDEX('01_予約入力'!$C$5:$C$204,$W12)),IF($U12&gt;0,IF(OR(INDEX('01_予約入力'!$N$5:$N$204,$U12)="仮予約",INDEX('01_予約入力'!$N$5:$N$204,$U12)="調整中"),"仮",INDEX('01_予約入力'!$C$5:$C$204,$U12)),""))))</f>
        <v/>
      </c>
    </row>
    <row r="13">
      <c r="A13" s="41">
        <f>IF(MONTH('02_カレンダー'!$B$4+6)&lt;&gt;MONTH('02_カレンダー'!$B$4),"",'02_カレンダー'!$B$4+6)</f>
        <v/>
      </c>
      <c r="B13" s="36">
        <f>IF($A13="","",MID("日月火水木金土",WEEKDAY($A13),1))</f>
        <v/>
      </c>
      <c r="C13" s="42">
        <f>IF(OR($A13="",C$6=""),"",IF($L13=0,"",INDEX('01_予約入力'!$B$5:$B$204,$L13)&amp;" ◀"&amp;IF(('02_カレンダー'!$B$5="○"),INDEX('01_予約入力'!$AB$5:$AB$204,$L13),""))&amp;IF(AND($L13&gt;0,OR($M13&gt;0,$N13&gt;0)),"  ","")&amp;IF($M13=0,"",IF(INDEX('01_予約入力'!$G$5:$G$204,$M13)=$A13,"▶"&amp;IF(('02_カレンダー'!$B$5="○"),INDEX('01_予約入力'!$AA$5:$AA$204,$M13)&amp;" "," "),"")&amp;INDEX('01_予約入力'!$B$5:$B$204,$M13))&amp;IF(AND($M13&gt;0,$N13&gt;0),"  ","")&amp;IF($N13=0,"","◆ "&amp;INDEX('01_予約入力'!$B$5:$B$204,$N13)&amp;IF(('02_カレンダー'!$B$5="○")," "&amp;INDEX('01_予約入力'!$AA$5:$AA$204,$N13)&amp;"-"&amp;INDEX('01_予約入力'!$AB$5:$AB$204,$N13),"")))</f>
        <v/>
      </c>
      <c r="D13" s="42">
        <f>IF(OR($A13="",D$6=""),"",IF($O13=0,"",INDEX('01_予約入力'!$B$5:$B$204,$O13)&amp;" ◀"&amp;IF(('02_カレンダー'!$B$5="○"),INDEX('01_予約入力'!$AB$5:$AB$204,$O13),""))&amp;IF(AND($O13&gt;0,OR($P13&gt;0,$Q13&gt;0)),"  ","")&amp;IF($P13=0,"",IF(INDEX('01_予約入力'!$G$5:$G$204,$P13)=$A13,"▶"&amp;IF(('02_カレンダー'!$B$5="○"),INDEX('01_予約入力'!$AA$5:$AA$204,$P13)&amp;" "," "),"")&amp;INDEX('01_予約入力'!$B$5:$B$204,$P13))&amp;IF(AND($P13&gt;0,$Q13&gt;0),"  ","")&amp;IF($Q13=0,"","◆ "&amp;INDEX('01_予約入力'!$B$5:$B$204,$Q13)&amp;IF(('02_カレンダー'!$B$5="○")," "&amp;INDEX('01_予約入力'!$AA$5:$AA$204,$Q13)&amp;"-"&amp;INDEX('01_予約入力'!$AB$5:$AB$204,$Q13),"")))</f>
        <v/>
      </c>
      <c r="E13" s="42">
        <f>IF(OR($A13="",E$6=""),"",IF($R13=0,"",INDEX('01_予約入力'!$B$5:$B$204,$R13)&amp;" ◀"&amp;IF(('02_カレンダー'!$B$5="○"),INDEX('01_予約入力'!$AB$5:$AB$204,$R13),""))&amp;IF(AND($R13&gt;0,OR($S13&gt;0,$T13&gt;0)),"  ","")&amp;IF($S13=0,"",IF(INDEX('01_予約入力'!$G$5:$G$204,$S13)=$A13,"▶"&amp;IF(('02_カレンダー'!$B$5="○"),INDEX('01_予約入力'!$AA$5:$AA$204,$S13)&amp;" "," "),"")&amp;INDEX('01_予約入力'!$B$5:$B$204,$S13))&amp;IF(AND($S13&gt;0,$T13&gt;0),"  ","")&amp;IF($T13=0,"","◆ "&amp;INDEX('01_予約入力'!$B$5:$B$204,$T13)&amp;IF(('02_カレンダー'!$B$5="○")," "&amp;INDEX('01_予約入力'!$AA$5:$AA$204,$T13)&amp;"-"&amp;INDEX('01_予約入力'!$AB$5:$AB$204,$T13),"")))</f>
        <v/>
      </c>
      <c r="F13" s="42">
        <f>IF(OR($A13="",F$6=""),"",IF($U13=0,"",INDEX('01_予約入力'!$B$5:$B$204,$U13)&amp;" ◀"&amp;IF(('02_カレンダー'!$B$5="○"),INDEX('01_予約入力'!$AB$5:$AB$204,$U13),""))&amp;IF(AND($U13&gt;0,OR($V13&gt;0,$W13&gt;0)),"  ","")&amp;IF($V13=0,"",IF(INDEX('01_予約入力'!$G$5:$G$204,$V13)=$A13,"▶"&amp;IF(('02_カレンダー'!$B$5="○"),INDEX('01_予約入力'!$AA$5:$AA$204,$V13)&amp;" "," "),"")&amp;INDEX('01_予約入力'!$B$5:$B$204,$V13))&amp;IF(AND($V13&gt;0,$W13&gt;0),"  ","")&amp;IF($W13=0,"","◆ "&amp;INDEX('01_予約入力'!$B$5:$B$204,$W13)&amp;IF(('02_カレンダー'!$B$5="○")," "&amp;INDEX('01_予約入力'!$AA$5:$AA$204,$W13)&amp;"-"&amp;INDEX('01_予約入力'!$AB$5:$AB$204,$W13),"")))</f>
        <v/>
      </c>
      <c r="G13" s="36">
        <f>IF($A13="","",SUMPRODUCT(('01_予約入力'!$G$5:$G$204&lt;&gt;"")*('01_予約入力'!$N$5:$N$204&lt;&gt;"キャンセル")*('01_予約入力'!$G$5:$G$204&lt;=$A13)*('01_予約入力'!$J$5:$J$204&gt;$A13)))</f>
        <v/>
      </c>
      <c r="H13" s="36">
        <f>IF($A13="","",'M_施設設定'!$B$6-$G13)</f>
        <v/>
      </c>
      <c r="I13" s="36">
        <f>IF($A13="","",SUMPRODUCT((('01_予約入力'!$N$5:$N$204="仮予約")+('01_予約入力'!$N$5:$N$204="調整中"))*('01_予約入力'!$G$5:$G$204&lt;&gt;"")*('01_予約入力'!$G$5:$G$204&lt;=$A13)*('01_予約入力'!$J$5:$J$204&gt;$A13)))</f>
        <v/>
      </c>
      <c r="J13" s="36">
        <f>IF($A13="","",IF($I13&gt;0,"仮",IF($H13&lt;=0,"×",IF($H13&lt;'M_施設設定'!$B$6,"△","○"))))</f>
        <v/>
      </c>
      <c r="K13" s="36">
        <f>IF($A13="","",SUMPRODUCT(('01_予約入力'!$G$5:$G$204&lt;&gt;"")*('01_予約入力'!$N$5:$N$204&lt;&gt;"キャンセル")*('01_予約入力'!$G$5:$G$204=$A13)*('01_予約入力'!$J$5:$J$204=$A13)))</f>
        <v/>
      </c>
      <c r="L13" s="36">
        <f>IF(OR($A13="",C$6=""),0,SUMPRODUCT(MAX(('01_予約入力'!$D$5:$D$204=C$6)*('01_予約入力'!$N$5:$N$204&lt;&gt;"キャンセル")*('01_予約入力'!$G$5:$G$204&lt;&gt;"")*('01_予約入力'!$J$5:$J$204=$A13)*('01_予約入力'!$G$5:$G$204&lt;$A13)*(ROW('01_予約入力'!$G$5:$G$204)-4))))</f>
        <v/>
      </c>
      <c r="M13" s="36">
        <f>IF(OR($A13="",C$6=""),0,SUMPRODUCT(MAX(('01_予約入力'!$D$5:$D$204=C$6)*('01_予約入力'!$N$5:$N$204&lt;&gt;"キャンセル")*('01_予約入力'!$G$5:$G$204&lt;&gt;"")*('01_予約入力'!$G$5:$G$204&lt;=$A13)*('01_予約入力'!$J$5:$J$204&gt;$A13)*(ROW('01_予約入力'!$G$5:$G$204)-4))))</f>
        <v/>
      </c>
      <c r="N13" s="36">
        <f>IF(OR($A13="",C$6=""),0,SUMPRODUCT(MAX(('01_予約入力'!$D$5:$D$204=C$6)*('01_予約入力'!$N$5:$N$204&lt;&gt;"キャンセル")*('01_予約入力'!$G$5:$G$204&lt;&gt;"")*('01_予約入力'!$G$5:$G$204=$A13)*('01_予約入力'!$J$5:$J$204=$A13)*(ROW('01_予約入力'!$G$5:$G$204)-4))))</f>
        <v/>
      </c>
      <c r="O13" s="36">
        <f>IF(OR($A13="",D$6=""),0,SUMPRODUCT(MAX(('01_予約入力'!$D$5:$D$204=D$6)*('01_予約入力'!$N$5:$N$204&lt;&gt;"キャンセル")*('01_予約入力'!$G$5:$G$204&lt;&gt;"")*('01_予約入力'!$J$5:$J$204=$A13)*('01_予約入力'!$G$5:$G$204&lt;$A13)*(ROW('01_予約入力'!$G$5:$G$204)-4))))</f>
        <v/>
      </c>
      <c r="P13" s="36">
        <f>IF(OR($A13="",D$6=""),0,SUMPRODUCT(MAX(('01_予約入力'!$D$5:$D$204=D$6)*('01_予約入力'!$N$5:$N$204&lt;&gt;"キャンセル")*('01_予約入力'!$G$5:$G$204&lt;&gt;"")*('01_予約入力'!$G$5:$G$204&lt;=$A13)*('01_予約入力'!$J$5:$J$204&gt;$A13)*(ROW('01_予約入力'!$G$5:$G$204)-4))))</f>
        <v/>
      </c>
      <c r="Q13" s="36">
        <f>IF(OR($A13="",D$6=""),0,SUMPRODUCT(MAX(('01_予約入力'!$D$5:$D$204=D$6)*('01_予約入力'!$N$5:$N$204&lt;&gt;"キャンセル")*('01_予約入力'!$G$5:$G$204&lt;&gt;"")*('01_予約入力'!$G$5:$G$204=$A13)*('01_予約入力'!$J$5:$J$204=$A13)*(ROW('01_予約入力'!$G$5:$G$204)-4))))</f>
        <v/>
      </c>
      <c r="R13" s="36">
        <f>IF(OR($A13="",E$6=""),0,SUMPRODUCT(MAX(('01_予約入力'!$D$5:$D$204=E$6)*('01_予約入力'!$N$5:$N$204&lt;&gt;"キャンセル")*('01_予約入力'!$G$5:$G$204&lt;&gt;"")*('01_予約入力'!$J$5:$J$204=$A13)*('01_予約入力'!$G$5:$G$204&lt;$A13)*(ROW('01_予約入力'!$G$5:$G$204)-4))))</f>
        <v/>
      </c>
      <c r="S13" s="36">
        <f>IF(OR($A13="",E$6=""),0,SUMPRODUCT(MAX(('01_予約入力'!$D$5:$D$204=E$6)*('01_予約入力'!$N$5:$N$204&lt;&gt;"キャンセル")*('01_予約入力'!$G$5:$G$204&lt;&gt;"")*('01_予約入力'!$G$5:$G$204&lt;=$A13)*('01_予約入力'!$J$5:$J$204&gt;$A13)*(ROW('01_予約入力'!$G$5:$G$204)-4))))</f>
        <v/>
      </c>
      <c r="T13" s="36">
        <f>IF(OR($A13="",E$6=""),0,SUMPRODUCT(MAX(('01_予約入力'!$D$5:$D$204=E$6)*('01_予約入力'!$N$5:$N$204&lt;&gt;"キャンセル")*('01_予約入力'!$G$5:$G$204&lt;&gt;"")*('01_予約入力'!$G$5:$G$204=$A13)*('01_予約入力'!$J$5:$J$204=$A13)*(ROW('01_予約入力'!$G$5:$G$204)-4))))</f>
        <v/>
      </c>
      <c r="U13" s="36">
        <f>IF(OR($A13="",F$6=""),0,SUMPRODUCT(MAX(('01_予約入力'!$D$5:$D$204=F$6)*('01_予約入力'!$N$5:$N$204&lt;&gt;"キャンセル")*('01_予約入力'!$G$5:$G$204&lt;&gt;"")*('01_予約入力'!$J$5:$J$204=$A13)*('01_予約入力'!$G$5:$G$204&lt;$A13)*(ROW('01_予約入力'!$G$5:$G$204)-4))))</f>
        <v/>
      </c>
      <c r="V13" s="36">
        <f>IF(OR($A13="",F$6=""),0,SUMPRODUCT(MAX(('01_予約入力'!$D$5:$D$204=F$6)*('01_予約入力'!$N$5:$N$204&lt;&gt;"キャンセル")*('01_予約入力'!$G$5:$G$204&lt;&gt;"")*('01_予約入力'!$G$5:$G$204&lt;=$A13)*('01_予約入力'!$J$5:$J$204&gt;$A13)*(ROW('01_予約入力'!$G$5:$G$204)-4))))</f>
        <v/>
      </c>
      <c r="W13" s="36">
        <f>IF(OR($A13="",F$6=""),0,SUMPRODUCT(MAX(('01_予約入力'!$D$5:$D$204=F$6)*('01_予約入力'!$N$5:$N$204&lt;&gt;"キャンセル")*('01_予約入力'!$G$5:$G$204&lt;&gt;"")*('01_予約入力'!$G$5:$G$204=$A13)*('01_予約入力'!$J$5:$J$204=$A13)*(ROW('01_予約入力'!$G$5:$G$204)-4))))</f>
        <v/>
      </c>
      <c r="X13" s="36">
        <f>IF($A13="","",IF($M13&gt;0,IF(OR(INDEX('01_予約入力'!$N$5:$N$204,$M13)="仮予約",INDEX('01_予約入力'!$N$5:$N$204,$M13)="調整中"),"仮",INDEX('01_予約入力'!$C$5:$C$204,$M13)),IF($N13&gt;0,IF(OR(INDEX('01_予約入力'!$N$5:$N$204,$N13)="仮予約",INDEX('01_予約入力'!$N$5:$N$204,$N13)="調整中"),"仮",INDEX('01_予約入力'!$C$5:$C$204,$N13)),IF($L13&gt;0,IF(OR(INDEX('01_予約入力'!$N$5:$N$204,$L13)="仮予約",INDEX('01_予約入力'!$N$5:$N$204,$L13)="調整中"),"仮",INDEX('01_予約入力'!$C$5:$C$204,$L13)),""))))</f>
        <v/>
      </c>
      <c r="Y13" s="36">
        <f>IF($A13="","",IF($P13&gt;0,IF(OR(INDEX('01_予約入力'!$N$5:$N$204,$P13)="仮予約",INDEX('01_予約入力'!$N$5:$N$204,$P13)="調整中"),"仮",INDEX('01_予約入力'!$C$5:$C$204,$P13)),IF($Q13&gt;0,IF(OR(INDEX('01_予約入力'!$N$5:$N$204,$Q13)="仮予約",INDEX('01_予約入力'!$N$5:$N$204,$Q13)="調整中"),"仮",INDEX('01_予約入力'!$C$5:$C$204,$Q13)),IF($O13&gt;0,IF(OR(INDEX('01_予約入力'!$N$5:$N$204,$O13)="仮予約",INDEX('01_予約入力'!$N$5:$N$204,$O13)="調整中"),"仮",INDEX('01_予約入力'!$C$5:$C$204,$O13)),""))))</f>
        <v/>
      </c>
      <c r="Z13" s="36">
        <f>IF($A13="","",IF($S13&gt;0,IF(OR(INDEX('01_予約入力'!$N$5:$N$204,$S13)="仮予約",INDEX('01_予約入力'!$N$5:$N$204,$S13)="調整中"),"仮",INDEX('01_予約入力'!$C$5:$C$204,$S13)),IF($T13&gt;0,IF(OR(INDEX('01_予約入力'!$N$5:$N$204,$T13)="仮予約",INDEX('01_予約入力'!$N$5:$N$204,$T13)="調整中"),"仮",INDEX('01_予約入力'!$C$5:$C$204,$T13)),IF($R13&gt;0,IF(OR(INDEX('01_予約入力'!$N$5:$N$204,$R13)="仮予約",INDEX('01_予約入力'!$N$5:$N$204,$R13)="調整中"),"仮",INDEX('01_予約入力'!$C$5:$C$204,$R13)),""))))</f>
        <v/>
      </c>
      <c r="AA13" s="36">
        <f>IF($A13="","",IF($V13&gt;0,IF(OR(INDEX('01_予約入力'!$N$5:$N$204,$V13)="仮予約",INDEX('01_予約入力'!$N$5:$N$204,$V13)="調整中"),"仮",INDEX('01_予約入力'!$C$5:$C$204,$V13)),IF($W13&gt;0,IF(OR(INDEX('01_予約入力'!$N$5:$N$204,$W13)="仮予約",INDEX('01_予約入力'!$N$5:$N$204,$W13)="調整中"),"仮",INDEX('01_予約入力'!$C$5:$C$204,$W13)),IF($U13&gt;0,IF(OR(INDEX('01_予約入力'!$N$5:$N$204,$U13)="仮予約",INDEX('01_予約入力'!$N$5:$N$204,$U13)="調整中"),"仮",INDEX('01_予約入力'!$C$5:$C$204,$U13)),""))))</f>
        <v/>
      </c>
    </row>
    <row r="14">
      <c r="A14" s="41">
        <f>IF(MONTH('02_カレンダー'!$B$4+7)&lt;&gt;MONTH('02_カレンダー'!$B$4),"",'02_カレンダー'!$B$4+7)</f>
        <v/>
      </c>
      <c r="B14" s="36">
        <f>IF($A14="","",MID("日月火水木金土",WEEKDAY($A14),1))</f>
        <v/>
      </c>
      <c r="C14" s="42">
        <f>IF(OR($A14="",C$6=""),"",IF($L14=0,"",INDEX('01_予約入力'!$B$5:$B$204,$L14)&amp;" ◀"&amp;IF(('02_カレンダー'!$B$5="○"),INDEX('01_予約入力'!$AB$5:$AB$204,$L14),""))&amp;IF(AND($L14&gt;0,OR($M14&gt;0,$N14&gt;0)),"  ","")&amp;IF($M14=0,"",IF(INDEX('01_予約入力'!$G$5:$G$204,$M14)=$A14,"▶"&amp;IF(('02_カレンダー'!$B$5="○"),INDEX('01_予約入力'!$AA$5:$AA$204,$M14)&amp;" "," "),"")&amp;INDEX('01_予約入力'!$B$5:$B$204,$M14))&amp;IF(AND($M14&gt;0,$N14&gt;0),"  ","")&amp;IF($N14=0,"","◆ "&amp;INDEX('01_予約入力'!$B$5:$B$204,$N14)&amp;IF(('02_カレンダー'!$B$5="○")," "&amp;INDEX('01_予約入力'!$AA$5:$AA$204,$N14)&amp;"-"&amp;INDEX('01_予約入力'!$AB$5:$AB$204,$N14),"")))</f>
        <v/>
      </c>
      <c r="D14" s="42">
        <f>IF(OR($A14="",D$6=""),"",IF($O14=0,"",INDEX('01_予約入力'!$B$5:$B$204,$O14)&amp;" ◀"&amp;IF(('02_カレンダー'!$B$5="○"),INDEX('01_予約入力'!$AB$5:$AB$204,$O14),""))&amp;IF(AND($O14&gt;0,OR($P14&gt;0,$Q14&gt;0)),"  ","")&amp;IF($P14=0,"",IF(INDEX('01_予約入力'!$G$5:$G$204,$P14)=$A14,"▶"&amp;IF(('02_カレンダー'!$B$5="○"),INDEX('01_予約入力'!$AA$5:$AA$204,$P14)&amp;" "," "),"")&amp;INDEX('01_予約入力'!$B$5:$B$204,$P14))&amp;IF(AND($P14&gt;0,$Q14&gt;0),"  ","")&amp;IF($Q14=0,"","◆ "&amp;INDEX('01_予約入力'!$B$5:$B$204,$Q14)&amp;IF(('02_カレンダー'!$B$5="○")," "&amp;INDEX('01_予約入力'!$AA$5:$AA$204,$Q14)&amp;"-"&amp;INDEX('01_予約入力'!$AB$5:$AB$204,$Q14),"")))</f>
        <v/>
      </c>
      <c r="E14" s="42">
        <f>IF(OR($A14="",E$6=""),"",IF($R14=0,"",INDEX('01_予約入力'!$B$5:$B$204,$R14)&amp;" ◀"&amp;IF(('02_カレンダー'!$B$5="○"),INDEX('01_予約入力'!$AB$5:$AB$204,$R14),""))&amp;IF(AND($R14&gt;0,OR($S14&gt;0,$T14&gt;0)),"  ","")&amp;IF($S14=0,"",IF(INDEX('01_予約入力'!$G$5:$G$204,$S14)=$A14,"▶"&amp;IF(('02_カレンダー'!$B$5="○"),INDEX('01_予約入力'!$AA$5:$AA$204,$S14)&amp;" "," "),"")&amp;INDEX('01_予約入力'!$B$5:$B$204,$S14))&amp;IF(AND($S14&gt;0,$T14&gt;0),"  ","")&amp;IF($T14=0,"","◆ "&amp;INDEX('01_予約入力'!$B$5:$B$204,$T14)&amp;IF(('02_カレンダー'!$B$5="○")," "&amp;INDEX('01_予約入力'!$AA$5:$AA$204,$T14)&amp;"-"&amp;INDEX('01_予約入力'!$AB$5:$AB$204,$T14),"")))</f>
        <v/>
      </c>
      <c r="F14" s="42">
        <f>IF(OR($A14="",F$6=""),"",IF($U14=0,"",INDEX('01_予約入力'!$B$5:$B$204,$U14)&amp;" ◀"&amp;IF(('02_カレンダー'!$B$5="○"),INDEX('01_予約入力'!$AB$5:$AB$204,$U14),""))&amp;IF(AND($U14&gt;0,OR($V14&gt;0,$W14&gt;0)),"  ","")&amp;IF($V14=0,"",IF(INDEX('01_予約入力'!$G$5:$G$204,$V14)=$A14,"▶"&amp;IF(('02_カレンダー'!$B$5="○"),INDEX('01_予約入力'!$AA$5:$AA$204,$V14)&amp;" "," "),"")&amp;INDEX('01_予約入力'!$B$5:$B$204,$V14))&amp;IF(AND($V14&gt;0,$W14&gt;0),"  ","")&amp;IF($W14=0,"","◆ "&amp;INDEX('01_予約入力'!$B$5:$B$204,$W14)&amp;IF(('02_カレンダー'!$B$5="○")," "&amp;INDEX('01_予約入力'!$AA$5:$AA$204,$W14)&amp;"-"&amp;INDEX('01_予約入力'!$AB$5:$AB$204,$W14),"")))</f>
        <v/>
      </c>
      <c r="G14" s="36">
        <f>IF($A14="","",SUMPRODUCT(('01_予約入力'!$G$5:$G$204&lt;&gt;"")*('01_予約入力'!$N$5:$N$204&lt;&gt;"キャンセル")*('01_予約入力'!$G$5:$G$204&lt;=$A14)*('01_予約入力'!$J$5:$J$204&gt;$A14)))</f>
        <v/>
      </c>
      <c r="H14" s="36">
        <f>IF($A14="","",'M_施設設定'!$B$6-$G14)</f>
        <v/>
      </c>
      <c r="I14" s="36">
        <f>IF($A14="","",SUMPRODUCT((('01_予約入力'!$N$5:$N$204="仮予約")+('01_予約入力'!$N$5:$N$204="調整中"))*('01_予約入力'!$G$5:$G$204&lt;&gt;"")*('01_予約入力'!$G$5:$G$204&lt;=$A14)*('01_予約入力'!$J$5:$J$204&gt;$A14)))</f>
        <v/>
      </c>
      <c r="J14" s="36">
        <f>IF($A14="","",IF($I14&gt;0,"仮",IF($H14&lt;=0,"×",IF($H14&lt;'M_施設設定'!$B$6,"△","○"))))</f>
        <v/>
      </c>
      <c r="K14" s="36">
        <f>IF($A14="","",SUMPRODUCT(('01_予約入力'!$G$5:$G$204&lt;&gt;"")*('01_予約入力'!$N$5:$N$204&lt;&gt;"キャンセル")*('01_予約入力'!$G$5:$G$204=$A14)*('01_予約入力'!$J$5:$J$204=$A14)))</f>
        <v/>
      </c>
      <c r="L14" s="36">
        <f>IF(OR($A14="",C$6=""),0,SUMPRODUCT(MAX(('01_予約入力'!$D$5:$D$204=C$6)*('01_予約入力'!$N$5:$N$204&lt;&gt;"キャンセル")*('01_予約入力'!$G$5:$G$204&lt;&gt;"")*('01_予約入力'!$J$5:$J$204=$A14)*('01_予約入力'!$G$5:$G$204&lt;$A14)*(ROW('01_予約入力'!$G$5:$G$204)-4))))</f>
        <v/>
      </c>
      <c r="M14" s="36">
        <f>IF(OR($A14="",C$6=""),0,SUMPRODUCT(MAX(('01_予約入力'!$D$5:$D$204=C$6)*('01_予約入力'!$N$5:$N$204&lt;&gt;"キャンセル")*('01_予約入力'!$G$5:$G$204&lt;&gt;"")*('01_予約入力'!$G$5:$G$204&lt;=$A14)*('01_予約入力'!$J$5:$J$204&gt;$A14)*(ROW('01_予約入力'!$G$5:$G$204)-4))))</f>
        <v/>
      </c>
      <c r="N14" s="36">
        <f>IF(OR($A14="",C$6=""),0,SUMPRODUCT(MAX(('01_予約入力'!$D$5:$D$204=C$6)*('01_予約入力'!$N$5:$N$204&lt;&gt;"キャンセル")*('01_予約入力'!$G$5:$G$204&lt;&gt;"")*('01_予約入力'!$G$5:$G$204=$A14)*('01_予約入力'!$J$5:$J$204=$A14)*(ROW('01_予約入力'!$G$5:$G$204)-4))))</f>
        <v/>
      </c>
      <c r="O14" s="36">
        <f>IF(OR($A14="",D$6=""),0,SUMPRODUCT(MAX(('01_予約入力'!$D$5:$D$204=D$6)*('01_予約入力'!$N$5:$N$204&lt;&gt;"キャンセル")*('01_予約入力'!$G$5:$G$204&lt;&gt;"")*('01_予約入力'!$J$5:$J$204=$A14)*('01_予約入力'!$G$5:$G$204&lt;$A14)*(ROW('01_予約入力'!$G$5:$G$204)-4))))</f>
        <v/>
      </c>
      <c r="P14" s="36">
        <f>IF(OR($A14="",D$6=""),0,SUMPRODUCT(MAX(('01_予約入力'!$D$5:$D$204=D$6)*('01_予約入力'!$N$5:$N$204&lt;&gt;"キャンセル")*('01_予約入力'!$G$5:$G$204&lt;&gt;"")*('01_予約入力'!$G$5:$G$204&lt;=$A14)*('01_予約入力'!$J$5:$J$204&gt;$A14)*(ROW('01_予約入力'!$G$5:$G$204)-4))))</f>
        <v/>
      </c>
      <c r="Q14" s="36">
        <f>IF(OR($A14="",D$6=""),0,SUMPRODUCT(MAX(('01_予約入力'!$D$5:$D$204=D$6)*('01_予約入力'!$N$5:$N$204&lt;&gt;"キャンセル")*('01_予約入力'!$G$5:$G$204&lt;&gt;"")*('01_予約入力'!$G$5:$G$204=$A14)*('01_予約入力'!$J$5:$J$204=$A14)*(ROW('01_予約入力'!$G$5:$G$204)-4))))</f>
        <v/>
      </c>
      <c r="R14" s="36">
        <f>IF(OR($A14="",E$6=""),0,SUMPRODUCT(MAX(('01_予約入力'!$D$5:$D$204=E$6)*('01_予約入力'!$N$5:$N$204&lt;&gt;"キャンセル")*('01_予約入力'!$G$5:$G$204&lt;&gt;"")*('01_予約入力'!$J$5:$J$204=$A14)*('01_予約入力'!$G$5:$G$204&lt;$A14)*(ROW('01_予約入力'!$G$5:$G$204)-4))))</f>
        <v/>
      </c>
      <c r="S14" s="36">
        <f>IF(OR($A14="",E$6=""),0,SUMPRODUCT(MAX(('01_予約入力'!$D$5:$D$204=E$6)*('01_予約入力'!$N$5:$N$204&lt;&gt;"キャンセル")*('01_予約入力'!$G$5:$G$204&lt;&gt;"")*('01_予約入力'!$G$5:$G$204&lt;=$A14)*('01_予約入力'!$J$5:$J$204&gt;$A14)*(ROW('01_予約入力'!$G$5:$G$204)-4))))</f>
        <v/>
      </c>
      <c r="T14" s="36">
        <f>IF(OR($A14="",E$6=""),0,SUMPRODUCT(MAX(('01_予約入力'!$D$5:$D$204=E$6)*('01_予約入力'!$N$5:$N$204&lt;&gt;"キャンセル")*('01_予約入力'!$G$5:$G$204&lt;&gt;"")*('01_予約入力'!$G$5:$G$204=$A14)*('01_予約入力'!$J$5:$J$204=$A14)*(ROW('01_予約入力'!$G$5:$G$204)-4))))</f>
        <v/>
      </c>
      <c r="U14" s="36">
        <f>IF(OR($A14="",F$6=""),0,SUMPRODUCT(MAX(('01_予約入力'!$D$5:$D$204=F$6)*('01_予約入力'!$N$5:$N$204&lt;&gt;"キャンセル")*('01_予約入力'!$G$5:$G$204&lt;&gt;"")*('01_予約入力'!$J$5:$J$204=$A14)*('01_予約入力'!$G$5:$G$204&lt;$A14)*(ROW('01_予約入力'!$G$5:$G$204)-4))))</f>
        <v/>
      </c>
      <c r="V14" s="36">
        <f>IF(OR($A14="",F$6=""),0,SUMPRODUCT(MAX(('01_予約入力'!$D$5:$D$204=F$6)*('01_予約入力'!$N$5:$N$204&lt;&gt;"キャンセル")*('01_予約入力'!$G$5:$G$204&lt;&gt;"")*('01_予約入力'!$G$5:$G$204&lt;=$A14)*('01_予約入力'!$J$5:$J$204&gt;$A14)*(ROW('01_予約入力'!$G$5:$G$204)-4))))</f>
        <v/>
      </c>
      <c r="W14" s="36">
        <f>IF(OR($A14="",F$6=""),0,SUMPRODUCT(MAX(('01_予約入力'!$D$5:$D$204=F$6)*('01_予約入力'!$N$5:$N$204&lt;&gt;"キャンセル")*('01_予約入力'!$G$5:$G$204&lt;&gt;"")*('01_予約入力'!$G$5:$G$204=$A14)*('01_予約入力'!$J$5:$J$204=$A14)*(ROW('01_予約入力'!$G$5:$G$204)-4))))</f>
        <v/>
      </c>
      <c r="X14" s="36">
        <f>IF($A14="","",IF($M14&gt;0,IF(OR(INDEX('01_予約入力'!$N$5:$N$204,$M14)="仮予約",INDEX('01_予約入力'!$N$5:$N$204,$M14)="調整中"),"仮",INDEX('01_予約入力'!$C$5:$C$204,$M14)),IF($N14&gt;0,IF(OR(INDEX('01_予約入力'!$N$5:$N$204,$N14)="仮予約",INDEX('01_予約入力'!$N$5:$N$204,$N14)="調整中"),"仮",INDEX('01_予約入力'!$C$5:$C$204,$N14)),IF($L14&gt;0,IF(OR(INDEX('01_予約入力'!$N$5:$N$204,$L14)="仮予約",INDEX('01_予約入力'!$N$5:$N$204,$L14)="調整中"),"仮",INDEX('01_予約入力'!$C$5:$C$204,$L14)),""))))</f>
        <v/>
      </c>
      <c r="Y14" s="36">
        <f>IF($A14="","",IF($P14&gt;0,IF(OR(INDEX('01_予約入力'!$N$5:$N$204,$P14)="仮予約",INDEX('01_予約入力'!$N$5:$N$204,$P14)="調整中"),"仮",INDEX('01_予約入力'!$C$5:$C$204,$P14)),IF($Q14&gt;0,IF(OR(INDEX('01_予約入力'!$N$5:$N$204,$Q14)="仮予約",INDEX('01_予約入力'!$N$5:$N$204,$Q14)="調整中"),"仮",INDEX('01_予約入力'!$C$5:$C$204,$Q14)),IF($O14&gt;0,IF(OR(INDEX('01_予約入力'!$N$5:$N$204,$O14)="仮予約",INDEX('01_予約入力'!$N$5:$N$204,$O14)="調整中"),"仮",INDEX('01_予約入力'!$C$5:$C$204,$O14)),""))))</f>
        <v/>
      </c>
      <c r="Z14" s="36">
        <f>IF($A14="","",IF($S14&gt;0,IF(OR(INDEX('01_予約入力'!$N$5:$N$204,$S14)="仮予約",INDEX('01_予約入力'!$N$5:$N$204,$S14)="調整中"),"仮",INDEX('01_予約入力'!$C$5:$C$204,$S14)),IF($T14&gt;0,IF(OR(INDEX('01_予約入力'!$N$5:$N$204,$T14)="仮予約",INDEX('01_予約入力'!$N$5:$N$204,$T14)="調整中"),"仮",INDEX('01_予約入力'!$C$5:$C$204,$T14)),IF($R14&gt;0,IF(OR(INDEX('01_予約入力'!$N$5:$N$204,$R14)="仮予約",INDEX('01_予約入力'!$N$5:$N$204,$R14)="調整中"),"仮",INDEX('01_予約入力'!$C$5:$C$204,$R14)),""))))</f>
        <v/>
      </c>
      <c r="AA14" s="36">
        <f>IF($A14="","",IF($V14&gt;0,IF(OR(INDEX('01_予約入力'!$N$5:$N$204,$V14)="仮予約",INDEX('01_予約入力'!$N$5:$N$204,$V14)="調整中"),"仮",INDEX('01_予約入力'!$C$5:$C$204,$V14)),IF($W14&gt;0,IF(OR(INDEX('01_予約入力'!$N$5:$N$204,$W14)="仮予約",INDEX('01_予約入力'!$N$5:$N$204,$W14)="調整中"),"仮",INDEX('01_予約入力'!$C$5:$C$204,$W14)),IF($U14&gt;0,IF(OR(INDEX('01_予約入力'!$N$5:$N$204,$U14)="仮予約",INDEX('01_予約入力'!$N$5:$N$204,$U14)="調整中"),"仮",INDEX('01_予約入力'!$C$5:$C$204,$U14)),""))))</f>
        <v/>
      </c>
    </row>
    <row r="15">
      <c r="A15" s="41">
        <f>IF(MONTH('02_カレンダー'!$B$4+8)&lt;&gt;MONTH('02_カレンダー'!$B$4),"",'02_カレンダー'!$B$4+8)</f>
        <v/>
      </c>
      <c r="B15" s="36">
        <f>IF($A15="","",MID("日月火水木金土",WEEKDAY($A15),1))</f>
        <v/>
      </c>
      <c r="C15" s="42">
        <f>IF(OR($A15="",C$6=""),"",IF($L15=0,"",INDEX('01_予約入力'!$B$5:$B$204,$L15)&amp;" ◀"&amp;IF(('02_カレンダー'!$B$5="○"),INDEX('01_予約入力'!$AB$5:$AB$204,$L15),""))&amp;IF(AND($L15&gt;0,OR($M15&gt;0,$N15&gt;0)),"  ","")&amp;IF($M15=0,"",IF(INDEX('01_予約入力'!$G$5:$G$204,$M15)=$A15,"▶"&amp;IF(('02_カレンダー'!$B$5="○"),INDEX('01_予約入力'!$AA$5:$AA$204,$M15)&amp;" "," "),"")&amp;INDEX('01_予約入力'!$B$5:$B$204,$M15))&amp;IF(AND($M15&gt;0,$N15&gt;0),"  ","")&amp;IF($N15=0,"","◆ "&amp;INDEX('01_予約入力'!$B$5:$B$204,$N15)&amp;IF(('02_カレンダー'!$B$5="○")," "&amp;INDEX('01_予約入力'!$AA$5:$AA$204,$N15)&amp;"-"&amp;INDEX('01_予約入力'!$AB$5:$AB$204,$N15),"")))</f>
        <v/>
      </c>
      <c r="D15" s="42">
        <f>IF(OR($A15="",D$6=""),"",IF($O15=0,"",INDEX('01_予約入力'!$B$5:$B$204,$O15)&amp;" ◀"&amp;IF(('02_カレンダー'!$B$5="○"),INDEX('01_予約入力'!$AB$5:$AB$204,$O15),""))&amp;IF(AND($O15&gt;0,OR($P15&gt;0,$Q15&gt;0)),"  ","")&amp;IF($P15=0,"",IF(INDEX('01_予約入力'!$G$5:$G$204,$P15)=$A15,"▶"&amp;IF(('02_カレンダー'!$B$5="○"),INDEX('01_予約入力'!$AA$5:$AA$204,$P15)&amp;" "," "),"")&amp;INDEX('01_予約入力'!$B$5:$B$204,$P15))&amp;IF(AND($P15&gt;0,$Q15&gt;0),"  ","")&amp;IF($Q15=0,"","◆ "&amp;INDEX('01_予約入力'!$B$5:$B$204,$Q15)&amp;IF(('02_カレンダー'!$B$5="○")," "&amp;INDEX('01_予約入力'!$AA$5:$AA$204,$Q15)&amp;"-"&amp;INDEX('01_予約入力'!$AB$5:$AB$204,$Q15),"")))</f>
        <v/>
      </c>
      <c r="E15" s="42">
        <f>IF(OR($A15="",E$6=""),"",IF($R15=0,"",INDEX('01_予約入力'!$B$5:$B$204,$R15)&amp;" ◀"&amp;IF(('02_カレンダー'!$B$5="○"),INDEX('01_予約入力'!$AB$5:$AB$204,$R15),""))&amp;IF(AND($R15&gt;0,OR($S15&gt;0,$T15&gt;0)),"  ","")&amp;IF($S15=0,"",IF(INDEX('01_予約入力'!$G$5:$G$204,$S15)=$A15,"▶"&amp;IF(('02_カレンダー'!$B$5="○"),INDEX('01_予約入力'!$AA$5:$AA$204,$S15)&amp;" "," "),"")&amp;INDEX('01_予約入力'!$B$5:$B$204,$S15))&amp;IF(AND($S15&gt;0,$T15&gt;0),"  ","")&amp;IF($T15=0,"","◆ "&amp;INDEX('01_予約入力'!$B$5:$B$204,$T15)&amp;IF(('02_カレンダー'!$B$5="○")," "&amp;INDEX('01_予約入力'!$AA$5:$AA$204,$T15)&amp;"-"&amp;INDEX('01_予約入力'!$AB$5:$AB$204,$T15),"")))</f>
        <v/>
      </c>
      <c r="F15" s="42">
        <f>IF(OR($A15="",F$6=""),"",IF($U15=0,"",INDEX('01_予約入力'!$B$5:$B$204,$U15)&amp;" ◀"&amp;IF(('02_カレンダー'!$B$5="○"),INDEX('01_予約入力'!$AB$5:$AB$204,$U15),""))&amp;IF(AND($U15&gt;0,OR($V15&gt;0,$W15&gt;0)),"  ","")&amp;IF($V15=0,"",IF(INDEX('01_予約入力'!$G$5:$G$204,$V15)=$A15,"▶"&amp;IF(('02_カレンダー'!$B$5="○"),INDEX('01_予約入力'!$AA$5:$AA$204,$V15)&amp;" "," "),"")&amp;INDEX('01_予約入力'!$B$5:$B$204,$V15))&amp;IF(AND($V15&gt;0,$W15&gt;0),"  ","")&amp;IF($W15=0,"","◆ "&amp;INDEX('01_予約入力'!$B$5:$B$204,$W15)&amp;IF(('02_カレンダー'!$B$5="○")," "&amp;INDEX('01_予約入力'!$AA$5:$AA$204,$W15)&amp;"-"&amp;INDEX('01_予約入力'!$AB$5:$AB$204,$W15),"")))</f>
        <v/>
      </c>
      <c r="G15" s="36">
        <f>IF($A15="","",SUMPRODUCT(('01_予約入力'!$G$5:$G$204&lt;&gt;"")*('01_予約入力'!$N$5:$N$204&lt;&gt;"キャンセル")*('01_予約入力'!$G$5:$G$204&lt;=$A15)*('01_予約入力'!$J$5:$J$204&gt;$A15)))</f>
        <v/>
      </c>
      <c r="H15" s="36">
        <f>IF($A15="","",'M_施設設定'!$B$6-$G15)</f>
        <v/>
      </c>
      <c r="I15" s="36">
        <f>IF($A15="","",SUMPRODUCT((('01_予約入力'!$N$5:$N$204="仮予約")+('01_予約入力'!$N$5:$N$204="調整中"))*('01_予約入力'!$G$5:$G$204&lt;&gt;"")*('01_予約入力'!$G$5:$G$204&lt;=$A15)*('01_予約入力'!$J$5:$J$204&gt;$A15)))</f>
        <v/>
      </c>
      <c r="J15" s="36">
        <f>IF($A15="","",IF($I15&gt;0,"仮",IF($H15&lt;=0,"×",IF($H15&lt;'M_施設設定'!$B$6,"△","○"))))</f>
        <v/>
      </c>
      <c r="K15" s="36">
        <f>IF($A15="","",SUMPRODUCT(('01_予約入力'!$G$5:$G$204&lt;&gt;"")*('01_予約入力'!$N$5:$N$204&lt;&gt;"キャンセル")*('01_予約入力'!$G$5:$G$204=$A15)*('01_予約入力'!$J$5:$J$204=$A15)))</f>
        <v/>
      </c>
      <c r="L15" s="36">
        <f>IF(OR($A15="",C$6=""),0,SUMPRODUCT(MAX(('01_予約入力'!$D$5:$D$204=C$6)*('01_予約入力'!$N$5:$N$204&lt;&gt;"キャンセル")*('01_予約入力'!$G$5:$G$204&lt;&gt;"")*('01_予約入力'!$J$5:$J$204=$A15)*('01_予約入力'!$G$5:$G$204&lt;$A15)*(ROW('01_予約入力'!$G$5:$G$204)-4))))</f>
        <v/>
      </c>
      <c r="M15" s="36">
        <f>IF(OR($A15="",C$6=""),0,SUMPRODUCT(MAX(('01_予約入力'!$D$5:$D$204=C$6)*('01_予約入力'!$N$5:$N$204&lt;&gt;"キャンセル")*('01_予約入力'!$G$5:$G$204&lt;&gt;"")*('01_予約入力'!$G$5:$G$204&lt;=$A15)*('01_予約入力'!$J$5:$J$204&gt;$A15)*(ROW('01_予約入力'!$G$5:$G$204)-4))))</f>
        <v/>
      </c>
      <c r="N15" s="36">
        <f>IF(OR($A15="",C$6=""),0,SUMPRODUCT(MAX(('01_予約入力'!$D$5:$D$204=C$6)*('01_予約入力'!$N$5:$N$204&lt;&gt;"キャンセル")*('01_予約入力'!$G$5:$G$204&lt;&gt;"")*('01_予約入力'!$G$5:$G$204=$A15)*('01_予約入力'!$J$5:$J$204=$A15)*(ROW('01_予約入力'!$G$5:$G$204)-4))))</f>
        <v/>
      </c>
      <c r="O15" s="36">
        <f>IF(OR($A15="",D$6=""),0,SUMPRODUCT(MAX(('01_予約入力'!$D$5:$D$204=D$6)*('01_予約入力'!$N$5:$N$204&lt;&gt;"キャンセル")*('01_予約入力'!$G$5:$G$204&lt;&gt;"")*('01_予約入力'!$J$5:$J$204=$A15)*('01_予約入力'!$G$5:$G$204&lt;$A15)*(ROW('01_予約入力'!$G$5:$G$204)-4))))</f>
        <v/>
      </c>
      <c r="P15" s="36">
        <f>IF(OR($A15="",D$6=""),0,SUMPRODUCT(MAX(('01_予約入力'!$D$5:$D$204=D$6)*('01_予約入力'!$N$5:$N$204&lt;&gt;"キャンセル")*('01_予約入力'!$G$5:$G$204&lt;&gt;"")*('01_予約入力'!$G$5:$G$204&lt;=$A15)*('01_予約入力'!$J$5:$J$204&gt;$A15)*(ROW('01_予約入力'!$G$5:$G$204)-4))))</f>
        <v/>
      </c>
      <c r="Q15" s="36">
        <f>IF(OR($A15="",D$6=""),0,SUMPRODUCT(MAX(('01_予約入力'!$D$5:$D$204=D$6)*('01_予約入力'!$N$5:$N$204&lt;&gt;"キャンセル")*('01_予約入力'!$G$5:$G$204&lt;&gt;"")*('01_予約入力'!$G$5:$G$204=$A15)*('01_予約入力'!$J$5:$J$204=$A15)*(ROW('01_予約入力'!$G$5:$G$204)-4))))</f>
        <v/>
      </c>
      <c r="R15" s="36">
        <f>IF(OR($A15="",E$6=""),0,SUMPRODUCT(MAX(('01_予約入力'!$D$5:$D$204=E$6)*('01_予約入力'!$N$5:$N$204&lt;&gt;"キャンセル")*('01_予約入力'!$G$5:$G$204&lt;&gt;"")*('01_予約入力'!$J$5:$J$204=$A15)*('01_予約入力'!$G$5:$G$204&lt;$A15)*(ROW('01_予約入力'!$G$5:$G$204)-4))))</f>
        <v/>
      </c>
      <c r="S15" s="36">
        <f>IF(OR($A15="",E$6=""),0,SUMPRODUCT(MAX(('01_予約入力'!$D$5:$D$204=E$6)*('01_予約入力'!$N$5:$N$204&lt;&gt;"キャンセル")*('01_予約入力'!$G$5:$G$204&lt;&gt;"")*('01_予約入力'!$G$5:$G$204&lt;=$A15)*('01_予約入力'!$J$5:$J$204&gt;$A15)*(ROW('01_予約入力'!$G$5:$G$204)-4))))</f>
        <v/>
      </c>
      <c r="T15" s="36">
        <f>IF(OR($A15="",E$6=""),0,SUMPRODUCT(MAX(('01_予約入力'!$D$5:$D$204=E$6)*('01_予約入力'!$N$5:$N$204&lt;&gt;"キャンセル")*('01_予約入力'!$G$5:$G$204&lt;&gt;"")*('01_予約入力'!$G$5:$G$204=$A15)*('01_予約入力'!$J$5:$J$204=$A15)*(ROW('01_予約入力'!$G$5:$G$204)-4))))</f>
        <v/>
      </c>
      <c r="U15" s="36">
        <f>IF(OR($A15="",F$6=""),0,SUMPRODUCT(MAX(('01_予約入力'!$D$5:$D$204=F$6)*('01_予約入力'!$N$5:$N$204&lt;&gt;"キャンセル")*('01_予約入力'!$G$5:$G$204&lt;&gt;"")*('01_予約入力'!$J$5:$J$204=$A15)*('01_予約入力'!$G$5:$G$204&lt;$A15)*(ROW('01_予約入力'!$G$5:$G$204)-4))))</f>
        <v/>
      </c>
      <c r="V15" s="36">
        <f>IF(OR($A15="",F$6=""),0,SUMPRODUCT(MAX(('01_予約入力'!$D$5:$D$204=F$6)*('01_予約入力'!$N$5:$N$204&lt;&gt;"キャンセル")*('01_予約入力'!$G$5:$G$204&lt;&gt;"")*('01_予約入力'!$G$5:$G$204&lt;=$A15)*('01_予約入力'!$J$5:$J$204&gt;$A15)*(ROW('01_予約入力'!$G$5:$G$204)-4))))</f>
        <v/>
      </c>
      <c r="W15" s="36">
        <f>IF(OR($A15="",F$6=""),0,SUMPRODUCT(MAX(('01_予約入力'!$D$5:$D$204=F$6)*('01_予約入力'!$N$5:$N$204&lt;&gt;"キャンセル")*('01_予約入力'!$G$5:$G$204&lt;&gt;"")*('01_予約入力'!$G$5:$G$204=$A15)*('01_予約入力'!$J$5:$J$204=$A15)*(ROW('01_予約入力'!$G$5:$G$204)-4))))</f>
        <v/>
      </c>
      <c r="X15" s="36">
        <f>IF($A15="","",IF($M15&gt;0,IF(OR(INDEX('01_予約入力'!$N$5:$N$204,$M15)="仮予約",INDEX('01_予約入力'!$N$5:$N$204,$M15)="調整中"),"仮",INDEX('01_予約入力'!$C$5:$C$204,$M15)),IF($N15&gt;0,IF(OR(INDEX('01_予約入力'!$N$5:$N$204,$N15)="仮予約",INDEX('01_予約入力'!$N$5:$N$204,$N15)="調整中"),"仮",INDEX('01_予約入力'!$C$5:$C$204,$N15)),IF($L15&gt;0,IF(OR(INDEX('01_予約入力'!$N$5:$N$204,$L15)="仮予約",INDEX('01_予約入力'!$N$5:$N$204,$L15)="調整中"),"仮",INDEX('01_予約入力'!$C$5:$C$204,$L15)),""))))</f>
        <v/>
      </c>
      <c r="Y15" s="36">
        <f>IF($A15="","",IF($P15&gt;0,IF(OR(INDEX('01_予約入力'!$N$5:$N$204,$P15)="仮予約",INDEX('01_予約入力'!$N$5:$N$204,$P15)="調整中"),"仮",INDEX('01_予約入力'!$C$5:$C$204,$P15)),IF($Q15&gt;0,IF(OR(INDEX('01_予約入力'!$N$5:$N$204,$Q15)="仮予約",INDEX('01_予約入力'!$N$5:$N$204,$Q15)="調整中"),"仮",INDEX('01_予約入力'!$C$5:$C$204,$Q15)),IF($O15&gt;0,IF(OR(INDEX('01_予約入力'!$N$5:$N$204,$O15)="仮予約",INDEX('01_予約入力'!$N$5:$N$204,$O15)="調整中"),"仮",INDEX('01_予約入力'!$C$5:$C$204,$O15)),""))))</f>
        <v/>
      </c>
      <c r="Z15" s="36">
        <f>IF($A15="","",IF($S15&gt;0,IF(OR(INDEX('01_予約入力'!$N$5:$N$204,$S15)="仮予約",INDEX('01_予約入力'!$N$5:$N$204,$S15)="調整中"),"仮",INDEX('01_予約入力'!$C$5:$C$204,$S15)),IF($T15&gt;0,IF(OR(INDEX('01_予約入力'!$N$5:$N$204,$T15)="仮予約",INDEX('01_予約入力'!$N$5:$N$204,$T15)="調整中"),"仮",INDEX('01_予約入力'!$C$5:$C$204,$T15)),IF($R15&gt;0,IF(OR(INDEX('01_予約入力'!$N$5:$N$204,$R15)="仮予約",INDEX('01_予約入力'!$N$5:$N$204,$R15)="調整中"),"仮",INDEX('01_予約入力'!$C$5:$C$204,$R15)),""))))</f>
        <v/>
      </c>
      <c r="AA15" s="36">
        <f>IF($A15="","",IF($V15&gt;0,IF(OR(INDEX('01_予約入力'!$N$5:$N$204,$V15)="仮予約",INDEX('01_予約入力'!$N$5:$N$204,$V15)="調整中"),"仮",INDEX('01_予約入力'!$C$5:$C$204,$V15)),IF($W15&gt;0,IF(OR(INDEX('01_予約入力'!$N$5:$N$204,$W15)="仮予約",INDEX('01_予約入力'!$N$5:$N$204,$W15)="調整中"),"仮",INDEX('01_予約入力'!$C$5:$C$204,$W15)),IF($U15&gt;0,IF(OR(INDEX('01_予約入力'!$N$5:$N$204,$U15)="仮予約",INDEX('01_予約入力'!$N$5:$N$204,$U15)="調整中"),"仮",INDEX('01_予約入力'!$C$5:$C$204,$U15)),""))))</f>
        <v/>
      </c>
    </row>
    <row r="16">
      <c r="A16" s="41">
        <f>IF(MONTH('02_カレンダー'!$B$4+9)&lt;&gt;MONTH('02_カレンダー'!$B$4),"",'02_カレンダー'!$B$4+9)</f>
        <v/>
      </c>
      <c r="B16" s="36">
        <f>IF($A16="","",MID("日月火水木金土",WEEKDAY($A16),1))</f>
        <v/>
      </c>
      <c r="C16" s="42">
        <f>IF(OR($A16="",C$6=""),"",IF($L16=0,"",INDEX('01_予約入力'!$B$5:$B$204,$L16)&amp;" ◀"&amp;IF(('02_カレンダー'!$B$5="○"),INDEX('01_予約入力'!$AB$5:$AB$204,$L16),""))&amp;IF(AND($L16&gt;0,OR($M16&gt;0,$N16&gt;0)),"  ","")&amp;IF($M16=0,"",IF(INDEX('01_予約入力'!$G$5:$G$204,$M16)=$A16,"▶"&amp;IF(('02_カレンダー'!$B$5="○"),INDEX('01_予約入力'!$AA$5:$AA$204,$M16)&amp;" "," "),"")&amp;INDEX('01_予約入力'!$B$5:$B$204,$M16))&amp;IF(AND($M16&gt;0,$N16&gt;0),"  ","")&amp;IF($N16=0,"","◆ "&amp;INDEX('01_予約入力'!$B$5:$B$204,$N16)&amp;IF(('02_カレンダー'!$B$5="○")," "&amp;INDEX('01_予約入力'!$AA$5:$AA$204,$N16)&amp;"-"&amp;INDEX('01_予約入力'!$AB$5:$AB$204,$N16),"")))</f>
        <v/>
      </c>
      <c r="D16" s="42">
        <f>IF(OR($A16="",D$6=""),"",IF($O16=0,"",INDEX('01_予約入力'!$B$5:$B$204,$O16)&amp;" ◀"&amp;IF(('02_カレンダー'!$B$5="○"),INDEX('01_予約入力'!$AB$5:$AB$204,$O16),""))&amp;IF(AND($O16&gt;0,OR($P16&gt;0,$Q16&gt;0)),"  ","")&amp;IF($P16=0,"",IF(INDEX('01_予約入力'!$G$5:$G$204,$P16)=$A16,"▶"&amp;IF(('02_カレンダー'!$B$5="○"),INDEX('01_予約入力'!$AA$5:$AA$204,$P16)&amp;" "," "),"")&amp;INDEX('01_予約入力'!$B$5:$B$204,$P16))&amp;IF(AND($P16&gt;0,$Q16&gt;0),"  ","")&amp;IF($Q16=0,"","◆ "&amp;INDEX('01_予約入力'!$B$5:$B$204,$Q16)&amp;IF(('02_カレンダー'!$B$5="○")," "&amp;INDEX('01_予約入力'!$AA$5:$AA$204,$Q16)&amp;"-"&amp;INDEX('01_予約入力'!$AB$5:$AB$204,$Q16),"")))</f>
        <v/>
      </c>
      <c r="E16" s="42">
        <f>IF(OR($A16="",E$6=""),"",IF($R16=0,"",INDEX('01_予約入力'!$B$5:$B$204,$R16)&amp;" ◀"&amp;IF(('02_カレンダー'!$B$5="○"),INDEX('01_予約入力'!$AB$5:$AB$204,$R16),""))&amp;IF(AND($R16&gt;0,OR($S16&gt;0,$T16&gt;0)),"  ","")&amp;IF($S16=0,"",IF(INDEX('01_予約入力'!$G$5:$G$204,$S16)=$A16,"▶"&amp;IF(('02_カレンダー'!$B$5="○"),INDEX('01_予約入力'!$AA$5:$AA$204,$S16)&amp;" "," "),"")&amp;INDEX('01_予約入力'!$B$5:$B$204,$S16))&amp;IF(AND($S16&gt;0,$T16&gt;0),"  ","")&amp;IF($T16=0,"","◆ "&amp;INDEX('01_予約入力'!$B$5:$B$204,$T16)&amp;IF(('02_カレンダー'!$B$5="○")," "&amp;INDEX('01_予約入力'!$AA$5:$AA$204,$T16)&amp;"-"&amp;INDEX('01_予約入力'!$AB$5:$AB$204,$T16),"")))</f>
        <v/>
      </c>
      <c r="F16" s="42">
        <f>IF(OR($A16="",F$6=""),"",IF($U16=0,"",INDEX('01_予約入力'!$B$5:$B$204,$U16)&amp;" ◀"&amp;IF(('02_カレンダー'!$B$5="○"),INDEX('01_予約入力'!$AB$5:$AB$204,$U16),""))&amp;IF(AND($U16&gt;0,OR($V16&gt;0,$W16&gt;0)),"  ","")&amp;IF($V16=0,"",IF(INDEX('01_予約入力'!$G$5:$G$204,$V16)=$A16,"▶"&amp;IF(('02_カレンダー'!$B$5="○"),INDEX('01_予約入力'!$AA$5:$AA$204,$V16)&amp;" "," "),"")&amp;INDEX('01_予約入力'!$B$5:$B$204,$V16))&amp;IF(AND($V16&gt;0,$W16&gt;0),"  ","")&amp;IF($W16=0,"","◆ "&amp;INDEX('01_予約入力'!$B$5:$B$204,$W16)&amp;IF(('02_カレンダー'!$B$5="○")," "&amp;INDEX('01_予約入力'!$AA$5:$AA$204,$W16)&amp;"-"&amp;INDEX('01_予約入力'!$AB$5:$AB$204,$W16),"")))</f>
        <v/>
      </c>
      <c r="G16" s="36">
        <f>IF($A16="","",SUMPRODUCT(('01_予約入力'!$G$5:$G$204&lt;&gt;"")*('01_予約入力'!$N$5:$N$204&lt;&gt;"キャンセル")*('01_予約入力'!$G$5:$G$204&lt;=$A16)*('01_予約入力'!$J$5:$J$204&gt;$A16)))</f>
        <v/>
      </c>
      <c r="H16" s="36">
        <f>IF($A16="","",'M_施設設定'!$B$6-$G16)</f>
        <v/>
      </c>
      <c r="I16" s="36">
        <f>IF($A16="","",SUMPRODUCT((('01_予約入力'!$N$5:$N$204="仮予約")+('01_予約入力'!$N$5:$N$204="調整中"))*('01_予約入力'!$G$5:$G$204&lt;&gt;"")*('01_予約入力'!$G$5:$G$204&lt;=$A16)*('01_予約入力'!$J$5:$J$204&gt;$A16)))</f>
        <v/>
      </c>
      <c r="J16" s="36">
        <f>IF($A16="","",IF($I16&gt;0,"仮",IF($H16&lt;=0,"×",IF($H16&lt;'M_施設設定'!$B$6,"△","○"))))</f>
        <v/>
      </c>
      <c r="K16" s="36">
        <f>IF($A16="","",SUMPRODUCT(('01_予約入力'!$G$5:$G$204&lt;&gt;"")*('01_予約入力'!$N$5:$N$204&lt;&gt;"キャンセル")*('01_予約入力'!$G$5:$G$204=$A16)*('01_予約入力'!$J$5:$J$204=$A16)))</f>
        <v/>
      </c>
      <c r="L16" s="36">
        <f>IF(OR($A16="",C$6=""),0,SUMPRODUCT(MAX(('01_予約入力'!$D$5:$D$204=C$6)*('01_予約入力'!$N$5:$N$204&lt;&gt;"キャンセル")*('01_予約入力'!$G$5:$G$204&lt;&gt;"")*('01_予約入力'!$J$5:$J$204=$A16)*('01_予約入力'!$G$5:$G$204&lt;$A16)*(ROW('01_予約入力'!$G$5:$G$204)-4))))</f>
        <v/>
      </c>
      <c r="M16" s="36">
        <f>IF(OR($A16="",C$6=""),0,SUMPRODUCT(MAX(('01_予約入力'!$D$5:$D$204=C$6)*('01_予約入力'!$N$5:$N$204&lt;&gt;"キャンセル")*('01_予約入力'!$G$5:$G$204&lt;&gt;"")*('01_予約入力'!$G$5:$G$204&lt;=$A16)*('01_予約入力'!$J$5:$J$204&gt;$A16)*(ROW('01_予約入力'!$G$5:$G$204)-4))))</f>
        <v/>
      </c>
      <c r="N16" s="36">
        <f>IF(OR($A16="",C$6=""),0,SUMPRODUCT(MAX(('01_予約入力'!$D$5:$D$204=C$6)*('01_予約入力'!$N$5:$N$204&lt;&gt;"キャンセル")*('01_予約入力'!$G$5:$G$204&lt;&gt;"")*('01_予約入力'!$G$5:$G$204=$A16)*('01_予約入力'!$J$5:$J$204=$A16)*(ROW('01_予約入力'!$G$5:$G$204)-4))))</f>
        <v/>
      </c>
      <c r="O16" s="36">
        <f>IF(OR($A16="",D$6=""),0,SUMPRODUCT(MAX(('01_予約入力'!$D$5:$D$204=D$6)*('01_予約入力'!$N$5:$N$204&lt;&gt;"キャンセル")*('01_予約入力'!$G$5:$G$204&lt;&gt;"")*('01_予約入力'!$J$5:$J$204=$A16)*('01_予約入力'!$G$5:$G$204&lt;$A16)*(ROW('01_予約入力'!$G$5:$G$204)-4))))</f>
        <v/>
      </c>
      <c r="P16" s="36">
        <f>IF(OR($A16="",D$6=""),0,SUMPRODUCT(MAX(('01_予約入力'!$D$5:$D$204=D$6)*('01_予約入力'!$N$5:$N$204&lt;&gt;"キャンセル")*('01_予約入力'!$G$5:$G$204&lt;&gt;"")*('01_予約入力'!$G$5:$G$204&lt;=$A16)*('01_予約入力'!$J$5:$J$204&gt;$A16)*(ROW('01_予約入力'!$G$5:$G$204)-4))))</f>
        <v/>
      </c>
      <c r="Q16" s="36">
        <f>IF(OR($A16="",D$6=""),0,SUMPRODUCT(MAX(('01_予約入力'!$D$5:$D$204=D$6)*('01_予約入力'!$N$5:$N$204&lt;&gt;"キャンセル")*('01_予約入力'!$G$5:$G$204&lt;&gt;"")*('01_予約入力'!$G$5:$G$204=$A16)*('01_予約入力'!$J$5:$J$204=$A16)*(ROW('01_予約入力'!$G$5:$G$204)-4))))</f>
        <v/>
      </c>
      <c r="R16" s="36">
        <f>IF(OR($A16="",E$6=""),0,SUMPRODUCT(MAX(('01_予約入力'!$D$5:$D$204=E$6)*('01_予約入力'!$N$5:$N$204&lt;&gt;"キャンセル")*('01_予約入力'!$G$5:$G$204&lt;&gt;"")*('01_予約入力'!$J$5:$J$204=$A16)*('01_予約入力'!$G$5:$G$204&lt;$A16)*(ROW('01_予約入力'!$G$5:$G$204)-4))))</f>
        <v/>
      </c>
      <c r="S16" s="36">
        <f>IF(OR($A16="",E$6=""),0,SUMPRODUCT(MAX(('01_予約入力'!$D$5:$D$204=E$6)*('01_予約入力'!$N$5:$N$204&lt;&gt;"キャンセル")*('01_予約入力'!$G$5:$G$204&lt;&gt;"")*('01_予約入力'!$G$5:$G$204&lt;=$A16)*('01_予約入力'!$J$5:$J$204&gt;$A16)*(ROW('01_予約入力'!$G$5:$G$204)-4))))</f>
        <v/>
      </c>
      <c r="T16" s="36">
        <f>IF(OR($A16="",E$6=""),0,SUMPRODUCT(MAX(('01_予約入力'!$D$5:$D$204=E$6)*('01_予約入力'!$N$5:$N$204&lt;&gt;"キャンセル")*('01_予約入力'!$G$5:$G$204&lt;&gt;"")*('01_予約入力'!$G$5:$G$204=$A16)*('01_予約入力'!$J$5:$J$204=$A16)*(ROW('01_予約入力'!$G$5:$G$204)-4))))</f>
        <v/>
      </c>
      <c r="U16" s="36">
        <f>IF(OR($A16="",F$6=""),0,SUMPRODUCT(MAX(('01_予約入力'!$D$5:$D$204=F$6)*('01_予約入力'!$N$5:$N$204&lt;&gt;"キャンセル")*('01_予約入力'!$G$5:$G$204&lt;&gt;"")*('01_予約入力'!$J$5:$J$204=$A16)*('01_予約入力'!$G$5:$G$204&lt;$A16)*(ROW('01_予約入力'!$G$5:$G$204)-4))))</f>
        <v/>
      </c>
      <c r="V16" s="36">
        <f>IF(OR($A16="",F$6=""),0,SUMPRODUCT(MAX(('01_予約入力'!$D$5:$D$204=F$6)*('01_予約入力'!$N$5:$N$204&lt;&gt;"キャンセル")*('01_予約入力'!$G$5:$G$204&lt;&gt;"")*('01_予約入力'!$G$5:$G$204&lt;=$A16)*('01_予約入力'!$J$5:$J$204&gt;$A16)*(ROW('01_予約入力'!$G$5:$G$204)-4))))</f>
        <v/>
      </c>
      <c r="W16" s="36">
        <f>IF(OR($A16="",F$6=""),0,SUMPRODUCT(MAX(('01_予約入力'!$D$5:$D$204=F$6)*('01_予約入力'!$N$5:$N$204&lt;&gt;"キャンセル")*('01_予約入力'!$G$5:$G$204&lt;&gt;"")*('01_予約入力'!$G$5:$G$204=$A16)*('01_予約入力'!$J$5:$J$204=$A16)*(ROW('01_予約入力'!$G$5:$G$204)-4))))</f>
        <v/>
      </c>
      <c r="X16" s="36">
        <f>IF($A16="","",IF($M16&gt;0,IF(OR(INDEX('01_予約入力'!$N$5:$N$204,$M16)="仮予約",INDEX('01_予約入力'!$N$5:$N$204,$M16)="調整中"),"仮",INDEX('01_予約入力'!$C$5:$C$204,$M16)),IF($N16&gt;0,IF(OR(INDEX('01_予約入力'!$N$5:$N$204,$N16)="仮予約",INDEX('01_予約入力'!$N$5:$N$204,$N16)="調整中"),"仮",INDEX('01_予約入力'!$C$5:$C$204,$N16)),IF($L16&gt;0,IF(OR(INDEX('01_予約入力'!$N$5:$N$204,$L16)="仮予約",INDEX('01_予約入力'!$N$5:$N$204,$L16)="調整中"),"仮",INDEX('01_予約入力'!$C$5:$C$204,$L16)),""))))</f>
        <v/>
      </c>
      <c r="Y16" s="36">
        <f>IF($A16="","",IF($P16&gt;0,IF(OR(INDEX('01_予約入力'!$N$5:$N$204,$P16)="仮予約",INDEX('01_予約入力'!$N$5:$N$204,$P16)="調整中"),"仮",INDEX('01_予約入力'!$C$5:$C$204,$P16)),IF($Q16&gt;0,IF(OR(INDEX('01_予約入力'!$N$5:$N$204,$Q16)="仮予約",INDEX('01_予約入力'!$N$5:$N$204,$Q16)="調整中"),"仮",INDEX('01_予約入力'!$C$5:$C$204,$Q16)),IF($O16&gt;0,IF(OR(INDEX('01_予約入力'!$N$5:$N$204,$O16)="仮予約",INDEX('01_予約入力'!$N$5:$N$204,$O16)="調整中"),"仮",INDEX('01_予約入力'!$C$5:$C$204,$O16)),""))))</f>
        <v/>
      </c>
      <c r="Z16" s="36">
        <f>IF($A16="","",IF($S16&gt;0,IF(OR(INDEX('01_予約入力'!$N$5:$N$204,$S16)="仮予約",INDEX('01_予約入力'!$N$5:$N$204,$S16)="調整中"),"仮",INDEX('01_予約入力'!$C$5:$C$204,$S16)),IF($T16&gt;0,IF(OR(INDEX('01_予約入力'!$N$5:$N$204,$T16)="仮予約",INDEX('01_予約入力'!$N$5:$N$204,$T16)="調整中"),"仮",INDEX('01_予約入力'!$C$5:$C$204,$T16)),IF($R16&gt;0,IF(OR(INDEX('01_予約入力'!$N$5:$N$204,$R16)="仮予約",INDEX('01_予約入力'!$N$5:$N$204,$R16)="調整中"),"仮",INDEX('01_予約入力'!$C$5:$C$204,$R16)),""))))</f>
        <v/>
      </c>
      <c r="AA16" s="36">
        <f>IF($A16="","",IF($V16&gt;0,IF(OR(INDEX('01_予約入力'!$N$5:$N$204,$V16)="仮予約",INDEX('01_予約入力'!$N$5:$N$204,$V16)="調整中"),"仮",INDEX('01_予約入力'!$C$5:$C$204,$V16)),IF($W16&gt;0,IF(OR(INDEX('01_予約入力'!$N$5:$N$204,$W16)="仮予約",INDEX('01_予約入力'!$N$5:$N$204,$W16)="調整中"),"仮",INDEX('01_予約入力'!$C$5:$C$204,$W16)),IF($U16&gt;0,IF(OR(INDEX('01_予約入力'!$N$5:$N$204,$U16)="仮予約",INDEX('01_予約入力'!$N$5:$N$204,$U16)="調整中"),"仮",INDEX('01_予約入力'!$C$5:$C$204,$U16)),""))))</f>
        <v/>
      </c>
    </row>
    <row r="17">
      <c r="A17" s="41">
        <f>IF(MONTH('02_カレンダー'!$B$4+10)&lt;&gt;MONTH('02_カレンダー'!$B$4),"",'02_カレンダー'!$B$4+10)</f>
        <v/>
      </c>
      <c r="B17" s="36">
        <f>IF($A17="","",MID("日月火水木金土",WEEKDAY($A17),1))</f>
        <v/>
      </c>
      <c r="C17" s="42">
        <f>IF(OR($A17="",C$6=""),"",IF($L17=0,"",INDEX('01_予約入力'!$B$5:$B$204,$L17)&amp;" ◀"&amp;IF(('02_カレンダー'!$B$5="○"),INDEX('01_予約入力'!$AB$5:$AB$204,$L17),""))&amp;IF(AND($L17&gt;0,OR($M17&gt;0,$N17&gt;0)),"  ","")&amp;IF($M17=0,"",IF(INDEX('01_予約入力'!$G$5:$G$204,$M17)=$A17,"▶"&amp;IF(('02_カレンダー'!$B$5="○"),INDEX('01_予約入力'!$AA$5:$AA$204,$M17)&amp;" "," "),"")&amp;INDEX('01_予約入力'!$B$5:$B$204,$M17))&amp;IF(AND($M17&gt;0,$N17&gt;0),"  ","")&amp;IF($N17=0,"","◆ "&amp;INDEX('01_予約入力'!$B$5:$B$204,$N17)&amp;IF(('02_カレンダー'!$B$5="○")," "&amp;INDEX('01_予約入力'!$AA$5:$AA$204,$N17)&amp;"-"&amp;INDEX('01_予約入力'!$AB$5:$AB$204,$N17),"")))</f>
        <v/>
      </c>
      <c r="D17" s="42">
        <f>IF(OR($A17="",D$6=""),"",IF($O17=0,"",INDEX('01_予約入力'!$B$5:$B$204,$O17)&amp;" ◀"&amp;IF(('02_カレンダー'!$B$5="○"),INDEX('01_予約入力'!$AB$5:$AB$204,$O17),""))&amp;IF(AND($O17&gt;0,OR($P17&gt;0,$Q17&gt;0)),"  ","")&amp;IF($P17=0,"",IF(INDEX('01_予約入力'!$G$5:$G$204,$P17)=$A17,"▶"&amp;IF(('02_カレンダー'!$B$5="○"),INDEX('01_予約入力'!$AA$5:$AA$204,$P17)&amp;" "," "),"")&amp;INDEX('01_予約入力'!$B$5:$B$204,$P17))&amp;IF(AND($P17&gt;0,$Q17&gt;0),"  ","")&amp;IF($Q17=0,"","◆ "&amp;INDEX('01_予約入力'!$B$5:$B$204,$Q17)&amp;IF(('02_カレンダー'!$B$5="○")," "&amp;INDEX('01_予約入力'!$AA$5:$AA$204,$Q17)&amp;"-"&amp;INDEX('01_予約入力'!$AB$5:$AB$204,$Q17),"")))</f>
        <v/>
      </c>
      <c r="E17" s="42">
        <f>IF(OR($A17="",E$6=""),"",IF($R17=0,"",INDEX('01_予約入力'!$B$5:$B$204,$R17)&amp;" ◀"&amp;IF(('02_カレンダー'!$B$5="○"),INDEX('01_予約入力'!$AB$5:$AB$204,$R17),""))&amp;IF(AND($R17&gt;0,OR($S17&gt;0,$T17&gt;0)),"  ","")&amp;IF($S17=0,"",IF(INDEX('01_予約入力'!$G$5:$G$204,$S17)=$A17,"▶"&amp;IF(('02_カレンダー'!$B$5="○"),INDEX('01_予約入力'!$AA$5:$AA$204,$S17)&amp;" "," "),"")&amp;INDEX('01_予約入力'!$B$5:$B$204,$S17))&amp;IF(AND($S17&gt;0,$T17&gt;0),"  ","")&amp;IF($T17=0,"","◆ "&amp;INDEX('01_予約入力'!$B$5:$B$204,$T17)&amp;IF(('02_カレンダー'!$B$5="○")," "&amp;INDEX('01_予約入力'!$AA$5:$AA$204,$T17)&amp;"-"&amp;INDEX('01_予約入力'!$AB$5:$AB$204,$T17),"")))</f>
        <v/>
      </c>
      <c r="F17" s="42">
        <f>IF(OR($A17="",F$6=""),"",IF($U17=0,"",INDEX('01_予約入力'!$B$5:$B$204,$U17)&amp;" ◀"&amp;IF(('02_カレンダー'!$B$5="○"),INDEX('01_予約入力'!$AB$5:$AB$204,$U17),""))&amp;IF(AND($U17&gt;0,OR($V17&gt;0,$W17&gt;0)),"  ","")&amp;IF($V17=0,"",IF(INDEX('01_予約入力'!$G$5:$G$204,$V17)=$A17,"▶"&amp;IF(('02_カレンダー'!$B$5="○"),INDEX('01_予約入力'!$AA$5:$AA$204,$V17)&amp;" "," "),"")&amp;INDEX('01_予約入力'!$B$5:$B$204,$V17))&amp;IF(AND($V17&gt;0,$W17&gt;0),"  ","")&amp;IF($W17=0,"","◆ "&amp;INDEX('01_予約入力'!$B$5:$B$204,$W17)&amp;IF(('02_カレンダー'!$B$5="○")," "&amp;INDEX('01_予約入力'!$AA$5:$AA$204,$W17)&amp;"-"&amp;INDEX('01_予約入力'!$AB$5:$AB$204,$W17),"")))</f>
        <v/>
      </c>
      <c r="G17" s="36">
        <f>IF($A17="","",SUMPRODUCT(('01_予約入力'!$G$5:$G$204&lt;&gt;"")*('01_予約入力'!$N$5:$N$204&lt;&gt;"キャンセル")*('01_予約入力'!$G$5:$G$204&lt;=$A17)*('01_予約入力'!$J$5:$J$204&gt;$A17)))</f>
        <v/>
      </c>
      <c r="H17" s="36">
        <f>IF($A17="","",'M_施設設定'!$B$6-$G17)</f>
        <v/>
      </c>
      <c r="I17" s="36">
        <f>IF($A17="","",SUMPRODUCT((('01_予約入力'!$N$5:$N$204="仮予約")+('01_予約入力'!$N$5:$N$204="調整中"))*('01_予約入力'!$G$5:$G$204&lt;&gt;"")*('01_予約入力'!$G$5:$G$204&lt;=$A17)*('01_予約入力'!$J$5:$J$204&gt;$A17)))</f>
        <v/>
      </c>
      <c r="J17" s="36">
        <f>IF($A17="","",IF($I17&gt;0,"仮",IF($H17&lt;=0,"×",IF($H17&lt;'M_施設設定'!$B$6,"△","○"))))</f>
        <v/>
      </c>
      <c r="K17" s="36">
        <f>IF($A17="","",SUMPRODUCT(('01_予約入力'!$G$5:$G$204&lt;&gt;"")*('01_予約入力'!$N$5:$N$204&lt;&gt;"キャンセル")*('01_予約入力'!$G$5:$G$204=$A17)*('01_予約入力'!$J$5:$J$204=$A17)))</f>
        <v/>
      </c>
      <c r="L17" s="36">
        <f>IF(OR($A17="",C$6=""),0,SUMPRODUCT(MAX(('01_予約入力'!$D$5:$D$204=C$6)*('01_予約入力'!$N$5:$N$204&lt;&gt;"キャンセル")*('01_予約入力'!$G$5:$G$204&lt;&gt;"")*('01_予約入力'!$J$5:$J$204=$A17)*('01_予約入力'!$G$5:$G$204&lt;$A17)*(ROW('01_予約入力'!$G$5:$G$204)-4))))</f>
        <v/>
      </c>
      <c r="M17" s="36">
        <f>IF(OR($A17="",C$6=""),0,SUMPRODUCT(MAX(('01_予約入力'!$D$5:$D$204=C$6)*('01_予約入力'!$N$5:$N$204&lt;&gt;"キャンセル")*('01_予約入力'!$G$5:$G$204&lt;&gt;"")*('01_予約入力'!$G$5:$G$204&lt;=$A17)*('01_予約入力'!$J$5:$J$204&gt;$A17)*(ROW('01_予約入力'!$G$5:$G$204)-4))))</f>
        <v/>
      </c>
      <c r="N17" s="36">
        <f>IF(OR($A17="",C$6=""),0,SUMPRODUCT(MAX(('01_予約入力'!$D$5:$D$204=C$6)*('01_予約入力'!$N$5:$N$204&lt;&gt;"キャンセル")*('01_予約入力'!$G$5:$G$204&lt;&gt;"")*('01_予約入力'!$G$5:$G$204=$A17)*('01_予約入力'!$J$5:$J$204=$A17)*(ROW('01_予約入力'!$G$5:$G$204)-4))))</f>
        <v/>
      </c>
      <c r="O17" s="36">
        <f>IF(OR($A17="",D$6=""),0,SUMPRODUCT(MAX(('01_予約入力'!$D$5:$D$204=D$6)*('01_予約入力'!$N$5:$N$204&lt;&gt;"キャンセル")*('01_予約入力'!$G$5:$G$204&lt;&gt;"")*('01_予約入力'!$J$5:$J$204=$A17)*('01_予約入力'!$G$5:$G$204&lt;$A17)*(ROW('01_予約入力'!$G$5:$G$204)-4))))</f>
        <v/>
      </c>
      <c r="P17" s="36">
        <f>IF(OR($A17="",D$6=""),0,SUMPRODUCT(MAX(('01_予約入力'!$D$5:$D$204=D$6)*('01_予約入力'!$N$5:$N$204&lt;&gt;"キャンセル")*('01_予約入力'!$G$5:$G$204&lt;&gt;"")*('01_予約入力'!$G$5:$G$204&lt;=$A17)*('01_予約入力'!$J$5:$J$204&gt;$A17)*(ROW('01_予約入力'!$G$5:$G$204)-4))))</f>
        <v/>
      </c>
      <c r="Q17" s="36">
        <f>IF(OR($A17="",D$6=""),0,SUMPRODUCT(MAX(('01_予約入力'!$D$5:$D$204=D$6)*('01_予約入力'!$N$5:$N$204&lt;&gt;"キャンセル")*('01_予約入力'!$G$5:$G$204&lt;&gt;"")*('01_予約入力'!$G$5:$G$204=$A17)*('01_予約入力'!$J$5:$J$204=$A17)*(ROW('01_予約入力'!$G$5:$G$204)-4))))</f>
        <v/>
      </c>
      <c r="R17" s="36">
        <f>IF(OR($A17="",E$6=""),0,SUMPRODUCT(MAX(('01_予約入力'!$D$5:$D$204=E$6)*('01_予約入力'!$N$5:$N$204&lt;&gt;"キャンセル")*('01_予約入力'!$G$5:$G$204&lt;&gt;"")*('01_予約入力'!$J$5:$J$204=$A17)*('01_予約入力'!$G$5:$G$204&lt;$A17)*(ROW('01_予約入力'!$G$5:$G$204)-4))))</f>
        <v/>
      </c>
      <c r="S17" s="36">
        <f>IF(OR($A17="",E$6=""),0,SUMPRODUCT(MAX(('01_予約入力'!$D$5:$D$204=E$6)*('01_予約入力'!$N$5:$N$204&lt;&gt;"キャンセル")*('01_予約入力'!$G$5:$G$204&lt;&gt;"")*('01_予約入力'!$G$5:$G$204&lt;=$A17)*('01_予約入力'!$J$5:$J$204&gt;$A17)*(ROW('01_予約入力'!$G$5:$G$204)-4))))</f>
        <v/>
      </c>
      <c r="T17" s="36">
        <f>IF(OR($A17="",E$6=""),0,SUMPRODUCT(MAX(('01_予約入力'!$D$5:$D$204=E$6)*('01_予約入力'!$N$5:$N$204&lt;&gt;"キャンセル")*('01_予約入力'!$G$5:$G$204&lt;&gt;"")*('01_予約入力'!$G$5:$G$204=$A17)*('01_予約入力'!$J$5:$J$204=$A17)*(ROW('01_予約入力'!$G$5:$G$204)-4))))</f>
        <v/>
      </c>
      <c r="U17" s="36">
        <f>IF(OR($A17="",F$6=""),0,SUMPRODUCT(MAX(('01_予約入力'!$D$5:$D$204=F$6)*('01_予約入力'!$N$5:$N$204&lt;&gt;"キャンセル")*('01_予約入力'!$G$5:$G$204&lt;&gt;"")*('01_予約入力'!$J$5:$J$204=$A17)*('01_予約入力'!$G$5:$G$204&lt;$A17)*(ROW('01_予約入力'!$G$5:$G$204)-4))))</f>
        <v/>
      </c>
      <c r="V17" s="36">
        <f>IF(OR($A17="",F$6=""),0,SUMPRODUCT(MAX(('01_予約入力'!$D$5:$D$204=F$6)*('01_予約入力'!$N$5:$N$204&lt;&gt;"キャンセル")*('01_予約入力'!$G$5:$G$204&lt;&gt;"")*('01_予約入力'!$G$5:$G$204&lt;=$A17)*('01_予約入力'!$J$5:$J$204&gt;$A17)*(ROW('01_予約入力'!$G$5:$G$204)-4))))</f>
        <v/>
      </c>
      <c r="W17" s="36">
        <f>IF(OR($A17="",F$6=""),0,SUMPRODUCT(MAX(('01_予約入力'!$D$5:$D$204=F$6)*('01_予約入力'!$N$5:$N$204&lt;&gt;"キャンセル")*('01_予約入力'!$G$5:$G$204&lt;&gt;"")*('01_予約入力'!$G$5:$G$204=$A17)*('01_予約入力'!$J$5:$J$204=$A17)*(ROW('01_予約入力'!$G$5:$G$204)-4))))</f>
        <v/>
      </c>
      <c r="X17" s="36">
        <f>IF($A17="","",IF($M17&gt;0,IF(OR(INDEX('01_予約入力'!$N$5:$N$204,$M17)="仮予約",INDEX('01_予約入力'!$N$5:$N$204,$M17)="調整中"),"仮",INDEX('01_予約入力'!$C$5:$C$204,$M17)),IF($N17&gt;0,IF(OR(INDEX('01_予約入力'!$N$5:$N$204,$N17)="仮予約",INDEX('01_予約入力'!$N$5:$N$204,$N17)="調整中"),"仮",INDEX('01_予約入力'!$C$5:$C$204,$N17)),IF($L17&gt;0,IF(OR(INDEX('01_予約入力'!$N$5:$N$204,$L17)="仮予約",INDEX('01_予約入力'!$N$5:$N$204,$L17)="調整中"),"仮",INDEX('01_予約入力'!$C$5:$C$204,$L17)),""))))</f>
        <v/>
      </c>
      <c r="Y17" s="36">
        <f>IF($A17="","",IF($P17&gt;0,IF(OR(INDEX('01_予約入力'!$N$5:$N$204,$P17)="仮予約",INDEX('01_予約入力'!$N$5:$N$204,$P17)="調整中"),"仮",INDEX('01_予約入力'!$C$5:$C$204,$P17)),IF($Q17&gt;0,IF(OR(INDEX('01_予約入力'!$N$5:$N$204,$Q17)="仮予約",INDEX('01_予約入力'!$N$5:$N$204,$Q17)="調整中"),"仮",INDEX('01_予約入力'!$C$5:$C$204,$Q17)),IF($O17&gt;0,IF(OR(INDEX('01_予約入力'!$N$5:$N$204,$O17)="仮予約",INDEX('01_予約入力'!$N$5:$N$204,$O17)="調整中"),"仮",INDEX('01_予約入力'!$C$5:$C$204,$O17)),""))))</f>
        <v/>
      </c>
      <c r="Z17" s="36">
        <f>IF($A17="","",IF($S17&gt;0,IF(OR(INDEX('01_予約入力'!$N$5:$N$204,$S17)="仮予約",INDEX('01_予約入力'!$N$5:$N$204,$S17)="調整中"),"仮",INDEX('01_予約入力'!$C$5:$C$204,$S17)),IF($T17&gt;0,IF(OR(INDEX('01_予約入力'!$N$5:$N$204,$T17)="仮予約",INDEX('01_予約入力'!$N$5:$N$204,$T17)="調整中"),"仮",INDEX('01_予約入力'!$C$5:$C$204,$T17)),IF($R17&gt;0,IF(OR(INDEX('01_予約入力'!$N$5:$N$204,$R17)="仮予約",INDEX('01_予約入力'!$N$5:$N$204,$R17)="調整中"),"仮",INDEX('01_予約入力'!$C$5:$C$204,$R17)),""))))</f>
        <v/>
      </c>
      <c r="AA17" s="36">
        <f>IF($A17="","",IF($V17&gt;0,IF(OR(INDEX('01_予約入力'!$N$5:$N$204,$V17)="仮予約",INDEX('01_予約入力'!$N$5:$N$204,$V17)="調整中"),"仮",INDEX('01_予約入力'!$C$5:$C$204,$V17)),IF($W17&gt;0,IF(OR(INDEX('01_予約入力'!$N$5:$N$204,$W17)="仮予約",INDEX('01_予約入力'!$N$5:$N$204,$W17)="調整中"),"仮",INDEX('01_予約入力'!$C$5:$C$204,$W17)),IF($U17&gt;0,IF(OR(INDEX('01_予約入力'!$N$5:$N$204,$U17)="仮予約",INDEX('01_予約入力'!$N$5:$N$204,$U17)="調整中"),"仮",INDEX('01_予約入力'!$C$5:$C$204,$U17)),""))))</f>
        <v/>
      </c>
    </row>
    <row r="18">
      <c r="A18" s="41">
        <f>IF(MONTH('02_カレンダー'!$B$4+11)&lt;&gt;MONTH('02_カレンダー'!$B$4),"",'02_カレンダー'!$B$4+11)</f>
        <v/>
      </c>
      <c r="B18" s="36">
        <f>IF($A18="","",MID("日月火水木金土",WEEKDAY($A18),1))</f>
        <v/>
      </c>
      <c r="C18" s="42">
        <f>IF(OR($A18="",C$6=""),"",IF($L18=0,"",INDEX('01_予約入力'!$B$5:$B$204,$L18)&amp;" ◀"&amp;IF(('02_カレンダー'!$B$5="○"),INDEX('01_予約入力'!$AB$5:$AB$204,$L18),""))&amp;IF(AND($L18&gt;0,OR($M18&gt;0,$N18&gt;0)),"  ","")&amp;IF($M18=0,"",IF(INDEX('01_予約入力'!$G$5:$G$204,$M18)=$A18,"▶"&amp;IF(('02_カレンダー'!$B$5="○"),INDEX('01_予約入力'!$AA$5:$AA$204,$M18)&amp;" "," "),"")&amp;INDEX('01_予約入力'!$B$5:$B$204,$M18))&amp;IF(AND($M18&gt;0,$N18&gt;0),"  ","")&amp;IF($N18=0,"","◆ "&amp;INDEX('01_予約入力'!$B$5:$B$204,$N18)&amp;IF(('02_カレンダー'!$B$5="○")," "&amp;INDEX('01_予約入力'!$AA$5:$AA$204,$N18)&amp;"-"&amp;INDEX('01_予約入力'!$AB$5:$AB$204,$N18),"")))</f>
        <v/>
      </c>
      <c r="D18" s="42">
        <f>IF(OR($A18="",D$6=""),"",IF($O18=0,"",INDEX('01_予約入力'!$B$5:$B$204,$O18)&amp;" ◀"&amp;IF(('02_カレンダー'!$B$5="○"),INDEX('01_予約入力'!$AB$5:$AB$204,$O18),""))&amp;IF(AND($O18&gt;0,OR($P18&gt;0,$Q18&gt;0)),"  ","")&amp;IF($P18=0,"",IF(INDEX('01_予約入力'!$G$5:$G$204,$P18)=$A18,"▶"&amp;IF(('02_カレンダー'!$B$5="○"),INDEX('01_予約入力'!$AA$5:$AA$204,$P18)&amp;" "," "),"")&amp;INDEX('01_予約入力'!$B$5:$B$204,$P18))&amp;IF(AND($P18&gt;0,$Q18&gt;0),"  ","")&amp;IF($Q18=0,"","◆ "&amp;INDEX('01_予約入力'!$B$5:$B$204,$Q18)&amp;IF(('02_カレンダー'!$B$5="○")," "&amp;INDEX('01_予約入力'!$AA$5:$AA$204,$Q18)&amp;"-"&amp;INDEX('01_予約入力'!$AB$5:$AB$204,$Q18),"")))</f>
        <v/>
      </c>
      <c r="E18" s="42">
        <f>IF(OR($A18="",E$6=""),"",IF($R18=0,"",INDEX('01_予約入力'!$B$5:$B$204,$R18)&amp;" ◀"&amp;IF(('02_カレンダー'!$B$5="○"),INDEX('01_予約入力'!$AB$5:$AB$204,$R18),""))&amp;IF(AND($R18&gt;0,OR($S18&gt;0,$T18&gt;0)),"  ","")&amp;IF($S18=0,"",IF(INDEX('01_予約入力'!$G$5:$G$204,$S18)=$A18,"▶"&amp;IF(('02_カレンダー'!$B$5="○"),INDEX('01_予約入力'!$AA$5:$AA$204,$S18)&amp;" "," "),"")&amp;INDEX('01_予約入力'!$B$5:$B$204,$S18))&amp;IF(AND($S18&gt;0,$T18&gt;0),"  ","")&amp;IF($T18=0,"","◆ "&amp;INDEX('01_予約入力'!$B$5:$B$204,$T18)&amp;IF(('02_カレンダー'!$B$5="○")," "&amp;INDEX('01_予約入力'!$AA$5:$AA$204,$T18)&amp;"-"&amp;INDEX('01_予約入力'!$AB$5:$AB$204,$T18),"")))</f>
        <v/>
      </c>
      <c r="F18" s="42">
        <f>IF(OR($A18="",F$6=""),"",IF($U18=0,"",INDEX('01_予約入力'!$B$5:$B$204,$U18)&amp;" ◀"&amp;IF(('02_カレンダー'!$B$5="○"),INDEX('01_予約入力'!$AB$5:$AB$204,$U18),""))&amp;IF(AND($U18&gt;0,OR($V18&gt;0,$W18&gt;0)),"  ","")&amp;IF($V18=0,"",IF(INDEX('01_予約入力'!$G$5:$G$204,$V18)=$A18,"▶"&amp;IF(('02_カレンダー'!$B$5="○"),INDEX('01_予約入力'!$AA$5:$AA$204,$V18)&amp;" "," "),"")&amp;INDEX('01_予約入力'!$B$5:$B$204,$V18))&amp;IF(AND($V18&gt;0,$W18&gt;0),"  ","")&amp;IF($W18=0,"","◆ "&amp;INDEX('01_予約入力'!$B$5:$B$204,$W18)&amp;IF(('02_カレンダー'!$B$5="○")," "&amp;INDEX('01_予約入力'!$AA$5:$AA$204,$W18)&amp;"-"&amp;INDEX('01_予約入力'!$AB$5:$AB$204,$W18),"")))</f>
        <v/>
      </c>
      <c r="G18" s="36">
        <f>IF($A18="","",SUMPRODUCT(('01_予約入力'!$G$5:$G$204&lt;&gt;"")*('01_予約入力'!$N$5:$N$204&lt;&gt;"キャンセル")*('01_予約入力'!$G$5:$G$204&lt;=$A18)*('01_予約入力'!$J$5:$J$204&gt;$A18)))</f>
        <v/>
      </c>
      <c r="H18" s="36">
        <f>IF($A18="","",'M_施設設定'!$B$6-$G18)</f>
        <v/>
      </c>
      <c r="I18" s="36">
        <f>IF($A18="","",SUMPRODUCT((('01_予約入力'!$N$5:$N$204="仮予約")+('01_予約入力'!$N$5:$N$204="調整中"))*('01_予約入力'!$G$5:$G$204&lt;&gt;"")*('01_予約入力'!$G$5:$G$204&lt;=$A18)*('01_予約入力'!$J$5:$J$204&gt;$A18)))</f>
        <v/>
      </c>
      <c r="J18" s="36">
        <f>IF($A18="","",IF($I18&gt;0,"仮",IF($H18&lt;=0,"×",IF($H18&lt;'M_施設設定'!$B$6,"△","○"))))</f>
        <v/>
      </c>
      <c r="K18" s="36">
        <f>IF($A18="","",SUMPRODUCT(('01_予約入力'!$G$5:$G$204&lt;&gt;"")*('01_予約入力'!$N$5:$N$204&lt;&gt;"キャンセル")*('01_予約入力'!$G$5:$G$204=$A18)*('01_予約入力'!$J$5:$J$204=$A18)))</f>
        <v/>
      </c>
      <c r="L18" s="36">
        <f>IF(OR($A18="",C$6=""),0,SUMPRODUCT(MAX(('01_予約入力'!$D$5:$D$204=C$6)*('01_予約入力'!$N$5:$N$204&lt;&gt;"キャンセル")*('01_予約入力'!$G$5:$G$204&lt;&gt;"")*('01_予約入力'!$J$5:$J$204=$A18)*('01_予約入力'!$G$5:$G$204&lt;$A18)*(ROW('01_予約入力'!$G$5:$G$204)-4))))</f>
        <v/>
      </c>
      <c r="M18" s="36">
        <f>IF(OR($A18="",C$6=""),0,SUMPRODUCT(MAX(('01_予約入力'!$D$5:$D$204=C$6)*('01_予約入力'!$N$5:$N$204&lt;&gt;"キャンセル")*('01_予約入力'!$G$5:$G$204&lt;&gt;"")*('01_予約入力'!$G$5:$G$204&lt;=$A18)*('01_予約入力'!$J$5:$J$204&gt;$A18)*(ROW('01_予約入力'!$G$5:$G$204)-4))))</f>
        <v/>
      </c>
      <c r="N18" s="36">
        <f>IF(OR($A18="",C$6=""),0,SUMPRODUCT(MAX(('01_予約入力'!$D$5:$D$204=C$6)*('01_予約入力'!$N$5:$N$204&lt;&gt;"キャンセル")*('01_予約入力'!$G$5:$G$204&lt;&gt;"")*('01_予約入力'!$G$5:$G$204=$A18)*('01_予約入力'!$J$5:$J$204=$A18)*(ROW('01_予約入力'!$G$5:$G$204)-4))))</f>
        <v/>
      </c>
      <c r="O18" s="36">
        <f>IF(OR($A18="",D$6=""),0,SUMPRODUCT(MAX(('01_予約入力'!$D$5:$D$204=D$6)*('01_予約入力'!$N$5:$N$204&lt;&gt;"キャンセル")*('01_予約入力'!$G$5:$G$204&lt;&gt;"")*('01_予約入力'!$J$5:$J$204=$A18)*('01_予約入力'!$G$5:$G$204&lt;$A18)*(ROW('01_予約入力'!$G$5:$G$204)-4))))</f>
        <v/>
      </c>
      <c r="P18" s="36">
        <f>IF(OR($A18="",D$6=""),0,SUMPRODUCT(MAX(('01_予約入力'!$D$5:$D$204=D$6)*('01_予約入力'!$N$5:$N$204&lt;&gt;"キャンセル")*('01_予約入力'!$G$5:$G$204&lt;&gt;"")*('01_予約入力'!$G$5:$G$204&lt;=$A18)*('01_予約入力'!$J$5:$J$204&gt;$A18)*(ROW('01_予約入力'!$G$5:$G$204)-4))))</f>
        <v/>
      </c>
      <c r="Q18" s="36">
        <f>IF(OR($A18="",D$6=""),0,SUMPRODUCT(MAX(('01_予約入力'!$D$5:$D$204=D$6)*('01_予約入力'!$N$5:$N$204&lt;&gt;"キャンセル")*('01_予約入力'!$G$5:$G$204&lt;&gt;"")*('01_予約入力'!$G$5:$G$204=$A18)*('01_予約入力'!$J$5:$J$204=$A18)*(ROW('01_予約入力'!$G$5:$G$204)-4))))</f>
        <v/>
      </c>
      <c r="R18" s="36">
        <f>IF(OR($A18="",E$6=""),0,SUMPRODUCT(MAX(('01_予約入力'!$D$5:$D$204=E$6)*('01_予約入力'!$N$5:$N$204&lt;&gt;"キャンセル")*('01_予約入力'!$G$5:$G$204&lt;&gt;"")*('01_予約入力'!$J$5:$J$204=$A18)*('01_予約入力'!$G$5:$G$204&lt;$A18)*(ROW('01_予約入力'!$G$5:$G$204)-4))))</f>
        <v/>
      </c>
      <c r="S18" s="36">
        <f>IF(OR($A18="",E$6=""),0,SUMPRODUCT(MAX(('01_予約入力'!$D$5:$D$204=E$6)*('01_予約入力'!$N$5:$N$204&lt;&gt;"キャンセル")*('01_予約入力'!$G$5:$G$204&lt;&gt;"")*('01_予約入力'!$G$5:$G$204&lt;=$A18)*('01_予約入力'!$J$5:$J$204&gt;$A18)*(ROW('01_予約入力'!$G$5:$G$204)-4))))</f>
        <v/>
      </c>
      <c r="T18" s="36">
        <f>IF(OR($A18="",E$6=""),0,SUMPRODUCT(MAX(('01_予約入力'!$D$5:$D$204=E$6)*('01_予約入力'!$N$5:$N$204&lt;&gt;"キャンセル")*('01_予約入力'!$G$5:$G$204&lt;&gt;"")*('01_予約入力'!$G$5:$G$204=$A18)*('01_予約入力'!$J$5:$J$204=$A18)*(ROW('01_予約入力'!$G$5:$G$204)-4))))</f>
        <v/>
      </c>
      <c r="U18" s="36">
        <f>IF(OR($A18="",F$6=""),0,SUMPRODUCT(MAX(('01_予約入力'!$D$5:$D$204=F$6)*('01_予約入力'!$N$5:$N$204&lt;&gt;"キャンセル")*('01_予約入力'!$G$5:$G$204&lt;&gt;"")*('01_予約入力'!$J$5:$J$204=$A18)*('01_予約入力'!$G$5:$G$204&lt;$A18)*(ROW('01_予約入力'!$G$5:$G$204)-4))))</f>
        <v/>
      </c>
      <c r="V18" s="36">
        <f>IF(OR($A18="",F$6=""),0,SUMPRODUCT(MAX(('01_予約入力'!$D$5:$D$204=F$6)*('01_予約入力'!$N$5:$N$204&lt;&gt;"キャンセル")*('01_予約入力'!$G$5:$G$204&lt;&gt;"")*('01_予約入力'!$G$5:$G$204&lt;=$A18)*('01_予約入力'!$J$5:$J$204&gt;$A18)*(ROW('01_予約入力'!$G$5:$G$204)-4))))</f>
        <v/>
      </c>
      <c r="W18" s="36">
        <f>IF(OR($A18="",F$6=""),0,SUMPRODUCT(MAX(('01_予約入力'!$D$5:$D$204=F$6)*('01_予約入力'!$N$5:$N$204&lt;&gt;"キャンセル")*('01_予約入力'!$G$5:$G$204&lt;&gt;"")*('01_予約入力'!$G$5:$G$204=$A18)*('01_予約入力'!$J$5:$J$204=$A18)*(ROW('01_予約入力'!$G$5:$G$204)-4))))</f>
        <v/>
      </c>
      <c r="X18" s="36">
        <f>IF($A18="","",IF($M18&gt;0,IF(OR(INDEX('01_予約入力'!$N$5:$N$204,$M18)="仮予約",INDEX('01_予約入力'!$N$5:$N$204,$M18)="調整中"),"仮",INDEX('01_予約入力'!$C$5:$C$204,$M18)),IF($N18&gt;0,IF(OR(INDEX('01_予約入力'!$N$5:$N$204,$N18)="仮予約",INDEX('01_予約入力'!$N$5:$N$204,$N18)="調整中"),"仮",INDEX('01_予約入力'!$C$5:$C$204,$N18)),IF($L18&gt;0,IF(OR(INDEX('01_予約入力'!$N$5:$N$204,$L18)="仮予約",INDEX('01_予約入力'!$N$5:$N$204,$L18)="調整中"),"仮",INDEX('01_予約入力'!$C$5:$C$204,$L18)),""))))</f>
        <v/>
      </c>
      <c r="Y18" s="36">
        <f>IF($A18="","",IF($P18&gt;0,IF(OR(INDEX('01_予約入力'!$N$5:$N$204,$P18)="仮予約",INDEX('01_予約入力'!$N$5:$N$204,$P18)="調整中"),"仮",INDEX('01_予約入力'!$C$5:$C$204,$P18)),IF($Q18&gt;0,IF(OR(INDEX('01_予約入力'!$N$5:$N$204,$Q18)="仮予約",INDEX('01_予約入力'!$N$5:$N$204,$Q18)="調整中"),"仮",INDEX('01_予約入力'!$C$5:$C$204,$Q18)),IF($O18&gt;0,IF(OR(INDEX('01_予約入力'!$N$5:$N$204,$O18)="仮予約",INDEX('01_予約入力'!$N$5:$N$204,$O18)="調整中"),"仮",INDEX('01_予約入力'!$C$5:$C$204,$O18)),""))))</f>
        <v/>
      </c>
      <c r="Z18" s="36">
        <f>IF($A18="","",IF($S18&gt;0,IF(OR(INDEX('01_予約入力'!$N$5:$N$204,$S18)="仮予約",INDEX('01_予約入力'!$N$5:$N$204,$S18)="調整中"),"仮",INDEX('01_予約入力'!$C$5:$C$204,$S18)),IF($T18&gt;0,IF(OR(INDEX('01_予約入力'!$N$5:$N$204,$T18)="仮予約",INDEX('01_予約入力'!$N$5:$N$204,$T18)="調整中"),"仮",INDEX('01_予約入力'!$C$5:$C$204,$T18)),IF($R18&gt;0,IF(OR(INDEX('01_予約入力'!$N$5:$N$204,$R18)="仮予約",INDEX('01_予約入力'!$N$5:$N$204,$R18)="調整中"),"仮",INDEX('01_予約入力'!$C$5:$C$204,$R18)),""))))</f>
        <v/>
      </c>
      <c r="AA18" s="36">
        <f>IF($A18="","",IF($V18&gt;0,IF(OR(INDEX('01_予約入力'!$N$5:$N$204,$V18)="仮予約",INDEX('01_予約入力'!$N$5:$N$204,$V18)="調整中"),"仮",INDEX('01_予約入力'!$C$5:$C$204,$V18)),IF($W18&gt;0,IF(OR(INDEX('01_予約入力'!$N$5:$N$204,$W18)="仮予約",INDEX('01_予約入力'!$N$5:$N$204,$W18)="調整中"),"仮",INDEX('01_予約入力'!$C$5:$C$204,$W18)),IF($U18&gt;0,IF(OR(INDEX('01_予約入力'!$N$5:$N$204,$U18)="仮予約",INDEX('01_予約入力'!$N$5:$N$204,$U18)="調整中"),"仮",INDEX('01_予約入力'!$C$5:$C$204,$U18)),""))))</f>
        <v/>
      </c>
    </row>
    <row r="19">
      <c r="A19" s="41">
        <f>IF(MONTH('02_カレンダー'!$B$4+12)&lt;&gt;MONTH('02_カレンダー'!$B$4),"",'02_カレンダー'!$B$4+12)</f>
        <v/>
      </c>
      <c r="B19" s="36">
        <f>IF($A19="","",MID("日月火水木金土",WEEKDAY($A19),1))</f>
        <v/>
      </c>
      <c r="C19" s="42">
        <f>IF(OR($A19="",C$6=""),"",IF($L19=0,"",INDEX('01_予約入力'!$B$5:$B$204,$L19)&amp;" ◀"&amp;IF(('02_カレンダー'!$B$5="○"),INDEX('01_予約入力'!$AB$5:$AB$204,$L19),""))&amp;IF(AND($L19&gt;0,OR($M19&gt;0,$N19&gt;0)),"  ","")&amp;IF($M19=0,"",IF(INDEX('01_予約入力'!$G$5:$G$204,$M19)=$A19,"▶"&amp;IF(('02_カレンダー'!$B$5="○"),INDEX('01_予約入力'!$AA$5:$AA$204,$M19)&amp;" "," "),"")&amp;INDEX('01_予約入力'!$B$5:$B$204,$M19))&amp;IF(AND($M19&gt;0,$N19&gt;0),"  ","")&amp;IF($N19=0,"","◆ "&amp;INDEX('01_予約入力'!$B$5:$B$204,$N19)&amp;IF(('02_カレンダー'!$B$5="○")," "&amp;INDEX('01_予約入力'!$AA$5:$AA$204,$N19)&amp;"-"&amp;INDEX('01_予約入力'!$AB$5:$AB$204,$N19),"")))</f>
        <v/>
      </c>
      <c r="D19" s="42">
        <f>IF(OR($A19="",D$6=""),"",IF($O19=0,"",INDEX('01_予約入力'!$B$5:$B$204,$O19)&amp;" ◀"&amp;IF(('02_カレンダー'!$B$5="○"),INDEX('01_予約入力'!$AB$5:$AB$204,$O19),""))&amp;IF(AND($O19&gt;0,OR($P19&gt;0,$Q19&gt;0)),"  ","")&amp;IF($P19=0,"",IF(INDEX('01_予約入力'!$G$5:$G$204,$P19)=$A19,"▶"&amp;IF(('02_カレンダー'!$B$5="○"),INDEX('01_予約入力'!$AA$5:$AA$204,$P19)&amp;" "," "),"")&amp;INDEX('01_予約入力'!$B$5:$B$204,$P19))&amp;IF(AND($P19&gt;0,$Q19&gt;0),"  ","")&amp;IF($Q19=0,"","◆ "&amp;INDEX('01_予約入力'!$B$5:$B$204,$Q19)&amp;IF(('02_カレンダー'!$B$5="○")," "&amp;INDEX('01_予約入力'!$AA$5:$AA$204,$Q19)&amp;"-"&amp;INDEX('01_予約入力'!$AB$5:$AB$204,$Q19),"")))</f>
        <v/>
      </c>
      <c r="E19" s="42">
        <f>IF(OR($A19="",E$6=""),"",IF($R19=0,"",INDEX('01_予約入力'!$B$5:$B$204,$R19)&amp;" ◀"&amp;IF(('02_カレンダー'!$B$5="○"),INDEX('01_予約入力'!$AB$5:$AB$204,$R19),""))&amp;IF(AND($R19&gt;0,OR($S19&gt;0,$T19&gt;0)),"  ","")&amp;IF($S19=0,"",IF(INDEX('01_予約入力'!$G$5:$G$204,$S19)=$A19,"▶"&amp;IF(('02_カレンダー'!$B$5="○"),INDEX('01_予約入力'!$AA$5:$AA$204,$S19)&amp;" "," "),"")&amp;INDEX('01_予約入力'!$B$5:$B$204,$S19))&amp;IF(AND($S19&gt;0,$T19&gt;0),"  ","")&amp;IF($T19=0,"","◆ "&amp;INDEX('01_予約入力'!$B$5:$B$204,$T19)&amp;IF(('02_カレンダー'!$B$5="○")," "&amp;INDEX('01_予約入力'!$AA$5:$AA$204,$T19)&amp;"-"&amp;INDEX('01_予約入力'!$AB$5:$AB$204,$T19),"")))</f>
        <v/>
      </c>
      <c r="F19" s="42">
        <f>IF(OR($A19="",F$6=""),"",IF($U19=0,"",INDEX('01_予約入力'!$B$5:$B$204,$U19)&amp;" ◀"&amp;IF(('02_カレンダー'!$B$5="○"),INDEX('01_予約入力'!$AB$5:$AB$204,$U19),""))&amp;IF(AND($U19&gt;0,OR($V19&gt;0,$W19&gt;0)),"  ","")&amp;IF($V19=0,"",IF(INDEX('01_予約入力'!$G$5:$G$204,$V19)=$A19,"▶"&amp;IF(('02_カレンダー'!$B$5="○"),INDEX('01_予約入力'!$AA$5:$AA$204,$V19)&amp;" "," "),"")&amp;INDEX('01_予約入力'!$B$5:$B$204,$V19))&amp;IF(AND($V19&gt;0,$W19&gt;0),"  ","")&amp;IF($W19=0,"","◆ "&amp;INDEX('01_予約入力'!$B$5:$B$204,$W19)&amp;IF(('02_カレンダー'!$B$5="○")," "&amp;INDEX('01_予約入力'!$AA$5:$AA$204,$W19)&amp;"-"&amp;INDEX('01_予約入力'!$AB$5:$AB$204,$W19),"")))</f>
        <v/>
      </c>
      <c r="G19" s="36">
        <f>IF($A19="","",SUMPRODUCT(('01_予約入力'!$G$5:$G$204&lt;&gt;"")*('01_予約入力'!$N$5:$N$204&lt;&gt;"キャンセル")*('01_予約入力'!$G$5:$G$204&lt;=$A19)*('01_予約入力'!$J$5:$J$204&gt;$A19)))</f>
        <v/>
      </c>
      <c r="H19" s="36">
        <f>IF($A19="","",'M_施設設定'!$B$6-$G19)</f>
        <v/>
      </c>
      <c r="I19" s="36">
        <f>IF($A19="","",SUMPRODUCT((('01_予約入力'!$N$5:$N$204="仮予約")+('01_予約入力'!$N$5:$N$204="調整中"))*('01_予約入力'!$G$5:$G$204&lt;&gt;"")*('01_予約入力'!$G$5:$G$204&lt;=$A19)*('01_予約入力'!$J$5:$J$204&gt;$A19)))</f>
        <v/>
      </c>
      <c r="J19" s="36">
        <f>IF($A19="","",IF($I19&gt;0,"仮",IF($H19&lt;=0,"×",IF($H19&lt;'M_施設設定'!$B$6,"△","○"))))</f>
        <v/>
      </c>
      <c r="K19" s="36">
        <f>IF($A19="","",SUMPRODUCT(('01_予約入力'!$G$5:$G$204&lt;&gt;"")*('01_予約入力'!$N$5:$N$204&lt;&gt;"キャンセル")*('01_予約入力'!$G$5:$G$204=$A19)*('01_予約入力'!$J$5:$J$204=$A19)))</f>
        <v/>
      </c>
      <c r="L19" s="36">
        <f>IF(OR($A19="",C$6=""),0,SUMPRODUCT(MAX(('01_予約入力'!$D$5:$D$204=C$6)*('01_予約入力'!$N$5:$N$204&lt;&gt;"キャンセル")*('01_予約入力'!$G$5:$G$204&lt;&gt;"")*('01_予約入力'!$J$5:$J$204=$A19)*('01_予約入力'!$G$5:$G$204&lt;$A19)*(ROW('01_予約入力'!$G$5:$G$204)-4))))</f>
        <v/>
      </c>
      <c r="M19" s="36">
        <f>IF(OR($A19="",C$6=""),0,SUMPRODUCT(MAX(('01_予約入力'!$D$5:$D$204=C$6)*('01_予約入力'!$N$5:$N$204&lt;&gt;"キャンセル")*('01_予約入力'!$G$5:$G$204&lt;&gt;"")*('01_予約入力'!$G$5:$G$204&lt;=$A19)*('01_予約入力'!$J$5:$J$204&gt;$A19)*(ROW('01_予約入力'!$G$5:$G$204)-4))))</f>
        <v/>
      </c>
      <c r="N19" s="36">
        <f>IF(OR($A19="",C$6=""),0,SUMPRODUCT(MAX(('01_予約入力'!$D$5:$D$204=C$6)*('01_予約入力'!$N$5:$N$204&lt;&gt;"キャンセル")*('01_予約入力'!$G$5:$G$204&lt;&gt;"")*('01_予約入力'!$G$5:$G$204=$A19)*('01_予約入力'!$J$5:$J$204=$A19)*(ROW('01_予約入力'!$G$5:$G$204)-4))))</f>
        <v/>
      </c>
      <c r="O19" s="36">
        <f>IF(OR($A19="",D$6=""),0,SUMPRODUCT(MAX(('01_予約入力'!$D$5:$D$204=D$6)*('01_予約入力'!$N$5:$N$204&lt;&gt;"キャンセル")*('01_予約入力'!$G$5:$G$204&lt;&gt;"")*('01_予約入力'!$J$5:$J$204=$A19)*('01_予約入力'!$G$5:$G$204&lt;$A19)*(ROW('01_予約入力'!$G$5:$G$204)-4))))</f>
        <v/>
      </c>
      <c r="P19" s="36">
        <f>IF(OR($A19="",D$6=""),0,SUMPRODUCT(MAX(('01_予約入力'!$D$5:$D$204=D$6)*('01_予約入力'!$N$5:$N$204&lt;&gt;"キャンセル")*('01_予約入力'!$G$5:$G$204&lt;&gt;"")*('01_予約入力'!$G$5:$G$204&lt;=$A19)*('01_予約入力'!$J$5:$J$204&gt;$A19)*(ROW('01_予約入力'!$G$5:$G$204)-4))))</f>
        <v/>
      </c>
      <c r="Q19" s="36">
        <f>IF(OR($A19="",D$6=""),0,SUMPRODUCT(MAX(('01_予約入力'!$D$5:$D$204=D$6)*('01_予約入力'!$N$5:$N$204&lt;&gt;"キャンセル")*('01_予約入力'!$G$5:$G$204&lt;&gt;"")*('01_予約入力'!$G$5:$G$204=$A19)*('01_予約入力'!$J$5:$J$204=$A19)*(ROW('01_予約入力'!$G$5:$G$204)-4))))</f>
        <v/>
      </c>
      <c r="R19" s="36">
        <f>IF(OR($A19="",E$6=""),0,SUMPRODUCT(MAX(('01_予約入力'!$D$5:$D$204=E$6)*('01_予約入力'!$N$5:$N$204&lt;&gt;"キャンセル")*('01_予約入力'!$G$5:$G$204&lt;&gt;"")*('01_予約入力'!$J$5:$J$204=$A19)*('01_予約入力'!$G$5:$G$204&lt;$A19)*(ROW('01_予約入力'!$G$5:$G$204)-4))))</f>
        <v/>
      </c>
      <c r="S19" s="36">
        <f>IF(OR($A19="",E$6=""),0,SUMPRODUCT(MAX(('01_予約入力'!$D$5:$D$204=E$6)*('01_予約入力'!$N$5:$N$204&lt;&gt;"キャンセル")*('01_予約入力'!$G$5:$G$204&lt;&gt;"")*('01_予約入力'!$G$5:$G$204&lt;=$A19)*('01_予約入力'!$J$5:$J$204&gt;$A19)*(ROW('01_予約入力'!$G$5:$G$204)-4))))</f>
        <v/>
      </c>
      <c r="T19" s="36">
        <f>IF(OR($A19="",E$6=""),0,SUMPRODUCT(MAX(('01_予約入力'!$D$5:$D$204=E$6)*('01_予約入力'!$N$5:$N$204&lt;&gt;"キャンセル")*('01_予約入力'!$G$5:$G$204&lt;&gt;"")*('01_予約入力'!$G$5:$G$204=$A19)*('01_予約入力'!$J$5:$J$204=$A19)*(ROW('01_予約入力'!$G$5:$G$204)-4))))</f>
        <v/>
      </c>
      <c r="U19" s="36">
        <f>IF(OR($A19="",F$6=""),0,SUMPRODUCT(MAX(('01_予約入力'!$D$5:$D$204=F$6)*('01_予約入力'!$N$5:$N$204&lt;&gt;"キャンセル")*('01_予約入力'!$G$5:$G$204&lt;&gt;"")*('01_予約入力'!$J$5:$J$204=$A19)*('01_予約入力'!$G$5:$G$204&lt;$A19)*(ROW('01_予約入力'!$G$5:$G$204)-4))))</f>
        <v/>
      </c>
      <c r="V19" s="36">
        <f>IF(OR($A19="",F$6=""),0,SUMPRODUCT(MAX(('01_予約入力'!$D$5:$D$204=F$6)*('01_予約入力'!$N$5:$N$204&lt;&gt;"キャンセル")*('01_予約入力'!$G$5:$G$204&lt;&gt;"")*('01_予約入力'!$G$5:$G$204&lt;=$A19)*('01_予約入力'!$J$5:$J$204&gt;$A19)*(ROW('01_予約入力'!$G$5:$G$204)-4))))</f>
        <v/>
      </c>
      <c r="W19" s="36">
        <f>IF(OR($A19="",F$6=""),0,SUMPRODUCT(MAX(('01_予約入力'!$D$5:$D$204=F$6)*('01_予約入力'!$N$5:$N$204&lt;&gt;"キャンセル")*('01_予約入力'!$G$5:$G$204&lt;&gt;"")*('01_予約入力'!$G$5:$G$204=$A19)*('01_予約入力'!$J$5:$J$204=$A19)*(ROW('01_予約入力'!$G$5:$G$204)-4))))</f>
        <v/>
      </c>
      <c r="X19" s="36">
        <f>IF($A19="","",IF($M19&gt;0,IF(OR(INDEX('01_予約入力'!$N$5:$N$204,$M19)="仮予約",INDEX('01_予約入力'!$N$5:$N$204,$M19)="調整中"),"仮",INDEX('01_予約入力'!$C$5:$C$204,$M19)),IF($N19&gt;0,IF(OR(INDEX('01_予約入力'!$N$5:$N$204,$N19)="仮予約",INDEX('01_予約入力'!$N$5:$N$204,$N19)="調整中"),"仮",INDEX('01_予約入力'!$C$5:$C$204,$N19)),IF($L19&gt;0,IF(OR(INDEX('01_予約入力'!$N$5:$N$204,$L19)="仮予約",INDEX('01_予約入力'!$N$5:$N$204,$L19)="調整中"),"仮",INDEX('01_予約入力'!$C$5:$C$204,$L19)),""))))</f>
        <v/>
      </c>
      <c r="Y19" s="36">
        <f>IF($A19="","",IF($P19&gt;0,IF(OR(INDEX('01_予約入力'!$N$5:$N$204,$P19)="仮予約",INDEX('01_予約入力'!$N$5:$N$204,$P19)="調整中"),"仮",INDEX('01_予約入力'!$C$5:$C$204,$P19)),IF($Q19&gt;0,IF(OR(INDEX('01_予約入力'!$N$5:$N$204,$Q19)="仮予約",INDEX('01_予約入力'!$N$5:$N$204,$Q19)="調整中"),"仮",INDEX('01_予約入力'!$C$5:$C$204,$Q19)),IF($O19&gt;0,IF(OR(INDEX('01_予約入力'!$N$5:$N$204,$O19)="仮予約",INDEX('01_予約入力'!$N$5:$N$204,$O19)="調整中"),"仮",INDEX('01_予約入力'!$C$5:$C$204,$O19)),""))))</f>
        <v/>
      </c>
      <c r="Z19" s="36">
        <f>IF($A19="","",IF($S19&gt;0,IF(OR(INDEX('01_予約入力'!$N$5:$N$204,$S19)="仮予約",INDEX('01_予約入力'!$N$5:$N$204,$S19)="調整中"),"仮",INDEX('01_予約入力'!$C$5:$C$204,$S19)),IF($T19&gt;0,IF(OR(INDEX('01_予約入力'!$N$5:$N$204,$T19)="仮予約",INDEX('01_予約入力'!$N$5:$N$204,$T19)="調整中"),"仮",INDEX('01_予約入力'!$C$5:$C$204,$T19)),IF($R19&gt;0,IF(OR(INDEX('01_予約入力'!$N$5:$N$204,$R19)="仮予約",INDEX('01_予約入力'!$N$5:$N$204,$R19)="調整中"),"仮",INDEX('01_予約入力'!$C$5:$C$204,$R19)),""))))</f>
        <v/>
      </c>
      <c r="AA19" s="36">
        <f>IF($A19="","",IF($V19&gt;0,IF(OR(INDEX('01_予約入力'!$N$5:$N$204,$V19)="仮予約",INDEX('01_予約入力'!$N$5:$N$204,$V19)="調整中"),"仮",INDEX('01_予約入力'!$C$5:$C$204,$V19)),IF($W19&gt;0,IF(OR(INDEX('01_予約入力'!$N$5:$N$204,$W19)="仮予約",INDEX('01_予約入力'!$N$5:$N$204,$W19)="調整中"),"仮",INDEX('01_予約入力'!$C$5:$C$204,$W19)),IF($U19&gt;0,IF(OR(INDEX('01_予約入力'!$N$5:$N$204,$U19)="仮予約",INDEX('01_予約入力'!$N$5:$N$204,$U19)="調整中"),"仮",INDEX('01_予約入力'!$C$5:$C$204,$U19)),""))))</f>
        <v/>
      </c>
    </row>
    <row r="20">
      <c r="A20" s="41">
        <f>IF(MONTH('02_カレンダー'!$B$4+13)&lt;&gt;MONTH('02_カレンダー'!$B$4),"",'02_カレンダー'!$B$4+13)</f>
        <v/>
      </c>
      <c r="B20" s="36">
        <f>IF($A20="","",MID("日月火水木金土",WEEKDAY($A20),1))</f>
        <v/>
      </c>
      <c r="C20" s="42">
        <f>IF(OR($A20="",C$6=""),"",IF($L20=0,"",INDEX('01_予約入力'!$B$5:$B$204,$L20)&amp;" ◀"&amp;IF(('02_カレンダー'!$B$5="○"),INDEX('01_予約入力'!$AB$5:$AB$204,$L20),""))&amp;IF(AND($L20&gt;0,OR($M20&gt;0,$N20&gt;0)),"  ","")&amp;IF($M20=0,"",IF(INDEX('01_予約入力'!$G$5:$G$204,$M20)=$A20,"▶"&amp;IF(('02_カレンダー'!$B$5="○"),INDEX('01_予約入力'!$AA$5:$AA$204,$M20)&amp;" "," "),"")&amp;INDEX('01_予約入力'!$B$5:$B$204,$M20))&amp;IF(AND($M20&gt;0,$N20&gt;0),"  ","")&amp;IF($N20=0,"","◆ "&amp;INDEX('01_予約入力'!$B$5:$B$204,$N20)&amp;IF(('02_カレンダー'!$B$5="○")," "&amp;INDEX('01_予約入力'!$AA$5:$AA$204,$N20)&amp;"-"&amp;INDEX('01_予約入力'!$AB$5:$AB$204,$N20),"")))</f>
        <v/>
      </c>
      <c r="D20" s="42">
        <f>IF(OR($A20="",D$6=""),"",IF($O20=0,"",INDEX('01_予約入力'!$B$5:$B$204,$O20)&amp;" ◀"&amp;IF(('02_カレンダー'!$B$5="○"),INDEX('01_予約入力'!$AB$5:$AB$204,$O20),""))&amp;IF(AND($O20&gt;0,OR($P20&gt;0,$Q20&gt;0)),"  ","")&amp;IF($P20=0,"",IF(INDEX('01_予約入力'!$G$5:$G$204,$P20)=$A20,"▶"&amp;IF(('02_カレンダー'!$B$5="○"),INDEX('01_予約入力'!$AA$5:$AA$204,$P20)&amp;" "," "),"")&amp;INDEX('01_予約入力'!$B$5:$B$204,$P20))&amp;IF(AND($P20&gt;0,$Q20&gt;0),"  ","")&amp;IF($Q20=0,"","◆ "&amp;INDEX('01_予約入力'!$B$5:$B$204,$Q20)&amp;IF(('02_カレンダー'!$B$5="○")," "&amp;INDEX('01_予約入力'!$AA$5:$AA$204,$Q20)&amp;"-"&amp;INDEX('01_予約入力'!$AB$5:$AB$204,$Q20),"")))</f>
        <v/>
      </c>
      <c r="E20" s="42">
        <f>IF(OR($A20="",E$6=""),"",IF($R20=0,"",INDEX('01_予約入力'!$B$5:$B$204,$R20)&amp;" ◀"&amp;IF(('02_カレンダー'!$B$5="○"),INDEX('01_予約入力'!$AB$5:$AB$204,$R20),""))&amp;IF(AND($R20&gt;0,OR($S20&gt;0,$T20&gt;0)),"  ","")&amp;IF($S20=0,"",IF(INDEX('01_予約入力'!$G$5:$G$204,$S20)=$A20,"▶"&amp;IF(('02_カレンダー'!$B$5="○"),INDEX('01_予約入力'!$AA$5:$AA$204,$S20)&amp;" "," "),"")&amp;INDEX('01_予約入力'!$B$5:$B$204,$S20))&amp;IF(AND($S20&gt;0,$T20&gt;0),"  ","")&amp;IF($T20=0,"","◆ "&amp;INDEX('01_予約入力'!$B$5:$B$204,$T20)&amp;IF(('02_カレンダー'!$B$5="○")," "&amp;INDEX('01_予約入力'!$AA$5:$AA$204,$T20)&amp;"-"&amp;INDEX('01_予約入力'!$AB$5:$AB$204,$T20),"")))</f>
        <v/>
      </c>
      <c r="F20" s="42">
        <f>IF(OR($A20="",F$6=""),"",IF($U20=0,"",INDEX('01_予約入力'!$B$5:$B$204,$U20)&amp;" ◀"&amp;IF(('02_カレンダー'!$B$5="○"),INDEX('01_予約入力'!$AB$5:$AB$204,$U20),""))&amp;IF(AND($U20&gt;0,OR($V20&gt;0,$W20&gt;0)),"  ","")&amp;IF($V20=0,"",IF(INDEX('01_予約入力'!$G$5:$G$204,$V20)=$A20,"▶"&amp;IF(('02_カレンダー'!$B$5="○"),INDEX('01_予約入力'!$AA$5:$AA$204,$V20)&amp;" "," "),"")&amp;INDEX('01_予約入力'!$B$5:$B$204,$V20))&amp;IF(AND($V20&gt;0,$W20&gt;0),"  ","")&amp;IF($W20=0,"","◆ "&amp;INDEX('01_予約入力'!$B$5:$B$204,$W20)&amp;IF(('02_カレンダー'!$B$5="○")," "&amp;INDEX('01_予約入力'!$AA$5:$AA$204,$W20)&amp;"-"&amp;INDEX('01_予約入力'!$AB$5:$AB$204,$W20),"")))</f>
        <v/>
      </c>
      <c r="G20" s="36">
        <f>IF($A20="","",SUMPRODUCT(('01_予約入力'!$G$5:$G$204&lt;&gt;"")*('01_予約入力'!$N$5:$N$204&lt;&gt;"キャンセル")*('01_予約入力'!$G$5:$G$204&lt;=$A20)*('01_予約入力'!$J$5:$J$204&gt;$A20)))</f>
        <v/>
      </c>
      <c r="H20" s="36">
        <f>IF($A20="","",'M_施設設定'!$B$6-$G20)</f>
        <v/>
      </c>
      <c r="I20" s="36">
        <f>IF($A20="","",SUMPRODUCT((('01_予約入力'!$N$5:$N$204="仮予約")+('01_予約入力'!$N$5:$N$204="調整中"))*('01_予約入力'!$G$5:$G$204&lt;&gt;"")*('01_予約入力'!$G$5:$G$204&lt;=$A20)*('01_予約入力'!$J$5:$J$204&gt;$A20)))</f>
        <v/>
      </c>
      <c r="J20" s="36">
        <f>IF($A20="","",IF($I20&gt;0,"仮",IF($H20&lt;=0,"×",IF($H20&lt;'M_施設設定'!$B$6,"△","○"))))</f>
        <v/>
      </c>
      <c r="K20" s="36">
        <f>IF($A20="","",SUMPRODUCT(('01_予約入力'!$G$5:$G$204&lt;&gt;"")*('01_予約入力'!$N$5:$N$204&lt;&gt;"キャンセル")*('01_予約入力'!$G$5:$G$204=$A20)*('01_予約入力'!$J$5:$J$204=$A20)))</f>
        <v/>
      </c>
      <c r="L20" s="36">
        <f>IF(OR($A20="",C$6=""),0,SUMPRODUCT(MAX(('01_予約入力'!$D$5:$D$204=C$6)*('01_予約入力'!$N$5:$N$204&lt;&gt;"キャンセル")*('01_予約入力'!$G$5:$G$204&lt;&gt;"")*('01_予約入力'!$J$5:$J$204=$A20)*('01_予約入力'!$G$5:$G$204&lt;$A20)*(ROW('01_予約入力'!$G$5:$G$204)-4))))</f>
        <v/>
      </c>
      <c r="M20" s="36">
        <f>IF(OR($A20="",C$6=""),0,SUMPRODUCT(MAX(('01_予約入力'!$D$5:$D$204=C$6)*('01_予約入力'!$N$5:$N$204&lt;&gt;"キャンセル")*('01_予約入力'!$G$5:$G$204&lt;&gt;"")*('01_予約入力'!$G$5:$G$204&lt;=$A20)*('01_予約入力'!$J$5:$J$204&gt;$A20)*(ROW('01_予約入力'!$G$5:$G$204)-4))))</f>
        <v/>
      </c>
      <c r="N20" s="36">
        <f>IF(OR($A20="",C$6=""),0,SUMPRODUCT(MAX(('01_予約入力'!$D$5:$D$204=C$6)*('01_予約入力'!$N$5:$N$204&lt;&gt;"キャンセル")*('01_予約入力'!$G$5:$G$204&lt;&gt;"")*('01_予約入力'!$G$5:$G$204=$A20)*('01_予約入力'!$J$5:$J$204=$A20)*(ROW('01_予約入力'!$G$5:$G$204)-4))))</f>
        <v/>
      </c>
      <c r="O20" s="36">
        <f>IF(OR($A20="",D$6=""),0,SUMPRODUCT(MAX(('01_予約入力'!$D$5:$D$204=D$6)*('01_予約入力'!$N$5:$N$204&lt;&gt;"キャンセル")*('01_予約入力'!$G$5:$G$204&lt;&gt;"")*('01_予約入力'!$J$5:$J$204=$A20)*('01_予約入力'!$G$5:$G$204&lt;$A20)*(ROW('01_予約入力'!$G$5:$G$204)-4))))</f>
        <v/>
      </c>
      <c r="P20" s="36">
        <f>IF(OR($A20="",D$6=""),0,SUMPRODUCT(MAX(('01_予約入力'!$D$5:$D$204=D$6)*('01_予約入力'!$N$5:$N$204&lt;&gt;"キャンセル")*('01_予約入力'!$G$5:$G$204&lt;&gt;"")*('01_予約入力'!$G$5:$G$204&lt;=$A20)*('01_予約入力'!$J$5:$J$204&gt;$A20)*(ROW('01_予約入力'!$G$5:$G$204)-4))))</f>
        <v/>
      </c>
      <c r="Q20" s="36">
        <f>IF(OR($A20="",D$6=""),0,SUMPRODUCT(MAX(('01_予約入力'!$D$5:$D$204=D$6)*('01_予約入力'!$N$5:$N$204&lt;&gt;"キャンセル")*('01_予約入力'!$G$5:$G$204&lt;&gt;"")*('01_予約入力'!$G$5:$G$204=$A20)*('01_予約入力'!$J$5:$J$204=$A20)*(ROW('01_予約入力'!$G$5:$G$204)-4))))</f>
        <v/>
      </c>
      <c r="R20" s="36">
        <f>IF(OR($A20="",E$6=""),0,SUMPRODUCT(MAX(('01_予約入力'!$D$5:$D$204=E$6)*('01_予約入力'!$N$5:$N$204&lt;&gt;"キャンセル")*('01_予約入力'!$G$5:$G$204&lt;&gt;"")*('01_予約入力'!$J$5:$J$204=$A20)*('01_予約入力'!$G$5:$G$204&lt;$A20)*(ROW('01_予約入力'!$G$5:$G$204)-4))))</f>
        <v/>
      </c>
      <c r="S20" s="36">
        <f>IF(OR($A20="",E$6=""),0,SUMPRODUCT(MAX(('01_予約入力'!$D$5:$D$204=E$6)*('01_予約入力'!$N$5:$N$204&lt;&gt;"キャンセル")*('01_予約入力'!$G$5:$G$204&lt;&gt;"")*('01_予約入力'!$G$5:$G$204&lt;=$A20)*('01_予約入力'!$J$5:$J$204&gt;$A20)*(ROW('01_予約入力'!$G$5:$G$204)-4))))</f>
        <v/>
      </c>
      <c r="T20" s="36">
        <f>IF(OR($A20="",E$6=""),0,SUMPRODUCT(MAX(('01_予約入力'!$D$5:$D$204=E$6)*('01_予約入力'!$N$5:$N$204&lt;&gt;"キャンセル")*('01_予約入力'!$G$5:$G$204&lt;&gt;"")*('01_予約入力'!$G$5:$G$204=$A20)*('01_予約入力'!$J$5:$J$204=$A20)*(ROW('01_予約入力'!$G$5:$G$204)-4))))</f>
        <v/>
      </c>
      <c r="U20" s="36">
        <f>IF(OR($A20="",F$6=""),0,SUMPRODUCT(MAX(('01_予約入力'!$D$5:$D$204=F$6)*('01_予約入力'!$N$5:$N$204&lt;&gt;"キャンセル")*('01_予約入力'!$G$5:$G$204&lt;&gt;"")*('01_予約入力'!$J$5:$J$204=$A20)*('01_予約入力'!$G$5:$G$204&lt;$A20)*(ROW('01_予約入力'!$G$5:$G$204)-4))))</f>
        <v/>
      </c>
      <c r="V20" s="36">
        <f>IF(OR($A20="",F$6=""),0,SUMPRODUCT(MAX(('01_予約入力'!$D$5:$D$204=F$6)*('01_予約入力'!$N$5:$N$204&lt;&gt;"キャンセル")*('01_予約入力'!$G$5:$G$204&lt;&gt;"")*('01_予約入力'!$G$5:$G$204&lt;=$A20)*('01_予約入力'!$J$5:$J$204&gt;$A20)*(ROW('01_予約入力'!$G$5:$G$204)-4))))</f>
        <v/>
      </c>
      <c r="W20" s="36">
        <f>IF(OR($A20="",F$6=""),0,SUMPRODUCT(MAX(('01_予約入力'!$D$5:$D$204=F$6)*('01_予約入力'!$N$5:$N$204&lt;&gt;"キャンセル")*('01_予約入力'!$G$5:$G$204&lt;&gt;"")*('01_予約入力'!$G$5:$G$204=$A20)*('01_予約入力'!$J$5:$J$204=$A20)*(ROW('01_予約入力'!$G$5:$G$204)-4))))</f>
        <v/>
      </c>
      <c r="X20" s="36">
        <f>IF($A20="","",IF($M20&gt;0,IF(OR(INDEX('01_予約入力'!$N$5:$N$204,$M20)="仮予約",INDEX('01_予約入力'!$N$5:$N$204,$M20)="調整中"),"仮",INDEX('01_予約入力'!$C$5:$C$204,$M20)),IF($N20&gt;0,IF(OR(INDEX('01_予約入力'!$N$5:$N$204,$N20)="仮予約",INDEX('01_予約入力'!$N$5:$N$204,$N20)="調整中"),"仮",INDEX('01_予約入力'!$C$5:$C$204,$N20)),IF($L20&gt;0,IF(OR(INDEX('01_予約入力'!$N$5:$N$204,$L20)="仮予約",INDEX('01_予約入力'!$N$5:$N$204,$L20)="調整中"),"仮",INDEX('01_予約入力'!$C$5:$C$204,$L20)),""))))</f>
        <v/>
      </c>
      <c r="Y20" s="36">
        <f>IF($A20="","",IF($P20&gt;0,IF(OR(INDEX('01_予約入力'!$N$5:$N$204,$P20)="仮予約",INDEX('01_予約入力'!$N$5:$N$204,$P20)="調整中"),"仮",INDEX('01_予約入力'!$C$5:$C$204,$P20)),IF($Q20&gt;0,IF(OR(INDEX('01_予約入力'!$N$5:$N$204,$Q20)="仮予約",INDEX('01_予約入力'!$N$5:$N$204,$Q20)="調整中"),"仮",INDEX('01_予約入力'!$C$5:$C$204,$Q20)),IF($O20&gt;0,IF(OR(INDEX('01_予約入力'!$N$5:$N$204,$O20)="仮予約",INDEX('01_予約入力'!$N$5:$N$204,$O20)="調整中"),"仮",INDEX('01_予約入力'!$C$5:$C$204,$O20)),""))))</f>
        <v/>
      </c>
      <c r="Z20" s="36">
        <f>IF($A20="","",IF($S20&gt;0,IF(OR(INDEX('01_予約入力'!$N$5:$N$204,$S20)="仮予約",INDEX('01_予約入力'!$N$5:$N$204,$S20)="調整中"),"仮",INDEX('01_予約入力'!$C$5:$C$204,$S20)),IF($T20&gt;0,IF(OR(INDEX('01_予約入力'!$N$5:$N$204,$T20)="仮予約",INDEX('01_予約入力'!$N$5:$N$204,$T20)="調整中"),"仮",INDEX('01_予約入力'!$C$5:$C$204,$T20)),IF($R20&gt;0,IF(OR(INDEX('01_予約入力'!$N$5:$N$204,$R20)="仮予約",INDEX('01_予約入力'!$N$5:$N$204,$R20)="調整中"),"仮",INDEX('01_予約入力'!$C$5:$C$204,$R20)),""))))</f>
        <v/>
      </c>
      <c r="AA20" s="36">
        <f>IF($A20="","",IF($V20&gt;0,IF(OR(INDEX('01_予約入力'!$N$5:$N$204,$V20)="仮予約",INDEX('01_予約入力'!$N$5:$N$204,$V20)="調整中"),"仮",INDEX('01_予約入力'!$C$5:$C$204,$V20)),IF($W20&gt;0,IF(OR(INDEX('01_予約入力'!$N$5:$N$204,$W20)="仮予約",INDEX('01_予約入力'!$N$5:$N$204,$W20)="調整中"),"仮",INDEX('01_予約入力'!$C$5:$C$204,$W20)),IF($U20&gt;0,IF(OR(INDEX('01_予約入力'!$N$5:$N$204,$U20)="仮予約",INDEX('01_予約入力'!$N$5:$N$204,$U20)="調整中"),"仮",INDEX('01_予約入力'!$C$5:$C$204,$U20)),""))))</f>
        <v/>
      </c>
    </row>
    <row r="21">
      <c r="A21" s="41">
        <f>IF(MONTH('02_カレンダー'!$B$4+14)&lt;&gt;MONTH('02_カレンダー'!$B$4),"",'02_カレンダー'!$B$4+14)</f>
        <v/>
      </c>
      <c r="B21" s="36">
        <f>IF($A21="","",MID("日月火水木金土",WEEKDAY($A21),1))</f>
        <v/>
      </c>
      <c r="C21" s="42">
        <f>IF(OR($A21="",C$6=""),"",IF($L21=0,"",INDEX('01_予約入力'!$B$5:$B$204,$L21)&amp;" ◀"&amp;IF(('02_カレンダー'!$B$5="○"),INDEX('01_予約入力'!$AB$5:$AB$204,$L21),""))&amp;IF(AND($L21&gt;0,OR($M21&gt;0,$N21&gt;0)),"  ","")&amp;IF($M21=0,"",IF(INDEX('01_予約入力'!$G$5:$G$204,$M21)=$A21,"▶"&amp;IF(('02_カレンダー'!$B$5="○"),INDEX('01_予約入力'!$AA$5:$AA$204,$M21)&amp;" "," "),"")&amp;INDEX('01_予約入力'!$B$5:$B$204,$M21))&amp;IF(AND($M21&gt;0,$N21&gt;0),"  ","")&amp;IF($N21=0,"","◆ "&amp;INDEX('01_予約入力'!$B$5:$B$204,$N21)&amp;IF(('02_カレンダー'!$B$5="○")," "&amp;INDEX('01_予約入力'!$AA$5:$AA$204,$N21)&amp;"-"&amp;INDEX('01_予約入力'!$AB$5:$AB$204,$N21),"")))</f>
        <v/>
      </c>
      <c r="D21" s="42">
        <f>IF(OR($A21="",D$6=""),"",IF($O21=0,"",INDEX('01_予約入力'!$B$5:$B$204,$O21)&amp;" ◀"&amp;IF(('02_カレンダー'!$B$5="○"),INDEX('01_予約入力'!$AB$5:$AB$204,$O21),""))&amp;IF(AND($O21&gt;0,OR($P21&gt;0,$Q21&gt;0)),"  ","")&amp;IF($P21=0,"",IF(INDEX('01_予約入力'!$G$5:$G$204,$P21)=$A21,"▶"&amp;IF(('02_カレンダー'!$B$5="○"),INDEX('01_予約入力'!$AA$5:$AA$204,$P21)&amp;" "," "),"")&amp;INDEX('01_予約入力'!$B$5:$B$204,$P21))&amp;IF(AND($P21&gt;0,$Q21&gt;0),"  ","")&amp;IF($Q21=0,"","◆ "&amp;INDEX('01_予約入力'!$B$5:$B$204,$Q21)&amp;IF(('02_カレンダー'!$B$5="○")," "&amp;INDEX('01_予約入力'!$AA$5:$AA$204,$Q21)&amp;"-"&amp;INDEX('01_予約入力'!$AB$5:$AB$204,$Q21),"")))</f>
        <v/>
      </c>
      <c r="E21" s="42">
        <f>IF(OR($A21="",E$6=""),"",IF($R21=0,"",INDEX('01_予約入力'!$B$5:$B$204,$R21)&amp;" ◀"&amp;IF(('02_カレンダー'!$B$5="○"),INDEX('01_予約入力'!$AB$5:$AB$204,$R21),""))&amp;IF(AND($R21&gt;0,OR($S21&gt;0,$T21&gt;0)),"  ","")&amp;IF($S21=0,"",IF(INDEX('01_予約入力'!$G$5:$G$204,$S21)=$A21,"▶"&amp;IF(('02_カレンダー'!$B$5="○"),INDEX('01_予約入力'!$AA$5:$AA$204,$S21)&amp;" "," "),"")&amp;INDEX('01_予約入力'!$B$5:$B$204,$S21))&amp;IF(AND($S21&gt;0,$T21&gt;0),"  ","")&amp;IF($T21=0,"","◆ "&amp;INDEX('01_予約入力'!$B$5:$B$204,$T21)&amp;IF(('02_カレンダー'!$B$5="○")," "&amp;INDEX('01_予約入力'!$AA$5:$AA$204,$T21)&amp;"-"&amp;INDEX('01_予約入力'!$AB$5:$AB$204,$T21),"")))</f>
        <v/>
      </c>
      <c r="F21" s="42">
        <f>IF(OR($A21="",F$6=""),"",IF($U21=0,"",INDEX('01_予約入力'!$B$5:$B$204,$U21)&amp;" ◀"&amp;IF(('02_カレンダー'!$B$5="○"),INDEX('01_予約入力'!$AB$5:$AB$204,$U21),""))&amp;IF(AND($U21&gt;0,OR($V21&gt;0,$W21&gt;0)),"  ","")&amp;IF($V21=0,"",IF(INDEX('01_予約入力'!$G$5:$G$204,$V21)=$A21,"▶"&amp;IF(('02_カレンダー'!$B$5="○"),INDEX('01_予約入力'!$AA$5:$AA$204,$V21)&amp;" "," "),"")&amp;INDEX('01_予約入力'!$B$5:$B$204,$V21))&amp;IF(AND($V21&gt;0,$W21&gt;0),"  ","")&amp;IF($W21=0,"","◆ "&amp;INDEX('01_予約入力'!$B$5:$B$204,$W21)&amp;IF(('02_カレンダー'!$B$5="○")," "&amp;INDEX('01_予約入力'!$AA$5:$AA$204,$W21)&amp;"-"&amp;INDEX('01_予約入力'!$AB$5:$AB$204,$W21),"")))</f>
        <v/>
      </c>
      <c r="G21" s="36">
        <f>IF($A21="","",SUMPRODUCT(('01_予約入力'!$G$5:$G$204&lt;&gt;"")*('01_予約入力'!$N$5:$N$204&lt;&gt;"キャンセル")*('01_予約入力'!$G$5:$G$204&lt;=$A21)*('01_予約入力'!$J$5:$J$204&gt;$A21)))</f>
        <v/>
      </c>
      <c r="H21" s="36">
        <f>IF($A21="","",'M_施設設定'!$B$6-$G21)</f>
        <v/>
      </c>
      <c r="I21" s="36">
        <f>IF($A21="","",SUMPRODUCT((('01_予約入力'!$N$5:$N$204="仮予約")+('01_予約入力'!$N$5:$N$204="調整中"))*('01_予約入力'!$G$5:$G$204&lt;&gt;"")*('01_予約入力'!$G$5:$G$204&lt;=$A21)*('01_予約入力'!$J$5:$J$204&gt;$A21)))</f>
        <v/>
      </c>
      <c r="J21" s="36">
        <f>IF($A21="","",IF($I21&gt;0,"仮",IF($H21&lt;=0,"×",IF($H21&lt;'M_施設設定'!$B$6,"△","○"))))</f>
        <v/>
      </c>
      <c r="K21" s="36">
        <f>IF($A21="","",SUMPRODUCT(('01_予約入力'!$G$5:$G$204&lt;&gt;"")*('01_予約入力'!$N$5:$N$204&lt;&gt;"キャンセル")*('01_予約入力'!$G$5:$G$204=$A21)*('01_予約入力'!$J$5:$J$204=$A21)))</f>
        <v/>
      </c>
      <c r="L21" s="36">
        <f>IF(OR($A21="",C$6=""),0,SUMPRODUCT(MAX(('01_予約入力'!$D$5:$D$204=C$6)*('01_予約入力'!$N$5:$N$204&lt;&gt;"キャンセル")*('01_予約入力'!$G$5:$G$204&lt;&gt;"")*('01_予約入力'!$J$5:$J$204=$A21)*('01_予約入力'!$G$5:$G$204&lt;$A21)*(ROW('01_予約入力'!$G$5:$G$204)-4))))</f>
        <v/>
      </c>
      <c r="M21" s="36">
        <f>IF(OR($A21="",C$6=""),0,SUMPRODUCT(MAX(('01_予約入力'!$D$5:$D$204=C$6)*('01_予約入力'!$N$5:$N$204&lt;&gt;"キャンセル")*('01_予約入力'!$G$5:$G$204&lt;&gt;"")*('01_予約入力'!$G$5:$G$204&lt;=$A21)*('01_予約入力'!$J$5:$J$204&gt;$A21)*(ROW('01_予約入力'!$G$5:$G$204)-4))))</f>
        <v/>
      </c>
      <c r="N21" s="36">
        <f>IF(OR($A21="",C$6=""),0,SUMPRODUCT(MAX(('01_予約入力'!$D$5:$D$204=C$6)*('01_予約入力'!$N$5:$N$204&lt;&gt;"キャンセル")*('01_予約入力'!$G$5:$G$204&lt;&gt;"")*('01_予約入力'!$G$5:$G$204=$A21)*('01_予約入力'!$J$5:$J$204=$A21)*(ROW('01_予約入力'!$G$5:$G$204)-4))))</f>
        <v/>
      </c>
      <c r="O21" s="36">
        <f>IF(OR($A21="",D$6=""),0,SUMPRODUCT(MAX(('01_予約入力'!$D$5:$D$204=D$6)*('01_予約入力'!$N$5:$N$204&lt;&gt;"キャンセル")*('01_予約入力'!$G$5:$G$204&lt;&gt;"")*('01_予約入力'!$J$5:$J$204=$A21)*('01_予約入力'!$G$5:$G$204&lt;$A21)*(ROW('01_予約入力'!$G$5:$G$204)-4))))</f>
        <v/>
      </c>
      <c r="P21" s="36">
        <f>IF(OR($A21="",D$6=""),0,SUMPRODUCT(MAX(('01_予約入力'!$D$5:$D$204=D$6)*('01_予約入力'!$N$5:$N$204&lt;&gt;"キャンセル")*('01_予約入力'!$G$5:$G$204&lt;&gt;"")*('01_予約入力'!$G$5:$G$204&lt;=$A21)*('01_予約入力'!$J$5:$J$204&gt;$A21)*(ROW('01_予約入力'!$G$5:$G$204)-4))))</f>
        <v/>
      </c>
      <c r="Q21" s="36">
        <f>IF(OR($A21="",D$6=""),0,SUMPRODUCT(MAX(('01_予約入力'!$D$5:$D$204=D$6)*('01_予約入力'!$N$5:$N$204&lt;&gt;"キャンセル")*('01_予約入力'!$G$5:$G$204&lt;&gt;"")*('01_予約入力'!$G$5:$G$204=$A21)*('01_予約入力'!$J$5:$J$204=$A21)*(ROW('01_予約入力'!$G$5:$G$204)-4))))</f>
        <v/>
      </c>
      <c r="R21" s="36">
        <f>IF(OR($A21="",E$6=""),0,SUMPRODUCT(MAX(('01_予約入力'!$D$5:$D$204=E$6)*('01_予約入力'!$N$5:$N$204&lt;&gt;"キャンセル")*('01_予約入力'!$G$5:$G$204&lt;&gt;"")*('01_予約入力'!$J$5:$J$204=$A21)*('01_予約入力'!$G$5:$G$204&lt;$A21)*(ROW('01_予約入力'!$G$5:$G$204)-4))))</f>
        <v/>
      </c>
      <c r="S21" s="36">
        <f>IF(OR($A21="",E$6=""),0,SUMPRODUCT(MAX(('01_予約入力'!$D$5:$D$204=E$6)*('01_予約入力'!$N$5:$N$204&lt;&gt;"キャンセル")*('01_予約入力'!$G$5:$G$204&lt;&gt;"")*('01_予約入力'!$G$5:$G$204&lt;=$A21)*('01_予約入力'!$J$5:$J$204&gt;$A21)*(ROW('01_予約入力'!$G$5:$G$204)-4))))</f>
        <v/>
      </c>
      <c r="T21" s="36">
        <f>IF(OR($A21="",E$6=""),0,SUMPRODUCT(MAX(('01_予約入力'!$D$5:$D$204=E$6)*('01_予約入力'!$N$5:$N$204&lt;&gt;"キャンセル")*('01_予約入力'!$G$5:$G$204&lt;&gt;"")*('01_予約入力'!$G$5:$G$204=$A21)*('01_予約入力'!$J$5:$J$204=$A21)*(ROW('01_予約入力'!$G$5:$G$204)-4))))</f>
        <v/>
      </c>
      <c r="U21" s="36">
        <f>IF(OR($A21="",F$6=""),0,SUMPRODUCT(MAX(('01_予約入力'!$D$5:$D$204=F$6)*('01_予約入力'!$N$5:$N$204&lt;&gt;"キャンセル")*('01_予約入力'!$G$5:$G$204&lt;&gt;"")*('01_予約入力'!$J$5:$J$204=$A21)*('01_予約入力'!$G$5:$G$204&lt;$A21)*(ROW('01_予約入力'!$G$5:$G$204)-4))))</f>
        <v/>
      </c>
      <c r="V21" s="36">
        <f>IF(OR($A21="",F$6=""),0,SUMPRODUCT(MAX(('01_予約入力'!$D$5:$D$204=F$6)*('01_予約入力'!$N$5:$N$204&lt;&gt;"キャンセル")*('01_予約入力'!$G$5:$G$204&lt;&gt;"")*('01_予約入力'!$G$5:$G$204&lt;=$A21)*('01_予約入力'!$J$5:$J$204&gt;$A21)*(ROW('01_予約入力'!$G$5:$G$204)-4))))</f>
        <v/>
      </c>
      <c r="W21" s="36">
        <f>IF(OR($A21="",F$6=""),0,SUMPRODUCT(MAX(('01_予約入力'!$D$5:$D$204=F$6)*('01_予約入力'!$N$5:$N$204&lt;&gt;"キャンセル")*('01_予約入力'!$G$5:$G$204&lt;&gt;"")*('01_予約入力'!$G$5:$G$204=$A21)*('01_予約入力'!$J$5:$J$204=$A21)*(ROW('01_予約入力'!$G$5:$G$204)-4))))</f>
        <v/>
      </c>
      <c r="X21" s="36">
        <f>IF($A21="","",IF($M21&gt;0,IF(OR(INDEX('01_予約入力'!$N$5:$N$204,$M21)="仮予約",INDEX('01_予約入力'!$N$5:$N$204,$M21)="調整中"),"仮",INDEX('01_予約入力'!$C$5:$C$204,$M21)),IF($N21&gt;0,IF(OR(INDEX('01_予約入力'!$N$5:$N$204,$N21)="仮予約",INDEX('01_予約入力'!$N$5:$N$204,$N21)="調整中"),"仮",INDEX('01_予約入力'!$C$5:$C$204,$N21)),IF($L21&gt;0,IF(OR(INDEX('01_予約入力'!$N$5:$N$204,$L21)="仮予約",INDEX('01_予約入力'!$N$5:$N$204,$L21)="調整中"),"仮",INDEX('01_予約入力'!$C$5:$C$204,$L21)),""))))</f>
        <v/>
      </c>
      <c r="Y21" s="36">
        <f>IF($A21="","",IF($P21&gt;0,IF(OR(INDEX('01_予約入力'!$N$5:$N$204,$P21)="仮予約",INDEX('01_予約入力'!$N$5:$N$204,$P21)="調整中"),"仮",INDEX('01_予約入力'!$C$5:$C$204,$P21)),IF($Q21&gt;0,IF(OR(INDEX('01_予約入力'!$N$5:$N$204,$Q21)="仮予約",INDEX('01_予約入力'!$N$5:$N$204,$Q21)="調整中"),"仮",INDEX('01_予約入力'!$C$5:$C$204,$Q21)),IF($O21&gt;0,IF(OR(INDEX('01_予約入力'!$N$5:$N$204,$O21)="仮予約",INDEX('01_予約入力'!$N$5:$N$204,$O21)="調整中"),"仮",INDEX('01_予約入力'!$C$5:$C$204,$O21)),""))))</f>
        <v/>
      </c>
      <c r="Z21" s="36">
        <f>IF($A21="","",IF($S21&gt;0,IF(OR(INDEX('01_予約入力'!$N$5:$N$204,$S21)="仮予約",INDEX('01_予約入力'!$N$5:$N$204,$S21)="調整中"),"仮",INDEX('01_予約入力'!$C$5:$C$204,$S21)),IF($T21&gt;0,IF(OR(INDEX('01_予約入力'!$N$5:$N$204,$T21)="仮予約",INDEX('01_予約入力'!$N$5:$N$204,$T21)="調整中"),"仮",INDEX('01_予約入力'!$C$5:$C$204,$T21)),IF($R21&gt;0,IF(OR(INDEX('01_予約入力'!$N$5:$N$204,$R21)="仮予約",INDEX('01_予約入力'!$N$5:$N$204,$R21)="調整中"),"仮",INDEX('01_予約入力'!$C$5:$C$204,$R21)),""))))</f>
        <v/>
      </c>
      <c r="AA21" s="36">
        <f>IF($A21="","",IF($V21&gt;0,IF(OR(INDEX('01_予約入力'!$N$5:$N$204,$V21)="仮予約",INDEX('01_予約入力'!$N$5:$N$204,$V21)="調整中"),"仮",INDEX('01_予約入力'!$C$5:$C$204,$V21)),IF($W21&gt;0,IF(OR(INDEX('01_予約入力'!$N$5:$N$204,$W21)="仮予約",INDEX('01_予約入力'!$N$5:$N$204,$W21)="調整中"),"仮",INDEX('01_予約入力'!$C$5:$C$204,$W21)),IF($U21&gt;0,IF(OR(INDEX('01_予約入力'!$N$5:$N$204,$U21)="仮予約",INDEX('01_予約入力'!$N$5:$N$204,$U21)="調整中"),"仮",INDEX('01_予約入力'!$C$5:$C$204,$U21)),""))))</f>
        <v/>
      </c>
    </row>
    <row r="22">
      <c r="A22" s="41">
        <f>IF(MONTH('02_カレンダー'!$B$4+15)&lt;&gt;MONTH('02_カレンダー'!$B$4),"",'02_カレンダー'!$B$4+15)</f>
        <v/>
      </c>
      <c r="B22" s="36">
        <f>IF($A22="","",MID("日月火水木金土",WEEKDAY($A22),1))</f>
        <v/>
      </c>
      <c r="C22" s="42">
        <f>IF(OR($A22="",C$6=""),"",IF($L22=0,"",INDEX('01_予約入力'!$B$5:$B$204,$L22)&amp;" ◀"&amp;IF(('02_カレンダー'!$B$5="○"),INDEX('01_予約入力'!$AB$5:$AB$204,$L22),""))&amp;IF(AND($L22&gt;0,OR($M22&gt;0,$N22&gt;0)),"  ","")&amp;IF($M22=0,"",IF(INDEX('01_予約入力'!$G$5:$G$204,$M22)=$A22,"▶"&amp;IF(('02_カレンダー'!$B$5="○"),INDEX('01_予約入力'!$AA$5:$AA$204,$M22)&amp;" "," "),"")&amp;INDEX('01_予約入力'!$B$5:$B$204,$M22))&amp;IF(AND($M22&gt;0,$N22&gt;0),"  ","")&amp;IF($N22=0,"","◆ "&amp;INDEX('01_予約入力'!$B$5:$B$204,$N22)&amp;IF(('02_カレンダー'!$B$5="○")," "&amp;INDEX('01_予約入力'!$AA$5:$AA$204,$N22)&amp;"-"&amp;INDEX('01_予約入力'!$AB$5:$AB$204,$N22),"")))</f>
        <v/>
      </c>
      <c r="D22" s="42">
        <f>IF(OR($A22="",D$6=""),"",IF($O22=0,"",INDEX('01_予約入力'!$B$5:$B$204,$O22)&amp;" ◀"&amp;IF(('02_カレンダー'!$B$5="○"),INDEX('01_予約入力'!$AB$5:$AB$204,$O22),""))&amp;IF(AND($O22&gt;0,OR($P22&gt;0,$Q22&gt;0)),"  ","")&amp;IF($P22=0,"",IF(INDEX('01_予約入力'!$G$5:$G$204,$P22)=$A22,"▶"&amp;IF(('02_カレンダー'!$B$5="○"),INDEX('01_予約入力'!$AA$5:$AA$204,$P22)&amp;" "," "),"")&amp;INDEX('01_予約入力'!$B$5:$B$204,$P22))&amp;IF(AND($P22&gt;0,$Q22&gt;0),"  ","")&amp;IF($Q22=0,"","◆ "&amp;INDEX('01_予約入力'!$B$5:$B$204,$Q22)&amp;IF(('02_カレンダー'!$B$5="○")," "&amp;INDEX('01_予約入力'!$AA$5:$AA$204,$Q22)&amp;"-"&amp;INDEX('01_予約入力'!$AB$5:$AB$204,$Q22),"")))</f>
        <v/>
      </c>
      <c r="E22" s="42">
        <f>IF(OR($A22="",E$6=""),"",IF($R22=0,"",INDEX('01_予約入力'!$B$5:$B$204,$R22)&amp;" ◀"&amp;IF(('02_カレンダー'!$B$5="○"),INDEX('01_予約入力'!$AB$5:$AB$204,$R22),""))&amp;IF(AND($R22&gt;0,OR($S22&gt;0,$T22&gt;0)),"  ","")&amp;IF($S22=0,"",IF(INDEX('01_予約入力'!$G$5:$G$204,$S22)=$A22,"▶"&amp;IF(('02_カレンダー'!$B$5="○"),INDEX('01_予約入力'!$AA$5:$AA$204,$S22)&amp;" "," "),"")&amp;INDEX('01_予約入力'!$B$5:$B$204,$S22))&amp;IF(AND($S22&gt;0,$T22&gt;0),"  ","")&amp;IF($T22=0,"","◆ "&amp;INDEX('01_予約入力'!$B$5:$B$204,$T22)&amp;IF(('02_カレンダー'!$B$5="○")," "&amp;INDEX('01_予約入力'!$AA$5:$AA$204,$T22)&amp;"-"&amp;INDEX('01_予約入力'!$AB$5:$AB$204,$T22),"")))</f>
        <v/>
      </c>
      <c r="F22" s="42">
        <f>IF(OR($A22="",F$6=""),"",IF($U22=0,"",INDEX('01_予約入力'!$B$5:$B$204,$U22)&amp;" ◀"&amp;IF(('02_カレンダー'!$B$5="○"),INDEX('01_予約入力'!$AB$5:$AB$204,$U22),""))&amp;IF(AND($U22&gt;0,OR($V22&gt;0,$W22&gt;0)),"  ","")&amp;IF($V22=0,"",IF(INDEX('01_予約入力'!$G$5:$G$204,$V22)=$A22,"▶"&amp;IF(('02_カレンダー'!$B$5="○"),INDEX('01_予約入力'!$AA$5:$AA$204,$V22)&amp;" "," "),"")&amp;INDEX('01_予約入力'!$B$5:$B$204,$V22))&amp;IF(AND($V22&gt;0,$W22&gt;0),"  ","")&amp;IF($W22=0,"","◆ "&amp;INDEX('01_予約入力'!$B$5:$B$204,$W22)&amp;IF(('02_カレンダー'!$B$5="○")," "&amp;INDEX('01_予約入力'!$AA$5:$AA$204,$W22)&amp;"-"&amp;INDEX('01_予約入力'!$AB$5:$AB$204,$W22),"")))</f>
        <v/>
      </c>
      <c r="G22" s="36">
        <f>IF($A22="","",SUMPRODUCT(('01_予約入力'!$G$5:$G$204&lt;&gt;"")*('01_予約入力'!$N$5:$N$204&lt;&gt;"キャンセル")*('01_予約入力'!$G$5:$G$204&lt;=$A22)*('01_予約入力'!$J$5:$J$204&gt;$A22)))</f>
        <v/>
      </c>
      <c r="H22" s="36">
        <f>IF($A22="","",'M_施設設定'!$B$6-$G22)</f>
        <v/>
      </c>
      <c r="I22" s="36">
        <f>IF($A22="","",SUMPRODUCT((('01_予約入力'!$N$5:$N$204="仮予約")+('01_予約入力'!$N$5:$N$204="調整中"))*('01_予約入力'!$G$5:$G$204&lt;&gt;"")*('01_予約入力'!$G$5:$G$204&lt;=$A22)*('01_予約入力'!$J$5:$J$204&gt;$A22)))</f>
        <v/>
      </c>
      <c r="J22" s="36">
        <f>IF($A22="","",IF($I22&gt;0,"仮",IF($H22&lt;=0,"×",IF($H22&lt;'M_施設設定'!$B$6,"△","○"))))</f>
        <v/>
      </c>
      <c r="K22" s="36">
        <f>IF($A22="","",SUMPRODUCT(('01_予約入力'!$G$5:$G$204&lt;&gt;"")*('01_予約入力'!$N$5:$N$204&lt;&gt;"キャンセル")*('01_予約入力'!$G$5:$G$204=$A22)*('01_予約入力'!$J$5:$J$204=$A22)))</f>
        <v/>
      </c>
      <c r="L22" s="36">
        <f>IF(OR($A22="",C$6=""),0,SUMPRODUCT(MAX(('01_予約入力'!$D$5:$D$204=C$6)*('01_予約入力'!$N$5:$N$204&lt;&gt;"キャンセル")*('01_予約入力'!$G$5:$G$204&lt;&gt;"")*('01_予約入力'!$J$5:$J$204=$A22)*('01_予約入力'!$G$5:$G$204&lt;$A22)*(ROW('01_予約入力'!$G$5:$G$204)-4))))</f>
        <v/>
      </c>
      <c r="M22" s="36">
        <f>IF(OR($A22="",C$6=""),0,SUMPRODUCT(MAX(('01_予約入力'!$D$5:$D$204=C$6)*('01_予約入力'!$N$5:$N$204&lt;&gt;"キャンセル")*('01_予約入力'!$G$5:$G$204&lt;&gt;"")*('01_予約入力'!$G$5:$G$204&lt;=$A22)*('01_予約入力'!$J$5:$J$204&gt;$A22)*(ROW('01_予約入力'!$G$5:$G$204)-4))))</f>
        <v/>
      </c>
      <c r="N22" s="36">
        <f>IF(OR($A22="",C$6=""),0,SUMPRODUCT(MAX(('01_予約入力'!$D$5:$D$204=C$6)*('01_予約入力'!$N$5:$N$204&lt;&gt;"キャンセル")*('01_予約入力'!$G$5:$G$204&lt;&gt;"")*('01_予約入力'!$G$5:$G$204=$A22)*('01_予約入力'!$J$5:$J$204=$A22)*(ROW('01_予約入力'!$G$5:$G$204)-4))))</f>
        <v/>
      </c>
      <c r="O22" s="36">
        <f>IF(OR($A22="",D$6=""),0,SUMPRODUCT(MAX(('01_予約入力'!$D$5:$D$204=D$6)*('01_予約入力'!$N$5:$N$204&lt;&gt;"キャンセル")*('01_予約入力'!$G$5:$G$204&lt;&gt;"")*('01_予約入力'!$J$5:$J$204=$A22)*('01_予約入力'!$G$5:$G$204&lt;$A22)*(ROW('01_予約入力'!$G$5:$G$204)-4))))</f>
        <v/>
      </c>
      <c r="P22" s="36">
        <f>IF(OR($A22="",D$6=""),0,SUMPRODUCT(MAX(('01_予約入力'!$D$5:$D$204=D$6)*('01_予約入力'!$N$5:$N$204&lt;&gt;"キャンセル")*('01_予約入力'!$G$5:$G$204&lt;&gt;"")*('01_予約入力'!$G$5:$G$204&lt;=$A22)*('01_予約入力'!$J$5:$J$204&gt;$A22)*(ROW('01_予約入力'!$G$5:$G$204)-4))))</f>
        <v/>
      </c>
      <c r="Q22" s="36">
        <f>IF(OR($A22="",D$6=""),0,SUMPRODUCT(MAX(('01_予約入力'!$D$5:$D$204=D$6)*('01_予約入力'!$N$5:$N$204&lt;&gt;"キャンセル")*('01_予約入力'!$G$5:$G$204&lt;&gt;"")*('01_予約入力'!$G$5:$G$204=$A22)*('01_予約入力'!$J$5:$J$204=$A22)*(ROW('01_予約入力'!$G$5:$G$204)-4))))</f>
        <v/>
      </c>
      <c r="R22" s="36">
        <f>IF(OR($A22="",E$6=""),0,SUMPRODUCT(MAX(('01_予約入力'!$D$5:$D$204=E$6)*('01_予約入力'!$N$5:$N$204&lt;&gt;"キャンセル")*('01_予約入力'!$G$5:$G$204&lt;&gt;"")*('01_予約入力'!$J$5:$J$204=$A22)*('01_予約入力'!$G$5:$G$204&lt;$A22)*(ROW('01_予約入力'!$G$5:$G$204)-4))))</f>
        <v/>
      </c>
      <c r="S22" s="36">
        <f>IF(OR($A22="",E$6=""),0,SUMPRODUCT(MAX(('01_予約入力'!$D$5:$D$204=E$6)*('01_予約入力'!$N$5:$N$204&lt;&gt;"キャンセル")*('01_予約入力'!$G$5:$G$204&lt;&gt;"")*('01_予約入力'!$G$5:$G$204&lt;=$A22)*('01_予約入力'!$J$5:$J$204&gt;$A22)*(ROW('01_予約入力'!$G$5:$G$204)-4))))</f>
        <v/>
      </c>
      <c r="T22" s="36">
        <f>IF(OR($A22="",E$6=""),0,SUMPRODUCT(MAX(('01_予約入力'!$D$5:$D$204=E$6)*('01_予約入力'!$N$5:$N$204&lt;&gt;"キャンセル")*('01_予約入力'!$G$5:$G$204&lt;&gt;"")*('01_予約入力'!$G$5:$G$204=$A22)*('01_予約入力'!$J$5:$J$204=$A22)*(ROW('01_予約入力'!$G$5:$G$204)-4))))</f>
        <v/>
      </c>
      <c r="U22" s="36">
        <f>IF(OR($A22="",F$6=""),0,SUMPRODUCT(MAX(('01_予約入力'!$D$5:$D$204=F$6)*('01_予約入力'!$N$5:$N$204&lt;&gt;"キャンセル")*('01_予約入力'!$G$5:$G$204&lt;&gt;"")*('01_予約入力'!$J$5:$J$204=$A22)*('01_予約入力'!$G$5:$G$204&lt;$A22)*(ROW('01_予約入力'!$G$5:$G$204)-4))))</f>
        <v/>
      </c>
      <c r="V22" s="36">
        <f>IF(OR($A22="",F$6=""),0,SUMPRODUCT(MAX(('01_予約入力'!$D$5:$D$204=F$6)*('01_予約入力'!$N$5:$N$204&lt;&gt;"キャンセル")*('01_予約入力'!$G$5:$G$204&lt;&gt;"")*('01_予約入力'!$G$5:$G$204&lt;=$A22)*('01_予約入力'!$J$5:$J$204&gt;$A22)*(ROW('01_予約入力'!$G$5:$G$204)-4))))</f>
        <v/>
      </c>
      <c r="W22" s="36">
        <f>IF(OR($A22="",F$6=""),0,SUMPRODUCT(MAX(('01_予約入力'!$D$5:$D$204=F$6)*('01_予約入力'!$N$5:$N$204&lt;&gt;"キャンセル")*('01_予約入力'!$G$5:$G$204&lt;&gt;"")*('01_予約入力'!$G$5:$G$204=$A22)*('01_予約入力'!$J$5:$J$204=$A22)*(ROW('01_予約入力'!$G$5:$G$204)-4))))</f>
        <v/>
      </c>
      <c r="X22" s="36">
        <f>IF($A22="","",IF($M22&gt;0,IF(OR(INDEX('01_予約入力'!$N$5:$N$204,$M22)="仮予約",INDEX('01_予約入力'!$N$5:$N$204,$M22)="調整中"),"仮",INDEX('01_予約入力'!$C$5:$C$204,$M22)),IF($N22&gt;0,IF(OR(INDEX('01_予約入力'!$N$5:$N$204,$N22)="仮予約",INDEX('01_予約入力'!$N$5:$N$204,$N22)="調整中"),"仮",INDEX('01_予約入力'!$C$5:$C$204,$N22)),IF($L22&gt;0,IF(OR(INDEX('01_予約入力'!$N$5:$N$204,$L22)="仮予約",INDEX('01_予約入力'!$N$5:$N$204,$L22)="調整中"),"仮",INDEX('01_予約入力'!$C$5:$C$204,$L22)),""))))</f>
        <v/>
      </c>
      <c r="Y22" s="36">
        <f>IF($A22="","",IF($P22&gt;0,IF(OR(INDEX('01_予約入力'!$N$5:$N$204,$P22)="仮予約",INDEX('01_予約入力'!$N$5:$N$204,$P22)="調整中"),"仮",INDEX('01_予約入力'!$C$5:$C$204,$P22)),IF($Q22&gt;0,IF(OR(INDEX('01_予約入力'!$N$5:$N$204,$Q22)="仮予約",INDEX('01_予約入力'!$N$5:$N$204,$Q22)="調整中"),"仮",INDEX('01_予約入力'!$C$5:$C$204,$Q22)),IF($O22&gt;0,IF(OR(INDEX('01_予約入力'!$N$5:$N$204,$O22)="仮予約",INDEX('01_予約入力'!$N$5:$N$204,$O22)="調整中"),"仮",INDEX('01_予約入力'!$C$5:$C$204,$O22)),""))))</f>
        <v/>
      </c>
      <c r="Z22" s="36">
        <f>IF($A22="","",IF($S22&gt;0,IF(OR(INDEX('01_予約入力'!$N$5:$N$204,$S22)="仮予約",INDEX('01_予約入力'!$N$5:$N$204,$S22)="調整中"),"仮",INDEX('01_予約入力'!$C$5:$C$204,$S22)),IF($T22&gt;0,IF(OR(INDEX('01_予約入力'!$N$5:$N$204,$T22)="仮予約",INDEX('01_予約入力'!$N$5:$N$204,$T22)="調整中"),"仮",INDEX('01_予約入力'!$C$5:$C$204,$T22)),IF($R22&gt;0,IF(OR(INDEX('01_予約入力'!$N$5:$N$204,$R22)="仮予約",INDEX('01_予約入力'!$N$5:$N$204,$R22)="調整中"),"仮",INDEX('01_予約入力'!$C$5:$C$204,$R22)),""))))</f>
        <v/>
      </c>
      <c r="AA22" s="36">
        <f>IF($A22="","",IF($V22&gt;0,IF(OR(INDEX('01_予約入力'!$N$5:$N$204,$V22)="仮予約",INDEX('01_予約入力'!$N$5:$N$204,$V22)="調整中"),"仮",INDEX('01_予約入力'!$C$5:$C$204,$V22)),IF($W22&gt;0,IF(OR(INDEX('01_予約入力'!$N$5:$N$204,$W22)="仮予約",INDEX('01_予約入力'!$N$5:$N$204,$W22)="調整中"),"仮",INDEX('01_予約入力'!$C$5:$C$204,$W22)),IF($U22&gt;0,IF(OR(INDEX('01_予約入力'!$N$5:$N$204,$U22)="仮予約",INDEX('01_予約入力'!$N$5:$N$204,$U22)="調整中"),"仮",INDEX('01_予約入力'!$C$5:$C$204,$U22)),""))))</f>
        <v/>
      </c>
    </row>
    <row r="23">
      <c r="A23" s="41">
        <f>IF(MONTH('02_カレンダー'!$B$4+16)&lt;&gt;MONTH('02_カレンダー'!$B$4),"",'02_カレンダー'!$B$4+16)</f>
        <v/>
      </c>
      <c r="B23" s="36">
        <f>IF($A23="","",MID("日月火水木金土",WEEKDAY($A23),1))</f>
        <v/>
      </c>
      <c r="C23" s="42">
        <f>IF(OR($A23="",C$6=""),"",IF($L23=0,"",INDEX('01_予約入力'!$B$5:$B$204,$L23)&amp;" ◀"&amp;IF(('02_カレンダー'!$B$5="○"),INDEX('01_予約入力'!$AB$5:$AB$204,$L23),""))&amp;IF(AND($L23&gt;0,OR($M23&gt;0,$N23&gt;0)),"  ","")&amp;IF($M23=0,"",IF(INDEX('01_予約入力'!$G$5:$G$204,$M23)=$A23,"▶"&amp;IF(('02_カレンダー'!$B$5="○"),INDEX('01_予約入力'!$AA$5:$AA$204,$M23)&amp;" "," "),"")&amp;INDEX('01_予約入力'!$B$5:$B$204,$M23))&amp;IF(AND($M23&gt;0,$N23&gt;0),"  ","")&amp;IF($N23=0,"","◆ "&amp;INDEX('01_予約入力'!$B$5:$B$204,$N23)&amp;IF(('02_カレンダー'!$B$5="○")," "&amp;INDEX('01_予約入力'!$AA$5:$AA$204,$N23)&amp;"-"&amp;INDEX('01_予約入力'!$AB$5:$AB$204,$N23),"")))</f>
        <v/>
      </c>
      <c r="D23" s="42">
        <f>IF(OR($A23="",D$6=""),"",IF($O23=0,"",INDEX('01_予約入力'!$B$5:$B$204,$O23)&amp;" ◀"&amp;IF(('02_カレンダー'!$B$5="○"),INDEX('01_予約入力'!$AB$5:$AB$204,$O23),""))&amp;IF(AND($O23&gt;0,OR($P23&gt;0,$Q23&gt;0)),"  ","")&amp;IF($P23=0,"",IF(INDEX('01_予約入力'!$G$5:$G$204,$P23)=$A23,"▶"&amp;IF(('02_カレンダー'!$B$5="○"),INDEX('01_予約入力'!$AA$5:$AA$204,$P23)&amp;" "," "),"")&amp;INDEX('01_予約入力'!$B$5:$B$204,$P23))&amp;IF(AND($P23&gt;0,$Q23&gt;0),"  ","")&amp;IF($Q23=0,"","◆ "&amp;INDEX('01_予約入力'!$B$5:$B$204,$Q23)&amp;IF(('02_カレンダー'!$B$5="○")," "&amp;INDEX('01_予約入力'!$AA$5:$AA$204,$Q23)&amp;"-"&amp;INDEX('01_予約入力'!$AB$5:$AB$204,$Q23),"")))</f>
        <v/>
      </c>
      <c r="E23" s="42">
        <f>IF(OR($A23="",E$6=""),"",IF($R23=0,"",INDEX('01_予約入力'!$B$5:$B$204,$R23)&amp;" ◀"&amp;IF(('02_カレンダー'!$B$5="○"),INDEX('01_予約入力'!$AB$5:$AB$204,$R23),""))&amp;IF(AND($R23&gt;0,OR($S23&gt;0,$T23&gt;0)),"  ","")&amp;IF($S23=0,"",IF(INDEX('01_予約入力'!$G$5:$G$204,$S23)=$A23,"▶"&amp;IF(('02_カレンダー'!$B$5="○"),INDEX('01_予約入力'!$AA$5:$AA$204,$S23)&amp;" "," "),"")&amp;INDEX('01_予約入力'!$B$5:$B$204,$S23))&amp;IF(AND($S23&gt;0,$T23&gt;0),"  ","")&amp;IF($T23=0,"","◆ "&amp;INDEX('01_予約入力'!$B$5:$B$204,$T23)&amp;IF(('02_カレンダー'!$B$5="○")," "&amp;INDEX('01_予約入力'!$AA$5:$AA$204,$T23)&amp;"-"&amp;INDEX('01_予約入力'!$AB$5:$AB$204,$T23),"")))</f>
        <v/>
      </c>
      <c r="F23" s="42">
        <f>IF(OR($A23="",F$6=""),"",IF($U23=0,"",INDEX('01_予約入力'!$B$5:$B$204,$U23)&amp;" ◀"&amp;IF(('02_カレンダー'!$B$5="○"),INDEX('01_予約入力'!$AB$5:$AB$204,$U23),""))&amp;IF(AND($U23&gt;0,OR($V23&gt;0,$W23&gt;0)),"  ","")&amp;IF($V23=0,"",IF(INDEX('01_予約入力'!$G$5:$G$204,$V23)=$A23,"▶"&amp;IF(('02_カレンダー'!$B$5="○"),INDEX('01_予約入力'!$AA$5:$AA$204,$V23)&amp;" "," "),"")&amp;INDEX('01_予約入力'!$B$5:$B$204,$V23))&amp;IF(AND($V23&gt;0,$W23&gt;0),"  ","")&amp;IF($W23=0,"","◆ "&amp;INDEX('01_予約入力'!$B$5:$B$204,$W23)&amp;IF(('02_カレンダー'!$B$5="○")," "&amp;INDEX('01_予約入力'!$AA$5:$AA$204,$W23)&amp;"-"&amp;INDEX('01_予約入力'!$AB$5:$AB$204,$W23),"")))</f>
        <v/>
      </c>
      <c r="G23" s="36">
        <f>IF($A23="","",SUMPRODUCT(('01_予約入力'!$G$5:$G$204&lt;&gt;"")*('01_予約入力'!$N$5:$N$204&lt;&gt;"キャンセル")*('01_予約入力'!$G$5:$G$204&lt;=$A23)*('01_予約入力'!$J$5:$J$204&gt;$A23)))</f>
        <v/>
      </c>
      <c r="H23" s="36">
        <f>IF($A23="","",'M_施設設定'!$B$6-$G23)</f>
        <v/>
      </c>
      <c r="I23" s="36">
        <f>IF($A23="","",SUMPRODUCT((('01_予約入力'!$N$5:$N$204="仮予約")+('01_予約入力'!$N$5:$N$204="調整中"))*('01_予約入力'!$G$5:$G$204&lt;&gt;"")*('01_予約入力'!$G$5:$G$204&lt;=$A23)*('01_予約入力'!$J$5:$J$204&gt;$A23)))</f>
        <v/>
      </c>
      <c r="J23" s="36">
        <f>IF($A23="","",IF($I23&gt;0,"仮",IF($H23&lt;=0,"×",IF($H23&lt;'M_施設設定'!$B$6,"△","○"))))</f>
        <v/>
      </c>
      <c r="K23" s="36">
        <f>IF($A23="","",SUMPRODUCT(('01_予約入力'!$G$5:$G$204&lt;&gt;"")*('01_予約入力'!$N$5:$N$204&lt;&gt;"キャンセル")*('01_予約入力'!$G$5:$G$204=$A23)*('01_予約入力'!$J$5:$J$204=$A23)))</f>
        <v/>
      </c>
      <c r="L23" s="36">
        <f>IF(OR($A23="",C$6=""),0,SUMPRODUCT(MAX(('01_予約入力'!$D$5:$D$204=C$6)*('01_予約入力'!$N$5:$N$204&lt;&gt;"キャンセル")*('01_予約入力'!$G$5:$G$204&lt;&gt;"")*('01_予約入力'!$J$5:$J$204=$A23)*('01_予約入力'!$G$5:$G$204&lt;$A23)*(ROW('01_予約入力'!$G$5:$G$204)-4))))</f>
        <v/>
      </c>
      <c r="M23" s="36">
        <f>IF(OR($A23="",C$6=""),0,SUMPRODUCT(MAX(('01_予約入力'!$D$5:$D$204=C$6)*('01_予約入力'!$N$5:$N$204&lt;&gt;"キャンセル")*('01_予約入力'!$G$5:$G$204&lt;&gt;"")*('01_予約入力'!$G$5:$G$204&lt;=$A23)*('01_予約入力'!$J$5:$J$204&gt;$A23)*(ROW('01_予約入力'!$G$5:$G$204)-4))))</f>
        <v/>
      </c>
      <c r="N23" s="36">
        <f>IF(OR($A23="",C$6=""),0,SUMPRODUCT(MAX(('01_予約入力'!$D$5:$D$204=C$6)*('01_予約入力'!$N$5:$N$204&lt;&gt;"キャンセル")*('01_予約入力'!$G$5:$G$204&lt;&gt;"")*('01_予約入力'!$G$5:$G$204=$A23)*('01_予約入力'!$J$5:$J$204=$A23)*(ROW('01_予約入力'!$G$5:$G$204)-4))))</f>
        <v/>
      </c>
      <c r="O23" s="36">
        <f>IF(OR($A23="",D$6=""),0,SUMPRODUCT(MAX(('01_予約入力'!$D$5:$D$204=D$6)*('01_予約入力'!$N$5:$N$204&lt;&gt;"キャンセル")*('01_予約入力'!$G$5:$G$204&lt;&gt;"")*('01_予約入力'!$J$5:$J$204=$A23)*('01_予約入力'!$G$5:$G$204&lt;$A23)*(ROW('01_予約入力'!$G$5:$G$204)-4))))</f>
        <v/>
      </c>
      <c r="P23" s="36">
        <f>IF(OR($A23="",D$6=""),0,SUMPRODUCT(MAX(('01_予約入力'!$D$5:$D$204=D$6)*('01_予約入力'!$N$5:$N$204&lt;&gt;"キャンセル")*('01_予約入力'!$G$5:$G$204&lt;&gt;"")*('01_予約入力'!$G$5:$G$204&lt;=$A23)*('01_予約入力'!$J$5:$J$204&gt;$A23)*(ROW('01_予約入力'!$G$5:$G$204)-4))))</f>
        <v/>
      </c>
      <c r="Q23" s="36">
        <f>IF(OR($A23="",D$6=""),0,SUMPRODUCT(MAX(('01_予約入力'!$D$5:$D$204=D$6)*('01_予約入力'!$N$5:$N$204&lt;&gt;"キャンセル")*('01_予約入力'!$G$5:$G$204&lt;&gt;"")*('01_予約入力'!$G$5:$G$204=$A23)*('01_予約入力'!$J$5:$J$204=$A23)*(ROW('01_予約入力'!$G$5:$G$204)-4))))</f>
        <v/>
      </c>
      <c r="R23" s="36">
        <f>IF(OR($A23="",E$6=""),0,SUMPRODUCT(MAX(('01_予約入力'!$D$5:$D$204=E$6)*('01_予約入力'!$N$5:$N$204&lt;&gt;"キャンセル")*('01_予約入力'!$G$5:$G$204&lt;&gt;"")*('01_予約入力'!$J$5:$J$204=$A23)*('01_予約入力'!$G$5:$G$204&lt;$A23)*(ROW('01_予約入力'!$G$5:$G$204)-4))))</f>
        <v/>
      </c>
      <c r="S23" s="36">
        <f>IF(OR($A23="",E$6=""),0,SUMPRODUCT(MAX(('01_予約入力'!$D$5:$D$204=E$6)*('01_予約入力'!$N$5:$N$204&lt;&gt;"キャンセル")*('01_予約入力'!$G$5:$G$204&lt;&gt;"")*('01_予約入力'!$G$5:$G$204&lt;=$A23)*('01_予約入力'!$J$5:$J$204&gt;$A23)*(ROW('01_予約入力'!$G$5:$G$204)-4))))</f>
        <v/>
      </c>
      <c r="T23" s="36">
        <f>IF(OR($A23="",E$6=""),0,SUMPRODUCT(MAX(('01_予約入力'!$D$5:$D$204=E$6)*('01_予約入力'!$N$5:$N$204&lt;&gt;"キャンセル")*('01_予約入力'!$G$5:$G$204&lt;&gt;"")*('01_予約入力'!$G$5:$G$204=$A23)*('01_予約入力'!$J$5:$J$204=$A23)*(ROW('01_予約入力'!$G$5:$G$204)-4))))</f>
        <v/>
      </c>
      <c r="U23" s="36">
        <f>IF(OR($A23="",F$6=""),0,SUMPRODUCT(MAX(('01_予約入力'!$D$5:$D$204=F$6)*('01_予約入力'!$N$5:$N$204&lt;&gt;"キャンセル")*('01_予約入力'!$G$5:$G$204&lt;&gt;"")*('01_予約入力'!$J$5:$J$204=$A23)*('01_予約入力'!$G$5:$G$204&lt;$A23)*(ROW('01_予約入力'!$G$5:$G$204)-4))))</f>
        <v/>
      </c>
      <c r="V23" s="36">
        <f>IF(OR($A23="",F$6=""),0,SUMPRODUCT(MAX(('01_予約入力'!$D$5:$D$204=F$6)*('01_予約入力'!$N$5:$N$204&lt;&gt;"キャンセル")*('01_予約入力'!$G$5:$G$204&lt;&gt;"")*('01_予約入力'!$G$5:$G$204&lt;=$A23)*('01_予約入力'!$J$5:$J$204&gt;$A23)*(ROW('01_予約入力'!$G$5:$G$204)-4))))</f>
        <v/>
      </c>
      <c r="W23" s="36">
        <f>IF(OR($A23="",F$6=""),0,SUMPRODUCT(MAX(('01_予約入力'!$D$5:$D$204=F$6)*('01_予約入力'!$N$5:$N$204&lt;&gt;"キャンセル")*('01_予約入力'!$G$5:$G$204&lt;&gt;"")*('01_予約入力'!$G$5:$G$204=$A23)*('01_予約入力'!$J$5:$J$204=$A23)*(ROW('01_予約入力'!$G$5:$G$204)-4))))</f>
        <v/>
      </c>
      <c r="X23" s="36">
        <f>IF($A23="","",IF($M23&gt;0,IF(OR(INDEX('01_予約入力'!$N$5:$N$204,$M23)="仮予約",INDEX('01_予約入力'!$N$5:$N$204,$M23)="調整中"),"仮",INDEX('01_予約入力'!$C$5:$C$204,$M23)),IF($N23&gt;0,IF(OR(INDEX('01_予約入力'!$N$5:$N$204,$N23)="仮予約",INDEX('01_予約入力'!$N$5:$N$204,$N23)="調整中"),"仮",INDEX('01_予約入力'!$C$5:$C$204,$N23)),IF($L23&gt;0,IF(OR(INDEX('01_予約入力'!$N$5:$N$204,$L23)="仮予約",INDEX('01_予約入力'!$N$5:$N$204,$L23)="調整中"),"仮",INDEX('01_予約入力'!$C$5:$C$204,$L23)),""))))</f>
        <v/>
      </c>
      <c r="Y23" s="36">
        <f>IF($A23="","",IF($P23&gt;0,IF(OR(INDEX('01_予約入力'!$N$5:$N$204,$P23)="仮予約",INDEX('01_予約入力'!$N$5:$N$204,$P23)="調整中"),"仮",INDEX('01_予約入力'!$C$5:$C$204,$P23)),IF($Q23&gt;0,IF(OR(INDEX('01_予約入力'!$N$5:$N$204,$Q23)="仮予約",INDEX('01_予約入力'!$N$5:$N$204,$Q23)="調整中"),"仮",INDEX('01_予約入力'!$C$5:$C$204,$Q23)),IF($O23&gt;0,IF(OR(INDEX('01_予約入力'!$N$5:$N$204,$O23)="仮予約",INDEX('01_予約入力'!$N$5:$N$204,$O23)="調整中"),"仮",INDEX('01_予約入力'!$C$5:$C$204,$O23)),""))))</f>
        <v/>
      </c>
      <c r="Z23" s="36">
        <f>IF($A23="","",IF($S23&gt;0,IF(OR(INDEX('01_予約入力'!$N$5:$N$204,$S23)="仮予約",INDEX('01_予約入力'!$N$5:$N$204,$S23)="調整中"),"仮",INDEX('01_予約入力'!$C$5:$C$204,$S23)),IF($T23&gt;0,IF(OR(INDEX('01_予約入力'!$N$5:$N$204,$T23)="仮予約",INDEX('01_予約入力'!$N$5:$N$204,$T23)="調整中"),"仮",INDEX('01_予約入力'!$C$5:$C$204,$T23)),IF($R23&gt;0,IF(OR(INDEX('01_予約入力'!$N$5:$N$204,$R23)="仮予約",INDEX('01_予約入力'!$N$5:$N$204,$R23)="調整中"),"仮",INDEX('01_予約入力'!$C$5:$C$204,$R23)),""))))</f>
        <v/>
      </c>
      <c r="AA23" s="36">
        <f>IF($A23="","",IF($V23&gt;0,IF(OR(INDEX('01_予約入力'!$N$5:$N$204,$V23)="仮予約",INDEX('01_予約入力'!$N$5:$N$204,$V23)="調整中"),"仮",INDEX('01_予約入力'!$C$5:$C$204,$V23)),IF($W23&gt;0,IF(OR(INDEX('01_予約入力'!$N$5:$N$204,$W23)="仮予約",INDEX('01_予約入力'!$N$5:$N$204,$W23)="調整中"),"仮",INDEX('01_予約入力'!$C$5:$C$204,$W23)),IF($U23&gt;0,IF(OR(INDEX('01_予約入力'!$N$5:$N$204,$U23)="仮予約",INDEX('01_予約入力'!$N$5:$N$204,$U23)="調整中"),"仮",INDEX('01_予約入力'!$C$5:$C$204,$U23)),""))))</f>
        <v/>
      </c>
    </row>
    <row r="24">
      <c r="A24" s="41">
        <f>IF(MONTH('02_カレンダー'!$B$4+17)&lt;&gt;MONTH('02_カレンダー'!$B$4),"",'02_カレンダー'!$B$4+17)</f>
        <v/>
      </c>
      <c r="B24" s="36">
        <f>IF($A24="","",MID("日月火水木金土",WEEKDAY($A24),1))</f>
        <v/>
      </c>
      <c r="C24" s="42">
        <f>IF(OR($A24="",C$6=""),"",IF($L24=0,"",INDEX('01_予約入力'!$B$5:$B$204,$L24)&amp;" ◀"&amp;IF(('02_カレンダー'!$B$5="○"),INDEX('01_予約入力'!$AB$5:$AB$204,$L24),""))&amp;IF(AND($L24&gt;0,OR($M24&gt;0,$N24&gt;0)),"  ","")&amp;IF($M24=0,"",IF(INDEX('01_予約入力'!$G$5:$G$204,$M24)=$A24,"▶"&amp;IF(('02_カレンダー'!$B$5="○"),INDEX('01_予約入力'!$AA$5:$AA$204,$M24)&amp;" "," "),"")&amp;INDEX('01_予約入力'!$B$5:$B$204,$M24))&amp;IF(AND($M24&gt;0,$N24&gt;0),"  ","")&amp;IF($N24=0,"","◆ "&amp;INDEX('01_予約入力'!$B$5:$B$204,$N24)&amp;IF(('02_カレンダー'!$B$5="○")," "&amp;INDEX('01_予約入力'!$AA$5:$AA$204,$N24)&amp;"-"&amp;INDEX('01_予約入力'!$AB$5:$AB$204,$N24),"")))</f>
        <v/>
      </c>
      <c r="D24" s="42">
        <f>IF(OR($A24="",D$6=""),"",IF($O24=0,"",INDEX('01_予約入力'!$B$5:$B$204,$O24)&amp;" ◀"&amp;IF(('02_カレンダー'!$B$5="○"),INDEX('01_予約入力'!$AB$5:$AB$204,$O24),""))&amp;IF(AND($O24&gt;0,OR($P24&gt;0,$Q24&gt;0)),"  ","")&amp;IF($P24=0,"",IF(INDEX('01_予約入力'!$G$5:$G$204,$P24)=$A24,"▶"&amp;IF(('02_カレンダー'!$B$5="○"),INDEX('01_予約入力'!$AA$5:$AA$204,$P24)&amp;" "," "),"")&amp;INDEX('01_予約入力'!$B$5:$B$204,$P24))&amp;IF(AND($P24&gt;0,$Q24&gt;0),"  ","")&amp;IF($Q24=0,"","◆ "&amp;INDEX('01_予約入力'!$B$5:$B$204,$Q24)&amp;IF(('02_カレンダー'!$B$5="○")," "&amp;INDEX('01_予約入力'!$AA$5:$AA$204,$Q24)&amp;"-"&amp;INDEX('01_予約入力'!$AB$5:$AB$204,$Q24),"")))</f>
        <v/>
      </c>
      <c r="E24" s="42">
        <f>IF(OR($A24="",E$6=""),"",IF($R24=0,"",INDEX('01_予約入力'!$B$5:$B$204,$R24)&amp;" ◀"&amp;IF(('02_カレンダー'!$B$5="○"),INDEX('01_予約入力'!$AB$5:$AB$204,$R24),""))&amp;IF(AND($R24&gt;0,OR($S24&gt;0,$T24&gt;0)),"  ","")&amp;IF($S24=0,"",IF(INDEX('01_予約入力'!$G$5:$G$204,$S24)=$A24,"▶"&amp;IF(('02_カレンダー'!$B$5="○"),INDEX('01_予約入力'!$AA$5:$AA$204,$S24)&amp;" "," "),"")&amp;INDEX('01_予約入力'!$B$5:$B$204,$S24))&amp;IF(AND($S24&gt;0,$T24&gt;0),"  ","")&amp;IF($T24=0,"","◆ "&amp;INDEX('01_予約入力'!$B$5:$B$204,$T24)&amp;IF(('02_カレンダー'!$B$5="○")," "&amp;INDEX('01_予約入力'!$AA$5:$AA$204,$T24)&amp;"-"&amp;INDEX('01_予約入力'!$AB$5:$AB$204,$T24),"")))</f>
        <v/>
      </c>
      <c r="F24" s="42">
        <f>IF(OR($A24="",F$6=""),"",IF($U24=0,"",INDEX('01_予約入力'!$B$5:$B$204,$U24)&amp;" ◀"&amp;IF(('02_カレンダー'!$B$5="○"),INDEX('01_予約入力'!$AB$5:$AB$204,$U24),""))&amp;IF(AND($U24&gt;0,OR($V24&gt;0,$W24&gt;0)),"  ","")&amp;IF($V24=0,"",IF(INDEX('01_予約入力'!$G$5:$G$204,$V24)=$A24,"▶"&amp;IF(('02_カレンダー'!$B$5="○"),INDEX('01_予約入力'!$AA$5:$AA$204,$V24)&amp;" "," "),"")&amp;INDEX('01_予約入力'!$B$5:$B$204,$V24))&amp;IF(AND($V24&gt;0,$W24&gt;0),"  ","")&amp;IF($W24=0,"","◆ "&amp;INDEX('01_予約入力'!$B$5:$B$204,$W24)&amp;IF(('02_カレンダー'!$B$5="○")," "&amp;INDEX('01_予約入力'!$AA$5:$AA$204,$W24)&amp;"-"&amp;INDEX('01_予約入力'!$AB$5:$AB$204,$W24),"")))</f>
        <v/>
      </c>
      <c r="G24" s="36">
        <f>IF($A24="","",SUMPRODUCT(('01_予約入力'!$G$5:$G$204&lt;&gt;"")*('01_予約入力'!$N$5:$N$204&lt;&gt;"キャンセル")*('01_予約入力'!$G$5:$G$204&lt;=$A24)*('01_予約入力'!$J$5:$J$204&gt;$A24)))</f>
        <v/>
      </c>
      <c r="H24" s="36">
        <f>IF($A24="","",'M_施設設定'!$B$6-$G24)</f>
        <v/>
      </c>
      <c r="I24" s="36">
        <f>IF($A24="","",SUMPRODUCT((('01_予約入力'!$N$5:$N$204="仮予約")+('01_予約入力'!$N$5:$N$204="調整中"))*('01_予約入力'!$G$5:$G$204&lt;&gt;"")*('01_予約入力'!$G$5:$G$204&lt;=$A24)*('01_予約入力'!$J$5:$J$204&gt;$A24)))</f>
        <v/>
      </c>
      <c r="J24" s="36">
        <f>IF($A24="","",IF($I24&gt;0,"仮",IF($H24&lt;=0,"×",IF($H24&lt;'M_施設設定'!$B$6,"△","○"))))</f>
        <v/>
      </c>
      <c r="K24" s="36">
        <f>IF($A24="","",SUMPRODUCT(('01_予約入力'!$G$5:$G$204&lt;&gt;"")*('01_予約入力'!$N$5:$N$204&lt;&gt;"キャンセル")*('01_予約入力'!$G$5:$G$204=$A24)*('01_予約入力'!$J$5:$J$204=$A24)))</f>
        <v/>
      </c>
      <c r="L24" s="36">
        <f>IF(OR($A24="",C$6=""),0,SUMPRODUCT(MAX(('01_予約入力'!$D$5:$D$204=C$6)*('01_予約入力'!$N$5:$N$204&lt;&gt;"キャンセル")*('01_予約入力'!$G$5:$G$204&lt;&gt;"")*('01_予約入力'!$J$5:$J$204=$A24)*('01_予約入力'!$G$5:$G$204&lt;$A24)*(ROW('01_予約入力'!$G$5:$G$204)-4))))</f>
        <v/>
      </c>
      <c r="M24" s="36">
        <f>IF(OR($A24="",C$6=""),0,SUMPRODUCT(MAX(('01_予約入力'!$D$5:$D$204=C$6)*('01_予約入力'!$N$5:$N$204&lt;&gt;"キャンセル")*('01_予約入力'!$G$5:$G$204&lt;&gt;"")*('01_予約入力'!$G$5:$G$204&lt;=$A24)*('01_予約入力'!$J$5:$J$204&gt;$A24)*(ROW('01_予約入力'!$G$5:$G$204)-4))))</f>
        <v/>
      </c>
      <c r="N24" s="36">
        <f>IF(OR($A24="",C$6=""),0,SUMPRODUCT(MAX(('01_予約入力'!$D$5:$D$204=C$6)*('01_予約入力'!$N$5:$N$204&lt;&gt;"キャンセル")*('01_予約入力'!$G$5:$G$204&lt;&gt;"")*('01_予約入力'!$G$5:$G$204=$A24)*('01_予約入力'!$J$5:$J$204=$A24)*(ROW('01_予約入力'!$G$5:$G$204)-4))))</f>
        <v/>
      </c>
      <c r="O24" s="36">
        <f>IF(OR($A24="",D$6=""),0,SUMPRODUCT(MAX(('01_予約入力'!$D$5:$D$204=D$6)*('01_予約入力'!$N$5:$N$204&lt;&gt;"キャンセル")*('01_予約入力'!$G$5:$G$204&lt;&gt;"")*('01_予約入力'!$J$5:$J$204=$A24)*('01_予約入力'!$G$5:$G$204&lt;$A24)*(ROW('01_予約入力'!$G$5:$G$204)-4))))</f>
        <v/>
      </c>
      <c r="P24" s="36">
        <f>IF(OR($A24="",D$6=""),0,SUMPRODUCT(MAX(('01_予約入力'!$D$5:$D$204=D$6)*('01_予約入力'!$N$5:$N$204&lt;&gt;"キャンセル")*('01_予約入力'!$G$5:$G$204&lt;&gt;"")*('01_予約入力'!$G$5:$G$204&lt;=$A24)*('01_予約入力'!$J$5:$J$204&gt;$A24)*(ROW('01_予約入力'!$G$5:$G$204)-4))))</f>
        <v/>
      </c>
      <c r="Q24" s="36">
        <f>IF(OR($A24="",D$6=""),0,SUMPRODUCT(MAX(('01_予約入力'!$D$5:$D$204=D$6)*('01_予約入力'!$N$5:$N$204&lt;&gt;"キャンセル")*('01_予約入力'!$G$5:$G$204&lt;&gt;"")*('01_予約入力'!$G$5:$G$204=$A24)*('01_予約入力'!$J$5:$J$204=$A24)*(ROW('01_予約入力'!$G$5:$G$204)-4))))</f>
        <v/>
      </c>
      <c r="R24" s="36">
        <f>IF(OR($A24="",E$6=""),0,SUMPRODUCT(MAX(('01_予約入力'!$D$5:$D$204=E$6)*('01_予約入力'!$N$5:$N$204&lt;&gt;"キャンセル")*('01_予約入力'!$G$5:$G$204&lt;&gt;"")*('01_予約入力'!$J$5:$J$204=$A24)*('01_予約入力'!$G$5:$G$204&lt;$A24)*(ROW('01_予約入力'!$G$5:$G$204)-4))))</f>
        <v/>
      </c>
      <c r="S24" s="36">
        <f>IF(OR($A24="",E$6=""),0,SUMPRODUCT(MAX(('01_予約入力'!$D$5:$D$204=E$6)*('01_予約入力'!$N$5:$N$204&lt;&gt;"キャンセル")*('01_予約入力'!$G$5:$G$204&lt;&gt;"")*('01_予約入力'!$G$5:$G$204&lt;=$A24)*('01_予約入力'!$J$5:$J$204&gt;$A24)*(ROW('01_予約入力'!$G$5:$G$204)-4))))</f>
        <v/>
      </c>
      <c r="T24" s="36">
        <f>IF(OR($A24="",E$6=""),0,SUMPRODUCT(MAX(('01_予約入力'!$D$5:$D$204=E$6)*('01_予約入力'!$N$5:$N$204&lt;&gt;"キャンセル")*('01_予約入力'!$G$5:$G$204&lt;&gt;"")*('01_予約入力'!$G$5:$G$204=$A24)*('01_予約入力'!$J$5:$J$204=$A24)*(ROW('01_予約入力'!$G$5:$G$204)-4))))</f>
        <v/>
      </c>
      <c r="U24" s="36">
        <f>IF(OR($A24="",F$6=""),0,SUMPRODUCT(MAX(('01_予約入力'!$D$5:$D$204=F$6)*('01_予約入力'!$N$5:$N$204&lt;&gt;"キャンセル")*('01_予約入力'!$G$5:$G$204&lt;&gt;"")*('01_予約入力'!$J$5:$J$204=$A24)*('01_予約入力'!$G$5:$G$204&lt;$A24)*(ROW('01_予約入力'!$G$5:$G$204)-4))))</f>
        <v/>
      </c>
      <c r="V24" s="36">
        <f>IF(OR($A24="",F$6=""),0,SUMPRODUCT(MAX(('01_予約入力'!$D$5:$D$204=F$6)*('01_予約入力'!$N$5:$N$204&lt;&gt;"キャンセル")*('01_予約入力'!$G$5:$G$204&lt;&gt;"")*('01_予約入力'!$G$5:$G$204&lt;=$A24)*('01_予約入力'!$J$5:$J$204&gt;$A24)*(ROW('01_予約入力'!$G$5:$G$204)-4))))</f>
        <v/>
      </c>
      <c r="W24" s="36">
        <f>IF(OR($A24="",F$6=""),0,SUMPRODUCT(MAX(('01_予約入力'!$D$5:$D$204=F$6)*('01_予約入力'!$N$5:$N$204&lt;&gt;"キャンセル")*('01_予約入力'!$G$5:$G$204&lt;&gt;"")*('01_予約入力'!$G$5:$G$204=$A24)*('01_予約入力'!$J$5:$J$204=$A24)*(ROW('01_予約入力'!$G$5:$G$204)-4))))</f>
        <v/>
      </c>
      <c r="X24" s="36">
        <f>IF($A24="","",IF($M24&gt;0,IF(OR(INDEX('01_予約入力'!$N$5:$N$204,$M24)="仮予約",INDEX('01_予約入力'!$N$5:$N$204,$M24)="調整中"),"仮",INDEX('01_予約入力'!$C$5:$C$204,$M24)),IF($N24&gt;0,IF(OR(INDEX('01_予約入力'!$N$5:$N$204,$N24)="仮予約",INDEX('01_予約入力'!$N$5:$N$204,$N24)="調整中"),"仮",INDEX('01_予約入力'!$C$5:$C$204,$N24)),IF($L24&gt;0,IF(OR(INDEX('01_予約入力'!$N$5:$N$204,$L24)="仮予約",INDEX('01_予約入力'!$N$5:$N$204,$L24)="調整中"),"仮",INDEX('01_予約入力'!$C$5:$C$204,$L24)),""))))</f>
        <v/>
      </c>
      <c r="Y24" s="36">
        <f>IF($A24="","",IF($P24&gt;0,IF(OR(INDEX('01_予約入力'!$N$5:$N$204,$P24)="仮予約",INDEX('01_予約入力'!$N$5:$N$204,$P24)="調整中"),"仮",INDEX('01_予約入力'!$C$5:$C$204,$P24)),IF($Q24&gt;0,IF(OR(INDEX('01_予約入力'!$N$5:$N$204,$Q24)="仮予約",INDEX('01_予約入力'!$N$5:$N$204,$Q24)="調整中"),"仮",INDEX('01_予約入力'!$C$5:$C$204,$Q24)),IF($O24&gt;0,IF(OR(INDEX('01_予約入力'!$N$5:$N$204,$O24)="仮予約",INDEX('01_予約入力'!$N$5:$N$204,$O24)="調整中"),"仮",INDEX('01_予約入力'!$C$5:$C$204,$O24)),""))))</f>
        <v/>
      </c>
      <c r="Z24" s="36">
        <f>IF($A24="","",IF($S24&gt;0,IF(OR(INDEX('01_予約入力'!$N$5:$N$204,$S24)="仮予約",INDEX('01_予約入力'!$N$5:$N$204,$S24)="調整中"),"仮",INDEX('01_予約入力'!$C$5:$C$204,$S24)),IF($T24&gt;0,IF(OR(INDEX('01_予約入力'!$N$5:$N$204,$T24)="仮予約",INDEX('01_予約入力'!$N$5:$N$204,$T24)="調整中"),"仮",INDEX('01_予約入力'!$C$5:$C$204,$T24)),IF($R24&gt;0,IF(OR(INDEX('01_予約入力'!$N$5:$N$204,$R24)="仮予約",INDEX('01_予約入力'!$N$5:$N$204,$R24)="調整中"),"仮",INDEX('01_予約入力'!$C$5:$C$204,$R24)),""))))</f>
        <v/>
      </c>
      <c r="AA24" s="36">
        <f>IF($A24="","",IF($V24&gt;0,IF(OR(INDEX('01_予約入力'!$N$5:$N$204,$V24)="仮予約",INDEX('01_予約入力'!$N$5:$N$204,$V24)="調整中"),"仮",INDEX('01_予約入力'!$C$5:$C$204,$V24)),IF($W24&gt;0,IF(OR(INDEX('01_予約入力'!$N$5:$N$204,$W24)="仮予約",INDEX('01_予約入力'!$N$5:$N$204,$W24)="調整中"),"仮",INDEX('01_予約入力'!$C$5:$C$204,$W24)),IF($U24&gt;0,IF(OR(INDEX('01_予約入力'!$N$5:$N$204,$U24)="仮予約",INDEX('01_予約入力'!$N$5:$N$204,$U24)="調整中"),"仮",INDEX('01_予約入力'!$C$5:$C$204,$U24)),""))))</f>
        <v/>
      </c>
    </row>
    <row r="25">
      <c r="A25" s="41">
        <f>IF(MONTH('02_カレンダー'!$B$4+18)&lt;&gt;MONTH('02_カレンダー'!$B$4),"",'02_カレンダー'!$B$4+18)</f>
        <v/>
      </c>
      <c r="B25" s="36">
        <f>IF($A25="","",MID("日月火水木金土",WEEKDAY($A25),1))</f>
        <v/>
      </c>
      <c r="C25" s="42">
        <f>IF(OR($A25="",C$6=""),"",IF($L25=0,"",INDEX('01_予約入力'!$B$5:$B$204,$L25)&amp;" ◀"&amp;IF(('02_カレンダー'!$B$5="○"),INDEX('01_予約入力'!$AB$5:$AB$204,$L25),""))&amp;IF(AND($L25&gt;0,OR($M25&gt;0,$N25&gt;0)),"  ","")&amp;IF($M25=0,"",IF(INDEX('01_予約入力'!$G$5:$G$204,$M25)=$A25,"▶"&amp;IF(('02_カレンダー'!$B$5="○"),INDEX('01_予約入力'!$AA$5:$AA$204,$M25)&amp;" "," "),"")&amp;INDEX('01_予約入力'!$B$5:$B$204,$M25))&amp;IF(AND($M25&gt;0,$N25&gt;0),"  ","")&amp;IF($N25=0,"","◆ "&amp;INDEX('01_予約入力'!$B$5:$B$204,$N25)&amp;IF(('02_カレンダー'!$B$5="○")," "&amp;INDEX('01_予約入力'!$AA$5:$AA$204,$N25)&amp;"-"&amp;INDEX('01_予約入力'!$AB$5:$AB$204,$N25),"")))</f>
        <v/>
      </c>
      <c r="D25" s="42">
        <f>IF(OR($A25="",D$6=""),"",IF($O25=0,"",INDEX('01_予約入力'!$B$5:$B$204,$O25)&amp;" ◀"&amp;IF(('02_カレンダー'!$B$5="○"),INDEX('01_予約入力'!$AB$5:$AB$204,$O25),""))&amp;IF(AND($O25&gt;0,OR($P25&gt;0,$Q25&gt;0)),"  ","")&amp;IF($P25=0,"",IF(INDEX('01_予約入力'!$G$5:$G$204,$P25)=$A25,"▶"&amp;IF(('02_カレンダー'!$B$5="○"),INDEX('01_予約入力'!$AA$5:$AA$204,$P25)&amp;" "," "),"")&amp;INDEX('01_予約入力'!$B$5:$B$204,$P25))&amp;IF(AND($P25&gt;0,$Q25&gt;0),"  ","")&amp;IF($Q25=0,"","◆ "&amp;INDEX('01_予約入力'!$B$5:$B$204,$Q25)&amp;IF(('02_カレンダー'!$B$5="○")," "&amp;INDEX('01_予約入力'!$AA$5:$AA$204,$Q25)&amp;"-"&amp;INDEX('01_予約入力'!$AB$5:$AB$204,$Q25),"")))</f>
        <v/>
      </c>
      <c r="E25" s="42">
        <f>IF(OR($A25="",E$6=""),"",IF($R25=0,"",INDEX('01_予約入力'!$B$5:$B$204,$R25)&amp;" ◀"&amp;IF(('02_カレンダー'!$B$5="○"),INDEX('01_予約入力'!$AB$5:$AB$204,$R25),""))&amp;IF(AND($R25&gt;0,OR($S25&gt;0,$T25&gt;0)),"  ","")&amp;IF($S25=0,"",IF(INDEX('01_予約入力'!$G$5:$G$204,$S25)=$A25,"▶"&amp;IF(('02_カレンダー'!$B$5="○"),INDEX('01_予約入力'!$AA$5:$AA$204,$S25)&amp;" "," "),"")&amp;INDEX('01_予約入力'!$B$5:$B$204,$S25))&amp;IF(AND($S25&gt;0,$T25&gt;0),"  ","")&amp;IF($T25=0,"","◆ "&amp;INDEX('01_予約入力'!$B$5:$B$204,$T25)&amp;IF(('02_カレンダー'!$B$5="○")," "&amp;INDEX('01_予約入力'!$AA$5:$AA$204,$T25)&amp;"-"&amp;INDEX('01_予約入力'!$AB$5:$AB$204,$T25),"")))</f>
        <v/>
      </c>
      <c r="F25" s="42">
        <f>IF(OR($A25="",F$6=""),"",IF($U25=0,"",INDEX('01_予約入力'!$B$5:$B$204,$U25)&amp;" ◀"&amp;IF(('02_カレンダー'!$B$5="○"),INDEX('01_予約入力'!$AB$5:$AB$204,$U25),""))&amp;IF(AND($U25&gt;0,OR($V25&gt;0,$W25&gt;0)),"  ","")&amp;IF($V25=0,"",IF(INDEX('01_予約入力'!$G$5:$G$204,$V25)=$A25,"▶"&amp;IF(('02_カレンダー'!$B$5="○"),INDEX('01_予約入力'!$AA$5:$AA$204,$V25)&amp;" "," "),"")&amp;INDEX('01_予約入力'!$B$5:$B$204,$V25))&amp;IF(AND($V25&gt;0,$W25&gt;0),"  ","")&amp;IF($W25=0,"","◆ "&amp;INDEX('01_予約入力'!$B$5:$B$204,$W25)&amp;IF(('02_カレンダー'!$B$5="○")," "&amp;INDEX('01_予約入力'!$AA$5:$AA$204,$W25)&amp;"-"&amp;INDEX('01_予約入力'!$AB$5:$AB$204,$W25),"")))</f>
        <v/>
      </c>
      <c r="G25" s="36">
        <f>IF($A25="","",SUMPRODUCT(('01_予約入力'!$G$5:$G$204&lt;&gt;"")*('01_予約入力'!$N$5:$N$204&lt;&gt;"キャンセル")*('01_予約入力'!$G$5:$G$204&lt;=$A25)*('01_予約入力'!$J$5:$J$204&gt;$A25)))</f>
        <v/>
      </c>
      <c r="H25" s="36">
        <f>IF($A25="","",'M_施設設定'!$B$6-$G25)</f>
        <v/>
      </c>
      <c r="I25" s="36">
        <f>IF($A25="","",SUMPRODUCT((('01_予約入力'!$N$5:$N$204="仮予約")+('01_予約入力'!$N$5:$N$204="調整中"))*('01_予約入力'!$G$5:$G$204&lt;&gt;"")*('01_予約入力'!$G$5:$G$204&lt;=$A25)*('01_予約入力'!$J$5:$J$204&gt;$A25)))</f>
        <v/>
      </c>
      <c r="J25" s="36">
        <f>IF($A25="","",IF($I25&gt;0,"仮",IF($H25&lt;=0,"×",IF($H25&lt;'M_施設設定'!$B$6,"△","○"))))</f>
        <v/>
      </c>
      <c r="K25" s="36">
        <f>IF($A25="","",SUMPRODUCT(('01_予約入力'!$G$5:$G$204&lt;&gt;"")*('01_予約入力'!$N$5:$N$204&lt;&gt;"キャンセル")*('01_予約入力'!$G$5:$G$204=$A25)*('01_予約入力'!$J$5:$J$204=$A25)))</f>
        <v/>
      </c>
      <c r="L25" s="36">
        <f>IF(OR($A25="",C$6=""),0,SUMPRODUCT(MAX(('01_予約入力'!$D$5:$D$204=C$6)*('01_予約入力'!$N$5:$N$204&lt;&gt;"キャンセル")*('01_予約入力'!$G$5:$G$204&lt;&gt;"")*('01_予約入力'!$J$5:$J$204=$A25)*('01_予約入力'!$G$5:$G$204&lt;$A25)*(ROW('01_予約入力'!$G$5:$G$204)-4))))</f>
        <v/>
      </c>
      <c r="M25" s="36">
        <f>IF(OR($A25="",C$6=""),0,SUMPRODUCT(MAX(('01_予約入力'!$D$5:$D$204=C$6)*('01_予約入力'!$N$5:$N$204&lt;&gt;"キャンセル")*('01_予約入力'!$G$5:$G$204&lt;&gt;"")*('01_予約入力'!$G$5:$G$204&lt;=$A25)*('01_予約入力'!$J$5:$J$204&gt;$A25)*(ROW('01_予約入力'!$G$5:$G$204)-4))))</f>
        <v/>
      </c>
      <c r="N25" s="36">
        <f>IF(OR($A25="",C$6=""),0,SUMPRODUCT(MAX(('01_予約入力'!$D$5:$D$204=C$6)*('01_予約入力'!$N$5:$N$204&lt;&gt;"キャンセル")*('01_予約入力'!$G$5:$G$204&lt;&gt;"")*('01_予約入力'!$G$5:$G$204=$A25)*('01_予約入力'!$J$5:$J$204=$A25)*(ROW('01_予約入力'!$G$5:$G$204)-4))))</f>
        <v/>
      </c>
      <c r="O25" s="36">
        <f>IF(OR($A25="",D$6=""),0,SUMPRODUCT(MAX(('01_予約入力'!$D$5:$D$204=D$6)*('01_予約入力'!$N$5:$N$204&lt;&gt;"キャンセル")*('01_予約入力'!$G$5:$G$204&lt;&gt;"")*('01_予約入力'!$J$5:$J$204=$A25)*('01_予約入力'!$G$5:$G$204&lt;$A25)*(ROW('01_予約入力'!$G$5:$G$204)-4))))</f>
        <v/>
      </c>
      <c r="P25" s="36">
        <f>IF(OR($A25="",D$6=""),0,SUMPRODUCT(MAX(('01_予約入力'!$D$5:$D$204=D$6)*('01_予約入力'!$N$5:$N$204&lt;&gt;"キャンセル")*('01_予約入力'!$G$5:$G$204&lt;&gt;"")*('01_予約入力'!$G$5:$G$204&lt;=$A25)*('01_予約入力'!$J$5:$J$204&gt;$A25)*(ROW('01_予約入力'!$G$5:$G$204)-4))))</f>
        <v/>
      </c>
      <c r="Q25" s="36">
        <f>IF(OR($A25="",D$6=""),0,SUMPRODUCT(MAX(('01_予約入力'!$D$5:$D$204=D$6)*('01_予約入力'!$N$5:$N$204&lt;&gt;"キャンセル")*('01_予約入力'!$G$5:$G$204&lt;&gt;"")*('01_予約入力'!$G$5:$G$204=$A25)*('01_予約入力'!$J$5:$J$204=$A25)*(ROW('01_予約入力'!$G$5:$G$204)-4))))</f>
        <v/>
      </c>
      <c r="R25" s="36">
        <f>IF(OR($A25="",E$6=""),0,SUMPRODUCT(MAX(('01_予約入力'!$D$5:$D$204=E$6)*('01_予約入力'!$N$5:$N$204&lt;&gt;"キャンセル")*('01_予約入力'!$G$5:$G$204&lt;&gt;"")*('01_予約入力'!$J$5:$J$204=$A25)*('01_予約入力'!$G$5:$G$204&lt;$A25)*(ROW('01_予約入力'!$G$5:$G$204)-4))))</f>
        <v/>
      </c>
      <c r="S25" s="36">
        <f>IF(OR($A25="",E$6=""),0,SUMPRODUCT(MAX(('01_予約入力'!$D$5:$D$204=E$6)*('01_予約入力'!$N$5:$N$204&lt;&gt;"キャンセル")*('01_予約入力'!$G$5:$G$204&lt;&gt;"")*('01_予約入力'!$G$5:$G$204&lt;=$A25)*('01_予約入力'!$J$5:$J$204&gt;$A25)*(ROW('01_予約入力'!$G$5:$G$204)-4))))</f>
        <v/>
      </c>
      <c r="T25" s="36">
        <f>IF(OR($A25="",E$6=""),0,SUMPRODUCT(MAX(('01_予約入力'!$D$5:$D$204=E$6)*('01_予約入力'!$N$5:$N$204&lt;&gt;"キャンセル")*('01_予約入力'!$G$5:$G$204&lt;&gt;"")*('01_予約入力'!$G$5:$G$204=$A25)*('01_予約入力'!$J$5:$J$204=$A25)*(ROW('01_予約入力'!$G$5:$G$204)-4))))</f>
        <v/>
      </c>
      <c r="U25" s="36">
        <f>IF(OR($A25="",F$6=""),0,SUMPRODUCT(MAX(('01_予約入力'!$D$5:$D$204=F$6)*('01_予約入力'!$N$5:$N$204&lt;&gt;"キャンセル")*('01_予約入力'!$G$5:$G$204&lt;&gt;"")*('01_予約入力'!$J$5:$J$204=$A25)*('01_予約入力'!$G$5:$G$204&lt;$A25)*(ROW('01_予約入力'!$G$5:$G$204)-4))))</f>
        <v/>
      </c>
      <c r="V25" s="36">
        <f>IF(OR($A25="",F$6=""),0,SUMPRODUCT(MAX(('01_予約入力'!$D$5:$D$204=F$6)*('01_予約入力'!$N$5:$N$204&lt;&gt;"キャンセル")*('01_予約入力'!$G$5:$G$204&lt;&gt;"")*('01_予約入力'!$G$5:$G$204&lt;=$A25)*('01_予約入力'!$J$5:$J$204&gt;$A25)*(ROW('01_予約入力'!$G$5:$G$204)-4))))</f>
        <v/>
      </c>
      <c r="W25" s="36">
        <f>IF(OR($A25="",F$6=""),0,SUMPRODUCT(MAX(('01_予約入力'!$D$5:$D$204=F$6)*('01_予約入力'!$N$5:$N$204&lt;&gt;"キャンセル")*('01_予約入力'!$G$5:$G$204&lt;&gt;"")*('01_予約入力'!$G$5:$G$204=$A25)*('01_予約入力'!$J$5:$J$204=$A25)*(ROW('01_予約入力'!$G$5:$G$204)-4))))</f>
        <v/>
      </c>
      <c r="X25" s="36">
        <f>IF($A25="","",IF($M25&gt;0,IF(OR(INDEX('01_予約入力'!$N$5:$N$204,$M25)="仮予約",INDEX('01_予約入力'!$N$5:$N$204,$M25)="調整中"),"仮",INDEX('01_予約入力'!$C$5:$C$204,$M25)),IF($N25&gt;0,IF(OR(INDEX('01_予約入力'!$N$5:$N$204,$N25)="仮予約",INDEX('01_予約入力'!$N$5:$N$204,$N25)="調整中"),"仮",INDEX('01_予約入力'!$C$5:$C$204,$N25)),IF($L25&gt;0,IF(OR(INDEX('01_予約入力'!$N$5:$N$204,$L25)="仮予約",INDEX('01_予約入力'!$N$5:$N$204,$L25)="調整中"),"仮",INDEX('01_予約入力'!$C$5:$C$204,$L25)),""))))</f>
        <v/>
      </c>
      <c r="Y25" s="36">
        <f>IF($A25="","",IF($P25&gt;0,IF(OR(INDEX('01_予約入力'!$N$5:$N$204,$P25)="仮予約",INDEX('01_予約入力'!$N$5:$N$204,$P25)="調整中"),"仮",INDEX('01_予約入力'!$C$5:$C$204,$P25)),IF($Q25&gt;0,IF(OR(INDEX('01_予約入力'!$N$5:$N$204,$Q25)="仮予約",INDEX('01_予約入力'!$N$5:$N$204,$Q25)="調整中"),"仮",INDEX('01_予約入力'!$C$5:$C$204,$Q25)),IF($O25&gt;0,IF(OR(INDEX('01_予約入力'!$N$5:$N$204,$O25)="仮予約",INDEX('01_予約入力'!$N$5:$N$204,$O25)="調整中"),"仮",INDEX('01_予約入力'!$C$5:$C$204,$O25)),""))))</f>
        <v/>
      </c>
      <c r="Z25" s="36">
        <f>IF($A25="","",IF($S25&gt;0,IF(OR(INDEX('01_予約入力'!$N$5:$N$204,$S25)="仮予約",INDEX('01_予約入力'!$N$5:$N$204,$S25)="調整中"),"仮",INDEX('01_予約入力'!$C$5:$C$204,$S25)),IF($T25&gt;0,IF(OR(INDEX('01_予約入力'!$N$5:$N$204,$T25)="仮予約",INDEX('01_予約入力'!$N$5:$N$204,$T25)="調整中"),"仮",INDEX('01_予約入力'!$C$5:$C$204,$T25)),IF($R25&gt;0,IF(OR(INDEX('01_予約入力'!$N$5:$N$204,$R25)="仮予約",INDEX('01_予約入力'!$N$5:$N$204,$R25)="調整中"),"仮",INDEX('01_予約入力'!$C$5:$C$204,$R25)),""))))</f>
        <v/>
      </c>
      <c r="AA25" s="36">
        <f>IF($A25="","",IF($V25&gt;0,IF(OR(INDEX('01_予約入力'!$N$5:$N$204,$V25)="仮予約",INDEX('01_予約入力'!$N$5:$N$204,$V25)="調整中"),"仮",INDEX('01_予約入力'!$C$5:$C$204,$V25)),IF($W25&gt;0,IF(OR(INDEX('01_予約入力'!$N$5:$N$204,$W25)="仮予約",INDEX('01_予約入力'!$N$5:$N$204,$W25)="調整中"),"仮",INDEX('01_予約入力'!$C$5:$C$204,$W25)),IF($U25&gt;0,IF(OR(INDEX('01_予約入力'!$N$5:$N$204,$U25)="仮予約",INDEX('01_予約入力'!$N$5:$N$204,$U25)="調整中"),"仮",INDEX('01_予約入力'!$C$5:$C$204,$U25)),""))))</f>
        <v/>
      </c>
    </row>
    <row r="26">
      <c r="A26" s="41">
        <f>IF(MONTH('02_カレンダー'!$B$4+19)&lt;&gt;MONTH('02_カレンダー'!$B$4),"",'02_カレンダー'!$B$4+19)</f>
        <v/>
      </c>
      <c r="B26" s="36">
        <f>IF($A26="","",MID("日月火水木金土",WEEKDAY($A26),1))</f>
        <v/>
      </c>
      <c r="C26" s="42">
        <f>IF(OR($A26="",C$6=""),"",IF($L26=0,"",INDEX('01_予約入力'!$B$5:$B$204,$L26)&amp;" ◀"&amp;IF(('02_カレンダー'!$B$5="○"),INDEX('01_予約入力'!$AB$5:$AB$204,$L26),""))&amp;IF(AND($L26&gt;0,OR($M26&gt;0,$N26&gt;0)),"  ","")&amp;IF($M26=0,"",IF(INDEX('01_予約入力'!$G$5:$G$204,$M26)=$A26,"▶"&amp;IF(('02_カレンダー'!$B$5="○"),INDEX('01_予約入力'!$AA$5:$AA$204,$M26)&amp;" "," "),"")&amp;INDEX('01_予約入力'!$B$5:$B$204,$M26))&amp;IF(AND($M26&gt;0,$N26&gt;0),"  ","")&amp;IF($N26=0,"","◆ "&amp;INDEX('01_予約入力'!$B$5:$B$204,$N26)&amp;IF(('02_カレンダー'!$B$5="○")," "&amp;INDEX('01_予約入力'!$AA$5:$AA$204,$N26)&amp;"-"&amp;INDEX('01_予約入力'!$AB$5:$AB$204,$N26),"")))</f>
        <v/>
      </c>
      <c r="D26" s="42">
        <f>IF(OR($A26="",D$6=""),"",IF($O26=0,"",INDEX('01_予約入力'!$B$5:$B$204,$O26)&amp;" ◀"&amp;IF(('02_カレンダー'!$B$5="○"),INDEX('01_予約入力'!$AB$5:$AB$204,$O26),""))&amp;IF(AND($O26&gt;0,OR($P26&gt;0,$Q26&gt;0)),"  ","")&amp;IF($P26=0,"",IF(INDEX('01_予約入力'!$G$5:$G$204,$P26)=$A26,"▶"&amp;IF(('02_カレンダー'!$B$5="○"),INDEX('01_予約入力'!$AA$5:$AA$204,$P26)&amp;" "," "),"")&amp;INDEX('01_予約入力'!$B$5:$B$204,$P26))&amp;IF(AND($P26&gt;0,$Q26&gt;0),"  ","")&amp;IF($Q26=0,"","◆ "&amp;INDEX('01_予約入力'!$B$5:$B$204,$Q26)&amp;IF(('02_カレンダー'!$B$5="○")," "&amp;INDEX('01_予約入力'!$AA$5:$AA$204,$Q26)&amp;"-"&amp;INDEX('01_予約入力'!$AB$5:$AB$204,$Q26),"")))</f>
        <v/>
      </c>
      <c r="E26" s="42">
        <f>IF(OR($A26="",E$6=""),"",IF($R26=0,"",INDEX('01_予約入力'!$B$5:$B$204,$R26)&amp;" ◀"&amp;IF(('02_カレンダー'!$B$5="○"),INDEX('01_予約入力'!$AB$5:$AB$204,$R26),""))&amp;IF(AND($R26&gt;0,OR($S26&gt;0,$T26&gt;0)),"  ","")&amp;IF($S26=0,"",IF(INDEX('01_予約入力'!$G$5:$G$204,$S26)=$A26,"▶"&amp;IF(('02_カレンダー'!$B$5="○"),INDEX('01_予約入力'!$AA$5:$AA$204,$S26)&amp;" "," "),"")&amp;INDEX('01_予約入力'!$B$5:$B$204,$S26))&amp;IF(AND($S26&gt;0,$T26&gt;0),"  ","")&amp;IF($T26=0,"","◆ "&amp;INDEX('01_予約入力'!$B$5:$B$204,$T26)&amp;IF(('02_カレンダー'!$B$5="○")," "&amp;INDEX('01_予約入力'!$AA$5:$AA$204,$T26)&amp;"-"&amp;INDEX('01_予約入力'!$AB$5:$AB$204,$T26),"")))</f>
        <v/>
      </c>
      <c r="F26" s="42">
        <f>IF(OR($A26="",F$6=""),"",IF($U26=0,"",INDEX('01_予約入力'!$B$5:$B$204,$U26)&amp;" ◀"&amp;IF(('02_カレンダー'!$B$5="○"),INDEX('01_予約入力'!$AB$5:$AB$204,$U26),""))&amp;IF(AND($U26&gt;0,OR($V26&gt;0,$W26&gt;0)),"  ","")&amp;IF($V26=0,"",IF(INDEX('01_予約入力'!$G$5:$G$204,$V26)=$A26,"▶"&amp;IF(('02_カレンダー'!$B$5="○"),INDEX('01_予約入力'!$AA$5:$AA$204,$V26)&amp;" "," "),"")&amp;INDEX('01_予約入力'!$B$5:$B$204,$V26))&amp;IF(AND($V26&gt;0,$W26&gt;0),"  ","")&amp;IF($W26=0,"","◆ "&amp;INDEX('01_予約入力'!$B$5:$B$204,$W26)&amp;IF(('02_カレンダー'!$B$5="○")," "&amp;INDEX('01_予約入力'!$AA$5:$AA$204,$W26)&amp;"-"&amp;INDEX('01_予約入力'!$AB$5:$AB$204,$W26),"")))</f>
        <v/>
      </c>
      <c r="G26" s="36">
        <f>IF($A26="","",SUMPRODUCT(('01_予約入力'!$G$5:$G$204&lt;&gt;"")*('01_予約入力'!$N$5:$N$204&lt;&gt;"キャンセル")*('01_予約入力'!$G$5:$G$204&lt;=$A26)*('01_予約入力'!$J$5:$J$204&gt;$A26)))</f>
        <v/>
      </c>
      <c r="H26" s="36">
        <f>IF($A26="","",'M_施設設定'!$B$6-$G26)</f>
        <v/>
      </c>
      <c r="I26" s="36">
        <f>IF($A26="","",SUMPRODUCT((('01_予約入力'!$N$5:$N$204="仮予約")+('01_予約入力'!$N$5:$N$204="調整中"))*('01_予約入力'!$G$5:$G$204&lt;&gt;"")*('01_予約入力'!$G$5:$G$204&lt;=$A26)*('01_予約入力'!$J$5:$J$204&gt;$A26)))</f>
        <v/>
      </c>
      <c r="J26" s="36">
        <f>IF($A26="","",IF($I26&gt;0,"仮",IF($H26&lt;=0,"×",IF($H26&lt;'M_施設設定'!$B$6,"△","○"))))</f>
        <v/>
      </c>
      <c r="K26" s="36">
        <f>IF($A26="","",SUMPRODUCT(('01_予約入力'!$G$5:$G$204&lt;&gt;"")*('01_予約入力'!$N$5:$N$204&lt;&gt;"キャンセル")*('01_予約入力'!$G$5:$G$204=$A26)*('01_予約入力'!$J$5:$J$204=$A26)))</f>
        <v/>
      </c>
      <c r="L26" s="36">
        <f>IF(OR($A26="",C$6=""),0,SUMPRODUCT(MAX(('01_予約入力'!$D$5:$D$204=C$6)*('01_予約入力'!$N$5:$N$204&lt;&gt;"キャンセル")*('01_予約入力'!$G$5:$G$204&lt;&gt;"")*('01_予約入力'!$J$5:$J$204=$A26)*('01_予約入力'!$G$5:$G$204&lt;$A26)*(ROW('01_予約入力'!$G$5:$G$204)-4))))</f>
        <v/>
      </c>
      <c r="M26" s="36">
        <f>IF(OR($A26="",C$6=""),0,SUMPRODUCT(MAX(('01_予約入力'!$D$5:$D$204=C$6)*('01_予約入力'!$N$5:$N$204&lt;&gt;"キャンセル")*('01_予約入力'!$G$5:$G$204&lt;&gt;"")*('01_予約入力'!$G$5:$G$204&lt;=$A26)*('01_予約入力'!$J$5:$J$204&gt;$A26)*(ROW('01_予約入力'!$G$5:$G$204)-4))))</f>
        <v/>
      </c>
      <c r="N26" s="36">
        <f>IF(OR($A26="",C$6=""),0,SUMPRODUCT(MAX(('01_予約入力'!$D$5:$D$204=C$6)*('01_予約入力'!$N$5:$N$204&lt;&gt;"キャンセル")*('01_予約入力'!$G$5:$G$204&lt;&gt;"")*('01_予約入力'!$G$5:$G$204=$A26)*('01_予約入力'!$J$5:$J$204=$A26)*(ROW('01_予約入力'!$G$5:$G$204)-4))))</f>
        <v/>
      </c>
      <c r="O26" s="36">
        <f>IF(OR($A26="",D$6=""),0,SUMPRODUCT(MAX(('01_予約入力'!$D$5:$D$204=D$6)*('01_予約入力'!$N$5:$N$204&lt;&gt;"キャンセル")*('01_予約入力'!$G$5:$G$204&lt;&gt;"")*('01_予約入力'!$J$5:$J$204=$A26)*('01_予約入力'!$G$5:$G$204&lt;$A26)*(ROW('01_予約入力'!$G$5:$G$204)-4))))</f>
        <v/>
      </c>
      <c r="P26" s="36">
        <f>IF(OR($A26="",D$6=""),0,SUMPRODUCT(MAX(('01_予約入力'!$D$5:$D$204=D$6)*('01_予約入力'!$N$5:$N$204&lt;&gt;"キャンセル")*('01_予約入力'!$G$5:$G$204&lt;&gt;"")*('01_予約入力'!$G$5:$G$204&lt;=$A26)*('01_予約入力'!$J$5:$J$204&gt;$A26)*(ROW('01_予約入力'!$G$5:$G$204)-4))))</f>
        <v/>
      </c>
      <c r="Q26" s="36">
        <f>IF(OR($A26="",D$6=""),0,SUMPRODUCT(MAX(('01_予約入力'!$D$5:$D$204=D$6)*('01_予約入力'!$N$5:$N$204&lt;&gt;"キャンセル")*('01_予約入力'!$G$5:$G$204&lt;&gt;"")*('01_予約入力'!$G$5:$G$204=$A26)*('01_予約入力'!$J$5:$J$204=$A26)*(ROW('01_予約入力'!$G$5:$G$204)-4))))</f>
        <v/>
      </c>
      <c r="R26" s="36">
        <f>IF(OR($A26="",E$6=""),0,SUMPRODUCT(MAX(('01_予約入力'!$D$5:$D$204=E$6)*('01_予約入力'!$N$5:$N$204&lt;&gt;"キャンセル")*('01_予約入力'!$G$5:$G$204&lt;&gt;"")*('01_予約入力'!$J$5:$J$204=$A26)*('01_予約入力'!$G$5:$G$204&lt;$A26)*(ROW('01_予約入力'!$G$5:$G$204)-4))))</f>
        <v/>
      </c>
      <c r="S26" s="36">
        <f>IF(OR($A26="",E$6=""),0,SUMPRODUCT(MAX(('01_予約入力'!$D$5:$D$204=E$6)*('01_予約入力'!$N$5:$N$204&lt;&gt;"キャンセル")*('01_予約入力'!$G$5:$G$204&lt;&gt;"")*('01_予約入力'!$G$5:$G$204&lt;=$A26)*('01_予約入力'!$J$5:$J$204&gt;$A26)*(ROW('01_予約入力'!$G$5:$G$204)-4))))</f>
        <v/>
      </c>
      <c r="T26" s="36">
        <f>IF(OR($A26="",E$6=""),0,SUMPRODUCT(MAX(('01_予約入力'!$D$5:$D$204=E$6)*('01_予約入力'!$N$5:$N$204&lt;&gt;"キャンセル")*('01_予約入力'!$G$5:$G$204&lt;&gt;"")*('01_予約入力'!$G$5:$G$204=$A26)*('01_予約入力'!$J$5:$J$204=$A26)*(ROW('01_予約入力'!$G$5:$G$204)-4))))</f>
        <v/>
      </c>
      <c r="U26" s="36">
        <f>IF(OR($A26="",F$6=""),0,SUMPRODUCT(MAX(('01_予約入力'!$D$5:$D$204=F$6)*('01_予約入力'!$N$5:$N$204&lt;&gt;"キャンセル")*('01_予約入力'!$G$5:$G$204&lt;&gt;"")*('01_予約入力'!$J$5:$J$204=$A26)*('01_予約入力'!$G$5:$G$204&lt;$A26)*(ROW('01_予約入力'!$G$5:$G$204)-4))))</f>
        <v/>
      </c>
      <c r="V26" s="36">
        <f>IF(OR($A26="",F$6=""),0,SUMPRODUCT(MAX(('01_予約入力'!$D$5:$D$204=F$6)*('01_予約入力'!$N$5:$N$204&lt;&gt;"キャンセル")*('01_予約入力'!$G$5:$G$204&lt;&gt;"")*('01_予約入力'!$G$5:$G$204&lt;=$A26)*('01_予約入力'!$J$5:$J$204&gt;$A26)*(ROW('01_予約入力'!$G$5:$G$204)-4))))</f>
        <v/>
      </c>
      <c r="W26" s="36">
        <f>IF(OR($A26="",F$6=""),0,SUMPRODUCT(MAX(('01_予約入力'!$D$5:$D$204=F$6)*('01_予約入力'!$N$5:$N$204&lt;&gt;"キャンセル")*('01_予約入力'!$G$5:$G$204&lt;&gt;"")*('01_予約入力'!$G$5:$G$204=$A26)*('01_予約入力'!$J$5:$J$204=$A26)*(ROW('01_予約入力'!$G$5:$G$204)-4))))</f>
        <v/>
      </c>
      <c r="X26" s="36">
        <f>IF($A26="","",IF($M26&gt;0,IF(OR(INDEX('01_予約入力'!$N$5:$N$204,$M26)="仮予約",INDEX('01_予約入力'!$N$5:$N$204,$M26)="調整中"),"仮",INDEX('01_予約入力'!$C$5:$C$204,$M26)),IF($N26&gt;0,IF(OR(INDEX('01_予約入力'!$N$5:$N$204,$N26)="仮予約",INDEX('01_予約入力'!$N$5:$N$204,$N26)="調整中"),"仮",INDEX('01_予約入力'!$C$5:$C$204,$N26)),IF($L26&gt;0,IF(OR(INDEX('01_予約入力'!$N$5:$N$204,$L26)="仮予約",INDEX('01_予約入力'!$N$5:$N$204,$L26)="調整中"),"仮",INDEX('01_予約入力'!$C$5:$C$204,$L26)),""))))</f>
        <v/>
      </c>
      <c r="Y26" s="36">
        <f>IF($A26="","",IF($P26&gt;0,IF(OR(INDEX('01_予約入力'!$N$5:$N$204,$P26)="仮予約",INDEX('01_予約入力'!$N$5:$N$204,$P26)="調整中"),"仮",INDEX('01_予約入力'!$C$5:$C$204,$P26)),IF($Q26&gt;0,IF(OR(INDEX('01_予約入力'!$N$5:$N$204,$Q26)="仮予約",INDEX('01_予約入力'!$N$5:$N$204,$Q26)="調整中"),"仮",INDEX('01_予約入力'!$C$5:$C$204,$Q26)),IF($O26&gt;0,IF(OR(INDEX('01_予約入力'!$N$5:$N$204,$O26)="仮予約",INDEX('01_予約入力'!$N$5:$N$204,$O26)="調整中"),"仮",INDEX('01_予約入力'!$C$5:$C$204,$O26)),""))))</f>
        <v/>
      </c>
      <c r="Z26" s="36">
        <f>IF($A26="","",IF($S26&gt;0,IF(OR(INDEX('01_予約入力'!$N$5:$N$204,$S26)="仮予約",INDEX('01_予約入力'!$N$5:$N$204,$S26)="調整中"),"仮",INDEX('01_予約入力'!$C$5:$C$204,$S26)),IF($T26&gt;0,IF(OR(INDEX('01_予約入力'!$N$5:$N$204,$T26)="仮予約",INDEX('01_予約入力'!$N$5:$N$204,$T26)="調整中"),"仮",INDEX('01_予約入力'!$C$5:$C$204,$T26)),IF($R26&gt;0,IF(OR(INDEX('01_予約入力'!$N$5:$N$204,$R26)="仮予約",INDEX('01_予約入力'!$N$5:$N$204,$R26)="調整中"),"仮",INDEX('01_予約入力'!$C$5:$C$204,$R26)),""))))</f>
        <v/>
      </c>
      <c r="AA26" s="36">
        <f>IF($A26="","",IF($V26&gt;0,IF(OR(INDEX('01_予約入力'!$N$5:$N$204,$V26)="仮予約",INDEX('01_予約入力'!$N$5:$N$204,$V26)="調整中"),"仮",INDEX('01_予約入力'!$C$5:$C$204,$V26)),IF($W26&gt;0,IF(OR(INDEX('01_予約入力'!$N$5:$N$204,$W26)="仮予約",INDEX('01_予約入力'!$N$5:$N$204,$W26)="調整中"),"仮",INDEX('01_予約入力'!$C$5:$C$204,$W26)),IF($U26&gt;0,IF(OR(INDEX('01_予約入力'!$N$5:$N$204,$U26)="仮予約",INDEX('01_予約入力'!$N$5:$N$204,$U26)="調整中"),"仮",INDEX('01_予約入力'!$C$5:$C$204,$U26)),""))))</f>
        <v/>
      </c>
    </row>
    <row r="27">
      <c r="A27" s="41">
        <f>IF(MONTH('02_カレンダー'!$B$4+20)&lt;&gt;MONTH('02_カレンダー'!$B$4),"",'02_カレンダー'!$B$4+20)</f>
        <v/>
      </c>
      <c r="B27" s="36">
        <f>IF($A27="","",MID("日月火水木金土",WEEKDAY($A27),1))</f>
        <v/>
      </c>
      <c r="C27" s="42">
        <f>IF(OR($A27="",C$6=""),"",IF($L27=0,"",INDEX('01_予約入力'!$B$5:$B$204,$L27)&amp;" ◀"&amp;IF(('02_カレンダー'!$B$5="○"),INDEX('01_予約入力'!$AB$5:$AB$204,$L27),""))&amp;IF(AND($L27&gt;0,OR($M27&gt;0,$N27&gt;0)),"  ","")&amp;IF($M27=0,"",IF(INDEX('01_予約入力'!$G$5:$G$204,$M27)=$A27,"▶"&amp;IF(('02_カレンダー'!$B$5="○"),INDEX('01_予約入力'!$AA$5:$AA$204,$M27)&amp;" "," "),"")&amp;INDEX('01_予約入力'!$B$5:$B$204,$M27))&amp;IF(AND($M27&gt;0,$N27&gt;0),"  ","")&amp;IF($N27=0,"","◆ "&amp;INDEX('01_予約入力'!$B$5:$B$204,$N27)&amp;IF(('02_カレンダー'!$B$5="○")," "&amp;INDEX('01_予約入力'!$AA$5:$AA$204,$N27)&amp;"-"&amp;INDEX('01_予約入力'!$AB$5:$AB$204,$N27),"")))</f>
        <v/>
      </c>
      <c r="D27" s="42">
        <f>IF(OR($A27="",D$6=""),"",IF($O27=0,"",INDEX('01_予約入力'!$B$5:$B$204,$O27)&amp;" ◀"&amp;IF(('02_カレンダー'!$B$5="○"),INDEX('01_予約入力'!$AB$5:$AB$204,$O27),""))&amp;IF(AND($O27&gt;0,OR($P27&gt;0,$Q27&gt;0)),"  ","")&amp;IF($P27=0,"",IF(INDEX('01_予約入力'!$G$5:$G$204,$P27)=$A27,"▶"&amp;IF(('02_カレンダー'!$B$5="○"),INDEX('01_予約入力'!$AA$5:$AA$204,$P27)&amp;" "," "),"")&amp;INDEX('01_予約入力'!$B$5:$B$204,$P27))&amp;IF(AND($P27&gt;0,$Q27&gt;0),"  ","")&amp;IF($Q27=0,"","◆ "&amp;INDEX('01_予約入力'!$B$5:$B$204,$Q27)&amp;IF(('02_カレンダー'!$B$5="○")," "&amp;INDEX('01_予約入力'!$AA$5:$AA$204,$Q27)&amp;"-"&amp;INDEX('01_予約入力'!$AB$5:$AB$204,$Q27),"")))</f>
        <v/>
      </c>
      <c r="E27" s="42">
        <f>IF(OR($A27="",E$6=""),"",IF($R27=0,"",INDEX('01_予約入力'!$B$5:$B$204,$R27)&amp;" ◀"&amp;IF(('02_カレンダー'!$B$5="○"),INDEX('01_予約入力'!$AB$5:$AB$204,$R27),""))&amp;IF(AND($R27&gt;0,OR($S27&gt;0,$T27&gt;0)),"  ","")&amp;IF($S27=0,"",IF(INDEX('01_予約入力'!$G$5:$G$204,$S27)=$A27,"▶"&amp;IF(('02_カレンダー'!$B$5="○"),INDEX('01_予約入力'!$AA$5:$AA$204,$S27)&amp;" "," "),"")&amp;INDEX('01_予約入力'!$B$5:$B$204,$S27))&amp;IF(AND($S27&gt;0,$T27&gt;0),"  ","")&amp;IF($T27=0,"","◆ "&amp;INDEX('01_予約入力'!$B$5:$B$204,$T27)&amp;IF(('02_カレンダー'!$B$5="○")," "&amp;INDEX('01_予約入力'!$AA$5:$AA$204,$T27)&amp;"-"&amp;INDEX('01_予約入力'!$AB$5:$AB$204,$T27),"")))</f>
        <v/>
      </c>
      <c r="F27" s="42">
        <f>IF(OR($A27="",F$6=""),"",IF($U27=0,"",INDEX('01_予約入力'!$B$5:$B$204,$U27)&amp;" ◀"&amp;IF(('02_カレンダー'!$B$5="○"),INDEX('01_予約入力'!$AB$5:$AB$204,$U27),""))&amp;IF(AND($U27&gt;0,OR($V27&gt;0,$W27&gt;0)),"  ","")&amp;IF($V27=0,"",IF(INDEX('01_予約入力'!$G$5:$G$204,$V27)=$A27,"▶"&amp;IF(('02_カレンダー'!$B$5="○"),INDEX('01_予約入力'!$AA$5:$AA$204,$V27)&amp;" "," "),"")&amp;INDEX('01_予約入力'!$B$5:$B$204,$V27))&amp;IF(AND($V27&gt;0,$W27&gt;0),"  ","")&amp;IF($W27=0,"","◆ "&amp;INDEX('01_予約入力'!$B$5:$B$204,$W27)&amp;IF(('02_カレンダー'!$B$5="○")," "&amp;INDEX('01_予約入力'!$AA$5:$AA$204,$W27)&amp;"-"&amp;INDEX('01_予約入力'!$AB$5:$AB$204,$W27),"")))</f>
        <v/>
      </c>
      <c r="G27" s="36">
        <f>IF($A27="","",SUMPRODUCT(('01_予約入力'!$G$5:$G$204&lt;&gt;"")*('01_予約入力'!$N$5:$N$204&lt;&gt;"キャンセル")*('01_予約入力'!$G$5:$G$204&lt;=$A27)*('01_予約入力'!$J$5:$J$204&gt;$A27)))</f>
        <v/>
      </c>
      <c r="H27" s="36">
        <f>IF($A27="","",'M_施設設定'!$B$6-$G27)</f>
        <v/>
      </c>
      <c r="I27" s="36">
        <f>IF($A27="","",SUMPRODUCT((('01_予約入力'!$N$5:$N$204="仮予約")+('01_予約入力'!$N$5:$N$204="調整中"))*('01_予約入力'!$G$5:$G$204&lt;&gt;"")*('01_予約入力'!$G$5:$G$204&lt;=$A27)*('01_予約入力'!$J$5:$J$204&gt;$A27)))</f>
        <v/>
      </c>
      <c r="J27" s="36">
        <f>IF($A27="","",IF($I27&gt;0,"仮",IF($H27&lt;=0,"×",IF($H27&lt;'M_施設設定'!$B$6,"△","○"))))</f>
        <v/>
      </c>
      <c r="K27" s="36">
        <f>IF($A27="","",SUMPRODUCT(('01_予約入力'!$G$5:$G$204&lt;&gt;"")*('01_予約入力'!$N$5:$N$204&lt;&gt;"キャンセル")*('01_予約入力'!$G$5:$G$204=$A27)*('01_予約入力'!$J$5:$J$204=$A27)))</f>
        <v/>
      </c>
      <c r="L27" s="36">
        <f>IF(OR($A27="",C$6=""),0,SUMPRODUCT(MAX(('01_予約入力'!$D$5:$D$204=C$6)*('01_予約入力'!$N$5:$N$204&lt;&gt;"キャンセル")*('01_予約入力'!$G$5:$G$204&lt;&gt;"")*('01_予約入力'!$J$5:$J$204=$A27)*('01_予約入力'!$G$5:$G$204&lt;$A27)*(ROW('01_予約入力'!$G$5:$G$204)-4))))</f>
        <v/>
      </c>
      <c r="M27" s="36">
        <f>IF(OR($A27="",C$6=""),0,SUMPRODUCT(MAX(('01_予約入力'!$D$5:$D$204=C$6)*('01_予約入力'!$N$5:$N$204&lt;&gt;"キャンセル")*('01_予約入力'!$G$5:$G$204&lt;&gt;"")*('01_予約入力'!$G$5:$G$204&lt;=$A27)*('01_予約入力'!$J$5:$J$204&gt;$A27)*(ROW('01_予約入力'!$G$5:$G$204)-4))))</f>
        <v/>
      </c>
      <c r="N27" s="36">
        <f>IF(OR($A27="",C$6=""),0,SUMPRODUCT(MAX(('01_予約入力'!$D$5:$D$204=C$6)*('01_予約入力'!$N$5:$N$204&lt;&gt;"キャンセル")*('01_予約入力'!$G$5:$G$204&lt;&gt;"")*('01_予約入力'!$G$5:$G$204=$A27)*('01_予約入力'!$J$5:$J$204=$A27)*(ROW('01_予約入力'!$G$5:$G$204)-4))))</f>
        <v/>
      </c>
      <c r="O27" s="36">
        <f>IF(OR($A27="",D$6=""),0,SUMPRODUCT(MAX(('01_予約入力'!$D$5:$D$204=D$6)*('01_予約入力'!$N$5:$N$204&lt;&gt;"キャンセル")*('01_予約入力'!$G$5:$G$204&lt;&gt;"")*('01_予約入力'!$J$5:$J$204=$A27)*('01_予約入力'!$G$5:$G$204&lt;$A27)*(ROW('01_予約入力'!$G$5:$G$204)-4))))</f>
        <v/>
      </c>
      <c r="P27" s="36">
        <f>IF(OR($A27="",D$6=""),0,SUMPRODUCT(MAX(('01_予約入力'!$D$5:$D$204=D$6)*('01_予約入力'!$N$5:$N$204&lt;&gt;"キャンセル")*('01_予約入力'!$G$5:$G$204&lt;&gt;"")*('01_予約入力'!$G$5:$G$204&lt;=$A27)*('01_予約入力'!$J$5:$J$204&gt;$A27)*(ROW('01_予約入力'!$G$5:$G$204)-4))))</f>
        <v/>
      </c>
      <c r="Q27" s="36">
        <f>IF(OR($A27="",D$6=""),0,SUMPRODUCT(MAX(('01_予約入力'!$D$5:$D$204=D$6)*('01_予約入力'!$N$5:$N$204&lt;&gt;"キャンセル")*('01_予約入力'!$G$5:$G$204&lt;&gt;"")*('01_予約入力'!$G$5:$G$204=$A27)*('01_予約入力'!$J$5:$J$204=$A27)*(ROW('01_予約入力'!$G$5:$G$204)-4))))</f>
        <v/>
      </c>
      <c r="R27" s="36">
        <f>IF(OR($A27="",E$6=""),0,SUMPRODUCT(MAX(('01_予約入力'!$D$5:$D$204=E$6)*('01_予約入力'!$N$5:$N$204&lt;&gt;"キャンセル")*('01_予約入力'!$G$5:$G$204&lt;&gt;"")*('01_予約入力'!$J$5:$J$204=$A27)*('01_予約入力'!$G$5:$G$204&lt;$A27)*(ROW('01_予約入力'!$G$5:$G$204)-4))))</f>
        <v/>
      </c>
      <c r="S27" s="36">
        <f>IF(OR($A27="",E$6=""),0,SUMPRODUCT(MAX(('01_予約入力'!$D$5:$D$204=E$6)*('01_予約入力'!$N$5:$N$204&lt;&gt;"キャンセル")*('01_予約入力'!$G$5:$G$204&lt;&gt;"")*('01_予約入力'!$G$5:$G$204&lt;=$A27)*('01_予約入力'!$J$5:$J$204&gt;$A27)*(ROW('01_予約入力'!$G$5:$G$204)-4))))</f>
        <v/>
      </c>
      <c r="T27" s="36">
        <f>IF(OR($A27="",E$6=""),0,SUMPRODUCT(MAX(('01_予約入力'!$D$5:$D$204=E$6)*('01_予約入力'!$N$5:$N$204&lt;&gt;"キャンセル")*('01_予約入力'!$G$5:$G$204&lt;&gt;"")*('01_予約入力'!$G$5:$G$204=$A27)*('01_予約入力'!$J$5:$J$204=$A27)*(ROW('01_予約入力'!$G$5:$G$204)-4))))</f>
        <v/>
      </c>
      <c r="U27" s="36">
        <f>IF(OR($A27="",F$6=""),0,SUMPRODUCT(MAX(('01_予約入力'!$D$5:$D$204=F$6)*('01_予約入力'!$N$5:$N$204&lt;&gt;"キャンセル")*('01_予約入力'!$G$5:$G$204&lt;&gt;"")*('01_予約入力'!$J$5:$J$204=$A27)*('01_予約入力'!$G$5:$G$204&lt;$A27)*(ROW('01_予約入力'!$G$5:$G$204)-4))))</f>
        <v/>
      </c>
      <c r="V27" s="36">
        <f>IF(OR($A27="",F$6=""),0,SUMPRODUCT(MAX(('01_予約入力'!$D$5:$D$204=F$6)*('01_予約入力'!$N$5:$N$204&lt;&gt;"キャンセル")*('01_予約入力'!$G$5:$G$204&lt;&gt;"")*('01_予約入力'!$G$5:$G$204&lt;=$A27)*('01_予約入力'!$J$5:$J$204&gt;$A27)*(ROW('01_予約入力'!$G$5:$G$204)-4))))</f>
        <v/>
      </c>
      <c r="W27" s="36">
        <f>IF(OR($A27="",F$6=""),0,SUMPRODUCT(MAX(('01_予約入力'!$D$5:$D$204=F$6)*('01_予約入力'!$N$5:$N$204&lt;&gt;"キャンセル")*('01_予約入力'!$G$5:$G$204&lt;&gt;"")*('01_予約入力'!$G$5:$G$204=$A27)*('01_予約入力'!$J$5:$J$204=$A27)*(ROW('01_予約入力'!$G$5:$G$204)-4))))</f>
        <v/>
      </c>
      <c r="X27" s="36">
        <f>IF($A27="","",IF($M27&gt;0,IF(OR(INDEX('01_予約入力'!$N$5:$N$204,$M27)="仮予約",INDEX('01_予約入力'!$N$5:$N$204,$M27)="調整中"),"仮",INDEX('01_予約入力'!$C$5:$C$204,$M27)),IF($N27&gt;0,IF(OR(INDEX('01_予約入力'!$N$5:$N$204,$N27)="仮予約",INDEX('01_予約入力'!$N$5:$N$204,$N27)="調整中"),"仮",INDEX('01_予約入力'!$C$5:$C$204,$N27)),IF($L27&gt;0,IF(OR(INDEX('01_予約入力'!$N$5:$N$204,$L27)="仮予約",INDEX('01_予約入力'!$N$5:$N$204,$L27)="調整中"),"仮",INDEX('01_予約入力'!$C$5:$C$204,$L27)),""))))</f>
        <v/>
      </c>
      <c r="Y27" s="36">
        <f>IF($A27="","",IF($P27&gt;0,IF(OR(INDEX('01_予約入力'!$N$5:$N$204,$P27)="仮予約",INDEX('01_予約入力'!$N$5:$N$204,$P27)="調整中"),"仮",INDEX('01_予約入力'!$C$5:$C$204,$P27)),IF($Q27&gt;0,IF(OR(INDEX('01_予約入力'!$N$5:$N$204,$Q27)="仮予約",INDEX('01_予約入力'!$N$5:$N$204,$Q27)="調整中"),"仮",INDEX('01_予約入力'!$C$5:$C$204,$Q27)),IF($O27&gt;0,IF(OR(INDEX('01_予約入力'!$N$5:$N$204,$O27)="仮予約",INDEX('01_予約入力'!$N$5:$N$204,$O27)="調整中"),"仮",INDEX('01_予約入力'!$C$5:$C$204,$O27)),""))))</f>
        <v/>
      </c>
      <c r="Z27" s="36">
        <f>IF($A27="","",IF($S27&gt;0,IF(OR(INDEX('01_予約入力'!$N$5:$N$204,$S27)="仮予約",INDEX('01_予約入力'!$N$5:$N$204,$S27)="調整中"),"仮",INDEX('01_予約入力'!$C$5:$C$204,$S27)),IF($T27&gt;0,IF(OR(INDEX('01_予約入力'!$N$5:$N$204,$T27)="仮予約",INDEX('01_予約入力'!$N$5:$N$204,$T27)="調整中"),"仮",INDEX('01_予約入力'!$C$5:$C$204,$T27)),IF($R27&gt;0,IF(OR(INDEX('01_予約入力'!$N$5:$N$204,$R27)="仮予約",INDEX('01_予約入力'!$N$5:$N$204,$R27)="調整中"),"仮",INDEX('01_予約入力'!$C$5:$C$204,$R27)),""))))</f>
        <v/>
      </c>
      <c r="AA27" s="36">
        <f>IF($A27="","",IF($V27&gt;0,IF(OR(INDEX('01_予約入力'!$N$5:$N$204,$V27)="仮予約",INDEX('01_予約入力'!$N$5:$N$204,$V27)="調整中"),"仮",INDEX('01_予約入力'!$C$5:$C$204,$V27)),IF($W27&gt;0,IF(OR(INDEX('01_予約入力'!$N$5:$N$204,$W27)="仮予約",INDEX('01_予約入力'!$N$5:$N$204,$W27)="調整中"),"仮",INDEX('01_予約入力'!$C$5:$C$204,$W27)),IF($U27&gt;0,IF(OR(INDEX('01_予約入力'!$N$5:$N$204,$U27)="仮予約",INDEX('01_予約入力'!$N$5:$N$204,$U27)="調整中"),"仮",INDEX('01_予約入力'!$C$5:$C$204,$U27)),""))))</f>
        <v/>
      </c>
    </row>
    <row r="28">
      <c r="A28" s="41">
        <f>IF(MONTH('02_カレンダー'!$B$4+21)&lt;&gt;MONTH('02_カレンダー'!$B$4),"",'02_カレンダー'!$B$4+21)</f>
        <v/>
      </c>
      <c r="B28" s="36">
        <f>IF($A28="","",MID("日月火水木金土",WEEKDAY($A28),1))</f>
        <v/>
      </c>
      <c r="C28" s="42">
        <f>IF(OR($A28="",C$6=""),"",IF($L28=0,"",INDEX('01_予約入力'!$B$5:$B$204,$L28)&amp;" ◀"&amp;IF(('02_カレンダー'!$B$5="○"),INDEX('01_予約入力'!$AB$5:$AB$204,$L28),""))&amp;IF(AND($L28&gt;0,OR($M28&gt;0,$N28&gt;0)),"  ","")&amp;IF($M28=0,"",IF(INDEX('01_予約入力'!$G$5:$G$204,$M28)=$A28,"▶"&amp;IF(('02_カレンダー'!$B$5="○"),INDEX('01_予約入力'!$AA$5:$AA$204,$M28)&amp;" "," "),"")&amp;INDEX('01_予約入力'!$B$5:$B$204,$M28))&amp;IF(AND($M28&gt;0,$N28&gt;0),"  ","")&amp;IF($N28=0,"","◆ "&amp;INDEX('01_予約入力'!$B$5:$B$204,$N28)&amp;IF(('02_カレンダー'!$B$5="○")," "&amp;INDEX('01_予約入力'!$AA$5:$AA$204,$N28)&amp;"-"&amp;INDEX('01_予約入力'!$AB$5:$AB$204,$N28),"")))</f>
        <v/>
      </c>
      <c r="D28" s="42">
        <f>IF(OR($A28="",D$6=""),"",IF($O28=0,"",INDEX('01_予約入力'!$B$5:$B$204,$O28)&amp;" ◀"&amp;IF(('02_カレンダー'!$B$5="○"),INDEX('01_予約入力'!$AB$5:$AB$204,$O28),""))&amp;IF(AND($O28&gt;0,OR($P28&gt;0,$Q28&gt;0)),"  ","")&amp;IF($P28=0,"",IF(INDEX('01_予約入力'!$G$5:$G$204,$P28)=$A28,"▶"&amp;IF(('02_カレンダー'!$B$5="○"),INDEX('01_予約入力'!$AA$5:$AA$204,$P28)&amp;" "," "),"")&amp;INDEX('01_予約入力'!$B$5:$B$204,$P28))&amp;IF(AND($P28&gt;0,$Q28&gt;0),"  ","")&amp;IF($Q28=0,"","◆ "&amp;INDEX('01_予約入力'!$B$5:$B$204,$Q28)&amp;IF(('02_カレンダー'!$B$5="○")," "&amp;INDEX('01_予約入力'!$AA$5:$AA$204,$Q28)&amp;"-"&amp;INDEX('01_予約入力'!$AB$5:$AB$204,$Q28),"")))</f>
        <v/>
      </c>
      <c r="E28" s="42">
        <f>IF(OR($A28="",E$6=""),"",IF($R28=0,"",INDEX('01_予約入力'!$B$5:$B$204,$R28)&amp;" ◀"&amp;IF(('02_カレンダー'!$B$5="○"),INDEX('01_予約入力'!$AB$5:$AB$204,$R28),""))&amp;IF(AND($R28&gt;0,OR($S28&gt;0,$T28&gt;0)),"  ","")&amp;IF($S28=0,"",IF(INDEX('01_予約入力'!$G$5:$G$204,$S28)=$A28,"▶"&amp;IF(('02_カレンダー'!$B$5="○"),INDEX('01_予約入力'!$AA$5:$AA$204,$S28)&amp;" "," "),"")&amp;INDEX('01_予約入力'!$B$5:$B$204,$S28))&amp;IF(AND($S28&gt;0,$T28&gt;0),"  ","")&amp;IF($T28=0,"","◆ "&amp;INDEX('01_予約入力'!$B$5:$B$204,$T28)&amp;IF(('02_カレンダー'!$B$5="○")," "&amp;INDEX('01_予約入力'!$AA$5:$AA$204,$T28)&amp;"-"&amp;INDEX('01_予約入力'!$AB$5:$AB$204,$T28),"")))</f>
        <v/>
      </c>
      <c r="F28" s="42">
        <f>IF(OR($A28="",F$6=""),"",IF($U28=0,"",INDEX('01_予約入力'!$B$5:$B$204,$U28)&amp;" ◀"&amp;IF(('02_カレンダー'!$B$5="○"),INDEX('01_予約入力'!$AB$5:$AB$204,$U28),""))&amp;IF(AND($U28&gt;0,OR($V28&gt;0,$W28&gt;0)),"  ","")&amp;IF($V28=0,"",IF(INDEX('01_予約入力'!$G$5:$G$204,$V28)=$A28,"▶"&amp;IF(('02_カレンダー'!$B$5="○"),INDEX('01_予約入力'!$AA$5:$AA$204,$V28)&amp;" "," "),"")&amp;INDEX('01_予約入力'!$B$5:$B$204,$V28))&amp;IF(AND($V28&gt;0,$W28&gt;0),"  ","")&amp;IF($W28=0,"","◆ "&amp;INDEX('01_予約入力'!$B$5:$B$204,$W28)&amp;IF(('02_カレンダー'!$B$5="○")," "&amp;INDEX('01_予約入力'!$AA$5:$AA$204,$W28)&amp;"-"&amp;INDEX('01_予約入力'!$AB$5:$AB$204,$W28),"")))</f>
        <v/>
      </c>
      <c r="G28" s="36">
        <f>IF($A28="","",SUMPRODUCT(('01_予約入力'!$G$5:$G$204&lt;&gt;"")*('01_予約入力'!$N$5:$N$204&lt;&gt;"キャンセル")*('01_予約入力'!$G$5:$G$204&lt;=$A28)*('01_予約入力'!$J$5:$J$204&gt;$A28)))</f>
        <v/>
      </c>
      <c r="H28" s="36">
        <f>IF($A28="","",'M_施設設定'!$B$6-$G28)</f>
        <v/>
      </c>
      <c r="I28" s="36">
        <f>IF($A28="","",SUMPRODUCT((('01_予約入力'!$N$5:$N$204="仮予約")+('01_予約入力'!$N$5:$N$204="調整中"))*('01_予約入力'!$G$5:$G$204&lt;&gt;"")*('01_予約入力'!$G$5:$G$204&lt;=$A28)*('01_予約入力'!$J$5:$J$204&gt;$A28)))</f>
        <v/>
      </c>
      <c r="J28" s="36">
        <f>IF($A28="","",IF($I28&gt;0,"仮",IF($H28&lt;=0,"×",IF($H28&lt;'M_施設設定'!$B$6,"△","○"))))</f>
        <v/>
      </c>
      <c r="K28" s="36">
        <f>IF($A28="","",SUMPRODUCT(('01_予約入力'!$G$5:$G$204&lt;&gt;"")*('01_予約入力'!$N$5:$N$204&lt;&gt;"キャンセル")*('01_予約入力'!$G$5:$G$204=$A28)*('01_予約入力'!$J$5:$J$204=$A28)))</f>
        <v/>
      </c>
      <c r="L28" s="36">
        <f>IF(OR($A28="",C$6=""),0,SUMPRODUCT(MAX(('01_予約入力'!$D$5:$D$204=C$6)*('01_予約入力'!$N$5:$N$204&lt;&gt;"キャンセル")*('01_予約入力'!$G$5:$G$204&lt;&gt;"")*('01_予約入力'!$J$5:$J$204=$A28)*('01_予約入力'!$G$5:$G$204&lt;$A28)*(ROW('01_予約入力'!$G$5:$G$204)-4))))</f>
        <v/>
      </c>
      <c r="M28" s="36">
        <f>IF(OR($A28="",C$6=""),0,SUMPRODUCT(MAX(('01_予約入力'!$D$5:$D$204=C$6)*('01_予約入力'!$N$5:$N$204&lt;&gt;"キャンセル")*('01_予約入力'!$G$5:$G$204&lt;&gt;"")*('01_予約入力'!$G$5:$G$204&lt;=$A28)*('01_予約入力'!$J$5:$J$204&gt;$A28)*(ROW('01_予約入力'!$G$5:$G$204)-4))))</f>
        <v/>
      </c>
      <c r="N28" s="36">
        <f>IF(OR($A28="",C$6=""),0,SUMPRODUCT(MAX(('01_予約入力'!$D$5:$D$204=C$6)*('01_予約入力'!$N$5:$N$204&lt;&gt;"キャンセル")*('01_予約入力'!$G$5:$G$204&lt;&gt;"")*('01_予約入力'!$G$5:$G$204=$A28)*('01_予約入力'!$J$5:$J$204=$A28)*(ROW('01_予約入力'!$G$5:$G$204)-4))))</f>
        <v/>
      </c>
      <c r="O28" s="36">
        <f>IF(OR($A28="",D$6=""),0,SUMPRODUCT(MAX(('01_予約入力'!$D$5:$D$204=D$6)*('01_予約入力'!$N$5:$N$204&lt;&gt;"キャンセル")*('01_予約入力'!$G$5:$G$204&lt;&gt;"")*('01_予約入力'!$J$5:$J$204=$A28)*('01_予約入力'!$G$5:$G$204&lt;$A28)*(ROW('01_予約入力'!$G$5:$G$204)-4))))</f>
        <v/>
      </c>
      <c r="P28" s="36">
        <f>IF(OR($A28="",D$6=""),0,SUMPRODUCT(MAX(('01_予約入力'!$D$5:$D$204=D$6)*('01_予約入力'!$N$5:$N$204&lt;&gt;"キャンセル")*('01_予約入力'!$G$5:$G$204&lt;&gt;"")*('01_予約入力'!$G$5:$G$204&lt;=$A28)*('01_予約入力'!$J$5:$J$204&gt;$A28)*(ROW('01_予約入力'!$G$5:$G$204)-4))))</f>
        <v/>
      </c>
      <c r="Q28" s="36">
        <f>IF(OR($A28="",D$6=""),0,SUMPRODUCT(MAX(('01_予約入力'!$D$5:$D$204=D$6)*('01_予約入力'!$N$5:$N$204&lt;&gt;"キャンセル")*('01_予約入力'!$G$5:$G$204&lt;&gt;"")*('01_予約入力'!$G$5:$G$204=$A28)*('01_予約入力'!$J$5:$J$204=$A28)*(ROW('01_予約入力'!$G$5:$G$204)-4))))</f>
        <v/>
      </c>
      <c r="R28" s="36">
        <f>IF(OR($A28="",E$6=""),0,SUMPRODUCT(MAX(('01_予約入力'!$D$5:$D$204=E$6)*('01_予約入力'!$N$5:$N$204&lt;&gt;"キャンセル")*('01_予約入力'!$G$5:$G$204&lt;&gt;"")*('01_予約入力'!$J$5:$J$204=$A28)*('01_予約入力'!$G$5:$G$204&lt;$A28)*(ROW('01_予約入力'!$G$5:$G$204)-4))))</f>
        <v/>
      </c>
      <c r="S28" s="36">
        <f>IF(OR($A28="",E$6=""),0,SUMPRODUCT(MAX(('01_予約入力'!$D$5:$D$204=E$6)*('01_予約入力'!$N$5:$N$204&lt;&gt;"キャンセル")*('01_予約入力'!$G$5:$G$204&lt;&gt;"")*('01_予約入力'!$G$5:$G$204&lt;=$A28)*('01_予約入力'!$J$5:$J$204&gt;$A28)*(ROW('01_予約入力'!$G$5:$G$204)-4))))</f>
        <v/>
      </c>
      <c r="T28" s="36">
        <f>IF(OR($A28="",E$6=""),0,SUMPRODUCT(MAX(('01_予約入力'!$D$5:$D$204=E$6)*('01_予約入力'!$N$5:$N$204&lt;&gt;"キャンセル")*('01_予約入力'!$G$5:$G$204&lt;&gt;"")*('01_予約入力'!$G$5:$G$204=$A28)*('01_予約入力'!$J$5:$J$204=$A28)*(ROW('01_予約入力'!$G$5:$G$204)-4))))</f>
        <v/>
      </c>
      <c r="U28" s="36">
        <f>IF(OR($A28="",F$6=""),0,SUMPRODUCT(MAX(('01_予約入力'!$D$5:$D$204=F$6)*('01_予約入力'!$N$5:$N$204&lt;&gt;"キャンセル")*('01_予約入力'!$G$5:$G$204&lt;&gt;"")*('01_予約入力'!$J$5:$J$204=$A28)*('01_予約入力'!$G$5:$G$204&lt;$A28)*(ROW('01_予約入力'!$G$5:$G$204)-4))))</f>
        <v/>
      </c>
      <c r="V28" s="36">
        <f>IF(OR($A28="",F$6=""),0,SUMPRODUCT(MAX(('01_予約入力'!$D$5:$D$204=F$6)*('01_予約入力'!$N$5:$N$204&lt;&gt;"キャンセル")*('01_予約入力'!$G$5:$G$204&lt;&gt;"")*('01_予約入力'!$G$5:$G$204&lt;=$A28)*('01_予約入力'!$J$5:$J$204&gt;$A28)*(ROW('01_予約入力'!$G$5:$G$204)-4))))</f>
        <v/>
      </c>
      <c r="W28" s="36">
        <f>IF(OR($A28="",F$6=""),0,SUMPRODUCT(MAX(('01_予約入力'!$D$5:$D$204=F$6)*('01_予約入力'!$N$5:$N$204&lt;&gt;"キャンセル")*('01_予約入力'!$G$5:$G$204&lt;&gt;"")*('01_予約入力'!$G$5:$G$204=$A28)*('01_予約入力'!$J$5:$J$204=$A28)*(ROW('01_予約入力'!$G$5:$G$204)-4))))</f>
        <v/>
      </c>
      <c r="X28" s="36">
        <f>IF($A28="","",IF($M28&gt;0,IF(OR(INDEX('01_予約入力'!$N$5:$N$204,$M28)="仮予約",INDEX('01_予約入力'!$N$5:$N$204,$M28)="調整中"),"仮",INDEX('01_予約入力'!$C$5:$C$204,$M28)),IF($N28&gt;0,IF(OR(INDEX('01_予約入力'!$N$5:$N$204,$N28)="仮予約",INDEX('01_予約入力'!$N$5:$N$204,$N28)="調整中"),"仮",INDEX('01_予約入力'!$C$5:$C$204,$N28)),IF($L28&gt;0,IF(OR(INDEX('01_予約入力'!$N$5:$N$204,$L28)="仮予約",INDEX('01_予約入力'!$N$5:$N$204,$L28)="調整中"),"仮",INDEX('01_予約入力'!$C$5:$C$204,$L28)),""))))</f>
        <v/>
      </c>
      <c r="Y28" s="36">
        <f>IF($A28="","",IF($P28&gt;0,IF(OR(INDEX('01_予約入力'!$N$5:$N$204,$P28)="仮予約",INDEX('01_予約入力'!$N$5:$N$204,$P28)="調整中"),"仮",INDEX('01_予約入力'!$C$5:$C$204,$P28)),IF($Q28&gt;0,IF(OR(INDEX('01_予約入力'!$N$5:$N$204,$Q28)="仮予約",INDEX('01_予約入力'!$N$5:$N$204,$Q28)="調整中"),"仮",INDEX('01_予約入力'!$C$5:$C$204,$Q28)),IF($O28&gt;0,IF(OR(INDEX('01_予約入力'!$N$5:$N$204,$O28)="仮予約",INDEX('01_予約入力'!$N$5:$N$204,$O28)="調整中"),"仮",INDEX('01_予約入力'!$C$5:$C$204,$O28)),""))))</f>
        <v/>
      </c>
      <c r="Z28" s="36">
        <f>IF($A28="","",IF($S28&gt;0,IF(OR(INDEX('01_予約入力'!$N$5:$N$204,$S28)="仮予約",INDEX('01_予約入力'!$N$5:$N$204,$S28)="調整中"),"仮",INDEX('01_予約入力'!$C$5:$C$204,$S28)),IF($T28&gt;0,IF(OR(INDEX('01_予約入力'!$N$5:$N$204,$T28)="仮予約",INDEX('01_予約入力'!$N$5:$N$204,$T28)="調整中"),"仮",INDEX('01_予約入力'!$C$5:$C$204,$T28)),IF($R28&gt;0,IF(OR(INDEX('01_予約入力'!$N$5:$N$204,$R28)="仮予約",INDEX('01_予約入力'!$N$5:$N$204,$R28)="調整中"),"仮",INDEX('01_予約入力'!$C$5:$C$204,$R28)),""))))</f>
        <v/>
      </c>
      <c r="AA28" s="36">
        <f>IF($A28="","",IF($V28&gt;0,IF(OR(INDEX('01_予約入力'!$N$5:$N$204,$V28)="仮予約",INDEX('01_予約入力'!$N$5:$N$204,$V28)="調整中"),"仮",INDEX('01_予約入力'!$C$5:$C$204,$V28)),IF($W28&gt;0,IF(OR(INDEX('01_予約入力'!$N$5:$N$204,$W28)="仮予約",INDEX('01_予約入力'!$N$5:$N$204,$W28)="調整中"),"仮",INDEX('01_予約入力'!$C$5:$C$204,$W28)),IF($U28&gt;0,IF(OR(INDEX('01_予約入力'!$N$5:$N$204,$U28)="仮予約",INDEX('01_予約入力'!$N$5:$N$204,$U28)="調整中"),"仮",INDEX('01_予約入力'!$C$5:$C$204,$U28)),""))))</f>
        <v/>
      </c>
    </row>
    <row r="29">
      <c r="A29" s="41">
        <f>IF(MONTH('02_カレンダー'!$B$4+22)&lt;&gt;MONTH('02_カレンダー'!$B$4),"",'02_カレンダー'!$B$4+22)</f>
        <v/>
      </c>
      <c r="B29" s="36">
        <f>IF($A29="","",MID("日月火水木金土",WEEKDAY($A29),1))</f>
        <v/>
      </c>
      <c r="C29" s="42">
        <f>IF(OR($A29="",C$6=""),"",IF($L29=0,"",INDEX('01_予約入力'!$B$5:$B$204,$L29)&amp;" ◀"&amp;IF(('02_カレンダー'!$B$5="○"),INDEX('01_予約入力'!$AB$5:$AB$204,$L29),""))&amp;IF(AND($L29&gt;0,OR($M29&gt;0,$N29&gt;0)),"  ","")&amp;IF($M29=0,"",IF(INDEX('01_予約入力'!$G$5:$G$204,$M29)=$A29,"▶"&amp;IF(('02_カレンダー'!$B$5="○"),INDEX('01_予約入力'!$AA$5:$AA$204,$M29)&amp;" "," "),"")&amp;INDEX('01_予約入力'!$B$5:$B$204,$M29))&amp;IF(AND($M29&gt;0,$N29&gt;0),"  ","")&amp;IF($N29=0,"","◆ "&amp;INDEX('01_予約入力'!$B$5:$B$204,$N29)&amp;IF(('02_カレンダー'!$B$5="○")," "&amp;INDEX('01_予約入力'!$AA$5:$AA$204,$N29)&amp;"-"&amp;INDEX('01_予約入力'!$AB$5:$AB$204,$N29),"")))</f>
        <v/>
      </c>
      <c r="D29" s="42">
        <f>IF(OR($A29="",D$6=""),"",IF($O29=0,"",INDEX('01_予約入力'!$B$5:$B$204,$O29)&amp;" ◀"&amp;IF(('02_カレンダー'!$B$5="○"),INDEX('01_予約入力'!$AB$5:$AB$204,$O29),""))&amp;IF(AND($O29&gt;0,OR($P29&gt;0,$Q29&gt;0)),"  ","")&amp;IF($P29=0,"",IF(INDEX('01_予約入力'!$G$5:$G$204,$P29)=$A29,"▶"&amp;IF(('02_カレンダー'!$B$5="○"),INDEX('01_予約入力'!$AA$5:$AA$204,$P29)&amp;" "," "),"")&amp;INDEX('01_予約入力'!$B$5:$B$204,$P29))&amp;IF(AND($P29&gt;0,$Q29&gt;0),"  ","")&amp;IF($Q29=0,"","◆ "&amp;INDEX('01_予約入力'!$B$5:$B$204,$Q29)&amp;IF(('02_カレンダー'!$B$5="○")," "&amp;INDEX('01_予約入力'!$AA$5:$AA$204,$Q29)&amp;"-"&amp;INDEX('01_予約入力'!$AB$5:$AB$204,$Q29),"")))</f>
        <v/>
      </c>
      <c r="E29" s="42">
        <f>IF(OR($A29="",E$6=""),"",IF($R29=0,"",INDEX('01_予約入力'!$B$5:$B$204,$R29)&amp;" ◀"&amp;IF(('02_カレンダー'!$B$5="○"),INDEX('01_予約入力'!$AB$5:$AB$204,$R29),""))&amp;IF(AND($R29&gt;0,OR($S29&gt;0,$T29&gt;0)),"  ","")&amp;IF($S29=0,"",IF(INDEX('01_予約入力'!$G$5:$G$204,$S29)=$A29,"▶"&amp;IF(('02_カレンダー'!$B$5="○"),INDEX('01_予約入力'!$AA$5:$AA$204,$S29)&amp;" "," "),"")&amp;INDEX('01_予約入力'!$B$5:$B$204,$S29))&amp;IF(AND($S29&gt;0,$T29&gt;0),"  ","")&amp;IF($T29=0,"","◆ "&amp;INDEX('01_予約入力'!$B$5:$B$204,$T29)&amp;IF(('02_カレンダー'!$B$5="○")," "&amp;INDEX('01_予約入力'!$AA$5:$AA$204,$T29)&amp;"-"&amp;INDEX('01_予約入力'!$AB$5:$AB$204,$T29),"")))</f>
        <v/>
      </c>
      <c r="F29" s="42">
        <f>IF(OR($A29="",F$6=""),"",IF($U29=0,"",INDEX('01_予約入力'!$B$5:$B$204,$U29)&amp;" ◀"&amp;IF(('02_カレンダー'!$B$5="○"),INDEX('01_予約入力'!$AB$5:$AB$204,$U29),""))&amp;IF(AND($U29&gt;0,OR($V29&gt;0,$W29&gt;0)),"  ","")&amp;IF($V29=0,"",IF(INDEX('01_予約入力'!$G$5:$G$204,$V29)=$A29,"▶"&amp;IF(('02_カレンダー'!$B$5="○"),INDEX('01_予約入力'!$AA$5:$AA$204,$V29)&amp;" "," "),"")&amp;INDEX('01_予約入力'!$B$5:$B$204,$V29))&amp;IF(AND($V29&gt;0,$W29&gt;0),"  ","")&amp;IF($W29=0,"","◆ "&amp;INDEX('01_予約入力'!$B$5:$B$204,$W29)&amp;IF(('02_カレンダー'!$B$5="○")," "&amp;INDEX('01_予約入力'!$AA$5:$AA$204,$W29)&amp;"-"&amp;INDEX('01_予約入力'!$AB$5:$AB$204,$W29),"")))</f>
        <v/>
      </c>
      <c r="G29" s="36">
        <f>IF($A29="","",SUMPRODUCT(('01_予約入力'!$G$5:$G$204&lt;&gt;"")*('01_予約入力'!$N$5:$N$204&lt;&gt;"キャンセル")*('01_予約入力'!$G$5:$G$204&lt;=$A29)*('01_予約入力'!$J$5:$J$204&gt;$A29)))</f>
        <v/>
      </c>
      <c r="H29" s="36">
        <f>IF($A29="","",'M_施設設定'!$B$6-$G29)</f>
        <v/>
      </c>
      <c r="I29" s="36">
        <f>IF($A29="","",SUMPRODUCT((('01_予約入力'!$N$5:$N$204="仮予約")+('01_予約入力'!$N$5:$N$204="調整中"))*('01_予約入力'!$G$5:$G$204&lt;&gt;"")*('01_予約入力'!$G$5:$G$204&lt;=$A29)*('01_予約入力'!$J$5:$J$204&gt;$A29)))</f>
        <v/>
      </c>
      <c r="J29" s="36">
        <f>IF($A29="","",IF($I29&gt;0,"仮",IF($H29&lt;=0,"×",IF($H29&lt;'M_施設設定'!$B$6,"△","○"))))</f>
        <v/>
      </c>
      <c r="K29" s="36">
        <f>IF($A29="","",SUMPRODUCT(('01_予約入力'!$G$5:$G$204&lt;&gt;"")*('01_予約入力'!$N$5:$N$204&lt;&gt;"キャンセル")*('01_予約入力'!$G$5:$G$204=$A29)*('01_予約入力'!$J$5:$J$204=$A29)))</f>
        <v/>
      </c>
      <c r="L29" s="36">
        <f>IF(OR($A29="",C$6=""),0,SUMPRODUCT(MAX(('01_予約入力'!$D$5:$D$204=C$6)*('01_予約入力'!$N$5:$N$204&lt;&gt;"キャンセル")*('01_予約入力'!$G$5:$G$204&lt;&gt;"")*('01_予約入力'!$J$5:$J$204=$A29)*('01_予約入力'!$G$5:$G$204&lt;$A29)*(ROW('01_予約入力'!$G$5:$G$204)-4))))</f>
        <v/>
      </c>
      <c r="M29" s="36">
        <f>IF(OR($A29="",C$6=""),0,SUMPRODUCT(MAX(('01_予約入力'!$D$5:$D$204=C$6)*('01_予約入力'!$N$5:$N$204&lt;&gt;"キャンセル")*('01_予約入力'!$G$5:$G$204&lt;&gt;"")*('01_予約入力'!$G$5:$G$204&lt;=$A29)*('01_予約入力'!$J$5:$J$204&gt;$A29)*(ROW('01_予約入力'!$G$5:$G$204)-4))))</f>
        <v/>
      </c>
      <c r="N29" s="36">
        <f>IF(OR($A29="",C$6=""),0,SUMPRODUCT(MAX(('01_予約入力'!$D$5:$D$204=C$6)*('01_予約入力'!$N$5:$N$204&lt;&gt;"キャンセル")*('01_予約入力'!$G$5:$G$204&lt;&gt;"")*('01_予約入力'!$G$5:$G$204=$A29)*('01_予約入力'!$J$5:$J$204=$A29)*(ROW('01_予約入力'!$G$5:$G$204)-4))))</f>
        <v/>
      </c>
      <c r="O29" s="36">
        <f>IF(OR($A29="",D$6=""),0,SUMPRODUCT(MAX(('01_予約入力'!$D$5:$D$204=D$6)*('01_予約入力'!$N$5:$N$204&lt;&gt;"キャンセル")*('01_予約入力'!$G$5:$G$204&lt;&gt;"")*('01_予約入力'!$J$5:$J$204=$A29)*('01_予約入力'!$G$5:$G$204&lt;$A29)*(ROW('01_予約入力'!$G$5:$G$204)-4))))</f>
        <v/>
      </c>
      <c r="P29" s="36">
        <f>IF(OR($A29="",D$6=""),0,SUMPRODUCT(MAX(('01_予約入力'!$D$5:$D$204=D$6)*('01_予約入力'!$N$5:$N$204&lt;&gt;"キャンセル")*('01_予約入力'!$G$5:$G$204&lt;&gt;"")*('01_予約入力'!$G$5:$G$204&lt;=$A29)*('01_予約入力'!$J$5:$J$204&gt;$A29)*(ROW('01_予約入力'!$G$5:$G$204)-4))))</f>
        <v/>
      </c>
      <c r="Q29" s="36">
        <f>IF(OR($A29="",D$6=""),0,SUMPRODUCT(MAX(('01_予約入力'!$D$5:$D$204=D$6)*('01_予約入力'!$N$5:$N$204&lt;&gt;"キャンセル")*('01_予約入力'!$G$5:$G$204&lt;&gt;"")*('01_予約入力'!$G$5:$G$204=$A29)*('01_予約入力'!$J$5:$J$204=$A29)*(ROW('01_予約入力'!$G$5:$G$204)-4))))</f>
        <v/>
      </c>
      <c r="R29" s="36">
        <f>IF(OR($A29="",E$6=""),0,SUMPRODUCT(MAX(('01_予約入力'!$D$5:$D$204=E$6)*('01_予約入力'!$N$5:$N$204&lt;&gt;"キャンセル")*('01_予約入力'!$G$5:$G$204&lt;&gt;"")*('01_予約入力'!$J$5:$J$204=$A29)*('01_予約入力'!$G$5:$G$204&lt;$A29)*(ROW('01_予約入力'!$G$5:$G$204)-4))))</f>
        <v/>
      </c>
      <c r="S29" s="36">
        <f>IF(OR($A29="",E$6=""),0,SUMPRODUCT(MAX(('01_予約入力'!$D$5:$D$204=E$6)*('01_予約入力'!$N$5:$N$204&lt;&gt;"キャンセル")*('01_予約入力'!$G$5:$G$204&lt;&gt;"")*('01_予約入力'!$G$5:$G$204&lt;=$A29)*('01_予約入力'!$J$5:$J$204&gt;$A29)*(ROW('01_予約入力'!$G$5:$G$204)-4))))</f>
        <v/>
      </c>
      <c r="T29" s="36">
        <f>IF(OR($A29="",E$6=""),0,SUMPRODUCT(MAX(('01_予約入力'!$D$5:$D$204=E$6)*('01_予約入力'!$N$5:$N$204&lt;&gt;"キャンセル")*('01_予約入力'!$G$5:$G$204&lt;&gt;"")*('01_予約入力'!$G$5:$G$204=$A29)*('01_予約入力'!$J$5:$J$204=$A29)*(ROW('01_予約入力'!$G$5:$G$204)-4))))</f>
        <v/>
      </c>
      <c r="U29" s="36">
        <f>IF(OR($A29="",F$6=""),0,SUMPRODUCT(MAX(('01_予約入力'!$D$5:$D$204=F$6)*('01_予約入力'!$N$5:$N$204&lt;&gt;"キャンセル")*('01_予約入力'!$G$5:$G$204&lt;&gt;"")*('01_予約入力'!$J$5:$J$204=$A29)*('01_予約入力'!$G$5:$G$204&lt;$A29)*(ROW('01_予約入力'!$G$5:$G$204)-4))))</f>
        <v/>
      </c>
      <c r="V29" s="36">
        <f>IF(OR($A29="",F$6=""),0,SUMPRODUCT(MAX(('01_予約入力'!$D$5:$D$204=F$6)*('01_予約入力'!$N$5:$N$204&lt;&gt;"キャンセル")*('01_予約入力'!$G$5:$G$204&lt;&gt;"")*('01_予約入力'!$G$5:$G$204&lt;=$A29)*('01_予約入力'!$J$5:$J$204&gt;$A29)*(ROW('01_予約入力'!$G$5:$G$204)-4))))</f>
        <v/>
      </c>
      <c r="W29" s="36">
        <f>IF(OR($A29="",F$6=""),0,SUMPRODUCT(MAX(('01_予約入力'!$D$5:$D$204=F$6)*('01_予約入力'!$N$5:$N$204&lt;&gt;"キャンセル")*('01_予約入力'!$G$5:$G$204&lt;&gt;"")*('01_予約入力'!$G$5:$G$204=$A29)*('01_予約入力'!$J$5:$J$204=$A29)*(ROW('01_予約入力'!$G$5:$G$204)-4))))</f>
        <v/>
      </c>
      <c r="X29" s="36">
        <f>IF($A29="","",IF($M29&gt;0,IF(OR(INDEX('01_予約入力'!$N$5:$N$204,$M29)="仮予約",INDEX('01_予約入力'!$N$5:$N$204,$M29)="調整中"),"仮",INDEX('01_予約入力'!$C$5:$C$204,$M29)),IF($N29&gt;0,IF(OR(INDEX('01_予約入力'!$N$5:$N$204,$N29)="仮予約",INDEX('01_予約入力'!$N$5:$N$204,$N29)="調整中"),"仮",INDEX('01_予約入力'!$C$5:$C$204,$N29)),IF($L29&gt;0,IF(OR(INDEX('01_予約入力'!$N$5:$N$204,$L29)="仮予約",INDEX('01_予約入力'!$N$5:$N$204,$L29)="調整中"),"仮",INDEX('01_予約入力'!$C$5:$C$204,$L29)),""))))</f>
        <v/>
      </c>
      <c r="Y29" s="36">
        <f>IF($A29="","",IF($P29&gt;0,IF(OR(INDEX('01_予約入力'!$N$5:$N$204,$P29)="仮予約",INDEX('01_予約入力'!$N$5:$N$204,$P29)="調整中"),"仮",INDEX('01_予約入力'!$C$5:$C$204,$P29)),IF($Q29&gt;0,IF(OR(INDEX('01_予約入力'!$N$5:$N$204,$Q29)="仮予約",INDEX('01_予約入力'!$N$5:$N$204,$Q29)="調整中"),"仮",INDEX('01_予約入力'!$C$5:$C$204,$Q29)),IF($O29&gt;0,IF(OR(INDEX('01_予約入力'!$N$5:$N$204,$O29)="仮予約",INDEX('01_予約入力'!$N$5:$N$204,$O29)="調整中"),"仮",INDEX('01_予約入力'!$C$5:$C$204,$O29)),""))))</f>
        <v/>
      </c>
      <c r="Z29" s="36">
        <f>IF($A29="","",IF($S29&gt;0,IF(OR(INDEX('01_予約入力'!$N$5:$N$204,$S29)="仮予約",INDEX('01_予約入力'!$N$5:$N$204,$S29)="調整中"),"仮",INDEX('01_予約入力'!$C$5:$C$204,$S29)),IF($T29&gt;0,IF(OR(INDEX('01_予約入力'!$N$5:$N$204,$T29)="仮予約",INDEX('01_予約入力'!$N$5:$N$204,$T29)="調整中"),"仮",INDEX('01_予約入力'!$C$5:$C$204,$T29)),IF($R29&gt;0,IF(OR(INDEX('01_予約入力'!$N$5:$N$204,$R29)="仮予約",INDEX('01_予約入力'!$N$5:$N$204,$R29)="調整中"),"仮",INDEX('01_予約入力'!$C$5:$C$204,$R29)),""))))</f>
        <v/>
      </c>
      <c r="AA29" s="36">
        <f>IF($A29="","",IF($V29&gt;0,IF(OR(INDEX('01_予約入力'!$N$5:$N$204,$V29)="仮予約",INDEX('01_予約入力'!$N$5:$N$204,$V29)="調整中"),"仮",INDEX('01_予約入力'!$C$5:$C$204,$V29)),IF($W29&gt;0,IF(OR(INDEX('01_予約入力'!$N$5:$N$204,$W29)="仮予約",INDEX('01_予約入力'!$N$5:$N$204,$W29)="調整中"),"仮",INDEX('01_予約入力'!$C$5:$C$204,$W29)),IF($U29&gt;0,IF(OR(INDEX('01_予約入力'!$N$5:$N$204,$U29)="仮予約",INDEX('01_予約入力'!$N$5:$N$204,$U29)="調整中"),"仮",INDEX('01_予約入力'!$C$5:$C$204,$U29)),""))))</f>
        <v/>
      </c>
    </row>
    <row r="30">
      <c r="A30" s="41">
        <f>IF(MONTH('02_カレンダー'!$B$4+23)&lt;&gt;MONTH('02_カレンダー'!$B$4),"",'02_カレンダー'!$B$4+23)</f>
        <v/>
      </c>
      <c r="B30" s="36">
        <f>IF($A30="","",MID("日月火水木金土",WEEKDAY($A30),1))</f>
        <v/>
      </c>
      <c r="C30" s="42">
        <f>IF(OR($A30="",C$6=""),"",IF($L30=0,"",INDEX('01_予約入力'!$B$5:$B$204,$L30)&amp;" ◀"&amp;IF(('02_カレンダー'!$B$5="○"),INDEX('01_予約入力'!$AB$5:$AB$204,$L30),""))&amp;IF(AND($L30&gt;0,OR($M30&gt;0,$N30&gt;0)),"  ","")&amp;IF($M30=0,"",IF(INDEX('01_予約入力'!$G$5:$G$204,$M30)=$A30,"▶"&amp;IF(('02_カレンダー'!$B$5="○"),INDEX('01_予約入力'!$AA$5:$AA$204,$M30)&amp;" "," "),"")&amp;INDEX('01_予約入力'!$B$5:$B$204,$M30))&amp;IF(AND($M30&gt;0,$N30&gt;0),"  ","")&amp;IF($N30=0,"","◆ "&amp;INDEX('01_予約入力'!$B$5:$B$204,$N30)&amp;IF(('02_カレンダー'!$B$5="○")," "&amp;INDEX('01_予約入力'!$AA$5:$AA$204,$N30)&amp;"-"&amp;INDEX('01_予約入力'!$AB$5:$AB$204,$N30),"")))</f>
        <v/>
      </c>
      <c r="D30" s="42">
        <f>IF(OR($A30="",D$6=""),"",IF($O30=0,"",INDEX('01_予約入力'!$B$5:$B$204,$O30)&amp;" ◀"&amp;IF(('02_カレンダー'!$B$5="○"),INDEX('01_予約入力'!$AB$5:$AB$204,$O30),""))&amp;IF(AND($O30&gt;0,OR($P30&gt;0,$Q30&gt;0)),"  ","")&amp;IF($P30=0,"",IF(INDEX('01_予約入力'!$G$5:$G$204,$P30)=$A30,"▶"&amp;IF(('02_カレンダー'!$B$5="○"),INDEX('01_予約入力'!$AA$5:$AA$204,$P30)&amp;" "," "),"")&amp;INDEX('01_予約入力'!$B$5:$B$204,$P30))&amp;IF(AND($P30&gt;0,$Q30&gt;0),"  ","")&amp;IF($Q30=0,"","◆ "&amp;INDEX('01_予約入力'!$B$5:$B$204,$Q30)&amp;IF(('02_カレンダー'!$B$5="○")," "&amp;INDEX('01_予約入力'!$AA$5:$AA$204,$Q30)&amp;"-"&amp;INDEX('01_予約入力'!$AB$5:$AB$204,$Q30),"")))</f>
        <v/>
      </c>
      <c r="E30" s="42">
        <f>IF(OR($A30="",E$6=""),"",IF($R30=0,"",INDEX('01_予約入力'!$B$5:$B$204,$R30)&amp;" ◀"&amp;IF(('02_カレンダー'!$B$5="○"),INDEX('01_予約入力'!$AB$5:$AB$204,$R30),""))&amp;IF(AND($R30&gt;0,OR($S30&gt;0,$T30&gt;0)),"  ","")&amp;IF($S30=0,"",IF(INDEX('01_予約入力'!$G$5:$G$204,$S30)=$A30,"▶"&amp;IF(('02_カレンダー'!$B$5="○"),INDEX('01_予約入力'!$AA$5:$AA$204,$S30)&amp;" "," "),"")&amp;INDEX('01_予約入力'!$B$5:$B$204,$S30))&amp;IF(AND($S30&gt;0,$T30&gt;0),"  ","")&amp;IF($T30=0,"","◆ "&amp;INDEX('01_予約入力'!$B$5:$B$204,$T30)&amp;IF(('02_カレンダー'!$B$5="○")," "&amp;INDEX('01_予約入力'!$AA$5:$AA$204,$T30)&amp;"-"&amp;INDEX('01_予約入力'!$AB$5:$AB$204,$T30),"")))</f>
        <v/>
      </c>
      <c r="F30" s="42">
        <f>IF(OR($A30="",F$6=""),"",IF($U30=0,"",INDEX('01_予約入力'!$B$5:$B$204,$U30)&amp;" ◀"&amp;IF(('02_カレンダー'!$B$5="○"),INDEX('01_予約入力'!$AB$5:$AB$204,$U30),""))&amp;IF(AND($U30&gt;0,OR($V30&gt;0,$W30&gt;0)),"  ","")&amp;IF($V30=0,"",IF(INDEX('01_予約入力'!$G$5:$G$204,$V30)=$A30,"▶"&amp;IF(('02_カレンダー'!$B$5="○"),INDEX('01_予約入力'!$AA$5:$AA$204,$V30)&amp;" "," "),"")&amp;INDEX('01_予約入力'!$B$5:$B$204,$V30))&amp;IF(AND($V30&gt;0,$W30&gt;0),"  ","")&amp;IF($W30=0,"","◆ "&amp;INDEX('01_予約入力'!$B$5:$B$204,$W30)&amp;IF(('02_カレンダー'!$B$5="○")," "&amp;INDEX('01_予約入力'!$AA$5:$AA$204,$W30)&amp;"-"&amp;INDEX('01_予約入力'!$AB$5:$AB$204,$W30),"")))</f>
        <v/>
      </c>
      <c r="G30" s="36">
        <f>IF($A30="","",SUMPRODUCT(('01_予約入力'!$G$5:$G$204&lt;&gt;"")*('01_予約入力'!$N$5:$N$204&lt;&gt;"キャンセル")*('01_予約入力'!$G$5:$G$204&lt;=$A30)*('01_予約入力'!$J$5:$J$204&gt;$A30)))</f>
        <v/>
      </c>
      <c r="H30" s="36">
        <f>IF($A30="","",'M_施設設定'!$B$6-$G30)</f>
        <v/>
      </c>
      <c r="I30" s="36">
        <f>IF($A30="","",SUMPRODUCT((('01_予約入力'!$N$5:$N$204="仮予約")+('01_予約入力'!$N$5:$N$204="調整中"))*('01_予約入力'!$G$5:$G$204&lt;&gt;"")*('01_予約入力'!$G$5:$G$204&lt;=$A30)*('01_予約入力'!$J$5:$J$204&gt;$A30)))</f>
        <v/>
      </c>
      <c r="J30" s="36">
        <f>IF($A30="","",IF($I30&gt;0,"仮",IF($H30&lt;=0,"×",IF($H30&lt;'M_施設設定'!$B$6,"△","○"))))</f>
        <v/>
      </c>
      <c r="K30" s="36">
        <f>IF($A30="","",SUMPRODUCT(('01_予約入力'!$G$5:$G$204&lt;&gt;"")*('01_予約入力'!$N$5:$N$204&lt;&gt;"キャンセル")*('01_予約入力'!$G$5:$G$204=$A30)*('01_予約入力'!$J$5:$J$204=$A30)))</f>
        <v/>
      </c>
      <c r="L30" s="36">
        <f>IF(OR($A30="",C$6=""),0,SUMPRODUCT(MAX(('01_予約入力'!$D$5:$D$204=C$6)*('01_予約入力'!$N$5:$N$204&lt;&gt;"キャンセル")*('01_予約入力'!$G$5:$G$204&lt;&gt;"")*('01_予約入力'!$J$5:$J$204=$A30)*('01_予約入力'!$G$5:$G$204&lt;$A30)*(ROW('01_予約入力'!$G$5:$G$204)-4))))</f>
        <v/>
      </c>
      <c r="M30" s="36">
        <f>IF(OR($A30="",C$6=""),0,SUMPRODUCT(MAX(('01_予約入力'!$D$5:$D$204=C$6)*('01_予約入力'!$N$5:$N$204&lt;&gt;"キャンセル")*('01_予約入力'!$G$5:$G$204&lt;&gt;"")*('01_予約入力'!$G$5:$G$204&lt;=$A30)*('01_予約入力'!$J$5:$J$204&gt;$A30)*(ROW('01_予約入力'!$G$5:$G$204)-4))))</f>
        <v/>
      </c>
      <c r="N30" s="36">
        <f>IF(OR($A30="",C$6=""),0,SUMPRODUCT(MAX(('01_予約入力'!$D$5:$D$204=C$6)*('01_予約入力'!$N$5:$N$204&lt;&gt;"キャンセル")*('01_予約入力'!$G$5:$G$204&lt;&gt;"")*('01_予約入力'!$G$5:$G$204=$A30)*('01_予約入力'!$J$5:$J$204=$A30)*(ROW('01_予約入力'!$G$5:$G$204)-4))))</f>
        <v/>
      </c>
      <c r="O30" s="36">
        <f>IF(OR($A30="",D$6=""),0,SUMPRODUCT(MAX(('01_予約入力'!$D$5:$D$204=D$6)*('01_予約入力'!$N$5:$N$204&lt;&gt;"キャンセル")*('01_予約入力'!$G$5:$G$204&lt;&gt;"")*('01_予約入力'!$J$5:$J$204=$A30)*('01_予約入力'!$G$5:$G$204&lt;$A30)*(ROW('01_予約入力'!$G$5:$G$204)-4))))</f>
        <v/>
      </c>
      <c r="P30" s="36">
        <f>IF(OR($A30="",D$6=""),0,SUMPRODUCT(MAX(('01_予約入力'!$D$5:$D$204=D$6)*('01_予約入力'!$N$5:$N$204&lt;&gt;"キャンセル")*('01_予約入力'!$G$5:$G$204&lt;&gt;"")*('01_予約入力'!$G$5:$G$204&lt;=$A30)*('01_予約入力'!$J$5:$J$204&gt;$A30)*(ROW('01_予約入力'!$G$5:$G$204)-4))))</f>
        <v/>
      </c>
      <c r="Q30" s="36">
        <f>IF(OR($A30="",D$6=""),0,SUMPRODUCT(MAX(('01_予約入力'!$D$5:$D$204=D$6)*('01_予約入力'!$N$5:$N$204&lt;&gt;"キャンセル")*('01_予約入力'!$G$5:$G$204&lt;&gt;"")*('01_予約入力'!$G$5:$G$204=$A30)*('01_予約入力'!$J$5:$J$204=$A30)*(ROW('01_予約入力'!$G$5:$G$204)-4))))</f>
        <v/>
      </c>
      <c r="R30" s="36">
        <f>IF(OR($A30="",E$6=""),0,SUMPRODUCT(MAX(('01_予約入力'!$D$5:$D$204=E$6)*('01_予約入力'!$N$5:$N$204&lt;&gt;"キャンセル")*('01_予約入力'!$G$5:$G$204&lt;&gt;"")*('01_予約入力'!$J$5:$J$204=$A30)*('01_予約入力'!$G$5:$G$204&lt;$A30)*(ROW('01_予約入力'!$G$5:$G$204)-4))))</f>
        <v/>
      </c>
      <c r="S30" s="36">
        <f>IF(OR($A30="",E$6=""),0,SUMPRODUCT(MAX(('01_予約入力'!$D$5:$D$204=E$6)*('01_予約入力'!$N$5:$N$204&lt;&gt;"キャンセル")*('01_予約入力'!$G$5:$G$204&lt;&gt;"")*('01_予約入力'!$G$5:$G$204&lt;=$A30)*('01_予約入力'!$J$5:$J$204&gt;$A30)*(ROW('01_予約入力'!$G$5:$G$204)-4))))</f>
        <v/>
      </c>
      <c r="T30" s="36">
        <f>IF(OR($A30="",E$6=""),0,SUMPRODUCT(MAX(('01_予約入力'!$D$5:$D$204=E$6)*('01_予約入力'!$N$5:$N$204&lt;&gt;"キャンセル")*('01_予約入力'!$G$5:$G$204&lt;&gt;"")*('01_予約入力'!$G$5:$G$204=$A30)*('01_予約入力'!$J$5:$J$204=$A30)*(ROW('01_予約入力'!$G$5:$G$204)-4))))</f>
        <v/>
      </c>
      <c r="U30" s="36">
        <f>IF(OR($A30="",F$6=""),0,SUMPRODUCT(MAX(('01_予約入力'!$D$5:$D$204=F$6)*('01_予約入力'!$N$5:$N$204&lt;&gt;"キャンセル")*('01_予約入力'!$G$5:$G$204&lt;&gt;"")*('01_予約入力'!$J$5:$J$204=$A30)*('01_予約入力'!$G$5:$G$204&lt;$A30)*(ROW('01_予約入力'!$G$5:$G$204)-4))))</f>
        <v/>
      </c>
      <c r="V30" s="36">
        <f>IF(OR($A30="",F$6=""),0,SUMPRODUCT(MAX(('01_予約入力'!$D$5:$D$204=F$6)*('01_予約入力'!$N$5:$N$204&lt;&gt;"キャンセル")*('01_予約入力'!$G$5:$G$204&lt;&gt;"")*('01_予約入力'!$G$5:$G$204&lt;=$A30)*('01_予約入力'!$J$5:$J$204&gt;$A30)*(ROW('01_予約入力'!$G$5:$G$204)-4))))</f>
        <v/>
      </c>
      <c r="W30" s="36">
        <f>IF(OR($A30="",F$6=""),0,SUMPRODUCT(MAX(('01_予約入力'!$D$5:$D$204=F$6)*('01_予約入力'!$N$5:$N$204&lt;&gt;"キャンセル")*('01_予約入力'!$G$5:$G$204&lt;&gt;"")*('01_予約入力'!$G$5:$G$204=$A30)*('01_予約入力'!$J$5:$J$204=$A30)*(ROW('01_予約入力'!$G$5:$G$204)-4))))</f>
        <v/>
      </c>
      <c r="X30" s="36">
        <f>IF($A30="","",IF($M30&gt;0,IF(OR(INDEX('01_予約入力'!$N$5:$N$204,$M30)="仮予約",INDEX('01_予約入力'!$N$5:$N$204,$M30)="調整中"),"仮",INDEX('01_予約入力'!$C$5:$C$204,$M30)),IF($N30&gt;0,IF(OR(INDEX('01_予約入力'!$N$5:$N$204,$N30)="仮予約",INDEX('01_予約入力'!$N$5:$N$204,$N30)="調整中"),"仮",INDEX('01_予約入力'!$C$5:$C$204,$N30)),IF($L30&gt;0,IF(OR(INDEX('01_予約入力'!$N$5:$N$204,$L30)="仮予約",INDEX('01_予約入力'!$N$5:$N$204,$L30)="調整中"),"仮",INDEX('01_予約入力'!$C$5:$C$204,$L30)),""))))</f>
        <v/>
      </c>
      <c r="Y30" s="36">
        <f>IF($A30="","",IF($P30&gt;0,IF(OR(INDEX('01_予約入力'!$N$5:$N$204,$P30)="仮予約",INDEX('01_予約入力'!$N$5:$N$204,$P30)="調整中"),"仮",INDEX('01_予約入力'!$C$5:$C$204,$P30)),IF($Q30&gt;0,IF(OR(INDEX('01_予約入力'!$N$5:$N$204,$Q30)="仮予約",INDEX('01_予約入力'!$N$5:$N$204,$Q30)="調整中"),"仮",INDEX('01_予約入力'!$C$5:$C$204,$Q30)),IF($O30&gt;0,IF(OR(INDEX('01_予約入力'!$N$5:$N$204,$O30)="仮予約",INDEX('01_予約入力'!$N$5:$N$204,$O30)="調整中"),"仮",INDEX('01_予約入力'!$C$5:$C$204,$O30)),""))))</f>
        <v/>
      </c>
      <c r="Z30" s="36">
        <f>IF($A30="","",IF($S30&gt;0,IF(OR(INDEX('01_予約入力'!$N$5:$N$204,$S30)="仮予約",INDEX('01_予約入力'!$N$5:$N$204,$S30)="調整中"),"仮",INDEX('01_予約入力'!$C$5:$C$204,$S30)),IF($T30&gt;0,IF(OR(INDEX('01_予約入力'!$N$5:$N$204,$T30)="仮予約",INDEX('01_予約入力'!$N$5:$N$204,$T30)="調整中"),"仮",INDEX('01_予約入力'!$C$5:$C$204,$T30)),IF($R30&gt;0,IF(OR(INDEX('01_予約入力'!$N$5:$N$204,$R30)="仮予約",INDEX('01_予約入力'!$N$5:$N$204,$R30)="調整中"),"仮",INDEX('01_予約入力'!$C$5:$C$204,$R30)),""))))</f>
        <v/>
      </c>
      <c r="AA30" s="36">
        <f>IF($A30="","",IF($V30&gt;0,IF(OR(INDEX('01_予約入力'!$N$5:$N$204,$V30)="仮予約",INDEX('01_予約入力'!$N$5:$N$204,$V30)="調整中"),"仮",INDEX('01_予約入力'!$C$5:$C$204,$V30)),IF($W30&gt;0,IF(OR(INDEX('01_予約入力'!$N$5:$N$204,$W30)="仮予約",INDEX('01_予約入力'!$N$5:$N$204,$W30)="調整中"),"仮",INDEX('01_予約入力'!$C$5:$C$204,$W30)),IF($U30&gt;0,IF(OR(INDEX('01_予約入力'!$N$5:$N$204,$U30)="仮予約",INDEX('01_予約入力'!$N$5:$N$204,$U30)="調整中"),"仮",INDEX('01_予約入力'!$C$5:$C$204,$U30)),""))))</f>
        <v/>
      </c>
    </row>
    <row r="31">
      <c r="A31" s="41">
        <f>IF(MONTH('02_カレンダー'!$B$4+24)&lt;&gt;MONTH('02_カレンダー'!$B$4),"",'02_カレンダー'!$B$4+24)</f>
        <v/>
      </c>
      <c r="B31" s="36">
        <f>IF($A31="","",MID("日月火水木金土",WEEKDAY($A31),1))</f>
        <v/>
      </c>
      <c r="C31" s="42">
        <f>IF(OR($A31="",C$6=""),"",IF($L31=0,"",INDEX('01_予約入力'!$B$5:$B$204,$L31)&amp;" ◀"&amp;IF(('02_カレンダー'!$B$5="○"),INDEX('01_予約入力'!$AB$5:$AB$204,$L31),""))&amp;IF(AND($L31&gt;0,OR($M31&gt;0,$N31&gt;0)),"  ","")&amp;IF($M31=0,"",IF(INDEX('01_予約入力'!$G$5:$G$204,$M31)=$A31,"▶"&amp;IF(('02_カレンダー'!$B$5="○"),INDEX('01_予約入力'!$AA$5:$AA$204,$M31)&amp;" "," "),"")&amp;INDEX('01_予約入力'!$B$5:$B$204,$M31))&amp;IF(AND($M31&gt;0,$N31&gt;0),"  ","")&amp;IF($N31=0,"","◆ "&amp;INDEX('01_予約入力'!$B$5:$B$204,$N31)&amp;IF(('02_カレンダー'!$B$5="○")," "&amp;INDEX('01_予約入力'!$AA$5:$AA$204,$N31)&amp;"-"&amp;INDEX('01_予約入力'!$AB$5:$AB$204,$N31),"")))</f>
        <v/>
      </c>
      <c r="D31" s="42">
        <f>IF(OR($A31="",D$6=""),"",IF($O31=0,"",INDEX('01_予約入力'!$B$5:$B$204,$O31)&amp;" ◀"&amp;IF(('02_カレンダー'!$B$5="○"),INDEX('01_予約入力'!$AB$5:$AB$204,$O31),""))&amp;IF(AND($O31&gt;0,OR($P31&gt;0,$Q31&gt;0)),"  ","")&amp;IF($P31=0,"",IF(INDEX('01_予約入力'!$G$5:$G$204,$P31)=$A31,"▶"&amp;IF(('02_カレンダー'!$B$5="○"),INDEX('01_予約入力'!$AA$5:$AA$204,$P31)&amp;" "," "),"")&amp;INDEX('01_予約入力'!$B$5:$B$204,$P31))&amp;IF(AND($P31&gt;0,$Q31&gt;0),"  ","")&amp;IF($Q31=0,"","◆ "&amp;INDEX('01_予約入力'!$B$5:$B$204,$Q31)&amp;IF(('02_カレンダー'!$B$5="○")," "&amp;INDEX('01_予約入力'!$AA$5:$AA$204,$Q31)&amp;"-"&amp;INDEX('01_予約入力'!$AB$5:$AB$204,$Q31),"")))</f>
        <v/>
      </c>
      <c r="E31" s="42">
        <f>IF(OR($A31="",E$6=""),"",IF($R31=0,"",INDEX('01_予約入力'!$B$5:$B$204,$R31)&amp;" ◀"&amp;IF(('02_カレンダー'!$B$5="○"),INDEX('01_予約入力'!$AB$5:$AB$204,$R31),""))&amp;IF(AND($R31&gt;0,OR($S31&gt;0,$T31&gt;0)),"  ","")&amp;IF($S31=0,"",IF(INDEX('01_予約入力'!$G$5:$G$204,$S31)=$A31,"▶"&amp;IF(('02_カレンダー'!$B$5="○"),INDEX('01_予約入力'!$AA$5:$AA$204,$S31)&amp;" "," "),"")&amp;INDEX('01_予約入力'!$B$5:$B$204,$S31))&amp;IF(AND($S31&gt;0,$T31&gt;0),"  ","")&amp;IF($T31=0,"","◆ "&amp;INDEX('01_予約入力'!$B$5:$B$204,$T31)&amp;IF(('02_カレンダー'!$B$5="○")," "&amp;INDEX('01_予約入力'!$AA$5:$AA$204,$T31)&amp;"-"&amp;INDEX('01_予約入力'!$AB$5:$AB$204,$T31),"")))</f>
        <v/>
      </c>
      <c r="F31" s="42">
        <f>IF(OR($A31="",F$6=""),"",IF($U31=0,"",INDEX('01_予約入力'!$B$5:$B$204,$U31)&amp;" ◀"&amp;IF(('02_カレンダー'!$B$5="○"),INDEX('01_予約入力'!$AB$5:$AB$204,$U31),""))&amp;IF(AND($U31&gt;0,OR($V31&gt;0,$W31&gt;0)),"  ","")&amp;IF($V31=0,"",IF(INDEX('01_予約入力'!$G$5:$G$204,$V31)=$A31,"▶"&amp;IF(('02_カレンダー'!$B$5="○"),INDEX('01_予約入力'!$AA$5:$AA$204,$V31)&amp;" "," "),"")&amp;INDEX('01_予約入力'!$B$5:$B$204,$V31))&amp;IF(AND($V31&gt;0,$W31&gt;0),"  ","")&amp;IF($W31=0,"","◆ "&amp;INDEX('01_予約入力'!$B$5:$B$204,$W31)&amp;IF(('02_カレンダー'!$B$5="○")," "&amp;INDEX('01_予約入力'!$AA$5:$AA$204,$W31)&amp;"-"&amp;INDEX('01_予約入力'!$AB$5:$AB$204,$W31),"")))</f>
        <v/>
      </c>
      <c r="G31" s="36">
        <f>IF($A31="","",SUMPRODUCT(('01_予約入力'!$G$5:$G$204&lt;&gt;"")*('01_予約入力'!$N$5:$N$204&lt;&gt;"キャンセル")*('01_予約入力'!$G$5:$G$204&lt;=$A31)*('01_予約入力'!$J$5:$J$204&gt;$A31)))</f>
        <v/>
      </c>
      <c r="H31" s="36">
        <f>IF($A31="","",'M_施設設定'!$B$6-$G31)</f>
        <v/>
      </c>
      <c r="I31" s="36">
        <f>IF($A31="","",SUMPRODUCT((('01_予約入力'!$N$5:$N$204="仮予約")+('01_予約入力'!$N$5:$N$204="調整中"))*('01_予約入力'!$G$5:$G$204&lt;&gt;"")*('01_予約入力'!$G$5:$G$204&lt;=$A31)*('01_予約入力'!$J$5:$J$204&gt;$A31)))</f>
        <v/>
      </c>
      <c r="J31" s="36">
        <f>IF($A31="","",IF($I31&gt;0,"仮",IF($H31&lt;=0,"×",IF($H31&lt;'M_施設設定'!$B$6,"△","○"))))</f>
        <v/>
      </c>
      <c r="K31" s="36">
        <f>IF($A31="","",SUMPRODUCT(('01_予約入力'!$G$5:$G$204&lt;&gt;"")*('01_予約入力'!$N$5:$N$204&lt;&gt;"キャンセル")*('01_予約入力'!$G$5:$G$204=$A31)*('01_予約入力'!$J$5:$J$204=$A31)))</f>
        <v/>
      </c>
      <c r="L31" s="36">
        <f>IF(OR($A31="",C$6=""),0,SUMPRODUCT(MAX(('01_予約入力'!$D$5:$D$204=C$6)*('01_予約入力'!$N$5:$N$204&lt;&gt;"キャンセル")*('01_予約入力'!$G$5:$G$204&lt;&gt;"")*('01_予約入力'!$J$5:$J$204=$A31)*('01_予約入力'!$G$5:$G$204&lt;$A31)*(ROW('01_予約入力'!$G$5:$G$204)-4))))</f>
        <v/>
      </c>
      <c r="M31" s="36">
        <f>IF(OR($A31="",C$6=""),0,SUMPRODUCT(MAX(('01_予約入力'!$D$5:$D$204=C$6)*('01_予約入力'!$N$5:$N$204&lt;&gt;"キャンセル")*('01_予約入力'!$G$5:$G$204&lt;&gt;"")*('01_予約入力'!$G$5:$G$204&lt;=$A31)*('01_予約入力'!$J$5:$J$204&gt;$A31)*(ROW('01_予約入力'!$G$5:$G$204)-4))))</f>
        <v/>
      </c>
      <c r="N31" s="36">
        <f>IF(OR($A31="",C$6=""),0,SUMPRODUCT(MAX(('01_予約入力'!$D$5:$D$204=C$6)*('01_予約入力'!$N$5:$N$204&lt;&gt;"キャンセル")*('01_予約入力'!$G$5:$G$204&lt;&gt;"")*('01_予約入力'!$G$5:$G$204=$A31)*('01_予約入力'!$J$5:$J$204=$A31)*(ROW('01_予約入力'!$G$5:$G$204)-4))))</f>
        <v/>
      </c>
      <c r="O31" s="36">
        <f>IF(OR($A31="",D$6=""),0,SUMPRODUCT(MAX(('01_予約入力'!$D$5:$D$204=D$6)*('01_予約入力'!$N$5:$N$204&lt;&gt;"キャンセル")*('01_予約入力'!$G$5:$G$204&lt;&gt;"")*('01_予約入力'!$J$5:$J$204=$A31)*('01_予約入力'!$G$5:$G$204&lt;$A31)*(ROW('01_予約入力'!$G$5:$G$204)-4))))</f>
        <v/>
      </c>
      <c r="P31" s="36">
        <f>IF(OR($A31="",D$6=""),0,SUMPRODUCT(MAX(('01_予約入力'!$D$5:$D$204=D$6)*('01_予約入力'!$N$5:$N$204&lt;&gt;"キャンセル")*('01_予約入力'!$G$5:$G$204&lt;&gt;"")*('01_予約入力'!$G$5:$G$204&lt;=$A31)*('01_予約入力'!$J$5:$J$204&gt;$A31)*(ROW('01_予約入力'!$G$5:$G$204)-4))))</f>
        <v/>
      </c>
      <c r="Q31" s="36">
        <f>IF(OR($A31="",D$6=""),0,SUMPRODUCT(MAX(('01_予約入力'!$D$5:$D$204=D$6)*('01_予約入力'!$N$5:$N$204&lt;&gt;"キャンセル")*('01_予約入力'!$G$5:$G$204&lt;&gt;"")*('01_予約入力'!$G$5:$G$204=$A31)*('01_予約入力'!$J$5:$J$204=$A31)*(ROW('01_予約入力'!$G$5:$G$204)-4))))</f>
        <v/>
      </c>
      <c r="R31" s="36">
        <f>IF(OR($A31="",E$6=""),0,SUMPRODUCT(MAX(('01_予約入力'!$D$5:$D$204=E$6)*('01_予約入力'!$N$5:$N$204&lt;&gt;"キャンセル")*('01_予約入力'!$G$5:$G$204&lt;&gt;"")*('01_予約入力'!$J$5:$J$204=$A31)*('01_予約入力'!$G$5:$G$204&lt;$A31)*(ROW('01_予約入力'!$G$5:$G$204)-4))))</f>
        <v/>
      </c>
      <c r="S31" s="36">
        <f>IF(OR($A31="",E$6=""),0,SUMPRODUCT(MAX(('01_予約入力'!$D$5:$D$204=E$6)*('01_予約入力'!$N$5:$N$204&lt;&gt;"キャンセル")*('01_予約入力'!$G$5:$G$204&lt;&gt;"")*('01_予約入力'!$G$5:$G$204&lt;=$A31)*('01_予約入力'!$J$5:$J$204&gt;$A31)*(ROW('01_予約入力'!$G$5:$G$204)-4))))</f>
        <v/>
      </c>
      <c r="T31" s="36">
        <f>IF(OR($A31="",E$6=""),0,SUMPRODUCT(MAX(('01_予約入力'!$D$5:$D$204=E$6)*('01_予約入力'!$N$5:$N$204&lt;&gt;"キャンセル")*('01_予約入力'!$G$5:$G$204&lt;&gt;"")*('01_予約入力'!$G$5:$G$204=$A31)*('01_予約入力'!$J$5:$J$204=$A31)*(ROW('01_予約入力'!$G$5:$G$204)-4))))</f>
        <v/>
      </c>
      <c r="U31" s="36">
        <f>IF(OR($A31="",F$6=""),0,SUMPRODUCT(MAX(('01_予約入力'!$D$5:$D$204=F$6)*('01_予約入力'!$N$5:$N$204&lt;&gt;"キャンセル")*('01_予約入力'!$G$5:$G$204&lt;&gt;"")*('01_予約入力'!$J$5:$J$204=$A31)*('01_予約入力'!$G$5:$G$204&lt;$A31)*(ROW('01_予約入力'!$G$5:$G$204)-4))))</f>
        <v/>
      </c>
      <c r="V31" s="36">
        <f>IF(OR($A31="",F$6=""),0,SUMPRODUCT(MAX(('01_予約入力'!$D$5:$D$204=F$6)*('01_予約入力'!$N$5:$N$204&lt;&gt;"キャンセル")*('01_予約入力'!$G$5:$G$204&lt;&gt;"")*('01_予約入力'!$G$5:$G$204&lt;=$A31)*('01_予約入力'!$J$5:$J$204&gt;$A31)*(ROW('01_予約入力'!$G$5:$G$204)-4))))</f>
        <v/>
      </c>
      <c r="W31" s="36">
        <f>IF(OR($A31="",F$6=""),0,SUMPRODUCT(MAX(('01_予約入力'!$D$5:$D$204=F$6)*('01_予約入力'!$N$5:$N$204&lt;&gt;"キャンセル")*('01_予約入力'!$G$5:$G$204&lt;&gt;"")*('01_予約入力'!$G$5:$G$204=$A31)*('01_予約入力'!$J$5:$J$204=$A31)*(ROW('01_予約入力'!$G$5:$G$204)-4))))</f>
        <v/>
      </c>
      <c r="X31" s="36">
        <f>IF($A31="","",IF($M31&gt;0,IF(OR(INDEX('01_予約入力'!$N$5:$N$204,$M31)="仮予約",INDEX('01_予約入力'!$N$5:$N$204,$M31)="調整中"),"仮",INDEX('01_予約入力'!$C$5:$C$204,$M31)),IF($N31&gt;0,IF(OR(INDEX('01_予約入力'!$N$5:$N$204,$N31)="仮予約",INDEX('01_予約入力'!$N$5:$N$204,$N31)="調整中"),"仮",INDEX('01_予約入力'!$C$5:$C$204,$N31)),IF($L31&gt;0,IF(OR(INDEX('01_予約入力'!$N$5:$N$204,$L31)="仮予約",INDEX('01_予約入力'!$N$5:$N$204,$L31)="調整中"),"仮",INDEX('01_予約入力'!$C$5:$C$204,$L31)),""))))</f>
        <v/>
      </c>
      <c r="Y31" s="36">
        <f>IF($A31="","",IF($P31&gt;0,IF(OR(INDEX('01_予約入力'!$N$5:$N$204,$P31)="仮予約",INDEX('01_予約入力'!$N$5:$N$204,$P31)="調整中"),"仮",INDEX('01_予約入力'!$C$5:$C$204,$P31)),IF($Q31&gt;0,IF(OR(INDEX('01_予約入力'!$N$5:$N$204,$Q31)="仮予約",INDEX('01_予約入力'!$N$5:$N$204,$Q31)="調整中"),"仮",INDEX('01_予約入力'!$C$5:$C$204,$Q31)),IF($O31&gt;0,IF(OR(INDEX('01_予約入力'!$N$5:$N$204,$O31)="仮予約",INDEX('01_予約入力'!$N$5:$N$204,$O31)="調整中"),"仮",INDEX('01_予約入力'!$C$5:$C$204,$O31)),""))))</f>
        <v/>
      </c>
      <c r="Z31" s="36">
        <f>IF($A31="","",IF($S31&gt;0,IF(OR(INDEX('01_予約入力'!$N$5:$N$204,$S31)="仮予約",INDEX('01_予約入力'!$N$5:$N$204,$S31)="調整中"),"仮",INDEX('01_予約入力'!$C$5:$C$204,$S31)),IF($T31&gt;0,IF(OR(INDEX('01_予約入力'!$N$5:$N$204,$T31)="仮予約",INDEX('01_予約入力'!$N$5:$N$204,$T31)="調整中"),"仮",INDEX('01_予約入力'!$C$5:$C$204,$T31)),IF($R31&gt;0,IF(OR(INDEX('01_予約入力'!$N$5:$N$204,$R31)="仮予約",INDEX('01_予約入力'!$N$5:$N$204,$R31)="調整中"),"仮",INDEX('01_予約入力'!$C$5:$C$204,$R31)),""))))</f>
        <v/>
      </c>
      <c r="AA31" s="36">
        <f>IF($A31="","",IF($V31&gt;0,IF(OR(INDEX('01_予約入力'!$N$5:$N$204,$V31)="仮予約",INDEX('01_予約入力'!$N$5:$N$204,$V31)="調整中"),"仮",INDEX('01_予約入力'!$C$5:$C$204,$V31)),IF($W31&gt;0,IF(OR(INDEX('01_予約入力'!$N$5:$N$204,$W31)="仮予約",INDEX('01_予約入力'!$N$5:$N$204,$W31)="調整中"),"仮",INDEX('01_予約入力'!$C$5:$C$204,$W31)),IF($U31&gt;0,IF(OR(INDEX('01_予約入力'!$N$5:$N$204,$U31)="仮予約",INDEX('01_予約入力'!$N$5:$N$204,$U31)="調整中"),"仮",INDEX('01_予約入力'!$C$5:$C$204,$U31)),""))))</f>
        <v/>
      </c>
    </row>
    <row r="32">
      <c r="A32" s="41">
        <f>IF(MONTH('02_カレンダー'!$B$4+25)&lt;&gt;MONTH('02_カレンダー'!$B$4),"",'02_カレンダー'!$B$4+25)</f>
        <v/>
      </c>
      <c r="B32" s="36">
        <f>IF($A32="","",MID("日月火水木金土",WEEKDAY($A32),1))</f>
        <v/>
      </c>
      <c r="C32" s="42">
        <f>IF(OR($A32="",C$6=""),"",IF($L32=0,"",INDEX('01_予約入力'!$B$5:$B$204,$L32)&amp;" ◀"&amp;IF(('02_カレンダー'!$B$5="○"),INDEX('01_予約入力'!$AB$5:$AB$204,$L32),""))&amp;IF(AND($L32&gt;0,OR($M32&gt;0,$N32&gt;0)),"  ","")&amp;IF($M32=0,"",IF(INDEX('01_予約入力'!$G$5:$G$204,$M32)=$A32,"▶"&amp;IF(('02_カレンダー'!$B$5="○"),INDEX('01_予約入力'!$AA$5:$AA$204,$M32)&amp;" "," "),"")&amp;INDEX('01_予約入力'!$B$5:$B$204,$M32))&amp;IF(AND($M32&gt;0,$N32&gt;0),"  ","")&amp;IF($N32=0,"","◆ "&amp;INDEX('01_予約入力'!$B$5:$B$204,$N32)&amp;IF(('02_カレンダー'!$B$5="○")," "&amp;INDEX('01_予約入力'!$AA$5:$AA$204,$N32)&amp;"-"&amp;INDEX('01_予約入力'!$AB$5:$AB$204,$N32),"")))</f>
        <v/>
      </c>
      <c r="D32" s="42">
        <f>IF(OR($A32="",D$6=""),"",IF($O32=0,"",INDEX('01_予約入力'!$B$5:$B$204,$O32)&amp;" ◀"&amp;IF(('02_カレンダー'!$B$5="○"),INDEX('01_予約入力'!$AB$5:$AB$204,$O32),""))&amp;IF(AND($O32&gt;0,OR($P32&gt;0,$Q32&gt;0)),"  ","")&amp;IF($P32=0,"",IF(INDEX('01_予約入力'!$G$5:$G$204,$P32)=$A32,"▶"&amp;IF(('02_カレンダー'!$B$5="○"),INDEX('01_予約入力'!$AA$5:$AA$204,$P32)&amp;" "," "),"")&amp;INDEX('01_予約入力'!$B$5:$B$204,$P32))&amp;IF(AND($P32&gt;0,$Q32&gt;0),"  ","")&amp;IF($Q32=0,"","◆ "&amp;INDEX('01_予約入力'!$B$5:$B$204,$Q32)&amp;IF(('02_カレンダー'!$B$5="○")," "&amp;INDEX('01_予約入力'!$AA$5:$AA$204,$Q32)&amp;"-"&amp;INDEX('01_予約入力'!$AB$5:$AB$204,$Q32),"")))</f>
        <v/>
      </c>
      <c r="E32" s="42">
        <f>IF(OR($A32="",E$6=""),"",IF($R32=0,"",INDEX('01_予約入力'!$B$5:$B$204,$R32)&amp;" ◀"&amp;IF(('02_カレンダー'!$B$5="○"),INDEX('01_予約入力'!$AB$5:$AB$204,$R32),""))&amp;IF(AND($R32&gt;0,OR($S32&gt;0,$T32&gt;0)),"  ","")&amp;IF($S32=0,"",IF(INDEX('01_予約入力'!$G$5:$G$204,$S32)=$A32,"▶"&amp;IF(('02_カレンダー'!$B$5="○"),INDEX('01_予約入力'!$AA$5:$AA$204,$S32)&amp;" "," "),"")&amp;INDEX('01_予約入力'!$B$5:$B$204,$S32))&amp;IF(AND($S32&gt;0,$T32&gt;0),"  ","")&amp;IF($T32=0,"","◆ "&amp;INDEX('01_予約入力'!$B$5:$B$204,$T32)&amp;IF(('02_カレンダー'!$B$5="○")," "&amp;INDEX('01_予約入力'!$AA$5:$AA$204,$T32)&amp;"-"&amp;INDEX('01_予約入力'!$AB$5:$AB$204,$T32),"")))</f>
        <v/>
      </c>
      <c r="F32" s="42">
        <f>IF(OR($A32="",F$6=""),"",IF($U32=0,"",INDEX('01_予約入力'!$B$5:$B$204,$U32)&amp;" ◀"&amp;IF(('02_カレンダー'!$B$5="○"),INDEX('01_予約入力'!$AB$5:$AB$204,$U32),""))&amp;IF(AND($U32&gt;0,OR($V32&gt;0,$W32&gt;0)),"  ","")&amp;IF($V32=0,"",IF(INDEX('01_予約入力'!$G$5:$G$204,$V32)=$A32,"▶"&amp;IF(('02_カレンダー'!$B$5="○"),INDEX('01_予約入力'!$AA$5:$AA$204,$V32)&amp;" "," "),"")&amp;INDEX('01_予約入力'!$B$5:$B$204,$V32))&amp;IF(AND($V32&gt;0,$W32&gt;0),"  ","")&amp;IF($W32=0,"","◆ "&amp;INDEX('01_予約入力'!$B$5:$B$204,$W32)&amp;IF(('02_カレンダー'!$B$5="○")," "&amp;INDEX('01_予約入力'!$AA$5:$AA$204,$W32)&amp;"-"&amp;INDEX('01_予約入力'!$AB$5:$AB$204,$W32),"")))</f>
        <v/>
      </c>
      <c r="G32" s="36">
        <f>IF($A32="","",SUMPRODUCT(('01_予約入力'!$G$5:$G$204&lt;&gt;"")*('01_予約入力'!$N$5:$N$204&lt;&gt;"キャンセル")*('01_予約入力'!$G$5:$G$204&lt;=$A32)*('01_予約入力'!$J$5:$J$204&gt;$A32)))</f>
        <v/>
      </c>
      <c r="H32" s="36">
        <f>IF($A32="","",'M_施設設定'!$B$6-$G32)</f>
        <v/>
      </c>
      <c r="I32" s="36">
        <f>IF($A32="","",SUMPRODUCT((('01_予約入力'!$N$5:$N$204="仮予約")+('01_予約入力'!$N$5:$N$204="調整中"))*('01_予約入力'!$G$5:$G$204&lt;&gt;"")*('01_予約入力'!$G$5:$G$204&lt;=$A32)*('01_予約入力'!$J$5:$J$204&gt;$A32)))</f>
        <v/>
      </c>
      <c r="J32" s="36">
        <f>IF($A32="","",IF($I32&gt;0,"仮",IF($H32&lt;=0,"×",IF($H32&lt;'M_施設設定'!$B$6,"△","○"))))</f>
        <v/>
      </c>
      <c r="K32" s="36">
        <f>IF($A32="","",SUMPRODUCT(('01_予約入力'!$G$5:$G$204&lt;&gt;"")*('01_予約入力'!$N$5:$N$204&lt;&gt;"キャンセル")*('01_予約入力'!$G$5:$G$204=$A32)*('01_予約入力'!$J$5:$J$204=$A32)))</f>
        <v/>
      </c>
      <c r="L32" s="36">
        <f>IF(OR($A32="",C$6=""),0,SUMPRODUCT(MAX(('01_予約入力'!$D$5:$D$204=C$6)*('01_予約入力'!$N$5:$N$204&lt;&gt;"キャンセル")*('01_予約入力'!$G$5:$G$204&lt;&gt;"")*('01_予約入力'!$J$5:$J$204=$A32)*('01_予約入力'!$G$5:$G$204&lt;$A32)*(ROW('01_予約入力'!$G$5:$G$204)-4))))</f>
        <v/>
      </c>
      <c r="M32" s="36">
        <f>IF(OR($A32="",C$6=""),0,SUMPRODUCT(MAX(('01_予約入力'!$D$5:$D$204=C$6)*('01_予約入力'!$N$5:$N$204&lt;&gt;"キャンセル")*('01_予約入力'!$G$5:$G$204&lt;&gt;"")*('01_予約入力'!$G$5:$G$204&lt;=$A32)*('01_予約入力'!$J$5:$J$204&gt;$A32)*(ROW('01_予約入力'!$G$5:$G$204)-4))))</f>
        <v/>
      </c>
      <c r="N32" s="36">
        <f>IF(OR($A32="",C$6=""),0,SUMPRODUCT(MAX(('01_予約入力'!$D$5:$D$204=C$6)*('01_予約入力'!$N$5:$N$204&lt;&gt;"キャンセル")*('01_予約入力'!$G$5:$G$204&lt;&gt;"")*('01_予約入力'!$G$5:$G$204=$A32)*('01_予約入力'!$J$5:$J$204=$A32)*(ROW('01_予約入力'!$G$5:$G$204)-4))))</f>
        <v/>
      </c>
      <c r="O32" s="36">
        <f>IF(OR($A32="",D$6=""),0,SUMPRODUCT(MAX(('01_予約入力'!$D$5:$D$204=D$6)*('01_予約入力'!$N$5:$N$204&lt;&gt;"キャンセル")*('01_予約入力'!$G$5:$G$204&lt;&gt;"")*('01_予約入力'!$J$5:$J$204=$A32)*('01_予約入力'!$G$5:$G$204&lt;$A32)*(ROW('01_予約入力'!$G$5:$G$204)-4))))</f>
        <v/>
      </c>
      <c r="P32" s="36">
        <f>IF(OR($A32="",D$6=""),0,SUMPRODUCT(MAX(('01_予約入力'!$D$5:$D$204=D$6)*('01_予約入力'!$N$5:$N$204&lt;&gt;"キャンセル")*('01_予約入力'!$G$5:$G$204&lt;&gt;"")*('01_予約入力'!$G$5:$G$204&lt;=$A32)*('01_予約入力'!$J$5:$J$204&gt;$A32)*(ROW('01_予約入力'!$G$5:$G$204)-4))))</f>
        <v/>
      </c>
      <c r="Q32" s="36">
        <f>IF(OR($A32="",D$6=""),0,SUMPRODUCT(MAX(('01_予約入力'!$D$5:$D$204=D$6)*('01_予約入力'!$N$5:$N$204&lt;&gt;"キャンセル")*('01_予約入力'!$G$5:$G$204&lt;&gt;"")*('01_予約入力'!$G$5:$G$204=$A32)*('01_予約入力'!$J$5:$J$204=$A32)*(ROW('01_予約入力'!$G$5:$G$204)-4))))</f>
        <v/>
      </c>
      <c r="R32" s="36">
        <f>IF(OR($A32="",E$6=""),0,SUMPRODUCT(MAX(('01_予約入力'!$D$5:$D$204=E$6)*('01_予約入力'!$N$5:$N$204&lt;&gt;"キャンセル")*('01_予約入力'!$G$5:$G$204&lt;&gt;"")*('01_予約入力'!$J$5:$J$204=$A32)*('01_予約入力'!$G$5:$G$204&lt;$A32)*(ROW('01_予約入力'!$G$5:$G$204)-4))))</f>
        <v/>
      </c>
      <c r="S32" s="36">
        <f>IF(OR($A32="",E$6=""),0,SUMPRODUCT(MAX(('01_予約入力'!$D$5:$D$204=E$6)*('01_予約入力'!$N$5:$N$204&lt;&gt;"キャンセル")*('01_予約入力'!$G$5:$G$204&lt;&gt;"")*('01_予約入力'!$G$5:$G$204&lt;=$A32)*('01_予約入力'!$J$5:$J$204&gt;$A32)*(ROW('01_予約入力'!$G$5:$G$204)-4))))</f>
        <v/>
      </c>
      <c r="T32" s="36">
        <f>IF(OR($A32="",E$6=""),0,SUMPRODUCT(MAX(('01_予約入力'!$D$5:$D$204=E$6)*('01_予約入力'!$N$5:$N$204&lt;&gt;"キャンセル")*('01_予約入力'!$G$5:$G$204&lt;&gt;"")*('01_予約入力'!$G$5:$G$204=$A32)*('01_予約入力'!$J$5:$J$204=$A32)*(ROW('01_予約入力'!$G$5:$G$204)-4))))</f>
        <v/>
      </c>
      <c r="U32" s="36">
        <f>IF(OR($A32="",F$6=""),0,SUMPRODUCT(MAX(('01_予約入力'!$D$5:$D$204=F$6)*('01_予約入力'!$N$5:$N$204&lt;&gt;"キャンセル")*('01_予約入力'!$G$5:$G$204&lt;&gt;"")*('01_予約入力'!$J$5:$J$204=$A32)*('01_予約入力'!$G$5:$G$204&lt;$A32)*(ROW('01_予約入力'!$G$5:$G$204)-4))))</f>
        <v/>
      </c>
      <c r="V32" s="36">
        <f>IF(OR($A32="",F$6=""),0,SUMPRODUCT(MAX(('01_予約入力'!$D$5:$D$204=F$6)*('01_予約入力'!$N$5:$N$204&lt;&gt;"キャンセル")*('01_予約入力'!$G$5:$G$204&lt;&gt;"")*('01_予約入力'!$G$5:$G$204&lt;=$A32)*('01_予約入力'!$J$5:$J$204&gt;$A32)*(ROW('01_予約入力'!$G$5:$G$204)-4))))</f>
        <v/>
      </c>
      <c r="W32" s="36">
        <f>IF(OR($A32="",F$6=""),0,SUMPRODUCT(MAX(('01_予約入力'!$D$5:$D$204=F$6)*('01_予約入力'!$N$5:$N$204&lt;&gt;"キャンセル")*('01_予約入力'!$G$5:$G$204&lt;&gt;"")*('01_予約入力'!$G$5:$G$204=$A32)*('01_予約入力'!$J$5:$J$204=$A32)*(ROW('01_予約入力'!$G$5:$G$204)-4))))</f>
        <v/>
      </c>
      <c r="X32" s="36">
        <f>IF($A32="","",IF($M32&gt;0,IF(OR(INDEX('01_予約入力'!$N$5:$N$204,$M32)="仮予約",INDEX('01_予約入力'!$N$5:$N$204,$M32)="調整中"),"仮",INDEX('01_予約入力'!$C$5:$C$204,$M32)),IF($N32&gt;0,IF(OR(INDEX('01_予約入力'!$N$5:$N$204,$N32)="仮予約",INDEX('01_予約入力'!$N$5:$N$204,$N32)="調整中"),"仮",INDEX('01_予約入力'!$C$5:$C$204,$N32)),IF($L32&gt;0,IF(OR(INDEX('01_予約入力'!$N$5:$N$204,$L32)="仮予約",INDEX('01_予約入力'!$N$5:$N$204,$L32)="調整中"),"仮",INDEX('01_予約入力'!$C$5:$C$204,$L32)),""))))</f>
        <v/>
      </c>
      <c r="Y32" s="36">
        <f>IF($A32="","",IF($P32&gt;0,IF(OR(INDEX('01_予約入力'!$N$5:$N$204,$P32)="仮予約",INDEX('01_予約入力'!$N$5:$N$204,$P32)="調整中"),"仮",INDEX('01_予約入力'!$C$5:$C$204,$P32)),IF($Q32&gt;0,IF(OR(INDEX('01_予約入力'!$N$5:$N$204,$Q32)="仮予約",INDEX('01_予約入力'!$N$5:$N$204,$Q32)="調整中"),"仮",INDEX('01_予約入力'!$C$5:$C$204,$Q32)),IF($O32&gt;0,IF(OR(INDEX('01_予約入力'!$N$5:$N$204,$O32)="仮予約",INDEX('01_予約入力'!$N$5:$N$204,$O32)="調整中"),"仮",INDEX('01_予約入力'!$C$5:$C$204,$O32)),""))))</f>
        <v/>
      </c>
      <c r="Z32" s="36">
        <f>IF($A32="","",IF($S32&gt;0,IF(OR(INDEX('01_予約入力'!$N$5:$N$204,$S32)="仮予約",INDEX('01_予約入力'!$N$5:$N$204,$S32)="調整中"),"仮",INDEX('01_予約入力'!$C$5:$C$204,$S32)),IF($T32&gt;0,IF(OR(INDEX('01_予約入力'!$N$5:$N$204,$T32)="仮予約",INDEX('01_予約入力'!$N$5:$N$204,$T32)="調整中"),"仮",INDEX('01_予約入力'!$C$5:$C$204,$T32)),IF($R32&gt;0,IF(OR(INDEX('01_予約入力'!$N$5:$N$204,$R32)="仮予約",INDEX('01_予約入力'!$N$5:$N$204,$R32)="調整中"),"仮",INDEX('01_予約入力'!$C$5:$C$204,$R32)),""))))</f>
        <v/>
      </c>
      <c r="AA32" s="36">
        <f>IF($A32="","",IF($V32&gt;0,IF(OR(INDEX('01_予約入力'!$N$5:$N$204,$V32)="仮予約",INDEX('01_予約入力'!$N$5:$N$204,$V32)="調整中"),"仮",INDEX('01_予約入力'!$C$5:$C$204,$V32)),IF($W32&gt;0,IF(OR(INDEX('01_予約入力'!$N$5:$N$204,$W32)="仮予約",INDEX('01_予約入力'!$N$5:$N$204,$W32)="調整中"),"仮",INDEX('01_予約入力'!$C$5:$C$204,$W32)),IF($U32&gt;0,IF(OR(INDEX('01_予約入力'!$N$5:$N$204,$U32)="仮予約",INDEX('01_予約入力'!$N$5:$N$204,$U32)="調整中"),"仮",INDEX('01_予約入力'!$C$5:$C$204,$U32)),""))))</f>
        <v/>
      </c>
    </row>
    <row r="33">
      <c r="A33" s="41">
        <f>IF(MONTH('02_カレンダー'!$B$4+26)&lt;&gt;MONTH('02_カレンダー'!$B$4),"",'02_カレンダー'!$B$4+26)</f>
        <v/>
      </c>
      <c r="B33" s="36">
        <f>IF($A33="","",MID("日月火水木金土",WEEKDAY($A33),1))</f>
        <v/>
      </c>
      <c r="C33" s="42">
        <f>IF(OR($A33="",C$6=""),"",IF($L33=0,"",INDEX('01_予約入力'!$B$5:$B$204,$L33)&amp;" ◀"&amp;IF(('02_カレンダー'!$B$5="○"),INDEX('01_予約入力'!$AB$5:$AB$204,$L33),""))&amp;IF(AND($L33&gt;0,OR($M33&gt;0,$N33&gt;0)),"  ","")&amp;IF($M33=0,"",IF(INDEX('01_予約入力'!$G$5:$G$204,$M33)=$A33,"▶"&amp;IF(('02_カレンダー'!$B$5="○"),INDEX('01_予約入力'!$AA$5:$AA$204,$M33)&amp;" "," "),"")&amp;INDEX('01_予約入力'!$B$5:$B$204,$M33))&amp;IF(AND($M33&gt;0,$N33&gt;0),"  ","")&amp;IF($N33=0,"","◆ "&amp;INDEX('01_予約入力'!$B$5:$B$204,$N33)&amp;IF(('02_カレンダー'!$B$5="○")," "&amp;INDEX('01_予約入力'!$AA$5:$AA$204,$N33)&amp;"-"&amp;INDEX('01_予約入力'!$AB$5:$AB$204,$N33),"")))</f>
        <v/>
      </c>
      <c r="D33" s="42">
        <f>IF(OR($A33="",D$6=""),"",IF($O33=0,"",INDEX('01_予約入力'!$B$5:$B$204,$O33)&amp;" ◀"&amp;IF(('02_カレンダー'!$B$5="○"),INDEX('01_予約入力'!$AB$5:$AB$204,$O33),""))&amp;IF(AND($O33&gt;0,OR($P33&gt;0,$Q33&gt;0)),"  ","")&amp;IF($P33=0,"",IF(INDEX('01_予約入力'!$G$5:$G$204,$P33)=$A33,"▶"&amp;IF(('02_カレンダー'!$B$5="○"),INDEX('01_予約入力'!$AA$5:$AA$204,$P33)&amp;" "," "),"")&amp;INDEX('01_予約入力'!$B$5:$B$204,$P33))&amp;IF(AND($P33&gt;0,$Q33&gt;0),"  ","")&amp;IF($Q33=0,"","◆ "&amp;INDEX('01_予約入力'!$B$5:$B$204,$Q33)&amp;IF(('02_カレンダー'!$B$5="○")," "&amp;INDEX('01_予約入力'!$AA$5:$AA$204,$Q33)&amp;"-"&amp;INDEX('01_予約入力'!$AB$5:$AB$204,$Q33),"")))</f>
        <v/>
      </c>
      <c r="E33" s="42">
        <f>IF(OR($A33="",E$6=""),"",IF($R33=0,"",INDEX('01_予約入力'!$B$5:$B$204,$R33)&amp;" ◀"&amp;IF(('02_カレンダー'!$B$5="○"),INDEX('01_予約入力'!$AB$5:$AB$204,$R33),""))&amp;IF(AND($R33&gt;0,OR($S33&gt;0,$T33&gt;0)),"  ","")&amp;IF($S33=0,"",IF(INDEX('01_予約入力'!$G$5:$G$204,$S33)=$A33,"▶"&amp;IF(('02_カレンダー'!$B$5="○"),INDEX('01_予約入力'!$AA$5:$AA$204,$S33)&amp;" "," "),"")&amp;INDEX('01_予約入力'!$B$5:$B$204,$S33))&amp;IF(AND($S33&gt;0,$T33&gt;0),"  ","")&amp;IF($T33=0,"","◆ "&amp;INDEX('01_予約入力'!$B$5:$B$204,$T33)&amp;IF(('02_カレンダー'!$B$5="○")," "&amp;INDEX('01_予約入力'!$AA$5:$AA$204,$T33)&amp;"-"&amp;INDEX('01_予約入力'!$AB$5:$AB$204,$T33),"")))</f>
        <v/>
      </c>
      <c r="F33" s="42">
        <f>IF(OR($A33="",F$6=""),"",IF($U33=0,"",INDEX('01_予約入力'!$B$5:$B$204,$U33)&amp;" ◀"&amp;IF(('02_カレンダー'!$B$5="○"),INDEX('01_予約入力'!$AB$5:$AB$204,$U33),""))&amp;IF(AND($U33&gt;0,OR($V33&gt;0,$W33&gt;0)),"  ","")&amp;IF($V33=0,"",IF(INDEX('01_予約入力'!$G$5:$G$204,$V33)=$A33,"▶"&amp;IF(('02_カレンダー'!$B$5="○"),INDEX('01_予約入力'!$AA$5:$AA$204,$V33)&amp;" "," "),"")&amp;INDEX('01_予約入力'!$B$5:$B$204,$V33))&amp;IF(AND($V33&gt;0,$W33&gt;0),"  ","")&amp;IF($W33=0,"","◆ "&amp;INDEX('01_予約入力'!$B$5:$B$204,$W33)&amp;IF(('02_カレンダー'!$B$5="○")," "&amp;INDEX('01_予約入力'!$AA$5:$AA$204,$W33)&amp;"-"&amp;INDEX('01_予約入力'!$AB$5:$AB$204,$W33),"")))</f>
        <v/>
      </c>
      <c r="G33" s="36">
        <f>IF($A33="","",SUMPRODUCT(('01_予約入力'!$G$5:$G$204&lt;&gt;"")*('01_予約入力'!$N$5:$N$204&lt;&gt;"キャンセル")*('01_予約入力'!$G$5:$G$204&lt;=$A33)*('01_予約入力'!$J$5:$J$204&gt;$A33)))</f>
        <v/>
      </c>
      <c r="H33" s="36">
        <f>IF($A33="","",'M_施設設定'!$B$6-$G33)</f>
        <v/>
      </c>
      <c r="I33" s="36">
        <f>IF($A33="","",SUMPRODUCT((('01_予約入力'!$N$5:$N$204="仮予約")+('01_予約入力'!$N$5:$N$204="調整中"))*('01_予約入力'!$G$5:$G$204&lt;&gt;"")*('01_予約入力'!$G$5:$G$204&lt;=$A33)*('01_予約入力'!$J$5:$J$204&gt;$A33)))</f>
        <v/>
      </c>
      <c r="J33" s="36">
        <f>IF($A33="","",IF($I33&gt;0,"仮",IF($H33&lt;=0,"×",IF($H33&lt;'M_施設設定'!$B$6,"△","○"))))</f>
        <v/>
      </c>
      <c r="K33" s="36">
        <f>IF($A33="","",SUMPRODUCT(('01_予約入力'!$G$5:$G$204&lt;&gt;"")*('01_予約入力'!$N$5:$N$204&lt;&gt;"キャンセル")*('01_予約入力'!$G$5:$G$204=$A33)*('01_予約入力'!$J$5:$J$204=$A33)))</f>
        <v/>
      </c>
      <c r="L33" s="36">
        <f>IF(OR($A33="",C$6=""),0,SUMPRODUCT(MAX(('01_予約入力'!$D$5:$D$204=C$6)*('01_予約入力'!$N$5:$N$204&lt;&gt;"キャンセル")*('01_予約入力'!$G$5:$G$204&lt;&gt;"")*('01_予約入力'!$J$5:$J$204=$A33)*('01_予約入力'!$G$5:$G$204&lt;$A33)*(ROW('01_予約入力'!$G$5:$G$204)-4))))</f>
        <v/>
      </c>
      <c r="M33" s="36">
        <f>IF(OR($A33="",C$6=""),0,SUMPRODUCT(MAX(('01_予約入力'!$D$5:$D$204=C$6)*('01_予約入力'!$N$5:$N$204&lt;&gt;"キャンセル")*('01_予約入力'!$G$5:$G$204&lt;&gt;"")*('01_予約入力'!$G$5:$G$204&lt;=$A33)*('01_予約入力'!$J$5:$J$204&gt;$A33)*(ROW('01_予約入力'!$G$5:$G$204)-4))))</f>
        <v/>
      </c>
      <c r="N33" s="36">
        <f>IF(OR($A33="",C$6=""),0,SUMPRODUCT(MAX(('01_予約入力'!$D$5:$D$204=C$6)*('01_予約入力'!$N$5:$N$204&lt;&gt;"キャンセル")*('01_予約入力'!$G$5:$G$204&lt;&gt;"")*('01_予約入力'!$G$5:$G$204=$A33)*('01_予約入力'!$J$5:$J$204=$A33)*(ROW('01_予約入力'!$G$5:$G$204)-4))))</f>
        <v/>
      </c>
      <c r="O33" s="36">
        <f>IF(OR($A33="",D$6=""),0,SUMPRODUCT(MAX(('01_予約入力'!$D$5:$D$204=D$6)*('01_予約入力'!$N$5:$N$204&lt;&gt;"キャンセル")*('01_予約入力'!$G$5:$G$204&lt;&gt;"")*('01_予約入力'!$J$5:$J$204=$A33)*('01_予約入力'!$G$5:$G$204&lt;$A33)*(ROW('01_予約入力'!$G$5:$G$204)-4))))</f>
        <v/>
      </c>
      <c r="P33" s="36">
        <f>IF(OR($A33="",D$6=""),0,SUMPRODUCT(MAX(('01_予約入力'!$D$5:$D$204=D$6)*('01_予約入力'!$N$5:$N$204&lt;&gt;"キャンセル")*('01_予約入力'!$G$5:$G$204&lt;&gt;"")*('01_予約入力'!$G$5:$G$204&lt;=$A33)*('01_予約入力'!$J$5:$J$204&gt;$A33)*(ROW('01_予約入力'!$G$5:$G$204)-4))))</f>
        <v/>
      </c>
      <c r="Q33" s="36">
        <f>IF(OR($A33="",D$6=""),0,SUMPRODUCT(MAX(('01_予約入力'!$D$5:$D$204=D$6)*('01_予約入力'!$N$5:$N$204&lt;&gt;"キャンセル")*('01_予約入力'!$G$5:$G$204&lt;&gt;"")*('01_予約入力'!$G$5:$G$204=$A33)*('01_予約入力'!$J$5:$J$204=$A33)*(ROW('01_予約入力'!$G$5:$G$204)-4))))</f>
        <v/>
      </c>
      <c r="R33" s="36">
        <f>IF(OR($A33="",E$6=""),0,SUMPRODUCT(MAX(('01_予約入力'!$D$5:$D$204=E$6)*('01_予約入力'!$N$5:$N$204&lt;&gt;"キャンセル")*('01_予約入力'!$G$5:$G$204&lt;&gt;"")*('01_予約入力'!$J$5:$J$204=$A33)*('01_予約入力'!$G$5:$G$204&lt;$A33)*(ROW('01_予約入力'!$G$5:$G$204)-4))))</f>
        <v/>
      </c>
      <c r="S33" s="36">
        <f>IF(OR($A33="",E$6=""),0,SUMPRODUCT(MAX(('01_予約入力'!$D$5:$D$204=E$6)*('01_予約入力'!$N$5:$N$204&lt;&gt;"キャンセル")*('01_予約入力'!$G$5:$G$204&lt;&gt;"")*('01_予約入力'!$G$5:$G$204&lt;=$A33)*('01_予約入力'!$J$5:$J$204&gt;$A33)*(ROW('01_予約入力'!$G$5:$G$204)-4))))</f>
        <v/>
      </c>
      <c r="T33" s="36">
        <f>IF(OR($A33="",E$6=""),0,SUMPRODUCT(MAX(('01_予約入力'!$D$5:$D$204=E$6)*('01_予約入力'!$N$5:$N$204&lt;&gt;"キャンセル")*('01_予約入力'!$G$5:$G$204&lt;&gt;"")*('01_予約入力'!$G$5:$G$204=$A33)*('01_予約入力'!$J$5:$J$204=$A33)*(ROW('01_予約入力'!$G$5:$G$204)-4))))</f>
        <v/>
      </c>
      <c r="U33" s="36">
        <f>IF(OR($A33="",F$6=""),0,SUMPRODUCT(MAX(('01_予約入力'!$D$5:$D$204=F$6)*('01_予約入力'!$N$5:$N$204&lt;&gt;"キャンセル")*('01_予約入力'!$G$5:$G$204&lt;&gt;"")*('01_予約入力'!$J$5:$J$204=$A33)*('01_予約入力'!$G$5:$G$204&lt;$A33)*(ROW('01_予約入力'!$G$5:$G$204)-4))))</f>
        <v/>
      </c>
      <c r="V33" s="36">
        <f>IF(OR($A33="",F$6=""),0,SUMPRODUCT(MAX(('01_予約入力'!$D$5:$D$204=F$6)*('01_予約入力'!$N$5:$N$204&lt;&gt;"キャンセル")*('01_予約入力'!$G$5:$G$204&lt;&gt;"")*('01_予約入力'!$G$5:$G$204&lt;=$A33)*('01_予約入力'!$J$5:$J$204&gt;$A33)*(ROW('01_予約入力'!$G$5:$G$204)-4))))</f>
        <v/>
      </c>
      <c r="W33" s="36">
        <f>IF(OR($A33="",F$6=""),0,SUMPRODUCT(MAX(('01_予約入力'!$D$5:$D$204=F$6)*('01_予約入力'!$N$5:$N$204&lt;&gt;"キャンセル")*('01_予約入力'!$G$5:$G$204&lt;&gt;"")*('01_予約入力'!$G$5:$G$204=$A33)*('01_予約入力'!$J$5:$J$204=$A33)*(ROW('01_予約入力'!$G$5:$G$204)-4))))</f>
        <v/>
      </c>
      <c r="X33" s="36">
        <f>IF($A33="","",IF($M33&gt;0,IF(OR(INDEX('01_予約入力'!$N$5:$N$204,$M33)="仮予約",INDEX('01_予約入力'!$N$5:$N$204,$M33)="調整中"),"仮",INDEX('01_予約入力'!$C$5:$C$204,$M33)),IF($N33&gt;0,IF(OR(INDEX('01_予約入力'!$N$5:$N$204,$N33)="仮予約",INDEX('01_予約入力'!$N$5:$N$204,$N33)="調整中"),"仮",INDEX('01_予約入力'!$C$5:$C$204,$N33)),IF($L33&gt;0,IF(OR(INDEX('01_予約入力'!$N$5:$N$204,$L33)="仮予約",INDEX('01_予約入力'!$N$5:$N$204,$L33)="調整中"),"仮",INDEX('01_予約入力'!$C$5:$C$204,$L33)),""))))</f>
        <v/>
      </c>
      <c r="Y33" s="36">
        <f>IF($A33="","",IF($P33&gt;0,IF(OR(INDEX('01_予約入力'!$N$5:$N$204,$P33)="仮予約",INDEX('01_予約入力'!$N$5:$N$204,$P33)="調整中"),"仮",INDEX('01_予約入力'!$C$5:$C$204,$P33)),IF($Q33&gt;0,IF(OR(INDEX('01_予約入力'!$N$5:$N$204,$Q33)="仮予約",INDEX('01_予約入力'!$N$5:$N$204,$Q33)="調整中"),"仮",INDEX('01_予約入力'!$C$5:$C$204,$Q33)),IF($O33&gt;0,IF(OR(INDEX('01_予約入力'!$N$5:$N$204,$O33)="仮予約",INDEX('01_予約入力'!$N$5:$N$204,$O33)="調整中"),"仮",INDEX('01_予約入力'!$C$5:$C$204,$O33)),""))))</f>
        <v/>
      </c>
      <c r="Z33" s="36">
        <f>IF($A33="","",IF($S33&gt;0,IF(OR(INDEX('01_予約入力'!$N$5:$N$204,$S33)="仮予約",INDEX('01_予約入力'!$N$5:$N$204,$S33)="調整中"),"仮",INDEX('01_予約入力'!$C$5:$C$204,$S33)),IF($T33&gt;0,IF(OR(INDEX('01_予約入力'!$N$5:$N$204,$T33)="仮予約",INDEX('01_予約入力'!$N$5:$N$204,$T33)="調整中"),"仮",INDEX('01_予約入力'!$C$5:$C$204,$T33)),IF($R33&gt;0,IF(OR(INDEX('01_予約入力'!$N$5:$N$204,$R33)="仮予約",INDEX('01_予約入力'!$N$5:$N$204,$R33)="調整中"),"仮",INDEX('01_予約入力'!$C$5:$C$204,$R33)),""))))</f>
        <v/>
      </c>
      <c r="AA33" s="36">
        <f>IF($A33="","",IF($V33&gt;0,IF(OR(INDEX('01_予約入力'!$N$5:$N$204,$V33)="仮予約",INDEX('01_予約入力'!$N$5:$N$204,$V33)="調整中"),"仮",INDEX('01_予約入力'!$C$5:$C$204,$V33)),IF($W33&gt;0,IF(OR(INDEX('01_予約入力'!$N$5:$N$204,$W33)="仮予約",INDEX('01_予約入力'!$N$5:$N$204,$W33)="調整中"),"仮",INDEX('01_予約入力'!$C$5:$C$204,$W33)),IF($U33&gt;0,IF(OR(INDEX('01_予約入力'!$N$5:$N$204,$U33)="仮予約",INDEX('01_予約入力'!$N$5:$N$204,$U33)="調整中"),"仮",INDEX('01_予約入力'!$C$5:$C$204,$U33)),""))))</f>
        <v/>
      </c>
    </row>
    <row r="34">
      <c r="A34" s="41">
        <f>IF(MONTH('02_カレンダー'!$B$4+27)&lt;&gt;MONTH('02_カレンダー'!$B$4),"",'02_カレンダー'!$B$4+27)</f>
        <v/>
      </c>
      <c r="B34" s="36">
        <f>IF($A34="","",MID("日月火水木金土",WEEKDAY($A34),1))</f>
        <v/>
      </c>
      <c r="C34" s="42">
        <f>IF(OR($A34="",C$6=""),"",IF($L34=0,"",INDEX('01_予約入力'!$B$5:$B$204,$L34)&amp;" ◀"&amp;IF(('02_カレンダー'!$B$5="○"),INDEX('01_予約入力'!$AB$5:$AB$204,$L34),""))&amp;IF(AND($L34&gt;0,OR($M34&gt;0,$N34&gt;0)),"  ","")&amp;IF($M34=0,"",IF(INDEX('01_予約入力'!$G$5:$G$204,$M34)=$A34,"▶"&amp;IF(('02_カレンダー'!$B$5="○"),INDEX('01_予約入力'!$AA$5:$AA$204,$M34)&amp;" "," "),"")&amp;INDEX('01_予約入力'!$B$5:$B$204,$M34))&amp;IF(AND($M34&gt;0,$N34&gt;0),"  ","")&amp;IF($N34=0,"","◆ "&amp;INDEX('01_予約入力'!$B$5:$B$204,$N34)&amp;IF(('02_カレンダー'!$B$5="○")," "&amp;INDEX('01_予約入力'!$AA$5:$AA$204,$N34)&amp;"-"&amp;INDEX('01_予約入力'!$AB$5:$AB$204,$N34),"")))</f>
        <v/>
      </c>
      <c r="D34" s="42">
        <f>IF(OR($A34="",D$6=""),"",IF($O34=0,"",INDEX('01_予約入力'!$B$5:$B$204,$O34)&amp;" ◀"&amp;IF(('02_カレンダー'!$B$5="○"),INDEX('01_予約入力'!$AB$5:$AB$204,$O34),""))&amp;IF(AND($O34&gt;0,OR($P34&gt;0,$Q34&gt;0)),"  ","")&amp;IF($P34=0,"",IF(INDEX('01_予約入力'!$G$5:$G$204,$P34)=$A34,"▶"&amp;IF(('02_カレンダー'!$B$5="○"),INDEX('01_予約入力'!$AA$5:$AA$204,$P34)&amp;" "," "),"")&amp;INDEX('01_予約入力'!$B$5:$B$204,$P34))&amp;IF(AND($P34&gt;0,$Q34&gt;0),"  ","")&amp;IF($Q34=0,"","◆ "&amp;INDEX('01_予約入力'!$B$5:$B$204,$Q34)&amp;IF(('02_カレンダー'!$B$5="○")," "&amp;INDEX('01_予約入力'!$AA$5:$AA$204,$Q34)&amp;"-"&amp;INDEX('01_予約入力'!$AB$5:$AB$204,$Q34),"")))</f>
        <v/>
      </c>
      <c r="E34" s="42">
        <f>IF(OR($A34="",E$6=""),"",IF($R34=0,"",INDEX('01_予約入力'!$B$5:$B$204,$R34)&amp;" ◀"&amp;IF(('02_カレンダー'!$B$5="○"),INDEX('01_予約入力'!$AB$5:$AB$204,$R34),""))&amp;IF(AND($R34&gt;0,OR($S34&gt;0,$T34&gt;0)),"  ","")&amp;IF($S34=0,"",IF(INDEX('01_予約入力'!$G$5:$G$204,$S34)=$A34,"▶"&amp;IF(('02_カレンダー'!$B$5="○"),INDEX('01_予約入力'!$AA$5:$AA$204,$S34)&amp;" "," "),"")&amp;INDEX('01_予約入力'!$B$5:$B$204,$S34))&amp;IF(AND($S34&gt;0,$T34&gt;0),"  ","")&amp;IF($T34=0,"","◆ "&amp;INDEX('01_予約入力'!$B$5:$B$204,$T34)&amp;IF(('02_カレンダー'!$B$5="○")," "&amp;INDEX('01_予約入力'!$AA$5:$AA$204,$T34)&amp;"-"&amp;INDEX('01_予約入力'!$AB$5:$AB$204,$T34),"")))</f>
        <v/>
      </c>
      <c r="F34" s="42">
        <f>IF(OR($A34="",F$6=""),"",IF($U34=0,"",INDEX('01_予約入力'!$B$5:$B$204,$U34)&amp;" ◀"&amp;IF(('02_カレンダー'!$B$5="○"),INDEX('01_予約入力'!$AB$5:$AB$204,$U34),""))&amp;IF(AND($U34&gt;0,OR($V34&gt;0,$W34&gt;0)),"  ","")&amp;IF($V34=0,"",IF(INDEX('01_予約入力'!$G$5:$G$204,$V34)=$A34,"▶"&amp;IF(('02_カレンダー'!$B$5="○"),INDEX('01_予約入力'!$AA$5:$AA$204,$V34)&amp;" "," "),"")&amp;INDEX('01_予約入力'!$B$5:$B$204,$V34))&amp;IF(AND($V34&gt;0,$W34&gt;0),"  ","")&amp;IF($W34=0,"","◆ "&amp;INDEX('01_予約入力'!$B$5:$B$204,$W34)&amp;IF(('02_カレンダー'!$B$5="○")," "&amp;INDEX('01_予約入力'!$AA$5:$AA$204,$W34)&amp;"-"&amp;INDEX('01_予約入力'!$AB$5:$AB$204,$W34),"")))</f>
        <v/>
      </c>
      <c r="G34" s="36">
        <f>IF($A34="","",SUMPRODUCT(('01_予約入力'!$G$5:$G$204&lt;&gt;"")*('01_予約入力'!$N$5:$N$204&lt;&gt;"キャンセル")*('01_予約入力'!$G$5:$G$204&lt;=$A34)*('01_予約入力'!$J$5:$J$204&gt;$A34)))</f>
        <v/>
      </c>
      <c r="H34" s="36">
        <f>IF($A34="","",'M_施設設定'!$B$6-$G34)</f>
        <v/>
      </c>
      <c r="I34" s="36">
        <f>IF($A34="","",SUMPRODUCT((('01_予約入力'!$N$5:$N$204="仮予約")+('01_予約入力'!$N$5:$N$204="調整中"))*('01_予約入力'!$G$5:$G$204&lt;&gt;"")*('01_予約入力'!$G$5:$G$204&lt;=$A34)*('01_予約入力'!$J$5:$J$204&gt;$A34)))</f>
        <v/>
      </c>
      <c r="J34" s="36">
        <f>IF($A34="","",IF($I34&gt;0,"仮",IF($H34&lt;=0,"×",IF($H34&lt;'M_施設設定'!$B$6,"△","○"))))</f>
        <v/>
      </c>
      <c r="K34" s="36">
        <f>IF($A34="","",SUMPRODUCT(('01_予約入力'!$G$5:$G$204&lt;&gt;"")*('01_予約入力'!$N$5:$N$204&lt;&gt;"キャンセル")*('01_予約入力'!$G$5:$G$204=$A34)*('01_予約入力'!$J$5:$J$204=$A34)))</f>
        <v/>
      </c>
      <c r="L34" s="36">
        <f>IF(OR($A34="",C$6=""),0,SUMPRODUCT(MAX(('01_予約入力'!$D$5:$D$204=C$6)*('01_予約入力'!$N$5:$N$204&lt;&gt;"キャンセル")*('01_予約入力'!$G$5:$G$204&lt;&gt;"")*('01_予約入力'!$J$5:$J$204=$A34)*('01_予約入力'!$G$5:$G$204&lt;$A34)*(ROW('01_予約入力'!$G$5:$G$204)-4))))</f>
        <v/>
      </c>
      <c r="M34" s="36">
        <f>IF(OR($A34="",C$6=""),0,SUMPRODUCT(MAX(('01_予約入力'!$D$5:$D$204=C$6)*('01_予約入力'!$N$5:$N$204&lt;&gt;"キャンセル")*('01_予約入力'!$G$5:$G$204&lt;&gt;"")*('01_予約入力'!$G$5:$G$204&lt;=$A34)*('01_予約入力'!$J$5:$J$204&gt;$A34)*(ROW('01_予約入力'!$G$5:$G$204)-4))))</f>
        <v/>
      </c>
      <c r="N34" s="36">
        <f>IF(OR($A34="",C$6=""),0,SUMPRODUCT(MAX(('01_予約入力'!$D$5:$D$204=C$6)*('01_予約入力'!$N$5:$N$204&lt;&gt;"キャンセル")*('01_予約入力'!$G$5:$G$204&lt;&gt;"")*('01_予約入力'!$G$5:$G$204=$A34)*('01_予約入力'!$J$5:$J$204=$A34)*(ROW('01_予約入力'!$G$5:$G$204)-4))))</f>
        <v/>
      </c>
      <c r="O34" s="36">
        <f>IF(OR($A34="",D$6=""),0,SUMPRODUCT(MAX(('01_予約入力'!$D$5:$D$204=D$6)*('01_予約入力'!$N$5:$N$204&lt;&gt;"キャンセル")*('01_予約入力'!$G$5:$G$204&lt;&gt;"")*('01_予約入力'!$J$5:$J$204=$A34)*('01_予約入力'!$G$5:$G$204&lt;$A34)*(ROW('01_予約入力'!$G$5:$G$204)-4))))</f>
        <v/>
      </c>
      <c r="P34" s="36">
        <f>IF(OR($A34="",D$6=""),0,SUMPRODUCT(MAX(('01_予約入力'!$D$5:$D$204=D$6)*('01_予約入力'!$N$5:$N$204&lt;&gt;"キャンセル")*('01_予約入力'!$G$5:$G$204&lt;&gt;"")*('01_予約入力'!$G$5:$G$204&lt;=$A34)*('01_予約入力'!$J$5:$J$204&gt;$A34)*(ROW('01_予約入力'!$G$5:$G$204)-4))))</f>
        <v/>
      </c>
      <c r="Q34" s="36">
        <f>IF(OR($A34="",D$6=""),0,SUMPRODUCT(MAX(('01_予約入力'!$D$5:$D$204=D$6)*('01_予約入力'!$N$5:$N$204&lt;&gt;"キャンセル")*('01_予約入力'!$G$5:$G$204&lt;&gt;"")*('01_予約入力'!$G$5:$G$204=$A34)*('01_予約入力'!$J$5:$J$204=$A34)*(ROW('01_予約入力'!$G$5:$G$204)-4))))</f>
        <v/>
      </c>
      <c r="R34" s="36">
        <f>IF(OR($A34="",E$6=""),0,SUMPRODUCT(MAX(('01_予約入力'!$D$5:$D$204=E$6)*('01_予約入力'!$N$5:$N$204&lt;&gt;"キャンセル")*('01_予約入力'!$G$5:$G$204&lt;&gt;"")*('01_予約入力'!$J$5:$J$204=$A34)*('01_予約入力'!$G$5:$G$204&lt;$A34)*(ROW('01_予約入力'!$G$5:$G$204)-4))))</f>
        <v/>
      </c>
      <c r="S34" s="36">
        <f>IF(OR($A34="",E$6=""),0,SUMPRODUCT(MAX(('01_予約入力'!$D$5:$D$204=E$6)*('01_予約入力'!$N$5:$N$204&lt;&gt;"キャンセル")*('01_予約入力'!$G$5:$G$204&lt;&gt;"")*('01_予約入力'!$G$5:$G$204&lt;=$A34)*('01_予約入力'!$J$5:$J$204&gt;$A34)*(ROW('01_予約入力'!$G$5:$G$204)-4))))</f>
        <v/>
      </c>
      <c r="T34" s="36">
        <f>IF(OR($A34="",E$6=""),0,SUMPRODUCT(MAX(('01_予約入力'!$D$5:$D$204=E$6)*('01_予約入力'!$N$5:$N$204&lt;&gt;"キャンセル")*('01_予約入力'!$G$5:$G$204&lt;&gt;"")*('01_予約入力'!$G$5:$G$204=$A34)*('01_予約入力'!$J$5:$J$204=$A34)*(ROW('01_予約入力'!$G$5:$G$204)-4))))</f>
        <v/>
      </c>
      <c r="U34" s="36">
        <f>IF(OR($A34="",F$6=""),0,SUMPRODUCT(MAX(('01_予約入力'!$D$5:$D$204=F$6)*('01_予約入力'!$N$5:$N$204&lt;&gt;"キャンセル")*('01_予約入力'!$G$5:$G$204&lt;&gt;"")*('01_予約入力'!$J$5:$J$204=$A34)*('01_予約入力'!$G$5:$G$204&lt;$A34)*(ROW('01_予約入力'!$G$5:$G$204)-4))))</f>
        <v/>
      </c>
      <c r="V34" s="36">
        <f>IF(OR($A34="",F$6=""),0,SUMPRODUCT(MAX(('01_予約入力'!$D$5:$D$204=F$6)*('01_予約入力'!$N$5:$N$204&lt;&gt;"キャンセル")*('01_予約入力'!$G$5:$G$204&lt;&gt;"")*('01_予約入力'!$G$5:$G$204&lt;=$A34)*('01_予約入力'!$J$5:$J$204&gt;$A34)*(ROW('01_予約入力'!$G$5:$G$204)-4))))</f>
        <v/>
      </c>
      <c r="W34" s="36">
        <f>IF(OR($A34="",F$6=""),0,SUMPRODUCT(MAX(('01_予約入力'!$D$5:$D$204=F$6)*('01_予約入力'!$N$5:$N$204&lt;&gt;"キャンセル")*('01_予約入力'!$G$5:$G$204&lt;&gt;"")*('01_予約入力'!$G$5:$G$204=$A34)*('01_予約入力'!$J$5:$J$204=$A34)*(ROW('01_予約入力'!$G$5:$G$204)-4))))</f>
        <v/>
      </c>
      <c r="X34" s="36">
        <f>IF($A34="","",IF($M34&gt;0,IF(OR(INDEX('01_予約入力'!$N$5:$N$204,$M34)="仮予約",INDEX('01_予約入力'!$N$5:$N$204,$M34)="調整中"),"仮",INDEX('01_予約入力'!$C$5:$C$204,$M34)),IF($N34&gt;0,IF(OR(INDEX('01_予約入力'!$N$5:$N$204,$N34)="仮予約",INDEX('01_予約入力'!$N$5:$N$204,$N34)="調整中"),"仮",INDEX('01_予約入力'!$C$5:$C$204,$N34)),IF($L34&gt;0,IF(OR(INDEX('01_予約入力'!$N$5:$N$204,$L34)="仮予約",INDEX('01_予約入力'!$N$5:$N$204,$L34)="調整中"),"仮",INDEX('01_予約入力'!$C$5:$C$204,$L34)),""))))</f>
        <v/>
      </c>
      <c r="Y34" s="36">
        <f>IF($A34="","",IF($P34&gt;0,IF(OR(INDEX('01_予約入力'!$N$5:$N$204,$P34)="仮予約",INDEX('01_予約入力'!$N$5:$N$204,$P34)="調整中"),"仮",INDEX('01_予約入力'!$C$5:$C$204,$P34)),IF($Q34&gt;0,IF(OR(INDEX('01_予約入力'!$N$5:$N$204,$Q34)="仮予約",INDEX('01_予約入力'!$N$5:$N$204,$Q34)="調整中"),"仮",INDEX('01_予約入力'!$C$5:$C$204,$Q34)),IF($O34&gt;0,IF(OR(INDEX('01_予約入力'!$N$5:$N$204,$O34)="仮予約",INDEX('01_予約入力'!$N$5:$N$204,$O34)="調整中"),"仮",INDEX('01_予約入力'!$C$5:$C$204,$O34)),""))))</f>
        <v/>
      </c>
      <c r="Z34" s="36">
        <f>IF($A34="","",IF($S34&gt;0,IF(OR(INDEX('01_予約入力'!$N$5:$N$204,$S34)="仮予約",INDEX('01_予約入力'!$N$5:$N$204,$S34)="調整中"),"仮",INDEX('01_予約入力'!$C$5:$C$204,$S34)),IF($T34&gt;0,IF(OR(INDEX('01_予約入力'!$N$5:$N$204,$T34)="仮予約",INDEX('01_予約入力'!$N$5:$N$204,$T34)="調整中"),"仮",INDEX('01_予約入力'!$C$5:$C$204,$T34)),IF($R34&gt;0,IF(OR(INDEX('01_予約入力'!$N$5:$N$204,$R34)="仮予約",INDEX('01_予約入力'!$N$5:$N$204,$R34)="調整中"),"仮",INDEX('01_予約入力'!$C$5:$C$204,$R34)),""))))</f>
        <v/>
      </c>
      <c r="AA34" s="36">
        <f>IF($A34="","",IF($V34&gt;0,IF(OR(INDEX('01_予約入力'!$N$5:$N$204,$V34)="仮予約",INDEX('01_予約入力'!$N$5:$N$204,$V34)="調整中"),"仮",INDEX('01_予約入力'!$C$5:$C$204,$V34)),IF($W34&gt;0,IF(OR(INDEX('01_予約入力'!$N$5:$N$204,$W34)="仮予約",INDEX('01_予約入力'!$N$5:$N$204,$W34)="調整中"),"仮",INDEX('01_予約入力'!$C$5:$C$204,$W34)),IF($U34&gt;0,IF(OR(INDEX('01_予約入力'!$N$5:$N$204,$U34)="仮予約",INDEX('01_予約入力'!$N$5:$N$204,$U34)="調整中"),"仮",INDEX('01_予約入力'!$C$5:$C$204,$U34)),""))))</f>
        <v/>
      </c>
    </row>
    <row r="35">
      <c r="A35" s="41">
        <f>IF(MONTH('02_カレンダー'!$B$4+28)&lt;&gt;MONTH('02_カレンダー'!$B$4),"",'02_カレンダー'!$B$4+28)</f>
        <v/>
      </c>
      <c r="B35" s="36">
        <f>IF($A35="","",MID("日月火水木金土",WEEKDAY($A35),1))</f>
        <v/>
      </c>
      <c r="C35" s="42">
        <f>IF(OR($A35="",C$6=""),"",IF($L35=0,"",INDEX('01_予約入力'!$B$5:$B$204,$L35)&amp;" ◀"&amp;IF(('02_カレンダー'!$B$5="○"),INDEX('01_予約入力'!$AB$5:$AB$204,$L35),""))&amp;IF(AND($L35&gt;0,OR($M35&gt;0,$N35&gt;0)),"  ","")&amp;IF($M35=0,"",IF(INDEX('01_予約入力'!$G$5:$G$204,$M35)=$A35,"▶"&amp;IF(('02_カレンダー'!$B$5="○"),INDEX('01_予約入力'!$AA$5:$AA$204,$M35)&amp;" "," "),"")&amp;INDEX('01_予約入力'!$B$5:$B$204,$M35))&amp;IF(AND($M35&gt;0,$N35&gt;0),"  ","")&amp;IF($N35=0,"","◆ "&amp;INDEX('01_予約入力'!$B$5:$B$204,$N35)&amp;IF(('02_カレンダー'!$B$5="○")," "&amp;INDEX('01_予約入力'!$AA$5:$AA$204,$N35)&amp;"-"&amp;INDEX('01_予約入力'!$AB$5:$AB$204,$N35),"")))</f>
        <v/>
      </c>
      <c r="D35" s="42">
        <f>IF(OR($A35="",D$6=""),"",IF($O35=0,"",INDEX('01_予約入力'!$B$5:$B$204,$O35)&amp;" ◀"&amp;IF(('02_カレンダー'!$B$5="○"),INDEX('01_予約入力'!$AB$5:$AB$204,$O35),""))&amp;IF(AND($O35&gt;0,OR($P35&gt;0,$Q35&gt;0)),"  ","")&amp;IF($P35=0,"",IF(INDEX('01_予約入力'!$G$5:$G$204,$P35)=$A35,"▶"&amp;IF(('02_カレンダー'!$B$5="○"),INDEX('01_予約入力'!$AA$5:$AA$204,$P35)&amp;" "," "),"")&amp;INDEX('01_予約入力'!$B$5:$B$204,$P35))&amp;IF(AND($P35&gt;0,$Q35&gt;0),"  ","")&amp;IF($Q35=0,"","◆ "&amp;INDEX('01_予約入力'!$B$5:$B$204,$Q35)&amp;IF(('02_カレンダー'!$B$5="○")," "&amp;INDEX('01_予約入力'!$AA$5:$AA$204,$Q35)&amp;"-"&amp;INDEX('01_予約入力'!$AB$5:$AB$204,$Q35),"")))</f>
        <v/>
      </c>
      <c r="E35" s="42">
        <f>IF(OR($A35="",E$6=""),"",IF($R35=0,"",INDEX('01_予約入力'!$B$5:$B$204,$R35)&amp;" ◀"&amp;IF(('02_カレンダー'!$B$5="○"),INDEX('01_予約入力'!$AB$5:$AB$204,$R35),""))&amp;IF(AND($R35&gt;0,OR($S35&gt;0,$T35&gt;0)),"  ","")&amp;IF($S35=0,"",IF(INDEX('01_予約入力'!$G$5:$G$204,$S35)=$A35,"▶"&amp;IF(('02_カレンダー'!$B$5="○"),INDEX('01_予約入力'!$AA$5:$AA$204,$S35)&amp;" "," "),"")&amp;INDEX('01_予約入力'!$B$5:$B$204,$S35))&amp;IF(AND($S35&gt;0,$T35&gt;0),"  ","")&amp;IF($T35=0,"","◆ "&amp;INDEX('01_予約入力'!$B$5:$B$204,$T35)&amp;IF(('02_カレンダー'!$B$5="○")," "&amp;INDEX('01_予約入力'!$AA$5:$AA$204,$T35)&amp;"-"&amp;INDEX('01_予約入力'!$AB$5:$AB$204,$T35),"")))</f>
        <v/>
      </c>
      <c r="F35" s="42">
        <f>IF(OR($A35="",F$6=""),"",IF($U35=0,"",INDEX('01_予約入力'!$B$5:$B$204,$U35)&amp;" ◀"&amp;IF(('02_カレンダー'!$B$5="○"),INDEX('01_予約入力'!$AB$5:$AB$204,$U35),""))&amp;IF(AND($U35&gt;0,OR($V35&gt;0,$W35&gt;0)),"  ","")&amp;IF($V35=0,"",IF(INDEX('01_予約入力'!$G$5:$G$204,$V35)=$A35,"▶"&amp;IF(('02_カレンダー'!$B$5="○"),INDEX('01_予約入力'!$AA$5:$AA$204,$V35)&amp;" "," "),"")&amp;INDEX('01_予約入力'!$B$5:$B$204,$V35))&amp;IF(AND($V35&gt;0,$W35&gt;0),"  ","")&amp;IF($W35=0,"","◆ "&amp;INDEX('01_予約入力'!$B$5:$B$204,$W35)&amp;IF(('02_カレンダー'!$B$5="○")," "&amp;INDEX('01_予約入力'!$AA$5:$AA$204,$W35)&amp;"-"&amp;INDEX('01_予約入力'!$AB$5:$AB$204,$W35),"")))</f>
        <v/>
      </c>
      <c r="G35" s="36">
        <f>IF($A35="","",SUMPRODUCT(('01_予約入力'!$G$5:$G$204&lt;&gt;"")*('01_予約入力'!$N$5:$N$204&lt;&gt;"キャンセル")*('01_予約入力'!$G$5:$G$204&lt;=$A35)*('01_予約入力'!$J$5:$J$204&gt;$A35)))</f>
        <v/>
      </c>
      <c r="H35" s="36">
        <f>IF($A35="","",'M_施設設定'!$B$6-$G35)</f>
        <v/>
      </c>
      <c r="I35" s="36">
        <f>IF($A35="","",SUMPRODUCT((('01_予約入力'!$N$5:$N$204="仮予約")+('01_予約入力'!$N$5:$N$204="調整中"))*('01_予約入力'!$G$5:$G$204&lt;&gt;"")*('01_予約入力'!$G$5:$G$204&lt;=$A35)*('01_予約入力'!$J$5:$J$204&gt;$A35)))</f>
        <v/>
      </c>
      <c r="J35" s="36">
        <f>IF($A35="","",IF($I35&gt;0,"仮",IF($H35&lt;=0,"×",IF($H35&lt;'M_施設設定'!$B$6,"△","○"))))</f>
        <v/>
      </c>
      <c r="K35" s="36">
        <f>IF($A35="","",SUMPRODUCT(('01_予約入力'!$G$5:$G$204&lt;&gt;"")*('01_予約入力'!$N$5:$N$204&lt;&gt;"キャンセル")*('01_予約入力'!$G$5:$G$204=$A35)*('01_予約入力'!$J$5:$J$204=$A35)))</f>
        <v/>
      </c>
      <c r="L35" s="36">
        <f>IF(OR($A35="",C$6=""),0,SUMPRODUCT(MAX(('01_予約入力'!$D$5:$D$204=C$6)*('01_予約入力'!$N$5:$N$204&lt;&gt;"キャンセル")*('01_予約入力'!$G$5:$G$204&lt;&gt;"")*('01_予約入力'!$J$5:$J$204=$A35)*('01_予約入力'!$G$5:$G$204&lt;$A35)*(ROW('01_予約入力'!$G$5:$G$204)-4))))</f>
        <v/>
      </c>
      <c r="M35" s="36">
        <f>IF(OR($A35="",C$6=""),0,SUMPRODUCT(MAX(('01_予約入力'!$D$5:$D$204=C$6)*('01_予約入力'!$N$5:$N$204&lt;&gt;"キャンセル")*('01_予約入力'!$G$5:$G$204&lt;&gt;"")*('01_予約入力'!$G$5:$G$204&lt;=$A35)*('01_予約入力'!$J$5:$J$204&gt;$A35)*(ROW('01_予約入力'!$G$5:$G$204)-4))))</f>
        <v/>
      </c>
      <c r="N35" s="36">
        <f>IF(OR($A35="",C$6=""),0,SUMPRODUCT(MAX(('01_予約入力'!$D$5:$D$204=C$6)*('01_予約入力'!$N$5:$N$204&lt;&gt;"キャンセル")*('01_予約入力'!$G$5:$G$204&lt;&gt;"")*('01_予約入力'!$G$5:$G$204=$A35)*('01_予約入力'!$J$5:$J$204=$A35)*(ROW('01_予約入力'!$G$5:$G$204)-4))))</f>
        <v/>
      </c>
      <c r="O35" s="36">
        <f>IF(OR($A35="",D$6=""),0,SUMPRODUCT(MAX(('01_予約入力'!$D$5:$D$204=D$6)*('01_予約入力'!$N$5:$N$204&lt;&gt;"キャンセル")*('01_予約入力'!$G$5:$G$204&lt;&gt;"")*('01_予約入力'!$J$5:$J$204=$A35)*('01_予約入力'!$G$5:$G$204&lt;$A35)*(ROW('01_予約入力'!$G$5:$G$204)-4))))</f>
        <v/>
      </c>
      <c r="P35" s="36">
        <f>IF(OR($A35="",D$6=""),0,SUMPRODUCT(MAX(('01_予約入力'!$D$5:$D$204=D$6)*('01_予約入力'!$N$5:$N$204&lt;&gt;"キャンセル")*('01_予約入力'!$G$5:$G$204&lt;&gt;"")*('01_予約入力'!$G$5:$G$204&lt;=$A35)*('01_予約入力'!$J$5:$J$204&gt;$A35)*(ROW('01_予約入力'!$G$5:$G$204)-4))))</f>
        <v/>
      </c>
      <c r="Q35" s="36">
        <f>IF(OR($A35="",D$6=""),0,SUMPRODUCT(MAX(('01_予約入力'!$D$5:$D$204=D$6)*('01_予約入力'!$N$5:$N$204&lt;&gt;"キャンセル")*('01_予約入力'!$G$5:$G$204&lt;&gt;"")*('01_予約入力'!$G$5:$G$204=$A35)*('01_予約入力'!$J$5:$J$204=$A35)*(ROW('01_予約入力'!$G$5:$G$204)-4))))</f>
        <v/>
      </c>
      <c r="R35" s="36">
        <f>IF(OR($A35="",E$6=""),0,SUMPRODUCT(MAX(('01_予約入力'!$D$5:$D$204=E$6)*('01_予約入力'!$N$5:$N$204&lt;&gt;"キャンセル")*('01_予約入力'!$G$5:$G$204&lt;&gt;"")*('01_予約入力'!$J$5:$J$204=$A35)*('01_予約入力'!$G$5:$G$204&lt;$A35)*(ROW('01_予約入力'!$G$5:$G$204)-4))))</f>
        <v/>
      </c>
      <c r="S35" s="36">
        <f>IF(OR($A35="",E$6=""),0,SUMPRODUCT(MAX(('01_予約入力'!$D$5:$D$204=E$6)*('01_予約入力'!$N$5:$N$204&lt;&gt;"キャンセル")*('01_予約入力'!$G$5:$G$204&lt;&gt;"")*('01_予約入力'!$G$5:$G$204&lt;=$A35)*('01_予約入力'!$J$5:$J$204&gt;$A35)*(ROW('01_予約入力'!$G$5:$G$204)-4))))</f>
        <v/>
      </c>
      <c r="T35" s="36">
        <f>IF(OR($A35="",E$6=""),0,SUMPRODUCT(MAX(('01_予約入力'!$D$5:$D$204=E$6)*('01_予約入力'!$N$5:$N$204&lt;&gt;"キャンセル")*('01_予約入力'!$G$5:$G$204&lt;&gt;"")*('01_予約入力'!$G$5:$G$204=$A35)*('01_予約入力'!$J$5:$J$204=$A35)*(ROW('01_予約入力'!$G$5:$G$204)-4))))</f>
        <v/>
      </c>
      <c r="U35" s="36">
        <f>IF(OR($A35="",F$6=""),0,SUMPRODUCT(MAX(('01_予約入力'!$D$5:$D$204=F$6)*('01_予約入力'!$N$5:$N$204&lt;&gt;"キャンセル")*('01_予約入力'!$G$5:$G$204&lt;&gt;"")*('01_予約入力'!$J$5:$J$204=$A35)*('01_予約入力'!$G$5:$G$204&lt;$A35)*(ROW('01_予約入力'!$G$5:$G$204)-4))))</f>
        <v/>
      </c>
      <c r="V35" s="36">
        <f>IF(OR($A35="",F$6=""),0,SUMPRODUCT(MAX(('01_予約入力'!$D$5:$D$204=F$6)*('01_予約入力'!$N$5:$N$204&lt;&gt;"キャンセル")*('01_予約入力'!$G$5:$G$204&lt;&gt;"")*('01_予約入力'!$G$5:$G$204&lt;=$A35)*('01_予約入力'!$J$5:$J$204&gt;$A35)*(ROW('01_予約入力'!$G$5:$G$204)-4))))</f>
        <v/>
      </c>
      <c r="W35" s="36">
        <f>IF(OR($A35="",F$6=""),0,SUMPRODUCT(MAX(('01_予約入力'!$D$5:$D$204=F$6)*('01_予約入力'!$N$5:$N$204&lt;&gt;"キャンセル")*('01_予約入力'!$G$5:$G$204&lt;&gt;"")*('01_予約入力'!$G$5:$G$204=$A35)*('01_予約入力'!$J$5:$J$204=$A35)*(ROW('01_予約入力'!$G$5:$G$204)-4))))</f>
        <v/>
      </c>
      <c r="X35" s="36">
        <f>IF($A35="","",IF($M35&gt;0,IF(OR(INDEX('01_予約入力'!$N$5:$N$204,$M35)="仮予約",INDEX('01_予約入力'!$N$5:$N$204,$M35)="調整中"),"仮",INDEX('01_予約入力'!$C$5:$C$204,$M35)),IF($N35&gt;0,IF(OR(INDEX('01_予約入力'!$N$5:$N$204,$N35)="仮予約",INDEX('01_予約入力'!$N$5:$N$204,$N35)="調整中"),"仮",INDEX('01_予約入力'!$C$5:$C$204,$N35)),IF($L35&gt;0,IF(OR(INDEX('01_予約入力'!$N$5:$N$204,$L35)="仮予約",INDEX('01_予約入力'!$N$5:$N$204,$L35)="調整中"),"仮",INDEX('01_予約入力'!$C$5:$C$204,$L35)),""))))</f>
        <v/>
      </c>
      <c r="Y35" s="36">
        <f>IF($A35="","",IF($P35&gt;0,IF(OR(INDEX('01_予約入力'!$N$5:$N$204,$P35)="仮予約",INDEX('01_予約入力'!$N$5:$N$204,$P35)="調整中"),"仮",INDEX('01_予約入力'!$C$5:$C$204,$P35)),IF($Q35&gt;0,IF(OR(INDEX('01_予約入力'!$N$5:$N$204,$Q35)="仮予約",INDEX('01_予約入力'!$N$5:$N$204,$Q35)="調整中"),"仮",INDEX('01_予約入力'!$C$5:$C$204,$Q35)),IF($O35&gt;0,IF(OR(INDEX('01_予約入力'!$N$5:$N$204,$O35)="仮予約",INDEX('01_予約入力'!$N$5:$N$204,$O35)="調整中"),"仮",INDEX('01_予約入力'!$C$5:$C$204,$O35)),""))))</f>
        <v/>
      </c>
      <c r="Z35" s="36">
        <f>IF($A35="","",IF($S35&gt;0,IF(OR(INDEX('01_予約入力'!$N$5:$N$204,$S35)="仮予約",INDEX('01_予約入力'!$N$5:$N$204,$S35)="調整中"),"仮",INDEX('01_予約入力'!$C$5:$C$204,$S35)),IF($T35&gt;0,IF(OR(INDEX('01_予約入力'!$N$5:$N$204,$T35)="仮予約",INDEX('01_予約入力'!$N$5:$N$204,$T35)="調整中"),"仮",INDEX('01_予約入力'!$C$5:$C$204,$T35)),IF($R35&gt;0,IF(OR(INDEX('01_予約入力'!$N$5:$N$204,$R35)="仮予約",INDEX('01_予約入力'!$N$5:$N$204,$R35)="調整中"),"仮",INDEX('01_予約入力'!$C$5:$C$204,$R35)),""))))</f>
        <v/>
      </c>
      <c r="AA35" s="36">
        <f>IF($A35="","",IF($V35&gt;0,IF(OR(INDEX('01_予約入力'!$N$5:$N$204,$V35)="仮予約",INDEX('01_予約入力'!$N$5:$N$204,$V35)="調整中"),"仮",INDEX('01_予約入力'!$C$5:$C$204,$V35)),IF($W35&gt;0,IF(OR(INDEX('01_予約入力'!$N$5:$N$204,$W35)="仮予約",INDEX('01_予約入力'!$N$5:$N$204,$W35)="調整中"),"仮",INDEX('01_予約入力'!$C$5:$C$204,$W35)),IF($U35&gt;0,IF(OR(INDEX('01_予約入力'!$N$5:$N$204,$U35)="仮予約",INDEX('01_予約入力'!$N$5:$N$204,$U35)="調整中"),"仮",INDEX('01_予約入力'!$C$5:$C$204,$U35)),""))))</f>
        <v/>
      </c>
    </row>
    <row r="36">
      <c r="A36" s="41">
        <f>IF(MONTH('02_カレンダー'!$B$4+29)&lt;&gt;MONTH('02_カレンダー'!$B$4),"",'02_カレンダー'!$B$4+29)</f>
        <v/>
      </c>
      <c r="B36" s="36">
        <f>IF($A36="","",MID("日月火水木金土",WEEKDAY($A36),1))</f>
        <v/>
      </c>
      <c r="C36" s="42">
        <f>IF(OR($A36="",C$6=""),"",IF($L36=0,"",INDEX('01_予約入力'!$B$5:$B$204,$L36)&amp;" ◀"&amp;IF(('02_カレンダー'!$B$5="○"),INDEX('01_予約入力'!$AB$5:$AB$204,$L36),""))&amp;IF(AND($L36&gt;0,OR($M36&gt;0,$N36&gt;0)),"  ","")&amp;IF($M36=0,"",IF(INDEX('01_予約入力'!$G$5:$G$204,$M36)=$A36,"▶"&amp;IF(('02_カレンダー'!$B$5="○"),INDEX('01_予約入力'!$AA$5:$AA$204,$M36)&amp;" "," "),"")&amp;INDEX('01_予約入力'!$B$5:$B$204,$M36))&amp;IF(AND($M36&gt;0,$N36&gt;0),"  ","")&amp;IF($N36=0,"","◆ "&amp;INDEX('01_予約入力'!$B$5:$B$204,$N36)&amp;IF(('02_カレンダー'!$B$5="○")," "&amp;INDEX('01_予約入力'!$AA$5:$AA$204,$N36)&amp;"-"&amp;INDEX('01_予約入力'!$AB$5:$AB$204,$N36),"")))</f>
        <v/>
      </c>
      <c r="D36" s="42">
        <f>IF(OR($A36="",D$6=""),"",IF($O36=0,"",INDEX('01_予約入力'!$B$5:$B$204,$O36)&amp;" ◀"&amp;IF(('02_カレンダー'!$B$5="○"),INDEX('01_予約入力'!$AB$5:$AB$204,$O36),""))&amp;IF(AND($O36&gt;0,OR($P36&gt;0,$Q36&gt;0)),"  ","")&amp;IF($P36=0,"",IF(INDEX('01_予約入力'!$G$5:$G$204,$P36)=$A36,"▶"&amp;IF(('02_カレンダー'!$B$5="○"),INDEX('01_予約入力'!$AA$5:$AA$204,$P36)&amp;" "," "),"")&amp;INDEX('01_予約入力'!$B$5:$B$204,$P36))&amp;IF(AND($P36&gt;0,$Q36&gt;0),"  ","")&amp;IF($Q36=0,"","◆ "&amp;INDEX('01_予約入力'!$B$5:$B$204,$Q36)&amp;IF(('02_カレンダー'!$B$5="○")," "&amp;INDEX('01_予約入力'!$AA$5:$AA$204,$Q36)&amp;"-"&amp;INDEX('01_予約入力'!$AB$5:$AB$204,$Q36),"")))</f>
        <v/>
      </c>
      <c r="E36" s="42">
        <f>IF(OR($A36="",E$6=""),"",IF($R36=0,"",INDEX('01_予約入力'!$B$5:$B$204,$R36)&amp;" ◀"&amp;IF(('02_カレンダー'!$B$5="○"),INDEX('01_予約入力'!$AB$5:$AB$204,$R36),""))&amp;IF(AND($R36&gt;0,OR($S36&gt;0,$T36&gt;0)),"  ","")&amp;IF($S36=0,"",IF(INDEX('01_予約入力'!$G$5:$G$204,$S36)=$A36,"▶"&amp;IF(('02_カレンダー'!$B$5="○"),INDEX('01_予約入力'!$AA$5:$AA$204,$S36)&amp;" "," "),"")&amp;INDEX('01_予約入力'!$B$5:$B$204,$S36))&amp;IF(AND($S36&gt;0,$T36&gt;0),"  ","")&amp;IF($T36=0,"","◆ "&amp;INDEX('01_予約入力'!$B$5:$B$204,$T36)&amp;IF(('02_カレンダー'!$B$5="○")," "&amp;INDEX('01_予約入力'!$AA$5:$AA$204,$T36)&amp;"-"&amp;INDEX('01_予約入力'!$AB$5:$AB$204,$T36),"")))</f>
        <v/>
      </c>
      <c r="F36" s="42">
        <f>IF(OR($A36="",F$6=""),"",IF($U36=0,"",INDEX('01_予約入力'!$B$5:$B$204,$U36)&amp;" ◀"&amp;IF(('02_カレンダー'!$B$5="○"),INDEX('01_予約入力'!$AB$5:$AB$204,$U36),""))&amp;IF(AND($U36&gt;0,OR($V36&gt;0,$W36&gt;0)),"  ","")&amp;IF($V36=0,"",IF(INDEX('01_予約入力'!$G$5:$G$204,$V36)=$A36,"▶"&amp;IF(('02_カレンダー'!$B$5="○"),INDEX('01_予約入力'!$AA$5:$AA$204,$V36)&amp;" "," "),"")&amp;INDEX('01_予約入力'!$B$5:$B$204,$V36))&amp;IF(AND($V36&gt;0,$W36&gt;0),"  ","")&amp;IF($W36=0,"","◆ "&amp;INDEX('01_予約入力'!$B$5:$B$204,$W36)&amp;IF(('02_カレンダー'!$B$5="○")," "&amp;INDEX('01_予約入力'!$AA$5:$AA$204,$W36)&amp;"-"&amp;INDEX('01_予約入力'!$AB$5:$AB$204,$W36),"")))</f>
        <v/>
      </c>
      <c r="G36" s="36">
        <f>IF($A36="","",SUMPRODUCT(('01_予約入力'!$G$5:$G$204&lt;&gt;"")*('01_予約入力'!$N$5:$N$204&lt;&gt;"キャンセル")*('01_予約入力'!$G$5:$G$204&lt;=$A36)*('01_予約入力'!$J$5:$J$204&gt;$A36)))</f>
        <v/>
      </c>
      <c r="H36" s="36">
        <f>IF($A36="","",'M_施設設定'!$B$6-$G36)</f>
        <v/>
      </c>
      <c r="I36" s="36">
        <f>IF($A36="","",SUMPRODUCT((('01_予約入力'!$N$5:$N$204="仮予約")+('01_予約入力'!$N$5:$N$204="調整中"))*('01_予約入力'!$G$5:$G$204&lt;&gt;"")*('01_予約入力'!$G$5:$G$204&lt;=$A36)*('01_予約入力'!$J$5:$J$204&gt;$A36)))</f>
        <v/>
      </c>
      <c r="J36" s="36">
        <f>IF($A36="","",IF($I36&gt;0,"仮",IF($H36&lt;=0,"×",IF($H36&lt;'M_施設設定'!$B$6,"△","○"))))</f>
        <v/>
      </c>
      <c r="K36" s="36">
        <f>IF($A36="","",SUMPRODUCT(('01_予約入力'!$G$5:$G$204&lt;&gt;"")*('01_予約入力'!$N$5:$N$204&lt;&gt;"キャンセル")*('01_予約入力'!$G$5:$G$204=$A36)*('01_予約入力'!$J$5:$J$204=$A36)))</f>
        <v/>
      </c>
      <c r="L36" s="36">
        <f>IF(OR($A36="",C$6=""),0,SUMPRODUCT(MAX(('01_予約入力'!$D$5:$D$204=C$6)*('01_予約入力'!$N$5:$N$204&lt;&gt;"キャンセル")*('01_予約入力'!$G$5:$G$204&lt;&gt;"")*('01_予約入力'!$J$5:$J$204=$A36)*('01_予約入力'!$G$5:$G$204&lt;$A36)*(ROW('01_予約入力'!$G$5:$G$204)-4))))</f>
        <v/>
      </c>
      <c r="M36" s="36">
        <f>IF(OR($A36="",C$6=""),0,SUMPRODUCT(MAX(('01_予約入力'!$D$5:$D$204=C$6)*('01_予約入力'!$N$5:$N$204&lt;&gt;"キャンセル")*('01_予約入力'!$G$5:$G$204&lt;&gt;"")*('01_予約入力'!$G$5:$G$204&lt;=$A36)*('01_予約入力'!$J$5:$J$204&gt;$A36)*(ROW('01_予約入力'!$G$5:$G$204)-4))))</f>
        <v/>
      </c>
      <c r="N36" s="36">
        <f>IF(OR($A36="",C$6=""),0,SUMPRODUCT(MAX(('01_予約入力'!$D$5:$D$204=C$6)*('01_予約入力'!$N$5:$N$204&lt;&gt;"キャンセル")*('01_予約入力'!$G$5:$G$204&lt;&gt;"")*('01_予約入力'!$G$5:$G$204=$A36)*('01_予約入力'!$J$5:$J$204=$A36)*(ROW('01_予約入力'!$G$5:$G$204)-4))))</f>
        <v/>
      </c>
      <c r="O36" s="36">
        <f>IF(OR($A36="",D$6=""),0,SUMPRODUCT(MAX(('01_予約入力'!$D$5:$D$204=D$6)*('01_予約入力'!$N$5:$N$204&lt;&gt;"キャンセル")*('01_予約入力'!$G$5:$G$204&lt;&gt;"")*('01_予約入力'!$J$5:$J$204=$A36)*('01_予約入力'!$G$5:$G$204&lt;$A36)*(ROW('01_予約入力'!$G$5:$G$204)-4))))</f>
        <v/>
      </c>
      <c r="P36" s="36">
        <f>IF(OR($A36="",D$6=""),0,SUMPRODUCT(MAX(('01_予約入力'!$D$5:$D$204=D$6)*('01_予約入力'!$N$5:$N$204&lt;&gt;"キャンセル")*('01_予約入力'!$G$5:$G$204&lt;&gt;"")*('01_予約入力'!$G$5:$G$204&lt;=$A36)*('01_予約入力'!$J$5:$J$204&gt;$A36)*(ROW('01_予約入力'!$G$5:$G$204)-4))))</f>
        <v/>
      </c>
      <c r="Q36" s="36">
        <f>IF(OR($A36="",D$6=""),0,SUMPRODUCT(MAX(('01_予約入力'!$D$5:$D$204=D$6)*('01_予約入力'!$N$5:$N$204&lt;&gt;"キャンセル")*('01_予約入力'!$G$5:$G$204&lt;&gt;"")*('01_予約入力'!$G$5:$G$204=$A36)*('01_予約入力'!$J$5:$J$204=$A36)*(ROW('01_予約入力'!$G$5:$G$204)-4))))</f>
        <v/>
      </c>
      <c r="R36" s="36">
        <f>IF(OR($A36="",E$6=""),0,SUMPRODUCT(MAX(('01_予約入力'!$D$5:$D$204=E$6)*('01_予約入力'!$N$5:$N$204&lt;&gt;"キャンセル")*('01_予約入力'!$G$5:$G$204&lt;&gt;"")*('01_予約入力'!$J$5:$J$204=$A36)*('01_予約入力'!$G$5:$G$204&lt;$A36)*(ROW('01_予約入力'!$G$5:$G$204)-4))))</f>
        <v/>
      </c>
      <c r="S36" s="36">
        <f>IF(OR($A36="",E$6=""),0,SUMPRODUCT(MAX(('01_予約入力'!$D$5:$D$204=E$6)*('01_予約入力'!$N$5:$N$204&lt;&gt;"キャンセル")*('01_予約入力'!$G$5:$G$204&lt;&gt;"")*('01_予約入力'!$G$5:$G$204&lt;=$A36)*('01_予約入力'!$J$5:$J$204&gt;$A36)*(ROW('01_予約入力'!$G$5:$G$204)-4))))</f>
        <v/>
      </c>
      <c r="T36" s="36">
        <f>IF(OR($A36="",E$6=""),0,SUMPRODUCT(MAX(('01_予約入力'!$D$5:$D$204=E$6)*('01_予約入力'!$N$5:$N$204&lt;&gt;"キャンセル")*('01_予約入力'!$G$5:$G$204&lt;&gt;"")*('01_予約入力'!$G$5:$G$204=$A36)*('01_予約入力'!$J$5:$J$204=$A36)*(ROW('01_予約入力'!$G$5:$G$204)-4))))</f>
        <v/>
      </c>
      <c r="U36" s="36">
        <f>IF(OR($A36="",F$6=""),0,SUMPRODUCT(MAX(('01_予約入力'!$D$5:$D$204=F$6)*('01_予約入力'!$N$5:$N$204&lt;&gt;"キャンセル")*('01_予約入力'!$G$5:$G$204&lt;&gt;"")*('01_予約入力'!$J$5:$J$204=$A36)*('01_予約入力'!$G$5:$G$204&lt;$A36)*(ROW('01_予約入力'!$G$5:$G$204)-4))))</f>
        <v/>
      </c>
      <c r="V36" s="36">
        <f>IF(OR($A36="",F$6=""),0,SUMPRODUCT(MAX(('01_予約入力'!$D$5:$D$204=F$6)*('01_予約入力'!$N$5:$N$204&lt;&gt;"キャンセル")*('01_予約入力'!$G$5:$G$204&lt;&gt;"")*('01_予約入力'!$G$5:$G$204&lt;=$A36)*('01_予約入力'!$J$5:$J$204&gt;$A36)*(ROW('01_予約入力'!$G$5:$G$204)-4))))</f>
        <v/>
      </c>
      <c r="W36" s="36">
        <f>IF(OR($A36="",F$6=""),0,SUMPRODUCT(MAX(('01_予約入力'!$D$5:$D$204=F$6)*('01_予約入力'!$N$5:$N$204&lt;&gt;"キャンセル")*('01_予約入力'!$G$5:$G$204&lt;&gt;"")*('01_予約入力'!$G$5:$G$204=$A36)*('01_予約入力'!$J$5:$J$204=$A36)*(ROW('01_予約入力'!$G$5:$G$204)-4))))</f>
        <v/>
      </c>
      <c r="X36" s="36">
        <f>IF($A36="","",IF($M36&gt;0,IF(OR(INDEX('01_予約入力'!$N$5:$N$204,$M36)="仮予約",INDEX('01_予約入力'!$N$5:$N$204,$M36)="調整中"),"仮",INDEX('01_予約入力'!$C$5:$C$204,$M36)),IF($N36&gt;0,IF(OR(INDEX('01_予約入力'!$N$5:$N$204,$N36)="仮予約",INDEX('01_予約入力'!$N$5:$N$204,$N36)="調整中"),"仮",INDEX('01_予約入力'!$C$5:$C$204,$N36)),IF($L36&gt;0,IF(OR(INDEX('01_予約入力'!$N$5:$N$204,$L36)="仮予約",INDEX('01_予約入力'!$N$5:$N$204,$L36)="調整中"),"仮",INDEX('01_予約入力'!$C$5:$C$204,$L36)),""))))</f>
        <v/>
      </c>
      <c r="Y36" s="36">
        <f>IF($A36="","",IF($P36&gt;0,IF(OR(INDEX('01_予約入力'!$N$5:$N$204,$P36)="仮予約",INDEX('01_予約入力'!$N$5:$N$204,$P36)="調整中"),"仮",INDEX('01_予約入力'!$C$5:$C$204,$P36)),IF($Q36&gt;0,IF(OR(INDEX('01_予約入力'!$N$5:$N$204,$Q36)="仮予約",INDEX('01_予約入力'!$N$5:$N$204,$Q36)="調整中"),"仮",INDEX('01_予約入力'!$C$5:$C$204,$Q36)),IF($O36&gt;0,IF(OR(INDEX('01_予約入力'!$N$5:$N$204,$O36)="仮予約",INDEX('01_予約入力'!$N$5:$N$204,$O36)="調整中"),"仮",INDEX('01_予約入力'!$C$5:$C$204,$O36)),""))))</f>
        <v/>
      </c>
      <c r="Z36" s="36">
        <f>IF($A36="","",IF($S36&gt;0,IF(OR(INDEX('01_予約入力'!$N$5:$N$204,$S36)="仮予約",INDEX('01_予約入力'!$N$5:$N$204,$S36)="調整中"),"仮",INDEX('01_予約入力'!$C$5:$C$204,$S36)),IF($T36&gt;0,IF(OR(INDEX('01_予約入力'!$N$5:$N$204,$T36)="仮予約",INDEX('01_予約入力'!$N$5:$N$204,$T36)="調整中"),"仮",INDEX('01_予約入力'!$C$5:$C$204,$T36)),IF($R36&gt;0,IF(OR(INDEX('01_予約入力'!$N$5:$N$204,$R36)="仮予約",INDEX('01_予約入力'!$N$5:$N$204,$R36)="調整中"),"仮",INDEX('01_予約入力'!$C$5:$C$204,$R36)),""))))</f>
        <v/>
      </c>
      <c r="AA36" s="36">
        <f>IF($A36="","",IF($V36&gt;0,IF(OR(INDEX('01_予約入力'!$N$5:$N$204,$V36)="仮予約",INDEX('01_予約入力'!$N$5:$N$204,$V36)="調整中"),"仮",INDEX('01_予約入力'!$C$5:$C$204,$V36)),IF($W36&gt;0,IF(OR(INDEX('01_予約入力'!$N$5:$N$204,$W36)="仮予約",INDEX('01_予約入力'!$N$5:$N$204,$W36)="調整中"),"仮",INDEX('01_予約入力'!$C$5:$C$204,$W36)),IF($U36&gt;0,IF(OR(INDEX('01_予約入力'!$N$5:$N$204,$U36)="仮予約",INDEX('01_予約入力'!$N$5:$N$204,$U36)="調整中"),"仮",INDEX('01_予約入力'!$C$5:$C$204,$U36)),""))))</f>
        <v/>
      </c>
    </row>
    <row r="37">
      <c r="A37" s="41">
        <f>IF(MONTH('02_カレンダー'!$B$4+30)&lt;&gt;MONTH('02_カレンダー'!$B$4),"",'02_カレンダー'!$B$4+30)</f>
        <v/>
      </c>
      <c r="B37" s="36">
        <f>IF($A37="","",MID("日月火水木金土",WEEKDAY($A37),1))</f>
        <v/>
      </c>
      <c r="C37" s="42">
        <f>IF(OR($A37="",C$6=""),"",IF($L37=0,"",INDEX('01_予約入力'!$B$5:$B$204,$L37)&amp;" ◀"&amp;IF(('02_カレンダー'!$B$5="○"),INDEX('01_予約入力'!$AB$5:$AB$204,$L37),""))&amp;IF(AND($L37&gt;0,OR($M37&gt;0,$N37&gt;0)),"  ","")&amp;IF($M37=0,"",IF(INDEX('01_予約入力'!$G$5:$G$204,$M37)=$A37,"▶"&amp;IF(('02_カレンダー'!$B$5="○"),INDEX('01_予約入力'!$AA$5:$AA$204,$M37)&amp;" "," "),"")&amp;INDEX('01_予約入力'!$B$5:$B$204,$M37))&amp;IF(AND($M37&gt;0,$N37&gt;0),"  ","")&amp;IF($N37=0,"","◆ "&amp;INDEX('01_予約入力'!$B$5:$B$204,$N37)&amp;IF(('02_カレンダー'!$B$5="○")," "&amp;INDEX('01_予約入力'!$AA$5:$AA$204,$N37)&amp;"-"&amp;INDEX('01_予約入力'!$AB$5:$AB$204,$N37),"")))</f>
        <v/>
      </c>
      <c r="D37" s="42">
        <f>IF(OR($A37="",D$6=""),"",IF($O37=0,"",INDEX('01_予約入力'!$B$5:$B$204,$O37)&amp;" ◀"&amp;IF(('02_カレンダー'!$B$5="○"),INDEX('01_予約入力'!$AB$5:$AB$204,$O37),""))&amp;IF(AND($O37&gt;0,OR($P37&gt;0,$Q37&gt;0)),"  ","")&amp;IF($P37=0,"",IF(INDEX('01_予約入力'!$G$5:$G$204,$P37)=$A37,"▶"&amp;IF(('02_カレンダー'!$B$5="○"),INDEX('01_予約入力'!$AA$5:$AA$204,$P37)&amp;" "," "),"")&amp;INDEX('01_予約入力'!$B$5:$B$204,$P37))&amp;IF(AND($P37&gt;0,$Q37&gt;0),"  ","")&amp;IF($Q37=0,"","◆ "&amp;INDEX('01_予約入力'!$B$5:$B$204,$Q37)&amp;IF(('02_カレンダー'!$B$5="○")," "&amp;INDEX('01_予約入力'!$AA$5:$AA$204,$Q37)&amp;"-"&amp;INDEX('01_予約入力'!$AB$5:$AB$204,$Q37),"")))</f>
        <v/>
      </c>
      <c r="E37" s="42">
        <f>IF(OR($A37="",E$6=""),"",IF($R37=0,"",INDEX('01_予約入力'!$B$5:$B$204,$R37)&amp;" ◀"&amp;IF(('02_カレンダー'!$B$5="○"),INDEX('01_予約入力'!$AB$5:$AB$204,$R37),""))&amp;IF(AND($R37&gt;0,OR($S37&gt;0,$T37&gt;0)),"  ","")&amp;IF($S37=0,"",IF(INDEX('01_予約入力'!$G$5:$G$204,$S37)=$A37,"▶"&amp;IF(('02_カレンダー'!$B$5="○"),INDEX('01_予約入力'!$AA$5:$AA$204,$S37)&amp;" "," "),"")&amp;INDEX('01_予約入力'!$B$5:$B$204,$S37))&amp;IF(AND($S37&gt;0,$T37&gt;0),"  ","")&amp;IF($T37=0,"","◆ "&amp;INDEX('01_予約入力'!$B$5:$B$204,$T37)&amp;IF(('02_カレンダー'!$B$5="○")," "&amp;INDEX('01_予約入力'!$AA$5:$AA$204,$T37)&amp;"-"&amp;INDEX('01_予約入力'!$AB$5:$AB$204,$T37),"")))</f>
        <v/>
      </c>
      <c r="F37" s="42">
        <f>IF(OR($A37="",F$6=""),"",IF($U37=0,"",INDEX('01_予約入力'!$B$5:$B$204,$U37)&amp;" ◀"&amp;IF(('02_カレンダー'!$B$5="○"),INDEX('01_予約入力'!$AB$5:$AB$204,$U37),""))&amp;IF(AND($U37&gt;0,OR($V37&gt;0,$W37&gt;0)),"  ","")&amp;IF($V37=0,"",IF(INDEX('01_予約入力'!$G$5:$G$204,$V37)=$A37,"▶"&amp;IF(('02_カレンダー'!$B$5="○"),INDEX('01_予約入力'!$AA$5:$AA$204,$V37)&amp;" "," "),"")&amp;INDEX('01_予約入力'!$B$5:$B$204,$V37))&amp;IF(AND($V37&gt;0,$W37&gt;0),"  ","")&amp;IF($W37=0,"","◆ "&amp;INDEX('01_予約入力'!$B$5:$B$204,$W37)&amp;IF(('02_カレンダー'!$B$5="○")," "&amp;INDEX('01_予約入力'!$AA$5:$AA$204,$W37)&amp;"-"&amp;INDEX('01_予約入力'!$AB$5:$AB$204,$W37),"")))</f>
        <v/>
      </c>
      <c r="G37" s="36">
        <f>IF($A37="","",SUMPRODUCT(('01_予約入力'!$G$5:$G$204&lt;&gt;"")*('01_予約入力'!$N$5:$N$204&lt;&gt;"キャンセル")*('01_予約入力'!$G$5:$G$204&lt;=$A37)*('01_予約入力'!$J$5:$J$204&gt;$A37)))</f>
        <v/>
      </c>
      <c r="H37" s="36">
        <f>IF($A37="","",'M_施設設定'!$B$6-$G37)</f>
        <v/>
      </c>
      <c r="I37" s="36">
        <f>IF($A37="","",SUMPRODUCT((('01_予約入力'!$N$5:$N$204="仮予約")+('01_予約入力'!$N$5:$N$204="調整中"))*('01_予約入力'!$G$5:$G$204&lt;&gt;"")*('01_予約入力'!$G$5:$G$204&lt;=$A37)*('01_予約入力'!$J$5:$J$204&gt;$A37)))</f>
        <v/>
      </c>
      <c r="J37" s="36">
        <f>IF($A37="","",IF($I37&gt;0,"仮",IF($H37&lt;=0,"×",IF($H37&lt;'M_施設設定'!$B$6,"△","○"))))</f>
        <v/>
      </c>
      <c r="K37" s="36">
        <f>IF($A37="","",SUMPRODUCT(('01_予約入力'!$G$5:$G$204&lt;&gt;"")*('01_予約入力'!$N$5:$N$204&lt;&gt;"キャンセル")*('01_予約入力'!$G$5:$G$204=$A37)*('01_予約入力'!$J$5:$J$204=$A37)))</f>
        <v/>
      </c>
      <c r="L37" s="36">
        <f>IF(OR($A37="",C$6=""),0,SUMPRODUCT(MAX(('01_予約入力'!$D$5:$D$204=C$6)*('01_予約入力'!$N$5:$N$204&lt;&gt;"キャンセル")*('01_予約入力'!$G$5:$G$204&lt;&gt;"")*('01_予約入力'!$J$5:$J$204=$A37)*('01_予約入力'!$G$5:$G$204&lt;$A37)*(ROW('01_予約入力'!$G$5:$G$204)-4))))</f>
        <v/>
      </c>
      <c r="M37" s="36">
        <f>IF(OR($A37="",C$6=""),0,SUMPRODUCT(MAX(('01_予約入力'!$D$5:$D$204=C$6)*('01_予約入力'!$N$5:$N$204&lt;&gt;"キャンセル")*('01_予約入力'!$G$5:$G$204&lt;&gt;"")*('01_予約入力'!$G$5:$G$204&lt;=$A37)*('01_予約入力'!$J$5:$J$204&gt;$A37)*(ROW('01_予約入力'!$G$5:$G$204)-4))))</f>
        <v/>
      </c>
      <c r="N37" s="36">
        <f>IF(OR($A37="",C$6=""),0,SUMPRODUCT(MAX(('01_予約入力'!$D$5:$D$204=C$6)*('01_予約入力'!$N$5:$N$204&lt;&gt;"キャンセル")*('01_予約入力'!$G$5:$G$204&lt;&gt;"")*('01_予約入力'!$G$5:$G$204=$A37)*('01_予約入力'!$J$5:$J$204=$A37)*(ROW('01_予約入力'!$G$5:$G$204)-4))))</f>
        <v/>
      </c>
      <c r="O37" s="36">
        <f>IF(OR($A37="",D$6=""),0,SUMPRODUCT(MAX(('01_予約入力'!$D$5:$D$204=D$6)*('01_予約入力'!$N$5:$N$204&lt;&gt;"キャンセル")*('01_予約入力'!$G$5:$G$204&lt;&gt;"")*('01_予約入力'!$J$5:$J$204=$A37)*('01_予約入力'!$G$5:$G$204&lt;$A37)*(ROW('01_予約入力'!$G$5:$G$204)-4))))</f>
        <v/>
      </c>
      <c r="P37" s="36">
        <f>IF(OR($A37="",D$6=""),0,SUMPRODUCT(MAX(('01_予約入力'!$D$5:$D$204=D$6)*('01_予約入力'!$N$5:$N$204&lt;&gt;"キャンセル")*('01_予約入力'!$G$5:$G$204&lt;&gt;"")*('01_予約入力'!$G$5:$G$204&lt;=$A37)*('01_予約入力'!$J$5:$J$204&gt;$A37)*(ROW('01_予約入力'!$G$5:$G$204)-4))))</f>
        <v/>
      </c>
      <c r="Q37" s="36">
        <f>IF(OR($A37="",D$6=""),0,SUMPRODUCT(MAX(('01_予約入力'!$D$5:$D$204=D$6)*('01_予約入力'!$N$5:$N$204&lt;&gt;"キャンセル")*('01_予約入力'!$G$5:$G$204&lt;&gt;"")*('01_予約入力'!$G$5:$G$204=$A37)*('01_予約入力'!$J$5:$J$204=$A37)*(ROW('01_予約入力'!$G$5:$G$204)-4))))</f>
        <v/>
      </c>
      <c r="R37" s="36">
        <f>IF(OR($A37="",E$6=""),0,SUMPRODUCT(MAX(('01_予約入力'!$D$5:$D$204=E$6)*('01_予約入力'!$N$5:$N$204&lt;&gt;"キャンセル")*('01_予約入力'!$G$5:$G$204&lt;&gt;"")*('01_予約入力'!$J$5:$J$204=$A37)*('01_予約入力'!$G$5:$G$204&lt;$A37)*(ROW('01_予約入力'!$G$5:$G$204)-4))))</f>
        <v/>
      </c>
      <c r="S37" s="36">
        <f>IF(OR($A37="",E$6=""),0,SUMPRODUCT(MAX(('01_予約入力'!$D$5:$D$204=E$6)*('01_予約入力'!$N$5:$N$204&lt;&gt;"キャンセル")*('01_予約入力'!$G$5:$G$204&lt;&gt;"")*('01_予約入力'!$G$5:$G$204&lt;=$A37)*('01_予約入力'!$J$5:$J$204&gt;$A37)*(ROW('01_予約入力'!$G$5:$G$204)-4))))</f>
        <v/>
      </c>
      <c r="T37" s="36">
        <f>IF(OR($A37="",E$6=""),0,SUMPRODUCT(MAX(('01_予約入力'!$D$5:$D$204=E$6)*('01_予約入力'!$N$5:$N$204&lt;&gt;"キャンセル")*('01_予約入力'!$G$5:$G$204&lt;&gt;"")*('01_予約入力'!$G$5:$G$204=$A37)*('01_予約入力'!$J$5:$J$204=$A37)*(ROW('01_予約入力'!$G$5:$G$204)-4))))</f>
        <v/>
      </c>
      <c r="U37" s="36">
        <f>IF(OR($A37="",F$6=""),0,SUMPRODUCT(MAX(('01_予約入力'!$D$5:$D$204=F$6)*('01_予約入力'!$N$5:$N$204&lt;&gt;"キャンセル")*('01_予約入力'!$G$5:$G$204&lt;&gt;"")*('01_予約入力'!$J$5:$J$204=$A37)*('01_予約入力'!$G$5:$G$204&lt;$A37)*(ROW('01_予約入力'!$G$5:$G$204)-4))))</f>
        <v/>
      </c>
      <c r="V37" s="36">
        <f>IF(OR($A37="",F$6=""),0,SUMPRODUCT(MAX(('01_予約入力'!$D$5:$D$204=F$6)*('01_予約入力'!$N$5:$N$204&lt;&gt;"キャンセル")*('01_予約入力'!$G$5:$G$204&lt;&gt;"")*('01_予約入力'!$G$5:$G$204&lt;=$A37)*('01_予約入力'!$J$5:$J$204&gt;$A37)*(ROW('01_予約入力'!$G$5:$G$204)-4))))</f>
        <v/>
      </c>
      <c r="W37" s="36">
        <f>IF(OR($A37="",F$6=""),0,SUMPRODUCT(MAX(('01_予約入力'!$D$5:$D$204=F$6)*('01_予約入力'!$N$5:$N$204&lt;&gt;"キャンセル")*('01_予約入力'!$G$5:$G$204&lt;&gt;"")*('01_予約入力'!$G$5:$G$204=$A37)*('01_予約入力'!$J$5:$J$204=$A37)*(ROW('01_予約入力'!$G$5:$G$204)-4))))</f>
        <v/>
      </c>
      <c r="X37" s="36">
        <f>IF($A37="","",IF($M37&gt;0,IF(OR(INDEX('01_予約入力'!$N$5:$N$204,$M37)="仮予約",INDEX('01_予約入力'!$N$5:$N$204,$M37)="調整中"),"仮",INDEX('01_予約入力'!$C$5:$C$204,$M37)),IF($N37&gt;0,IF(OR(INDEX('01_予約入力'!$N$5:$N$204,$N37)="仮予約",INDEX('01_予約入力'!$N$5:$N$204,$N37)="調整中"),"仮",INDEX('01_予約入力'!$C$5:$C$204,$N37)),IF($L37&gt;0,IF(OR(INDEX('01_予約入力'!$N$5:$N$204,$L37)="仮予約",INDEX('01_予約入力'!$N$5:$N$204,$L37)="調整中"),"仮",INDEX('01_予約入力'!$C$5:$C$204,$L37)),""))))</f>
        <v/>
      </c>
      <c r="Y37" s="36">
        <f>IF($A37="","",IF($P37&gt;0,IF(OR(INDEX('01_予約入力'!$N$5:$N$204,$P37)="仮予約",INDEX('01_予約入力'!$N$5:$N$204,$P37)="調整中"),"仮",INDEX('01_予約入力'!$C$5:$C$204,$P37)),IF($Q37&gt;0,IF(OR(INDEX('01_予約入力'!$N$5:$N$204,$Q37)="仮予約",INDEX('01_予約入力'!$N$5:$N$204,$Q37)="調整中"),"仮",INDEX('01_予約入力'!$C$5:$C$204,$Q37)),IF($O37&gt;0,IF(OR(INDEX('01_予約入力'!$N$5:$N$204,$O37)="仮予約",INDEX('01_予約入力'!$N$5:$N$204,$O37)="調整中"),"仮",INDEX('01_予約入力'!$C$5:$C$204,$O37)),""))))</f>
        <v/>
      </c>
      <c r="Z37" s="36">
        <f>IF($A37="","",IF($S37&gt;0,IF(OR(INDEX('01_予約入力'!$N$5:$N$204,$S37)="仮予約",INDEX('01_予約入力'!$N$5:$N$204,$S37)="調整中"),"仮",INDEX('01_予約入力'!$C$5:$C$204,$S37)),IF($T37&gt;0,IF(OR(INDEX('01_予約入力'!$N$5:$N$204,$T37)="仮予約",INDEX('01_予約入力'!$N$5:$N$204,$T37)="調整中"),"仮",INDEX('01_予約入力'!$C$5:$C$204,$T37)),IF($R37&gt;0,IF(OR(INDEX('01_予約入力'!$N$5:$N$204,$R37)="仮予約",INDEX('01_予約入力'!$N$5:$N$204,$R37)="調整中"),"仮",INDEX('01_予約入力'!$C$5:$C$204,$R37)),""))))</f>
        <v/>
      </c>
      <c r="AA37" s="36">
        <f>IF($A37="","",IF($V37&gt;0,IF(OR(INDEX('01_予約入力'!$N$5:$N$204,$V37)="仮予約",INDEX('01_予約入力'!$N$5:$N$204,$V37)="調整中"),"仮",INDEX('01_予約入力'!$C$5:$C$204,$V37)),IF($W37&gt;0,IF(OR(INDEX('01_予約入力'!$N$5:$N$204,$W37)="仮予約",INDEX('01_予約入力'!$N$5:$N$204,$W37)="調整中"),"仮",INDEX('01_予約入力'!$C$5:$C$204,$W37)),IF($U37&gt;0,IF(OR(INDEX('01_予約入力'!$N$5:$N$204,$U37)="仮予約",INDEX('01_予約入力'!$N$5:$N$204,$U37)="調整中"),"仮",INDEX('01_予約入力'!$C$5:$C$204,$U37)),""))))</f>
        <v/>
      </c>
    </row>
    <row r="39">
      <c r="A39" s="2" t="inlineStr">
        <is>
          <t>※ 「使用室数／空室数／空き記号」はその日の夜の宿泊で数えます。退所日の夜は空きです。部屋の欄に出る「◀」は朝に退所することを示します。</t>
        </is>
      </c>
    </row>
    <row r="40">
      <c r="A40" s="2" t="inlineStr">
        <is>
          <t>※ L列より右は計算用の作業列です。非表示にしてあります（表示しても構いませんが、編集しないでください）。</t>
        </is>
      </c>
    </row>
  </sheetData>
  <conditionalFormatting sqref="J7:J37">
    <cfRule type="expression" priority="1" dxfId="1">
      <formula>J7="×"</formula>
    </cfRule>
    <cfRule type="expression" priority="2" dxfId="2">
      <formula>J7="△"</formula>
    </cfRule>
    <cfRule type="expression" priority="3" dxfId="3">
      <formula>J7="仮"</formula>
    </cfRule>
    <cfRule type="expression" priority="4" dxfId="9">
      <formula>J7="○"</formula>
    </cfRule>
  </conditionalFormatting>
  <conditionalFormatting sqref="A7:B37">
    <cfRule type="expression" priority="5" dxfId="12">
      <formula>AND($A7&lt;&gt;"",WEEKDAY($A7,2)&gt;=6)</formula>
    </cfRule>
  </conditionalFormatting>
  <pageMargins left="0.75" right="0.75" top="1" bottom="1" header="0.5" footer="0.5"/>
  <pageSetup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20" customWidth="1" min="3" max="3"/>
    <col width="30" customWidth="1" min="4" max="4"/>
  </cols>
  <sheetData>
    <row r="1">
      <c r="A1" s="1" t="inlineStr">
        <is>
          <t>空室照会 ―「この期間空いていますか」に即答する</t>
        </is>
      </c>
    </row>
    <row r="2">
      <c r="A2" s="2" t="inlineStr">
        <is>
          <t>日付を2つ入れるだけです。対象月の指定は要りません。</t>
        </is>
      </c>
    </row>
    <row r="3">
      <c r="A3" s="15" t="inlineStr">
        <is>
          <t>開始日（入所日）</t>
        </is>
      </c>
      <c r="B3" s="16" t="n">
        <v>46258</v>
      </c>
    </row>
    <row r="4">
      <c r="A4" s="15" t="inlineStr">
        <is>
          <t>終了日（退所予定日）</t>
        </is>
      </c>
      <c r="B4" s="16" t="n">
        <v>46261</v>
      </c>
      <c r="C4" s="2" t="inlineStr">
        <is>
          <t>★退所日の夜は数えません（その夜は次の方が入れるため）</t>
        </is>
      </c>
    </row>
    <row r="5">
      <c r="A5" s="15" t="inlineStr">
        <is>
          <t>泊数</t>
        </is>
      </c>
      <c r="B5" s="43">
        <f>IF(OR($B$3="",$B$4=""),"",MAX(0,$B$4-$B$3))</f>
        <v/>
      </c>
      <c r="C5" s="2" t="inlineStr">
        <is>
          <t>0泊（同日）なら日帰り・体験利用です</t>
        </is>
      </c>
    </row>
    <row r="7" ht="30" customHeight="1">
      <c r="A7" s="7" t="inlineStr">
        <is>
          <t>部屋</t>
        </is>
      </c>
      <c r="B7" s="7" t="inlineStr">
        <is>
          <t>空いている夜数</t>
        </is>
      </c>
      <c r="C7" s="7" t="inlineStr">
        <is>
          <t>ふさがっている夜数</t>
        </is>
      </c>
      <c r="D7" s="7" t="inlineStr">
        <is>
          <t>判定</t>
        </is>
      </c>
    </row>
    <row r="8">
      <c r="A8" s="42">
        <f>IF(COUNTA('M_部屋'!$A$4:$A$20)&gt;=1,INDEX('M_部屋'!$A$4:$A$20,1),"")</f>
        <v/>
      </c>
      <c r="B8" s="36">
        <f>IF($C8="","",MAX(0,$B$4-$B$3-$C8))</f>
        <v/>
      </c>
      <c r="C8" s="36">
        <f>IF(OR($A8="",$B$4&lt;=$B$3),"",SUMPRODUCT(('01_予約入力'!$G$5:$G$204&lt;&gt;"")*('01_予約入力'!$N$5:$N$204&lt;&gt;"キャンセル")*('01_予約入力'!$D$5:$D$204=$A8)*(((('01_予約入力'!$AD$5:$AD$204&lt;=$B$4)*'01_予約入力'!$AD$5:$AD$204+('01_予約入力'!$AD$5:$AD$204&gt;$B$4)*$B$4)-(('01_予約入力'!$AC$5:$AC$204&gt;=$B$3)*'01_予約入力'!$AC$5:$AC$204+('01_予約入力'!$AC$5:$AC$204&lt;$B$3)*$B$3))&gt;0)*((('01_予約入力'!$AD$5:$AD$204&lt;=$B$4)*'01_予約入力'!$AD$5:$AD$204+('01_予約入力'!$AD$5:$AD$204&gt;$B$4)*$B$4)-(('01_予約入力'!$AC$5:$AC$204&gt;=$B$3)*'01_予約入力'!$AC$5:$AC$204+('01_予約入力'!$AC$5:$AC$204&lt;$B$3)*$B$3))))</f>
        <v/>
      </c>
      <c r="D8" s="42">
        <f>IF($A8="","",IF($B$4&lt;=$B$3,"日付を確認してください",IF($B8=$B$4-$B$3,"○ 全日空き",IF($B8=0,"× 空きなし","△ 一部空き"))))</f>
        <v/>
      </c>
    </row>
    <row r="9">
      <c r="A9" s="42">
        <f>IF(COUNTA('M_部屋'!$A$4:$A$20)&gt;=2,INDEX('M_部屋'!$A$4:$A$20,2),"")</f>
        <v/>
      </c>
      <c r="B9" s="36">
        <f>IF($C9="","",MAX(0,$B$4-$B$3-$C9))</f>
        <v/>
      </c>
      <c r="C9" s="36">
        <f>IF(OR($A9="",$B$4&lt;=$B$3),"",SUMPRODUCT(('01_予約入力'!$G$5:$G$204&lt;&gt;"")*('01_予約入力'!$N$5:$N$204&lt;&gt;"キャンセル")*('01_予約入力'!$D$5:$D$204=$A9)*(((('01_予約入力'!$AD$5:$AD$204&lt;=$B$4)*'01_予約入力'!$AD$5:$AD$204+('01_予約入力'!$AD$5:$AD$204&gt;$B$4)*$B$4)-(('01_予約入力'!$AC$5:$AC$204&gt;=$B$3)*'01_予約入力'!$AC$5:$AC$204+('01_予約入力'!$AC$5:$AC$204&lt;$B$3)*$B$3))&gt;0)*((('01_予約入力'!$AD$5:$AD$204&lt;=$B$4)*'01_予約入力'!$AD$5:$AD$204+('01_予約入力'!$AD$5:$AD$204&gt;$B$4)*$B$4)-(('01_予約入力'!$AC$5:$AC$204&gt;=$B$3)*'01_予約入力'!$AC$5:$AC$204+('01_予約入力'!$AC$5:$AC$204&lt;$B$3)*$B$3))))</f>
        <v/>
      </c>
      <c r="D9" s="42">
        <f>IF($A9="","",IF($B$4&lt;=$B$3,"日付を確認してください",IF($B9=$B$4-$B$3,"○ 全日空き",IF($B9=0,"× 空きなし","△ 一部空き"))))</f>
        <v/>
      </c>
    </row>
    <row r="10">
      <c r="A10" s="42">
        <f>IF(COUNTA('M_部屋'!$A$4:$A$20)&gt;=3,INDEX('M_部屋'!$A$4:$A$20,3),"")</f>
        <v/>
      </c>
      <c r="B10" s="36">
        <f>IF($C10="","",MAX(0,$B$4-$B$3-$C10))</f>
        <v/>
      </c>
      <c r="C10" s="36">
        <f>IF(OR($A10="",$B$4&lt;=$B$3),"",SUMPRODUCT(('01_予約入力'!$G$5:$G$204&lt;&gt;"")*('01_予約入力'!$N$5:$N$204&lt;&gt;"キャンセル")*('01_予約入力'!$D$5:$D$204=$A10)*(((('01_予約入力'!$AD$5:$AD$204&lt;=$B$4)*'01_予約入力'!$AD$5:$AD$204+('01_予約入力'!$AD$5:$AD$204&gt;$B$4)*$B$4)-(('01_予約入力'!$AC$5:$AC$204&gt;=$B$3)*'01_予約入力'!$AC$5:$AC$204+('01_予約入力'!$AC$5:$AC$204&lt;$B$3)*$B$3))&gt;0)*((('01_予約入力'!$AD$5:$AD$204&lt;=$B$4)*'01_予約入力'!$AD$5:$AD$204+('01_予約入力'!$AD$5:$AD$204&gt;$B$4)*$B$4)-(('01_予約入力'!$AC$5:$AC$204&gt;=$B$3)*'01_予約入力'!$AC$5:$AC$204+('01_予約入力'!$AC$5:$AC$204&lt;$B$3)*$B$3))))</f>
        <v/>
      </c>
      <c r="D10" s="42">
        <f>IF($A10="","",IF($B$4&lt;=$B$3,"日付を確認してください",IF($B10=$B$4-$B$3,"○ 全日空き",IF($B10=0,"× 空きなし","△ 一部空き"))))</f>
        <v/>
      </c>
    </row>
    <row r="11">
      <c r="A11" s="42">
        <f>IF(COUNTA('M_部屋'!$A$4:$A$20)&gt;=4,INDEX('M_部屋'!$A$4:$A$20,4),"")</f>
        <v/>
      </c>
      <c r="B11" s="36">
        <f>IF($C11="","",MAX(0,$B$4-$B$3-$C11))</f>
        <v/>
      </c>
      <c r="C11" s="36">
        <f>IF(OR($A11="",$B$4&lt;=$B$3),"",SUMPRODUCT(('01_予約入力'!$G$5:$G$204&lt;&gt;"")*('01_予約入力'!$N$5:$N$204&lt;&gt;"キャンセル")*('01_予約入力'!$D$5:$D$204=$A11)*(((('01_予約入力'!$AD$5:$AD$204&lt;=$B$4)*'01_予約入力'!$AD$5:$AD$204+('01_予約入力'!$AD$5:$AD$204&gt;$B$4)*$B$4)-(('01_予約入力'!$AC$5:$AC$204&gt;=$B$3)*'01_予約入力'!$AC$5:$AC$204+('01_予約入力'!$AC$5:$AC$204&lt;$B$3)*$B$3))&gt;0)*((('01_予約入力'!$AD$5:$AD$204&lt;=$B$4)*'01_予約入力'!$AD$5:$AD$204+('01_予約入力'!$AD$5:$AD$204&gt;$B$4)*$B$4)-(('01_予約入力'!$AC$5:$AC$204&gt;=$B$3)*'01_予約入力'!$AC$5:$AC$204+('01_予約入力'!$AC$5:$AC$204&lt;$B$3)*$B$3))))</f>
        <v/>
      </c>
      <c r="D11" s="42">
        <f>IF($A11="","",IF($B$4&lt;=$B$3,"日付を確認してください",IF($B11=$B$4-$B$3,"○ 全日空き",IF($B11=0,"× 空きなし","△ 一部空き"))))</f>
        <v/>
      </c>
    </row>
    <row r="13">
      <c r="A13" s="2" t="inlineStr">
        <is>
          <t>※ 仮予約・調整中も「ふさがっている」として数えます。</t>
        </is>
      </c>
    </row>
    <row r="14">
      <c r="A14" s="2" t="inlineStr">
        <is>
          <t>※ 日帰り（0泊）は夜をふさがないため、この照会には出ません。02_カレンダー の ◆ で確認してください。</t>
        </is>
      </c>
    </row>
    <row r="15">
      <c r="A15" s="2" t="inlineStr">
        <is>
          <t>※ 「一部空き」のときは 02_カレンダー を開けば、どの日が埋まっているかが一目で分かります。</t>
        </is>
      </c>
    </row>
  </sheetData>
  <conditionalFormatting sqref="D8:D11">
    <cfRule type="expression" priority="1" dxfId="9">
      <formula>LEFT($D8,1)="○"</formula>
    </cfRule>
    <cfRule type="expression" priority="2" dxfId="2">
      <formula>LEFT($D8,1)="△"</formula>
    </cfRule>
    <cfRule type="expression" priority="3" dxfId="1">
      <formula>LEFT($D8,1)="×"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O3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22" customWidth="1" min="12" max="12"/>
    <col width="22" customWidth="1" min="13" max="13"/>
    <col width="22" customWidth="1" min="14" max="14"/>
    <col width="22" customWidth="1" min="15" max="15"/>
  </cols>
  <sheetData>
    <row r="1">
      <c r="A1" s="1" t="inlineStr">
        <is>
          <t>食数表（厨房用）</t>
        </is>
      </c>
    </row>
    <row r="2">
      <c r="A2" s="2" t="inlineStr">
        <is>
          <t>既定は 日帰り=昼のみ／初日=夕／中日=朝昼夕／最終日=朝。例外だけ「調整」列に実数を入れると、そちらが優先されます。</t>
        </is>
      </c>
    </row>
    <row r="3">
      <c r="A3" s="15" t="inlineStr">
        <is>
          <t>対象月</t>
        </is>
      </c>
      <c r="B3" s="17">
        <f>'02_カレンダー'!$B$4</f>
        <v/>
      </c>
      <c r="C3" s="2" t="inlineStr">
        <is>
          <t>★月の変更は 02_カレンダー で行ってください</t>
        </is>
      </c>
    </row>
    <row r="5" ht="30" customHeight="1">
      <c r="A5" s="7" t="inlineStr">
        <is>
          <t>日付</t>
        </is>
      </c>
      <c r="B5" s="7" t="inlineStr">
        <is>
          <t>曜日</t>
        </is>
      </c>
      <c r="C5" s="7" t="inlineStr">
        <is>
          <t>朝(自動)</t>
        </is>
      </c>
      <c r="D5" s="7" t="inlineStr">
        <is>
          <t>昼(自動)</t>
        </is>
      </c>
      <c r="E5" s="7" t="inlineStr">
        <is>
          <t>夕(自動)</t>
        </is>
      </c>
      <c r="F5" s="7" t="inlineStr">
        <is>
          <t>朝 調整</t>
        </is>
      </c>
      <c r="G5" s="7" t="inlineStr">
        <is>
          <t>昼 調整</t>
        </is>
      </c>
      <c r="H5" s="7" t="inlineStr">
        <is>
          <t>夕 調整</t>
        </is>
      </c>
      <c r="I5" s="7" t="inlineStr">
        <is>
          <t>朝 確定</t>
        </is>
      </c>
      <c r="J5" s="7" t="inlineStr">
        <is>
          <t>昼 確定</t>
        </is>
      </c>
      <c r="K5" s="7" t="inlineStr">
        <is>
          <t>夕 確定</t>
        </is>
      </c>
      <c r="L5" s="7">
        <f>'04_月間表'!C$6</f>
        <v/>
      </c>
      <c r="M5" s="7">
        <f>'04_月間表'!D$6</f>
        <v/>
      </c>
      <c r="N5" s="7">
        <f>'04_月間表'!E$6</f>
        <v/>
      </c>
      <c r="O5" s="7">
        <f>'04_月間表'!F$6</f>
        <v/>
      </c>
    </row>
    <row r="6">
      <c r="A6" s="41">
        <f>IF('04_月間表'!$A7="","",'04_月間表'!$A7)</f>
        <v/>
      </c>
      <c r="B6" s="36">
        <f>IF($A6="","",MID("日月火水木金土",WEEKDAY($A6),1))</f>
        <v/>
      </c>
      <c r="C6" s="36">
        <f>IF($A6="","",SUMPRODUCT(('01_予約入力'!$G$5:$G$204&lt;&gt;"")*('01_予約入力'!$N$5:$N$204&lt;&gt;"キャンセル")*('01_予約入力'!$G$5:$G$204&lt;$A6)*('01_予約入力'!$J$5:$J$204&gt;=$A6)))</f>
        <v/>
      </c>
      <c r="D6" s="36">
        <f>IF($A6="","",SUMPRODUCT(('01_予約入力'!$G$5:$G$204&lt;&gt;"")*('01_予約入力'!$N$5:$N$204&lt;&gt;"キャンセル")*((('01_予約入力'!$G$5:$G$204&lt;$A6)*('01_予約入力'!$J$5:$J$204&gt;$A6))+(('01_予約入力'!$G$5:$G$204=$A6)*('01_予約入力'!$J$5:$J$204=$A6)))))</f>
        <v/>
      </c>
      <c r="E6" s="36">
        <f>IF($A6="","",SUMPRODUCT(('01_予約入力'!$G$5:$G$204&lt;&gt;"")*('01_予約入力'!$N$5:$N$204&lt;&gt;"キャンセル")*('01_予約入力'!$G$5:$G$204&lt;=$A6)*('01_予約入力'!$J$5:$J$204&gt;$A6)))</f>
        <v/>
      </c>
      <c r="F6" s="44" t="n"/>
      <c r="G6" s="44" t="n"/>
      <c r="H6" s="44" t="n"/>
      <c r="I6" s="36">
        <f>IF($A6="","",IF($F6="",$C6,$F6))</f>
        <v/>
      </c>
      <c r="J6" s="36">
        <f>IF($A6="","",IF($G6="",$D6,$G6))</f>
        <v/>
      </c>
      <c r="K6" s="36">
        <f>IF($A6="","",IF($H6="",$E6,$H6))</f>
        <v/>
      </c>
      <c r="L6" s="38">
        <f>IF($A6="","",'04_月間表'!C7)</f>
        <v/>
      </c>
      <c r="M6" s="38">
        <f>IF($A6="","",'04_月間表'!D7)</f>
        <v/>
      </c>
      <c r="N6" s="38">
        <f>IF($A6="","",'04_月間表'!E7)</f>
        <v/>
      </c>
      <c r="O6" s="38">
        <f>IF($A6="","",'04_月間表'!F7)</f>
        <v/>
      </c>
    </row>
    <row r="7">
      <c r="A7" s="41">
        <f>IF('04_月間表'!$A8="","",'04_月間表'!$A8)</f>
        <v/>
      </c>
      <c r="B7" s="36">
        <f>IF($A7="","",MID("日月火水木金土",WEEKDAY($A7),1))</f>
        <v/>
      </c>
      <c r="C7" s="36">
        <f>IF($A7="","",SUMPRODUCT(('01_予約入力'!$G$5:$G$204&lt;&gt;"")*('01_予約入力'!$N$5:$N$204&lt;&gt;"キャンセル")*('01_予約入力'!$G$5:$G$204&lt;$A7)*('01_予約入力'!$J$5:$J$204&gt;=$A7)))</f>
        <v/>
      </c>
      <c r="D7" s="36">
        <f>IF($A7="","",SUMPRODUCT(('01_予約入力'!$G$5:$G$204&lt;&gt;"")*('01_予約入力'!$N$5:$N$204&lt;&gt;"キャンセル")*((('01_予約入力'!$G$5:$G$204&lt;$A7)*('01_予約入力'!$J$5:$J$204&gt;$A7))+(('01_予約入力'!$G$5:$G$204=$A7)*('01_予約入力'!$J$5:$J$204=$A7)))))</f>
        <v/>
      </c>
      <c r="E7" s="36">
        <f>IF($A7="","",SUMPRODUCT(('01_予約入力'!$G$5:$G$204&lt;&gt;"")*('01_予約入力'!$N$5:$N$204&lt;&gt;"キャンセル")*('01_予約入力'!$G$5:$G$204&lt;=$A7)*('01_予約入力'!$J$5:$J$204&gt;$A7)))</f>
        <v/>
      </c>
      <c r="F7" s="44" t="n"/>
      <c r="G7" s="44" t="n"/>
      <c r="H7" s="44" t="n"/>
      <c r="I7" s="36">
        <f>IF($A7="","",IF($F7="",$C7,$F7))</f>
        <v/>
      </c>
      <c r="J7" s="36">
        <f>IF($A7="","",IF($G7="",$D7,$G7))</f>
        <v/>
      </c>
      <c r="K7" s="36">
        <f>IF($A7="","",IF($H7="",$E7,$H7))</f>
        <v/>
      </c>
      <c r="L7" s="38">
        <f>IF($A7="","",'04_月間表'!C8)</f>
        <v/>
      </c>
      <c r="M7" s="38">
        <f>IF($A7="","",'04_月間表'!D8)</f>
        <v/>
      </c>
      <c r="N7" s="38">
        <f>IF($A7="","",'04_月間表'!E8)</f>
        <v/>
      </c>
      <c r="O7" s="38">
        <f>IF($A7="","",'04_月間表'!F8)</f>
        <v/>
      </c>
    </row>
    <row r="8">
      <c r="A8" s="41">
        <f>IF('04_月間表'!$A9="","",'04_月間表'!$A9)</f>
        <v/>
      </c>
      <c r="B8" s="36">
        <f>IF($A8="","",MID("日月火水木金土",WEEKDAY($A8),1))</f>
        <v/>
      </c>
      <c r="C8" s="36">
        <f>IF($A8="","",SUMPRODUCT(('01_予約入力'!$G$5:$G$204&lt;&gt;"")*('01_予約入力'!$N$5:$N$204&lt;&gt;"キャンセル")*('01_予約入力'!$G$5:$G$204&lt;$A8)*('01_予約入力'!$J$5:$J$204&gt;=$A8)))</f>
        <v/>
      </c>
      <c r="D8" s="36">
        <f>IF($A8="","",SUMPRODUCT(('01_予約入力'!$G$5:$G$204&lt;&gt;"")*('01_予約入力'!$N$5:$N$204&lt;&gt;"キャンセル")*((('01_予約入力'!$G$5:$G$204&lt;$A8)*('01_予約入力'!$J$5:$J$204&gt;$A8))+(('01_予約入力'!$G$5:$G$204=$A8)*('01_予約入力'!$J$5:$J$204=$A8)))))</f>
        <v/>
      </c>
      <c r="E8" s="36">
        <f>IF($A8="","",SUMPRODUCT(('01_予約入力'!$G$5:$G$204&lt;&gt;"")*('01_予約入力'!$N$5:$N$204&lt;&gt;"キャンセル")*('01_予約入力'!$G$5:$G$204&lt;=$A8)*('01_予約入力'!$J$5:$J$204&gt;$A8)))</f>
        <v/>
      </c>
      <c r="F8" s="44" t="n"/>
      <c r="G8" s="44" t="n"/>
      <c r="H8" s="44" t="n"/>
      <c r="I8" s="36">
        <f>IF($A8="","",IF($F8="",$C8,$F8))</f>
        <v/>
      </c>
      <c r="J8" s="36">
        <f>IF($A8="","",IF($G8="",$D8,$G8))</f>
        <v/>
      </c>
      <c r="K8" s="36">
        <f>IF($A8="","",IF($H8="",$E8,$H8))</f>
        <v/>
      </c>
      <c r="L8" s="38">
        <f>IF($A8="","",'04_月間表'!C9)</f>
        <v/>
      </c>
      <c r="M8" s="38">
        <f>IF($A8="","",'04_月間表'!D9)</f>
        <v/>
      </c>
      <c r="N8" s="38">
        <f>IF($A8="","",'04_月間表'!E9)</f>
        <v/>
      </c>
      <c r="O8" s="38">
        <f>IF($A8="","",'04_月間表'!F9)</f>
        <v/>
      </c>
    </row>
    <row r="9">
      <c r="A9" s="41">
        <f>IF('04_月間表'!$A10="","",'04_月間表'!$A10)</f>
        <v/>
      </c>
      <c r="B9" s="36">
        <f>IF($A9="","",MID("日月火水木金土",WEEKDAY($A9),1))</f>
        <v/>
      </c>
      <c r="C9" s="36">
        <f>IF($A9="","",SUMPRODUCT(('01_予約入力'!$G$5:$G$204&lt;&gt;"")*('01_予約入力'!$N$5:$N$204&lt;&gt;"キャンセル")*('01_予約入力'!$G$5:$G$204&lt;$A9)*('01_予約入力'!$J$5:$J$204&gt;=$A9)))</f>
        <v/>
      </c>
      <c r="D9" s="36">
        <f>IF($A9="","",SUMPRODUCT(('01_予約入力'!$G$5:$G$204&lt;&gt;"")*('01_予約入力'!$N$5:$N$204&lt;&gt;"キャンセル")*((('01_予約入力'!$G$5:$G$204&lt;$A9)*('01_予約入力'!$J$5:$J$204&gt;$A9))+(('01_予約入力'!$G$5:$G$204=$A9)*('01_予約入力'!$J$5:$J$204=$A9)))))</f>
        <v/>
      </c>
      <c r="E9" s="36">
        <f>IF($A9="","",SUMPRODUCT(('01_予約入力'!$G$5:$G$204&lt;&gt;"")*('01_予約入力'!$N$5:$N$204&lt;&gt;"キャンセル")*('01_予約入力'!$G$5:$G$204&lt;=$A9)*('01_予約入力'!$J$5:$J$204&gt;$A9)))</f>
        <v/>
      </c>
      <c r="F9" s="44" t="n"/>
      <c r="G9" s="44" t="n"/>
      <c r="H9" s="44" t="n"/>
      <c r="I9" s="36">
        <f>IF($A9="","",IF($F9="",$C9,$F9))</f>
        <v/>
      </c>
      <c r="J9" s="36">
        <f>IF($A9="","",IF($G9="",$D9,$G9))</f>
        <v/>
      </c>
      <c r="K9" s="36">
        <f>IF($A9="","",IF($H9="",$E9,$H9))</f>
        <v/>
      </c>
      <c r="L9" s="38">
        <f>IF($A9="","",'04_月間表'!C10)</f>
        <v/>
      </c>
      <c r="M9" s="38">
        <f>IF($A9="","",'04_月間表'!D10)</f>
        <v/>
      </c>
      <c r="N9" s="38">
        <f>IF($A9="","",'04_月間表'!E10)</f>
        <v/>
      </c>
      <c r="O9" s="38">
        <f>IF($A9="","",'04_月間表'!F10)</f>
        <v/>
      </c>
    </row>
    <row r="10">
      <c r="A10" s="41">
        <f>IF('04_月間表'!$A11="","",'04_月間表'!$A11)</f>
        <v/>
      </c>
      <c r="B10" s="36">
        <f>IF($A10="","",MID("日月火水木金土",WEEKDAY($A10),1))</f>
        <v/>
      </c>
      <c r="C10" s="36">
        <f>IF($A10="","",SUMPRODUCT(('01_予約入力'!$G$5:$G$204&lt;&gt;"")*('01_予約入力'!$N$5:$N$204&lt;&gt;"キャンセル")*('01_予約入力'!$G$5:$G$204&lt;$A10)*('01_予約入力'!$J$5:$J$204&gt;=$A10)))</f>
        <v/>
      </c>
      <c r="D10" s="36">
        <f>IF($A10="","",SUMPRODUCT(('01_予約入力'!$G$5:$G$204&lt;&gt;"")*('01_予約入力'!$N$5:$N$204&lt;&gt;"キャンセル")*((('01_予約入力'!$G$5:$G$204&lt;$A10)*('01_予約入力'!$J$5:$J$204&gt;$A10))+(('01_予約入力'!$G$5:$G$204=$A10)*('01_予約入力'!$J$5:$J$204=$A10)))))</f>
        <v/>
      </c>
      <c r="E10" s="36">
        <f>IF($A10="","",SUMPRODUCT(('01_予約入力'!$G$5:$G$204&lt;&gt;"")*('01_予約入力'!$N$5:$N$204&lt;&gt;"キャンセル")*('01_予約入力'!$G$5:$G$204&lt;=$A10)*('01_予約入力'!$J$5:$J$204&gt;$A10)))</f>
        <v/>
      </c>
      <c r="F10" s="44" t="n"/>
      <c r="G10" s="44" t="n"/>
      <c r="H10" s="44" t="n"/>
      <c r="I10" s="36">
        <f>IF($A10="","",IF($F10="",$C10,$F10))</f>
        <v/>
      </c>
      <c r="J10" s="36">
        <f>IF($A10="","",IF($G10="",$D10,$G10))</f>
        <v/>
      </c>
      <c r="K10" s="36">
        <f>IF($A10="","",IF($H10="",$E10,$H10))</f>
        <v/>
      </c>
      <c r="L10" s="38">
        <f>IF($A10="","",'04_月間表'!C11)</f>
        <v/>
      </c>
      <c r="M10" s="38">
        <f>IF($A10="","",'04_月間表'!D11)</f>
        <v/>
      </c>
      <c r="N10" s="38">
        <f>IF($A10="","",'04_月間表'!E11)</f>
        <v/>
      </c>
      <c r="O10" s="38">
        <f>IF($A10="","",'04_月間表'!F11)</f>
        <v/>
      </c>
    </row>
    <row r="11">
      <c r="A11" s="41">
        <f>IF('04_月間表'!$A12="","",'04_月間表'!$A12)</f>
        <v/>
      </c>
      <c r="B11" s="36">
        <f>IF($A11="","",MID("日月火水木金土",WEEKDAY($A11),1))</f>
        <v/>
      </c>
      <c r="C11" s="36">
        <f>IF($A11="","",SUMPRODUCT(('01_予約入力'!$G$5:$G$204&lt;&gt;"")*('01_予約入力'!$N$5:$N$204&lt;&gt;"キャンセル")*('01_予約入力'!$G$5:$G$204&lt;$A11)*('01_予約入力'!$J$5:$J$204&gt;=$A11)))</f>
        <v/>
      </c>
      <c r="D11" s="36">
        <f>IF($A11="","",SUMPRODUCT(('01_予約入力'!$G$5:$G$204&lt;&gt;"")*('01_予約入力'!$N$5:$N$204&lt;&gt;"キャンセル")*((('01_予約入力'!$G$5:$G$204&lt;$A11)*('01_予約入力'!$J$5:$J$204&gt;$A11))+(('01_予約入力'!$G$5:$G$204=$A11)*('01_予約入力'!$J$5:$J$204=$A11)))))</f>
        <v/>
      </c>
      <c r="E11" s="36">
        <f>IF($A11="","",SUMPRODUCT(('01_予約入力'!$G$5:$G$204&lt;&gt;"")*('01_予約入力'!$N$5:$N$204&lt;&gt;"キャンセル")*('01_予約入力'!$G$5:$G$204&lt;=$A11)*('01_予約入力'!$J$5:$J$204&gt;$A11)))</f>
        <v/>
      </c>
      <c r="F11" s="44" t="n"/>
      <c r="G11" s="44" t="n"/>
      <c r="H11" s="44" t="n"/>
      <c r="I11" s="36">
        <f>IF($A11="","",IF($F11="",$C11,$F11))</f>
        <v/>
      </c>
      <c r="J11" s="36">
        <f>IF($A11="","",IF($G11="",$D11,$G11))</f>
        <v/>
      </c>
      <c r="K11" s="36">
        <f>IF($A11="","",IF($H11="",$E11,$H11))</f>
        <v/>
      </c>
      <c r="L11" s="38">
        <f>IF($A11="","",'04_月間表'!C12)</f>
        <v/>
      </c>
      <c r="M11" s="38">
        <f>IF($A11="","",'04_月間表'!D12)</f>
        <v/>
      </c>
      <c r="N11" s="38">
        <f>IF($A11="","",'04_月間表'!E12)</f>
        <v/>
      </c>
      <c r="O11" s="38">
        <f>IF($A11="","",'04_月間表'!F12)</f>
        <v/>
      </c>
    </row>
    <row r="12">
      <c r="A12" s="41">
        <f>IF('04_月間表'!$A13="","",'04_月間表'!$A13)</f>
        <v/>
      </c>
      <c r="B12" s="36">
        <f>IF($A12="","",MID("日月火水木金土",WEEKDAY($A12),1))</f>
        <v/>
      </c>
      <c r="C12" s="36">
        <f>IF($A12="","",SUMPRODUCT(('01_予約入力'!$G$5:$G$204&lt;&gt;"")*('01_予約入力'!$N$5:$N$204&lt;&gt;"キャンセル")*('01_予約入力'!$G$5:$G$204&lt;$A12)*('01_予約入力'!$J$5:$J$204&gt;=$A12)))</f>
        <v/>
      </c>
      <c r="D12" s="36">
        <f>IF($A12="","",SUMPRODUCT(('01_予約入力'!$G$5:$G$204&lt;&gt;"")*('01_予約入力'!$N$5:$N$204&lt;&gt;"キャンセル")*((('01_予約入力'!$G$5:$G$204&lt;$A12)*('01_予約入力'!$J$5:$J$204&gt;$A12))+(('01_予約入力'!$G$5:$G$204=$A12)*('01_予約入力'!$J$5:$J$204=$A12)))))</f>
        <v/>
      </c>
      <c r="E12" s="36">
        <f>IF($A12="","",SUMPRODUCT(('01_予約入力'!$G$5:$G$204&lt;&gt;"")*('01_予約入力'!$N$5:$N$204&lt;&gt;"キャンセル")*('01_予約入力'!$G$5:$G$204&lt;=$A12)*('01_予約入力'!$J$5:$J$204&gt;$A12)))</f>
        <v/>
      </c>
      <c r="F12" s="44" t="n"/>
      <c r="G12" s="44" t="n"/>
      <c r="H12" s="44" t="n"/>
      <c r="I12" s="36">
        <f>IF($A12="","",IF($F12="",$C12,$F12))</f>
        <v/>
      </c>
      <c r="J12" s="36">
        <f>IF($A12="","",IF($G12="",$D12,$G12))</f>
        <v/>
      </c>
      <c r="K12" s="36">
        <f>IF($A12="","",IF($H12="",$E12,$H12))</f>
        <v/>
      </c>
      <c r="L12" s="38">
        <f>IF($A12="","",'04_月間表'!C13)</f>
        <v/>
      </c>
      <c r="M12" s="38">
        <f>IF($A12="","",'04_月間表'!D13)</f>
        <v/>
      </c>
      <c r="N12" s="38">
        <f>IF($A12="","",'04_月間表'!E13)</f>
        <v/>
      </c>
      <c r="O12" s="38">
        <f>IF($A12="","",'04_月間表'!F13)</f>
        <v/>
      </c>
    </row>
    <row r="13">
      <c r="A13" s="41">
        <f>IF('04_月間表'!$A14="","",'04_月間表'!$A14)</f>
        <v/>
      </c>
      <c r="B13" s="36">
        <f>IF($A13="","",MID("日月火水木金土",WEEKDAY($A13),1))</f>
        <v/>
      </c>
      <c r="C13" s="36">
        <f>IF($A13="","",SUMPRODUCT(('01_予約入力'!$G$5:$G$204&lt;&gt;"")*('01_予約入力'!$N$5:$N$204&lt;&gt;"キャンセル")*('01_予約入力'!$G$5:$G$204&lt;$A13)*('01_予約入力'!$J$5:$J$204&gt;=$A13)))</f>
        <v/>
      </c>
      <c r="D13" s="36">
        <f>IF($A13="","",SUMPRODUCT(('01_予約入力'!$G$5:$G$204&lt;&gt;"")*('01_予約入力'!$N$5:$N$204&lt;&gt;"キャンセル")*((('01_予約入力'!$G$5:$G$204&lt;$A13)*('01_予約入力'!$J$5:$J$204&gt;$A13))+(('01_予約入力'!$G$5:$G$204=$A13)*('01_予約入力'!$J$5:$J$204=$A13)))))</f>
        <v/>
      </c>
      <c r="E13" s="36">
        <f>IF($A13="","",SUMPRODUCT(('01_予約入力'!$G$5:$G$204&lt;&gt;"")*('01_予約入力'!$N$5:$N$204&lt;&gt;"キャンセル")*('01_予約入力'!$G$5:$G$204&lt;=$A13)*('01_予約入力'!$J$5:$J$204&gt;$A13)))</f>
        <v/>
      </c>
      <c r="F13" s="44" t="n"/>
      <c r="G13" s="44" t="n"/>
      <c r="H13" s="44" t="n"/>
      <c r="I13" s="36">
        <f>IF($A13="","",IF($F13="",$C13,$F13))</f>
        <v/>
      </c>
      <c r="J13" s="36">
        <f>IF($A13="","",IF($G13="",$D13,$G13))</f>
        <v/>
      </c>
      <c r="K13" s="36">
        <f>IF($A13="","",IF($H13="",$E13,$H13))</f>
        <v/>
      </c>
      <c r="L13" s="38">
        <f>IF($A13="","",'04_月間表'!C14)</f>
        <v/>
      </c>
      <c r="M13" s="38">
        <f>IF($A13="","",'04_月間表'!D14)</f>
        <v/>
      </c>
      <c r="N13" s="38">
        <f>IF($A13="","",'04_月間表'!E14)</f>
        <v/>
      </c>
      <c r="O13" s="38">
        <f>IF($A13="","",'04_月間表'!F14)</f>
        <v/>
      </c>
    </row>
    <row r="14">
      <c r="A14" s="41">
        <f>IF('04_月間表'!$A15="","",'04_月間表'!$A15)</f>
        <v/>
      </c>
      <c r="B14" s="36">
        <f>IF($A14="","",MID("日月火水木金土",WEEKDAY($A14),1))</f>
        <v/>
      </c>
      <c r="C14" s="36">
        <f>IF($A14="","",SUMPRODUCT(('01_予約入力'!$G$5:$G$204&lt;&gt;"")*('01_予約入力'!$N$5:$N$204&lt;&gt;"キャンセル")*('01_予約入力'!$G$5:$G$204&lt;$A14)*('01_予約入力'!$J$5:$J$204&gt;=$A14)))</f>
        <v/>
      </c>
      <c r="D14" s="36">
        <f>IF($A14="","",SUMPRODUCT(('01_予約入力'!$G$5:$G$204&lt;&gt;"")*('01_予約入力'!$N$5:$N$204&lt;&gt;"キャンセル")*((('01_予約入力'!$G$5:$G$204&lt;$A14)*('01_予約入力'!$J$5:$J$204&gt;$A14))+(('01_予約入力'!$G$5:$G$204=$A14)*('01_予約入力'!$J$5:$J$204=$A14)))))</f>
        <v/>
      </c>
      <c r="E14" s="36">
        <f>IF($A14="","",SUMPRODUCT(('01_予約入力'!$G$5:$G$204&lt;&gt;"")*('01_予約入力'!$N$5:$N$204&lt;&gt;"キャンセル")*('01_予約入力'!$G$5:$G$204&lt;=$A14)*('01_予約入力'!$J$5:$J$204&gt;$A14)))</f>
        <v/>
      </c>
      <c r="F14" s="44" t="n"/>
      <c r="G14" s="44" t="n"/>
      <c r="H14" s="44" t="n"/>
      <c r="I14" s="36">
        <f>IF($A14="","",IF($F14="",$C14,$F14))</f>
        <v/>
      </c>
      <c r="J14" s="36">
        <f>IF($A14="","",IF($G14="",$D14,$G14))</f>
        <v/>
      </c>
      <c r="K14" s="36">
        <f>IF($A14="","",IF($H14="",$E14,$H14))</f>
        <v/>
      </c>
      <c r="L14" s="38">
        <f>IF($A14="","",'04_月間表'!C15)</f>
        <v/>
      </c>
      <c r="M14" s="38">
        <f>IF($A14="","",'04_月間表'!D15)</f>
        <v/>
      </c>
      <c r="N14" s="38">
        <f>IF($A14="","",'04_月間表'!E15)</f>
        <v/>
      </c>
      <c r="O14" s="38">
        <f>IF($A14="","",'04_月間表'!F15)</f>
        <v/>
      </c>
    </row>
    <row r="15">
      <c r="A15" s="41">
        <f>IF('04_月間表'!$A16="","",'04_月間表'!$A16)</f>
        <v/>
      </c>
      <c r="B15" s="36">
        <f>IF($A15="","",MID("日月火水木金土",WEEKDAY($A15),1))</f>
        <v/>
      </c>
      <c r="C15" s="36">
        <f>IF($A15="","",SUMPRODUCT(('01_予約入力'!$G$5:$G$204&lt;&gt;"")*('01_予約入力'!$N$5:$N$204&lt;&gt;"キャンセル")*('01_予約入力'!$G$5:$G$204&lt;$A15)*('01_予約入力'!$J$5:$J$204&gt;=$A15)))</f>
        <v/>
      </c>
      <c r="D15" s="36">
        <f>IF($A15="","",SUMPRODUCT(('01_予約入力'!$G$5:$G$204&lt;&gt;"")*('01_予約入力'!$N$5:$N$204&lt;&gt;"キャンセル")*((('01_予約入力'!$G$5:$G$204&lt;$A15)*('01_予約入力'!$J$5:$J$204&gt;$A15))+(('01_予約入力'!$G$5:$G$204=$A15)*('01_予約入力'!$J$5:$J$204=$A15)))))</f>
        <v/>
      </c>
      <c r="E15" s="36">
        <f>IF($A15="","",SUMPRODUCT(('01_予約入力'!$G$5:$G$204&lt;&gt;"")*('01_予約入力'!$N$5:$N$204&lt;&gt;"キャンセル")*('01_予約入力'!$G$5:$G$204&lt;=$A15)*('01_予約入力'!$J$5:$J$204&gt;$A15)))</f>
        <v/>
      </c>
      <c r="F15" s="44" t="n"/>
      <c r="G15" s="44" t="n"/>
      <c r="H15" s="44" t="n"/>
      <c r="I15" s="36">
        <f>IF($A15="","",IF($F15="",$C15,$F15))</f>
        <v/>
      </c>
      <c r="J15" s="36">
        <f>IF($A15="","",IF($G15="",$D15,$G15))</f>
        <v/>
      </c>
      <c r="K15" s="36">
        <f>IF($A15="","",IF($H15="",$E15,$H15))</f>
        <v/>
      </c>
      <c r="L15" s="38">
        <f>IF($A15="","",'04_月間表'!C16)</f>
        <v/>
      </c>
      <c r="M15" s="38">
        <f>IF($A15="","",'04_月間表'!D16)</f>
        <v/>
      </c>
      <c r="N15" s="38">
        <f>IF($A15="","",'04_月間表'!E16)</f>
        <v/>
      </c>
      <c r="O15" s="38">
        <f>IF($A15="","",'04_月間表'!F16)</f>
        <v/>
      </c>
    </row>
    <row r="16">
      <c r="A16" s="41">
        <f>IF('04_月間表'!$A17="","",'04_月間表'!$A17)</f>
        <v/>
      </c>
      <c r="B16" s="36">
        <f>IF($A16="","",MID("日月火水木金土",WEEKDAY($A16),1))</f>
        <v/>
      </c>
      <c r="C16" s="36">
        <f>IF($A16="","",SUMPRODUCT(('01_予約入力'!$G$5:$G$204&lt;&gt;"")*('01_予約入力'!$N$5:$N$204&lt;&gt;"キャンセル")*('01_予約入力'!$G$5:$G$204&lt;$A16)*('01_予約入力'!$J$5:$J$204&gt;=$A16)))</f>
        <v/>
      </c>
      <c r="D16" s="36">
        <f>IF($A16="","",SUMPRODUCT(('01_予約入力'!$G$5:$G$204&lt;&gt;"")*('01_予約入力'!$N$5:$N$204&lt;&gt;"キャンセル")*((('01_予約入力'!$G$5:$G$204&lt;$A16)*('01_予約入力'!$J$5:$J$204&gt;$A16))+(('01_予約入力'!$G$5:$G$204=$A16)*('01_予約入力'!$J$5:$J$204=$A16)))))</f>
        <v/>
      </c>
      <c r="E16" s="36">
        <f>IF($A16="","",SUMPRODUCT(('01_予約入力'!$G$5:$G$204&lt;&gt;"")*('01_予約入力'!$N$5:$N$204&lt;&gt;"キャンセル")*('01_予約入力'!$G$5:$G$204&lt;=$A16)*('01_予約入力'!$J$5:$J$204&gt;$A16)))</f>
        <v/>
      </c>
      <c r="F16" s="44" t="n"/>
      <c r="G16" s="44" t="n"/>
      <c r="H16" s="44" t="n"/>
      <c r="I16" s="36">
        <f>IF($A16="","",IF($F16="",$C16,$F16))</f>
        <v/>
      </c>
      <c r="J16" s="36">
        <f>IF($A16="","",IF($G16="",$D16,$G16))</f>
        <v/>
      </c>
      <c r="K16" s="36">
        <f>IF($A16="","",IF($H16="",$E16,$H16))</f>
        <v/>
      </c>
      <c r="L16" s="38">
        <f>IF($A16="","",'04_月間表'!C17)</f>
        <v/>
      </c>
      <c r="M16" s="38">
        <f>IF($A16="","",'04_月間表'!D17)</f>
        <v/>
      </c>
      <c r="N16" s="38">
        <f>IF($A16="","",'04_月間表'!E17)</f>
        <v/>
      </c>
      <c r="O16" s="38">
        <f>IF($A16="","",'04_月間表'!F17)</f>
        <v/>
      </c>
    </row>
    <row r="17">
      <c r="A17" s="41">
        <f>IF('04_月間表'!$A18="","",'04_月間表'!$A18)</f>
        <v/>
      </c>
      <c r="B17" s="36">
        <f>IF($A17="","",MID("日月火水木金土",WEEKDAY($A17),1))</f>
        <v/>
      </c>
      <c r="C17" s="36">
        <f>IF($A17="","",SUMPRODUCT(('01_予約入力'!$G$5:$G$204&lt;&gt;"")*('01_予約入力'!$N$5:$N$204&lt;&gt;"キャンセル")*('01_予約入力'!$G$5:$G$204&lt;$A17)*('01_予約入力'!$J$5:$J$204&gt;=$A17)))</f>
        <v/>
      </c>
      <c r="D17" s="36">
        <f>IF($A17="","",SUMPRODUCT(('01_予約入力'!$G$5:$G$204&lt;&gt;"")*('01_予約入力'!$N$5:$N$204&lt;&gt;"キャンセル")*((('01_予約入力'!$G$5:$G$204&lt;$A17)*('01_予約入力'!$J$5:$J$204&gt;$A17))+(('01_予約入力'!$G$5:$G$204=$A17)*('01_予約入力'!$J$5:$J$204=$A17)))))</f>
        <v/>
      </c>
      <c r="E17" s="36">
        <f>IF($A17="","",SUMPRODUCT(('01_予約入力'!$G$5:$G$204&lt;&gt;"")*('01_予約入力'!$N$5:$N$204&lt;&gt;"キャンセル")*('01_予約入力'!$G$5:$G$204&lt;=$A17)*('01_予約入力'!$J$5:$J$204&gt;$A17)))</f>
        <v/>
      </c>
      <c r="F17" s="44" t="n"/>
      <c r="G17" s="44" t="n"/>
      <c r="H17" s="44" t="n"/>
      <c r="I17" s="36">
        <f>IF($A17="","",IF($F17="",$C17,$F17))</f>
        <v/>
      </c>
      <c r="J17" s="36">
        <f>IF($A17="","",IF($G17="",$D17,$G17))</f>
        <v/>
      </c>
      <c r="K17" s="36">
        <f>IF($A17="","",IF($H17="",$E17,$H17))</f>
        <v/>
      </c>
      <c r="L17" s="38">
        <f>IF($A17="","",'04_月間表'!C18)</f>
        <v/>
      </c>
      <c r="M17" s="38">
        <f>IF($A17="","",'04_月間表'!D18)</f>
        <v/>
      </c>
      <c r="N17" s="38">
        <f>IF($A17="","",'04_月間表'!E18)</f>
        <v/>
      </c>
      <c r="O17" s="38">
        <f>IF($A17="","",'04_月間表'!F18)</f>
        <v/>
      </c>
    </row>
    <row r="18">
      <c r="A18" s="41">
        <f>IF('04_月間表'!$A19="","",'04_月間表'!$A19)</f>
        <v/>
      </c>
      <c r="B18" s="36">
        <f>IF($A18="","",MID("日月火水木金土",WEEKDAY($A18),1))</f>
        <v/>
      </c>
      <c r="C18" s="36">
        <f>IF($A18="","",SUMPRODUCT(('01_予約入力'!$G$5:$G$204&lt;&gt;"")*('01_予約入力'!$N$5:$N$204&lt;&gt;"キャンセル")*('01_予約入力'!$G$5:$G$204&lt;$A18)*('01_予約入力'!$J$5:$J$204&gt;=$A18)))</f>
        <v/>
      </c>
      <c r="D18" s="36">
        <f>IF($A18="","",SUMPRODUCT(('01_予約入力'!$G$5:$G$204&lt;&gt;"")*('01_予約入力'!$N$5:$N$204&lt;&gt;"キャンセル")*((('01_予約入力'!$G$5:$G$204&lt;$A18)*('01_予約入力'!$J$5:$J$204&gt;$A18))+(('01_予約入力'!$G$5:$G$204=$A18)*('01_予約入力'!$J$5:$J$204=$A18)))))</f>
        <v/>
      </c>
      <c r="E18" s="36">
        <f>IF($A18="","",SUMPRODUCT(('01_予約入力'!$G$5:$G$204&lt;&gt;"")*('01_予約入力'!$N$5:$N$204&lt;&gt;"キャンセル")*('01_予約入力'!$G$5:$G$204&lt;=$A18)*('01_予約入力'!$J$5:$J$204&gt;$A18)))</f>
        <v/>
      </c>
      <c r="F18" s="44" t="n"/>
      <c r="G18" s="44" t="n"/>
      <c r="H18" s="44" t="n"/>
      <c r="I18" s="36">
        <f>IF($A18="","",IF($F18="",$C18,$F18))</f>
        <v/>
      </c>
      <c r="J18" s="36">
        <f>IF($A18="","",IF($G18="",$D18,$G18))</f>
        <v/>
      </c>
      <c r="K18" s="36">
        <f>IF($A18="","",IF($H18="",$E18,$H18))</f>
        <v/>
      </c>
      <c r="L18" s="38">
        <f>IF($A18="","",'04_月間表'!C19)</f>
        <v/>
      </c>
      <c r="M18" s="38">
        <f>IF($A18="","",'04_月間表'!D19)</f>
        <v/>
      </c>
      <c r="N18" s="38">
        <f>IF($A18="","",'04_月間表'!E19)</f>
        <v/>
      </c>
      <c r="O18" s="38">
        <f>IF($A18="","",'04_月間表'!F19)</f>
        <v/>
      </c>
    </row>
    <row r="19">
      <c r="A19" s="41">
        <f>IF('04_月間表'!$A20="","",'04_月間表'!$A20)</f>
        <v/>
      </c>
      <c r="B19" s="36">
        <f>IF($A19="","",MID("日月火水木金土",WEEKDAY($A19),1))</f>
        <v/>
      </c>
      <c r="C19" s="36">
        <f>IF($A19="","",SUMPRODUCT(('01_予約入力'!$G$5:$G$204&lt;&gt;"")*('01_予約入力'!$N$5:$N$204&lt;&gt;"キャンセル")*('01_予約入力'!$G$5:$G$204&lt;$A19)*('01_予約入力'!$J$5:$J$204&gt;=$A19)))</f>
        <v/>
      </c>
      <c r="D19" s="36">
        <f>IF($A19="","",SUMPRODUCT(('01_予約入力'!$G$5:$G$204&lt;&gt;"")*('01_予約入力'!$N$5:$N$204&lt;&gt;"キャンセル")*((('01_予約入力'!$G$5:$G$204&lt;$A19)*('01_予約入力'!$J$5:$J$204&gt;$A19))+(('01_予約入力'!$G$5:$G$204=$A19)*('01_予約入力'!$J$5:$J$204=$A19)))))</f>
        <v/>
      </c>
      <c r="E19" s="36">
        <f>IF($A19="","",SUMPRODUCT(('01_予約入力'!$G$5:$G$204&lt;&gt;"")*('01_予約入力'!$N$5:$N$204&lt;&gt;"キャンセル")*('01_予約入力'!$G$5:$G$204&lt;=$A19)*('01_予約入力'!$J$5:$J$204&gt;$A19)))</f>
        <v/>
      </c>
      <c r="F19" s="44" t="n"/>
      <c r="G19" s="44" t="n"/>
      <c r="H19" s="44" t="n"/>
      <c r="I19" s="36">
        <f>IF($A19="","",IF($F19="",$C19,$F19))</f>
        <v/>
      </c>
      <c r="J19" s="36">
        <f>IF($A19="","",IF($G19="",$D19,$G19))</f>
        <v/>
      </c>
      <c r="K19" s="36">
        <f>IF($A19="","",IF($H19="",$E19,$H19))</f>
        <v/>
      </c>
      <c r="L19" s="38">
        <f>IF($A19="","",'04_月間表'!C20)</f>
        <v/>
      </c>
      <c r="M19" s="38">
        <f>IF($A19="","",'04_月間表'!D20)</f>
        <v/>
      </c>
      <c r="N19" s="38">
        <f>IF($A19="","",'04_月間表'!E20)</f>
        <v/>
      </c>
      <c r="O19" s="38">
        <f>IF($A19="","",'04_月間表'!F20)</f>
        <v/>
      </c>
    </row>
    <row r="20">
      <c r="A20" s="41">
        <f>IF('04_月間表'!$A21="","",'04_月間表'!$A21)</f>
        <v/>
      </c>
      <c r="B20" s="36">
        <f>IF($A20="","",MID("日月火水木金土",WEEKDAY($A20),1))</f>
        <v/>
      </c>
      <c r="C20" s="36">
        <f>IF($A20="","",SUMPRODUCT(('01_予約入力'!$G$5:$G$204&lt;&gt;"")*('01_予約入力'!$N$5:$N$204&lt;&gt;"キャンセル")*('01_予約入力'!$G$5:$G$204&lt;$A20)*('01_予約入力'!$J$5:$J$204&gt;=$A20)))</f>
        <v/>
      </c>
      <c r="D20" s="36">
        <f>IF($A20="","",SUMPRODUCT(('01_予約入力'!$G$5:$G$204&lt;&gt;"")*('01_予約入力'!$N$5:$N$204&lt;&gt;"キャンセル")*((('01_予約入力'!$G$5:$G$204&lt;$A20)*('01_予約入力'!$J$5:$J$204&gt;$A20))+(('01_予約入力'!$G$5:$G$204=$A20)*('01_予約入力'!$J$5:$J$204=$A20)))))</f>
        <v/>
      </c>
      <c r="E20" s="36">
        <f>IF($A20="","",SUMPRODUCT(('01_予約入力'!$G$5:$G$204&lt;&gt;"")*('01_予約入力'!$N$5:$N$204&lt;&gt;"キャンセル")*('01_予約入力'!$G$5:$G$204&lt;=$A20)*('01_予約入力'!$J$5:$J$204&gt;$A20)))</f>
        <v/>
      </c>
      <c r="F20" s="44" t="n"/>
      <c r="G20" s="44" t="n"/>
      <c r="H20" s="44" t="n"/>
      <c r="I20" s="36">
        <f>IF($A20="","",IF($F20="",$C20,$F20))</f>
        <v/>
      </c>
      <c r="J20" s="36">
        <f>IF($A20="","",IF($G20="",$D20,$G20))</f>
        <v/>
      </c>
      <c r="K20" s="36">
        <f>IF($A20="","",IF($H20="",$E20,$H20))</f>
        <v/>
      </c>
      <c r="L20" s="38">
        <f>IF($A20="","",'04_月間表'!C21)</f>
        <v/>
      </c>
      <c r="M20" s="38">
        <f>IF($A20="","",'04_月間表'!D21)</f>
        <v/>
      </c>
      <c r="N20" s="38">
        <f>IF($A20="","",'04_月間表'!E21)</f>
        <v/>
      </c>
      <c r="O20" s="38">
        <f>IF($A20="","",'04_月間表'!F21)</f>
        <v/>
      </c>
    </row>
    <row r="21">
      <c r="A21" s="41">
        <f>IF('04_月間表'!$A22="","",'04_月間表'!$A22)</f>
        <v/>
      </c>
      <c r="B21" s="36">
        <f>IF($A21="","",MID("日月火水木金土",WEEKDAY($A21),1))</f>
        <v/>
      </c>
      <c r="C21" s="36">
        <f>IF($A21="","",SUMPRODUCT(('01_予約入力'!$G$5:$G$204&lt;&gt;"")*('01_予約入力'!$N$5:$N$204&lt;&gt;"キャンセル")*('01_予約入力'!$G$5:$G$204&lt;$A21)*('01_予約入力'!$J$5:$J$204&gt;=$A21)))</f>
        <v/>
      </c>
      <c r="D21" s="36">
        <f>IF($A21="","",SUMPRODUCT(('01_予約入力'!$G$5:$G$204&lt;&gt;"")*('01_予約入力'!$N$5:$N$204&lt;&gt;"キャンセル")*((('01_予約入力'!$G$5:$G$204&lt;$A21)*('01_予約入力'!$J$5:$J$204&gt;$A21))+(('01_予約入力'!$G$5:$G$204=$A21)*('01_予約入力'!$J$5:$J$204=$A21)))))</f>
        <v/>
      </c>
      <c r="E21" s="36">
        <f>IF($A21="","",SUMPRODUCT(('01_予約入力'!$G$5:$G$204&lt;&gt;"")*('01_予約入力'!$N$5:$N$204&lt;&gt;"キャンセル")*('01_予約入力'!$G$5:$G$204&lt;=$A21)*('01_予約入力'!$J$5:$J$204&gt;$A21)))</f>
        <v/>
      </c>
      <c r="F21" s="44" t="n"/>
      <c r="G21" s="44" t="n"/>
      <c r="H21" s="44" t="n"/>
      <c r="I21" s="36">
        <f>IF($A21="","",IF($F21="",$C21,$F21))</f>
        <v/>
      </c>
      <c r="J21" s="36">
        <f>IF($A21="","",IF($G21="",$D21,$G21))</f>
        <v/>
      </c>
      <c r="K21" s="36">
        <f>IF($A21="","",IF($H21="",$E21,$H21))</f>
        <v/>
      </c>
      <c r="L21" s="38">
        <f>IF($A21="","",'04_月間表'!C22)</f>
        <v/>
      </c>
      <c r="M21" s="38">
        <f>IF($A21="","",'04_月間表'!D22)</f>
        <v/>
      </c>
      <c r="N21" s="38">
        <f>IF($A21="","",'04_月間表'!E22)</f>
        <v/>
      </c>
      <c r="O21" s="38">
        <f>IF($A21="","",'04_月間表'!F22)</f>
        <v/>
      </c>
    </row>
    <row r="22">
      <c r="A22" s="41">
        <f>IF('04_月間表'!$A23="","",'04_月間表'!$A23)</f>
        <v/>
      </c>
      <c r="B22" s="36">
        <f>IF($A22="","",MID("日月火水木金土",WEEKDAY($A22),1))</f>
        <v/>
      </c>
      <c r="C22" s="36">
        <f>IF($A22="","",SUMPRODUCT(('01_予約入力'!$G$5:$G$204&lt;&gt;"")*('01_予約入力'!$N$5:$N$204&lt;&gt;"キャンセル")*('01_予約入力'!$G$5:$G$204&lt;$A22)*('01_予約入力'!$J$5:$J$204&gt;=$A22)))</f>
        <v/>
      </c>
      <c r="D22" s="36">
        <f>IF($A22="","",SUMPRODUCT(('01_予約入力'!$G$5:$G$204&lt;&gt;"")*('01_予約入力'!$N$5:$N$204&lt;&gt;"キャンセル")*((('01_予約入力'!$G$5:$G$204&lt;$A22)*('01_予約入力'!$J$5:$J$204&gt;$A22))+(('01_予約入力'!$G$5:$G$204=$A22)*('01_予約入力'!$J$5:$J$204=$A22)))))</f>
        <v/>
      </c>
      <c r="E22" s="36">
        <f>IF($A22="","",SUMPRODUCT(('01_予約入力'!$G$5:$G$204&lt;&gt;"")*('01_予約入力'!$N$5:$N$204&lt;&gt;"キャンセル")*('01_予約入力'!$G$5:$G$204&lt;=$A22)*('01_予約入力'!$J$5:$J$204&gt;$A22)))</f>
        <v/>
      </c>
      <c r="F22" s="44" t="n"/>
      <c r="G22" s="44" t="n"/>
      <c r="H22" s="44" t="n"/>
      <c r="I22" s="36">
        <f>IF($A22="","",IF($F22="",$C22,$F22))</f>
        <v/>
      </c>
      <c r="J22" s="36">
        <f>IF($A22="","",IF($G22="",$D22,$G22))</f>
        <v/>
      </c>
      <c r="K22" s="36">
        <f>IF($A22="","",IF($H22="",$E22,$H22))</f>
        <v/>
      </c>
      <c r="L22" s="38">
        <f>IF($A22="","",'04_月間表'!C23)</f>
        <v/>
      </c>
      <c r="M22" s="38">
        <f>IF($A22="","",'04_月間表'!D23)</f>
        <v/>
      </c>
      <c r="N22" s="38">
        <f>IF($A22="","",'04_月間表'!E23)</f>
        <v/>
      </c>
      <c r="O22" s="38">
        <f>IF($A22="","",'04_月間表'!F23)</f>
        <v/>
      </c>
    </row>
    <row r="23">
      <c r="A23" s="41">
        <f>IF('04_月間表'!$A24="","",'04_月間表'!$A24)</f>
        <v/>
      </c>
      <c r="B23" s="36">
        <f>IF($A23="","",MID("日月火水木金土",WEEKDAY($A23),1))</f>
        <v/>
      </c>
      <c r="C23" s="36">
        <f>IF($A23="","",SUMPRODUCT(('01_予約入力'!$G$5:$G$204&lt;&gt;"")*('01_予約入力'!$N$5:$N$204&lt;&gt;"キャンセル")*('01_予約入力'!$G$5:$G$204&lt;$A23)*('01_予約入力'!$J$5:$J$204&gt;=$A23)))</f>
        <v/>
      </c>
      <c r="D23" s="36">
        <f>IF($A23="","",SUMPRODUCT(('01_予約入力'!$G$5:$G$204&lt;&gt;"")*('01_予約入力'!$N$5:$N$204&lt;&gt;"キャンセル")*((('01_予約入力'!$G$5:$G$204&lt;$A23)*('01_予約入力'!$J$5:$J$204&gt;$A23))+(('01_予約入力'!$G$5:$G$204=$A23)*('01_予約入力'!$J$5:$J$204=$A23)))))</f>
        <v/>
      </c>
      <c r="E23" s="36">
        <f>IF($A23="","",SUMPRODUCT(('01_予約入力'!$G$5:$G$204&lt;&gt;"")*('01_予約入力'!$N$5:$N$204&lt;&gt;"キャンセル")*('01_予約入力'!$G$5:$G$204&lt;=$A23)*('01_予約入力'!$J$5:$J$204&gt;$A23)))</f>
        <v/>
      </c>
      <c r="F23" s="44" t="n"/>
      <c r="G23" s="44" t="n"/>
      <c r="H23" s="44" t="n"/>
      <c r="I23" s="36">
        <f>IF($A23="","",IF($F23="",$C23,$F23))</f>
        <v/>
      </c>
      <c r="J23" s="36">
        <f>IF($A23="","",IF($G23="",$D23,$G23))</f>
        <v/>
      </c>
      <c r="K23" s="36">
        <f>IF($A23="","",IF($H23="",$E23,$H23))</f>
        <v/>
      </c>
      <c r="L23" s="38">
        <f>IF($A23="","",'04_月間表'!C24)</f>
        <v/>
      </c>
      <c r="M23" s="38">
        <f>IF($A23="","",'04_月間表'!D24)</f>
        <v/>
      </c>
      <c r="N23" s="38">
        <f>IF($A23="","",'04_月間表'!E24)</f>
        <v/>
      </c>
      <c r="O23" s="38">
        <f>IF($A23="","",'04_月間表'!F24)</f>
        <v/>
      </c>
    </row>
    <row r="24">
      <c r="A24" s="41">
        <f>IF('04_月間表'!$A25="","",'04_月間表'!$A25)</f>
        <v/>
      </c>
      <c r="B24" s="36">
        <f>IF($A24="","",MID("日月火水木金土",WEEKDAY($A24),1))</f>
        <v/>
      </c>
      <c r="C24" s="36">
        <f>IF($A24="","",SUMPRODUCT(('01_予約入力'!$G$5:$G$204&lt;&gt;"")*('01_予約入力'!$N$5:$N$204&lt;&gt;"キャンセル")*('01_予約入力'!$G$5:$G$204&lt;$A24)*('01_予約入力'!$J$5:$J$204&gt;=$A24)))</f>
        <v/>
      </c>
      <c r="D24" s="36">
        <f>IF($A24="","",SUMPRODUCT(('01_予約入力'!$G$5:$G$204&lt;&gt;"")*('01_予約入力'!$N$5:$N$204&lt;&gt;"キャンセル")*((('01_予約入力'!$G$5:$G$204&lt;$A24)*('01_予約入力'!$J$5:$J$204&gt;$A24))+(('01_予約入力'!$G$5:$G$204=$A24)*('01_予約入力'!$J$5:$J$204=$A24)))))</f>
        <v/>
      </c>
      <c r="E24" s="36">
        <f>IF($A24="","",SUMPRODUCT(('01_予約入力'!$G$5:$G$204&lt;&gt;"")*('01_予約入力'!$N$5:$N$204&lt;&gt;"キャンセル")*('01_予約入力'!$G$5:$G$204&lt;=$A24)*('01_予約入力'!$J$5:$J$204&gt;$A24)))</f>
        <v/>
      </c>
      <c r="F24" s="44" t="n"/>
      <c r="G24" s="44" t="n"/>
      <c r="H24" s="44" t="n"/>
      <c r="I24" s="36">
        <f>IF($A24="","",IF($F24="",$C24,$F24))</f>
        <v/>
      </c>
      <c r="J24" s="36">
        <f>IF($A24="","",IF($G24="",$D24,$G24))</f>
        <v/>
      </c>
      <c r="K24" s="36">
        <f>IF($A24="","",IF($H24="",$E24,$H24))</f>
        <v/>
      </c>
      <c r="L24" s="38">
        <f>IF($A24="","",'04_月間表'!C25)</f>
        <v/>
      </c>
      <c r="M24" s="38">
        <f>IF($A24="","",'04_月間表'!D25)</f>
        <v/>
      </c>
      <c r="N24" s="38">
        <f>IF($A24="","",'04_月間表'!E25)</f>
        <v/>
      </c>
      <c r="O24" s="38">
        <f>IF($A24="","",'04_月間表'!F25)</f>
        <v/>
      </c>
    </row>
    <row r="25">
      <c r="A25" s="41">
        <f>IF('04_月間表'!$A26="","",'04_月間表'!$A26)</f>
        <v/>
      </c>
      <c r="B25" s="36">
        <f>IF($A25="","",MID("日月火水木金土",WEEKDAY($A25),1))</f>
        <v/>
      </c>
      <c r="C25" s="36">
        <f>IF($A25="","",SUMPRODUCT(('01_予約入力'!$G$5:$G$204&lt;&gt;"")*('01_予約入力'!$N$5:$N$204&lt;&gt;"キャンセル")*('01_予約入力'!$G$5:$G$204&lt;$A25)*('01_予約入力'!$J$5:$J$204&gt;=$A25)))</f>
        <v/>
      </c>
      <c r="D25" s="36">
        <f>IF($A25="","",SUMPRODUCT(('01_予約入力'!$G$5:$G$204&lt;&gt;"")*('01_予約入力'!$N$5:$N$204&lt;&gt;"キャンセル")*((('01_予約入力'!$G$5:$G$204&lt;$A25)*('01_予約入力'!$J$5:$J$204&gt;$A25))+(('01_予約入力'!$G$5:$G$204=$A25)*('01_予約入力'!$J$5:$J$204=$A25)))))</f>
        <v/>
      </c>
      <c r="E25" s="36">
        <f>IF($A25="","",SUMPRODUCT(('01_予約入力'!$G$5:$G$204&lt;&gt;"")*('01_予約入力'!$N$5:$N$204&lt;&gt;"キャンセル")*('01_予約入力'!$G$5:$G$204&lt;=$A25)*('01_予約入力'!$J$5:$J$204&gt;$A25)))</f>
        <v/>
      </c>
      <c r="F25" s="44" t="n"/>
      <c r="G25" s="44" t="n"/>
      <c r="H25" s="44" t="n"/>
      <c r="I25" s="36">
        <f>IF($A25="","",IF($F25="",$C25,$F25))</f>
        <v/>
      </c>
      <c r="J25" s="36">
        <f>IF($A25="","",IF($G25="",$D25,$G25))</f>
        <v/>
      </c>
      <c r="K25" s="36">
        <f>IF($A25="","",IF($H25="",$E25,$H25))</f>
        <v/>
      </c>
      <c r="L25" s="38">
        <f>IF($A25="","",'04_月間表'!C26)</f>
        <v/>
      </c>
      <c r="M25" s="38">
        <f>IF($A25="","",'04_月間表'!D26)</f>
        <v/>
      </c>
      <c r="N25" s="38">
        <f>IF($A25="","",'04_月間表'!E26)</f>
        <v/>
      </c>
      <c r="O25" s="38">
        <f>IF($A25="","",'04_月間表'!F26)</f>
        <v/>
      </c>
    </row>
    <row r="26">
      <c r="A26" s="41">
        <f>IF('04_月間表'!$A27="","",'04_月間表'!$A27)</f>
        <v/>
      </c>
      <c r="B26" s="36">
        <f>IF($A26="","",MID("日月火水木金土",WEEKDAY($A26),1))</f>
        <v/>
      </c>
      <c r="C26" s="36">
        <f>IF($A26="","",SUMPRODUCT(('01_予約入力'!$G$5:$G$204&lt;&gt;"")*('01_予約入力'!$N$5:$N$204&lt;&gt;"キャンセル")*('01_予約入力'!$G$5:$G$204&lt;$A26)*('01_予約入力'!$J$5:$J$204&gt;=$A26)))</f>
        <v/>
      </c>
      <c r="D26" s="36">
        <f>IF($A26="","",SUMPRODUCT(('01_予約入力'!$G$5:$G$204&lt;&gt;"")*('01_予約入力'!$N$5:$N$204&lt;&gt;"キャンセル")*((('01_予約入力'!$G$5:$G$204&lt;$A26)*('01_予約入力'!$J$5:$J$204&gt;$A26))+(('01_予約入力'!$G$5:$G$204=$A26)*('01_予約入力'!$J$5:$J$204=$A26)))))</f>
        <v/>
      </c>
      <c r="E26" s="36">
        <f>IF($A26="","",SUMPRODUCT(('01_予約入力'!$G$5:$G$204&lt;&gt;"")*('01_予約入力'!$N$5:$N$204&lt;&gt;"キャンセル")*('01_予約入力'!$G$5:$G$204&lt;=$A26)*('01_予約入力'!$J$5:$J$204&gt;$A26)))</f>
        <v/>
      </c>
      <c r="F26" s="44" t="n"/>
      <c r="G26" s="44" t="n"/>
      <c r="H26" s="44" t="n"/>
      <c r="I26" s="36">
        <f>IF($A26="","",IF($F26="",$C26,$F26))</f>
        <v/>
      </c>
      <c r="J26" s="36">
        <f>IF($A26="","",IF($G26="",$D26,$G26))</f>
        <v/>
      </c>
      <c r="K26" s="36">
        <f>IF($A26="","",IF($H26="",$E26,$H26))</f>
        <v/>
      </c>
      <c r="L26" s="38">
        <f>IF($A26="","",'04_月間表'!C27)</f>
        <v/>
      </c>
      <c r="M26" s="38">
        <f>IF($A26="","",'04_月間表'!D27)</f>
        <v/>
      </c>
      <c r="N26" s="38">
        <f>IF($A26="","",'04_月間表'!E27)</f>
        <v/>
      </c>
      <c r="O26" s="38">
        <f>IF($A26="","",'04_月間表'!F27)</f>
        <v/>
      </c>
    </row>
    <row r="27">
      <c r="A27" s="41">
        <f>IF('04_月間表'!$A28="","",'04_月間表'!$A28)</f>
        <v/>
      </c>
      <c r="B27" s="36">
        <f>IF($A27="","",MID("日月火水木金土",WEEKDAY($A27),1))</f>
        <v/>
      </c>
      <c r="C27" s="36">
        <f>IF($A27="","",SUMPRODUCT(('01_予約入力'!$G$5:$G$204&lt;&gt;"")*('01_予約入力'!$N$5:$N$204&lt;&gt;"キャンセル")*('01_予約入力'!$G$5:$G$204&lt;$A27)*('01_予約入力'!$J$5:$J$204&gt;=$A27)))</f>
        <v/>
      </c>
      <c r="D27" s="36">
        <f>IF($A27="","",SUMPRODUCT(('01_予約入力'!$G$5:$G$204&lt;&gt;"")*('01_予約入力'!$N$5:$N$204&lt;&gt;"キャンセル")*((('01_予約入力'!$G$5:$G$204&lt;$A27)*('01_予約入力'!$J$5:$J$204&gt;$A27))+(('01_予約入力'!$G$5:$G$204=$A27)*('01_予約入力'!$J$5:$J$204=$A27)))))</f>
        <v/>
      </c>
      <c r="E27" s="36">
        <f>IF($A27="","",SUMPRODUCT(('01_予約入力'!$G$5:$G$204&lt;&gt;"")*('01_予約入力'!$N$5:$N$204&lt;&gt;"キャンセル")*('01_予約入力'!$G$5:$G$204&lt;=$A27)*('01_予約入力'!$J$5:$J$204&gt;$A27)))</f>
        <v/>
      </c>
      <c r="F27" s="44" t="n"/>
      <c r="G27" s="44" t="n"/>
      <c r="H27" s="44" t="n"/>
      <c r="I27" s="36">
        <f>IF($A27="","",IF($F27="",$C27,$F27))</f>
        <v/>
      </c>
      <c r="J27" s="36">
        <f>IF($A27="","",IF($G27="",$D27,$G27))</f>
        <v/>
      </c>
      <c r="K27" s="36">
        <f>IF($A27="","",IF($H27="",$E27,$H27))</f>
        <v/>
      </c>
      <c r="L27" s="38">
        <f>IF($A27="","",'04_月間表'!C28)</f>
        <v/>
      </c>
      <c r="M27" s="38">
        <f>IF($A27="","",'04_月間表'!D28)</f>
        <v/>
      </c>
      <c r="N27" s="38">
        <f>IF($A27="","",'04_月間表'!E28)</f>
        <v/>
      </c>
      <c r="O27" s="38">
        <f>IF($A27="","",'04_月間表'!F28)</f>
        <v/>
      </c>
    </row>
    <row r="28">
      <c r="A28" s="41">
        <f>IF('04_月間表'!$A29="","",'04_月間表'!$A29)</f>
        <v/>
      </c>
      <c r="B28" s="36">
        <f>IF($A28="","",MID("日月火水木金土",WEEKDAY($A28),1))</f>
        <v/>
      </c>
      <c r="C28" s="36">
        <f>IF($A28="","",SUMPRODUCT(('01_予約入力'!$G$5:$G$204&lt;&gt;"")*('01_予約入力'!$N$5:$N$204&lt;&gt;"キャンセル")*('01_予約入力'!$G$5:$G$204&lt;$A28)*('01_予約入力'!$J$5:$J$204&gt;=$A28)))</f>
        <v/>
      </c>
      <c r="D28" s="36">
        <f>IF($A28="","",SUMPRODUCT(('01_予約入力'!$G$5:$G$204&lt;&gt;"")*('01_予約入力'!$N$5:$N$204&lt;&gt;"キャンセル")*((('01_予約入力'!$G$5:$G$204&lt;$A28)*('01_予約入力'!$J$5:$J$204&gt;$A28))+(('01_予約入力'!$G$5:$G$204=$A28)*('01_予約入力'!$J$5:$J$204=$A28)))))</f>
        <v/>
      </c>
      <c r="E28" s="36">
        <f>IF($A28="","",SUMPRODUCT(('01_予約入力'!$G$5:$G$204&lt;&gt;"")*('01_予約入力'!$N$5:$N$204&lt;&gt;"キャンセル")*('01_予約入力'!$G$5:$G$204&lt;=$A28)*('01_予約入力'!$J$5:$J$204&gt;$A28)))</f>
        <v/>
      </c>
      <c r="F28" s="44" t="n"/>
      <c r="G28" s="44" t="n"/>
      <c r="H28" s="44" t="n"/>
      <c r="I28" s="36">
        <f>IF($A28="","",IF($F28="",$C28,$F28))</f>
        <v/>
      </c>
      <c r="J28" s="36">
        <f>IF($A28="","",IF($G28="",$D28,$G28))</f>
        <v/>
      </c>
      <c r="K28" s="36">
        <f>IF($A28="","",IF($H28="",$E28,$H28))</f>
        <v/>
      </c>
      <c r="L28" s="38">
        <f>IF($A28="","",'04_月間表'!C29)</f>
        <v/>
      </c>
      <c r="M28" s="38">
        <f>IF($A28="","",'04_月間表'!D29)</f>
        <v/>
      </c>
      <c r="N28" s="38">
        <f>IF($A28="","",'04_月間表'!E29)</f>
        <v/>
      </c>
      <c r="O28" s="38">
        <f>IF($A28="","",'04_月間表'!F29)</f>
        <v/>
      </c>
    </row>
    <row r="29">
      <c r="A29" s="41">
        <f>IF('04_月間表'!$A30="","",'04_月間表'!$A30)</f>
        <v/>
      </c>
      <c r="B29" s="36">
        <f>IF($A29="","",MID("日月火水木金土",WEEKDAY($A29),1))</f>
        <v/>
      </c>
      <c r="C29" s="36">
        <f>IF($A29="","",SUMPRODUCT(('01_予約入力'!$G$5:$G$204&lt;&gt;"")*('01_予約入力'!$N$5:$N$204&lt;&gt;"キャンセル")*('01_予約入力'!$G$5:$G$204&lt;$A29)*('01_予約入力'!$J$5:$J$204&gt;=$A29)))</f>
        <v/>
      </c>
      <c r="D29" s="36">
        <f>IF($A29="","",SUMPRODUCT(('01_予約入力'!$G$5:$G$204&lt;&gt;"")*('01_予約入力'!$N$5:$N$204&lt;&gt;"キャンセル")*((('01_予約入力'!$G$5:$G$204&lt;$A29)*('01_予約入力'!$J$5:$J$204&gt;$A29))+(('01_予約入力'!$G$5:$G$204=$A29)*('01_予約入力'!$J$5:$J$204=$A29)))))</f>
        <v/>
      </c>
      <c r="E29" s="36">
        <f>IF($A29="","",SUMPRODUCT(('01_予約入力'!$G$5:$G$204&lt;&gt;"")*('01_予約入力'!$N$5:$N$204&lt;&gt;"キャンセル")*('01_予約入力'!$G$5:$G$204&lt;=$A29)*('01_予約入力'!$J$5:$J$204&gt;$A29)))</f>
        <v/>
      </c>
      <c r="F29" s="44" t="n"/>
      <c r="G29" s="44" t="n"/>
      <c r="H29" s="44" t="n"/>
      <c r="I29" s="36">
        <f>IF($A29="","",IF($F29="",$C29,$F29))</f>
        <v/>
      </c>
      <c r="J29" s="36">
        <f>IF($A29="","",IF($G29="",$D29,$G29))</f>
        <v/>
      </c>
      <c r="K29" s="36">
        <f>IF($A29="","",IF($H29="",$E29,$H29))</f>
        <v/>
      </c>
      <c r="L29" s="38">
        <f>IF($A29="","",'04_月間表'!C30)</f>
        <v/>
      </c>
      <c r="M29" s="38">
        <f>IF($A29="","",'04_月間表'!D30)</f>
        <v/>
      </c>
      <c r="N29" s="38">
        <f>IF($A29="","",'04_月間表'!E30)</f>
        <v/>
      </c>
      <c r="O29" s="38">
        <f>IF($A29="","",'04_月間表'!F30)</f>
        <v/>
      </c>
    </row>
    <row r="30">
      <c r="A30" s="41">
        <f>IF('04_月間表'!$A31="","",'04_月間表'!$A31)</f>
        <v/>
      </c>
      <c r="B30" s="36">
        <f>IF($A30="","",MID("日月火水木金土",WEEKDAY($A30),1))</f>
        <v/>
      </c>
      <c r="C30" s="36">
        <f>IF($A30="","",SUMPRODUCT(('01_予約入力'!$G$5:$G$204&lt;&gt;"")*('01_予約入力'!$N$5:$N$204&lt;&gt;"キャンセル")*('01_予約入力'!$G$5:$G$204&lt;$A30)*('01_予約入力'!$J$5:$J$204&gt;=$A30)))</f>
        <v/>
      </c>
      <c r="D30" s="36">
        <f>IF($A30="","",SUMPRODUCT(('01_予約入力'!$G$5:$G$204&lt;&gt;"")*('01_予約入力'!$N$5:$N$204&lt;&gt;"キャンセル")*((('01_予約入力'!$G$5:$G$204&lt;$A30)*('01_予約入力'!$J$5:$J$204&gt;$A30))+(('01_予約入力'!$G$5:$G$204=$A30)*('01_予約入力'!$J$5:$J$204=$A30)))))</f>
        <v/>
      </c>
      <c r="E30" s="36">
        <f>IF($A30="","",SUMPRODUCT(('01_予約入力'!$G$5:$G$204&lt;&gt;"")*('01_予約入力'!$N$5:$N$204&lt;&gt;"キャンセル")*('01_予約入力'!$G$5:$G$204&lt;=$A30)*('01_予約入力'!$J$5:$J$204&gt;$A30)))</f>
        <v/>
      </c>
      <c r="F30" s="44" t="n"/>
      <c r="G30" s="44" t="n"/>
      <c r="H30" s="44" t="n"/>
      <c r="I30" s="36">
        <f>IF($A30="","",IF($F30="",$C30,$F30))</f>
        <v/>
      </c>
      <c r="J30" s="36">
        <f>IF($A30="","",IF($G30="",$D30,$G30))</f>
        <v/>
      </c>
      <c r="K30" s="36">
        <f>IF($A30="","",IF($H30="",$E30,$H30))</f>
        <v/>
      </c>
      <c r="L30" s="38">
        <f>IF($A30="","",'04_月間表'!C31)</f>
        <v/>
      </c>
      <c r="M30" s="38">
        <f>IF($A30="","",'04_月間表'!D31)</f>
        <v/>
      </c>
      <c r="N30" s="38">
        <f>IF($A30="","",'04_月間表'!E31)</f>
        <v/>
      </c>
      <c r="O30" s="38">
        <f>IF($A30="","",'04_月間表'!F31)</f>
        <v/>
      </c>
    </row>
    <row r="31">
      <c r="A31" s="41">
        <f>IF('04_月間表'!$A32="","",'04_月間表'!$A32)</f>
        <v/>
      </c>
      <c r="B31" s="36">
        <f>IF($A31="","",MID("日月火水木金土",WEEKDAY($A31),1))</f>
        <v/>
      </c>
      <c r="C31" s="36">
        <f>IF($A31="","",SUMPRODUCT(('01_予約入力'!$G$5:$G$204&lt;&gt;"")*('01_予約入力'!$N$5:$N$204&lt;&gt;"キャンセル")*('01_予約入力'!$G$5:$G$204&lt;$A31)*('01_予約入力'!$J$5:$J$204&gt;=$A31)))</f>
        <v/>
      </c>
      <c r="D31" s="36">
        <f>IF($A31="","",SUMPRODUCT(('01_予約入力'!$G$5:$G$204&lt;&gt;"")*('01_予約入力'!$N$5:$N$204&lt;&gt;"キャンセル")*((('01_予約入力'!$G$5:$G$204&lt;$A31)*('01_予約入力'!$J$5:$J$204&gt;$A31))+(('01_予約入力'!$G$5:$G$204=$A31)*('01_予約入力'!$J$5:$J$204=$A31)))))</f>
        <v/>
      </c>
      <c r="E31" s="36">
        <f>IF($A31="","",SUMPRODUCT(('01_予約入力'!$G$5:$G$204&lt;&gt;"")*('01_予約入力'!$N$5:$N$204&lt;&gt;"キャンセル")*('01_予約入力'!$G$5:$G$204&lt;=$A31)*('01_予約入力'!$J$5:$J$204&gt;$A31)))</f>
        <v/>
      </c>
      <c r="F31" s="44" t="n"/>
      <c r="G31" s="44" t="n"/>
      <c r="H31" s="44" t="n"/>
      <c r="I31" s="36">
        <f>IF($A31="","",IF($F31="",$C31,$F31))</f>
        <v/>
      </c>
      <c r="J31" s="36">
        <f>IF($A31="","",IF($G31="",$D31,$G31))</f>
        <v/>
      </c>
      <c r="K31" s="36">
        <f>IF($A31="","",IF($H31="",$E31,$H31))</f>
        <v/>
      </c>
      <c r="L31" s="38">
        <f>IF($A31="","",'04_月間表'!C32)</f>
        <v/>
      </c>
      <c r="M31" s="38">
        <f>IF($A31="","",'04_月間表'!D32)</f>
        <v/>
      </c>
      <c r="N31" s="38">
        <f>IF($A31="","",'04_月間表'!E32)</f>
        <v/>
      </c>
      <c r="O31" s="38">
        <f>IF($A31="","",'04_月間表'!F32)</f>
        <v/>
      </c>
    </row>
    <row r="32">
      <c r="A32" s="41">
        <f>IF('04_月間表'!$A33="","",'04_月間表'!$A33)</f>
        <v/>
      </c>
      <c r="B32" s="36">
        <f>IF($A32="","",MID("日月火水木金土",WEEKDAY($A32),1))</f>
        <v/>
      </c>
      <c r="C32" s="36">
        <f>IF($A32="","",SUMPRODUCT(('01_予約入力'!$G$5:$G$204&lt;&gt;"")*('01_予約入力'!$N$5:$N$204&lt;&gt;"キャンセル")*('01_予約入力'!$G$5:$G$204&lt;$A32)*('01_予約入力'!$J$5:$J$204&gt;=$A32)))</f>
        <v/>
      </c>
      <c r="D32" s="36">
        <f>IF($A32="","",SUMPRODUCT(('01_予約入力'!$G$5:$G$204&lt;&gt;"")*('01_予約入力'!$N$5:$N$204&lt;&gt;"キャンセル")*((('01_予約入力'!$G$5:$G$204&lt;$A32)*('01_予約入力'!$J$5:$J$204&gt;$A32))+(('01_予約入力'!$G$5:$G$204=$A32)*('01_予約入力'!$J$5:$J$204=$A32)))))</f>
        <v/>
      </c>
      <c r="E32" s="36">
        <f>IF($A32="","",SUMPRODUCT(('01_予約入力'!$G$5:$G$204&lt;&gt;"")*('01_予約入力'!$N$5:$N$204&lt;&gt;"キャンセル")*('01_予約入力'!$G$5:$G$204&lt;=$A32)*('01_予約入力'!$J$5:$J$204&gt;$A32)))</f>
        <v/>
      </c>
      <c r="F32" s="44" t="n"/>
      <c r="G32" s="44" t="n"/>
      <c r="H32" s="44" t="n"/>
      <c r="I32" s="36">
        <f>IF($A32="","",IF($F32="",$C32,$F32))</f>
        <v/>
      </c>
      <c r="J32" s="36">
        <f>IF($A32="","",IF($G32="",$D32,$G32))</f>
        <v/>
      </c>
      <c r="K32" s="36">
        <f>IF($A32="","",IF($H32="",$E32,$H32))</f>
        <v/>
      </c>
      <c r="L32" s="38">
        <f>IF($A32="","",'04_月間表'!C33)</f>
        <v/>
      </c>
      <c r="M32" s="38">
        <f>IF($A32="","",'04_月間表'!D33)</f>
        <v/>
      </c>
      <c r="N32" s="38">
        <f>IF($A32="","",'04_月間表'!E33)</f>
        <v/>
      </c>
      <c r="O32" s="38">
        <f>IF($A32="","",'04_月間表'!F33)</f>
        <v/>
      </c>
    </row>
    <row r="33">
      <c r="A33" s="41">
        <f>IF('04_月間表'!$A34="","",'04_月間表'!$A34)</f>
        <v/>
      </c>
      <c r="B33" s="36">
        <f>IF($A33="","",MID("日月火水木金土",WEEKDAY($A33),1))</f>
        <v/>
      </c>
      <c r="C33" s="36">
        <f>IF($A33="","",SUMPRODUCT(('01_予約入力'!$G$5:$G$204&lt;&gt;"")*('01_予約入力'!$N$5:$N$204&lt;&gt;"キャンセル")*('01_予約入力'!$G$5:$G$204&lt;$A33)*('01_予約入力'!$J$5:$J$204&gt;=$A33)))</f>
        <v/>
      </c>
      <c r="D33" s="36">
        <f>IF($A33="","",SUMPRODUCT(('01_予約入力'!$G$5:$G$204&lt;&gt;"")*('01_予約入力'!$N$5:$N$204&lt;&gt;"キャンセル")*((('01_予約入力'!$G$5:$G$204&lt;$A33)*('01_予約入力'!$J$5:$J$204&gt;$A33))+(('01_予約入力'!$G$5:$G$204=$A33)*('01_予約入力'!$J$5:$J$204=$A33)))))</f>
        <v/>
      </c>
      <c r="E33" s="36">
        <f>IF($A33="","",SUMPRODUCT(('01_予約入力'!$G$5:$G$204&lt;&gt;"")*('01_予約入力'!$N$5:$N$204&lt;&gt;"キャンセル")*('01_予約入力'!$G$5:$G$204&lt;=$A33)*('01_予約入力'!$J$5:$J$204&gt;$A33)))</f>
        <v/>
      </c>
      <c r="F33" s="44" t="n"/>
      <c r="G33" s="44" t="n"/>
      <c r="H33" s="44" t="n"/>
      <c r="I33" s="36">
        <f>IF($A33="","",IF($F33="",$C33,$F33))</f>
        <v/>
      </c>
      <c r="J33" s="36">
        <f>IF($A33="","",IF($G33="",$D33,$G33))</f>
        <v/>
      </c>
      <c r="K33" s="36">
        <f>IF($A33="","",IF($H33="",$E33,$H33))</f>
        <v/>
      </c>
      <c r="L33" s="38">
        <f>IF($A33="","",'04_月間表'!C34)</f>
        <v/>
      </c>
      <c r="M33" s="38">
        <f>IF($A33="","",'04_月間表'!D34)</f>
        <v/>
      </c>
      <c r="N33" s="38">
        <f>IF($A33="","",'04_月間表'!E34)</f>
        <v/>
      </c>
      <c r="O33" s="38">
        <f>IF($A33="","",'04_月間表'!F34)</f>
        <v/>
      </c>
    </row>
    <row r="34">
      <c r="A34" s="41">
        <f>IF('04_月間表'!$A35="","",'04_月間表'!$A35)</f>
        <v/>
      </c>
      <c r="B34" s="36">
        <f>IF($A34="","",MID("日月火水木金土",WEEKDAY($A34),1))</f>
        <v/>
      </c>
      <c r="C34" s="36">
        <f>IF($A34="","",SUMPRODUCT(('01_予約入力'!$G$5:$G$204&lt;&gt;"")*('01_予約入力'!$N$5:$N$204&lt;&gt;"キャンセル")*('01_予約入力'!$G$5:$G$204&lt;$A34)*('01_予約入力'!$J$5:$J$204&gt;=$A34)))</f>
        <v/>
      </c>
      <c r="D34" s="36">
        <f>IF($A34="","",SUMPRODUCT(('01_予約入力'!$G$5:$G$204&lt;&gt;"")*('01_予約入力'!$N$5:$N$204&lt;&gt;"キャンセル")*((('01_予約入力'!$G$5:$G$204&lt;$A34)*('01_予約入力'!$J$5:$J$204&gt;$A34))+(('01_予約入力'!$G$5:$G$204=$A34)*('01_予約入力'!$J$5:$J$204=$A34)))))</f>
        <v/>
      </c>
      <c r="E34" s="36">
        <f>IF($A34="","",SUMPRODUCT(('01_予約入力'!$G$5:$G$204&lt;&gt;"")*('01_予約入力'!$N$5:$N$204&lt;&gt;"キャンセル")*('01_予約入力'!$G$5:$G$204&lt;=$A34)*('01_予約入力'!$J$5:$J$204&gt;$A34)))</f>
        <v/>
      </c>
      <c r="F34" s="44" t="n"/>
      <c r="G34" s="44" t="n"/>
      <c r="H34" s="44" t="n"/>
      <c r="I34" s="36">
        <f>IF($A34="","",IF($F34="",$C34,$F34))</f>
        <v/>
      </c>
      <c r="J34" s="36">
        <f>IF($A34="","",IF($G34="",$D34,$G34))</f>
        <v/>
      </c>
      <c r="K34" s="36">
        <f>IF($A34="","",IF($H34="",$E34,$H34))</f>
        <v/>
      </c>
      <c r="L34" s="38">
        <f>IF($A34="","",'04_月間表'!C35)</f>
        <v/>
      </c>
      <c r="M34" s="38">
        <f>IF($A34="","",'04_月間表'!D35)</f>
        <v/>
      </c>
      <c r="N34" s="38">
        <f>IF($A34="","",'04_月間表'!E35)</f>
        <v/>
      </c>
      <c r="O34" s="38">
        <f>IF($A34="","",'04_月間表'!F35)</f>
        <v/>
      </c>
    </row>
    <row r="35">
      <c r="A35" s="41">
        <f>IF('04_月間表'!$A36="","",'04_月間表'!$A36)</f>
        <v/>
      </c>
      <c r="B35" s="36">
        <f>IF($A35="","",MID("日月火水木金土",WEEKDAY($A35),1))</f>
        <v/>
      </c>
      <c r="C35" s="36">
        <f>IF($A35="","",SUMPRODUCT(('01_予約入力'!$G$5:$G$204&lt;&gt;"")*('01_予約入力'!$N$5:$N$204&lt;&gt;"キャンセル")*('01_予約入力'!$G$5:$G$204&lt;$A35)*('01_予約入力'!$J$5:$J$204&gt;=$A35)))</f>
        <v/>
      </c>
      <c r="D35" s="36">
        <f>IF($A35="","",SUMPRODUCT(('01_予約入力'!$G$5:$G$204&lt;&gt;"")*('01_予約入力'!$N$5:$N$204&lt;&gt;"キャンセル")*((('01_予約入力'!$G$5:$G$204&lt;$A35)*('01_予約入力'!$J$5:$J$204&gt;$A35))+(('01_予約入力'!$G$5:$G$204=$A35)*('01_予約入力'!$J$5:$J$204=$A35)))))</f>
        <v/>
      </c>
      <c r="E35" s="36">
        <f>IF($A35="","",SUMPRODUCT(('01_予約入力'!$G$5:$G$204&lt;&gt;"")*('01_予約入力'!$N$5:$N$204&lt;&gt;"キャンセル")*('01_予約入力'!$G$5:$G$204&lt;=$A35)*('01_予約入力'!$J$5:$J$204&gt;$A35)))</f>
        <v/>
      </c>
      <c r="F35" s="44" t="n"/>
      <c r="G35" s="44" t="n"/>
      <c r="H35" s="44" t="n"/>
      <c r="I35" s="36">
        <f>IF($A35="","",IF($F35="",$C35,$F35))</f>
        <v/>
      </c>
      <c r="J35" s="36">
        <f>IF($A35="","",IF($G35="",$D35,$G35))</f>
        <v/>
      </c>
      <c r="K35" s="36">
        <f>IF($A35="","",IF($H35="",$E35,$H35))</f>
        <v/>
      </c>
      <c r="L35" s="38">
        <f>IF($A35="","",'04_月間表'!C36)</f>
        <v/>
      </c>
      <c r="M35" s="38">
        <f>IF($A35="","",'04_月間表'!D36)</f>
        <v/>
      </c>
      <c r="N35" s="38">
        <f>IF($A35="","",'04_月間表'!E36)</f>
        <v/>
      </c>
      <c r="O35" s="38">
        <f>IF($A35="","",'04_月間表'!F36)</f>
        <v/>
      </c>
    </row>
    <row r="36">
      <c r="A36" s="41">
        <f>IF('04_月間表'!$A37="","",'04_月間表'!$A37)</f>
        <v/>
      </c>
      <c r="B36" s="36">
        <f>IF($A36="","",MID("日月火水木金土",WEEKDAY($A36),1))</f>
        <v/>
      </c>
      <c r="C36" s="36">
        <f>IF($A36="","",SUMPRODUCT(('01_予約入力'!$G$5:$G$204&lt;&gt;"")*('01_予約入力'!$N$5:$N$204&lt;&gt;"キャンセル")*('01_予約入力'!$G$5:$G$204&lt;$A36)*('01_予約入力'!$J$5:$J$204&gt;=$A36)))</f>
        <v/>
      </c>
      <c r="D36" s="36">
        <f>IF($A36="","",SUMPRODUCT(('01_予約入力'!$G$5:$G$204&lt;&gt;"")*('01_予約入力'!$N$5:$N$204&lt;&gt;"キャンセル")*((('01_予約入力'!$G$5:$G$204&lt;$A36)*('01_予約入力'!$J$5:$J$204&gt;$A36))+(('01_予約入力'!$G$5:$G$204=$A36)*('01_予約入力'!$J$5:$J$204=$A36)))))</f>
        <v/>
      </c>
      <c r="E36" s="36">
        <f>IF($A36="","",SUMPRODUCT(('01_予約入力'!$G$5:$G$204&lt;&gt;"")*('01_予約入力'!$N$5:$N$204&lt;&gt;"キャンセル")*('01_予約入力'!$G$5:$G$204&lt;=$A36)*('01_予約入力'!$J$5:$J$204&gt;$A36)))</f>
        <v/>
      </c>
      <c r="F36" s="44" t="n"/>
      <c r="G36" s="44" t="n"/>
      <c r="H36" s="44" t="n"/>
      <c r="I36" s="36">
        <f>IF($A36="","",IF($F36="",$C36,$F36))</f>
        <v/>
      </c>
      <c r="J36" s="36">
        <f>IF($A36="","",IF($G36="",$D36,$G36))</f>
        <v/>
      </c>
      <c r="K36" s="36">
        <f>IF($A36="","",IF($H36="",$E36,$H36))</f>
        <v/>
      </c>
      <c r="L36" s="38">
        <f>IF($A36="","",'04_月間表'!C37)</f>
        <v/>
      </c>
      <c r="M36" s="38">
        <f>IF($A36="","",'04_月間表'!D37)</f>
        <v/>
      </c>
      <c r="N36" s="38">
        <f>IF($A36="","",'04_月間表'!E37)</f>
        <v/>
      </c>
      <c r="O36" s="38">
        <f>IF($A36="","",'04_月間表'!F37)</f>
        <v/>
      </c>
    </row>
    <row r="38">
      <c r="A38" s="15" t="inlineStr">
        <is>
          <t>月合計</t>
        </is>
      </c>
      <c r="I38" s="45">
        <f>SUM(I6:I36)</f>
        <v/>
      </c>
      <c r="J38" s="45">
        <f>SUM(J6:J36)</f>
        <v/>
      </c>
      <c r="K38" s="45">
        <f>SUM(K6:K36)</f>
        <v/>
      </c>
      <c r="L38" s="2" t="inlineStr">
        <is>
          <t>厨房へはこの「確定」列（I〜K）を渡してください</t>
        </is>
      </c>
    </row>
  </sheetData>
  <conditionalFormatting sqref="A6:B36">
    <cfRule type="expression" priority="1" dxfId="12">
      <formula>AND($A6&lt;&gt;"",WEEKDAY($A6,2)&gt;=6)</formula>
    </cfRule>
  </conditionalFormatting>
  <pageMargins left="0.75" right="0.75" top="1" bottom="1" header="0.5" footer="0.5"/>
  <pageSetup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5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26" customWidth="1" min="4" max="4"/>
    <col width="14" customWidth="1" min="5" max="5"/>
  </cols>
  <sheetData>
    <row r="1">
      <c r="A1" s="1" t="inlineStr">
        <is>
          <t>期間集計（上司報告・請求突合用）</t>
        </is>
      </c>
    </row>
    <row r="2">
      <c r="A2" s="2" t="inlineStr">
        <is>
          <t>期間を入れると区分別・利用者別が出ます。キャンセルは除外。期間にかかった滞在は、期間内に重なる日数だけ数えます。</t>
        </is>
      </c>
    </row>
    <row r="3">
      <c r="A3" s="15" t="inlineStr">
        <is>
          <t>開始日</t>
        </is>
      </c>
      <c r="B3" s="16" t="n">
        <v>46235</v>
      </c>
    </row>
    <row r="4">
      <c r="A4" s="15" t="inlineStr">
        <is>
          <t>終了日</t>
        </is>
      </c>
      <c r="B4" s="16" t="n">
        <v>46265</v>
      </c>
    </row>
    <row r="6">
      <c r="A6" s="20" t="inlineStr">
        <is>
          <t>■ 区分別</t>
        </is>
      </c>
    </row>
    <row r="7" ht="30" customHeight="1">
      <c r="A7" s="7" t="inlineStr">
        <is>
          <t>区分</t>
        </is>
      </c>
      <c r="B7" s="7" t="inlineStr">
        <is>
          <t>利用者数</t>
        </is>
      </c>
      <c r="C7" s="7" t="inlineStr">
        <is>
          <t>利用回数</t>
        </is>
      </c>
      <c r="D7" s="7" t="inlineStr">
        <is>
          <t>延べ利用日数</t>
        </is>
      </c>
      <c r="E7" s="7" t="inlineStr">
        <is>
          <t>延べ宿泊数</t>
        </is>
      </c>
    </row>
    <row r="8">
      <c r="A8" s="42">
        <f>IF(COUNTA('M_区分'!$A$4:$A$20)&gt;=1,INDEX('M_区分'!$A$4:$A$20,1),"")</f>
        <v/>
      </c>
      <c r="B8" s="36">
        <f>IF($A8="","",SUMPRODUCT(--(COUNTIFS('01_予約入力'!$B$5:$B$204,'利用者マスタ'!$A$4:$A$60,'01_予約入力'!$C$5:$C$204,$A8,'01_予約入力'!$G$5:$G$204,"&lt;="&amp;$B$4,'01_予約入力'!$J$5:$J$204,"&gt;="&amp;$B$3,'01_予約入力'!$N$5:$N$204,"&lt;&gt;キャンセル")&gt;0)*('利用者マスタ'!$A$4:$A$60&lt;&gt;"")))</f>
        <v/>
      </c>
      <c r="C8" s="36">
        <f>IF($A8="","",COUNTIFS('01_予約入力'!$C$5:$C$204,$A8,'01_予約入力'!$G$5:$G$204,"&lt;="&amp;$B$4,'01_予約入力'!$J$5:$J$204,"&gt;="&amp;$B$3,'01_予約入力'!$N$5:$N$204,"&lt;&gt;キャンセル"))</f>
        <v/>
      </c>
      <c r="D8" s="36">
        <f>IF($A8="","",SUMPRODUCT(('01_予約入力'!$G$5:$G$204&lt;&gt;"")*('01_予約入力'!$N$5:$N$204&lt;&gt;"キャンセル")*('01_予約入力'!$C$5:$C$204=$A8)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E8" s="36">
        <f>IF($A8="","",SUMPRODUCT(('01_予約入力'!$G$5:$G$204&lt;&gt;"")*('01_予約入力'!$N$5:$N$204&lt;&gt;"キャンセル")*('01_予約入力'!$C$5:$C$204=$A8)*('01_予約入力'!$G$5:$G$204&lt;=$B$4)*('01_予約入力'!$J$5:$J$204&gt;$B$3)*(((('01_予約入力'!$AD$5:$AD$204&lt;=$B$4+1)*'01_予約入力'!$AD$5:$AD$204+('01_予約入力'!$AD$5:$AD$204&gt;$B$4+1)*($B$4+1))-(('01_予約入力'!$AC$5:$AC$204&gt;=$B$3)*'01_予約入力'!$AC$5:$AC$204+('01_予約入力'!$AC$5:$AC$204&lt;$B$3)*$B$3))&gt;0)*((('01_予約入力'!$AD$5:$AD$204&lt;=$B$4+1)*'01_予約入力'!$AD$5:$AD$204+('01_予約入力'!$AD$5:$AD$204&gt;$B$4+1)*($B$4+1))-(('01_予約入力'!$AC$5:$AC$204&gt;=$B$3)*'01_予約入力'!$AC$5:$AC$204+('01_予約入力'!$AC$5:$AC$204&lt;$B$3)*$B$3))))</f>
        <v/>
      </c>
    </row>
    <row r="9">
      <c r="A9" s="42">
        <f>IF(COUNTA('M_区分'!$A$4:$A$20)&gt;=2,INDEX('M_区分'!$A$4:$A$20,2),"")</f>
        <v/>
      </c>
      <c r="B9" s="36">
        <f>IF($A9="","",SUMPRODUCT(--(COUNTIFS('01_予約入力'!$B$5:$B$204,'利用者マスタ'!$A$4:$A$60,'01_予約入力'!$C$5:$C$204,$A9,'01_予約入力'!$G$5:$G$204,"&lt;="&amp;$B$4,'01_予約入力'!$J$5:$J$204,"&gt;="&amp;$B$3,'01_予約入力'!$N$5:$N$204,"&lt;&gt;キャンセル")&gt;0)*('利用者マスタ'!$A$4:$A$60&lt;&gt;"")))</f>
        <v/>
      </c>
      <c r="C9" s="36">
        <f>IF($A9="","",COUNTIFS('01_予約入力'!$C$5:$C$204,$A9,'01_予約入力'!$G$5:$G$204,"&lt;="&amp;$B$4,'01_予約入力'!$J$5:$J$204,"&gt;="&amp;$B$3,'01_予約入力'!$N$5:$N$204,"&lt;&gt;キャンセル"))</f>
        <v/>
      </c>
      <c r="D9" s="36">
        <f>IF($A9="","",SUMPRODUCT(('01_予約入力'!$G$5:$G$204&lt;&gt;"")*('01_予約入力'!$N$5:$N$204&lt;&gt;"キャンセル")*('01_予約入力'!$C$5:$C$204=$A9)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E9" s="36">
        <f>IF($A9="","",SUMPRODUCT(('01_予約入力'!$G$5:$G$204&lt;&gt;"")*('01_予約入力'!$N$5:$N$204&lt;&gt;"キャンセル")*('01_予約入力'!$C$5:$C$204=$A9)*('01_予約入力'!$G$5:$G$204&lt;=$B$4)*('01_予約入力'!$J$5:$J$204&gt;$B$3)*(((('01_予約入力'!$AD$5:$AD$204&lt;=$B$4+1)*'01_予約入力'!$AD$5:$AD$204+('01_予約入力'!$AD$5:$AD$204&gt;$B$4+1)*($B$4+1))-(('01_予約入力'!$AC$5:$AC$204&gt;=$B$3)*'01_予約入力'!$AC$5:$AC$204+('01_予約入力'!$AC$5:$AC$204&lt;$B$3)*$B$3))&gt;0)*((('01_予約入力'!$AD$5:$AD$204&lt;=$B$4+1)*'01_予約入力'!$AD$5:$AD$204+('01_予約入力'!$AD$5:$AD$204&gt;$B$4+1)*($B$4+1))-(('01_予約入力'!$AC$5:$AC$204&gt;=$B$3)*'01_予約入力'!$AC$5:$AC$204+('01_予約入力'!$AC$5:$AC$204&lt;$B$3)*$B$3))))</f>
        <v/>
      </c>
    </row>
    <row r="10">
      <c r="A10" s="42">
        <f>IF(COUNTA('M_区分'!$A$4:$A$20)&gt;=3,INDEX('M_区分'!$A$4:$A$20,3),"")</f>
        <v/>
      </c>
      <c r="B10" s="36">
        <f>IF($A10="","",SUMPRODUCT(--(COUNTIFS('01_予約入力'!$B$5:$B$204,'利用者マスタ'!$A$4:$A$60,'01_予約入力'!$C$5:$C$204,$A10,'01_予約入力'!$G$5:$G$204,"&lt;="&amp;$B$4,'01_予約入力'!$J$5:$J$204,"&gt;="&amp;$B$3,'01_予約入力'!$N$5:$N$204,"&lt;&gt;キャンセル")&gt;0)*('利用者マスタ'!$A$4:$A$60&lt;&gt;"")))</f>
        <v/>
      </c>
      <c r="C10" s="36">
        <f>IF($A10="","",COUNTIFS('01_予約入力'!$C$5:$C$204,$A10,'01_予約入力'!$G$5:$G$204,"&lt;="&amp;$B$4,'01_予約入力'!$J$5:$J$204,"&gt;="&amp;$B$3,'01_予約入力'!$N$5:$N$204,"&lt;&gt;キャンセル"))</f>
        <v/>
      </c>
      <c r="D10" s="36">
        <f>IF($A10="","",SUMPRODUCT(('01_予約入力'!$G$5:$G$204&lt;&gt;"")*('01_予約入力'!$N$5:$N$204&lt;&gt;"キャンセル")*('01_予約入力'!$C$5:$C$204=$A10)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E10" s="36">
        <f>IF($A10="","",SUMPRODUCT(('01_予約入力'!$G$5:$G$204&lt;&gt;"")*('01_予約入力'!$N$5:$N$204&lt;&gt;"キャンセル")*('01_予約入力'!$C$5:$C$204=$A10)*('01_予約入力'!$G$5:$G$204&lt;=$B$4)*('01_予約入力'!$J$5:$J$204&gt;$B$3)*(((('01_予約入力'!$AD$5:$AD$204&lt;=$B$4+1)*'01_予約入力'!$AD$5:$AD$204+('01_予約入力'!$AD$5:$AD$204&gt;$B$4+1)*($B$4+1))-(('01_予約入力'!$AC$5:$AC$204&gt;=$B$3)*'01_予約入力'!$AC$5:$AC$204+('01_予約入力'!$AC$5:$AC$204&lt;$B$3)*$B$3))&gt;0)*((('01_予約入力'!$AD$5:$AD$204&lt;=$B$4+1)*'01_予約入力'!$AD$5:$AD$204+('01_予約入力'!$AD$5:$AD$204&gt;$B$4+1)*($B$4+1))-(('01_予約入力'!$AC$5:$AC$204&gt;=$B$3)*'01_予約入力'!$AC$5:$AC$204+('01_予約入力'!$AC$5:$AC$204&lt;$B$3)*$B$3))))</f>
        <v/>
      </c>
    </row>
    <row r="11">
      <c r="A11" s="42">
        <f>IF(COUNTA('M_区分'!$A$4:$A$20)&gt;=4,INDEX('M_区分'!$A$4:$A$20,4),"")</f>
        <v/>
      </c>
      <c r="B11" s="36">
        <f>IF($A11="","",SUMPRODUCT(--(COUNTIFS('01_予約入力'!$B$5:$B$204,'利用者マスタ'!$A$4:$A$60,'01_予約入力'!$C$5:$C$204,$A11,'01_予約入力'!$G$5:$G$204,"&lt;="&amp;$B$4,'01_予約入力'!$J$5:$J$204,"&gt;="&amp;$B$3,'01_予約入力'!$N$5:$N$204,"&lt;&gt;キャンセル")&gt;0)*('利用者マスタ'!$A$4:$A$60&lt;&gt;"")))</f>
        <v/>
      </c>
      <c r="C11" s="36">
        <f>IF($A11="","",COUNTIFS('01_予約入力'!$C$5:$C$204,$A11,'01_予約入力'!$G$5:$G$204,"&lt;="&amp;$B$4,'01_予約入力'!$J$5:$J$204,"&gt;="&amp;$B$3,'01_予約入力'!$N$5:$N$204,"&lt;&gt;キャンセル"))</f>
        <v/>
      </c>
      <c r="D11" s="36">
        <f>IF($A11="","",SUMPRODUCT(('01_予約入力'!$G$5:$G$204&lt;&gt;"")*('01_予約入力'!$N$5:$N$204&lt;&gt;"キャンセル")*('01_予約入力'!$C$5:$C$204=$A11)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E11" s="36">
        <f>IF($A11="","",SUMPRODUCT(('01_予約入力'!$G$5:$G$204&lt;&gt;"")*('01_予約入力'!$N$5:$N$204&lt;&gt;"キャンセル")*('01_予約入力'!$C$5:$C$204=$A11)*('01_予約入力'!$G$5:$G$204&lt;=$B$4)*('01_予約入力'!$J$5:$J$204&gt;$B$3)*(((('01_予約入力'!$AD$5:$AD$204&lt;=$B$4+1)*'01_予約入力'!$AD$5:$AD$204+('01_予約入力'!$AD$5:$AD$204&gt;$B$4+1)*($B$4+1))-(('01_予約入力'!$AC$5:$AC$204&gt;=$B$3)*'01_予約入力'!$AC$5:$AC$204+('01_予約入力'!$AC$5:$AC$204&lt;$B$3)*$B$3))&gt;0)*((('01_予約入力'!$AD$5:$AD$204&lt;=$B$4+1)*'01_予約入力'!$AD$5:$AD$204+('01_予約入力'!$AD$5:$AD$204&gt;$B$4+1)*($B$4+1))-(('01_予約入力'!$AC$5:$AC$204&gt;=$B$3)*'01_予約入力'!$AC$5:$AC$204+('01_予約入力'!$AC$5:$AC$204&lt;$B$3)*$B$3))))</f>
        <v/>
      </c>
    </row>
    <row r="12">
      <c r="A12" s="42">
        <f>IF(COUNTA('M_区分'!$A$4:$A$20)&gt;=5,INDEX('M_区分'!$A$4:$A$20,5),"")</f>
        <v/>
      </c>
      <c r="B12" s="36">
        <f>IF($A12="","",SUMPRODUCT(--(COUNTIFS('01_予約入力'!$B$5:$B$204,'利用者マスタ'!$A$4:$A$60,'01_予約入力'!$C$5:$C$204,$A12,'01_予約入力'!$G$5:$G$204,"&lt;="&amp;$B$4,'01_予約入力'!$J$5:$J$204,"&gt;="&amp;$B$3,'01_予約入力'!$N$5:$N$204,"&lt;&gt;キャンセル")&gt;0)*('利用者マスタ'!$A$4:$A$60&lt;&gt;"")))</f>
        <v/>
      </c>
      <c r="C12" s="36">
        <f>IF($A12="","",COUNTIFS('01_予約入力'!$C$5:$C$204,$A12,'01_予約入力'!$G$5:$G$204,"&lt;="&amp;$B$4,'01_予約入力'!$J$5:$J$204,"&gt;="&amp;$B$3,'01_予約入力'!$N$5:$N$204,"&lt;&gt;キャンセル"))</f>
        <v/>
      </c>
      <c r="D12" s="36">
        <f>IF($A12="","",SUMPRODUCT(('01_予約入力'!$G$5:$G$204&lt;&gt;"")*('01_予約入力'!$N$5:$N$204&lt;&gt;"キャンセル")*('01_予約入力'!$C$5:$C$204=$A12)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E12" s="36">
        <f>IF($A12="","",SUMPRODUCT(('01_予約入力'!$G$5:$G$204&lt;&gt;"")*('01_予約入力'!$N$5:$N$204&lt;&gt;"キャンセル")*('01_予約入力'!$C$5:$C$204=$A12)*('01_予約入力'!$G$5:$G$204&lt;=$B$4)*('01_予約入力'!$J$5:$J$204&gt;$B$3)*(((('01_予約入力'!$AD$5:$AD$204&lt;=$B$4+1)*'01_予約入力'!$AD$5:$AD$204+('01_予約入力'!$AD$5:$AD$204&gt;$B$4+1)*($B$4+1))-(('01_予約入力'!$AC$5:$AC$204&gt;=$B$3)*'01_予約入力'!$AC$5:$AC$204+('01_予約入力'!$AC$5:$AC$204&lt;$B$3)*$B$3))&gt;0)*((('01_予約入力'!$AD$5:$AD$204&lt;=$B$4+1)*'01_予約入力'!$AD$5:$AD$204+('01_予約入力'!$AD$5:$AD$204&gt;$B$4+1)*($B$4+1))-(('01_予約入力'!$AC$5:$AC$204&gt;=$B$3)*'01_予約入力'!$AC$5:$AC$204+('01_予約入力'!$AC$5:$AC$204&lt;$B$3)*$B$3))))</f>
        <v/>
      </c>
    </row>
    <row r="13">
      <c r="A13" s="42">
        <f>IF(COUNTA('M_区分'!$A$4:$A$20)&gt;=6,INDEX('M_区分'!$A$4:$A$20,6),"")</f>
        <v/>
      </c>
      <c r="B13" s="36">
        <f>IF($A13="","",SUMPRODUCT(--(COUNTIFS('01_予約入力'!$B$5:$B$204,'利用者マスタ'!$A$4:$A$60,'01_予約入力'!$C$5:$C$204,$A13,'01_予約入力'!$G$5:$G$204,"&lt;="&amp;$B$4,'01_予約入力'!$J$5:$J$204,"&gt;="&amp;$B$3,'01_予約入力'!$N$5:$N$204,"&lt;&gt;キャンセル")&gt;0)*('利用者マスタ'!$A$4:$A$60&lt;&gt;"")))</f>
        <v/>
      </c>
      <c r="C13" s="36">
        <f>IF($A13="","",COUNTIFS('01_予約入力'!$C$5:$C$204,$A13,'01_予約入力'!$G$5:$G$204,"&lt;="&amp;$B$4,'01_予約入力'!$J$5:$J$204,"&gt;="&amp;$B$3,'01_予約入力'!$N$5:$N$204,"&lt;&gt;キャンセル"))</f>
        <v/>
      </c>
      <c r="D13" s="36">
        <f>IF($A13="","",SUMPRODUCT(('01_予約入力'!$G$5:$G$204&lt;&gt;"")*('01_予約入力'!$N$5:$N$204&lt;&gt;"キャンセル")*('01_予約入力'!$C$5:$C$204=$A13)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E13" s="36">
        <f>IF($A13="","",SUMPRODUCT(('01_予約入力'!$G$5:$G$204&lt;&gt;"")*('01_予約入力'!$N$5:$N$204&lt;&gt;"キャンセル")*('01_予約入力'!$C$5:$C$204=$A13)*('01_予約入力'!$G$5:$G$204&lt;=$B$4)*('01_予約入力'!$J$5:$J$204&gt;$B$3)*(((('01_予約入力'!$AD$5:$AD$204&lt;=$B$4+1)*'01_予約入力'!$AD$5:$AD$204+('01_予約入力'!$AD$5:$AD$204&gt;$B$4+1)*($B$4+1))-(('01_予約入力'!$AC$5:$AC$204&gt;=$B$3)*'01_予約入力'!$AC$5:$AC$204+('01_予約入力'!$AC$5:$AC$204&lt;$B$3)*$B$3))&gt;0)*((('01_予約入力'!$AD$5:$AD$204&lt;=$B$4+1)*'01_予約入力'!$AD$5:$AD$204+('01_予約入力'!$AD$5:$AD$204&gt;$B$4+1)*($B$4+1))-(('01_予約入力'!$AC$5:$AC$204&gt;=$B$3)*'01_予約入力'!$AC$5:$AC$204+('01_予約入力'!$AC$5:$AC$204&lt;$B$3)*$B$3))))</f>
        <v/>
      </c>
    </row>
    <row r="14">
      <c r="A14" s="42">
        <f>IF(COUNTA('M_区分'!$A$4:$A$20)&gt;=7,INDEX('M_区分'!$A$4:$A$20,7),"")</f>
        <v/>
      </c>
      <c r="B14" s="36">
        <f>IF($A14="","",SUMPRODUCT(--(COUNTIFS('01_予約入力'!$B$5:$B$204,'利用者マスタ'!$A$4:$A$60,'01_予約入力'!$C$5:$C$204,$A14,'01_予約入力'!$G$5:$G$204,"&lt;="&amp;$B$4,'01_予約入力'!$J$5:$J$204,"&gt;="&amp;$B$3,'01_予約入力'!$N$5:$N$204,"&lt;&gt;キャンセル")&gt;0)*('利用者マスタ'!$A$4:$A$60&lt;&gt;"")))</f>
        <v/>
      </c>
      <c r="C14" s="36">
        <f>IF($A14="","",COUNTIFS('01_予約入力'!$C$5:$C$204,$A14,'01_予約入力'!$G$5:$G$204,"&lt;="&amp;$B$4,'01_予約入力'!$J$5:$J$204,"&gt;="&amp;$B$3,'01_予約入力'!$N$5:$N$204,"&lt;&gt;キャンセル"))</f>
        <v/>
      </c>
      <c r="D14" s="36">
        <f>IF($A14="","",SUMPRODUCT(('01_予約入力'!$G$5:$G$204&lt;&gt;"")*('01_予約入力'!$N$5:$N$204&lt;&gt;"キャンセル")*('01_予約入力'!$C$5:$C$204=$A14)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E14" s="36">
        <f>IF($A14="","",SUMPRODUCT(('01_予約入力'!$G$5:$G$204&lt;&gt;"")*('01_予約入力'!$N$5:$N$204&lt;&gt;"キャンセル")*('01_予約入力'!$C$5:$C$204=$A14)*('01_予約入力'!$G$5:$G$204&lt;=$B$4)*('01_予約入力'!$J$5:$J$204&gt;$B$3)*(((('01_予約入力'!$AD$5:$AD$204&lt;=$B$4+1)*'01_予約入力'!$AD$5:$AD$204+('01_予約入力'!$AD$5:$AD$204&gt;$B$4+1)*($B$4+1))-(('01_予約入力'!$AC$5:$AC$204&gt;=$B$3)*'01_予約入力'!$AC$5:$AC$204+('01_予約入力'!$AC$5:$AC$204&lt;$B$3)*$B$3))&gt;0)*((('01_予約入力'!$AD$5:$AD$204&lt;=$B$4+1)*'01_予約入力'!$AD$5:$AD$204+('01_予約入力'!$AD$5:$AD$204&gt;$B$4+1)*($B$4+1))-(('01_予約入力'!$AC$5:$AC$204&gt;=$B$3)*'01_予約入力'!$AC$5:$AC$204+('01_予約入力'!$AC$5:$AC$204&lt;$B$3)*$B$3))))</f>
        <v/>
      </c>
    </row>
    <row r="15">
      <c r="A15" s="42">
        <f>IF(COUNTA('M_区分'!$A$4:$A$20)&gt;=8,INDEX('M_区分'!$A$4:$A$20,8),"")</f>
        <v/>
      </c>
      <c r="B15" s="36">
        <f>IF($A15="","",SUMPRODUCT(--(COUNTIFS('01_予約入力'!$B$5:$B$204,'利用者マスタ'!$A$4:$A$60,'01_予約入力'!$C$5:$C$204,$A15,'01_予約入力'!$G$5:$G$204,"&lt;="&amp;$B$4,'01_予約入力'!$J$5:$J$204,"&gt;="&amp;$B$3,'01_予約入力'!$N$5:$N$204,"&lt;&gt;キャンセル")&gt;0)*('利用者マスタ'!$A$4:$A$60&lt;&gt;"")))</f>
        <v/>
      </c>
      <c r="C15" s="36">
        <f>IF($A15="","",COUNTIFS('01_予約入力'!$C$5:$C$204,$A15,'01_予約入力'!$G$5:$G$204,"&lt;="&amp;$B$4,'01_予約入力'!$J$5:$J$204,"&gt;="&amp;$B$3,'01_予約入力'!$N$5:$N$204,"&lt;&gt;キャンセル"))</f>
        <v/>
      </c>
      <c r="D15" s="36">
        <f>IF($A15="","",SUMPRODUCT(('01_予約入力'!$G$5:$G$204&lt;&gt;"")*('01_予約入力'!$N$5:$N$204&lt;&gt;"キャンセル")*('01_予約入力'!$C$5:$C$204=$A15)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E15" s="36">
        <f>IF($A15="","",SUMPRODUCT(('01_予約入力'!$G$5:$G$204&lt;&gt;"")*('01_予約入力'!$N$5:$N$204&lt;&gt;"キャンセル")*('01_予約入力'!$C$5:$C$204=$A15)*('01_予約入力'!$G$5:$G$204&lt;=$B$4)*('01_予約入力'!$J$5:$J$204&gt;$B$3)*(((('01_予約入力'!$AD$5:$AD$204&lt;=$B$4+1)*'01_予約入力'!$AD$5:$AD$204+('01_予約入力'!$AD$5:$AD$204&gt;$B$4+1)*($B$4+1))-(('01_予約入力'!$AC$5:$AC$204&gt;=$B$3)*'01_予約入力'!$AC$5:$AC$204+('01_予約入力'!$AC$5:$AC$204&lt;$B$3)*$B$3))&gt;0)*((('01_予約入力'!$AD$5:$AD$204&lt;=$B$4+1)*'01_予約入力'!$AD$5:$AD$204+('01_予約入力'!$AD$5:$AD$204&gt;$B$4+1)*($B$4+1))-(('01_予約入力'!$AC$5:$AC$204&gt;=$B$3)*'01_予約入力'!$AC$5:$AC$204+('01_予約入力'!$AC$5:$AC$204&lt;$B$3)*$B$3))))</f>
        <v/>
      </c>
    </row>
    <row r="16">
      <c r="A16" s="42">
        <f>IF(COUNTA('M_区分'!$A$4:$A$20)&gt;=9,INDEX('M_区分'!$A$4:$A$20,9),"")</f>
        <v/>
      </c>
      <c r="B16" s="36">
        <f>IF($A16="","",SUMPRODUCT(--(COUNTIFS('01_予約入力'!$B$5:$B$204,'利用者マスタ'!$A$4:$A$60,'01_予約入力'!$C$5:$C$204,$A16,'01_予約入力'!$G$5:$G$204,"&lt;="&amp;$B$4,'01_予約入力'!$J$5:$J$204,"&gt;="&amp;$B$3,'01_予約入力'!$N$5:$N$204,"&lt;&gt;キャンセル")&gt;0)*('利用者マスタ'!$A$4:$A$60&lt;&gt;"")))</f>
        <v/>
      </c>
      <c r="C16" s="36">
        <f>IF($A16="","",COUNTIFS('01_予約入力'!$C$5:$C$204,$A16,'01_予約入力'!$G$5:$G$204,"&lt;="&amp;$B$4,'01_予約入力'!$J$5:$J$204,"&gt;="&amp;$B$3,'01_予約入力'!$N$5:$N$204,"&lt;&gt;キャンセル"))</f>
        <v/>
      </c>
      <c r="D16" s="36">
        <f>IF($A16="","",SUMPRODUCT(('01_予約入力'!$G$5:$G$204&lt;&gt;"")*('01_予約入力'!$N$5:$N$204&lt;&gt;"キャンセル")*('01_予約入力'!$C$5:$C$204=$A16)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E16" s="36">
        <f>IF($A16="","",SUMPRODUCT(('01_予約入力'!$G$5:$G$204&lt;&gt;"")*('01_予約入力'!$N$5:$N$204&lt;&gt;"キャンセル")*('01_予約入力'!$C$5:$C$204=$A16)*('01_予約入力'!$G$5:$G$204&lt;=$B$4)*('01_予約入力'!$J$5:$J$204&gt;$B$3)*(((('01_予約入力'!$AD$5:$AD$204&lt;=$B$4+1)*'01_予約入力'!$AD$5:$AD$204+('01_予約入力'!$AD$5:$AD$204&gt;$B$4+1)*($B$4+1))-(('01_予約入力'!$AC$5:$AC$204&gt;=$B$3)*'01_予約入力'!$AC$5:$AC$204+('01_予約入力'!$AC$5:$AC$204&lt;$B$3)*$B$3))&gt;0)*((('01_予約入力'!$AD$5:$AD$204&lt;=$B$4+1)*'01_予約入力'!$AD$5:$AD$204+('01_予約入力'!$AD$5:$AD$204&gt;$B$4+1)*($B$4+1))-(('01_予約入力'!$AC$5:$AC$204&gt;=$B$3)*'01_予約入力'!$AC$5:$AC$204+('01_予約入力'!$AC$5:$AC$204&lt;$B$3)*$B$3))))</f>
        <v/>
      </c>
    </row>
    <row r="17">
      <c r="A17" s="42">
        <f>IF(COUNTA('M_区分'!$A$4:$A$20)&gt;=10,INDEX('M_区分'!$A$4:$A$20,10),"")</f>
        <v/>
      </c>
      <c r="B17" s="36">
        <f>IF($A17="","",SUMPRODUCT(--(COUNTIFS('01_予約入力'!$B$5:$B$204,'利用者マスタ'!$A$4:$A$60,'01_予約入力'!$C$5:$C$204,$A17,'01_予約入力'!$G$5:$G$204,"&lt;="&amp;$B$4,'01_予約入力'!$J$5:$J$204,"&gt;="&amp;$B$3,'01_予約入力'!$N$5:$N$204,"&lt;&gt;キャンセル")&gt;0)*('利用者マスタ'!$A$4:$A$60&lt;&gt;"")))</f>
        <v/>
      </c>
      <c r="C17" s="36">
        <f>IF($A17="","",COUNTIFS('01_予約入力'!$C$5:$C$204,$A17,'01_予約入力'!$G$5:$G$204,"&lt;="&amp;$B$4,'01_予約入力'!$J$5:$J$204,"&gt;="&amp;$B$3,'01_予約入力'!$N$5:$N$204,"&lt;&gt;キャンセル"))</f>
        <v/>
      </c>
      <c r="D17" s="36">
        <f>IF($A17="","",SUMPRODUCT(('01_予約入力'!$G$5:$G$204&lt;&gt;"")*('01_予約入力'!$N$5:$N$204&lt;&gt;"キャンセル")*('01_予約入力'!$C$5:$C$204=$A17)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E17" s="36">
        <f>IF($A17="","",SUMPRODUCT(('01_予約入力'!$G$5:$G$204&lt;&gt;"")*('01_予約入力'!$N$5:$N$204&lt;&gt;"キャンセル")*('01_予約入力'!$C$5:$C$204=$A17)*('01_予約入力'!$G$5:$G$204&lt;=$B$4)*('01_予約入力'!$J$5:$J$204&gt;$B$3)*(((('01_予約入力'!$AD$5:$AD$204&lt;=$B$4+1)*'01_予約入力'!$AD$5:$AD$204+('01_予約入力'!$AD$5:$AD$204&gt;$B$4+1)*($B$4+1))-(('01_予約入力'!$AC$5:$AC$204&gt;=$B$3)*'01_予約入力'!$AC$5:$AC$204+('01_予約入力'!$AC$5:$AC$204&lt;$B$3)*$B$3))&gt;0)*((('01_予約入力'!$AD$5:$AD$204&lt;=$B$4+1)*'01_予約入力'!$AD$5:$AD$204+('01_予約入力'!$AD$5:$AD$204&gt;$B$4+1)*($B$4+1))-(('01_予約入力'!$AC$5:$AC$204&gt;=$B$3)*'01_予約入力'!$AC$5:$AC$204+('01_予約入力'!$AC$5:$AC$204&lt;$B$3)*$B$3))))</f>
        <v/>
      </c>
    </row>
    <row r="18">
      <c r="A18" s="46" t="inlineStr">
        <is>
          <t>合計</t>
        </is>
      </c>
      <c r="B18" s="46">
        <f>SUMPRODUCT(--(COUNTIFS('01_予約入力'!$B$5:$B$204,'利用者マスタ'!$A$4:$A$60,'01_予約入力'!$G$5:$G$204,"&lt;="&amp;$B$4,'01_予約入力'!$J$5:$J$204,"&gt;="&amp;$B$3,'01_予約入力'!$N$5:$N$204,"&lt;&gt;キャンセル")&gt;0)*('利用者マスタ'!$A$4:$A$60&lt;&gt;""))</f>
        <v/>
      </c>
      <c r="C18" s="46">
        <f>SUM(C8:C17)</f>
        <v/>
      </c>
      <c r="D18" s="46">
        <f>SUM(D8:D17)</f>
        <v/>
      </c>
      <c r="E18" s="46">
        <f>SUM(E8:E17)</f>
        <v/>
      </c>
    </row>
    <row r="19">
      <c r="A19" s="2" t="inlineStr">
        <is>
          <t>※ 「利用者数」は実人数（同じ方が何回利用しても1人）。区分をまたぐ方がいる場合、区分別の合計と合計行は一致しません。</t>
        </is>
      </c>
    </row>
    <row r="21">
      <c r="A21" s="20" t="inlineStr">
        <is>
          <t>■ 利用者別</t>
        </is>
      </c>
    </row>
    <row r="22" ht="30" customHeight="1">
      <c r="A22" s="7" t="inlineStr">
        <is>
          <t>氏名</t>
        </is>
      </c>
      <c r="B22" s="7" t="inlineStr">
        <is>
          <t>利用回数</t>
        </is>
      </c>
      <c r="C22" s="7" t="inlineStr">
        <is>
          <t>延べ利用日数</t>
        </is>
      </c>
      <c r="D22" s="7" t="inlineStr">
        <is>
          <t>支給量対象日数（滞在全体）</t>
        </is>
      </c>
    </row>
    <row r="23">
      <c r="A23" s="42">
        <f>IF(COUNTA('利用者マスタ'!$A$4:$A$60)&gt;=1,INDEX('利用者マスタ'!$A$4:$A$60,1),"")</f>
        <v/>
      </c>
      <c r="B23" s="36">
        <f>IF($A23="","",COUNTIFS('01_予約入力'!$B$5:$B$204,$A23,'01_予約入力'!$G$5:$G$204,"&lt;="&amp;$B$4,'01_予約入力'!$J$5:$J$204,"&gt;="&amp;$B$3,'01_予約入力'!$N$5:$N$204,"&lt;&gt;キャンセル"))</f>
        <v/>
      </c>
      <c r="C23" s="36">
        <f>IF($A23="","",SUMPRODUCT(('01_予約入力'!$G$5:$G$204&lt;&gt;"")*('01_予約入力'!$N$5:$N$204&lt;&gt;"キャンセル")*('01_予約入力'!$B$5:$B$204=$A23)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23" s="36">
        <f>IF($A23="","",SUMIFS('01_予約入力'!$X$5:$X$204,'01_予約入力'!$B$5:$B$204,$A23,'01_予約入力'!$G$5:$G$204,"&gt;="&amp;$B$3,'01_予約入力'!$G$5:$G$204,"&lt;="&amp;$B$4))</f>
        <v/>
      </c>
    </row>
    <row r="24">
      <c r="A24" s="42">
        <f>IF(COUNTA('利用者マスタ'!$A$4:$A$60)&gt;=2,INDEX('利用者マスタ'!$A$4:$A$60,2),"")</f>
        <v/>
      </c>
      <c r="B24" s="36">
        <f>IF($A24="","",COUNTIFS('01_予約入力'!$B$5:$B$204,$A24,'01_予約入力'!$G$5:$G$204,"&lt;="&amp;$B$4,'01_予約入力'!$J$5:$J$204,"&gt;="&amp;$B$3,'01_予約入力'!$N$5:$N$204,"&lt;&gt;キャンセル"))</f>
        <v/>
      </c>
      <c r="C24" s="36">
        <f>IF($A24="","",SUMPRODUCT(('01_予約入力'!$G$5:$G$204&lt;&gt;"")*('01_予約入力'!$N$5:$N$204&lt;&gt;"キャンセル")*('01_予約入力'!$B$5:$B$204=$A24)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24" s="36">
        <f>IF($A24="","",SUMIFS('01_予約入力'!$X$5:$X$204,'01_予約入力'!$B$5:$B$204,$A24,'01_予約入力'!$G$5:$G$204,"&gt;="&amp;$B$3,'01_予約入力'!$G$5:$G$204,"&lt;="&amp;$B$4))</f>
        <v/>
      </c>
    </row>
    <row r="25">
      <c r="A25" s="42">
        <f>IF(COUNTA('利用者マスタ'!$A$4:$A$60)&gt;=3,INDEX('利用者マスタ'!$A$4:$A$60,3),"")</f>
        <v/>
      </c>
      <c r="B25" s="36">
        <f>IF($A25="","",COUNTIFS('01_予約入力'!$B$5:$B$204,$A25,'01_予約入力'!$G$5:$G$204,"&lt;="&amp;$B$4,'01_予約入力'!$J$5:$J$204,"&gt;="&amp;$B$3,'01_予約入力'!$N$5:$N$204,"&lt;&gt;キャンセル"))</f>
        <v/>
      </c>
      <c r="C25" s="36">
        <f>IF($A25="","",SUMPRODUCT(('01_予約入力'!$G$5:$G$204&lt;&gt;"")*('01_予約入力'!$N$5:$N$204&lt;&gt;"キャンセル")*('01_予約入力'!$B$5:$B$204=$A25)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25" s="36">
        <f>IF($A25="","",SUMIFS('01_予約入力'!$X$5:$X$204,'01_予約入力'!$B$5:$B$204,$A25,'01_予約入力'!$G$5:$G$204,"&gt;="&amp;$B$3,'01_予約入力'!$G$5:$G$204,"&lt;="&amp;$B$4))</f>
        <v/>
      </c>
    </row>
    <row r="26">
      <c r="A26" s="42">
        <f>IF(COUNTA('利用者マスタ'!$A$4:$A$60)&gt;=4,INDEX('利用者マスタ'!$A$4:$A$60,4),"")</f>
        <v/>
      </c>
      <c r="B26" s="36">
        <f>IF($A26="","",COUNTIFS('01_予約入力'!$B$5:$B$204,$A26,'01_予約入力'!$G$5:$G$204,"&lt;="&amp;$B$4,'01_予約入力'!$J$5:$J$204,"&gt;="&amp;$B$3,'01_予約入力'!$N$5:$N$204,"&lt;&gt;キャンセル"))</f>
        <v/>
      </c>
      <c r="C26" s="36">
        <f>IF($A26="","",SUMPRODUCT(('01_予約入力'!$G$5:$G$204&lt;&gt;"")*('01_予約入力'!$N$5:$N$204&lt;&gt;"キャンセル")*('01_予約入力'!$B$5:$B$204=$A26)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26" s="36">
        <f>IF($A26="","",SUMIFS('01_予約入力'!$X$5:$X$204,'01_予約入力'!$B$5:$B$204,$A26,'01_予約入力'!$G$5:$G$204,"&gt;="&amp;$B$3,'01_予約入力'!$G$5:$G$204,"&lt;="&amp;$B$4))</f>
        <v/>
      </c>
    </row>
    <row r="27">
      <c r="A27" s="42">
        <f>IF(COUNTA('利用者マスタ'!$A$4:$A$60)&gt;=5,INDEX('利用者マスタ'!$A$4:$A$60,5),"")</f>
        <v/>
      </c>
      <c r="B27" s="36">
        <f>IF($A27="","",COUNTIFS('01_予約入力'!$B$5:$B$204,$A27,'01_予約入力'!$G$5:$G$204,"&lt;="&amp;$B$4,'01_予約入力'!$J$5:$J$204,"&gt;="&amp;$B$3,'01_予約入力'!$N$5:$N$204,"&lt;&gt;キャンセル"))</f>
        <v/>
      </c>
      <c r="C27" s="36">
        <f>IF($A27="","",SUMPRODUCT(('01_予約入力'!$G$5:$G$204&lt;&gt;"")*('01_予約入力'!$N$5:$N$204&lt;&gt;"キャンセル")*('01_予約入力'!$B$5:$B$204=$A27)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27" s="36">
        <f>IF($A27="","",SUMIFS('01_予約入力'!$X$5:$X$204,'01_予約入力'!$B$5:$B$204,$A27,'01_予約入力'!$G$5:$G$204,"&gt;="&amp;$B$3,'01_予約入力'!$G$5:$G$204,"&lt;="&amp;$B$4))</f>
        <v/>
      </c>
    </row>
    <row r="28">
      <c r="A28" s="42">
        <f>IF(COUNTA('利用者マスタ'!$A$4:$A$60)&gt;=6,INDEX('利用者マスタ'!$A$4:$A$60,6),"")</f>
        <v/>
      </c>
      <c r="B28" s="36">
        <f>IF($A28="","",COUNTIFS('01_予約入力'!$B$5:$B$204,$A28,'01_予約入力'!$G$5:$G$204,"&lt;="&amp;$B$4,'01_予約入力'!$J$5:$J$204,"&gt;="&amp;$B$3,'01_予約入力'!$N$5:$N$204,"&lt;&gt;キャンセル"))</f>
        <v/>
      </c>
      <c r="C28" s="36">
        <f>IF($A28="","",SUMPRODUCT(('01_予約入力'!$G$5:$G$204&lt;&gt;"")*('01_予約入力'!$N$5:$N$204&lt;&gt;"キャンセル")*('01_予約入力'!$B$5:$B$204=$A28)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28" s="36">
        <f>IF($A28="","",SUMIFS('01_予約入力'!$X$5:$X$204,'01_予約入力'!$B$5:$B$204,$A28,'01_予約入力'!$G$5:$G$204,"&gt;="&amp;$B$3,'01_予約入力'!$G$5:$G$204,"&lt;="&amp;$B$4))</f>
        <v/>
      </c>
    </row>
    <row r="29">
      <c r="A29" s="42">
        <f>IF(COUNTA('利用者マスタ'!$A$4:$A$60)&gt;=7,INDEX('利用者マスタ'!$A$4:$A$60,7),"")</f>
        <v/>
      </c>
      <c r="B29" s="36">
        <f>IF($A29="","",COUNTIFS('01_予約入力'!$B$5:$B$204,$A29,'01_予約入力'!$G$5:$G$204,"&lt;="&amp;$B$4,'01_予約入力'!$J$5:$J$204,"&gt;="&amp;$B$3,'01_予約入力'!$N$5:$N$204,"&lt;&gt;キャンセル"))</f>
        <v/>
      </c>
      <c r="C29" s="36">
        <f>IF($A29="","",SUMPRODUCT(('01_予約入力'!$G$5:$G$204&lt;&gt;"")*('01_予約入力'!$N$5:$N$204&lt;&gt;"キャンセル")*('01_予約入力'!$B$5:$B$204=$A29)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29" s="36">
        <f>IF($A29="","",SUMIFS('01_予約入力'!$X$5:$X$204,'01_予約入力'!$B$5:$B$204,$A29,'01_予約入力'!$G$5:$G$204,"&gt;="&amp;$B$3,'01_予約入力'!$G$5:$G$204,"&lt;="&amp;$B$4))</f>
        <v/>
      </c>
    </row>
    <row r="30">
      <c r="A30" s="42">
        <f>IF(COUNTA('利用者マスタ'!$A$4:$A$60)&gt;=8,INDEX('利用者マスタ'!$A$4:$A$60,8),"")</f>
        <v/>
      </c>
      <c r="B30" s="36">
        <f>IF($A30="","",COUNTIFS('01_予約入力'!$B$5:$B$204,$A30,'01_予約入力'!$G$5:$G$204,"&lt;="&amp;$B$4,'01_予約入力'!$J$5:$J$204,"&gt;="&amp;$B$3,'01_予約入力'!$N$5:$N$204,"&lt;&gt;キャンセル"))</f>
        <v/>
      </c>
      <c r="C30" s="36">
        <f>IF($A30="","",SUMPRODUCT(('01_予約入力'!$G$5:$G$204&lt;&gt;"")*('01_予約入力'!$N$5:$N$204&lt;&gt;"キャンセル")*('01_予約入力'!$B$5:$B$204=$A30)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30" s="36">
        <f>IF($A30="","",SUMIFS('01_予約入力'!$X$5:$X$204,'01_予約入力'!$B$5:$B$204,$A30,'01_予約入力'!$G$5:$G$204,"&gt;="&amp;$B$3,'01_予約入力'!$G$5:$G$204,"&lt;="&amp;$B$4))</f>
        <v/>
      </c>
    </row>
    <row r="31">
      <c r="A31" s="42">
        <f>IF(COUNTA('利用者マスタ'!$A$4:$A$60)&gt;=9,INDEX('利用者マスタ'!$A$4:$A$60,9),"")</f>
        <v/>
      </c>
      <c r="B31" s="36">
        <f>IF($A31="","",COUNTIFS('01_予約入力'!$B$5:$B$204,$A31,'01_予約入力'!$G$5:$G$204,"&lt;="&amp;$B$4,'01_予約入力'!$J$5:$J$204,"&gt;="&amp;$B$3,'01_予約入力'!$N$5:$N$204,"&lt;&gt;キャンセル"))</f>
        <v/>
      </c>
      <c r="C31" s="36">
        <f>IF($A31="","",SUMPRODUCT(('01_予約入力'!$G$5:$G$204&lt;&gt;"")*('01_予約入力'!$N$5:$N$204&lt;&gt;"キャンセル")*('01_予約入力'!$B$5:$B$204=$A31)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31" s="36">
        <f>IF($A31="","",SUMIFS('01_予約入力'!$X$5:$X$204,'01_予約入力'!$B$5:$B$204,$A31,'01_予約入力'!$G$5:$G$204,"&gt;="&amp;$B$3,'01_予約入力'!$G$5:$G$204,"&lt;="&amp;$B$4))</f>
        <v/>
      </c>
    </row>
    <row r="32">
      <c r="A32" s="42">
        <f>IF(COUNTA('利用者マスタ'!$A$4:$A$60)&gt;=10,INDEX('利用者マスタ'!$A$4:$A$60,10),"")</f>
        <v/>
      </c>
      <c r="B32" s="36">
        <f>IF($A32="","",COUNTIFS('01_予約入力'!$B$5:$B$204,$A32,'01_予約入力'!$G$5:$G$204,"&lt;="&amp;$B$4,'01_予約入力'!$J$5:$J$204,"&gt;="&amp;$B$3,'01_予約入力'!$N$5:$N$204,"&lt;&gt;キャンセル"))</f>
        <v/>
      </c>
      <c r="C32" s="36">
        <f>IF($A32="","",SUMPRODUCT(('01_予約入力'!$G$5:$G$204&lt;&gt;"")*('01_予約入力'!$N$5:$N$204&lt;&gt;"キャンセル")*('01_予約入力'!$B$5:$B$204=$A32)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32" s="36">
        <f>IF($A32="","",SUMIFS('01_予約入力'!$X$5:$X$204,'01_予約入力'!$B$5:$B$204,$A32,'01_予約入力'!$G$5:$G$204,"&gt;="&amp;$B$3,'01_予約入力'!$G$5:$G$204,"&lt;="&amp;$B$4))</f>
        <v/>
      </c>
    </row>
    <row r="33">
      <c r="A33" s="42">
        <f>IF(COUNTA('利用者マスタ'!$A$4:$A$60)&gt;=11,INDEX('利用者マスタ'!$A$4:$A$60,11),"")</f>
        <v/>
      </c>
      <c r="B33" s="36">
        <f>IF($A33="","",COUNTIFS('01_予約入力'!$B$5:$B$204,$A33,'01_予約入力'!$G$5:$G$204,"&lt;="&amp;$B$4,'01_予約入力'!$J$5:$J$204,"&gt;="&amp;$B$3,'01_予約入力'!$N$5:$N$204,"&lt;&gt;キャンセル"))</f>
        <v/>
      </c>
      <c r="C33" s="36">
        <f>IF($A33="","",SUMPRODUCT(('01_予約入力'!$G$5:$G$204&lt;&gt;"")*('01_予約入力'!$N$5:$N$204&lt;&gt;"キャンセル")*('01_予約入力'!$B$5:$B$204=$A33)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33" s="36">
        <f>IF($A33="","",SUMIFS('01_予約入力'!$X$5:$X$204,'01_予約入力'!$B$5:$B$204,$A33,'01_予約入力'!$G$5:$G$204,"&gt;="&amp;$B$3,'01_予約入力'!$G$5:$G$204,"&lt;="&amp;$B$4))</f>
        <v/>
      </c>
    </row>
    <row r="34">
      <c r="A34" s="42">
        <f>IF(COUNTA('利用者マスタ'!$A$4:$A$60)&gt;=12,INDEX('利用者マスタ'!$A$4:$A$60,12),"")</f>
        <v/>
      </c>
      <c r="B34" s="36">
        <f>IF($A34="","",COUNTIFS('01_予約入力'!$B$5:$B$204,$A34,'01_予約入力'!$G$5:$G$204,"&lt;="&amp;$B$4,'01_予約入力'!$J$5:$J$204,"&gt;="&amp;$B$3,'01_予約入力'!$N$5:$N$204,"&lt;&gt;キャンセル"))</f>
        <v/>
      </c>
      <c r="C34" s="36">
        <f>IF($A34="","",SUMPRODUCT(('01_予約入力'!$G$5:$G$204&lt;&gt;"")*('01_予約入力'!$N$5:$N$204&lt;&gt;"キャンセル")*('01_予約入力'!$B$5:$B$204=$A34)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34" s="36">
        <f>IF($A34="","",SUMIFS('01_予約入力'!$X$5:$X$204,'01_予約入力'!$B$5:$B$204,$A34,'01_予約入力'!$G$5:$G$204,"&gt;="&amp;$B$3,'01_予約入力'!$G$5:$G$204,"&lt;="&amp;$B$4))</f>
        <v/>
      </c>
    </row>
    <row r="35">
      <c r="A35" s="42">
        <f>IF(COUNTA('利用者マスタ'!$A$4:$A$60)&gt;=13,INDEX('利用者マスタ'!$A$4:$A$60,13),"")</f>
        <v/>
      </c>
      <c r="B35" s="36">
        <f>IF($A35="","",COUNTIFS('01_予約入力'!$B$5:$B$204,$A35,'01_予約入力'!$G$5:$G$204,"&lt;="&amp;$B$4,'01_予約入力'!$J$5:$J$204,"&gt;="&amp;$B$3,'01_予約入力'!$N$5:$N$204,"&lt;&gt;キャンセル"))</f>
        <v/>
      </c>
      <c r="C35" s="36">
        <f>IF($A35="","",SUMPRODUCT(('01_予約入力'!$G$5:$G$204&lt;&gt;"")*('01_予約入力'!$N$5:$N$204&lt;&gt;"キャンセル")*('01_予約入力'!$B$5:$B$204=$A35)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35" s="36">
        <f>IF($A35="","",SUMIFS('01_予約入力'!$X$5:$X$204,'01_予約入力'!$B$5:$B$204,$A35,'01_予約入力'!$G$5:$G$204,"&gt;="&amp;$B$3,'01_予約入力'!$G$5:$G$204,"&lt;="&amp;$B$4))</f>
        <v/>
      </c>
    </row>
    <row r="36">
      <c r="A36" s="42">
        <f>IF(COUNTA('利用者マスタ'!$A$4:$A$60)&gt;=14,INDEX('利用者マスタ'!$A$4:$A$60,14),"")</f>
        <v/>
      </c>
      <c r="B36" s="36">
        <f>IF($A36="","",COUNTIFS('01_予約入力'!$B$5:$B$204,$A36,'01_予約入力'!$G$5:$G$204,"&lt;="&amp;$B$4,'01_予約入力'!$J$5:$J$204,"&gt;="&amp;$B$3,'01_予約入力'!$N$5:$N$204,"&lt;&gt;キャンセル"))</f>
        <v/>
      </c>
      <c r="C36" s="36">
        <f>IF($A36="","",SUMPRODUCT(('01_予約入力'!$G$5:$G$204&lt;&gt;"")*('01_予約入力'!$N$5:$N$204&lt;&gt;"キャンセル")*('01_予約入力'!$B$5:$B$204=$A36)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36" s="36">
        <f>IF($A36="","",SUMIFS('01_予約入力'!$X$5:$X$204,'01_予約入力'!$B$5:$B$204,$A36,'01_予約入力'!$G$5:$G$204,"&gt;="&amp;$B$3,'01_予約入力'!$G$5:$G$204,"&lt;="&amp;$B$4))</f>
        <v/>
      </c>
    </row>
    <row r="37">
      <c r="A37" s="42">
        <f>IF(COUNTA('利用者マスタ'!$A$4:$A$60)&gt;=15,INDEX('利用者マスタ'!$A$4:$A$60,15),"")</f>
        <v/>
      </c>
      <c r="B37" s="36">
        <f>IF($A37="","",COUNTIFS('01_予約入力'!$B$5:$B$204,$A37,'01_予約入力'!$G$5:$G$204,"&lt;="&amp;$B$4,'01_予約入力'!$J$5:$J$204,"&gt;="&amp;$B$3,'01_予約入力'!$N$5:$N$204,"&lt;&gt;キャンセル"))</f>
        <v/>
      </c>
      <c r="C37" s="36">
        <f>IF($A37="","",SUMPRODUCT(('01_予約入力'!$G$5:$G$204&lt;&gt;"")*('01_予約入力'!$N$5:$N$204&lt;&gt;"キャンセル")*('01_予約入力'!$B$5:$B$204=$A37)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37" s="36">
        <f>IF($A37="","",SUMIFS('01_予約入力'!$X$5:$X$204,'01_予約入力'!$B$5:$B$204,$A37,'01_予約入力'!$G$5:$G$204,"&gt;="&amp;$B$3,'01_予約入力'!$G$5:$G$204,"&lt;="&amp;$B$4))</f>
        <v/>
      </c>
    </row>
    <row r="38">
      <c r="A38" s="42">
        <f>IF(COUNTA('利用者マスタ'!$A$4:$A$60)&gt;=16,INDEX('利用者マスタ'!$A$4:$A$60,16),"")</f>
        <v/>
      </c>
      <c r="B38" s="36">
        <f>IF($A38="","",COUNTIFS('01_予約入力'!$B$5:$B$204,$A38,'01_予約入力'!$G$5:$G$204,"&lt;="&amp;$B$4,'01_予約入力'!$J$5:$J$204,"&gt;="&amp;$B$3,'01_予約入力'!$N$5:$N$204,"&lt;&gt;キャンセル"))</f>
        <v/>
      </c>
      <c r="C38" s="36">
        <f>IF($A38="","",SUMPRODUCT(('01_予約入力'!$G$5:$G$204&lt;&gt;"")*('01_予約入力'!$N$5:$N$204&lt;&gt;"キャンセル")*('01_予約入力'!$B$5:$B$204=$A38)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38" s="36">
        <f>IF($A38="","",SUMIFS('01_予約入力'!$X$5:$X$204,'01_予約入力'!$B$5:$B$204,$A38,'01_予約入力'!$G$5:$G$204,"&gt;="&amp;$B$3,'01_予約入力'!$G$5:$G$204,"&lt;="&amp;$B$4))</f>
        <v/>
      </c>
    </row>
    <row r="39">
      <c r="A39" s="42">
        <f>IF(COUNTA('利用者マスタ'!$A$4:$A$60)&gt;=17,INDEX('利用者マスタ'!$A$4:$A$60,17),"")</f>
        <v/>
      </c>
      <c r="B39" s="36">
        <f>IF($A39="","",COUNTIFS('01_予約入力'!$B$5:$B$204,$A39,'01_予約入力'!$G$5:$G$204,"&lt;="&amp;$B$4,'01_予約入力'!$J$5:$J$204,"&gt;="&amp;$B$3,'01_予約入力'!$N$5:$N$204,"&lt;&gt;キャンセル"))</f>
        <v/>
      </c>
      <c r="C39" s="36">
        <f>IF($A39="","",SUMPRODUCT(('01_予約入力'!$G$5:$G$204&lt;&gt;"")*('01_予約入力'!$N$5:$N$204&lt;&gt;"キャンセル")*('01_予約入力'!$B$5:$B$204=$A39)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39" s="36">
        <f>IF($A39="","",SUMIFS('01_予約入力'!$X$5:$X$204,'01_予約入力'!$B$5:$B$204,$A39,'01_予約入力'!$G$5:$G$204,"&gt;="&amp;$B$3,'01_予約入力'!$G$5:$G$204,"&lt;="&amp;$B$4))</f>
        <v/>
      </c>
    </row>
    <row r="40">
      <c r="A40" s="42">
        <f>IF(COUNTA('利用者マスタ'!$A$4:$A$60)&gt;=18,INDEX('利用者マスタ'!$A$4:$A$60,18),"")</f>
        <v/>
      </c>
      <c r="B40" s="36">
        <f>IF($A40="","",COUNTIFS('01_予約入力'!$B$5:$B$204,$A40,'01_予約入力'!$G$5:$G$204,"&lt;="&amp;$B$4,'01_予約入力'!$J$5:$J$204,"&gt;="&amp;$B$3,'01_予約入力'!$N$5:$N$204,"&lt;&gt;キャンセル"))</f>
        <v/>
      </c>
      <c r="C40" s="36">
        <f>IF($A40="","",SUMPRODUCT(('01_予約入力'!$G$5:$G$204&lt;&gt;"")*('01_予約入力'!$N$5:$N$204&lt;&gt;"キャンセル")*('01_予約入力'!$B$5:$B$204=$A40)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40" s="36">
        <f>IF($A40="","",SUMIFS('01_予約入力'!$X$5:$X$204,'01_予約入力'!$B$5:$B$204,$A40,'01_予約入力'!$G$5:$G$204,"&gt;="&amp;$B$3,'01_予約入力'!$G$5:$G$204,"&lt;="&amp;$B$4))</f>
        <v/>
      </c>
    </row>
    <row r="41">
      <c r="A41" s="42">
        <f>IF(COUNTA('利用者マスタ'!$A$4:$A$60)&gt;=19,INDEX('利用者マスタ'!$A$4:$A$60,19),"")</f>
        <v/>
      </c>
      <c r="B41" s="36">
        <f>IF($A41="","",COUNTIFS('01_予約入力'!$B$5:$B$204,$A41,'01_予約入力'!$G$5:$G$204,"&lt;="&amp;$B$4,'01_予約入力'!$J$5:$J$204,"&gt;="&amp;$B$3,'01_予約入力'!$N$5:$N$204,"&lt;&gt;キャンセル"))</f>
        <v/>
      </c>
      <c r="C41" s="36">
        <f>IF($A41="","",SUMPRODUCT(('01_予約入力'!$G$5:$G$204&lt;&gt;"")*('01_予約入力'!$N$5:$N$204&lt;&gt;"キャンセル")*('01_予約入力'!$B$5:$B$204=$A41)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41" s="36">
        <f>IF($A41="","",SUMIFS('01_予約入力'!$X$5:$X$204,'01_予約入力'!$B$5:$B$204,$A41,'01_予約入力'!$G$5:$G$204,"&gt;="&amp;$B$3,'01_予約入力'!$G$5:$G$204,"&lt;="&amp;$B$4))</f>
        <v/>
      </c>
    </row>
    <row r="42">
      <c r="A42" s="42">
        <f>IF(COUNTA('利用者マスタ'!$A$4:$A$60)&gt;=20,INDEX('利用者マスタ'!$A$4:$A$60,20),"")</f>
        <v/>
      </c>
      <c r="B42" s="36">
        <f>IF($A42="","",COUNTIFS('01_予約入力'!$B$5:$B$204,$A42,'01_予約入力'!$G$5:$G$204,"&lt;="&amp;$B$4,'01_予約入力'!$J$5:$J$204,"&gt;="&amp;$B$3,'01_予約入力'!$N$5:$N$204,"&lt;&gt;キャンセル"))</f>
        <v/>
      </c>
      <c r="C42" s="36">
        <f>IF($A42="","",SUMPRODUCT(('01_予約入力'!$G$5:$G$204&lt;&gt;"")*('01_予約入力'!$N$5:$N$204&lt;&gt;"キャンセル")*('01_予約入力'!$B$5:$B$204=$A42)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42" s="36">
        <f>IF($A42="","",SUMIFS('01_予約入力'!$X$5:$X$204,'01_予約入力'!$B$5:$B$204,$A42,'01_予約入力'!$G$5:$G$204,"&gt;="&amp;$B$3,'01_予約入力'!$G$5:$G$204,"&lt;="&amp;$B$4))</f>
        <v/>
      </c>
    </row>
    <row r="43">
      <c r="A43" s="42">
        <f>IF(COUNTA('利用者マスタ'!$A$4:$A$60)&gt;=21,INDEX('利用者マスタ'!$A$4:$A$60,21),"")</f>
        <v/>
      </c>
      <c r="B43" s="36">
        <f>IF($A43="","",COUNTIFS('01_予約入力'!$B$5:$B$204,$A43,'01_予約入力'!$G$5:$G$204,"&lt;="&amp;$B$4,'01_予約入力'!$J$5:$J$204,"&gt;="&amp;$B$3,'01_予約入力'!$N$5:$N$204,"&lt;&gt;キャンセル"))</f>
        <v/>
      </c>
      <c r="C43" s="36">
        <f>IF($A43="","",SUMPRODUCT(('01_予約入力'!$G$5:$G$204&lt;&gt;"")*('01_予約入力'!$N$5:$N$204&lt;&gt;"キャンセル")*('01_予約入力'!$B$5:$B$204=$A43)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43" s="36">
        <f>IF($A43="","",SUMIFS('01_予約入力'!$X$5:$X$204,'01_予約入力'!$B$5:$B$204,$A43,'01_予約入力'!$G$5:$G$204,"&gt;="&amp;$B$3,'01_予約入力'!$G$5:$G$204,"&lt;="&amp;$B$4))</f>
        <v/>
      </c>
    </row>
    <row r="44">
      <c r="A44" s="42">
        <f>IF(COUNTA('利用者マスタ'!$A$4:$A$60)&gt;=22,INDEX('利用者マスタ'!$A$4:$A$60,22),"")</f>
        <v/>
      </c>
      <c r="B44" s="36">
        <f>IF($A44="","",COUNTIFS('01_予約入力'!$B$5:$B$204,$A44,'01_予約入力'!$G$5:$G$204,"&lt;="&amp;$B$4,'01_予約入力'!$J$5:$J$204,"&gt;="&amp;$B$3,'01_予約入力'!$N$5:$N$204,"&lt;&gt;キャンセル"))</f>
        <v/>
      </c>
      <c r="C44" s="36">
        <f>IF($A44="","",SUMPRODUCT(('01_予約入力'!$G$5:$G$204&lt;&gt;"")*('01_予約入力'!$N$5:$N$204&lt;&gt;"キャンセル")*('01_予約入力'!$B$5:$B$204=$A44)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44" s="36">
        <f>IF($A44="","",SUMIFS('01_予約入力'!$X$5:$X$204,'01_予約入力'!$B$5:$B$204,$A44,'01_予約入力'!$G$5:$G$204,"&gt;="&amp;$B$3,'01_予約入力'!$G$5:$G$204,"&lt;="&amp;$B$4))</f>
        <v/>
      </c>
    </row>
    <row r="45">
      <c r="A45" s="42">
        <f>IF(COUNTA('利用者マスタ'!$A$4:$A$60)&gt;=23,INDEX('利用者マスタ'!$A$4:$A$60,23),"")</f>
        <v/>
      </c>
      <c r="B45" s="36">
        <f>IF($A45="","",COUNTIFS('01_予約入力'!$B$5:$B$204,$A45,'01_予約入力'!$G$5:$G$204,"&lt;="&amp;$B$4,'01_予約入力'!$J$5:$J$204,"&gt;="&amp;$B$3,'01_予約入力'!$N$5:$N$204,"&lt;&gt;キャンセル"))</f>
        <v/>
      </c>
      <c r="C45" s="36">
        <f>IF($A45="","",SUMPRODUCT(('01_予約入力'!$G$5:$G$204&lt;&gt;"")*('01_予約入力'!$N$5:$N$204&lt;&gt;"キャンセル")*('01_予約入力'!$B$5:$B$204=$A45)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45" s="36">
        <f>IF($A45="","",SUMIFS('01_予約入力'!$X$5:$X$204,'01_予約入力'!$B$5:$B$204,$A45,'01_予約入力'!$G$5:$G$204,"&gt;="&amp;$B$3,'01_予約入力'!$G$5:$G$204,"&lt;="&amp;$B$4))</f>
        <v/>
      </c>
    </row>
    <row r="46">
      <c r="A46" s="42">
        <f>IF(COUNTA('利用者マスタ'!$A$4:$A$60)&gt;=24,INDEX('利用者マスタ'!$A$4:$A$60,24),"")</f>
        <v/>
      </c>
      <c r="B46" s="36">
        <f>IF($A46="","",COUNTIFS('01_予約入力'!$B$5:$B$204,$A46,'01_予約入力'!$G$5:$G$204,"&lt;="&amp;$B$4,'01_予約入力'!$J$5:$J$204,"&gt;="&amp;$B$3,'01_予約入力'!$N$5:$N$204,"&lt;&gt;キャンセル"))</f>
        <v/>
      </c>
      <c r="C46" s="36">
        <f>IF($A46="","",SUMPRODUCT(('01_予約入力'!$G$5:$G$204&lt;&gt;"")*('01_予約入力'!$N$5:$N$204&lt;&gt;"キャンセル")*('01_予約入力'!$B$5:$B$204=$A46)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46" s="36">
        <f>IF($A46="","",SUMIFS('01_予約入力'!$X$5:$X$204,'01_予約入力'!$B$5:$B$204,$A46,'01_予約入力'!$G$5:$G$204,"&gt;="&amp;$B$3,'01_予約入力'!$G$5:$G$204,"&lt;="&amp;$B$4))</f>
        <v/>
      </c>
    </row>
    <row r="47">
      <c r="A47" s="42">
        <f>IF(COUNTA('利用者マスタ'!$A$4:$A$60)&gt;=25,INDEX('利用者マスタ'!$A$4:$A$60,25),"")</f>
        <v/>
      </c>
      <c r="B47" s="36">
        <f>IF($A47="","",COUNTIFS('01_予約入力'!$B$5:$B$204,$A47,'01_予約入力'!$G$5:$G$204,"&lt;="&amp;$B$4,'01_予約入力'!$J$5:$J$204,"&gt;="&amp;$B$3,'01_予約入力'!$N$5:$N$204,"&lt;&gt;キャンセル"))</f>
        <v/>
      </c>
      <c r="C47" s="36">
        <f>IF($A47="","",SUMPRODUCT(('01_予約入力'!$G$5:$G$204&lt;&gt;"")*('01_予約入力'!$N$5:$N$204&lt;&gt;"キャンセル")*('01_予約入力'!$B$5:$B$204=$A47)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47" s="36">
        <f>IF($A47="","",SUMIFS('01_予約入力'!$X$5:$X$204,'01_予約入力'!$B$5:$B$204,$A47,'01_予約入力'!$G$5:$G$204,"&gt;="&amp;$B$3,'01_予約入力'!$G$5:$G$204,"&lt;="&amp;$B$4))</f>
        <v/>
      </c>
    </row>
    <row r="48">
      <c r="A48" s="42">
        <f>IF(COUNTA('利用者マスタ'!$A$4:$A$60)&gt;=26,INDEX('利用者マスタ'!$A$4:$A$60,26),"")</f>
        <v/>
      </c>
      <c r="B48" s="36">
        <f>IF($A48="","",COUNTIFS('01_予約入力'!$B$5:$B$204,$A48,'01_予約入力'!$G$5:$G$204,"&lt;="&amp;$B$4,'01_予約入力'!$J$5:$J$204,"&gt;="&amp;$B$3,'01_予約入力'!$N$5:$N$204,"&lt;&gt;キャンセル"))</f>
        <v/>
      </c>
      <c r="C48" s="36">
        <f>IF($A48="","",SUMPRODUCT(('01_予約入力'!$G$5:$G$204&lt;&gt;"")*('01_予約入力'!$N$5:$N$204&lt;&gt;"キャンセル")*('01_予約入力'!$B$5:$B$204=$A48)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48" s="36">
        <f>IF($A48="","",SUMIFS('01_予約入力'!$X$5:$X$204,'01_予約入力'!$B$5:$B$204,$A48,'01_予約入力'!$G$5:$G$204,"&gt;="&amp;$B$3,'01_予約入力'!$G$5:$G$204,"&lt;="&amp;$B$4))</f>
        <v/>
      </c>
    </row>
    <row r="49">
      <c r="A49" s="42">
        <f>IF(COUNTA('利用者マスタ'!$A$4:$A$60)&gt;=27,INDEX('利用者マスタ'!$A$4:$A$60,27),"")</f>
        <v/>
      </c>
      <c r="B49" s="36">
        <f>IF($A49="","",COUNTIFS('01_予約入力'!$B$5:$B$204,$A49,'01_予約入力'!$G$5:$G$204,"&lt;="&amp;$B$4,'01_予約入力'!$J$5:$J$204,"&gt;="&amp;$B$3,'01_予約入力'!$N$5:$N$204,"&lt;&gt;キャンセル"))</f>
        <v/>
      </c>
      <c r="C49" s="36">
        <f>IF($A49="","",SUMPRODUCT(('01_予約入力'!$G$5:$G$204&lt;&gt;"")*('01_予約入力'!$N$5:$N$204&lt;&gt;"キャンセル")*('01_予約入力'!$B$5:$B$204=$A49)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49" s="36">
        <f>IF($A49="","",SUMIFS('01_予約入力'!$X$5:$X$204,'01_予約入力'!$B$5:$B$204,$A49,'01_予約入力'!$G$5:$G$204,"&gt;="&amp;$B$3,'01_予約入力'!$G$5:$G$204,"&lt;="&amp;$B$4))</f>
        <v/>
      </c>
    </row>
    <row r="50">
      <c r="A50" s="42">
        <f>IF(COUNTA('利用者マスタ'!$A$4:$A$60)&gt;=28,INDEX('利用者マスタ'!$A$4:$A$60,28),"")</f>
        <v/>
      </c>
      <c r="B50" s="36">
        <f>IF($A50="","",COUNTIFS('01_予約入力'!$B$5:$B$204,$A50,'01_予約入力'!$G$5:$G$204,"&lt;="&amp;$B$4,'01_予約入力'!$J$5:$J$204,"&gt;="&amp;$B$3,'01_予約入力'!$N$5:$N$204,"&lt;&gt;キャンセル"))</f>
        <v/>
      </c>
      <c r="C50" s="36">
        <f>IF($A50="","",SUMPRODUCT(('01_予約入力'!$G$5:$G$204&lt;&gt;"")*('01_予約入力'!$N$5:$N$204&lt;&gt;"キャンセル")*('01_予約入力'!$B$5:$B$204=$A50)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50" s="36">
        <f>IF($A50="","",SUMIFS('01_予約入力'!$X$5:$X$204,'01_予約入力'!$B$5:$B$204,$A50,'01_予約入力'!$G$5:$G$204,"&gt;="&amp;$B$3,'01_予約入力'!$G$5:$G$204,"&lt;="&amp;$B$4))</f>
        <v/>
      </c>
    </row>
    <row r="51">
      <c r="A51" s="42">
        <f>IF(COUNTA('利用者マスタ'!$A$4:$A$60)&gt;=29,INDEX('利用者マスタ'!$A$4:$A$60,29),"")</f>
        <v/>
      </c>
      <c r="B51" s="36">
        <f>IF($A51="","",COUNTIFS('01_予約入力'!$B$5:$B$204,$A51,'01_予約入力'!$G$5:$G$204,"&lt;="&amp;$B$4,'01_予約入力'!$J$5:$J$204,"&gt;="&amp;$B$3,'01_予約入力'!$N$5:$N$204,"&lt;&gt;キャンセル"))</f>
        <v/>
      </c>
      <c r="C51" s="36">
        <f>IF($A51="","",SUMPRODUCT(('01_予約入力'!$G$5:$G$204&lt;&gt;"")*('01_予約入力'!$N$5:$N$204&lt;&gt;"キャンセル")*('01_予約入力'!$B$5:$B$204=$A51)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51" s="36">
        <f>IF($A51="","",SUMIFS('01_予約入力'!$X$5:$X$204,'01_予約入力'!$B$5:$B$204,$A51,'01_予約入力'!$G$5:$G$204,"&gt;="&amp;$B$3,'01_予約入力'!$G$5:$G$204,"&lt;="&amp;$B$4))</f>
        <v/>
      </c>
    </row>
    <row r="52">
      <c r="A52" s="42">
        <f>IF(COUNTA('利用者マスタ'!$A$4:$A$60)&gt;=30,INDEX('利用者マスタ'!$A$4:$A$60,30),"")</f>
        <v/>
      </c>
      <c r="B52" s="36">
        <f>IF($A52="","",COUNTIFS('01_予約入力'!$B$5:$B$204,$A52,'01_予約入力'!$G$5:$G$204,"&lt;="&amp;$B$4,'01_予約入力'!$J$5:$J$204,"&gt;="&amp;$B$3,'01_予約入力'!$N$5:$N$204,"&lt;&gt;キャンセル"))</f>
        <v/>
      </c>
      <c r="C52" s="36">
        <f>IF($A52="","",SUMPRODUCT(('01_予約入力'!$G$5:$G$204&lt;&gt;"")*('01_予約入力'!$N$5:$N$204&lt;&gt;"キャンセル")*('01_予約入力'!$B$5:$B$204=$A52)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52" s="36">
        <f>IF($A52="","",SUMIFS('01_予約入力'!$X$5:$X$204,'01_予約入力'!$B$5:$B$204,$A52,'01_予約入力'!$G$5:$G$204,"&gt;="&amp;$B$3,'01_予約入力'!$G$5:$G$204,"&lt;="&amp;$B$4))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2" customWidth="1" min="4" max="4"/>
    <col width="18" customWidth="1" min="5" max="5"/>
  </cols>
  <sheetData>
    <row r="1">
      <c r="A1" s="1" t="inlineStr">
        <is>
          <t>支給量の残日数（受給者証の月あたり上限）</t>
        </is>
      </c>
    </row>
    <row r="2">
      <c r="A2" s="2" t="inlineStr">
        <is>
          <t>入所日の属する月で集計します。M_区分 で「○」を付けた区分だけを数えます。</t>
        </is>
      </c>
    </row>
    <row r="3">
      <c r="A3" s="15" t="inlineStr">
        <is>
          <t>対象月</t>
        </is>
      </c>
      <c r="B3" s="16" t="n">
        <v>46235</v>
      </c>
      <c r="C3" s="2" t="inlineStr">
        <is>
          <t>その月の日付ならどれでも可（02_カレンダー とは独立です）</t>
        </is>
      </c>
    </row>
    <row r="5" ht="30" customHeight="1">
      <c r="A5" s="7" t="inlineStr">
        <is>
          <t>氏名</t>
        </is>
      </c>
      <c r="B5" s="7" t="inlineStr">
        <is>
          <t>支給量（日／月）</t>
        </is>
      </c>
      <c r="C5" s="7" t="inlineStr">
        <is>
          <t>当月の対象日数</t>
        </is>
      </c>
      <c r="D5" s="7" t="inlineStr">
        <is>
          <t>残り</t>
        </is>
      </c>
      <c r="E5" s="7" t="inlineStr">
        <is>
          <t>状態</t>
        </is>
      </c>
    </row>
    <row r="6">
      <c r="A6" s="42">
        <f>IF(COUNTA('利用者マスタ'!$A$4:$A$60)&gt;=1,INDEX('利用者マスタ'!$A$4:$A$60,1),"")</f>
        <v/>
      </c>
      <c r="B6" s="36">
        <f>IF($A6="","",IF(SUMPRODUCT(('利用者マスタ'!$A$4:$A$60=$A6)*('利用者マスタ'!$B$4:$B$60&lt;&gt;""))=0,"",SUMIFS('利用者マスタ'!$B$4:$B$60,'利用者マスタ'!$A$4:$A$60,$A6)))</f>
        <v/>
      </c>
      <c r="C6" s="36">
        <f>IF($A6="","",SUMIFS('01_予約入力'!$X$5:$X$204,'01_予約入力'!$B$5:$B$204,$A6,'01_予約入力'!$G$5:$G$204,"&gt;="&amp;DATE(YEAR($B$3),MONTH($B$3),1),'01_予約入力'!$G$5:$G$204,"&lt;="&amp;EOMONTH($B$3,0)))</f>
        <v/>
      </c>
      <c r="D6" s="36">
        <f>IF(OR($A6="",$B6=""),"",$B6-$C6)</f>
        <v/>
      </c>
      <c r="E6" s="36">
        <f>IF($A6="","",IF($B6="","（管理しない）",IF($D6&lt;0,"⚠ 超過",IF($D6=0,"上限ちょうど",IF($D6&lt;=1,"残りわずか","OK")))))</f>
        <v/>
      </c>
    </row>
    <row r="7">
      <c r="A7" s="42">
        <f>IF(COUNTA('利用者マスタ'!$A$4:$A$60)&gt;=2,INDEX('利用者マスタ'!$A$4:$A$60,2),"")</f>
        <v/>
      </c>
      <c r="B7" s="36">
        <f>IF($A7="","",IF(SUMPRODUCT(('利用者マスタ'!$A$4:$A$60=$A7)*('利用者マスタ'!$B$4:$B$60&lt;&gt;""))=0,"",SUMIFS('利用者マスタ'!$B$4:$B$60,'利用者マスタ'!$A$4:$A$60,$A7)))</f>
        <v/>
      </c>
      <c r="C7" s="36">
        <f>IF($A7="","",SUMIFS('01_予約入力'!$X$5:$X$204,'01_予約入力'!$B$5:$B$204,$A7,'01_予約入力'!$G$5:$G$204,"&gt;="&amp;DATE(YEAR($B$3),MONTH($B$3),1),'01_予約入力'!$G$5:$G$204,"&lt;="&amp;EOMONTH($B$3,0)))</f>
        <v/>
      </c>
      <c r="D7" s="36">
        <f>IF(OR($A7="",$B7=""),"",$B7-$C7)</f>
        <v/>
      </c>
      <c r="E7" s="36">
        <f>IF($A7="","",IF($B7="","（管理しない）",IF($D7&lt;0,"⚠ 超過",IF($D7=0,"上限ちょうど",IF($D7&lt;=1,"残りわずか","OK")))))</f>
        <v/>
      </c>
    </row>
    <row r="8">
      <c r="A8" s="42">
        <f>IF(COUNTA('利用者マスタ'!$A$4:$A$60)&gt;=3,INDEX('利用者マスタ'!$A$4:$A$60,3),"")</f>
        <v/>
      </c>
      <c r="B8" s="36">
        <f>IF($A8="","",IF(SUMPRODUCT(('利用者マスタ'!$A$4:$A$60=$A8)*('利用者マスタ'!$B$4:$B$60&lt;&gt;""))=0,"",SUMIFS('利用者マスタ'!$B$4:$B$60,'利用者マスタ'!$A$4:$A$60,$A8)))</f>
        <v/>
      </c>
      <c r="C8" s="36">
        <f>IF($A8="","",SUMIFS('01_予約入力'!$X$5:$X$204,'01_予約入力'!$B$5:$B$204,$A8,'01_予約入力'!$G$5:$G$204,"&gt;="&amp;DATE(YEAR($B$3),MONTH($B$3),1),'01_予約入力'!$G$5:$G$204,"&lt;="&amp;EOMONTH($B$3,0)))</f>
        <v/>
      </c>
      <c r="D8" s="36">
        <f>IF(OR($A8="",$B8=""),"",$B8-$C8)</f>
        <v/>
      </c>
      <c r="E8" s="36">
        <f>IF($A8="","",IF($B8="","（管理しない）",IF($D8&lt;0,"⚠ 超過",IF($D8=0,"上限ちょうど",IF($D8&lt;=1,"残りわずか","OK")))))</f>
        <v/>
      </c>
    </row>
    <row r="9">
      <c r="A9" s="42">
        <f>IF(COUNTA('利用者マスタ'!$A$4:$A$60)&gt;=4,INDEX('利用者マスタ'!$A$4:$A$60,4),"")</f>
        <v/>
      </c>
      <c r="B9" s="36">
        <f>IF($A9="","",IF(SUMPRODUCT(('利用者マスタ'!$A$4:$A$60=$A9)*('利用者マスタ'!$B$4:$B$60&lt;&gt;""))=0,"",SUMIFS('利用者マスタ'!$B$4:$B$60,'利用者マスタ'!$A$4:$A$60,$A9)))</f>
        <v/>
      </c>
      <c r="C9" s="36">
        <f>IF($A9="","",SUMIFS('01_予約入力'!$X$5:$X$204,'01_予約入力'!$B$5:$B$204,$A9,'01_予約入力'!$G$5:$G$204,"&gt;="&amp;DATE(YEAR($B$3),MONTH($B$3),1),'01_予約入力'!$G$5:$G$204,"&lt;="&amp;EOMONTH($B$3,0)))</f>
        <v/>
      </c>
      <c r="D9" s="36">
        <f>IF(OR($A9="",$B9=""),"",$B9-$C9)</f>
        <v/>
      </c>
      <c r="E9" s="36">
        <f>IF($A9="","",IF($B9="","（管理しない）",IF($D9&lt;0,"⚠ 超過",IF($D9=0,"上限ちょうど",IF($D9&lt;=1,"残りわずか","OK")))))</f>
        <v/>
      </c>
    </row>
    <row r="10">
      <c r="A10" s="42">
        <f>IF(COUNTA('利用者マスタ'!$A$4:$A$60)&gt;=5,INDEX('利用者マスタ'!$A$4:$A$60,5),"")</f>
        <v/>
      </c>
      <c r="B10" s="36">
        <f>IF($A10="","",IF(SUMPRODUCT(('利用者マスタ'!$A$4:$A$60=$A10)*('利用者マスタ'!$B$4:$B$60&lt;&gt;""))=0,"",SUMIFS('利用者マスタ'!$B$4:$B$60,'利用者マスタ'!$A$4:$A$60,$A10)))</f>
        <v/>
      </c>
      <c r="C10" s="36">
        <f>IF($A10="","",SUMIFS('01_予約入力'!$X$5:$X$204,'01_予約入力'!$B$5:$B$204,$A10,'01_予約入力'!$G$5:$G$204,"&gt;="&amp;DATE(YEAR($B$3),MONTH($B$3),1),'01_予約入力'!$G$5:$G$204,"&lt;="&amp;EOMONTH($B$3,0)))</f>
        <v/>
      </c>
      <c r="D10" s="36">
        <f>IF(OR($A10="",$B10=""),"",$B10-$C10)</f>
        <v/>
      </c>
      <c r="E10" s="36">
        <f>IF($A10="","",IF($B10="","（管理しない）",IF($D10&lt;0,"⚠ 超過",IF($D10=0,"上限ちょうど",IF($D10&lt;=1,"残りわずか","OK")))))</f>
        <v/>
      </c>
    </row>
    <row r="11">
      <c r="A11" s="42">
        <f>IF(COUNTA('利用者マスタ'!$A$4:$A$60)&gt;=6,INDEX('利用者マスタ'!$A$4:$A$60,6),"")</f>
        <v/>
      </c>
      <c r="B11" s="36">
        <f>IF($A11="","",IF(SUMPRODUCT(('利用者マスタ'!$A$4:$A$60=$A11)*('利用者マスタ'!$B$4:$B$60&lt;&gt;""))=0,"",SUMIFS('利用者マスタ'!$B$4:$B$60,'利用者マスタ'!$A$4:$A$60,$A11)))</f>
        <v/>
      </c>
      <c r="C11" s="36">
        <f>IF($A11="","",SUMIFS('01_予約入力'!$X$5:$X$204,'01_予約入力'!$B$5:$B$204,$A11,'01_予約入力'!$G$5:$G$204,"&gt;="&amp;DATE(YEAR($B$3),MONTH($B$3),1),'01_予約入力'!$G$5:$G$204,"&lt;="&amp;EOMONTH($B$3,0)))</f>
        <v/>
      </c>
      <c r="D11" s="36">
        <f>IF(OR($A11="",$B11=""),"",$B11-$C11)</f>
        <v/>
      </c>
      <c r="E11" s="36">
        <f>IF($A11="","",IF($B11="","（管理しない）",IF($D11&lt;0,"⚠ 超過",IF($D11=0,"上限ちょうど",IF($D11&lt;=1,"残りわずか","OK")))))</f>
        <v/>
      </c>
    </row>
    <row r="12">
      <c r="A12" s="42">
        <f>IF(COUNTA('利用者マスタ'!$A$4:$A$60)&gt;=7,INDEX('利用者マスタ'!$A$4:$A$60,7),"")</f>
        <v/>
      </c>
      <c r="B12" s="36">
        <f>IF($A12="","",IF(SUMPRODUCT(('利用者マスタ'!$A$4:$A$60=$A12)*('利用者マスタ'!$B$4:$B$60&lt;&gt;""))=0,"",SUMIFS('利用者マスタ'!$B$4:$B$60,'利用者マスタ'!$A$4:$A$60,$A12)))</f>
        <v/>
      </c>
      <c r="C12" s="36">
        <f>IF($A12="","",SUMIFS('01_予約入力'!$X$5:$X$204,'01_予約入力'!$B$5:$B$204,$A12,'01_予約入力'!$G$5:$G$204,"&gt;="&amp;DATE(YEAR($B$3),MONTH($B$3),1),'01_予約入力'!$G$5:$G$204,"&lt;="&amp;EOMONTH($B$3,0)))</f>
        <v/>
      </c>
      <c r="D12" s="36">
        <f>IF(OR($A12="",$B12=""),"",$B12-$C12)</f>
        <v/>
      </c>
      <c r="E12" s="36">
        <f>IF($A12="","",IF($B12="","（管理しない）",IF($D12&lt;0,"⚠ 超過",IF($D12=0,"上限ちょうど",IF($D12&lt;=1,"残りわずか","OK")))))</f>
        <v/>
      </c>
    </row>
    <row r="13">
      <c r="A13" s="42">
        <f>IF(COUNTA('利用者マスタ'!$A$4:$A$60)&gt;=8,INDEX('利用者マスタ'!$A$4:$A$60,8),"")</f>
        <v/>
      </c>
      <c r="B13" s="36">
        <f>IF($A13="","",IF(SUMPRODUCT(('利用者マスタ'!$A$4:$A$60=$A13)*('利用者マスタ'!$B$4:$B$60&lt;&gt;""))=0,"",SUMIFS('利用者マスタ'!$B$4:$B$60,'利用者マスタ'!$A$4:$A$60,$A13)))</f>
        <v/>
      </c>
      <c r="C13" s="36">
        <f>IF($A13="","",SUMIFS('01_予約入力'!$X$5:$X$204,'01_予約入力'!$B$5:$B$204,$A13,'01_予約入力'!$G$5:$G$204,"&gt;="&amp;DATE(YEAR($B$3),MONTH($B$3),1),'01_予約入力'!$G$5:$G$204,"&lt;="&amp;EOMONTH($B$3,0)))</f>
        <v/>
      </c>
      <c r="D13" s="36">
        <f>IF(OR($A13="",$B13=""),"",$B13-$C13)</f>
        <v/>
      </c>
      <c r="E13" s="36">
        <f>IF($A13="","",IF($B13="","（管理しない）",IF($D13&lt;0,"⚠ 超過",IF($D13=0,"上限ちょうど",IF($D13&lt;=1,"残りわずか","OK")))))</f>
        <v/>
      </c>
    </row>
    <row r="14">
      <c r="A14" s="42">
        <f>IF(COUNTA('利用者マスタ'!$A$4:$A$60)&gt;=9,INDEX('利用者マスタ'!$A$4:$A$60,9),"")</f>
        <v/>
      </c>
      <c r="B14" s="36">
        <f>IF($A14="","",IF(SUMPRODUCT(('利用者マスタ'!$A$4:$A$60=$A14)*('利用者マスタ'!$B$4:$B$60&lt;&gt;""))=0,"",SUMIFS('利用者マスタ'!$B$4:$B$60,'利用者マスタ'!$A$4:$A$60,$A14)))</f>
        <v/>
      </c>
      <c r="C14" s="36">
        <f>IF($A14="","",SUMIFS('01_予約入力'!$X$5:$X$204,'01_予約入力'!$B$5:$B$204,$A14,'01_予約入力'!$G$5:$G$204,"&gt;="&amp;DATE(YEAR($B$3),MONTH($B$3),1),'01_予約入力'!$G$5:$G$204,"&lt;="&amp;EOMONTH($B$3,0)))</f>
        <v/>
      </c>
      <c r="D14" s="36">
        <f>IF(OR($A14="",$B14=""),"",$B14-$C14)</f>
        <v/>
      </c>
      <c r="E14" s="36">
        <f>IF($A14="","",IF($B14="","（管理しない）",IF($D14&lt;0,"⚠ 超過",IF($D14=0,"上限ちょうど",IF($D14&lt;=1,"残りわずか","OK")))))</f>
        <v/>
      </c>
    </row>
    <row r="15">
      <c r="A15" s="42">
        <f>IF(COUNTA('利用者マスタ'!$A$4:$A$60)&gt;=10,INDEX('利用者マスタ'!$A$4:$A$60,10),"")</f>
        <v/>
      </c>
      <c r="B15" s="36">
        <f>IF($A15="","",IF(SUMPRODUCT(('利用者マスタ'!$A$4:$A$60=$A15)*('利用者マスタ'!$B$4:$B$60&lt;&gt;""))=0,"",SUMIFS('利用者マスタ'!$B$4:$B$60,'利用者マスタ'!$A$4:$A$60,$A15)))</f>
        <v/>
      </c>
      <c r="C15" s="36">
        <f>IF($A15="","",SUMIFS('01_予約入力'!$X$5:$X$204,'01_予約入力'!$B$5:$B$204,$A15,'01_予約入力'!$G$5:$G$204,"&gt;="&amp;DATE(YEAR($B$3),MONTH($B$3),1),'01_予約入力'!$G$5:$G$204,"&lt;="&amp;EOMONTH($B$3,0)))</f>
        <v/>
      </c>
      <c r="D15" s="36">
        <f>IF(OR($A15="",$B15=""),"",$B15-$C15)</f>
        <v/>
      </c>
      <c r="E15" s="36">
        <f>IF($A15="","",IF($B15="","（管理しない）",IF($D15&lt;0,"⚠ 超過",IF($D15=0,"上限ちょうど",IF($D15&lt;=1,"残りわずか","OK")))))</f>
        <v/>
      </c>
    </row>
    <row r="16">
      <c r="A16" s="42">
        <f>IF(COUNTA('利用者マスタ'!$A$4:$A$60)&gt;=11,INDEX('利用者マスタ'!$A$4:$A$60,11),"")</f>
        <v/>
      </c>
      <c r="B16" s="36">
        <f>IF($A16="","",IF(SUMPRODUCT(('利用者マスタ'!$A$4:$A$60=$A16)*('利用者マスタ'!$B$4:$B$60&lt;&gt;""))=0,"",SUMIFS('利用者マスタ'!$B$4:$B$60,'利用者マスタ'!$A$4:$A$60,$A16)))</f>
        <v/>
      </c>
      <c r="C16" s="36">
        <f>IF($A16="","",SUMIFS('01_予約入力'!$X$5:$X$204,'01_予約入力'!$B$5:$B$204,$A16,'01_予約入力'!$G$5:$G$204,"&gt;="&amp;DATE(YEAR($B$3),MONTH($B$3),1),'01_予約入力'!$G$5:$G$204,"&lt;="&amp;EOMONTH($B$3,0)))</f>
        <v/>
      </c>
      <c r="D16" s="36">
        <f>IF(OR($A16="",$B16=""),"",$B16-$C16)</f>
        <v/>
      </c>
      <c r="E16" s="36">
        <f>IF($A16="","",IF($B16="","（管理しない）",IF($D16&lt;0,"⚠ 超過",IF($D16=0,"上限ちょうど",IF($D16&lt;=1,"残りわずか","OK")))))</f>
        <v/>
      </c>
    </row>
    <row r="17">
      <c r="A17" s="42">
        <f>IF(COUNTA('利用者マスタ'!$A$4:$A$60)&gt;=12,INDEX('利用者マスタ'!$A$4:$A$60,12),"")</f>
        <v/>
      </c>
      <c r="B17" s="36">
        <f>IF($A17="","",IF(SUMPRODUCT(('利用者マスタ'!$A$4:$A$60=$A17)*('利用者マスタ'!$B$4:$B$60&lt;&gt;""))=0,"",SUMIFS('利用者マスタ'!$B$4:$B$60,'利用者マスタ'!$A$4:$A$60,$A17)))</f>
        <v/>
      </c>
      <c r="C17" s="36">
        <f>IF($A17="","",SUMIFS('01_予約入力'!$X$5:$X$204,'01_予約入力'!$B$5:$B$204,$A17,'01_予約入力'!$G$5:$G$204,"&gt;="&amp;DATE(YEAR($B$3),MONTH($B$3),1),'01_予約入力'!$G$5:$G$204,"&lt;="&amp;EOMONTH($B$3,0)))</f>
        <v/>
      </c>
      <c r="D17" s="36">
        <f>IF(OR($A17="",$B17=""),"",$B17-$C17)</f>
        <v/>
      </c>
      <c r="E17" s="36">
        <f>IF($A17="","",IF($B17="","（管理しない）",IF($D17&lt;0,"⚠ 超過",IF($D17=0,"上限ちょうど",IF($D17&lt;=1,"残りわずか","OK")))))</f>
        <v/>
      </c>
    </row>
    <row r="18">
      <c r="A18" s="42">
        <f>IF(COUNTA('利用者マスタ'!$A$4:$A$60)&gt;=13,INDEX('利用者マスタ'!$A$4:$A$60,13),"")</f>
        <v/>
      </c>
      <c r="B18" s="36">
        <f>IF($A18="","",IF(SUMPRODUCT(('利用者マスタ'!$A$4:$A$60=$A18)*('利用者マスタ'!$B$4:$B$60&lt;&gt;""))=0,"",SUMIFS('利用者マスタ'!$B$4:$B$60,'利用者マスタ'!$A$4:$A$60,$A18)))</f>
        <v/>
      </c>
      <c r="C18" s="36">
        <f>IF($A18="","",SUMIFS('01_予約入力'!$X$5:$X$204,'01_予約入力'!$B$5:$B$204,$A18,'01_予約入力'!$G$5:$G$204,"&gt;="&amp;DATE(YEAR($B$3),MONTH($B$3),1),'01_予約入力'!$G$5:$G$204,"&lt;="&amp;EOMONTH($B$3,0)))</f>
        <v/>
      </c>
      <c r="D18" s="36">
        <f>IF(OR($A18="",$B18=""),"",$B18-$C18)</f>
        <v/>
      </c>
      <c r="E18" s="36">
        <f>IF($A18="","",IF($B18="","（管理しない）",IF($D18&lt;0,"⚠ 超過",IF($D18=0,"上限ちょうど",IF($D18&lt;=1,"残りわずか","OK")))))</f>
        <v/>
      </c>
    </row>
    <row r="19">
      <c r="A19" s="42">
        <f>IF(COUNTA('利用者マスタ'!$A$4:$A$60)&gt;=14,INDEX('利用者マスタ'!$A$4:$A$60,14),"")</f>
        <v/>
      </c>
      <c r="B19" s="36">
        <f>IF($A19="","",IF(SUMPRODUCT(('利用者マスタ'!$A$4:$A$60=$A19)*('利用者マスタ'!$B$4:$B$60&lt;&gt;""))=0,"",SUMIFS('利用者マスタ'!$B$4:$B$60,'利用者マスタ'!$A$4:$A$60,$A19)))</f>
        <v/>
      </c>
      <c r="C19" s="36">
        <f>IF($A19="","",SUMIFS('01_予約入力'!$X$5:$X$204,'01_予約入力'!$B$5:$B$204,$A19,'01_予約入力'!$G$5:$G$204,"&gt;="&amp;DATE(YEAR($B$3),MONTH($B$3),1),'01_予約入力'!$G$5:$G$204,"&lt;="&amp;EOMONTH($B$3,0)))</f>
        <v/>
      </c>
      <c r="D19" s="36">
        <f>IF(OR($A19="",$B19=""),"",$B19-$C19)</f>
        <v/>
      </c>
      <c r="E19" s="36">
        <f>IF($A19="","",IF($B19="","（管理しない）",IF($D19&lt;0,"⚠ 超過",IF($D19=0,"上限ちょうど",IF($D19&lt;=1,"残りわずか","OK")))))</f>
        <v/>
      </c>
    </row>
    <row r="20">
      <c r="A20" s="42">
        <f>IF(COUNTA('利用者マスタ'!$A$4:$A$60)&gt;=15,INDEX('利用者マスタ'!$A$4:$A$60,15),"")</f>
        <v/>
      </c>
      <c r="B20" s="36">
        <f>IF($A20="","",IF(SUMPRODUCT(('利用者マスタ'!$A$4:$A$60=$A20)*('利用者マスタ'!$B$4:$B$60&lt;&gt;""))=0,"",SUMIFS('利用者マスタ'!$B$4:$B$60,'利用者マスタ'!$A$4:$A$60,$A20)))</f>
        <v/>
      </c>
      <c r="C20" s="36">
        <f>IF($A20="","",SUMIFS('01_予約入力'!$X$5:$X$204,'01_予約入力'!$B$5:$B$204,$A20,'01_予約入力'!$G$5:$G$204,"&gt;="&amp;DATE(YEAR($B$3),MONTH($B$3),1),'01_予約入力'!$G$5:$G$204,"&lt;="&amp;EOMONTH($B$3,0)))</f>
        <v/>
      </c>
      <c r="D20" s="36">
        <f>IF(OR($A20="",$B20=""),"",$B20-$C20)</f>
        <v/>
      </c>
      <c r="E20" s="36">
        <f>IF($A20="","",IF($B20="","（管理しない）",IF($D20&lt;0,"⚠ 超過",IF($D20=0,"上限ちょうど",IF($D20&lt;=1,"残りわずか","OK")))))</f>
        <v/>
      </c>
    </row>
    <row r="21">
      <c r="A21" s="42">
        <f>IF(COUNTA('利用者マスタ'!$A$4:$A$60)&gt;=16,INDEX('利用者マスタ'!$A$4:$A$60,16),"")</f>
        <v/>
      </c>
      <c r="B21" s="36">
        <f>IF($A21="","",IF(SUMPRODUCT(('利用者マスタ'!$A$4:$A$60=$A21)*('利用者マスタ'!$B$4:$B$60&lt;&gt;""))=0,"",SUMIFS('利用者マスタ'!$B$4:$B$60,'利用者マスタ'!$A$4:$A$60,$A21)))</f>
        <v/>
      </c>
      <c r="C21" s="36">
        <f>IF($A21="","",SUMIFS('01_予約入力'!$X$5:$X$204,'01_予約入力'!$B$5:$B$204,$A21,'01_予約入力'!$G$5:$G$204,"&gt;="&amp;DATE(YEAR($B$3),MONTH($B$3),1),'01_予約入力'!$G$5:$G$204,"&lt;="&amp;EOMONTH($B$3,0)))</f>
        <v/>
      </c>
      <c r="D21" s="36">
        <f>IF(OR($A21="",$B21=""),"",$B21-$C21)</f>
        <v/>
      </c>
      <c r="E21" s="36">
        <f>IF($A21="","",IF($B21="","（管理しない）",IF($D21&lt;0,"⚠ 超過",IF($D21=0,"上限ちょうど",IF($D21&lt;=1,"残りわずか","OK")))))</f>
        <v/>
      </c>
    </row>
    <row r="22">
      <c r="A22" s="42">
        <f>IF(COUNTA('利用者マスタ'!$A$4:$A$60)&gt;=17,INDEX('利用者マスタ'!$A$4:$A$60,17),"")</f>
        <v/>
      </c>
      <c r="B22" s="36">
        <f>IF($A22="","",IF(SUMPRODUCT(('利用者マスタ'!$A$4:$A$60=$A22)*('利用者マスタ'!$B$4:$B$60&lt;&gt;""))=0,"",SUMIFS('利用者マスタ'!$B$4:$B$60,'利用者マスタ'!$A$4:$A$60,$A22)))</f>
        <v/>
      </c>
      <c r="C22" s="36">
        <f>IF($A22="","",SUMIFS('01_予約入力'!$X$5:$X$204,'01_予約入力'!$B$5:$B$204,$A22,'01_予約入力'!$G$5:$G$204,"&gt;="&amp;DATE(YEAR($B$3),MONTH($B$3),1),'01_予約入力'!$G$5:$G$204,"&lt;="&amp;EOMONTH($B$3,0)))</f>
        <v/>
      </c>
      <c r="D22" s="36">
        <f>IF(OR($A22="",$B22=""),"",$B22-$C22)</f>
        <v/>
      </c>
      <c r="E22" s="36">
        <f>IF($A22="","",IF($B22="","（管理しない）",IF($D22&lt;0,"⚠ 超過",IF($D22=0,"上限ちょうど",IF($D22&lt;=1,"残りわずか","OK")))))</f>
        <v/>
      </c>
    </row>
    <row r="23">
      <c r="A23" s="42">
        <f>IF(COUNTA('利用者マスタ'!$A$4:$A$60)&gt;=18,INDEX('利用者マスタ'!$A$4:$A$60,18),"")</f>
        <v/>
      </c>
      <c r="B23" s="36">
        <f>IF($A23="","",IF(SUMPRODUCT(('利用者マスタ'!$A$4:$A$60=$A23)*('利用者マスタ'!$B$4:$B$60&lt;&gt;""))=0,"",SUMIFS('利用者マスタ'!$B$4:$B$60,'利用者マスタ'!$A$4:$A$60,$A23)))</f>
        <v/>
      </c>
      <c r="C23" s="36">
        <f>IF($A23="","",SUMIFS('01_予約入力'!$X$5:$X$204,'01_予約入力'!$B$5:$B$204,$A23,'01_予約入力'!$G$5:$G$204,"&gt;="&amp;DATE(YEAR($B$3),MONTH($B$3),1),'01_予約入力'!$G$5:$G$204,"&lt;="&amp;EOMONTH($B$3,0)))</f>
        <v/>
      </c>
      <c r="D23" s="36">
        <f>IF(OR($A23="",$B23=""),"",$B23-$C23)</f>
        <v/>
      </c>
      <c r="E23" s="36">
        <f>IF($A23="","",IF($B23="","（管理しない）",IF($D23&lt;0,"⚠ 超過",IF($D23=0,"上限ちょうど",IF($D23&lt;=1,"残りわずか","OK")))))</f>
        <v/>
      </c>
    </row>
    <row r="24">
      <c r="A24" s="42">
        <f>IF(COUNTA('利用者マスタ'!$A$4:$A$60)&gt;=19,INDEX('利用者マスタ'!$A$4:$A$60,19),"")</f>
        <v/>
      </c>
      <c r="B24" s="36">
        <f>IF($A24="","",IF(SUMPRODUCT(('利用者マスタ'!$A$4:$A$60=$A24)*('利用者マスタ'!$B$4:$B$60&lt;&gt;""))=0,"",SUMIFS('利用者マスタ'!$B$4:$B$60,'利用者マスタ'!$A$4:$A$60,$A24)))</f>
        <v/>
      </c>
      <c r="C24" s="36">
        <f>IF($A24="","",SUMIFS('01_予約入力'!$X$5:$X$204,'01_予約入力'!$B$5:$B$204,$A24,'01_予約入力'!$G$5:$G$204,"&gt;="&amp;DATE(YEAR($B$3),MONTH($B$3),1),'01_予約入力'!$G$5:$G$204,"&lt;="&amp;EOMONTH($B$3,0)))</f>
        <v/>
      </c>
      <c r="D24" s="36">
        <f>IF(OR($A24="",$B24=""),"",$B24-$C24)</f>
        <v/>
      </c>
      <c r="E24" s="36">
        <f>IF($A24="","",IF($B24="","（管理しない）",IF($D24&lt;0,"⚠ 超過",IF($D24=0,"上限ちょうど",IF($D24&lt;=1,"残りわずか","OK")))))</f>
        <v/>
      </c>
    </row>
    <row r="25">
      <c r="A25" s="42">
        <f>IF(COUNTA('利用者マスタ'!$A$4:$A$60)&gt;=20,INDEX('利用者マスタ'!$A$4:$A$60,20),"")</f>
        <v/>
      </c>
      <c r="B25" s="36">
        <f>IF($A25="","",IF(SUMPRODUCT(('利用者マスタ'!$A$4:$A$60=$A25)*('利用者マスタ'!$B$4:$B$60&lt;&gt;""))=0,"",SUMIFS('利用者マスタ'!$B$4:$B$60,'利用者マスタ'!$A$4:$A$60,$A25)))</f>
        <v/>
      </c>
      <c r="C25" s="36">
        <f>IF($A25="","",SUMIFS('01_予約入力'!$X$5:$X$204,'01_予約入力'!$B$5:$B$204,$A25,'01_予約入力'!$G$5:$G$204,"&gt;="&amp;DATE(YEAR($B$3),MONTH($B$3),1),'01_予約入力'!$G$5:$G$204,"&lt;="&amp;EOMONTH($B$3,0)))</f>
        <v/>
      </c>
      <c r="D25" s="36">
        <f>IF(OR($A25="",$B25=""),"",$B25-$C25)</f>
        <v/>
      </c>
      <c r="E25" s="36">
        <f>IF($A25="","",IF($B25="","（管理しない）",IF($D25&lt;0,"⚠ 超過",IF($D25=0,"上限ちょうど",IF($D25&lt;=1,"残りわずか","OK")))))</f>
        <v/>
      </c>
    </row>
    <row r="26">
      <c r="A26" s="42">
        <f>IF(COUNTA('利用者マスタ'!$A$4:$A$60)&gt;=21,INDEX('利用者マスタ'!$A$4:$A$60,21),"")</f>
        <v/>
      </c>
      <c r="B26" s="36">
        <f>IF($A26="","",IF(SUMPRODUCT(('利用者マスタ'!$A$4:$A$60=$A26)*('利用者マスタ'!$B$4:$B$60&lt;&gt;""))=0,"",SUMIFS('利用者マスタ'!$B$4:$B$60,'利用者マスタ'!$A$4:$A$60,$A26)))</f>
        <v/>
      </c>
      <c r="C26" s="36">
        <f>IF($A26="","",SUMIFS('01_予約入力'!$X$5:$X$204,'01_予約入力'!$B$5:$B$204,$A26,'01_予約入力'!$G$5:$G$204,"&gt;="&amp;DATE(YEAR($B$3),MONTH($B$3),1),'01_予約入力'!$G$5:$G$204,"&lt;="&amp;EOMONTH($B$3,0)))</f>
        <v/>
      </c>
      <c r="D26" s="36">
        <f>IF(OR($A26="",$B26=""),"",$B26-$C26)</f>
        <v/>
      </c>
      <c r="E26" s="36">
        <f>IF($A26="","",IF($B26="","（管理しない）",IF($D26&lt;0,"⚠ 超過",IF($D26=0,"上限ちょうど",IF($D26&lt;=1,"残りわずか","OK")))))</f>
        <v/>
      </c>
    </row>
    <row r="27">
      <c r="A27" s="42">
        <f>IF(COUNTA('利用者マスタ'!$A$4:$A$60)&gt;=22,INDEX('利用者マスタ'!$A$4:$A$60,22),"")</f>
        <v/>
      </c>
      <c r="B27" s="36">
        <f>IF($A27="","",IF(SUMPRODUCT(('利用者マスタ'!$A$4:$A$60=$A27)*('利用者マスタ'!$B$4:$B$60&lt;&gt;""))=0,"",SUMIFS('利用者マスタ'!$B$4:$B$60,'利用者マスタ'!$A$4:$A$60,$A27)))</f>
        <v/>
      </c>
      <c r="C27" s="36">
        <f>IF($A27="","",SUMIFS('01_予約入力'!$X$5:$X$204,'01_予約入力'!$B$5:$B$204,$A27,'01_予約入力'!$G$5:$G$204,"&gt;="&amp;DATE(YEAR($B$3),MONTH($B$3),1),'01_予約入力'!$G$5:$G$204,"&lt;="&amp;EOMONTH($B$3,0)))</f>
        <v/>
      </c>
      <c r="D27" s="36">
        <f>IF(OR($A27="",$B27=""),"",$B27-$C27)</f>
        <v/>
      </c>
      <c r="E27" s="36">
        <f>IF($A27="","",IF($B27="","（管理しない）",IF($D27&lt;0,"⚠ 超過",IF($D27=0,"上限ちょうど",IF($D27&lt;=1,"残りわずか","OK")))))</f>
        <v/>
      </c>
    </row>
    <row r="28">
      <c r="A28" s="42">
        <f>IF(COUNTA('利用者マスタ'!$A$4:$A$60)&gt;=23,INDEX('利用者マスタ'!$A$4:$A$60,23),"")</f>
        <v/>
      </c>
      <c r="B28" s="36">
        <f>IF($A28="","",IF(SUMPRODUCT(('利用者マスタ'!$A$4:$A$60=$A28)*('利用者マスタ'!$B$4:$B$60&lt;&gt;""))=0,"",SUMIFS('利用者マスタ'!$B$4:$B$60,'利用者マスタ'!$A$4:$A$60,$A28)))</f>
        <v/>
      </c>
      <c r="C28" s="36">
        <f>IF($A28="","",SUMIFS('01_予約入力'!$X$5:$X$204,'01_予約入力'!$B$5:$B$204,$A28,'01_予約入力'!$G$5:$G$204,"&gt;="&amp;DATE(YEAR($B$3),MONTH($B$3),1),'01_予約入力'!$G$5:$G$204,"&lt;="&amp;EOMONTH($B$3,0)))</f>
        <v/>
      </c>
      <c r="D28" s="36">
        <f>IF(OR($A28="",$B28=""),"",$B28-$C28)</f>
        <v/>
      </c>
      <c r="E28" s="36">
        <f>IF($A28="","",IF($B28="","（管理しない）",IF($D28&lt;0,"⚠ 超過",IF($D28=0,"上限ちょうど",IF($D28&lt;=1,"残りわずか","OK")))))</f>
        <v/>
      </c>
    </row>
    <row r="29">
      <c r="A29" s="42">
        <f>IF(COUNTA('利用者マスタ'!$A$4:$A$60)&gt;=24,INDEX('利用者マスタ'!$A$4:$A$60,24),"")</f>
        <v/>
      </c>
      <c r="B29" s="36">
        <f>IF($A29="","",IF(SUMPRODUCT(('利用者マスタ'!$A$4:$A$60=$A29)*('利用者マスタ'!$B$4:$B$60&lt;&gt;""))=0,"",SUMIFS('利用者マスタ'!$B$4:$B$60,'利用者マスタ'!$A$4:$A$60,$A29)))</f>
        <v/>
      </c>
      <c r="C29" s="36">
        <f>IF($A29="","",SUMIFS('01_予約入力'!$X$5:$X$204,'01_予約入力'!$B$5:$B$204,$A29,'01_予約入力'!$G$5:$G$204,"&gt;="&amp;DATE(YEAR($B$3),MONTH($B$3),1),'01_予約入力'!$G$5:$G$204,"&lt;="&amp;EOMONTH($B$3,0)))</f>
        <v/>
      </c>
      <c r="D29" s="36">
        <f>IF(OR($A29="",$B29=""),"",$B29-$C29)</f>
        <v/>
      </c>
      <c r="E29" s="36">
        <f>IF($A29="","",IF($B29="","（管理しない）",IF($D29&lt;0,"⚠ 超過",IF($D29=0,"上限ちょうど",IF($D29&lt;=1,"残りわずか","OK")))))</f>
        <v/>
      </c>
    </row>
    <row r="30">
      <c r="A30" s="42">
        <f>IF(COUNTA('利用者マスタ'!$A$4:$A$60)&gt;=25,INDEX('利用者マスタ'!$A$4:$A$60,25),"")</f>
        <v/>
      </c>
      <c r="B30" s="36">
        <f>IF($A30="","",IF(SUMPRODUCT(('利用者マスタ'!$A$4:$A$60=$A30)*('利用者マスタ'!$B$4:$B$60&lt;&gt;""))=0,"",SUMIFS('利用者マスタ'!$B$4:$B$60,'利用者マスタ'!$A$4:$A$60,$A30)))</f>
        <v/>
      </c>
      <c r="C30" s="36">
        <f>IF($A30="","",SUMIFS('01_予約入力'!$X$5:$X$204,'01_予約入力'!$B$5:$B$204,$A30,'01_予約入力'!$G$5:$G$204,"&gt;="&amp;DATE(YEAR($B$3),MONTH($B$3),1),'01_予約入力'!$G$5:$G$204,"&lt;="&amp;EOMONTH($B$3,0)))</f>
        <v/>
      </c>
      <c r="D30" s="36">
        <f>IF(OR($A30="",$B30=""),"",$B30-$C30)</f>
        <v/>
      </c>
      <c r="E30" s="36">
        <f>IF($A30="","",IF($B30="","（管理しない）",IF($D30&lt;0,"⚠ 超過",IF($D30=0,"上限ちょうど",IF($D30&lt;=1,"残りわずか","OK")))))</f>
        <v/>
      </c>
    </row>
    <row r="31">
      <c r="A31" s="42">
        <f>IF(COUNTA('利用者マスタ'!$A$4:$A$60)&gt;=26,INDEX('利用者マスタ'!$A$4:$A$60,26),"")</f>
        <v/>
      </c>
      <c r="B31" s="36">
        <f>IF($A31="","",IF(SUMPRODUCT(('利用者マスタ'!$A$4:$A$60=$A31)*('利用者マスタ'!$B$4:$B$60&lt;&gt;""))=0,"",SUMIFS('利用者マスタ'!$B$4:$B$60,'利用者マスタ'!$A$4:$A$60,$A31)))</f>
        <v/>
      </c>
      <c r="C31" s="36">
        <f>IF($A31="","",SUMIFS('01_予約入力'!$X$5:$X$204,'01_予約入力'!$B$5:$B$204,$A31,'01_予約入力'!$G$5:$G$204,"&gt;="&amp;DATE(YEAR($B$3),MONTH($B$3),1),'01_予約入力'!$G$5:$G$204,"&lt;="&amp;EOMONTH($B$3,0)))</f>
        <v/>
      </c>
      <c r="D31" s="36">
        <f>IF(OR($A31="",$B31=""),"",$B31-$C31)</f>
        <v/>
      </c>
      <c r="E31" s="36">
        <f>IF($A31="","",IF($B31="","（管理しない）",IF($D31&lt;0,"⚠ 超過",IF($D31=0,"上限ちょうど",IF($D31&lt;=1,"残りわずか","OK")))))</f>
        <v/>
      </c>
    </row>
    <row r="32">
      <c r="A32" s="42">
        <f>IF(COUNTA('利用者マスタ'!$A$4:$A$60)&gt;=27,INDEX('利用者マスタ'!$A$4:$A$60,27),"")</f>
        <v/>
      </c>
      <c r="B32" s="36">
        <f>IF($A32="","",IF(SUMPRODUCT(('利用者マスタ'!$A$4:$A$60=$A32)*('利用者マスタ'!$B$4:$B$60&lt;&gt;""))=0,"",SUMIFS('利用者マスタ'!$B$4:$B$60,'利用者マスタ'!$A$4:$A$60,$A32)))</f>
        <v/>
      </c>
      <c r="C32" s="36">
        <f>IF($A32="","",SUMIFS('01_予約入力'!$X$5:$X$204,'01_予約入力'!$B$5:$B$204,$A32,'01_予約入力'!$G$5:$G$204,"&gt;="&amp;DATE(YEAR($B$3),MONTH($B$3),1),'01_予約入力'!$G$5:$G$204,"&lt;="&amp;EOMONTH($B$3,0)))</f>
        <v/>
      </c>
      <c r="D32" s="36">
        <f>IF(OR($A32="",$B32=""),"",$B32-$C32)</f>
        <v/>
      </c>
      <c r="E32" s="36">
        <f>IF($A32="","",IF($B32="","（管理しない）",IF($D32&lt;0,"⚠ 超過",IF($D32=0,"上限ちょうど",IF($D32&lt;=1,"残りわずか","OK")))))</f>
        <v/>
      </c>
    </row>
    <row r="33">
      <c r="A33" s="42">
        <f>IF(COUNTA('利用者マスタ'!$A$4:$A$60)&gt;=28,INDEX('利用者マスタ'!$A$4:$A$60,28),"")</f>
        <v/>
      </c>
      <c r="B33" s="36">
        <f>IF($A33="","",IF(SUMPRODUCT(('利用者マスタ'!$A$4:$A$60=$A33)*('利用者マスタ'!$B$4:$B$60&lt;&gt;""))=0,"",SUMIFS('利用者マスタ'!$B$4:$B$60,'利用者マスタ'!$A$4:$A$60,$A33)))</f>
        <v/>
      </c>
      <c r="C33" s="36">
        <f>IF($A33="","",SUMIFS('01_予約入力'!$X$5:$X$204,'01_予約入力'!$B$5:$B$204,$A33,'01_予約入力'!$G$5:$G$204,"&gt;="&amp;DATE(YEAR($B$3),MONTH($B$3),1),'01_予約入力'!$G$5:$G$204,"&lt;="&amp;EOMONTH($B$3,0)))</f>
        <v/>
      </c>
      <c r="D33" s="36">
        <f>IF(OR($A33="",$B33=""),"",$B33-$C33)</f>
        <v/>
      </c>
      <c r="E33" s="36">
        <f>IF($A33="","",IF($B33="","（管理しない）",IF($D33&lt;0,"⚠ 超過",IF($D33=0,"上限ちょうど",IF($D33&lt;=1,"残りわずか","OK")))))</f>
        <v/>
      </c>
    </row>
    <row r="34">
      <c r="A34" s="42">
        <f>IF(COUNTA('利用者マスタ'!$A$4:$A$60)&gt;=29,INDEX('利用者マスタ'!$A$4:$A$60,29),"")</f>
        <v/>
      </c>
      <c r="B34" s="36">
        <f>IF($A34="","",IF(SUMPRODUCT(('利用者マスタ'!$A$4:$A$60=$A34)*('利用者マスタ'!$B$4:$B$60&lt;&gt;""))=0,"",SUMIFS('利用者マスタ'!$B$4:$B$60,'利用者マスタ'!$A$4:$A$60,$A34)))</f>
        <v/>
      </c>
      <c r="C34" s="36">
        <f>IF($A34="","",SUMIFS('01_予約入力'!$X$5:$X$204,'01_予約入力'!$B$5:$B$204,$A34,'01_予約入力'!$G$5:$G$204,"&gt;="&amp;DATE(YEAR($B$3),MONTH($B$3),1),'01_予約入力'!$G$5:$G$204,"&lt;="&amp;EOMONTH($B$3,0)))</f>
        <v/>
      </c>
      <c r="D34" s="36">
        <f>IF(OR($A34="",$B34=""),"",$B34-$C34)</f>
        <v/>
      </c>
      <c r="E34" s="36">
        <f>IF($A34="","",IF($B34="","（管理しない）",IF($D34&lt;0,"⚠ 超過",IF($D34=0,"上限ちょうど",IF($D34&lt;=1,"残りわずか","OK")))))</f>
        <v/>
      </c>
    </row>
    <row r="35">
      <c r="A35" s="42">
        <f>IF(COUNTA('利用者マスタ'!$A$4:$A$60)&gt;=30,INDEX('利用者マスタ'!$A$4:$A$60,30),"")</f>
        <v/>
      </c>
      <c r="B35" s="36">
        <f>IF($A35="","",IF(SUMPRODUCT(('利用者マスタ'!$A$4:$A$60=$A35)*('利用者マスタ'!$B$4:$B$60&lt;&gt;""))=0,"",SUMIFS('利用者マスタ'!$B$4:$B$60,'利用者マスタ'!$A$4:$A$60,$A35)))</f>
        <v/>
      </c>
      <c r="C35" s="36">
        <f>IF($A35="","",SUMIFS('01_予約入力'!$X$5:$X$204,'01_予約入力'!$B$5:$B$204,$A35,'01_予約入力'!$G$5:$G$204,"&gt;="&amp;DATE(YEAR($B$3),MONTH($B$3),1),'01_予約入力'!$G$5:$G$204,"&lt;="&amp;EOMONTH($B$3,0)))</f>
        <v/>
      </c>
      <c r="D35" s="36">
        <f>IF(OR($A35="",$B35=""),"",$B35-$C35)</f>
        <v/>
      </c>
      <c r="E35" s="36">
        <f>IF($A35="","",IF($B35="","（管理しない）",IF($D35&lt;0,"⚠ 超過",IF($D35=0,"上限ちょうど",IF($D35&lt;=1,"残りわずか","OK")))))</f>
        <v/>
      </c>
    </row>
    <row r="37">
      <c r="A37" s="2" t="inlineStr">
        <is>
          <t>※ 月をまたぐ滞在は、入所日の属する月にまとめて計上します。月割りが必要な場合は 07_月次集計 を使ってください。</t>
        </is>
      </c>
    </row>
  </sheetData>
  <conditionalFormatting sqref="A6:E35">
    <cfRule type="expression" priority="1" dxfId="1">
      <formula>$E6="⚠ 超過"</formula>
    </cfRule>
    <cfRule type="expression" priority="2" dxfId="2">
      <formula>$E6="残りわずか"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AF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.8" customWidth="1" min="2" max="2"/>
    <col width="3.8" customWidth="1" min="3" max="3"/>
    <col width="3.8" customWidth="1" min="4" max="4"/>
    <col width="3.8" customWidth="1" min="5" max="5"/>
    <col width="3.8" customWidth="1" min="6" max="6"/>
    <col width="3.8" customWidth="1" min="7" max="7"/>
    <col width="3.8" customWidth="1" min="8" max="8"/>
    <col width="3.8" customWidth="1" min="9" max="9"/>
    <col width="3.8" customWidth="1" min="10" max="10"/>
    <col width="3.8" customWidth="1" min="11" max="11"/>
    <col width="3.8" customWidth="1" min="12" max="12"/>
    <col width="3.8" customWidth="1" min="13" max="13"/>
    <col width="3.8" customWidth="1" min="14" max="14"/>
    <col width="3.8" customWidth="1" min="15" max="15"/>
    <col width="3.8" customWidth="1" min="16" max="16"/>
    <col width="3.8" customWidth="1" min="17" max="17"/>
    <col width="3.8" customWidth="1" min="18" max="18"/>
    <col width="3.8" customWidth="1" min="19" max="19"/>
    <col width="3.8" customWidth="1" min="20" max="20"/>
    <col width="3.8" customWidth="1" min="21" max="21"/>
    <col width="3.8" customWidth="1" min="22" max="22"/>
    <col width="3.8" customWidth="1" min="23" max="23"/>
    <col width="3.8" customWidth="1" min="24" max="24"/>
    <col width="3.8" customWidth="1" min="25" max="25"/>
    <col width="3.8" customWidth="1" min="26" max="26"/>
    <col width="3.8" customWidth="1" min="27" max="27"/>
    <col width="3.8" customWidth="1" min="28" max="28"/>
    <col width="3.8" customWidth="1" min="29" max="29"/>
    <col width="3.8" customWidth="1" min="30" max="30"/>
    <col width="3.8" customWidth="1" min="31" max="31"/>
    <col width="3.8" customWidth="1" min="32" max="32"/>
  </cols>
  <sheetData>
    <row r="1">
      <c r="A1" s="1">
        <f>'M_施設設定'!$B$4&amp;"　"&amp;'M_施設設定'!$B$5</f>
        <v/>
      </c>
    </row>
    <row r="2">
      <c r="A2" s="47">
        <f>TEXT('02_カレンダー'!$B$4,"yyyy年m月")&amp;"　短期入所 空き状況"</f>
        <v/>
      </c>
    </row>
    <row r="3">
      <c r="A3" s="2">
        <f>'M_施設設定'!$B$11&amp;"　TEL "&amp;'M_施設設定'!$B$12&amp;"　FAX "&amp;'M_施設設定'!$B$13</f>
        <v/>
      </c>
    </row>
    <row r="4">
      <c r="A4" s="2">
        <f>"作成日："&amp;TEXT(TODAY(),"yyyy年m月d日")&amp;"　／　対象月は 02_カレンダー で変更します"</f>
        <v/>
      </c>
    </row>
    <row r="6">
      <c r="A6" s="29" t="inlineStr">
        <is>
          <t>日</t>
        </is>
      </c>
      <c r="B6" s="48">
        <f>IF('04_月間表'!$A7="","",DAY('04_月間表'!$A7))</f>
        <v/>
      </c>
      <c r="C6" s="48">
        <f>IF('04_月間表'!$A8="","",DAY('04_月間表'!$A8))</f>
        <v/>
      </c>
      <c r="D6" s="48">
        <f>IF('04_月間表'!$A9="","",DAY('04_月間表'!$A9))</f>
        <v/>
      </c>
      <c r="E6" s="48">
        <f>IF('04_月間表'!$A10="","",DAY('04_月間表'!$A10))</f>
        <v/>
      </c>
      <c r="F6" s="48">
        <f>IF('04_月間表'!$A11="","",DAY('04_月間表'!$A11))</f>
        <v/>
      </c>
      <c r="G6" s="48">
        <f>IF('04_月間表'!$A12="","",DAY('04_月間表'!$A12))</f>
        <v/>
      </c>
      <c r="H6" s="48">
        <f>IF('04_月間表'!$A13="","",DAY('04_月間表'!$A13))</f>
        <v/>
      </c>
      <c r="I6" s="48">
        <f>IF('04_月間表'!$A14="","",DAY('04_月間表'!$A14))</f>
        <v/>
      </c>
      <c r="J6" s="48">
        <f>IF('04_月間表'!$A15="","",DAY('04_月間表'!$A15))</f>
        <v/>
      </c>
      <c r="K6" s="48">
        <f>IF('04_月間表'!$A16="","",DAY('04_月間表'!$A16))</f>
        <v/>
      </c>
      <c r="L6" s="48">
        <f>IF('04_月間表'!$A17="","",DAY('04_月間表'!$A17))</f>
        <v/>
      </c>
      <c r="M6" s="48">
        <f>IF('04_月間表'!$A18="","",DAY('04_月間表'!$A18))</f>
        <v/>
      </c>
      <c r="N6" s="48">
        <f>IF('04_月間表'!$A19="","",DAY('04_月間表'!$A19))</f>
        <v/>
      </c>
      <c r="O6" s="48">
        <f>IF('04_月間表'!$A20="","",DAY('04_月間表'!$A20))</f>
        <v/>
      </c>
      <c r="P6" s="48">
        <f>IF('04_月間表'!$A21="","",DAY('04_月間表'!$A21))</f>
        <v/>
      </c>
      <c r="Q6" s="48">
        <f>IF('04_月間表'!$A22="","",DAY('04_月間表'!$A22))</f>
        <v/>
      </c>
      <c r="R6" s="48">
        <f>IF('04_月間表'!$A23="","",DAY('04_月間表'!$A23))</f>
        <v/>
      </c>
      <c r="S6" s="48">
        <f>IF('04_月間表'!$A24="","",DAY('04_月間表'!$A24))</f>
        <v/>
      </c>
      <c r="T6" s="48">
        <f>IF('04_月間表'!$A25="","",DAY('04_月間表'!$A25))</f>
        <v/>
      </c>
      <c r="U6" s="48">
        <f>IF('04_月間表'!$A26="","",DAY('04_月間表'!$A26))</f>
        <v/>
      </c>
      <c r="V6" s="48">
        <f>IF('04_月間表'!$A27="","",DAY('04_月間表'!$A27))</f>
        <v/>
      </c>
      <c r="W6" s="48">
        <f>IF('04_月間表'!$A28="","",DAY('04_月間表'!$A28))</f>
        <v/>
      </c>
      <c r="X6" s="48">
        <f>IF('04_月間表'!$A29="","",DAY('04_月間表'!$A29))</f>
        <v/>
      </c>
      <c r="Y6" s="48">
        <f>IF('04_月間表'!$A30="","",DAY('04_月間表'!$A30))</f>
        <v/>
      </c>
      <c r="Z6" s="48">
        <f>IF('04_月間表'!$A31="","",DAY('04_月間表'!$A31))</f>
        <v/>
      </c>
      <c r="AA6" s="48">
        <f>IF('04_月間表'!$A32="","",DAY('04_月間表'!$A32))</f>
        <v/>
      </c>
      <c r="AB6" s="48">
        <f>IF('04_月間表'!$A33="","",DAY('04_月間表'!$A33))</f>
        <v/>
      </c>
      <c r="AC6" s="48">
        <f>IF('04_月間表'!$A34="","",DAY('04_月間表'!$A34))</f>
        <v/>
      </c>
      <c r="AD6" s="48">
        <f>IF('04_月間表'!$A35="","",DAY('04_月間表'!$A35))</f>
        <v/>
      </c>
      <c r="AE6" s="48">
        <f>IF('04_月間表'!$A36="","",DAY('04_月間表'!$A36))</f>
        <v/>
      </c>
      <c r="AF6" s="48">
        <f>IF('04_月間表'!$A37="","",DAY('04_月間表'!$A37))</f>
        <v/>
      </c>
    </row>
    <row r="7">
      <c r="A7" s="29" t="inlineStr">
        <is>
          <t>曜日</t>
        </is>
      </c>
      <c r="B7" s="48">
        <f>IF('04_月間表'!$A7="","",'04_月間表'!$B7)</f>
        <v/>
      </c>
      <c r="C7" s="48">
        <f>IF('04_月間表'!$A8="","",'04_月間表'!$B8)</f>
        <v/>
      </c>
      <c r="D7" s="48">
        <f>IF('04_月間表'!$A9="","",'04_月間表'!$B9)</f>
        <v/>
      </c>
      <c r="E7" s="48">
        <f>IF('04_月間表'!$A10="","",'04_月間表'!$B10)</f>
        <v/>
      </c>
      <c r="F7" s="48">
        <f>IF('04_月間表'!$A11="","",'04_月間表'!$B11)</f>
        <v/>
      </c>
      <c r="G7" s="48">
        <f>IF('04_月間表'!$A12="","",'04_月間表'!$B12)</f>
        <v/>
      </c>
      <c r="H7" s="48">
        <f>IF('04_月間表'!$A13="","",'04_月間表'!$B13)</f>
        <v/>
      </c>
      <c r="I7" s="48">
        <f>IF('04_月間表'!$A14="","",'04_月間表'!$B14)</f>
        <v/>
      </c>
      <c r="J7" s="48">
        <f>IF('04_月間表'!$A15="","",'04_月間表'!$B15)</f>
        <v/>
      </c>
      <c r="K7" s="48">
        <f>IF('04_月間表'!$A16="","",'04_月間表'!$B16)</f>
        <v/>
      </c>
      <c r="L7" s="48">
        <f>IF('04_月間表'!$A17="","",'04_月間表'!$B17)</f>
        <v/>
      </c>
      <c r="M7" s="48">
        <f>IF('04_月間表'!$A18="","",'04_月間表'!$B18)</f>
        <v/>
      </c>
      <c r="N7" s="48">
        <f>IF('04_月間表'!$A19="","",'04_月間表'!$B19)</f>
        <v/>
      </c>
      <c r="O7" s="48">
        <f>IF('04_月間表'!$A20="","",'04_月間表'!$B20)</f>
        <v/>
      </c>
      <c r="P7" s="48">
        <f>IF('04_月間表'!$A21="","",'04_月間表'!$B21)</f>
        <v/>
      </c>
      <c r="Q7" s="48">
        <f>IF('04_月間表'!$A22="","",'04_月間表'!$B22)</f>
        <v/>
      </c>
      <c r="R7" s="48">
        <f>IF('04_月間表'!$A23="","",'04_月間表'!$B23)</f>
        <v/>
      </c>
      <c r="S7" s="48">
        <f>IF('04_月間表'!$A24="","",'04_月間表'!$B24)</f>
        <v/>
      </c>
      <c r="T7" s="48">
        <f>IF('04_月間表'!$A25="","",'04_月間表'!$B25)</f>
        <v/>
      </c>
      <c r="U7" s="48">
        <f>IF('04_月間表'!$A26="","",'04_月間表'!$B26)</f>
        <v/>
      </c>
      <c r="V7" s="48">
        <f>IF('04_月間表'!$A27="","",'04_月間表'!$B27)</f>
        <v/>
      </c>
      <c r="W7" s="48">
        <f>IF('04_月間表'!$A28="","",'04_月間表'!$B28)</f>
        <v/>
      </c>
      <c r="X7" s="48">
        <f>IF('04_月間表'!$A29="","",'04_月間表'!$B29)</f>
        <v/>
      </c>
      <c r="Y7" s="48">
        <f>IF('04_月間表'!$A30="","",'04_月間表'!$B30)</f>
        <v/>
      </c>
      <c r="Z7" s="48">
        <f>IF('04_月間表'!$A31="","",'04_月間表'!$B31)</f>
        <v/>
      </c>
      <c r="AA7" s="48">
        <f>IF('04_月間表'!$A32="","",'04_月間表'!$B32)</f>
        <v/>
      </c>
      <c r="AB7" s="48">
        <f>IF('04_月間表'!$A33="","",'04_月間表'!$B33)</f>
        <v/>
      </c>
      <c r="AC7" s="48">
        <f>IF('04_月間表'!$A34="","",'04_月間表'!$B34)</f>
        <v/>
      </c>
      <c r="AD7" s="48">
        <f>IF('04_月間表'!$A35="","",'04_月間表'!$B35)</f>
        <v/>
      </c>
      <c r="AE7" s="48">
        <f>IF('04_月間表'!$A36="","",'04_月間表'!$B36)</f>
        <v/>
      </c>
      <c r="AF7" s="48">
        <f>IF('04_月間表'!$A37="","",'04_月間表'!$B37)</f>
        <v/>
      </c>
    </row>
    <row r="8">
      <c r="A8" s="29" t="inlineStr">
        <is>
          <t>空き状況</t>
        </is>
      </c>
      <c r="B8" s="31">
        <f>IF('04_月間表'!$A7="","",'04_月間表'!$J7)</f>
        <v/>
      </c>
      <c r="C8" s="31">
        <f>IF('04_月間表'!$A8="","",'04_月間表'!$J8)</f>
        <v/>
      </c>
      <c r="D8" s="31">
        <f>IF('04_月間表'!$A9="","",'04_月間表'!$J9)</f>
        <v/>
      </c>
      <c r="E8" s="31">
        <f>IF('04_月間表'!$A10="","",'04_月間表'!$J10)</f>
        <v/>
      </c>
      <c r="F8" s="31">
        <f>IF('04_月間表'!$A11="","",'04_月間表'!$J11)</f>
        <v/>
      </c>
      <c r="G8" s="31">
        <f>IF('04_月間表'!$A12="","",'04_月間表'!$J12)</f>
        <v/>
      </c>
      <c r="H8" s="31">
        <f>IF('04_月間表'!$A13="","",'04_月間表'!$J13)</f>
        <v/>
      </c>
      <c r="I8" s="31">
        <f>IF('04_月間表'!$A14="","",'04_月間表'!$J14)</f>
        <v/>
      </c>
      <c r="J8" s="31">
        <f>IF('04_月間表'!$A15="","",'04_月間表'!$J15)</f>
        <v/>
      </c>
      <c r="K8" s="31">
        <f>IF('04_月間表'!$A16="","",'04_月間表'!$J16)</f>
        <v/>
      </c>
      <c r="L8" s="31">
        <f>IF('04_月間表'!$A17="","",'04_月間表'!$J17)</f>
        <v/>
      </c>
      <c r="M8" s="31">
        <f>IF('04_月間表'!$A18="","",'04_月間表'!$J18)</f>
        <v/>
      </c>
      <c r="N8" s="31">
        <f>IF('04_月間表'!$A19="","",'04_月間表'!$J19)</f>
        <v/>
      </c>
      <c r="O8" s="31">
        <f>IF('04_月間表'!$A20="","",'04_月間表'!$J20)</f>
        <v/>
      </c>
      <c r="P8" s="31">
        <f>IF('04_月間表'!$A21="","",'04_月間表'!$J21)</f>
        <v/>
      </c>
      <c r="Q8" s="31">
        <f>IF('04_月間表'!$A22="","",'04_月間表'!$J22)</f>
        <v/>
      </c>
      <c r="R8" s="31">
        <f>IF('04_月間表'!$A23="","",'04_月間表'!$J23)</f>
        <v/>
      </c>
      <c r="S8" s="31">
        <f>IF('04_月間表'!$A24="","",'04_月間表'!$J24)</f>
        <v/>
      </c>
      <c r="T8" s="31">
        <f>IF('04_月間表'!$A25="","",'04_月間表'!$J25)</f>
        <v/>
      </c>
      <c r="U8" s="31">
        <f>IF('04_月間表'!$A26="","",'04_月間表'!$J26)</f>
        <v/>
      </c>
      <c r="V8" s="31">
        <f>IF('04_月間表'!$A27="","",'04_月間表'!$J27)</f>
        <v/>
      </c>
      <c r="W8" s="31">
        <f>IF('04_月間表'!$A28="","",'04_月間表'!$J28)</f>
        <v/>
      </c>
      <c r="X8" s="31">
        <f>IF('04_月間表'!$A29="","",'04_月間表'!$J29)</f>
        <v/>
      </c>
      <c r="Y8" s="31">
        <f>IF('04_月間表'!$A30="","",'04_月間表'!$J30)</f>
        <v/>
      </c>
      <c r="Z8" s="31">
        <f>IF('04_月間表'!$A31="","",'04_月間表'!$J31)</f>
        <v/>
      </c>
      <c r="AA8" s="31">
        <f>IF('04_月間表'!$A32="","",'04_月間表'!$J32)</f>
        <v/>
      </c>
      <c r="AB8" s="31">
        <f>IF('04_月間表'!$A33="","",'04_月間表'!$J33)</f>
        <v/>
      </c>
      <c r="AC8" s="31">
        <f>IF('04_月間表'!$A34="","",'04_月間表'!$J34)</f>
        <v/>
      </c>
      <c r="AD8" s="31">
        <f>IF('04_月間表'!$A35="","",'04_月間表'!$J35)</f>
        <v/>
      </c>
      <c r="AE8" s="31">
        <f>IF('04_月間表'!$A36="","",'04_月間表'!$J36)</f>
        <v/>
      </c>
      <c r="AF8" s="31">
        <f>IF('04_月間表'!$A37="","",'04_月間表'!$J37)</f>
        <v/>
      </c>
    </row>
    <row r="10">
      <c r="A10" s="20" t="inlineStr">
        <is>
          <t>凡例</t>
        </is>
      </c>
    </row>
    <row r="11">
      <c r="B11" s="49" t="inlineStr">
        <is>
          <t>○</t>
        </is>
      </c>
      <c r="C11" s="2" t="inlineStr">
        <is>
          <t>空室あり</t>
        </is>
      </c>
      <c r="F11" s="49" t="inlineStr">
        <is>
          <t>△</t>
        </is>
      </c>
      <c r="G11" s="2" t="inlineStr">
        <is>
          <t>残りわずか</t>
        </is>
      </c>
      <c r="J11" s="49" t="inlineStr">
        <is>
          <t>仮</t>
        </is>
      </c>
      <c r="K11" s="2" t="inlineStr">
        <is>
          <t>仮予約で調整中</t>
        </is>
      </c>
      <c r="N11" s="49" t="inlineStr">
        <is>
          <t>×</t>
        </is>
      </c>
      <c r="O11" s="2" t="inlineStr">
        <is>
          <t>満室</t>
        </is>
      </c>
    </row>
    <row r="13">
      <c r="A13" s="2" t="inlineStr">
        <is>
          <t>・各日の欄は「その日の夜（宿泊）」の空き状況です。退所日の当日は、次の方がご利用いただけます。</t>
        </is>
      </c>
    </row>
    <row r="14">
      <c r="A14" s="2" t="inlineStr">
        <is>
          <t>・空き状況は日々変動します。ご予約前に必ずお電話でご確認ください。</t>
        </is>
      </c>
    </row>
    <row r="15">
      <c r="A15" s="2">
        <f>"・全"&amp;'M_施設設定'!$B$6&amp;"室。この用紙に利用者様のお名前は記載しておりません。"</f>
        <v/>
      </c>
    </row>
    <row r="17">
      <c r="A17" s="20" t="inlineStr">
        <is>
          <t>月内集計</t>
        </is>
      </c>
    </row>
    <row r="18">
      <c r="B18" s="50">
        <f>COUNTIF($B$8:$AF$8,"○")&amp;"日"</f>
        <v/>
      </c>
      <c r="C18" s="2" t="inlineStr">
        <is>
          <t>空室あり</t>
        </is>
      </c>
      <c r="F18" s="50">
        <f>COUNTIF($B$8:$AF$8,"△")&amp;"日"</f>
        <v/>
      </c>
      <c r="G18" s="2" t="inlineStr">
        <is>
          <t>残りわずか</t>
        </is>
      </c>
      <c r="J18" s="50">
        <f>COUNTIF($B$8:$AF$8,"仮")&amp;"日"</f>
        <v/>
      </c>
      <c r="K18" s="2" t="inlineStr">
        <is>
          <t>仮予約</t>
        </is>
      </c>
      <c r="N18" s="50">
        <f>COUNTIF($B$8:$AF$8,"×")&amp;"日"</f>
        <v/>
      </c>
      <c r="O18" s="2" t="inlineStr">
        <is>
          <t>満室</t>
        </is>
      </c>
    </row>
  </sheetData>
  <conditionalFormatting sqref="B8:AF8">
    <cfRule type="expression" priority="1" dxfId="1">
      <formula>B8="×"</formula>
    </cfRule>
    <cfRule type="expression" priority="2" dxfId="2">
      <formula>B8="△"</formula>
    </cfRule>
    <cfRule type="expression" priority="3" dxfId="3">
      <formula>B8="仮"</formula>
    </cfRule>
    <cfRule type="expression" priority="4" dxfId="9">
      <formula>B8="○"</formula>
    </cfRule>
  </conditionalFormatting>
  <conditionalFormatting sqref="B7:AF7">
    <cfRule type="expression" priority="5" dxfId="12">
      <formula>OR(B$7="土",B$7="日")</formula>
    </cfRule>
  </conditionalFormatting>
  <pageMargins left="0.75" right="0.75" top="1" bottom="1" header="0.5" footer="0.5"/>
  <pageSetup orientation="landscape" fitToHeight="1" fitToWidth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2" customWidth="1" min="2" max="2"/>
    <col width="62" customWidth="1" min="3" max="3"/>
  </cols>
  <sheetData>
    <row r="1">
      <c r="A1" s="1" t="inlineStr">
        <is>
          <t>施設設定</t>
        </is>
      </c>
    </row>
    <row r="2">
      <c r="A2" s="2" t="inlineStr">
        <is>
          <t>黄色のセルを施設に合わせて書き換えてください。</t>
        </is>
      </c>
    </row>
    <row r="4">
      <c r="A4" s="15" t="inlineStr">
        <is>
          <t>施設名</t>
        </is>
      </c>
      <c r="B4" s="18" t="inlineStr">
        <is>
          <t>○○事業所</t>
        </is>
      </c>
      <c r="C4" s="2" t="inlineStr">
        <is>
          <t>帳票の見出しに使います</t>
        </is>
      </c>
    </row>
    <row r="5">
      <c r="A5" s="15" t="inlineStr">
        <is>
          <t>棟・フロア</t>
        </is>
      </c>
      <c r="B5" s="18" t="inlineStr">
        <is>
          <t>本棟 1F</t>
        </is>
      </c>
    </row>
    <row r="6">
      <c r="A6" s="15" t="inlineStr">
        <is>
          <t>部屋数（定員）</t>
        </is>
      </c>
      <c r="B6" s="43">
        <f>COUNTA('M_部屋'!$A$4:$A$20)</f>
        <v/>
      </c>
      <c r="C6" s="2" t="inlineStr">
        <is>
          <t>自動。M_部屋 の行数がそのまま定員になります（1部屋につき1名）</t>
        </is>
      </c>
    </row>
    <row r="7">
      <c r="A7" s="15" t="inlineStr">
        <is>
          <t>標準の入所時刻</t>
        </is>
      </c>
      <c r="B7" s="18" t="inlineStr">
        <is>
          <t>16:00</t>
        </is>
      </c>
      <c r="C7" s="2" t="inlineStr">
        <is>
          <t>予約入力の目安。実際の時刻は予約ごとに入れます</t>
        </is>
      </c>
    </row>
    <row r="8">
      <c r="A8" s="15" t="inlineStr">
        <is>
          <t>標準の退所時刻</t>
        </is>
      </c>
      <c r="B8" s="18" t="inlineStr">
        <is>
          <t>09:00</t>
        </is>
      </c>
    </row>
    <row r="9">
      <c r="A9" s="15" t="inlineStr">
        <is>
          <t>入力者名</t>
        </is>
      </c>
      <c r="B9" s="18" t="inlineStr"/>
      <c r="C9" s="2" t="inlineStr">
        <is>
          <t>更新履歴に残す名前</t>
        </is>
      </c>
    </row>
    <row r="10">
      <c r="A10" s="15" t="inlineStr">
        <is>
          <t>郵便番号</t>
        </is>
      </c>
      <c r="B10" s="18" t="inlineStr"/>
    </row>
    <row r="11">
      <c r="A11" s="15" t="inlineStr">
        <is>
          <t>住所</t>
        </is>
      </c>
      <c r="B11" s="18" t="inlineStr"/>
      <c r="C11" s="2" t="inlineStr">
        <is>
          <t>FAX帳票の送信元として印字されます</t>
        </is>
      </c>
    </row>
    <row r="12">
      <c r="A12" s="15" t="inlineStr">
        <is>
          <t>電話番号</t>
        </is>
      </c>
      <c r="B12" s="18" t="inlineStr"/>
    </row>
    <row r="13">
      <c r="A13" s="15" t="inlineStr">
        <is>
          <t>FAX番号</t>
        </is>
      </c>
      <c r="B13" s="18" t="inlineStr"/>
    </row>
    <row r="14">
      <c r="A14" s="15" t="inlineStr">
        <is>
          <t>担当者名</t>
        </is>
      </c>
      <c r="B14" s="18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60" customWidth="1" min="2" max="2"/>
  </cols>
  <sheetData>
    <row r="1">
      <c r="A1" s="1" t="inlineStr">
        <is>
          <t>部屋マスタ</t>
        </is>
      </c>
    </row>
    <row r="2">
      <c r="A2" s="2" t="inlineStr">
        <is>
          <t>1行 = 1室。★ここの行数が定員になります。1室の施設は1行だけ、2室の施設は2行だけ残してください。</t>
        </is>
      </c>
    </row>
    <row r="3" ht="30" customHeight="1">
      <c r="A3" s="7" t="inlineStr">
        <is>
          <t>部屋名</t>
        </is>
      </c>
      <c r="B3" s="7" t="inlineStr">
        <is>
          <t>備考</t>
        </is>
      </c>
    </row>
    <row r="4">
      <c r="A4" s="18" t="inlineStr">
        <is>
          <t>１Ｆ</t>
        </is>
      </c>
      <c r="B4" s="51" t="n"/>
    </row>
    <row r="5">
      <c r="A5" s="18" t="n"/>
      <c r="B5" s="52" t="n"/>
    </row>
    <row r="6">
      <c r="A6" s="18" t="n"/>
      <c r="B6" s="51" t="n"/>
    </row>
    <row r="7">
      <c r="A7" s="18" t="n"/>
      <c r="B7" s="51" t="n"/>
    </row>
    <row r="8">
      <c r="A8" s="18" t="n"/>
      <c r="B8" s="51" t="n"/>
    </row>
    <row r="9">
      <c r="A9" s="18" t="n"/>
      <c r="B9" s="51" t="n"/>
    </row>
    <row r="10">
      <c r="A10" s="18" t="n"/>
      <c r="B10" s="51" t="n"/>
    </row>
    <row r="11">
      <c r="A11" s="18" t="n"/>
      <c r="B11" s="51" t="n"/>
    </row>
    <row r="12">
      <c r="A12" s="18" t="n"/>
      <c r="B12" s="51" t="n"/>
    </row>
    <row r="13">
      <c r="A13" s="18" t="n"/>
      <c r="B13" s="51" t="n"/>
    </row>
    <row r="14">
      <c r="A14" s="18" t="n"/>
      <c r="B14" s="51" t="n"/>
    </row>
    <row r="15">
      <c r="A15" s="18" t="n"/>
      <c r="B15" s="51" t="n"/>
    </row>
    <row r="16">
      <c r="A16" s="18" t="n"/>
      <c r="B16" s="51" t="n"/>
    </row>
    <row r="17">
      <c r="A17" s="18" t="n"/>
      <c r="B17" s="51" t="n"/>
    </row>
    <row r="18">
      <c r="A18" s="18" t="n"/>
      <c r="B18" s="51" t="n"/>
    </row>
    <row r="19">
      <c r="A19" s="18" t="n"/>
      <c r="B19" s="51" t="n"/>
    </row>
    <row r="20">
      <c r="A20" s="18" t="n"/>
      <c r="B20" s="51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6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52" customWidth="1" min="3" max="3"/>
  </cols>
  <sheetData>
    <row r="1">
      <c r="A1" s="1" t="inlineStr">
        <is>
          <t>利用者マスタ</t>
        </is>
      </c>
    </row>
    <row r="2">
      <c r="A2" s="2" t="inlineStr">
        <is>
          <t>支給量＝受給者証の月あたり上限日数。空欄ならその方の残日数は管理しません。</t>
        </is>
      </c>
    </row>
    <row r="3" ht="30" customHeight="1">
      <c r="A3" s="7" t="inlineStr">
        <is>
          <t>氏名</t>
        </is>
      </c>
      <c r="B3" s="7" t="inlineStr">
        <is>
          <t>支給量（日／月）</t>
        </is>
      </c>
      <c r="C3" s="7" t="inlineStr">
        <is>
          <t>備考</t>
        </is>
      </c>
    </row>
    <row r="4">
      <c r="A4" s="18" t="inlineStr">
        <is>
          <t>◎◎様</t>
        </is>
      </c>
      <c r="B4" s="18" t="n">
        <v>7</v>
      </c>
      <c r="C4" s="52" t="n"/>
    </row>
    <row r="5">
      <c r="A5" s="18" t="inlineStr">
        <is>
          <t>木村様</t>
        </is>
      </c>
      <c r="B5" s="18" t="n">
        <v>5</v>
      </c>
      <c r="C5" s="52" t="n"/>
    </row>
    <row r="6">
      <c r="A6" s="18" t="inlineStr">
        <is>
          <t>伊藤メイ様</t>
        </is>
      </c>
      <c r="B6" s="18" t="n"/>
      <c r="C6" s="52" t="n"/>
    </row>
    <row r="7">
      <c r="A7" s="18" t="inlineStr">
        <is>
          <t>小澤様</t>
        </is>
      </c>
      <c r="B7" s="18" t="n"/>
      <c r="C7" s="51" t="n"/>
    </row>
    <row r="8">
      <c r="A8" s="18" t="inlineStr">
        <is>
          <t>小林様</t>
        </is>
      </c>
      <c r="B8" s="18" t="n"/>
      <c r="C8" s="51" t="n"/>
    </row>
    <row r="9">
      <c r="A9" s="18" t="n"/>
      <c r="B9" s="18" t="n"/>
      <c r="C9" s="51" t="n"/>
    </row>
    <row r="10">
      <c r="A10" s="18" t="n"/>
      <c r="B10" s="18" t="n"/>
      <c r="C10" s="51" t="n"/>
    </row>
    <row r="11">
      <c r="A11" s="18" t="n"/>
      <c r="B11" s="18" t="n"/>
      <c r="C11" s="51" t="n"/>
    </row>
    <row r="12">
      <c r="A12" s="18" t="n"/>
      <c r="B12" s="18" t="n"/>
      <c r="C12" s="51" t="n"/>
    </row>
    <row r="13">
      <c r="A13" s="18" t="n"/>
      <c r="B13" s="18" t="n"/>
      <c r="C13" s="51" t="n"/>
    </row>
    <row r="14">
      <c r="A14" s="18" t="n"/>
      <c r="B14" s="18" t="n"/>
      <c r="C14" s="51" t="n"/>
    </row>
    <row r="15">
      <c r="A15" s="18" t="n"/>
      <c r="B15" s="18" t="n"/>
      <c r="C15" s="51" t="n"/>
    </row>
    <row r="16">
      <c r="A16" s="18" t="n"/>
      <c r="B16" s="18" t="n"/>
      <c r="C16" s="51" t="n"/>
    </row>
    <row r="17">
      <c r="A17" s="18" t="n"/>
      <c r="B17" s="18" t="n"/>
      <c r="C17" s="51" t="n"/>
    </row>
    <row r="18">
      <c r="A18" s="18" t="n"/>
      <c r="B18" s="18" t="n"/>
      <c r="C18" s="51" t="n"/>
    </row>
    <row r="19">
      <c r="A19" s="18" t="n"/>
      <c r="B19" s="18" t="n"/>
      <c r="C19" s="51" t="n"/>
    </row>
    <row r="20">
      <c r="A20" s="18" t="n"/>
      <c r="B20" s="18" t="n"/>
      <c r="C20" s="51" t="n"/>
    </row>
    <row r="21">
      <c r="A21" s="18" t="n"/>
      <c r="B21" s="18" t="n"/>
      <c r="C21" s="51" t="n"/>
    </row>
    <row r="22">
      <c r="A22" s="18" t="n"/>
      <c r="B22" s="18" t="n"/>
      <c r="C22" s="51" t="n"/>
    </row>
    <row r="23">
      <c r="A23" s="18" t="n"/>
      <c r="B23" s="18" t="n"/>
      <c r="C23" s="51" t="n"/>
    </row>
    <row r="24">
      <c r="A24" s="18" t="n"/>
      <c r="B24" s="18" t="n"/>
      <c r="C24" s="51" t="n"/>
    </row>
    <row r="25">
      <c r="A25" s="18" t="n"/>
      <c r="B25" s="18" t="n"/>
      <c r="C25" s="51" t="n"/>
    </row>
    <row r="26">
      <c r="A26" s="18" t="n"/>
      <c r="B26" s="18" t="n"/>
      <c r="C26" s="51" t="n"/>
    </row>
    <row r="27">
      <c r="A27" s="18" t="n"/>
      <c r="B27" s="18" t="n"/>
      <c r="C27" s="51" t="n"/>
    </row>
    <row r="28">
      <c r="A28" s="18" t="n"/>
      <c r="B28" s="18" t="n"/>
      <c r="C28" s="51" t="n"/>
    </row>
    <row r="29">
      <c r="A29" s="18" t="n"/>
      <c r="B29" s="18" t="n"/>
      <c r="C29" s="51" t="n"/>
    </row>
    <row r="30">
      <c r="A30" s="18" t="n"/>
      <c r="B30" s="18" t="n"/>
      <c r="C30" s="51" t="n"/>
    </row>
    <row r="31">
      <c r="A31" s="18" t="n"/>
      <c r="B31" s="18" t="n"/>
      <c r="C31" s="51" t="n"/>
    </row>
    <row r="32">
      <c r="A32" s="18" t="n"/>
      <c r="B32" s="18" t="n"/>
      <c r="C32" s="51" t="n"/>
    </row>
    <row r="33">
      <c r="A33" s="18" t="n"/>
      <c r="B33" s="18" t="n"/>
      <c r="C33" s="51" t="n"/>
    </row>
    <row r="34">
      <c r="A34" s="18" t="n"/>
      <c r="B34" s="18" t="n"/>
      <c r="C34" s="51" t="n"/>
    </row>
    <row r="35">
      <c r="A35" s="18" t="n"/>
      <c r="B35" s="18" t="n"/>
      <c r="C35" s="51" t="n"/>
    </row>
    <row r="36">
      <c r="A36" s="18" t="n"/>
      <c r="B36" s="18" t="n"/>
      <c r="C36" s="51" t="n"/>
    </row>
    <row r="37">
      <c r="A37" s="18" t="n"/>
      <c r="B37" s="18" t="n"/>
      <c r="C37" s="51" t="n"/>
    </row>
    <row r="38">
      <c r="A38" s="18" t="n"/>
      <c r="B38" s="18" t="n"/>
      <c r="C38" s="51" t="n"/>
    </row>
    <row r="39">
      <c r="A39" s="18" t="n"/>
      <c r="B39" s="18" t="n"/>
      <c r="C39" s="51" t="n"/>
    </row>
    <row r="40">
      <c r="A40" s="18" t="n"/>
      <c r="B40" s="18" t="n"/>
      <c r="C40" s="51" t="n"/>
    </row>
    <row r="41">
      <c r="A41" s="18" t="n"/>
      <c r="B41" s="18" t="n"/>
      <c r="C41" s="51" t="n"/>
    </row>
    <row r="42">
      <c r="A42" s="18" t="n"/>
      <c r="B42" s="18" t="n"/>
      <c r="C42" s="51" t="n"/>
    </row>
    <row r="43">
      <c r="A43" s="18" t="n"/>
      <c r="B43" s="18" t="n"/>
      <c r="C43" s="51" t="n"/>
    </row>
    <row r="44">
      <c r="A44" s="18" t="n"/>
      <c r="B44" s="18" t="n"/>
      <c r="C44" s="51" t="n"/>
    </row>
    <row r="45">
      <c r="A45" s="18" t="n"/>
      <c r="B45" s="18" t="n"/>
      <c r="C45" s="51" t="n"/>
    </row>
    <row r="46">
      <c r="A46" s="18" t="n"/>
      <c r="B46" s="18" t="n"/>
      <c r="C46" s="51" t="n"/>
    </row>
    <row r="47">
      <c r="A47" s="18" t="n"/>
      <c r="B47" s="18" t="n"/>
      <c r="C47" s="51" t="n"/>
    </row>
    <row r="48">
      <c r="A48" s="18" t="n"/>
      <c r="B48" s="18" t="n"/>
      <c r="C48" s="51" t="n"/>
    </row>
    <row r="49">
      <c r="A49" s="18" t="n"/>
      <c r="B49" s="18" t="n"/>
      <c r="C49" s="51" t="n"/>
    </row>
    <row r="50">
      <c r="A50" s="18" t="n"/>
      <c r="B50" s="18" t="n"/>
      <c r="C50" s="51" t="n"/>
    </row>
    <row r="51">
      <c r="A51" s="18" t="n"/>
      <c r="B51" s="18" t="n"/>
      <c r="C51" s="51" t="n"/>
    </row>
    <row r="52">
      <c r="A52" s="18" t="n"/>
      <c r="B52" s="18" t="n"/>
      <c r="C52" s="51" t="n"/>
    </row>
    <row r="53">
      <c r="A53" s="18" t="n"/>
      <c r="B53" s="18" t="n"/>
      <c r="C53" s="51" t="n"/>
    </row>
    <row r="54">
      <c r="A54" s="18" t="n"/>
      <c r="B54" s="18" t="n"/>
      <c r="C54" s="51" t="n"/>
    </row>
    <row r="55">
      <c r="A55" s="18" t="n"/>
      <c r="B55" s="18" t="n"/>
      <c r="C55" s="51" t="n"/>
    </row>
    <row r="56">
      <c r="A56" s="18" t="n"/>
      <c r="B56" s="18" t="n"/>
      <c r="C56" s="51" t="n"/>
    </row>
    <row r="57">
      <c r="A57" s="18" t="n"/>
      <c r="B57" s="18" t="n"/>
      <c r="C57" s="51" t="n"/>
    </row>
    <row r="58">
      <c r="A58" s="18" t="n"/>
      <c r="B58" s="18" t="n"/>
      <c r="C58" s="51" t="n"/>
    </row>
    <row r="59">
      <c r="A59" s="18" t="n"/>
      <c r="B59" s="18" t="n"/>
      <c r="C59" s="51" t="n"/>
    </row>
    <row r="60">
      <c r="A60" s="18" t="n"/>
      <c r="B60" s="18" t="n"/>
      <c r="C60" s="5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18" customWidth="1" min="3" max="3"/>
    <col width="40" customWidth="1" min="4" max="4"/>
  </cols>
  <sheetData>
    <row r="1">
      <c r="A1" s="1" t="inlineStr">
        <is>
          <t>区分マスタ</t>
        </is>
      </c>
    </row>
    <row r="2">
      <c r="A2" s="2" t="inlineStr">
        <is>
          <t>「支給量に含める」に ○ を入れた区分だけ 08_支給量管理 の日数に数えます。★上から4つがカレンダーの色に対応します。</t>
        </is>
      </c>
    </row>
    <row r="3" ht="30" customHeight="1">
      <c r="A3" s="7" t="inlineStr">
        <is>
          <t>区分</t>
        </is>
      </c>
      <c r="B3" s="7" t="inlineStr">
        <is>
          <t>支給量に含める（○／空欄）</t>
        </is>
      </c>
      <c r="C3" s="7" t="inlineStr">
        <is>
          <t>カレンダーの色</t>
        </is>
      </c>
      <c r="D3" s="7" t="inlineStr">
        <is>
          <t>備考</t>
        </is>
      </c>
    </row>
    <row r="4">
      <c r="A4" s="18" t="inlineStr">
        <is>
          <t>SS</t>
        </is>
      </c>
      <c r="B4" s="18" t="inlineStr">
        <is>
          <t>○</t>
        </is>
      </c>
      <c r="C4" s="53" t="inlineStr">
        <is>
          <t>青</t>
        </is>
      </c>
      <c r="D4" s="51" t="n"/>
    </row>
    <row r="5">
      <c r="A5" s="18" t="inlineStr">
        <is>
          <t>無料</t>
        </is>
      </c>
      <c r="B5" s="18" t="inlineStr">
        <is>
          <t>○</t>
        </is>
      </c>
      <c r="C5" s="54" t="inlineStr">
        <is>
          <t>緑</t>
        </is>
      </c>
      <c r="D5" s="51" t="n"/>
    </row>
    <row r="6">
      <c r="A6" s="18" t="inlineStr">
        <is>
          <t>契約</t>
        </is>
      </c>
      <c r="B6" s="18" t="inlineStr">
        <is>
          <t>○</t>
        </is>
      </c>
      <c r="C6" s="55" t="inlineStr">
        <is>
          <t>紫</t>
        </is>
      </c>
      <c r="D6" s="51" t="n"/>
    </row>
    <row r="7">
      <c r="A7" s="18" t="n"/>
      <c r="B7" s="18" t="n"/>
      <c r="C7" s="56" t="inlineStr">
        <is>
          <t>橙</t>
        </is>
      </c>
      <c r="D7" s="51" t="n"/>
    </row>
    <row r="8">
      <c r="A8" s="18" t="n"/>
      <c r="B8" s="18" t="n"/>
      <c r="C8" s="51" t="n"/>
      <c r="D8" s="52" t="inlineStr">
        <is>
          <t>5つめ以降の区分は色が付きません（白のまま）</t>
        </is>
      </c>
    </row>
    <row r="9">
      <c r="A9" s="18" t="n"/>
      <c r="B9" s="18" t="n"/>
      <c r="C9" s="51" t="n"/>
      <c r="D9" s="51" t="n"/>
    </row>
    <row r="10">
      <c r="A10" s="18" t="n"/>
      <c r="B10" s="18" t="n"/>
      <c r="C10" s="51" t="n"/>
      <c r="D10" s="51" t="n"/>
    </row>
    <row r="11">
      <c r="A11" s="18" t="n"/>
      <c r="B11" s="18" t="n"/>
      <c r="C11" s="51" t="n"/>
      <c r="D11" s="51" t="n"/>
    </row>
    <row r="12">
      <c r="A12" s="18" t="n"/>
      <c r="B12" s="18" t="n"/>
      <c r="C12" s="51" t="n"/>
      <c r="D12" s="51" t="n"/>
    </row>
    <row r="13">
      <c r="A13" s="18" t="n"/>
      <c r="B13" s="18" t="n"/>
      <c r="C13" s="51" t="n"/>
      <c r="D13" s="51" t="n"/>
    </row>
    <row r="14">
      <c r="A14" s="18" t="n"/>
      <c r="B14" s="18" t="n"/>
      <c r="C14" s="51" t="n"/>
      <c r="D14" s="51" t="n"/>
    </row>
    <row r="15">
      <c r="A15" s="18" t="n"/>
      <c r="B15" s="18" t="n"/>
      <c r="C15" s="51" t="n"/>
      <c r="D15" s="51" t="n"/>
    </row>
    <row r="16">
      <c r="A16" s="18" t="n"/>
      <c r="B16" s="18" t="n"/>
      <c r="C16" s="51" t="n"/>
      <c r="D16" s="51" t="n"/>
    </row>
    <row r="17">
      <c r="A17" s="18" t="n"/>
      <c r="B17" s="18" t="n"/>
      <c r="C17" s="51" t="n"/>
      <c r="D17" s="51" t="n"/>
    </row>
    <row r="18">
      <c r="A18" s="18" t="n"/>
      <c r="B18" s="18" t="n"/>
      <c r="C18" s="51" t="n"/>
      <c r="D18" s="51" t="n"/>
    </row>
    <row r="19">
      <c r="A19" s="18" t="n"/>
      <c r="B19" s="18" t="n"/>
      <c r="C19" s="51" t="n"/>
      <c r="D19" s="51" t="n"/>
    </row>
    <row r="20">
      <c r="A20" s="18" t="n"/>
      <c r="B20" s="18" t="n"/>
      <c r="C20" s="51" t="n"/>
      <c r="D20" s="51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2" customWidth="1" min="2" max="2"/>
  </cols>
  <sheetData>
    <row r="1">
      <c r="A1" s="1" t="inlineStr">
        <is>
          <t>送迎ステータス マスタ</t>
        </is>
      </c>
    </row>
    <row r="3" ht="30" customHeight="1">
      <c r="A3" s="7" t="inlineStr">
        <is>
          <t>送迎区分</t>
        </is>
      </c>
      <c r="B3" s="7" t="inlineStr">
        <is>
          <t>備考</t>
        </is>
      </c>
    </row>
    <row r="4">
      <c r="A4" s="18" t="inlineStr">
        <is>
          <t>あり</t>
        </is>
      </c>
      <c r="B4" s="51" t="n"/>
    </row>
    <row r="5">
      <c r="A5" s="18" t="inlineStr">
        <is>
          <t>なし</t>
        </is>
      </c>
      <c r="B5" s="51" t="n"/>
    </row>
    <row r="6">
      <c r="A6" s="18" t="inlineStr">
        <is>
          <t>調整中</t>
        </is>
      </c>
      <c r="B6" s="51" t="n"/>
    </row>
    <row r="7">
      <c r="A7" s="18" t="n"/>
      <c r="B7" s="51" t="n"/>
    </row>
    <row r="8">
      <c r="A8" s="18" t="n"/>
      <c r="B8" s="51" t="n"/>
    </row>
    <row r="9">
      <c r="A9" s="18" t="n"/>
      <c r="B9" s="51" t="n"/>
    </row>
    <row r="10">
      <c r="A10" s="18" t="n"/>
      <c r="B10" s="51" t="n"/>
    </row>
    <row r="11">
      <c r="A11" s="18" t="n"/>
      <c r="B11" s="51" t="n"/>
    </row>
    <row r="12">
      <c r="A12" s="18" t="n"/>
      <c r="B12" s="51" t="n"/>
    </row>
    <row r="13">
      <c r="A13" s="18" t="n"/>
      <c r="B13" s="51" t="n"/>
    </row>
    <row r="14">
      <c r="A14" s="18" t="n"/>
      <c r="B14" s="51" t="n"/>
    </row>
    <row r="15">
      <c r="A15" s="18" t="n"/>
      <c r="B15" s="51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1" t="inlineStr">
        <is>
          <t>予約状態マスタ</t>
        </is>
      </c>
    </row>
    <row r="2">
      <c r="A2" s="2" t="inlineStr">
        <is>
          <t>★「キャンセル」「仮予約」「調整中」の文字は集計と表示が参照しています。変更しないでください。</t>
        </is>
      </c>
    </row>
    <row r="3" ht="30" customHeight="1">
      <c r="A3" s="7" t="inlineStr">
        <is>
          <t>予約状態</t>
        </is>
      </c>
      <c r="B3" s="7" t="inlineStr">
        <is>
          <t>意味</t>
        </is>
      </c>
    </row>
    <row r="4">
      <c r="A4" s="51" t="inlineStr">
        <is>
          <t>確定</t>
        </is>
      </c>
      <c r="B4" s="52" t="inlineStr">
        <is>
          <t>集計・稼働に入り、カレンダーでは区分の色で表示します</t>
        </is>
      </c>
    </row>
    <row r="5">
      <c r="A5" s="51" t="inlineStr">
        <is>
          <t>仮予約</t>
        </is>
      </c>
      <c r="B5" s="52" t="inlineStr">
        <is>
          <t>集計には入りますが、カレンダーではグレーの斜体、帯表では白抜き、FAX表では「仮」</t>
        </is>
      </c>
    </row>
    <row r="6">
      <c r="A6" s="51" t="inlineStr">
        <is>
          <t>調整中</t>
        </is>
      </c>
      <c r="B6" s="52" t="inlineStr">
        <is>
          <t>仮予約と同じ扱いです</t>
        </is>
      </c>
    </row>
    <row r="7">
      <c r="A7" s="51" t="inlineStr">
        <is>
          <t>利用済み</t>
        </is>
      </c>
      <c r="B7" s="52" t="inlineStr">
        <is>
          <t>実績。確定と同じ扱いです</t>
        </is>
      </c>
    </row>
    <row r="8">
      <c r="A8" s="51" t="inlineStr">
        <is>
          <t>キャンセル</t>
        </is>
      </c>
      <c r="B8" s="52" t="inlineStr">
        <is>
          <t>記録として残しますが、全ての集計・表示・重複判定から外れます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8" customWidth="1" min="3" max="3"/>
    <col width="18" customWidth="1" min="4" max="4"/>
    <col width="34" customWidth="1" min="5" max="5"/>
  </cols>
  <sheetData>
    <row r="1">
      <c r="A1" s="1" t="inlineStr">
        <is>
          <t>FAX送付先マスタ</t>
        </is>
      </c>
    </row>
    <row r="2">
      <c r="A2" s="2" t="inlineStr">
        <is>
          <t>番号を都度手入力せず一覧から選ぶことで、誤送信を防ぎます。</t>
        </is>
      </c>
    </row>
    <row r="3" ht="30" customHeight="1">
      <c r="A3" s="7" t="inlineStr">
        <is>
          <t>事業所名</t>
        </is>
      </c>
      <c r="B3" s="7" t="inlineStr">
        <is>
          <t>担当者</t>
        </is>
      </c>
      <c r="C3" s="7" t="inlineStr">
        <is>
          <t>FAX番号</t>
        </is>
      </c>
      <c r="D3" s="7" t="inlineStr">
        <is>
          <t>電話番号</t>
        </is>
      </c>
      <c r="E3" s="7" t="inlineStr">
        <is>
          <t>備考</t>
        </is>
      </c>
    </row>
    <row r="4">
      <c r="A4" s="18" t="n"/>
      <c r="B4" s="18" t="n"/>
      <c r="C4" s="18" t="n"/>
      <c r="D4" s="18" t="n"/>
      <c r="E4" s="18" t="n"/>
    </row>
    <row r="5">
      <c r="A5" s="18" t="n"/>
      <c r="B5" s="18" t="n"/>
      <c r="C5" s="18" t="n"/>
      <c r="D5" s="18" t="n"/>
      <c r="E5" s="18" t="n"/>
    </row>
    <row r="6">
      <c r="A6" s="18" t="n"/>
      <c r="B6" s="18" t="n"/>
      <c r="C6" s="18" t="n"/>
      <c r="D6" s="18" t="n"/>
      <c r="E6" s="18" t="n"/>
    </row>
    <row r="7">
      <c r="A7" s="18" t="n"/>
      <c r="B7" s="18" t="n"/>
      <c r="C7" s="18" t="n"/>
      <c r="D7" s="18" t="n"/>
      <c r="E7" s="18" t="n"/>
    </row>
    <row r="8">
      <c r="A8" s="18" t="n"/>
      <c r="B8" s="18" t="n"/>
      <c r="C8" s="18" t="n"/>
      <c r="D8" s="18" t="n"/>
      <c r="E8" s="18" t="n"/>
    </row>
    <row r="9">
      <c r="A9" s="18" t="n"/>
      <c r="B9" s="18" t="n"/>
      <c r="C9" s="18" t="n"/>
      <c r="D9" s="18" t="n"/>
      <c r="E9" s="18" t="n"/>
    </row>
    <row r="10">
      <c r="A10" s="18" t="n"/>
      <c r="B10" s="18" t="n"/>
      <c r="C10" s="18" t="n"/>
      <c r="D10" s="18" t="n"/>
      <c r="E10" s="18" t="n"/>
    </row>
    <row r="11">
      <c r="A11" s="18" t="n"/>
      <c r="B11" s="18" t="n"/>
      <c r="C11" s="18" t="n"/>
      <c r="D11" s="18" t="n"/>
      <c r="E11" s="18" t="n"/>
    </row>
    <row r="12">
      <c r="A12" s="18" t="n"/>
      <c r="B12" s="18" t="n"/>
      <c r="C12" s="18" t="n"/>
      <c r="D12" s="18" t="n"/>
      <c r="E12" s="18" t="n"/>
    </row>
    <row r="13">
      <c r="A13" s="18" t="n"/>
      <c r="B13" s="18" t="n"/>
      <c r="C13" s="18" t="n"/>
      <c r="D13" s="18" t="n"/>
      <c r="E13" s="18" t="n"/>
    </row>
    <row r="14">
      <c r="A14" s="18" t="n"/>
      <c r="B14" s="18" t="n"/>
      <c r="C14" s="18" t="n"/>
      <c r="D14" s="18" t="n"/>
      <c r="E14" s="18" t="n"/>
    </row>
    <row r="15">
      <c r="A15" s="18" t="n"/>
      <c r="B15" s="18" t="n"/>
      <c r="C15" s="18" t="n"/>
      <c r="D15" s="18" t="n"/>
      <c r="E15" s="18" t="n"/>
    </row>
    <row r="16">
      <c r="A16" s="18" t="n"/>
      <c r="B16" s="18" t="n"/>
      <c r="C16" s="18" t="n"/>
      <c r="D16" s="18" t="n"/>
      <c r="E16" s="18" t="n"/>
    </row>
    <row r="17">
      <c r="A17" s="18" t="n"/>
      <c r="B17" s="18" t="n"/>
      <c r="C17" s="18" t="n"/>
      <c r="D17" s="18" t="n"/>
      <c r="E17" s="18" t="n"/>
    </row>
    <row r="18">
      <c r="A18" s="18" t="n"/>
      <c r="B18" s="18" t="n"/>
      <c r="C18" s="18" t="n"/>
      <c r="D18" s="18" t="n"/>
      <c r="E18" s="18" t="n"/>
    </row>
    <row r="19">
      <c r="A19" s="18" t="n"/>
      <c r="B19" s="18" t="n"/>
      <c r="C19" s="18" t="n"/>
      <c r="D19" s="18" t="n"/>
      <c r="E19" s="18" t="n"/>
    </row>
    <row r="20">
      <c r="A20" s="18" t="n"/>
      <c r="B20" s="18" t="n"/>
      <c r="C20" s="18" t="n"/>
      <c r="D20" s="18" t="n"/>
      <c r="E20" s="18" t="n"/>
    </row>
    <row r="21">
      <c r="A21" s="18" t="n"/>
      <c r="B21" s="18" t="n"/>
      <c r="C21" s="18" t="n"/>
      <c r="D21" s="18" t="n"/>
      <c r="E21" s="18" t="n"/>
    </row>
    <row r="22">
      <c r="A22" s="18" t="n"/>
      <c r="B22" s="18" t="n"/>
      <c r="C22" s="18" t="n"/>
      <c r="D22" s="18" t="n"/>
      <c r="E22" s="18" t="n"/>
    </row>
    <row r="23">
      <c r="A23" s="18" t="n"/>
      <c r="B23" s="18" t="n"/>
      <c r="C23" s="18" t="n"/>
      <c r="D23" s="18" t="n"/>
      <c r="E23" s="18" t="n"/>
    </row>
    <row r="24">
      <c r="A24" s="18" t="n"/>
      <c r="B24" s="18" t="n"/>
      <c r="C24" s="18" t="n"/>
      <c r="D24" s="18" t="n"/>
      <c r="E24" s="1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2026-08-19T22:40:14Z</dcterms:created>
  <dcterms:modified xsi:type="dcterms:W3CDTF">2026-08-19T22:40:16Z</dcterms:modified>
</cp:coreProperties>
</file>