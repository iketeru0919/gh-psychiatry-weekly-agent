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'01_予約入力'!$A$4:$X$204</definedName>
    <definedName name="_xlnm.Print_Area" localSheetId="2">'02_カレンダー'!$A$1:$H$55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'06_食数表'!$A$1:$F$38</definedName>
    <definedName name="_xlnm.Print_Area" localSheetId="9">'09_FAX空き表'!$A$1:$AF$18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"/>
    <numFmt numFmtId="165" formatCode="yyyy/mm/dd"/>
    <numFmt numFmtId="166" formatCode="d"/>
  </numFmts>
  <fonts count="22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B03A2E"/>
      <sz val="10"/>
    </font>
    <font>
      <name val="Meiryo"/>
      <b val="1"/>
      <color rgb="00FFE0E0"/>
      <sz val="11"/>
    </font>
    <font>
      <name val="Meiryo"/>
      <b val="1"/>
      <color rgb="00FFFFFF"/>
      <sz val="11"/>
    </font>
    <font>
      <name val="Meiryo"/>
      <b val="1"/>
      <color rgb="00DDEBFF"/>
      <sz val="11"/>
    </font>
    <font>
      <name val="Meiryo"/>
      <b val="1"/>
      <color rgb="00A93226"/>
      <sz val="14"/>
    </font>
    <font>
      <name val="Meiryo"/>
      <b val="1"/>
      <sz val="14"/>
    </font>
    <font>
      <name val="Meiryo"/>
      <color rgb="006B5B3E"/>
      <sz val="9"/>
    </font>
    <font>
      <name val="Meiryo"/>
      <b val="1"/>
      <color rgb="00333333"/>
      <sz val="14"/>
    </font>
    <font>
      <name val="Meiryo"/>
      <b val="1"/>
      <color rgb="001F618D"/>
      <sz val="14"/>
    </font>
    <font>
      <name val="Meiryo"/>
      <b val="1"/>
      <sz val="9"/>
    </font>
    <font>
      <name val="Meiryo"/>
      <sz val="9"/>
    </font>
    <font>
      <name val="Meiryo"/>
      <b val="1"/>
      <color rgb="0012395B"/>
      <sz val="11"/>
    </font>
    <font>
      <name val="Meiryo"/>
      <b val="1"/>
      <color rgb="001F3B52"/>
      <sz val="11"/>
    </font>
    <font>
      <name val="Meiryo"/>
      <b val="1"/>
      <sz val="11"/>
    </font>
  </fonts>
  <fills count="15">
    <fill>
      <patternFill/>
    </fill>
    <fill>
      <patternFill patternType="gray125"/>
    </fill>
    <fill>
      <patternFill patternType="solid">
        <fgColor rgb="00DCE6EF"/>
        <bgColor rgb="00DCE6EF"/>
      </patternFill>
    </fill>
    <fill>
      <patternFill patternType="solid">
        <fgColor rgb="00FFF7DD"/>
        <bgColor rgb="00FFF7DD"/>
      </patternFill>
    </fill>
    <fill>
      <patternFill patternType="solid">
        <fgColor rgb="00F2F2F2"/>
        <bgColor rgb="00F2F2F2"/>
      </patternFill>
    </fill>
    <fill>
      <patternFill patternType="solid">
        <fgColor rgb="002F6690"/>
        <bgColor rgb="002F6690"/>
      </patternFill>
    </fill>
    <fill>
      <patternFill patternType="solid">
        <fgColor rgb="00CFE0F3"/>
        <bgColor rgb="00CFE0F3"/>
      </patternFill>
    </fill>
    <fill>
      <patternFill patternType="solid">
        <fgColor rgb="00D3EBD8"/>
        <bgColor rgb="00D3EBD8"/>
      </patternFill>
    </fill>
    <fill>
      <patternFill patternType="solid">
        <fgColor rgb="00E5D8F0"/>
        <bgColor rgb="00E5D8F0"/>
      </patternFill>
    </fill>
    <fill>
      <patternFill patternType="solid">
        <fgColor rgb="00FAE0C3"/>
        <bgColor rgb="00FAE0C3"/>
      </patternFill>
    </fill>
    <fill>
      <patternFill patternType="solid">
        <fgColor rgb="00A93226"/>
        <bgColor rgb="00A93226"/>
      </patternFill>
    </fill>
    <fill>
      <patternFill patternType="solid">
        <fgColor rgb="001F618D"/>
        <bgColor rgb="001F618D"/>
      </patternFill>
    </fill>
    <fill>
      <patternFill patternType="solid">
        <fgColor rgb="00EDE7DC"/>
        <bgColor rgb="00EDE7DC"/>
      </patternFill>
    </fill>
    <fill>
      <patternFill patternType="solid">
        <fgColor rgb="00F4F7FA"/>
        <bgColor rgb="00F4F7FA"/>
      </patternFill>
    </fill>
    <fill>
      <patternFill patternType="solid">
        <fgColor rgb="00FBF8F2"/>
        <bgColor rgb="00FBF8F2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medium">
        <color rgb="002F6690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hair">
        <color rgb="00D9D9D9"/>
      </top>
      <bottom style="hair">
        <color rgb="00D9D9D9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medium">
        <color rgb="002F6690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8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9" fillId="1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12" fillId="13" borderId="2" applyAlignment="1" pivotButton="0" quotePrefix="0" xfId="0">
      <alignment horizontal="right" vertical="center" indent="1"/>
    </xf>
    <xf numFmtId="166" fontId="15" fillId="13" borderId="2" applyAlignment="1" pivotButton="0" quotePrefix="0" xfId="0">
      <alignment horizontal="right" vertical="center" indent="1"/>
    </xf>
    <xf numFmtId="166" fontId="16" fillId="13" borderId="2" applyAlignment="1" pivotButton="0" quotePrefix="0" xfId="0">
      <alignment horizontal="right" vertical="center" indent="1"/>
    </xf>
    <xf numFmtId="0" fontId="3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13" fillId="0" borderId="4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19" fillId="0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2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2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12" fillId="13" borderId="2" applyAlignment="1" pivotButton="0" quotePrefix="0" xfId="0">
      <alignment horizontal="right" vertical="center" indent="1"/>
    </xf>
    <xf numFmtId="166" fontId="15" fillId="13" borderId="2" applyAlignment="1" pivotButton="0" quotePrefix="0" xfId="0">
      <alignment horizontal="right" vertical="center" indent="1"/>
    </xf>
    <xf numFmtId="166" fontId="16" fillId="13" borderId="2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14">
    <dxf>
      <font>
        <name val="Meiryo"/>
        <strike val="1"/>
        <color rgb="00999999"/>
        <sz val="10"/>
      </font>
      <fill>
        <patternFill patternType="solid">
          <fgColor rgb="00EFEFEF"/>
          <bgColor rgb="00EFEFEF"/>
        </patternFill>
      </fill>
    </dxf>
    <dxf>
      <fill>
        <patternFill patternType="solid">
          <fgColor rgb="00FBD3D3"/>
          <bgColor rgb="00FBD3D3"/>
        </patternFill>
      </fill>
    </dxf>
    <dxf>
      <fill>
        <patternFill patternType="solid">
          <fgColor rgb="00FCE4C8"/>
          <bgColor rgb="00FCE4C8"/>
        </patternFill>
      </fill>
    </dxf>
    <dxf>
      <fill>
        <patternFill patternType="solid">
          <fgColor rgb="00EDE3F5"/>
          <bgColor rgb="00EDE3F5"/>
        </patternFill>
      </fill>
    </dxf>
    <dxf>
      <font>
        <name val="Meiryo"/>
        <i val="1"/>
        <color rgb="006E6E6E"/>
        <sz val="10"/>
      </font>
      <fill>
        <patternFill patternType="solid">
          <fgColor rgb="00EFEFEF"/>
          <bgColor rgb="00EFEFEF"/>
        </patternFill>
      </fill>
    </dxf>
    <dxf>
      <font>
        <name val="Meiryo"/>
        <b val="1"/>
        <color rgb="001B4F72"/>
        <sz val="10"/>
      </font>
      <fill>
        <patternFill patternType="solid">
          <fgColor rgb="00CFE0F3"/>
          <bgColor rgb="00CFE0F3"/>
        </patternFill>
      </fill>
    </dxf>
    <dxf>
      <font>
        <name val="Meiryo"/>
        <b val="1"/>
        <color rgb="001D6F42"/>
        <sz val="10"/>
      </font>
      <fill>
        <patternFill patternType="solid">
          <fgColor rgb="00D3EBD8"/>
          <bgColor rgb="00D3EBD8"/>
        </patternFill>
      </fill>
    </dxf>
    <dxf>
      <font>
        <name val="Meiryo"/>
        <b val="1"/>
        <color rgb="005B2C8D"/>
        <sz val="10"/>
      </font>
      <fill>
        <patternFill patternType="solid">
          <fgColor rgb="00E5D8F0"/>
          <bgColor rgb="00E5D8F0"/>
        </patternFill>
      </fill>
    </dxf>
    <dxf>
      <font>
        <name val="Meiryo"/>
        <b val="1"/>
        <color rgb="009C4A06"/>
        <sz val="10"/>
      </font>
      <fill>
        <patternFill patternType="solid">
          <fgColor rgb="00FAE0C3"/>
          <bgColor rgb="00FAE0C3"/>
        </patternFill>
      </fill>
    </dxf>
    <dxf>
      <fill>
        <patternFill patternType="solid">
          <fgColor rgb="00D9EDDC"/>
          <bgColor rgb="00D9EDDC"/>
        </patternFill>
      </fill>
    </dxf>
    <dxf>
      <font>
        <name val="Meiryo"/>
        <b val="1"/>
        <color rgb="006B6B7B"/>
        <sz val="11"/>
      </font>
      <fill>
        <patternFill patternType="solid">
          <fgColor rgb="00E4E4EC"/>
          <bgColor rgb="00E4E4EC"/>
        </patternFill>
      </fill>
    </dxf>
    <dxf>
      <font>
        <name val="Meiryo"/>
        <b val="1"/>
        <color rgb="0012395B"/>
        <sz val="11"/>
      </font>
      <fill>
        <patternFill patternType="solid">
          <fgColor rgb="009DC3E6"/>
          <bgColor rgb="009DC3E6"/>
        </patternFill>
      </fill>
    </dxf>
    <dxf>
      <fill>
        <patternFill patternType="solid">
          <fgColor rgb="00E8EEF4"/>
          <bgColor rgb="00E8EEF4"/>
        </patternFill>
      </fill>
    </dxf>
    <dxf>
      <fill>
        <patternFill patternType="solid">
          <fgColor rgb="00FBF3E4"/>
          <bgColor rgb="00FB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など）を入れても構いません。</t>
      </text>
    </comment>
    <comment ref="H4" authorId="0" shapeId="0">
      <text>
        <t>時の数字だけ入れてください（例: 16 → 16:00）。
9時なら 9 だけでかまいません（09:00 と表示されます）。
分まで指定したいときは 16:30 のように入れてください。
空欄のままでも予約は成立します（カレンダーに時刻が出ないだけです）。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K4" authorId="0" shapeId="0">
      <text>
        <t>時の数字だけ入れてください（例: 9 → 09:00）。
分まで指定したいときは 9:30 のように入れてください。</t>
      </text>
    </comment>
    <comment ref="V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W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厨房へ渡す日別の朝・昼・夕の食数。★個別の調整は 02_カレンダー の下部で日付ごとに入れます。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外部へFAXする空き状況。利用者名は載りません。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★時刻は「時」だけ</t>
        </is>
      </c>
      <c r="B19" s="6" t="inlineStr">
        <is>
          <t>「入所(時)」「退所(時)」には時の数字だけを入れてください（16 と入れれば 16:00）。9時なら 9 だけで 09:00 になります。分は入力不要です。</t>
        </is>
      </c>
    </row>
    <row r="20" ht="32" customHeight="1">
      <c r="A20" s="5" t="inlineStr">
        <is>
          <t>分が必要なとき</t>
        </is>
      </c>
      <c r="B20" s="6" t="inlineStr">
        <is>
          <t>16:30 のように「時:分」で入れれば、そのまま分まで表示されます。</t>
        </is>
      </c>
    </row>
    <row r="21" ht="32" customHeight="1">
      <c r="A21" s="5" t="inlineStr">
        <is>
          <t>時刻は空欄でも可</t>
        </is>
      </c>
      <c r="B21" s="6" t="inlineStr">
        <is>
          <t>時刻を入れなくても予約は成立します。カレンダーに時刻が出ないだけです。</t>
        </is>
      </c>
    </row>
    <row r="22" ht="32" customHeight="1">
      <c r="A22" s="5" t="inlineStr">
        <is>
          <t>★注意</t>
        </is>
      </c>
      <c r="B22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3">
      <c r="A23" s="3" t="inlineStr">
        <is>
          <t>はじめに設定すること</t>
        </is>
      </c>
      <c r="B23" s="4" t="n"/>
    </row>
    <row r="24" ht="32" customHeight="1">
      <c r="A24" s="5" t="inlineStr">
        <is>
          <t>① M_施設設定</t>
        </is>
      </c>
      <c r="B24" s="6" t="inlineStr">
        <is>
          <t>施設名・棟・標準の入所/退所時刻・住所・TEL/FAX を入れます。</t>
        </is>
      </c>
    </row>
    <row r="25" ht="32" customHeight="1">
      <c r="A25" s="5" t="inlineStr">
        <is>
          <t>② M_部屋</t>
        </is>
      </c>
      <c r="B25" s="6" t="inlineStr">
        <is>
          <t>部屋名を1行1室で登録します。★ここの行数が、そのまま定員（部屋数）になります。</t>
        </is>
      </c>
    </row>
    <row r="26" ht="32" customHeight="1">
      <c r="A26" s="5" t="inlineStr">
        <is>
          <t>③ 利用者マスタ</t>
        </is>
      </c>
      <c r="B26" s="6" t="inlineStr">
        <is>
          <t>氏名と支給量（受給者証の月あたり上限日数）。支給量が空欄の方は残日数を管理しません。</t>
        </is>
      </c>
    </row>
    <row r="27" ht="32" customHeight="1">
      <c r="A27" s="5" t="inlineStr">
        <is>
          <t>④ M_区分・M_送迎</t>
        </is>
      </c>
      <c r="B27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8">
      <c r="A28" s="3" t="inlineStr">
        <is>
          <t>★ 部屋数が施設ごとに違う場合（1室の施設と2室の施設）</t>
        </is>
      </c>
      <c r="B28" s="4" t="n"/>
    </row>
    <row r="29" ht="32" customHeight="1">
      <c r="A29" s="5" t="inlineStr">
        <is>
          <t>同じファイルで使えます</t>
        </is>
      </c>
      <c r="B29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30" ht="32" customHeight="1">
      <c r="A30" s="5" t="inlineStr">
        <is>
          <t>使わない部屋の行を隠す</t>
        </is>
      </c>
      <c r="B30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31" ht="32" customHeight="1">
      <c r="A31" s="5" t="inlineStr">
        <is>
          <t>部屋を減らしたとき</t>
        </is>
      </c>
      <c r="B31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32" ht="32" customHeight="1">
      <c r="A32" s="5" t="inlineStr">
        <is>
          <t>1室のときの表示</t>
        </is>
      </c>
      <c r="B32" s="6" t="inlineStr">
        <is>
          <t>1室の施設では「△（残りわずか）」は構造上発生せず、必ず ○ か × になります。</t>
        </is>
      </c>
    </row>
    <row r="33" ht="32" customHeight="1">
      <c r="A33" s="5" t="inlineStr">
        <is>
          <t>★ファイルは施設ごとに分ける</t>
        </is>
      </c>
      <c r="B33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4">
      <c r="A34" s="3" t="inlineStr">
        <is>
          <t>★ 食事をカレンダーで見る・直す</t>
        </is>
      </c>
      <c r="B34" s="4" t="n"/>
    </row>
    <row r="35" ht="32" customHeight="1">
      <c r="A35" s="5" t="inlineStr">
        <is>
          <t>いつもは自動</t>
        </is>
      </c>
      <c r="B35" s="6" t="inlineStr">
        <is>
          <t>各週のいちばん下の「食事」行に、その日の 朝○ 昼○ 夕○ が自動で出ます。既定は 日帰り=昼のみ／初日=夕／中日=朝昼夕／最終日=朝 です。</t>
        </is>
      </c>
    </row>
    <row r="36" ht="32" customHeight="1">
      <c r="A36" s="5" t="inlineStr">
        <is>
          <t>違う日だけ入れる</t>
        </is>
      </c>
      <c r="B36" s="6" t="inlineStr">
        <is>
          <t>02_カレンダー のカレンダーの下に「食事の個別調整」表があります。日付と、その日の実際の食数（朝・昼・夕）を入れてください。空欄の欄は自動のままです。0 を入れれば「その食事なし」になります。</t>
        </is>
      </c>
    </row>
    <row r="37" ht="32" customHeight="1">
      <c r="A37" s="5" t="inlineStr">
        <is>
          <t>入れたらどうなる</t>
        </is>
      </c>
      <c r="B37" s="6" t="inlineStr">
        <is>
          <t>カレンダーの食事行に「※調整」と付き、06_食数表 の食数もその値に変わります。厨房へ渡す数字も自動で合います。</t>
        </is>
      </c>
    </row>
    <row r="38" ht="32" customHeight="1">
      <c r="A38" s="5" t="inlineStr">
        <is>
          <t>★月をまたいでも安全</t>
        </is>
      </c>
      <c r="B38" s="6" t="inlineStr">
        <is>
          <t>調整は日付で結び付けているので、対象月を切り替えても他の月に影響しません。同じ日付を2回入れると「⚠日付が重複」と赤く出ます。</t>
        </is>
      </c>
    </row>
    <row r="39" ht="32" customHeight="1">
      <c r="A39" s="5" t="inlineStr">
        <is>
          <t>表示を消したいとき</t>
        </is>
      </c>
      <c r="B39" s="6" t="inlineStr">
        <is>
          <t>02_カレンダー の「食事を表示」を空欄にすると、食事行が非表示になります。</t>
        </is>
      </c>
    </row>
    <row r="40">
      <c r="A40" s="3" t="inlineStr">
        <is>
          <t>カレンダーの記号の読み方</t>
        </is>
      </c>
      <c r="B40" s="4" t="n"/>
    </row>
    <row r="41" ht="32" customHeight="1">
      <c r="A41" s="5" t="inlineStr">
        <is>
          <t>▶16:00 利用者A</t>
        </is>
      </c>
      <c r="B41" s="6" t="inlineStr">
        <is>
          <t>その日が入所日。数字は入室時刻です（01_予約入力 に 16 と入れたもの）。</t>
        </is>
      </c>
    </row>
    <row r="42" ht="32" customHeight="1">
      <c r="A42" s="5" t="inlineStr">
        <is>
          <t>利用者A</t>
        </is>
      </c>
      <c r="B42" s="6" t="inlineStr">
        <is>
          <t>記号なしは連泊の中日。前の日から続いています。</t>
        </is>
      </c>
    </row>
    <row r="43" ht="32" customHeight="1">
      <c r="A43" s="5" t="inlineStr">
        <is>
          <t>利用者A ◀09:00</t>
        </is>
      </c>
      <c r="B43" s="6" t="inlineStr">
        <is>
          <t>その日が退所日。数字は退室時刻です。朝に退所するので、★その日の夜はもう次の方が入れます。</t>
        </is>
      </c>
    </row>
    <row r="44" ht="32" customHeight="1">
      <c r="A44" s="5" t="inlineStr">
        <is>
          <t>◆ 利用者A 10:00-16:00</t>
        </is>
      </c>
      <c r="B44" s="6" t="inlineStr">
        <is>
          <t>日帰り（体験利用）。宿泊しません。</t>
        </is>
      </c>
    </row>
    <row r="45" ht="32" customHeight="1">
      <c r="A45" s="5" t="inlineStr">
        <is>
          <t>2人並ぶとき</t>
        </is>
      </c>
      <c r="B45" s="6" t="inlineStr">
        <is>
          <t>「利用者A ◀09:00　▶16:30 利用者B」のように、退所と入所が同じ日に重なると1つのマスに並びます。</t>
        </is>
      </c>
    </row>
    <row r="46" ht="32" customHeight="1">
      <c r="A46" s="5" t="inlineStr">
        <is>
          <t>空き ○ △ × 仮</t>
        </is>
      </c>
      <c r="B46" s="6" t="inlineStr">
        <is>
          <t>○=空室あり／△=残りわずか／×=満室／仮=仮予約で調整中。これは「その日の夜」の空き状況です。</t>
        </is>
      </c>
    </row>
    <row r="47" ht="32" customHeight="1">
      <c r="A47" s="5" t="inlineStr">
        <is>
          <t>色分け</t>
        </is>
      </c>
      <c r="B47" s="6" t="inlineStr">
        <is>
          <t>名前のマスは区分ごとに色が付きます（M_区分 の上から4つ＝青・緑・紫・橙）。仮予約・調整中はグレーの斜体になります。</t>
        </is>
      </c>
    </row>
    <row r="48">
      <c r="A48" s="3" t="inlineStr">
        <is>
          <t>数え方の定義（全シート共通のルール）</t>
        </is>
      </c>
      <c r="B48" s="4" t="n"/>
    </row>
    <row r="49" ht="32" customHeight="1">
      <c r="A49" s="5" t="inlineStr">
        <is>
          <t>利用日数</t>
        </is>
      </c>
      <c r="B49" s="6" t="inlineStr">
        <is>
          <t>入所日から退所日までの暦日数。両端を含みます（4/1入所・4/3退所 = 3日）。</t>
        </is>
      </c>
    </row>
    <row r="50" ht="32" customHeight="1">
      <c r="A50" s="5" t="inlineStr">
        <is>
          <t>宿泊数</t>
        </is>
      </c>
      <c r="B50" s="6" t="inlineStr">
        <is>
          <t>退所日 − 入所日（4/1入所・4/3退所 = 2泊）。</t>
        </is>
      </c>
    </row>
    <row r="51" ht="32" customHeight="1">
      <c r="A51" s="5" t="inlineStr">
        <is>
          <t>日帰り（体験利用）</t>
        </is>
      </c>
      <c r="B51" s="6" t="inlineStr">
        <is>
          <t>入所日 = 退所日。1利用日・0泊。食事は昼のみが既定です。</t>
        </is>
      </c>
    </row>
    <row r="52" ht="32" customHeight="1">
      <c r="A52" s="5" t="inlineStr">
        <is>
          <t>空室の判定</t>
        </is>
      </c>
      <c r="B52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53" ht="32" customHeight="1">
      <c r="A53" s="5" t="inlineStr">
        <is>
          <t>集計に入る予約</t>
        </is>
      </c>
      <c r="B53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54" ht="32" customHeight="1">
      <c r="A54" s="5" t="inlineStr">
        <is>
          <t>食事の既定</t>
        </is>
      </c>
      <c r="B54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55">
      <c r="A55" s="3" t="inlineStr">
        <is>
          <t>セルの色の意味</t>
        </is>
      </c>
      <c r="B55" s="4" t="n"/>
    </row>
    <row r="56" ht="32" customHeight="1">
      <c r="A56" s="5" t="inlineStr">
        <is>
          <t>うすい黄色</t>
        </is>
      </c>
      <c r="B56" s="6" t="inlineStr">
        <is>
          <t>手で入力するセルです。</t>
        </is>
      </c>
    </row>
    <row r="57" ht="32" customHeight="1">
      <c r="A57" s="5" t="inlineStr">
        <is>
          <t>うすい灰色（斜体）</t>
        </is>
      </c>
      <c r="B57" s="6" t="inlineStr">
        <is>
          <t>自動計算です。上書きすると壊れます。触らないでください。</t>
        </is>
      </c>
    </row>
    <row r="58" ht="32" customHeight="1">
      <c r="A58" s="5" t="inlineStr">
        <is>
          <t>赤・オレンジ</t>
        </is>
      </c>
      <c r="B58" s="6" t="inlineStr">
        <is>
          <t>警告です。ダブルブッキング（⚠重複）・支給量オーバー・未登録の部屋を知らせます。</t>
        </is>
      </c>
    </row>
    <row r="59">
      <c r="A59" s="3" t="inlineStr">
        <is>
          <t>毎日の使い方</t>
        </is>
      </c>
      <c r="B59" s="4" t="n"/>
    </row>
    <row r="60" ht="32" customHeight="1">
      <c r="A60" s="5" t="inlineStr">
        <is>
          <t>予約が入ったら</t>
        </is>
      </c>
      <c r="B60" s="6" t="inlineStr">
        <is>
          <t>01_予約入力 の空いている行に、1滞在=1行で入れます。日にちは数字だけでかまいません。V列・W列が赤くならないことだけ確認してください。</t>
        </is>
      </c>
    </row>
    <row r="61" ht="32" customHeight="1">
      <c r="A61" s="5" t="inlineStr">
        <is>
          <t>★部屋は必ず選ぶ</t>
        </is>
      </c>
      <c r="B61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62" ht="32" customHeight="1">
      <c r="A62" s="5" t="inlineStr">
        <is>
          <t>入れたあと確認</t>
        </is>
      </c>
      <c r="B62" s="6" t="inlineStr">
        <is>
          <t>02_カレンダー を見て、意図した期間に帯が出ているかを目で確かめます。</t>
        </is>
      </c>
    </row>
    <row r="63" ht="32" customHeight="1">
      <c r="A63" s="5" t="inlineStr">
        <is>
          <t>「空いてますか」</t>
        </is>
      </c>
      <c r="B63" s="6" t="inlineStr">
        <is>
          <t>05_空室照会 に日付を2つ入れるだけです。</t>
        </is>
      </c>
    </row>
    <row r="64" ht="32" customHeight="1">
      <c r="A64" s="5" t="inlineStr">
        <is>
          <t>月を切り替える</t>
        </is>
      </c>
      <c r="B64" s="6" t="inlineStr">
        <is>
          <t>★02_カレンダー の「対象月」を変えると、03_帯表・06_食数表・09_FAX空き表 の月も一緒に変わります。</t>
        </is>
      </c>
    </row>
    <row r="65">
      <c r="A65" s="3" t="inlineStr">
        <is>
          <t>バックアップ</t>
        </is>
      </c>
      <c r="B65" s="4" t="n"/>
    </row>
    <row r="66" ht="32" customHeight="1">
      <c r="A66" s="5" t="inlineStr">
        <is>
          <t>月に一度はコピーを</t>
        </is>
      </c>
      <c r="B66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10" customWidth="1" min="8" max="8"/>
    <col width="8" customWidth="1" min="9" max="9"/>
    <col width="12" customWidth="1" min="10" max="10"/>
    <col width="10" customWidth="1" min="11" max="11"/>
    <col width="9" customWidth="1" min="12" max="12"/>
    <col width="8" customWidth="1" min="13" max="13"/>
    <col width="11" customWidth="1" min="14" max="14"/>
    <col width="9" customWidth="1" min="15" max="15"/>
    <col width="16" customWidth="1" min="16" max="16"/>
    <col width="20" customWidth="1" min="17" max="17"/>
    <col width="16" customWidth="1" min="18" max="18"/>
    <col width="30" customWidth="1" min="19" max="19"/>
    <col width="12" customWidth="1" min="20" max="20"/>
    <col width="12" customWidth="1" min="21" max="21"/>
    <col width="17" customWidth="1" min="22" max="22"/>
    <col width="15" customWidth="1" min="23" max="23"/>
    <col width="13" customWidth="1" min="24" max="24"/>
    <col hidden="1" width="12" customWidth="1" min="25" max="25"/>
    <col hidden="1" width="12" customWidth="1" min="26" max="26"/>
    <col hidden="1" width="10" customWidth="1" min="27" max="27"/>
    <col hidden="1" width="10" customWidth="1" min="28" max="28"/>
    <col hidden="1" width="12" customWidth="1" min="29" max="29"/>
    <col hidden="1" width="12" customWidth="1" min="30" max="30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★日付は「年月」を最初の行に一度だけ入れれば、あとは日にちの数字だけ。時刻も「時」の数字だけ（16 → 16:00）で入力できます。黄色の列だけ入力します。灰色は自動計算。V列・W列が赤くなったら、その行を直してください。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
(時)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
(時)</t>
        </is>
      </c>
      <c r="L4" s="7" t="inlineStr">
        <is>
          <t>利用日数</t>
        </is>
      </c>
      <c r="M4" s="7" t="inlineStr">
        <is>
          <t>宿泊数</t>
        </is>
      </c>
      <c r="N4" s="7" t="inlineStr">
        <is>
          <t>予約状態</t>
        </is>
      </c>
      <c r="O4" s="7" t="inlineStr">
        <is>
          <t>送迎</t>
        </is>
      </c>
      <c r="P4" s="7" t="inlineStr">
        <is>
          <t>送迎方法</t>
        </is>
      </c>
      <c r="Q4" s="7" t="inlineStr">
        <is>
          <t>送迎場所・時間帯</t>
        </is>
      </c>
      <c r="R4" s="7" t="inlineStr">
        <is>
          <t>外部サービス</t>
        </is>
      </c>
      <c r="S4" s="7" t="inlineStr">
        <is>
          <t>備考</t>
        </is>
      </c>
      <c r="T4" s="7" t="inlineStr">
        <is>
          <t>更新日</t>
        </is>
      </c>
      <c r="U4" s="7" t="inlineStr">
        <is>
          <t>更新者</t>
        </is>
      </c>
      <c r="V4" s="7" t="inlineStr">
        <is>
          <t>⚠重複・部屋チェック</t>
        </is>
      </c>
      <c r="W4" s="7" t="inlineStr">
        <is>
          <t>⚠支給量チェック</t>
        </is>
      </c>
      <c r="X4" s="7" t="inlineStr">
        <is>
          <t>支給量対象日数</t>
        </is>
      </c>
      <c r="Y4" s="7" t="inlineStr">
        <is>
          <t>作業:実効年月</t>
        </is>
      </c>
      <c r="Z4" s="7" t="inlineStr">
        <is>
          <t>作業:並び順</t>
        </is>
      </c>
      <c r="AA4" s="7" t="inlineStr">
        <is>
          <t>作業:入所時刻</t>
        </is>
      </c>
      <c r="AB4" s="7" t="inlineStr">
        <is>
          <t>作業:退所時刻</t>
        </is>
      </c>
      <c r="AC4" s="7" t="inlineStr">
        <is>
          <t>作業:入所日数値</t>
        </is>
      </c>
      <c r="AD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IF($F5="","",IF($F5&gt;31,$F5,IF($Y5="","",DATE(YEAR($Y5),MONTH($Y5),$F5))))</f>
        <v/>
      </c>
      <c r="H5" s="9" t="n">
        <v>16</v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9" t="n">
        <v>9</v>
      </c>
      <c r="L5" s="8">
        <f>IF(OR($G5="",$J5=""),"",$J5-$G5+1)</f>
        <v/>
      </c>
      <c r="M5" s="8">
        <f>IF(OR($G5="",$J5=""),"",$J5-$G5)</f>
        <v/>
      </c>
      <c r="N5" s="9" t="inlineStr">
        <is>
          <t>確定</t>
        </is>
      </c>
      <c r="O5" s="9" t="inlineStr">
        <is>
          <t>あり</t>
        </is>
      </c>
      <c r="P5" s="9" t="inlineStr">
        <is>
          <t>施設車</t>
        </is>
      </c>
      <c r="Q5" s="9" t="inlineStr">
        <is>
          <t>自宅前 16:00</t>
        </is>
      </c>
      <c r="R5" s="9" t="n"/>
      <c r="S5" s="9" t="n"/>
      <c r="T5" s="13" t="n"/>
      <c r="U5" s="9" t="n"/>
      <c r="V5" s="8">
        <f>IF($G5="","",IF($D5="","⚠部屋が未選択",IF(COUNTIF('M_部屋'!$A$4:$A$20,$D5)=0,"⚠部屋が未登録",IF(OR($J5="",$N5="キャンセル"),"",IF(SUMPRODUCT(($D$5:$D$204=$D5)*($G$5:$G$204&lt;&gt;"")*($J$5:$J$204&lt;&gt;"")*($N$5:$N$204&lt;&gt;"キャンセル")*($G$5:$G$204&lt;$J5)*($J$5:$J$204&gt;$G5))&gt;1,"⚠重複","")))))</f>
        <v/>
      </c>
      <c r="W5" s="8">
        <f>IF(OR($B5="",$G5=""),"",IF(SUMPRODUCT(('利用者マスタ'!$A$4:$A$60=$B5)*('利用者マスタ'!$B$4:$B$60&lt;&gt;""))=0,"",IF(SUMIFS($X$5:$X$204,$B$5:$B$204,$B5,$G$5:$G$204,"&gt;="&amp;DATE(YEAR($G5),MONTH($G5),1),$G$5:$G$204,"&lt;="&amp;EOMONTH($G5,0))&gt;SUMIFS('利用者マスタ'!$B$4:$B$60,'利用者マスタ'!$A$4:$A$60,$B5),"⚠支給量超過","")))</f>
        <v/>
      </c>
      <c r="X5" s="8">
        <f>IF(OR($G5="",$J5="",$N5="キャンセル"),0,IF(IFERROR(INDEX('M_区分'!$B$4:$B$20,MATCH($C5,'M_区分'!$A$4:$A$20,0)),"○")="○",$J5-$G5+1,0))</f>
        <v/>
      </c>
      <c r="Y5" s="8">
        <f>IF($E5&lt;&gt;"",$E5,"")</f>
        <v/>
      </c>
      <c r="Z5" s="8">
        <f>IF(OR($G5="",$J5=""),"",IF(AND($G5&lt;=EOMONTH('02_カレンダー'!$B$4,0),$J5&gt;='02_カレンダー'!$B$4),$G5*10000+ROW(),""))</f>
        <v/>
      </c>
      <c r="AA5" s="8">
        <f>IF($H5="","",IF(ISNUMBER($H5),IF(AND($H5=INT($H5),$H5&gt;=0,$H5&lt;=24),TEXT(INT($H5),"00")&amp;":00",TEXT($H5,"hh:mm")),$H5))</f>
        <v/>
      </c>
      <c r="AB5" s="8">
        <f>IF($K5="","",IF(ISNUMBER($K5),IF(AND($K5=INT($K5),$K5&gt;=0,$K5&lt;=24),TEXT(INT($K5),"00")&amp;":00",TEXT($K5,"hh:mm")),$K5))</f>
        <v/>
      </c>
      <c r="AC5" s="8">
        <f>IF($G5="",0,$G5)</f>
        <v/>
      </c>
      <c r="AD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IF($F6="","",IF($F6&gt;31,$F6,IF($Y6="","",DATE(YEAR($Y6),MONTH($Y6),$F6))))</f>
        <v/>
      </c>
      <c r="H6" s="9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9" t="n">
        <v>9</v>
      </c>
      <c r="L6" s="8">
        <f>IF(OR($G6="",$J6=""),"",$J6-$G6+1)</f>
        <v/>
      </c>
      <c r="M6" s="8">
        <f>IF(OR($G6="",$J6=""),"",$J6-$G6)</f>
        <v/>
      </c>
      <c r="N6" s="9" t="inlineStr">
        <is>
          <t>確定</t>
        </is>
      </c>
      <c r="O6" s="9" t="inlineStr">
        <is>
          <t>なし</t>
        </is>
      </c>
      <c r="P6" s="9" t="n"/>
      <c r="Q6" s="9" t="n"/>
      <c r="R6" s="9" t="n"/>
      <c r="S6" s="9" t="n"/>
      <c r="T6" s="13" t="n"/>
      <c r="U6" s="9" t="n"/>
      <c r="V6" s="8">
        <f>IF($G6="","",IF($D6="","⚠部屋が未選択",IF(COUNTIF('M_部屋'!$A$4:$A$20,$D6)=0,"⚠部屋が未登録",IF(OR($J6="",$N6="キャンセル"),"",IF(SUMPRODUCT(($D$5:$D$204=$D6)*($G$5:$G$204&lt;&gt;"")*($J$5:$J$204&lt;&gt;"")*($N$5:$N$204&lt;&gt;"キャンセル")*($G$5:$G$204&lt;$J6)*($J$5:$J$204&gt;$G6))&gt;1,"⚠重複","")))))</f>
        <v/>
      </c>
      <c r="W6" s="8">
        <f>IF(OR($B6="",$G6=""),"",IF(SUMPRODUCT(('利用者マスタ'!$A$4:$A$60=$B6)*('利用者マスタ'!$B$4:$B$60&lt;&gt;""))=0,"",IF(SUMIFS($X$5:$X$204,$B$5:$B$204,$B6,$G$5:$G$204,"&gt;="&amp;DATE(YEAR($G6),MONTH($G6),1),$G$5:$G$204,"&lt;="&amp;EOMONTH($G6,0))&gt;SUMIFS('利用者マスタ'!$B$4:$B$60,'利用者マスタ'!$A$4:$A$60,$B6),"⚠支給量超過","")))</f>
        <v/>
      </c>
      <c r="X6" s="8">
        <f>IF(OR($G6="",$J6="",$N6="キャンセル"),0,IF(IFERROR(INDEX('M_区分'!$B$4:$B$20,MATCH($C6,'M_区分'!$A$4:$A$20,0)),"○")="○",$J6-$G6+1,0))</f>
        <v/>
      </c>
      <c r="Y6" s="8">
        <f>IF($E6&lt;&gt;"",$E6,$Y5)</f>
        <v/>
      </c>
      <c r="Z6" s="8">
        <f>IF(OR($G6="",$J6=""),"",IF(AND($G6&lt;=EOMONTH('02_カレンダー'!$B$4,0),$J6&gt;='02_カレンダー'!$B$4),$G6*10000+ROW(),""))</f>
        <v/>
      </c>
      <c r="AA6" s="8">
        <f>IF($H6="","",IF(ISNUMBER($H6),IF(AND($H6=INT($H6),$H6&gt;=0,$H6&lt;=24),TEXT(INT($H6),"00")&amp;":00",TEXT($H6,"hh:mm")),$H6))</f>
        <v/>
      </c>
      <c r="AB6" s="8">
        <f>IF($K6="","",IF(ISNUMBER($K6),IF(AND($K6=INT($K6),$K6&gt;=0,$K6&lt;=24),TEXT(INT($K6),"00")&amp;":00",TEXT($K6,"hh:mm")),$K6))</f>
        <v/>
      </c>
      <c r="AC6" s="8">
        <f>IF($G6="",0,$G6)</f>
        <v/>
      </c>
      <c r="AD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IF($F7="","",IF($F7&gt;31,$F7,IF($Y7="","",DATE(YEAR($Y7),MONTH($Y7),$F7))))</f>
        <v/>
      </c>
      <c r="H7" s="9" t="n">
        <v>10</v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9" t="n">
        <v>16</v>
      </c>
      <c r="L7" s="8">
        <f>IF(OR($G7="",$J7=""),"",$J7-$G7+1)</f>
        <v/>
      </c>
      <c r="M7" s="8">
        <f>IF(OR($G7="",$J7=""),"",$J7-$G7)</f>
        <v/>
      </c>
      <c r="N7" s="9" t="inlineStr">
        <is>
          <t>確定</t>
        </is>
      </c>
      <c r="O7" s="9" t="inlineStr">
        <is>
          <t>あり</t>
        </is>
      </c>
      <c r="P7" s="9" t="inlineStr">
        <is>
          <t>家族送迎</t>
        </is>
      </c>
      <c r="Q7" s="9" t="n"/>
      <c r="R7" s="9" t="n"/>
      <c r="S7" s="9" t="inlineStr">
        <is>
          <t>日帰り（体験利用）</t>
        </is>
      </c>
      <c r="T7" s="13" t="n"/>
      <c r="U7" s="9" t="n"/>
      <c r="V7" s="8">
        <f>IF($G7="","",IF($D7="","⚠部屋が未選択",IF(COUNTIF('M_部屋'!$A$4:$A$20,$D7)=0,"⚠部屋が未登録",IF(OR($J7="",$N7="キャンセル"),"",IF(SUMPRODUCT(($D$5:$D$204=$D7)*($G$5:$G$204&lt;&gt;"")*($J$5:$J$204&lt;&gt;"")*($N$5:$N$204&lt;&gt;"キャンセル")*($G$5:$G$204&lt;$J7)*($J$5:$J$204&gt;$G7))&gt;1,"⚠重複","")))))</f>
        <v/>
      </c>
      <c r="W7" s="8">
        <f>IF(OR($B7="",$G7=""),"",IF(SUMPRODUCT(('利用者マスタ'!$A$4:$A$60=$B7)*('利用者マスタ'!$B$4:$B$60&lt;&gt;""))=0,"",IF(SUMIFS($X$5:$X$204,$B$5:$B$204,$B7,$G$5:$G$204,"&gt;="&amp;DATE(YEAR($G7),MONTH($G7),1),$G$5:$G$204,"&lt;="&amp;EOMONTH($G7,0))&gt;SUMIFS('利用者マスタ'!$B$4:$B$60,'利用者マスタ'!$A$4:$A$60,$B7),"⚠支給量超過","")))</f>
        <v/>
      </c>
      <c r="X7" s="8">
        <f>IF(OR($G7="",$J7="",$N7="キャンセル"),0,IF(IFERROR(INDEX('M_区分'!$B$4:$B$20,MATCH($C7,'M_区分'!$A$4:$A$20,0)),"○")="○",$J7-$G7+1,0))</f>
        <v/>
      </c>
      <c r="Y7" s="8">
        <f>IF($E7&lt;&gt;"",$E7,$Y6)</f>
        <v/>
      </c>
      <c r="Z7" s="8">
        <f>IF(OR($G7="",$J7=""),"",IF(AND($G7&lt;=EOMONTH('02_カレンダー'!$B$4,0),$J7&gt;='02_カレンダー'!$B$4),$G7*10000+ROW(),""))</f>
        <v/>
      </c>
      <c r="AA7" s="8">
        <f>IF($H7="","",IF(ISNUMBER($H7),IF(AND($H7=INT($H7),$H7&gt;=0,$H7&lt;=24),TEXT(INT($H7),"00")&amp;":00",TEXT($H7,"hh:mm")),$H7))</f>
        <v/>
      </c>
      <c r="AB7" s="8">
        <f>IF($K7="","",IF(ISNUMBER($K7),IF(AND($K7=INT($K7),$K7&gt;=0,$K7&lt;=24),TEXT(INT($K7),"00")&amp;":00",TEXT($K7,"hh:mm")),$K7))</f>
        <v/>
      </c>
      <c r="AC7" s="8">
        <f>IF($G7="",0,$G7)</f>
        <v/>
      </c>
      <c r="AD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IF($F8="","",IF($F8&gt;31,$F8,IF($Y8="","",DATE(YEAR($Y8),MONTH($Y8),$F8))))</f>
        <v/>
      </c>
      <c r="H8" s="9" t="n">
        <v>16</v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9" t="n">
        <v>9</v>
      </c>
      <c r="L8" s="8">
        <f>IF(OR($G8="",$J8=""),"",$J8-$G8+1)</f>
        <v/>
      </c>
      <c r="M8" s="8">
        <f>IF(OR($G8="",$J8=""),"",$J8-$G8)</f>
        <v/>
      </c>
      <c r="N8" s="9" t="inlineStr">
        <is>
          <t>確定</t>
        </is>
      </c>
      <c r="O8" s="9" t="inlineStr">
        <is>
          <t>調整中</t>
        </is>
      </c>
      <c r="P8" s="9" t="n"/>
      <c r="Q8" s="9" t="n"/>
      <c r="R8" s="9" t="n"/>
      <c r="S8" s="9" t="n"/>
      <c r="T8" s="13" t="n"/>
      <c r="U8" s="9" t="n"/>
      <c r="V8" s="8">
        <f>IF($G8="","",IF($D8="","⚠部屋が未選択",IF(COUNTIF('M_部屋'!$A$4:$A$20,$D8)=0,"⚠部屋が未登録",IF(OR($J8="",$N8="キャンセル"),"",IF(SUMPRODUCT(($D$5:$D$204=$D8)*($G$5:$G$204&lt;&gt;"")*($J$5:$J$204&lt;&gt;"")*($N$5:$N$204&lt;&gt;"キャンセル")*($G$5:$G$204&lt;$J8)*($J$5:$J$204&gt;$G8))&gt;1,"⚠重複","")))))</f>
        <v/>
      </c>
      <c r="W8" s="8">
        <f>IF(OR($B8="",$G8=""),"",IF(SUMPRODUCT(('利用者マスタ'!$A$4:$A$60=$B8)*('利用者マスタ'!$B$4:$B$60&lt;&gt;""))=0,"",IF(SUMIFS($X$5:$X$204,$B$5:$B$204,$B8,$G$5:$G$204,"&gt;="&amp;DATE(YEAR($G8),MONTH($G8),1),$G$5:$G$204,"&lt;="&amp;EOMONTH($G8,0))&gt;SUMIFS('利用者マスタ'!$B$4:$B$60,'利用者マスタ'!$A$4:$A$60,$B8),"⚠支給量超過","")))</f>
        <v/>
      </c>
      <c r="X8" s="8">
        <f>IF(OR($G8="",$J8="",$N8="キャンセル"),0,IF(IFERROR(INDEX('M_区分'!$B$4:$B$20,MATCH($C8,'M_区分'!$A$4:$A$20,0)),"○")="○",$J8-$G8+1,0))</f>
        <v/>
      </c>
      <c r="Y8" s="8">
        <f>IF($E8&lt;&gt;"",$E8,$Y7)</f>
        <v/>
      </c>
      <c r="Z8" s="8">
        <f>IF(OR($G8="",$J8=""),"",IF(AND($G8&lt;=EOMONTH('02_カレンダー'!$B$4,0),$J8&gt;='02_カレンダー'!$B$4),$G8*10000+ROW(),""))</f>
        <v/>
      </c>
      <c r="AA8" s="8">
        <f>IF($H8="","",IF(ISNUMBER($H8),IF(AND($H8=INT($H8),$H8&gt;=0,$H8&lt;=24),TEXT(INT($H8),"00")&amp;":00",TEXT($H8,"hh:mm")),$H8))</f>
        <v/>
      </c>
      <c r="AB8" s="8">
        <f>IF($K8="","",IF(ISNUMBER($K8),IF(AND($K8=INT($K8),$K8&gt;=0,$K8&lt;=24),TEXT(INT($K8),"00")&amp;":00",TEXT($K8,"hh:mm")),$K8))</f>
        <v/>
      </c>
      <c r="AC8" s="8">
        <f>IF($G8="",0,$G8)</f>
        <v/>
      </c>
      <c r="AD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IF($F9="","",IF($F9&gt;31,$F9,IF($Y9="","",DATE(YEAR($Y9),MONTH($Y9),$F9))))</f>
        <v/>
      </c>
      <c r="H9" s="9" t="n"/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9" t="n"/>
      <c r="L9" s="8">
        <f>IF(OR($G9="",$J9=""),"",$J9-$G9+1)</f>
        <v/>
      </c>
      <c r="M9" s="8">
        <f>IF(OR($G9="",$J9=""),"",$J9-$G9)</f>
        <v/>
      </c>
      <c r="N9" s="9" t="n"/>
      <c r="O9" s="9" t="n"/>
      <c r="P9" s="9" t="n"/>
      <c r="Q9" s="9" t="n"/>
      <c r="R9" s="9" t="n"/>
      <c r="S9" s="9" t="n"/>
      <c r="T9" s="13" t="n"/>
      <c r="U9" s="9" t="n"/>
      <c r="V9" s="8">
        <f>IF($G9="","",IF($D9="","⚠部屋が未選択",IF(COUNTIF('M_部屋'!$A$4:$A$20,$D9)=0,"⚠部屋が未登録",IF(OR($J9="",$N9="キャンセル"),"",IF(SUMPRODUCT(($D$5:$D$204=$D9)*($G$5:$G$204&lt;&gt;"")*($J$5:$J$204&lt;&gt;"")*($N$5:$N$204&lt;&gt;"キャンセル")*($G$5:$G$204&lt;$J9)*($J$5:$J$204&gt;$G9))&gt;1,"⚠重複","")))))</f>
        <v/>
      </c>
      <c r="W9" s="8">
        <f>IF(OR($B9="",$G9=""),"",IF(SUMPRODUCT(('利用者マスタ'!$A$4:$A$60=$B9)*('利用者マスタ'!$B$4:$B$60&lt;&gt;""))=0,"",IF(SUMIFS($X$5:$X$204,$B$5:$B$204,$B9,$G$5:$G$204,"&gt;="&amp;DATE(YEAR($G9),MONTH($G9),1),$G$5:$G$204,"&lt;="&amp;EOMONTH($G9,0))&gt;SUMIFS('利用者マスタ'!$B$4:$B$60,'利用者マスタ'!$A$4:$A$60,$B9),"⚠支給量超過","")))</f>
        <v/>
      </c>
      <c r="X9" s="8">
        <f>IF(OR($G9="",$J9="",$N9="キャンセル"),0,IF(IFERROR(INDEX('M_区分'!$B$4:$B$20,MATCH($C9,'M_区分'!$A$4:$A$20,0)),"○")="○",$J9-$G9+1,0))</f>
        <v/>
      </c>
      <c r="Y9" s="8">
        <f>IF($E9&lt;&gt;"",$E9,$Y8)</f>
        <v/>
      </c>
      <c r="Z9" s="8">
        <f>IF(OR($G9="",$J9=""),"",IF(AND($G9&lt;=EOMONTH('02_カレンダー'!$B$4,0),$J9&gt;='02_カレンダー'!$B$4),$G9*10000+ROW(),""))</f>
        <v/>
      </c>
      <c r="AA9" s="8">
        <f>IF($H9="","",IF(ISNUMBER($H9),IF(AND($H9=INT($H9),$H9&gt;=0,$H9&lt;=24),TEXT(INT($H9),"00")&amp;":00",TEXT($H9,"hh:mm")),$H9))</f>
        <v/>
      </c>
      <c r="AB9" s="8">
        <f>IF($K9="","",IF(ISNUMBER($K9),IF(AND($K9=INT($K9),$K9&gt;=0,$K9&lt;=24),TEXT(INT($K9),"00")&amp;":00",TEXT($K9,"hh:mm")),$K9))</f>
        <v/>
      </c>
      <c r="AC9" s="8">
        <f>IF($G9="",0,$G9)</f>
        <v/>
      </c>
      <c r="AD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IF($F10="","",IF($F10&gt;31,$F10,IF($Y10="","",DATE(YEAR($Y10),MONTH($Y10),$F10))))</f>
        <v/>
      </c>
      <c r="H10" s="9" t="n"/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9" t="n"/>
      <c r="L10" s="8">
        <f>IF(OR($G10="",$J10=""),"",$J10-$G10+1)</f>
        <v/>
      </c>
      <c r="M10" s="8">
        <f>IF(OR($G10="",$J10=""),"",$J10-$G10)</f>
        <v/>
      </c>
      <c r="N10" s="9" t="n"/>
      <c r="O10" s="9" t="n"/>
      <c r="P10" s="9" t="n"/>
      <c r="Q10" s="9" t="n"/>
      <c r="R10" s="9" t="n"/>
      <c r="S10" s="9" t="n"/>
      <c r="T10" s="13" t="n"/>
      <c r="U10" s="9" t="n"/>
      <c r="V10" s="8">
        <f>IF($G10="","",IF($D10="","⚠部屋が未選択",IF(COUNTIF('M_部屋'!$A$4:$A$20,$D10)=0,"⚠部屋が未登録",IF(OR($J10="",$N10="キャンセル"),"",IF(SUMPRODUCT(($D$5:$D$204=$D10)*($G$5:$G$204&lt;&gt;"")*($J$5:$J$204&lt;&gt;"")*($N$5:$N$204&lt;&gt;"キャンセル")*($G$5:$G$204&lt;$J10)*($J$5:$J$204&gt;$G10))&gt;1,"⚠重複","")))))</f>
        <v/>
      </c>
      <c r="W10" s="8">
        <f>IF(OR($B10="",$G10=""),"",IF(SUMPRODUCT(('利用者マスタ'!$A$4:$A$60=$B10)*('利用者マスタ'!$B$4:$B$60&lt;&gt;""))=0,"",IF(SUMIFS($X$5:$X$204,$B$5:$B$204,$B10,$G$5:$G$204,"&gt;="&amp;DATE(YEAR($G10),MONTH($G10),1),$G$5:$G$204,"&lt;="&amp;EOMONTH($G10,0))&gt;SUMIFS('利用者マスタ'!$B$4:$B$60,'利用者マスタ'!$A$4:$A$60,$B10),"⚠支給量超過","")))</f>
        <v/>
      </c>
      <c r="X10" s="8">
        <f>IF(OR($G10="",$J10="",$N10="キャンセル"),0,IF(IFERROR(INDEX('M_区分'!$B$4:$B$20,MATCH($C10,'M_区分'!$A$4:$A$20,0)),"○")="○",$J10-$G10+1,0))</f>
        <v/>
      </c>
      <c r="Y10" s="8">
        <f>IF($E10&lt;&gt;"",$E10,$Y9)</f>
        <v/>
      </c>
      <c r="Z10" s="8">
        <f>IF(OR($G10="",$J10=""),"",IF(AND($G10&lt;=EOMONTH('02_カレンダー'!$B$4,0),$J10&gt;='02_カレンダー'!$B$4),$G10*10000+ROW(),""))</f>
        <v/>
      </c>
      <c r="AA10" s="8">
        <f>IF($H10="","",IF(ISNUMBER($H10),IF(AND($H10=INT($H10),$H10&gt;=0,$H10&lt;=24),TEXT(INT($H10),"00")&amp;":00",TEXT($H10,"hh:mm")),$H10))</f>
        <v/>
      </c>
      <c r="AB10" s="8">
        <f>IF($K10="","",IF(ISNUMBER($K10),IF(AND($K10=INT($K10),$K10&gt;=0,$K10&lt;=24),TEXT(INT($K10),"00")&amp;":00",TEXT($K10,"hh:mm")),$K10))</f>
        <v/>
      </c>
      <c r="AC10" s="8">
        <f>IF($G10="",0,$G10)</f>
        <v/>
      </c>
      <c r="AD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IF($F11="","",IF($F11&gt;31,$F11,IF($Y11="","",DATE(YEAR($Y11),MONTH($Y11),$F11))))</f>
        <v/>
      </c>
      <c r="H11" s="9" t="n"/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9" t="n"/>
      <c r="L11" s="8">
        <f>IF(OR($G11="",$J11=""),"",$J11-$G11+1)</f>
        <v/>
      </c>
      <c r="M11" s="8">
        <f>IF(OR($G11="",$J11=""),"",$J11-$G11)</f>
        <v/>
      </c>
      <c r="N11" s="9" t="n"/>
      <c r="O11" s="9" t="n"/>
      <c r="P11" s="9" t="n"/>
      <c r="Q11" s="9" t="n"/>
      <c r="R11" s="9" t="n"/>
      <c r="S11" s="9" t="n"/>
      <c r="T11" s="13" t="n"/>
      <c r="U11" s="9" t="n"/>
      <c r="V11" s="8">
        <f>IF($G11="","",IF($D11="","⚠部屋が未選択",IF(COUNTIF('M_部屋'!$A$4:$A$20,$D11)=0,"⚠部屋が未登録",IF(OR($J11="",$N11="キャンセル"),"",IF(SUMPRODUCT(($D$5:$D$204=$D11)*($G$5:$G$204&lt;&gt;"")*($J$5:$J$204&lt;&gt;"")*($N$5:$N$204&lt;&gt;"キャンセル")*($G$5:$G$204&lt;$J11)*($J$5:$J$204&gt;$G11))&gt;1,"⚠重複","")))))</f>
        <v/>
      </c>
      <c r="W11" s="8">
        <f>IF(OR($B11="",$G11=""),"",IF(SUMPRODUCT(('利用者マスタ'!$A$4:$A$60=$B11)*('利用者マスタ'!$B$4:$B$60&lt;&gt;""))=0,"",IF(SUMIFS($X$5:$X$204,$B$5:$B$204,$B11,$G$5:$G$204,"&gt;="&amp;DATE(YEAR($G11),MONTH($G11),1),$G$5:$G$204,"&lt;="&amp;EOMONTH($G11,0))&gt;SUMIFS('利用者マスタ'!$B$4:$B$60,'利用者マスタ'!$A$4:$A$60,$B11),"⚠支給量超過","")))</f>
        <v/>
      </c>
      <c r="X11" s="8">
        <f>IF(OR($G11="",$J11="",$N11="キャンセル"),0,IF(IFERROR(INDEX('M_区分'!$B$4:$B$20,MATCH($C11,'M_区分'!$A$4:$A$20,0)),"○")="○",$J11-$G11+1,0))</f>
        <v/>
      </c>
      <c r="Y11" s="8">
        <f>IF($E11&lt;&gt;"",$E11,$Y10)</f>
        <v/>
      </c>
      <c r="Z11" s="8">
        <f>IF(OR($G11="",$J11=""),"",IF(AND($G11&lt;=EOMONTH('02_カレンダー'!$B$4,0),$J11&gt;='02_カレンダー'!$B$4),$G11*10000+ROW(),""))</f>
        <v/>
      </c>
      <c r="AA11" s="8">
        <f>IF($H11="","",IF(ISNUMBER($H11),IF(AND($H11=INT($H11),$H11&gt;=0,$H11&lt;=24),TEXT(INT($H11),"00")&amp;":00",TEXT($H11,"hh:mm")),$H11))</f>
        <v/>
      </c>
      <c r="AB11" s="8">
        <f>IF($K11="","",IF(ISNUMBER($K11),IF(AND($K11=INT($K11),$K11&gt;=0,$K11&lt;=24),TEXT(INT($K11),"00")&amp;":00",TEXT($K11,"hh:mm")),$K11))</f>
        <v/>
      </c>
      <c r="AC11" s="8">
        <f>IF($G11="",0,$G11)</f>
        <v/>
      </c>
      <c r="AD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n"/>
      <c r="E12" s="10" t="n"/>
      <c r="F12" s="11" t="n">
        <v>29</v>
      </c>
      <c r="G12" s="12">
        <f>IF($F12="","",IF($F12&gt;31,$F12,IF($Y12="","",DATE(YEAR($Y12),MONTH($Y12),$F12))))</f>
        <v/>
      </c>
      <c r="H12" s="9" t="n"/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9" t="n"/>
      <c r="L12" s="8">
        <f>IF(OR($G12="",$J12=""),"",$J12-$G12+1)</f>
        <v/>
      </c>
      <c r="M12" s="8">
        <f>IF(OR($G12="",$J12=""),"",$J12-$G12)</f>
        <v/>
      </c>
      <c r="N12" s="9" t="n"/>
      <c r="O12" s="9" t="n"/>
      <c r="P12" s="9" t="n"/>
      <c r="Q12" s="9" t="n"/>
      <c r="R12" s="9" t="n"/>
      <c r="S12" s="9" t="n"/>
      <c r="T12" s="13" t="n"/>
      <c r="U12" s="9" t="n"/>
      <c r="V12" s="8">
        <f>IF($G12="","",IF($D12="","⚠部屋が未選択",IF(COUNTIF('M_部屋'!$A$4:$A$20,$D12)=0,"⚠部屋が未登録",IF(OR($J12="",$N12="キャンセル"),"",IF(SUMPRODUCT(($D$5:$D$204=$D12)*($G$5:$G$204&lt;&gt;"")*($J$5:$J$204&lt;&gt;"")*($N$5:$N$204&lt;&gt;"キャンセル")*($G$5:$G$204&lt;$J12)*($J$5:$J$204&gt;$G12))&gt;1,"⚠重複","")))))</f>
        <v/>
      </c>
      <c r="W12" s="8">
        <f>IF(OR($B12="",$G12=""),"",IF(SUMPRODUCT(('利用者マスタ'!$A$4:$A$60=$B12)*('利用者マスタ'!$B$4:$B$60&lt;&gt;""))=0,"",IF(SUMIFS($X$5:$X$204,$B$5:$B$204,$B12,$G$5:$G$204,"&gt;="&amp;DATE(YEAR($G12),MONTH($G12),1),$G$5:$G$204,"&lt;="&amp;EOMONTH($G12,0))&gt;SUMIFS('利用者マスタ'!$B$4:$B$60,'利用者マスタ'!$A$4:$A$60,$B12),"⚠支給量超過","")))</f>
        <v/>
      </c>
      <c r="X12" s="8">
        <f>IF(OR($G12="",$J12="",$N12="キャンセル"),0,IF(IFERROR(INDEX('M_区分'!$B$4:$B$20,MATCH($C12,'M_区分'!$A$4:$A$20,0)),"○")="○",$J12-$G12+1,0))</f>
        <v/>
      </c>
      <c r="Y12" s="8">
        <f>IF($E12&lt;&gt;"",$E12,$Y11)</f>
        <v/>
      </c>
      <c r="Z12" s="8">
        <f>IF(OR($G12="",$J12=""),"",IF(AND($G12&lt;=EOMONTH('02_カレンダー'!$B$4,0),$J12&gt;='02_カレンダー'!$B$4),$G12*10000+ROW(),""))</f>
        <v/>
      </c>
      <c r="AA12" s="8">
        <f>IF($H12="","",IF(ISNUMBER($H12),IF(AND($H12=INT($H12),$H12&gt;=0,$H12&lt;=24),TEXT(INT($H12),"00")&amp;":00",TEXT($H12,"hh:mm")),$H12))</f>
        <v/>
      </c>
      <c r="AB12" s="8">
        <f>IF($K12="","",IF(ISNUMBER($K12),IF(AND($K12=INT($K12),$K12&gt;=0,$K12&lt;=24),TEXT(INT($K12),"00")&amp;":00",TEXT($K12,"hh:mm")),$K12))</f>
        <v/>
      </c>
      <c r="AC12" s="8">
        <f>IF($G12="",0,$G12)</f>
        <v/>
      </c>
      <c r="AD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n"/>
      <c r="E13" s="10" t="n"/>
      <c r="F13" s="11" t="n">
        <v>31</v>
      </c>
      <c r="G13" s="12">
        <f>IF($F13="","",IF($F13&gt;31,$F13,IF($Y13="","",DATE(YEAR($Y13),MONTH($Y13),$F13))))</f>
        <v/>
      </c>
      <c r="H13" s="9" t="n"/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9" t="n"/>
      <c r="L13" s="8">
        <f>IF(OR($G13="",$J13=""),"",$J13-$G13+1)</f>
        <v/>
      </c>
      <c r="M13" s="8">
        <f>IF(OR($G13="",$J13=""),"",$J13-$G13)</f>
        <v/>
      </c>
      <c r="N13" s="9" t="n"/>
      <c r="O13" s="9" t="n"/>
      <c r="P13" s="9" t="n"/>
      <c r="Q13" s="9" t="n"/>
      <c r="R13" s="9" t="n"/>
      <c r="S13" s="9" t="n"/>
      <c r="T13" s="13" t="n"/>
      <c r="U13" s="9" t="n"/>
      <c r="V13" s="8">
        <f>IF($G13="","",IF($D13="","⚠部屋が未選択",IF(COUNTIF('M_部屋'!$A$4:$A$20,$D13)=0,"⚠部屋が未登録",IF(OR($J13="",$N13="キャンセル"),"",IF(SUMPRODUCT(($D$5:$D$204=$D13)*($G$5:$G$204&lt;&gt;"")*($J$5:$J$204&lt;&gt;"")*($N$5:$N$204&lt;&gt;"キャンセル")*($G$5:$G$204&lt;$J13)*($J$5:$J$204&gt;$G13))&gt;1,"⚠重複","")))))</f>
        <v/>
      </c>
      <c r="W13" s="8">
        <f>IF(OR($B13="",$G13=""),"",IF(SUMPRODUCT(('利用者マスタ'!$A$4:$A$60=$B13)*('利用者マスタ'!$B$4:$B$60&lt;&gt;""))=0,"",IF(SUMIFS($X$5:$X$204,$B$5:$B$204,$B13,$G$5:$G$204,"&gt;="&amp;DATE(YEAR($G13),MONTH($G13),1),$G$5:$G$204,"&lt;="&amp;EOMONTH($G13,0))&gt;SUMIFS('利用者マスタ'!$B$4:$B$60,'利用者マスタ'!$A$4:$A$60,$B13),"⚠支給量超過","")))</f>
        <v/>
      </c>
      <c r="X13" s="8">
        <f>IF(OR($G13="",$J13="",$N13="キャンセル"),0,IF(IFERROR(INDEX('M_区分'!$B$4:$B$20,MATCH($C13,'M_区分'!$A$4:$A$20,0)),"○")="○",$J13-$G13+1,0))</f>
        <v/>
      </c>
      <c r="Y13" s="8">
        <f>IF($E13&lt;&gt;"",$E13,$Y12)</f>
        <v/>
      </c>
      <c r="Z13" s="8">
        <f>IF(OR($G13="",$J13=""),"",IF(AND($G13&lt;=EOMONTH('02_カレンダー'!$B$4,0),$J13&gt;='02_カレンダー'!$B$4),$G13*10000+ROW(),""))</f>
        <v/>
      </c>
      <c r="AA13" s="8">
        <f>IF($H13="","",IF(ISNUMBER($H13),IF(AND($H13=INT($H13),$H13&gt;=0,$H13&lt;=24),TEXT(INT($H13),"00")&amp;":00",TEXT($H13,"hh:mm")),$H13))</f>
        <v/>
      </c>
      <c r="AB13" s="8">
        <f>IF($K13="","",IF(ISNUMBER($K13),IF(AND($K13=INT($K13),$K13&gt;=0,$K13&lt;=24),TEXT(INT($K13),"00")&amp;":00",TEXT($K13,"hh:mm")),$K13))</f>
        <v/>
      </c>
      <c r="AC13" s="8">
        <f>IF($G13="",0,$G13)</f>
        <v/>
      </c>
      <c r="AD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IF($F14="","",IF($F14&gt;31,$F14,IF($Y14="","",DATE(YEAR($Y14),MONTH($Y14),$F14))))</f>
        <v/>
      </c>
      <c r="H14" s="9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9" t="n"/>
      <c r="L14" s="8">
        <f>IF(OR($G14="",$J14=""),"",$J14-$G14+1)</f>
        <v/>
      </c>
      <c r="M14" s="8">
        <f>IF(OR($G14="",$J14=""),"",$J14-$G14)</f>
        <v/>
      </c>
      <c r="N14" s="9" t="n"/>
      <c r="O14" s="9" t="n"/>
      <c r="P14" s="9" t="n"/>
      <c r="Q14" s="9" t="n"/>
      <c r="R14" s="9" t="n"/>
      <c r="S14" s="9" t="n"/>
      <c r="T14" s="13" t="n"/>
      <c r="U14" s="9" t="n"/>
      <c r="V14" s="8">
        <f>IF($G14="","",IF($D14="","⚠部屋が未選択",IF(COUNTIF('M_部屋'!$A$4:$A$20,$D14)=0,"⚠部屋が未登録",IF(OR($J14="",$N14="キャンセル"),"",IF(SUMPRODUCT(($D$5:$D$204=$D14)*($G$5:$G$204&lt;&gt;"")*($J$5:$J$204&lt;&gt;"")*($N$5:$N$204&lt;&gt;"キャンセル")*($G$5:$G$204&lt;$J14)*($J$5:$J$204&gt;$G14))&gt;1,"⚠重複","")))))</f>
        <v/>
      </c>
      <c r="W14" s="8">
        <f>IF(OR($B14="",$G14=""),"",IF(SUMPRODUCT(('利用者マスタ'!$A$4:$A$60=$B14)*('利用者マスタ'!$B$4:$B$60&lt;&gt;""))=0,"",IF(SUMIFS($X$5:$X$204,$B$5:$B$204,$B14,$G$5:$G$204,"&gt;="&amp;DATE(YEAR($G14),MONTH($G14),1),$G$5:$G$204,"&lt;="&amp;EOMONTH($G14,0))&gt;SUMIFS('利用者マスタ'!$B$4:$B$60,'利用者マスタ'!$A$4:$A$60,$B14),"⚠支給量超過","")))</f>
        <v/>
      </c>
      <c r="X14" s="8">
        <f>IF(OR($G14="",$J14="",$N14="キャンセル"),0,IF(IFERROR(INDEX('M_区分'!$B$4:$B$20,MATCH($C14,'M_区分'!$A$4:$A$20,0)),"○")="○",$J14-$G14+1,0))</f>
        <v/>
      </c>
      <c r="Y14" s="8">
        <f>IF($E14&lt;&gt;"",$E14,$Y13)</f>
        <v/>
      </c>
      <c r="Z14" s="8">
        <f>IF(OR($G14="",$J14=""),"",IF(AND($G14&lt;=EOMONTH('02_カレンダー'!$B$4,0),$J14&gt;='02_カレンダー'!$B$4),$G14*10000+ROW(),""))</f>
        <v/>
      </c>
      <c r="AA14" s="8">
        <f>IF($H14="","",IF(ISNUMBER($H14),IF(AND($H14=INT($H14),$H14&gt;=0,$H14&lt;=24),TEXT(INT($H14),"00")&amp;":00",TEXT($H14,"hh:mm")),$H14))</f>
        <v/>
      </c>
      <c r="AB14" s="8">
        <f>IF($K14="","",IF(ISNUMBER($K14),IF(AND($K14=INT($K14),$K14&gt;=0,$K14&lt;=24),TEXT(INT($K14),"00")&amp;":00",TEXT($K14,"hh:mm")),$K14))</f>
        <v/>
      </c>
      <c r="AC14" s="8">
        <f>IF($G14="",0,$G14)</f>
        <v/>
      </c>
      <c r="AD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IF($F15="","",IF($F15&gt;31,$F15,IF($Y15="","",DATE(YEAR($Y15),MONTH($Y15),$F15))))</f>
        <v/>
      </c>
      <c r="H15" s="9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9" t="n"/>
      <c r="L15" s="8">
        <f>IF(OR($G15="",$J15=""),"",$J15-$G15+1)</f>
        <v/>
      </c>
      <c r="M15" s="8">
        <f>IF(OR($G15="",$J15=""),"",$J15-$G15)</f>
        <v/>
      </c>
      <c r="N15" s="9" t="n"/>
      <c r="O15" s="9" t="n"/>
      <c r="P15" s="9" t="n"/>
      <c r="Q15" s="9" t="n"/>
      <c r="R15" s="9" t="n"/>
      <c r="S15" s="9" t="n"/>
      <c r="T15" s="13" t="n"/>
      <c r="U15" s="9" t="n"/>
      <c r="V15" s="8">
        <f>IF($G15="","",IF($D15="","⚠部屋が未選択",IF(COUNTIF('M_部屋'!$A$4:$A$20,$D15)=0,"⚠部屋が未登録",IF(OR($J15="",$N15="キャンセル"),"",IF(SUMPRODUCT(($D$5:$D$204=$D15)*($G$5:$G$204&lt;&gt;"")*($J$5:$J$204&lt;&gt;"")*($N$5:$N$204&lt;&gt;"キャンセル")*($G$5:$G$204&lt;$J15)*($J$5:$J$204&gt;$G15))&gt;1,"⚠重複","")))))</f>
        <v/>
      </c>
      <c r="W15" s="8">
        <f>IF(OR($B15="",$G15=""),"",IF(SUMPRODUCT(('利用者マスタ'!$A$4:$A$60=$B15)*('利用者マスタ'!$B$4:$B$60&lt;&gt;""))=0,"",IF(SUMIFS($X$5:$X$204,$B$5:$B$204,$B15,$G$5:$G$204,"&gt;="&amp;DATE(YEAR($G15),MONTH($G15),1),$G$5:$G$204,"&lt;="&amp;EOMONTH($G15,0))&gt;SUMIFS('利用者マスタ'!$B$4:$B$60,'利用者マスタ'!$A$4:$A$60,$B15),"⚠支給量超過","")))</f>
        <v/>
      </c>
      <c r="X15" s="8">
        <f>IF(OR($G15="",$J15="",$N15="キャンセル"),0,IF(IFERROR(INDEX('M_区分'!$B$4:$B$20,MATCH($C15,'M_区分'!$A$4:$A$20,0)),"○")="○",$J15-$G15+1,0))</f>
        <v/>
      </c>
      <c r="Y15" s="8">
        <f>IF($E15&lt;&gt;"",$E15,$Y14)</f>
        <v/>
      </c>
      <c r="Z15" s="8">
        <f>IF(OR($G15="",$J15=""),"",IF(AND($G15&lt;=EOMONTH('02_カレンダー'!$B$4,0),$J15&gt;='02_カレンダー'!$B$4),$G15*10000+ROW(),""))</f>
        <v/>
      </c>
      <c r="AA15" s="8">
        <f>IF($H15="","",IF(ISNUMBER($H15),IF(AND($H15=INT($H15),$H15&gt;=0,$H15&lt;=24),TEXT(INT($H15),"00")&amp;":00",TEXT($H15,"hh:mm")),$H15))</f>
        <v/>
      </c>
      <c r="AB15" s="8">
        <f>IF($K15="","",IF(ISNUMBER($K15),IF(AND($K15=INT($K15),$K15&gt;=0,$K15&lt;=24),TEXT(INT($K15),"00")&amp;":00",TEXT($K15,"hh:mm")),$K15))</f>
        <v/>
      </c>
      <c r="AC15" s="8">
        <f>IF($G15="",0,$G15)</f>
        <v/>
      </c>
      <c r="AD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IF($F16="","",IF($F16&gt;31,$F16,IF($Y16="","",DATE(YEAR($Y16),MONTH($Y16),$F16))))</f>
        <v/>
      </c>
      <c r="H16" s="9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9" t="n"/>
      <c r="L16" s="8">
        <f>IF(OR($G16="",$J16=""),"",$J16-$G16+1)</f>
        <v/>
      </c>
      <c r="M16" s="8">
        <f>IF(OR($G16="",$J16=""),"",$J16-$G16)</f>
        <v/>
      </c>
      <c r="N16" s="9" t="n"/>
      <c r="O16" s="9" t="n"/>
      <c r="P16" s="9" t="n"/>
      <c r="Q16" s="9" t="n"/>
      <c r="R16" s="9" t="n"/>
      <c r="S16" s="9" t="n"/>
      <c r="T16" s="13" t="n"/>
      <c r="U16" s="9" t="n"/>
      <c r="V16" s="8">
        <f>IF($G16="","",IF($D16="","⚠部屋が未選択",IF(COUNTIF('M_部屋'!$A$4:$A$20,$D16)=0,"⚠部屋が未登録",IF(OR($J16="",$N16="キャンセル"),"",IF(SUMPRODUCT(($D$5:$D$204=$D16)*($G$5:$G$204&lt;&gt;"")*($J$5:$J$204&lt;&gt;"")*($N$5:$N$204&lt;&gt;"キャンセル")*($G$5:$G$204&lt;$J16)*($J$5:$J$204&gt;$G16))&gt;1,"⚠重複","")))))</f>
        <v/>
      </c>
      <c r="W16" s="8">
        <f>IF(OR($B16="",$G16=""),"",IF(SUMPRODUCT(('利用者マスタ'!$A$4:$A$60=$B16)*('利用者マスタ'!$B$4:$B$60&lt;&gt;""))=0,"",IF(SUMIFS($X$5:$X$204,$B$5:$B$204,$B16,$G$5:$G$204,"&gt;="&amp;DATE(YEAR($G16),MONTH($G16),1),$G$5:$G$204,"&lt;="&amp;EOMONTH($G16,0))&gt;SUMIFS('利用者マスタ'!$B$4:$B$60,'利用者マスタ'!$A$4:$A$60,$B16),"⚠支給量超過","")))</f>
        <v/>
      </c>
      <c r="X16" s="8">
        <f>IF(OR($G16="",$J16="",$N16="キャンセル"),0,IF(IFERROR(INDEX('M_区分'!$B$4:$B$20,MATCH($C16,'M_区分'!$A$4:$A$20,0)),"○")="○",$J16-$G16+1,0))</f>
        <v/>
      </c>
      <c r="Y16" s="8">
        <f>IF($E16&lt;&gt;"",$E16,$Y15)</f>
        <v/>
      </c>
      <c r="Z16" s="8">
        <f>IF(OR($G16="",$J16=""),"",IF(AND($G16&lt;=EOMONTH('02_カレンダー'!$B$4,0),$J16&gt;='02_カレンダー'!$B$4),$G16*10000+ROW(),""))</f>
        <v/>
      </c>
      <c r="AA16" s="8">
        <f>IF($H16="","",IF(ISNUMBER($H16),IF(AND($H16=INT($H16),$H16&gt;=0,$H16&lt;=24),TEXT(INT($H16),"00")&amp;":00",TEXT($H16,"hh:mm")),$H16))</f>
        <v/>
      </c>
      <c r="AB16" s="8">
        <f>IF($K16="","",IF(ISNUMBER($K16),IF(AND($K16=INT($K16),$K16&gt;=0,$K16&lt;=24),TEXT(INT($K16),"00")&amp;":00",TEXT($K16,"hh:mm")),$K16))</f>
        <v/>
      </c>
      <c r="AC16" s="8">
        <f>IF($G16="",0,$G16)</f>
        <v/>
      </c>
      <c r="AD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IF($F17="","",IF($F17&gt;31,$F17,IF($Y17="","",DATE(YEAR($Y17),MONTH($Y17),$F17))))</f>
        <v/>
      </c>
      <c r="H17" s="9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9" t="n"/>
      <c r="L17" s="8">
        <f>IF(OR($G17="",$J17=""),"",$J17-$G17+1)</f>
        <v/>
      </c>
      <c r="M17" s="8">
        <f>IF(OR($G17="",$J17=""),"",$J17-$G17)</f>
        <v/>
      </c>
      <c r="N17" s="9" t="n"/>
      <c r="O17" s="9" t="n"/>
      <c r="P17" s="9" t="n"/>
      <c r="Q17" s="9" t="n"/>
      <c r="R17" s="9" t="n"/>
      <c r="S17" s="9" t="n"/>
      <c r="T17" s="13" t="n"/>
      <c r="U17" s="9" t="n"/>
      <c r="V17" s="8">
        <f>IF($G17="","",IF($D17="","⚠部屋が未選択",IF(COUNTIF('M_部屋'!$A$4:$A$20,$D17)=0,"⚠部屋が未登録",IF(OR($J17="",$N17="キャンセル"),"",IF(SUMPRODUCT(($D$5:$D$204=$D17)*($G$5:$G$204&lt;&gt;"")*($J$5:$J$204&lt;&gt;"")*($N$5:$N$204&lt;&gt;"キャンセル")*($G$5:$G$204&lt;$J17)*($J$5:$J$204&gt;$G17))&gt;1,"⚠重複","")))))</f>
        <v/>
      </c>
      <c r="W17" s="8">
        <f>IF(OR($B17="",$G17=""),"",IF(SUMPRODUCT(('利用者マスタ'!$A$4:$A$60=$B17)*('利用者マスタ'!$B$4:$B$60&lt;&gt;""))=0,"",IF(SUMIFS($X$5:$X$204,$B$5:$B$204,$B17,$G$5:$G$204,"&gt;="&amp;DATE(YEAR($G17),MONTH($G17),1),$G$5:$G$204,"&lt;="&amp;EOMONTH($G17,0))&gt;SUMIFS('利用者マスタ'!$B$4:$B$60,'利用者マスタ'!$A$4:$A$60,$B17),"⚠支給量超過","")))</f>
        <v/>
      </c>
      <c r="X17" s="8">
        <f>IF(OR($G17="",$J17="",$N17="キャンセル"),0,IF(IFERROR(INDEX('M_区分'!$B$4:$B$20,MATCH($C17,'M_区分'!$A$4:$A$20,0)),"○")="○",$J17-$G17+1,0))</f>
        <v/>
      </c>
      <c r="Y17" s="8">
        <f>IF($E17&lt;&gt;"",$E17,$Y16)</f>
        <v/>
      </c>
      <c r="Z17" s="8">
        <f>IF(OR($G17="",$J17=""),"",IF(AND($G17&lt;=EOMONTH('02_カレンダー'!$B$4,0),$J17&gt;='02_カレンダー'!$B$4),$G17*10000+ROW(),""))</f>
        <v/>
      </c>
      <c r="AA17" s="8">
        <f>IF($H17="","",IF(ISNUMBER($H17),IF(AND($H17=INT($H17),$H17&gt;=0,$H17&lt;=24),TEXT(INT($H17),"00")&amp;":00",TEXT($H17,"hh:mm")),$H17))</f>
        <v/>
      </c>
      <c r="AB17" s="8">
        <f>IF($K17="","",IF(ISNUMBER($K17),IF(AND($K17=INT($K17),$K17&gt;=0,$K17&lt;=24),TEXT(INT($K17),"00")&amp;":00",TEXT($K17,"hh:mm")),$K17))</f>
        <v/>
      </c>
      <c r="AC17" s="8">
        <f>IF($G17="",0,$G17)</f>
        <v/>
      </c>
      <c r="AD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IF($F18="","",IF($F18&gt;31,$F18,IF($Y18="","",DATE(YEAR($Y18),MONTH($Y18),$F18))))</f>
        <v/>
      </c>
      <c r="H18" s="9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9" t="n"/>
      <c r="L18" s="8">
        <f>IF(OR($G18="",$J18=""),"",$J18-$G18+1)</f>
        <v/>
      </c>
      <c r="M18" s="8">
        <f>IF(OR($G18="",$J18=""),"",$J18-$G18)</f>
        <v/>
      </c>
      <c r="N18" s="9" t="n"/>
      <c r="O18" s="9" t="n"/>
      <c r="P18" s="9" t="n"/>
      <c r="Q18" s="9" t="n"/>
      <c r="R18" s="9" t="n"/>
      <c r="S18" s="9" t="n"/>
      <c r="T18" s="13" t="n"/>
      <c r="U18" s="9" t="n"/>
      <c r="V18" s="8">
        <f>IF($G18="","",IF($D18="","⚠部屋が未選択",IF(COUNTIF('M_部屋'!$A$4:$A$20,$D18)=0,"⚠部屋が未登録",IF(OR($J18="",$N18="キャンセル"),"",IF(SUMPRODUCT(($D$5:$D$204=$D18)*($G$5:$G$204&lt;&gt;"")*($J$5:$J$204&lt;&gt;"")*($N$5:$N$204&lt;&gt;"キャンセル")*($G$5:$G$204&lt;$J18)*($J$5:$J$204&gt;$G18))&gt;1,"⚠重複","")))))</f>
        <v/>
      </c>
      <c r="W18" s="8">
        <f>IF(OR($B18="",$G18=""),"",IF(SUMPRODUCT(('利用者マスタ'!$A$4:$A$60=$B18)*('利用者マスタ'!$B$4:$B$60&lt;&gt;""))=0,"",IF(SUMIFS($X$5:$X$204,$B$5:$B$204,$B18,$G$5:$G$204,"&gt;="&amp;DATE(YEAR($G18),MONTH($G18),1),$G$5:$G$204,"&lt;="&amp;EOMONTH($G18,0))&gt;SUMIFS('利用者マスタ'!$B$4:$B$60,'利用者マスタ'!$A$4:$A$60,$B18),"⚠支給量超過","")))</f>
        <v/>
      </c>
      <c r="X18" s="8">
        <f>IF(OR($G18="",$J18="",$N18="キャンセル"),0,IF(IFERROR(INDEX('M_区分'!$B$4:$B$20,MATCH($C18,'M_区分'!$A$4:$A$20,0)),"○")="○",$J18-$G18+1,0))</f>
        <v/>
      </c>
      <c r="Y18" s="8">
        <f>IF($E18&lt;&gt;"",$E18,$Y17)</f>
        <v/>
      </c>
      <c r="Z18" s="8">
        <f>IF(OR($G18="",$J18=""),"",IF(AND($G18&lt;=EOMONTH('02_カレンダー'!$B$4,0),$J18&gt;='02_カレンダー'!$B$4),$G18*10000+ROW(),""))</f>
        <v/>
      </c>
      <c r="AA18" s="8">
        <f>IF($H18="","",IF(ISNUMBER($H18),IF(AND($H18=INT($H18),$H18&gt;=0,$H18&lt;=24),TEXT(INT($H18),"00")&amp;":00",TEXT($H18,"hh:mm")),$H18))</f>
        <v/>
      </c>
      <c r="AB18" s="8">
        <f>IF($K18="","",IF(ISNUMBER($K18),IF(AND($K18=INT($K18),$K18&gt;=0,$K18&lt;=24),TEXT(INT($K18),"00")&amp;":00",TEXT($K18,"hh:mm")),$K18))</f>
        <v/>
      </c>
      <c r="AC18" s="8">
        <f>IF($G18="",0,$G18)</f>
        <v/>
      </c>
      <c r="AD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IF($F19="","",IF($F19&gt;31,$F19,IF($Y19="","",DATE(YEAR($Y19),MONTH($Y19),$F19))))</f>
        <v/>
      </c>
      <c r="H19" s="9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9" t="n"/>
      <c r="L19" s="8">
        <f>IF(OR($G19="",$J19=""),"",$J19-$G19+1)</f>
        <v/>
      </c>
      <c r="M19" s="8">
        <f>IF(OR($G19="",$J19=""),"",$J19-$G19)</f>
        <v/>
      </c>
      <c r="N19" s="9" t="n"/>
      <c r="O19" s="9" t="n"/>
      <c r="P19" s="9" t="n"/>
      <c r="Q19" s="9" t="n"/>
      <c r="R19" s="9" t="n"/>
      <c r="S19" s="9" t="n"/>
      <c r="T19" s="13" t="n"/>
      <c r="U19" s="9" t="n"/>
      <c r="V19" s="8">
        <f>IF($G19="","",IF($D19="","⚠部屋が未選択",IF(COUNTIF('M_部屋'!$A$4:$A$20,$D19)=0,"⚠部屋が未登録",IF(OR($J19="",$N19="キャンセル"),"",IF(SUMPRODUCT(($D$5:$D$204=$D19)*($G$5:$G$204&lt;&gt;"")*($J$5:$J$204&lt;&gt;"")*($N$5:$N$204&lt;&gt;"キャンセル")*($G$5:$G$204&lt;$J19)*($J$5:$J$204&gt;$G19))&gt;1,"⚠重複","")))))</f>
        <v/>
      </c>
      <c r="W19" s="8">
        <f>IF(OR($B19="",$G19=""),"",IF(SUMPRODUCT(('利用者マスタ'!$A$4:$A$60=$B19)*('利用者マスタ'!$B$4:$B$60&lt;&gt;""))=0,"",IF(SUMIFS($X$5:$X$204,$B$5:$B$204,$B19,$G$5:$G$204,"&gt;="&amp;DATE(YEAR($G19),MONTH($G19),1),$G$5:$G$204,"&lt;="&amp;EOMONTH($G19,0))&gt;SUMIFS('利用者マスタ'!$B$4:$B$60,'利用者マスタ'!$A$4:$A$60,$B19),"⚠支給量超過","")))</f>
        <v/>
      </c>
      <c r="X19" s="8">
        <f>IF(OR($G19="",$J19="",$N19="キャンセル"),0,IF(IFERROR(INDEX('M_区分'!$B$4:$B$20,MATCH($C19,'M_区分'!$A$4:$A$20,0)),"○")="○",$J19-$G19+1,0))</f>
        <v/>
      </c>
      <c r="Y19" s="8">
        <f>IF($E19&lt;&gt;"",$E19,$Y18)</f>
        <v/>
      </c>
      <c r="Z19" s="8">
        <f>IF(OR($G19="",$J19=""),"",IF(AND($G19&lt;=EOMONTH('02_カレンダー'!$B$4,0),$J19&gt;='02_カレンダー'!$B$4),$G19*10000+ROW(),""))</f>
        <v/>
      </c>
      <c r="AA19" s="8">
        <f>IF($H19="","",IF(ISNUMBER($H19),IF(AND($H19=INT($H19),$H19&gt;=0,$H19&lt;=24),TEXT(INT($H19),"00")&amp;":00",TEXT($H19,"hh:mm")),$H19))</f>
        <v/>
      </c>
      <c r="AB19" s="8">
        <f>IF($K19="","",IF(ISNUMBER($K19),IF(AND($K19=INT($K19),$K19&gt;=0,$K19&lt;=24),TEXT(INT($K19),"00")&amp;":00",TEXT($K19,"hh:mm")),$K19))</f>
        <v/>
      </c>
      <c r="AC19" s="8">
        <f>IF($G19="",0,$G19)</f>
        <v/>
      </c>
      <c r="AD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IF($F20="","",IF($F20&gt;31,$F20,IF($Y20="","",DATE(YEAR($Y20),MONTH($Y20),$F20))))</f>
        <v/>
      </c>
      <c r="H20" s="9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9" t="n"/>
      <c r="L20" s="8">
        <f>IF(OR($G20="",$J20=""),"",$J20-$G20+1)</f>
        <v/>
      </c>
      <c r="M20" s="8">
        <f>IF(OR($G20="",$J20=""),"",$J20-$G20)</f>
        <v/>
      </c>
      <c r="N20" s="9" t="n"/>
      <c r="O20" s="9" t="n"/>
      <c r="P20" s="9" t="n"/>
      <c r="Q20" s="9" t="n"/>
      <c r="R20" s="9" t="n"/>
      <c r="S20" s="9" t="n"/>
      <c r="T20" s="13" t="n"/>
      <c r="U20" s="9" t="n"/>
      <c r="V20" s="8">
        <f>IF($G20="","",IF($D20="","⚠部屋が未選択",IF(COUNTIF('M_部屋'!$A$4:$A$20,$D20)=0,"⚠部屋が未登録",IF(OR($J20="",$N20="キャンセル"),"",IF(SUMPRODUCT(($D$5:$D$204=$D20)*($G$5:$G$204&lt;&gt;"")*($J$5:$J$204&lt;&gt;"")*($N$5:$N$204&lt;&gt;"キャンセル")*($G$5:$G$204&lt;$J20)*($J$5:$J$204&gt;$G20))&gt;1,"⚠重複","")))))</f>
        <v/>
      </c>
      <c r="W20" s="8">
        <f>IF(OR($B20="",$G20=""),"",IF(SUMPRODUCT(('利用者マスタ'!$A$4:$A$60=$B20)*('利用者マスタ'!$B$4:$B$60&lt;&gt;""))=0,"",IF(SUMIFS($X$5:$X$204,$B$5:$B$204,$B20,$G$5:$G$204,"&gt;="&amp;DATE(YEAR($G20),MONTH($G20),1),$G$5:$G$204,"&lt;="&amp;EOMONTH($G20,0))&gt;SUMIFS('利用者マスタ'!$B$4:$B$60,'利用者マスタ'!$A$4:$A$60,$B20),"⚠支給量超過","")))</f>
        <v/>
      </c>
      <c r="X20" s="8">
        <f>IF(OR($G20="",$J20="",$N20="キャンセル"),0,IF(IFERROR(INDEX('M_区分'!$B$4:$B$20,MATCH($C20,'M_区分'!$A$4:$A$20,0)),"○")="○",$J20-$G20+1,0))</f>
        <v/>
      </c>
      <c r="Y20" s="8">
        <f>IF($E20&lt;&gt;"",$E20,$Y19)</f>
        <v/>
      </c>
      <c r="Z20" s="8">
        <f>IF(OR($G20="",$J20=""),"",IF(AND($G20&lt;=EOMONTH('02_カレンダー'!$B$4,0),$J20&gt;='02_カレンダー'!$B$4),$G20*10000+ROW(),""))</f>
        <v/>
      </c>
      <c r="AA20" s="8">
        <f>IF($H20="","",IF(ISNUMBER($H20),IF(AND($H20=INT($H20),$H20&gt;=0,$H20&lt;=24),TEXT(INT($H20),"00")&amp;":00",TEXT($H20,"hh:mm")),$H20))</f>
        <v/>
      </c>
      <c r="AB20" s="8">
        <f>IF($K20="","",IF(ISNUMBER($K20),IF(AND($K20=INT($K20),$K20&gt;=0,$K20&lt;=24),TEXT(INT($K20),"00")&amp;":00",TEXT($K20,"hh:mm")),$K20))</f>
        <v/>
      </c>
      <c r="AC20" s="8">
        <f>IF($G20="",0,$G20)</f>
        <v/>
      </c>
      <c r="AD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IF($F21="","",IF($F21&gt;31,$F21,IF($Y21="","",DATE(YEAR($Y21),MONTH($Y21),$F21))))</f>
        <v/>
      </c>
      <c r="H21" s="9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9" t="n"/>
      <c r="L21" s="8">
        <f>IF(OR($G21="",$J21=""),"",$J21-$G21+1)</f>
        <v/>
      </c>
      <c r="M21" s="8">
        <f>IF(OR($G21="",$J21=""),"",$J21-$G21)</f>
        <v/>
      </c>
      <c r="N21" s="9" t="n"/>
      <c r="O21" s="9" t="n"/>
      <c r="P21" s="9" t="n"/>
      <c r="Q21" s="9" t="n"/>
      <c r="R21" s="9" t="n"/>
      <c r="S21" s="9" t="n"/>
      <c r="T21" s="13" t="n"/>
      <c r="U21" s="9" t="n"/>
      <c r="V21" s="8">
        <f>IF($G21="","",IF($D21="","⚠部屋が未選択",IF(COUNTIF('M_部屋'!$A$4:$A$20,$D21)=0,"⚠部屋が未登録",IF(OR($J21="",$N21="キャンセル"),"",IF(SUMPRODUCT(($D$5:$D$204=$D21)*($G$5:$G$204&lt;&gt;"")*($J$5:$J$204&lt;&gt;"")*($N$5:$N$204&lt;&gt;"キャンセル")*($G$5:$G$204&lt;$J21)*($J$5:$J$204&gt;$G21))&gt;1,"⚠重複","")))))</f>
        <v/>
      </c>
      <c r="W21" s="8">
        <f>IF(OR($B21="",$G21=""),"",IF(SUMPRODUCT(('利用者マスタ'!$A$4:$A$60=$B21)*('利用者マスタ'!$B$4:$B$60&lt;&gt;""))=0,"",IF(SUMIFS($X$5:$X$204,$B$5:$B$204,$B21,$G$5:$G$204,"&gt;="&amp;DATE(YEAR($G21),MONTH($G21),1),$G$5:$G$204,"&lt;="&amp;EOMONTH($G21,0))&gt;SUMIFS('利用者マスタ'!$B$4:$B$60,'利用者マスタ'!$A$4:$A$60,$B21),"⚠支給量超過","")))</f>
        <v/>
      </c>
      <c r="X21" s="8">
        <f>IF(OR($G21="",$J21="",$N21="キャンセル"),0,IF(IFERROR(INDEX('M_区分'!$B$4:$B$20,MATCH($C21,'M_区分'!$A$4:$A$20,0)),"○")="○",$J21-$G21+1,0))</f>
        <v/>
      </c>
      <c r="Y21" s="8">
        <f>IF($E21&lt;&gt;"",$E21,$Y20)</f>
        <v/>
      </c>
      <c r="Z21" s="8">
        <f>IF(OR($G21="",$J21=""),"",IF(AND($G21&lt;=EOMONTH('02_カレンダー'!$B$4,0),$J21&gt;='02_カレンダー'!$B$4),$G21*10000+ROW(),""))</f>
        <v/>
      </c>
      <c r="AA21" s="8">
        <f>IF($H21="","",IF(ISNUMBER($H21),IF(AND($H21=INT($H21),$H21&gt;=0,$H21&lt;=24),TEXT(INT($H21),"00")&amp;":00",TEXT($H21,"hh:mm")),$H21))</f>
        <v/>
      </c>
      <c r="AB21" s="8">
        <f>IF($K21="","",IF(ISNUMBER($K21),IF(AND($K21=INT($K21),$K21&gt;=0,$K21&lt;=24),TEXT(INT($K21),"00")&amp;":00",TEXT($K21,"hh:mm")),$K21))</f>
        <v/>
      </c>
      <c r="AC21" s="8">
        <f>IF($G21="",0,$G21)</f>
        <v/>
      </c>
      <c r="AD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IF($F22="","",IF($F22&gt;31,$F22,IF($Y22="","",DATE(YEAR($Y22),MONTH($Y22),$F22))))</f>
        <v/>
      </c>
      <c r="H22" s="9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9" t="n"/>
      <c r="L22" s="8">
        <f>IF(OR($G22="",$J22=""),"",$J22-$G22+1)</f>
        <v/>
      </c>
      <c r="M22" s="8">
        <f>IF(OR($G22="",$J22=""),"",$J22-$G22)</f>
        <v/>
      </c>
      <c r="N22" s="9" t="n"/>
      <c r="O22" s="9" t="n"/>
      <c r="P22" s="9" t="n"/>
      <c r="Q22" s="9" t="n"/>
      <c r="R22" s="9" t="n"/>
      <c r="S22" s="9" t="n"/>
      <c r="T22" s="13" t="n"/>
      <c r="U22" s="9" t="n"/>
      <c r="V22" s="8">
        <f>IF($G22="","",IF($D22="","⚠部屋が未選択",IF(COUNTIF('M_部屋'!$A$4:$A$20,$D22)=0,"⚠部屋が未登録",IF(OR($J22="",$N22="キャンセル"),"",IF(SUMPRODUCT(($D$5:$D$204=$D22)*($G$5:$G$204&lt;&gt;"")*($J$5:$J$204&lt;&gt;"")*($N$5:$N$204&lt;&gt;"キャンセル")*($G$5:$G$204&lt;$J22)*($J$5:$J$204&gt;$G22))&gt;1,"⚠重複","")))))</f>
        <v/>
      </c>
      <c r="W22" s="8">
        <f>IF(OR($B22="",$G22=""),"",IF(SUMPRODUCT(('利用者マスタ'!$A$4:$A$60=$B22)*('利用者マスタ'!$B$4:$B$60&lt;&gt;""))=0,"",IF(SUMIFS($X$5:$X$204,$B$5:$B$204,$B22,$G$5:$G$204,"&gt;="&amp;DATE(YEAR($G22),MONTH($G22),1),$G$5:$G$204,"&lt;="&amp;EOMONTH($G22,0))&gt;SUMIFS('利用者マスタ'!$B$4:$B$60,'利用者マスタ'!$A$4:$A$60,$B22),"⚠支給量超過","")))</f>
        <v/>
      </c>
      <c r="X22" s="8">
        <f>IF(OR($G22="",$J22="",$N22="キャンセル"),0,IF(IFERROR(INDEX('M_区分'!$B$4:$B$20,MATCH($C22,'M_区分'!$A$4:$A$20,0)),"○")="○",$J22-$G22+1,0))</f>
        <v/>
      </c>
      <c r="Y22" s="8">
        <f>IF($E22&lt;&gt;"",$E22,$Y21)</f>
        <v/>
      </c>
      <c r="Z22" s="8">
        <f>IF(OR($G22="",$J22=""),"",IF(AND($G22&lt;=EOMONTH('02_カレンダー'!$B$4,0),$J22&gt;='02_カレンダー'!$B$4),$G22*10000+ROW(),""))</f>
        <v/>
      </c>
      <c r="AA22" s="8">
        <f>IF($H22="","",IF(ISNUMBER($H22),IF(AND($H22=INT($H22),$H22&gt;=0,$H22&lt;=24),TEXT(INT($H22),"00")&amp;":00",TEXT($H22,"hh:mm")),$H22))</f>
        <v/>
      </c>
      <c r="AB22" s="8">
        <f>IF($K22="","",IF(ISNUMBER($K22),IF(AND($K22=INT($K22),$K22&gt;=0,$K22&lt;=24),TEXT(INT($K22),"00")&amp;":00",TEXT($K22,"hh:mm")),$K22))</f>
        <v/>
      </c>
      <c r="AC22" s="8">
        <f>IF($G22="",0,$G22)</f>
        <v/>
      </c>
      <c r="AD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IF($F23="","",IF($F23&gt;31,$F23,IF($Y23="","",DATE(YEAR($Y23),MONTH($Y23),$F23))))</f>
        <v/>
      </c>
      <c r="H23" s="9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9" t="n"/>
      <c r="L23" s="8">
        <f>IF(OR($G23="",$J23=""),"",$J23-$G23+1)</f>
        <v/>
      </c>
      <c r="M23" s="8">
        <f>IF(OR($G23="",$J23=""),"",$J23-$G23)</f>
        <v/>
      </c>
      <c r="N23" s="9" t="n"/>
      <c r="O23" s="9" t="n"/>
      <c r="P23" s="9" t="n"/>
      <c r="Q23" s="9" t="n"/>
      <c r="R23" s="9" t="n"/>
      <c r="S23" s="9" t="n"/>
      <c r="T23" s="13" t="n"/>
      <c r="U23" s="9" t="n"/>
      <c r="V23" s="8">
        <f>IF($G23="","",IF($D23="","⚠部屋が未選択",IF(COUNTIF('M_部屋'!$A$4:$A$20,$D23)=0,"⚠部屋が未登録",IF(OR($J23="",$N23="キャンセル"),"",IF(SUMPRODUCT(($D$5:$D$204=$D23)*($G$5:$G$204&lt;&gt;"")*($J$5:$J$204&lt;&gt;"")*($N$5:$N$204&lt;&gt;"キャンセル")*($G$5:$G$204&lt;$J23)*($J$5:$J$204&gt;$G23))&gt;1,"⚠重複","")))))</f>
        <v/>
      </c>
      <c r="W23" s="8">
        <f>IF(OR($B23="",$G23=""),"",IF(SUMPRODUCT(('利用者マスタ'!$A$4:$A$60=$B23)*('利用者マスタ'!$B$4:$B$60&lt;&gt;""))=0,"",IF(SUMIFS($X$5:$X$204,$B$5:$B$204,$B23,$G$5:$G$204,"&gt;="&amp;DATE(YEAR($G23),MONTH($G23),1),$G$5:$G$204,"&lt;="&amp;EOMONTH($G23,0))&gt;SUMIFS('利用者マスタ'!$B$4:$B$60,'利用者マスタ'!$A$4:$A$60,$B23),"⚠支給量超過","")))</f>
        <v/>
      </c>
      <c r="X23" s="8">
        <f>IF(OR($G23="",$J23="",$N23="キャンセル"),0,IF(IFERROR(INDEX('M_区分'!$B$4:$B$20,MATCH($C23,'M_区分'!$A$4:$A$20,0)),"○")="○",$J23-$G23+1,0))</f>
        <v/>
      </c>
      <c r="Y23" s="8">
        <f>IF($E23&lt;&gt;"",$E23,$Y22)</f>
        <v/>
      </c>
      <c r="Z23" s="8">
        <f>IF(OR($G23="",$J23=""),"",IF(AND($G23&lt;=EOMONTH('02_カレンダー'!$B$4,0),$J23&gt;='02_カレンダー'!$B$4),$G23*10000+ROW(),""))</f>
        <v/>
      </c>
      <c r="AA23" s="8">
        <f>IF($H23="","",IF(ISNUMBER($H23),IF(AND($H23=INT($H23),$H23&gt;=0,$H23&lt;=24),TEXT(INT($H23),"00")&amp;":00",TEXT($H23,"hh:mm")),$H23))</f>
        <v/>
      </c>
      <c r="AB23" s="8">
        <f>IF($K23="","",IF(ISNUMBER($K23),IF(AND($K23=INT($K23),$K23&gt;=0,$K23&lt;=24),TEXT(INT($K23),"00")&amp;":00",TEXT($K23,"hh:mm")),$K23))</f>
        <v/>
      </c>
      <c r="AC23" s="8">
        <f>IF($G23="",0,$G23)</f>
        <v/>
      </c>
      <c r="AD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IF($F24="","",IF($F24&gt;31,$F24,IF($Y24="","",DATE(YEAR($Y24),MONTH($Y24),$F24))))</f>
        <v/>
      </c>
      <c r="H24" s="9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9" t="n"/>
      <c r="L24" s="8">
        <f>IF(OR($G24="",$J24=""),"",$J24-$G24+1)</f>
        <v/>
      </c>
      <c r="M24" s="8">
        <f>IF(OR($G24="",$J24=""),"",$J24-$G24)</f>
        <v/>
      </c>
      <c r="N24" s="9" t="n"/>
      <c r="O24" s="9" t="n"/>
      <c r="P24" s="9" t="n"/>
      <c r="Q24" s="9" t="n"/>
      <c r="R24" s="9" t="n"/>
      <c r="S24" s="9" t="n"/>
      <c r="T24" s="13" t="n"/>
      <c r="U24" s="9" t="n"/>
      <c r="V24" s="8">
        <f>IF($G24="","",IF($D24="","⚠部屋が未選択",IF(COUNTIF('M_部屋'!$A$4:$A$20,$D24)=0,"⚠部屋が未登録",IF(OR($J24="",$N24="キャンセル"),"",IF(SUMPRODUCT(($D$5:$D$204=$D24)*($G$5:$G$204&lt;&gt;"")*($J$5:$J$204&lt;&gt;"")*($N$5:$N$204&lt;&gt;"キャンセル")*($G$5:$G$204&lt;$J24)*($J$5:$J$204&gt;$G24))&gt;1,"⚠重複","")))))</f>
        <v/>
      </c>
      <c r="W24" s="8">
        <f>IF(OR($B24="",$G24=""),"",IF(SUMPRODUCT(('利用者マスタ'!$A$4:$A$60=$B24)*('利用者マスタ'!$B$4:$B$60&lt;&gt;""))=0,"",IF(SUMIFS($X$5:$X$204,$B$5:$B$204,$B24,$G$5:$G$204,"&gt;="&amp;DATE(YEAR($G24),MONTH($G24),1),$G$5:$G$204,"&lt;="&amp;EOMONTH($G24,0))&gt;SUMIFS('利用者マスタ'!$B$4:$B$60,'利用者マスタ'!$A$4:$A$60,$B24),"⚠支給量超過","")))</f>
        <v/>
      </c>
      <c r="X24" s="8">
        <f>IF(OR($G24="",$J24="",$N24="キャンセル"),0,IF(IFERROR(INDEX('M_区分'!$B$4:$B$20,MATCH($C24,'M_区分'!$A$4:$A$20,0)),"○")="○",$J24-$G24+1,0))</f>
        <v/>
      </c>
      <c r="Y24" s="8">
        <f>IF($E24&lt;&gt;"",$E24,$Y23)</f>
        <v/>
      </c>
      <c r="Z24" s="8">
        <f>IF(OR($G24="",$J24=""),"",IF(AND($G24&lt;=EOMONTH('02_カレンダー'!$B$4,0),$J24&gt;='02_カレンダー'!$B$4),$G24*10000+ROW(),""))</f>
        <v/>
      </c>
      <c r="AA24" s="8">
        <f>IF($H24="","",IF(ISNUMBER($H24),IF(AND($H24=INT($H24),$H24&gt;=0,$H24&lt;=24),TEXT(INT($H24),"00")&amp;":00",TEXT($H24,"hh:mm")),$H24))</f>
        <v/>
      </c>
      <c r="AB24" s="8">
        <f>IF($K24="","",IF(ISNUMBER($K24),IF(AND($K24=INT($K24),$K24&gt;=0,$K24&lt;=24),TEXT(INT($K24),"00")&amp;":00",TEXT($K24,"hh:mm")),$K24))</f>
        <v/>
      </c>
      <c r="AC24" s="8">
        <f>IF($G24="",0,$G24)</f>
        <v/>
      </c>
      <c r="AD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IF($F25="","",IF($F25&gt;31,$F25,IF($Y25="","",DATE(YEAR($Y25),MONTH($Y25),$F25))))</f>
        <v/>
      </c>
      <c r="H25" s="9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9" t="n"/>
      <c r="L25" s="8">
        <f>IF(OR($G25="",$J25=""),"",$J25-$G25+1)</f>
        <v/>
      </c>
      <c r="M25" s="8">
        <f>IF(OR($G25="",$J25=""),"",$J25-$G25)</f>
        <v/>
      </c>
      <c r="N25" s="9" t="n"/>
      <c r="O25" s="9" t="n"/>
      <c r="P25" s="9" t="n"/>
      <c r="Q25" s="9" t="n"/>
      <c r="R25" s="9" t="n"/>
      <c r="S25" s="9" t="n"/>
      <c r="T25" s="13" t="n"/>
      <c r="U25" s="9" t="n"/>
      <c r="V25" s="8">
        <f>IF($G25="","",IF($D25="","⚠部屋が未選択",IF(COUNTIF('M_部屋'!$A$4:$A$20,$D25)=0,"⚠部屋が未登録",IF(OR($J25="",$N25="キャンセル"),"",IF(SUMPRODUCT(($D$5:$D$204=$D25)*($G$5:$G$204&lt;&gt;"")*($J$5:$J$204&lt;&gt;"")*($N$5:$N$204&lt;&gt;"キャンセル")*($G$5:$G$204&lt;$J25)*($J$5:$J$204&gt;$G25))&gt;1,"⚠重複","")))))</f>
        <v/>
      </c>
      <c r="W25" s="8">
        <f>IF(OR($B25="",$G25=""),"",IF(SUMPRODUCT(('利用者マスタ'!$A$4:$A$60=$B25)*('利用者マスタ'!$B$4:$B$60&lt;&gt;""))=0,"",IF(SUMIFS($X$5:$X$204,$B$5:$B$204,$B25,$G$5:$G$204,"&gt;="&amp;DATE(YEAR($G25),MONTH($G25),1),$G$5:$G$204,"&lt;="&amp;EOMONTH($G25,0))&gt;SUMIFS('利用者マスタ'!$B$4:$B$60,'利用者マスタ'!$A$4:$A$60,$B25),"⚠支給量超過","")))</f>
        <v/>
      </c>
      <c r="X25" s="8">
        <f>IF(OR($G25="",$J25="",$N25="キャンセル"),0,IF(IFERROR(INDEX('M_区分'!$B$4:$B$20,MATCH($C25,'M_区分'!$A$4:$A$20,0)),"○")="○",$J25-$G25+1,0))</f>
        <v/>
      </c>
      <c r="Y25" s="8">
        <f>IF($E25&lt;&gt;"",$E25,$Y24)</f>
        <v/>
      </c>
      <c r="Z25" s="8">
        <f>IF(OR($G25="",$J25=""),"",IF(AND($G25&lt;=EOMONTH('02_カレンダー'!$B$4,0),$J25&gt;='02_カレンダー'!$B$4),$G25*10000+ROW(),""))</f>
        <v/>
      </c>
      <c r="AA25" s="8">
        <f>IF($H25="","",IF(ISNUMBER($H25),IF(AND($H25=INT($H25),$H25&gt;=0,$H25&lt;=24),TEXT(INT($H25),"00")&amp;":00",TEXT($H25,"hh:mm")),$H25))</f>
        <v/>
      </c>
      <c r="AB25" s="8">
        <f>IF($K25="","",IF(ISNUMBER($K25),IF(AND($K25=INT($K25),$K25&gt;=0,$K25&lt;=24),TEXT(INT($K25),"00")&amp;":00",TEXT($K25,"hh:mm")),$K25))</f>
        <v/>
      </c>
      <c r="AC25" s="8">
        <f>IF($G25="",0,$G25)</f>
        <v/>
      </c>
      <c r="AD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IF($F26="","",IF($F26&gt;31,$F26,IF($Y26="","",DATE(YEAR($Y26),MONTH($Y26),$F26))))</f>
        <v/>
      </c>
      <c r="H26" s="9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9" t="n"/>
      <c r="L26" s="8">
        <f>IF(OR($G26="",$J26=""),"",$J26-$G26+1)</f>
        <v/>
      </c>
      <c r="M26" s="8">
        <f>IF(OR($G26="",$J26=""),"",$J26-$G26)</f>
        <v/>
      </c>
      <c r="N26" s="9" t="n"/>
      <c r="O26" s="9" t="n"/>
      <c r="P26" s="9" t="n"/>
      <c r="Q26" s="9" t="n"/>
      <c r="R26" s="9" t="n"/>
      <c r="S26" s="9" t="n"/>
      <c r="T26" s="13" t="n"/>
      <c r="U26" s="9" t="n"/>
      <c r="V26" s="8">
        <f>IF($G26="","",IF($D26="","⚠部屋が未選択",IF(COUNTIF('M_部屋'!$A$4:$A$20,$D26)=0,"⚠部屋が未登録",IF(OR($J26="",$N26="キャンセル"),"",IF(SUMPRODUCT(($D$5:$D$204=$D26)*($G$5:$G$204&lt;&gt;"")*($J$5:$J$204&lt;&gt;"")*($N$5:$N$204&lt;&gt;"キャンセル")*($G$5:$G$204&lt;$J26)*($J$5:$J$204&gt;$G26))&gt;1,"⚠重複","")))))</f>
        <v/>
      </c>
      <c r="W26" s="8">
        <f>IF(OR($B26="",$G26=""),"",IF(SUMPRODUCT(('利用者マスタ'!$A$4:$A$60=$B26)*('利用者マスタ'!$B$4:$B$60&lt;&gt;""))=0,"",IF(SUMIFS($X$5:$X$204,$B$5:$B$204,$B26,$G$5:$G$204,"&gt;="&amp;DATE(YEAR($G26),MONTH($G26),1),$G$5:$G$204,"&lt;="&amp;EOMONTH($G26,0))&gt;SUMIFS('利用者マスタ'!$B$4:$B$60,'利用者マスタ'!$A$4:$A$60,$B26),"⚠支給量超過","")))</f>
        <v/>
      </c>
      <c r="X26" s="8">
        <f>IF(OR($G26="",$J26="",$N26="キャンセル"),0,IF(IFERROR(INDEX('M_区分'!$B$4:$B$20,MATCH($C26,'M_区分'!$A$4:$A$20,0)),"○")="○",$J26-$G26+1,0))</f>
        <v/>
      </c>
      <c r="Y26" s="8">
        <f>IF($E26&lt;&gt;"",$E26,$Y25)</f>
        <v/>
      </c>
      <c r="Z26" s="8">
        <f>IF(OR($G26="",$J26=""),"",IF(AND($G26&lt;=EOMONTH('02_カレンダー'!$B$4,0),$J26&gt;='02_カレンダー'!$B$4),$G26*10000+ROW(),""))</f>
        <v/>
      </c>
      <c r="AA26" s="8">
        <f>IF($H26="","",IF(ISNUMBER($H26),IF(AND($H26=INT($H26),$H26&gt;=0,$H26&lt;=24),TEXT(INT($H26),"00")&amp;":00",TEXT($H26,"hh:mm")),$H26))</f>
        <v/>
      </c>
      <c r="AB26" s="8">
        <f>IF($K26="","",IF(ISNUMBER($K26),IF(AND($K26=INT($K26),$K26&gt;=0,$K26&lt;=24),TEXT(INT($K26),"00")&amp;":00",TEXT($K26,"hh:mm")),$K26))</f>
        <v/>
      </c>
      <c r="AC26" s="8">
        <f>IF($G26="",0,$G26)</f>
        <v/>
      </c>
      <c r="AD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IF($F27="","",IF($F27&gt;31,$F27,IF($Y27="","",DATE(YEAR($Y27),MONTH($Y27),$F27))))</f>
        <v/>
      </c>
      <c r="H27" s="9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9" t="n"/>
      <c r="L27" s="8">
        <f>IF(OR($G27="",$J27=""),"",$J27-$G27+1)</f>
        <v/>
      </c>
      <c r="M27" s="8">
        <f>IF(OR($G27="",$J27=""),"",$J27-$G27)</f>
        <v/>
      </c>
      <c r="N27" s="9" t="n"/>
      <c r="O27" s="9" t="n"/>
      <c r="P27" s="9" t="n"/>
      <c r="Q27" s="9" t="n"/>
      <c r="R27" s="9" t="n"/>
      <c r="S27" s="9" t="n"/>
      <c r="T27" s="13" t="n"/>
      <c r="U27" s="9" t="n"/>
      <c r="V27" s="8">
        <f>IF($G27="","",IF($D27="","⚠部屋が未選択",IF(COUNTIF('M_部屋'!$A$4:$A$20,$D27)=0,"⚠部屋が未登録",IF(OR($J27="",$N27="キャンセル"),"",IF(SUMPRODUCT(($D$5:$D$204=$D27)*($G$5:$G$204&lt;&gt;"")*($J$5:$J$204&lt;&gt;"")*($N$5:$N$204&lt;&gt;"キャンセル")*($G$5:$G$204&lt;$J27)*($J$5:$J$204&gt;$G27))&gt;1,"⚠重複","")))))</f>
        <v/>
      </c>
      <c r="W27" s="8">
        <f>IF(OR($B27="",$G27=""),"",IF(SUMPRODUCT(('利用者マスタ'!$A$4:$A$60=$B27)*('利用者マスタ'!$B$4:$B$60&lt;&gt;""))=0,"",IF(SUMIFS($X$5:$X$204,$B$5:$B$204,$B27,$G$5:$G$204,"&gt;="&amp;DATE(YEAR($G27),MONTH($G27),1),$G$5:$G$204,"&lt;="&amp;EOMONTH($G27,0))&gt;SUMIFS('利用者マスタ'!$B$4:$B$60,'利用者マスタ'!$A$4:$A$60,$B27),"⚠支給量超過","")))</f>
        <v/>
      </c>
      <c r="X27" s="8">
        <f>IF(OR($G27="",$J27="",$N27="キャンセル"),0,IF(IFERROR(INDEX('M_区分'!$B$4:$B$20,MATCH($C27,'M_区分'!$A$4:$A$20,0)),"○")="○",$J27-$G27+1,0))</f>
        <v/>
      </c>
      <c r="Y27" s="8">
        <f>IF($E27&lt;&gt;"",$E27,$Y26)</f>
        <v/>
      </c>
      <c r="Z27" s="8">
        <f>IF(OR($G27="",$J27=""),"",IF(AND($G27&lt;=EOMONTH('02_カレンダー'!$B$4,0),$J27&gt;='02_カレンダー'!$B$4),$G27*10000+ROW(),""))</f>
        <v/>
      </c>
      <c r="AA27" s="8">
        <f>IF($H27="","",IF(ISNUMBER($H27),IF(AND($H27=INT($H27),$H27&gt;=0,$H27&lt;=24),TEXT(INT($H27),"00")&amp;":00",TEXT($H27,"hh:mm")),$H27))</f>
        <v/>
      </c>
      <c r="AB27" s="8">
        <f>IF($K27="","",IF(ISNUMBER($K27),IF(AND($K27=INT($K27),$K27&gt;=0,$K27&lt;=24),TEXT(INT($K27),"00")&amp;":00",TEXT($K27,"hh:mm")),$K27))</f>
        <v/>
      </c>
      <c r="AC27" s="8">
        <f>IF($G27="",0,$G27)</f>
        <v/>
      </c>
      <c r="AD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IF($F28="","",IF($F28&gt;31,$F28,IF($Y28="","",DATE(YEAR($Y28),MONTH($Y28),$F28))))</f>
        <v/>
      </c>
      <c r="H28" s="9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9" t="n"/>
      <c r="L28" s="8">
        <f>IF(OR($G28="",$J28=""),"",$J28-$G28+1)</f>
        <v/>
      </c>
      <c r="M28" s="8">
        <f>IF(OR($G28="",$J28=""),"",$J28-$G28)</f>
        <v/>
      </c>
      <c r="N28" s="9" t="n"/>
      <c r="O28" s="9" t="n"/>
      <c r="P28" s="9" t="n"/>
      <c r="Q28" s="9" t="n"/>
      <c r="R28" s="9" t="n"/>
      <c r="S28" s="9" t="n"/>
      <c r="T28" s="13" t="n"/>
      <c r="U28" s="9" t="n"/>
      <c r="V28" s="8">
        <f>IF($G28="","",IF($D28="","⚠部屋が未選択",IF(COUNTIF('M_部屋'!$A$4:$A$20,$D28)=0,"⚠部屋が未登録",IF(OR($J28="",$N28="キャンセル"),"",IF(SUMPRODUCT(($D$5:$D$204=$D28)*($G$5:$G$204&lt;&gt;"")*($J$5:$J$204&lt;&gt;"")*($N$5:$N$204&lt;&gt;"キャンセル")*($G$5:$G$204&lt;$J28)*($J$5:$J$204&gt;$G28))&gt;1,"⚠重複","")))))</f>
        <v/>
      </c>
      <c r="W28" s="8">
        <f>IF(OR($B28="",$G28=""),"",IF(SUMPRODUCT(('利用者マスタ'!$A$4:$A$60=$B28)*('利用者マスタ'!$B$4:$B$60&lt;&gt;""))=0,"",IF(SUMIFS($X$5:$X$204,$B$5:$B$204,$B28,$G$5:$G$204,"&gt;="&amp;DATE(YEAR($G28),MONTH($G28),1),$G$5:$G$204,"&lt;="&amp;EOMONTH($G28,0))&gt;SUMIFS('利用者マスタ'!$B$4:$B$60,'利用者マスタ'!$A$4:$A$60,$B28),"⚠支給量超過","")))</f>
        <v/>
      </c>
      <c r="X28" s="8">
        <f>IF(OR($G28="",$J28="",$N28="キャンセル"),0,IF(IFERROR(INDEX('M_区分'!$B$4:$B$20,MATCH($C28,'M_区分'!$A$4:$A$20,0)),"○")="○",$J28-$G28+1,0))</f>
        <v/>
      </c>
      <c r="Y28" s="8">
        <f>IF($E28&lt;&gt;"",$E28,$Y27)</f>
        <v/>
      </c>
      <c r="Z28" s="8">
        <f>IF(OR($G28="",$J28=""),"",IF(AND($G28&lt;=EOMONTH('02_カレンダー'!$B$4,0),$J28&gt;='02_カレンダー'!$B$4),$G28*10000+ROW(),""))</f>
        <v/>
      </c>
      <c r="AA28" s="8">
        <f>IF($H28="","",IF(ISNUMBER($H28),IF(AND($H28=INT($H28),$H28&gt;=0,$H28&lt;=24),TEXT(INT($H28),"00")&amp;":00",TEXT($H28,"hh:mm")),$H28))</f>
        <v/>
      </c>
      <c r="AB28" s="8">
        <f>IF($K28="","",IF(ISNUMBER($K28),IF(AND($K28=INT($K28),$K28&gt;=0,$K28&lt;=24),TEXT(INT($K28),"00")&amp;":00",TEXT($K28,"hh:mm")),$K28))</f>
        <v/>
      </c>
      <c r="AC28" s="8">
        <f>IF($G28="",0,$G28)</f>
        <v/>
      </c>
      <c r="AD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IF($F29="","",IF($F29&gt;31,$F29,IF($Y29="","",DATE(YEAR($Y29),MONTH($Y29),$F29))))</f>
        <v/>
      </c>
      <c r="H29" s="9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9" t="n"/>
      <c r="L29" s="8">
        <f>IF(OR($G29="",$J29=""),"",$J29-$G29+1)</f>
        <v/>
      </c>
      <c r="M29" s="8">
        <f>IF(OR($G29="",$J29=""),"",$J29-$G29)</f>
        <v/>
      </c>
      <c r="N29" s="9" t="n"/>
      <c r="O29" s="9" t="n"/>
      <c r="P29" s="9" t="n"/>
      <c r="Q29" s="9" t="n"/>
      <c r="R29" s="9" t="n"/>
      <c r="S29" s="9" t="n"/>
      <c r="T29" s="13" t="n"/>
      <c r="U29" s="9" t="n"/>
      <c r="V29" s="8">
        <f>IF($G29="","",IF($D29="","⚠部屋が未選択",IF(COUNTIF('M_部屋'!$A$4:$A$20,$D29)=0,"⚠部屋が未登録",IF(OR($J29="",$N29="キャンセル"),"",IF(SUMPRODUCT(($D$5:$D$204=$D29)*($G$5:$G$204&lt;&gt;"")*($J$5:$J$204&lt;&gt;"")*($N$5:$N$204&lt;&gt;"キャンセル")*($G$5:$G$204&lt;$J29)*($J$5:$J$204&gt;$G29))&gt;1,"⚠重複","")))))</f>
        <v/>
      </c>
      <c r="W29" s="8">
        <f>IF(OR($B29="",$G29=""),"",IF(SUMPRODUCT(('利用者マスタ'!$A$4:$A$60=$B29)*('利用者マスタ'!$B$4:$B$60&lt;&gt;""))=0,"",IF(SUMIFS($X$5:$X$204,$B$5:$B$204,$B29,$G$5:$G$204,"&gt;="&amp;DATE(YEAR($G29),MONTH($G29),1),$G$5:$G$204,"&lt;="&amp;EOMONTH($G29,0))&gt;SUMIFS('利用者マスタ'!$B$4:$B$60,'利用者マスタ'!$A$4:$A$60,$B29),"⚠支給量超過","")))</f>
        <v/>
      </c>
      <c r="X29" s="8">
        <f>IF(OR($G29="",$J29="",$N29="キャンセル"),0,IF(IFERROR(INDEX('M_区分'!$B$4:$B$20,MATCH($C29,'M_区分'!$A$4:$A$20,0)),"○")="○",$J29-$G29+1,0))</f>
        <v/>
      </c>
      <c r="Y29" s="8">
        <f>IF($E29&lt;&gt;"",$E29,$Y28)</f>
        <v/>
      </c>
      <c r="Z29" s="8">
        <f>IF(OR($G29="",$J29=""),"",IF(AND($G29&lt;=EOMONTH('02_カレンダー'!$B$4,0),$J29&gt;='02_カレンダー'!$B$4),$G29*10000+ROW(),""))</f>
        <v/>
      </c>
      <c r="AA29" s="8">
        <f>IF($H29="","",IF(ISNUMBER($H29),IF(AND($H29=INT($H29),$H29&gt;=0,$H29&lt;=24),TEXT(INT($H29),"00")&amp;":00",TEXT($H29,"hh:mm")),$H29))</f>
        <v/>
      </c>
      <c r="AB29" s="8">
        <f>IF($K29="","",IF(ISNUMBER($K29),IF(AND($K29=INT($K29),$K29&gt;=0,$K29&lt;=24),TEXT(INT($K29),"00")&amp;":00",TEXT($K29,"hh:mm")),$K29))</f>
        <v/>
      </c>
      <c r="AC29" s="8">
        <f>IF($G29="",0,$G29)</f>
        <v/>
      </c>
      <c r="AD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IF($F30="","",IF($F30&gt;31,$F30,IF($Y30="","",DATE(YEAR($Y30),MONTH($Y30),$F30))))</f>
        <v/>
      </c>
      <c r="H30" s="9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9" t="n"/>
      <c r="L30" s="8">
        <f>IF(OR($G30="",$J30=""),"",$J30-$G30+1)</f>
        <v/>
      </c>
      <c r="M30" s="8">
        <f>IF(OR($G30="",$J30=""),"",$J30-$G30)</f>
        <v/>
      </c>
      <c r="N30" s="9" t="n"/>
      <c r="O30" s="9" t="n"/>
      <c r="P30" s="9" t="n"/>
      <c r="Q30" s="9" t="n"/>
      <c r="R30" s="9" t="n"/>
      <c r="S30" s="9" t="n"/>
      <c r="T30" s="13" t="n"/>
      <c r="U30" s="9" t="n"/>
      <c r="V30" s="8">
        <f>IF($G30="","",IF($D30="","⚠部屋が未選択",IF(COUNTIF('M_部屋'!$A$4:$A$20,$D30)=0,"⚠部屋が未登録",IF(OR($J30="",$N30="キャンセル"),"",IF(SUMPRODUCT(($D$5:$D$204=$D30)*($G$5:$G$204&lt;&gt;"")*($J$5:$J$204&lt;&gt;"")*($N$5:$N$204&lt;&gt;"キャンセル")*($G$5:$G$204&lt;$J30)*($J$5:$J$204&gt;$G30))&gt;1,"⚠重複","")))))</f>
        <v/>
      </c>
      <c r="W30" s="8">
        <f>IF(OR($B30="",$G30=""),"",IF(SUMPRODUCT(('利用者マスタ'!$A$4:$A$60=$B30)*('利用者マスタ'!$B$4:$B$60&lt;&gt;""))=0,"",IF(SUMIFS($X$5:$X$204,$B$5:$B$204,$B30,$G$5:$G$204,"&gt;="&amp;DATE(YEAR($G30),MONTH($G30),1),$G$5:$G$204,"&lt;="&amp;EOMONTH($G30,0))&gt;SUMIFS('利用者マスタ'!$B$4:$B$60,'利用者マスタ'!$A$4:$A$60,$B30),"⚠支給量超過","")))</f>
        <v/>
      </c>
      <c r="X30" s="8">
        <f>IF(OR($G30="",$J30="",$N30="キャンセル"),0,IF(IFERROR(INDEX('M_区分'!$B$4:$B$20,MATCH($C30,'M_区分'!$A$4:$A$20,0)),"○")="○",$J30-$G30+1,0))</f>
        <v/>
      </c>
      <c r="Y30" s="8">
        <f>IF($E30&lt;&gt;"",$E30,$Y29)</f>
        <v/>
      </c>
      <c r="Z30" s="8">
        <f>IF(OR($G30="",$J30=""),"",IF(AND($G30&lt;=EOMONTH('02_カレンダー'!$B$4,0),$J30&gt;='02_カレンダー'!$B$4),$G30*10000+ROW(),""))</f>
        <v/>
      </c>
      <c r="AA30" s="8">
        <f>IF($H30="","",IF(ISNUMBER($H30),IF(AND($H30=INT($H30),$H30&gt;=0,$H30&lt;=24),TEXT(INT($H30),"00")&amp;":00",TEXT($H30,"hh:mm")),$H30))</f>
        <v/>
      </c>
      <c r="AB30" s="8">
        <f>IF($K30="","",IF(ISNUMBER($K30),IF(AND($K30=INT($K30),$K30&gt;=0,$K30&lt;=24),TEXT(INT($K30),"00")&amp;":00",TEXT($K30,"hh:mm")),$K30))</f>
        <v/>
      </c>
      <c r="AC30" s="8">
        <f>IF($G30="",0,$G30)</f>
        <v/>
      </c>
      <c r="AD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IF($F31="","",IF($F31&gt;31,$F31,IF($Y31="","",DATE(YEAR($Y31),MONTH($Y31),$F31))))</f>
        <v/>
      </c>
      <c r="H31" s="9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9" t="n"/>
      <c r="L31" s="8">
        <f>IF(OR($G31="",$J31=""),"",$J31-$G31+1)</f>
        <v/>
      </c>
      <c r="M31" s="8">
        <f>IF(OR($G31="",$J31=""),"",$J31-$G31)</f>
        <v/>
      </c>
      <c r="N31" s="9" t="n"/>
      <c r="O31" s="9" t="n"/>
      <c r="P31" s="9" t="n"/>
      <c r="Q31" s="9" t="n"/>
      <c r="R31" s="9" t="n"/>
      <c r="S31" s="9" t="n"/>
      <c r="T31" s="13" t="n"/>
      <c r="U31" s="9" t="n"/>
      <c r="V31" s="8">
        <f>IF($G31="","",IF($D31="","⚠部屋が未選択",IF(COUNTIF('M_部屋'!$A$4:$A$20,$D31)=0,"⚠部屋が未登録",IF(OR($J31="",$N31="キャンセル"),"",IF(SUMPRODUCT(($D$5:$D$204=$D31)*($G$5:$G$204&lt;&gt;"")*($J$5:$J$204&lt;&gt;"")*($N$5:$N$204&lt;&gt;"キャンセル")*($G$5:$G$204&lt;$J31)*($J$5:$J$204&gt;$G31))&gt;1,"⚠重複","")))))</f>
        <v/>
      </c>
      <c r="W31" s="8">
        <f>IF(OR($B31="",$G31=""),"",IF(SUMPRODUCT(('利用者マスタ'!$A$4:$A$60=$B31)*('利用者マスタ'!$B$4:$B$60&lt;&gt;""))=0,"",IF(SUMIFS($X$5:$X$204,$B$5:$B$204,$B31,$G$5:$G$204,"&gt;="&amp;DATE(YEAR($G31),MONTH($G31),1),$G$5:$G$204,"&lt;="&amp;EOMONTH($G31,0))&gt;SUMIFS('利用者マスタ'!$B$4:$B$60,'利用者マスタ'!$A$4:$A$60,$B31),"⚠支給量超過","")))</f>
        <v/>
      </c>
      <c r="X31" s="8">
        <f>IF(OR($G31="",$J31="",$N31="キャンセル"),0,IF(IFERROR(INDEX('M_区分'!$B$4:$B$20,MATCH($C31,'M_区分'!$A$4:$A$20,0)),"○")="○",$J31-$G31+1,0))</f>
        <v/>
      </c>
      <c r="Y31" s="8">
        <f>IF($E31&lt;&gt;"",$E31,$Y30)</f>
        <v/>
      </c>
      <c r="Z31" s="8">
        <f>IF(OR($G31="",$J31=""),"",IF(AND($G31&lt;=EOMONTH('02_カレンダー'!$B$4,0),$J31&gt;='02_カレンダー'!$B$4),$G31*10000+ROW(),""))</f>
        <v/>
      </c>
      <c r="AA31" s="8">
        <f>IF($H31="","",IF(ISNUMBER($H31),IF(AND($H31=INT($H31),$H31&gt;=0,$H31&lt;=24),TEXT(INT($H31),"00")&amp;":00",TEXT($H31,"hh:mm")),$H31))</f>
        <v/>
      </c>
      <c r="AB31" s="8">
        <f>IF($K31="","",IF(ISNUMBER($K31),IF(AND($K31=INT($K31),$K31&gt;=0,$K31&lt;=24),TEXT(INT($K31),"00")&amp;":00",TEXT($K31,"hh:mm")),$K31))</f>
        <v/>
      </c>
      <c r="AC31" s="8">
        <f>IF($G31="",0,$G31)</f>
        <v/>
      </c>
      <c r="AD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IF($F32="","",IF($F32&gt;31,$F32,IF($Y32="","",DATE(YEAR($Y32),MONTH($Y32),$F32))))</f>
        <v/>
      </c>
      <c r="H32" s="9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9" t="n"/>
      <c r="L32" s="8">
        <f>IF(OR($G32="",$J32=""),"",$J32-$G32+1)</f>
        <v/>
      </c>
      <c r="M32" s="8">
        <f>IF(OR($G32="",$J32=""),"",$J32-$G32)</f>
        <v/>
      </c>
      <c r="N32" s="9" t="n"/>
      <c r="O32" s="9" t="n"/>
      <c r="P32" s="9" t="n"/>
      <c r="Q32" s="9" t="n"/>
      <c r="R32" s="9" t="n"/>
      <c r="S32" s="9" t="n"/>
      <c r="T32" s="13" t="n"/>
      <c r="U32" s="9" t="n"/>
      <c r="V32" s="8">
        <f>IF($G32="","",IF($D32="","⚠部屋が未選択",IF(COUNTIF('M_部屋'!$A$4:$A$20,$D32)=0,"⚠部屋が未登録",IF(OR($J32="",$N32="キャンセル"),"",IF(SUMPRODUCT(($D$5:$D$204=$D32)*($G$5:$G$204&lt;&gt;"")*($J$5:$J$204&lt;&gt;"")*($N$5:$N$204&lt;&gt;"キャンセル")*($G$5:$G$204&lt;$J32)*($J$5:$J$204&gt;$G32))&gt;1,"⚠重複","")))))</f>
        <v/>
      </c>
      <c r="W32" s="8">
        <f>IF(OR($B32="",$G32=""),"",IF(SUMPRODUCT(('利用者マスタ'!$A$4:$A$60=$B32)*('利用者マスタ'!$B$4:$B$60&lt;&gt;""))=0,"",IF(SUMIFS($X$5:$X$204,$B$5:$B$204,$B32,$G$5:$G$204,"&gt;="&amp;DATE(YEAR($G32),MONTH($G32),1),$G$5:$G$204,"&lt;="&amp;EOMONTH($G32,0))&gt;SUMIFS('利用者マスタ'!$B$4:$B$60,'利用者マスタ'!$A$4:$A$60,$B32),"⚠支給量超過","")))</f>
        <v/>
      </c>
      <c r="X32" s="8">
        <f>IF(OR($G32="",$J32="",$N32="キャンセル"),0,IF(IFERROR(INDEX('M_区分'!$B$4:$B$20,MATCH($C32,'M_区分'!$A$4:$A$20,0)),"○")="○",$J32-$G32+1,0))</f>
        <v/>
      </c>
      <c r="Y32" s="8">
        <f>IF($E32&lt;&gt;"",$E32,$Y31)</f>
        <v/>
      </c>
      <c r="Z32" s="8">
        <f>IF(OR($G32="",$J32=""),"",IF(AND($G32&lt;=EOMONTH('02_カレンダー'!$B$4,0),$J32&gt;='02_カレンダー'!$B$4),$G32*10000+ROW(),""))</f>
        <v/>
      </c>
      <c r="AA32" s="8">
        <f>IF($H32="","",IF(ISNUMBER($H32),IF(AND($H32=INT($H32),$H32&gt;=0,$H32&lt;=24),TEXT(INT($H32),"00")&amp;":00",TEXT($H32,"hh:mm")),$H32))</f>
        <v/>
      </c>
      <c r="AB32" s="8">
        <f>IF($K32="","",IF(ISNUMBER($K32),IF(AND($K32=INT($K32),$K32&gt;=0,$K32&lt;=24),TEXT(INT($K32),"00")&amp;":00",TEXT($K32,"hh:mm")),$K32))</f>
        <v/>
      </c>
      <c r="AC32" s="8">
        <f>IF($G32="",0,$G32)</f>
        <v/>
      </c>
      <c r="AD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IF($F33="","",IF($F33&gt;31,$F33,IF($Y33="","",DATE(YEAR($Y33),MONTH($Y33),$F33))))</f>
        <v/>
      </c>
      <c r="H33" s="9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9" t="n"/>
      <c r="L33" s="8">
        <f>IF(OR($G33="",$J33=""),"",$J33-$G33+1)</f>
        <v/>
      </c>
      <c r="M33" s="8">
        <f>IF(OR($G33="",$J33=""),"",$J33-$G33)</f>
        <v/>
      </c>
      <c r="N33" s="9" t="n"/>
      <c r="O33" s="9" t="n"/>
      <c r="P33" s="9" t="n"/>
      <c r="Q33" s="9" t="n"/>
      <c r="R33" s="9" t="n"/>
      <c r="S33" s="9" t="n"/>
      <c r="T33" s="13" t="n"/>
      <c r="U33" s="9" t="n"/>
      <c r="V33" s="8">
        <f>IF($G33="","",IF($D33="","⚠部屋が未選択",IF(COUNTIF('M_部屋'!$A$4:$A$20,$D33)=0,"⚠部屋が未登録",IF(OR($J33="",$N33="キャンセル"),"",IF(SUMPRODUCT(($D$5:$D$204=$D33)*($G$5:$G$204&lt;&gt;"")*($J$5:$J$204&lt;&gt;"")*($N$5:$N$204&lt;&gt;"キャンセル")*($G$5:$G$204&lt;$J33)*($J$5:$J$204&gt;$G33))&gt;1,"⚠重複","")))))</f>
        <v/>
      </c>
      <c r="W33" s="8">
        <f>IF(OR($B33="",$G33=""),"",IF(SUMPRODUCT(('利用者マスタ'!$A$4:$A$60=$B33)*('利用者マスタ'!$B$4:$B$60&lt;&gt;""))=0,"",IF(SUMIFS($X$5:$X$204,$B$5:$B$204,$B33,$G$5:$G$204,"&gt;="&amp;DATE(YEAR($G33),MONTH($G33),1),$G$5:$G$204,"&lt;="&amp;EOMONTH($G33,0))&gt;SUMIFS('利用者マスタ'!$B$4:$B$60,'利用者マスタ'!$A$4:$A$60,$B33),"⚠支給量超過","")))</f>
        <v/>
      </c>
      <c r="X33" s="8">
        <f>IF(OR($G33="",$J33="",$N33="キャンセル"),0,IF(IFERROR(INDEX('M_区分'!$B$4:$B$20,MATCH($C33,'M_区分'!$A$4:$A$20,0)),"○")="○",$J33-$G33+1,0))</f>
        <v/>
      </c>
      <c r="Y33" s="8">
        <f>IF($E33&lt;&gt;"",$E33,$Y32)</f>
        <v/>
      </c>
      <c r="Z33" s="8">
        <f>IF(OR($G33="",$J33=""),"",IF(AND($G33&lt;=EOMONTH('02_カレンダー'!$B$4,0),$J33&gt;='02_カレンダー'!$B$4),$G33*10000+ROW(),""))</f>
        <v/>
      </c>
      <c r="AA33" s="8">
        <f>IF($H33="","",IF(ISNUMBER($H33),IF(AND($H33=INT($H33),$H33&gt;=0,$H33&lt;=24),TEXT(INT($H33),"00")&amp;":00",TEXT($H33,"hh:mm")),$H33))</f>
        <v/>
      </c>
      <c r="AB33" s="8">
        <f>IF($K33="","",IF(ISNUMBER($K33),IF(AND($K33=INT($K33),$K33&gt;=0,$K33&lt;=24),TEXT(INT($K33),"00")&amp;":00",TEXT($K33,"hh:mm")),$K33))</f>
        <v/>
      </c>
      <c r="AC33" s="8">
        <f>IF($G33="",0,$G33)</f>
        <v/>
      </c>
      <c r="AD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IF($F34="","",IF($F34&gt;31,$F34,IF($Y34="","",DATE(YEAR($Y34),MONTH($Y34),$F34))))</f>
        <v/>
      </c>
      <c r="H34" s="9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9" t="n"/>
      <c r="L34" s="8">
        <f>IF(OR($G34="",$J34=""),"",$J34-$G34+1)</f>
        <v/>
      </c>
      <c r="M34" s="8">
        <f>IF(OR($G34="",$J34=""),"",$J34-$G34)</f>
        <v/>
      </c>
      <c r="N34" s="9" t="n"/>
      <c r="O34" s="9" t="n"/>
      <c r="P34" s="9" t="n"/>
      <c r="Q34" s="9" t="n"/>
      <c r="R34" s="9" t="n"/>
      <c r="S34" s="9" t="n"/>
      <c r="T34" s="13" t="n"/>
      <c r="U34" s="9" t="n"/>
      <c r="V34" s="8">
        <f>IF($G34="","",IF($D34="","⚠部屋が未選択",IF(COUNTIF('M_部屋'!$A$4:$A$20,$D34)=0,"⚠部屋が未登録",IF(OR($J34="",$N34="キャンセル"),"",IF(SUMPRODUCT(($D$5:$D$204=$D34)*($G$5:$G$204&lt;&gt;"")*($J$5:$J$204&lt;&gt;"")*($N$5:$N$204&lt;&gt;"キャンセル")*($G$5:$G$204&lt;$J34)*($J$5:$J$204&gt;$G34))&gt;1,"⚠重複","")))))</f>
        <v/>
      </c>
      <c r="W34" s="8">
        <f>IF(OR($B34="",$G34=""),"",IF(SUMPRODUCT(('利用者マスタ'!$A$4:$A$60=$B34)*('利用者マスタ'!$B$4:$B$60&lt;&gt;""))=0,"",IF(SUMIFS($X$5:$X$204,$B$5:$B$204,$B34,$G$5:$G$204,"&gt;="&amp;DATE(YEAR($G34),MONTH($G34),1),$G$5:$G$204,"&lt;="&amp;EOMONTH($G34,0))&gt;SUMIFS('利用者マスタ'!$B$4:$B$60,'利用者マスタ'!$A$4:$A$60,$B34),"⚠支給量超過","")))</f>
        <v/>
      </c>
      <c r="X34" s="8">
        <f>IF(OR($G34="",$J34="",$N34="キャンセル"),0,IF(IFERROR(INDEX('M_区分'!$B$4:$B$20,MATCH($C34,'M_区分'!$A$4:$A$20,0)),"○")="○",$J34-$G34+1,0))</f>
        <v/>
      </c>
      <c r="Y34" s="8">
        <f>IF($E34&lt;&gt;"",$E34,$Y33)</f>
        <v/>
      </c>
      <c r="Z34" s="8">
        <f>IF(OR($G34="",$J34=""),"",IF(AND($G34&lt;=EOMONTH('02_カレンダー'!$B$4,0),$J34&gt;='02_カレンダー'!$B$4),$G34*10000+ROW(),""))</f>
        <v/>
      </c>
      <c r="AA34" s="8">
        <f>IF($H34="","",IF(ISNUMBER($H34),IF(AND($H34=INT($H34),$H34&gt;=0,$H34&lt;=24),TEXT(INT($H34),"00")&amp;":00",TEXT($H34,"hh:mm")),$H34))</f>
        <v/>
      </c>
      <c r="AB34" s="8">
        <f>IF($K34="","",IF(ISNUMBER($K34),IF(AND($K34=INT($K34),$K34&gt;=0,$K34&lt;=24),TEXT(INT($K34),"00")&amp;":00",TEXT($K34,"hh:mm")),$K34))</f>
        <v/>
      </c>
      <c r="AC34" s="8">
        <f>IF($G34="",0,$G34)</f>
        <v/>
      </c>
      <c r="AD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IF($F35="","",IF($F35&gt;31,$F35,IF($Y35="","",DATE(YEAR($Y35),MONTH($Y35),$F35))))</f>
        <v/>
      </c>
      <c r="H35" s="9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9" t="n"/>
      <c r="L35" s="8">
        <f>IF(OR($G35="",$J35=""),"",$J35-$G35+1)</f>
        <v/>
      </c>
      <c r="M35" s="8">
        <f>IF(OR($G35="",$J35=""),"",$J35-$G35)</f>
        <v/>
      </c>
      <c r="N35" s="9" t="n"/>
      <c r="O35" s="9" t="n"/>
      <c r="P35" s="9" t="n"/>
      <c r="Q35" s="9" t="n"/>
      <c r="R35" s="9" t="n"/>
      <c r="S35" s="9" t="n"/>
      <c r="T35" s="13" t="n"/>
      <c r="U35" s="9" t="n"/>
      <c r="V35" s="8">
        <f>IF($G35="","",IF($D35="","⚠部屋が未選択",IF(COUNTIF('M_部屋'!$A$4:$A$20,$D35)=0,"⚠部屋が未登録",IF(OR($J35="",$N35="キャンセル"),"",IF(SUMPRODUCT(($D$5:$D$204=$D35)*($G$5:$G$204&lt;&gt;"")*($J$5:$J$204&lt;&gt;"")*($N$5:$N$204&lt;&gt;"キャンセル")*($G$5:$G$204&lt;$J35)*($J$5:$J$204&gt;$G35))&gt;1,"⚠重複","")))))</f>
        <v/>
      </c>
      <c r="W35" s="8">
        <f>IF(OR($B35="",$G35=""),"",IF(SUMPRODUCT(('利用者マスタ'!$A$4:$A$60=$B35)*('利用者マスタ'!$B$4:$B$60&lt;&gt;""))=0,"",IF(SUMIFS($X$5:$X$204,$B$5:$B$204,$B35,$G$5:$G$204,"&gt;="&amp;DATE(YEAR($G35),MONTH($G35),1),$G$5:$G$204,"&lt;="&amp;EOMONTH($G35,0))&gt;SUMIFS('利用者マスタ'!$B$4:$B$60,'利用者マスタ'!$A$4:$A$60,$B35),"⚠支給量超過","")))</f>
        <v/>
      </c>
      <c r="X35" s="8">
        <f>IF(OR($G35="",$J35="",$N35="キャンセル"),0,IF(IFERROR(INDEX('M_区分'!$B$4:$B$20,MATCH($C35,'M_区分'!$A$4:$A$20,0)),"○")="○",$J35-$G35+1,0))</f>
        <v/>
      </c>
      <c r="Y35" s="8">
        <f>IF($E35&lt;&gt;"",$E35,$Y34)</f>
        <v/>
      </c>
      <c r="Z35" s="8">
        <f>IF(OR($G35="",$J35=""),"",IF(AND($G35&lt;=EOMONTH('02_カレンダー'!$B$4,0),$J35&gt;='02_カレンダー'!$B$4),$G35*10000+ROW(),""))</f>
        <v/>
      </c>
      <c r="AA35" s="8">
        <f>IF($H35="","",IF(ISNUMBER($H35),IF(AND($H35=INT($H35),$H35&gt;=0,$H35&lt;=24),TEXT(INT($H35),"00")&amp;":00",TEXT($H35,"hh:mm")),$H35))</f>
        <v/>
      </c>
      <c r="AB35" s="8">
        <f>IF($K35="","",IF(ISNUMBER($K35),IF(AND($K35=INT($K35),$K35&gt;=0,$K35&lt;=24),TEXT(INT($K35),"00")&amp;":00",TEXT($K35,"hh:mm")),$K35))</f>
        <v/>
      </c>
      <c r="AC35" s="8">
        <f>IF($G35="",0,$G35)</f>
        <v/>
      </c>
      <c r="AD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IF($F36="","",IF($F36&gt;31,$F36,IF($Y36="","",DATE(YEAR($Y36),MONTH($Y36),$F36))))</f>
        <v/>
      </c>
      <c r="H36" s="9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9" t="n"/>
      <c r="L36" s="8">
        <f>IF(OR($G36="",$J36=""),"",$J36-$G36+1)</f>
        <v/>
      </c>
      <c r="M36" s="8">
        <f>IF(OR($G36="",$J36=""),"",$J36-$G36)</f>
        <v/>
      </c>
      <c r="N36" s="9" t="n"/>
      <c r="O36" s="9" t="n"/>
      <c r="P36" s="9" t="n"/>
      <c r="Q36" s="9" t="n"/>
      <c r="R36" s="9" t="n"/>
      <c r="S36" s="9" t="n"/>
      <c r="T36" s="13" t="n"/>
      <c r="U36" s="9" t="n"/>
      <c r="V36" s="8">
        <f>IF($G36="","",IF($D36="","⚠部屋が未選択",IF(COUNTIF('M_部屋'!$A$4:$A$20,$D36)=0,"⚠部屋が未登録",IF(OR($J36="",$N36="キャンセル"),"",IF(SUMPRODUCT(($D$5:$D$204=$D36)*($G$5:$G$204&lt;&gt;"")*($J$5:$J$204&lt;&gt;"")*($N$5:$N$204&lt;&gt;"キャンセル")*($G$5:$G$204&lt;$J36)*($J$5:$J$204&gt;$G36))&gt;1,"⚠重複","")))))</f>
        <v/>
      </c>
      <c r="W36" s="8">
        <f>IF(OR($B36="",$G36=""),"",IF(SUMPRODUCT(('利用者マスタ'!$A$4:$A$60=$B36)*('利用者マスタ'!$B$4:$B$60&lt;&gt;""))=0,"",IF(SUMIFS($X$5:$X$204,$B$5:$B$204,$B36,$G$5:$G$204,"&gt;="&amp;DATE(YEAR($G36),MONTH($G36),1),$G$5:$G$204,"&lt;="&amp;EOMONTH($G36,0))&gt;SUMIFS('利用者マスタ'!$B$4:$B$60,'利用者マスタ'!$A$4:$A$60,$B36),"⚠支給量超過","")))</f>
        <v/>
      </c>
      <c r="X36" s="8">
        <f>IF(OR($G36="",$J36="",$N36="キャンセル"),0,IF(IFERROR(INDEX('M_区分'!$B$4:$B$20,MATCH($C36,'M_区分'!$A$4:$A$20,0)),"○")="○",$J36-$G36+1,0))</f>
        <v/>
      </c>
      <c r="Y36" s="8">
        <f>IF($E36&lt;&gt;"",$E36,$Y35)</f>
        <v/>
      </c>
      <c r="Z36" s="8">
        <f>IF(OR($G36="",$J36=""),"",IF(AND($G36&lt;=EOMONTH('02_カレンダー'!$B$4,0),$J36&gt;='02_カレンダー'!$B$4),$G36*10000+ROW(),""))</f>
        <v/>
      </c>
      <c r="AA36" s="8">
        <f>IF($H36="","",IF(ISNUMBER($H36),IF(AND($H36=INT($H36),$H36&gt;=0,$H36&lt;=24),TEXT(INT($H36),"00")&amp;":00",TEXT($H36,"hh:mm")),$H36))</f>
        <v/>
      </c>
      <c r="AB36" s="8">
        <f>IF($K36="","",IF(ISNUMBER($K36),IF(AND($K36=INT($K36),$K36&gt;=0,$K36&lt;=24),TEXT(INT($K36),"00")&amp;":00",TEXT($K36,"hh:mm")),$K36))</f>
        <v/>
      </c>
      <c r="AC36" s="8">
        <f>IF($G36="",0,$G36)</f>
        <v/>
      </c>
      <c r="AD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IF($F37="","",IF($F37&gt;31,$F37,IF($Y37="","",DATE(YEAR($Y37),MONTH($Y37),$F37))))</f>
        <v/>
      </c>
      <c r="H37" s="9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9" t="n"/>
      <c r="L37" s="8">
        <f>IF(OR($G37="",$J37=""),"",$J37-$G37+1)</f>
        <v/>
      </c>
      <c r="M37" s="8">
        <f>IF(OR($G37="",$J37=""),"",$J37-$G37)</f>
        <v/>
      </c>
      <c r="N37" s="9" t="n"/>
      <c r="O37" s="9" t="n"/>
      <c r="P37" s="9" t="n"/>
      <c r="Q37" s="9" t="n"/>
      <c r="R37" s="9" t="n"/>
      <c r="S37" s="9" t="n"/>
      <c r="T37" s="13" t="n"/>
      <c r="U37" s="9" t="n"/>
      <c r="V37" s="8">
        <f>IF($G37="","",IF($D37="","⚠部屋が未選択",IF(COUNTIF('M_部屋'!$A$4:$A$20,$D37)=0,"⚠部屋が未登録",IF(OR($J37="",$N37="キャンセル"),"",IF(SUMPRODUCT(($D$5:$D$204=$D37)*($G$5:$G$204&lt;&gt;"")*($J$5:$J$204&lt;&gt;"")*($N$5:$N$204&lt;&gt;"キャンセル")*($G$5:$G$204&lt;$J37)*($J$5:$J$204&gt;$G37))&gt;1,"⚠重複","")))))</f>
        <v/>
      </c>
      <c r="W37" s="8">
        <f>IF(OR($B37="",$G37=""),"",IF(SUMPRODUCT(('利用者マスタ'!$A$4:$A$60=$B37)*('利用者マスタ'!$B$4:$B$60&lt;&gt;""))=0,"",IF(SUMIFS($X$5:$X$204,$B$5:$B$204,$B37,$G$5:$G$204,"&gt;="&amp;DATE(YEAR($G37),MONTH($G37),1),$G$5:$G$204,"&lt;="&amp;EOMONTH($G37,0))&gt;SUMIFS('利用者マスタ'!$B$4:$B$60,'利用者マスタ'!$A$4:$A$60,$B37),"⚠支給量超過","")))</f>
        <v/>
      </c>
      <c r="X37" s="8">
        <f>IF(OR($G37="",$J37="",$N37="キャンセル"),0,IF(IFERROR(INDEX('M_区分'!$B$4:$B$20,MATCH($C37,'M_区分'!$A$4:$A$20,0)),"○")="○",$J37-$G37+1,0))</f>
        <v/>
      </c>
      <c r="Y37" s="8">
        <f>IF($E37&lt;&gt;"",$E37,$Y36)</f>
        <v/>
      </c>
      <c r="Z37" s="8">
        <f>IF(OR($G37="",$J37=""),"",IF(AND($G37&lt;=EOMONTH('02_カレンダー'!$B$4,0),$J37&gt;='02_カレンダー'!$B$4),$G37*10000+ROW(),""))</f>
        <v/>
      </c>
      <c r="AA37" s="8">
        <f>IF($H37="","",IF(ISNUMBER($H37),IF(AND($H37=INT($H37),$H37&gt;=0,$H37&lt;=24),TEXT(INT($H37),"00")&amp;":00",TEXT($H37,"hh:mm")),$H37))</f>
        <v/>
      </c>
      <c r="AB37" s="8">
        <f>IF($K37="","",IF(ISNUMBER($K37),IF(AND($K37=INT($K37),$K37&gt;=0,$K37&lt;=24),TEXT(INT($K37),"00")&amp;":00",TEXT($K37,"hh:mm")),$K37))</f>
        <v/>
      </c>
      <c r="AC37" s="8">
        <f>IF($G37="",0,$G37)</f>
        <v/>
      </c>
      <c r="AD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IF($F38="","",IF($F38&gt;31,$F38,IF($Y38="","",DATE(YEAR($Y38),MONTH($Y38),$F38))))</f>
        <v/>
      </c>
      <c r="H38" s="9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9" t="n"/>
      <c r="L38" s="8">
        <f>IF(OR($G38="",$J38=""),"",$J38-$G38+1)</f>
        <v/>
      </c>
      <c r="M38" s="8">
        <f>IF(OR($G38="",$J38=""),"",$J38-$G38)</f>
        <v/>
      </c>
      <c r="N38" s="9" t="n"/>
      <c r="O38" s="9" t="n"/>
      <c r="P38" s="9" t="n"/>
      <c r="Q38" s="9" t="n"/>
      <c r="R38" s="9" t="n"/>
      <c r="S38" s="9" t="n"/>
      <c r="T38" s="13" t="n"/>
      <c r="U38" s="9" t="n"/>
      <c r="V38" s="8">
        <f>IF($G38="","",IF($D38="","⚠部屋が未選択",IF(COUNTIF('M_部屋'!$A$4:$A$20,$D38)=0,"⚠部屋が未登録",IF(OR($J38="",$N38="キャンセル"),"",IF(SUMPRODUCT(($D$5:$D$204=$D38)*($G$5:$G$204&lt;&gt;"")*($J$5:$J$204&lt;&gt;"")*($N$5:$N$204&lt;&gt;"キャンセル")*($G$5:$G$204&lt;$J38)*($J$5:$J$204&gt;$G38))&gt;1,"⚠重複","")))))</f>
        <v/>
      </c>
      <c r="W38" s="8">
        <f>IF(OR($B38="",$G38=""),"",IF(SUMPRODUCT(('利用者マスタ'!$A$4:$A$60=$B38)*('利用者マスタ'!$B$4:$B$60&lt;&gt;""))=0,"",IF(SUMIFS($X$5:$X$204,$B$5:$B$204,$B38,$G$5:$G$204,"&gt;="&amp;DATE(YEAR($G38),MONTH($G38),1),$G$5:$G$204,"&lt;="&amp;EOMONTH($G38,0))&gt;SUMIFS('利用者マスタ'!$B$4:$B$60,'利用者マスタ'!$A$4:$A$60,$B38),"⚠支給量超過","")))</f>
        <v/>
      </c>
      <c r="X38" s="8">
        <f>IF(OR($G38="",$J38="",$N38="キャンセル"),0,IF(IFERROR(INDEX('M_区分'!$B$4:$B$20,MATCH($C38,'M_区分'!$A$4:$A$20,0)),"○")="○",$J38-$G38+1,0))</f>
        <v/>
      </c>
      <c r="Y38" s="8">
        <f>IF($E38&lt;&gt;"",$E38,$Y37)</f>
        <v/>
      </c>
      <c r="Z38" s="8">
        <f>IF(OR($G38="",$J38=""),"",IF(AND($G38&lt;=EOMONTH('02_カレンダー'!$B$4,0),$J38&gt;='02_カレンダー'!$B$4),$G38*10000+ROW(),""))</f>
        <v/>
      </c>
      <c r="AA38" s="8">
        <f>IF($H38="","",IF(ISNUMBER($H38),IF(AND($H38=INT($H38),$H38&gt;=0,$H38&lt;=24),TEXT(INT($H38),"00")&amp;":00",TEXT($H38,"hh:mm")),$H38))</f>
        <v/>
      </c>
      <c r="AB38" s="8">
        <f>IF($K38="","",IF(ISNUMBER($K38),IF(AND($K38=INT($K38),$K38&gt;=0,$K38&lt;=24),TEXT(INT($K38),"00")&amp;":00",TEXT($K38,"hh:mm")),$K38))</f>
        <v/>
      </c>
      <c r="AC38" s="8">
        <f>IF($G38="",0,$G38)</f>
        <v/>
      </c>
      <c r="AD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IF($F39="","",IF($F39&gt;31,$F39,IF($Y39="","",DATE(YEAR($Y39),MONTH($Y39),$F39))))</f>
        <v/>
      </c>
      <c r="H39" s="9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9" t="n"/>
      <c r="L39" s="8">
        <f>IF(OR($G39="",$J39=""),"",$J39-$G39+1)</f>
        <v/>
      </c>
      <c r="M39" s="8">
        <f>IF(OR($G39="",$J39=""),"",$J39-$G39)</f>
        <v/>
      </c>
      <c r="N39" s="9" t="n"/>
      <c r="O39" s="9" t="n"/>
      <c r="P39" s="9" t="n"/>
      <c r="Q39" s="9" t="n"/>
      <c r="R39" s="9" t="n"/>
      <c r="S39" s="9" t="n"/>
      <c r="T39" s="13" t="n"/>
      <c r="U39" s="9" t="n"/>
      <c r="V39" s="8">
        <f>IF($G39="","",IF($D39="","⚠部屋が未選択",IF(COUNTIF('M_部屋'!$A$4:$A$20,$D39)=0,"⚠部屋が未登録",IF(OR($J39="",$N39="キャンセル"),"",IF(SUMPRODUCT(($D$5:$D$204=$D39)*($G$5:$G$204&lt;&gt;"")*($J$5:$J$204&lt;&gt;"")*($N$5:$N$204&lt;&gt;"キャンセル")*($G$5:$G$204&lt;$J39)*($J$5:$J$204&gt;$G39))&gt;1,"⚠重複","")))))</f>
        <v/>
      </c>
      <c r="W39" s="8">
        <f>IF(OR($B39="",$G39=""),"",IF(SUMPRODUCT(('利用者マスタ'!$A$4:$A$60=$B39)*('利用者マスタ'!$B$4:$B$60&lt;&gt;""))=0,"",IF(SUMIFS($X$5:$X$204,$B$5:$B$204,$B39,$G$5:$G$204,"&gt;="&amp;DATE(YEAR($G39),MONTH($G39),1),$G$5:$G$204,"&lt;="&amp;EOMONTH($G39,0))&gt;SUMIFS('利用者マスタ'!$B$4:$B$60,'利用者マスタ'!$A$4:$A$60,$B39),"⚠支給量超過","")))</f>
        <v/>
      </c>
      <c r="X39" s="8">
        <f>IF(OR($G39="",$J39="",$N39="キャンセル"),0,IF(IFERROR(INDEX('M_区分'!$B$4:$B$20,MATCH($C39,'M_区分'!$A$4:$A$20,0)),"○")="○",$J39-$G39+1,0))</f>
        <v/>
      </c>
      <c r="Y39" s="8">
        <f>IF($E39&lt;&gt;"",$E39,$Y38)</f>
        <v/>
      </c>
      <c r="Z39" s="8">
        <f>IF(OR($G39="",$J39=""),"",IF(AND($G39&lt;=EOMONTH('02_カレンダー'!$B$4,0),$J39&gt;='02_カレンダー'!$B$4),$G39*10000+ROW(),""))</f>
        <v/>
      </c>
      <c r="AA39" s="8">
        <f>IF($H39="","",IF(ISNUMBER($H39),IF(AND($H39=INT($H39),$H39&gt;=0,$H39&lt;=24),TEXT(INT($H39),"00")&amp;":00",TEXT($H39,"hh:mm")),$H39))</f>
        <v/>
      </c>
      <c r="AB39" s="8">
        <f>IF($K39="","",IF(ISNUMBER($K39),IF(AND($K39=INT($K39),$K39&gt;=0,$K39&lt;=24),TEXT(INT($K39),"00")&amp;":00",TEXT($K39,"hh:mm")),$K39))</f>
        <v/>
      </c>
      <c r="AC39" s="8">
        <f>IF($G39="",0,$G39)</f>
        <v/>
      </c>
      <c r="AD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IF($F40="","",IF($F40&gt;31,$F40,IF($Y40="","",DATE(YEAR($Y40),MONTH($Y40),$F40))))</f>
        <v/>
      </c>
      <c r="H40" s="9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9" t="n"/>
      <c r="L40" s="8">
        <f>IF(OR($G40="",$J40=""),"",$J40-$G40+1)</f>
        <v/>
      </c>
      <c r="M40" s="8">
        <f>IF(OR($G40="",$J40=""),"",$J40-$G40)</f>
        <v/>
      </c>
      <c r="N40" s="9" t="n"/>
      <c r="O40" s="9" t="n"/>
      <c r="P40" s="9" t="n"/>
      <c r="Q40" s="9" t="n"/>
      <c r="R40" s="9" t="n"/>
      <c r="S40" s="9" t="n"/>
      <c r="T40" s="13" t="n"/>
      <c r="U40" s="9" t="n"/>
      <c r="V40" s="8">
        <f>IF($G40="","",IF($D40="","⚠部屋が未選択",IF(COUNTIF('M_部屋'!$A$4:$A$20,$D40)=0,"⚠部屋が未登録",IF(OR($J40="",$N40="キャンセル"),"",IF(SUMPRODUCT(($D$5:$D$204=$D40)*($G$5:$G$204&lt;&gt;"")*($J$5:$J$204&lt;&gt;"")*($N$5:$N$204&lt;&gt;"キャンセル")*($G$5:$G$204&lt;$J40)*($J$5:$J$204&gt;$G40))&gt;1,"⚠重複","")))))</f>
        <v/>
      </c>
      <c r="W40" s="8">
        <f>IF(OR($B40="",$G40=""),"",IF(SUMPRODUCT(('利用者マスタ'!$A$4:$A$60=$B40)*('利用者マスタ'!$B$4:$B$60&lt;&gt;""))=0,"",IF(SUMIFS($X$5:$X$204,$B$5:$B$204,$B40,$G$5:$G$204,"&gt;="&amp;DATE(YEAR($G40),MONTH($G40),1),$G$5:$G$204,"&lt;="&amp;EOMONTH($G40,0))&gt;SUMIFS('利用者マスタ'!$B$4:$B$60,'利用者マスタ'!$A$4:$A$60,$B40),"⚠支給量超過","")))</f>
        <v/>
      </c>
      <c r="X40" s="8">
        <f>IF(OR($G40="",$J40="",$N40="キャンセル"),0,IF(IFERROR(INDEX('M_区分'!$B$4:$B$20,MATCH($C40,'M_区分'!$A$4:$A$20,0)),"○")="○",$J40-$G40+1,0))</f>
        <v/>
      </c>
      <c r="Y40" s="8">
        <f>IF($E40&lt;&gt;"",$E40,$Y39)</f>
        <v/>
      </c>
      <c r="Z40" s="8">
        <f>IF(OR($G40="",$J40=""),"",IF(AND($G40&lt;=EOMONTH('02_カレンダー'!$B$4,0),$J40&gt;='02_カレンダー'!$B$4),$G40*10000+ROW(),""))</f>
        <v/>
      </c>
      <c r="AA40" s="8">
        <f>IF($H40="","",IF(ISNUMBER($H40),IF(AND($H40=INT($H40),$H40&gt;=0,$H40&lt;=24),TEXT(INT($H40),"00")&amp;":00",TEXT($H40,"hh:mm")),$H40))</f>
        <v/>
      </c>
      <c r="AB40" s="8">
        <f>IF($K40="","",IF(ISNUMBER($K40),IF(AND($K40=INT($K40),$K40&gt;=0,$K40&lt;=24),TEXT(INT($K40),"00")&amp;":00",TEXT($K40,"hh:mm")),$K40))</f>
        <v/>
      </c>
      <c r="AC40" s="8">
        <f>IF($G40="",0,$G40)</f>
        <v/>
      </c>
      <c r="AD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IF($F41="","",IF($F41&gt;31,$F41,IF($Y41="","",DATE(YEAR($Y41),MONTH($Y41),$F41))))</f>
        <v/>
      </c>
      <c r="H41" s="9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9" t="n"/>
      <c r="L41" s="8">
        <f>IF(OR($G41="",$J41=""),"",$J41-$G41+1)</f>
        <v/>
      </c>
      <c r="M41" s="8">
        <f>IF(OR($G41="",$J41=""),"",$J41-$G41)</f>
        <v/>
      </c>
      <c r="N41" s="9" t="n"/>
      <c r="O41" s="9" t="n"/>
      <c r="P41" s="9" t="n"/>
      <c r="Q41" s="9" t="n"/>
      <c r="R41" s="9" t="n"/>
      <c r="S41" s="9" t="n"/>
      <c r="T41" s="13" t="n"/>
      <c r="U41" s="9" t="n"/>
      <c r="V41" s="8">
        <f>IF($G41="","",IF($D41="","⚠部屋が未選択",IF(COUNTIF('M_部屋'!$A$4:$A$20,$D41)=0,"⚠部屋が未登録",IF(OR($J41="",$N41="キャンセル"),"",IF(SUMPRODUCT(($D$5:$D$204=$D41)*($G$5:$G$204&lt;&gt;"")*($J$5:$J$204&lt;&gt;"")*($N$5:$N$204&lt;&gt;"キャンセル")*($G$5:$G$204&lt;$J41)*($J$5:$J$204&gt;$G41))&gt;1,"⚠重複","")))))</f>
        <v/>
      </c>
      <c r="W41" s="8">
        <f>IF(OR($B41="",$G41=""),"",IF(SUMPRODUCT(('利用者マスタ'!$A$4:$A$60=$B41)*('利用者マスタ'!$B$4:$B$60&lt;&gt;""))=0,"",IF(SUMIFS($X$5:$X$204,$B$5:$B$204,$B41,$G$5:$G$204,"&gt;="&amp;DATE(YEAR($G41),MONTH($G41),1),$G$5:$G$204,"&lt;="&amp;EOMONTH($G41,0))&gt;SUMIFS('利用者マスタ'!$B$4:$B$60,'利用者マスタ'!$A$4:$A$60,$B41),"⚠支給量超過","")))</f>
        <v/>
      </c>
      <c r="X41" s="8">
        <f>IF(OR($G41="",$J41="",$N41="キャンセル"),0,IF(IFERROR(INDEX('M_区分'!$B$4:$B$20,MATCH($C41,'M_区分'!$A$4:$A$20,0)),"○")="○",$J41-$G41+1,0))</f>
        <v/>
      </c>
      <c r="Y41" s="8">
        <f>IF($E41&lt;&gt;"",$E41,$Y40)</f>
        <v/>
      </c>
      <c r="Z41" s="8">
        <f>IF(OR($G41="",$J41=""),"",IF(AND($G41&lt;=EOMONTH('02_カレンダー'!$B$4,0),$J41&gt;='02_カレンダー'!$B$4),$G41*10000+ROW(),""))</f>
        <v/>
      </c>
      <c r="AA41" s="8">
        <f>IF($H41="","",IF(ISNUMBER($H41),IF(AND($H41=INT($H41),$H41&gt;=0,$H41&lt;=24),TEXT(INT($H41),"00")&amp;":00",TEXT($H41,"hh:mm")),$H41))</f>
        <v/>
      </c>
      <c r="AB41" s="8">
        <f>IF($K41="","",IF(ISNUMBER($K41),IF(AND($K41=INT($K41),$K41&gt;=0,$K41&lt;=24),TEXT(INT($K41),"00")&amp;":00",TEXT($K41,"hh:mm")),$K41))</f>
        <v/>
      </c>
      <c r="AC41" s="8">
        <f>IF($G41="",0,$G41)</f>
        <v/>
      </c>
      <c r="AD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IF($F42="","",IF($F42&gt;31,$F42,IF($Y42="","",DATE(YEAR($Y42),MONTH($Y42),$F42))))</f>
        <v/>
      </c>
      <c r="H42" s="9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9" t="n"/>
      <c r="L42" s="8">
        <f>IF(OR($G42="",$J42=""),"",$J42-$G42+1)</f>
        <v/>
      </c>
      <c r="M42" s="8">
        <f>IF(OR($G42="",$J42=""),"",$J42-$G42)</f>
        <v/>
      </c>
      <c r="N42" s="9" t="n"/>
      <c r="O42" s="9" t="n"/>
      <c r="P42" s="9" t="n"/>
      <c r="Q42" s="9" t="n"/>
      <c r="R42" s="9" t="n"/>
      <c r="S42" s="9" t="n"/>
      <c r="T42" s="13" t="n"/>
      <c r="U42" s="9" t="n"/>
      <c r="V42" s="8">
        <f>IF($G42="","",IF($D42="","⚠部屋が未選択",IF(COUNTIF('M_部屋'!$A$4:$A$20,$D42)=0,"⚠部屋が未登録",IF(OR($J42="",$N42="キャンセル"),"",IF(SUMPRODUCT(($D$5:$D$204=$D42)*($G$5:$G$204&lt;&gt;"")*($J$5:$J$204&lt;&gt;"")*($N$5:$N$204&lt;&gt;"キャンセル")*($G$5:$G$204&lt;$J42)*($J$5:$J$204&gt;$G42))&gt;1,"⚠重複","")))))</f>
        <v/>
      </c>
      <c r="W42" s="8">
        <f>IF(OR($B42="",$G42=""),"",IF(SUMPRODUCT(('利用者マスタ'!$A$4:$A$60=$B42)*('利用者マスタ'!$B$4:$B$60&lt;&gt;""))=0,"",IF(SUMIFS($X$5:$X$204,$B$5:$B$204,$B42,$G$5:$G$204,"&gt;="&amp;DATE(YEAR($G42),MONTH($G42),1),$G$5:$G$204,"&lt;="&amp;EOMONTH($G42,0))&gt;SUMIFS('利用者マスタ'!$B$4:$B$60,'利用者マスタ'!$A$4:$A$60,$B42),"⚠支給量超過","")))</f>
        <v/>
      </c>
      <c r="X42" s="8">
        <f>IF(OR($G42="",$J42="",$N42="キャンセル"),0,IF(IFERROR(INDEX('M_区分'!$B$4:$B$20,MATCH($C42,'M_区分'!$A$4:$A$20,0)),"○")="○",$J42-$G42+1,0))</f>
        <v/>
      </c>
      <c r="Y42" s="8">
        <f>IF($E42&lt;&gt;"",$E42,$Y41)</f>
        <v/>
      </c>
      <c r="Z42" s="8">
        <f>IF(OR($G42="",$J42=""),"",IF(AND($G42&lt;=EOMONTH('02_カレンダー'!$B$4,0),$J42&gt;='02_カレンダー'!$B$4),$G42*10000+ROW(),""))</f>
        <v/>
      </c>
      <c r="AA42" s="8">
        <f>IF($H42="","",IF(ISNUMBER($H42),IF(AND($H42=INT($H42),$H42&gt;=0,$H42&lt;=24),TEXT(INT($H42),"00")&amp;":00",TEXT($H42,"hh:mm")),$H42))</f>
        <v/>
      </c>
      <c r="AB42" s="8">
        <f>IF($K42="","",IF(ISNUMBER($K42),IF(AND($K42=INT($K42),$K42&gt;=0,$K42&lt;=24),TEXT(INT($K42),"00")&amp;":00",TEXT($K42,"hh:mm")),$K42))</f>
        <v/>
      </c>
      <c r="AC42" s="8">
        <f>IF($G42="",0,$G42)</f>
        <v/>
      </c>
      <c r="AD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IF($F43="","",IF($F43&gt;31,$F43,IF($Y43="","",DATE(YEAR($Y43),MONTH($Y43),$F43))))</f>
        <v/>
      </c>
      <c r="H43" s="9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9" t="n"/>
      <c r="L43" s="8">
        <f>IF(OR($G43="",$J43=""),"",$J43-$G43+1)</f>
        <v/>
      </c>
      <c r="M43" s="8">
        <f>IF(OR($G43="",$J43=""),"",$J43-$G43)</f>
        <v/>
      </c>
      <c r="N43" s="9" t="n"/>
      <c r="O43" s="9" t="n"/>
      <c r="P43" s="9" t="n"/>
      <c r="Q43" s="9" t="n"/>
      <c r="R43" s="9" t="n"/>
      <c r="S43" s="9" t="n"/>
      <c r="T43" s="13" t="n"/>
      <c r="U43" s="9" t="n"/>
      <c r="V43" s="8">
        <f>IF($G43="","",IF($D43="","⚠部屋が未選択",IF(COUNTIF('M_部屋'!$A$4:$A$20,$D43)=0,"⚠部屋が未登録",IF(OR($J43="",$N43="キャンセル"),"",IF(SUMPRODUCT(($D$5:$D$204=$D43)*($G$5:$G$204&lt;&gt;"")*($J$5:$J$204&lt;&gt;"")*($N$5:$N$204&lt;&gt;"キャンセル")*($G$5:$G$204&lt;$J43)*($J$5:$J$204&gt;$G43))&gt;1,"⚠重複","")))))</f>
        <v/>
      </c>
      <c r="W43" s="8">
        <f>IF(OR($B43="",$G43=""),"",IF(SUMPRODUCT(('利用者マスタ'!$A$4:$A$60=$B43)*('利用者マスタ'!$B$4:$B$60&lt;&gt;""))=0,"",IF(SUMIFS($X$5:$X$204,$B$5:$B$204,$B43,$G$5:$G$204,"&gt;="&amp;DATE(YEAR($G43),MONTH($G43),1),$G$5:$G$204,"&lt;="&amp;EOMONTH($G43,0))&gt;SUMIFS('利用者マスタ'!$B$4:$B$60,'利用者マスタ'!$A$4:$A$60,$B43),"⚠支給量超過","")))</f>
        <v/>
      </c>
      <c r="X43" s="8">
        <f>IF(OR($G43="",$J43="",$N43="キャンセル"),0,IF(IFERROR(INDEX('M_区分'!$B$4:$B$20,MATCH($C43,'M_区分'!$A$4:$A$20,0)),"○")="○",$J43-$G43+1,0))</f>
        <v/>
      </c>
      <c r="Y43" s="8">
        <f>IF($E43&lt;&gt;"",$E43,$Y42)</f>
        <v/>
      </c>
      <c r="Z43" s="8">
        <f>IF(OR($G43="",$J43=""),"",IF(AND($G43&lt;=EOMONTH('02_カレンダー'!$B$4,0),$J43&gt;='02_カレンダー'!$B$4),$G43*10000+ROW(),""))</f>
        <v/>
      </c>
      <c r="AA43" s="8">
        <f>IF($H43="","",IF(ISNUMBER($H43),IF(AND($H43=INT($H43),$H43&gt;=0,$H43&lt;=24),TEXT(INT($H43),"00")&amp;":00",TEXT($H43,"hh:mm")),$H43))</f>
        <v/>
      </c>
      <c r="AB43" s="8">
        <f>IF($K43="","",IF(ISNUMBER($K43),IF(AND($K43=INT($K43),$K43&gt;=0,$K43&lt;=24),TEXT(INT($K43),"00")&amp;":00",TEXT($K43,"hh:mm")),$K43))</f>
        <v/>
      </c>
      <c r="AC43" s="8">
        <f>IF($G43="",0,$G43)</f>
        <v/>
      </c>
      <c r="AD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IF($F44="","",IF($F44&gt;31,$F44,IF($Y44="","",DATE(YEAR($Y44),MONTH($Y44),$F44))))</f>
        <v/>
      </c>
      <c r="H44" s="9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9" t="n"/>
      <c r="L44" s="8">
        <f>IF(OR($G44="",$J44=""),"",$J44-$G44+1)</f>
        <v/>
      </c>
      <c r="M44" s="8">
        <f>IF(OR($G44="",$J44=""),"",$J44-$G44)</f>
        <v/>
      </c>
      <c r="N44" s="9" t="n"/>
      <c r="O44" s="9" t="n"/>
      <c r="P44" s="9" t="n"/>
      <c r="Q44" s="9" t="n"/>
      <c r="R44" s="9" t="n"/>
      <c r="S44" s="9" t="n"/>
      <c r="T44" s="13" t="n"/>
      <c r="U44" s="9" t="n"/>
      <c r="V44" s="8">
        <f>IF($G44="","",IF($D44="","⚠部屋が未選択",IF(COUNTIF('M_部屋'!$A$4:$A$20,$D44)=0,"⚠部屋が未登録",IF(OR($J44="",$N44="キャンセル"),"",IF(SUMPRODUCT(($D$5:$D$204=$D44)*($G$5:$G$204&lt;&gt;"")*($J$5:$J$204&lt;&gt;"")*($N$5:$N$204&lt;&gt;"キャンセル")*($G$5:$G$204&lt;$J44)*($J$5:$J$204&gt;$G44))&gt;1,"⚠重複","")))))</f>
        <v/>
      </c>
      <c r="W44" s="8">
        <f>IF(OR($B44="",$G44=""),"",IF(SUMPRODUCT(('利用者マスタ'!$A$4:$A$60=$B44)*('利用者マスタ'!$B$4:$B$60&lt;&gt;""))=0,"",IF(SUMIFS($X$5:$X$204,$B$5:$B$204,$B44,$G$5:$G$204,"&gt;="&amp;DATE(YEAR($G44),MONTH($G44),1),$G$5:$G$204,"&lt;="&amp;EOMONTH($G44,0))&gt;SUMIFS('利用者マスタ'!$B$4:$B$60,'利用者マスタ'!$A$4:$A$60,$B44),"⚠支給量超過","")))</f>
        <v/>
      </c>
      <c r="X44" s="8">
        <f>IF(OR($G44="",$J44="",$N44="キャンセル"),0,IF(IFERROR(INDEX('M_区分'!$B$4:$B$20,MATCH($C44,'M_区分'!$A$4:$A$20,0)),"○")="○",$J44-$G44+1,0))</f>
        <v/>
      </c>
      <c r="Y44" s="8">
        <f>IF($E44&lt;&gt;"",$E44,$Y43)</f>
        <v/>
      </c>
      <c r="Z44" s="8">
        <f>IF(OR($G44="",$J44=""),"",IF(AND($G44&lt;=EOMONTH('02_カレンダー'!$B$4,0),$J44&gt;='02_カレンダー'!$B$4),$G44*10000+ROW(),""))</f>
        <v/>
      </c>
      <c r="AA44" s="8">
        <f>IF($H44="","",IF(ISNUMBER($H44),IF(AND($H44=INT($H44),$H44&gt;=0,$H44&lt;=24),TEXT(INT($H44),"00")&amp;":00",TEXT($H44,"hh:mm")),$H44))</f>
        <v/>
      </c>
      <c r="AB44" s="8">
        <f>IF($K44="","",IF(ISNUMBER($K44),IF(AND($K44=INT($K44),$K44&gt;=0,$K44&lt;=24),TEXT(INT($K44),"00")&amp;":00",TEXT($K44,"hh:mm")),$K44))</f>
        <v/>
      </c>
      <c r="AC44" s="8">
        <f>IF($G44="",0,$G44)</f>
        <v/>
      </c>
      <c r="AD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IF($F45="","",IF($F45&gt;31,$F45,IF($Y45="","",DATE(YEAR($Y45),MONTH($Y45),$F45))))</f>
        <v/>
      </c>
      <c r="H45" s="9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9" t="n"/>
      <c r="L45" s="8">
        <f>IF(OR($G45="",$J45=""),"",$J45-$G45+1)</f>
        <v/>
      </c>
      <c r="M45" s="8">
        <f>IF(OR($G45="",$J45=""),"",$J45-$G45)</f>
        <v/>
      </c>
      <c r="N45" s="9" t="n"/>
      <c r="O45" s="9" t="n"/>
      <c r="P45" s="9" t="n"/>
      <c r="Q45" s="9" t="n"/>
      <c r="R45" s="9" t="n"/>
      <c r="S45" s="9" t="n"/>
      <c r="T45" s="13" t="n"/>
      <c r="U45" s="9" t="n"/>
      <c r="V45" s="8">
        <f>IF($G45="","",IF($D45="","⚠部屋が未選択",IF(COUNTIF('M_部屋'!$A$4:$A$20,$D45)=0,"⚠部屋が未登録",IF(OR($J45="",$N45="キャンセル"),"",IF(SUMPRODUCT(($D$5:$D$204=$D45)*($G$5:$G$204&lt;&gt;"")*($J$5:$J$204&lt;&gt;"")*($N$5:$N$204&lt;&gt;"キャンセル")*($G$5:$G$204&lt;$J45)*($J$5:$J$204&gt;$G45))&gt;1,"⚠重複","")))))</f>
        <v/>
      </c>
      <c r="W45" s="8">
        <f>IF(OR($B45="",$G45=""),"",IF(SUMPRODUCT(('利用者マスタ'!$A$4:$A$60=$B45)*('利用者マスタ'!$B$4:$B$60&lt;&gt;""))=0,"",IF(SUMIFS($X$5:$X$204,$B$5:$B$204,$B45,$G$5:$G$204,"&gt;="&amp;DATE(YEAR($G45),MONTH($G45),1),$G$5:$G$204,"&lt;="&amp;EOMONTH($G45,0))&gt;SUMIFS('利用者マスタ'!$B$4:$B$60,'利用者マスタ'!$A$4:$A$60,$B45),"⚠支給量超過","")))</f>
        <v/>
      </c>
      <c r="X45" s="8">
        <f>IF(OR($G45="",$J45="",$N45="キャンセル"),0,IF(IFERROR(INDEX('M_区分'!$B$4:$B$20,MATCH($C45,'M_区分'!$A$4:$A$20,0)),"○")="○",$J45-$G45+1,0))</f>
        <v/>
      </c>
      <c r="Y45" s="8">
        <f>IF($E45&lt;&gt;"",$E45,$Y44)</f>
        <v/>
      </c>
      <c r="Z45" s="8">
        <f>IF(OR($G45="",$J45=""),"",IF(AND($G45&lt;=EOMONTH('02_カレンダー'!$B$4,0),$J45&gt;='02_カレンダー'!$B$4),$G45*10000+ROW(),""))</f>
        <v/>
      </c>
      <c r="AA45" s="8">
        <f>IF($H45="","",IF(ISNUMBER($H45),IF(AND($H45=INT($H45),$H45&gt;=0,$H45&lt;=24),TEXT(INT($H45),"00")&amp;":00",TEXT($H45,"hh:mm")),$H45))</f>
        <v/>
      </c>
      <c r="AB45" s="8">
        <f>IF($K45="","",IF(ISNUMBER($K45),IF(AND($K45=INT($K45),$K45&gt;=0,$K45&lt;=24),TEXT(INT($K45),"00")&amp;":00",TEXT($K45,"hh:mm")),$K45))</f>
        <v/>
      </c>
      <c r="AC45" s="8">
        <f>IF($G45="",0,$G45)</f>
        <v/>
      </c>
      <c r="AD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IF($F46="","",IF($F46&gt;31,$F46,IF($Y46="","",DATE(YEAR($Y46),MONTH($Y46),$F46))))</f>
        <v/>
      </c>
      <c r="H46" s="9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9" t="n"/>
      <c r="L46" s="8">
        <f>IF(OR($G46="",$J46=""),"",$J46-$G46+1)</f>
        <v/>
      </c>
      <c r="M46" s="8">
        <f>IF(OR($G46="",$J46=""),"",$J46-$G46)</f>
        <v/>
      </c>
      <c r="N46" s="9" t="n"/>
      <c r="O46" s="9" t="n"/>
      <c r="P46" s="9" t="n"/>
      <c r="Q46" s="9" t="n"/>
      <c r="R46" s="9" t="n"/>
      <c r="S46" s="9" t="n"/>
      <c r="T46" s="13" t="n"/>
      <c r="U46" s="9" t="n"/>
      <c r="V46" s="8">
        <f>IF($G46="","",IF($D46="","⚠部屋が未選択",IF(COUNTIF('M_部屋'!$A$4:$A$20,$D46)=0,"⚠部屋が未登録",IF(OR($J46="",$N46="キャンセル"),"",IF(SUMPRODUCT(($D$5:$D$204=$D46)*($G$5:$G$204&lt;&gt;"")*($J$5:$J$204&lt;&gt;"")*($N$5:$N$204&lt;&gt;"キャンセル")*($G$5:$G$204&lt;$J46)*($J$5:$J$204&gt;$G46))&gt;1,"⚠重複","")))))</f>
        <v/>
      </c>
      <c r="W46" s="8">
        <f>IF(OR($B46="",$G46=""),"",IF(SUMPRODUCT(('利用者マスタ'!$A$4:$A$60=$B46)*('利用者マスタ'!$B$4:$B$60&lt;&gt;""))=0,"",IF(SUMIFS($X$5:$X$204,$B$5:$B$204,$B46,$G$5:$G$204,"&gt;="&amp;DATE(YEAR($G46),MONTH($G46),1),$G$5:$G$204,"&lt;="&amp;EOMONTH($G46,0))&gt;SUMIFS('利用者マスタ'!$B$4:$B$60,'利用者マスタ'!$A$4:$A$60,$B46),"⚠支給量超過","")))</f>
        <v/>
      </c>
      <c r="X46" s="8">
        <f>IF(OR($G46="",$J46="",$N46="キャンセル"),0,IF(IFERROR(INDEX('M_区分'!$B$4:$B$20,MATCH($C46,'M_区分'!$A$4:$A$20,0)),"○")="○",$J46-$G46+1,0))</f>
        <v/>
      </c>
      <c r="Y46" s="8">
        <f>IF($E46&lt;&gt;"",$E46,$Y45)</f>
        <v/>
      </c>
      <c r="Z46" s="8">
        <f>IF(OR($G46="",$J46=""),"",IF(AND($G46&lt;=EOMONTH('02_カレンダー'!$B$4,0),$J46&gt;='02_カレンダー'!$B$4),$G46*10000+ROW(),""))</f>
        <v/>
      </c>
      <c r="AA46" s="8">
        <f>IF($H46="","",IF(ISNUMBER($H46),IF(AND($H46=INT($H46),$H46&gt;=0,$H46&lt;=24),TEXT(INT($H46),"00")&amp;":00",TEXT($H46,"hh:mm")),$H46))</f>
        <v/>
      </c>
      <c r="AB46" s="8">
        <f>IF($K46="","",IF(ISNUMBER($K46),IF(AND($K46=INT($K46),$K46&gt;=0,$K46&lt;=24),TEXT(INT($K46),"00")&amp;":00",TEXT($K46,"hh:mm")),$K46))</f>
        <v/>
      </c>
      <c r="AC46" s="8">
        <f>IF($G46="",0,$G46)</f>
        <v/>
      </c>
      <c r="AD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IF($F47="","",IF($F47&gt;31,$F47,IF($Y47="","",DATE(YEAR($Y47),MONTH($Y47),$F47))))</f>
        <v/>
      </c>
      <c r="H47" s="9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9" t="n"/>
      <c r="L47" s="8">
        <f>IF(OR($G47="",$J47=""),"",$J47-$G47+1)</f>
        <v/>
      </c>
      <c r="M47" s="8">
        <f>IF(OR($G47="",$J47=""),"",$J47-$G47)</f>
        <v/>
      </c>
      <c r="N47" s="9" t="n"/>
      <c r="O47" s="9" t="n"/>
      <c r="P47" s="9" t="n"/>
      <c r="Q47" s="9" t="n"/>
      <c r="R47" s="9" t="n"/>
      <c r="S47" s="9" t="n"/>
      <c r="T47" s="13" t="n"/>
      <c r="U47" s="9" t="n"/>
      <c r="V47" s="8">
        <f>IF($G47="","",IF($D47="","⚠部屋が未選択",IF(COUNTIF('M_部屋'!$A$4:$A$20,$D47)=0,"⚠部屋が未登録",IF(OR($J47="",$N47="キャンセル"),"",IF(SUMPRODUCT(($D$5:$D$204=$D47)*($G$5:$G$204&lt;&gt;"")*($J$5:$J$204&lt;&gt;"")*($N$5:$N$204&lt;&gt;"キャンセル")*($G$5:$G$204&lt;$J47)*($J$5:$J$204&gt;$G47))&gt;1,"⚠重複","")))))</f>
        <v/>
      </c>
      <c r="W47" s="8">
        <f>IF(OR($B47="",$G47=""),"",IF(SUMPRODUCT(('利用者マスタ'!$A$4:$A$60=$B47)*('利用者マスタ'!$B$4:$B$60&lt;&gt;""))=0,"",IF(SUMIFS($X$5:$X$204,$B$5:$B$204,$B47,$G$5:$G$204,"&gt;="&amp;DATE(YEAR($G47),MONTH($G47),1),$G$5:$G$204,"&lt;="&amp;EOMONTH($G47,0))&gt;SUMIFS('利用者マスタ'!$B$4:$B$60,'利用者マスタ'!$A$4:$A$60,$B47),"⚠支給量超過","")))</f>
        <v/>
      </c>
      <c r="X47" s="8">
        <f>IF(OR($G47="",$J47="",$N47="キャンセル"),0,IF(IFERROR(INDEX('M_区分'!$B$4:$B$20,MATCH($C47,'M_区分'!$A$4:$A$20,0)),"○")="○",$J47-$G47+1,0))</f>
        <v/>
      </c>
      <c r="Y47" s="8">
        <f>IF($E47&lt;&gt;"",$E47,$Y46)</f>
        <v/>
      </c>
      <c r="Z47" s="8">
        <f>IF(OR($G47="",$J47=""),"",IF(AND($G47&lt;=EOMONTH('02_カレンダー'!$B$4,0),$J47&gt;='02_カレンダー'!$B$4),$G47*10000+ROW(),""))</f>
        <v/>
      </c>
      <c r="AA47" s="8">
        <f>IF($H47="","",IF(ISNUMBER($H47),IF(AND($H47=INT($H47),$H47&gt;=0,$H47&lt;=24),TEXT(INT($H47),"00")&amp;":00",TEXT($H47,"hh:mm")),$H47))</f>
        <v/>
      </c>
      <c r="AB47" s="8">
        <f>IF($K47="","",IF(ISNUMBER($K47),IF(AND($K47=INT($K47),$K47&gt;=0,$K47&lt;=24),TEXT(INT($K47),"00")&amp;":00",TEXT($K47,"hh:mm")),$K47))</f>
        <v/>
      </c>
      <c r="AC47" s="8">
        <f>IF($G47="",0,$G47)</f>
        <v/>
      </c>
      <c r="AD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IF($F48="","",IF($F48&gt;31,$F48,IF($Y48="","",DATE(YEAR($Y48),MONTH($Y48),$F48))))</f>
        <v/>
      </c>
      <c r="H48" s="9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9" t="n"/>
      <c r="L48" s="8">
        <f>IF(OR($G48="",$J48=""),"",$J48-$G48+1)</f>
        <v/>
      </c>
      <c r="M48" s="8">
        <f>IF(OR($G48="",$J48=""),"",$J48-$G48)</f>
        <v/>
      </c>
      <c r="N48" s="9" t="n"/>
      <c r="O48" s="9" t="n"/>
      <c r="P48" s="9" t="n"/>
      <c r="Q48" s="9" t="n"/>
      <c r="R48" s="9" t="n"/>
      <c r="S48" s="9" t="n"/>
      <c r="T48" s="13" t="n"/>
      <c r="U48" s="9" t="n"/>
      <c r="V48" s="8">
        <f>IF($G48="","",IF($D48="","⚠部屋が未選択",IF(COUNTIF('M_部屋'!$A$4:$A$20,$D48)=0,"⚠部屋が未登録",IF(OR($J48="",$N48="キャンセル"),"",IF(SUMPRODUCT(($D$5:$D$204=$D48)*($G$5:$G$204&lt;&gt;"")*($J$5:$J$204&lt;&gt;"")*($N$5:$N$204&lt;&gt;"キャンセル")*($G$5:$G$204&lt;$J48)*($J$5:$J$204&gt;$G48))&gt;1,"⚠重複","")))))</f>
        <v/>
      </c>
      <c r="W48" s="8">
        <f>IF(OR($B48="",$G48=""),"",IF(SUMPRODUCT(('利用者マスタ'!$A$4:$A$60=$B48)*('利用者マスタ'!$B$4:$B$60&lt;&gt;""))=0,"",IF(SUMIFS($X$5:$X$204,$B$5:$B$204,$B48,$G$5:$G$204,"&gt;="&amp;DATE(YEAR($G48),MONTH($G48),1),$G$5:$G$204,"&lt;="&amp;EOMONTH($G48,0))&gt;SUMIFS('利用者マスタ'!$B$4:$B$60,'利用者マスタ'!$A$4:$A$60,$B48),"⚠支給量超過","")))</f>
        <v/>
      </c>
      <c r="X48" s="8">
        <f>IF(OR($G48="",$J48="",$N48="キャンセル"),0,IF(IFERROR(INDEX('M_区分'!$B$4:$B$20,MATCH($C48,'M_区分'!$A$4:$A$20,0)),"○")="○",$J48-$G48+1,0))</f>
        <v/>
      </c>
      <c r="Y48" s="8">
        <f>IF($E48&lt;&gt;"",$E48,$Y47)</f>
        <v/>
      </c>
      <c r="Z48" s="8">
        <f>IF(OR($G48="",$J48=""),"",IF(AND($G48&lt;=EOMONTH('02_カレンダー'!$B$4,0),$J48&gt;='02_カレンダー'!$B$4),$G48*10000+ROW(),""))</f>
        <v/>
      </c>
      <c r="AA48" s="8">
        <f>IF($H48="","",IF(ISNUMBER($H48),IF(AND($H48=INT($H48),$H48&gt;=0,$H48&lt;=24),TEXT(INT($H48),"00")&amp;":00",TEXT($H48,"hh:mm")),$H48))</f>
        <v/>
      </c>
      <c r="AB48" s="8">
        <f>IF($K48="","",IF(ISNUMBER($K48),IF(AND($K48=INT($K48),$K48&gt;=0,$K48&lt;=24),TEXT(INT($K48),"00")&amp;":00",TEXT($K48,"hh:mm")),$K48))</f>
        <v/>
      </c>
      <c r="AC48" s="8">
        <f>IF($G48="",0,$G48)</f>
        <v/>
      </c>
      <c r="AD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IF($F49="","",IF($F49&gt;31,$F49,IF($Y49="","",DATE(YEAR($Y49),MONTH($Y49),$F49))))</f>
        <v/>
      </c>
      <c r="H49" s="9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9" t="n"/>
      <c r="L49" s="8">
        <f>IF(OR($G49="",$J49=""),"",$J49-$G49+1)</f>
        <v/>
      </c>
      <c r="M49" s="8">
        <f>IF(OR($G49="",$J49=""),"",$J49-$G49)</f>
        <v/>
      </c>
      <c r="N49" s="9" t="n"/>
      <c r="O49" s="9" t="n"/>
      <c r="P49" s="9" t="n"/>
      <c r="Q49" s="9" t="n"/>
      <c r="R49" s="9" t="n"/>
      <c r="S49" s="9" t="n"/>
      <c r="T49" s="13" t="n"/>
      <c r="U49" s="9" t="n"/>
      <c r="V49" s="8">
        <f>IF($G49="","",IF($D49="","⚠部屋が未選択",IF(COUNTIF('M_部屋'!$A$4:$A$20,$D49)=0,"⚠部屋が未登録",IF(OR($J49="",$N49="キャンセル"),"",IF(SUMPRODUCT(($D$5:$D$204=$D49)*($G$5:$G$204&lt;&gt;"")*($J$5:$J$204&lt;&gt;"")*($N$5:$N$204&lt;&gt;"キャンセル")*($G$5:$G$204&lt;$J49)*($J$5:$J$204&gt;$G49))&gt;1,"⚠重複","")))))</f>
        <v/>
      </c>
      <c r="W49" s="8">
        <f>IF(OR($B49="",$G49=""),"",IF(SUMPRODUCT(('利用者マスタ'!$A$4:$A$60=$B49)*('利用者マスタ'!$B$4:$B$60&lt;&gt;""))=0,"",IF(SUMIFS($X$5:$X$204,$B$5:$B$204,$B49,$G$5:$G$204,"&gt;="&amp;DATE(YEAR($G49),MONTH($G49),1),$G$5:$G$204,"&lt;="&amp;EOMONTH($G49,0))&gt;SUMIFS('利用者マスタ'!$B$4:$B$60,'利用者マスタ'!$A$4:$A$60,$B49),"⚠支給量超過","")))</f>
        <v/>
      </c>
      <c r="X49" s="8">
        <f>IF(OR($G49="",$J49="",$N49="キャンセル"),0,IF(IFERROR(INDEX('M_区分'!$B$4:$B$20,MATCH($C49,'M_区分'!$A$4:$A$20,0)),"○")="○",$J49-$G49+1,0))</f>
        <v/>
      </c>
      <c r="Y49" s="8">
        <f>IF($E49&lt;&gt;"",$E49,$Y48)</f>
        <v/>
      </c>
      <c r="Z49" s="8">
        <f>IF(OR($G49="",$J49=""),"",IF(AND($G49&lt;=EOMONTH('02_カレンダー'!$B$4,0),$J49&gt;='02_カレンダー'!$B$4),$G49*10000+ROW(),""))</f>
        <v/>
      </c>
      <c r="AA49" s="8">
        <f>IF($H49="","",IF(ISNUMBER($H49),IF(AND($H49=INT($H49),$H49&gt;=0,$H49&lt;=24),TEXT(INT($H49),"00")&amp;":00",TEXT($H49,"hh:mm")),$H49))</f>
        <v/>
      </c>
      <c r="AB49" s="8">
        <f>IF($K49="","",IF(ISNUMBER($K49),IF(AND($K49=INT($K49),$K49&gt;=0,$K49&lt;=24),TEXT(INT($K49),"00")&amp;":00",TEXT($K49,"hh:mm")),$K49))</f>
        <v/>
      </c>
      <c r="AC49" s="8">
        <f>IF($G49="",0,$G49)</f>
        <v/>
      </c>
      <c r="AD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IF($F50="","",IF($F50&gt;31,$F50,IF($Y50="","",DATE(YEAR($Y50),MONTH($Y50),$F50))))</f>
        <v/>
      </c>
      <c r="H50" s="9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9" t="n"/>
      <c r="L50" s="8">
        <f>IF(OR($G50="",$J50=""),"",$J50-$G50+1)</f>
        <v/>
      </c>
      <c r="M50" s="8">
        <f>IF(OR($G50="",$J50=""),"",$J50-$G50)</f>
        <v/>
      </c>
      <c r="N50" s="9" t="n"/>
      <c r="O50" s="9" t="n"/>
      <c r="P50" s="9" t="n"/>
      <c r="Q50" s="9" t="n"/>
      <c r="R50" s="9" t="n"/>
      <c r="S50" s="9" t="n"/>
      <c r="T50" s="13" t="n"/>
      <c r="U50" s="9" t="n"/>
      <c r="V50" s="8">
        <f>IF($G50="","",IF($D50="","⚠部屋が未選択",IF(COUNTIF('M_部屋'!$A$4:$A$20,$D50)=0,"⚠部屋が未登録",IF(OR($J50="",$N50="キャンセル"),"",IF(SUMPRODUCT(($D$5:$D$204=$D50)*($G$5:$G$204&lt;&gt;"")*($J$5:$J$204&lt;&gt;"")*($N$5:$N$204&lt;&gt;"キャンセル")*($G$5:$G$204&lt;$J50)*($J$5:$J$204&gt;$G50))&gt;1,"⚠重複","")))))</f>
        <v/>
      </c>
      <c r="W50" s="8">
        <f>IF(OR($B50="",$G50=""),"",IF(SUMPRODUCT(('利用者マスタ'!$A$4:$A$60=$B50)*('利用者マスタ'!$B$4:$B$60&lt;&gt;""))=0,"",IF(SUMIFS($X$5:$X$204,$B$5:$B$204,$B50,$G$5:$G$204,"&gt;="&amp;DATE(YEAR($G50),MONTH($G50),1),$G$5:$G$204,"&lt;="&amp;EOMONTH($G50,0))&gt;SUMIFS('利用者マスタ'!$B$4:$B$60,'利用者マスタ'!$A$4:$A$60,$B50),"⚠支給量超過","")))</f>
        <v/>
      </c>
      <c r="X50" s="8">
        <f>IF(OR($G50="",$J50="",$N50="キャンセル"),0,IF(IFERROR(INDEX('M_区分'!$B$4:$B$20,MATCH($C50,'M_区分'!$A$4:$A$20,0)),"○")="○",$J50-$G50+1,0))</f>
        <v/>
      </c>
      <c r="Y50" s="8">
        <f>IF($E50&lt;&gt;"",$E50,$Y49)</f>
        <v/>
      </c>
      <c r="Z50" s="8">
        <f>IF(OR($G50="",$J50=""),"",IF(AND($G50&lt;=EOMONTH('02_カレンダー'!$B$4,0),$J50&gt;='02_カレンダー'!$B$4),$G50*10000+ROW(),""))</f>
        <v/>
      </c>
      <c r="AA50" s="8">
        <f>IF($H50="","",IF(ISNUMBER($H50),IF(AND($H50=INT($H50),$H50&gt;=0,$H50&lt;=24),TEXT(INT($H50),"00")&amp;":00",TEXT($H50,"hh:mm")),$H50))</f>
        <v/>
      </c>
      <c r="AB50" s="8">
        <f>IF($K50="","",IF(ISNUMBER($K50),IF(AND($K50=INT($K50),$K50&gt;=0,$K50&lt;=24),TEXT(INT($K50),"00")&amp;":00",TEXT($K50,"hh:mm")),$K50))</f>
        <v/>
      </c>
      <c r="AC50" s="8">
        <f>IF($G50="",0,$G50)</f>
        <v/>
      </c>
      <c r="AD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IF($F51="","",IF($F51&gt;31,$F51,IF($Y51="","",DATE(YEAR($Y51),MONTH($Y51),$F51))))</f>
        <v/>
      </c>
      <c r="H51" s="9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9" t="n"/>
      <c r="L51" s="8">
        <f>IF(OR($G51="",$J51=""),"",$J51-$G51+1)</f>
        <v/>
      </c>
      <c r="M51" s="8">
        <f>IF(OR($G51="",$J51=""),"",$J51-$G51)</f>
        <v/>
      </c>
      <c r="N51" s="9" t="n"/>
      <c r="O51" s="9" t="n"/>
      <c r="P51" s="9" t="n"/>
      <c r="Q51" s="9" t="n"/>
      <c r="R51" s="9" t="n"/>
      <c r="S51" s="9" t="n"/>
      <c r="T51" s="13" t="n"/>
      <c r="U51" s="9" t="n"/>
      <c r="V51" s="8">
        <f>IF($G51="","",IF($D51="","⚠部屋が未選択",IF(COUNTIF('M_部屋'!$A$4:$A$20,$D51)=0,"⚠部屋が未登録",IF(OR($J51="",$N51="キャンセル"),"",IF(SUMPRODUCT(($D$5:$D$204=$D51)*($G$5:$G$204&lt;&gt;"")*($J$5:$J$204&lt;&gt;"")*($N$5:$N$204&lt;&gt;"キャンセル")*($G$5:$G$204&lt;$J51)*($J$5:$J$204&gt;$G51))&gt;1,"⚠重複","")))))</f>
        <v/>
      </c>
      <c r="W51" s="8">
        <f>IF(OR($B51="",$G51=""),"",IF(SUMPRODUCT(('利用者マスタ'!$A$4:$A$60=$B51)*('利用者マスタ'!$B$4:$B$60&lt;&gt;""))=0,"",IF(SUMIFS($X$5:$X$204,$B$5:$B$204,$B51,$G$5:$G$204,"&gt;="&amp;DATE(YEAR($G51),MONTH($G51),1),$G$5:$G$204,"&lt;="&amp;EOMONTH($G51,0))&gt;SUMIFS('利用者マスタ'!$B$4:$B$60,'利用者マスタ'!$A$4:$A$60,$B51),"⚠支給量超過","")))</f>
        <v/>
      </c>
      <c r="X51" s="8">
        <f>IF(OR($G51="",$J51="",$N51="キャンセル"),0,IF(IFERROR(INDEX('M_区分'!$B$4:$B$20,MATCH($C51,'M_区分'!$A$4:$A$20,0)),"○")="○",$J51-$G51+1,0))</f>
        <v/>
      </c>
      <c r="Y51" s="8">
        <f>IF($E51&lt;&gt;"",$E51,$Y50)</f>
        <v/>
      </c>
      <c r="Z51" s="8">
        <f>IF(OR($G51="",$J51=""),"",IF(AND($G51&lt;=EOMONTH('02_カレンダー'!$B$4,0),$J51&gt;='02_カレンダー'!$B$4),$G51*10000+ROW(),""))</f>
        <v/>
      </c>
      <c r="AA51" s="8">
        <f>IF($H51="","",IF(ISNUMBER($H51),IF(AND($H51=INT($H51),$H51&gt;=0,$H51&lt;=24),TEXT(INT($H51),"00")&amp;":00",TEXT($H51,"hh:mm")),$H51))</f>
        <v/>
      </c>
      <c r="AB51" s="8">
        <f>IF($K51="","",IF(ISNUMBER($K51),IF(AND($K51=INT($K51),$K51&gt;=0,$K51&lt;=24),TEXT(INT($K51),"00")&amp;":00",TEXT($K51,"hh:mm")),$K51))</f>
        <v/>
      </c>
      <c r="AC51" s="8">
        <f>IF($G51="",0,$G51)</f>
        <v/>
      </c>
      <c r="AD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IF($F52="","",IF($F52&gt;31,$F52,IF($Y52="","",DATE(YEAR($Y52),MONTH($Y52),$F52))))</f>
        <v/>
      </c>
      <c r="H52" s="9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9" t="n"/>
      <c r="L52" s="8">
        <f>IF(OR($G52="",$J52=""),"",$J52-$G52+1)</f>
        <v/>
      </c>
      <c r="M52" s="8">
        <f>IF(OR($G52="",$J52=""),"",$J52-$G52)</f>
        <v/>
      </c>
      <c r="N52" s="9" t="n"/>
      <c r="O52" s="9" t="n"/>
      <c r="P52" s="9" t="n"/>
      <c r="Q52" s="9" t="n"/>
      <c r="R52" s="9" t="n"/>
      <c r="S52" s="9" t="n"/>
      <c r="T52" s="13" t="n"/>
      <c r="U52" s="9" t="n"/>
      <c r="V52" s="8">
        <f>IF($G52="","",IF($D52="","⚠部屋が未選択",IF(COUNTIF('M_部屋'!$A$4:$A$20,$D52)=0,"⚠部屋が未登録",IF(OR($J52="",$N52="キャンセル"),"",IF(SUMPRODUCT(($D$5:$D$204=$D52)*($G$5:$G$204&lt;&gt;"")*($J$5:$J$204&lt;&gt;"")*($N$5:$N$204&lt;&gt;"キャンセル")*($G$5:$G$204&lt;$J52)*($J$5:$J$204&gt;$G52))&gt;1,"⚠重複","")))))</f>
        <v/>
      </c>
      <c r="W52" s="8">
        <f>IF(OR($B52="",$G52=""),"",IF(SUMPRODUCT(('利用者マスタ'!$A$4:$A$60=$B52)*('利用者マスタ'!$B$4:$B$60&lt;&gt;""))=0,"",IF(SUMIFS($X$5:$X$204,$B$5:$B$204,$B52,$G$5:$G$204,"&gt;="&amp;DATE(YEAR($G52),MONTH($G52),1),$G$5:$G$204,"&lt;="&amp;EOMONTH($G52,0))&gt;SUMIFS('利用者マスタ'!$B$4:$B$60,'利用者マスタ'!$A$4:$A$60,$B52),"⚠支給量超過","")))</f>
        <v/>
      </c>
      <c r="X52" s="8">
        <f>IF(OR($G52="",$J52="",$N52="キャンセル"),0,IF(IFERROR(INDEX('M_区分'!$B$4:$B$20,MATCH($C52,'M_区分'!$A$4:$A$20,0)),"○")="○",$J52-$G52+1,0))</f>
        <v/>
      </c>
      <c r="Y52" s="8">
        <f>IF($E52&lt;&gt;"",$E52,$Y51)</f>
        <v/>
      </c>
      <c r="Z52" s="8">
        <f>IF(OR($G52="",$J52=""),"",IF(AND($G52&lt;=EOMONTH('02_カレンダー'!$B$4,0),$J52&gt;='02_カレンダー'!$B$4),$G52*10000+ROW(),""))</f>
        <v/>
      </c>
      <c r="AA52" s="8">
        <f>IF($H52="","",IF(ISNUMBER($H52),IF(AND($H52=INT($H52),$H52&gt;=0,$H52&lt;=24),TEXT(INT($H52),"00")&amp;":00",TEXT($H52,"hh:mm")),$H52))</f>
        <v/>
      </c>
      <c r="AB52" s="8">
        <f>IF($K52="","",IF(ISNUMBER($K52),IF(AND($K52=INT($K52),$K52&gt;=0,$K52&lt;=24),TEXT(INT($K52),"00")&amp;":00",TEXT($K52,"hh:mm")),$K52))</f>
        <v/>
      </c>
      <c r="AC52" s="8">
        <f>IF($G52="",0,$G52)</f>
        <v/>
      </c>
      <c r="AD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IF($F53="","",IF($F53&gt;31,$F53,IF($Y53="","",DATE(YEAR($Y53),MONTH($Y53),$F53))))</f>
        <v/>
      </c>
      <c r="H53" s="9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9" t="n"/>
      <c r="L53" s="8">
        <f>IF(OR($G53="",$J53=""),"",$J53-$G53+1)</f>
        <v/>
      </c>
      <c r="M53" s="8">
        <f>IF(OR($G53="",$J53=""),"",$J53-$G53)</f>
        <v/>
      </c>
      <c r="N53" s="9" t="n"/>
      <c r="O53" s="9" t="n"/>
      <c r="P53" s="9" t="n"/>
      <c r="Q53" s="9" t="n"/>
      <c r="R53" s="9" t="n"/>
      <c r="S53" s="9" t="n"/>
      <c r="T53" s="13" t="n"/>
      <c r="U53" s="9" t="n"/>
      <c r="V53" s="8">
        <f>IF($G53="","",IF($D53="","⚠部屋が未選択",IF(COUNTIF('M_部屋'!$A$4:$A$20,$D53)=0,"⚠部屋が未登録",IF(OR($J53="",$N53="キャンセル"),"",IF(SUMPRODUCT(($D$5:$D$204=$D53)*($G$5:$G$204&lt;&gt;"")*($J$5:$J$204&lt;&gt;"")*($N$5:$N$204&lt;&gt;"キャンセル")*($G$5:$G$204&lt;$J53)*($J$5:$J$204&gt;$G53))&gt;1,"⚠重複","")))))</f>
        <v/>
      </c>
      <c r="W53" s="8">
        <f>IF(OR($B53="",$G53=""),"",IF(SUMPRODUCT(('利用者マスタ'!$A$4:$A$60=$B53)*('利用者マスタ'!$B$4:$B$60&lt;&gt;""))=0,"",IF(SUMIFS($X$5:$X$204,$B$5:$B$204,$B53,$G$5:$G$204,"&gt;="&amp;DATE(YEAR($G53),MONTH($G53),1),$G$5:$G$204,"&lt;="&amp;EOMONTH($G53,0))&gt;SUMIFS('利用者マスタ'!$B$4:$B$60,'利用者マスタ'!$A$4:$A$60,$B53),"⚠支給量超過","")))</f>
        <v/>
      </c>
      <c r="X53" s="8">
        <f>IF(OR($G53="",$J53="",$N53="キャンセル"),0,IF(IFERROR(INDEX('M_区分'!$B$4:$B$20,MATCH($C53,'M_区分'!$A$4:$A$20,0)),"○")="○",$J53-$G53+1,0))</f>
        <v/>
      </c>
      <c r="Y53" s="8">
        <f>IF($E53&lt;&gt;"",$E53,$Y52)</f>
        <v/>
      </c>
      <c r="Z53" s="8">
        <f>IF(OR($G53="",$J53=""),"",IF(AND($G53&lt;=EOMONTH('02_カレンダー'!$B$4,0),$J53&gt;='02_カレンダー'!$B$4),$G53*10000+ROW(),""))</f>
        <v/>
      </c>
      <c r="AA53" s="8">
        <f>IF($H53="","",IF(ISNUMBER($H53),IF(AND($H53=INT($H53),$H53&gt;=0,$H53&lt;=24),TEXT(INT($H53),"00")&amp;":00",TEXT($H53,"hh:mm")),$H53))</f>
        <v/>
      </c>
      <c r="AB53" s="8">
        <f>IF($K53="","",IF(ISNUMBER($K53),IF(AND($K53=INT($K53),$K53&gt;=0,$K53&lt;=24),TEXT(INT($K53),"00")&amp;":00",TEXT($K53,"hh:mm")),$K53))</f>
        <v/>
      </c>
      <c r="AC53" s="8">
        <f>IF($G53="",0,$G53)</f>
        <v/>
      </c>
      <c r="AD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IF($F54="","",IF($F54&gt;31,$F54,IF($Y54="","",DATE(YEAR($Y54),MONTH($Y54),$F54))))</f>
        <v/>
      </c>
      <c r="H54" s="9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9" t="n"/>
      <c r="L54" s="8">
        <f>IF(OR($G54="",$J54=""),"",$J54-$G54+1)</f>
        <v/>
      </c>
      <c r="M54" s="8">
        <f>IF(OR($G54="",$J54=""),"",$J54-$G54)</f>
        <v/>
      </c>
      <c r="N54" s="9" t="n"/>
      <c r="O54" s="9" t="n"/>
      <c r="P54" s="9" t="n"/>
      <c r="Q54" s="9" t="n"/>
      <c r="R54" s="9" t="n"/>
      <c r="S54" s="9" t="n"/>
      <c r="T54" s="13" t="n"/>
      <c r="U54" s="9" t="n"/>
      <c r="V54" s="8">
        <f>IF($G54="","",IF($D54="","⚠部屋が未選択",IF(COUNTIF('M_部屋'!$A$4:$A$20,$D54)=0,"⚠部屋が未登録",IF(OR($J54="",$N54="キャンセル"),"",IF(SUMPRODUCT(($D$5:$D$204=$D54)*($G$5:$G$204&lt;&gt;"")*($J$5:$J$204&lt;&gt;"")*($N$5:$N$204&lt;&gt;"キャンセル")*($G$5:$G$204&lt;$J54)*($J$5:$J$204&gt;$G54))&gt;1,"⚠重複","")))))</f>
        <v/>
      </c>
      <c r="W54" s="8">
        <f>IF(OR($B54="",$G54=""),"",IF(SUMPRODUCT(('利用者マスタ'!$A$4:$A$60=$B54)*('利用者マスタ'!$B$4:$B$60&lt;&gt;""))=0,"",IF(SUMIFS($X$5:$X$204,$B$5:$B$204,$B54,$G$5:$G$204,"&gt;="&amp;DATE(YEAR($G54),MONTH($G54),1),$G$5:$G$204,"&lt;="&amp;EOMONTH($G54,0))&gt;SUMIFS('利用者マスタ'!$B$4:$B$60,'利用者マスタ'!$A$4:$A$60,$B54),"⚠支給量超過","")))</f>
        <v/>
      </c>
      <c r="X54" s="8">
        <f>IF(OR($G54="",$J54="",$N54="キャンセル"),0,IF(IFERROR(INDEX('M_区分'!$B$4:$B$20,MATCH($C54,'M_区分'!$A$4:$A$20,0)),"○")="○",$J54-$G54+1,0))</f>
        <v/>
      </c>
      <c r="Y54" s="8">
        <f>IF($E54&lt;&gt;"",$E54,$Y53)</f>
        <v/>
      </c>
      <c r="Z54" s="8">
        <f>IF(OR($G54="",$J54=""),"",IF(AND($G54&lt;=EOMONTH('02_カレンダー'!$B$4,0),$J54&gt;='02_カレンダー'!$B$4),$G54*10000+ROW(),""))</f>
        <v/>
      </c>
      <c r="AA54" s="8">
        <f>IF($H54="","",IF(ISNUMBER($H54),IF(AND($H54=INT($H54),$H54&gt;=0,$H54&lt;=24),TEXT(INT($H54),"00")&amp;":00",TEXT($H54,"hh:mm")),$H54))</f>
        <v/>
      </c>
      <c r="AB54" s="8">
        <f>IF($K54="","",IF(ISNUMBER($K54),IF(AND($K54=INT($K54),$K54&gt;=0,$K54&lt;=24),TEXT(INT($K54),"00")&amp;":00",TEXT($K54,"hh:mm")),$K54))</f>
        <v/>
      </c>
      <c r="AC54" s="8">
        <f>IF($G54="",0,$G54)</f>
        <v/>
      </c>
      <c r="AD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IF($F55="","",IF($F55&gt;31,$F55,IF($Y55="","",DATE(YEAR($Y55),MONTH($Y55),$F55))))</f>
        <v/>
      </c>
      <c r="H55" s="9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9" t="n"/>
      <c r="L55" s="8">
        <f>IF(OR($G55="",$J55=""),"",$J55-$G55+1)</f>
        <v/>
      </c>
      <c r="M55" s="8">
        <f>IF(OR($G55="",$J55=""),"",$J55-$G55)</f>
        <v/>
      </c>
      <c r="N55" s="9" t="n"/>
      <c r="O55" s="9" t="n"/>
      <c r="P55" s="9" t="n"/>
      <c r="Q55" s="9" t="n"/>
      <c r="R55" s="9" t="n"/>
      <c r="S55" s="9" t="n"/>
      <c r="T55" s="13" t="n"/>
      <c r="U55" s="9" t="n"/>
      <c r="V55" s="8">
        <f>IF($G55="","",IF($D55="","⚠部屋が未選択",IF(COUNTIF('M_部屋'!$A$4:$A$20,$D55)=0,"⚠部屋が未登録",IF(OR($J55="",$N55="キャンセル"),"",IF(SUMPRODUCT(($D$5:$D$204=$D55)*($G$5:$G$204&lt;&gt;"")*($J$5:$J$204&lt;&gt;"")*($N$5:$N$204&lt;&gt;"キャンセル")*($G$5:$G$204&lt;$J55)*($J$5:$J$204&gt;$G55))&gt;1,"⚠重複","")))))</f>
        <v/>
      </c>
      <c r="W55" s="8">
        <f>IF(OR($B55="",$G55=""),"",IF(SUMPRODUCT(('利用者マスタ'!$A$4:$A$60=$B55)*('利用者マスタ'!$B$4:$B$60&lt;&gt;""))=0,"",IF(SUMIFS($X$5:$X$204,$B$5:$B$204,$B55,$G$5:$G$204,"&gt;="&amp;DATE(YEAR($G55),MONTH($G55),1),$G$5:$G$204,"&lt;="&amp;EOMONTH($G55,0))&gt;SUMIFS('利用者マスタ'!$B$4:$B$60,'利用者マスタ'!$A$4:$A$60,$B55),"⚠支給量超過","")))</f>
        <v/>
      </c>
      <c r="X55" s="8">
        <f>IF(OR($G55="",$J55="",$N55="キャンセル"),0,IF(IFERROR(INDEX('M_区分'!$B$4:$B$20,MATCH($C55,'M_区分'!$A$4:$A$20,0)),"○")="○",$J55-$G55+1,0))</f>
        <v/>
      </c>
      <c r="Y55" s="8">
        <f>IF($E55&lt;&gt;"",$E55,$Y54)</f>
        <v/>
      </c>
      <c r="Z55" s="8">
        <f>IF(OR($G55="",$J55=""),"",IF(AND($G55&lt;=EOMONTH('02_カレンダー'!$B$4,0),$J55&gt;='02_カレンダー'!$B$4),$G55*10000+ROW(),""))</f>
        <v/>
      </c>
      <c r="AA55" s="8">
        <f>IF($H55="","",IF(ISNUMBER($H55),IF(AND($H55=INT($H55),$H55&gt;=0,$H55&lt;=24),TEXT(INT($H55),"00")&amp;":00",TEXT($H55,"hh:mm")),$H55))</f>
        <v/>
      </c>
      <c r="AB55" s="8">
        <f>IF($K55="","",IF(ISNUMBER($K55),IF(AND($K55=INT($K55),$K55&gt;=0,$K55&lt;=24),TEXT(INT($K55),"00")&amp;":00",TEXT($K55,"hh:mm")),$K55))</f>
        <v/>
      </c>
      <c r="AC55" s="8">
        <f>IF($G55="",0,$G55)</f>
        <v/>
      </c>
      <c r="AD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IF($F56="","",IF($F56&gt;31,$F56,IF($Y56="","",DATE(YEAR($Y56),MONTH($Y56),$F56))))</f>
        <v/>
      </c>
      <c r="H56" s="9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9" t="n"/>
      <c r="L56" s="8">
        <f>IF(OR($G56="",$J56=""),"",$J56-$G56+1)</f>
        <v/>
      </c>
      <c r="M56" s="8">
        <f>IF(OR($G56="",$J56=""),"",$J56-$G56)</f>
        <v/>
      </c>
      <c r="N56" s="9" t="n"/>
      <c r="O56" s="9" t="n"/>
      <c r="P56" s="9" t="n"/>
      <c r="Q56" s="9" t="n"/>
      <c r="R56" s="9" t="n"/>
      <c r="S56" s="9" t="n"/>
      <c r="T56" s="13" t="n"/>
      <c r="U56" s="9" t="n"/>
      <c r="V56" s="8">
        <f>IF($G56="","",IF($D56="","⚠部屋が未選択",IF(COUNTIF('M_部屋'!$A$4:$A$20,$D56)=0,"⚠部屋が未登録",IF(OR($J56="",$N56="キャンセル"),"",IF(SUMPRODUCT(($D$5:$D$204=$D56)*($G$5:$G$204&lt;&gt;"")*($J$5:$J$204&lt;&gt;"")*($N$5:$N$204&lt;&gt;"キャンセル")*($G$5:$G$204&lt;$J56)*($J$5:$J$204&gt;$G56))&gt;1,"⚠重複","")))))</f>
        <v/>
      </c>
      <c r="W56" s="8">
        <f>IF(OR($B56="",$G56=""),"",IF(SUMPRODUCT(('利用者マスタ'!$A$4:$A$60=$B56)*('利用者マスタ'!$B$4:$B$60&lt;&gt;""))=0,"",IF(SUMIFS($X$5:$X$204,$B$5:$B$204,$B56,$G$5:$G$204,"&gt;="&amp;DATE(YEAR($G56),MONTH($G56),1),$G$5:$G$204,"&lt;="&amp;EOMONTH($G56,0))&gt;SUMIFS('利用者マスタ'!$B$4:$B$60,'利用者マスタ'!$A$4:$A$60,$B56),"⚠支給量超過","")))</f>
        <v/>
      </c>
      <c r="X56" s="8">
        <f>IF(OR($G56="",$J56="",$N56="キャンセル"),0,IF(IFERROR(INDEX('M_区分'!$B$4:$B$20,MATCH($C56,'M_区分'!$A$4:$A$20,0)),"○")="○",$J56-$G56+1,0))</f>
        <v/>
      </c>
      <c r="Y56" s="8">
        <f>IF($E56&lt;&gt;"",$E56,$Y55)</f>
        <v/>
      </c>
      <c r="Z56" s="8">
        <f>IF(OR($G56="",$J56=""),"",IF(AND($G56&lt;=EOMONTH('02_カレンダー'!$B$4,0),$J56&gt;='02_カレンダー'!$B$4),$G56*10000+ROW(),""))</f>
        <v/>
      </c>
      <c r="AA56" s="8">
        <f>IF($H56="","",IF(ISNUMBER($H56),IF(AND($H56=INT($H56),$H56&gt;=0,$H56&lt;=24),TEXT(INT($H56),"00")&amp;":00",TEXT($H56,"hh:mm")),$H56))</f>
        <v/>
      </c>
      <c r="AB56" s="8">
        <f>IF($K56="","",IF(ISNUMBER($K56),IF(AND($K56=INT($K56),$K56&gt;=0,$K56&lt;=24),TEXT(INT($K56),"00")&amp;":00",TEXT($K56,"hh:mm")),$K56))</f>
        <v/>
      </c>
      <c r="AC56" s="8">
        <f>IF($G56="",0,$G56)</f>
        <v/>
      </c>
      <c r="AD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IF($F57="","",IF($F57&gt;31,$F57,IF($Y57="","",DATE(YEAR($Y57),MONTH($Y57),$F57))))</f>
        <v/>
      </c>
      <c r="H57" s="9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9" t="n"/>
      <c r="L57" s="8">
        <f>IF(OR($G57="",$J57=""),"",$J57-$G57+1)</f>
        <v/>
      </c>
      <c r="M57" s="8">
        <f>IF(OR($G57="",$J57=""),"",$J57-$G57)</f>
        <v/>
      </c>
      <c r="N57" s="9" t="n"/>
      <c r="O57" s="9" t="n"/>
      <c r="P57" s="9" t="n"/>
      <c r="Q57" s="9" t="n"/>
      <c r="R57" s="9" t="n"/>
      <c r="S57" s="9" t="n"/>
      <c r="T57" s="13" t="n"/>
      <c r="U57" s="9" t="n"/>
      <c r="V57" s="8">
        <f>IF($G57="","",IF($D57="","⚠部屋が未選択",IF(COUNTIF('M_部屋'!$A$4:$A$20,$D57)=0,"⚠部屋が未登録",IF(OR($J57="",$N57="キャンセル"),"",IF(SUMPRODUCT(($D$5:$D$204=$D57)*($G$5:$G$204&lt;&gt;"")*($J$5:$J$204&lt;&gt;"")*($N$5:$N$204&lt;&gt;"キャンセル")*($G$5:$G$204&lt;$J57)*($J$5:$J$204&gt;$G57))&gt;1,"⚠重複","")))))</f>
        <v/>
      </c>
      <c r="W57" s="8">
        <f>IF(OR($B57="",$G57=""),"",IF(SUMPRODUCT(('利用者マスタ'!$A$4:$A$60=$B57)*('利用者マスタ'!$B$4:$B$60&lt;&gt;""))=0,"",IF(SUMIFS($X$5:$X$204,$B$5:$B$204,$B57,$G$5:$G$204,"&gt;="&amp;DATE(YEAR($G57),MONTH($G57),1),$G$5:$G$204,"&lt;="&amp;EOMONTH($G57,0))&gt;SUMIFS('利用者マスタ'!$B$4:$B$60,'利用者マスタ'!$A$4:$A$60,$B57),"⚠支給量超過","")))</f>
        <v/>
      </c>
      <c r="X57" s="8">
        <f>IF(OR($G57="",$J57="",$N57="キャンセル"),0,IF(IFERROR(INDEX('M_区分'!$B$4:$B$20,MATCH($C57,'M_区分'!$A$4:$A$20,0)),"○")="○",$J57-$G57+1,0))</f>
        <v/>
      </c>
      <c r="Y57" s="8">
        <f>IF($E57&lt;&gt;"",$E57,$Y56)</f>
        <v/>
      </c>
      <c r="Z57" s="8">
        <f>IF(OR($G57="",$J57=""),"",IF(AND($G57&lt;=EOMONTH('02_カレンダー'!$B$4,0),$J57&gt;='02_カレンダー'!$B$4),$G57*10000+ROW(),""))</f>
        <v/>
      </c>
      <c r="AA57" s="8">
        <f>IF($H57="","",IF(ISNUMBER($H57),IF(AND($H57=INT($H57),$H57&gt;=0,$H57&lt;=24),TEXT(INT($H57),"00")&amp;":00",TEXT($H57,"hh:mm")),$H57))</f>
        <v/>
      </c>
      <c r="AB57" s="8">
        <f>IF($K57="","",IF(ISNUMBER($K57),IF(AND($K57=INT($K57),$K57&gt;=0,$K57&lt;=24),TEXT(INT($K57),"00")&amp;":00",TEXT($K57,"hh:mm")),$K57))</f>
        <v/>
      </c>
      <c r="AC57" s="8">
        <f>IF($G57="",0,$G57)</f>
        <v/>
      </c>
      <c r="AD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IF($F58="","",IF($F58&gt;31,$F58,IF($Y58="","",DATE(YEAR($Y58),MONTH($Y58),$F58))))</f>
        <v/>
      </c>
      <c r="H58" s="9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9" t="n"/>
      <c r="L58" s="8">
        <f>IF(OR($G58="",$J58=""),"",$J58-$G58+1)</f>
        <v/>
      </c>
      <c r="M58" s="8">
        <f>IF(OR($G58="",$J58=""),"",$J58-$G58)</f>
        <v/>
      </c>
      <c r="N58" s="9" t="n"/>
      <c r="O58" s="9" t="n"/>
      <c r="P58" s="9" t="n"/>
      <c r="Q58" s="9" t="n"/>
      <c r="R58" s="9" t="n"/>
      <c r="S58" s="9" t="n"/>
      <c r="T58" s="13" t="n"/>
      <c r="U58" s="9" t="n"/>
      <c r="V58" s="8">
        <f>IF($G58="","",IF($D58="","⚠部屋が未選択",IF(COUNTIF('M_部屋'!$A$4:$A$20,$D58)=0,"⚠部屋が未登録",IF(OR($J58="",$N58="キャンセル"),"",IF(SUMPRODUCT(($D$5:$D$204=$D58)*($G$5:$G$204&lt;&gt;"")*($J$5:$J$204&lt;&gt;"")*($N$5:$N$204&lt;&gt;"キャンセル")*($G$5:$G$204&lt;$J58)*($J$5:$J$204&gt;$G58))&gt;1,"⚠重複","")))))</f>
        <v/>
      </c>
      <c r="W58" s="8">
        <f>IF(OR($B58="",$G58=""),"",IF(SUMPRODUCT(('利用者マスタ'!$A$4:$A$60=$B58)*('利用者マスタ'!$B$4:$B$60&lt;&gt;""))=0,"",IF(SUMIFS($X$5:$X$204,$B$5:$B$204,$B58,$G$5:$G$204,"&gt;="&amp;DATE(YEAR($G58),MONTH($G58),1),$G$5:$G$204,"&lt;="&amp;EOMONTH($G58,0))&gt;SUMIFS('利用者マスタ'!$B$4:$B$60,'利用者マスタ'!$A$4:$A$60,$B58),"⚠支給量超過","")))</f>
        <v/>
      </c>
      <c r="X58" s="8">
        <f>IF(OR($G58="",$J58="",$N58="キャンセル"),0,IF(IFERROR(INDEX('M_区分'!$B$4:$B$20,MATCH($C58,'M_区分'!$A$4:$A$20,0)),"○")="○",$J58-$G58+1,0))</f>
        <v/>
      </c>
      <c r="Y58" s="8">
        <f>IF($E58&lt;&gt;"",$E58,$Y57)</f>
        <v/>
      </c>
      <c r="Z58" s="8">
        <f>IF(OR($G58="",$J58=""),"",IF(AND($G58&lt;=EOMONTH('02_カレンダー'!$B$4,0),$J58&gt;='02_カレンダー'!$B$4),$G58*10000+ROW(),""))</f>
        <v/>
      </c>
      <c r="AA58" s="8">
        <f>IF($H58="","",IF(ISNUMBER($H58),IF(AND($H58=INT($H58),$H58&gt;=0,$H58&lt;=24),TEXT(INT($H58),"00")&amp;":00",TEXT($H58,"hh:mm")),$H58))</f>
        <v/>
      </c>
      <c r="AB58" s="8">
        <f>IF($K58="","",IF(ISNUMBER($K58),IF(AND($K58=INT($K58),$K58&gt;=0,$K58&lt;=24),TEXT(INT($K58),"00")&amp;":00",TEXT($K58,"hh:mm")),$K58))</f>
        <v/>
      </c>
      <c r="AC58" s="8">
        <f>IF($G58="",0,$G58)</f>
        <v/>
      </c>
      <c r="AD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IF($F59="","",IF($F59&gt;31,$F59,IF($Y59="","",DATE(YEAR($Y59),MONTH($Y59),$F59))))</f>
        <v/>
      </c>
      <c r="H59" s="9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9" t="n"/>
      <c r="L59" s="8">
        <f>IF(OR($G59="",$J59=""),"",$J59-$G59+1)</f>
        <v/>
      </c>
      <c r="M59" s="8">
        <f>IF(OR($G59="",$J59=""),"",$J59-$G59)</f>
        <v/>
      </c>
      <c r="N59" s="9" t="n"/>
      <c r="O59" s="9" t="n"/>
      <c r="P59" s="9" t="n"/>
      <c r="Q59" s="9" t="n"/>
      <c r="R59" s="9" t="n"/>
      <c r="S59" s="9" t="n"/>
      <c r="T59" s="13" t="n"/>
      <c r="U59" s="9" t="n"/>
      <c r="V59" s="8">
        <f>IF($G59="","",IF($D59="","⚠部屋が未選択",IF(COUNTIF('M_部屋'!$A$4:$A$20,$D59)=0,"⚠部屋が未登録",IF(OR($J59="",$N59="キャンセル"),"",IF(SUMPRODUCT(($D$5:$D$204=$D59)*($G$5:$G$204&lt;&gt;"")*($J$5:$J$204&lt;&gt;"")*($N$5:$N$204&lt;&gt;"キャンセル")*($G$5:$G$204&lt;$J59)*($J$5:$J$204&gt;$G59))&gt;1,"⚠重複","")))))</f>
        <v/>
      </c>
      <c r="W59" s="8">
        <f>IF(OR($B59="",$G59=""),"",IF(SUMPRODUCT(('利用者マスタ'!$A$4:$A$60=$B59)*('利用者マスタ'!$B$4:$B$60&lt;&gt;""))=0,"",IF(SUMIFS($X$5:$X$204,$B$5:$B$204,$B59,$G$5:$G$204,"&gt;="&amp;DATE(YEAR($G59),MONTH($G59),1),$G$5:$G$204,"&lt;="&amp;EOMONTH($G59,0))&gt;SUMIFS('利用者マスタ'!$B$4:$B$60,'利用者マスタ'!$A$4:$A$60,$B59),"⚠支給量超過","")))</f>
        <v/>
      </c>
      <c r="X59" s="8">
        <f>IF(OR($G59="",$J59="",$N59="キャンセル"),0,IF(IFERROR(INDEX('M_区分'!$B$4:$B$20,MATCH($C59,'M_区分'!$A$4:$A$20,0)),"○")="○",$J59-$G59+1,0))</f>
        <v/>
      </c>
      <c r="Y59" s="8">
        <f>IF($E59&lt;&gt;"",$E59,$Y58)</f>
        <v/>
      </c>
      <c r="Z59" s="8">
        <f>IF(OR($G59="",$J59=""),"",IF(AND($G59&lt;=EOMONTH('02_カレンダー'!$B$4,0),$J59&gt;='02_カレンダー'!$B$4),$G59*10000+ROW(),""))</f>
        <v/>
      </c>
      <c r="AA59" s="8">
        <f>IF($H59="","",IF(ISNUMBER($H59),IF(AND($H59=INT($H59),$H59&gt;=0,$H59&lt;=24),TEXT(INT($H59),"00")&amp;":00",TEXT($H59,"hh:mm")),$H59))</f>
        <v/>
      </c>
      <c r="AB59" s="8">
        <f>IF($K59="","",IF(ISNUMBER($K59),IF(AND($K59=INT($K59),$K59&gt;=0,$K59&lt;=24),TEXT(INT($K59),"00")&amp;":00",TEXT($K59,"hh:mm")),$K59))</f>
        <v/>
      </c>
      <c r="AC59" s="8">
        <f>IF($G59="",0,$G59)</f>
        <v/>
      </c>
      <c r="AD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IF($F60="","",IF($F60&gt;31,$F60,IF($Y60="","",DATE(YEAR($Y60),MONTH($Y60),$F60))))</f>
        <v/>
      </c>
      <c r="H60" s="9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9" t="n"/>
      <c r="L60" s="8">
        <f>IF(OR($G60="",$J60=""),"",$J60-$G60+1)</f>
        <v/>
      </c>
      <c r="M60" s="8">
        <f>IF(OR($G60="",$J60=""),"",$J60-$G60)</f>
        <v/>
      </c>
      <c r="N60" s="9" t="n"/>
      <c r="O60" s="9" t="n"/>
      <c r="P60" s="9" t="n"/>
      <c r="Q60" s="9" t="n"/>
      <c r="R60" s="9" t="n"/>
      <c r="S60" s="9" t="n"/>
      <c r="T60" s="13" t="n"/>
      <c r="U60" s="9" t="n"/>
      <c r="V60" s="8">
        <f>IF($G60="","",IF($D60="","⚠部屋が未選択",IF(COUNTIF('M_部屋'!$A$4:$A$20,$D60)=0,"⚠部屋が未登録",IF(OR($J60="",$N60="キャンセル"),"",IF(SUMPRODUCT(($D$5:$D$204=$D60)*($G$5:$G$204&lt;&gt;"")*($J$5:$J$204&lt;&gt;"")*($N$5:$N$204&lt;&gt;"キャンセル")*($G$5:$G$204&lt;$J60)*($J$5:$J$204&gt;$G60))&gt;1,"⚠重複","")))))</f>
        <v/>
      </c>
      <c r="W60" s="8">
        <f>IF(OR($B60="",$G60=""),"",IF(SUMPRODUCT(('利用者マスタ'!$A$4:$A$60=$B60)*('利用者マスタ'!$B$4:$B$60&lt;&gt;""))=0,"",IF(SUMIFS($X$5:$X$204,$B$5:$B$204,$B60,$G$5:$G$204,"&gt;="&amp;DATE(YEAR($G60),MONTH($G60),1),$G$5:$G$204,"&lt;="&amp;EOMONTH($G60,0))&gt;SUMIFS('利用者マスタ'!$B$4:$B$60,'利用者マスタ'!$A$4:$A$60,$B60),"⚠支給量超過","")))</f>
        <v/>
      </c>
      <c r="X60" s="8">
        <f>IF(OR($G60="",$J60="",$N60="キャンセル"),0,IF(IFERROR(INDEX('M_区分'!$B$4:$B$20,MATCH($C60,'M_区分'!$A$4:$A$20,0)),"○")="○",$J60-$G60+1,0))</f>
        <v/>
      </c>
      <c r="Y60" s="8">
        <f>IF($E60&lt;&gt;"",$E60,$Y59)</f>
        <v/>
      </c>
      <c r="Z60" s="8">
        <f>IF(OR($G60="",$J60=""),"",IF(AND($G60&lt;=EOMONTH('02_カレンダー'!$B$4,0),$J60&gt;='02_カレンダー'!$B$4),$G60*10000+ROW(),""))</f>
        <v/>
      </c>
      <c r="AA60" s="8">
        <f>IF($H60="","",IF(ISNUMBER($H60),IF(AND($H60=INT($H60),$H60&gt;=0,$H60&lt;=24),TEXT(INT($H60),"00")&amp;":00",TEXT($H60,"hh:mm")),$H60))</f>
        <v/>
      </c>
      <c r="AB60" s="8">
        <f>IF($K60="","",IF(ISNUMBER($K60),IF(AND($K60=INT($K60),$K60&gt;=0,$K60&lt;=24),TEXT(INT($K60),"00")&amp;":00",TEXT($K60,"hh:mm")),$K60))</f>
        <v/>
      </c>
      <c r="AC60" s="8">
        <f>IF($G60="",0,$G60)</f>
        <v/>
      </c>
      <c r="AD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IF($F61="","",IF($F61&gt;31,$F61,IF($Y61="","",DATE(YEAR($Y61),MONTH($Y61),$F61))))</f>
        <v/>
      </c>
      <c r="H61" s="9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9" t="n"/>
      <c r="L61" s="8">
        <f>IF(OR($G61="",$J61=""),"",$J61-$G61+1)</f>
        <v/>
      </c>
      <c r="M61" s="8">
        <f>IF(OR($G61="",$J61=""),"",$J61-$G61)</f>
        <v/>
      </c>
      <c r="N61" s="9" t="n"/>
      <c r="O61" s="9" t="n"/>
      <c r="P61" s="9" t="n"/>
      <c r="Q61" s="9" t="n"/>
      <c r="R61" s="9" t="n"/>
      <c r="S61" s="9" t="n"/>
      <c r="T61" s="13" t="n"/>
      <c r="U61" s="9" t="n"/>
      <c r="V61" s="8">
        <f>IF($G61="","",IF($D61="","⚠部屋が未選択",IF(COUNTIF('M_部屋'!$A$4:$A$20,$D61)=0,"⚠部屋が未登録",IF(OR($J61="",$N61="キャンセル"),"",IF(SUMPRODUCT(($D$5:$D$204=$D61)*($G$5:$G$204&lt;&gt;"")*($J$5:$J$204&lt;&gt;"")*($N$5:$N$204&lt;&gt;"キャンセル")*($G$5:$G$204&lt;$J61)*($J$5:$J$204&gt;$G61))&gt;1,"⚠重複","")))))</f>
        <v/>
      </c>
      <c r="W61" s="8">
        <f>IF(OR($B61="",$G61=""),"",IF(SUMPRODUCT(('利用者マスタ'!$A$4:$A$60=$B61)*('利用者マスタ'!$B$4:$B$60&lt;&gt;""))=0,"",IF(SUMIFS($X$5:$X$204,$B$5:$B$204,$B61,$G$5:$G$204,"&gt;="&amp;DATE(YEAR($G61),MONTH($G61),1),$G$5:$G$204,"&lt;="&amp;EOMONTH($G61,0))&gt;SUMIFS('利用者マスタ'!$B$4:$B$60,'利用者マスタ'!$A$4:$A$60,$B61),"⚠支給量超過","")))</f>
        <v/>
      </c>
      <c r="X61" s="8">
        <f>IF(OR($G61="",$J61="",$N61="キャンセル"),0,IF(IFERROR(INDEX('M_区分'!$B$4:$B$20,MATCH($C61,'M_区分'!$A$4:$A$20,0)),"○")="○",$J61-$G61+1,0))</f>
        <v/>
      </c>
      <c r="Y61" s="8">
        <f>IF($E61&lt;&gt;"",$E61,$Y60)</f>
        <v/>
      </c>
      <c r="Z61" s="8">
        <f>IF(OR($G61="",$J61=""),"",IF(AND($G61&lt;=EOMONTH('02_カレンダー'!$B$4,0),$J61&gt;='02_カレンダー'!$B$4),$G61*10000+ROW(),""))</f>
        <v/>
      </c>
      <c r="AA61" s="8">
        <f>IF($H61="","",IF(ISNUMBER($H61),IF(AND($H61=INT($H61),$H61&gt;=0,$H61&lt;=24),TEXT(INT($H61),"00")&amp;":00",TEXT($H61,"hh:mm")),$H61))</f>
        <v/>
      </c>
      <c r="AB61" s="8">
        <f>IF($K61="","",IF(ISNUMBER($K61),IF(AND($K61=INT($K61),$K61&gt;=0,$K61&lt;=24),TEXT(INT($K61),"00")&amp;":00",TEXT($K61,"hh:mm")),$K61))</f>
        <v/>
      </c>
      <c r="AC61" s="8">
        <f>IF($G61="",0,$G61)</f>
        <v/>
      </c>
      <c r="AD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IF($F62="","",IF($F62&gt;31,$F62,IF($Y62="","",DATE(YEAR($Y62),MONTH($Y62),$F62))))</f>
        <v/>
      </c>
      <c r="H62" s="9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9" t="n"/>
      <c r="L62" s="8">
        <f>IF(OR($G62="",$J62=""),"",$J62-$G62+1)</f>
        <v/>
      </c>
      <c r="M62" s="8">
        <f>IF(OR($G62="",$J62=""),"",$J62-$G62)</f>
        <v/>
      </c>
      <c r="N62" s="9" t="n"/>
      <c r="O62" s="9" t="n"/>
      <c r="P62" s="9" t="n"/>
      <c r="Q62" s="9" t="n"/>
      <c r="R62" s="9" t="n"/>
      <c r="S62" s="9" t="n"/>
      <c r="T62" s="13" t="n"/>
      <c r="U62" s="9" t="n"/>
      <c r="V62" s="8">
        <f>IF($G62="","",IF($D62="","⚠部屋が未選択",IF(COUNTIF('M_部屋'!$A$4:$A$20,$D62)=0,"⚠部屋が未登録",IF(OR($J62="",$N62="キャンセル"),"",IF(SUMPRODUCT(($D$5:$D$204=$D62)*($G$5:$G$204&lt;&gt;"")*($J$5:$J$204&lt;&gt;"")*($N$5:$N$204&lt;&gt;"キャンセル")*($G$5:$G$204&lt;$J62)*($J$5:$J$204&gt;$G62))&gt;1,"⚠重複","")))))</f>
        <v/>
      </c>
      <c r="W62" s="8">
        <f>IF(OR($B62="",$G62=""),"",IF(SUMPRODUCT(('利用者マスタ'!$A$4:$A$60=$B62)*('利用者マスタ'!$B$4:$B$60&lt;&gt;""))=0,"",IF(SUMIFS($X$5:$X$204,$B$5:$B$204,$B62,$G$5:$G$204,"&gt;="&amp;DATE(YEAR($G62),MONTH($G62),1),$G$5:$G$204,"&lt;="&amp;EOMONTH($G62,0))&gt;SUMIFS('利用者マスタ'!$B$4:$B$60,'利用者マスタ'!$A$4:$A$60,$B62),"⚠支給量超過","")))</f>
        <v/>
      </c>
      <c r="X62" s="8">
        <f>IF(OR($G62="",$J62="",$N62="キャンセル"),0,IF(IFERROR(INDEX('M_区分'!$B$4:$B$20,MATCH($C62,'M_区分'!$A$4:$A$20,0)),"○")="○",$J62-$G62+1,0))</f>
        <v/>
      </c>
      <c r="Y62" s="8">
        <f>IF($E62&lt;&gt;"",$E62,$Y61)</f>
        <v/>
      </c>
      <c r="Z62" s="8">
        <f>IF(OR($G62="",$J62=""),"",IF(AND($G62&lt;=EOMONTH('02_カレンダー'!$B$4,0),$J62&gt;='02_カレンダー'!$B$4),$G62*10000+ROW(),""))</f>
        <v/>
      </c>
      <c r="AA62" s="8">
        <f>IF($H62="","",IF(ISNUMBER($H62),IF(AND($H62=INT($H62),$H62&gt;=0,$H62&lt;=24),TEXT(INT($H62),"00")&amp;":00",TEXT($H62,"hh:mm")),$H62))</f>
        <v/>
      </c>
      <c r="AB62" s="8">
        <f>IF($K62="","",IF(ISNUMBER($K62),IF(AND($K62=INT($K62),$K62&gt;=0,$K62&lt;=24),TEXT(INT($K62),"00")&amp;":00",TEXT($K62,"hh:mm")),$K62))</f>
        <v/>
      </c>
      <c r="AC62" s="8">
        <f>IF($G62="",0,$G62)</f>
        <v/>
      </c>
      <c r="AD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IF($F63="","",IF($F63&gt;31,$F63,IF($Y63="","",DATE(YEAR($Y63),MONTH($Y63),$F63))))</f>
        <v/>
      </c>
      <c r="H63" s="9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9" t="n"/>
      <c r="L63" s="8">
        <f>IF(OR($G63="",$J63=""),"",$J63-$G63+1)</f>
        <v/>
      </c>
      <c r="M63" s="8">
        <f>IF(OR($G63="",$J63=""),"",$J63-$G63)</f>
        <v/>
      </c>
      <c r="N63" s="9" t="n"/>
      <c r="O63" s="9" t="n"/>
      <c r="P63" s="9" t="n"/>
      <c r="Q63" s="9" t="n"/>
      <c r="R63" s="9" t="n"/>
      <c r="S63" s="9" t="n"/>
      <c r="T63" s="13" t="n"/>
      <c r="U63" s="9" t="n"/>
      <c r="V63" s="8">
        <f>IF($G63="","",IF($D63="","⚠部屋が未選択",IF(COUNTIF('M_部屋'!$A$4:$A$20,$D63)=0,"⚠部屋が未登録",IF(OR($J63="",$N63="キャンセル"),"",IF(SUMPRODUCT(($D$5:$D$204=$D63)*($G$5:$G$204&lt;&gt;"")*($J$5:$J$204&lt;&gt;"")*($N$5:$N$204&lt;&gt;"キャンセル")*($G$5:$G$204&lt;$J63)*($J$5:$J$204&gt;$G63))&gt;1,"⚠重複","")))))</f>
        <v/>
      </c>
      <c r="W63" s="8">
        <f>IF(OR($B63="",$G63=""),"",IF(SUMPRODUCT(('利用者マスタ'!$A$4:$A$60=$B63)*('利用者マスタ'!$B$4:$B$60&lt;&gt;""))=0,"",IF(SUMIFS($X$5:$X$204,$B$5:$B$204,$B63,$G$5:$G$204,"&gt;="&amp;DATE(YEAR($G63),MONTH($G63),1),$G$5:$G$204,"&lt;="&amp;EOMONTH($G63,0))&gt;SUMIFS('利用者マスタ'!$B$4:$B$60,'利用者マスタ'!$A$4:$A$60,$B63),"⚠支給量超過","")))</f>
        <v/>
      </c>
      <c r="X63" s="8">
        <f>IF(OR($G63="",$J63="",$N63="キャンセル"),0,IF(IFERROR(INDEX('M_区分'!$B$4:$B$20,MATCH($C63,'M_区分'!$A$4:$A$20,0)),"○")="○",$J63-$G63+1,0))</f>
        <v/>
      </c>
      <c r="Y63" s="8">
        <f>IF($E63&lt;&gt;"",$E63,$Y62)</f>
        <v/>
      </c>
      <c r="Z63" s="8">
        <f>IF(OR($G63="",$J63=""),"",IF(AND($G63&lt;=EOMONTH('02_カレンダー'!$B$4,0),$J63&gt;='02_カレンダー'!$B$4),$G63*10000+ROW(),""))</f>
        <v/>
      </c>
      <c r="AA63" s="8">
        <f>IF($H63="","",IF(ISNUMBER($H63),IF(AND($H63=INT($H63),$H63&gt;=0,$H63&lt;=24),TEXT(INT($H63),"00")&amp;":00",TEXT($H63,"hh:mm")),$H63))</f>
        <v/>
      </c>
      <c r="AB63" s="8">
        <f>IF($K63="","",IF(ISNUMBER($K63),IF(AND($K63=INT($K63),$K63&gt;=0,$K63&lt;=24),TEXT(INT($K63),"00")&amp;":00",TEXT($K63,"hh:mm")),$K63))</f>
        <v/>
      </c>
      <c r="AC63" s="8">
        <f>IF($G63="",0,$G63)</f>
        <v/>
      </c>
      <c r="AD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IF($F64="","",IF($F64&gt;31,$F64,IF($Y64="","",DATE(YEAR($Y64),MONTH($Y64),$F64))))</f>
        <v/>
      </c>
      <c r="H64" s="9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9" t="n"/>
      <c r="L64" s="8">
        <f>IF(OR($G64="",$J64=""),"",$J64-$G64+1)</f>
        <v/>
      </c>
      <c r="M64" s="8">
        <f>IF(OR($G64="",$J64=""),"",$J64-$G64)</f>
        <v/>
      </c>
      <c r="N64" s="9" t="n"/>
      <c r="O64" s="9" t="n"/>
      <c r="P64" s="9" t="n"/>
      <c r="Q64" s="9" t="n"/>
      <c r="R64" s="9" t="n"/>
      <c r="S64" s="9" t="n"/>
      <c r="T64" s="13" t="n"/>
      <c r="U64" s="9" t="n"/>
      <c r="V64" s="8">
        <f>IF($G64="","",IF($D64="","⚠部屋が未選択",IF(COUNTIF('M_部屋'!$A$4:$A$20,$D64)=0,"⚠部屋が未登録",IF(OR($J64="",$N64="キャンセル"),"",IF(SUMPRODUCT(($D$5:$D$204=$D64)*($G$5:$G$204&lt;&gt;"")*($J$5:$J$204&lt;&gt;"")*($N$5:$N$204&lt;&gt;"キャンセル")*($G$5:$G$204&lt;$J64)*($J$5:$J$204&gt;$G64))&gt;1,"⚠重複","")))))</f>
        <v/>
      </c>
      <c r="W64" s="8">
        <f>IF(OR($B64="",$G64=""),"",IF(SUMPRODUCT(('利用者マスタ'!$A$4:$A$60=$B64)*('利用者マスタ'!$B$4:$B$60&lt;&gt;""))=0,"",IF(SUMIFS($X$5:$X$204,$B$5:$B$204,$B64,$G$5:$G$204,"&gt;="&amp;DATE(YEAR($G64),MONTH($G64),1),$G$5:$G$204,"&lt;="&amp;EOMONTH($G64,0))&gt;SUMIFS('利用者マスタ'!$B$4:$B$60,'利用者マスタ'!$A$4:$A$60,$B64),"⚠支給量超過","")))</f>
        <v/>
      </c>
      <c r="X64" s="8">
        <f>IF(OR($G64="",$J64="",$N64="キャンセル"),0,IF(IFERROR(INDEX('M_区分'!$B$4:$B$20,MATCH($C64,'M_区分'!$A$4:$A$20,0)),"○")="○",$J64-$G64+1,0))</f>
        <v/>
      </c>
      <c r="Y64" s="8">
        <f>IF($E64&lt;&gt;"",$E64,$Y63)</f>
        <v/>
      </c>
      <c r="Z64" s="8">
        <f>IF(OR($G64="",$J64=""),"",IF(AND($G64&lt;=EOMONTH('02_カレンダー'!$B$4,0),$J64&gt;='02_カレンダー'!$B$4),$G64*10000+ROW(),""))</f>
        <v/>
      </c>
      <c r="AA64" s="8">
        <f>IF($H64="","",IF(ISNUMBER($H64),IF(AND($H64=INT($H64),$H64&gt;=0,$H64&lt;=24),TEXT(INT($H64),"00")&amp;":00",TEXT($H64,"hh:mm")),$H64))</f>
        <v/>
      </c>
      <c r="AB64" s="8">
        <f>IF($K64="","",IF(ISNUMBER($K64),IF(AND($K64=INT($K64),$K64&gt;=0,$K64&lt;=24),TEXT(INT($K64),"00")&amp;":00",TEXT($K64,"hh:mm")),$K64))</f>
        <v/>
      </c>
      <c r="AC64" s="8">
        <f>IF($G64="",0,$G64)</f>
        <v/>
      </c>
      <c r="AD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IF($F65="","",IF($F65&gt;31,$F65,IF($Y65="","",DATE(YEAR($Y65),MONTH($Y65),$F65))))</f>
        <v/>
      </c>
      <c r="H65" s="9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9" t="n"/>
      <c r="L65" s="8">
        <f>IF(OR($G65="",$J65=""),"",$J65-$G65+1)</f>
        <v/>
      </c>
      <c r="M65" s="8">
        <f>IF(OR($G65="",$J65=""),"",$J65-$G65)</f>
        <v/>
      </c>
      <c r="N65" s="9" t="n"/>
      <c r="O65" s="9" t="n"/>
      <c r="P65" s="9" t="n"/>
      <c r="Q65" s="9" t="n"/>
      <c r="R65" s="9" t="n"/>
      <c r="S65" s="9" t="n"/>
      <c r="T65" s="13" t="n"/>
      <c r="U65" s="9" t="n"/>
      <c r="V65" s="8">
        <f>IF($G65="","",IF($D65="","⚠部屋が未選択",IF(COUNTIF('M_部屋'!$A$4:$A$20,$D65)=0,"⚠部屋が未登録",IF(OR($J65="",$N65="キャンセル"),"",IF(SUMPRODUCT(($D$5:$D$204=$D65)*($G$5:$G$204&lt;&gt;"")*($J$5:$J$204&lt;&gt;"")*($N$5:$N$204&lt;&gt;"キャンセル")*($G$5:$G$204&lt;$J65)*($J$5:$J$204&gt;$G65))&gt;1,"⚠重複","")))))</f>
        <v/>
      </c>
      <c r="W65" s="8">
        <f>IF(OR($B65="",$G65=""),"",IF(SUMPRODUCT(('利用者マスタ'!$A$4:$A$60=$B65)*('利用者マスタ'!$B$4:$B$60&lt;&gt;""))=0,"",IF(SUMIFS($X$5:$X$204,$B$5:$B$204,$B65,$G$5:$G$204,"&gt;="&amp;DATE(YEAR($G65),MONTH($G65),1),$G$5:$G$204,"&lt;="&amp;EOMONTH($G65,0))&gt;SUMIFS('利用者マスタ'!$B$4:$B$60,'利用者マスタ'!$A$4:$A$60,$B65),"⚠支給量超過","")))</f>
        <v/>
      </c>
      <c r="X65" s="8">
        <f>IF(OR($G65="",$J65="",$N65="キャンセル"),0,IF(IFERROR(INDEX('M_区分'!$B$4:$B$20,MATCH($C65,'M_区分'!$A$4:$A$20,0)),"○")="○",$J65-$G65+1,0))</f>
        <v/>
      </c>
      <c r="Y65" s="8">
        <f>IF($E65&lt;&gt;"",$E65,$Y64)</f>
        <v/>
      </c>
      <c r="Z65" s="8">
        <f>IF(OR($G65="",$J65=""),"",IF(AND($G65&lt;=EOMONTH('02_カレンダー'!$B$4,0),$J65&gt;='02_カレンダー'!$B$4),$G65*10000+ROW(),""))</f>
        <v/>
      </c>
      <c r="AA65" s="8">
        <f>IF($H65="","",IF(ISNUMBER($H65),IF(AND($H65=INT($H65),$H65&gt;=0,$H65&lt;=24),TEXT(INT($H65),"00")&amp;":00",TEXT($H65,"hh:mm")),$H65))</f>
        <v/>
      </c>
      <c r="AB65" s="8">
        <f>IF($K65="","",IF(ISNUMBER($K65),IF(AND($K65=INT($K65),$K65&gt;=0,$K65&lt;=24),TEXT(INT($K65),"00")&amp;":00",TEXT($K65,"hh:mm")),$K65))</f>
        <v/>
      </c>
      <c r="AC65" s="8">
        <f>IF($G65="",0,$G65)</f>
        <v/>
      </c>
      <c r="AD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IF($F66="","",IF($F66&gt;31,$F66,IF($Y66="","",DATE(YEAR($Y66),MONTH($Y66),$F66))))</f>
        <v/>
      </c>
      <c r="H66" s="9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9" t="n"/>
      <c r="L66" s="8">
        <f>IF(OR($G66="",$J66=""),"",$J66-$G66+1)</f>
        <v/>
      </c>
      <c r="M66" s="8">
        <f>IF(OR($G66="",$J66=""),"",$J66-$G66)</f>
        <v/>
      </c>
      <c r="N66" s="9" t="n"/>
      <c r="O66" s="9" t="n"/>
      <c r="P66" s="9" t="n"/>
      <c r="Q66" s="9" t="n"/>
      <c r="R66" s="9" t="n"/>
      <c r="S66" s="9" t="n"/>
      <c r="T66" s="13" t="n"/>
      <c r="U66" s="9" t="n"/>
      <c r="V66" s="8">
        <f>IF($G66="","",IF($D66="","⚠部屋が未選択",IF(COUNTIF('M_部屋'!$A$4:$A$20,$D66)=0,"⚠部屋が未登録",IF(OR($J66="",$N66="キャンセル"),"",IF(SUMPRODUCT(($D$5:$D$204=$D66)*($G$5:$G$204&lt;&gt;"")*($J$5:$J$204&lt;&gt;"")*($N$5:$N$204&lt;&gt;"キャンセル")*($G$5:$G$204&lt;$J66)*($J$5:$J$204&gt;$G66))&gt;1,"⚠重複","")))))</f>
        <v/>
      </c>
      <c r="W66" s="8">
        <f>IF(OR($B66="",$G66=""),"",IF(SUMPRODUCT(('利用者マスタ'!$A$4:$A$60=$B66)*('利用者マスタ'!$B$4:$B$60&lt;&gt;""))=0,"",IF(SUMIFS($X$5:$X$204,$B$5:$B$204,$B66,$G$5:$G$204,"&gt;="&amp;DATE(YEAR($G66),MONTH($G66),1),$G$5:$G$204,"&lt;="&amp;EOMONTH($G66,0))&gt;SUMIFS('利用者マスタ'!$B$4:$B$60,'利用者マスタ'!$A$4:$A$60,$B66),"⚠支給量超過","")))</f>
        <v/>
      </c>
      <c r="X66" s="8">
        <f>IF(OR($G66="",$J66="",$N66="キャンセル"),0,IF(IFERROR(INDEX('M_区分'!$B$4:$B$20,MATCH($C66,'M_区分'!$A$4:$A$20,0)),"○")="○",$J66-$G66+1,0))</f>
        <v/>
      </c>
      <c r="Y66" s="8">
        <f>IF($E66&lt;&gt;"",$E66,$Y65)</f>
        <v/>
      </c>
      <c r="Z66" s="8">
        <f>IF(OR($G66="",$J66=""),"",IF(AND($G66&lt;=EOMONTH('02_カレンダー'!$B$4,0),$J66&gt;='02_カレンダー'!$B$4),$G66*10000+ROW(),""))</f>
        <v/>
      </c>
      <c r="AA66" s="8">
        <f>IF($H66="","",IF(ISNUMBER($H66),IF(AND($H66=INT($H66),$H66&gt;=0,$H66&lt;=24),TEXT(INT($H66),"00")&amp;":00",TEXT($H66,"hh:mm")),$H66))</f>
        <v/>
      </c>
      <c r="AB66" s="8">
        <f>IF($K66="","",IF(ISNUMBER($K66),IF(AND($K66=INT($K66),$K66&gt;=0,$K66&lt;=24),TEXT(INT($K66),"00")&amp;":00",TEXT($K66,"hh:mm")),$K66))</f>
        <v/>
      </c>
      <c r="AC66" s="8">
        <f>IF($G66="",0,$G66)</f>
        <v/>
      </c>
      <c r="AD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IF($F67="","",IF($F67&gt;31,$F67,IF($Y67="","",DATE(YEAR($Y67),MONTH($Y67),$F67))))</f>
        <v/>
      </c>
      <c r="H67" s="9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9" t="n"/>
      <c r="L67" s="8">
        <f>IF(OR($G67="",$J67=""),"",$J67-$G67+1)</f>
        <v/>
      </c>
      <c r="M67" s="8">
        <f>IF(OR($G67="",$J67=""),"",$J67-$G67)</f>
        <v/>
      </c>
      <c r="N67" s="9" t="n"/>
      <c r="O67" s="9" t="n"/>
      <c r="P67" s="9" t="n"/>
      <c r="Q67" s="9" t="n"/>
      <c r="R67" s="9" t="n"/>
      <c r="S67" s="9" t="n"/>
      <c r="T67" s="13" t="n"/>
      <c r="U67" s="9" t="n"/>
      <c r="V67" s="8">
        <f>IF($G67="","",IF($D67="","⚠部屋が未選択",IF(COUNTIF('M_部屋'!$A$4:$A$20,$D67)=0,"⚠部屋が未登録",IF(OR($J67="",$N67="キャンセル"),"",IF(SUMPRODUCT(($D$5:$D$204=$D67)*($G$5:$G$204&lt;&gt;"")*($J$5:$J$204&lt;&gt;"")*($N$5:$N$204&lt;&gt;"キャンセル")*($G$5:$G$204&lt;$J67)*($J$5:$J$204&gt;$G67))&gt;1,"⚠重複","")))))</f>
        <v/>
      </c>
      <c r="W67" s="8">
        <f>IF(OR($B67="",$G67=""),"",IF(SUMPRODUCT(('利用者マスタ'!$A$4:$A$60=$B67)*('利用者マスタ'!$B$4:$B$60&lt;&gt;""))=0,"",IF(SUMIFS($X$5:$X$204,$B$5:$B$204,$B67,$G$5:$G$204,"&gt;="&amp;DATE(YEAR($G67),MONTH($G67),1),$G$5:$G$204,"&lt;="&amp;EOMONTH($G67,0))&gt;SUMIFS('利用者マスタ'!$B$4:$B$60,'利用者マスタ'!$A$4:$A$60,$B67),"⚠支給量超過","")))</f>
        <v/>
      </c>
      <c r="X67" s="8">
        <f>IF(OR($G67="",$J67="",$N67="キャンセル"),0,IF(IFERROR(INDEX('M_区分'!$B$4:$B$20,MATCH($C67,'M_区分'!$A$4:$A$20,0)),"○")="○",$J67-$G67+1,0))</f>
        <v/>
      </c>
      <c r="Y67" s="8">
        <f>IF($E67&lt;&gt;"",$E67,$Y66)</f>
        <v/>
      </c>
      <c r="Z67" s="8">
        <f>IF(OR($G67="",$J67=""),"",IF(AND($G67&lt;=EOMONTH('02_カレンダー'!$B$4,0),$J67&gt;='02_カレンダー'!$B$4),$G67*10000+ROW(),""))</f>
        <v/>
      </c>
      <c r="AA67" s="8">
        <f>IF($H67="","",IF(ISNUMBER($H67),IF(AND($H67=INT($H67),$H67&gt;=0,$H67&lt;=24),TEXT(INT($H67),"00")&amp;":00",TEXT($H67,"hh:mm")),$H67))</f>
        <v/>
      </c>
      <c r="AB67" s="8">
        <f>IF($K67="","",IF(ISNUMBER($K67),IF(AND($K67=INT($K67),$K67&gt;=0,$K67&lt;=24),TEXT(INT($K67),"00")&amp;":00",TEXT($K67,"hh:mm")),$K67))</f>
        <v/>
      </c>
      <c r="AC67" s="8">
        <f>IF($G67="",0,$G67)</f>
        <v/>
      </c>
      <c r="AD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IF($F68="","",IF($F68&gt;31,$F68,IF($Y68="","",DATE(YEAR($Y68),MONTH($Y68),$F68))))</f>
        <v/>
      </c>
      <c r="H68" s="9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9" t="n"/>
      <c r="L68" s="8">
        <f>IF(OR($G68="",$J68=""),"",$J68-$G68+1)</f>
        <v/>
      </c>
      <c r="M68" s="8">
        <f>IF(OR($G68="",$J68=""),"",$J68-$G68)</f>
        <v/>
      </c>
      <c r="N68" s="9" t="n"/>
      <c r="O68" s="9" t="n"/>
      <c r="P68" s="9" t="n"/>
      <c r="Q68" s="9" t="n"/>
      <c r="R68" s="9" t="n"/>
      <c r="S68" s="9" t="n"/>
      <c r="T68" s="13" t="n"/>
      <c r="U68" s="9" t="n"/>
      <c r="V68" s="8">
        <f>IF($G68="","",IF($D68="","⚠部屋が未選択",IF(COUNTIF('M_部屋'!$A$4:$A$20,$D68)=0,"⚠部屋が未登録",IF(OR($J68="",$N68="キャンセル"),"",IF(SUMPRODUCT(($D$5:$D$204=$D68)*($G$5:$G$204&lt;&gt;"")*($J$5:$J$204&lt;&gt;"")*($N$5:$N$204&lt;&gt;"キャンセル")*($G$5:$G$204&lt;$J68)*($J$5:$J$204&gt;$G68))&gt;1,"⚠重複","")))))</f>
        <v/>
      </c>
      <c r="W68" s="8">
        <f>IF(OR($B68="",$G68=""),"",IF(SUMPRODUCT(('利用者マスタ'!$A$4:$A$60=$B68)*('利用者マスタ'!$B$4:$B$60&lt;&gt;""))=0,"",IF(SUMIFS($X$5:$X$204,$B$5:$B$204,$B68,$G$5:$G$204,"&gt;="&amp;DATE(YEAR($G68),MONTH($G68),1),$G$5:$G$204,"&lt;="&amp;EOMONTH($G68,0))&gt;SUMIFS('利用者マスタ'!$B$4:$B$60,'利用者マスタ'!$A$4:$A$60,$B68),"⚠支給量超過","")))</f>
        <v/>
      </c>
      <c r="X68" s="8">
        <f>IF(OR($G68="",$J68="",$N68="キャンセル"),0,IF(IFERROR(INDEX('M_区分'!$B$4:$B$20,MATCH($C68,'M_区分'!$A$4:$A$20,0)),"○")="○",$J68-$G68+1,0))</f>
        <v/>
      </c>
      <c r="Y68" s="8">
        <f>IF($E68&lt;&gt;"",$E68,$Y67)</f>
        <v/>
      </c>
      <c r="Z68" s="8">
        <f>IF(OR($G68="",$J68=""),"",IF(AND($G68&lt;=EOMONTH('02_カレンダー'!$B$4,0),$J68&gt;='02_カレンダー'!$B$4),$G68*10000+ROW(),""))</f>
        <v/>
      </c>
      <c r="AA68" s="8">
        <f>IF($H68="","",IF(ISNUMBER($H68),IF(AND($H68=INT($H68),$H68&gt;=0,$H68&lt;=24),TEXT(INT($H68),"00")&amp;":00",TEXT($H68,"hh:mm")),$H68))</f>
        <v/>
      </c>
      <c r="AB68" s="8">
        <f>IF($K68="","",IF(ISNUMBER($K68),IF(AND($K68=INT($K68),$K68&gt;=0,$K68&lt;=24),TEXT(INT($K68),"00")&amp;":00",TEXT($K68,"hh:mm")),$K68))</f>
        <v/>
      </c>
      <c r="AC68" s="8">
        <f>IF($G68="",0,$G68)</f>
        <v/>
      </c>
      <c r="AD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IF($F69="","",IF($F69&gt;31,$F69,IF($Y69="","",DATE(YEAR($Y69),MONTH($Y69),$F69))))</f>
        <v/>
      </c>
      <c r="H69" s="9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9" t="n"/>
      <c r="L69" s="8">
        <f>IF(OR($G69="",$J69=""),"",$J69-$G69+1)</f>
        <v/>
      </c>
      <c r="M69" s="8">
        <f>IF(OR($G69="",$J69=""),"",$J69-$G69)</f>
        <v/>
      </c>
      <c r="N69" s="9" t="n"/>
      <c r="O69" s="9" t="n"/>
      <c r="P69" s="9" t="n"/>
      <c r="Q69" s="9" t="n"/>
      <c r="R69" s="9" t="n"/>
      <c r="S69" s="9" t="n"/>
      <c r="T69" s="13" t="n"/>
      <c r="U69" s="9" t="n"/>
      <c r="V69" s="8">
        <f>IF($G69="","",IF($D69="","⚠部屋が未選択",IF(COUNTIF('M_部屋'!$A$4:$A$20,$D69)=0,"⚠部屋が未登録",IF(OR($J69="",$N69="キャンセル"),"",IF(SUMPRODUCT(($D$5:$D$204=$D69)*($G$5:$G$204&lt;&gt;"")*($J$5:$J$204&lt;&gt;"")*($N$5:$N$204&lt;&gt;"キャンセル")*($G$5:$G$204&lt;$J69)*($J$5:$J$204&gt;$G69))&gt;1,"⚠重複","")))))</f>
        <v/>
      </c>
      <c r="W69" s="8">
        <f>IF(OR($B69="",$G69=""),"",IF(SUMPRODUCT(('利用者マスタ'!$A$4:$A$60=$B69)*('利用者マスタ'!$B$4:$B$60&lt;&gt;""))=0,"",IF(SUMIFS($X$5:$X$204,$B$5:$B$204,$B69,$G$5:$G$204,"&gt;="&amp;DATE(YEAR($G69),MONTH($G69),1),$G$5:$G$204,"&lt;="&amp;EOMONTH($G69,0))&gt;SUMIFS('利用者マスタ'!$B$4:$B$60,'利用者マスタ'!$A$4:$A$60,$B69),"⚠支給量超過","")))</f>
        <v/>
      </c>
      <c r="X69" s="8">
        <f>IF(OR($G69="",$J69="",$N69="キャンセル"),0,IF(IFERROR(INDEX('M_区分'!$B$4:$B$20,MATCH($C69,'M_区分'!$A$4:$A$20,0)),"○")="○",$J69-$G69+1,0))</f>
        <v/>
      </c>
      <c r="Y69" s="8">
        <f>IF($E69&lt;&gt;"",$E69,$Y68)</f>
        <v/>
      </c>
      <c r="Z69" s="8">
        <f>IF(OR($G69="",$J69=""),"",IF(AND($G69&lt;=EOMONTH('02_カレンダー'!$B$4,0),$J69&gt;='02_カレンダー'!$B$4),$G69*10000+ROW(),""))</f>
        <v/>
      </c>
      <c r="AA69" s="8">
        <f>IF($H69="","",IF(ISNUMBER($H69),IF(AND($H69=INT($H69),$H69&gt;=0,$H69&lt;=24),TEXT(INT($H69),"00")&amp;":00",TEXT($H69,"hh:mm")),$H69))</f>
        <v/>
      </c>
      <c r="AB69" s="8">
        <f>IF($K69="","",IF(ISNUMBER($K69),IF(AND($K69=INT($K69),$K69&gt;=0,$K69&lt;=24),TEXT(INT($K69),"00")&amp;":00",TEXT($K69,"hh:mm")),$K69))</f>
        <v/>
      </c>
      <c r="AC69" s="8">
        <f>IF($G69="",0,$G69)</f>
        <v/>
      </c>
      <c r="AD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IF($F70="","",IF($F70&gt;31,$F70,IF($Y70="","",DATE(YEAR($Y70),MONTH($Y70),$F70))))</f>
        <v/>
      </c>
      <c r="H70" s="9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9" t="n"/>
      <c r="L70" s="8">
        <f>IF(OR($G70="",$J70=""),"",$J70-$G70+1)</f>
        <v/>
      </c>
      <c r="M70" s="8">
        <f>IF(OR($G70="",$J70=""),"",$J70-$G70)</f>
        <v/>
      </c>
      <c r="N70" s="9" t="n"/>
      <c r="O70" s="9" t="n"/>
      <c r="P70" s="9" t="n"/>
      <c r="Q70" s="9" t="n"/>
      <c r="R70" s="9" t="n"/>
      <c r="S70" s="9" t="n"/>
      <c r="T70" s="13" t="n"/>
      <c r="U70" s="9" t="n"/>
      <c r="V70" s="8">
        <f>IF($G70="","",IF($D70="","⚠部屋が未選択",IF(COUNTIF('M_部屋'!$A$4:$A$20,$D70)=0,"⚠部屋が未登録",IF(OR($J70="",$N70="キャンセル"),"",IF(SUMPRODUCT(($D$5:$D$204=$D70)*($G$5:$G$204&lt;&gt;"")*($J$5:$J$204&lt;&gt;"")*($N$5:$N$204&lt;&gt;"キャンセル")*($G$5:$G$204&lt;$J70)*($J$5:$J$204&gt;$G70))&gt;1,"⚠重複","")))))</f>
        <v/>
      </c>
      <c r="W70" s="8">
        <f>IF(OR($B70="",$G70=""),"",IF(SUMPRODUCT(('利用者マスタ'!$A$4:$A$60=$B70)*('利用者マスタ'!$B$4:$B$60&lt;&gt;""))=0,"",IF(SUMIFS($X$5:$X$204,$B$5:$B$204,$B70,$G$5:$G$204,"&gt;="&amp;DATE(YEAR($G70),MONTH($G70),1),$G$5:$G$204,"&lt;="&amp;EOMONTH($G70,0))&gt;SUMIFS('利用者マスタ'!$B$4:$B$60,'利用者マスタ'!$A$4:$A$60,$B70),"⚠支給量超過","")))</f>
        <v/>
      </c>
      <c r="X70" s="8">
        <f>IF(OR($G70="",$J70="",$N70="キャンセル"),0,IF(IFERROR(INDEX('M_区分'!$B$4:$B$20,MATCH($C70,'M_区分'!$A$4:$A$20,0)),"○")="○",$J70-$G70+1,0))</f>
        <v/>
      </c>
      <c r="Y70" s="8">
        <f>IF($E70&lt;&gt;"",$E70,$Y69)</f>
        <v/>
      </c>
      <c r="Z70" s="8">
        <f>IF(OR($G70="",$J70=""),"",IF(AND($G70&lt;=EOMONTH('02_カレンダー'!$B$4,0),$J70&gt;='02_カレンダー'!$B$4),$G70*10000+ROW(),""))</f>
        <v/>
      </c>
      <c r="AA70" s="8">
        <f>IF($H70="","",IF(ISNUMBER($H70),IF(AND($H70=INT($H70),$H70&gt;=0,$H70&lt;=24),TEXT(INT($H70),"00")&amp;":00",TEXT($H70,"hh:mm")),$H70))</f>
        <v/>
      </c>
      <c r="AB70" s="8">
        <f>IF($K70="","",IF(ISNUMBER($K70),IF(AND($K70=INT($K70),$K70&gt;=0,$K70&lt;=24),TEXT(INT($K70),"00")&amp;":00",TEXT($K70,"hh:mm")),$K70))</f>
        <v/>
      </c>
      <c r="AC70" s="8">
        <f>IF($G70="",0,$G70)</f>
        <v/>
      </c>
      <c r="AD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IF($F71="","",IF($F71&gt;31,$F71,IF($Y71="","",DATE(YEAR($Y71),MONTH($Y71),$F71))))</f>
        <v/>
      </c>
      <c r="H71" s="9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9" t="n"/>
      <c r="L71" s="8">
        <f>IF(OR($G71="",$J71=""),"",$J71-$G71+1)</f>
        <v/>
      </c>
      <c r="M71" s="8">
        <f>IF(OR($G71="",$J71=""),"",$J71-$G71)</f>
        <v/>
      </c>
      <c r="N71" s="9" t="n"/>
      <c r="O71" s="9" t="n"/>
      <c r="P71" s="9" t="n"/>
      <c r="Q71" s="9" t="n"/>
      <c r="R71" s="9" t="n"/>
      <c r="S71" s="9" t="n"/>
      <c r="T71" s="13" t="n"/>
      <c r="U71" s="9" t="n"/>
      <c r="V71" s="8">
        <f>IF($G71="","",IF($D71="","⚠部屋が未選択",IF(COUNTIF('M_部屋'!$A$4:$A$20,$D71)=0,"⚠部屋が未登録",IF(OR($J71="",$N71="キャンセル"),"",IF(SUMPRODUCT(($D$5:$D$204=$D71)*($G$5:$G$204&lt;&gt;"")*($J$5:$J$204&lt;&gt;"")*($N$5:$N$204&lt;&gt;"キャンセル")*($G$5:$G$204&lt;$J71)*($J$5:$J$204&gt;$G71))&gt;1,"⚠重複","")))))</f>
        <v/>
      </c>
      <c r="W71" s="8">
        <f>IF(OR($B71="",$G71=""),"",IF(SUMPRODUCT(('利用者マスタ'!$A$4:$A$60=$B71)*('利用者マスタ'!$B$4:$B$60&lt;&gt;""))=0,"",IF(SUMIFS($X$5:$X$204,$B$5:$B$204,$B71,$G$5:$G$204,"&gt;="&amp;DATE(YEAR($G71),MONTH($G71),1),$G$5:$G$204,"&lt;="&amp;EOMONTH($G71,0))&gt;SUMIFS('利用者マスタ'!$B$4:$B$60,'利用者マスタ'!$A$4:$A$60,$B71),"⚠支給量超過","")))</f>
        <v/>
      </c>
      <c r="X71" s="8">
        <f>IF(OR($G71="",$J71="",$N71="キャンセル"),0,IF(IFERROR(INDEX('M_区分'!$B$4:$B$20,MATCH($C71,'M_区分'!$A$4:$A$20,0)),"○")="○",$J71-$G71+1,0))</f>
        <v/>
      </c>
      <c r="Y71" s="8">
        <f>IF($E71&lt;&gt;"",$E71,$Y70)</f>
        <v/>
      </c>
      <c r="Z71" s="8">
        <f>IF(OR($G71="",$J71=""),"",IF(AND($G71&lt;=EOMONTH('02_カレンダー'!$B$4,0),$J71&gt;='02_カレンダー'!$B$4),$G71*10000+ROW(),""))</f>
        <v/>
      </c>
      <c r="AA71" s="8">
        <f>IF($H71="","",IF(ISNUMBER($H71),IF(AND($H71=INT($H71),$H71&gt;=0,$H71&lt;=24),TEXT(INT($H71),"00")&amp;":00",TEXT($H71,"hh:mm")),$H71))</f>
        <v/>
      </c>
      <c r="AB71" s="8">
        <f>IF($K71="","",IF(ISNUMBER($K71),IF(AND($K71=INT($K71),$K71&gt;=0,$K71&lt;=24),TEXT(INT($K71),"00")&amp;":00",TEXT($K71,"hh:mm")),$K71))</f>
        <v/>
      </c>
      <c r="AC71" s="8">
        <f>IF($G71="",0,$G71)</f>
        <v/>
      </c>
      <c r="AD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IF($F72="","",IF($F72&gt;31,$F72,IF($Y72="","",DATE(YEAR($Y72),MONTH($Y72),$F72))))</f>
        <v/>
      </c>
      <c r="H72" s="9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9" t="n"/>
      <c r="L72" s="8">
        <f>IF(OR($G72="",$J72=""),"",$J72-$G72+1)</f>
        <v/>
      </c>
      <c r="M72" s="8">
        <f>IF(OR($G72="",$J72=""),"",$J72-$G72)</f>
        <v/>
      </c>
      <c r="N72" s="9" t="n"/>
      <c r="O72" s="9" t="n"/>
      <c r="P72" s="9" t="n"/>
      <c r="Q72" s="9" t="n"/>
      <c r="R72" s="9" t="n"/>
      <c r="S72" s="9" t="n"/>
      <c r="T72" s="13" t="n"/>
      <c r="U72" s="9" t="n"/>
      <c r="V72" s="8">
        <f>IF($G72="","",IF($D72="","⚠部屋が未選択",IF(COUNTIF('M_部屋'!$A$4:$A$20,$D72)=0,"⚠部屋が未登録",IF(OR($J72="",$N72="キャンセル"),"",IF(SUMPRODUCT(($D$5:$D$204=$D72)*($G$5:$G$204&lt;&gt;"")*($J$5:$J$204&lt;&gt;"")*($N$5:$N$204&lt;&gt;"キャンセル")*($G$5:$G$204&lt;$J72)*($J$5:$J$204&gt;$G72))&gt;1,"⚠重複","")))))</f>
        <v/>
      </c>
      <c r="W72" s="8">
        <f>IF(OR($B72="",$G72=""),"",IF(SUMPRODUCT(('利用者マスタ'!$A$4:$A$60=$B72)*('利用者マスタ'!$B$4:$B$60&lt;&gt;""))=0,"",IF(SUMIFS($X$5:$X$204,$B$5:$B$204,$B72,$G$5:$G$204,"&gt;="&amp;DATE(YEAR($G72),MONTH($G72),1),$G$5:$G$204,"&lt;="&amp;EOMONTH($G72,0))&gt;SUMIFS('利用者マスタ'!$B$4:$B$60,'利用者マスタ'!$A$4:$A$60,$B72),"⚠支給量超過","")))</f>
        <v/>
      </c>
      <c r="X72" s="8">
        <f>IF(OR($G72="",$J72="",$N72="キャンセル"),0,IF(IFERROR(INDEX('M_区分'!$B$4:$B$20,MATCH($C72,'M_区分'!$A$4:$A$20,0)),"○")="○",$J72-$G72+1,0))</f>
        <v/>
      </c>
      <c r="Y72" s="8">
        <f>IF($E72&lt;&gt;"",$E72,$Y71)</f>
        <v/>
      </c>
      <c r="Z72" s="8">
        <f>IF(OR($G72="",$J72=""),"",IF(AND($G72&lt;=EOMONTH('02_カレンダー'!$B$4,0),$J72&gt;='02_カレンダー'!$B$4),$G72*10000+ROW(),""))</f>
        <v/>
      </c>
      <c r="AA72" s="8">
        <f>IF($H72="","",IF(ISNUMBER($H72),IF(AND($H72=INT($H72),$H72&gt;=0,$H72&lt;=24),TEXT(INT($H72),"00")&amp;":00",TEXT($H72,"hh:mm")),$H72))</f>
        <v/>
      </c>
      <c r="AB72" s="8">
        <f>IF($K72="","",IF(ISNUMBER($K72),IF(AND($K72=INT($K72),$K72&gt;=0,$K72&lt;=24),TEXT(INT($K72),"00")&amp;":00",TEXT($K72,"hh:mm")),$K72))</f>
        <v/>
      </c>
      <c r="AC72" s="8">
        <f>IF($G72="",0,$G72)</f>
        <v/>
      </c>
      <c r="AD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IF($F73="","",IF($F73&gt;31,$F73,IF($Y73="","",DATE(YEAR($Y73),MONTH($Y73),$F73))))</f>
        <v/>
      </c>
      <c r="H73" s="9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9" t="n"/>
      <c r="L73" s="8">
        <f>IF(OR($G73="",$J73=""),"",$J73-$G73+1)</f>
        <v/>
      </c>
      <c r="M73" s="8">
        <f>IF(OR($G73="",$J73=""),"",$J73-$G73)</f>
        <v/>
      </c>
      <c r="N73" s="9" t="n"/>
      <c r="O73" s="9" t="n"/>
      <c r="P73" s="9" t="n"/>
      <c r="Q73" s="9" t="n"/>
      <c r="R73" s="9" t="n"/>
      <c r="S73" s="9" t="n"/>
      <c r="T73" s="13" t="n"/>
      <c r="U73" s="9" t="n"/>
      <c r="V73" s="8">
        <f>IF($G73="","",IF($D73="","⚠部屋が未選択",IF(COUNTIF('M_部屋'!$A$4:$A$20,$D73)=0,"⚠部屋が未登録",IF(OR($J73="",$N73="キャンセル"),"",IF(SUMPRODUCT(($D$5:$D$204=$D73)*($G$5:$G$204&lt;&gt;"")*($J$5:$J$204&lt;&gt;"")*($N$5:$N$204&lt;&gt;"キャンセル")*($G$5:$G$204&lt;$J73)*($J$5:$J$204&gt;$G73))&gt;1,"⚠重複","")))))</f>
        <v/>
      </c>
      <c r="W73" s="8">
        <f>IF(OR($B73="",$G73=""),"",IF(SUMPRODUCT(('利用者マスタ'!$A$4:$A$60=$B73)*('利用者マスタ'!$B$4:$B$60&lt;&gt;""))=0,"",IF(SUMIFS($X$5:$X$204,$B$5:$B$204,$B73,$G$5:$G$204,"&gt;="&amp;DATE(YEAR($G73),MONTH($G73),1),$G$5:$G$204,"&lt;="&amp;EOMONTH($G73,0))&gt;SUMIFS('利用者マスタ'!$B$4:$B$60,'利用者マスタ'!$A$4:$A$60,$B73),"⚠支給量超過","")))</f>
        <v/>
      </c>
      <c r="X73" s="8">
        <f>IF(OR($G73="",$J73="",$N73="キャンセル"),0,IF(IFERROR(INDEX('M_区分'!$B$4:$B$20,MATCH($C73,'M_区分'!$A$4:$A$20,0)),"○")="○",$J73-$G73+1,0))</f>
        <v/>
      </c>
      <c r="Y73" s="8">
        <f>IF($E73&lt;&gt;"",$E73,$Y72)</f>
        <v/>
      </c>
      <c r="Z73" s="8">
        <f>IF(OR($G73="",$J73=""),"",IF(AND($G73&lt;=EOMONTH('02_カレンダー'!$B$4,0),$J73&gt;='02_カレンダー'!$B$4),$G73*10000+ROW(),""))</f>
        <v/>
      </c>
      <c r="AA73" s="8">
        <f>IF($H73="","",IF(ISNUMBER($H73),IF(AND($H73=INT($H73),$H73&gt;=0,$H73&lt;=24),TEXT(INT($H73),"00")&amp;":00",TEXT($H73,"hh:mm")),$H73))</f>
        <v/>
      </c>
      <c r="AB73" s="8">
        <f>IF($K73="","",IF(ISNUMBER($K73),IF(AND($K73=INT($K73),$K73&gt;=0,$K73&lt;=24),TEXT(INT($K73),"00")&amp;":00",TEXT($K73,"hh:mm")),$K73))</f>
        <v/>
      </c>
      <c r="AC73" s="8">
        <f>IF($G73="",0,$G73)</f>
        <v/>
      </c>
      <c r="AD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IF($F74="","",IF($F74&gt;31,$F74,IF($Y74="","",DATE(YEAR($Y74),MONTH($Y74),$F74))))</f>
        <v/>
      </c>
      <c r="H74" s="9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9" t="n"/>
      <c r="L74" s="8">
        <f>IF(OR($G74="",$J74=""),"",$J74-$G74+1)</f>
        <v/>
      </c>
      <c r="M74" s="8">
        <f>IF(OR($G74="",$J74=""),"",$J74-$G74)</f>
        <v/>
      </c>
      <c r="N74" s="9" t="n"/>
      <c r="O74" s="9" t="n"/>
      <c r="P74" s="9" t="n"/>
      <c r="Q74" s="9" t="n"/>
      <c r="R74" s="9" t="n"/>
      <c r="S74" s="9" t="n"/>
      <c r="T74" s="13" t="n"/>
      <c r="U74" s="9" t="n"/>
      <c r="V74" s="8">
        <f>IF($G74="","",IF($D74="","⚠部屋が未選択",IF(COUNTIF('M_部屋'!$A$4:$A$20,$D74)=0,"⚠部屋が未登録",IF(OR($J74="",$N74="キャンセル"),"",IF(SUMPRODUCT(($D$5:$D$204=$D74)*($G$5:$G$204&lt;&gt;"")*($J$5:$J$204&lt;&gt;"")*($N$5:$N$204&lt;&gt;"キャンセル")*($G$5:$G$204&lt;$J74)*($J$5:$J$204&gt;$G74))&gt;1,"⚠重複","")))))</f>
        <v/>
      </c>
      <c r="W74" s="8">
        <f>IF(OR($B74="",$G74=""),"",IF(SUMPRODUCT(('利用者マスタ'!$A$4:$A$60=$B74)*('利用者マスタ'!$B$4:$B$60&lt;&gt;""))=0,"",IF(SUMIFS($X$5:$X$204,$B$5:$B$204,$B74,$G$5:$G$204,"&gt;="&amp;DATE(YEAR($G74),MONTH($G74),1),$G$5:$G$204,"&lt;="&amp;EOMONTH($G74,0))&gt;SUMIFS('利用者マスタ'!$B$4:$B$60,'利用者マスタ'!$A$4:$A$60,$B74),"⚠支給量超過","")))</f>
        <v/>
      </c>
      <c r="X74" s="8">
        <f>IF(OR($G74="",$J74="",$N74="キャンセル"),0,IF(IFERROR(INDEX('M_区分'!$B$4:$B$20,MATCH($C74,'M_区分'!$A$4:$A$20,0)),"○")="○",$J74-$G74+1,0))</f>
        <v/>
      </c>
      <c r="Y74" s="8">
        <f>IF($E74&lt;&gt;"",$E74,$Y73)</f>
        <v/>
      </c>
      <c r="Z74" s="8">
        <f>IF(OR($G74="",$J74=""),"",IF(AND($G74&lt;=EOMONTH('02_カレンダー'!$B$4,0),$J74&gt;='02_カレンダー'!$B$4),$G74*10000+ROW(),""))</f>
        <v/>
      </c>
      <c r="AA74" s="8">
        <f>IF($H74="","",IF(ISNUMBER($H74),IF(AND($H74=INT($H74),$H74&gt;=0,$H74&lt;=24),TEXT(INT($H74),"00")&amp;":00",TEXT($H74,"hh:mm")),$H74))</f>
        <v/>
      </c>
      <c r="AB74" s="8">
        <f>IF($K74="","",IF(ISNUMBER($K74),IF(AND($K74=INT($K74),$K74&gt;=0,$K74&lt;=24),TEXT(INT($K74),"00")&amp;":00",TEXT($K74,"hh:mm")),$K74))</f>
        <v/>
      </c>
      <c r="AC74" s="8">
        <f>IF($G74="",0,$G74)</f>
        <v/>
      </c>
      <c r="AD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IF($F75="","",IF($F75&gt;31,$F75,IF($Y75="","",DATE(YEAR($Y75),MONTH($Y75),$F75))))</f>
        <v/>
      </c>
      <c r="H75" s="9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9" t="n"/>
      <c r="L75" s="8">
        <f>IF(OR($G75="",$J75=""),"",$J75-$G75+1)</f>
        <v/>
      </c>
      <c r="M75" s="8">
        <f>IF(OR($G75="",$J75=""),"",$J75-$G75)</f>
        <v/>
      </c>
      <c r="N75" s="9" t="n"/>
      <c r="O75" s="9" t="n"/>
      <c r="P75" s="9" t="n"/>
      <c r="Q75" s="9" t="n"/>
      <c r="R75" s="9" t="n"/>
      <c r="S75" s="9" t="n"/>
      <c r="T75" s="13" t="n"/>
      <c r="U75" s="9" t="n"/>
      <c r="V75" s="8">
        <f>IF($G75="","",IF($D75="","⚠部屋が未選択",IF(COUNTIF('M_部屋'!$A$4:$A$20,$D75)=0,"⚠部屋が未登録",IF(OR($J75="",$N75="キャンセル"),"",IF(SUMPRODUCT(($D$5:$D$204=$D75)*($G$5:$G$204&lt;&gt;"")*($J$5:$J$204&lt;&gt;"")*($N$5:$N$204&lt;&gt;"キャンセル")*($G$5:$G$204&lt;$J75)*($J$5:$J$204&gt;$G75))&gt;1,"⚠重複","")))))</f>
        <v/>
      </c>
      <c r="W75" s="8">
        <f>IF(OR($B75="",$G75=""),"",IF(SUMPRODUCT(('利用者マスタ'!$A$4:$A$60=$B75)*('利用者マスタ'!$B$4:$B$60&lt;&gt;""))=0,"",IF(SUMIFS($X$5:$X$204,$B$5:$B$204,$B75,$G$5:$G$204,"&gt;="&amp;DATE(YEAR($G75),MONTH($G75),1),$G$5:$G$204,"&lt;="&amp;EOMONTH($G75,0))&gt;SUMIFS('利用者マスタ'!$B$4:$B$60,'利用者マスタ'!$A$4:$A$60,$B75),"⚠支給量超過","")))</f>
        <v/>
      </c>
      <c r="X75" s="8">
        <f>IF(OR($G75="",$J75="",$N75="キャンセル"),0,IF(IFERROR(INDEX('M_区分'!$B$4:$B$20,MATCH($C75,'M_区分'!$A$4:$A$20,0)),"○")="○",$J75-$G75+1,0))</f>
        <v/>
      </c>
      <c r="Y75" s="8">
        <f>IF($E75&lt;&gt;"",$E75,$Y74)</f>
        <v/>
      </c>
      <c r="Z75" s="8">
        <f>IF(OR($G75="",$J75=""),"",IF(AND($G75&lt;=EOMONTH('02_カレンダー'!$B$4,0),$J75&gt;='02_カレンダー'!$B$4),$G75*10000+ROW(),""))</f>
        <v/>
      </c>
      <c r="AA75" s="8">
        <f>IF($H75="","",IF(ISNUMBER($H75),IF(AND($H75=INT($H75),$H75&gt;=0,$H75&lt;=24),TEXT(INT($H75),"00")&amp;":00",TEXT($H75,"hh:mm")),$H75))</f>
        <v/>
      </c>
      <c r="AB75" s="8">
        <f>IF($K75="","",IF(ISNUMBER($K75),IF(AND($K75=INT($K75),$K75&gt;=0,$K75&lt;=24),TEXT(INT($K75),"00")&amp;":00",TEXT($K75,"hh:mm")),$K75))</f>
        <v/>
      </c>
      <c r="AC75" s="8">
        <f>IF($G75="",0,$G75)</f>
        <v/>
      </c>
      <c r="AD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IF($F76="","",IF($F76&gt;31,$F76,IF($Y76="","",DATE(YEAR($Y76),MONTH($Y76),$F76))))</f>
        <v/>
      </c>
      <c r="H76" s="9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9" t="n"/>
      <c r="L76" s="8">
        <f>IF(OR($G76="",$J76=""),"",$J76-$G76+1)</f>
        <v/>
      </c>
      <c r="M76" s="8">
        <f>IF(OR($G76="",$J76=""),"",$J76-$G76)</f>
        <v/>
      </c>
      <c r="N76" s="9" t="n"/>
      <c r="O76" s="9" t="n"/>
      <c r="P76" s="9" t="n"/>
      <c r="Q76" s="9" t="n"/>
      <c r="R76" s="9" t="n"/>
      <c r="S76" s="9" t="n"/>
      <c r="T76" s="13" t="n"/>
      <c r="U76" s="9" t="n"/>
      <c r="V76" s="8">
        <f>IF($G76="","",IF($D76="","⚠部屋が未選択",IF(COUNTIF('M_部屋'!$A$4:$A$20,$D76)=0,"⚠部屋が未登録",IF(OR($J76="",$N76="キャンセル"),"",IF(SUMPRODUCT(($D$5:$D$204=$D76)*($G$5:$G$204&lt;&gt;"")*($J$5:$J$204&lt;&gt;"")*($N$5:$N$204&lt;&gt;"キャンセル")*($G$5:$G$204&lt;$J76)*($J$5:$J$204&gt;$G76))&gt;1,"⚠重複","")))))</f>
        <v/>
      </c>
      <c r="W76" s="8">
        <f>IF(OR($B76="",$G76=""),"",IF(SUMPRODUCT(('利用者マスタ'!$A$4:$A$60=$B76)*('利用者マスタ'!$B$4:$B$60&lt;&gt;""))=0,"",IF(SUMIFS($X$5:$X$204,$B$5:$B$204,$B76,$G$5:$G$204,"&gt;="&amp;DATE(YEAR($G76),MONTH($G76),1),$G$5:$G$204,"&lt;="&amp;EOMONTH($G76,0))&gt;SUMIFS('利用者マスタ'!$B$4:$B$60,'利用者マスタ'!$A$4:$A$60,$B76),"⚠支給量超過","")))</f>
        <v/>
      </c>
      <c r="X76" s="8">
        <f>IF(OR($G76="",$J76="",$N76="キャンセル"),0,IF(IFERROR(INDEX('M_区分'!$B$4:$B$20,MATCH($C76,'M_区分'!$A$4:$A$20,0)),"○")="○",$J76-$G76+1,0))</f>
        <v/>
      </c>
      <c r="Y76" s="8">
        <f>IF($E76&lt;&gt;"",$E76,$Y75)</f>
        <v/>
      </c>
      <c r="Z76" s="8">
        <f>IF(OR($G76="",$J76=""),"",IF(AND($G76&lt;=EOMONTH('02_カレンダー'!$B$4,0),$J76&gt;='02_カレンダー'!$B$4),$G76*10000+ROW(),""))</f>
        <v/>
      </c>
      <c r="AA76" s="8">
        <f>IF($H76="","",IF(ISNUMBER($H76),IF(AND($H76=INT($H76),$H76&gt;=0,$H76&lt;=24),TEXT(INT($H76),"00")&amp;":00",TEXT($H76,"hh:mm")),$H76))</f>
        <v/>
      </c>
      <c r="AB76" s="8">
        <f>IF($K76="","",IF(ISNUMBER($K76),IF(AND($K76=INT($K76),$K76&gt;=0,$K76&lt;=24),TEXT(INT($K76),"00")&amp;":00",TEXT($K76,"hh:mm")),$K76))</f>
        <v/>
      </c>
      <c r="AC76" s="8">
        <f>IF($G76="",0,$G76)</f>
        <v/>
      </c>
      <c r="AD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IF($F77="","",IF($F77&gt;31,$F77,IF($Y77="","",DATE(YEAR($Y77),MONTH($Y77),$F77))))</f>
        <v/>
      </c>
      <c r="H77" s="9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9" t="n"/>
      <c r="L77" s="8">
        <f>IF(OR($G77="",$J77=""),"",$J77-$G77+1)</f>
        <v/>
      </c>
      <c r="M77" s="8">
        <f>IF(OR($G77="",$J77=""),"",$J77-$G77)</f>
        <v/>
      </c>
      <c r="N77" s="9" t="n"/>
      <c r="O77" s="9" t="n"/>
      <c r="P77" s="9" t="n"/>
      <c r="Q77" s="9" t="n"/>
      <c r="R77" s="9" t="n"/>
      <c r="S77" s="9" t="n"/>
      <c r="T77" s="13" t="n"/>
      <c r="U77" s="9" t="n"/>
      <c r="V77" s="8">
        <f>IF($G77="","",IF($D77="","⚠部屋が未選択",IF(COUNTIF('M_部屋'!$A$4:$A$20,$D77)=0,"⚠部屋が未登録",IF(OR($J77="",$N77="キャンセル"),"",IF(SUMPRODUCT(($D$5:$D$204=$D77)*($G$5:$G$204&lt;&gt;"")*($J$5:$J$204&lt;&gt;"")*($N$5:$N$204&lt;&gt;"キャンセル")*($G$5:$G$204&lt;$J77)*($J$5:$J$204&gt;$G77))&gt;1,"⚠重複","")))))</f>
        <v/>
      </c>
      <c r="W77" s="8">
        <f>IF(OR($B77="",$G77=""),"",IF(SUMPRODUCT(('利用者マスタ'!$A$4:$A$60=$B77)*('利用者マスタ'!$B$4:$B$60&lt;&gt;""))=0,"",IF(SUMIFS($X$5:$X$204,$B$5:$B$204,$B77,$G$5:$G$204,"&gt;="&amp;DATE(YEAR($G77),MONTH($G77),1),$G$5:$G$204,"&lt;="&amp;EOMONTH($G77,0))&gt;SUMIFS('利用者マスタ'!$B$4:$B$60,'利用者マスタ'!$A$4:$A$60,$B77),"⚠支給量超過","")))</f>
        <v/>
      </c>
      <c r="X77" s="8">
        <f>IF(OR($G77="",$J77="",$N77="キャンセル"),0,IF(IFERROR(INDEX('M_区分'!$B$4:$B$20,MATCH($C77,'M_区分'!$A$4:$A$20,0)),"○")="○",$J77-$G77+1,0))</f>
        <v/>
      </c>
      <c r="Y77" s="8">
        <f>IF($E77&lt;&gt;"",$E77,$Y76)</f>
        <v/>
      </c>
      <c r="Z77" s="8">
        <f>IF(OR($G77="",$J77=""),"",IF(AND($G77&lt;=EOMONTH('02_カレンダー'!$B$4,0),$J77&gt;='02_カレンダー'!$B$4),$G77*10000+ROW(),""))</f>
        <v/>
      </c>
      <c r="AA77" s="8">
        <f>IF($H77="","",IF(ISNUMBER($H77),IF(AND($H77=INT($H77),$H77&gt;=0,$H77&lt;=24),TEXT(INT($H77),"00")&amp;":00",TEXT($H77,"hh:mm")),$H77))</f>
        <v/>
      </c>
      <c r="AB77" s="8">
        <f>IF($K77="","",IF(ISNUMBER($K77),IF(AND($K77=INT($K77),$K77&gt;=0,$K77&lt;=24),TEXT(INT($K77),"00")&amp;":00",TEXT($K77,"hh:mm")),$K77))</f>
        <v/>
      </c>
      <c r="AC77" s="8">
        <f>IF($G77="",0,$G77)</f>
        <v/>
      </c>
      <c r="AD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IF($F78="","",IF($F78&gt;31,$F78,IF($Y78="","",DATE(YEAR($Y78),MONTH($Y78),$F78))))</f>
        <v/>
      </c>
      <c r="H78" s="9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9" t="n"/>
      <c r="L78" s="8">
        <f>IF(OR($G78="",$J78=""),"",$J78-$G78+1)</f>
        <v/>
      </c>
      <c r="M78" s="8">
        <f>IF(OR($G78="",$J78=""),"",$J78-$G78)</f>
        <v/>
      </c>
      <c r="N78" s="9" t="n"/>
      <c r="O78" s="9" t="n"/>
      <c r="P78" s="9" t="n"/>
      <c r="Q78" s="9" t="n"/>
      <c r="R78" s="9" t="n"/>
      <c r="S78" s="9" t="n"/>
      <c r="T78" s="13" t="n"/>
      <c r="U78" s="9" t="n"/>
      <c r="V78" s="8">
        <f>IF($G78="","",IF($D78="","⚠部屋が未選択",IF(COUNTIF('M_部屋'!$A$4:$A$20,$D78)=0,"⚠部屋が未登録",IF(OR($J78="",$N78="キャンセル"),"",IF(SUMPRODUCT(($D$5:$D$204=$D78)*($G$5:$G$204&lt;&gt;"")*($J$5:$J$204&lt;&gt;"")*($N$5:$N$204&lt;&gt;"キャンセル")*($G$5:$G$204&lt;$J78)*($J$5:$J$204&gt;$G78))&gt;1,"⚠重複","")))))</f>
        <v/>
      </c>
      <c r="W78" s="8">
        <f>IF(OR($B78="",$G78=""),"",IF(SUMPRODUCT(('利用者マスタ'!$A$4:$A$60=$B78)*('利用者マスタ'!$B$4:$B$60&lt;&gt;""))=0,"",IF(SUMIFS($X$5:$X$204,$B$5:$B$204,$B78,$G$5:$G$204,"&gt;="&amp;DATE(YEAR($G78),MONTH($G78),1),$G$5:$G$204,"&lt;="&amp;EOMONTH($G78,0))&gt;SUMIFS('利用者マスタ'!$B$4:$B$60,'利用者マスタ'!$A$4:$A$60,$B78),"⚠支給量超過","")))</f>
        <v/>
      </c>
      <c r="X78" s="8">
        <f>IF(OR($G78="",$J78="",$N78="キャンセル"),0,IF(IFERROR(INDEX('M_区分'!$B$4:$B$20,MATCH($C78,'M_区分'!$A$4:$A$20,0)),"○")="○",$J78-$G78+1,0))</f>
        <v/>
      </c>
      <c r="Y78" s="8">
        <f>IF($E78&lt;&gt;"",$E78,$Y77)</f>
        <v/>
      </c>
      <c r="Z78" s="8">
        <f>IF(OR($G78="",$J78=""),"",IF(AND($G78&lt;=EOMONTH('02_カレンダー'!$B$4,0),$J78&gt;='02_カレンダー'!$B$4),$G78*10000+ROW(),""))</f>
        <v/>
      </c>
      <c r="AA78" s="8">
        <f>IF($H78="","",IF(ISNUMBER($H78),IF(AND($H78=INT($H78),$H78&gt;=0,$H78&lt;=24),TEXT(INT($H78),"00")&amp;":00",TEXT($H78,"hh:mm")),$H78))</f>
        <v/>
      </c>
      <c r="AB78" s="8">
        <f>IF($K78="","",IF(ISNUMBER($K78),IF(AND($K78=INT($K78),$K78&gt;=0,$K78&lt;=24),TEXT(INT($K78),"00")&amp;":00",TEXT($K78,"hh:mm")),$K78))</f>
        <v/>
      </c>
      <c r="AC78" s="8">
        <f>IF($G78="",0,$G78)</f>
        <v/>
      </c>
      <c r="AD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IF($F79="","",IF($F79&gt;31,$F79,IF($Y79="","",DATE(YEAR($Y79),MONTH($Y79),$F79))))</f>
        <v/>
      </c>
      <c r="H79" s="9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9" t="n"/>
      <c r="L79" s="8">
        <f>IF(OR($G79="",$J79=""),"",$J79-$G79+1)</f>
        <v/>
      </c>
      <c r="M79" s="8">
        <f>IF(OR($G79="",$J79=""),"",$J79-$G79)</f>
        <v/>
      </c>
      <c r="N79" s="9" t="n"/>
      <c r="O79" s="9" t="n"/>
      <c r="P79" s="9" t="n"/>
      <c r="Q79" s="9" t="n"/>
      <c r="R79" s="9" t="n"/>
      <c r="S79" s="9" t="n"/>
      <c r="T79" s="13" t="n"/>
      <c r="U79" s="9" t="n"/>
      <c r="V79" s="8">
        <f>IF($G79="","",IF($D79="","⚠部屋が未選択",IF(COUNTIF('M_部屋'!$A$4:$A$20,$D79)=0,"⚠部屋が未登録",IF(OR($J79="",$N79="キャンセル"),"",IF(SUMPRODUCT(($D$5:$D$204=$D79)*($G$5:$G$204&lt;&gt;"")*($J$5:$J$204&lt;&gt;"")*($N$5:$N$204&lt;&gt;"キャンセル")*($G$5:$G$204&lt;$J79)*($J$5:$J$204&gt;$G79))&gt;1,"⚠重複","")))))</f>
        <v/>
      </c>
      <c r="W79" s="8">
        <f>IF(OR($B79="",$G79=""),"",IF(SUMPRODUCT(('利用者マスタ'!$A$4:$A$60=$B79)*('利用者マスタ'!$B$4:$B$60&lt;&gt;""))=0,"",IF(SUMIFS($X$5:$X$204,$B$5:$B$204,$B79,$G$5:$G$204,"&gt;="&amp;DATE(YEAR($G79),MONTH($G79),1),$G$5:$G$204,"&lt;="&amp;EOMONTH($G79,0))&gt;SUMIFS('利用者マスタ'!$B$4:$B$60,'利用者マスタ'!$A$4:$A$60,$B79),"⚠支給量超過","")))</f>
        <v/>
      </c>
      <c r="X79" s="8">
        <f>IF(OR($G79="",$J79="",$N79="キャンセル"),0,IF(IFERROR(INDEX('M_区分'!$B$4:$B$20,MATCH($C79,'M_区分'!$A$4:$A$20,0)),"○")="○",$J79-$G79+1,0))</f>
        <v/>
      </c>
      <c r="Y79" s="8">
        <f>IF($E79&lt;&gt;"",$E79,$Y78)</f>
        <v/>
      </c>
      <c r="Z79" s="8">
        <f>IF(OR($G79="",$J79=""),"",IF(AND($G79&lt;=EOMONTH('02_カレンダー'!$B$4,0),$J79&gt;='02_カレンダー'!$B$4),$G79*10000+ROW(),""))</f>
        <v/>
      </c>
      <c r="AA79" s="8">
        <f>IF($H79="","",IF(ISNUMBER($H79),IF(AND($H79=INT($H79),$H79&gt;=0,$H79&lt;=24),TEXT(INT($H79),"00")&amp;":00",TEXT($H79,"hh:mm")),$H79))</f>
        <v/>
      </c>
      <c r="AB79" s="8">
        <f>IF($K79="","",IF(ISNUMBER($K79),IF(AND($K79=INT($K79),$K79&gt;=0,$K79&lt;=24),TEXT(INT($K79),"00")&amp;":00",TEXT($K79,"hh:mm")),$K79))</f>
        <v/>
      </c>
      <c r="AC79" s="8">
        <f>IF($G79="",0,$G79)</f>
        <v/>
      </c>
      <c r="AD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IF($F80="","",IF($F80&gt;31,$F80,IF($Y80="","",DATE(YEAR($Y80),MONTH($Y80),$F80))))</f>
        <v/>
      </c>
      <c r="H80" s="9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9" t="n"/>
      <c r="L80" s="8">
        <f>IF(OR($G80="",$J80=""),"",$J80-$G80+1)</f>
        <v/>
      </c>
      <c r="M80" s="8">
        <f>IF(OR($G80="",$J80=""),"",$J80-$G80)</f>
        <v/>
      </c>
      <c r="N80" s="9" t="n"/>
      <c r="O80" s="9" t="n"/>
      <c r="P80" s="9" t="n"/>
      <c r="Q80" s="9" t="n"/>
      <c r="R80" s="9" t="n"/>
      <c r="S80" s="9" t="n"/>
      <c r="T80" s="13" t="n"/>
      <c r="U80" s="9" t="n"/>
      <c r="V80" s="8">
        <f>IF($G80="","",IF($D80="","⚠部屋が未選択",IF(COUNTIF('M_部屋'!$A$4:$A$20,$D80)=0,"⚠部屋が未登録",IF(OR($J80="",$N80="キャンセル"),"",IF(SUMPRODUCT(($D$5:$D$204=$D80)*($G$5:$G$204&lt;&gt;"")*($J$5:$J$204&lt;&gt;"")*($N$5:$N$204&lt;&gt;"キャンセル")*($G$5:$G$204&lt;$J80)*($J$5:$J$204&gt;$G80))&gt;1,"⚠重複","")))))</f>
        <v/>
      </c>
      <c r="W80" s="8">
        <f>IF(OR($B80="",$G80=""),"",IF(SUMPRODUCT(('利用者マスタ'!$A$4:$A$60=$B80)*('利用者マスタ'!$B$4:$B$60&lt;&gt;""))=0,"",IF(SUMIFS($X$5:$X$204,$B$5:$B$204,$B80,$G$5:$G$204,"&gt;="&amp;DATE(YEAR($G80),MONTH($G80),1),$G$5:$G$204,"&lt;="&amp;EOMONTH($G80,0))&gt;SUMIFS('利用者マスタ'!$B$4:$B$60,'利用者マスタ'!$A$4:$A$60,$B80),"⚠支給量超過","")))</f>
        <v/>
      </c>
      <c r="X80" s="8">
        <f>IF(OR($G80="",$J80="",$N80="キャンセル"),0,IF(IFERROR(INDEX('M_区分'!$B$4:$B$20,MATCH($C80,'M_区分'!$A$4:$A$20,0)),"○")="○",$J80-$G80+1,0))</f>
        <v/>
      </c>
      <c r="Y80" s="8">
        <f>IF($E80&lt;&gt;"",$E80,$Y79)</f>
        <v/>
      </c>
      <c r="Z80" s="8">
        <f>IF(OR($G80="",$J80=""),"",IF(AND($G80&lt;=EOMONTH('02_カレンダー'!$B$4,0),$J80&gt;='02_カレンダー'!$B$4),$G80*10000+ROW(),""))</f>
        <v/>
      </c>
      <c r="AA80" s="8">
        <f>IF($H80="","",IF(ISNUMBER($H80),IF(AND($H80=INT($H80),$H80&gt;=0,$H80&lt;=24),TEXT(INT($H80),"00")&amp;":00",TEXT($H80,"hh:mm")),$H80))</f>
        <v/>
      </c>
      <c r="AB80" s="8">
        <f>IF($K80="","",IF(ISNUMBER($K80),IF(AND($K80=INT($K80),$K80&gt;=0,$K80&lt;=24),TEXT(INT($K80),"00")&amp;":00",TEXT($K80,"hh:mm")),$K80))</f>
        <v/>
      </c>
      <c r="AC80" s="8">
        <f>IF($G80="",0,$G80)</f>
        <v/>
      </c>
      <c r="AD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IF($F81="","",IF($F81&gt;31,$F81,IF($Y81="","",DATE(YEAR($Y81),MONTH($Y81),$F81))))</f>
        <v/>
      </c>
      <c r="H81" s="9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9" t="n"/>
      <c r="L81" s="8">
        <f>IF(OR($G81="",$J81=""),"",$J81-$G81+1)</f>
        <v/>
      </c>
      <c r="M81" s="8">
        <f>IF(OR($G81="",$J81=""),"",$J81-$G81)</f>
        <v/>
      </c>
      <c r="N81" s="9" t="n"/>
      <c r="O81" s="9" t="n"/>
      <c r="P81" s="9" t="n"/>
      <c r="Q81" s="9" t="n"/>
      <c r="R81" s="9" t="n"/>
      <c r="S81" s="9" t="n"/>
      <c r="T81" s="13" t="n"/>
      <c r="U81" s="9" t="n"/>
      <c r="V81" s="8">
        <f>IF($G81="","",IF($D81="","⚠部屋が未選択",IF(COUNTIF('M_部屋'!$A$4:$A$20,$D81)=0,"⚠部屋が未登録",IF(OR($J81="",$N81="キャンセル"),"",IF(SUMPRODUCT(($D$5:$D$204=$D81)*($G$5:$G$204&lt;&gt;"")*($J$5:$J$204&lt;&gt;"")*($N$5:$N$204&lt;&gt;"キャンセル")*($G$5:$G$204&lt;$J81)*($J$5:$J$204&gt;$G81))&gt;1,"⚠重複","")))))</f>
        <v/>
      </c>
      <c r="W81" s="8">
        <f>IF(OR($B81="",$G81=""),"",IF(SUMPRODUCT(('利用者マスタ'!$A$4:$A$60=$B81)*('利用者マスタ'!$B$4:$B$60&lt;&gt;""))=0,"",IF(SUMIFS($X$5:$X$204,$B$5:$B$204,$B81,$G$5:$G$204,"&gt;="&amp;DATE(YEAR($G81),MONTH($G81),1),$G$5:$G$204,"&lt;="&amp;EOMONTH($G81,0))&gt;SUMIFS('利用者マスタ'!$B$4:$B$60,'利用者マスタ'!$A$4:$A$60,$B81),"⚠支給量超過","")))</f>
        <v/>
      </c>
      <c r="X81" s="8">
        <f>IF(OR($G81="",$J81="",$N81="キャンセル"),0,IF(IFERROR(INDEX('M_区分'!$B$4:$B$20,MATCH($C81,'M_区分'!$A$4:$A$20,0)),"○")="○",$J81-$G81+1,0))</f>
        <v/>
      </c>
      <c r="Y81" s="8">
        <f>IF($E81&lt;&gt;"",$E81,$Y80)</f>
        <v/>
      </c>
      <c r="Z81" s="8">
        <f>IF(OR($G81="",$J81=""),"",IF(AND($G81&lt;=EOMONTH('02_カレンダー'!$B$4,0),$J81&gt;='02_カレンダー'!$B$4),$G81*10000+ROW(),""))</f>
        <v/>
      </c>
      <c r="AA81" s="8">
        <f>IF($H81="","",IF(ISNUMBER($H81),IF(AND($H81=INT($H81),$H81&gt;=0,$H81&lt;=24),TEXT(INT($H81),"00")&amp;":00",TEXT($H81,"hh:mm")),$H81))</f>
        <v/>
      </c>
      <c r="AB81" s="8">
        <f>IF($K81="","",IF(ISNUMBER($K81),IF(AND($K81=INT($K81),$K81&gt;=0,$K81&lt;=24),TEXT(INT($K81),"00")&amp;":00",TEXT($K81,"hh:mm")),$K81))</f>
        <v/>
      </c>
      <c r="AC81" s="8">
        <f>IF($G81="",0,$G81)</f>
        <v/>
      </c>
      <c r="AD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IF($F82="","",IF($F82&gt;31,$F82,IF($Y82="","",DATE(YEAR($Y82),MONTH($Y82),$F82))))</f>
        <v/>
      </c>
      <c r="H82" s="9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9" t="n"/>
      <c r="L82" s="8">
        <f>IF(OR($G82="",$J82=""),"",$J82-$G82+1)</f>
        <v/>
      </c>
      <c r="M82" s="8">
        <f>IF(OR($G82="",$J82=""),"",$J82-$G82)</f>
        <v/>
      </c>
      <c r="N82" s="9" t="n"/>
      <c r="O82" s="9" t="n"/>
      <c r="P82" s="9" t="n"/>
      <c r="Q82" s="9" t="n"/>
      <c r="R82" s="9" t="n"/>
      <c r="S82" s="9" t="n"/>
      <c r="T82" s="13" t="n"/>
      <c r="U82" s="9" t="n"/>
      <c r="V82" s="8">
        <f>IF($G82="","",IF($D82="","⚠部屋が未選択",IF(COUNTIF('M_部屋'!$A$4:$A$20,$D82)=0,"⚠部屋が未登録",IF(OR($J82="",$N82="キャンセル"),"",IF(SUMPRODUCT(($D$5:$D$204=$D82)*($G$5:$G$204&lt;&gt;"")*($J$5:$J$204&lt;&gt;"")*($N$5:$N$204&lt;&gt;"キャンセル")*($G$5:$G$204&lt;$J82)*($J$5:$J$204&gt;$G82))&gt;1,"⚠重複","")))))</f>
        <v/>
      </c>
      <c r="W82" s="8">
        <f>IF(OR($B82="",$G82=""),"",IF(SUMPRODUCT(('利用者マスタ'!$A$4:$A$60=$B82)*('利用者マスタ'!$B$4:$B$60&lt;&gt;""))=0,"",IF(SUMIFS($X$5:$X$204,$B$5:$B$204,$B82,$G$5:$G$204,"&gt;="&amp;DATE(YEAR($G82),MONTH($G82),1),$G$5:$G$204,"&lt;="&amp;EOMONTH($G82,0))&gt;SUMIFS('利用者マスタ'!$B$4:$B$60,'利用者マスタ'!$A$4:$A$60,$B82),"⚠支給量超過","")))</f>
        <v/>
      </c>
      <c r="X82" s="8">
        <f>IF(OR($G82="",$J82="",$N82="キャンセル"),0,IF(IFERROR(INDEX('M_区分'!$B$4:$B$20,MATCH($C82,'M_区分'!$A$4:$A$20,0)),"○")="○",$J82-$G82+1,0))</f>
        <v/>
      </c>
      <c r="Y82" s="8">
        <f>IF($E82&lt;&gt;"",$E82,$Y81)</f>
        <v/>
      </c>
      <c r="Z82" s="8">
        <f>IF(OR($G82="",$J82=""),"",IF(AND($G82&lt;=EOMONTH('02_カレンダー'!$B$4,0),$J82&gt;='02_カレンダー'!$B$4),$G82*10000+ROW(),""))</f>
        <v/>
      </c>
      <c r="AA82" s="8">
        <f>IF($H82="","",IF(ISNUMBER($H82),IF(AND($H82=INT($H82),$H82&gt;=0,$H82&lt;=24),TEXT(INT($H82),"00")&amp;":00",TEXT($H82,"hh:mm")),$H82))</f>
        <v/>
      </c>
      <c r="AB82" s="8">
        <f>IF($K82="","",IF(ISNUMBER($K82),IF(AND($K82=INT($K82),$K82&gt;=0,$K82&lt;=24),TEXT(INT($K82),"00")&amp;":00",TEXT($K82,"hh:mm")),$K82))</f>
        <v/>
      </c>
      <c r="AC82" s="8">
        <f>IF($G82="",0,$G82)</f>
        <v/>
      </c>
      <c r="AD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IF($F83="","",IF($F83&gt;31,$F83,IF($Y83="","",DATE(YEAR($Y83),MONTH($Y83),$F83))))</f>
        <v/>
      </c>
      <c r="H83" s="9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9" t="n"/>
      <c r="L83" s="8">
        <f>IF(OR($G83="",$J83=""),"",$J83-$G83+1)</f>
        <v/>
      </c>
      <c r="M83" s="8">
        <f>IF(OR($G83="",$J83=""),"",$J83-$G83)</f>
        <v/>
      </c>
      <c r="N83" s="9" t="n"/>
      <c r="O83" s="9" t="n"/>
      <c r="P83" s="9" t="n"/>
      <c r="Q83" s="9" t="n"/>
      <c r="R83" s="9" t="n"/>
      <c r="S83" s="9" t="n"/>
      <c r="T83" s="13" t="n"/>
      <c r="U83" s="9" t="n"/>
      <c r="V83" s="8">
        <f>IF($G83="","",IF($D83="","⚠部屋が未選択",IF(COUNTIF('M_部屋'!$A$4:$A$20,$D83)=0,"⚠部屋が未登録",IF(OR($J83="",$N83="キャンセル"),"",IF(SUMPRODUCT(($D$5:$D$204=$D83)*($G$5:$G$204&lt;&gt;"")*($J$5:$J$204&lt;&gt;"")*($N$5:$N$204&lt;&gt;"キャンセル")*($G$5:$G$204&lt;$J83)*($J$5:$J$204&gt;$G83))&gt;1,"⚠重複","")))))</f>
        <v/>
      </c>
      <c r="W83" s="8">
        <f>IF(OR($B83="",$G83=""),"",IF(SUMPRODUCT(('利用者マスタ'!$A$4:$A$60=$B83)*('利用者マスタ'!$B$4:$B$60&lt;&gt;""))=0,"",IF(SUMIFS($X$5:$X$204,$B$5:$B$204,$B83,$G$5:$G$204,"&gt;="&amp;DATE(YEAR($G83),MONTH($G83),1),$G$5:$G$204,"&lt;="&amp;EOMONTH($G83,0))&gt;SUMIFS('利用者マスタ'!$B$4:$B$60,'利用者マスタ'!$A$4:$A$60,$B83),"⚠支給量超過","")))</f>
        <v/>
      </c>
      <c r="X83" s="8">
        <f>IF(OR($G83="",$J83="",$N83="キャンセル"),0,IF(IFERROR(INDEX('M_区分'!$B$4:$B$20,MATCH($C83,'M_区分'!$A$4:$A$20,0)),"○")="○",$J83-$G83+1,0))</f>
        <v/>
      </c>
      <c r="Y83" s="8">
        <f>IF($E83&lt;&gt;"",$E83,$Y82)</f>
        <v/>
      </c>
      <c r="Z83" s="8">
        <f>IF(OR($G83="",$J83=""),"",IF(AND($G83&lt;=EOMONTH('02_カレンダー'!$B$4,0),$J83&gt;='02_カレンダー'!$B$4),$G83*10000+ROW(),""))</f>
        <v/>
      </c>
      <c r="AA83" s="8">
        <f>IF($H83="","",IF(ISNUMBER($H83),IF(AND($H83=INT($H83),$H83&gt;=0,$H83&lt;=24),TEXT(INT($H83),"00")&amp;":00",TEXT($H83,"hh:mm")),$H83))</f>
        <v/>
      </c>
      <c r="AB83" s="8">
        <f>IF($K83="","",IF(ISNUMBER($K83),IF(AND($K83=INT($K83),$K83&gt;=0,$K83&lt;=24),TEXT(INT($K83),"00")&amp;":00",TEXT($K83,"hh:mm")),$K83))</f>
        <v/>
      </c>
      <c r="AC83" s="8">
        <f>IF($G83="",0,$G83)</f>
        <v/>
      </c>
      <c r="AD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IF($F84="","",IF($F84&gt;31,$F84,IF($Y84="","",DATE(YEAR($Y84),MONTH($Y84),$F84))))</f>
        <v/>
      </c>
      <c r="H84" s="9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9" t="n"/>
      <c r="L84" s="8">
        <f>IF(OR($G84="",$J84=""),"",$J84-$G84+1)</f>
        <v/>
      </c>
      <c r="M84" s="8">
        <f>IF(OR($G84="",$J84=""),"",$J84-$G84)</f>
        <v/>
      </c>
      <c r="N84" s="9" t="n"/>
      <c r="O84" s="9" t="n"/>
      <c r="P84" s="9" t="n"/>
      <c r="Q84" s="9" t="n"/>
      <c r="R84" s="9" t="n"/>
      <c r="S84" s="9" t="n"/>
      <c r="T84" s="13" t="n"/>
      <c r="U84" s="9" t="n"/>
      <c r="V84" s="8">
        <f>IF($G84="","",IF($D84="","⚠部屋が未選択",IF(COUNTIF('M_部屋'!$A$4:$A$20,$D84)=0,"⚠部屋が未登録",IF(OR($J84="",$N84="キャンセル"),"",IF(SUMPRODUCT(($D$5:$D$204=$D84)*($G$5:$G$204&lt;&gt;"")*($J$5:$J$204&lt;&gt;"")*($N$5:$N$204&lt;&gt;"キャンセル")*($G$5:$G$204&lt;$J84)*($J$5:$J$204&gt;$G84))&gt;1,"⚠重複","")))))</f>
        <v/>
      </c>
      <c r="W84" s="8">
        <f>IF(OR($B84="",$G84=""),"",IF(SUMPRODUCT(('利用者マスタ'!$A$4:$A$60=$B84)*('利用者マスタ'!$B$4:$B$60&lt;&gt;""))=0,"",IF(SUMIFS($X$5:$X$204,$B$5:$B$204,$B84,$G$5:$G$204,"&gt;="&amp;DATE(YEAR($G84),MONTH($G84),1),$G$5:$G$204,"&lt;="&amp;EOMONTH($G84,0))&gt;SUMIFS('利用者マスタ'!$B$4:$B$60,'利用者マスタ'!$A$4:$A$60,$B84),"⚠支給量超過","")))</f>
        <v/>
      </c>
      <c r="X84" s="8">
        <f>IF(OR($G84="",$J84="",$N84="キャンセル"),0,IF(IFERROR(INDEX('M_区分'!$B$4:$B$20,MATCH($C84,'M_区分'!$A$4:$A$20,0)),"○")="○",$J84-$G84+1,0))</f>
        <v/>
      </c>
      <c r="Y84" s="8">
        <f>IF($E84&lt;&gt;"",$E84,$Y83)</f>
        <v/>
      </c>
      <c r="Z84" s="8">
        <f>IF(OR($G84="",$J84=""),"",IF(AND($G84&lt;=EOMONTH('02_カレンダー'!$B$4,0),$J84&gt;='02_カレンダー'!$B$4),$G84*10000+ROW(),""))</f>
        <v/>
      </c>
      <c r="AA84" s="8">
        <f>IF($H84="","",IF(ISNUMBER($H84),IF(AND($H84=INT($H84),$H84&gt;=0,$H84&lt;=24),TEXT(INT($H84),"00")&amp;":00",TEXT($H84,"hh:mm")),$H84))</f>
        <v/>
      </c>
      <c r="AB84" s="8">
        <f>IF($K84="","",IF(ISNUMBER($K84),IF(AND($K84=INT($K84),$K84&gt;=0,$K84&lt;=24),TEXT(INT($K84),"00")&amp;":00",TEXT($K84,"hh:mm")),$K84))</f>
        <v/>
      </c>
      <c r="AC84" s="8">
        <f>IF($G84="",0,$G84)</f>
        <v/>
      </c>
      <c r="AD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IF($F85="","",IF($F85&gt;31,$F85,IF($Y85="","",DATE(YEAR($Y85),MONTH($Y85),$F85))))</f>
        <v/>
      </c>
      <c r="H85" s="9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9" t="n"/>
      <c r="L85" s="8">
        <f>IF(OR($G85="",$J85=""),"",$J85-$G85+1)</f>
        <v/>
      </c>
      <c r="M85" s="8">
        <f>IF(OR($G85="",$J85=""),"",$J85-$G85)</f>
        <v/>
      </c>
      <c r="N85" s="9" t="n"/>
      <c r="O85" s="9" t="n"/>
      <c r="P85" s="9" t="n"/>
      <c r="Q85" s="9" t="n"/>
      <c r="R85" s="9" t="n"/>
      <c r="S85" s="9" t="n"/>
      <c r="T85" s="13" t="n"/>
      <c r="U85" s="9" t="n"/>
      <c r="V85" s="8">
        <f>IF($G85="","",IF($D85="","⚠部屋が未選択",IF(COUNTIF('M_部屋'!$A$4:$A$20,$D85)=0,"⚠部屋が未登録",IF(OR($J85="",$N85="キャンセル"),"",IF(SUMPRODUCT(($D$5:$D$204=$D85)*($G$5:$G$204&lt;&gt;"")*($J$5:$J$204&lt;&gt;"")*($N$5:$N$204&lt;&gt;"キャンセル")*($G$5:$G$204&lt;$J85)*($J$5:$J$204&gt;$G85))&gt;1,"⚠重複","")))))</f>
        <v/>
      </c>
      <c r="W85" s="8">
        <f>IF(OR($B85="",$G85=""),"",IF(SUMPRODUCT(('利用者マスタ'!$A$4:$A$60=$B85)*('利用者マスタ'!$B$4:$B$60&lt;&gt;""))=0,"",IF(SUMIFS($X$5:$X$204,$B$5:$B$204,$B85,$G$5:$G$204,"&gt;="&amp;DATE(YEAR($G85),MONTH($G85),1),$G$5:$G$204,"&lt;="&amp;EOMONTH($G85,0))&gt;SUMIFS('利用者マスタ'!$B$4:$B$60,'利用者マスタ'!$A$4:$A$60,$B85),"⚠支給量超過","")))</f>
        <v/>
      </c>
      <c r="X85" s="8">
        <f>IF(OR($G85="",$J85="",$N85="キャンセル"),0,IF(IFERROR(INDEX('M_区分'!$B$4:$B$20,MATCH($C85,'M_区分'!$A$4:$A$20,0)),"○")="○",$J85-$G85+1,0))</f>
        <v/>
      </c>
      <c r="Y85" s="8">
        <f>IF($E85&lt;&gt;"",$E85,$Y84)</f>
        <v/>
      </c>
      <c r="Z85" s="8">
        <f>IF(OR($G85="",$J85=""),"",IF(AND($G85&lt;=EOMONTH('02_カレンダー'!$B$4,0),$J85&gt;='02_カレンダー'!$B$4),$G85*10000+ROW(),""))</f>
        <v/>
      </c>
      <c r="AA85" s="8">
        <f>IF($H85="","",IF(ISNUMBER($H85),IF(AND($H85=INT($H85),$H85&gt;=0,$H85&lt;=24),TEXT(INT($H85),"00")&amp;":00",TEXT($H85,"hh:mm")),$H85))</f>
        <v/>
      </c>
      <c r="AB85" s="8">
        <f>IF($K85="","",IF(ISNUMBER($K85),IF(AND($K85=INT($K85),$K85&gt;=0,$K85&lt;=24),TEXT(INT($K85),"00")&amp;":00",TEXT($K85,"hh:mm")),$K85))</f>
        <v/>
      </c>
      <c r="AC85" s="8">
        <f>IF($G85="",0,$G85)</f>
        <v/>
      </c>
      <c r="AD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IF($F86="","",IF($F86&gt;31,$F86,IF($Y86="","",DATE(YEAR($Y86),MONTH($Y86),$F86))))</f>
        <v/>
      </c>
      <c r="H86" s="9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9" t="n"/>
      <c r="L86" s="8">
        <f>IF(OR($G86="",$J86=""),"",$J86-$G86+1)</f>
        <v/>
      </c>
      <c r="M86" s="8">
        <f>IF(OR($G86="",$J86=""),"",$J86-$G86)</f>
        <v/>
      </c>
      <c r="N86" s="9" t="n"/>
      <c r="O86" s="9" t="n"/>
      <c r="P86" s="9" t="n"/>
      <c r="Q86" s="9" t="n"/>
      <c r="R86" s="9" t="n"/>
      <c r="S86" s="9" t="n"/>
      <c r="T86" s="13" t="n"/>
      <c r="U86" s="9" t="n"/>
      <c r="V86" s="8">
        <f>IF($G86="","",IF($D86="","⚠部屋が未選択",IF(COUNTIF('M_部屋'!$A$4:$A$20,$D86)=0,"⚠部屋が未登録",IF(OR($J86="",$N86="キャンセル"),"",IF(SUMPRODUCT(($D$5:$D$204=$D86)*($G$5:$G$204&lt;&gt;"")*($J$5:$J$204&lt;&gt;"")*($N$5:$N$204&lt;&gt;"キャンセル")*($G$5:$G$204&lt;$J86)*($J$5:$J$204&gt;$G86))&gt;1,"⚠重複","")))))</f>
        <v/>
      </c>
      <c r="W86" s="8">
        <f>IF(OR($B86="",$G86=""),"",IF(SUMPRODUCT(('利用者マスタ'!$A$4:$A$60=$B86)*('利用者マスタ'!$B$4:$B$60&lt;&gt;""))=0,"",IF(SUMIFS($X$5:$X$204,$B$5:$B$204,$B86,$G$5:$G$204,"&gt;="&amp;DATE(YEAR($G86),MONTH($G86),1),$G$5:$G$204,"&lt;="&amp;EOMONTH($G86,0))&gt;SUMIFS('利用者マスタ'!$B$4:$B$60,'利用者マスタ'!$A$4:$A$60,$B86),"⚠支給量超過","")))</f>
        <v/>
      </c>
      <c r="X86" s="8">
        <f>IF(OR($G86="",$J86="",$N86="キャンセル"),0,IF(IFERROR(INDEX('M_区分'!$B$4:$B$20,MATCH($C86,'M_区分'!$A$4:$A$20,0)),"○")="○",$J86-$G86+1,0))</f>
        <v/>
      </c>
      <c r="Y86" s="8">
        <f>IF($E86&lt;&gt;"",$E86,$Y85)</f>
        <v/>
      </c>
      <c r="Z86" s="8">
        <f>IF(OR($G86="",$J86=""),"",IF(AND($G86&lt;=EOMONTH('02_カレンダー'!$B$4,0),$J86&gt;='02_カレンダー'!$B$4),$G86*10000+ROW(),""))</f>
        <v/>
      </c>
      <c r="AA86" s="8">
        <f>IF($H86="","",IF(ISNUMBER($H86),IF(AND($H86=INT($H86),$H86&gt;=0,$H86&lt;=24),TEXT(INT($H86),"00")&amp;":00",TEXT($H86,"hh:mm")),$H86))</f>
        <v/>
      </c>
      <c r="AB86" s="8">
        <f>IF($K86="","",IF(ISNUMBER($K86),IF(AND($K86=INT($K86),$K86&gt;=0,$K86&lt;=24),TEXT(INT($K86),"00")&amp;":00",TEXT($K86,"hh:mm")),$K86))</f>
        <v/>
      </c>
      <c r="AC86" s="8">
        <f>IF($G86="",0,$G86)</f>
        <v/>
      </c>
      <c r="AD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IF($F87="","",IF($F87&gt;31,$F87,IF($Y87="","",DATE(YEAR($Y87),MONTH($Y87),$F87))))</f>
        <v/>
      </c>
      <c r="H87" s="9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9" t="n"/>
      <c r="L87" s="8">
        <f>IF(OR($G87="",$J87=""),"",$J87-$G87+1)</f>
        <v/>
      </c>
      <c r="M87" s="8">
        <f>IF(OR($G87="",$J87=""),"",$J87-$G87)</f>
        <v/>
      </c>
      <c r="N87" s="9" t="n"/>
      <c r="O87" s="9" t="n"/>
      <c r="P87" s="9" t="n"/>
      <c r="Q87" s="9" t="n"/>
      <c r="R87" s="9" t="n"/>
      <c r="S87" s="9" t="n"/>
      <c r="T87" s="13" t="n"/>
      <c r="U87" s="9" t="n"/>
      <c r="V87" s="8">
        <f>IF($G87="","",IF($D87="","⚠部屋が未選択",IF(COUNTIF('M_部屋'!$A$4:$A$20,$D87)=0,"⚠部屋が未登録",IF(OR($J87="",$N87="キャンセル"),"",IF(SUMPRODUCT(($D$5:$D$204=$D87)*($G$5:$G$204&lt;&gt;"")*($J$5:$J$204&lt;&gt;"")*($N$5:$N$204&lt;&gt;"キャンセル")*($G$5:$G$204&lt;$J87)*($J$5:$J$204&gt;$G87))&gt;1,"⚠重複","")))))</f>
        <v/>
      </c>
      <c r="W87" s="8">
        <f>IF(OR($B87="",$G87=""),"",IF(SUMPRODUCT(('利用者マスタ'!$A$4:$A$60=$B87)*('利用者マスタ'!$B$4:$B$60&lt;&gt;""))=0,"",IF(SUMIFS($X$5:$X$204,$B$5:$B$204,$B87,$G$5:$G$204,"&gt;="&amp;DATE(YEAR($G87),MONTH($G87),1),$G$5:$G$204,"&lt;="&amp;EOMONTH($G87,0))&gt;SUMIFS('利用者マスタ'!$B$4:$B$60,'利用者マスタ'!$A$4:$A$60,$B87),"⚠支給量超過","")))</f>
        <v/>
      </c>
      <c r="X87" s="8">
        <f>IF(OR($G87="",$J87="",$N87="キャンセル"),0,IF(IFERROR(INDEX('M_区分'!$B$4:$B$20,MATCH($C87,'M_区分'!$A$4:$A$20,0)),"○")="○",$J87-$G87+1,0))</f>
        <v/>
      </c>
      <c r="Y87" s="8">
        <f>IF($E87&lt;&gt;"",$E87,$Y86)</f>
        <v/>
      </c>
      <c r="Z87" s="8">
        <f>IF(OR($G87="",$J87=""),"",IF(AND($G87&lt;=EOMONTH('02_カレンダー'!$B$4,0),$J87&gt;='02_カレンダー'!$B$4),$G87*10000+ROW(),""))</f>
        <v/>
      </c>
      <c r="AA87" s="8">
        <f>IF($H87="","",IF(ISNUMBER($H87),IF(AND($H87=INT($H87),$H87&gt;=0,$H87&lt;=24),TEXT(INT($H87),"00")&amp;":00",TEXT($H87,"hh:mm")),$H87))</f>
        <v/>
      </c>
      <c r="AB87" s="8">
        <f>IF($K87="","",IF(ISNUMBER($K87),IF(AND($K87=INT($K87),$K87&gt;=0,$K87&lt;=24),TEXT(INT($K87),"00")&amp;":00",TEXT($K87,"hh:mm")),$K87))</f>
        <v/>
      </c>
      <c r="AC87" s="8">
        <f>IF($G87="",0,$G87)</f>
        <v/>
      </c>
      <c r="AD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IF($F88="","",IF($F88&gt;31,$F88,IF($Y88="","",DATE(YEAR($Y88),MONTH($Y88),$F88))))</f>
        <v/>
      </c>
      <c r="H88" s="9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9" t="n"/>
      <c r="L88" s="8">
        <f>IF(OR($G88="",$J88=""),"",$J88-$G88+1)</f>
        <v/>
      </c>
      <c r="M88" s="8">
        <f>IF(OR($G88="",$J88=""),"",$J88-$G88)</f>
        <v/>
      </c>
      <c r="N88" s="9" t="n"/>
      <c r="O88" s="9" t="n"/>
      <c r="P88" s="9" t="n"/>
      <c r="Q88" s="9" t="n"/>
      <c r="R88" s="9" t="n"/>
      <c r="S88" s="9" t="n"/>
      <c r="T88" s="13" t="n"/>
      <c r="U88" s="9" t="n"/>
      <c r="V88" s="8">
        <f>IF($G88="","",IF($D88="","⚠部屋が未選択",IF(COUNTIF('M_部屋'!$A$4:$A$20,$D88)=0,"⚠部屋が未登録",IF(OR($J88="",$N88="キャンセル"),"",IF(SUMPRODUCT(($D$5:$D$204=$D88)*($G$5:$G$204&lt;&gt;"")*($J$5:$J$204&lt;&gt;"")*($N$5:$N$204&lt;&gt;"キャンセル")*($G$5:$G$204&lt;$J88)*($J$5:$J$204&gt;$G88))&gt;1,"⚠重複","")))))</f>
        <v/>
      </c>
      <c r="W88" s="8">
        <f>IF(OR($B88="",$G88=""),"",IF(SUMPRODUCT(('利用者マスタ'!$A$4:$A$60=$B88)*('利用者マスタ'!$B$4:$B$60&lt;&gt;""))=0,"",IF(SUMIFS($X$5:$X$204,$B$5:$B$204,$B88,$G$5:$G$204,"&gt;="&amp;DATE(YEAR($G88),MONTH($G88),1),$G$5:$G$204,"&lt;="&amp;EOMONTH($G88,0))&gt;SUMIFS('利用者マスタ'!$B$4:$B$60,'利用者マスタ'!$A$4:$A$60,$B88),"⚠支給量超過","")))</f>
        <v/>
      </c>
      <c r="X88" s="8">
        <f>IF(OR($G88="",$J88="",$N88="キャンセル"),0,IF(IFERROR(INDEX('M_区分'!$B$4:$B$20,MATCH($C88,'M_区分'!$A$4:$A$20,0)),"○")="○",$J88-$G88+1,0))</f>
        <v/>
      </c>
      <c r="Y88" s="8">
        <f>IF($E88&lt;&gt;"",$E88,$Y87)</f>
        <v/>
      </c>
      <c r="Z88" s="8">
        <f>IF(OR($G88="",$J88=""),"",IF(AND($G88&lt;=EOMONTH('02_カレンダー'!$B$4,0),$J88&gt;='02_カレンダー'!$B$4),$G88*10000+ROW(),""))</f>
        <v/>
      </c>
      <c r="AA88" s="8">
        <f>IF($H88="","",IF(ISNUMBER($H88),IF(AND($H88=INT($H88),$H88&gt;=0,$H88&lt;=24),TEXT(INT($H88),"00")&amp;":00",TEXT($H88,"hh:mm")),$H88))</f>
        <v/>
      </c>
      <c r="AB88" s="8">
        <f>IF($K88="","",IF(ISNUMBER($K88),IF(AND($K88=INT($K88),$K88&gt;=0,$K88&lt;=24),TEXT(INT($K88),"00")&amp;":00",TEXT($K88,"hh:mm")),$K88))</f>
        <v/>
      </c>
      <c r="AC88" s="8">
        <f>IF($G88="",0,$G88)</f>
        <v/>
      </c>
      <c r="AD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IF($F89="","",IF($F89&gt;31,$F89,IF($Y89="","",DATE(YEAR($Y89),MONTH($Y89),$F89))))</f>
        <v/>
      </c>
      <c r="H89" s="9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9" t="n"/>
      <c r="L89" s="8">
        <f>IF(OR($G89="",$J89=""),"",$J89-$G89+1)</f>
        <v/>
      </c>
      <c r="M89" s="8">
        <f>IF(OR($G89="",$J89=""),"",$J89-$G89)</f>
        <v/>
      </c>
      <c r="N89" s="9" t="n"/>
      <c r="O89" s="9" t="n"/>
      <c r="P89" s="9" t="n"/>
      <c r="Q89" s="9" t="n"/>
      <c r="R89" s="9" t="n"/>
      <c r="S89" s="9" t="n"/>
      <c r="T89" s="13" t="n"/>
      <c r="U89" s="9" t="n"/>
      <c r="V89" s="8">
        <f>IF($G89="","",IF($D89="","⚠部屋が未選択",IF(COUNTIF('M_部屋'!$A$4:$A$20,$D89)=0,"⚠部屋が未登録",IF(OR($J89="",$N89="キャンセル"),"",IF(SUMPRODUCT(($D$5:$D$204=$D89)*($G$5:$G$204&lt;&gt;"")*($J$5:$J$204&lt;&gt;"")*($N$5:$N$204&lt;&gt;"キャンセル")*($G$5:$G$204&lt;$J89)*($J$5:$J$204&gt;$G89))&gt;1,"⚠重複","")))))</f>
        <v/>
      </c>
      <c r="W89" s="8">
        <f>IF(OR($B89="",$G89=""),"",IF(SUMPRODUCT(('利用者マスタ'!$A$4:$A$60=$B89)*('利用者マスタ'!$B$4:$B$60&lt;&gt;""))=0,"",IF(SUMIFS($X$5:$X$204,$B$5:$B$204,$B89,$G$5:$G$204,"&gt;="&amp;DATE(YEAR($G89),MONTH($G89),1),$G$5:$G$204,"&lt;="&amp;EOMONTH($G89,0))&gt;SUMIFS('利用者マスタ'!$B$4:$B$60,'利用者マスタ'!$A$4:$A$60,$B89),"⚠支給量超過","")))</f>
        <v/>
      </c>
      <c r="X89" s="8">
        <f>IF(OR($G89="",$J89="",$N89="キャンセル"),0,IF(IFERROR(INDEX('M_区分'!$B$4:$B$20,MATCH($C89,'M_区分'!$A$4:$A$20,0)),"○")="○",$J89-$G89+1,0))</f>
        <v/>
      </c>
      <c r="Y89" s="8">
        <f>IF($E89&lt;&gt;"",$E89,$Y88)</f>
        <v/>
      </c>
      <c r="Z89" s="8">
        <f>IF(OR($G89="",$J89=""),"",IF(AND($G89&lt;=EOMONTH('02_カレンダー'!$B$4,0),$J89&gt;='02_カレンダー'!$B$4),$G89*10000+ROW(),""))</f>
        <v/>
      </c>
      <c r="AA89" s="8">
        <f>IF($H89="","",IF(ISNUMBER($H89),IF(AND($H89=INT($H89),$H89&gt;=0,$H89&lt;=24),TEXT(INT($H89),"00")&amp;":00",TEXT($H89,"hh:mm")),$H89))</f>
        <v/>
      </c>
      <c r="AB89" s="8">
        <f>IF($K89="","",IF(ISNUMBER($K89),IF(AND($K89=INT($K89),$K89&gt;=0,$K89&lt;=24),TEXT(INT($K89),"00")&amp;":00",TEXT($K89,"hh:mm")),$K89))</f>
        <v/>
      </c>
      <c r="AC89" s="8">
        <f>IF($G89="",0,$G89)</f>
        <v/>
      </c>
      <c r="AD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IF($F90="","",IF($F90&gt;31,$F90,IF($Y90="","",DATE(YEAR($Y90),MONTH($Y90),$F90))))</f>
        <v/>
      </c>
      <c r="H90" s="9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9" t="n"/>
      <c r="L90" s="8">
        <f>IF(OR($G90="",$J90=""),"",$J90-$G90+1)</f>
        <v/>
      </c>
      <c r="M90" s="8">
        <f>IF(OR($G90="",$J90=""),"",$J90-$G90)</f>
        <v/>
      </c>
      <c r="N90" s="9" t="n"/>
      <c r="O90" s="9" t="n"/>
      <c r="P90" s="9" t="n"/>
      <c r="Q90" s="9" t="n"/>
      <c r="R90" s="9" t="n"/>
      <c r="S90" s="9" t="n"/>
      <c r="T90" s="13" t="n"/>
      <c r="U90" s="9" t="n"/>
      <c r="V90" s="8">
        <f>IF($G90="","",IF($D90="","⚠部屋が未選択",IF(COUNTIF('M_部屋'!$A$4:$A$20,$D90)=0,"⚠部屋が未登録",IF(OR($J90="",$N90="キャンセル"),"",IF(SUMPRODUCT(($D$5:$D$204=$D90)*($G$5:$G$204&lt;&gt;"")*($J$5:$J$204&lt;&gt;"")*($N$5:$N$204&lt;&gt;"キャンセル")*($G$5:$G$204&lt;$J90)*($J$5:$J$204&gt;$G90))&gt;1,"⚠重複","")))))</f>
        <v/>
      </c>
      <c r="W90" s="8">
        <f>IF(OR($B90="",$G90=""),"",IF(SUMPRODUCT(('利用者マスタ'!$A$4:$A$60=$B90)*('利用者マスタ'!$B$4:$B$60&lt;&gt;""))=0,"",IF(SUMIFS($X$5:$X$204,$B$5:$B$204,$B90,$G$5:$G$204,"&gt;="&amp;DATE(YEAR($G90),MONTH($G90),1),$G$5:$G$204,"&lt;="&amp;EOMONTH($G90,0))&gt;SUMIFS('利用者マスタ'!$B$4:$B$60,'利用者マスタ'!$A$4:$A$60,$B90),"⚠支給量超過","")))</f>
        <v/>
      </c>
      <c r="X90" s="8">
        <f>IF(OR($G90="",$J90="",$N90="キャンセル"),0,IF(IFERROR(INDEX('M_区分'!$B$4:$B$20,MATCH($C90,'M_区分'!$A$4:$A$20,0)),"○")="○",$J90-$G90+1,0))</f>
        <v/>
      </c>
      <c r="Y90" s="8">
        <f>IF($E90&lt;&gt;"",$E90,$Y89)</f>
        <v/>
      </c>
      <c r="Z90" s="8">
        <f>IF(OR($G90="",$J90=""),"",IF(AND($G90&lt;=EOMONTH('02_カレンダー'!$B$4,0),$J90&gt;='02_カレンダー'!$B$4),$G90*10000+ROW(),""))</f>
        <v/>
      </c>
      <c r="AA90" s="8">
        <f>IF($H90="","",IF(ISNUMBER($H90),IF(AND($H90=INT($H90),$H90&gt;=0,$H90&lt;=24),TEXT(INT($H90),"00")&amp;":00",TEXT($H90,"hh:mm")),$H90))</f>
        <v/>
      </c>
      <c r="AB90" s="8">
        <f>IF($K90="","",IF(ISNUMBER($K90),IF(AND($K90=INT($K90),$K90&gt;=0,$K90&lt;=24),TEXT(INT($K90),"00")&amp;":00",TEXT($K90,"hh:mm")),$K90))</f>
        <v/>
      </c>
      <c r="AC90" s="8">
        <f>IF($G90="",0,$G90)</f>
        <v/>
      </c>
      <c r="AD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IF($F91="","",IF($F91&gt;31,$F91,IF($Y91="","",DATE(YEAR($Y91),MONTH($Y91),$F91))))</f>
        <v/>
      </c>
      <c r="H91" s="9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9" t="n"/>
      <c r="L91" s="8">
        <f>IF(OR($G91="",$J91=""),"",$J91-$G91+1)</f>
        <v/>
      </c>
      <c r="M91" s="8">
        <f>IF(OR($G91="",$J91=""),"",$J91-$G91)</f>
        <v/>
      </c>
      <c r="N91" s="9" t="n"/>
      <c r="O91" s="9" t="n"/>
      <c r="P91" s="9" t="n"/>
      <c r="Q91" s="9" t="n"/>
      <c r="R91" s="9" t="n"/>
      <c r="S91" s="9" t="n"/>
      <c r="T91" s="13" t="n"/>
      <c r="U91" s="9" t="n"/>
      <c r="V91" s="8">
        <f>IF($G91="","",IF($D91="","⚠部屋が未選択",IF(COUNTIF('M_部屋'!$A$4:$A$20,$D91)=0,"⚠部屋が未登録",IF(OR($J91="",$N91="キャンセル"),"",IF(SUMPRODUCT(($D$5:$D$204=$D91)*($G$5:$G$204&lt;&gt;"")*($J$5:$J$204&lt;&gt;"")*($N$5:$N$204&lt;&gt;"キャンセル")*($G$5:$G$204&lt;$J91)*($J$5:$J$204&gt;$G91))&gt;1,"⚠重複","")))))</f>
        <v/>
      </c>
      <c r="W91" s="8">
        <f>IF(OR($B91="",$G91=""),"",IF(SUMPRODUCT(('利用者マスタ'!$A$4:$A$60=$B91)*('利用者マスタ'!$B$4:$B$60&lt;&gt;""))=0,"",IF(SUMIFS($X$5:$X$204,$B$5:$B$204,$B91,$G$5:$G$204,"&gt;="&amp;DATE(YEAR($G91),MONTH($G91),1),$G$5:$G$204,"&lt;="&amp;EOMONTH($G91,0))&gt;SUMIFS('利用者マスタ'!$B$4:$B$60,'利用者マスタ'!$A$4:$A$60,$B91),"⚠支給量超過","")))</f>
        <v/>
      </c>
      <c r="X91" s="8">
        <f>IF(OR($G91="",$J91="",$N91="キャンセル"),0,IF(IFERROR(INDEX('M_区分'!$B$4:$B$20,MATCH($C91,'M_区分'!$A$4:$A$20,0)),"○")="○",$J91-$G91+1,0))</f>
        <v/>
      </c>
      <c r="Y91" s="8">
        <f>IF($E91&lt;&gt;"",$E91,$Y90)</f>
        <v/>
      </c>
      <c r="Z91" s="8">
        <f>IF(OR($G91="",$J91=""),"",IF(AND($G91&lt;=EOMONTH('02_カレンダー'!$B$4,0),$J91&gt;='02_カレンダー'!$B$4),$G91*10000+ROW(),""))</f>
        <v/>
      </c>
      <c r="AA91" s="8">
        <f>IF($H91="","",IF(ISNUMBER($H91),IF(AND($H91=INT($H91),$H91&gt;=0,$H91&lt;=24),TEXT(INT($H91),"00")&amp;":00",TEXT($H91,"hh:mm")),$H91))</f>
        <v/>
      </c>
      <c r="AB91" s="8">
        <f>IF($K91="","",IF(ISNUMBER($K91),IF(AND($K91=INT($K91),$K91&gt;=0,$K91&lt;=24),TEXT(INT($K91),"00")&amp;":00",TEXT($K91,"hh:mm")),$K91))</f>
        <v/>
      </c>
      <c r="AC91" s="8">
        <f>IF($G91="",0,$G91)</f>
        <v/>
      </c>
      <c r="AD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IF($F92="","",IF($F92&gt;31,$F92,IF($Y92="","",DATE(YEAR($Y92),MONTH($Y92),$F92))))</f>
        <v/>
      </c>
      <c r="H92" s="9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9" t="n"/>
      <c r="L92" s="8">
        <f>IF(OR($G92="",$J92=""),"",$J92-$G92+1)</f>
        <v/>
      </c>
      <c r="M92" s="8">
        <f>IF(OR($G92="",$J92=""),"",$J92-$G92)</f>
        <v/>
      </c>
      <c r="N92" s="9" t="n"/>
      <c r="O92" s="9" t="n"/>
      <c r="P92" s="9" t="n"/>
      <c r="Q92" s="9" t="n"/>
      <c r="R92" s="9" t="n"/>
      <c r="S92" s="9" t="n"/>
      <c r="T92" s="13" t="n"/>
      <c r="U92" s="9" t="n"/>
      <c r="V92" s="8">
        <f>IF($G92="","",IF($D92="","⚠部屋が未選択",IF(COUNTIF('M_部屋'!$A$4:$A$20,$D92)=0,"⚠部屋が未登録",IF(OR($J92="",$N92="キャンセル"),"",IF(SUMPRODUCT(($D$5:$D$204=$D92)*($G$5:$G$204&lt;&gt;"")*($J$5:$J$204&lt;&gt;"")*($N$5:$N$204&lt;&gt;"キャンセル")*($G$5:$G$204&lt;$J92)*($J$5:$J$204&gt;$G92))&gt;1,"⚠重複","")))))</f>
        <v/>
      </c>
      <c r="W92" s="8">
        <f>IF(OR($B92="",$G92=""),"",IF(SUMPRODUCT(('利用者マスタ'!$A$4:$A$60=$B92)*('利用者マスタ'!$B$4:$B$60&lt;&gt;""))=0,"",IF(SUMIFS($X$5:$X$204,$B$5:$B$204,$B92,$G$5:$G$204,"&gt;="&amp;DATE(YEAR($G92),MONTH($G92),1),$G$5:$G$204,"&lt;="&amp;EOMONTH($G92,0))&gt;SUMIFS('利用者マスタ'!$B$4:$B$60,'利用者マスタ'!$A$4:$A$60,$B92),"⚠支給量超過","")))</f>
        <v/>
      </c>
      <c r="X92" s="8">
        <f>IF(OR($G92="",$J92="",$N92="キャンセル"),0,IF(IFERROR(INDEX('M_区分'!$B$4:$B$20,MATCH($C92,'M_区分'!$A$4:$A$20,0)),"○")="○",$J92-$G92+1,0))</f>
        <v/>
      </c>
      <c r="Y92" s="8">
        <f>IF($E92&lt;&gt;"",$E92,$Y91)</f>
        <v/>
      </c>
      <c r="Z92" s="8">
        <f>IF(OR($G92="",$J92=""),"",IF(AND($G92&lt;=EOMONTH('02_カレンダー'!$B$4,0),$J92&gt;='02_カレンダー'!$B$4),$G92*10000+ROW(),""))</f>
        <v/>
      </c>
      <c r="AA92" s="8">
        <f>IF($H92="","",IF(ISNUMBER($H92),IF(AND($H92=INT($H92),$H92&gt;=0,$H92&lt;=24),TEXT(INT($H92),"00")&amp;":00",TEXT($H92,"hh:mm")),$H92))</f>
        <v/>
      </c>
      <c r="AB92" s="8">
        <f>IF($K92="","",IF(ISNUMBER($K92),IF(AND($K92=INT($K92),$K92&gt;=0,$K92&lt;=24),TEXT(INT($K92),"00")&amp;":00",TEXT($K92,"hh:mm")),$K92))</f>
        <v/>
      </c>
      <c r="AC92" s="8">
        <f>IF($G92="",0,$G92)</f>
        <v/>
      </c>
      <c r="AD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IF($F93="","",IF($F93&gt;31,$F93,IF($Y93="","",DATE(YEAR($Y93),MONTH($Y93),$F93))))</f>
        <v/>
      </c>
      <c r="H93" s="9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9" t="n"/>
      <c r="L93" s="8">
        <f>IF(OR($G93="",$J93=""),"",$J93-$G93+1)</f>
        <v/>
      </c>
      <c r="M93" s="8">
        <f>IF(OR($G93="",$J93=""),"",$J93-$G93)</f>
        <v/>
      </c>
      <c r="N93" s="9" t="n"/>
      <c r="O93" s="9" t="n"/>
      <c r="P93" s="9" t="n"/>
      <c r="Q93" s="9" t="n"/>
      <c r="R93" s="9" t="n"/>
      <c r="S93" s="9" t="n"/>
      <c r="T93" s="13" t="n"/>
      <c r="U93" s="9" t="n"/>
      <c r="V93" s="8">
        <f>IF($G93="","",IF($D93="","⚠部屋が未選択",IF(COUNTIF('M_部屋'!$A$4:$A$20,$D93)=0,"⚠部屋が未登録",IF(OR($J93="",$N93="キャンセル"),"",IF(SUMPRODUCT(($D$5:$D$204=$D93)*($G$5:$G$204&lt;&gt;"")*($J$5:$J$204&lt;&gt;"")*($N$5:$N$204&lt;&gt;"キャンセル")*($G$5:$G$204&lt;$J93)*($J$5:$J$204&gt;$G93))&gt;1,"⚠重複","")))))</f>
        <v/>
      </c>
      <c r="W93" s="8">
        <f>IF(OR($B93="",$G93=""),"",IF(SUMPRODUCT(('利用者マスタ'!$A$4:$A$60=$B93)*('利用者マスタ'!$B$4:$B$60&lt;&gt;""))=0,"",IF(SUMIFS($X$5:$X$204,$B$5:$B$204,$B93,$G$5:$G$204,"&gt;="&amp;DATE(YEAR($G93),MONTH($G93),1),$G$5:$G$204,"&lt;="&amp;EOMONTH($G93,0))&gt;SUMIFS('利用者マスタ'!$B$4:$B$60,'利用者マスタ'!$A$4:$A$60,$B93),"⚠支給量超過","")))</f>
        <v/>
      </c>
      <c r="X93" s="8">
        <f>IF(OR($G93="",$J93="",$N93="キャンセル"),0,IF(IFERROR(INDEX('M_区分'!$B$4:$B$20,MATCH($C93,'M_区分'!$A$4:$A$20,0)),"○")="○",$J93-$G93+1,0))</f>
        <v/>
      </c>
      <c r="Y93" s="8">
        <f>IF($E93&lt;&gt;"",$E93,$Y92)</f>
        <v/>
      </c>
      <c r="Z93" s="8">
        <f>IF(OR($G93="",$J93=""),"",IF(AND($G93&lt;=EOMONTH('02_カレンダー'!$B$4,0),$J93&gt;='02_カレンダー'!$B$4),$G93*10000+ROW(),""))</f>
        <v/>
      </c>
      <c r="AA93" s="8">
        <f>IF($H93="","",IF(ISNUMBER($H93),IF(AND($H93=INT($H93),$H93&gt;=0,$H93&lt;=24),TEXT(INT($H93),"00")&amp;":00",TEXT($H93,"hh:mm")),$H93))</f>
        <v/>
      </c>
      <c r="AB93" s="8">
        <f>IF($K93="","",IF(ISNUMBER($K93),IF(AND($K93=INT($K93),$K93&gt;=0,$K93&lt;=24),TEXT(INT($K93),"00")&amp;":00",TEXT($K93,"hh:mm")),$K93))</f>
        <v/>
      </c>
      <c r="AC93" s="8">
        <f>IF($G93="",0,$G93)</f>
        <v/>
      </c>
      <c r="AD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IF($F94="","",IF($F94&gt;31,$F94,IF($Y94="","",DATE(YEAR($Y94),MONTH($Y94),$F94))))</f>
        <v/>
      </c>
      <c r="H94" s="9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9" t="n"/>
      <c r="L94" s="8">
        <f>IF(OR($G94="",$J94=""),"",$J94-$G94+1)</f>
        <v/>
      </c>
      <c r="M94" s="8">
        <f>IF(OR($G94="",$J94=""),"",$J94-$G94)</f>
        <v/>
      </c>
      <c r="N94" s="9" t="n"/>
      <c r="O94" s="9" t="n"/>
      <c r="P94" s="9" t="n"/>
      <c r="Q94" s="9" t="n"/>
      <c r="R94" s="9" t="n"/>
      <c r="S94" s="9" t="n"/>
      <c r="T94" s="13" t="n"/>
      <c r="U94" s="9" t="n"/>
      <c r="V94" s="8">
        <f>IF($G94="","",IF($D94="","⚠部屋が未選択",IF(COUNTIF('M_部屋'!$A$4:$A$20,$D94)=0,"⚠部屋が未登録",IF(OR($J94="",$N94="キャンセル"),"",IF(SUMPRODUCT(($D$5:$D$204=$D94)*($G$5:$G$204&lt;&gt;"")*($J$5:$J$204&lt;&gt;"")*($N$5:$N$204&lt;&gt;"キャンセル")*($G$5:$G$204&lt;$J94)*($J$5:$J$204&gt;$G94))&gt;1,"⚠重複","")))))</f>
        <v/>
      </c>
      <c r="W94" s="8">
        <f>IF(OR($B94="",$G94=""),"",IF(SUMPRODUCT(('利用者マスタ'!$A$4:$A$60=$B94)*('利用者マスタ'!$B$4:$B$60&lt;&gt;""))=0,"",IF(SUMIFS($X$5:$X$204,$B$5:$B$204,$B94,$G$5:$G$204,"&gt;="&amp;DATE(YEAR($G94),MONTH($G94),1),$G$5:$G$204,"&lt;="&amp;EOMONTH($G94,0))&gt;SUMIFS('利用者マスタ'!$B$4:$B$60,'利用者マスタ'!$A$4:$A$60,$B94),"⚠支給量超過","")))</f>
        <v/>
      </c>
      <c r="X94" s="8">
        <f>IF(OR($G94="",$J94="",$N94="キャンセル"),0,IF(IFERROR(INDEX('M_区分'!$B$4:$B$20,MATCH($C94,'M_区分'!$A$4:$A$20,0)),"○")="○",$J94-$G94+1,0))</f>
        <v/>
      </c>
      <c r="Y94" s="8">
        <f>IF($E94&lt;&gt;"",$E94,$Y93)</f>
        <v/>
      </c>
      <c r="Z94" s="8">
        <f>IF(OR($G94="",$J94=""),"",IF(AND($G94&lt;=EOMONTH('02_カレンダー'!$B$4,0),$J94&gt;='02_カレンダー'!$B$4),$G94*10000+ROW(),""))</f>
        <v/>
      </c>
      <c r="AA94" s="8">
        <f>IF($H94="","",IF(ISNUMBER($H94),IF(AND($H94=INT($H94),$H94&gt;=0,$H94&lt;=24),TEXT(INT($H94),"00")&amp;":00",TEXT($H94,"hh:mm")),$H94))</f>
        <v/>
      </c>
      <c r="AB94" s="8">
        <f>IF($K94="","",IF(ISNUMBER($K94),IF(AND($K94=INT($K94),$K94&gt;=0,$K94&lt;=24),TEXT(INT($K94),"00")&amp;":00",TEXT($K94,"hh:mm")),$K94))</f>
        <v/>
      </c>
      <c r="AC94" s="8">
        <f>IF($G94="",0,$G94)</f>
        <v/>
      </c>
      <c r="AD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IF($F95="","",IF($F95&gt;31,$F95,IF($Y95="","",DATE(YEAR($Y95),MONTH($Y95),$F95))))</f>
        <v/>
      </c>
      <c r="H95" s="9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9" t="n"/>
      <c r="L95" s="8">
        <f>IF(OR($G95="",$J95=""),"",$J95-$G95+1)</f>
        <v/>
      </c>
      <c r="M95" s="8">
        <f>IF(OR($G95="",$J95=""),"",$J95-$G95)</f>
        <v/>
      </c>
      <c r="N95" s="9" t="n"/>
      <c r="O95" s="9" t="n"/>
      <c r="P95" s="9" t="n"/>
      <c r="Q95" s="9" t="n"/>
      <c r="R95" s="9" t="n"/>
      <c r="S95" s="9" t="n"/>
      <c r="T95" s="13" t="n"/>
      <c r="U95" s="9" t="n"/>
      <c r="V95" s="8">
        <f>IF($G95="","",IF($D95="","⚠部屋が未選択",IF(COUNTIF('M_部屋'!$A$4:$A$20,$D95)=0,"⚠部屋が未登録",IF(OR($J95="",$N95="キャンセル"),"",IF(SUMPRODUCT(($D$5:$D$204=$D95)*($G$5:$G$204&lt;&gt;"")*($J$5:$J$204&lt;&gt;"")*($N$5:$N$204&lt;&gt;"キャンセル")*($G$5:$G$204&lt;$J95)*($J$5:$J$204&gt;$G95))&gt;1,"⚠重複","")))))</f>
        <v/>
      </c>
      <c r="W95" s="8">
        <f>IF(OR($B95="",$G95=""),"",IF(SUMPRODUCT(('利用者マスタ'!$A$4:$A$60=$B95)*('利用者マスタ'!$B$4:$B$60&lt;&gt;""))=0,"",IF(SUMIFS($X$5:$X$204,$B$5:$B$204,$B95,$G$5:$G$204,"&gt;="&amp;DATE(YEAR($G95),MONTH($G95),1),$G$5:$G$204,"&lt;="&amp;EOMONTH($G95,0))&gt;SUMIFS('利用者マスタ'!$B$4:$B$60,'利用者マスタ'!$A$4:$A$60,$B95),"⚠支給量超過","")))</f>
        <v/>
      </c>
      <c r="X95" s="8">
        <f>IF(OR($G95="",$J95="",$N95="キャンセル"),0,IF(IFERROR(INDEX('M_区分'!$B$4:$B$20,MATCH($C95,'M_区分'!$A$4:$A$20,0)),"○")="○",$J95-$G95+1,0))</f>
        <v/>
      </c>
      <c r="Y95" s="8">
        <f>IF($E95&lt;&gt;"",$E95,$Y94)</f>
        <v/>
      </c>
      <c r="Z95" s="8">
        <f>IF(OR($G95="",$J95=""),"",IF(AND($G95&lt;=EOMONTH('02_カレンダー'!$B$4,0),$J95&gt;='02_カレンダー'!$B$4),$G95*10000+ROW(),""))</f>
        <v/>
      </c>
      <c r="AA95" s="8">
        <f>IF($H95="","",IF(ISNUMBER($H95),IF(AND($H95=INT($H95),$H95&gt;=0,$H95&lt;=24),TEXT(INT($H95),"00")&amp;":00",TEXT($H95,"hh:mm")),$H95))</f>
        <v/>
      </c>
      <c r="AB95" s="8">
        <f>IF($K95="","",IF(ISNUMBER($K95),IF(AND($K95=INT($K95),$K95&gt;=0,$K95&lt;=24),TEXT(INT($K95),"00")&amp;":00",TEXT($K95,"hh:mm")),$K95))</f>
        <v/>
      </c>
      <c r="AC95" s="8">
        <f>IF($G95="",0,$G95)</f>
        <v/>
      </c>
      <c r="AD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IF($F96="","",IF($F96&gt;31,$F96,IF($Y96="","",DATE(YEAR($Y96),MONTH($Y96),$F96))))</f>
        <v/>
      </c>
      <c r="H96" s="9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9" t="n"/>
      <c r="L96" s="8">
        <f>IF(OR($G96="",$J96=""),"",$J96-$G96+1)</f>
        <v/>
      </c>
      <c r="M96" s="8">
        <f>IF(OR($G96="",$J96=""),"",$J96-$G96)</f>
        <v/>
      </c>
      <c r="N96" s="9" t="n"/>
      <c r="O96" s="9" t="n"/>
      <c r="P96" s="9" t="n"/>
      <c r="Q96" s="9" t="n"/>
      <c r="R96" s="9" t="n"/>
      <c r="S96" s="9" t="n"/>
      <c r="T96" s="13" t="n"/>
      <c r="U96" s="9" t="n"/>
      <c r="V96" s="8">
        <f>IF($G96="","",IF($D96="","⚠部屋が未選択",IF(COUNTIF('M_部屋'!$A$4:$A$20,$D96)=0,"⚠部屋が未登録",IF(OR($J96="",$N96="キャンセル"),"",IF(SUMPRODUCT(($D$5:$D$204=$D96)*($G$5:$G$204&lt;&gt;"")*($J$5:$J$204&lt;&gt;"")*($N$5:$N$204&lt;&gt;"キャンセル")*($G$5:$G$204&lt;$J96)*($J$5:$J$204&gt;$G96))&gt;1,"⚠重複","")))))</f>
        <v/>
      </c>
      <c r="W96" s="8">
        <f>IF(OR($B96="",$G96=""),"",IF(SUMPRODUCT(('利用者マスタ'!$A$4:$A$60=$B96)*('利用者マスタ'!$B$4:$B$60&lt;&gt;""))=0,"",IF(SUMIFS($X$5:$X$204,$B$5:$B$204,$B96,$G$5:$G$204,"&gt;="&amp;DATE(YEAR($G96),MONTH($G96),1),$G$5:$G$204,"&lt;="&amp;EOMONTH($G96,0))&gt;SUMIFS('利用者マスタ'!$B$4:$B$60,'利用者マスタ'!$A$4:$A$60,$B96),"⚠支給量超過","")))</f>
        <v/>
      </c>
      <c r="X96" s="8">
        <f>IF(OR($G96="",$J96="",$N96="キャンセル"),0,IF(IFERROR(INDEX('M_区分'!$B$4:$B$20,MATCH($C96,'M_区分'!$A$4:$A$20,0)),"○")="○",$J96-$G96+1,0))</f>
        <v/>
      </c>
      <c r="Y96" s="8">
        <f>IF($E96&lt;&gt;"",$E96,$Y95)</f>
        <v/>
      </c>
      <c r="Z96" s="8">
        <f>IF(OR($G96="",$J96=""),"",IF(AND($G96&lt;=EOMONTH('02_カレンダー'!$B$4,0),$J96&gt;='02_カレンダー'!$B$4),$G96*10000+ROW(),""))</f>
        <v/>
      </c>
      <c r="AA96" s="8">
        <f>IF($H96="","",IF(ISNUMBER($H96),IF(AND($H96=INT($H96),$H96&gt;=0,$H96&lt;=24),TEXT(INT($H96),"00")&amp;":00",TEXT($H96,"hh:mm")),$H96))</f>
        <v/>
      </c>
      <c r="AB96" s="8">
        <f>IF($K96="","",IF(ISNUMBER($K96),IF(AND($K96=INT($K96),$K96&gt;=0,$K96&lt;=24),TEXT(INT($K96),"00")&amp;":00",TEXT($K96,"hh:mm")),$K96))</f>
        <v/>
      </c>
      <c r="AC96" s="8">
        <f>IF($G96="",0,$G96)</f>
        <v/>
      </c>
      <c r="AD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IF($F97="","",IF($F97&gt;31,$F97,IF($Y97="","",DATE(YEAR($Y97),MONTH($Y97),$F97))))</f>
        <v/>
      </c>
      <c r="H97" s="9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9" t="n"/>
      <c r="L97" s="8">
        <f>IF(OR($G97="",$J97=""),"",$J97-$G97+1)</f>
        <v/>
      </c>
      <c r="M97" s="8">
        <f>IF(OR($G97="",$J97=""),"",$J97-$G97)</f>
        <v/>
      </c>
      <c r="N97" s="9" t="n"/>
      <c r="O97" s="9" t="n"/>
      <c r="P97" s="9" t="n"/>
      <c r="Q97" s="9" t="n"/>
      <c r="R97" s="9" t="n"/>
      <c r="S97" s="9" t="n"/>
      <c r="T97" s="13" t="n"/>
      <c r="U97" s="9" t="n"/>
      <c r="V97" s="8">
        <f>IF($G97="","",IF($D97="","⚠部屋が未選択",IF(COUNTIF('M_部屋'!$A$4:$A$20,$D97)=0,"⚠部屋が未登録",IF(OR($J97="",$N97="キャンセル"),"",IF(SUMPRODUCT(($D$5:$D$204=$D97)*($G$5:$G$204&lt;&gt;"")*($J$5:$J$204&lt;&gt;"")*($N$5:$N$204&lt;&gt;"キャンセル")*($G$5:$G$204&lt;$J97)*($J$5:$J$204&gt;$G97))&gt;1,"⚠重複","")))))</f>
        <v/>
      </c>
      <c r="W97" s="8">
        <f>IF(OR($B97="",$G97=""),"",IF(SUMPRODUCT(('利用者マスタ'!$A$4:$A$60=$B97)*('利用者マスタ'!$B$4:$B$60&lt;&gt;""))=0,"",IF(SUMIFS($X$5:$X$204,$B$5:$B$204,$B97,$G$5:$G$204,"&gt;="&amp;DATE(YEAR($G97),MONTH($G97),1),$G$5:$G$204,"&lt;="&amp;EOMONTH($G97,0))&gt;SUMIFS('利用者マスタ'!$B$4:$B$60,'利用者マスタ'!$A$4:$A$60,$B97),"⚠支給量超過","")))</f>
        <v/>
      </c>
      <c r="X97" s="8">
        <f>IF(OR($G97="",$J97="",$N97="キャンセル"),0,IF(IFERROR(INDEX('M_区分'!$B$4:$B$20,MATCH($C97,'M_区分'!$A$4:$A$20,0)),"○")="○",$J97-$G97+1,0))</f>
        <v/>
      </c>
      <c r="Y97" s="8">
        <f>IF($E97&lt;&gt;"",$E97,$Y96)</f>
        <v/>
      </c>
      <c r="Z97" s="8">
        <f>IF(OR($G97="",$J97=""),"",IF(AND($G97&lt;=EOMONTH('02_カレンダー'!$B$4,0),$J97&gt;='02_カレンダー'!$B$4),$G97*10000+ROW(),""))</f>
        <v/>
      </c>
      <c r="AA97" s="8">
        <f>IF($H97="","",IF(ISNUMBER($H97),IF(AND($H97=INT($H97),$H97&gt;=0,$H97&lt;=24),TEXT(INT($H97),"00")&amp;":00",TEXT($H97,"hh:mm")),$H97))</f>
        <v/>
      </c>
      <c r="AB97" s="8">
        <f>IF($K97="","",IF(ISNUMBER($K97),IF(AND($K97=INT($K97),$K97&gt;=0,$K97&lt;=24),TEXT(INT($K97),"00")&amp;":00",TEXT($K97,"hh:mm")),$K97))</f>
        <v/>
      </c>
      <c r="AC97" s="8">
        <f>IF($G97="",0,$G97)</f>
        <v/>
      </c>
      <c r="AD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IF($F98="","",IF($F98&gt;31,$F98,IF($Y98="","",DATE(YEAR($Y98),MONTH($Y98),$F98))))</f>
        <v/>
      </c>
      <c r="H98" s="9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9" t="n"/>
      <c r="L98" s="8">
        <f>IF(OR($G98="",$J98=""),"",$J98-$G98+1)</f>
        <v/>
      </c>
      <c r="M98" s="8">
        <f>IF(OR($G98="",$J98=""),"",$J98-$G98)</f>
        <v/>
      </c>
      <c r="N98" s="9" t="n"/>
      <c r="O98" s="9" t="n"/>
      <c r="P98" s="9" t="n"/>
      <c r="Q98" s="9" t="n"/>
      <c r="R98" s="9" t="n"/>
      <c r="S98" s="9" t="n"/>
      <c r="T98" s="13" t="n"/>
      <c r="U98" s="9" t="n"/>
      <c r="V98" s="8">
        <f>IF($G98="","",IF($D98="","⚠部屋が未選択",IF(COUNTIF('M_部屋'!$A$4:$A$20,$D98)=0,"⚠部屋が未登録",IF(OR($J98="",$N98="キャンセル"),"",IF(SUMPRODUCT(($D$5:$D$204=$D98)*($G$5:$G$204&lt;&gt;"")*($J$5:$J$204&lt;&gt;"")*($N$5:$N$204&lt;&gt;"キャンセル")*($G$5:$G$204&lt;$J98)*($J$5:$J$204&gt;$G98))&gt;1,"⚠重複","")))))</f>
        <v/>
      </c>
      <c r="W98" s="8">
        <f>IF(OR($B98="",$G98=""),"",IF(SUMPRODUCT(('利用者マスタ'!$A$4:$A$60=$B98)*('利用者マスタ'!$B$4:$B$60&lt;&gt;""))=0,"",IF(SUMIFS($X$5:$X$204,$B$5:$B$204,$B98,$G$5:$G$204,"&gt;="&amp;DATE(YEAR($G98),MONTH($G98),1),$G$5:$G$204,"&lt;="&amp;EOMONTH($G98,0))&gt;SUMIFS('利用者マスタ'!$B$4:$B$60,'利用者マスタ'!$A$4:$A$60,$B98),"⚠支給量超過","")))</f>
        <v/>
      </c>
      <c r="X98" s="8">
        <f>IF(OR($G98="",$J98="",$N98="キャンセル"),0,IF(IFERROR(INDEX('M_区分'!$B$4:$B$20,MATCH($C98,'M_区分'!$A$4:$A$20,0)),"○")="○",$J98-$G98+1,0))</f>
        <v/>
      </c>
      <c r="Y98" s="8">
        <f>IF($E98&lt;&gt;"",$E98,$Y97)</f>
        <v/>
      </c>
      <c r="Z98" s="8">
        <f>IF(OR($G98="",$J98=""),"",IF(AND($G98&lt;=EOMONTH('02_カレンダー'!$B$4,0),$J98&gt;='02_カレンダー'!$B$4),$G98*10000+ROW(),""))</f>
        <v/>
      </c>
      <c r="AA98" s="8">
        <f>IF($H98="","",IF(ISNUMBER($H98),IF(AND($H98=INT($H98),$H98&gt;=0,$H98&lt;=24),TEXT(INT($H98),"00")&amp;":00",TEXT($H98,"hh:mm")),$H98))</f>
        <v/>
      </c>
      <c r="AB98" s="8">
        <f>IF($K98="","",IF(ISNUMBER($K98),IF(AND($K98=INT($K98),$K98&gt;=0,$K98&lt;=24),TEXT(INT($K98),"00")&amp;":00",TEXT($K98,"hh:mm")),$K98))</f>
        <v/>
      </c>
      <c r="AC98" s="8">
        <f>IF($G98="",0,$G98)</f>
        <v/>
      </c>
      <c r="AD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IF($F99="","",IF($F99&gt;31,$F99,IF($Y99="","",DATE(YEAR($Y99),MONTH($Y99),$F99))))</f>
        <v/>
      </c>
      <c r="H99" s="9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9" t="n"/>
      <c r="L99" s="8">
        <f>IF(OR($G99="",$J99=""),"",$J99-$G99+1)</f>
        <v/>
      </c>
      <c r="M99" s="8">
        <f>IF(OR($G99="",$J99=""),"",$J99-$G99)</f>
        <v/>
      </c>
      <c r="N99" s="9" t="n"/>
      <c r="O99" s="9" t="n"/>
      <c r="P99" s="9" t="n"/>
      <c r="Q99" s="9" t="n"/>
      <c r="R99" s="9" t="n"/>
      <c r="S99" s="9" t="n"/>
      <c r="T99" s="13" t="n"/>
      <c r="U99" s="9" t="n"/>
      <c r="V99" s="8">
        <f>IF($G99="","",IF($D99="","⚠部屋が未選択",IF(COUNTIF('M_部屋'!$A$4:$A$20,$D99)=0,"⚠部屋が未登録",IF(OR($J99="",$N99="キャンセル"),"",IF(SUMPRODUCT(($D$5:$D$204=$D99)*($G$5:$G$204&lt;&gt;"")*($J$5:$J$204&lt;&gt;"")*($N$5:$N$204&lt;&gt;"キャンセル")*($G$5:$G$204&lt;$J99)*($J$5:$J$204&gt;$G99))&gt;1,"⚠重複","")))))</f>
        <v/>
      </c>
      <c r="W99" s="8">
        <f>IF(OR($B99="",$G99=""),"",IF(SUMPRODUCT(('利用者マスタ'!$A$4:$A$60=$B99)*('利用者マスタ'!$B$4:$B$60&lt;&gt;""))=0,"",IF(SUMIFS($X$5:$X$204,$B$5:$B$204,$B99,$G$5:$G$204,"&gt;="&amp;DATE(YEAR($G99),MONTH($G99),1),$G$5:$G$204,"&lt;="&amp;EOMONTH($G99,0))&gt;SUMIFS('利用者マスタ'!$B$4:$B$60,'利用者マスタ'!$A$4:$A$60,$B99),"⚠支給量超過","")))</f>
        <v/>
      </c>
      <c r="X99" s="8">
        <f>IF(OR($G99="",$J99="",$N99="キャンセル"),0,IF(IFERROR(INDEX('M_区分'!$B$4:$B$20,MATCH($C99,'M_区分'!$A$4:$A$20,0)),"○")="○",$J99-$G99+1,0))</f>
        <v/>
      </c>
      <c r="Y99" s="8">
        <f>IF($E99&lt;&gt;"",$E99,$Y98)</f>
        <v/>
      </c>
      <c r="Z99" s="8">
        <f>IF(OR($G99="",$J99=""),"",IF(AND($G99&lt;=EOMONTH('02_カレンダー'!$B$4,0),$J99&gt;='02_カレンダー'!$B$4),$G99*10000+ROW(),""))</f>
        <v/>
      </c>
      <c r="AA99" s="8">
        <f>IF($H99="","",IF(ISNUMBER($H99),IF(AND($H99=INT($H99),$H99&gt;=0,$H99&lt;=24),TEXT(INT($H99),"00")&amp;":00",TEXT($H99,"hh:mm")),$H99))</f>
        <v/>
      </c>
      <c r="AB99" s="8">
        <f>IF($K99="","",IF(ISNUMBER($K99),IF(AND($K99=INT($K99),$K99&gt;=0,$K99&lt;=24),TEXT(INT($K99),"00")&amp;":00",TEXT($K99,"hh:mm")),$K99))</f>
        <v/>
      </c>
      <c r="AC99" s="8">
        <f>IF($G99="",0,$G99)</f>
        <v/>
      </c>
      <c r="AD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IF($F100="","",IF($F100&gt;31,$F100,IF($Y100="","",DATE(YEAR($Y100),MONTH($Y100),$F100))))</f>
        <v/>
      </c>
      <c r="H100" s="9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9" t="n"/>
      <c r="L100" s="8">
        <f>IF(OR($G100="",$J100=""),"",$J100-$G100+1)</f>
        <v/>
      </c>
      <c r="M100" s="8">
        <f>IF(OR($G100="",$J100=""),"",$J100-$G100)</f>
        <v/>
      </c>
      <c r="N100" s="9" t="n"/>
      <c r="O100" s="9" t="n"/>
      <c r="P100" s="9" t="n"/>
      <c r="Q100" s="9" t="n"/>
      <c r="R100" s="9" t="n"/>
      <c r="S100" s="9" t="n"/>
      <c r="T100" s="13" t="n"/>
      <c r="U100" s="9" t="n"/>
      <c r="V100" s="8">
        <f>IF($G100="","",IF($D100="","⚠部屋が未選択",IF(COUNTIF('M_部屋'!$A$4:$A$20,$D100)=0,"⚠部屋が未登録",IF(OR($J100="",$N100="キャンセル"),"",IF(SUMPRODUCT(($D$5:$D$204=$D100)*($G$5:$G$204&lt;&gt;"")*($J$5:$J$204&lt;&gt;"")*($N$5:$N$204&lt;&gt;"キャンセル")*($G$5:$G$204&lt;$J100)*($J$5:$J$204&gt;$G100))&gt;1,"⚠重複","")))))</f>
        <v/>
      </c>
      <c r="W100" s="8">
        <f>IF(OR($B100="",$G100=""),"",IF(SUMPRODUCT(('利用者マスタ'!$A$4:$A$60=$B100)*('利用者マスタ'!$B$4:$B$60&lt;&gt;""))=0,"",IF(SUMIFS($X$5:$X$204,$B$5:$B$204,$B100,$G$5:$G$204,"&gt;="&amp;DATE(YEAR($G100),MONTH($G100),1),$G$5:$G$204,"&lt;="&amp;EOMONTH($G100,0))&gt;SUMIFS('利用者マスタ'!$B$4:$B$60,'利用者マスタ'!$A$4:$A$60,$B100),"⚠支給量超過","")))</f>
        <v/>
      </c>
      <c r="X100" s="8">
        <f>IF(OR($G100="",$J100="",$N100="キャンセル"),0,IF(IFERROR(INDEX('M_区分'!$B$4:$B$20,MATCH($C100,'M_区分'!$A$4:$A$20,0)),"○")="○",$J100-$G100+1,0))</f>
        <v/>
      </c>
      <c r="Y100" s="8">
        <f>IF($E100&lt;&gt;"",$E100,$Y99)</f>
        <v/>
      </c>
      <c r="Z100" s="8">
        <f>IF(OR($G100="",$J100=""),"",IF(AND($G100&lt;=EOMONTH('02_カレンダー'!$B$4,0),$J100&gt;='02_カレンダー'!$B$4),$G100*10000+ROW(),""))</f>
        <v/>
      </c>
      <c r="AA100" s="8">
        <f>IF($H100="","",IF(ISNUMBER($H100),IF(AND($H100=INT($H100),$H100&gt;=0,$H100&lt;=24),TEXT(INT($H100),"00")&amp;":00",TEXT($H100,"hh:mm")),$H100))</f>
        <v/>
      </c>
      <c r="AB100" s="8">
        <f>IF($K100="","",IF(ISNUMBER($K100),IF(AND($K100=INT($K100),$K100&gt;=0,$K100&lt;=24),TEXT(INT($K100),"00")&amp;":00",TEXT($K100,"hh:mm")),$K100))</f>
        <v/>
      </c>
      <c r="AC100" s="8">
        <f>IF($G100="",0,$G100)</f>
        <v/>
      </c>
      <c r="AD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IF($F101="","",IF($F101&gt;31,$F101,IF($Y101="","",DATE(YEAR($Y101),MONTH($Y101),$F101))))</f>
        <v/>
      </c>
      <c r="H101" s="9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9" t="n"/>
      <c r="L101" s="8">
        <f>IF(OR($G101="",$J101=""),"",$J101-$G101+1)</f>
        <v/>
      </c>
      <c r="M101" s="8">
        <f>IF(OR($G101="",$J101=""),"",$J101-$G101)</f>
        <v/>
      </c>
      <c r="N101" s="9" t="n"/>
      <c r="O101" s="9" t="n"/>
      <c r="P101" s="9" t="n"/>
      <c r="Q101" s="9" t="n"/>
      <c r="R101" s="9" t="n"/>
      <c r="S101" s="9" t="n"/>
      <c r="T101" s="13" t="n"/>
      <c r="U101" s="9" t="n"/>
      <c r="V101" s="8">
        <f>IF($G101="","",IF($D101="","⚠部屋が未選択",IF(COUNTIF('M_部屋'!$A$4:$A$20,$D101)=0,"⚠部屋が未登録",IF(OR($J101="",$N101="キャンセル"),"",IF(SUMPRODUCT(($D$5:$D$204=$D101)*($G$5:$G$204&lt;&gt;"")*($J$5:$J$204&lt;&gt;"")*($N$5:$N$204&lt;&gt;"キャンセル")*($G$5:$G$204&lt;$J101)*($J$5:$J$204&gt;$G101))&gt;1,"⚠重複","")))))</f>
        <v/>
      </c>
      <c r="W101" s="8">
        <f>IF(OR($B101="",$G101=""),"",IF(SUMPRODUCT(('利用者マスタ'!$A$4:$A$60=$B101)*('利用者マスタ'!$B$4:$B$60&lt;&gt;""))=0,"",IF(SUMIFS($X$5:$X$204,$B$5:$B$204,$B101,$G$5:$G$204,"&gt;="&amp;DATE(YEAR($G101),MONTH($G101),1),$G$5:$G$204,"&lt;="&amp;EOMONTH($G101,0))&gt;SUMIFS('利用者マスタ'!$B$4:$B$60,'利用者マスタ'!$A$4:$A$60,$B101),"⚠支給量超過","")))</f>
        <v/>
      </c>
      <c r="X101" s="8">
        <f>IF(OR($G101="",$J101="",$N101="キャンセル"),0,IF(IFERROR(INDEX('M_区分'!$B$4:$B$20,MATCH($C101,'M_区分'!$A$4:$A$20,0)),"○")="○",$J101-$G101+1,0))</f>
        <v/>
      </c>
      <c r="Y101" s="8">
        <f>IF($E101&lt;&gt;"",$E101,$Y100)</f>
        <v/>
      </c>
      <c r="Z101" s="8">
        <f>IF(OR($G101="",$J101=""),"",IF(AND($G101&lt;=EOMONTH('02_カレンダー'!$B$4,0),$J101&gt;='02_カレンダー'!$B$4),$G101*10000+ROW(),""))</f>
        <v/>
      </c>
      <c r="AA101" s="8">
        <f>IF($H101="","",IF(ISNUMBER($H101),IF(AND($H101=INT($H101),$H101&gt;=0,$H101&lt;=24),TEXT(INT($H101),"00")&amp;":00",TEXT($H101,"hh:mm")),$H101))</f>
        <v/>
      </c>
      <c r="AB101" s="8">
        <f>IF($K101="","",IF(ISNUMBER($K101),IF(AND($K101=INT($K101),$K101&gt;=0,$K101&lt;=24),TEXT(INT($K101),"00")&amp;":00",TEXT($K101,"hh:mm")),$K101))</f>
        <v/>
      </c>
      <c r="AC101" s="8">
        <f>IF($G101="",0,$G101)</f>
        <v/>
      </c>
      <c r="AD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IF($F102="","",IF($F102&gt;31,$F102,IF($Y102="","",DATE(YEAR($Y102),MONTH($Y102),$F102))))</f>
        <v/>
      </c>
      <c r="H102" s="9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9" t="n"/>
      <c r="L102" s="8">
        <f>IF(OR($G102="",$J102=""),"",$J102-$G102+1)</f>
        <v/>
      </c>
      <c r="M102" s="8">
        <f>IF(OR($G102="",$J102=""),"",$J102-$G102)</f>
        <v/>
      </c>
      <c r="N102" s="9" t="n"/>
      <c r="O102" s="9" t="n"/>
      <c r="P102" s="9" t="n"/>
      <c r="Q102" s="9" t="n"/>
      <c r="R102" s="9" t="n"/>
      <c r="S102" s="9" t="n"/>
      <c r="T102" s="13" t="n"/>
      <c r="U102" s="9" t="n"/>
      <c r="V102" s="8">
        <f>IF($G102="","",IF($D102="","⚠部屋が未選択",IF(COUNTIF('M_部屋'!$A$4:$A$20,$D102)=0,"⚠部屋が未登録",IF(OR($J102="",$N102="キャンセル"),"",IF(SUMPRODUCT(($D$5:$D$204=$D102)*($G$5:$G$204&lt;&gt;"")*($J$5:$J$204&lt;&gt;"")*($N$5:$N$204&lt;&gt;"キャンセル")*($G$5:$G$204&lt;$J102)*($J$5:$J$204&gt;$G102))&gt;1,"⚠重複","")))))</f>
        <v/>
      </c>
      <c r="W102" s="8">
        <f>IF(OR($B102="",$G102=""),"",IF(SUMPRODUCT(('利用者マスタ'!$A$4:$A$60=$B102)*('利用者マスタ'!$B$4:$B$60&lt;&gt;""))=0,"",IF(SUMIFS($X$5:$X$204,$B$5:$B$204,$B102,$G$5:$G$204,"&gt;="&amp;DATE(YEAR($G102),MONTH($G102),1),$G$5:$G$204,"&lt;="&amp;EOMONTH($G102,0))&gt;SUMIFS('利用者マスタ'!$B$4:$B$60,'利用者マスタ'!$A$4:$A$60,$B102),"⚠支給量超過","")))</f>
        <v/>
      </c>
      <c r="X102" s="8">
        <f>IF(OR($G102="",$J102="",$N102="キャンセル"),0,IF(IFERROR(INDEX('M_区分'!$B$4:$B$20,MATCH($C102,'M_区分'!$A$4:$A$20,0)),"○")="○",$J102-$G102+1,0))</f>
        <v/>
      </c>
      <c r="Y102" s="8">
        <f>IF($E102&lt;&gt;"",$E102,$Y101)</f>
        <v/>
      </c>
      <c r="Z102" s="8">
        <f>IF(OR($G102="",$J102=""),"",IF(AND($G102&lt;=EOMONTH('02_カレンダー'!$B$4,0),$J102&gt;='02_カレンダー'!$B$4),$G102*10000+ROW(),""))</f>
        <v/>
      </c>
      <c r="AA102" s="8">
        <f>IF($H102="","",IF(ISNUMBER($H102),IF(AND($H102=INT($H102),$H102&gt;=0,$H102&lt;=24),TEXT(INT($H102),"00")&amp;":00",TEXT($H102,"hh:mm")),$H102))</f>
        <v/>
      </c>
      <c r="AB102" s="8">
        <f>IF($K102="","",IF(ISNUMBER($K102),IF(AND($K102=INT($K102),$K102&gt;=0,$K102&lt;=24),TEXT(INT($K102),"00")&amp;":00",TEXT($K102,"hh:mm")),$K102))</f>
        <v/>
      </c>
      <c r="AC102" s="8">
        <f>IF($G102="",0,$G102)</f>
        <v/>
      </c>
      <c r="AD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IF($F103="","",IF($F103&gt;31,$F103,IF($Y103="","",DATE(YEAR($Y103),MONTH($Y103),$F103))))</f>
        <v/>
      </c>
      <c r="H103" s="9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9" t="n"/>
      <c r="L103" s="8">
        <f>IF(OR($G103="",$J103=""),"",$J103-$G103+1)</f>
        <v/>
      </c>
      <c r="M103" s="8">
        <f>IF(OR($G103="",$J103=""),"",$J103-$G103)</f>
        <v/>
      </c>
      <c r="N103" s="9" t="n"/>
      <c r="O103" s="9" t="n"/>
      <c r="P103" s="9" t="n"/>
      <c r="Q103" s="9" t="n"/>
      <c r="R103" s="9" t="n"/>
      <c r="S103" s="9" t="n"/>
      <c r="T103" s="13" t="n"/>
      <c r="U103" s="9" t="n"/>
      <c r="V103" s="8">
        <f>IF($G103="","",IF($D103="","⚠部屋が未選択",IF(COUNTIF('M_部屋'!$A$4:$A$20,$D103)=0,"⚠部屋が未登録",IF(OR($J103="",$N103="キャンセル"),"",IF(SUMPRODUCT(($D$5:$D$204=$D103)*($G$5:$G$204&lt;&gt;"")*($J$5:$J$204&lt;&gt;"")*($N$5:$N$204&lt;&gt;"キャンセル")*($G$5:$G$204&lt;$J103)*($J$5:$J$204&gt;$G103))&gt;1,"⚠重複","")))))</f>
        <v/>
      </c>
      <c r="W103" s="8">
        <f>IF(OR($B103="",$G103=""),"",IF(SUMPRODUCT(('利用者マスタ'!$A$4:$A$60=$B103)*('利用者マスタ'!$B$4:$B$60&lt;&gt;""))=0,"",IF(SUMIFS($X$5:$X$204,$B$5:$B$204,$B103,$G$5:$G$204,"&gt;="&amp;DATE(YEAR($G103),MONTH($G103),1),$G$5:$G$204,"&lt;="&amp;EOMONTH($G103,0))&gt;SUMIFS('利用者マスタ'!$B$4:$B$60,'利用者マスタ'!$A$4:$A$60,$B103),"⚠支給量超過","")))</f>
        <v/>
      </c>
      <c r="X103" s="8">
        <f>IF(OR($G103="",$J103="",$N103="キャンセル"),0,IF(IFERROR(INDEX('M_区分'!$B$4:$B$20,MATCH($C103,'M_区分'!$A$4:$A$20,0)),"○")="○",$J103-$G103+1,0))</f>
        <v/>
      </c>
      <c r="Y103" s="8">
        <f>IF($E103&lt;&gt;"",$E103,$Y102)</f>
        <v/>
      </c>
      <c r="Z103" s="8">
        <f>IF(OR($G103="",$J103=""),"",IF(AND($G103&lt;=EOMONTH('02_カレンダー'!$B$4,0),$J103&gt;='02_カレンダー'!$B$4),$G103*10000+ROW(),""))</f>
        <v/>
      </c>
      <c r="AA103" s="8">
        <f>IF($H103="","",IF(ISNUMBER($H103),IF(AND($H103=INT($H103),$H103&gt;=0,$H103&lt;=24),TEXT(INT($H103),"00")&amp;":00",TEXT($H103,"hh:mm")),$H103))</f>
        <v/>
      </c>
      <c r="AB103" s="8">
        <f>IF($K103="","",IF(ISNUMBER($K103),IF(AND($K103=INT($K103),$K103&gt;=0,$K103&lt;=24),TEXT(INT($K103),"00")&amp;":00",TEXT($K103,"hh:mm")),$K103))</f>
        <v/>
      </c>
      <c r="AC103" s="8">
        <f>IF($G103="",0,$G103)</f>
        <v/>
      </c>
      <c r="AD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IF($F104="","",IF($F104&gt;31,$F104,IF($Y104="","",DATE(YEAR($Y104),MONTH($Y104),$F104))))</f>
        <v/>
      </c>
      <c r="H104" s="9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9" t="n"/>
      <c r="L104" s="8">
        <f>IF(OR($G104="",$J104=""),"",$J104-$G104+1)</f>
        <v/>
      </c>
      <c r="M104" s="8">
        <f>IF(OR($G104="",$J104=""),"",$J104-$G104)</f>
        <v/>
      </c>
      <c r="N104" s="9" t="n"/>
      <c r="O104" s="9" t="n"/>
      <c r="P104" s="9" t="n"/>
      <c r="Q104" s="9" t="n"/>
      <c r="R104" s="9" t="n"/>
      <c r="S104" s="9" t="n"/>
      <c r="T104" s="13" t="n"/>
      <c r="U104" s="9" t="n"/>
      <c r="V104" s="8">
        <f>IF($G104="","",IF($D104="","⚠部屋が未選択",IF(COUNTIF('M_部屋'!$A$4:$A$20,$D104)=0,"⚠部屋が未登録",IF(OR($J104="",$N104="キャンセル"),"",IF(SUMPRODUCT(($D$5:$D$204=$D104)*($G$5:$G$204&lt;&gt;"")*($J$5:$J$204&lt;&gt;"")*($N$5:$N$204&lt;&gt;"キャンセル")*($G$5:$G$204&lt;$J104)*($J$5:$J$204&gt;$G104))&gt;1,"⚠重複","")))))</f>
        <v/>
      </c>
      <c r="W104" s="8">
        <f>IF(OR($B104="",$G104=""),"",IF(SUMPRODUCT(('利用者マスタ'!$A$4:$A$60=$B104)*('利用者マスタ'!$B$4:$B$60&lt;&gt;""))=0,"",IF(SUMIFS($X$5:$X$204,$B$5:$B$204,$B104,$G$5:$G$204,"&gt;="&amp;DATE(YEAR($G104),MONTH($G104),1),$G$5:$G$204,"&lt;="&amp;EOMONTH($G104,0))&gt;SUMIFS('利用者マスタ'!$B$4:$B$60,'利用者マスタ'!$A$4:$A$60,$B104),"⚠支給量超過","")))</f>
        <v/>
      </c>
      <c r="X104" s="8">
        <f>IF(OR($G104="",$J104="",$N104="キャンセル"),0,IF(IFERROR(INDEX('M_区分'!$B$4:$B$20,MATCH($C104,'M_区分'!$A$4:$A$20,0)),"○")="○",$J104-$G104+1,0))</f>
        <v/>
      </c>
      <c r="Y104" s="8">
        <f>IF($E104&lt;&gt;"",$E104,$Y103)</f>
        <v/>
      </c>
      <c r="Z104" s="8">
        <f>IF(OR($G104="",$J104=""),"",IF(AND($G104&lt;=EOMONTH('02_カレンダー'!$B$4,0),$J104&gt;='02_カレンダー'!$B$4),$G104*10000+ROW(),""))</f>
        <v/>
      </c>
      <c r="AA104" s="8">
        <f>IF($H104="","",IF(ISNUMBER($H104),IF(AND($H104=INT($H104),$H104&gt;=0,$H104&lt;=24),TEXT(INT($H104),"00")&amp;":00",TEXT($H104,"hh:mm")),$H104))</f>
        <v/>
      </c>
      <c r="AB104" s="8">
        <f>IF($K104="","",IF(ISNUMBER($K104),IF(AND($K104=INT($K104),$K104&gt;=0,$K104&lt;=24),TEXT(INT($K104),"00")&amp;":00",TEXT($K104,"hh:mm")),$K104))</f>
        <v/>
      </c>
      <c r="AC104" s="8">
        <f>IF($G104="",0,$G104)</f>
        <v/>
      </c>
      <c r="AD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IF($F105="","",IF($F105&gt;31,$F105,IF($Y105="","",DATE(YEAR($Y105),MONTH($Y105),$F105))))</f>
        <v/>
      </c>
      <c r="H105" s="9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9" t="n"/>
      <c r="L105" s="8">
        <f>IF(OR($G105="",$J105=""),"",$J105-$G105+1)</f>
        <v/>
      </c>
      <c r="M105" s="8">
        <f>IF(OR($G105="",$J105=""),"",$J105-$G105)</f>
        <v/>
      </c>
      <c r="N105" s="9" t="n"/>
      <c r="O105" s="9" t="n"/>
      <c r="P105" s="9" t="n"/>
      <c r="Q105" s="9" t="n"/>
      <c r="R105" s="9" t="n"/>
      <c r="S105" s="9" t="n"/>
      <c r="T105" s="13" t="n"/>
      <c r="U105" s="9" t="n"/>
      <c r="V105" s="8">
        <f>IF($G105="","",IF($D105="","⚠部屋が未選択",IF(COUNTIF('M_部屋'!$A$4:$A$20,$D105)=0,"⚠部屋が未登録",IF(OR($J105="",$N105="キャンセル"),"",IF(SUMPRODUCT(($D$5:$D$204=$D105)*($G$5:$G$204&lt;&gt;"")*($J$5:$J$204&lt;&gt;"")*($N$5:$N$204&lt;&gt;"キャンセル")*($G$5:$G$204&lt;$J105)*($J$5:$J$204&gt;$G105))&gt;1,"⚠重複","")))))</f>
        <v/>
      </c>
      <c r="W105" s="8">
        <f>IF(OR($B105="",$G105=""),"",IF(SUMPRODUCT(('利用者マスタ'!$A$4:$A$60=$B105)*('利用者マスタ'!$B$4:$B$60&lt;&gt;""))=0,"",IF(SUMIFS($X$5:$X$204,$B$5:$B$204,$B105,$G$5:$G$204,"&gt;="&amp;DATE(YEAR($G105),MONTH($G105),1),$G$5:$G$204,"&lt;="&amp;EOMONTH($G105,0))&gt;SUMIFS('利用者マスタ'!$B$4:$B$60,'利用者マスタ'!$A$4:$A$60,$B105),"⚠支給量超過","")))</f>
        <v/>
      </c>
      <c r="X105" s="8">
        <f>IF(OR($G105="",$J105="",$N105="キャンセル"),0,IF(IFERROR(INDEX('M_区分'!$B$4:$B$20,MATCH($C105,'M_区分'!$A$4:$A$20,0)),"○")="○",$J105-$G105+1,0))</f>
        <v/>
      </c>
      <c r="Y105" s="8">
        <f>IF($E105&lt;&gt;"",$E105,$Y104)</f>
        <v/>
      </c>
      <c r="Z105" s="8">
        <f>IF(OR($G105="",$J105=""),"",IF(AND($G105&lt;=EOMONTH('02_カレンダー'!$B$4,0),$J105&gt;='02_カレンダー'!$B$4),$G105*10000+ROW(),""))</f>
        <v/>
      </c>
      <c r="AA105" s="8">
        <f>IF($H105="","",IF(ISNUMBER($H105),IF(AND($H105=INT($H105),$H105&gt;=0,$H105&lt;=24),TEXT(INT($H105),"00")&amp;":00",TEXT($H105,"hh:mm")),$H105))</f>
        <v/>
      </c>
      <c r="AB105" s="8">
        <f>IF($K105="","",IF(ISNUMBER($K105),IF(AND($K105=INT($K105),$K105&gt;=0,$K105&lt;=24),TEXT(INT($K105),"00")&amp;":00",TEXT($K105,"hh:mm")),$K105))</f>
        <v/>
      </c>
      <c r="AC105" s="8">
        <f>IF($G105="",0,$G105)</f>
        <v/>
      </c>
      <c r="AD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IF($F106="","",IF($F106&gt;31,$F106,IF($Y106="","",DATE(YEAR($Y106),MONTH($Y106),$F106))))</f>
        <v/>
      </c>
      <c r="H106" s="9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9" t="n"/>
      <c r="L106" s="8">
        <f>IF(OR($G106="",$J106=""),"",$J106-$G106+1)</f>
        <v/>
      </c>
      <c r="M106" s="8">
        <f>IF(OR($G106="",$J106=""),"",$J106-$G106)</f>
        <v/>
      </c>
      <c r="N106" s="9" t="n"/>
      <c r="O106" s="9" t="n"/>
      <c r="P106" s="9" t="n"/>
      <c r="Q106" s="9" t="n"/>
      <c r="R106" s="9" t="n"/>
      <c r="S106" s="9" t="n"/>
      <c r="T106" s="13" t="n"/>
      <c r="U106" s="9" t="n"/>
      <c r="V106" s="8">
        <f>IF($G106="","",IF($D106="","⚠部屋が未選択",IF(COUNTIF('M_部屋'!$A$4:$A$20,$D106)=0,"⚠部屋が未登録",IF(OR($J106="",$N106="キャンセル"),"",IF(SUMPRODUCT(($D$5:$D$204=$D106)*($G$5:$G$204&lt;&gt;"")*($J$5:$J$204&lt;&gt;"")*($N$5:$N$204&lt;&gt;"キャンセル")*($G$5:$G$204&lt;$J106)*($J$5:$J$204&gt;$G106))&gt;1,"⚠重複","")))))</f>
        <v/>
      </c>
      <c r="W106" s="8">
        <f>IF(OR($B106="",$G106=""),"",IF(SUMPRODUCT(('利用者マスタ'!$A$4:$A$60=$B106)*('利用者マスタ'!$B$4:$B$60&lt;&gt;""))=0,"",IF(SUMIFS($X$5:$X$204,$B$5:$B$204,$B106,$G$5:$G$204,"&gt;="&amp;DATE(YEAR($G106),MONTH($G106),1),$G$5:$G$204,"&lt;="&amp;EOMONTH($G106,0))&gt;SUMIFS('利用者マスタ'!$B$4:$B$60,'利用者マスタ'!$A$4:$A$60,$B106),"⚠支給量超過","")))</f>
        <v/>
      </c>
      <c r="X106" s="8">
        <f>IF(OR($G106="",$J106="",$N106="キャンセル"),0,IF(IFERROR(INDEX('M_区分'!$B$4:$B$20,MATCH($C106,'M_区分'!$A$4:$A$20,0)),"○")="○",$J106-$G106+1,0))</f>
        <v/>
      </c>
      <c r="Y106" s="8">
        <f>IF($E106&lt;&gt;"",$E106,$Y105)</f>
        <v/>
      </c>
      <c r="Z106" s="8">
        <f>IF(OR($G106="",$J106=""),"",IF(AND($G106&lt;=EOMONTH('02_カレンダー'!$B$4,0),$J106&gt;='02_カレンダー'!$B$4),$G106*10000+ROW(),""))</f>
        <v/>
      </c>
      <c r="AA106" s="8">
        <f>IF($H106="","",IF(ISNUMBER($H106),IF(AND($H106=INT($H106),$H106&gt;=0,$H106&lt;=24),TEXT(INT($H106),"00")&amp;":00",TEXT($H106,"hh:mm")),$H106))</f>
        <v/>
      </c>
      <c r="AB106" s="8">
        <f>IF($K106="","",IF(ISNUMBER($K106),IF(AND($K106=INT($K106),$K106&gt;=0,$K106&lt;=24),TEXT(INT($K106),"00")&amp;":00",TEXT($K106,"hh:mm")),$K106))</f>
        <v/>
      </c>
      <c r="AC106" s="8">
        <f>IF($G106="",0,$G106)</f>
        <v/>
      </c>
      <c r="AD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IF($F107="","",IF($F107&gt;31,$F107,IF($Y107="","",DATE(YEAR($Y107),MONTH($Y107),$F107))))</f>
        <v/>
      </c>
      <c r="H107" s="9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9" t="n"/>
      <c r="L107" s="8">
        <f>IF(OR($G107="",$J107=""),"",$J107-$G107+1)</f>
        <v/>
      </c>
      <c r="M107" s="8">
        <f>IF(OR($G107="",$J107=""),"",$J107-$G107)</f>
        <v/>
      </c>
      <c r="N107" s="9" t="n"/>
      <c r="O107" s="9" t="n"/>
      <c r="P107" s="9" t="n"/>
      <c r="Q107" s="9" t="n"/>
      <c r="R107" s="9" t="n"/>
      <c r="S107" s="9" t="n"/>
      <c r="T107" s="13" t="n"/>
      <c r="U107" s="9" t="n"/>
      <c r="V107" s="8">
        <f>IF($G107="","",IF($D107="","⚠部屋が未選択",IF(COUNTIF('M_部屋'!$A$4:$A$20,$D107)=0,"⚠部屋が未登録",IF(OR($J107="",$N107="キャンセル"),"",IF(SUMPRODUCT(($D$5:$D$204=$D107)*($G$5:$G$204&lt;&gt;"")*($J$5:$J$204&lt;&gt;"")*($N$5:$N$204&lt;&gt;"キャンセル")*($G$5:$G$204&lt;$J107)*($J$5:$J$204&gt;$G107))&gt;1,"⚠重複","")))))</f>
        <v/>
      </c>
      <c r="W107" s="8">
        <f>IF(OR($B107="",$G107=""),"",IF(SUMPRODUCT(('利用者マスタ'!$A$4:$A$60=$B107)*('利用者マスタ'!$B$4:$B$60&lt;&gt;""))=0,"",IF(SUMIFS($X$5:$X$204,$B$5:$B$204,$B107,$G$5:$G$204,"&gt;="&amp;DATE(YEAR($G107),MONTH($G107),1),$G$5:$G$204,"&lt;="&amp;EOMONTH($G107,0))&gt;SUMIFS('利用者マスタ'!$B$4:$B$60,'利用者マスタ'!$A$4:$A$60,$B107),"⚠支給量超過","")))</f>
        <v/>
      </c>
      <c r="X107" s="8">
        <f>IF(OR($G107="",$J107="",$N107="キャンセル"),0,IF(IFERROR(INDEX('M_区分'!$B$4:$B$20,MATCH($C107,'M_区分'!$A$4:$A$20,0)),"○")="○",$J107-$G107+1,0))</f>
        <v/>
      </c>
      <c r="Y107" s="8">
        <f>IF($E107&lt;&gt;"",$E107,$Y106)</f>
        <v/>
      </c>
      <c r="Z107" s="8">
        <f>IF(OR($G107="",$J107=""),"",IF(AND($G107&lt;=EOMONTH('02_カレンダー'!$B$4,0),$J107&gt;='02_カレンダー'!$B$4),$G107*10000+ROW(),""))</f>
        <v/>
      </c>
      <c r="AA107" s="8">
        <f>IF($H107="","",IF(ISNUMBER($H107),IF(AND($H107=INT($H107),$H107&gt;=0,$H107&lt;=24),TEXT(INT($H107),"00")&amp;":00",TEXT($H107,"hh:mm")),$H107))</f>
        <v/>
      </c>
      <c r="AB107" s="8">
        <f>IF($K107="","",IF(ISNUMBER($K107),IF(AND($K107=INT($K107),$K107&gt;=0,$K107&lt;=24),TEXT(INT($K107),"00")&amp;":00",TEXT($K107,"hh:mm")),$K107))</f>
        <v/>
      </c>
      <c r="AC107" s="8">
        <f>IF($G107="",0,$G107)</f>
        <v/>
      </c>
      <c r="AD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IF($F108="","",IF($F108&gt;31,$F108,IF($Y108="","",DATE(YEAR($Y108),MONTH($Y108),$F108))))</f>
        <v/>
      </c>
      <c r="H108" s="9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9" t="n"/>
      <c r="L108" s="8">
        <f>IF(OR($G108="",$J108=""),"",$J108-$G108+1)</f>
        <v/>
      </c>
      <c r="M108" s="8">
        <f>IF(OR($G108="",$J108=""),"",$J108-$G108)</f>
        <v/>
      </c>
      <c r="N108" s="9" t="n"/>
      <c r="O108" s="9" t="n"/>
      <c r="P108" s="9" t="n"/>
      <c r="Q108" s="9" t="n"/>
      <c r="R108" s="9" t="n"/>
      <c r="S108" s="9" t="n"/>
      <c r="T108" s="13" t="n"/>
      <c r="U108" s="9" t="n"/>
      <c r="V108" s="8">
        <f>IF($G108="","",IF($D108="","⚠部屋が未選択",IF(COUNTIF('M_部屋'!$A$4:$A$20,$D108)=0,"⚠部屋が未登録",IF(OR($J108="",$N108="キャンセル"),"",IF(SUMPRODUCT(($D$5:$D$204=$D108)*($G$5:$G$204&lt;&gt;"")*($J$5:$J$204&lt;&gt;"")*($N$5:$N$204&lt;&gt;"キャンセル")*($G$5:$G$204&lt;$J108)*($J$5:$J$204&gt;$G108))&gt;1,"⚠重複","")))))</f>
        <v/>
      </c>
      <c r="W108" s="8">
        <f>IF(OR($B108="",$G108=""),"",IF(SUMPRODUCT(('利用者マスタ'!$A$4:$A$60=$B108)*('利用者マスタ'!$B$4:$B$60&lt;&gt;""))=0,"",IF(SUMIFS($X$5:$X$204,$B$5:$B$204,$B108,$G$5:$G$204,"&gt;="&amp;DATE(YEAR($G108),MONTH($G108),1),$G$5:$G$204,"&lt;="&amp;EOMONTH($G108,0))&gt;SUMIFS('利用者マスタ'!$B$4:$B$60,'利用者マスタ'!$A$4:$A$60,$B108),"⚠支給量超過","")))</f>
        <v/>
      </c>
      <c r="X108" s="8">
        <f>IF(OR($G108="",$J108="",$N108="キャンセル"),0,IF(IFERROR(INDEX('M_区分'!$B$4:$B$20,MATCH($C108,'M_区分'!$A$4:$A$20,0)),"○")="○",$J108-$G108+1,0))</f>
        <v/>
      </c>
      <c r="Y108" s="8">
        <f>IF($E108&lt;&gt;"",$E108,$Y107)</f>
        <v/>
      </c>
      <c r="Z108" s="8">
        <f>IF(OR($G108="",$J108=""),"",IF(AND($G108&lt;=EOMONTH('02_カレンダー'!$B$4,0),$J108&gt;='02_カレンダー'!$B$4),$G108*10000+ROW(),""))</f>
        <v/>
      </c>
      <c r="AA108" s="8">
        <f>IF($H108="","",IF(ISNUMBER($H108),IF(AND($H108=INT($H108),$H108&gt;=0,$H108&lt;=24),TEXT(INT($H108),"00")&amp;":00",TEXT($H108,"hh:mm")),$H108))</f>
        <v/>
      </c>
      <c r="AB108" s="8">
        <f>IF($K108="","",IF(ISNUMBER($K108),IF(AND($K108=INT($K108),$K108&gt;=0,$K108&lt;=24),TEXT(INT($K108),"00")&amp;":00",TEXT($K108,"hh:mm")),$K108))</f>
        <v/>
      </c>
      <c r="AC108" s="8">
        <f>IF($G108="",0,$G108)</f>
        <v/>
      </c>
      <c r="AD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IF($F109="","",IF($F109&gt;31,$F109,IF($Y109="","",DATE(YEAR($Y109),MONTH($Y109),$F109))))</f>
        <v/>
      </c>
      <c r="H109" s="9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9" t="n"/>
      <c r="L109" s="8">
        <f>IF(OR($G109="",$J109=""),"",$J109-$G109+1)</f>
        <v/>
      </c>
      <c r="M109" s="8">
        <f>IF(OR($G109="",$J109=""),"",$J109-$G109)</f>
        <v/>
      </c>
      <c r="N109" s="9" t="n"/>
      <c r="O109" s="9" t="n"/>
      <c r="P109" s="9" t="n"/>
      <c r="Q109" s="9" t="n"/>
      <c r="R109" s="9" t="n"/>
      <c r="S109" s="9" t="n"/>
      <c r="T109" s="13" t="n"/>
      <c r="U109" s="9" t="n"/>
      <c r="V109" s="8">
        <f>IF($G109="","",IF($D109="","⚠部屋が未選択",IF(COUNTIF('M_部屋'!$A$4:$A$20,$D109)=0,"⚠部屋が未登録",IF(OR($J109="",$N109="キャンセル"),"",IF(SUMPRODUCT(($D$5:$D$204=$D109)*($G$5:$G$204&lt;&gt;"")*($J$5:$J$204&lt;&gt;"")*($N$5:$N$204&lt;&gt;"キャンセル")*($G$5:$G$204&lt;$J109)*($J$5:$J$204&gt;$G109))&gt;1,"⚠重複","")))))</f>
        <v/>
      </c>
      <c r="W109" s="8">
        <f>IF(OR($B109="",$G109=""),"",IF(SUMPRODUCT(('利用者マスタ'!$A$4:$A$60=$B109)*('利用者マスタ'!$B$4:$B$60&lt;&gt;""))=0,"",IF(SUMIFS($X$5:$X$204,$B$5:$B$204,$B109,$G$5:$G$204,"&gt;="&amp;DATE(YEAR($G109),MONTH($G109),1),$G$5:$G$204,"&lt;="&amp;EOMONTH($G109,0))&gt;SUMIFS('利用者マスタ'!$B$4:$B$60,'利用者マスタ'!$A$4:$A$60,$B109),"⚠支給量超過","")))</f>
        <v/>
      </c>
      <c r="X109" s="8">
        <f>IF(OR($G109="",$J109="",$N109="キャンセル"),0,IF(IFERROR(INDEX('M_区分'!$B$4:$B$20,MATCH($C109,'M_区分'!$A$4:$A$20,0)),"○")="○",$J109-$G109+1,0))</f>
        <v/>
      </c>
      <c r="Y109" s="8">
        <f>IF($E109&lt;&gt;"",$E109,$Y108)</f>
        <v/>
      </c>
      <c r="Z109" s="8">
        <f>IF(OR($G109="",$J109=""),"",IF(AND($G109&lt;=EOMONTH('02_カレンダー'!$B$4,0),$J109&gt;='02_カレンダー'!$B$4),$G109*10000+ROW(),""))</f>
        <v/>
      </c>
      <c r="AA109" s="8">
        <f>IF($H109="","",IF(ISNUMBER($H109),IF(AND($H109=INT($H109),$H109&gt;=0,$H109&lt;=24),TEXT(INT($H109),"00")&amp;":00",TEXT($H109,"hh:mm")),$H109))</f>
        <v/>
      </c>
      <c r="AB109" s="8">
        <f>IF($K109="","",IF(ISNUMBER($K109),IF(AND($K109=INT($K109),$K109&gt;=0,$K109&lt;=24),TEXT(INT($K109),"00")&amp;":00",TEXT($K109,"hh:mm")),$K109))</f>
        <v/>
      </c>
      <c r="AC109" s="8">
        <f>IF($G109="",0,$G109)</f>
        <v/>
      </c>
      <c r="AD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IF($F110="","",IF($F110&gt;31,$F110,IF($Y110="","",DATE(YEAR($Y110),MONTH($Y110),$F110))))</f>
        <v/>
      </c>
      <c r="H110" s="9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9" t="n"/>
      <c r="L110" s="8">
        <f>IF(OR($G110="",$J110=""),"",$J110-$G110+1)</f>
        <v/>
      </c>
      <c r="M110" s="8">
        <f>IF(OR($G110="",$J110=""),"",$J110-$G110)</f>
        <v/>
      </c>
      <c r="N110" s="9" t="n"/>
      <c r="O110" s="9" t="n"/>
      <c r="P110" s="9" t="n"/>
      <c r="Q110" s="9" t="n"/>
      <c r="R110" s="9" t="n"/>
      <c r="S110" s="9" t="n"/>
      <c r="T110" s="13" t="n"/>
      <c r="U110" s="9" t="n"/>
      <c r="V110" s="8">
        <f>IF($G110="","",IF($D110="","⚠部屋が未選択",IF(COUNTIF('M_部屋'!$A$4:$A$20,$D110)=0,"⚠部屋が未登録",IF(OR($J110="",$N110="キャンセル"),"",IF(SUMPRODUCT(($D$5:$D$204=$D110)*($G$5:$G$204&lt;&gt;"")*($J$5:$J$204&lt;&gt;"")*($N$5:$N$204&lt;&gt;"キャンセル")*($G$5:$G$204&lt;$J110)*($J$5:$J$204&gt;$G110))&gt;1,"⚠重複","")))))</f>
        <v/>
      </c>
      <c r="W110" s="8">
        <f>IF(OR($B110="",$G110=""),"",IF(SUMPRODUCT(('利用者マスタ'!$A$4:$A$60=$B110)*('利用者マスタ'!$B$4:$B$60&lt;&gt;""))=0,"",IF(SUMIFS($X$5:$X$204,$B$5:$B$204,$B110,$G$5:$G$204,"&gt;="&amp;DATE(YEAR($G110),MONTH($G110),1),$G$5:$G$204,"&lt;="&amp;EOMONTH($G110,0))&gt;SUMIFS('利用者マスタ'!$B$4:$B$60,'利用者マスタ'!$A$4:$A$60,$B110),"⚠支給量超過","")))</f>
        <v/>
      </c>
      <c r="X110" s="8">
        <f>IF(OR($G110="",$J110="",$N110="キャンセル"),0,IF(IFERROR(INDEX('M_区分'!$B$4:$B$20,MATCH($C110,'M_区分'!$A$4:$A$20,0)),"○")="○",$J110-$G110+1,0))</f>
        <v/>
      </c>
      <c r="Y110" s="8">
        <f>IF($E110&lt;&gt;"",$E110,$Y109)</f>
        <v/>
      </c>
      <c r="Z110" s="8">
        <f>IF(OR($G110="",$J110=""),"",IF(AND($G110&lt;=EOMONTH('02_カレンダー'!$B$4,0),$J110&gt;='02_カレンダー'!$B$4),$G110*10000+ROW(),""))</f>
        <v/>
      </c>
      <c r="AA110" s="8">
        <f>IF($H110="","",IF(ISNUMBER($H110),IF(AND($H110=INT($H110),$H110&gt;=0,$H110&lt;=24),TEXT(INT($H110),"00")&amp;":00",TEXT($H110,"hh:mm")),$H110))</f>
        <v/>
      </c>
      <c r="AB110" s="8">
        <f>IF($K110="","",IF(ISNUMBER($K110),IF(AND($K110=INT($K110),$K110&gt;=0,$K110&lt;=24),TEXT(INT($K110),"00")&amp;":00",TEXT($K110,"hh:mm")),$K110))</f>
        <v/>
      </c>
      <c r="AC110" s="8">
        <f>IF($G110="",0,$G110)</f>
        <v/>
      </c>
      <c r="AD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IF($F111="","",IF($F111&gt;31,$F111,IF($Y111="","",DATE(YEAR($Y111),MONTH($Y111),$F111))))</f>
        <v/>
      </c>
      <c r="H111" s="9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9" t="n"/>
      <c r="L111" s="8">
        <f>IF(OR($G111="",$J111=""),"",$J111-$G111+1)</f>
        <v/>
      </c>
      <c r="M111" s="8">
        <f>IF(OR($G111="",$J111=""),"",$J111-$G111)</f>
        <v/>
      </c>
      <c r="N111" s="9" t="n"/>
      <c r="O111" s="9" t="n"/>
      <c r="P111" s="9" t="n"/>
      <c r="Q111" s="9" t="n"/>
      <c r="R111" s="9" t="n"/>
      <c r="S111" s="9" t="n"/>
      <c r="T111" s="13" t="n"/>
      <c r="U111" s="9" t="n"/>
      <c r="V111" s="8">
        <f>IF($G111="","",IF($D111="","⚠部屋が未選択",IF(COUNTIF('M_部屋'!$A$4:$A$20,$D111)=0,"⚠部屋が未登録",IF(OR($J111="",$N111="キャンセル"),"",IF(SUMPRODUCT(($D$5:$D$204=$D111)*($G$5:$G$204&lt;&gt;"")*($J$5:$J$204&lt;&gt;"")*($N$5:$N$204&lt;&gt;"キャンセル")*($G$5:$G$204&lt;$J111)*($J$5:$J$204&gt;$G111))&gt;1,"⚠重複","")))))</f>
        <v/>
      </c>
      <c r="W111" s="8">
        <f>IF(OR($B111="",$G111=""),"",IF(SUMPRODUCT(('利用者マスタ'!$A$4:$A$60=$B111)*('利用者マスタ'!$B$4:$B$60&lt;&gt;""))=0,"",IF(SUMIFS($X$5:$X$204,$B$5:$B$204,$B111,$G$5:$G$204,"&gt;="&amp;DATE(YEAR($G111),MONTH($G111),1),$G$5:$G$204,"&lt;="&amp;EOMONTH($G111,0))&gt;SUMIFS('利用者マスタ'!$B$4:$B$60,'利用者マスタ'!$A$4:$A$60,$B111),"⚠支給量超過","")))</f>
        <v/>
      </c>
      <c r="X111" s="8">
        <f>IF(OR($G111="",$J111="",$N111="キャンセル"),0,IF(IFERROR(INDEX('M_区分'!$B$4:$B$20,MATCH($C111,'M_区分'!$A$4:$A$20,0)),"○")="○",$J111-$G111+1,0))</f>
        <v/>
      </c>
      <c r="Y111" s="8">
        <f>IF($E111&lt;&gt;"",$E111,$Y110)</f>
        <v/>
      </c>
      <c r="Z111" s="8">
        <f>IF(OR($G111="",$J111=""),"",IF(AND($G111&lt;=EOMONTH('02_カレンダー'!$B$4,0),$J111&gt;='02_カレンダー'!$B$4),$G111*10000+ROW(),""))</f>
        <v/>
      </c>
      <c r="AA111" s="8">
        <f>IF($H111="","",IF(ISNUMBER($H111),IF(AND($H111=INT($H111),$H111&gt;=0,$H111&lt;=24),TEXT(INT($H111),"00")&amp;":00",TEXT($H111,"hh:mm")),$H111))</f>
        <v/>
      </c>
      <c r="AB111" s="8">
        <f>IF($K111="","",IF(ISNUMBER($K111),IF(AND($K111=INT($K111),$K111&gt;=0,$K111&lt;=24),TEXT(INT($K111),"00")&amp;":00",TEXT($K111,"hh:mm")),$K111))</f>
        <v/>
      </c>
      <c r="AC111" s="8">
        <f>IF($G111="",0,$G111)</f>
        <v/>
      </c>
      <c r="AD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IF($F112="","",IF($F112&gt;31,$F112,IF($Y112="","",DATE(YEAR($Y112),MONTH($Y112),$F112))))</f>
        <v/>
      </c>
      <c r="H112" s="9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9" t="n"/>
      <c r="L112" s="8">
        <f>IF(OR($G112="",$J112=""),"",$J112-$G112+1)</f>
        <v/>
      </c>
      <c r="M112" s="8">
        <f>IF(OR($G112="",$J112=""),"",$J112-$G112)</f>
        <v/>
      </c>
      <c r="N112" s="9" t="n"/>
      <c r="O112" s="9" t="n"/>
      <c r="P112" s="9" t="n"/>
      <c r="Q112" s="9" t="n"/>
      <c r="R112" s="9" t="n"/>
      <c r="S112" s="9" t="n"/>
      <c r="T112" s="13" t="n"/>
      <c r="U112" s="9" t="n"/>
      <c r="V112" s="8">
        <f>IF($G112="","",IF($D112="","⚠部屋が未選択",IF(COUNTIF('M_部屋'!$A$4:$A$20,$D112)=0,"⚠部屋が未登録",IF(OR($J112="",$N112="キャンセル"),"",IF(SUMPRODUCT(($D$5:$D$204=$D112)*($G$5:$G$204&lt;&gt;"")*($J$5:$J$204&lt;&gt;"")*($N$5:$N$204&lt;&gt;"キャンセル")*($G$5:$G$204&lt;$J112)*($J$5:$J$204&gt;$G112))&gt;1,"⚠重複","")))))</f>
        <v/>
      </c>
      <c r="W112" s="8">
        <f>IF(OR($B112="",$G112=""),"",IF(SUMPRODUCT(('利用者マスタ'!$A$4:$A$60=$B112)*('利用者マスタ'!$B$4:$B$60&lt;&gt;""))=0,"",IF(SUMIFS($X$5:$X$204,$B$5:$B$204,$B112,$G$5:$G$204,"&gt;="&amp;DATE(YEAR($G112),MONTH($G112),1),$G$5:$G$204,"&lt;="&amp;EOMONTH($G112,0))&gt;SUMIFS('利用者マスタ'!$B$4:$B$60,'利用者マスタ'!$A$4:$A$60,$B112),"⚠支給量超過","")))</f>
        <v/>
      </c>
      <c r="X112" s="8">
        <f>IF(OR($G112="",$J112="",$N112="キャンセル"),0,IF(IFERROR(INDEX('M_区分'!$B$4:$B$20,MATCH($C112,'M_区分'!$A$4:$A$20,0)),"○")="○",$J112-$G112+1,0))</f>
        <v/>
      </c>
      <c r="Y112" s="8">
        <f>IF($E112&lt;&gt;"",$E112,$Y111)</f>
        <v/>
      </c>
      <c r="Z112" s="8">
        <f>IF(OR($G112="",$J112=""),"",IF(AND($G112&lt;=EOMONTH('02_カレンダー'!$B$4,0),$J112&gt;='02_カレンダー'!$B$4),$G112*10000+ROW(),""))</f>
        <v/>
      </c>
      <c r="AA112" s="8">
        <f>IF($H112="","",IF(ISNUMBER($H112),IF(AND($H112=INT($H112),$H112&gt;=0,$H112&lt;=24),TEXT(INT($H112),"00")&amp;":00",TEXT($H112,"hh:mm")),$H112))</f>
        <v/>
      </c>
      <c r="AB112" s="8">
        <f>IF($K112="","",IF(ISNUMBER($K112),IF(AND($K112=INT($K112),$K112&gt;=0,$K112&lt;=24),TEXT(INT($K112),"00")&amp;":00",TEXT($K112,"hh:mm")),$K112))</f>
        <v/>
      </c>
      <c r="AC112" s="8">
        <f>IF($G112="",0,$G112)</f>
        <v/>
      </c>
      <c r="AD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IF($F113="","",IF($F113&gt;31,$F113,IF($Y113="","",DATE(YEAR($Y113),MONTH($Y113),$F113))))</f>
        <v/>
      </c>
      <c r="H113" s="9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9" t="n"/>
      <c r="L113" s="8">
        <f>IF(OR($G113="",$J113=""),"",$J113-$G113+1)</f>
        <v/>
      </c>
      <c r="M113" s="8">
        <f>IF(OR($G113="",$J113=""),"",$J113-$G113)</f>
        <v/>
      </c>
      <c r="N113" s="9" t="n"/>
      <c r="O113" s="9" t="n"/>
      <c r="P113" s="9" t="n"/>
      <c r="Q113" s="9" t="n"/>
      <c r="R113" s="9" t="n"/>
      <c r="S113" s="9" t="n"/>
      <c r="T113" s="13" t="n"/>
      <c r="U113" s="9" t="n"/>
      <c r="V113" s="8">
        <f>IF($G113="","",IF($D113="","⚠部屋が未選択",IF(COUNTIF('M_部屋'!$A$4:$A$20,$D113)=0,"⚠部屋が未登録",IF(OR($J113="",$N113="キャンセル"),"",IF(SUMPRODUCT(($D$5:$D$204=$D113)*($G$5:$G$204&lt;&gt;"")*($J$5:$J$204&lt;&gt;"")*($N$5:$N$204&lt;&gt;"キャンセル")*($G$5:$G$204&lt;$J113)*($J$5:$J$204&gt;$G113))&gt;1,"⚠重複","")))))</f>
        <v/>
      </c>
      <c r="W113" s="8">
        <f>IF(OR($B113="",$G113=""),"",IF(SUMPRODUCT(('利用者マスタ'!$A$4:$A$60=$B113)*('利用者マスタ'!$B$4:$B$60&lt;&gt;""))=0,"",IF(SUMIFS($X$5:$X$204,$B$5:$B$204,$B113,$G$5:$G$204,"&gt;="&amp;DATE(YEAR($G113),MONTH($G113),1),$G$5:$G$204,"&lt;="&amp;EOMONTH($G113,0))&gt;SUMIFS('利用者マスタ'!$B$4:$B$60,'利用者マスタ'!$A$4:$A$60,$B113),"⚠支給量超過","")))</f>
        <v/>
      </c>
      <c r="X113" s="8">
        <f>IF(OR($G113="",$J113="",$N113="キャンセル"),0,IF(IFERROR(INDEX('M_区分'!$B$4:$B$20,MATCH($C113,'M_区分'!$A$4:$A$20,0)),"○")="○",$J113-$G113+1,0))</f>
        <v/>
      </c>
      <c r="Y113" s="8">
        <f>IF($E113&lt;&gt;"",$E113,$Y112)</f>
        <v/>
      </c>
      <c r="Z113" s="8">
        <f>IF(OR($G113="",$J113=""),"",IF(AND($G113&lt;=EOMONTH('02_カレンダー'!$B$4,0),$J113&gt;='02_カレンダー'!$B$4),$G113*10000+ROW(),""))</f>
        <v/>
      </c>
      <c r="AA113" s="8">
        <f>IF($H113="","",IF(ISNUMBER($H113),IF(AND($H113=INT($H113),$H113&gt;=0,$H113&lt;=24),TEXT(INT($H113),"00")&amp;":00",TEXT($H113,"hh:mm")),$H113))</f>
        <v/>
      </c>
      <c r="AB113" s="8">
        <f>IF($K113="","",IF(ISNUMBER($K113),IF(AND($K113=INT($K113),$K113&gt;=0,$K113&lt;=24),TEXT(INT($K113),"00")&amp;":00",TEXT($K113,"hh:mm")),$K113))</f>
        <v/>
      </c>
      <c r="AC113" s="8">
        <f>IF($G113="",0,$G113)</f>
        <v/>
      </c>
      <c r="AD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IF($F114="","",IF($F114&gt;31,$F114,IF($Y114="","",DATE(YEAR($Y114),MONTH($Y114),$F114))))</f>
        <v/>
      </c>
      <c r="H114" s="9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9" t="n"/>
      <c r="L114" s="8">
        <f>IF(OR($G114="",$J114=""),"",$J114-$G114+1)</f>
        <v/>
      </c>
      <c r="M114" s="8">
        <f>IF(OR($G114="",$J114=""),"",$J114-$G114)</f>
        <v/>
      </c>
      <c r="N114" s="9" t="n"/>
      <c r="O114" s="9" t="n"/>
      <c r="P114" s="9" t="n"/>
      <c r="Q114" s="9" t="n"/>
      <c r="R114" s="9" t="n"/>
      <c r="S114" s="9" t="n"/>
      <c r="T114" s="13" t="n"/>
      <c r="U114" s="9" t="n"/>
      <c r="V114" s="8">
        <f>IF($G114="","",IF($D114="","⚠部屋が未選択",IF(COUNTIF('M_部屋'!$A$4:$A$20,$D114)=0,"⚠部屋が未登録",IF(OR($J114="",$N114="キャンセル"),"",IF(SUMPRODUCT(($D$5:$D$204=$D114)*($G$5:$G$204&lt;&gt;"")*($J$5:$J$204&lt;&gt;"")*($N$5:$N$204&lt;&gt;"キャンセル")*($G$5:$G$204&lt;$J114)*($J$5:$J$204&gt;$G114))&gt;1,"⚠重複","")))))</f>
        <v/>
      </c>
      <c r="W114" s="8">
        <f>IF(OR($B114="",$G114=""),"",IF(SUMPRODUCT(('利用者マスタ'!$A$4:$A$60=$B114)*('利用者マスタ'!$B$4:$B$60&lt;&gt;""))=0,"",IF(SUMIFS($X$5:$X$204,$B$5:$B$204,$B114,$G$5:$G$204,"&gt;="&amp;DATE(YEAR($G114),MONTH($G114),1),$G$5:$G$204,"&lt;="&amp;EOMONTH($G114,0))&gt;SUMIFS('利用者マスタ'!$B$4:$B$60,'利用者マスタ'!$A$4:$A$60,$B114),"⚠支給量超過","")))</f>
        <v/>
      </c>
      <c r="X114" s="8">
        <f>IF(OR($G114="",$J114="",$N114="キャンセル"),0,IF(IFERROR(INDEX('M_区分'!$B$4:$B$20,MATCH($C114,'M_区分'!$A$4:$A$20,0)),"○")="○",$J114-$G114+1,0))</f>
        <v/>
      </c>
      <c r="Y114" s="8">
        <f>IF($E114&lt;&gt;"",$E114,$Y113)</f>
        <v/>
      </c>
      <c r="Z114" s="8">
        <f>IF(OR($G114="",$J114=""),"",IF(AND($G114&lt;=EOMONTH('02_カレンダー'!$B$4,0),$J114&gt;='02_カレンダー'!$B$4),$G114*10000+ROW(),""))</f>
        <v/>
      </c>
      <c r="AA114" s="8">
        <f>IF($H114="","",IF(ISNUMBER($H114),IF(AND($H114=INT($H114),$H114&gt;=0,$H114&lt;=24),TEXT(INT($H114),"00")&amp;":00",TEXT($H114,"hh:mm")),$H114))</f>
        <v/>
      </c>
      <c r="AB114" s="8">
        <f>IF($K114="","",IF(ISNUMBER($K114),IF(AND($K114=INT($K114),$K114&gt;=0,$K114&lt;=24),TEXT(INT($K114),"00")&amp;":00",TEXT($K114,"hh:mm")),$K114))</f>
        <v/>
      </c>
      <c r="AC114" s="8">
        <f>IF($G114="",0,$G114)</f>
        <v/>
      </c>
      <c r="AD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IF($F115="","",IF($F115&gt;31,$F115,IF($Y115="","",DATE(YEAR($Y115),MONTH($Y115),$F115))))</f>
        <v/>
      </c>
      <c r="H115" s="9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9" t="n"/>
      <c r="L115" s="8">
        <f>IF(OR($G115="",$J115=""),"",$J115-$G115+1)</f>
        <v/>
      </c>
      <c r="M115" s="8">
        <f>IF(OR($G115="",$J115=""),"",$J115-$G115)</f>
        <v/>
      </c>
      <c r="N115" s="9" t="n"/>
      <c r="O115" s="9" t="n"/>
      <c r="P115" s="9" t="n"/>
      <c r="Q115" s="9" t="n"/>
      <c r="R115" s="9" t="n"/>
      <c r="S115" s="9" t="n"/>
      <c r="T115" s="13" t="n"/>
      <c r="U115" s="9" t="n"/>
      <c r="V115" s="8">
        <f>IF($G115="","",IF($D115="","⚠部屋が未選択",IF(COUNTIF('M_部屋'!$A$4:$A$20,$D115)=0,"⚠部屋が未登録",IF(OR($J115="",$N115="キャンセル"),"",IF(SUMPRODUCT(($D$5:$D$204=$D115)*($G$5:$G$204&lt;&gt;"")*($J$5:$J$204&lt;&gt;"")*($N$5:$N$204&lt;&gt;"キャンセル")*($G$5:$G$204&lt;$J115)*($J$5:$J$204&gt;$G115))&gt;1,"⚠重複","")))))</f>
        <v/>
      </c>
      <c r="W115" s="8">
        <f>IF(OR($B115="",$G115=""),"",IF(SUMPRODUCT(('利用者マスタ'!$A$4:$A$60=$B115)*('利用者マスタ'!$B$4:$B$60&lt;&gt;""))=0,"",IF(SUMIFS($X$5:$X$204,$B$5:$B$204,$B115,$G$5:$G$204,"&gt;="&amp;DATE(YEAR($G115),MONTH($G115),1),$G$5:$G$204,"&lt;="&amp;EOMONTH($G115,0))&gt;SUMIFS('利用者マスタ'!$B$4:$B$60,'利用者マスタ'!$A$4:$A$60,$B115),"⚠支給量超過","")))</f>
        <v/>
      </c>
      <c r="X115" s="8">
        <f>IF(OR($G115="",$J115="",$N115="キャンセル"),0,IF(IFERROR(INDEX('M_区分'!$B$4:$B$20,MATCH($C115,'M_区分'!$A$4:$A$20,0)),"○")="○",$J115-$G115+1,0))</f>
        <v/>
      </c>
      <c r="Y115" s="8">
        <f>IF($E115&lt;&gt;"",$E115,$Y114)</f>
        <v/>
      </c>
      <c r="Z115" s="8">
        <f>IF(OR($G115="",$J115=""),"",IF(AND($G115&lt;=EOMONTH('02_カレンダー'!$B$4,0),$J115&gt;='02_カレンダー'!$B$4),$G115*10000+ROW(),""))</f>
        <v/>
      </c>
      <c r="AA115" s="8">
        <f>IF($H115="","",IF(ISNUMBER($H115),IF(AND($H115=INT($H115),$H115&gt;=0,$H115&lt;=24),TEXT(INT($H115),"00")&amp;":00",TEXT($H115,"hh:mm")),$H115))</f>
        <v/>
      </c>
      <c r="AB115" s="8">
        <f>IF($K115="","",IF(ISNUMBER($K115),IF(AND($K115=INT($K115),$K115&gt;=0,$K115&lt;=24),TEXT(INT($K115),"00")&amp;":00",TEXT($K115,"hh:mm")),$K115))</f>
        <v/>
      </c>
      <c r="AC115" s="8">
        <f>IF($G115="",0,$G115)</f>
        <v/>
      </c>
      <c r="AD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IF($F116="","",IF($F116&gt;31,$F116,IF($Y116="","",DATE(YEAR($Y116),MONTH($Y116),$F116))))</f>
        <v/>
      </c>
      <c r="H116" s="9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9" t="n"/>
      <c r="L116" s="8">
        <f>IF(OR($G116="",$J116=""),"",$J116-$G116+1)</f>
        <v/>
      </c>
      <c r="M116" s="8">
        <f>IF(OR($G116="",$J116=""),"",$J116-$G116)</f>
        <v/>
      </c>
      <c r="N116" s="9" t="n"/>
      <c r="O116" s="9" t="n"/>
      <c r="P116" s="9" t="n"/>
      <c r="Q116" s="9" t="n"/>
      <c r="R116" s="9" t="n"/>
      <c r="S116" s="9" t="n"/>
      <c r="T116" s="13" t="n"/>
      <c r="U116" s="9" t="n"/>
      <c r="V116" s="8">
        <f>IF($G116="","",IF($D116="","⚠部屋が未選択",IF(COUNTIF('M_部屋'!$A$4:$A$20,$D116)=0,"⚠部屋が未登録",IF(OR($J116="",$N116="キャンセル"),"",IF(SUMPRODUCT(($D$5:$D$204=$D116)*($G$5:$G$204&lt;&gt;"")*($J$5:$J$204&lt;&gt;"")*($N$5:$N$204&lt;&gt;"キャンセル")*($G$5:$G$204&lt;$J116)*($J$5:$J$204&gt;$G116))&gt;1,"⚠重複","")))))</f>
        <v/>
      </c>
      <c r="W116" s="8">
        <f>IF(OR($B116="",$G116=""),"",IF(SUMPRODUCT(('利用者マスタ'!$A$4:$A$60=$B116)*('利用者マスタ'!$B$4:$B$60&lt;&gt;""))=0,"",IF(SUMIFS($X$5:$X$204,$B$5:$B$204,$B116,$G$5:$G$204,"&gt;="&amp;DATE(YEAR($G116),MONTH($G116),1),$G$5:$G$204,"&lt;="&amp;EOMONTH($G116,0))&gt;SUMIFS('利用者マスタ'!$B$4:$B$60,'利用者マスタ'!$A$4:$A$60,$B116),"⚠支給量超過","")))</f>
        <v/>
      </c>
      <c r="X116" s="8">
        <f>IF(OR($G116="",$J116="",$N116="キャンセル"),0,IF(IFERROR(INDEX('M_区分'!$B$4:$B$20,MATCH($C116,'M_区分'!$A$4:$A$20,0)),"○")="○",$J116-$G116+1,0))</f>
        <v/>
      </c>
      <c r="Y116" s="8">
        <f>IF($E116&lt;&gt;"",$E116,$Y115)</f>
        <v/>
      </c>
      <c r="Z116" s="8">
        <f>IF(OR($G116="",$J116=""),"",IF(AND($G116&lt;=EOMONTH('02_カレンダー'!$B$4,0),$J116&gt;='02_カレンダー'!$B$4),$G116*10000+ROW(),""))</f>
        <v/>
      </c>
      <c r="AA116" s="8">
        <f>IF($H116="","",IF(ISNUMBER($H116),IF(AND($H116=INT($H116),$H116&gt;=0,$H116&lt;=24),TEXT(INT($H116),"00")&amp;":00",TEXT($H116,"hh:mm")),$H116))</f>
        <v/>
      </c>
      <c r="AB116" s="8">
        <f>IF($K116="","",IF(ISNUMBER($K116),IF(AND($K116=INT($K116),$K116&gt;=0,$K116&lt;=24),TEXT(INT($K116),"00")&amp;":00",TEXT($K116,"hh:mm")),$K116))</f>
        <v/>
      </c>
      <c r="AC116" s="8">
        <f>IF($G116="",0,$G116)</f>
        <v/>
      </c>
      <c r="AD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IF($F117="","",IF($F117&gt;31,$F117,IF($Y117="","",DATE(YEAR($Y117),MONTH($Y117),$F117))))</f>
        <v/>
      </c>
      <c r="H117" s="9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9" t="n"/>
      <c r="L117" s="8">
        <f>IF(OR($G117="",$J117=""),"",$J117-$G117+1)</f>
        <v/>
      </c>
      <c r="M117" s="8">
        <f>IF(OR($G117="",$J117=""),"",$J117-$G117)</f>
        <v/>
      </c>
      <c r="N117" s="9" t="n"/>
      <c r="O117" s="9" t="n"/>
      <c r="P117" s="9" t="n"/>
      <c r="Q117" s="9" t="n"/>
      <c r="R117" s="9" t="n"/>
      <c r="S117" s="9" t="n"/>
      <c r="T117" s="13" t="n"/>
      <c r="U117" s="9" t="n"/>
      <c r="V117" s="8">
        <f>IF($G117="","",IF($D117="","⚠部屋が未選択",IF(COUNTIF('M_部屋'!$A$4:$A$20,$D117)=0,"⚠部屋が未登録",IF(OR($J117="",$N117="キャンセル"),"",IF(SUMPRODUCT(($D$5:$D$204=$D117)*($G$5:$G$204&lt;&gt;"")*($J$5:$J$204&lt;&gt;"")*($N$5:$N$204&lt;&gt;"キャンセル")*($G$5:$G$204&lt;$J117)*($J$5:$J$204&gt;$G117))&gt;1,"⚠重複","")))))</f>
        <v/>
      </c>
      <c r="W117" s="8">
        <f>IF(OR($B117="",$G117=""),"",IF(SUMPRODUCT(('利用者マスタ'!$A$4:$A$60=$B117)*('利用者マスタ'!$B$4:$B$60&lt;&gt;""))=0,"",IF(SUMIFS($X$5:$X$204,$B$5:$B$204,$B117,$G$5:$G$204,"&gt;="&amp;DATE(YEAR($G117),MONTH($G117),1),$G$5:$G$204,"&lt;="&amp;EOMONTH($G117,0))&gt;SUMIFS('利用者マスタ'!$B$4:$B$60,'利用者マスタ'!$A$4:$A$60,$B117),"⚠支給量超過","")))</f>
        <v/>
      </c>
      <c r="X117" s="8">
        <f>IF(OR($G117="",$J117="",$N117="キャンセル"),0,IF(IFERROR(INDEX('M_区分'!$B$4:$B$20,MATCH($C117,'M_区分'!$A$4:$A$20,0)),"○")="○",$J117-$G117+1,0))</f>
        <v/>
      </c>
      <c r="Y117" s="8">
        <f>IF($E117&lt;&gt;"",$E117,$Y116)</f>
        <v/>
      </c>
      <c r="Z117" s="8">
        <f>IF(OR($G117="",$J117=""),"",IF(AND($G117&lt;=EOMONTH('02_カレンダー'!$B$4,0),$J117&gt;='02_カレンダー'!$B$4),$G117*10000+ROW(),""))</f>
        <v/>
      </c>
      <c r="AA117" s="8">
        <f>IF($H117="","",IF(ISNUMBER($H117),IF(AND($H117=INT($H117),$H117&gt;=0,$H117&lt;=24),TEXT(INT($H117),"00")&amp;":00",TEXT($H117,"hh:mm")),$H117))</f>
        <v/>
      </c>
      <c r="AB117" s="8">
        <f>IF($K117="","",IF(ISNUMBER($K117),IF(AND($K117=INT($K117),$K117&gt;=0,$K117&lt;=24),TEXT(INT($K117),"00")&amp;":00",TEXT($K117,"hh:mm")),$K117))</f>
        <v/>
      </c>
      <c r="AC117" s="8">
        <f>IF($G117="",0,$G117)</f>
        <v/>
      </c>
      <c r="AD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IF($F118="","",IF($F118&gt;31,$F118,IF($Y118="","",DATE(YEAR($Y118),MONTH($Y118),$F118))))</f>
        <v/>
      </c>
      <c r="H118" s="9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9" t="n"/>
      <c r="L118" s="8">
        <f>IF(OR($G118="",$J118=""),"",$J118-$G118+1)</f>
        <v/>
      </c>
      <c r="M118" s="8">
        <f>IF(OR($G118="",$J118=""),"",$J118-$G118)</f>
        <v/>
      </c>
      <c r="N118" s="9" t="n"/>
      <c r="O118" s="9" t="n"/>
      <c r="P118" s="9" t="n"/>
      <c r="Q118" s="9" t="n"/>
      <c r="R118" s="9" t="n"/>
      <c r="S118" s="9" t="n"/>
      <c r="T118" s="13" t="n"/>
      <c r="U118" s="9" t="n"/>
      <c r="V118" s="8">
        <f>IF($G118="","",IF($D118="","⚠部屋が未選択",IF(COUNTIF('M_部屋'!$A$4:$A$20,$D118)=0,"⚠部屋が未登録",IF(OR($J118="",$N118="キャンセル"),"",IF(SUMPRODUCT(($D$5:$D$204=$D118)*($G$5:$G$204&lt;&gt;"")*($J$5:$J$204&lt;&gt;"")*($N$5:$N$204&lt;&gt;"キャンセル")*($G$5:$G$204&lt;$J118)*($J$5:$J$204&gt;$G118))&gt;1,"⚠重複","")))))</f>
        <v/>
      </c>
      <c r="W118" s="8">
        <f>IF(OR($B118="",$G118=""),"",IF(SUMPRODUCT(('利用者マスタ'!$A$4:$A$60=$B118)*('利用者マスタ'!$B$4:$B$60&lt;&gt;""))=0,"",IF(SUMIFS($X$5:$X$204,$B$5:$B$204,$B118,$G$5:$G$204,"&gt;="&amp;DATE(YEAR($G118),MONTH($G118),1),$G$5:$G$204,"&lt;="&amp;EOMONTH($G118,0))&gt;SUMIFS('利用者マスタ'!$B$4:$B$60,'利用者マスタ'!$A$4:$A$60,$B118),"⚠支給量超過","")))</f>
        <v/>
      </c>
      <c r="X118" s="8">
        <f>IF(OR($G118="",$J118="",$N118="キャンセル"),0,IF(IFERROR(INDEX('M_区分'!$B$4:$B$20,MATCH($C118,'M_区分'!$A$4:$A$20,0)),"○")="○",$J118-$G118+1,0))</f>
        <v/>
      </c>
      <c r="Y118" s="8">
        <f>IF($E118&lt;&gt;"",$E118,$Y117)</f>
        <v/>
      </c>
      <c r="Z118" s="8">
        <f>IF(OR($G118="",$J118=""),"",IF(AND($G118&lt;=EOMONTH('02_カレンダー'!$B$4,0),$J118&gt;='02_カレンダー'!$B$4),$G118*10000+ROW(),""))</f>
        <v/>
      </c>
      <c r="AA118" s="8">
        <f>IF($H118="","",IF(ISNUMBER($H118),IF(AND($H118=INT($H118),$H118&gt;=0,$H118&lt;=24),TEXT(INT($H118),"00")&amp;":00",TEXT($H118,"hh:mm")),$H118))</f>
        <v/>
      </c>
      <c r="AB118" s="8">
        <f>IF($K118="","",IF(ISNUMBER($K118),IF(AND($K118=INT($K118),$K118&gt;=0,$K118&lt;=24),TEXT(INT($K118),"00")&amp;":00",TEXT($K118,"hh:mm")),$K118))</f>
        <v/>
      </c>
      <c r="AC118" s="8">
        <f>IF($G118="",0,$G118)</f>
        <v/>
      </c>
      <c r="AD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IF($F119="","",IF($F119&gt;31,$F119,IF($Y119="","",DATE(YEAR($Y119),MONTH($Y119),$F119))))</f>
        <v/>
      </c>
      <c r="H119" s="9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9" t="n"/>
      <c r="L119" s="8">
        <f>IF(OR($G119="",$J119=""),"",$J119-$G119+1)</f>
        <v/>
      </c>
      <c r="M119" s="8">
        <f>IF(OR($G119="",$J119=""),"",$J119-$G119)</f>
        <v/>
      </c>
      <c r="N119" s="9" t="n"/>
      <c r="O119" s="9" t="n"/>
      <c r="P119" s="9" t="n"/>
      <c r="Q119" s="9" t="n"/>
      <c r="R119" s="9" t="n"/>
      <c r="S119" s="9" t="n"/>
      <c r="T119" s="13" t="n"/>
      <c r="U119" s="9" t="n"/>
      <c r="V119" s="8">
        <f>IF($G119="","",IF($D119="","⚠部屋が未選択",IF(COUNTIF('M_部屋'!$A$4:$A$20,$D119)=0,"⚠部屋が未登録",IF(OR($J119="",$N119="キャンセル"),"",IF(SUMPRODUCT(($D$5:$D$204=$D119)*($G$5:$G$204&lt;&gt;"")*($J$5:$J$204&lt;&gt;"")*($N$5:$N$204&lt;&gt;"キャンセル")*($G$5:$G$204&lt;$J119)*($J$5:$J$204&gt;$G119))&gt;1,"⚠重複","")))))</f>
        <v/>
      </c>
      <c r="W119" s="8">
        <f>IF(OR($B119="",$G119=""),"",IF(SUMPRODUCT(('利用者マスタ'!$A$4:$A$60=$B119)*('利用者マスタ'!$B$4:$B$60&lt;&gt;""))=0,"",IF(SUMIFS($X$5:$X$204,$B$5:$B$204,$B119,$G$5:$G$204,"&gt;="&amp;DATE(YEAR($G119),MONTH($G119),1),$G$5:$G$204,"&lt;="&amp;EOMONTH($G119,0))&gt;SUMIFS('利用者マスタ'!$B$4:$B$60,'利用者マスタ'!$A$4:$A$60,$B119),"⚠支給量超過","")))</f>
        <v/>
      </c>
      <c r="X119" s="8">
        <f>IF(OR($G119="",$J119="",$N119="キャンセル"),0,IF(IFERROR(INDEX('M_区分'!$B$4:$B$20,MATCH($C119,'M_区分'!$A$4:$A$20,0)),"○")="○",$J119-$G119+1,0))</f>
        <v/>
      </c>
      <c r="Y119" s="8">
        <f>IF($E119&lt;&gt;"",$E119,$Y118)</f>
        <v/>
      </c>
      <c r="Z119" s="8">
        <f>IF(OR($G119="",$J119=""),"",IF(AND($G119&lt;=EOMONTH('02_カレンダー'!$B$4,0),$J119&gt;='02_カレンダー'!$B$4),$G119*10000+ROW(),""))</f>
        <v/>
      </c>
      <c r="AA119" s="8">
        <f>IF($H119="","",IF(ISNUMBER($H119),IF(AND($H119=INT($H119),$H119&gt;=0,$H119&lt;=24),TEXT(INT($H119),"00")&amp;":00",TEXT($H119,"hh:mm")),$H119))</f>
        <v/>
      </c>
      <c r="AB119" s="8">
        <f>IF($K119="","",IF(ISNUMBER($K119),IF(AND($K119=INT($K119),$K119&gt;=0,$K119&lt;=24),TEXT(INT($K119),"00")&amp;":00",TEXT($K119,"hh:mm")),$K119))</f>
        <v/>
      </c>
      <c r="AC119" s="8">
        <f>IF($G119="",0,$G119)</f>
        <v/>
      </c>
      <c r="AD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IF($F120="","",IF($F120&gt;31,$F120,IF($Y120="","",DATE(YEAR($Y120),MONTH($Y120),$F120))))</f>
        <v/>
      </c>
      <c r="H120" s="9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9" t="n"/>
      <c r="L120" s="8">
        <f>IF(OR($G120="",$J120=""),"",$J120-$G120+1)</f>
        <v/>
      </c>
      <c r="M120" s="8">
        <f>IF(OR($G120="",$J120=""),"",$J120-$G120)</f>
        <v/>
      </c>
      <c r="N120" s="9" t="n"/>
      <c r="O120" s="9" t="n"/>
      <c r="P120" s="9" t="n"/>
      <c r="Q120" s="9" t="n"/>
      <c r="R120" s="9" t="n"/>
      <c r="S120" s="9" t="n"/>
      <c r="T120" s="13" t="n"/>
      <c r="U120" s="9" t="n"/>
      <c r="V120" s="8">
        <f>IF($G120="","",IF($D120="","⚠部屋が未選択",IF(COUNTIF('M_部屋'!$A$4:$A$20,$D120)=0,"⚠部屋が未登録",IF(OR($J120="",$N120="キャンセル"),"",IF(SUMPRODUCT(($D$5:$D$204=$D120)*($G$5:$G$204&lt;&gt;"")*($J$5:$J$204&lt;&gt;"")*($N$5:$N$204&lt;&gt;"キャンセル")*($G$5:$G$204&lt;$J120)*($J$5:$J$204&gt;$G120))&gt;1,"⚠重複","")))))</f>
        <v/>
      </c>
      <c r="W120" s="8">
        <f>IF(OR($B120="",$G120=""),"",IF(SUMPRODUCT(('利用者マスタ'!$A$4:$A$60=$B120)*('利用者マスタ'!$B$4:$B$60&lt;&gt;""))=0,"",IF(SUMIFS($X$5:$X$204,$B$5:$B$204,$B120,$G$5:$G$204,"&gt;="&amp;DATE(YEAR($G120),MONTH($G120),1),$G$5:$G$204,"&lt;="&amp;EOMONTH($G120,0))&gt;SUMIFS('利用者マスタ'!$B$4:$B$60,'利用者マスタ'!$A$4:$A$60,$B120),"⚠支給量超過","")))</f>
        <v/>
      </c>
      <c r="X120" s="8">
        <f>IF(OR($G120="",$J120="",$N120="キャンセル"),0,IF(IFERROR(INDEX('M_区分'!$B$4:$B$20,MATCH($C120,'M_区分'!$A$4:$A$20,0)),"○")="○",$J120-$G120+1,0))</f>
        <v/>
      </c>
      <c r="Y120" s="8">
        <f>IF($E120&lt;&gt;"",$E120,$Y119)</f>
        <v/>
      </c>
      <c r="Z120" s="8">
        <f>IF(OR($G120="",$J120=""),"",IF(AND($G120&lt;=EOMONTH('02_カレンダー'!$B$4,0),$J120&gt;='02_カレンダー'!$B$4),$G120*10000+ROW(),""))</f>
        <v/>
      </c>
      <c r="AA120" s="8">
        <f>IF($H120="","",IF(ISNUMBER($H120),IF(AND($H120=INT($H120),$H120&gt;=0,$H120&lt;=24),TEXT(INT($H120),"00")&amp;":00",TEXT($H120,"hh:mm")),$H120))</f>
        <v/>
      </c>
      <c r="AB120" s="8">
        <f>IF($K120="","",IF(ISNUMBER($K120),IF(AND($K120=INT($K120),$K120&gt;=0,$K120&lt;=24),TEXT(INT($K120),"00")&amp;":00",TEXT($K120,"hh:mm")),$K120))</f>
        <v/>
      </c>
      <c r="AC120" s="8">
        <f>IF($G120="",0,$G120)</f>
        <v/>
      </c>
      <c r="AD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IF($F121="","",IF($F121&gt;31,$F121,IF($Y121="","",DATE(YEAR($Y121),MONTH($Y121),$F121))))</f>
        <v/>
      </c>
      <c r="H121" s="9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9" t="n"/>
      <c r="L121" s="8">
        <f>IF(OR($G121="",$J121=""),"",$J121-$G121+1)</f>
        <v/>
      </c>
      <c r="M121" s="8">
        <f>IF(OR($G121="",$J121=""),"",$J121-$G121)</f>
        <v/>
      </c>
      <c r="N121" s="9" t="n"/>
      <c r="O121" s="9" t="n"/>
      <c r="P121" s="9" t="n"/>
      <c r="Q121" s="9" t="n"/>
      <c r="R121" s="9" t="n"/>
      <c r="S121" s="9" t="n"/>
      <c r="T121" s="13" t="n"/>
      <c r="U121" s="9" t="n"/>
      <c r="V121" s="8">
        <f>IF($G121="","",IF($D121="","⚠部屋が未選択",IF(COUNTIF('M_部屋'!$A$4:$A$20,$D121)=0,"⚠部屋が未登録",IF(OR($J121="",$N121="キャンセル"),"",IF(SUMPRODUCT(($D$5:$D$204=$D121)*($G$5:$G$204&lt;&gt;"")*($J$5:$J$204&lt;&gt;"")*($N$5:$N$204&lt;&gt;"キャンセル")*($G$5:$G$204&lt;$J121)*($J$5:$J$204&gt;$G121))&gt;1,"⚠重複","")))))</f>
        <v/>
      </c>
      <c r="W121" s="8">
        <f>IF(OR($B121="",$G121=""),"",IF(SUMPRODUCT(('利用者マスタ'!$A$4:$A$60=$B121)*('利用者マスタ'!$B$4:$B$60&lt;&gt;""))=0,"",IF(SUMIFS($X$5:$X$204,$B$5:$B$204,$B121,$G$5:$G$204,"&gt;="&amp;DATE(YEAR($G121),MONTH($G121),1),$G$5:$G$204,"&lt;="&amp;EOMONTH($G121,0))&gt;SUMIFS('利用者マスタ'!$B$4:$B$60,'利用者マスタ'!$A$4:$A$60,$B121),"⚠支給量超過","")))</f>
        <v/>
      </c>
      <c r="X121" s="8">
        <f>IF(OR($G121="",$J121="",$N121="キャンセル"),0,IF(IFERROR(INDEX('M_区分'!$B$4:$B$20,MATCH($C121,'M_区分'!$A$4:$A$20,0)),"○")="○",$J121-$G121+1,0))</f>
        <v/>
      </c>
      <c r="Y121" s="8">
        <f>IF($E121&lt;&gt;"",$E121,$Y120)</f>
        <v/>
      </c>
      <c r="Z121" s="8">
        <f>IF(OR($G121="",$J121=""),"",IF(AND($G121&lt;=EOMONTH('02_カレンダー'!$B$4,0),$J121&gt;='02_カレンダー'!$B$4),$G121*10000+ROW(),""))</f>
        <v/>
      </c>
      <c r="AA121" s="8">
        <f>IF($H121="","",IF(ISNUMBER($H121),IF(AND($H121=INT($H121),$H121&gt;=0,$H121&lt;=24),TEXT(INT($H121),"00")&amp;":00",TEXT($H121,"hh:mm")),$H121))</f>
        <v/>
      </c>
      <c r="AB121" s="8">
        <f>IF($K121="","",IF(ISNUMBER($K121),IF(AND($K121=INT($K121),$K121&gt;=0,$K121&lt;=24),TEXT(INT($K121),"00")&amp;":00",TEXT($K121,"hh:mm")),$K121))</f>
        <v/>
      </c>
      <c r="AC121" s="8">
        <f>IF($G121="",0,$G121)</f>
        <v/>
      </c>
      <c r="AD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IF($F122="","",IF($F122&gt;31,$F122,IF($Y122="","",DATE(YEAR($Y122),MONTH($Y122),$F122))))</f>
        <v/>
      </c>
      <c r="H122" s="9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9" t="n"/>
      <c r="L122" s="8">
        <f>IF(OR($G122="",$J122=""),"",$J122-$G122+1)</f>
        <v/>
      </c>
      <c r="M122" s="8">
        <f>IF(OR($G122="",$J122=""),"",$J122-$G122)</f>
        <v/>
      </c>
      <c r="N122" s="9" t="n"/>
      <c r="O122" s="9" t="n"/>
      <c r="P122" s="9" t="n"/>
      <c r="Q122" s="9" t="n"/>
      <c r="R122" s="9" t="n"/>
      <c r="S122" s="9" t="n"/>
      <c r="T122" s="13" t="n"/>
      <c r="U122" s="9" t="n"/>
      <c r="V122" s="8">
        <f>IF($G122="","",IF($D122="","⚠部屋が未選択",IF(COUNTIF('M_部屋'!$A$4:$A$20,$D122)=0,"⚠部屋が未登録",IF(OR($J122="",$N122="キャンセル"),"",IF(SUMPRODUCT(($D$5:$D$204=$D122)*($G$5:$G$204&lt;&gt;"")*($J$5:$J$204&lt;&gt;"")*($N$5:$N$204&lt;&gt;"キャンセル")*($G$5:$G$204&lt;$J122)*($J$5:$J$204&gt;$G122))&gt;1,"⚠重複","")))))</f>
        <v/>
      </c>
      <c r="W122" s="8">
        <f>IF(OR($B122="",$G122=""),"",IF(SUMPRODUCT(('利用者マスタ'!$A$4:$A$60=$B122)*('利用者マスタ'!$B$4:$B$60&lt;&gt;""))=0,"",IF(SUMIFS($X$5:$X$204,$B$5:$B$204,$B122,$G$5:$G$204,"&gt;="&amp;DATE(YEAR($G122),MONTH($G122),1),$G$5:$G$204,"&lt;="&amp;EOMONTH($G122,0))&gt;SUMIFS('利用者マスタ'!$B$4:$B$60,'利用者マスタ'!$A$4:$A$60,$B122),"⚠支給量超過","")))</f>
        <v/>
      </c>
      <c r="X122" s="8">
        <f>IF(OR($G122="",$J122="",$N122="キャンセル"),0,IF(IFERROR(INDEX('M_区分'!$B$4:$B$20,MATCH($C122,'M_区分'!$A$4:$A$20,0)),"○")="○",$J122-$G122+1,0))</f>
        <v/>
      </c>
      <c r="Y122" s="8">
        <f>IF($E122&lt;&gt;"",$E122,$Y121)</f>
        <v/>
      </c>
      <c r="Z122" s="8">
        <f>IF(OR($G122="",$J122=""),"",IF(AND($G122&lt;=EOMONTH('02_カレンダー'!$B$4,0),$J122&gt;='02_カレンダー'!$B$4),$G122*10000+ROW(),""))</f>
        <v/>
      </c>
      <c r="AA122" s="8">
        <f>IF($H122="","",IF(ISNUMBER($H122),IF(AND($H122=INT($H122),$H122&gt;=0,$H122&lt;=24),TEXT(INT($H122),"00")&amp;":00",TEXT($H122,"hh:mm")),$H122))</f>
        <v/>
      </c>
      <c r="AB122" s="8">
        <f>IF($K122="","",IF(ISNUMBER($K122),IF(AND($K122=INT($K122),$K122&gt;=0,$K122&lt;=24),TEXT(INT($K122),"00")&amp;":00",TEXT($K122,"hh:mm")),$K122))</f>
        <v/>
      </c>
      <c r="AC122" s="8">
        <f>IF($G122="",0,$G122)</f>
        <v/>
      </c>
      <c r="AD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IF($F123="","",IF($F123&gt;31,$F123,IF($Y123="","",DATE(YEAR($Y123),MONTH($Y123),$F123))))</f>
        <v/>
      </c>
      <c r="H123" s="9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9" t="n"/>
      <c r="L123" s="8">
        <f>IF(OR($G123="",$J123=""),"",$J123-$G123+1)</f>
        <v/>
      </c>
      <c r="M123" s="8">
        <f>IF(OR($G123="",$J123=""),"",$J123-$G123)</f>
        <v/>
      </c>
      <c r="N123" s="9" t="n"/>
      <c r="O123" s="9" t="n"/>
      <c r="P123" s="9" t="n"/>
      <c r="Q123" s="9" t="n"/>
      <c r="R123" s="9" t="n"/>
      <c r="S123" s="9" t="n"/>
      <c r="T123" s="13" t="n"/>
      <c r="U123" s="9" t="n"/>
      <c r="V123" s="8">
        <f>IF($G123="","",IF($D123="","⚠部屋が未選択",IF(COUNTIF('M_部屋'!$A$4:$A$20,$D123)=0,"⚠部屋が未登録",IF(OR($J123="",$N123="キャンセル"),"",IF(SUMPRODUCT(($D$5:$D$204=$D123)*($G$5:$G$204&lt;&gt;"")*($J$5:$J$204&lt;&gt;"")*($N$5:$N$204&lt;&gt;"キャンセル")*($G$5:$G$204&lt;$J123)*($J$5:$J$204&gt;$G123))&gt;1,"⚠重複","")))))</f>
        <v/>
      </c>
      <c r="W123" s="8">
        <f>IF(OR($B123="",$G123=""),"",IF(SUMPRODUCT(('利用者マスタ'!$A$4:$A$60=$B123)*('利用者マスタ'!$B$4:$B$60&lt;&gt;""))=0,"",IF(SUMIFS($X$5:$X$204,$B$5:$B$204,$B123,$G$5:$G$204,"&gt;="&amp;DATE(YEAR($G123),MONTH($G123),1),$G$5:$G$204,"&lt;="&amp;EOMONTH($G123,0))&gt;SUMIFS('利用者マスタ'!$B$4:$B$60,'利用者マスタ'!$A$4:$A$60,$B123),"⚠支給量超過","")))</f>
        <v/>
      </c>
      <c r="X123" s="8">
        <f>IF(OR($G123="",$J123="",$N123="キャンセル"),0,IF(IFERROR(INDEX('M_区分'!$B$4:$B$20,MATCH($C123,'M_区分'!$A$4:$A$20,0)),"○")="○",$J123-$G123+1,0))</f>
        <v/>
      </c>
      <c r="Y123" s="8">
        <f>IF($E123&lt;&gt;"",$E123,$Y122)</f>
        <v/>
      </c>
      <c r="Z123" s="8">
        <f>IF(OR($G123="",$J123=""),"",IF(AND($G123&lt;=EOMONTH('02_カレンダー'!$B$4,0),$J123&gt;='02_カレンダー'!$B$4),$G123*10000+ROW(),""))</f>
        <v/>
      </c>
      <c r="AA123" s="8">
        <f>IF($H123="","",IF(ISNUMBER($H123),IF(AND($H123=INT($H123),$H123&gt;=0,$H123&lt;=24),TEXT(INT($H123),"00")&amp;":00",TEXT($H123,"hh:mm")),$H123))</f>
        <v/>
      </c>
      <c r="AB123" s="8">
        <f>IF($K123="","",IF(ISNUMBER($K123),IF(AND($K123=INT($K123),$K123&gt;=0,$K123&lt;=24),TEXT(INT($K123),"00")&amp;":00",TEXT($K123,"hh:mm")),$K123))</f>
        <v/>
      </c>
      <c r="AC123" s="8">
        <f>IF($G123="",0,$G123)</f>
        <v/>
      </c>
      <c r="AD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IF($F124="","",IF($F124&gt;31,$F124,IF($Y124="","",DATE(YEAR($Y124),MONTH($Y124),$F124))))</f>
        <v/>
      </c>
      <c r="H124" s="9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9" t="n"/>
      <c r="L124" s="8">
        <f>IF(OR($G124="",$J124=""),"",$J124-$G124+1)</f>
        <v/>
      </c>
      <c r="M124" s="8">
        <f>IF(OR($G124="",$J124=""),"",$J124-$G124)</f>
        <v/>
      </c>
      <c r="N124" s="9" t="n"/>
      <c r="O124" s="9" t="n"/>
      <c r="P124" s="9" t="n"/>
      <c r="Q124" s="9" t="n"/>
      <c r="R124" s="9" t="n"/>
      <c r="S124" s="9" t="n"/>
      <c r="T124" s="13" t="n"/>
      <c r="U124" s="9" t="n"/>
      <c r="V124" s="8">
        <f>IF($G124="","",IF($D124="","⚠部屋が未選択",IF(COUNTIF('M_部屋'!$A$4:$A$20,$D124)=0,"⚠部屋が未登録",IF(OR($J124="",$N124="キャンセル"),"",IF(SUMPRODUCT(($D$5:$D$204=$D124)*($G$5:$G$204&lt;&gt;"")*($J$5:$J$204&lt;&gt;"")*($N$5:$N$204&lt;&gt;"キャンセル")*($G$5:$G$204&lt;$J124)*($J$5:$J$204&gt;$G124))&gt;1,"⚠重複","")))))</f>
        <v/>
      </c>
      <c r="W124" s="8">
        <f>IF(OR($B124="",$G124=""),"",IF(SUMPRODUCT(('利用者マスタ'!$A$4:$A$60=$B124)*('利用者マスタ'!$B$4:$B$60&lt;&gt;""))=0,"",IF(SUMIFS($X$5:$X$204,$B$5:$B$204,$B124,$G$5:$G$204,"&gt;="&amp;DATE(YEAR($G124),MONTH($G124),1),$G$5:$G$204,"&lt;="&amp;EOMONTH($G124,0))&gt;SUMIFS('利用者マスタ'!$B$4:$B$60,'利用者マスタ'!$A$4:$A$60,$B124),"⚠支給量超過","")))</f>
        <v/>
      </c>
      <c r="X124" s="8">
        <f>IF(OR($G124="",$J124="",$N124="キャンセル"),0,IF(IFERROR(INDEX('M_区分'!$B$4:$B$20,MATCH($C124,'M_区分'!$A$4:$A$20,0)),"○")="○",$J124-$G124+1,0))</f>
        <v/>
      </c>
      <c r="Y124" s="8">
        <f>IF($E124&lt;&gt;"",$E124,$Y123)</f>
        <v/>
      </c>
      <c r="Z124" s="8">
        <f>IF(OR($G124="",$J124=""),"",IF(AND($G124&lt;=EOMONTH('02_カレンダー'!$B$4,0),$J124&gt;='02_カレンダー'!$B$4),$G124*10000+ROW(),""))</f>
        <v/>
      </c>
      <c r="AA124" s="8">
        <f>IF($H124="","",IF(ISNUMBER($H124),IF(AND($H124=INT($H124),$H124&gt;=0,$H124&lt;=24),TEXT(INT($H124),"00")&amp;":00",TEXT($H124,"hh:mm")),$H124))</f>
        <v/>
      </c>
      <c r="AB124" s="8">
        <f>IF($K124="","",IF(ISNUMBER($K124),IF(AND($K124=INT($K124),$K124&gt;=0,$K124&lt;=24),TEXT(INT($K124),"00")&amp;":00",TEXT($K124,"hh:mm")),$K124))</f>
        <v/>
      </c>
      <c r="AC124" s="8">
        <f>IF($G124="",0,$G124)</f>
        <v/>
      </c>
      <c r="AD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IF($F125="","",IF($F125&gt;31,$F125,IF($Y125="","",DATE(YEAR($Y125),MONTH($Y125),$F125))))</f>
        <v/>
      </c>
      <c r="H125" s="9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9" t="n"/>
      <c r="L125" s="8">
        <f>IF(OR($G125="",$J125=""),"",$J125-$G125+1)</f>
        <v/>
      </c>
      <c r="M125" s="8">
        <f>IF(OR($G125="",$J125=""),"",$J125-$G125)</f>
        <v/>
      </c>
      <c r="N125" s="9" t="n"/>
      <c r="O125" s="9" t="n"/>
      <c r="P125" s="9" t="n"/>
      <c r="Q125" s="9" t="n"/>
      <c r="R125" s="9" t="n"/>
      <c r="S125" s="9" t="n"/>
      <c r="T125" s="13" t="n"/>
      <c r="U125" s="9" t="n"/>
      <c r="V125" s="8">
        <f>IF($G125="","",IF($D125="","⚠部屋が未選択",IF(COUNTIF('M_部屋'!$A$4:$A$20,$D125)=0,"⚠部屋が未登録",IF(OR($J125="",$N125="キャンセル"),"",IF(SUMPRODUCT(($D$5:$D$204=$D125)*($G$5:$G$204&lt;&gt;"")*($J$5:$J$204&lt;&gt;"")*($N$5:$N$204&lt;&gt;"キャンセル")*($G$5:$G$204&lt;$J125)*($J$5:$J$204&gt;$G125))&gt;1,"⚠重複","")))))</f>
        <v/>
      </c>
      <c r="W125" s="8">
        <f>IF(OR($B125="",$G125=""),"",IF(SUMPRODUCT(('利用者マスタ'!$A$4:$A$60=$B125)*('利用者マスタ'!$B$4:$B$60&lt;&gt;""))=0,"",IF(SUMIFS($X$5:$X$204,$B$5:$B$204,$B125,$G$5:$G$204,"&gt;="&amp;DATE(YEAR($G125),MONTH($G125),1),$G$5:$G$204,"&lt;="&amp;EOMONTH($G125,0))&gt;SUMIFS('利用者マスタ'!$B$4:$B$60,'利用者マスタ'!$A$4:$A$60,$B125),"⚠支給量超過","")))</f>
        <v/>
      </c>
      <c r="X125" s="8">
        <f>IF(OR($G125="",$J125="",$N125="キャンセル"),0,IF(IFERROR(INDEX('M_区分'!$B$4:$B$20,MATCH($C125,'M_区分'!$A$4:$A$20,0)),"○")="○",$J125-$G125+1,0))</f>
        <v/>
      </c>
      <c r="Y125" s="8">
        <f>IF($E125&lt;&gt;"",$E125,$Y124)</f>
        <v/>
      </c>
      <c r="Z125" s="8">
        <f>IF(OR($G125="",$J125=""),"",IF(AND($G125&lt;=EOMONTH('02_カレンダー'!$B$4,0),$J125&gt;='02_カレンダー'!$B$4),$G125*10000+ROW(),""))</f>
        <v/>
      </c>
      <c r="AA125" s="8">
        <f>IF($H125="","",IF(ISNUMBER($H125),IF(AND($H125=INT($H125),$H125&gt;=0,$H125&lt;=24),TEXT(INT($H125),"00")&amp;":00",TEXT($H125,"hh:mm")),$H125))</f>
        <v/>
      </c>
      <c r="AB125" s="8">
        <f>IF($K125="","",IF(ISNUMBER($K125),IF(AND($K125=INT($K125),$K125&gt;=0,$K125&lt;=24),TEXT(INT($K125),"00")&amp;":00",TEXT($K125,"hh:mm")),$K125))</f>
        <v/>
      </c>
      <c r="AC125" s="8">
        <f>IF($G125="",0,$G125)</f>
        <v/>
      </c>
      <c r="AD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IF($F126="","",IF($F126&gt;31,$F126,IF($Y126="","",DATE(YEAR($Y126),MONTH($Y126),$F126))))</f>
        <v/>
      </c>
      <c r="H126" s="9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9" t="n"/>
      <c r="L126" s="8">
        <f>IF(OR($G126="",$J126=""),"",$J126-$G126+1)</f>
        <v/>
      </c>
      <c r="M126" s="8">
        <f>IF(OR($G126="",$J126=""),"",$J126-$G126)</f>
        <v/>
      </c>
      <c r="N126" s="9" t="n"/>
      <c r="O126" s="9" t="n"/>
      <c r="P126" s="9" t="n"/>
      <c r="Q126" s="9" t="n"/>
      <c r="R126" s="9" t="n"/>
      <c r="S126" s="9" t="n"/>
      <c r="T126" s="13" t="n"/>
      <c r="U126" s="9" t="n"/>
      <c r="V126" s="8">
        <f>IF($G126="","",IF($D126="","⚠部屋が未選択",IF(COUNTIF('M_部屋'!$A$4:$A$20,$D126)=0,"⚠部屋が未登録",IF(OR($J126="",$N126="キャンセル"),"",IF(SUMPRODUCT(($D$5:$D$204=$D126)*($G$5:$G$204&lt;&gt;"")*($J$5:$J$204&lt;&gt;"")*($N$5:$N$204&lt;&gt;"キャンセル")*($G$5:$G$204&lt;$J126)*($J$5:$J$204&gt;$G126))&gt;1,"⚠重複","")))))</f>
        <v/>
      </c>
      <c r="W126" s="8">
        <f>IF(OR($B126="",$G126=""),"",IF(SUMPRODUCT(('利用者マスタ'!$A$4:$A$60=$B126)*('利用者マスタ'!$B$4:$B$60&lt;&gt;""))=0,"",IF(SUMIFS($X$5:$X$204,$B$5:$B$204,$B126,$G$5:$G$204,"&gt;="&amp;DATE(YEAR($G126),MONTH($G126),1),$G$5:$G$204,"&lt;="&amp;EOMONTH($G126,0))&gt;SUMIFS('利用者マスタ'!$B$4:$B$60,'利用者マスタ'!$A$4:$A$60,$B126),"⚠支給量超過","")))</f>
        <v/>
      </c>
      <c r="X126" s="8">
        <f>IF(OR($G126="",$J126="",$N126="キャンセル"),0,IF(IFERROR(INDEX('M_区分'!$B$4:$B$20,MATCH($C126,'M_区分'!$A$4:$A$20,0)),"○")="○",$J126-$G126+1,0))</f>
        <v/>
      </c>
      <c r="Y126" s="8">
        <f>IF($E126&lt;&gt;"",$E126,$Y125)</f>
        <v/>
      </c>
      <c r="Z126" s="8">
        <f>IF(OR($G126="",$J126=""),"",IF(AND($G126&lt;=EOMONTH('02_カレンダー'!$B$4,0),$J126&gt;='02_カレンダー'!$B$4),$G126*10000+ROW(),""))</f>
        <v/>
      </c>
      <c r="AA126" s="8">
        <f>IF($H126="","",IF(ISNUMBER($H126),IF(AND($H126=INT($H126),$H126&gt;=0,$H126&lt;=24),TEXT(INT($H126),"00")&amp;":00",TEXT($H126,"hh:mm")),$H126))</f>
        <v/>
      </c>
      <c r="AB126" s="8">
        <f>IF($K126="","",IF(ISNUMBER($K126),IF(AND($K126=INT($K126),$K126&gt;=0,$K126&lt;=24),TEXT(INT($K126),"00")&amp;":00",TEXT($K126,"hh:mm")),$K126))</f>
        <v/>
      </c>
      <c r="AC126" s="8">
        <f>IF($G126="",0,$G126)</f>
        <v/>
      </c>
      <c r="AD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IF($F127="","",IF($F127&gt;31,$F127,IF($Y127="","",DATE(YEAR($Y127),MONTH($Y127),$F127))))</f>
        <v/>
      </c>
      <c r="H127" s="9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9" t="n"/>
      <c r="L127" s="8">
        <f>IF(OR($G127="",$J127=""),"",$J127-$G127+1)</f>
        <v/>
      </c>
      <c r="M127" s="8">
        <f>IF(OR($G127="",$J127=""),"",$J127-$G127)</f>
        <v/>
      </c>
      <c r="N127" s="9" t="n"/>
      <c r="O127" s="9" t="n"/>
      <c r="P127" s="9" t="n"/>
      <c r="Q127" s="9" t="n"/>
      <c r="R127" s="9" t="n"/>
      <c r="S127" s="9" t="n"/>
      <c r="T127" s="13" t="n"/>
      <c r="U127" s="9" t="n"/>
      <c r="V127" s="8">
        <f>IF($G127="","",IF($D127="","⚠部屋が未選択",IF(COUNTIF('M_部屋'!$A$4:$A$20,$D127)=0,"⚠部屋が未登録",IF(OR($J127="",$N127="キャンセル"),"",IF(SUMPRODUCT(($D$5:$D$204=$D127)*($G$5:$G$204&lt;&gt;"")*($J$5:$J$204&lt;&gt;"")*($N$5:$N$204&lt;&gt;"キャンセル")*($G$5:$G$204&lt;$J127)*($J$5:$J$204&gt;$G127))&gt;1,"⚠重複","")))))</f>
        <v/>
      </c>
      <c r="W127" s="8">
        <f>IF(OR($B127="",$G127=""),"",IF(SUMPRODUCT(('利用者マスタ'!$A$4:$A$60=$B127)*('利用者マスタ'!$B$4:$B$60&lt;&gt;""))=0,"",IF(SUMIFS($X$5:$X$204,$B$5:$B$204,$B127,$G$5:$G$204,"&gt;="&amp;DATE(YEAR($G127),MONTH($G127),1),$G$5:$G$204,"&lt;="&amp;EOMONTH($G127,0))&gt;SUMIFS('利用者マスタ'!$B$4:$B$60,'利用者マスタ'!$A$4:$A$60,$B127),"⚠支給量超過","")))</f>
        <v/>
      </c>
      <c r="X127" s="8">
        <f>IF(OR($G127="",$J127="",$N127="キャンセル"),0,IF(IFERROR(INDEX('M_区分'!$B$4:$B$20,MATCH($C127,'M_区分'!$A$4:$A$20,0)),"○")="○",$J127-$G127+1,0))</f>
        <v/>
      </c>
      <c r="Y127" s="8">
        <f>IF($E127&lt;&gt;"",$E127,$Y126)</f>
        <v/>
      </c>
      <c r="Z127" s="8">
        <f>IF(OR($G127="",$J127=""),"",IF(AND($G127&lt;=EOMONTH('02_カレンダー'!$B$4,0),$J127&gt;='02_カレンダー'!$B$4),$G127*10000+ROW(),""))</f>
        <v/>
      </c>
      <c r="AA127" s="8">
        <f>IF($H127="","",IF(ISNUMBER($H127),IF(AND($H127=INT($H127),$H127&gt;=0,$H127&lt;=24),TEXT(INT($H127),"00")&amp;":00",TEXT($H127,"hh:mm")),$H127))</f>
        <v/>
      </c>
      <c r="AB127" s="8">
        <f>IF($K127="","",IF(ISNUMBER($K127),IF(AND($K127=INT($K127),$K127&gt;=0,$K127&lt;=24),TEXT(INT($K127),"00")&amp;":00",TEXT($K127,"hh:mm")),$K127))</f>
        <v/>
      </c>
      <c r="AC127" s="8">
        <f>IF($G127="",0,$G127)</f>
        <v/>
      </c>
      <c r="AD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IF($F128="","",IF($F128&gt;31,$F128,IF($Y128="","",DATE(YEAR($Y128),MONTH($Y128),$F128))))</f>
        <v/>
      </c>
      <c r="H128" s="9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9" t="n"/>
      <c r="L128" s="8">
        <f>IF(OR($G128="",$J128=""),"",$J128-$G128+1)</f>
        <v/>
      </c>
      <c r="M128" s="8">
        <f>IF(OR($G128="",$J128=""),"",$J128-$G128)</f>
        <v/>
      </c>
      <c r="N128" s="9" t="n"/>
      <c r="O128" s="9" t="n"/>
      <c r="P128" s="9" t="n"/>
      <c r="Q128" s="9" t="n"/>
      <c r="R128" s="9" t="n"/>
      <c r="S128" s="9" t="n"/>
      <c r="T128" s="13" t="n"/>
      <c r="U128" s="9" t="n"/>
      <c r="V128" s="8">
        <f>IF($G128="","",IF($D128="","⚠部屋が未選択",IF(COUNTIF('M_部屋'!$A$4:$A$20,$D128)=0,"⚠部屋が未登録",IF(OR($J128="",$N128="キャンセル"),"",IF(SUMPRODUCT(($D$5:$D$204=$D128)*($G$5:$G$204&lt;&gt;"")*($J$5:$J$204&lt;&gt;"")*($N$5:$N$204&lt;&gt;"キャンセル")*($G$5:$G$204&lt;$J128)*($J$5:$J$204&gt;$G128))&gt;1,"⚠重複","")))))</f>
        <v/>
      </c>
      <c r="W128" s="8">
        <f>IF(OR($B128="",$G128=""),"",IF(SUMPRODUCT(('利用者マスタ'!$A$4:$A$60=$B128)*('利用者マスタ'!$B$4:$B$60&lt;&gt;""))=0,"",IF(SUMIFS($X$5:$X$204,$B$5:$B$204,$B128,$G$5:$G$204,"&gt;="&amp;DATE(YEAR($G128),MONTH($G128),1),$G$5:$G$204,"&lt;="&amp;EOMONTH($G128,0))&gt;SUMIFS('利用者マスタ'!$B$4:$B$60,'利用者マスタ'!$A$4:$A$60,$B128),"⚠支給量超過","")))</f>
        <v/>
      </c>
      <c r="X128" s="8">
        <f>IF(OR($G128="",$J128="",$N128="キャンセル"),0,IF(IFERROR(INDEX('M_区分'!$B$4:$B$20,MATCH($C128,'M_区分'!$A$4:$A$20,0)),"○")="○",$J128-$G128+1,0))</f>
        <v/>
      </c>
      <c r="Y128" s="8">
        <f>IF($E128&lt;&gt;"",$E128,$Y127)</f>
        <v/>
      </c>
      <c r="Z128" s="8">
        <f>IF(OR($G128="",$J128=""),"",IF(AND($G128&lt;=EOMONTH('02_カレンダー'!$B$4,0),$J128&gt;='02_カレンダー'!$B$4),$G128*10000+ROW(),""))</f>
        <v/>
      </c>
      <c r="AA128" s="8">
        <f>IF($H128="","",IF(ISNUMBER($H128),IF(AND($H128=INT($H128),$H128&gt;=0,$H128&lt;=24),TEXT(INT($H128),"00")&amp;":00",TEXT($H128,"hh:mm")),$H128))</f>
        <v/>
      </c>
      <c r="AB128" s="8">
        <f>IF($K128="","",IF(ISNUMBER($K128),IF(AND($K128=INT($K128),$K128&gt;=0,$K128&lt;=24),TEXT(INT($K128),"00")&amp;":00",TEXT($K128,"hh:mm")),$K128))</f>
        <v/>
      </c>
      <c r="AC128" s="8">
        <f>IF($G128="",0,$G128)</f>
        <v/>
      </c>
      <c r="AD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IF($F129="","",IF($F129&gt;31,$F129,IF($Y129="","",DATE(YEAR($Y129),MONTH($Y129),$F129))))</f>
        <v/>
      </c>
      <c r="H129" s="9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9" t="n"/>
      <c r="L129" s="8">
        <f>IF(OR($G129="",$J129=""),"",$J129-$G129+1)</f>
        <v/>
      </c>
      <c r="M129" s="8">
        <f>IF(OR($G129="",$J129=""),"",$J129-$G129)</f>
        <v/>
      </c>
      <c r="N129" s="9" t="n"/>
      <c r="O129" s="9" t="n"/>
      <c r="P129" s="9" t="n"/>
      <c r="Q129" s="9" t="n"/>
      <c r="R129" s="9" t="n"/>
      <c r="S129" s="9" t="n"/>
      <c r="T129" s="13" t="n"/>
      <c r="U129" s="9" t="n"/>
      <c r="V129" s="8">
        <f>IF($G129="","",IF($D129="","⚠部屋が未選択",IF(COUNTIF('M_部屋'!$A$4:$A$20,$D129)=0,"⚠部屋が未登録",IF(OR($J129="",$N129="キャンセル"),"",IF(SUMPRODUCT(($D$5:$D$204=$D129)*($G$5:$G$204&lt;&gt;"")*($J$5:$J$204&lt;&gt;"")*($N$5:$N$204&lt;&gt;"キャンセル")*($G$5:$G$204&lt;$J129)*($J$5:$J$204&gt;$G129))&gt;1,"⚠重複","")))))</f>
        <v/>
      </c>
      <c r="W129" s="8">
        <f>IF(OR($B129="",$G129=""),"",IF(SUMPRODUCT(('利用者マスタ'!$A$4:$A$60=$B129)*('利用者マスタ'!$B$4:$B$60&lt;&gt;""))=0,"",IF(SUMIFS($X$5:$X$204,$B$5:$B$204,$B129,$G$5:$G$204,"&gt;="&amp;DATE(YEAR($G129),MONTH($G129),1),$G$5:$G$204,"&lt;="&amp;EOMONTH($G129,0))&gt;SUMIFS('利用者マスタ'!$B$4:$B$60,'利用者マスタ'!$A$4:$A$60,$B129),"⚠支給量超過","")))</f>
        <v/>
      </c>
      <c r="X129" s="8">
        <f>IF(OR($G129="",$J129="",$N129="キャンセル"),0,IF(IFERROR(INDEX('M_区分'!$B$4:$B$20,MATCH($C129,'M_区分'!$A$4:$A$20,0)),"○")="○",$J129-$G129+1,0))</f>
        <v/>
      </c>
      <c r="Y129" s="8">
        <f>IF($E129&lt;&gt;"",$E129,$Y128)</f>
        <v/>
      </c>
      <c r="Z129" s="8">
        <f>IF(OR($G129="",$J129=""),"",IF(AND($G129&lt;=EOMONTH('02_カレンダー'!$B$4,0),$J129&gt;='02_カレンダー'!$B$4),$G129*10000+ROW(),""))</f>
        <v/>
      </c>
      <c r="AA129" s="8">
        <f>IF($H129="","",IF(ISNUMBER($H129),IF(AND($H129=INT($H129),$H129&gt;=0,$H129&lt;=24),TEXT(INT($H129),"00")&amp;":00",TEXT($H129,"hh:mm")),$H129))</f>
        <v/>
      </c>
      <c r="AB129" s="8">
        <f>IF($K129="","",IF(ISNUMBER($K129),IF(AND($K129=INT($K129),$K129&gt;=0,$K129&lt;=24),TEXT(INT($K129),"00")&amp;":00",TEXT($K129,"hh:mm")),$K129))</f>
        <v/>
      </c>
      <c r="AC129" s="8">
        <f>IF($G129="",0,$G129)</f>
        <v/>
      </c>
      <c r="AD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IF($F130="","",IF($F130&gt;31,$F130,IF($Y130="","",DATE(YEAR($Y130),MONTH($Y130),$F130))))</f>
        <v/>
      </c>
      <c r="H130" s="9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9" t="n"/>
      <c r="L130" s="8">
        <f>IF(OR($G130="",$J130=""),"",$J130-$G130+1)</f>
        <v/>
      </c>
      <c r="M130" s="8">
        <f>IF(OR($G130="",$J130=""),"",$J130-$G130)</f>
        <v/>
      </c>
      <c r="N130" s="9" t="n"/>
      <c r="O130" s="9" t="n"/>
      <c r="P130" s="9" t="n"/>
      <c r="Q130" s="9" t="n"/>
      <c r="R130" s="9" t="n"/>
      <c r="S130" s="9" t="n"/>
      <c r="T130" s="13" t="n"/>
      <c r="U130" s="9" t="n"/>
      <c r="V130" s="8">
        <f>IF($G130="","",IF($D130="","⚠部屋が未選択",IF(COUNTIF('M_部屋'!$A$4:$A$20,$D130)=0,"⚠部屋が未登録",IF(OR($J130="",$N130="キャンセル"),"",IF(SUMPRODUCT(($D$5:$D$204=$D130)*($G$5:$G$204&lt;&gt;"")*($J$5:$J$204&lt;&gt;"")*($N$5:$N$204&lt;&gt;"キャンセル")*($G$5:$G$204&lt;$J130)*($J$5:$J$204&gt;$G130))&gt;1,"⚠重複","")))))</f>
        <v/>
      </c>
      <c r="W130" s="8">
        <f>IF(OR($B130="",$G130=""),"",IF(SUMPRODUCT(('利用者マスタ'!$A$4:$A$60=$B130)*('利用者マスタ'!$B$4:$B$60&lt;&gt;""))=0,"",IF(SUMIFS($X$5:$X$204,$B$5:$B$204,$B130,$G$5:$G$204,"&gt;="&amp;DATE(YEAR($G130),MONTH($G130),1),$G$5:$G$204,"&lt;="&amp;EOMONTH($G130,0))&gt;SUMIFS('利用者マスタ'!$B$4:$B$60,'利用者マスタ'!$A$4:$A$60,$B130),"⚠支給量超過","")))</f>
        <v/>
      </c>
      <c r="X130" s="8">
        <f>IF(OR($G130="",$J130="",$N130="キャンセル"),0,IF(IFERROR(INDEX('M_区分'!$B$4:$B$20,MATCH($C130,'M_区分'!$A$4:$A$20,0)),"○")="○",$J130-$G130+1,0))</f>
        <v/>
      </c>
      <c r="Y130" s="8">
        <f>IF($E130&lt;&gt;"",$E130,$Y129)</f>
        <v/>
      </c>
      <c r="Z130" s="8">
        <f>IF(OR($G130="",$J130=""),"",IF(AND($G130&lt;=EOMONTH('02_カレンダー'!$B$4,0),$J130&gt;='02_カレンダー'!$B$4),$G130*10000+ROW(),""))</f>
        <v/>
      </c>
      <c r="AA130" s="8">
        <f>IF($H130="","",IF(ISNUMBER($H130),IF(AND($H130=INT($H130),$H130&gt;=0,$H130&lt;=24),TEXT(INT($H130),"00")&amp;":00",TEXT($H130,"hh:mm")),$H130))</f>
        <v/>
      </c>
      <c r="AB130" s="8">
        <f>IF($K130="","",IF(ISNUMBER($K130),IF(AND($K130=INT($K130),$K130&gt;=0,$K130&lt;=24),TEXT(INT($K130),"00")&amp;":00",TEXT($K130,"hh:mm")),$K130))</f>
        <v/>
      </c>
      <c r="AC130" s="8">
        <f>IF($G130="",0,$G130)</f>
        <v/>
      </c>
      <c r="AD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IF($F131="","",IF($F131&gt;31,$F131,IF($Y131="","",DATE(YEAR($Y131),MONTH($Y131),$F131))))</f>
        <v/>
      </c>
      <c r="H131" s="9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9" t="n"/>
      <c r="L131" s="8">
        <f>IF(OR($G131="",$J131=""),"",$J131-$G131+1)</f>
        <v/>
      </c>
      <c r="M131" s="8">
        <f>IF(OR($G131="",$J131=""),"",$J131-$G131)</f>
        <v/>
      </c>
      <c r="N131" s="9" t="n"/>
      <c r="O131" s="9" t="n"/>
      <c r="P131" s="9" t="n"/>
      <c r="Q131" s="9" t="n"/>
      <c r="R131" s="9" t="n"/>
      <c r="S131" s="9" t="n"/>
      <c r="T131" s="13" t="n"/>
      <c r="U131" s="9" t="n"/>
      <c r="V131" s="8">
        <f>IF($G131="","",IF($D131="","⚠部屋が未選択",IF(COUNTIF('M_部屋'!$A$4:$A$20,$D131)=0,"⚠部屋が未登録",IF(OR($J131="",$N131="キャンセル"),"",IF(SUMPRODUCT(($D$5:$D$204=$D131)*($G$5:$G$204&lt;&gt;"")*($J$5:$J$204&lt;&gt;"")*($N$5:$N$204&lt;&gt;"キャンセル")*($G$5:$G$204&lt;$J131)*($J$5:$J$204&gt;$G131))&gt;1,"⚠重複","")))))</f>
        <v/>
      </c>
      <c r="W131" s="8">
        <f>IF(OR($B131="",$G131=""),"",IF(SUMPRODUCT(('利用者マスタ'!$A$4:$A$60=$B131)*('利用者マスタ'!$B$4:$B$60&lt;&gt;""))=0,"",IF(SUMIFS($X$5:$X$204,$B$5:$B$204,$B131,$G$5:$G$204,"&gt;="&amp;DATE(YEAR($G131),MONTH($G131),1),$G$5:$G$204,"&lt;="&amp;EOMONTH($G131,0))&gt;SUMIFS('利用者マスタ'!$B$4:$B$60,'利用者マスタ'!$A$4:$A$60,$B131),"⚠支給量超過","")))</f>
        <v/>
      </c>
      <c r="X131" s="8">
        <f>IF(OR($G131="",$J131="",$N131="キャンセル"),0,IF(IFERROR(INDEX('M_区分'!$B$4:$B$20,MATCH($C131,'M_区分'!$A$4:$A$20,0)),"○")="○",$J131-$G131+1,0))</f>
        <v/>
      </c>
      <c r="Y131" s="8">
        <f>IF($E131&lt;&gt;"",$E131,$Y130)</f>
        <v/>
      </c>
      <c r="Z131" s="8">
        <f>IF(OR($G131="",$J131=""),"",IF(AND($G131&lt;=EOMONTH('02_カレンダー'!$B$4,0),$J131&gt;='02_カレンダー'!$B$4),$G131*10000+ROW(),""))</f>
        <v/>
      </c>
      <c r="AA131" s="8">
        <f>IF($H131="","",IF(ISNUMBER($H131),IF(AND($H131=INT($H131),$H131&gt;=0,$H131&lt;=24),TEXT(INT($H131),"00")&amp;":00",TEXT($H131,"hh:mm")),$H131))</f>
        <v/>
      </c>
      <c r="AB131" s="8">
        <f>IF($K131="","",IF(ISNUMBER($K131),IF(AND($K131=INT($K131),$K131&gt;=0,$K131&lt;=24),TEXT(INT($K131),"00")&amp;":00",TEXT($K131,"hh:mm")),$K131))</f>
        <v/>
      </c>
      <c r="AC131" s="8">
        <f>IF($G131="",0,$G131)</f>
        <v/>
      </c>
      <c r="AD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IF($F132="","",IF($F132&gt;31,$F132,IF($Y132="","",DATE(YEAR($Y132),MONTH($Y132),$F132))))</f>
        <v/>
      </c>
      <c r="H132" s="9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9" t="n"/>
      <c r="L132" s="8">
        <f>IF(OR($G132="",$J132=""),"",$J132-$G132+1)</f>
        <v/>
      </c>
      <c r="M132" s="8">
        <f>IF(OR($G132="",$J132=""),"",$J132-$G132)</f>
        <v/>
      </c>
      <c r="N132" s="9" t="n"/>
      <c r="O132" s="9" t="n"/>
      <c r="P132" s="9" t="n"/>
      <c r="Q132" s="9" t="n"/>
      <c r="R132" s="9" t="n"/>
      <c r="S132" s="9" t="n"/>
      <c r="T132" s="13" t="n"/>
      <c r="U132" s="9" t="n"/>
      <c r="V132" s="8">
        <f>IF($G132="","",IF($D132="","⚠部屋が未選択",IF(COUNTIF('M_部屋'!$A$4:$A$20,$D132)=0,"⚠部屋が未登録",IF(OR($J132="",$N132="キャンセル"),"",IF(SUMPRODUCT(($D$5:$D$204=$D132)*($G$5:$G$204&lt;&gt;"")*($J$5:$J$204&lt;&gt;"")*($N$5:$N$204&lt;&gt;"キャンセル")*($G$5:$G$204&lt;$J132)*($J$5:$J$204&gt;$G132))&gt;1,"⚠重複","")))))</f>
        <v/>
      </c>
      <c r="W132" s="8">
        <f>IF(OR($B132="",$G132=""),"",IF(SUMPRODUCT(('利用者マスタ'!$A$4:$A$60=$B132)*('利用者マスタ'!$B$4:$B$60&lt;&gt;""))=0,"",IF(SUMIFS($X$5:$X$204,$B$5:$B$204,$B132,$G$5:$G$204,"&gt;="&amp;DATE(YEAR($G132),MONTH($G132),1),$G$5:$G$204,"&lt;="&amp;EOMONTH($G132,0))&gt;SUMIFS('利用者マスタ'!$B$4:$B$60,'利用者マスタ'!$A$4:$A$60,$B132),"⚠支給量超過","")))</f>
        <v/>
      </c>
      <c r="X132" s="8">
        <f>IF(OR($G132="",$J132="",$N132="キャンセル"),0,IF(IFERROR(INDEX('M_区分'!$B$4:$B$20,MATCH($C132,'M_区分'!$A$4:$A$20,0)),"○")="○",$J132-$G132+1,0))</f>
        <v/>
      </c>
      <c r="Y132" s="8">
        <f>IF($E132&lt;&gt;"",$E132,$Y131)</f>
        <v/>
      </c>
      <c r="Z132" s="8">
        <f>IF(OR($G132="",$J132=""),"",IF(AND($G132&lt;=EOMONTH('02_カレンダー'!$B$4,0),$J132&gt;='02_カレンダー'!$B$4),$G132*10000+ROW(),""))</f>
        <v/>
      </c>
      <c r="AA132" s="8">
        <f>IF($H132="","",IF(ISNUMBER($H132),IF(AND($H132=INT($H132),$H132&gt;=0,$H132&lt;=24),TEXT(INT($H132),"00")&amp;":00",TEXT($H132,"hh:mm")),$H132))</f>
        <v/>
      </c>
      <c r="AB132" s="8">
        <f>IF($K132="","",IF(ISNUMBER($K132),IF(AND($K132=INT($K132),$K132&gt;=0,$K132&lt;=24),TEXT(INT($K132),"00")&amp;":00",TEXT($K132,"hh:mm")),$K132))</f>
        <v/>
      </c>
      <c r="AC132" s="8">
        <f>IF($G132="",0,$G132)</f>
        <v/>
      </c>
      <c r="AD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IF($F133="","",IF($F133&gt;31,$F133,IF($Y133="","",DATE(YEAR($Y133),MONTH($Y133),$F133))))</f>
        <v/>
      </c>
      <c r="H133" s="9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9" t="n"/>
      <c r="L133" s="8">
        <f>IF(OR($G133="",$J133=""),"",$J133-$G133+1)</f>
        <v/>
      </c>
      <c r="M133" s="8">
        <f>IF(OR($G133="",$J133=""),"",$J133-$G133)</f>
        <v/>
      </c>
      <c r="N133" s="9" t="n"/>
      <c r="O133" s="9" t="n"/>
      <c r="P133" s="9" t="n"/>
      <c r="Q133" s="9" t="n"/>
      <c r="R133" s="9" t="n"/>
      <c r="S133" s="9" t="n"/>
      <c r="T133" s="13" t="n"/>
      <c r="U133" s="9" t="n"/>
      <c r="V133" s="8">
        <f>IF($G133="","",IF($D133="","⚠部屋が未選択",IF(COUNTIF('M_部屋'!$A$4:$A$20,$D133)=0,"⚠部屋が未登録",IF(OR($J133="",$N133="キャンセル"),"",IF(SUMPRODUCT(($D$5:$D$204=$D133)*($G$5:$G$204&lt;&gt;"")*($J$5:$J$204&lt;&gt;"")*($N$5:$N$204&lt;&gt;"キャンセル")*($G$5:$G$204&lt;$J133)*($J$5:$J$204&gt;$G133))&gt;1,"⚠重複","")))))</f>
        <v/>
      </c>
      <c r="W133" s="8">
        <f>IF(OR($B133="",$G133=""),"",IF(SUMPRODUCT(('利用者マスタ'!$A$4:$A$60=$B133)*('利用者マスタ'!$B$4:$B$60&lt;&gt;""))=0,"",IF(SUMIFS($X$5:$X$204,$B$5:$B$204,$B133,$G$5:$G$204,"&gt;="&amp;DATE(YEAR($G133),MONTH($G133),1),$G$5:$G$204,"&lt;="&amp;EOMONTH($G133,0))&gt;SUMIFS('利用者マスタ'!$B$4:$B$60,'利用者マスタ'!$A$4:$A$60,$B133),"⚠支給量超過","")))</f>
        <v/>
      </c>
      <c r="X133" s="8">
        <f>IF(OR($G133="",$J133="",$N133="キャンセル"),0,IF(IFERROR(INDEX('M_区分'!$B$4:$B$20,MATCH($C133,'M_区分'!$A$4:$A$20,0)),"○")="○",$J133-$G133+1,0))</f>
        <v/>
      </c>
      <c r="Y133" s="8">
        <f>IF($E133&lt;&gt;"",$E133,$Y132)</f>
        <v/>
      </c>
      <c r="Z133" s="8">
        <f>IF(OR($G133="",$J133=""),"",IF(AND($G133&lt;=EOMONTH('02_カレンダー'!$B$4,0),$J133&gt;='02_カレンダー'!$B$4),$G133*10000+ROW(),""))</f>
        <v/>
      </c>
      <c r="AA133" s="8">
        <f>IF($H133="","",IF(ISNUMBER($H133),IF(AND($H133=INT($H133),$H133&gt;=0,$H133&lt;=24),TEXT(INT($H133),"00")&amp;":00",TEXT($H133,"hh:mm")),$H133))</f>
        <v/>
      </c>
      <c r="AB133" s="8">
        <f>IF($K133="","",IF(ISNUMBER($K133),IF(AND($K133=INT($K133),$K133&gt;=0,$K133&lt;=24),TEXT(INT($K133),"00")&amp;":00",TEXT($K133,"hh:mm")),$K133))</f>
        <v/>
      </c>
      <c r="AC133" s="8">
        <f>IF($G133="",0,$G133)</f>
        <v/>
      </c>
      <c r="AD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IF($F134="","",IF($F134&gt;31,$F134,IF($Y134="","",DATE(YEAR($Y134),MONTH($Y134),$F134))))</f>
        <v/>
      </c>
      <c r="H134" s="9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9" t="n"/>
      <c r="L134" s="8">
        <f>IF(OR($G134="",$J134=""),"",$J134-$G134+1)</f>
        <v/>
      </c>
      <c r="M134" s="8">
        <f>IF(OR($G134="",$J134=""),"",$J134-$G134)</f>
        <v/>
      </c>
      <c r="N134" s="9" t="n"/>
      <c r="O134" s="9" t="n"/>
      <c r="P134" s="9" t="n"/>
      <c r="Q134" s="9" t="n"/>
      <c r="R134" s="9" t="n"/>
      <c r="S134" s="9" t="n"/>
      <c r="T134" s="13" t="n"/>
      <c r="U134" s="9" t="n"/>
      <c r="V134" s="8">
        <f>IF($G134="","",IF($D134="","⚠部屋が未選択",IF(COUNTIF('M_部屋'!$A$4:$A$20,$D134)=0,"⚠部屋が未登録",IF(OR($J134="",$N134="キャンセル"),"",IF(SUMPRODUCT(($D$5:$D$204=$D134)*($G$5:$G$204&lt;&gt;"")*($J$5:$J$204&lt;&gt;"")*($N$5:$N$204&lt;&gt;"キャンセル")*($G$5:$G$204&lt;$J134)*($J$5:$J$204&gt;$G134))&gt;1,"⚠重複","")))))</f>
        <v/>
      </c>
      <c r="W134" s="8">
        <f>IF(OR($B134="",$G134=""),"",IF(SUMPRODUCT(('利用者マスタ'!$A$4:$A$60=$B134)*('利用者マスタ'!$B$4:$B$60&lt;&gt;""))=0,"",IF(SUMIFS($X$5:$X$204,$B$5:$B$204,$B134,$G$5:$G$204,"&gt;="&amp;DATE(YEAR($G134),MONTH($G134),1),$G$5:$G$204,"&lt;="&amp;EOMONTH($G134,0))&gt;SUMIFS('利用者マスタ'!$B$4:$B$60,'利用者マスタ'!$A$4:$A$60,$B134),"⚠支給量超過","")))</f>
        <v/>
      </c>
      <c r="X134" s="8">
        <f>IF(OR($G134="",$J134="",$N134="キャンセル"),0,IF(IFERROR(INDEX('M_区分'!$B$4:$B$20,MATCH($C134,'M_区分'!$A$4:$A$20,0)),"○")="○",$J134-$G134+1,0))</f>
        <v/>
      </c>
      <c r="Y134" s="8">
        <f>IF($E134&lt;&gt;"",$E134,$Y133)</f>
        <v/>
      </c>
      <c r="Z134" s="8">
        <f>IF(OR($G134="",$J134=""),"",IF(AND($G134&lt;=EOMONTH('02_カレンダー'!$B$4,0),$J134&gt;='02_カレンダー'!$B$4),$G134*10000+ROW(),""))</f>
        <v/>
      </c>
      <c r="AA134" s="8">
        <f>IF($H134="","",IF(ISNUMBER($H134),IF(AND($H134=INT($H134),$H134&gt;=0,$H134&lt;=24),TEXT(INT($H134),"00")&amp;":00",TEXT($H134,"hh:mm")),$H134))</f>
        <v/>
      </c>
      <c r="AB134" s="8">
        <f>IF($K134="","",IF(ISNUMBER($K134),IF(AND($K134=INT($K134),$K134&gt;=0,$K134&lt;=24),TEXT(INT($K134),"00")&amp;":00",TEXT($K134,"hh:mm")),$K134))</f>
        <v/>
      </c>
      <c r="AC134" s="8">
        <f>IF($G134="",0,$G134)</f>
        <v/>
      </c>
      <c r="AD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IF($F135="","",IF($F135&gt;31,$F135,IF($Y135="","",DATE(YEAR($Y135),MONTH($Y135),$F135))))</f>
        <v/>
      </c>
      <c r="H135" s="9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9" t="n"/>
      <c r="L135" s="8">
        <f>IF(OR($G135="",$J135=""),"",$J135-$G135+1)</f>
        <v/>
      </c>
      <c r="M135" s="8">
        <f>IF(OR($G135="",$J135=""),"",$J135-$G135)</f>
        <v/>
      </c>
      <c r="N135" s="9" t="n"/>
      <c r="O135" s="9" t="n"/>
      <c r="P135" s="9" t="n"/>
      <c r="Q135" s="9" t="n"/>
      <c r="R135" s="9" t="n"/>
      <c r="S135" s="9" t="n"/>
      <c r="T135" s="13" t="n"/>
      <c r="U135" s="9" t="n"/>
      <c r="V135" s="8">
        <f>IF($G135="","",IF($D135="","⚠部屋が未選択",IF(COUNTIF('M_部屋'!$A$4:$A$20,$D135)=0,"⚠部屋が未登録",IF(OR($J135="",$N135="キャンセル"),"",IF(SUMPRODUCT(($D$5:$D$204=$D135)*($G$5:$G$204&lt;&gt;"")*($J$5:$J$204&lt;&gt;"")*($N$5:$N$204&lt;&gt;"キャンセル")*($G$5:$G$204&lt;$J135)*($J$5:$J$204&gt;$G135))&gt;1,"⚠重複","")))))</f>
        <v/>
      </c>
      <c r="W135" s="8">
        <f>IF(OR($B135="",$G135=""),"",IF(SUMPRODUCT(('利用者マスタ'!$A$4:$A$60=$B135)*('利用者マスタ'!$B$4:$B$60&lt;&gt;""))=0,"",IF(SUMIFS($X$5:$X$204,$B$5:$B$204,$B135,$G$5:$G$204,"&gt;="&amp;DATE(YEAR($G135),MONTH($G135),1),$G$5:$G$204,"&lt;="&amp;EOMONTH($G135,0))&gt;SUMIFS('利用者マスタ'!$B$4:$B$60,'利用者マスタ'!$A$4:$A$60,$B135),"⚠支給量超過","")))</f>
        <v/>
      </c>
      <c r="X135" s="8">
        <f>IF(OR($G135="",$J135="",$N135="キャンセル"),0,IF(IFERROR(INDEX('M_区分'!$B$4:$B$20,MATCH($C135,'M_区分'!$A$4:$A$20,0)),"○")="○",$J135-$G135+1,0))</f>
        <v/>
      </c>
      <c r="Y135" s="8">
        <f>IF($E135&lt;&gt;"",$E135,$Y134)</f>
        <v/>
      </c>
      <c r="Z135" s="8">
        <f>IF(OR($G135="",$J135=""),"",IF(AND($G135&lt;=EOMONTH('02_カレンダー'!$B$4,0),$J135&gt;='02_カレンダー'!$B$4),$G135*10000+ROW(),""))</f>
        <v/>
      </c>
      <c r="AA135" s="8">
        <f>IF($H135="","",IF(ISNUMBER($H135),IF(AND($H135=INT($H135),$H135&gt;=0,$H135&lt;=24),TEXT(INT($H135),"00")&amp;":00",TEXT($H135,"hh:mm")),$H135))</f>
        <v/>
      </c>
      <c r="AB135" s="8">
        <f>IF($K135="","",IF(ISNUMBER($K135),IF(AND($K135=INT($K135),$K135&gt;=0,$K135&lt;=24),TEXT(INT($K135),"00")&amp;":00",TEXT($K135,"hh:mm")),$K135))</f>
        <v/>
      </c>
      <c r="AC135" s="8">
        <f>IF($G135="",0,$G135)</f>
        <v/>
      </c>
      <c r="AD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IF($F136="","",IF($F136&gt;31,$F136,IF($Y136="","",DATE(YEAR($Y136),MONTH($Y136),$F136))))</f>
        <v/>
      </c>
      <c r="H136" s="9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9" t="n"/>
      <c r="L136" s="8">
        <f>IF(OR($G136="",$J136=""),"",$J136-$G136+1)</f>
        <v/>
      </c>
      <c r="M136" s="8">
        <f>IF(OR($G136="",$J136=""),"",$J136-$G136)</f>
        <v/>
      </c>
      <c r="N136" s="9" t="n"/>
      <c r="O136" s="9" t="n"/>
      <c r="P136" s="9" t="n"/>
      <c r="Q136" s="9" t="n"/>
      <c r="R136" s="9" t="n"/>
      <c r="S136" s="9" t="n"/>
      <c r="T136" s="13" t="n"/>
      <c r="U136" s="9" t="n"/>
      <c r="V136" s="8">
        <f>IF($G136="","",IF($D136="","⚠部屋が未選択",IF(COUNTIF('M_部屋'!$A$4:$A$20,$D136)=0,"⚠部屋が未登録",IF(OR($J136="",$N136="キャンセル"),"",IF(SUMPRODUCT(($D$5:$D$204=$D136)*($G$5:$G$204&lt;&gt;"")*($J$5:$J$204&lt;&gt;"")*($N$5:$N$204&lt;&gt;"キャンセル")*($G$5:$G$204&lt;$J136)*($J$5:$J$204&gt;$G136))&gt;1,"⚠重複","")))))</f>
        <v/>
      </c>
      <c r="W136" s="8">
        <f>IF(OR($B136="",$G136=""),"",IF(SUMPRODUCT(('利用者マスタ'!$A$4:$A$60=$B136)*('利用者マスタ'!$B$4:$B$60&lt;&gt;""))=0,"",IF(SUMIFS($X$5:$X$204,$B$5:$B$204,$B136,$G$5:$G$204,"&gt;="&amp;DATE(YEAR($G136),MONTH($G136),1),$G$5:$G$204,"&lt;="&amp;EOMONTH($G136,0))&gt;SUMIFS('利用者マスタ'!$B$4:$B$60,'利用者マスタ'!$A$4:$A$60,$B136),"⚠支給量超過","")))</f>
        <v/>
      </c>
      <c r="X136" s="8">
        <f>IF(OR($G136="",$J136="",$N136="キャンセル"),0,IF(IFERROR(INDEX('M_区分'!$B$4:$B$20,MATCH($C136,'M_区分'!$A$4:$A$20,0)),"○")="○",$J136-$G136+1,0))</f>
        <v/>
      </c>
      <c r="Y136" s="8">
        <f>IF($E136&lt;&gt;"",$E136,$Y135)</f>
        <v/>
      </c>
      <c r="Z136" s="8">
        <f>IF(OR($G136="",$J136=""),"",IF(AND($G136&lt;=EOMONTH('02_カレンダー'!$B$4,0),$J136&gt;='02_カレンダー'!$B$4),$G136*10000+ROW(),""))</f>
        <v/>
      </c>
      <c r="AA136" s="8">
        <f>IF($H136="","",IF(ISNUMBER($H136),IF(AND($H136=INT($H136),$H136&gt;=0,$H136&lt;=24),TEXT(INT($H136),"00")&amp;":00",TEXT($H136,"hh:mm")),$H136))</f>
        <v/>
      </c>
      <c r="AB136" s="8">
        <f>IF($K136="","",IF(ISNUMBER($K136),IF(AND($K136=INT($K136),$K136&gt;=0,$K136&lt;=24),TEXT(INT($K136),"00")&amp;":00",TEXT($K136,"hh:mm")),$K136))</f>
        <v/>
      </c>
      <c r="AC136" s="8">
        <f>IF($G136="",0,$G136)</f>
        <v/>
      </c>
      <c r="AD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IF($F137="","",IF($F137&gt;31,$F137,IF($Y137="","",DATE(YEAR($Y137),MONTH($Y137),$F137))))</f>
        <v/>
      </c>
      <c r="H137" s="9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9" t="n"/>
      <c r="L137" s="8">
        <f>IF(OR($G137="",$J137=""),"",$J137-$G137+1)</f>
        <v/>
      </c>
      <c r="M137" s="8">
        <f>IF(OR($G137="",$J137=""),"",$J137-$G137)</f>
        <v/>
      </c>
      <c r="N137" s="9" t="n"/>
      <c r="O137" s="9" t="n"/>
      <c r="P137" s="9" t="n"/>
      <c r="Q137" s="9" t="n"/>
      <c r="R137" s="9" t="n"/>
      <c r="S137" s="9" t="n"/>
      <c r="T137" s="13" t="n"/>
      <c r="U137" s="9" t="n"/>
      <c r="V137" s="8">
        <f>IF($G137="","",IF($D137="","⚠部屋が未選択",IF(COUNTIF('M_部屋'!$A$4:$A$20,$D137)=0,"⚠部屋が未登録",IF(OR($J137="",$N137="キャンセル"),"",IF(SUMPRODUCT(($D$5:$D$204=$D137)*($G$5:$G$204&lt;&gt;"")*($J$5:$J$204&lt;&gt;"")*($N$5:$N$204&lt;&gt;"キャンセル")*($G$5:$G$204&lt;$J137)*($J$5:$J$204&gt;$G137))&gt;1,"⚠重複","")))))</f>
        <v/>
      </c>
      <c r="W137" s="8">
        <f>IF(OR($B137="",$G137=""),"",IF(SUMPRODUCT(('利用者マスタ'!$A$4:$A$60=$B137)*('利用者マスタ'!$B$4:$B$60&lt;&gt;""))=0,"",IF(SUMIFS($X$5:$X$204,$B$5:$B$204,$B137,$G$5:$G$204,"&gt;="&amp;DATE(YEAR($G137),MONTH($G137),1),$G$5:$G$204,"&lt;="&amp;EOMONTH($G137,0))&gt;SUMIFS('利用者マスタ'!$B$4:$B$60,'利用者マスタ'!$A$4:$A$60,$B137),"⚠支給量超過","")))</f>
        <v/>
      </c>
      <c r="X137" s="8">
        <f>IF(OR($G137="",$J137="",$N137="キャンセル"),0,IF(IFERROR(INDEX('M_区分'!$B$4:$B$20,MATCH($C137,'M_区分'!$A$4:$A$20,0)),"○")="○",$J137-$G137+1,0))</f>
        <v/>
      </c>
      <c r="Y137" s="8">
        <f>IF($E137&lt;&gt;"",$E137,$Y136)</f>
        <v/>
      </c>
      <c r="Z137" s="8">
        <f>IF(OR($G137="",$J137=""),"",IF(AND($G137&lt;=EOMONTH('02_カレンダー'!$B$4,0),$J137&gt;='02_カレンダー'!$B$4),$G137*10000+ROW(),""))</f>
        <v/>
      </c>
      <c r="AA137" s="8">
        <f>IF($H137="","",IF(ISNUMBER($H137),IF(AND($H137=INT($H137),$H137&gt;=0,$H137&lt;=24),TEXT(INT($H137),"00")&amp;":00",TEXT($H137,"hh:mm")),$H137))</f>
        <v/>
      </c>
      <c r="AB137" s="8">
        <f>IF($K137="","",IF(ISNUMBER($K137),IF(AND($K137=INT($K137),$K137&gt;=0,$K137&lt;=24),TEXT(INT($K137),"00")&amp;":00",TEXT($K137,"hh:mm")),$K137))</f>
        <v/>
      </c>
      <c r="AC137" s="8">
        <f>IF($G137="",0,$G137)</f>
        <v/>
      </c>
      <c r="AD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IF($F138="","",IF($F138&gt;31,$F138,IF($Y138="","",DATE(YEAR($Y138),MONTH($Y138),$F138))))</f>
        <v/>
      </c>
      <c r="H138" s="9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9" t="n"/>
      <c r="L138" s="8">
        <f>IF(OR($G138="",$J138=""),"",$J138-$G138+1)</f>
        <v/>
      </c>
      <c r="M138" s="8">
        <f>IF(OR($G138="",$J138=""),"",$J138-$G138)</f>
        <v/>
      </c>
      <c r="N138" s="9" t="n"/>
      <c r="O138" s="9" t="n"/>
      <c r="P138" s="9" t="n"/>
      <c r="Q138" s="9" t="n"/>
      <c r="R138" s="9" t="n"/>
      <c r="S138" s="9" t="n"/>
      <c r="T138" s="13" t="n"/>
      <c r="U138" s="9" t="n"/>
      <c r="V138" s="8">
        <f>IF($G138="","",IF($D138="","⚠部屋が未選択",IF(COUNTIF('M_部屋'!$A$4:$A$20,$D138)=0,"⚠部屋が未登録",IF(OR($J138="",$N138="キャンセル"),"",IF(SUMPRODUCT(($D$5:$D$204=$D138)*($G$5:$G$204&lt;&gt;"")*($J$5:$J$204&lt;&gt;"")*($N$5:$N$204&lt;&gt;"キャンセル")*($G$5:$G$204&lt;$J138)*($J$5:$J$204&gt;$G138))&gt;1,"⚠重複","")))))</f>
        <v/>
      </c>
      <c r="W138" s="8">
        <f>IF(OR($B138="",$G138=""),"",IF(SUMPRODUCT(('利用者マスタ'!$A$4:$A$60=$B138)*('利用者マスタ'!$B$4:$B$60&lt;&gt;""))=0,"",IF(SUMIFS($X$5:$X$204,$B$5:$B$204,$B138,$G$5:$G$204,"&gt;="&amp;DATE(YEAR($G138),MONTH($G138),1),$G$5:$G$204,"&lt;="&amp;EOMONTH($G138,0))&gt;SUMIFS('利用者マスタ'!$B$4:$B$60,'利用者マスタ'!$A$4:$A$60,$B138),"⚠支給量超過","")))</f>
        <v/>
      </c>
      <c r="X138" s="8">
        <f>IF(OR($G138="",$J138="",$N138="キャンセル"),0,IF(IFERROR(INDEX('M_区分'!$B$4:$B$20,MATCH($C138,'M_区分'!$A$4:$A$20,0)),"○")="○",$J138-$G138+1,0))</f>
        <v/>
      </c>
      <c r="Y138" s="8">
        <f>IF($E138&lt;&gt;"",$E138,$Y137)</f>
        <v/>
      </c>
      <c r="Z138" s="8">
        <f>IF(OR($G138="",$J138=""),"",IF(AND($G138&lt;=EOMONTH('02_カレンダー'!$B$4,0),$J138&gt;='02_カレンダー'!$B$4),$G138*10000+ROW(),""))</f>
        <v/>
      </c>
      <c r="AA138" s="8">
        <f>IF($H138="","",IF(ISNUMBER($H138),IF(AND($H138=INT($H138),$H138&gt;=0,$H138&lt;=24),TEXT(INT($H138),"00")&amp;":00",TEXT($H138,"hh:mm")),$H138))</f>
        <v/>
      </c>
      <c r="AB138" s="8">
        <f>IF($K138="","",IF(ISNUMBER($K138),IF(AND($K138=INT($K138),$K138&gt;=0,$K138&lt;=24),TEXT(INT($K138),"00")&amp;":00",TEXT($K138,"hh:mm")),$K138))</f>
        <v/>
      </c>
      <c r="AC138" s="8">
        <f>IF($G138="",0,$G138)</f>
        <v/>
      </c>
      <c r="AD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IF($F139="","",IF($F139&gt;31,$F139,IF($Y139="","",DATE(YEAR($Y139),MONTH($Y139),$F139))))</f>
        <v/>
      </c>
      <c r="H139" s="9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9" t="n"/>
      <c r="L139" s="8">
        <f>IF(OR($G139="",$J139=""),"",$J139-$G139+1)</f>
        <v/>
      </c>
      <c r="M139" s="8">
        <f>IF(OR($G139="",$J139=""),"",$J139-$G139)</f>
        <v/>
      </c>
      <c r="N139" s="9" t="n"/>
      <c r="O139" s="9" t="n"/>
      <c r="P139" s="9" t="n"/>
      <c r="Q139" s="9" t="n"/>
      <c r="R139" s="9" t="n"/>
      <c r="S139" s="9" t="n"/>
      <c r="T139" s="13" t="n"/>
      <c r="U139" s="9" t="n"/>
      <c r="V139" s="8">
        <f>IF($G139="","",IF($D139="","⚠部屋が未選択",IF(COUNTIF('M_部屋'!$A$4:$A$20,$D139)=0,"⚠部屋が未登録",IF(OR($J139="",$N139="キャンセル"),"",IF(SUMPRODUCT(($D$5:$D$204=$D139)*($G$5:$G$204&lt;&gt;"")*($J$5:$J$204&lt;&gt;"")*($N$5:$N$204&lt;&gt;"キャンセル")*($G$5:$G$204&lt;$J139)*($J$5:$J$204&gt;$G139))&gt;1,"⚠重複","")))))</f>
        <v/>
      </c>
      <c r="W139" s="8">
        <f>IF(OR($B139="",$G139=""),"",IF(SUMPRODUCT(('利用者マスタ'!$A$4:$A$60=$B139)*('利用者マスタ'!$B$4:$B$60&lt;&gt;""))=0,"",IF(SUMIFS($X$5:$X$204,$B$5:$B$204,$B139,$G$5:$G$204,"&gt;="&amp;DATE(YEAR($G139),MONTH($G139),1),$G$5:$G$204,"&lt;="&amp;EOMONTH($G139,0))&gt;SUMIFS('利用者マスタ'!$B$4:$B$60,'利用者マスタ'!$A$4:$A$60,$B139),"⚠支給量超過","")))</f>
        <v/>
      </c>
      <c r="X139" s="8">
        <f>IF(OR($G139="",$J139="",$N139="キャンセル"),0,IF(IFERROR(INDEX('M_区分'!$B$4:$B$20,MATCH($C139,'M_区分'!$A$4:$A$20,0)),"○")="○",$J139-$G139+1,0))</f>
        <v/>
      </c>
      <c r="Y139" s="8">
        <f>IF($E139&lt;&gt;"",$E139,$Y138)</f>
        <v/>
      </c>
      <c r="Z139" s="8">
        <f>IF(OR($G139="",$J139=""),"",IF(AND($G139&lt;=EOMONTH('02_カレンダー'!$B$4,0),$J139&gt;='02_カレンダー'!$B$4),$G139*10000+ROW(),""))</f>
        <v/>
      </c>
      <c r="AA139" s="8">
        <f>IF($H139="","",IF(ISNUMBER($H139),IF(AND($H139=INT($H139),$H139&gt;=0,$H139&lt;=24),TEXT(INT($H139),"00")&amp;":00",TEXT($H139,"hh:mm")),$H139))</f>
        <v/>
      </c>
      <c r="AB139" s="8">
        <f>IF($K139="","",IF(ISNUMBER($K139),IF(AND($K139=INT($K139),$K139&gt;=0,$K139&lt;=24),TEXT(INT($K139),"00")&amp;":00",TEXT($K139,"hh:mm")),$K139))</f>
        <v/>
      </c>
      <c r="AC139" s="8">
        <f>IF($G139="",0,$G139)</f>
        <v/>
      </c>
      <c r="AD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IF($F140="","",IF($F140&gt;31,$F140,IF($Y140="","",DATE(YEAR($Y140),MONTH($Y140),$F140))))</f>
        <v/>
      </c>
      <c r="H140" s="9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9" t="n"/>
      <c r="L140" s="8">
        <f>IF(OR($G140="",$J140=""),"",$J140-$G140+1)</f>
        <v/>
      </c>
      <c r="M140" s="8">
        <f>IF(OR($G140="",$J140=""),"",$J140-$G140)</f>
        <v/>
      </c>
      <c r="N140" s="9" t="n"/>
      <c r="O140" s="9" t="n"/>
      <c r="P140" s="9" t="n"/>
      <c r="Q140" s="9" t="n"/>
      <c r="R140" s="9" t="n"/>
      <c r="S140" s="9" t="n"/>
      <c r="T140" s="13" t="n"/>
      <c r="U140" s="9" t="n"/>
      <c r="V140" s="8">
        <f>IF($G140="","",IF($D140="","⚠部屋が未選択",IF(COUNTIF('M_部屋'!$A$4:$A$20,$D140)=0,"⚠部屋が未登録",IF(OR($J140="",$N140="キャンセル"),"",IF(SUMPRODUCT(($D$5:$D$204=$D140)*($G$5:$G$204&lt;&gt;"")*($J$5:$J$204&lt;&gt;"")*($N$5:$N$204&lt;&gt;"キャンセル")*($G$5:$G$204&lt;$J140)*($J$5:$J$204&gt;$G140))&gt;1,"⚠重複","")))))</f>
        <v/>
      </c>
      <c r="W140" s="8">
        <f>IF(OR($B140="",$G140=""),"",IF(SUMPRODUCT(('利用者マスタ'!$A$4:$A$60=$B140)*('利用者マスタ'!$B$4:$B$60&lt;&gt;""))=0,"",IF(SUMIFS($X$5:$X$204,$B$5:$B$204,$B140,$G$5:$G$204,"&gt;="&amp;DATE(YEAR($G140),MONTH($G140),1),$G$5:$G$204,"&lt;="&amp;EOMONTH($G140,0))&gt;SUMIFS('利用者マスタ'!$B$4:$B$60,'利用者マスタ'!$A$4:$A$60,$B140),"⚠支給量超過","")))</f>
        <v/>
      </c>
      <c r="X140" s="8">
        <f>IF(OR($G140="",$J140="",$N140="キャンセル"),0,IF(IFERROR(INDEX('M_区分'!$B$4:$B$20,MATCH($C140,'M_区分'!$A$4:$A$20,0)),"○")="○",$J140-$G140+1,0))</f>
        <v/>
      </c>
      <c r="Y140" s="8">
        <f>IF($E140&lt;&gt;"",$E140,$Y139)</f>
        <v/>
      </c>
      <c r="Z140" s="8">
        <f>IF(OR($G140="",$J140=""),"",IF(AND($G140&lt;=EOMONTH('02_カレンダー'!$B$4,0),$J140&gt;='02_カレンダー'!$B$4),$G140*10000+ROW(),""))</f>
        <v/>
      </c>
      <c r="AA140" s="8">
        <f>IF($H140="","",IF(ISNUMBER($H140),IF(AND($H140=INT($H140),$H140&gt;=0,$H140&lt;=24),TEXT(INT($H140),"00")&amp;":00",TEXT($H140,"hh:mm")),$H140))</f>
        <v/>
      </c>
      <c r="AB140" s="8">
        <f>IF($K140="","",IF(ISNUMBER($K140),IF(AND($K140=INT($K140),$K140&gt;=0,$K140&lt;=24),TEXT(INT($K140),"00")&amp;":00",TEXT($K140,"hh:mm")),$K140))</f>
        <v/>
      </c>
      <c r="AC140" s="8">
        <f>IF($G140="",0,$G140)</f>
        <v/>
      </c>
      <c r="AD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IF($F141="","",IF($F141&gt;31,$F141,IF($Y141="","",DATE(YEAR($Y141),MONTH($Y141),$F141))))</f>
        <v/>
      </c>
      <c r="H141" s="9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9" t="n"/>
      <c r="L141" s="8">
        <f>IF(OR($G141="",$J141=""),"",$J141-$G141+1)</f>
        <v/>
      </c>
      <c r="M141" s="8">
        <f>IF(OR($G141="",$J141=""),"",$J141-$G141)</f>
        <v/>
      </c>
      <c r="N141" s="9" t="n"/>
      <c r="O141" s="9" t="n"/>
      <c r="P141" s="9" t="n"/>
      <c r="Q141" s="9" t="n"/>
      <c r="R141" s="9" t="n"/>
      <c r="S141" s="9" t="n"/>
      <c r="T141" s="13" t="n"/>
      <c r="U141" s="9" t="n"/>
      <c r="V141" s="8">
        <f>IF($G141="","",IF($D141="","⚠部屋が未選択",IF(COUNTIF('M_部屋'!$A$4:$A$20,$D141)=0,"⚠部屋が未登録",IF(OR($J141="",$N141="キャンセル"),"",IF(SUMPRODUCT(($D$5:$D$204=$D141)*($G$5:$G$204&lt;&gt;"")*($J$5:$J$204&lt;&gt;"")*($N$5:$N$204&lt;&gt;"キャンセル")*($G$5:$G$204&lt;$J141)*($J$5:$J$204&gt;$G141))&gt;1,"⚠重複","")))))</f>
        <v/>
      </c>
      <c r="W141" s="8">
        <f>IF(OR($B141="",$G141=""),"",IF(SUMPRODUCT(('利用者マスタ'!$A$4:$A$60=$B141)*('利用者マスタ'!$B$4:$B$60&lt;&gt;""))=0,"",IF(SUMIFS($X$5:$X$204,$B$5:$B$204,$B141,$G$5:$G$204,"&gt;="&amp;DATE(YEAR($G141),MONTH($G141),1),$G$5:$G$204,"&lt;="&amp;EOMONTH($G141,0))&gt;SUMIFS('利用者マスタ'!$B$4:$B$60,'利用者マスタ'!$A$4:$A$60,$B141),"⚠支給量超過","")))</f>
        <v/>
      </c>
      <c r="X141" s="8">
        <f>IF(OR($G141="",$J141="",$N141="キャンセル"),0,IF(IFERROR(INDEX('M_区分'!$B$4:$B$20,MATCH($C141,'M_区分'!$A$4:$A$20,0)),"○")="○",$J141-$G141+1,0))</f>
        <v/>
      </c>
      <c r="Y141" s="8">
        <f>IF($E141&lt;&gt;"",$E141,$Y140)</f>
        <v/>
      </c>
      <c r="Z141" s="8">
        <f>IF(OR($G141="",$J141=""),"",IF(AND($G141&lt;=EOMONTH('02_カレンダー'!$B$4,0),$J141&gt;='02_カレンダー'!$B$4),$G141*10000+ROW(),""))</f>
        <v/>
      </c>
      <c r="AA141" s="8">
        <f>IF($H141="","",IF(ISNUMBER($H141),IF(AND($H141=INT($H141),$H141&gt;=0,$H141&lt;=24),TEXT(INT($H141),"00")&amp;":00",TEXT($H141,"hh:mm")),$H141))</f>
        <v/>
      </c>
      <c r="AB141" s="8">
        <f>IF($K141="","",IF(ISNUMBER($K141),IF(AND($K141=INT($K141),$K141&gt;=0,$K141&lt;=24),TEXT(INT($K141),"00")&amp;":00",TEXT($K141,"hh:mm")),$K141))</f>
        <v/>
      </c>
      <c r="AC141" s="8">
        <f>IF($G141="",0,$G141)</f>
        <v/>
      </c>
      <c r="AD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IF($F142="","",IF($F142&gt;31,$F142,IF($Y142="","",DATE(YEAR($Y142),MONTH($Y142),$F142))))</f>
        <v/>
      </c>
      <c r="H142" s="9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9" t="n"/>
      <c r="L142" s="8">
        <f>IF(OR($G142="",$J142=""),"",$J142-$G142+1)</f>
        <v/>
      </c>
      <c r="M142" s="8">
        <f>IF(OR($G142="",$J142=""),"",$J142-$G142)</f>
        <v/>
      </c>
      <c r="N142" s="9" t="n"/>
      <c r="O142" s="9" t="n"/>
      <c r="P142" s="9" t="n"/>
      <c r="Q142" s="9" t="n"/>
      <c r="R142" s="9" t="n"/>
      <c r="S142" s="9" t="n"/>
      <c r="T142" s="13" t="n"/>
      <c r="U142" s="9" t="n"/>
      <c r="V142" s="8">
        <f>IF($G142="","",IF($D142="","⚠部屋が未選択",IF(COUNTIF('M_部屋'!$A$4:$A$20,$D142)=0,"⚠部屋が未登録",IF(OR($J142="",$N142="キャンセル"),"",IF(SUMPRODUCT(($D$5:$D$204=$D142)*($G$5:$G$204&lt;&gt;"")*($J$5:$J$204&lt;&gt;"")*($N$5:$N$204&lt;&gt;"キャンセル")*($G$5:$G$204&lt;$J142)*($J$5:$J$204&gt;$G142))&gt;1,"⚠重複","")))))</f>
        <v/>
      </c>
      <c r="W142" s="8">
        <f>IF(OR($B142="",$G142=""),"",IF(SUMPRODUCT(('利用者マスタ'!$A$4:$A$60=$B142)*('利用者マスタ'!$B$4:$B$60&lt;&gt;""))=0,"",IF(SUMIFS($X$5:$X$204,$B$5:$B$204,$B142,$G$5:$G$204,"&gt;="&amp;DATE(YEAR($G142),MONTH($G142),1),$G$5:$G$204,"&lt;="&amp;EOMONTH($G142,0))&gt;SUMIFS('利用者マスタ'!$B$4:$B$60,'利用者マスタ'!$A$4:$A$60,$B142),"⚠支給量超過","")))</f>
        <v/>
      </c>
      <c r="X142" s="8">
        <f>IF(OR($G142="",$J142="",$N142="キャンセル"),0,IF(IFERROR(INDEX('M_区分'!$B$4:$B$20,MATCH($C142,'M_区分'!$A$4:$A$20,0)),"○")="○",$J142-$G142+1,0))</f>
        <v/>
      </c>
      <c r="Y142" s="8">
        <f>IF($E142&lt;&gt;"",$E142,$Y141)</f>
        <v/>
      </c>
      <c r="Z142" s="8">
        <f>IF(OR($G142="",$J142=""),"",IF(AND($G142&lt;=EOMONTH('02_カレンダー'!$B$4,0),$J142&gt;='02_カレンダー'!$B$4),$G142*10000+ROW(),""))</f>
        <v/>
      </c>
      <c r="AA142" s="8">
        <f>IF($H142="","",IF(ISNUMBER($H142),IF(AND($H142=INT($H142),$H142&gt;=0,$H142&lt;=24),TEXT(INT($H142),"00")&amp;":00",TEXT($H142,"hh:mm")),$H142))</f>
        <v/>
      </c>
      <c r="AB142" s="8">
        <f>IF($K142="","",IF(ISNUMBER($K142),IF(AND($K142=INT($K142),$K142&gt;=0,$K142&lt;=24),TEXT(INT($K142),"00")&amp;":00",TEXT($K142,"hh:mm")),$K142))</f>
        <v/>
      </c>
      <c r="AC142" s="8">
        <f>IF($G142="",0,$G142)</f>
        <v/>
      </c>
      <c r="AD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IF($F143="","",IF($F143&gt;31,$F143,IF($Y143="","",DATE(YEAR($Y143),MONTH($Y143),$F143))))</f>
        <v/>
      </c>
      <c r="H143" s="9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9" t="n"/>
      <c r="L143" s="8">
        <f>IF(OR($G143="",$J143=""),"",$J143-$G143+1)</f>
        <v/>
      </c>
      <c r="M143" s="8">
        <f>IF(OR($G143="",$J143=""),"",$J143-$G143)</f>
        <v/>
      </c>
      <c r="N143" s="9" t="n"/>
      <c r="O143" s="9" t="n"/>
      <c r="P143" s="9" t="n"/>
      <c r="Q143" s="9" t="n"/>
      <c r="R143" s="9" t="n"/>
      <c r="S143" s="9" t="n"/>
      <c r="T143" s="13" t="n"/>
      <c r="U143" s="9" t="n"/>
      <c r="V143" s="8">
        <f>IF($G143="","",IF($D143="","⚠部屋が未選択",IF(COUNTIF('M_部屋'!$A$4:$A$20,$D143)=0,"⚠部屋が未登録",IF(OR($J143="",$N143="キャンセル"),"",IF(SUMPRODUCT(($D$5:$D$204=$D143)*($G$5:$G$204&lt;&gt;"")*($J$5:$J$204&lt;&gt;"")*($N$5:$N$204&lt;&gt;"キャンセル")*($G$5:$G$204&lt;$J143)*($J$5:$J$204&gt;$G143))&gt;1,"⚠重複","")))))</f>
        <v/>
      </c>
      <c r="W143" s="8">
        <f>IF(OR($B143="",$G143=""),"",IF(SUMPRODUCT(('利用者マスタ'!$A$4:$A$60=$B143)*('利用者マスタ'!$B$4:$B$60&lt;&gt;""))=0,"",IF(SUMIFS($X$5:$X$204,$B$5:$B$204,$B143,$G$5:$G$204,"&gt;="&amp;DATE(YEAR($G143),MONTH($G143),1),$G$5:$G$204,"&lt;="&amp;EOMONTH($G143,0))&gt;SUMIFS('利用者マスタ'!$B$4:$B$60,'利用者マスタ'!$A$4:$A$60,$B143),"⚠支給量超過","")))</f>
        <v/>
      </c>
      <c r="X143" s="8">
        <f>IF(OR($G143="",$J143="",$N143="キャンセル"),0,IF(IFERROR(INDEX('M_区分'!$B$4:$B$20,MATCH($C143,'M_区分'!$A$4:$A$20,0)),"○")="○",$J143-$G143+1,0))</f>
        <v/>
      </c>
      <c r="Y143" s="8">
        <f>IF($E143&lt;&gt;"",$E143,$Y142)</f>
        <v/>
      </c>
      <c r="Z143" s="8">
        <f>IF(OR($G143="",$J143=""),"",IF(AND($G143&lt;=EOMONTH('02_カレンダー'!$B$4,0),$J143&gt;='02_カレンダー'!$B$4),$G143*10000+ROW(),""))</f>
        <v/>
      </c>
      <c r="AA143" s="8">
        <f>IF($H143="","",IF(ISNUMBER($H143),IF(AND($H143=INT($H143),$H143&gt;=0,$H143&lt;=24),TEXT(INT($H143),"00")&amp;":00",TEXT($H143,"hh:mm")),$H143))</f>
        <v/>
      </c>
      <c r="AB143" s="8">
        <f>IF($K143="","",IF(ISNUMBER($K143),IF(AND($K143=INT($K143),$K143&gt;=0,$K143&lt;=24),TEXT(INT($K143),"00")&amp;":00",TEXT($K143,"hh:mm")),$K143))</f>
        <v/>
      </c>
      <c r="AC143" s="8">
        <f>IF($G143="",0,$G143)</f>
        <v/>
      </c>
      <c r="AD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IF($F144="","",IF($F144&gt;31,$F144,IF($Y144="","",DATE(YEAR($Y144),MONTH($Y144),$F144))))</f>
        <v/>
      </c>
      <c r="H144" s="9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9" t="n"/>
      <c r="L144" s="8">
        <f>IF(OR($G144="",$J144=""),"",$J144-$G144+1)</f>
        <v/>
      </c>
      <c r="M144" s="8">
        <f>IF(OR($G144="",$J144=""),"",$J144-$G144)</f>
        <v/>
      </c>
      <c r="N144" s="9" t="n"/>
      <c r="O144" s="9" t="n"/>
      <c r="P144" s="9" t="n"/>
      <c r="Q144" s="9" t="n"/>
      <c r="R144" s="9" t="n"/>
      <c r="S144" s="9" t="n"/>
      <c r="T144" s="13" t="n"/>
      <c r="U144" s="9" t="n"/>
      <c r="V144" s="8">
        <f>IF($G144="","",IF($D144="","⚠部屋が未選択",IF(COUNTIF('M_部屋'!$A$4:$A$20,$D144)=0,"⚠部屋が未登録",IF(OR($J144="",$N144="キャンセル"),"",IF(SUMPRODUCT(($D$5:$D$204=$D144)*($G$5:$G$204&lt;&gt;"")*($J$5:$J$204&lt;&gt;"")*($N$5:$N$204&lt;&gt;"キャンセル")*($G$5:$G$204&lt;$J144)*($J$5:$J$204&gt;$G144))&gt;1,"⚠重複","")))))</f>
        <v/>
      </c>
      <c r="W144" s="8">
        <f>IF(OR($B144="",$G144=""),"",IF(SUMPRODUCT(('利用者マスタ'!$A$4:$A$60=$B144)*('利用者マスタ'!$B$4:$B$60&lt;&gt;""))=0,"",IF(SUMIFS($X$5:$X$204,$B$5:$B$204,$B144,$G$5:$G$204,"&gt;="&amp;DATE(YEAR($G144),MONTH($G144),1),$G$5:$G$204,"&lt;="&amp;EOMONTH($G144,0))&gt;SUMIFS('利用者マスタ'!$B$4:$B$60,'利用者マスタ'!$A$4:$A$60,$B144),"⚠支給量超過","")))</f>
        <v/>
      </c>
      <c r="X144" s="8">
        <f>IF(OR($G144="",$J144="",$N144="キャンセル"),0,IF(IFERROR(INDEX('M_区分'!$B$4:$B$20,MATCH($C144,'M_区分'!$A$4:$A$20,0)),"○")="○",$J144-$G144+1,0))</f>
        <v/>
      </c>
      <c r="Y144" s="8">
        <f>IF($E144&lt;&gt;"",$E144,$Y143)</f>
        <v/>
      </c>
      <c r="Z144" s="8">
        <f>IF(OR($G144="",$J144=""),"",IF(AND($G144&lt;=EOMONTH('02_カレンダー'!$B$4,0),$J144&gt;='02_カレンダー'!$B$4),$G144*10000+ROW(),""))</f>
        <v/>
      </c>
      <c r="AA144" s="8">
        <f>IF($H144="","",IF(ISNUMBER($H144),IF(AND($H144=INT($H144),$H144&gt;=0,$H144&lt;=24),TEXT(INT($H144),"00")&amp;":00",TEXT($H144,"hh:mm")),$H144))</f>
        <v/>
      </c>
      <c r="AB144" s="8">
        <f>IF($K144="","",IF(ISNUMBER($K144),IF(AND($K144=INT($K144),$K144&gt;=0,$K144&lt;=24),TEXT(INT($K144),"00")&amp;":00",TEXT($K144,"hh:mm")),$K144))</f>
        <v/>
      </c>
      <c r="AC144" s="8">
        <f>IF($G144="",0,$G144)</f>
        <v/>
      </c>
      <c r="AD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IF($F145="","",IF($F145&gt;31,$F145,IF($Y145="","",DATE(YEAR($Y145),MONTH($Y145),$F145))))</f>
        <v/>
      </c>
      <c r="H145" s="9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9" t="n"/>
      <c r="L145" s="8">
        <f>IF(OR($G145="",$J145=""),"",$J145-$G145+1)</f>
        <v/>
      </c>
      <c r="M145" s="8">
        <f>IF(OR($G145="",$J145=""),"",$J145-$G145)</f>
        <v/>
      </c>
      <c r="N145" s="9" t="n"/>
      <c r="O145" s="9" t="n"/>
      <c r="P145" s="9" t="n"/>
      <c r="Q145" s="9" t="n"/>
      <c r="R145" s="9" t="n"/>
      <c r="S145" s="9" t="n"/>
      <c r="T145" s="13" t="n"/>
      <c r="U145" s="9" t="n"/>
      <c r="V145" s="8">
        <f>IF($G145="","",IF($D145="","⚠部屋が未選択",IF(COUNTIF('M_部屋'!$A$4:$A$20,$D145)=0,"⚠部屋が未登録",IF(OR($J145="",$N145="キャンセル"),"",IF(SUMPRODUCT(($D$5:$D$204=$D145)*($G$5:$G$204&lt;&gt;"")*($J$5:$J$204&lt;&gt;"")*($N$5:$N$204&lt;&gt;"キャンセル")*($G$5:$G$204&lt;$J145)*($J$5:$J$204&gt;$G145))&gt;1,"⚠重複","")))))</f>
        <v/>
      </c>
      <c r="W145" s="8">
        <f>IF(OR($B145="",$G145=""),"",IF(SUMPRODUCT(('利用者マスタ'!$A$4:$A$60=$B145)*('利用者マスタ'!$B$4:$B$60&lt;&gt;""))=0,"",IF(SUMIFS($X$5:$X$204,$B$5:$B$204,$B145,$G$5:$G$204,"&gt;="&amp;DATE(YEAR($G145),MONTH($G145),1),$G$5:$G$204,"&lt;="&amp;EOMONTH($G145,0))&gt;SUMIFS('利用者マスタ'!$B$4:$B$60,'利用者マスタ'!$A$4:$A$60,$B145),"⚠支給量超過","")))</f>
        <v/>
      </c>
      <c r="X145" s="8">
        <f>IF(OR($G145="",$J145="",$N145="キャンセル"),0,IF(IFERROR(INDEX('M_区分'!$B$4:$B$20,MATCH($C145,'M_区分'!$A$4:$A$20,0)),"○")="○",$J145-$G145+1,0))</f>
        <v/>
      </c>
      <c r="Y145" s="8">
        <f>IF($E145&lt;&gt;"",$E145,$Y144)</f>
        <v/>
      </c>
      <c r="Z145" s="8">
        <f>IF(OR($G145="",$J145=""),"",IF(AND($G145&lt;=EOMONTH('02_カレンダー'!$B$4,0),$J145&gt;='02_カレンダー'!$B$4),$G145*10000+ROW(),""))</f>
        <v/>
      </c>
      <c r="AA145" s="8">
        <f>IF($H145="","",IF(ISNUMBER($H145),IF(AND($H145=INT($H145),$H145&gt;=0,$H145&lt;=24),TEXT(INT($H145),"00")&amp;":00",TEXT($H145,"hh:mm")),$H145))</f>
        <v/>
      </c>
      <c r="AB145" s="8">
        <f>IF($K145="","",IF(ISNUMBER($K145),IF(AND($K145=INT($K145),$K145&gt;=0,$K145&lt;=24),TEXT(INT($K145),"00")&amp;":00",TEXT($K145,"hh:mm")),$K145))</f>
        <v/>
      </c>
      <c r="AC145" s="8">
        <f>IF($G145="",0,$G145)</f>
        <v/>
      </c>
      <c r="AD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IF($F146="","",IF($F146&gt;31,$F146,IF($Y146="","",DATE(YEAR($Y146),MONTH($Y146),$F146))))</f>
        <v/>
      </c>
      <c r="H146" s="9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9" t="n"/>
      <c r="L146" s="8">
        <f>IF(OR($G146="",$J146=""),"",$J146-$G146+1)</f>
        <v/>
      </c>
      <c r="M146" s="8">
        <f>IF(OR($G146="",$J146=""),"",$J146-$G146)</f>
        <v/>
      </c>
      <c r="N146" s="9" t="n"/>
      <c r="O146" s="9" t="n"/>
      <c r="P146" s="9" t="n"/>
      <c r="Q146" s="9" t="n"/>
      <c r="R146" s="9" t="n"/>
      <c r="S146" s="9" t="n"/>
      <c r="T146" s="13" t="n"/>
      <c r="U146" s="9" t="n"/>
      <c r="V146" s="8">
        <f>IF($G146="","",IF($D146="","⚠部屋が未選択",IF(COUNTIF('M_部屋'!$A$4:$A$20,$D146)=0,"⚠部屋が未登録",IF(OR($J146="",$N146="キャンセル"),"",IF(SUMPRODUCT(($D$5:$D$204=$D146)*($G$5:$G$204&lt;&gt;"")*($J$5:$J$204&lt;&gt;"")*($N$5:$N$204&lt;&gt;"キャンセル")*($G$5:$G$204&lt;$J146)*($J$5:$J$204&gt;$G146))&gt;1,"⚠重複","")))))</f>
        <v/>
      </c>
      <c r="W146" s="8">
        <f>IF(OR($B146="",$G146=""),"",IF(SUMPRODUCT(('利用者マスタ'!$A$4:$A$60=$B146)*('利用者マスタ'!$B$4:$B$60&lt;&gt;""))=0,"",IF(SUMIFS($X$5:$X$204,$B$5:$B$204,$B146,$G$5:$G$204,"&gt;="&amp;DATE(YEAR($G146),MONTH($G146),1),$G$5:$G$204,"&lt;="&amp;EOMONTH($G146,0))&gt;SUMIFS('利用者マスタ'!$B$4:$B$60,'利用者マスタ'!$A$4:$A$60,$B146),"⚠支給量超過","")))</f>
        <v/>
      </c>
      <c r="X146" s="8">
        <f>IF(OR($G146="",$J146="",$N146="キャンセル"),0,IF(IFERROR(INDEX('M_区分'!$B$4:$B$20,MATCH($C146,'M_区分'!$A$4:$A$20,0)),"○")="○",$J146-$G146+1,0))</f>
        <v/>
      </c>
      <c r="Y146" s="8">
        <f>IF($E146&lt;&gt;"",$E146,$Y145)</f>
        <v/>
      </c>
      <c r="Z146" s="8">
        <f>IF(OR($G146="",$J146=""),"",IF(AND($G146&lt;=EOMONTH('02_カレンダー'!$B$4,0),$J146&gt;='02_カレンダー'!$B$4),$G146*10000+ROW(),""))</f>
        <v/>
      </c>
      <c r="AA146" s="8">
        <f>IF($H146="","",IF(ISNUMBER($H146),IF(AND($H146=INT($H146),$H146&gt;=0,$H146&lt;=24),TEXT(INT($H146),"00")&amp;":00",TEXT($H146,"hh:mm")),$H146))</f>
        <v/>
      </c>
      <c r="AB146" s="8">
        <f>IF($K146="","",IF(ISNUMBER($K146),IF(AND($K146=INT($K146),$K146&gt;=0,$K146&lt;=24),TEXT(INT($K146),"00")&amp;":00",TEXT($K146,"hh:mm")),$K146))</f>
        <v/>
      </c>
      <c r="AC146" s="8">
        <f>IF($G146="",0,$G146)</f>
        <v/>
      </c>
      <c r="AD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IF($F147="","",IF($F147&gt;31,$F147,IF($Y147="","",DATE(YEAR($Y147),MONTH($Y147),$F147))))</f>
        <v/>
      </c>
      <c r="H147" s="9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9" t="n"/>
      <c r="L147" s="8">
        <f>IF(OR($G147="",$J147=""),"",$J147-$G147+1)</f>
        <v/>
      </c>
      <c r="M147" s="8">
        <f>IF(OR($G147="",$J147=""),"",$J147-$G147)</f>
        <v/>
      </c>
      <c r="N147" s="9" t="n"/>
      <c r="O147" s="9" t="n"/>
      <c r="P147" s="9" t="n"/>
      <c r="Q147" s="9" t="n"/>
      <c r="R147" s="9" t="n"/>
      <c r="S147" s="9" t="n"/>
      <c r="T147" s="13" t="n"/>
      <c r="U147" s="9" t="n"/>
      <c r="V147" s="8">
        <f>IF($G147="","",IF($D147="","⚠部屋が未選択",IF(COUNTIF('M_部屋'!$A$4:$A$20,$D147)=0,"⚠部屋が未登録",IF(OR($J147="",$N147="キャンセル"),"",IF(SUMPRODUCT(($D$5:$D$204=$D147)*($G$5:$G$204&lt;&gt;"")*($J$5:$J$204&lt;&gt;"")*($N$5:$N$204&lt;&gt;"キャンセル")*($G$5:$G$204&lt;$J147)*($J$5:$J$204&gt;$G147))&gt;1,"⚠重複","")))))</f>
        <v/>
      </c>
      <c r="W147" s="8">
        <f>IF(OR($B147="",$G147=""),"",IF(SUMPRODUCT(('利用者マスタ'!$A$4:$A$60=$B147)*('利用者マスタ'!$B$4:$B$60&lt;&gt;""))=0,"",IF(SUMIFS($X$5:$X$204,$B$5:$B$204,$B147,$G$5:$G$204,"&gt;="&amp;DATE(YEAR($G147),MONTH($G147),1),$G$5:$G$204,"&lt;="&amp;EOMONTH($G147,0))&gt;SUMIFS('利用者マスタ'!$B$4:$B$60,'利用者マスタ'!$A$4:$A$60,$B147),"⚠支給量超過","")))</f>
        <v/>
      </c>
      <c r="X147" s="8">
        <f>IF(OR($G147="",$J147="",$N147="キャンセル"),0,IF(IFERROR(INDEX('M_区分'!$B$4:$B$20,MATCH($C147,'M_区分'!$A$4:$A$20,0)),"○")="○",$J147-$G147+1,0))</f>
        <v/>
      </c>
      <c r="Y147" s="8">
        <f>IF($E147&lt;&gt;"",$E147,$Y146)</f>
        <v/>
      </c>
      <c r="Z147" s="8">
        <f>IF(OR($G147="",$J147=""),"",IF(AND($G147&lt;=EOMONTH('02_カレンダー'!$B$4,0),$J147&gt;='02_カレンダー'!$B$4),$G147*10000+ROW(),""))</f>
        <v/>
      </c>
      <c r="AA147" s="8">
        <f>IF($H147="","",IF(ISNUMBER($H147),IF(AND($H147=INT($H147),$H147&gt;=0,$H147&lt;=24),TEXT(INT($H147),"00")&amp;":00",TEXT($H147,"hh:mm")),$H147))</f>
        <v/>
      </c>
      <c r="AB147" s="8">
        <f>IF($K147="","",IF(ISNUMBER($K147),IF(AND($K147=INT($K147),$K147&gt;=0,$K147&lt;=24),TEXT(INT($K147),"00")&amp;":00",TEXT($K147,"hh:mm")),$K147))</f>
        <v/>
      </c>
      <c r="AC147" s="8">
        <f>IF($G147="",0,$G147)</f>
        <v/>
      </c>
      <c r="AD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IF($F148="","",IF($F148&gt;31,$F148,IF($Y148="","",DATE(YEAR($Y148),MONTH($Y148),$F148))))</f>
        <v/>
      </c>
      <c r="H148" s="9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9" t="n"/>
      <c r="L148" s="8">
        <f>IF(OR($G148="",$J148=""),"",$J148-$G148+1)</f>
        <v/>
      </c>
      <c r="M148" s="8">
        <f>IF(OR($G148="",$J148=""),"",$J148-$G148)</f>
        <v/>
      </c>
      <c r="N148" s="9" t="n"/>
      <c r="O148" s="9" t="n"/>
      <c r="P148" s="9" t="n"/>
      <c r="Q148" s="9" t="n"/>
      <c r="R148" s="9" t="n"/>
      <c r="S148" s="9" t="n"/>
      <c r="T148" s="13" t="n"/>
      <c r="U148" s="9" t="n"/>
      <c r="V148" s="8">
        <f>IF($G148="","",IF($D148="","⚠部屋が未選択",IF(COUNTIF('M_部屋'!$A$4:$A$20,$D148)=0,"⚠部屋が未登録",IF(OR($J148="",$N148="キャンセル"),"",IF(SUMPRODUCT(($D$5:$D$204=$D148)*($G$5:$G$204&lt;&gt;"")*($J$5:$J$204&lt;&gt;"")*($N$5:$N$204&lt;&gt;"キャンセル")*($G$5:$G$204&lt;$J148)*($J$5:$J$204&gt;$G148))&gt;1,"⚠重複","")))))</f>
        <v/>
      </c>
      <c r="W148" s="8">
        <f>IF(OR($B148="",$G148=""),"",IF(SUMPRODUCT(('利用者マスタ'!$A$4:$A$60=$B148)*('利用者マスタ'!$B$4:$B$60&lt;&gt;""))=0,"",IF(SUMIFS($X$5:$X$204,$B$5:$B$204,$B148,$G$5:$G$204,"&gt;="&amp;DATE(YEAR($G148),MONTH($G148),1),$G$5:$G$204,"&lt;="&amp;EOMONTH($G148,0))&gt;SUMIFS('利用者マスタ'!$B$4:$B$60,'利用者マスタ'!$A$4:$A$60,$B148),"⚠支給量超過","")))</f>
        <v/>
      </c>
      <c r="X148" s="8">
        <f>IF(OR($G148="",$J148="",$N148="キャンセル"),0,IF(IFERROR(INDEX('M_区分'!$B$4:$B$20,MATCH($C148,'M_区分'!$A$4:$A$20,0)),"○")="○",$J148-$G148+1,0))</f>
        <v/>
      </c>
      <c r="Y148" s="8">
        <f>IF($E148&lt;&gt;"",$E148,$Y147)</f>
        <v/>
      </c>
      <c r="Z148" s="8">
        <f>IF(OR($G148="",$J148=""),"",IF(AND($G148&lt;=EOMONTH('02_カレンダー'!$B$4,0),$J148&gt;='02_カレンダー'!$B$4),$G148*10000+ROW(),""))</f>
        <v/>
      </c>
      <c r="AA148" s="8">
        <f>IF($H148="","",IF(ISNUMBER($H148),IF(AND($H148=INT($H148),$H148&gt;=0,$H148&lt;=24),TEXT(INT($H148),"00")&amp;":00",TEXT($H148,"hh:mm")),$H148))</f>
        <v/>
      </c>
      <c r="AB148" s="8">
        <f>IF($K148="","",IF(ISNUMBER($K148),IF(AND($K148=INT($K148),$K148&gt;=0,$K148&lt;=24),TEXT(INT($K148),"00")&amp;":00",TEXT($K148,"hh:mm")),$K148))</f>
        <v/>
      </c>
      <c r="AC148" s="8">
        <f>IF($G148="",0,$G148)</f>
        <v/>
      </c>
      <c r="AD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IF($F149="","",IF($F149&gt;31,$F149,IF($Y149="","",DATE(YEAR($Y149),MONTH($Y149),$F149))))</f>
        <v/>
      </c>
      <c r="H149" s="9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9" t="n"/>
      <c r="L149" s="8">
        <f>IF(OR($G149="",$J149=""),"",$J149-$G149+1)</f>
        <v/>
      </c>
      <c r="M149" s="8">
        <f>IF(OR($G149="",$J149=""),"",$J149-$G149)</f>
        <v/>
      </c>
      <c r="N149" s="9" t="n"/>
      <c r="O149" s="9" t="n"/>
      <c r="P149" s="9" t="n"/>
      <c r="Q149" s="9" t="n"/>
      <c r="R149" s="9" t="n"/>
      <c r="S149" s="9" t="n"/>
      <c r="T149" s="13" t="n"/>
      <c r="U149" s="9" t="n"/>
      <c r="V149" s="8">
        <f>IF($G149="","",IF($D149="","⚠部屋が未選択",IF(COUNTIF('M_部屋'!$A$4:$A$20,$D149)=0,"⚠部屋が未登録",IF(OR($J149="",$N149="キャンセル"),"",IF(SUMPRODUCT(($D$5:$D$204=$D149)*($G$5:$G$204&lt;&gt;"")*($J$5:$J$204&lt;&gt;"")*($N$5:$N$204&lt;&gt;"キャンセル")*($G$5:$G$204&lt;$J149)*($J$5:$J$204&gt;$G149))&gt;1,"⚠重複","")))))</f>
        <v/>
      </c>
      <c r="W149" s="8">
        <f>IF(OR($B149="",$G149=""),"",IF(SUMPRODUCT(('利用者マスタ'!$A$4:$A$60=$B149)*('利用者マスタ'!$B$4:$B$60&lt;&gt;""))=0,"",IF(SUMIFS($X$5:$X$204,$B$5:$B$204,$B149,$G$5:$G$204,"&gt;="&amp;DATE(YEAR($G149),MONTH($G149),1),$G$5:$G$204,"&lt;="&amp;EOMONTH($G149,0))&gt;SUMIFS('利用者マスタ'!$B$4:$B$60,'利用者マスタ'!$A$4:$A$60,$B149),"⚠支給量超過","")))</f>
        <v/>
      </c>
      <c r="X149" s="8">
        <f>IF(OR($G149="",$J149="",$N149="キャンセル"),0,IF(IFERROR(INDEX('M_区分'!$B$4:$B$20,MATCH($C149,'M_区分'!$A$4:$A$20,0)),"○")="○",$J149-$G149+1,0))</f>
        <v/>
      </c>
      <c r="Y149" s="8">
        <f>IF($E149&lt;&gt;"",$E149,$Y148)</f>
        <v/>
      </c>
      <c r="Z149" s="8">
        <f>IF(OR($G149="",$J149=""),"",IF(AND($G149&lt;=EOMONTH('02_カレンダー'!$B$4,0),$J149&gt;='02_カレンダー'!$B$4),$G149*10000+ROW(),""))</f>
        <v/>
      </c>
      <c r="AA149" s="8">
        <f>IF($H149="","",IF(ISNUMBER($H149),IF(AND($H149=INT($H149),$H149&gt;=0,$H149&lt;=24),TEXT(INT($H149),"00")&amp;":00",TEXT($H149,"hh:mm")),$H149))</f>
        <v/>
      </c>
      <c r="AB149" s="8">
        <f>IF($K149="","",IF(ISNUMBER($K149),IF(AND($K149=INT($K149),$K149&gt;=0,$K149&lt;=24),TEXT(INT($K149),"00")&amp;":00",TEXT($K149,"hh:mm")),$K149))</f>
        <v/>
      </c>
      <c r="AC149" s="8">
        <f>IF($G149="",0,$G149)</f>
        <v/>
      </c>
      <c r="AD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IF($F150="","",IF($F150&gt;31,$F150,IF($Y150="","",DATE(YEAR($Y150),MONTH($Y150),$F150))))</f>
        <v/>
      </c>
      <c r="H150" s="9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9" t="n"/>
      <c r="L150" s="8">
        <f>IF(OR($G150="",$J150=""),"",$J150-$G150+1)</f>
        <v/>
      </c>
      <c r="M150" s="8">
        <f>IF(OR($G150="",$J150=""),"",$J150-$G150)</f>
        <v/>
      </c>
      <c r="N150" s="9" t="n"/>
      <c r="O150" s="9" t="n"/>
      <c r="P150" s="9" t="n"/>
      <c r="Q150" s="9" t="n"/>
      <c r="R150" s="9" t="n"/>
      <c r="S150" s="9" t="n"/>
      <c r="T150" s="13" t="n"/>
      <c r="U150" s="9" t="n"/>
      <c r="V150" s="8">
        <f>IF($G150="","",IF($D150="","⚠部屋が未選択",IF(COUNTIF('M_部屋'!$A$4:$A$20,$D150)=0,"⚠部屋が未登録",IF(OR($J150="",$N150="キャンセル"),"",IF(SUMPRODUCT(($D$5:$D$204=$D150)*($G$5:$G$204&lt;&gt;"")*($J$5:$J$204&lt;&gt;"")*($N$5:$N$204&lt;&gt;"キャンセル")*($G$5:$G$204&lt;$J150)*($J$5:$J$204&gt;$G150))&gt;1,"⚠重複","")))))</f>
        <v/>
      </c>
      <c r="W150" s="8">
        <f>IF(OR($B150="",$G150=""),"",IF(SUMPRODUCT(('利用者マスタ'!$A$4:$A$60=$B150)*('利用者マスタ'!$B$4:$B$60&lt;&gt;""))=0,"",IF(SUMIFS($X$5:$X$204,$B$5:$B$204,$B150,$G$5:$G$204,"&gt;="&amp;DATE(YEAR($G150),MONTH($G150),1),$G$5:$G$204,"&lt;="&amp;EOMONTH($G150,0))&gt;SUMIFS('利用者マスタ'!$B$4:$B$60,'利用者マスタ'!$A$4:$A$60,$B150),"⚠支給量超過","")))</f>
        <v/>
      </c>
      <c r="X150" s="8">
        <f>IF(OR($G150="",$J150="",$N150="キャンセル"),0,IF(IFERROR(INDEX('M_区分'!$B$4:$B$20,MATCH($C150,'M_区分'!$A$4:$A$20,0)),"○")="○",$J150-$G150+1,0))</f>
        <v/>
      </c>
      <c r="Y150" s="8">
        <f>IF($E150&lt;&gt;"",$E150,$Y149)</f>
        <v/>
      </c>
      <c r="Z150" s="8">
        <f>IF(OR($G150="",$J150=""),"",IF(AND($G150&lt;=EOMONTH('02_カレンダー'!$B$4,0),$J150&gt;='02_カレンダー'!$B$4),$G150*10000+ROW(),""))</f>
        <v/>
      </c>
      <c r="AA150" s="8">
        <f>IF($H150="","",IF(ISNUMBER($H150),IF(AND($H150=INT($H150),$H150&gt;=0,$H150&lt;=24),TEXT(INT($H150),"00")&amp;":00",TEXT($H150,"hh:mm")),$H150))</f>
        <v/>
      </c>
      <c r="AB150" s="8">
        <f>IF($K150="","",IF(ISNUMBER($K150),IF(AND($K150=INT($K150),$K150&gt;=0,$K150&lt;=24),TEXT(INT($K150),"00")&amp;":00",TEXT($K150,"hh:mm")),$K150))</f>
        <v/>
      </c>
      <c r="AC150" s="8">
        <f>IF($G150="",0,$G150)</f>
        <v/>
      </c>
      <c r="AD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IF($F151="","",IF($F151&gt;31,$F151,IF($Y151="","",DATE(YEAR($Y151),MONTH($Y151),$F151))))</f>
        <v/>
      </c>
      <c r="H151" s="9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9" t="n"/>
      <c r="L151" s="8">
        <f>IF(OR($G151="",$J151=""),"",$J151-$G151+1)</f>
        <v/>
      </c>
      <c r="M151" s="8">
        <f>IF(OR($G151="",$J151=""),"",$J151-$G151)</f>
        <v/>
      </c>
      <c r="N151" s="9" t="n"/>
      <c r="O151" s="9" t="n"/>
      <c r="P151" s="9" t="n"/>
      <c r="Q151" s="9" t="n"/>
      <c r="R151" s="9" t="n"/>
      <c r="S151" s="9" t="n"/>
      <c r="T151" s="13" t="n"/>
      <c r="U151" s="9" t="n"/>
      <c r="V151" s="8">
        <f>IF($G151="","",IF($D151="","⚠部屋が未選択",IF(COUNTIF('M_部屋'!$A$4:$A$20,$D151)=0,"⚠部屋が未登録",IF(OR($J151="",$N151="キャンセル"),"",IF(SUMPRODUCT(($D$5:$D$204=$D151)*($G$5:$G$204&lt;&gt;"")*($J$5:$J$204&lt;&gt;"")*($N$5:$N$204&lt;&gt;"キャンセル")*($G$5:$G$204&lt;$J151)*($J$5:$J$204&gt;$G151))&gt;1,"⚠重複","")))))</f>
        <v/>
      </c>
      <c r="W151" s="8">
        <f>IF(OR($B151="",$G151=""),"",IF(SUMPRODUCT(('利用者マスタ'!$A$4:$A$60=$B151)*('利用者マスタ'!$B$4:$B$60&lt;&gt;""))=0,"",IF(SUMIFS($X$5:$X$204,$B$5:$B$204,$B151,$G$5:$G$204,"&gt;="&amp;DATE(YEAR($G151),MONTH($G151),1),$G$5:$G$204,"&lt;="&amp;EOMONTH($G151,0))&gt;SUMIFS('利用者マスタ'!$B$4:$B$60,'利用者マスタ'!$A$4:$A$60,$B151),"⚠支給量超過","")))</f>
        <v/>
      </c>
      <c r="X151" s="8">
        <f>IF(OR($G151="",$J151="",$N151="キャンセル"),0,IF(IFERROR(INDEX('M_区分'!$B$4:$B$20,MATCH($C151,'M_区分'!$A$4:$A$20,0)),"○")="○",$J151-$G151+1,0))</f>
        <v/>
      </c>
      <c r="Y151" s="8">
        <f>IF($E151&lt;&gt;"",$E151,$Y150)</f>
        <v/>
      </c>
      <c r="Z151" s="8">
        <f>IF(OR($G151="",$J151=""),"",IF(AND($G151&lt;=EOMONTH('02_カレンダー'!$B$4,0),$J151&gt;='02_カレンダー'!$B$4),$G151*10000+ROW(),""))</f>
        <v/>
      </c>
      <c r="AA151" s="8">
        <f>IF($H151="","",IF(ISNUMBER($H151),IF(AND($H151=INT($H151),$H151&gt;=0,$H151&lt;=24),TEXT(INT($H151),"00")&amp;":00",TEXT($H151,"hh:mm")),$H151))</f>
        <v/>
      </c>
      <c r="AB151" s="8">
        <f>IF($K151="","",IF(ISNUMBER($K151),IF(AND($K151=INT($K151),$K151&gt;=0,$K151&lt;=24),TEXT(INT($K151),"00")&amp;":00",TEXT($K151,"hh:mm")),$K151))</f>
        <v/>
      </c>
      <c r="AC151" s="8">
        <f>IF($G151="",0,$G151)</f>
        <v/>
      </c>
      <c r="AD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IF($F152="","",IF($F152&gt;31,$F152,IF($Y152="","",DATE(YEAR($Y152),MONTH($Y152),$F152))))</f>
        <v/>
      </c>
      <c r="H152" s="9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9" t="n"/>
      <c r="L152" s="8">
        <f>IF(OR($G152="",$J152=""),"",$J152-$G152+1)</f>
        <v/>
      </c>
      <c r="M152" s="8">
        <f>IF(OR($G152="",$J152=""),"",$J152-$G152)</f>
        <v/>
      </c>
      <c r="N152" s="9" t="n"/>
      <c r="O152" s="9" t="n"/>
      <c r="P152" s="9" t="n"/>
      <c r="Q152" s="9" t="n"/>
      <c r="R152" s="9" t="n"/>
      <c r="S152" s="9" t="n"/>
      <c r="T152" s="13" t="n"/>
      <c r="U152" s="9" t="n"/>
      <c r="V152" s="8">
        <f>IF($G152="","",IF($D152="","⚠部屋が未選択",IF(COUNTIF('M_部屋'!$A$4:$A$20,$D152)=0,"⚠部屋が未登録",IF(OR($J152="",$N152="キャンセル"),"",IF(SUMPRODUCT(($D$5:$D$204=$D152)*($G$5:$G$204&lt;&gt;"")*($J$5:$J$204&lt;&gt;"")*($N$5:$N$204&lt;&gt;"キャンセル")*($G$5:$G$204&lt;$J152)*($J$5:$J$204&gt;$G152))&gt;1,"⚠重複","")))))</f>
        <v/>
      </c>
      <c r="W152" s="8">
        <f>IF(OR($B152="",$G152=""),"",IF(SUMPRODUCT(('利用者マスタ'!$A$4:$A$60=$B152)*('利用者マスタ'!$B$4:$B$60&lt;&gt;""))=0,"",IF(SUMIFS($X$5:$X$204,$B$5:$B$204,$B152,$G$5:$G$204,"&gt;="&amp;DATE(YEAR($G152),MONTH($G152),1),$G$5:$G$204,"&lt;="&amp;EOMONTH($G152,0))&gt;SUMIFS('利用者マスタ'!$B$4:$B$60,'利用者マスタ'!$A$4:$A$60,$B152),"⚠支給量超過","")))</f>
        <v/>
      </c>
      <c r="X152" s="8">
        <f>IF(OR($G152="",$J152="",$N152="キャンセル"),0,IF(IFERROR(INDEX('M_区分'!$B$4:$B$20,MATCH($C152,'M_区分'!$A$4:$A$20,0)),"○")="○",$J152-$G152+1,0))</f>
        <v/>
      </c>
      <c r="Y152" s="8">
        <f>IF($E152&lt;&gt;"",$E152,$Y151)</f>
        <v/>
      </c>
      <c r="Z152" s="8">
        <f>IF(OR($G152="",$J152=""),"",IF(AND($G152&lt;=EOMONTH('02_カレンダー'!$B$4,0),$J152&gt;='02_カレンダー'!$B$4),$G152*10000+ROW(),""))</f>
        <v/>
      </c>
      <c r="AA152" s="8">
        <f>IF($H152="","",IF(ISNUMBER($H152),IF(AND($H152=INT($H152),$H152&gt;=0,$H152&lt;=24),TEXT(INT($H152),"00")&amp;":00",TEXT($H152,"hh:mm")),$H152))</f>
        <v/>
      </c>
      <c r="AB152" s="8">
        <f>IF($K152="","",IF(ISNUMBER($K152),IF(AND($K152=INT($K152),$K152&gt;=0,$K152&lt;=24),TEXT(INT($K152),"00")&amp;":00",TEXT($K152,"hh:mm")),$K152))</f>
        <v/>
      </c>
      <c r="AC152" s="8">
        <f>IF($G152="",0,$G152)</f>
        <v/>
      </c>
      <c r="AD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IF($F153="","",IF($F153&gt;31,$F153,IF($Y153="","",DATE(YEAR($Y153),MONTH($Y153),$F153))))</f>
        <v/>
      </c>
      <c r="H153" s="9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9" t="n"/>
      <c r="L153" s="8">
        <f>IF(OR($G153="",$J153=""),"",$J153-$G153+1)</f>
        <v/>
      </c>
      <c r="M153" s="8">
        <f>IF(OR($G153="",$J153=""),"",$J153-$G153)</f>
        <v/>
      </c>
      <c r="N153" s="9" t="n"/>
      <c r="O153" s="9" t="n"/>
      <c r="P153" s="9" t="n"/>
      <c r="Q153" s="9" t="n"/>
      <c r="R153" s="9" t="n"/>
      <c r="S153" s="9" t="n"/>
      <c r="T153" s="13" t="n"/>
      <c r="U153" s="9" t="n"/>
      <c r="V153" s="8">
        <f>IF($G153="","",IF($D153="","⚠部屋が未選択",IF(COUNTIF('M_部屋'!$A$4:$A$20,$D153)=0,"⚠部屋が未登録",IF(OR($J153="",$N153="キャンセル"),"",IF(SUMPRODUCT(($D$5:$D$204=$D153)*($G$5:$G$204&lt;&gt;"")*($J$5:$J$204&lt;&gt;"")*($N$5:$N$204&lt;&gt;"キャンセル")*($G$5:$G$204&lt;$J153)*($J$5:$J$204&gt;$G153))&gt;1,"⚠重複","")))))</f>
        <v/>
      </c>
      <c r="W153" s="8">
        <f>IF(OR($B153="",$G153=""),"",IF(SUMPRODUCT(('利用者マスタ'!$A$4:$A$60=$B153)*('利用者マスタ'!$B$4:$B$60&lt;&gt;""))=0,"",IF(SUMIFS($X$5:$X$204,$B$5:$B$204,$B153,$G$5:$G$204,"&gt;="&amp;DATE(YEAR($G153),MONTH($G153),1),$G$5:$G$204,"&lt;="&amp;EOMONTH($G153,0))&gt;SUMIFS('利用者マスタ'!$B$4:$B$60,'利用者マスタ'!$A$4:$A$60,$B153),"⚠支給量超過","")))</f>
        <v/>
      </c>
      <c r="X153" s="8">
        <f>IF(OR($G153="",$J153="",$N153="キャンセル"),0,IF(IFERROR(INDEX('M_区分'!$B$4:$B$20,MATCH($C153,'M_区分'!$A$4:$A$20,0)),"○")="○",$J153-$G153+1,0))</f>
        <v/>
      </c>
      <c r="Y153" s="8">
        <f>IF($E153&lt;&gt;"",$E153,$Y152)</f>
        <v/>
      </c>
      <c r="Z153" s="8">
        <f>IF(OR($G153="",$J153=""),"",IF(AND($G153&lt;=EOMONTH('02_カレンダー'!$B$4,0),$J153&gt;='02_カレンダー'!$B$4),$G153*10000+ROW(),""))</f>
        <v/>
      </c>
      <c r="AA153" s="8">
        <f>IF($H153="","",IF(ISNUMBER($H153),IF(AND($H153=INT($H153),$H153&gt;=0,$H153&lt;=24),TEXT(INT($H153),"00")&amp;":00",TEXT($H153,"hh:mm")),$H153))</f>
        <v/>
      </c>
      <c r="AB153" s="8">
        <f>IF($K153="","",IF(ISNUMBER($K153),IF(AND($K153=INT($K153),$K153&gt;=0,$K153&lt;=24),TEXT(INT($K153),"00")&amp;":00",TEXT($K153,"hh:mm")),$K153))</f>
        <v/>
      </c>
      <c r="AC153" s="8">
        <f>IF($G153="",0,$G153)</f>
        <v/>
      </c>
      <c r="AD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IF($F154="","",IF($F154&gt;31,$F154,IF($Y154="","",DATE(YEAR($Y154),MONTH($Y154),$F154))))</f>
        <v/>
      </c>
      <c r="H154" s="9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9" t="n"/>
      <c r="L154" s="8">
        <f>IF(OR($G154="",$J154=""),"",$J154-$G154+1)</f>
        <v/>
      </c>
      <c r="M154" s="8">
        <f>IF(OR($G154="",$J154=""),"",$J154-$G154)</f>
        <v/>
      </c>
      <c r="N154" s="9" t="n"/>
      <c r="O154" s="9" t="n"/>
      <c r="P154" s="9" t="n"/>
      <c r="Q154" s="9" t="n"/>
      <c r="R154" s="9" t="n"/>
      <c r="S154" s="9" t="n"/>
      <c r="T154" s="13" t="n"/>
      <c r="U154" s="9" t="n"/>
      <c r="V154" s="8">
        <f>IF($G154="","",IF($D154="","⚠部屋が未選択",IF(COUNTIF('M_部屋'!$A$4:$A$20,$D154)=0,"⚠部屋が未登録",IF(OR($J154="",$N154="キャンセル"),"",IF(SUMPRODUCT(($D$5:$D$204=$D154)*($G$5:$G$204&lt;&gt;"")*($J$5:$J$204&lt;&gt;"")*($N$5:$N$204&lt;&gt;"キャンセル")*($G$5:$G$204&lt;$J154)*($J$5:$J$204&gt;$G154))&gt;1,"⚠重複","")))))</f>
        <v/>
      </c>
      <c r="W154" s="8">
        <f>IF(OR($B154="",$G154=""),"",IF(SUMPRODUCT(('利用者マスタ'!$A$4:$A$60=$B154)*('利用者マスタ'!$B$4:$B$60&lt;&gt;""))=0,"",IF(SUMIFS($X$5:$X$204,$B$5:$B$204,$B154,$G$5:$G$204,"&gt;="&amp;DATE(YEAR($G154),MONTH($G154),1),$G$5:$G$204,"&lt;="&amp;EOMONTH($G154,0))&gt;SUMIFS('利用者マスタ'!$B$4:$B$60,'利用者マスタ'!$A$4:$A$60,$B154),"⚠支給量超過","")))</f>
        <v/>
      </c>
      <c r="X154" s="8">
        <f>IF(OR($G154="",$J154="",$N154="キャンセル"),0,IF(IFERROR(INDEX('M_区分'!$B$4:$B$20,MATCH($C154,'M_区分'!$A$4:$A$20,0)),"○")="○",$J154-$G154+1,0))</f>
        <v/>
      </c>
      <c r="Y154" s="8">
        <f>IF($E154&lt;&gt;"",$E154,$Y153)</f>
        <v/>
      </c>
      <c r="Z154" s="8">
        <f>IF(OR($G154="",$J154=""),"",IF(AND($G154&lt;=EOMONTH('02_カレンダー'!$B$4,0),$J154&gt;='02_カレンダー'!$B$4),$G154*10000+ROW(),""))</f>
        <v/>
      </c>
      <c r="AA154" s="8">
        <f>IF($H154="","",IF(ISNUMBER($H154),IF(AND($H154=INT($H154),$H154&gt;=0,$H154&lt;=24),TEXT(INT($H154),"00")&amp;":00",TEXT($H154,"hh:mm")),$H154))</f>
        <v/>
      </c>
      <c r="AB154" s="8">
        <f>IF($K154="","",IF(ISNUMBER($K154),IF(AND($K154=INT($K154),$K154&gt;=0,$K154&lt;=24),TEXT(INT($K154),"00")&amp;":00",TEXT($K154,"hh:mm")),$K154))</f>
        <v/>
      </c>
      <c r="AC154" s="8">
        <f>IF($G154="",0,$G154)</f>
        <v/>
      </c>
      <c r="AD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IF($F155="","",IF($F155&gt;31,$F155,IF($Y155="","",DATE(YEAR($Y155),MONTH($Y155),$F155))))</f>
        <v/>
      </c>
      <c r="H155" s="9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9" t="n"/>
      <c r="L155" s="8">
        <f>IF(OR($G155="",$J155=""),"",$J155-$G155+1)</f>
        <v/>
      </c>
      <c r="M155" s="8">
        <f>IF(OR($G155="",$J155=""),"",$J155-$G155)</f>
        <v/>
      </c>
      <c r="N155" s="9" t="n"/>
      <c r="O155" s="9" t="n"/>
      <c r="P155" s="9" t="n"/>
      <c r="Q155" s="9" t="n"/>
      <c r="R155" s="9" t="n"/>
      <c r="S155" s="9" t="n"/>
      <c r="T155" s="13" t="n"/>
      <c r="U155" s="9" t="n"/>
      <c r="V155" s="8">
        <f>IF($G155="","",IF($D155="","⚠部屋が未選択",IF(COUNTIF('M_部屋'!$A$4:$A$20,$D155)=0,"⚠部屋が未登録",IF(OR($J155="",$N155="キャンセル"),"",IF(SUMPRODUCT(($D$5:$D$204=$D155)*($G$5:$G$204&lt;&gt;"")*($J$5:$J$204&lt;&gt;"")*($N$5:$N$204&lt;&gt;"キャンセル")*($G$5:$G$204&lt;$J155)*($J$5:$J$204&gt;$G155))&gt;1,"⚠重複","")))))</f>
        <v/>
      </c>
      <c r="W155" s="8">
        <f>IF(OR($B155="",$G155=""),"",IF(SUMPRODUCT(('利用者マスタ'!$A$4:$A$60=$B155)*('利用者マスタ'!$B$4:$B$60&lt;&gt;""))=0,"",IF(SUMIFS($X$5:$X$204,$B$5:$B$204,$B155,$G$5:$G$204,"&gt;="&amp;DATE(YEAR($G155),MONTH($G155),1),$G$5:$G$204,"&lt;="&amp;EOMONTH($G155,0))&gt;SUMIFS('利用者マスタ'!$B$4:$B$60,'利用者マスタ'!$A$4:$A$60,$B155),"⚠支給量超過","")))</f>
        <v/>
      </c>
      <c r="X155" s="8">
        <f>IF(OR($G155="",$J155="",$N155="キャンセル"),0,IF(IFERROR(INDEX('M_区分'!$B$4:$B$20,MATCH($C155,'M_区分'!$A$4:$A$20,0)),"○")="○",$J155-$G155+1,0))</f>
        <v/>
      </c>
      <c r="Y155" s="8">
        <f>IF($E155&lt;&gt;"",$E155,$Y154)</f>
        <v/>
      </c>
      <c r="Z155" s="8">
        <f>IF(OR($G155="",$J155=""),"",IF(AND($G155&lt;=EOMONTH('02_カレンダー'!$B$4,0),$J155&gt;='02_カレンダー'!$B$4),$G155*10000+ROW(),""))</f>
        <v/>
      </c>
      <c r="AA155" s="8">
        <f>IF($H155="","",IF(ISNUMBER($H155),IF(AND($H155=INT($H155),$H155&gt;=0,$H155&lt;=24),TEXT(INT($H155),"00")&amp;":00",TEXT($H155,"hh:mm")),$H155))</f>
        <v/>
      </c>
      <c r="AB155" s="8">
        <f>IF($K155="","",IF(ISNUMBER($K155),IF(AND($K155=INT($K155),$K155&gt;=0,$K155&lt;=24),TEXT(INT($K155),"00")&amp;":00",TEXT($K155,"hh:mm")),$K155))</f>
        <v/>
      </c>
      <c r="AC155" s="8">
        <f>IF($G155="",0,$G155)</f>
        <v/>
      </c>
      <c r="AD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IF($F156="","",IF($F156&gt;31,$F156,IF($Y156="","",DATE(YEAR($Y156),MONTH($Y156),$F156))))</f>
        <v/>
      </c>
      <c r="H156" s="9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9" t="n"/>
      <c r="L156" s="8">
        <f>IF(OR($G156="",$J156=""),"",$J156-$G156+1)</f>
        <v/>
      </c>
      <c r="M156" s="8">
        <f>IF(OR($G156="",$J156=""),"",$J156-$G156)</f>
        <v/>
      </c>
      <c r="N156" s="9" t="n"/>
      <c r="O156" s="9" t="n"/>
      <c r="P156" s="9" t="n"/>
      <c r="Q156" s="9" t="n"/>
      <c r="R156" s="9" t="n"/>
      <c r="S156" s="9" t="n"/>
      <c r="T156" s="13" t="n"/>
      <c r="U156" s="9" t="n"/>
      <c r="V156" s="8">
        <f>IF($G156="","",IF($D156="","⚠部屋が未選択",IF(COUNTIF('M_部屋'!$A$4:$A$20,$D156)=0,"⚠部屋が未登録",IF(OR($J156="",$N156="キャンセル"),"",IF(SUMPRODUCT(($D$5:$D$204=$D156)*($G$5:$G$204&lt;&gt;"")*($J$5:$J$204&lt;&gt;"")*($N$5:$N$204&lt;&gt;"キャンセル")*($G$5:$G$204&lt;$J156)*($J$5:$J$204&gt;$G156))&gt;1,"⚠重複","")))))</f>
        <v/>
      </c>
      <c r="W156" s="8">
        <f>IF(OR($B156="",$G156=""),"",IF(SUMPRODUCT(('利用者マスタ'!$A$4:$A$60=$B156)*('利用者マスタ'!$B$4:$B$60&lt;&gt;""))=0,"",IF(SUMIFS($X$5:$X$204,$B$5:$B$204,$B156,$G$5:$G$204,"&gt;="&amp;DATE(YEAR($G156),MONTH($G156),1),$G$5:$G$204,"&lt;="&amp;EOMONTH($G156,0))&gt;SUMIFS('利用者マスタ'!$B$4:$B$60,'利用者マスタ'!$A$4:$A$60,$B156),"⚠支給量超過","")))</f>
        <v/>
      </c>
      <c r="X156" s="8">
        <f>IF(OR($G156="",$J156="",$N156="キャンセル"),0,IF(IFERROR(INDEX('M_区分'!$B$4:$B$20,MATCH($C156,'M_区分'!$A$4:$A$20,0)),"○")="○",$J156-$G156+1,0))</f>
        <v/>
      </c>
      <c r="Y156" s="8">
        <f>IF($E156&lt;&gt;"",$E156,$Y155)</f>
        <v/>
      </c>
      <c r="Z156" s="8">
        <f>IF(OR($G156="",$J156=""),"",IF(AND($G156&lt;=EOMONTH('02_カレンダー'!$B$4,0),$J156&gt;='02_カレンダー'!$B$4),$G156*10000+ROW(),""))</f>
        <v/>
      </c>
      <c r="AA156" s="8">
        <f>IF($H156="","",IF(ISNUMBER($H156),IF(AND($H156=INT($H156),$H156&gt;=0,$H156&lt;=24),TEXT(INT($H156),"00")&amp;":00",TEXT($H156,"hh:mm")),$H156))</f>
        <v/>
      </c>
      <c r="AB156" s="8">
        <f>IF($K156="","",IF(ISNUMBER($K156),IF(AND($K156=INT($K156),$K156&gt;=0,$K156&lt;=24),TEXT(INT($K156),"00")&amp;":00",TEXT($K156,"hh:mm")),$K156))</f>
        <v/>
      </c>
      <c r="AC156" s="8">
        <f>IF($G156="",0,$G156)</f>
        <v/>
      </c>
      <c r="AD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IF($F157="","",IF($F157&gt;31,$F157,IF($Y157="","",DATE(YEAR($Y157),MONTH($Y157),$F157))))</f>
        <v/>
      </c>
      <c r="H157" s="9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9" t="n"/>
      <c r="L157" s="8">
        <f>IF(OR($G157="",$J157=""),"",$J157-$G157+1)</f>
        <v/>
      </c>
      <c r="M157" s="8">
        <f>IF(OR($G157="",$J157=""),"",$J157-$G157)</f>
        <v/>
      </c>
      <c r="N157" s="9" t="n"/>
      <c r="O157" s="9" t="n"/>
      <c r="P157" s="9" t="n"/>
      <c r="Q157" s="9" t="n"/>
      <c r="R157" s="9" t="n"/>
      <c r="S157" s="9" t="n"/>
      <c r="T157" s="13" t="n"/>
      <c r="U157" s="9" t="n"/>
      <c r="V157" s="8">
        <f>IF($G157="","",IF($D157="","⚠部屋が未選択",IF(COUNTIF('M_部屋'!$A$4:$A$20,$D157)=0,"⚠部屋が未登録",IF(OR($J157="",$N157="キャンセル"),"",IF(SUMPRODUCT(($D$5:$D$204=$D157)*($G$5:$G$204&lt;&gt;"")*($J$5:$J$204&lt;&gt;"")*($N$5:$N$204&lt;&gt;"キャンセル")*($G$5:$G$204&lt;$J157)*($J$5:$J$204&gt;$G157))&gt;1,"⚠重複","")))))</f>
        <v/>
      </c>
      <c r="W157" s="8">
        <f>IF(OR($B157="",$G157=""),"",IF(SUMPRODUCT(('利用者マスタ'!$A$4:$A$60=$B157)*('利用者マスタ'!$B$4:$B$60&lt;&gt;""))=0,"",IF(SUMIFS($X$5:$X$204,$B$5:$B$204,$B157,$G$5:$G$204,"&gt;="&amp;DATE(YEAR($G157),MONTH($G157),1),$G$5:$G$204,"&lt;="&amp;EOMONTH($G157,0))&gt;SUMIFS('利用者マスタ'!$B$4:$B$60,'利用者マスタ'!$A$4:$A$60,$B157),"⚠支給量超過","")))</f>
        <v/>
      </c>
      <c r="X157" s="8">
        <f>IF(OR($G157="",$J157="",$N157="キャンセル"),0,IF(IFERROR(INDEX('M_区分'!$B$4:$B$20,MATCH($C157,'M_区分'!$A$4:$A$20,0)),"○")="○",$J157-$G157+1,0))</f>
        <v/>
      </c>
      <c r="Y157" s="8">
        <f>IF($E157&lt;&gt;"",$E157,$Y156)</f>
        <v/>
      </c>
      <c r="Z157" s="8">
        <f>IF(OR($G157="",$J157=""),"",IF(AND($G157&lt;=EOMONTH('02_カレンダー'!$B$4,0),$J157&gt;='02_カレンダー'!$B$4),$G157*10000+ROW(),""))</f>
        <v/>
      </c>
      <c r="AA157" s="8">
        <f>IF($H157="","",IF(ISNUMBER($H157),IF(AND($H157=INT($H157),$H157&gt;=0,$H157&lt;=24),TEXT(INT($H157),"00")&amp;":00",TEXT($H157,"hh:mm")),$H157))</f>
        <v/>
      </c>
      <c r="AB157" s="8">
        <f>IF($K157="","",IF(ISNUMBER($K157),IF(AND($K157=INT($K157),$K157&gt;=0,$K157&lt;=24),TEXT(INT($K157),"00")&amp;":00",TEXT($K157,"hh:mm")),$K157))</f>
        <v/>
      </c>
      <c r="AC157" s="8">
        <f>IF($G157="",0,$G157)</f>
        <v/>
      </c>
      <c r="AD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IF($F158="","",IF($F158&gt;31,$F158,IF($Y158="","",DATE(YEAR($Y158),MONTH($Y158),$F158))))</f>
        <v/>
      </c>
      <c r="H158" s="9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9" t="n"/>
      <c r="L158" s="8">
        <f>IF(OR($G158="",$J158=""),"",$J158-$G158+1)</f>
        <v/>
      </c>
      <c r="M158" s="8">
        <f>IF(OR($G158="",$J158=""),"",$J158-$G158)</f>
        <v/>
      </c>
      <c r="N158" s="9" t="n"/>
      <c r="O158" s="9" t="n"/>
      <c r="P158" s="9" t="n"/>
      <c r="Q158" s="9" t="n"/>
      <c r="R158" s="9" t="n"/>
      <c r="S158" s="9" t="n"/>
      <c r="T158" s="13" t="n"/>
      <c r="U158" s="9" t="n"/>
      <c r="V158" s="8">
        <f>IF($G158="","",IF($D158="","⚠部屋が未選択",IF(COUNTIF('M_部屋'!$A$4:$A$20,$D158)=0,"⚠部屋が未登録",IF(OR($J158="",$N158="キャンセル"),"",IF(SUMPRODUCT(($D$5:$D$204=$D158)*($G$5:$G$204&lt;&gt;"")*($J$5:$J$204&lt;&gt;"")*($N$5:$N$204&lt;&gt;"キャンセル")*($G$5:$G$204&lt;$J158)*($J$5:$J$204&gt;$G158))&gt;1,"⚠重複","")))))</f>
        <v/>
      </c>
      <c r="W158" s="8">
        <f>IF(OR($B158="",$G158=""),"",IF(SUMPRODUCT(('利用者マスタ'!$A$4:$A$60=$B158)*('利用者マスタ'!$B$4:$B$60&lt;&gt;""))=0,"",IF(SUMIFS($X$5:$X$204,$B$5:$B$204,$B158,$G$5:$G$204,"&gt;="&amp;DATE(YEAR($G158),MONTH($G158),1),$G$5:$G$204,"&lt;="&amp;EOMONTH($G158,0))&gt;SUMIFS('利用者マスタ'!$B$4:$B$60,'利用者マスタ'!$A$4:$A$60,$B158),"⚠支給量超過","")))</f>
        <v/>
      </c>
      <c r="X158" s="8">
        <f>IF(OR($G158="",$J158="",$N158="キャンセル"),0,IF(IFERROR(INDEX('M_区分'!$B$4:$B$20,MATCH($C158,'M_区分'!$A$4:$A$20,0)),"○")="○",$J158-$G158+1,0))</f>
        <v/>
      </c>
      <c r="Y158" s="8">
        <f>IF($E158&lt;&gt;"",$E158,$Y157)</f>
        <v/>
      </c>
      <c r="Z158" s="8">
        <f>IF(OR($G158="",$J158=""),"",IF(AND($G158&lt;=EOMONTH('02_カレンダー'!$B$4,0),$J158&gt;='02_カレンダー'!$B$4),$G158*10000+ROW(),""))</f>
        <v/>
      </c>
      <c r="AA158" s="8">
        <f>IF($H158="","",IF(ISNUMBER($H158),IF(AND($H158=INT($H158),$H158&gt;=0,$H158&lt;=24),TEXT(INT($H158),"00")&amp;":00",TEXT($H158,"hh:mm")),$H158))</f>
        <v/>
      </c>
      <c r="AB158" s="8">
        <f>IF($K158="","",IF(ISNUMBER($K158),IF(AND($K158=INT($K158),$K158&gt;=0,$K158&lt;=24),TEXT(INT($K158),"00")&amp;":00",TEXT($K158,"hh:mm")),$K158))</f>
        <v/>
      </c>
      <c r="AC158" s="8">
        <f>IF($G158="",0,$G158)</f>
        <v/>
      </c>
      <c r="AD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IF($F159="","",IF($F159&gt;31,$F159,IF($Y159="","",DATE(YEAR($Y159),MONTH($Y159),$F159))))</f>
        <v/>
      </c>
      <c r="H159" s="9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9" t="n"/>
      <c r="L159" s="8">
        <f>IF(OR($G159="",$J159=""),"",$J159-$G159+1)</f>
        <v/>
      </c>
      <c r="M159" s="8">
        <f>IF(OR($G159="",$J159=""),"",$J159-$G159)</f>
        <v/>
      </c>
      <c r="N159" s="9" t="n"/>
      <c r="O159" s="9" t="n"/>
      <c r="P159" s="9" t="n"/>
      <c r="Q159" s="9" t="n"/>
      <c r="R159" s="9" t="n"/>
      <c r="S159" s="9" t="n"/>
      <c r="T159" s="13" t="n"/>
      <c r="U159" s="9" t="n"/>
      <c r="V159" s="8">
        <f>IF($G159="","",IF($D159="","⚠部屋が未選択",IF(COUNTIF('M_部屋'!$A$4:$A$20,$D159)=0,"⚠部屋が未登録",IF(OR($J159="",$N159="キャンセル"),"",IF(SUMPRODUCT(($D$5:$D$204=$D159)*($G$5:$G$204&lt;&gt;"")*($J$5:$J$204&lt;&gt;"")*($N$5:$N$204&lt;&gt;"キャンセル")*($G$5:$G$204&lt;$J159)*($J$5:$J$204&gt;$G159))&gt;1,"⚠重複","")))))</f>
        <v/>
      </c>
      <c r="W159" s="8">
        <f>IF(OR($B159="",$G159=""),"",IF(SUMPRODUCT(('利用者マスタ'!$A$4:$A$60=$B159)*('利用者マスタ'!$B$4:$B$60&lt;&gt;""))=0,"",IF(SUMIFS($X$5:$X$204,$B$5:$B$204,$B159,$G$5:$G$204,"&gt;="&amp;DATE(YEAR($G159),MONTH($G159),1),$G$5:$G$204,"&lt;="&amp;EOMONTH($G159,0))&gt;SUMIFS('利用者マスタ'!$B$4:$B$60,'利用者マスタ'!$A$4:$A$60,$B159),"⚠支給量超過","")))</f>
        <v/>
      </c>
      <c r="X159" s="8">
        <f>IF(OR($G159="",$J159="",$N159="キャンセル"),0,IF(IFERROR(INDEX('M_区分'!$B$4:$B$20,MATCH($C159,'M_区分'!$A$4:$A$20,0)),"○")="○",$J159-$G159+1,0))</f>
        <v/>
      </c>
      <c r="Y159" s="8">
        <f>IF($E159&lt;&gt;"",$E159,$Y158)</f>
        <v/>
      </c>
      <c r="Z159" s="8">
        <f>IF(OR($G159="",$J159=""),"",IF(AND($G159&lt;=EOMONTH('02_カレンダー'!$B$4,0),$J159&gt;='02_カレンダー'!$B$4),$G159*10000+ROW(),""))</f>
        <v/>
      </c>
      <c r="AA159" s="8">
        <f>IF($H159="","",IF(ISNUMBER($H159),IF(AND($H159=INT($H159),$H159&gt;=0,$H159&lt;=24),TEXT(INT($H159),"00")&amp;":00",TEXT($H159,"hh:mm")),$H159))</f>
        <v/>
      </c>
      <c r="AB159" s="8">
        <f>IF($K159="","",IF(ISNUMBER($K159),IF(AND($K159=INT($K159),$K159&gt;=0,$K159&lt;=24),TEXT(INT($K159),"00")&amp;":00",TEXT($K159,"hh:mm")),$K159))</f>
        <v/>
      </c>
      <c r="AC159" s="8">
        <f>IF($G159="",0,$G159)</f>
        <v/>
      </c>
      <c r="AD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IF($F160="","",IF($F160&gt;31,$F160,IF($Y160="","",DATE(YEAR($Y160),MONTH($Y160),$F160))))</f>
        <v/>
      </c>
      <c r="H160" s="9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9" t="n"/>
      <c r="L160" s="8">
        <f>IF(OR($G160="",$J160=""),"",$J160-$G160+1)</f>
        <v/>
      </c>
      <c r="M160" s="8">
        <f>IF(OR($G160="",$J160=""),"",$J160-$G160)</f>
        <v/>
      </c>
      <c r="N160" s="9" t="n"/>
      <c r="O160" s="9" t="n"/>
      <c r="P160" s="9" t="n"/>
      <c r="Q160" s="9" t="n"/>
      <c r="R160" s="9" t="n"/>
      <c r="S160" s="9" t="n"/>
      <c r="T160" s="13" t="n"/>
      <c r="U160" s="9" t="n"/>
      <c r="V160" s="8">
        <f>IF($G160="","",IF($D160="","⚠部屋が未選択",IF(COUNTIF('M_部屋'!$A$4:$A$20,$D160)=0,"⚠部屋が未登録",IF(OR($J160="",$N160="キャンセル"),"",IF(SUMPRODUCT(($D$5:$D$204=$D160)*($G$5:$G$204&lt;&gt;"")*($J$5:$J$204&lt;&gt;"")*($N$5:$N$204&lt;&gt;"キャンセル")*($G$5:$G$204&lt;$J160)*($J$5:$J$204&gt;$G160))&gt;1,"⚠重複","")))))</f>
        <v/>
      </c>
      <c r="W160" s="8">
        <f>IF(OR($B160="",$G160=""),"",IF(SUMPRODUCT(('利用者マスタ'!$A$4:$A$60=$B160)*('利用者マスタ'!$B$4:$B$60&lt;&gt;""))=0,"",IF(SUMIFS($X$5:$X$204,$B$5:$B$204,$B160,$G$5:$G$204,"&gt;="&amp;DATE(YEAR($G160),MONTH($G160),1),$G$5:$G$204,"&lt;="&amp;EOMONTH($G160,0))&gt;SUMIFS('利用者マスタ'!$B$4:$B$60,'利用者マスタ'!$A$4:$A$60,$B160),"⚠支給量超過","")))</f>
        <v/>
      </c>
      <c r="X160" s="8">
        <f>IF(OR($G160="",$J160="",$N160="キャンセル"),0,IF(IFERROR(INDEX('M_区分'!$B$4:$B$20,MATCH($C160,'M_区分'!$A$4:$A$20,0)),"○")="○",$J160-$G160+1,0))</f>
        <v/>
      </c>
      <c r="Y160" s="8">
        <f>IF($E160&lt;&gt;"",$E160,$Y159)</f>
        <v/>
      </c>
      <c r="Z160" s="8">
        <f>IF(OR($G160="",$J160=""),"",IF(AND($G160&lt;=EOMONTH('02_カレンダー'!$B$4,0),$J160&gt;='02_カレンダー'!$B$4),$G160*10000+ROW(),""))</f>
        <v/>
      </c>
      <c r="AA160" s="8">
        <f>IF($H160="","",IF(ISNUMBER($H160),IF(AND($H160=INT($H160),$H160&gt;=0,$H160&lt;=24),TEXT(INT($H160),"00")&amp;":00",TEXT($H160,"hh:mm")),$H160))</f>
        <v/>
      </c>
      <c r="AB160" s="8">
        <f>IF($K160="","",IF(ISNUMBER($K160),IF(AND($K160=INT($K160),$K160&gt;=0,$K160&lt;=24),TEXT(INT($K160),"00")&amp;":00",TEXT($K160,"hh:mm")),$K160))</f>
        <v/>
      </c>
      <c r="AC160" s="8">
        <f>IF($G160="",0,$G160)</f>
        <v/>
      </c>
      <c r="AD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IF($F161="","",IF($F161&gt;31,$F161,IF($Y161="","",DATE(YEAR($Y161),MONTH($Y161),$F161))))</f>
        <v/>
      </c>
      <c r="H161" s="9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9" t="n"/>
      <c r="L161" s="8">
        <f>IF(OR($G161="",$J161=""),"",$J161-$G161+1)</f>
        <v/>
      </c>
      <c r="M161" s="8">
        <f>IF(OR($G161="",$J161=""),"",$J161-$G161)</f>
        <v/>
      </c>
      <c r="N161" s="9" t="n"/>
      <c r="O161" s="9" t="n"/>
      <c r="P161" s="9" t="n"/>
      <c r="Q161" s="9" t="n"/>
      <c r="R161" s="9" t="n"/>
      <c r="S161" s="9" t="n"/>
      <c r="T161" s="13" t="n"/>
      <c r="U161" s="9" t="n"/>
      <c r="V161" s="8">
        <f>IF($G161="","",IF($D161="","⚠部屋が未選択",IF(COUNTIF('M_部屋'!$A$4:$A$20,$D161)=0,"⚠部屋が未登録",IF(OR($J161="",$N161="キャンセル"),"",IF(SUMPRODUCT(($D$5:$D$204=$D161)*($G$5:$G$204&lt;&gt;"")*($J$5:$J$204&lt;&gt;"")*($N$5:$N$204&lt;&gt;"キャンセル")*($G$5:$G$204&lt;$J161)*($J$5:$J$204&gt;$G161))&gt;1,"⚠重複","")))))</f>
        <v/>
      </c>
      <c r="W161" s="8">
        <f>IF(OR($B161="",$G161=""),"",IF(SUMPRODUCT(('利用者マスタ'!$A$4:$A$60=$B161)*('利用者マスタ'!$B$4:$B$60&lt;&gt;""))=0,"",IF(SUMIFS($X$5:$X$204,$B$5:$B$204,$B161,$G$5:$G$204,"&gt;="&amp;DATE(YEAR($G161),MONTH($G161),1),$G$5:$G$204,"&lt;="&amp;EOMONTH($G161,0))&gt;SUMIFS('利用者マスタ'!$B$4:$B$60,'利用者マスタ'!$A$4:$A$60,$B161),"⚠支給量超過","")))</f>
        <v/>
      </c>
      <c r="X161" s="8">
        <f>IF(OR($G161="",$J161="",$N161="キャンセル"),0,IF(IFERROR(INDEX('M_区分'!$B$4:$B$20,MATCH($C161,'M_区分'!$A$4:$A$20,0)),"○")="○",$J161-$G161+1,0))</f>
        <v/>
      </c>
      <c r="Y161" s="8">
        <f>IF($E161&lt;&gt;"",$E161,$Y160)</f>
        <v/>
      </c>
      <c r="Z161" s="8">
        <f>IF(OR($G161="",$J161=""),"",IF(AND($G161&lt;=EOMONTH('02_カレンダー'!$B$4,0),$J161&gt;='02_カレンダー'!$B$4),$G161*10000+ROW(),""))</f>
        <v/>
      </c>
      <c r="AA161" s="8">
        <f>IF($H161="","",IF(ISNUMBER($H161),IF(AND($H161=INT($H161),$H161&gt;=0,$H161&lt;=24),TEXT(INT($H161),"00")&amp;":00",TEXT($H161,"hh:mm")),$H161))</f>
        <v/>
      </c>
      <c r="AB161" s="8">
        <f>IF($K161="","",IF(ISNUMBER($K161),IF(AND($K161=INT($K161),$K161&gt;=0,$K161&lt;=24),TEXT(INT($K161),"00")&amp;":00",TEXT($K161,"hh:mm")),$K161))</f>
        <v/>
      </c>
      <c r="AC161" s="8">
        <f>IF($G161="",0,$G161)</f>
        <v/>
      </c>
      <c r="AD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IF($F162="","",IF($F162&gt;31,$F162,IF($Y162="","",DATE(YEAR($Y162),MONTH($Y162),$F162))))</f>
        <v/>
      </c>
      <c r="H162" s="9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9" t="n"/>
      <c r="L162" s="8">
        <f>IF(OR($G162="",$J162=""),"",$J162-$G162+1)</f>
        <v/>
      </c>
      <c r="M162" s="8">
        <f>IF(OR($G162="",$J162=""),"",$J162-$G162)</f>
        <v/>
      </c>
      <c r="N162" s="9" t="n"/>
      <c r="O162" s="9" t="n"/>
      <c r="P162" s="9" t="n"/>
      <c r="Q162" s="9" t="n"/>
      <c r="R162" s="9" t="n"/>
      <c r="S162" s="9" t="n"/>
      <c r="T162" s="13" t="n"/>
      <c r="U162" s="9" t="n"/>
      <c r="V162" s="8">
        <f>IF($G162="","",IF($D162="","⚠部屋が未選択",IF(COUNTIF('M_部屋'!$A$4:$A$20,$D162)=0,"⚠部屋が未登録",IF(OR($J162="",$N162="キャンセル"),"",IF(SUMPRODUCT(($D$5:$D$204=$D162)*($G$5:$G$204&lt;&gt;"")*($J$5:$J$204&lt;&gt;"")*($N$5:$N$204&lt;&gt;"キャンセル")*($G$5:$G$204&lt;$J162)*($J$5:$J$204&gt;$G162))&gt;1,"⚠重複","")))))</f>
        <v/>
      </c>
      <c r="W162" s="8">
        <f>IF(OR($B162="",$G162=""),"",IF(SUMPRODUCT(('利用者マスタ'!$A$4:$A$60=$B162)*('利用者マスタ'!$B$4:$B$60&lt;&gt;""))=0,"",IF(SUMIFS($X$5:$X$204,$B$5:$B$204,$B162,$G$5:$G$204,"&gt;="&amp;DATE(YEAR($G162),MONTH($G162),1),$G$5:$G$204,"&lt;="&amp;EOMONTH($G162,0))&gt;SUMIFS('利用者マスタ'!$B$4:$B$60,'利用者マスタ'!$A$4:$A$60,$B162),"⚠支給量超過","")))</f>
        <v/>
      </c>
      <c r="X162" s="8">
        <f>IF(OR($G162="",$J162="",$N162="キャンセル"),0,IF(IFERROR(INDEX('M_区分'!$B$4:$B$20,MATCH($C162,'M_区分'!$A$4:$A$20,0)),"○")="○",$J162-$G162+1,0))</f>
        <v/>
      </c>
      <c r="Y162" s="8">
        <f>IF($E162&lt;&gt;"",$E162,$Y161)</f>
        <v/>
      </c>
      <c r="Z162" s="8">
        <f>IF(OR($G162="",$J162=""),"",IF(AND($G162&lt;=EOMONTH('02_カレンダー'!$B$4,0),$J162&gt;='02_カレンダー'!$B$4),$G162*10000+ROW(),""))</f>
        <v/>
      </c>
      <c r="AA162" s="8">
        <f>IF($H162="","",IF(ISNUMBER($H162),IF(AND($H162=INT($H162),$H162&gt;=0,$H162&lt;=24),TEXT(INT($H162),"00")&amp;":00",TEXT($H162,"hh:mm")),$H162))</f>
        <v/>
      </c>
      <c r="AB162" s="8">
        <f>IF($K162="","",IF(ISNUMBER($K162),IF(AND($K162=INT($K162),$K162&gt;=0,$K162&lt;=24),TEXT(INT($K162),"00")&amp;":00",TEXT($K162,"hh:mm")),$K162))</f>
        <v/>
      </c>
      <c r="AC162" s="8">
        <f>IF($G162="",0,$G162)</f>
        <v/>
      </c>
      <c r="AD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IF($F163="","",IF($F163&gt;31,$F163,IF($Y163="","",DATE(YEAR($Y163),MONTH($Y163),$F163))))</f>
        <v/>
      </c>
      <c r="H163" s="9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9" t="n"/>
      <c r="L163" s="8">
        <f>IF(OR($G163="",$J163=""),"",$J163-$G163+1)</f>
        <v/>
      </c>
      <c r="M163" s="8">
        <f>IF(OR($G163="",$J163=""),"",$J163-$G163)</f>
        <v/>
      </c>
      <c r="N163" s="9" t="n"/>
      <c r="O163" s="9" t="n"/>
      <c r="P163" s="9" t="n"/>
      <c r="Q163" s="9" t="n"/>
      <c r="R163" s="9" t="n"/>
      <c r="S163" s="9" t="n"/>
      <c r="T163" s="13" t="n"/>
      <c r="U163" s="9" t="n"/>
      <c r="V163" s="8">
        <f>IF($G163="","",IF($D163="","⚠部屋が未選択",IF(COUNTIF('M_部屋'!$A$4:$A$20,$D163)=0,"⚠部屋が未登録",IF(OR($J163="",$N163="キャンセル"),"",IF(SUMPRODUCT(($D$5:$D$204=$D163)*($G$5:$G$204&lt;&gt;"")*($J$5:$J$204&lt;&gt;"")*($N$5:$N$204&lt;&gt;"キャンセル")*($G$5:$G$204&lt;$J163)*($J$5:$J$204&gt;$G163))&gt;1,"⚠重複","")))))</f>
        <v/>
      </c>
      <c r="W163" s="8">
        <f>IF(OR($B163="",$G163=""),"",IF(SUMPRODUCT(('利用者マスタ'!$A$4:$A$60=$B163)*('利用者マスタ'!$B$4:$B$60&lt;&gt;""))=0,"",IF(SUMIFS($X$5:$X$204,$B$5:$B$204,$B163,$G$5:$G$204,"&gt;="&amp;DATE(YEAR($G163),MONTH($G163),1),$G$5:$G$204,"&lt;="&amp;EOMONTH($G163,0))&gt;SUMIFS('利用者マスタ'!$B$4:$B$60,'利用者マスタ'!$A$4:$A$60,$B163),"⚠支給量超過","")))</f>
        <v/>
      </c>
      <c r="X163" s="8">
        <f>IF(OR($G163="",$J163="",$N163="キャンセル"),0,IF(IFERROR(INDEX('M_区分'!$B$4:$B$20,MATCH($C163,'M_区分'!$A$4:$A$20,0)),"○")="○",$J163-$G163+1,0))</f>
        <v/>
      </c>
      <c r="Y163" s="8">
        <f>IF($E163&lt;&gt;"",$E163,$Y162)</f>
        <v/>
      </c>
      <c r="Z163" s="8">
        <f>IF(OR($G163="",$J163=""),"",IF(AND($G163&lt;=EOMONTH('02_カレンダー'!$B$4,0),$J163&gt;='02_カレンダー'!$B$4),$G163*10000+ROW(),""))</f>
        <v/>
      </c>
      <c r="AA163" s="8">
        <f>IF($H163="","",IF(ISNUMBER($H163),IF(AND($H163=INT($H163),$H163&gt;=0,$H163&lt;=24),TEXT(INT($H163),"00")&amp;":00",TEXT($H163,"hh:mm")),$H163))</f>
        <v/>
      </c>
      <c r="AB163" s="8">
        <f>IF($K163="","",IF(ISNUMBER($K163),IF(AND($K163=INT($K163),$K163&gt;=0,$K163&lt;=24),TEXT(INT($K163),"00")&amp;":00",TEXT($K163,"hh:mm")),$K163))</f>
        <v/>
      </c>
      <c r="AC163" s="8">
        <f>IF($G163="",0,$G163)</f>
        <v/>
      </c>
      <c r="AD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IF($F164="","",IF($F164&gt;31,$F164,IF($Y164="","",DATE(YEAR($Y164),MONTH($Y164),$F164))))</f>
        <v/>
      </c>
      <c r="H164" s="9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9" t="n"/>
      <c r="L164" s="8">
        <f>IF(OR($G164="",$J164=""),"",$J164-$G164+1)</f>
        <v/>
      </c>
      <c r="M164" s="8">
        <f>IF(OR($G164="",$J164=""),"",$J164-$G164)</f>
        <v/>
      </c>
      <c r="N164" s="9" t="n"/>
      <c r="O164" s="9" t="n"/>
      <c r="P164" s="9" t="n"/>
      <c r="Q164" s="9" t="n"/>
      <c r="R164" s="9" t="n"/>
      <c r="S164" s="9" t="n"/>
      <c r="T164" s="13" t="n"/>
      <c r="U164" s="9" t="n"/>
      <c r="V164" s="8">
        <f>IF($G164="","",IF($D164="","⚠部屋が未選択",IF(COUNTIF('M_部屋'!$A$4:$A$20,$D164)=0,"⚠部屋が未登録",IF(OR($J164="",$N164="キャンセル"),"",IF(SUMPRODUCT(($D$5:$D$204=$D164)*($G$5:$G$204&lt;&gt;"")*($J$5:$J$204&lt;&gt;"")*($N$5:$N$204&lt;&gt;"キャンセル")*($G$5:$G$204&lt;$J164)*($J$5:$J$204&gt;$G164))&gt;1,"⚠重複","")))))</f>
        <v/>
      </c>
      <c r="W164" s="8">
        <f>IF(OR($B164="",$G164=""),"",IF(SUMPRODUCT(('利用者マスタ'!$A$4:$A$60=$B164)*('利用者マスタ'!$B$4:$B$60&lt;&gt;""))=0,"",IF(SUMIFS($X$5:$X$204,$B$5:$B$204,$B164,$G$5:$G$204,"&gt;="&amp;DATE(YEAR($G164),MONTH($G164),1),$G$5:$G$204,"&lt;="&amp;EOMONTH($G164,0))&gt;SUMIFS('利用者マスタ'!$B$4:$B$60,'利用者マスタ'!$A$4:$A$60,$B164),"⚠支給量超過","")))</f>
        <v/>
      </c>
      <c r="X164" s="8">
        <f>IF(OR($G164="",$J164="",$N164="キャンセル"),0,IF(IFERROR(INDEX('M_区分'!$B$4:$B$20,MATCH($C164,'M_区分'!$A$4:$A$20,0)),"○")="○",$J164-$G164+1,0))</f>
        <v/>
      </c>
      <c r="Y164" s="8">
        <f>IF($E164&lt;&gt;"",$E164,$Y163)</f>
        <v/>
      </c>
      <c r="Z164" s="8">
        <f>IF(OR($G164="",$J164=""),"",IF(AND($G164&lt;=EOMONTH('02_カレンダー'!$B$4,0),$J164&gt;='02_カレンダー'!$B$4),$G164*10000+ROW(),""))</f>
        <v/>
      </c>
      <c r="AA164" s="8">
        <f>IF($H164="","",IF(ISNUMBER($H164),IF(AND($H164=INT($H164),$H164&gt;=0,$H164&lt;=24),TEXT(INT($H164),"00")&amp;":00",TEXT($H164,"hh:mm")),$H164))</f>
        <v/>
      </c>
      <c r="AB164" s="8">
        <f>IF($K164="","",IF(ISNUMBER($K164),IF(AND($K164=INT($K164),$K164&gt;=0,$K164&lt;=24),TEXT(INT($K164),"00")&amp;":00",TEXT($K164,"hh:mm")),$K164))</f>
        <v/>
      </c>
      <c r="AC164" s="8">
        <f>IF($G164="",0,$G164)</f>
        <v/>
      </c>
      <c r="AD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IF($F165="","",IF($F165&gt;31,$F165,IF($Y165="","",DATE(YEAR($Y165),MONTH($Y165),$F165))))</f>
        <v/>
      </c>
      <c r="H165" s="9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9" t="n"/>
      <c r="L165" s="8">
        <f>IF(OR($G165="",$J165=""),"",$J165-$G165+1)</f>
        <v/>
      </c>
      <c r="M165" s="8">
        <f>IF(OR($G165="",$J165=""),"",$J165-$G165)</f>
        <v/>
      </c>
      <c r="N165" s="9" t="n"/>
      <c r="O165" s="9" t="n"/>
      <c r="P165" s="9" t="n"/>
      <c r="Q165" s="9" t="n"/>
      <c r="R165" s="9" t="n"/>
      <c r="S165" s="9" t="n"/>
      <c r="T165" s="13" t="n"/>
      <c r="U165" s="9" t="n"/>
      <c r="V165" s="8">
        <f>IF($G165="","",IF($D165="","⚠部屋が未選択",IF(COUNTIF('M_部屋'!$A$4:$A$20,$D165)=0,"⚠部屋が未登録",IF(OR($J165="",$N165="キャンセル"),"",IF(SUMPRODUCT(($D$5:$D$204=$D165)*($G$5:$G$204&lt;&gt;"")*($J$5:$J$204&lt;&gt;"")*($N$5:$N$204&lt;&gt;"キャンセル")*($G$5:$G$204&lt;$J165)*($J$5:$J$204&gt;$G165))&gt;1,"⚠重複","")))))</f>
        <v/>
      </c>
      <c r="W165" s="8">
        <f>IF(OR($B165="",$G165=""),"",IF(SUMPRODUCT(('利用者マスタ'!$A$4:$A$60=$B165)*('利用者マスタ'!$B$4:$B$60&lt;&gt;""))=0,"",IF(SUMIFS($X$5:$X$204,$B$5:$B$204,$B165,$G$5:$G$204,"&gt;="&amp;DATE(YEAR($G165),MONTH($G165),1),$G$5:$G$204,"&lt;="&amp;EOMONTH($G165,0))&gt;SUMIFS('利用者マスタ'!$B$4:$B$60,'利用者マスタ'!$A$4:$A$60,$B165),"⚠支給量超過","")))</f>
        <v/>
      </c>
      <c r="X165" s="8">
        <f>IF(OR($G165="",$J165="",$N165="キャンセル"),0,IF(IFERROR(INDEX('M_区分'!$B$4:$B$20,MATCH($C165,'M_区分'!$A$4:$A$20,0)),"○")="○",$J165-$G165+1,0))</f>
        <v/>
      </c>
      <c r="Y165" s="8">
        <f>IF($E165&lt;&gt;"",$E165,$Y164)</f>
        <v/>
      </c>
      <c r="Z165" s="8">
        <f>IF(OR($G165="",$J165=""),"",IF(AND($G165&lt;=EOMONTH('02_カレンダー'!$B$4,0),$J165&gt;='02_カレンダー'!$B$4),$G165*10000+ROW(),""))</f>
        <v/>
      </c>
      <c r="AA165" s="8">
        <f>IF($H165="","",IF(ISNUMBER($H165),IF(AND($H165=INT($H165),$H165&gt;=0,$H165&lt;=24),TEXT(INT($H165),"00")&amp;":00",TEXT($H165,"hh:mm")),$H165))</f>
        <v/>
      </c>
      <c r="AB165" s="8">
        <f>IF($K165="","",IF(ISNUMBER($K165),IF(AND($K165=INT($K165),$K165&gt;=0,$K165&lt;=24),TEXT(INT($K165),"00")&amp;":00",TEXT($K165,"hh:mm")),$K165))</f>
        <v/>
      </c>
      <c r="AC165" s="8">
        <f>IF($G165="",0,$G165)</f>
        <v/>
      </c>
      <c r="AD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IF($F166="","",IF($F166&gt;31,$F166,IF($Y166="","",DATE(YEAR($Y166),MONTH($Y166),$F166))))</f>
        <v/>
      </c>
      <c r="H166" s="9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9" t="n"/>
      <c r="L166" s="8">
        <f>IF(OR($G166="",$J166=""),"",$J166-$G166+1)</f>
        <v/>
      </c>
      <c r="M166" s="8">
        <f>IF(OR($G166="",$J166=""),"",$J166-$G166)</f>
        <v/>
      </c>
      <c r="N166" s="9" t="n"/>
      <c r="O166" s="9" t="n"/>
      <c r="P166" s="9" t="n"/>
      <c r="Q166" s="9" t="n"/>
      <c r="R166" s="9" t="n"/>
      <c r="S166" s="9" t="n"/>
      <c r="T166" s="13" t="n"/>
      <c r="U166" s="9" t="n"/>
      <c r="V166" s="8">
        <f>IF($G166="","",IF($D166="","⚠部屋が未選択",IF(COUNTIF('M_部屋'!$A$4:$A$20,$D166)=0,"⚠部屋が未登録",IF(OR($J166="",$N166="キャンセル"),"",IF(SUMPRODUCT(($D$5:$D$204=$D166)*($G$5:$G$204&lt;&gt;"")*($J$5:$J$204&lt;&gt;"")*($N$5:$N$204&lt;&gt;"キャンセル")*($G$5:$G$204&lt;$J166)*($J$5:$J$204&gt;$G166))&gt;1,"⚠重複","")))))</f>
        <v/>
      </c>
      <c r="W166" s="8">
        <f>IF(OR($B166="",$G166=""),"",IF(SUMPRODUCT(('利用者マスタ'!$A$4:$A$60=$B166)*('利用者マスタ'!$B$4:$B$60&lt;&gt;""))=0,"",IF(SUMIFS($X$5:$X$204,$B$5:$B$204,$B166,$G$5:$G$204,"&gt;="&amp;DATE(YEAR($G166),MONTH($G166),1),$G$5:$G$204,"&lt;="&amp;EOMONTH($G166,0))&gt;SUMIFS('利用者マスタ'!$B$4:$B$60,'利用者マスタ'!$A$4:$A$60,$B166),"⚠支給量超過","")))</f>
        <v/>
      </c>
      <c r="X166" s="8">
        <f>IF(OR($G166="",$J166="",$N166="キャンセル"),0,IF(IFERROR(INDEX('M_区分'!$B$4:$B$20,MATCH($C166,'M_区分'!$A$4:$A$20,0)),"○")="○",$J166-$G166+1,0))</f>
        <v/>
      </c>
      <c r="Y166" s="8">
        <f>IF($E166&lt;&gt;"",$E166,$Y165)</f>
        <v/>
      </c>
      <c r="Z166" s="8">
        <f>IF(OR($G166="",$J166=""),"",IF(AND($G166&lt;=EOMONTH('02_カレンダー'!$B$4,0),$J166&gt;='02_カレンダー'!$B$4),$G166*10000+ROW(),""))</f>
        <v/>
      </c>
      <c r="AA166" s="8">
        <f>IF($H166="","",IF(ISNUMBER($H166),IF(AND($H166=INT($H166),$H166&gt;=0,$H166&lt;=24),TEXT(INT($H166),"00")&amp;":00",TEXT($H166,"hh:mm")),$H166))</f>
        <v/>
      </c>
      <c r="AB166" s="8">
        <f>IF($K166="","",IF(ISNUMBER($K166),IF(AND($K166=INT($K166),$K166&gt;=0,$K166&lt;=24),TEXT(INT($K166),"00")&amp;":00",TEXT($K166,"hh:mm")),$K166))</f>
        <v/>
      </c>
      <c r="AC166" s="8">
        <f>IF($G166="",0,$G166)</f>
        <v/>
      </c>
      <c r="AD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IF($F167="","",IF($F167&gt;31,$F167,IF($Y167="","",DATE(YEAR($Y167),MONTH($Y167),$F167))))</f>
        <v/>
      </c>
      <c r="H167" s="9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9" t="n"/>
      <c r="L167" s="8">
        <f>IF(OR($G167="",$J167=""),"",$J167-$G167+1)</f>
        <v/>
      </c>
      <c r="M167" s="8">
        <f>IF(OR($G167="",$J167=""),"",$J167-$G167)</f>
        <v/>
      </c>
      <c r="N167" s="9" t="n"/>
      <c r="O167" s="9" t="n"/>
      <c r="P167" s="9" t="n"/>
      <c r="Q167" s="9" t="n"/>
      <c r="R167" s="9" t="n"/>
      <c r="S167" s="9" t="n"/>
      <c r="T167" s="13" t="n"/>
      <c r="U167" s="9" t="n"/>
      <c r="V167" s="8">
        <f>IF($G167="","",IF($D167="","⚠部屋が未選択",IF(COUNTIF('M_部屋'!$A$4:$A$20,$D167)=0,"⚠部屋が未登録",IF(OR($J167="",$N167="キャンセル"),"",IF(SUMPRODUCT(($D$5:$D$204=$D167)*($G$5:$G$204&lt;&gt;"")*($J$5:$J$204&lt;&gt;"")*($N$5:$N$204&lt;&gt;"キャンセル")*($G$5:$G$204&lt;$J167)*($J$5:$J$204&gt;$G167))&gt;1,"⚠重複","")))))</f>
        <v/>
      </c>
      <c r="W167" s="8">
        <f>IF(OR($B167="",$G167=""),"",IF(SUMPRODUCT(('利用者マスタ'!$A$4:$A$60=$B167)*('利用者マスタ'!$B$4:$B$60&lt;&gt;""))=0,"",IF(SUMIFS($X$5:$X$204,$B$5:$B$204,$B167,$G$5:$G$204,"&gt;="&amp;DATE(YEAR($G167),MONTH($G167),1),$G$5:$G$204,"&lt;="&amp;EOMONTH($G167,0))&gt;SUMIFS('利用者マスタ'!$B$4:$B$60,'利用者マスタ'!$A$4:$A$60,$B167),"⚠支給量超過","")))</f>
        <v/>
      </c>
      <c r="X167" s="8">
        <f>IF(OR($G167="",$J167="",$N167="キャンセル"),0,IF(IFERROR(INDEX('M_区分'!$B$4:$B$20,MATCH($C167,'M_区分'!$A$4:$A$20,0)),"○")="○",$J167-$G167+1,0))</f>
        <v/>
      </c>
      <c r="Y167" s="8">
        <f>IF($E167&lt;&gt;"",$E167,$Y166)</f>
        <v/>
      </c>
      <c r="Z167" s="8">
        <f>IF(OR($G167="",$J167=""),"",IF(AND($G167&lt;=EOMONTH('02_カレンダー'!$B$4,0),$J167&gt;='02_カレンダー'!$B$4),$G167*10000+ROW(),""))</f>
        <v/>
      </c>
      <c r="AA167" s="8">
        <f>IF($H167="","",IF(ISNUMBER($H167),IF(AND($H167=INT($H167),$H167&gt;=0,$H167&lt;=24),TEXT(INT($H167),"00")&amp;":00",TEXT($H167,"hh:mm")),$H167))</f>
        <v/>
      </c>
      <c r="AB167" s="8">
        <f>IF($K167="","",IF(ISNUMBER($K167),IF(AND($K167=INT($K167),$K167&gt;=0,$K167&lt;=24),TEXT(INT($K167),"00")&amp;":00",TEXT($K167,"hh:mm")),$K167))</f>
        <v/>
      </c>
      <c r="AC167" s="8">
        <f>IF($G167="",0,$G167)</f>
        <v/>
      </c>
      <c r="AD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IF($F168="","",IF($F168&gt;31,$F168,IF($Y168="","",DATE(YEAR($Y168),MONTH($Y168),$F168))))</f>
        <v/>
      </c>
      <c r="H168" s="9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9" t="n"/>
      <c r="L168" s="8">
        <f>IF(OR($G168="",$J168=""),"",$J168-$G168+1)</f>
        <v/>
      </c>
      <c r="M168" s="8">
        <f>IF(OR($G168="",$J168=""),"",$J168-$G168)</f>
        <v/>
      </c>
      <c r="N168" s="9" t="n"/>
      <c r="O168" s="9" t="n"/>
      <c r="P168" s="9" t="n"/>
      <c r="Q168" s="9" t="n"/>
      <c r="R168" s="9" t="n"/>
      <c r="S168" s="9" t="n"/>
      <c r="T168" s="13" t="n"/>
      <c r="U168" s="9" t="n"/>
      <c r="V168" s="8">
        <f>IF($G168="","",IF($D168="","⚠部屋が未選択",IF(COUNTIF('M_部屋'!$A$4:$A$20,$D168)=0,"⚠部屋が未登録",IF(OR($J168="",$N168="キャンセル"),"",IF(SUMPRODUCT(($D$5:$D$204=$D168)*($G$5:$G$204&lt;&gt;"")*($J$5:$J$204&lt;&gt;"")*($N$5:$N$204&lt;&gt;"キャンセル")*($G$5:$G$204&lt;$J168)*($J$5:$J$204&gt;$G168))&gt;1,"⚠重複","")))))</f>
        <v/>
      </c>
      <c r="W168" s="8">
        <f>IF(OR($B168="",$G168=""),"",IF(SUMPRODUCT(('利用者マスタ'!$A$4:$A$60=$B168)*('利用者マスタ'!$B$4:$B$60&lt;&gt;""))=0,"",IF(SUMIFS($X$5:$X$204,$B$5:$B$204,$B168,$G$5:$G$204,"&gt;="&amp;DATE(YEAR($G168),MONTH($G168),1),$G$5:$G$204,"&lt;="&amp;EOMONTH($G168,0))&gt;SUMIFS('利用者マスタ'!$B$4:$B$60,'利用者マスタ'!$A$4:$A$60,$B168),"⚠支給量超過","")))</f>
        <v/>
      </c>
      <c r="X168" s="8">
        <f>IF(OR($G168="",$J168="",$N168="キャンセル"),0,IF(IFERROR(INDEX('M_区分'!$B$4:$B$20,MATCH($C168,'M_区分'!$A$4:$A$20,0)),"○")="○",$J168-$G168+1,0))</f>
        <v/>
      </c>
      <c r="Y168" s="8">
        <f>IF($E168&lt;&gt;"",$E168,$Y167)</f>
        <v/>
      </c>
      <c r="Z168" s="8">
        <f>IF(OR($G168="",$J168=""),"",IF(AND($G168&lt;=EOMONTH('02_カレンダー'!$B$4,0),$J168&gt;='02_カレンダー'!$B$4),$G168*10000+ROW(),""))</f>
        <v/>
      </c>
      <c r="AA168" s="8">
        <f>IF($H168="","",IF(ISNUMBER($H168),IF(AND($H168=INT($H168),$H168&gt;=0,$H168&lt;=24),TEXT(INT($H168),"00")&amp;":00",TEXT($H168,"hh:mm")),$H168))</f>
        <v/>
      </c>
      <c r="AB168" s="8">
        <f>IF($K168="","",IF(ISNUMBER($K168),IF(AND($K168=INT($K168),$K168&gt;=0,$K168&lt;=24),TEXT(INT($K168),"00")&amp;":00",TEXT($K168,"hh:mm")),$K168))</f>
        <v/>
      </c>
      <c r="AC168" s="8">
        <f>IF($G168="",0,$G168)</f>
        <v/>
      </c>
      <c r="AD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IF($F169="","",IF($F169&gt;31,$F169,IF($Y169="","",DATE(YEAR($Y169),MONTH($Y169),$F169))))</f>
        <v/>
      </c>
      <c r="H169" s="9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9" t="n"/>
      <c r="L169" s="8">
        <f>IF(OR($G169="",$J169=""),"",$J169-$G169+1)</f>
        <v/>
      </c>
      <c r="M169" s="8">
        <f>IF(OR($G169="",$J169=""),"",$J169-$G169)</f>
        <v/>
      </c>
      <c r="N169" s="9" t="n"/>
      <c r="O169" s="9" t="n"/>
      <c r="P169" s="9" t="n"/>
      <c r="Q169" s="9" t="n"/>
      <c r="R169" s="9" t="n"/>
      <c r="S169" s="9" t="n"/>
      <c r="T169" s="13" t="n"/>
      <c r="U169" s="9" t="n"/>
      <c r="V169" s="8">
        <f>IF($G169="","",IF($D169="","⚠部屋が未選択",IF(COUNTIF('M_部屋'!$A$4:$A$20,$D169)=0,"⚠部屋が未登録",IF(OR($J169="",$N169="キャンセル"),"",IF(SUMPRODUCT(($D$5:$D$204=$D169)*($G$5:$G$204&lt;&gt;"")*($J$5:$J$204&lt;&gt;"")*($N$5:$N$204&lt;&gt;"キャンセル")*($G$5:$G$204&lt;$J169)*($J$5:$J$204&gt;$G169))&gt;1,"⚠重複","")))))</f>
        <v/>
      </c>
      <c r="W169" s="8">
        <f>IF(OR($B169="",$G169=""),"",IF(SUMPRODUCT(('利用者マスタ'!$A$4:$A$60=$B169)*('利用者マスタ'!$B$4:$B$60&lt;&gt;""))=0,"",IF(SUMIFS($X$5:$X$204,$B$5:$B$204,$B169,$G$5:$G$204,"&gt;="&amp;DATE(YEAR($G169),MONTH($G169),1),$G$5:$G$204,"&lt;="&amp;EOMONTH($G169,0))&gt;SUMIFS('利用者マスタ'!$B$4:$B$60,'利用者マスタ'!$A$4:$A$60,$B169),"⚠支給量超過","")))</f>
        <v/>
      </c>
      <c r="X169" s="8">
        <f>IF(OR($G169="",$J169="",$N169="キャンセル"),0,IF(IFERROR(INDEX('M_区分'!$B$4:$B$20,MATCH($C169,'M_区分'!$A$4:$A$20,0)),"○")="○",$J169-$G169+1,0))</f>
        <v/>
      </c>
      <c r="Y169" s="8">
        <f>IF($E169&lt;&gt;"",$E169,$Y168)</f>
        <v/>
      </c>
      <c r="Z169" s="8">
        <f>IF(OR($G169="",$J169=""),"",IF(AND($G169&lt;=EOMONTH('02_カレンダー'!$B$4,0),$J169&gt;='02_カレンダー'!$B$4),$G169*10000+ROW(),""))</f>
        <v/>
      </c>
      <c r="AA169" s="8">
        <f>IF($H169="","",IF(ISNUMBER($H169),IF(AND($H169=INT($H169),$H169&gt;=0,$H169&lt;=24),TEXT(INT($H169),"00")&amp;":00",TEXT($H169,"hh:mm")),$H169))</f>
        <v/>
      </c>
      <c r="AB169" s="8">
        <f>IF($K169="","",IF(ISNUMBER($K169),IF(AND($K169=INT($K169),$K169&gt;=0,$K169&lt;=24),TEXT(INT($K169),"00")&amp;":00",TEXT($K169,"hh:mm")),$K169))</f>
        <v/>
      </c>
      <c r="AC169" s="8">
        <f>IF($G169="",0,$G169)</f>
        <v/>
      </c>
      <c r="AD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IF($F170="","",IF($F170&gt;31,$F170,IF($Y170="","",DATE(YEAR($Y170),MONTH($Y170),$F170))))</f>
        <v/>
      </c>
      <c r="H170" s="9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9" t="n"/>
      <c r="L170" s="8">
        <f>IF(OR($G170="",$J170=""),"",$J170-$G170+1)</f>
        <v/>
      </c>
      <c r="M170" s="8">
        <f>IF(OR($G170="",$J170=""),"",$J170-$G170)</f>
        <v/>
      </c>
      <c r="N170" s="9" t="n"/>
      <c r="O170" s="9" t="n"/>
      <c r="P170" s="9" t="n"/>
      <c r="Q170" s="9" t="n"/>
      <c r="R170" s="9" t="n"/>
      <c r="S170" s="9" t="n"/>
      <c r="T170" s="13" t="n"/>
      <c r="U170" s="9" t="n"/>
      <c r="V170" s="8">
        <f>IF($G170="","",IF($D170="","⚠部屋が未選択",IF(COUNTIF('M_部屋'!$A$4:$A$20,$D170)=0,"⚠部屋が未登録",IF(OR($J170="",$N170="キャンセル"),"",IF(SUMPRODUCT(($D$5:$D$204=$D170)*($G$5:$G$204&lt;&gt;"")*($J$5:$J$204&lt;&gt;"")*($N$5:$N$204&lt;&gt;"キャンセル")*($G$5:$G$204&lt;$J170)*($J$5:$J$204&gt;$G170))&gt;1,"⚠重複","")))))</f>
        <v/>
      </c>
      <c r="W170" s="8">
        <f>IF(OR($B170="",$G170=""),"",IF(SUMPRODUCT(('利用者マスタ'!$A$4:$A$60=$B170)*('利用者マスタ'!$B$4:$B$60&lt;&gt;""))=0,"",IF(SUMIFS($X$5:$X$204,$B$5:$B$204,$B170,$G$5:$G$204,"&gt;="&amp;DATE(YEAR($G170),MONTH($G170),1),$G$5:$G$204,"&lt;="&amp;EOMONTH($G170,0))&gt;SUMIFS('利用者マスタ'!$B$4:$B$60,'利用者マスタ'!$A$4:$A$60,$B170),"⚠支給量超過","")))</f>
        <v/>
      </c>
      <c r="X170" s="8">
        <f>IF(OR($G170="",$J170="",$N170="キャンセル"),0,IF(IFERROR(INDEX('M_区分'!$B$4:$B$20,MATCH($C170,'M_区分'!$A$4:$A$20,0)),"○")="○",$J170-$G170+1,0))</f>
        <v/>
      </c>
      <c r="Y170" s="8">
        <f>IF($E170&lt;&gt;"",$E170,$Y169)</f>
        <v/>
      </c>
      <c r="Z170" s="8">
        <f>IF(OR($G170="",$J170=""),"",IF(AND($G170&lt;=EOMONTH('02_カレンダー'!$B$4,0),$J170&gt;='02_カレンダー'!$B$4),$G170*10000+ROW(),""))</f>
        <v/>
      </c>
      <c r="AA170" s="8">
        <f>IF($H170="","",IF(ISNUMBER($H170),IF(AND($H170=INT($H170),$H170&gt;=0,$H170&lt;=24),TEXT(INT($H170),"00")&amp;":00",TEXT($H170,"hh:mm")),$H170))</f>
        <v/>
      </c>
      <c r="AB170" s="8">
        <f>IF($K170="","",IF(ISNUMBER($K170),IF(AND($K170=INT($K170),$K170&gt;=0,$K170&lt;=24),TEXT(INT($K170),"00")&amp;":00",TEXT($K170,"hh:mm")),$K170))</f>
        <v/>
      </c>
      <c r="AC170" s="8">
        <f>IF($G170="",0,$G170)</f>
        <v/>
      </c>
      <c r="AD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IF($F171="","",IF($F171&gt;31,$F171,IF($Y171="","",DATE(YEAR($Y171),MONTH($Y171),$F171))))</f>
        <v/>
      </c>
      <c r="H171" s="9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9" t="n"/>
      <c r="L171" s="8">
        <f>IF(OR($G171="",$J171=""),"",$J171-$G171+1)</f>
        <v/>
      </c>
      <c r="M171" s="8">
        <f>IF(OR($G171="",$J171=""),"",$J171-$G171)</f>
        <v/>
      </c>
      <c r="N171" s="9" t="n"/>
      <c r="O171" s="9" t="n"/>
      <c r="P171" s="9" t="n"/>
      <c r="Q171" s="9" t="n"/>
      <c r="R171" s="9" t="n"/>
      <c r="S171" s="9" t="n"/>
      <c r="T171" s="13" t="n"/>
      <c r="U171" s="9" t="n"/>
      <c r="V171" s="8">
        <f>IF($G171="","",IF($D171="","⚠部屋が未選択",IF(COUNTIF('M_部屋'!$A$4:$A$20,$D171)=0,"⚠部屋が未登録",IF(OR($J171="",$N171="キャンセル"),"",IF(SUMPRODUCT(($D$5:$D$204=$D171)*($G$5:$G$204&lt;&gt;"")*($J$5:$J$204&lt;&gt;"")*($N$5:$N$204&lt;&gt;"キャンセル")*($G$5:$G$204&lt;$J171)*($J$5:$J$204&gt;$G171))&gt;1,"⚠重複","")))))</f>
        <v/>
      </c>
      <c r="W171" s="8">
        <f>IF(OR($B171="",$G171=""),"",IF(SUMPRODUCT(('利用者マスタ'!$A$4:$A$60=$B171)*('利用者マスタ'!$B$4:$B$60&lt;&gt;""))=0,"",IF(SUMIFS($X$5:$X$204,$B$5:$B$204,$B171,$G$5:$G$204,"&gt;="&amp;DATE(YEAR($G171),MONTH($G171),1),$G$5:$G$204,"&lt;="&amp;EOMONTH($G171,0))&gt;SUMIFS('利用者マスタ'!$B$4:$B$60,'利用者マスタ'!$A$4:$A$60,$B171),"⚠支給量超過","")))</f>
        <v/>
      </c>
      <c r="X171" s="8">
        <f>IF(OR($G171="",$J171="",$N171="キャンセル"),0,IF(IFERROR(INDEX('M_区分'!$B$4:$B$20,MATCH($C171,'M_区分'!$A$4:$A$20,0)),"○")="○",$J171-$G171+1,0))</f>
        <v/>
      </c>
      <c r="Y171" s="8">
        <f>IF($E171&lt;&gt;"",$E171,$Y170)</f>
        <v/>
      </c>
      <c r="Z171" s="8">
        <f>IF(OR($G171="",$J171=""),"",IF(AND($G171&lt;=EOMONTH('02_カレンダー'!$B$4,0),$J171&gt;='02_カレンダー'!$B$4),$G171*10000+ROW(),""))</f>
        <v/>
      </c>
      <c r="AA171" s="8">
        <f>IF($H171="","",IF(ISNUMBER($H171),IF(AND($H171=INT($H171),$H171&gt;=0,$H171&lt;=24),TEXT(INT($H171),"00")&amp;":00",TEXT($H171,"hh:mm")),$H171))</f>
        <v/>
      </c>
      <c r="AB171" s="8">
        <f>IF($K171="","",IF(ISNUMBER($K171),IF(AND($K171=INT($K171),$K171&gt;=0,$K171&lt;=24),TEXT(INT($K171),"00")&amp;":00",TEXT($K171,"hh:mm")),$K171))</f>
        <v/>
      </c>
      <c r="AC171" s="8">
        <f>IF($G171="",0,$G171)</f>
        <v/>
      </c>
      <c r="AD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IF($F172="","",IF($F172&gt;31,$F172,IF($Y172="","",DATE(YEAR($Y172),MONTH($Y172),$F172))))</f>
        <v/>
      </c>
      <c r="H172" s="9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9" t="n"/>
      <c r="L172" s="8">
        <f>IF(OR($G172="",$J172=""),"",$J172-$G172+1)</f>
        <v/>
      </c>
      <c r="M172" s="8">
        <f>IF(OR($G172="",$J172=""),"",$J172-$G172)</f>
        <v/>
      </c>
      <c r="N172" s="9" t="n"/>
      <c r="O172" s="9" t="n"/>
      <c r="P172" s="9" t="n"/>
      <c r="Q172" s="9" t="n"/>
      <c r="R172" s="9" t="n"/>
      <c r="S172" s="9" t="n"/>
      <c r="T172" s="13" t="n"/>
      <c r="U172" s="9" t="n"/>
      <c r="V172" s="8">
        <f>IF($G172="","",IF($D172="","⚠部屋が未選択",IF(COUNTIF('M_部屋'!$A$4:$A$20,$D172)=0,"⚠部屋が未登録",IF(OR($J172="",$N172="キャンセル"),"",IF(SUMPRODUCT(($D$5:$D$204=$D172)*($G$5:$G$204&lt;&gt;"")*($J$5:$J$204&lt;&gt;"")*($N$5:$N$204&lt;&gt;"キャンセル")*($G$5:$G$204&lt;$J172)*($J$5:$J$204&gt;$G172))&gt;1,"⚠重複","")))))</f>
        <v/>
      </c>
      <c r="W172" s="8">
        <f>IF(OR($B172="",$G172=""),"",IF(SUMPRODUCT(('利用者マスタ'!$A$4:$A$60=$B172)*('利用者マスタ'!$B$4:$B$60&lt;&gt;""))=0,"",IF(SUMIFS($X$5:$X$204,$B$5:$B$204,$B172,$G$5:$G$204,"&gt;="&amp;DATE(YEAR($G172),MONTH($G172),1),$G$5:$G$204,"&lt;="&amp;EOMONTH($G172,0))&gt;SUMIFS('利用者マスタ'!$B$4:$B$60,'利用者マスタ'!$A$4:$A$60,$B172),"⚠支給量超過","")))</f>
        <v/>
      </c>
      <c r="X172" s="8">
        <f>IF(OR($G172="",$J172="",$N172="キャンセル"),0,IF(IFERROR(INDEX('M_区分'!$B$4:$B$20,MATCH($C172,'M_区分'!$A$4:$A$20,0)),"○")="○",$J172-$G172+1,0))</f>
        <v/>
      </c>
      <c r="Y172" s="8">
        <f>IF($E172&lt;&gt;"",$E172,$Y171)</f>
        <v/>
      </c>
      <c r="Z172" s="8">
        <f>IF(OR($G172="",$J172=""),"",IF(AND($G172&lt;=EOMONTH('02_カレンダー'!$B$4,0),$J172&gt;='02_カレンダー'!$B$4),$G172*10000+ROW(),""))</f>
        <v/>
      </c>
      <c r="AA172" s="8">
        <f>IF($H172="","",IF(ISNUMBER($H172),IF(AND($H172=INT($H172),$H172&gt;=0,$H172&lt;=24),TEXT(INT($H172),"00")&amp;":00",TEXT($H172,"hh:mm")),$H172))</f>
        <v/>
      </c>
      <c r="AB172" s="8">
        <f>IF($K172="","",IF(ISNUMBER($K172),IF(AND($K172=INT($K172),$K172&gt;=0,$K172&lt;=24),TEXT(INT($K172),"00")&amp;":00",TEXT($K172,"hh:mm")),$K172))</f>
        <v/>
      </c>
      <c r="AC172" s="8">
        <f>IF($G172="",0,$G172)</f>
        <v/>
      </c>
      <c r="AD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IF($F173="","",IF($F173&gt;31,$F173,IF($Y173="","",DATE(YEAR($Y173),MONTH($Y173),$F173))))</f>
        <v/>
      </c>
      <c r="H173" s="9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9" t="n"/>
      <c r="L173" s="8">
        <f>IF(OR($G173="",$J173=""),"",$J173-$G173+1)</f>
        <v/>
      </c>
      <c r="M173" s="8">
        <f>IF(OR($G173="",$J173=""),"",$J173-$G173)</f>
        <v/>
      </c>
      <c r="N173" s="9" t="n"/>
      <c r="O173" s="9" t="n"/>
      <c r="P173" s="9" t="n"/>
      <c r="Q173" s="9" t="n"/>
      <c r="R173" s="9" t="n"/>
      <c r="S173" s="9" t="n"/>
      <c r="T173" s="13" t="n"/>
      <c r="U173" s="9" t="n"/>
      <c r="V173" s="8">
        <f>IF($G173="","",IF($D173="","⚠部屋が未選択",IF(COUNTIF('M_部屋'!$A$4:$A$20,$D173)=0,"⚠部屋が未登録",IF(OR($J173="",$N173="キャンセル"),"",IF(SUMPRODUCT(($D$5:$D$204=$D173)*($G$5:$G$204&lt;&gt;"")*($J$5:$J$204&lt;&gt;"")*($N$5:$N$204&lt;&gt;"キャンセル")*($G$5:$G$204&lt;$J173)*($J$5:$J$204&gt;$G173))&gt;1,"⚠重複","")))))</f>
        <v/>
      </c>
      <c r="W173" s="8">
        <f>IF(OR($B173="",$G173=""),"",IF(SUMPRODUCT(('利用者マスタ'!$A$4:$A$60=$B173)*('利用者マスタ'!$B$4:$B$60&lt;&gt;""))=0,"",IF(SUMIFS($X$5:$X$204,$B$5:$B$204,$B173,$G$5:$G$204,"&gt;="&amp;DATE(YEAR($G173),MONTH($G173),1),$G$5:$G$204,"&lt;="&amp;EOMONTH($G173,0))&gt;SUMIFS('利用者マスタ'!$B$4:$B$60,'利用者マスタ'!$A$4:$A$60,$B173),"⚠支給量超過","")))</f>
        <v/>
      </c>
      <c r="X173" s="8">
        <f>IF(OR($G173="",$J173="",$N173="キャンセル"),0,IF(IFERROR(INDEX('M_区分'!$B$4:$B$20,MATCH($C173,'M_区分'!$A$4:$A$20,0)),"○")="○",$J173-$G173+1,0))</f>
        <v/>
      </c>
      <c r="Y173" s="8">
        <f>IF($E173&lt;&gt;"",$E173,$Y172)</f>
        <v/>
      </c>
      <c r="Z173" s="8">
        <f>IF(OR($G173="",$J173=""),"",IF(AND($G173&lt;=EOMONTH('02_カレンダー'!$B$4,0),$J173&gt;='02_カレンダー'!$B$4),$G173*10000+ROW(),""))</f>
        <v/>
      </c>
      <c r="AA173" s="8">
        <f>IF($H173="","",IF(ISNUMBER($H173),IF(AND($H173=INT($H173),$H173&gt;=0,$H173&lt;=24),TEXT(INT($H173),"00")&amp;":00",TEXT($H173,"hh:mm")),$H173))</f>
        <v/>
      </c>
      <c r="AB173" s="8">
        <f>IF($K173="","",IF(ISNUMBER($K173),IF(AND($K173=INT($K173),$K173&gt;=0,$K173&lt;=24),TEXT(INT($K173),"00")&amp;":00",TEXT($K173,"hh:mm")),$K173))</f>
        <v/>
      </c>
      <c r="AC173" s="8">
        <f>IF($G173="",0,$G173)</f>
        <v/>
      </c>
      <c r="AD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IF($F174="","",IF($F174&gt;31,$F174,IF($Y174="","",DATE(YEAR($Y174),MONTH($Y174),$F174))))</f>
        <v/>
      </c>
      <c r="H174" s="9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9" t="n"/>
      <c r="L174" s="8">
        <f>IF(OR($G174="",$J174=""),"",$J174-$G174+1)</f>
        <v/>
      </c>
      <c r="M174" s="8">
        <f>IF(OR($G174="",$J174=""),"",$J174-$G174)</f>
        <v/>
      </c>
      <c r="N174" s="9" t="n"/>
      <c r="O174" s="9" t="n"/>
      <c r="P174" s="9" t="n"/>
      <c r="Q174" s="9" t="n"/>
      <c r="R174" s="9" t="n"/>
      <c r="S174" s="9" t="n"/>
      <c r="T174" s="13" t="n"/>
      <c r="U174" s="9" t="n"/>
      <c r="V174" s="8">
        <f>IF($G174="","",IF($D174="","⚠部屋が未選択",IF(COUNTIF('M_部屋'!$A$4:$A$20,$D174)=0,"⚠部屋が未登録",IF(OR($J174="",$N174="キャンセル"),"",IF(SUMPRODUCT(($D$5:$D$204=$D174)*($G$5:$G$204&lt;&gt;"")*($J$5:$J$204&lt;&gt;"")*($N$5:$N$204&lt;&gt;"キャンセル")*($G$5:$G$204&lt;$J174)*($J$5:$J$204&gt;$G174))&gt;1,"⚠重複","")))))</f>
        <v/>
      </c>
      <c r="W174" s="8">
        <f>IF(OR($B174="",$G174=""),"",IF(SUMPRODUCT(('利用者マスタ'!$A$4:$A$60=$B174)*('利用者マスタ'!$B$4:$B$60&lt;&gt;""))=0,"",IF(SUMIFS($X$5:$X$204,$B$5:$B$204,$B174,$G$5:$G$204,"&gt;="&amp;DATE(YEAR($G174),MONTH($G174),1),$G$5:$G$204,"&lt;="&amp;EOMONTH($G174,0))&gt;SUMIFS('利用者マスタ'!$B$4:$B$60,'利用者マスタ'!$A$4:$A$60,$B174),"⚠支給量超過","")))</f>
        <v/>
      </c>
      <c r="X174" s="8">
        <f>IF(OR($G174="",$J174="",$N174="キャンセル"),0,IF(IFERROR(INDEX('M_区分'!$B$4:$B$20,MATCH($C174,'M_区分'!$A$4:$A$20,0)),"○")="○",$J174-$G174+1,0))</f>
        <v/>
      </c>
      <c r="Y174" s="8">
        <f>IF($E174&lt;&gt;"",$E174,$Y173)</f>
        <v/>
      </c>
      <c r="Z174" s="8">
        <f>IF(OR($G174="",$J174=""),"",IF(AND($G174&lt;=EOMONTH('02_カレンダー'!$B$4,0),$J174&gt;='02_カレンダー'!$B$4),$G174*10000+ROW(),""))</f>
        <v/>
      </c>
      <c r="AA174" s="8">
        <f>IF($H174="","",IF(ISNUMBER($H174),IF(AND($H174=INT($H174),$H174&gt;=0,$H174&lt;=24),TEXT(INT($H174),"00")&amp;":00",TEXT($H174,"hh:mm")),$H174))</f>
        <v/>
      </c>
      <c r="AB174" s="8">
        <f>IF($K174="","",IF(ISNUMBER($K174),IF(AND($K174=INT($K174),$K174&gt;=0,$K174&lt;=24),TEXT(INT($K174),"00")&amp;":00",TEXT($K174,"hh:mm")),$K174))</f>
        <v/>
      </c>
      <c r="AC174" s="8">
        <f>IF($G174="",0,$G174)</f>
        <v/>
      </c>
      <c r="AD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IF($F175="","",IF($F175&gt;31,$F175,IF($Y175="","",DATE(YEAR($Y175),MONTH($Y175),$F175))))</f>
        <v/>
      </c>
      <c r="H175" s="9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9" t="n"/>
      <c r="L175" s="8">
        <f>IF(OR($G175="",$J175=""),"",$J175-$G175+1)</f>
        <v/>
      </c>
      <c r="M175" s="8">
        <f>IF(OR($G175="",$J175=""),"",$J175-$G175)</f>
        <v/>
      </c>
      <c r="N175" s="9" t="n"/>
      <c r="O175" s="9" t="n"/>
      <c r="P175" s="9" t="n"/>
      <c r="Q175" s="9" t="n"/>
      <c r="R175" s="9" t="n"/>
      <c r="S175" s="9" t="n"/>
      <c r="T175" s="13" t="n"/>
      <c r="U175" s="9" t="n"/>
      <c r="V175" s="8">
        <f>IF($G175="","",IF($D175="","⚠部屋が未選択",IF(COUNTIF('M_部屋'!$A$4:$A$20,$D175)=0,"⚠部屋が未登録",IF(OR($J175="",$N175="キャンセル"),"",IF(SUMPRODUCT(($D$5:$D$204=$D175)*($G$5:$G$204&lt;&gt;"")*($J$5:$J$204&lt;&gt;"")*($N$5:$N$204&lt;&gt;"キャンセル")*($G$5:$G$204&lt;$J175)*($J$5:$J$204&gt;$G175))&gt;1,"⚠重複","")))))</f>
        <v/>
      </c>
      <c r="W175" s="8">
        <f>IF(OR($B175="",$G175=""),"",IF(SUMPRODUCT(('利用者マスタ'!$A$4:$A$60=$B175)*('利用者マスタ'!$B$4:$B$60&lt;&gt;""))=0,"",IF(SUMIFS($X$5:$X$204,$B$5:$B$204,$B175,$G$5:$G$204,"&gt;="&amp;DATE(YEAR($G175),MONTH($G175),1),$G$5:$G$204,"&lt;="&amp;EOMONTH($G175,0))&gt;SUMIFS('利用者マスタ'!$B$4:$B$60,'利用者マスタ'!$A$4:$A$60,$B175),"⚠支給量超過","")))</f>
        <v/>
      </c>
      <c r="X175" s="8">
        <f>IF(OR($G175="",$J175="",$N175="キャンセル"),0,IF(IFERROR(INDEX('M_区分'!$B$4:$B$20,MATCH($C175,'M_区分'!$A$4:$A$20,0)),"○")="○",$J175-$G175+1,0))</f>
        <v/>
      </c>
      <c r="Y175" s="8">
        <f>IF($E175&lt;&gt;"",$E175,$Y174)</f>
        <v/>
      </c>
      <c r="Z175" s="8">
        <f>IF(OR($G175="",$J175=""),"",IF(AND($G175&lt;=EOMONTH('02_カレンダー'!$B$4,0),$J175&gt;='02_カレンダー'!$B$4),$G175*10000+ROW(),""))</f>
        <v/>
      </c>
      <c r="AA175" s="8">
        <f>IF($H175="","",IF(ISNUMBER($H175),IF(AND($H175=INT($H175),$H175&gt;=0,$H175&lt;=24),TEXT(INT($H175),"00")&amp;":00",TEXT($H175,"hh:mm")),$H175))</f>
        <v/>
      </c>
      <c r="AB175" s="8">
        <f>IF($K175="","",IF(ISNUMBER($K175),IF(AND($K175=INT($K175),$K175&gt;=0,$K175&lt;=24),TEXT(INT($K175),"00")&amp;":00",TEXT($K175,"hh:mm")),$K175))</f>
        <v/>
      </c>
      <c r="AC175" s="8">
        <f>IF($G175="",0,$G175)</f>
        <v/>
      </c>
      <c r="AD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IF($F176="","",IF($F176&gt;31,$F176,IF($Y176="","",DATE(YEAR($Y176),MONTH($Y176),$F176))))</f>
        <v/>
      </c>
      <c r="H176" s="9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9" t="n"/>
      <c r="L176" s="8">
        <f>IF(OR($G176="",$J176=""),"",$J176-$G176+1)</f>
        <v/>
      </c>
      <c r="M176" s="8">
        <f>IF(OR($G176="",$J176=""),"",$J176-$G176)</f>
        <v/>
      </c>
      <c r="N176" s="9" t="n"/>
      <c r="O176" s="9" t="n"/>
      <c r="P176" s="9" t="n"/>
      <c r="Q176" s="9" t="n"/>
      <c r="R176" s="9" t="n"/>
      <c r="S176" s="9" t="n"/>
      <c r="T176" s="13" t="n"/>
      <c r="U176" s="9" t="n"/>
      <c r="V176" s="8">
        <f>IF($G176="","",IF($D176="","⚠部屋が未選択",IF(COUNTIF('M_部屋'!$A$4:$A$20,$D176)=0,"⚠部屋が未登録",IF(OR($J176="",$N176="キャンセル"),"",IF(SUMPRODUCT(($D$5:$D$204=$D176)*($G$5:$G$204&lt;&gt;"")*($J$5:$J$204&lt;&gt;"")*($N$5:$N$204&lt;&gt;"キャンセル")*($G$5:$G$204&lt;$J176)*($J$5:$J$204&gt;$G176))&gt;1,"⚠重複","")))))</f>
        <v/>
      </c>
      <c r="W176" s="8">
        <f>IF(OR($B176="",$G176=""),"",IF(SUMPRODUCT(('利用者マスタ'!$A$4:$A$60=$B176)*('利用者マスタ'!$B$4:$B$60&lt;&gt;""))=0,"",IF(SUMIFS($X$5:$X$204,$B$5:$B$204,$B176,$G$5:$G$204,"&gt;="&amp;DATE(YEAR($G176),MONTH($G176),1),$G$5:$G$204,"&lt;="&amp;EOMONTH($G176,0))&gt;SUMIFS('利用者マスタ'!$B$4:$B$60,'利用者マスタ'!$A$4:$A$60,$B176),"⚠支給量超過","")))</f>
        <v/>
      </c>
      <c r="X176" s="8">
        <f>IF(OR($G176="",$J176="",$N176="キャンセル"),0,IF(IFERROR(INDEX('M_区分'!$B$4:$B$20,MATCH($C176,'M_区分'!$A$4:$A$20,0)),"○")="○",$J176-$G176+1,0))</f>
        <v/>
      </c>
      <c r="Y176" s="8">
        <f>IF($E176&lt;&gt;"",$E176,$Y175)</f>
        <v/>
      </c>
      <c r="Z176" s="8">
        <f>IF(OR($G176="",$J176=""),"",IF(AND($G176&lt;=EOMONTH('02_カレンダー'!$B$4,0),$J176&gt;='02_カレンダー'!$B$4),$G176*10000+ROW(),""))</f>
        <v/>
      </c>
      <c r="AA176" s="8">
        <f>IF($H176="","",IF(ISNUMBER($H176),IF(AND($H176=INT($H176),$H176&gt;=0,$H176&lt;=24),TEXT(INT($H176),"00")&amp;":00",TEXT($H176,"hh:mm")),$H176))</f>
        <v/>
      </c>
      <c r="AB176" s="8">
        <f>IF($K176="","",IF(ISNUMBER($K176),IF(AND($K176=INT($K176),$K176&gt;=0,$K176&lt;=24),TEXT(INT($K176),"00")&amp;":00",TEXT($K176,"hh:mm")),$K176))</f>
        <v/>
      </c>
      <c r="AC176" s="8">
        <f>IF($G176="",0,$G176)</f>
        <v/>
      </c>
      <c r="AD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IF($F177="","",IF($F177&gt;31,$F177,IF($Y177="","",DATE(YEAR($Y177),MONTH($Y177),$F177))))</f>
        <v/>
      </c>
      <c r="H177" s="9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9" t="n"/>
      <c r="L177" s="8">
        <f>IF(OR($G177="",$J177=""),"",$J177-$G177+1)</f>
        <v/>
      </c>
      <c r="M177" s="8">
        <f>IF(OR($G177="",$J177=""),"",$J177-$G177)</f>
        <v/>
      </c>
      <c r="N177" s="9" t="n"/>
      <c r="O177" s="9" t="n"/>
      <c r="P177" s="9" t="n"/>
      <c r="Q177" s="9" t="n"/>
      <c r="R177" s="9" t="n"/>
      <c r="S177" s="9" t="n"/>
      <c r="T177" s="13" t="n"/>
      <c r="U177" s="9" t="n"/>
      <c r="V177" s="8">
        <f>IF($G177="","",IF($D177="","⚠部屋が未選択",IF(COUNTIF('M_部屋'!$A$4:$A$20,$D177)=0,"⚠部屋が未登録",IF(OR($J177="",$N177="キャンセル"),"",IF(SUMPRODUCT(($D$5:$D$204=$D177)*($G$5:$G$204&lt;&gt;"")*($J$5:$J$204&lt;&gt;"")*($N$5:$N$204&lt;&gt;"キャンセル")*($G$5:$G$204&lt;$J177)*($J$5:$J$204&gt;$G177))&gt;1,"⚠重複","")))))</f>
        <v/>
      </c>
      <c r="W177" s="8">
        <f>IF(OR($B177="",$G177=""),"",IF(SUMPRODUCT(('利用者マスタ'!$A$4:$A$60=$B177)*('利用者マスタ'!$B$4:$B$60&lt;&gt;""))=0,"",IF(SUMIFS($X$5:$X$204,$B$5:$B$204,$B177,$G$5:$G$204,"&gt;="&amp;DATE(YEAR($G177),MONTH($G177),1),$G$5:$G$204,"&lt;="&amp;EOMONTH($G177,0))&gt;SUMIFS('利用者マスタ'!$B$4:$B$60,'利用者マスタ'!$A$4:$A$60,$B177),"⚠支給量超過","")))</f>
        <v/>
      </c>
      <c r="X177" s="8">
        <f>IF(OR($G177="",$J177="",$N177="キャンセル"),0,IF(IFERROR(INDEX('M_区分'!$B$4:$B$20,MATCH($C177,'M_区分'!$A$4:$A$20,0)),"○")="○",$J177-$G177+1,0))</f>
        <v/>
      </c>
      <c r="Y177" s="8">
        <f>IF($E177&lt;&gt;"",$E177,$Y176)</f>
        <v/>
      </c>
      <c r="Z177" s="8">
        <f>IF(OR($G177="",$J177=""),"",IF(AND($G177&lt;=EOMONTH('02_カレンダー'!$B$4,0),$J177&gt;='02_カレンダー'!$B$4),$G177*10000+ROW(),""))</f>
        <v/>
      </c>
      <c r="AA177" s="8">
        <f>IF($H177="","",IF(ISNUMBER($H177),IF(AND($H177=INT($H177),$H177&gt;=0,$H177&lt;=24),TEXT(INT($H177),"00")&amp;":00",TEXT($H177,"hh:mm")),$H177))</f>
        <v/>
      </c>
      <c r="AB177" s="8">
        <f>IF($K177="","",IF(ISNUMBER($K177),IF(AND($K177=INT($K177),$K177&gt;=0,$K177&lt;=24),TEXT(INT($K177),"00")&amp;":00",TEXT($K177,"hh:mm")),$K177))</f>
        <v/>
      </c>
      <c r="AC177" s="8">
        <f>IF($G177="",0,$G177)</f>
        <v/>
      </c>
      <c r="AD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IF($F178="","",IF($F178&gt;31,$F178,IF($Y178="","",DATE(YEAR($Y178),MONTH($Y178),$F178))))</f>
        <v/>
      </c>
      <c r="H178" s="9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9" t="n"/>
      <c r="L178" s="8">
        <f>IF(OR($G178="",$J178=""),"",$J178-$G178+1)</f>
        <v/>
      </c>
      <c r="M178" s="8">
        <f>IF(OR($G178="",$J178=""),"",$J178-$G178)</f>
        <v/>
      </c>
      <c r="N178" s="9" t="n"/>
      <c r="O178" s="9" t="n"/>
      <c r="P178" s="9" t="n"/>
      <c r="Q178" s="9" t="n"/>
      <c r="R178" s="9" t="n"/>
      <c r="S178" s="9" t="n"/>
      <c r="T178" s="13" t="n"/>
      <c r="U178" s="9" t="n"/>
      <c r="V178" s="8">
        <f>IF($G178="","",IF($D178="","⚠部屋が未選択",IF(COUNTIF('M_部屋'!$A$4:$A$20,$D178)=0,"⚠部屋が未登録",IF(OR($J178="",$N178="キャンセル"),"",IF(SUMPRODUCT(($D$5:$D$204=$D178)*($G$5:$G$204&lt;&gt;"")*($J$5:$J$204&lt;&gt;"")*($N$5:$N$204&lt;&gt;"キャンセル")*($G$5:$G$204&lt;$J178)*($J$5:$J$204&gt;$G178))&gt;1,"⚠重複","")))))</f>
        <v/>
      </c>
      <c r="W178" s="8">
        <f>IF(OR($B178="",$G178=""),"",IF(SUMPRODUCT(('利用者マスタ'!$A$4:$A$60=$B178)*('利用者マスタ'!$B$4:$B$60&lt;&gt;""))=0,"",IF(SUMIFS($X$5:$X$204,$B$5:$B$204,$B178,$G$5:$G$204,"&gt;="&amp;DATE(YEAR($G178),MONTH($G178),1),$G$5:$G$204,"&lt;="&amp;EOMONTH($G178,0))&gt;SUMIFS('利用者マスタ'!$B$4:$B$60,'利用者マスタ'!$A$4:$A$60,$B178),"⚠支給量超過","")))</f>
        <v/>
      </c>
      <c r="X178" s="8">
        <f>IF(OR($G178="",$J178="",$N178="キャンセル"),0,IF(IFERROR(INDEX('M_区分'!$B$4:$B$20,MATCH($C178,'M_区分'!$A$4:$A$20,0)),"○")="○",$J178-$G178+1,0))</f>
        <v/>
      </c>
      <c r="Y178" s="8">
        <f>IF($E178&lt;&gt;"",$E178,$Y177)</f>
        <v/>
      </c>
      <c r="Z178" s="8">
        <f>IF(OR($G178="",$J178=""),"",IF(AND($G178&lt;=EOMONTH('02_カレンダー'!$B$4,0),$J178&gt;='02_カレンダー'!$B$4),$G178*10000+ROW(),""))</f>
        <v/>
      </c>
      <c r="AA178" s="8">
        <f>IF($H178="","",IF(ISNUMBER($H178),IF(AND($H178=INT($H178),$H178&gt;=0,$H178&lt;=24),TEXT(INT($H178),"00")&amp;":00",TEXT($H178,"hh:mm")),$H178))</f>
        <v/>
      </c>
      <c r="AB178" s="8">
        <f>IF($K178="","",IF(ISNUMBER($K178),IF(AND($K178=INT($K178),$K178&gt;=0,$K178&lt;=24),TEXT(INT($K178),"00")&amp;":00",TEXT($K178,"hh:mm")),$K178))</f>
        <v/>
      </c>
      <c r="AC178" s="8">
        <f>IF($G178="",0,$G178)</f>
        <v/>
      </c>
      <c r="AD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IF($F179="","",IF($F179&gt;31,$F179,IF($Y179="","",DATE(YEAR($Y179),MONTH($Y179),$F179))))</f>
        <v/>
      </c>
      <c r="H179" s="9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9" t="n"/>
      <c r="L179" s="8">
        <f>IF(OR($G179="",$J179=""),"",$J179-$G179+1)</f>
        <v/>
      </c>
      <c r="M179" s="8">
        <f>IF(OR($G179="",$J179=""),"",$J179-$G179)</f>
        <v/>
      </c>
      <c r="N179" s="9" t="n"/>
      <c r="O179" s="9" t="n"/>
      <c r="P179" s="9" t="n"/>
      <c r="Q179" s="9" t="n"/>
      <c r="R179" s="9" t="n"/>
      <c r="S179" s="9" t="n"/>
      <c r="T179" s="13" t="n"/>
      <c r="U179" s="9" t="n"/>
      <c r="V179" s="8">
        <f>IF($G179="","",IF($D179="","⚠部屋が未選択",IF(COUNTIF('M_部屋'!$A$4:$A$20,$D179)=0,"⚠部屋が未登録",IF(OR($J179="",$N179="キャンセル"),"",IF(SUMPRODUCT(($D$5:$D$204=$D179)*($G$5:$G$204&lt;&gt;"")*($J$5:$J$204&lt;&gt;"")*($N$5:$N$204&lt;&gt;"キャンセル")*($G$5:$G$204&lt;$J179)*($J$5:$J$204&gt;$G179))&gt;1,"⚠重複","")))))</f>
        <v/>
      </c>
      <c r="W179" s="8">
        <f>IF(OR($B179="",$G179=""),"",IF(SUMPRODUCT(('利用者マスタ'!$A$4:$A$60=$B179)*('利用者マスタ'!$B$4:$B$60&lt;&gt;""))=0,"",IF(SUMIFS($X$5:$X$204,$B$5:$B$204,$B179,$G$5:$G$204,"&gt;="&amp;DATE(YEAR($G179),MONTH($G179),1),$G$5:$G$204,"&lt;="&amp;EOMONTH($G179,0))&gt;SUMIFS('利用者マスタ'!$B$4:$B$60,'利用者マスタ'!$A$4:$A$60,$B179),"⚠支給量超過","")))</f>
        <v/>
      </c>
      <c r="X179" s="8">
        <f>IF(OR($G179="",$J179="",$N179="キャンセル"),0,IF(IFERROR(INDEX('M_区分'!$B$4:$B$20,MATCH($C179,'M_区分'!$A$4:$A$20,0)),"○")="○",$J179-$G179+1,0))</f>
        <v/>
      </c>
      <c r="Y179" s="8">
        <f>IF($E179&lt;&gt;"",$E179,$Y178)</f>
        <v/>
      </c>
      <c r="Z179" s="8">
        <f>IF(OR($G179="",$J179=""),"",IF(AND($G179&lt;=EOMONTH('02_カレンダー'!$B$4,0),$J179&gt;='02_カレンダー'!$B$4),$G179*10000+ROW(),""))</f>
        <v/>
      </c>
      <c r="AA179" s="8">
        <f>IF($H179="","",IF(ISNUMBER($H179),IF(AND($H179=INT($H179),$H179&gt;=0,$H179&lt;=24),TEXT(INT($H179),"00")&amp;":00",TEXT($H179,"hh:mm")),$H179))</f>
        <v/>
      </c>
      <c r="AB179" s="8">
        <f>IF($K179="","",IF(ISNUMBER($K179),IF(AND($K179=INT($K179),$K179&gt;=0,$K179&lt;=24),TEXT(INT($K179),"00")&amp;":00",TEXT($K179,"hh:mm")),$K179))</f>
        <v/>
      </c>
      <c r="AC179" s="8">
        <f>IF($G179="",0,$G179)</f>
        <v/>
      </c>
      <c r="AD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IF($F180="","",IF($F180&gt;31,$F180,IF($Y180="","",DATE(YEAR($Y180),MONTH($Y180),$F180))))</f>
        <v/>
      </c>
      <c r="H180" s="9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9" t="n"/>
      <c r="L180" s="8">
        <f>IF(OR($G180="",$J180=""),"",$J180-$G180+1)</f>
        <v/>
      </c>
      <c r="M180" s="8">
        <f>IF(OR($G180="",$J180=""),"",$J180-$G180)</f>
        <v/>
      </c>
      <c r="N180" s="9" t="n"/>
      <c r="O180" s="9" t="n"/>
      <c r="P180" s="9" t="n"/>
      <c r="Q180" s="9" t="n"/>
      <c r="R180" s="9" t="n"/>
      <c r="S180" s="9" t="n"/>
      <c r="T180" s="13" t="n"/>
      <c r="U180" s="9" t="n"/>
      <c r="V180" s="8">
        <f>IF($G180="","",IF($D180="","⚠部屋が未選択",IF(COUNTIF('M_部屋'!$A$4:$A$20,$D180)=0,"⚠部屋が未登録",IF(OR($J180="",$N180="キャンセル"),"",IF(SUMPRODUCT(($D$5:$D$204=$D180)*($G$5:$G$204&lt;&gt;"")*($J$5:$J$204&lt;&gt;"")*($N$5:$N$204&lt;&gt;"キャンセル")*($G$5:$G$204&lt;$J180)*($J$5:$J$204&gt;$G180))&gt;1,"⚠重複","")))))</f>
        <v/>
      </c>
      <c r="W180" s="8">
        <f>IF(OR($B180="",$G180=""),"",IF(SUMPRODUCT(('利用者マスタ'!$A$4:$A$60=$B180)*('利用者マスタ'!$B$4:$B$60&lt;&gt;""))=0,"",IF(SUMIFS($X$5:$X$204,$B$5:$B$204,$B180,$G$5:$G$204,"&gt;="&amp;DATE(YEAR($G180),MONTH($G180),1),$G$5:$G$204,"&lt;="&amp;EOMONTH($G180,0))&gt;SUMIFS('利用者マスタ'!$B$4:$B$60,'利用者マスタ'!$A$4:$A$60,$B180),"⚠支給量超過","")))</f>
        <v/>
      </c>
      <c r="X180" s="8">
        <f>IF(OR($G180="",$J180="",$N180="キャンセル"),0,IF(IFERROR(INDEX('M_区分'!$B$4:$B$20,MATCH($C180,'M_区分'!$A$4:$A$20,0)),"○")="○",$J180-$G180+1,0))</f>
        <v/>
      </c>
      <c r="Y180" s="8">
        <f>IF($E180&lt;&gt;"",$E180,$Y179)</f>
        <v/>
      </c>
      <c r="Z180" s="8">
        <f>IF(OR($G180="",$J180=""),"",IF(AND($G180&lt;=EOMONTH('02_カレンダー'!$B$4,0),$J180&gt;='02_カレンダー'!$B$4),$G180*10000+ROW(),""))</f>
        <v/>
      </c>
      <c r="AA180" s="8">
        <f>IF($H180="","",IF(ISNUMBER($H180),IF(AND($H180=INT($H180),$H180&gt;=0,$H180&lt;=24),TEXT(INT($H180),"00")&amp;":00",TEXT($H180,"hh:mm")),$H180))</f>
        <v/>
      </c>
      <c r="AB180" s="8">
        <f>IF($K180="","",IF(ISNUMBER($K180),IF(AND($K180=INT($K180),$K180&gt;=0,$K180&lt;=24),TEXT(INT($K180),"00")&amp;":00",TEXT($K180,"hh:mm")),$K180))</f>
        <v/>
      </c>
      <c r="AC180" s="8">
        <f>IF($G180="",0,$G180)</f>
        <v/>
      </c>
      <c r="AD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IF($F181="","",IF($F181&gt;31,$F181,IF($Y181="","",DATE(YEAR($Y181),MONTH($Y181),$F181))))</f>
        <v/>
      </c>
      <c r="H181" s="9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9" t="n"/>
      <c r="L181" s="8">
        <f>IF(OR($G181="",$J181=""),"",$J181-$G181+1)</f>
        <v/>
      </c>
      <c r="M181" s="8">
        <f>IF(OR($G181="",$J181=""),"",$J181-$G181)</f>
        <v/>
      </c>
      <c r="N181" s="9" t="n"/>
      <c r="O181" s="9" t="n"/>
      <c r="P181" s="9" t="n"/>
      <c r="Q181" s="9" t="n"/>
      <c r="R181" s="9" t="n"/>
      <c r="S181" s="9" t="n"/>
      <c r="T181" s="13" t="n"/>
      <c r="U181" s="9" t="n"/>
      <c r="V181" s="8">
        <f>IF($G181="","",IF($D181="","⚠部屋が未選択",IF(COUNTIF('M_部屋'!$A$4:$A$20,$D181)=0,"⚠部屋が未登録",IF(OR($J181="",$N181="キャンセル"),"",IF(SUMPRODUCT(($D$5:$D$204=$D181)*($G$5:$G$204&lt;&gt;"")*($J$5:$J$204&lt;&gt;"")*($N$5:$N$204&lt;&gt;"キャンセル")*($G$5:$G$204&lt;$J181)*($J$5:$J$204&gt;$G181))&gt;1,"⚠重複","")))))</f>
        <v/>
      </c>
      <c r="W181" s="8">
        <f>IF(OR($B181="",$G181=""),"",IF(SUMPRODUCT(('利用者マスタ'!$A$4:$A$60=$B181)*('利用者マスタ'!$B$4:$B$60&lt;&gt;""))=0,"",IF(SUMIFS($X$5:$X$204,$B$5:$B$204,$B181,$G$5:$G$204,"&gt;="&amp;DATE(YEAR($G181),MONTH($G181),1),$G$5:$G$204,"&lt;="&amp;EOMONTH($G181,0))&gt;SUMIFS('利用者マスタ'!$B$4:$B$60,'利用者マスタ'!$A$4:$A$60,$B181),"⚠支給量超過","")))</f>
        <v/>
      </c>
      <c r="X181" s="8">
        <f>IF(OR($G181="",$J181="",$N181="キャンセル"),0,IF(IFERROR(INDEX('M_区分'!$B$4:$B$20,MATCH($C181,'M_区分'!$A$4:$A$20,0)),"○")="○",$J181-$G181+1,0))</f>
        <v/>
      </c>
      <c r="Y181" s="8">
        <f>IF($E181&lt;&gt;"",$E181,$Y180)</f>
        <v/>
      </c>
      <c r="Z181" s="8">
        <f>IF(OR($G181="",$J181=""),"",IF(AND($G181&lt;=EOMONTH('02_カレンダー'!$B$4,0),$J181&gt;='02_カレンダー'!$B$4),$G181*10000+ROW(),""))</f>
        <v/>
      </c>
      <c r="AA181" s="8">
        <f>IF($H181="","",IF(ISNUMBER($H181),IF(AND($H181=INT($H181),$H181&gt;=0,$H181&lt;=24),TEXT(INT($H181),"00")&amp;":00",TEXT($H181,"hh:mm")),$H181))</f>
        <v/>
      </c>
      <c r="AB181" s="8">
        <f>IF($K181="","",IF(ISNUMBER($K181),IF(AND($K181=INT($K181),$K181&gt;=0,$K181&lt;=24),TEXT(INT($K181),"00")&amp;":00",TEXT($K181,"hh:mm")),$K181))</f>
        <v/>
      </c>
      <c r="AC181" s="8">
        <f>IF($G181="",0,$G181)</f>
        <v/>
      </c>
      <c r="AD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IF($F182="","",IF($F182&gt;31,$F182,IF($Y182="","",DATE(YEAR($Y182),MONTH($Y182),$F182))))</f>
        <v/>
      </c>
      <c r="H182" s="9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9" t="n"/>
      <c r="L182" s="8">
        <f>IF(OR($G182="",$J182=""),"",$J182-$G182+1)</f>
        <v/>
      </c>
      <c r="M182" s="8">
        <f>IF(OR($G182="",$J182=""),"",$J182-$G182)</f>
        <v/>
      </c>
      <c r="N182" s="9" t="n"/>
      <c r="O182" s="9" t="n"/>
      <c r="P182" s="9" t="n"/>
      <c r="Q182" s="9" t="n"/>
      <c r="R182" s="9" t="n"/>
      <c r="S182" s="9" t="n"/>
      <c r="T182" s="13" t="n"/>
      <c r="U182" s="9" t="n"/>
      <c r="V182" s="8">
        <f>IF($G182="","",IF($D182="","⚠部屋が未選択",IF(COUNTIF('M_部屋'!$A$4:$A$20,$D182)=0,"⚠部屋が未登録",IF(OR($J182="",$N182="キャンセル"),"",IF(SUMPRODUCT(($D$5:$D$204=$D182)*($G$5:$G$204&lt;&gt;"")*($J$5:$J$204&lt;&gt;"")*($N$5:$N$204&lt;&gt;"キャンセル")*($G$5:$G$204&lt;$J182)*($J$5:$J$204&gt;$G182))&gt;1,"⚠重複","")))))</f>
        <v/>
      </c>
      <c r="W182" s="8">
        <f>IF(OR($B182="",$G182=""),"",IF(SUMPRODUCT(('利用者マスタ'!$A$4:$A$60=$B182)*('利用者マスタ'!$B$4:$B$60&lt;&gt;""))=0,"",IF(SUMIFS($X$5:$X$204,$B$5:$B$204,$B182,$G$5:$G$204,"&gt;="&amp;DATE(YEAR($G182),MONTH($G182),1),$G$5:$G$204,"&lt;="&amp;EOMONTH($G182,0))&gt;SUMIFS('利用者マスタ'!$B$4:$B$60,'利用者マスタ'!$A$4:$A$60,$B182),"⚠支給量超過","")))</f>
        <v/>
      </c>
      <c r="X182" s="8">
        <f>IF(OR($G182="",$J182="",$N182="キャンセル"),0,IF(IFERROR(INDEX('M_区分'!$B$4:$B$20,MATCH($C182,'M_区分'!$A$4:$A$20,0)),"○")="○",$J182-$G182+1,0))</f>
        <v/>
      </c>
      <c r="Y182" s="8">
        <f>IF($E182&lt;&gt;"",$E182,$Y181)</f>
        <v/>
      </c>
      <c r="Z182" s="8">
        <f>IF(OR($G182="",$J182=""),"",IF(AND($G182&lt;=EOMONTH('02_カレンダー'!$B$4,0),$J182&gt;='02_カレンダー'!$B$4),$G182*10000+ROW(),""))</f>
        <v/>
      </c>
      <c r="AA182" s="8">
        <f>IF($H182="","",IF(ISNUMBER($H182),IF(AND($H182=INT($H182),$H182&gt;=0,$H182&lt;=24),TEXT(INT($H182),"00")&amp;":00",TEXT($H182,"hh:mm")),$H182))</f>
        <v/>
      </c>
      <c r="AB182" s="8">
        <f>IF($K182="","",IF(ISNUMBER($K182),IF(AND($K182=INT($K182),$K182&gt;=0,$K182&lt;=24),TEXT(INT($K182),"00")&amp;":00",TEXT($K182,"hh:mm")),$K182))</f>
        <v/>
      </c>
      <c r="AC182" s="8">
        <f>IF($G182="",0,$G182)</f>
        <v/>
      </c>
      <c r="AD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IF($F183="","",IF($F183&gt;31,$F183,IF($Y183="","",DATE(YEAR($Y183),MONTH($Y183),$F183))))</f>
        <v/>
      </c>
      <c r="H183" s="9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9" t="n"/>
      <c r="L183" s="8">
        <f>IF(OR($G183="",$J183=""),"",$J183-$G183+1)</f>
        <v/>
      </c>
      <c r="M183" s="8">
        <f>IF(OR($G183="",$J183=""),"",$J183-$G183)</f>
        <v/>
      </c>
      <c r="N183" s="9" t="n"/>
      <c r="O183" s="9" t="n"/>
      <c r="P183" s="9" t="n"/>
      <c r="Q183" s="9" t="n"/>
      <c r="R183" s="9" t="n"/>
      <c r="S183" s="9" t="n"/>
      <c r="T183" s="13" t="n"/>
      <c r="U183" s="9" t="n"/>
      <c r="V183" s="8">
        <f>IF($G183="","",IF($D183="","⚠部屋が未選択",IF(COUNTIF('M_部屋'!$A$4:$A$20,$D183)=0,"⚠部屋が未登録",IF(OR($J183="",$N183="キャンセル"),"",IF(SUMPRODUCT(($D$5:$D$204=$D183)*($G$5:$G$204&lt;&gt;"")*($J$5:$J$204&lt;&gt;"")*($N$5:$N$204&lt;&gt;"キャンセル")*($G$5:$G$204&lt;$J183)*($J$5:$J$204&gt;$G183))&gt;1,"⚠重複","")))))</f>
        <v/>
      </c>
      <c r="W183" s="8">
        <f>IF(OR($B183="",$G183=""),"",IF(SUMPRODUCT(('利用者マスタ'!$A$4:$A$60=$B183)*('利用者マスタ'!$B$4:$B$60&lt;&gt;""))=0,"",IF(SUMIFS($X$5:$X$204,$B$5:$B$204,$B183,$G$5:$G$204,"&gt;="&amp;DATE(YEAR($G183),MONTH($G183),1),$G$5:$G$204,"&lt;="&amp;EOMONTH($G183,0))&gt;SUMIFS('利用者マスタ'!$B$4:$B$60,'利用者マスタ'!$A$4:$A$60,$B183),"⚠支給量超過","")))</f>
        <v/>
      </c>
      <c r="X183" s="8">
        <f>IF(OR($G183="",$J183="",$N183="キャンセル"),0,IF(IFERROR(INDEX('M_区分'!$B$4:$B$20,MATCH($C183,'M_区分'!$A$4:$A$20,0)),"○")="○",$J183-$G183+1,0))</f>
        <v/>
      </c>
      <c r="Y183" s="8">
        <f>IF($E183&lt;&gt;"",$E183,$Y182)</f>
        <v/>
      </c>
      <c r="Z183" s="8">
        <f>IF(OR($G183="",$J183=""),"",IF(AND($G183&lt;=EOMONTH('02_カレンダー'!$B$4,0),$J183&gt;='02_カレンダー'!$B$4),$G183*10000+ROW(),""))</f>
        <v/>
      </c>
      <c r="AA183" s="8">
        <f>IF($H183="","",IF(ISNUMBER($H183),IF(AND($H183=INT($H183),$H183&gt;=0,$H183&lt;=24),TEXT(INT($H183),"00")&amp;":00",TEXT($H183,"hh:mm")),$H183))</f>
        <v/>
      </c>
      <c r="AB183" s="8">
        <f>IF($K183="","",IF(ISNUMBER($K183),IF(AND($K183=INT($K183),$K183&gt;=0,$K183&lt;=24),TEXT(INT($K183),"00")&amp;":00",TEXT($K183,"hh:mm")),$K183))</f>
        <v/>
      </c>
      <c r="AC183" s="8">
        <f>IF($G183="",0,$G183)</f>
        <v/>
      </c>
      <c r="AD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IF($F184="","",IF($F184&gt;31,$F184,IF($Y184="","",DATE(YEAR($Y184),MONTH($Y184),$F184))))</f>
        <v/>
      </c>
      <c r="H184" s="9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9" t="n"/>
      <c r="L184" s="8">
        <f>IF(OR($G184="",$J184=""),"",$J184-$G184+1)</f>
        <v/>
      </c>
      <c r="M184" s="8">
        <f>IF(OR($G184="",$J184=""),"",$J184-$G184)</f>
        <v/>
      </c>
      <c r="N184" s="9" t="n"/>
      <c r="O184" s="9" t="n"/>
      <c r="P184" s="9" t="n"/>
      <c r="Q184" s="9" t="n"/>
      <c r="R184" s="9" t="n"/>
      <c r="S184" s="9" t="n"/>
      <c r="T184" s="13" t="n"/>
      <c r="U184" s="9" t="n"/>
      <c r="V184" s="8">
        <f>IF($G184="","",IF($D184="","⚠部屋が未選択",IF(COUNTIF('M_部屋'!$A$4:$A$20,$D184)=0,"⚠部屋が未登録",IF(OR($J184="",$N184="キャンセル"),"",IF(SUMPRODUCT(($D$5:$D$204=$D184)*($G$5:$G$204&lt;&gt;"")*($J$5:$J$204&lt;&gt;"")*($N$5:$N$204&lt;&gt;"キャンセル")*($G$5:$G$204&lt;$J184)*($J$5:$J$204&gt;$G184))&gt;1,"⚠重複","")))))</f>
        <v/>
      </c>
      <c r="W184" s="8">
        <f>IF(OR($B184="",$G184=""),"",IF(SUMPRODUCT(('利用者マスタ'!$A$4:$A$60=$B184)*('利用者マスタ'!$B$4:$B$60&lt;&gt;""))=0,"",IF(SUMIFS($X$5:$X$204,$B$5:$B$204,$B184,$G$5:$G$204,"&gt;="&amp;DATE(YEAR($G184),MONTH($G184),1),$G$5:$G$204,"&lt;="&amp;EOMONTH($G184,0))&gt;SUMIFS('利用者マスタ'!$B$4:$B$60,'利用者マスタ'!$A$4:$A$60,$B184),"⚠支給量超過","")))</f>
        <v/>
      </c>
      <c r="X184" s="8">
        <f>IF(OR($G184="",$J184="",$N184="キャンセル"),0,IF(IFERROR(INDEX('M_区分'!$B$4:$B$20,MATCH($C184,'M_区分'!$A$4:$A$20,0)),"○")="○",$J184-$G184+1,0))</f>
        <v/>
      </c>
      <c r="Y184" s="8">
        <f>IF($E184&lt;&gt;"",$E184,$Y183)</f>
        <v/>
      </c>
      <c r="Z184" s="8">
        <f>IF(OR($G184="",$J184=""),"",IF(AND($G184&lt;=EOMONTH('02_カレンダー'!$B$4,0),$J184&gt;='02_カレンダー'!$B$4),$G184*10000+ROW(),""))</f>
        <v/>
      </c>
      <c r="AA184" s="8">
        <f>IF($H184="","",IF(ISNUMBER($H184),IF(AND($H184=INT($H184),$H184&gt;=0,$H184&lt;=24),TEXT(INT($H184),"00")&amp;":00",TEXT($H184,"hh:mm")),$H184))</f>
        <v/>
      </c>
      <c r="AB184" s="8">
        <f>IF($K184="","",IF(ISNUMBER($K184),IF(AND($K184=INT($K184),$K184&gt;=0,$K184&lt;=24),TEXT(INT($K184),"00")&amp;":00",TEXT($K184,"hh:mm")),$K184))</f>
        <v/>
      </c>
      <c r="AC184" s="8">
        <f>IF($G184="",0,$G184)</f>
        <v/>
      </c>
      <c r="AD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IF($F185="","",IF($F185&gt;31,$F185,IF($Y185="","",DATE(YEAR($Y185),MONTH($Y185),$F185))))</f>
        <v/>
      </c>
      <c r="H185" s="9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9" t="n"/>
      <c r="L185" s="8">
        <f>IF(OR($G185="",$J185=""),"",$J185-$G185+1)</f>
        <v/>
      </c>
      <c r="M185" s="8">
        <f>IF(OR($G185="",$J185=""),"",$J185-$G185)</f>
        <v/>
      </c>
      <c r="N185" s="9" t="n"/>
      <c r="O185" s="9" t="n"/>
      <c r="P185" s="9" t="n"/>
      <c r="Q185" s="9" t="n"/>
      <c r="R185" s="9" t="n"/>
      <c r="S185" s="9" t="n"/>
      <c r="T185" s="13" t="n"/>
      <c r="U185" s="9" t="n"/>
      <c r="V185" s="8">
        <f>IF($G185="","",IF($D185="","⚠部屋が未選択",IF(COUNTIF('M_部屋'!$A$4:$A$20,$D185)=0,"⚠部屋が未登録",IF(OR($J185="",$N185="キャンセル"),"",IF(SUMPRODUCT(($D$5:$D$204=$D185)*($G$5:$G$204&lt;&gt;"")*($J$5:$J$204&lt;&gt;"")*($N$5:$N$204&lt;&gt;"キャンセル")*($G$5:$G$204&lt;$J185)*($J$5:$J$204&gt;$G185))&gt;1,"⚠重複","")))))</f>
        <v/>
      </c>
      <c r="W185" s="8">
        <f>IF(OR($B185="",$G185=""),"",IF(SUMPRODUCT(('利用者マスタ'!$A$4:$A$60=$B185)*('利用者マスタ'!$B$4:$B$60&lt;&gt;""))=0,"",IF(SUMIFS($X$5:$X$204,$B$5:$B$204,$B185,$G$5:$G$204,"&gt;="&amp;DATE(YEAR($G185),MONTH($G185),1),$G$5:$G$204,"&lt;="&amp;EOMONTH($G185,0))&gt;SUMIFS('利用者マスタ'!$B$4:$B$60,'利用者マスタ'!$A$4:$A$60,$B185),"⚠支給量超過","")))</f>
        <v/>
      </c>
      <c r="X185" s="8">
        <f>IF(OR($G185="",$J185="",$N185="キャンセル"),0,IF(IFERROR(INDEX('M_区分'!$B$4:$B$20,MATCH($C185,'M_区分'!$A$4:$A$20,0)),"○")="○",$J185-$G185+1,0))</f>
        <v/>
      </c>
      <c r="Y185" s="8">
        <f>IF($E185&lt;&gt;"",$E185,$Y184)</f>
        <v/>
      </c>
      <c r="Z185" s="8">
        <f>IF(OR($G185="",$J185=""),"",IF(AND($G185&lt;=EOMONTH('02_カレンダー'!$B$4,0),$J185&gt;='02_カレンダー'!$B$4),$G185*10000+ROW(),""))</f>
        <v/>
      </c>
      <c r="AA185" s="8">
        <f>IF($H185="","",IF(ISNUMBER($H185),IF(AND($H185=INT($H185),$H185&gt;=0,$H185&lt;=24),TEXT(INT($H185),"00")&amp;":00",TEXT($H185,"hh:mm")),$H185))</f>
        <v/>
      </c>
      <c r="AB185" s="8">
        <f>IF($K185="","",IF(ISNUMBER($K185),IF(AND($K185=INT($K185),$K185&gt;=0,$K185&lt;=24),TEXT(INT($K185),"00")&amp;":00",TEXT($K185,"hh:mm")),$K185))</f>
        <v/>
      </c>
      <c r="AC185" s="8">
        <f>IF($G185="",0,$G185)</f>
        <v/>
      </c>
      <c r="AD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IF($F186="","",IF($F186&gt;31,$F186,IF($Y186="","",DATE(YEAR($Y186),MONTH($Y186),$F186))))</f>
        <v/>
      </c>
      <c r="H186" s="9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9" t="n"/>
      <c r="L186" s="8">
        <f>IF(OR($G186="",$J186=""),"",$J186-$G186+1)</f>
        <v/>
      </c>
      <c r="M186" s="8">
        <f>IF(OR($G186="",$J186=""),"",$J186-$G186)</f>
        <v/>
      </c>
      <c r="N186" s="9" t="n"/>
      <c r="O186" s="9" t="n"/>
      <c r="P186" s="9" t="n"/>
      <c r="Q186" s="9" t="n"/>
      <c r="R186" s="9" t="n"/>
      <c r="S186" s="9" t="n"/>
      <c r="T186" s="13" t="n"/>
      <c r="U186" s="9" t="n"/>
      <c r="V186" s="8">
        <f>IF($G186="","",IF($D186="","⚠部屋が未選択",IF(COUNTIF('M_部屋'!$A$4:$A$20,$D186)=0,"⚠部屋が未登録",IF(OR($J186="",$N186="キャンセル"),"",IF(SUMPRODUCT(($D$5:$D$204=$D186)*($G$5:$G$204&lt;&gt;"")*($J$5:$J$204&lt;&gt;"")*($N$5:$N$204&lt;&gt;"キャンセル")*($G$5:$G$204&lt;$J186)*($J$5:$J$204&gt;$G186))&gt;1,"⚠重複","")))))</f>
        <v/>
      </c>
      <c r="W186" s="8">
        <f>IF(OR($B186="",$G186=""),"",IF(SUMPRODUCT(('利用者マスタ'!$A$4:$A$60=$B186)*('利用者マスタ'!$B$4:$B$60&lt;&gt;""))=0,"",IF(SUMIFS($X$5:$X$204,$B$5:$B$204,$B186,$G$5:$G$204,"&gt;="&amp;DATE(YEAR($G186),MONTH($G186),1),$G$5:$G$204,"&lt;="&amp;EOMONTH($G186,0))&gt;SUMIFS('利用者マスタ'!$B$4:$B$60,'利用者マスタ'!$A$4:$A$60,$B186),"⚠支給量超過","")))</f>
        <v/>
      </c>
      <c r="X186" s="8">
        <f>IF(OR($G186="",$J186="",$N186="キャンセル"),0,IF(IFERROR(INDEX('M_区分'!$B$4:$B$20,MATCH($C186,'M_区分'!$A$4:$A$20,0)),"○")="○",$J186-$G186+1,0))</f>
        <v/>
      </c>
      <c r="Y186" s="8">
        <f>IF($E186&lt;&gt;"",$E186,$Y185)</f>
        <v/>
      </c>
      <c r="Z186" s="8">
        <f>IF(OR($G186="",$J186=""),"",IF(AND($G186&lt;=EOMONTH('02_カレンダー'!$B$4,0),$J186&gt;='02_カレンダー'!$B$4),$G186*10000+ROW(),""))</f>
        <v/>
      </c>
      <c r="AA186" s="8">
        <f>IF($H186="","",IF(ISNUMBER($H186),IF(AND($H186=INT($H186),$H186&gt;=0,$H186&lt;=24),TEXT(INT($H186),"00")&amp;":00",TEXT($H186,"hh:mm")),$H186))</f>
        <v/>
      </c>
      <c r="AB186" s="8">
        <f>IF($K186="","",IF(ISNUMBER($K186),IF(AND($K186=INT($K186),$K186&gt;=0,$K186&lt;=24),TEXT(INT($K186),"00")&amp;":00",TEXT($K186,"hh:mm")),$K186))</f>
        <v/>
      </c>
      <c r="AC186" s="8">
        <f>IF($G186="",0,$G186)</f>
        <v/>
      </c>
      <c r="AD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IF($F187="","",IF($F187&gt;31,$F187,IF($Y187="","",DATE(YEAR($Y187),MONTH($Y187),$F187))))</f>
        <v/>
      </c>
      <c r="H187" s="9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9" t="n"/>
      <c r="L187" s="8">
        <f>IF(OR($G187="",$J187=""),"",$J187-$G187+1)</f>
        <v/>
      </c>
      <c r="M187" s="8">
        <f>IF(OR($G187="",$J187=""),"",$J187-$G187)</f>
        <v/>
      </c>
      <c r="N187" s="9" t="n"/>
      <c r="O187" s="9" t="n"/>
      <c r="P187" s="9" t="n"/>
      <c r="Q187" s="9" t="n"/>
      <c r="R187" s="9" t="n"/>
      <c r="S187" s="9" t="n"/>
      <c r="T187" s="13" t="n"/>
      <c r="U187" s="9" t="n"/>
      <c r="V187" s="8">
        <f>IF($G187="","",IF($D187="","⚠部屋が未選択",IF(COUNTIF('M_部屋'!$A$4:$A$20,$D187)=0,"⚠部屋が未登録",IF(OR($J187="",$N187="キャンセル"),"",IF(SUMPRODUCT(($D$5:$D$204=$D187)*($G$5:$G$204&lt;&gt;"")*($J$5:$J$204&lt;&gt;"")*($N$5:$N$204&lt;&gt;"キャンセル")*($G$5:$G$204&lt;$J187)*($J$5:$J$204&gt;$G187))&gt;1,"⚠重複","")))))</f>
        <v/>
      </c>
      <c r="W187" s="8">
        <f>IF(OR($B187="",$G187=""),"",IF(SUMPRODUCT(('利用者マスタ'!$A$4:$A$60=$B187)*('利用者マスタ'!$B$4:$B$60&lt;&gt;""))=0,"",IF(SUMIFS($X$5:$X$204,$B$5:$B$204,$B187,$G$5:$G$204,"&gt;="&amp;DATE(YEAR($G187),MONTH($G187),1),$G$5:$G$204,"&lt;="&amp;EOMONTH($G187,0))&gt;SUMIFS('利用者マスタ'!$B$4:$B$60,'利用者マスタ'!$A$4:$A$60,$B187),"⚠支給量超過","")))</f>
        <v/>
      </c>
      <c r="X187" s="8">
        <f>IF(OR($G187="",$J187="",$N187="キャンセル"),0,IF(IFERROR(INDEX('M_区分'!$B$4:$B$20,MATCH($C187,'M_区分'!$A$4:$A$20,0)),"○")="○",$J187-$G187+1,0))</f>
        <v/>
      </c>
      <c r="Y187" s="8">
        <f>IF($E187&lt;&gt;"",$E187,$Y186)</f>
        <v/>
      </c>
      <c r="Z187" s="8">
        <f>IF(OR($G187="",$J187=""),"",IF(AND($G187&lt;=EOMONTH('02_カレンダー'!$B$4,0),$J187&gt;='02_カレンダー'!$B$4),$G187*10000+ROW(),""))</f>
        <v/>
      </c>
      <c r="AA187" s="8">
        <f>IF($H187="","",IF(ISNUMBER($H187),IF(AND($H187=INT($H187),$H187&gt;=0,$H187&lt;=24),TEXT(INT($H187),"00")&amp;":00",TEXT($H187,"hh:mm")),$H187))</f>
        <v/>
      </c>
      <c r="AB187" s="8">
        <f>IF($K187="","",IF(ISNUMBER($K187),IF(AND($K187=INT($K187),$K187&gt;=0,$K187&lt;=24),TEXT(INT($K187),"00")&amp;":00",TEXT($K187,"hh:mm")),$K187))</f>
        <v/>
      </c>
      <c r="AC187" s="8">
        <f>IF($G187="",0,$G187)</f>
        <v/>
      </c>
      <c r="AD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IF($F188="","",IF($F188&gt;31,$F188,IF($Y188="","",DATE(YEAR($Y188),MONTH($Y188),$F188))))</f>
        <v/>
      </c>
      <c r="H188" s="9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9" t="n"/>
      <c r="L188" s="8">
        <f>IF(OR($G188="",$J188=""),"",$J188-$G188+1)</f>
        <v/>
      </c>
      <c r="M188" s="8">
        <f>IF(OR($G188="",$J188=""),"",$J188-$G188)</f>
        <v/>
      </c>
      <c r="N188" s="9" t="n"/>
      <c r="O188" s="9" t="n"/>
      <c r="P188" s="9" t="n"/>
      <c r="Q188" s="9" t="n"/>
      <c r="R188" s="9" t="n"/>
      <c r="S188" s="9" t="n"/>
      <c r="T188" s="13" t="n"/>
      <c r="U188" s="9" t="n"/>
      <c r="V188" s="8">
        <f>IF($G188="","",IF($D188="","⚠部屋が未選択",IF(COUNTIF('M_部屋'!$A$4:$A$20,$D188)=0,"⚠部屋が未登録",IF(OR($J188="",$N188="キャンセル"),"",IF(SUMPRODUCT(($D$5:$D$204=$D188)*($G$5:$G$204&lt;&gt;"")*($J$5:$J$204&lt;&gt;"")*($N$5:$N$204&lt;&gt;"キャンセル")*($G$5:$G$204&lt;$J188)*($J$5:$J$204&gt;$G188))&gt;1,"⚠重複","")))))</f>
        <v/>
      </c>
      <c r="W188" s="8">
        <f>IF(OR($B188="",$G188=""),"",IF(SUMPRODUCT(('利用者マスタ'!$A$4:$A$60=$B188)*('利用者マスタ'!$B$4:$B$60&lt;&gt;""))=0,"",IF(SUMIFS($X$5:$X$204,$B$5:$B$204,$B188,$G$5:$G$204,"&gt;="&amp;DATE(YEAR($G188),MONTH($G188),1),$G$5:$G$204,"&lt;="&amp;EOMONTH($G188,0))&gt;SUMIFS('利用者マスタ'!$B$4:$B$60,'利用者マスタ'!$A$4:$A$60,$B188),"⚠支給量超過","")))</f>
        <v/>
      </c>
      <c r="X188" s="8">
        <f>IF(OR($G188="",$J188="",$N188="キャンセル"),0,IF(IFERROR(INDEX('M_区分'!$B$4:$B$20,MATCH($C188,'M_区分'!$A$4:$A$20,0)),"○")="○",$J188-$G188+1,0))</f>
        <v/>
      </c>
      <c r="Y188" s="8">
        <f>IF($E188&lt;&gt;"",$E188,$Y187)</f>
        <v/>
      </c>
      <c r="Z188" s="8">
        <f>IF(OR($G188="",$J188=""),"",IF(AND($G188&lt;=EOMONTH('02_カレンダー'!$B$4,0),$J188&gt;='02_カレンダー'!$B$4),$G188*10000+ROW(),""))</f>
        <v/>
      </c>
      <c r="AA188" s="8">
        <f>IF($H188="","",IF(ISNUMBER($H188),IF(AND($H188=INT($H188),$H188&gt;=0,$H188&lt;=24),TEXT(INT($H188),"00")&amp;":00",TEXT($H188,"hh:mm")),$H188))</f>
        <v/>
      </c>
      <c r="AB188" s="8">
        <f>IF($K188="","",IF(ISNUMBER($K188),IF(AND($K188=INT($K188),$K188&gt;=0,$K188&lt;=24),TEXT(INT($K188),"00")&amp;":00",TEXT($K188,"hh:mm")),$K188))</f>
        <v/>
      </c>
      <c r="AC188" s="8">
        <f>IF($G188="",0,$G188)</f>
        <v/>
      </c>
      <c r="AD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IF($F189="","",IF($F189&gt;31,$F189,IF($Y189="","",DATE(YEAR($Y189),MONTH($Y189),$F189))))</f>
        <v/>
      </c>
      <c r="H189" s="9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9" t="n"/>
      <c r="L189" s="8">
        <f>IF(OR($G189="",$J189=""),"",$J189-$G189+1)</f>
        <v/>
      </c>
      <c r="M189" s="8">
        <f>IF(OR($G189="",$J189=""),"",$J189-$G189)</f>
        <v/>
      </c>
      <c r="N189" s="9" t="n"/>
      <c r="O189" s="9" t="n"/>
      <c r="P189" s="9" t="n"/>
      <c r="Q189" s="9" t="n"/>
      <c r="R189" s="9" t="n"/>
      <c r="S189" s="9" t="n"/>
      <c r="T189" s="13" t="n"/>
      <c r="U189" s="9" t="n"/>
      <c r="V189" s="8">
        <f>IF($G189="","",IF($D189="","⚠部屋が未選択",IF(COUNTIF('M_部屋'!$A$4:$A$20,$D189)=0,"⚠部屋が未登録",IF(OR($J189="",$N189="キャンセル"),"",IF(SUMPRODUCT(($D$5:$D$204=$D189)*($G$5:$G$204&lt;&gt;"")*($J$5:$J$204&lt;&gt;"")*($N$5:$N$204&lt;&gt;"キャンセル")*($G$5:$G$204&lt;$J189)*($J$5:$J$204&gt;$G189))&gt;1,"⚠重複","")))))</f>
        <v/>
      </c>
      <c r="W189" s="8">
        <f>IF(OR($B189="",$G189=""),"",IF(SUMPRODUCT(('利用者マスタ'!$A$4:$A$60=$B189)*('利用者マスタ'!$B$4:$B$60&lt;&gt;""))=0,"",IF(SUMIFS($X$5:$X$204,$B$5:$B$204,$B189,$G$5:$G$204,"&gt;="&amp;DATE(YEAR($G189),MONTH($G189),1),$G$5:$G$204,"&lt;="&amp;EOMONTH($G189,0))&gt;SUMIFS('利用者マスタ'!$B$4:$B$60,'利用者マスタ'!$A$4:$A$60,$B189),"⚠支給量超過","")))</f>
        <v/>
      </c>
      <c r="X189" s="8">
        <f>IF(OR($G189="",$J189="",$N189="キャンセル"),0,IF(IFERROR(INDEX('M_区分'!$B$4:$B$20,MATCH($C189,'M_区分'!$A$4:$A$20,0)),"○")="○",$J189-$G189+1,0))</f>
        <v/>
      </c>
      <c r="Y189" s="8">
        <f>IF($E189&lt;&gt;"",$E189,$Y188)</f>
        <v/>
      </c>
      <c r="Z189" s="8">
        <f>IF(OR($G189="",$J189=""),"",IF(AND($G189&lt;=EOMONTH('02_カレンダー'!$B$4,0),$J189&gt;='02_カレンダー'!$B$4),$G189*10000+ROW(),""))</f>
        <v/>
      </c>
      <c r="AA189" s="8">
        <f>IF($H189="","",IF(ISNUMBER($H189),IF(AND($H189=INT($H189),$H189&gt;=0,$H189&lt;=24),TEXT(INT($H189),"00")&amp;":00",TEXT($H189,"hh:mm")),$H189))</f>
        <v/>
      </c>
      <c r="AB189" s="8">
        <f>IF($K189="","",IF(ISNUMBER($K189),IF(AND($K189=INT($K189),$K189&gt;=0,$K189&lt;=24),TEXT(INT($K189),"00")&amp;":00",TEXT($K189,"hh:mm")),$K189))</f>
        <v/>
      </c>
      <c r="AC189" s="8">
        <f>IF($G189="",0,$G189)</f>
        <v/>
      </c>
      <c r="AD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IF($F190="","",IF($F190&gt;31,$F190,IF($Y190="","",DATE(YEAR($Y190),MONTH($Y190),$F190))))</f>
        <v/>
      </c>
      <c r="H190" s="9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9" t="n"/>
      <c r="L190" s="8">
        <f>IF(OR($G190="",$J190=""),"",$J190-$G190+1)</f>
        <v/>
      </c>
      <c r="M190" s="8">
        <f>IF(OR($G190="",$J190=""),"",$J190-$G190)</f>
        <v/>
      </c>
      <c r="N190" s="9" t="n"/>
      <c r="O190" s="9" t="n"/>
      <c r="P190" s="9" t="n"/>
      <c r="Q190" s="9" t="n"/>
      <c r="R190" s="9" t="n"/>
      <c r="S190" s="9" t="n"/>
      <c r="T190" s="13" t="n"/>
      <c r="U190" s="9" t="n"/>
      <c r="V190" s="8">
        <f>IF($G190="","",IF($D190="","⚠部屋が未選択",IF(COUNTIF('M_部屋'!$A$4:$A$20,$D190)=0,"⚠部屋が未登録",IF(OR($J190="",$N190="キャンセル"),"",IF(SUMPRODUCT(($D$5:$D$204=$D190)*($G$5:$G$204&lt;&gt;"")*($J$5:$J$204&lt;&gt;"")*($N$5:$N$204&lt;&gt;"キャンセル")*($G$5:$G$204&lt;$J190)*($J$5:$J$204&gt;$G190))&gt;1,"⚠重複","")))))</f>
        <v/>
      </c>
      <c r="W190" s="8">
        <f>IF(OR($B190="",$G190=""),"",IF(SUMPRODUCT(('利用者マスタ'!$A$4:$A$60=$B190)*('利用者マスタ'!$B$4:$B$60&lt;&gt;""))=0,"",IF(SUMIFS($X$5:$X$204,$B$5:$B$204,$B190,$G$5:$G$204,"&gt;="&amp;DATE(YEAR($G190),MONTH($G190),1),$G$5:$G$204,"&lt;="&amp;EOMONTH($G190,0))&gt;SUMIFS('利用者マスタ'!$B$4:$B$60,'利用者マスタ'!$A$4:$A$60,$B190),"⚠支給量超過","")))</f>
        <v/>
      </c>
      <c r="X190" s="8">
        <f>IF(OR($G190="",$J190="",$N190="キャンセル"),0,IF(IFERROR(INDEX('M_区分'!$B$4:$B$20,MATCH($C190,'M_区分'!$A$4:$A$20,0)),"○")="○",$J190-$G190+1,0))</f>
        <v/>
      </c>
      <c r="Y190" s="8">
        <f>IF($E190&lt;&gt;"",$E190,$Y189)</f>
        <v/>
      </c>
      <c r="Z190" s="8">
        <f>IF(OR($G190="",$J190=""),"",IF(AND($G190&lt;=EOMONTH('02_カレンダー'!$B$4,0),$J190&gt;='02_カレンダー'!$B$4),$G190*10000+ROW(),""))</f>
        <v/>
      </c>
      <c r="AA190" s="8">
        <f>IF($H190="","",IF(ISNUMBER($H190),IF(AND($H190=INT($H190),$H190&gt;=0,$H190&lt;=24),TEXT(INT($H190),"00")&amp;":00",TEXT($H190,"hh:mm")),$H190))</f>
        <v/>
      </c>
      <c r="AB190" s="8">
        <f>IF($K190="","",IF(ISNUMBER($K190),IF(AND($K190=INT($K190),$K190&gt;=0,$K190&lt;=24),TEXT(INT($K190),"00")&amp;":00",TEXT($K190,"hh:mm")),$K190))</f>
        <v/>
      </c>
      <c r="AC190" s="8">
        <f>IF($G190="",0,$G190)</f>
        <v/>
      </c>
      <c r="AD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IF($F191="","",IF($F191&gt;31,$F191,IF($Y191="","",DATE(YEAR($Y191),MONTH($Y191),$F191))))</f>
        <v/>
      </c>
      <c r="H191" s="9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9" t="n"/>
      <c r="L191" s="8">
        <f>IF(OR($G191="",$J191=""),"",$J191-$G191+1)</f>
        <v/>
      </c>
      <c r="M191" s="8">
        <f>IF(OR($G191="",$J191=""),"",$J191-$G191)</f>
        <v/>
      </c>
      <c r="N191" s="9" t="n"/>
      <c r="O191" s="9" t="n"/>
      <c r="P191" s="9" t="n"/>
      <c r="Q191" s="9" t="n"/>
      <c r="R191" s="9" t="n"/>
      <c r="S191" s="9" t="n"/>
      <c r="T191" s="13" t="n"/>
      <c r="U191" s="9" t="n"/>
      <c r="V191" s="8">
        <f>IF($G191="","",IF($D191="","⚠部屋が未選択",IF(COUNTIF('M_部屋'!$A$4:$A$20,$D191)=0,"⚠部屋が未登録",IF(OR($J191="",$N191="キャンセル"),"",IF(SUMPRODUCT(($D$5:$D$204=$D191)*($G$5:$G$204&lt;&gt;"")*($J$5:$J$204&lt;&gt;"")*($N$5:$N$204&lt;&gt;"キャンセル")*($G$5:$G$204&lt;$J191)*($J$5:$J$204&gt;$G191))&gt;1,"⚠重複","")))))</f>
        <v/>
      </c>
      <c r="W191" s="8">
        <f>IF(OR($B191="",$G191=""),"",IF(SUMPRODUCT(('利用者マスタ'!$A$4:$A$60=$B191)*('利用者マスタ'!$B$4:$B$60&lt;&gt;""))=0,"",IF(SUMIFS($X$5:$X$204,$B$5:$B$204,$B191,$G$5:$G$204,"&gt;="&amp;DATE(YEAR($G191),MONTH($G191),1),$G$5:$G$204,"&lt;="&amp;EOMONTH($G191,0))&gt;SUMIFS('利用者マスタ'!$B$4:$B$60,'利用者マスタ'!$A$4:$A$60,$B191),"⚠支給量超過","")))</f>
        <v/>
      </c>
      <c r="X191" s="8">
        <f>IF(OR($G191="",$J191="",$N191="キャンセル"),0,IF(IFERROR(INDEX('M_区分'!$B$4:$B$20,MATCH($C191,'M_区分'!$A$4:$A$20,0)),"○")="○",$J191-$G191+1,0))</f>
        <v/>
      </c>
      <c r="Y191" s="8">
        <f>IF($E191&lt;&gt;"",$E191,$Y190)</f>
        <v/>
      </c>
      <c r="Z191" s="8">
        <f>IF(OR($G191="",$J191=""),"",IF(AND($G191&lt;=EOMONTH('02_カレンダー'!$B$4,0),$J191&gt;='02_カレンダー'!$B$4),$G191*10000+ROW(),""))</f>
        <v/>
      </c>
      <c r="AA191" s="8">
        <f>IF($H191="","",IF(ISNUMBER($H191),IF(AND($H191=INT($H191),$H191&gt;=0,$H191&lt;=24),TEXT(INT($H191),"00")&amp;":00",TEXT($H191,"hh:mm")),$H191))</f>
        <v/>
      </c>
      <c r="AB191" s="8">
        <f>IF($K191="","",IF(ISNUMBER($K191),IF(AND($K191=INT($K191),$K191&gt;=0,$K191&lt;=24),TEXT(INT($K191),"00")&amp;":00",TEXT($K191,"hh:mm")),$K191))</f>
        <v/>
      </c>
      <c r="AC191" s="8">
        <f>IF($G191="",0,$G191)</f>
        <v/>
      </c>
      <c r="AD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IF($F192="","",IF($F192&gt;31,$F192,IF($Y192="","",DATE(YEAR($Y192),MONTH($Y192),$F192))))</f>
        <v/>
      </c>
      <c r="H192" s="9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9" t="n"/>
      <c r="L192" s="8">
        <f>IF(OR($G192="",$J192=""),"",$J192-$G192+1)</f>
        <v/>
      </c>
      <c r="M192" s="8">
        <f>IF(OR($G192="",$J192=""),"",$J192-$G192)</f>
        <v/>
      </c>
      <c r="N192" s="9" t="n"/>
      <c r="O192" s="9" t="n"/>
      <c r="P192" s="9" t="n"/>
      <c r="Q192" s="9" t="n"/>
      <c r="R192" s="9" t="n"/>
      <c r="S192" s="9" t="n"/>
      <c r="T192" s="13" t="n"/>
      <c r="U192" s="9" t="n"/>
      <c r="V192" s="8">
        <f>IF($G192="","",IF($D192="","⚠部屋が未選択",IF(COUNTIF('M_部屋'!$A$4:$A$20,$D192)=0,"⚠部屋が未登録",IF(OR($J192="",$N192="キャンセル"),"",IF(SUMPRODUCT(($D$5:$D$204=$D192)*($G$5:$G$204&lt;&gt;"")*($J$5:$J$204&lt;&gt;"")*($N$5:$N$204&lt;&gt;"キャンセル")*($G$5:$G$204&lt;$J192)*($J$5:$J$204&gt;$G192))&gt;1,"⚠重複","")))))</f>
        <v/>
      </c>
      <c r="W192" s="8">
        <f>IF(OR($B192="",$G192=""),"",IF(SUMPRODUCT(('利用者マスタ'!$A$4:$A$60=$B192)*('利用者マスタ'!$B$4:$B$60&lt;&gt;""))=0,"",IF(SUMIFS($X$5:$X$204,$B$5:$B$204,$B192,$G$5:$G$204,"&gt;="&amp;DATE(YEAR($G192),MONTH($G192),1),$G$5:$G$204,"&lt;="&amp;EOMONTH($G192,0))&gt;SUMIFS('利用者マスタ'!$B$4:$B$60,'利用者マスタ'!$A$4:$A$60,$B192),"⚠支給量超過","")))</f>
        <v/>
      </c>
      <c r="X192" s="8">
        <f>IF(OR($G192="",$J192="",$N192="キャンセル"),0,IF(IFERROR(INDEX('M_区分'!$B$4:$B$20,MATCH($C192,'M_区分'!$A$4:$A$20,0)),"○")="○",$J192-$G192+1,0))</f>
        <v/>
      </c>
      <c r="Y192" s="8">
        <f>IF($E192&lt;&gt;"",$E192,$Y191)</f>
        <v/>
      </c>
      <c r="Z192" s="8">
        <f>IF(OR($G192="",$J192=""),"",IF(AND($G192&lt;=EOMONTH('02_カレンダー'!$B$4,0),$J192&gt;='02_カレンダー'!$B$4),$G192*10000+ROW(),""))</f>
        <v/>
      </c>
      <c r="AA192" s="8">
        <f>IF($H192="","",IF(ISNUMBER($H192),IF(AND($H192=INT($H192),$H192&gt;=0,$H192&lt;=24),TEXT(INT($H192),"00")&amp;":00",TEXT($H192,"hh:mm")),$H192))</f>
        <v/>
      </c>
      <c r="AB192" s="8">
        <f>IF($K192="","",IF(ISNUMBER($K192),IF(AND($K192=INT($K192),$K192&gt;=0,$K192&lt;=24),TEXT(INT($K192),"00")&amp;":00",TEXT($K192,"hh:mm")),$K192))</f>
        <v/>
      </c>
      <c r="AC192" s="8">
        <f>IF($G192="",0,$G192)</f>
        <v/>
      </c>
      <c r="AD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IF($F193="","",IF($F193&gt;31,$F193,IF($Y193="","",DATE(YEAR($Y193),MONTH($Y193),$F193))))</f>
        <v/>
      </c>
      <c r="H193" s="9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9" t="n"/>
      <c r="L193" s="8">
        <f>IF(OR($G193="",$J193=""),"",$J193-$G193+1)</f>
        <v/>
      </c>
      <c r="M193" s="8">
        <f>IF(OR($G193="",$J193=""),"",$J193-$G193)</f>
        <v/>
      </c>
      <c r="N193" s="9" t="n"/>
      <c r="O193" s="9" t="n"/>
      <c r="P193" s="9" t="n"/>
      <c r="Q193" s="9" t="n"/>
      <c r="R193" s="9" t="n"/>
      <c r="S193" s="9" t="n"/>
      <c r="T193" s="13" t="n"/>
      <c r="U193" s="9" t="n"/>
      <c r="V193" s="8">
        <f>IF($G193="","",IF($D193="","⚠部屋が未選択",IF(COUNTIF('M_部屋'!$A$4:$A$20,$D193)=0,"⚠部屋が未登録",IF(OR($J193="",$N193="キャンセル"),"",IF(SUMPRODUCT(($D$5:$D$204=$D193)*($G$5:$G$204&lt;&gt;"")*($J$5:$J$204&lt;&gt;"")*($N$5:$N$204&lt;&gt;"キャンセル")*($G$5:$G$204&lt;$J193)*($J$5:$J$204&gt;$G193))&gt;1,"⚠重複","")))))</f>
        <v/>
      </c>
      <c r="W193" s="8">
        <f>IF(OR($B193="",$G193=""),"",IF(SUMPRODUCT(('利用者マスタ'!$A$4:$A$60=$B193)*('利用者マスタ'!$B$4:$B$60&lt;&gt;""))=0,"",IF(SUMIFS($X$5:$X$204,$B$5:$B$204,$B193,$G$5:$G$204,"&gt;="&amp;DATE(YEAR($G193),MONTH($G193),1),$G$5:$G$204,"&lt;="&amp;EOMONTH($G193,0))&gt;SUMIFS('利用者マスタ'!$B$4:$B$60,'利用者マスタ'!$A$4:$A$60,$B193),"⚠支給量超過","")))</f>
        <v/>
      </c>
      <c r="X193" s="8">
        <f>IF(OR($G193="",$J193="",$N193="キャンセル"),0,IF(IFERROR(INDEX('M_区分'!$B$4:$B$20,MATCH($C193,'M_区分'!$A$4:$A$20,0)),"○")="○",$J193-$G193+1,0))</f>
        <v/>
      </c>
      <c r="Y193" s="8">
        <f>IF($E193&lt;&gt;"",$E193,$Y192)</f>
        <v/>
      </c>
      <c r="Z193" s="8">
        <f>IF(OR($G193="",$J193=""),"",IF(AND($G193&lt;=EOMONTH('02_カレンダー'!$B$4,0),$J193&gt;='02_カレンダー'!$B$4),$G193*10000+ROW(),""))</f>
        <v/>
      </c>
      <c r="AA193" s="8">
        <f>IF($H193="","",IF(ISNUMBER($H193),IF(AND($H193=INT($H193),$H193&gt;=0,$H193&lt;=24),TEXT(INT($H193),"00")&amp;":00",TEXT($H193,"hh:mm")),$H193))</f>
        <v/>
      </c>
      <c r="AB193" s="8">
        <f>IF($K193="","",IF(ISNUMBER($K193),IF(AND($K193=INT($K193),$K193&gt;=0,$K193&lt;=24),TEXT(INT($K193),"00")&amp;":00",TEXT($K193,"hh:mm")),$K193))</f>
        <v/>
      </c>
      <c r="AC193" s="8">
        <f>IF($G193="",0,$G193)</f>
        <v/>
      </c>
      <c r="AD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IF($F194="","",IF($F194&gt;31,$F194,IF($Y194="","",DATE(YEAR($Y194),MONTH($Y194),$F194))))</f>
        <v/>
      </c>
      <c r="H194" s="9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9" t="n"/>
      <c r="L194" s="8">
        <f>IF(OR($G194="",$J194=""),"",$J194-$G194+1)</f>
        <v/>
      </c>
      <c r="M194" s="8">
        <f>IF(OR($G194="",$J194=""),"",$J194-$G194)</f>
        <v/>
      </c>
      <c r="N194" s="9" t="n"/>
      <c r="O194" s="9" t="n"/>
      <c r="P194" s="9" t="n"/>
      <c r="Q194" s="9" t="n"/>
      <c r="R194" s="9" t="n"/>
      <c r="S194" s="9" t="n"/>
      <c r="T194" s="13" t="n"/>
      <c r="U194" s="9" t="n"/>
      <c r="V194" s="8">
        <f>IF($G194="","",IF($D194="","⚠部屋が未選択",IF(COUNTIF('M_部屋'!$A$4:$A$20,$D194)=0,"⚠部屋が未登録",IF(OR($J194="",$N194="キャンセル"),"",IF(SUMPRODUCT(($D$5:$D$204=$D194)*($G$5:$G$204&lt;&gt;"")*($J$5:$J$204&lt;&gt;"")*($N$5:$N$204&lt;&gt;"キャンセル")*($G$5:$G$204&lt;$J194)*($J$5:$J$204&gt;$G194))&gt;1,"⚠重複","")))))</f>
        <v/>
      </c>
      <c r="W194" s="8">
        <f>IF(OR($B194="",$G194=""),"",IF(SUMPRODUCT(('利用者マスタ'!$A$4:$A$60=$B194)*('利用者マスタ'!$B$4:$B$60&lt;&gt;""))=0,"",IF(SUMIFS($X$5:$X$204,$B$5:$B$204,$B194,$G$5:$G$204,"&gt;="&amp;DATE(YEAR($G194),MONTH($G194),1),$G$5:$G$204,"&lt;="&amp;EOMONTH($G194,0))&gt;SUMIFS('利用者マスタ'!$B$4:$B$60,'利用者マスタ'!$A$4:$A$60,$B194),"⚠支給量超過","")))</f>
        <v/>
      </c>
      <c r="X194" s="8">
        <f>IF(OR($G194="",$J194="",$N194="キャンセル"),0,IF(IFERROR(INDEX('M_区分'!$B$4:$B$20,MATCH($C194,'M_区分'!$A$4:$A$20,0)),"○")="○",$J194-$G194+1,0))</f>
        <v/>
      </c>
      <c r="Y194" s="8">
        <f>IF($E194&lt;&gt;"",$E194,$Y193)</f>
        <v/>
      </c>
      <c r="Z194" s="8">
        <f>IF(OR($G194="",$J194=""),"",IF(AND($G194&lt;=EOMONTH('02_カレンダー'!$B$4,0),$J194&gt;='02_カレンダー'!$B$4),$G194*10000+ROW(),""))</f>
        <v/>
      </c>
      <c r="AA194" s="8">
        <f>IF($H194="","",IF(ISNUMBER($H194),IF(AND($H194=INT($H194),$H194&gt;=0,$H194&lt;=24),TEXT(INT($H194),"00")&amp;":00",TEXT($H194,"hh:mm")),$H194))</f>
        <v/>
      </c>
      <c r="AB194" s="8">
        <f>IF($K194="","",IF(ISNUMBER($K194),IF(AND($K194=INT($K194),$K194&gt;=0,$K194&lt;=24),TEXT(INT($K194),"00")&amp;":00",TEXT($K194,"hh:mm")),$K194))</f>
        <v/>
      </c>
      <c r="AC194" s="8">
        <f>IF($G194="",0,$G194)</f>
        <v/>
      </c>
      <c r="AD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IF($F195="","",IF($F195&gt;31,$F195,IF($Y195="","",DATE(YEAR($Y195),MONTH($Y195),$F195))))</f>
        <v/>
      </c>
      <c r="H195" s="9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9" t="n"/>
      <c r="L195" s="8">
        <f>IF(OR($G195="",$J195=""),"",$J195-$G195+1)</f>
        <v/>
      </c>
      <c r="M195" s="8">
        <f>IF(OR($G195="",$J195=""),"",$J195-$G195)</f>
        <v/>
      </c>
      <c r="N195" s="9" t="n"/>
      <c r="O195" s="9" t="n"/>
      <c r="P195" s="9" t="n"/>
      <c r="Q195" s="9" t="n"/>
      <c r="R195" s="9" t="n"/>
      <c r="S195" s="9" t="n"/>
      <c r="T195" s="13" t="n"/>
      <c r="U195" s="9" t="n"/>
      <c r="V195" s="8">
        <f>IF($G195="","",IF($D195="","⚠部屋が未選択",IF(COUNTIF('M_部屋'!$A$4:$A$20,$D195)=0,"⚠部屋が未登録",IF(OR($J195="",$N195="キャンセル"),"",IF(SUMPRODUCT(($D$5:$D$204=$D195)*($G$5:$G$204&lt;&gt;"")*($J$5:$J$204&lt;&gt;"")*($N$5:$N$204&lt;&gt;"キャンセル")*($G$5:$G$204&lt;$J195)*($J$5:$J$204&gt;$G195))&gt;1,"⚠重複","")))))</f>
        <v/>
      </c>
      <c r="W195" s="8">
        <f>IF(OR($B195="",$G195=""),"",IF(SUMPRODUCT(('利用者マスタ'!$A$4:$A$60=$B195)*('利用者マスタ'!$B$4:$B$60&lt;&gt;""))=0,"",IF(SUMIFS($X$5:$X$204,$B$5:$B$204,$B195,$G$5:$G$204,"&gt;="&amp;DATE(YEAR($G195),MONTH($G195),1),$G$5:$G$204,"&lt;="&amp;EOMONTH($G195,0))&gt;SUMIFS('利用者マスタ'!$B$4:$B$60,'利用者マスタ'!$A$4:$A$60,$B195),"⚠支給量超過","")))</f>
        <v/>
      </c>
      <c r="X195" s="8">
        <f>IF(OR($G195="",$J195="",$N195="キャンセル"),0,IF(IFERROR(INDEX('M_区分'!$B$4:$B$20,MATCH($C195,'M_区分'!$A$4:$A$20,0)),"○")="○",$J195-$G195+1,0))</f>
        <v/>
      </c>
      <c r="Y195" s="8">
        <f>IF($E195&lt;&gt;"",$E195,$Y194)</f>
        <v/>
      </c>
      <c r="Z195" s="8">
        <f>IF(OR($G195="",$J195=""),"",IF(AND($G195&lt;=EOMONTH('02_カレンダー'!$B$4,0),$J195&gt;='02_カレンダー'!$B$4),$G195*10000+ROW(),""))</f>
        <v/>
      </c>
      <c r="AA195" s="8">
        <f>IF($H195="","",IF(ISNUMBER($H195),IF(AND($H195=INT($H195),$H195&gt;=0,$H195&lt;=24),TEXT(INT($H195),"00")&amp;":00",TEXT($H195,"hh:mm")),$H195))</f>
        <v/>
      </c>
      <c r="AB195" s="8">
        <f>IF($K195="","",IF(ISNUMBER($K195),IF(AND($K195=INT($K195),$K195&gt;=0,$K195&lt;=24),TEXT(INT($K195),"00")&amp;":00",TEXT($K195,"hh:mm")),$K195))</f>
        <v/>
      </c>
      <c r="AC195" s="8">
        <f>IF($G195="",0,$G195)</f>
        <v/>
      </c>
      <c r="AD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IF($F196="","",IF($F196&gt;31,$F196,IF($Y196="","",DATE(YEAR($Y196),MONTH($Y196),$F196))))</f>
        <v/>
      </c>
      <c r="H196" s="9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9" t="n"/>
      <c r="L196" s="8">
        <f>IF(OR($G196="",$J196=""),"",$J196-$G196+1)</f>
        <v/>
      </c>
      <c r="M196" s="8">
        <f>IF(OR($G196="",$J196=""),"",$J196-$G196)</f>
        <v/>
      </c>
      <c r="N196" s="9" t="n"/>
      <c r="O196" s="9" t="n"/>
      <c r="P196" s="9" t="n"/>
      <c r="Q196" s="9" t="n"/>
      <c r="R196" s="9" t="n"/>
      <c r="S196" s="9" t="n"/>
      <c r="T196" s="13" t="n"/>
      <c r="U196" s="9" t="n"/>
      <c r="V196" s="8">
        <f>IF($G196="","",IF($D196="","⚠部屋が未選択",IF(COUNTIF('M_部屋'!$A$4:$A$20,$D196)=0,"⚠部屋が未登録",IF(OR($J196="",$N196="キャンセル"),"",IF(SUMPRODUCT(($D$5:$D$204=$D196)*($G$5:$G$204&lt;&gt;"")*($J$5:$J$204&lt;&gt;"")*($N$5:$N$204&lt;&gt;"キャンセル")*($G$5:$G$204&lt;$J196)*($J$5:$J$204&gt;$G196))&gt;1,"⚠重複","")))))</f>
        <v/>
      </c>
      <c r="W196" s="8">
        <f>IF(OR($B196="",$G196=""),"",IF(SUMPRODUCT(('利用者マスタ'!$A$4:$A$60=$B196)*('利用者マスタ'!$B$4:$B$60&lt;&gt;""))=0,"",IF(SUMIFS($X$5:$X$204,$B$5:$B$204,$B196,$G$5:$G$204,"&gt;="&amp;DATE(YEAR($G196),MONTH($G196),1),$G$5:$G$204,"&lt;="&amp;EOMONTH($G196,0))&gt;SUMIFS('利用者マスタ'!$B$4:$B$60,'利用者マスタ'!$A$4:$A$60,$B196),"⚠支給量超過","")))</f>
        <v/>
      </c>
      <c r="X196" s="8">
        <f>IF(OR($G196="",$J196="",$N196="キャンセル"),0,IF(IFERROR(INDEX('M_区分'!$B$4:$B$20,MATCH($C196,'M_区分'!$A$4:$A$20,0)),"○")="○",$J196-$G196+1,0))</f>
        <v/>
      </c>
      <c r="Y196" s="8">
        <f>IF($E196&lt;&gt;"",$E196,$Y195)</f>
        <v/>
      </c>
      <c r="Z196" s="8">
        <f>IF(OR($G196="",$J196=""),"",IF(AND($G196&lt;=EOMONTH('02_カレンダー'!$B$4,0),$J196&gt;='02_カレンダー'!$B$4),$G196*10000+ROW(),""))</f>
        <v/>
      </c>
      <c r="AA196" s="8">
        <f>IF($H196="","",IF(ISNUMBER($H196),IF(AND($H196=INT($H196),$H196&gt;=0,$H196&lt;=24),TEXT(INT($H196),"00")&amp;":00",TEXT($H196,"hh:mm")),$H196))</f>
        <v/>
      </c>
      <c r="AB196" s="8">
        <f>IF($K196="","",IF(ISNUMBER($K196),IF(AND($K196=INT($K196),$K196&gt;=0,$K196&lt;=24),TEXT(INT($K196),"00")&amp;":00",TEXT($K196,"hh:mm")),$K196))</f>
        <v/>
      </c>
      <c r="AC196" s="8">
        <f>IF($G196="",0,$G196)</f>
        <v/>
      </c>
      <c r="AD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IF($F197="","",IF($F197&gt;31,$F197,IF($Y197="","",DATE(YEAR($Y197),MONTH($Y197),$F197))))</f>
        <v/>
      </c>
      <c r="H197" s="9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9" t="n"/>
      <c r="L197" s="8">
        <f>IF(OR($G197="",$J197=""),"",$J197-$G197+1)</f>
        <v/>
      </c>
      <c r="M197" s="8">
        <f>IF(OR($G197="",$J197=""),"",$J197-$G197)</f>
        <v/>
      </c>
      <c r="N197" s="9" t="n"/>
      <c r="O197" s="9" t="n"/>
      <c r="P197" s="9" t="n"/>
      <c r="Q197" s="9" t="n"/>
      <c r="R197" s="9" t="n"/>
      <c r="S197" s="9" t="n"/>
      <c r="T197" s="13" t="n"/>
      <c r="U197" s="9" t="n"/>
      <c r="V197" s="8">
        <f>IF($G197="","",IF($D197="","⚠部屋が未選択",IF(COUNTIF('M_部屋'!$A$4:$A$20,$D197)=0,"⚠部屋が未登録",IF(OR($J197="",$N197="キャンセル"),"",IF(SUMPRODUCT(($D$5:$D$204=$D197)*($G$5:$G$204&lt;&gt;"")*($J$5:$J$204&lt;&gt;"")*($N$5:$N$204&lt;&gt;"キャンセル")*($G$5:$G$204&lt;$J197)*($J$5:$J$204&gt;$G197))&gt;1,"⚠重複","")))))</f>
        <v/>
      </c>
      <c r="W197" s="8">
        <f>IF(OR($B197="",$G197=""),"",IF(SUMPRODUCT(('利用者マスタ'!$A$4:$A$60=$B197)*('利用者マスタ'!$B$4:$B$60&lt;&gt;""))=0,"",IF(SUMIFS($X$5:$X$204,$B$5:$B$204,$B197,$G$5:$G$204,"&gt;="&amp;DATE(YEAR($G197),MONTH($G197),1),$G$5:$G$204,"&lt;="&amp;EOMONTH($G197,0))&gt;SUMIFS('利用者マスタ'!$B$4:$B$60,'利用者マスタ'!$A$4:$A$60,$B197),"⚠支給量超過","")))</f>
        <v/>
      </c>
      <c r="X197" s="8">
        <f>IF(OR($G197="",$J197="",$N197="キャンセル"),0,IF(IFERROR(INDEX('M_区分'!$B$4:$B$20,MATCH($C197,'M_区分'!$A$4:$A$20,0)),"○")="○",$J197-$G197+1,0))</f>
        <v/>
      </c>
      <c r="Y197" s="8">
        <f>IF($E197&lt;&gt;"",$E197,$Y196)</f>
        <v/>
      </c>
      <c r="Z197" s="8">
        <f>IF(OR($G197="",$J197=""),"",IF(AND($G197&lt;=EOMONTH('02_カレンダー'!$B$4,0),$J197&gt;='02_カレンダー'!$B$4),$G197*10000+ROW(),""))</f>
        <v/>
      </c>
      <c r="AA197" s="8">
        <f>IF($H197="","",IF(ISNUMBER($H197),IF(AND($H197=INT($H197),$H197&gt;=0,$H197&lt;=24),TEXT(INT($H197),"00")&amp;":00",TEXT($H197,"hh:mm")),$H197))</f>
        <v/>
      </c>
      <c r="AB197" s="8">
        <f>IF($K197="","",IF(ISNUMBER($K197),IF(AND($K197=INT($K197),$K197&gt;=0,$K197&lt;=24),TEXT(INT($K197),"00")&amp;":00",TEXT($K197,"hh:mm")),$K197))</f>
        <v/>
      </c>
      <c r="AC197" s="8">
        <f>IF($G197="",0,$G197)</f>
        <v/>
      </c>
      <c r="AD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IF($F198="","",IF($F198&gt;31,$F198,IF($Y198="","",DATE(YEAR($Y198),MONTH($Y198),$F198))))</f>
        <v/>
      </c>
      <c r="H198" s="9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9" t="n"/>
      <c r="L198" s="8">
        <f>IF(OR($G198="",$J198=""),"",$J198-$G198+1)</f>
        <v/>
      </c>
      <c r="M198" s="8">
        <f>IF(OR($G198="",$J198=""),"",$J198-$G198)</f>
        <v/>
      </c>
      <c r="N198" s="9" t="n"/>
      <c r="O198" s="9" t="n"/>
      <c r="P198" s="9" t="n"/>
      <c r="Q198" s="9" t="n"/>
      <c r="R198" s="9" t="n"/>
      <c r="S198" s="9" t="n"/>
      <c r="T198" s="13" t="n"/>
      <c r="U198" s="9" t="n"/>
      <c r="V198" s="8">
        <f>IF($G198="","",IF($D198="","⚠部屋が未選択",IF(COUNTIF('M_部屋'!$A$4:$A$20,$D198)=0,"⚠部屋が未登録",IF(OR($J198="",$N198="キャンセル"),"",IF(SUMPRODUCT(($D$5:$D$204=$D198)*($G$5:$G$204&lt;&gt;"")*($J$5:$J$204&lt;&gt;"")*($N$5:$N$204&lt;&gt;"キャンセル")*($G$5:$G$204&lt;$J198)*($J$5:$J$204&gt;$G198))&gt;1,"⚠重複","")))))</f>
        <v/>
      </c>
      <c r="W198" s="8">
        <f>IF(OR($B198="",$G198=""),"",IF(SUMPRODUCT(('利用者マスタ'!$A$4:$A$60=$B198)*('利用者マスタ'!$B$4:$B$60&lt;&gt;""))=0,"",IF(SUMIFS($X$5:$X$204,$B$5:$B$204,$B198,$G$5:$G$204,"&gt;="&amp;DATE(YEAR($G198),MONTH($G198),1),$G$5:$G$204,"&lt;="&amp;EOMONTH($G198,0))&gt;SUMIFS('利用者マスタ'!$B$4:$B$60,'利用者マスタ'!$A$4:$A$60,$B198),"⚠支給量超過","")))</f>
        <v/>
      </c>
      <c r="X198" s="8">
        <f>IF(OR($G198="",$J198="",$N198="キャンセル"),0,IF(IFERROR(INDEX('M_区分'!$B$4:$B$20,MATCH($C198,'M_区分'!$A$4:$A$20,0)),"○")="○",$J198-$G198+1,0))</f>
        <v/>
      </c>
      <c r="Y198" s="8">
        <f>IF($E198&lt;&gt;"",$E198,$Y197)</f>
        <v/>
      </c>
      <c r="Z198" s="8">
        <f>IF(OR($G198="",$J198=""),"",IF(AND($G198&lt;=EOMONTH('02_カレンダー'!$B$4,0),$J198&gt;='02_カレンダー'!$B$4),$G198*10000+ROW(),""))</f>
        <v/>
      </c>
      <c r="AA198" s="8">
        <f>IF($H198="","",IF(ISNUMBER($H198),IF(AND($H198=INT($H198),$H198&gt;=0,$H198&lt;=24),TEXT(INT($H198),"00")&amp;":00",TEXT($H198,"hh:mm")),$H198))</f>
        <v/>
      </c>
      <c r="AB198" s="8">
        <f>IF($K198="","",IF(ISNUMBER($K198),IF(AND($K198=INT($K198),$K198&gt;=0,$K198&lt;=24),TEXT(INT($K198),"00")&amp;":00",TEXT($K198,"hh:mm")),$K198))</f>
        <v/>
      </c>
      <c r="AC198" s="8">
        <f>IF($G198="",0,$G198)</f>
        <v/>
      </c>
      <c r="AD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IF($F199="","",IF($F199&gt;31,$F199,IF($Y199="","",DATE(YEAR($Y199),MONTH($Y199),$F199))))</f>
        <v/>
      </c>
      <c r="H199" s="9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9" t="n"/>
      <c r="L199" s="8">
        <f>IF(OR($G199="",$J199=""),"",$J199-$G199+1)</f>
        <v/>
      </c>
      <c r="M199" s="8">
        <f>IF(OR($G199="",$J199=""),"",$J199-$G199)</f>
        <v/>
      </c>
      <c r="N199" s="9" t="n"/>
      <c r="O199" s="9" t="n"/>
      <c r="P199" s="9" t="n"/>
      <c r="Q199" s="9" t="n"/>
      <c r="R199" s="9" t="n"/>
      <c r="S199" s="9" t="n"/>
      <c r="T199" s="13" t="n"/>
      <c r="U199" s="9" t="n"/>
      <c r="V199" s="8">
        <f>IF($G199="","",IF($D199="","⚠部屋が未選択",IF(COUNTIF('M_部屋'!$A$4:$A$20,$D199)=0,"⚠部屋が未登録",IF(OR($J199="",$N199="キャンセル"),"",IF(SUMPRODUCT(($D$5:$D$204=$D199)*($G$5:$G$204&lt;&gt;"")*($J$5:$J$204&lt;&gt;"")*($N$5:$N$204&lt;&gt;"キャンセル")*($G$5:$G$204&lt;$J199)*($J$5:$J$204&gt;$G199))&gt;1,"⚠重複","")))))</f>
        <v/>
      </c>
      <c r="W199" s="8">
        <f>IF(OR($B199="",$G199=""),"",IF(SUMPRODUCT(('利用者マスタ'!$A$4:$A$60=$B199)*('利用者マスタ'!$B$4:$B$60&lt;&gt;""))=0,"",IF(SUMIFS($X$5:$X$204,$B$5:$B$204,$B199,$G$5:$G$204,"&gt;="&amp;DATE(YEAR($G199),MONTH($G199),1),$G$5:$G$204,"&lt;="&amp;EOMONTH($G199,0))&gt;SUMIFS('利用者マスタ'!$B$4:$B$60,'利用者マスタ'!$A$4:$A$60,$B199),"⚠支給量超過","")))</f>
        <v/>
      </c>
      <c r="X199" s="8">
        <f>IF(OR($G199="",$J199="",$N199="キャンセル"),0,IF(IFERROR(INDEX('M_区分'!$B$4:$B$20,MATCH($C199,'M_区分'!$A$4:$A$20,0)),"○")="○",$J199-$G199+1,0))</f>
        <v/>
      </c>
      <c r="Y199" s="8">
        <f>IF($E199&lt;&gt;"",$E199,$Y198)</f>
        <v/>
      </c>
      <c r="Z199" s="8">
        <f>IF(OR($G199="",$J199=""),"",IF(AND($G199&lt;=EOMONTH('02_カレンダー'!$B$4,0),$J199&gt;='02_カレンダー'!$B$4),$G199*10000+ROW(),""))</f>
        <v/>
      </c>
      <c r="AA199" s="8">
        <f>IF($H199="","",IF(ISNUMBER($H199),IF(AND($H199=INT($H199),$H199&gt;=0,$H199&lt;=24),TEXT(INT($H199),"00")&amp;":00",TEXT($H199,"hh:mm")),$H199))</f>
        <v/>
      </c>
      <c r="AB199" s="8">
        <f>IF($K199="","",IF(ISNUMBER($K199),IF(AND($K199=INT($K199),$K199&gt;=0,$K199&lt;=24),TEXT(INT($K199),"00")&amp;":00",TEXT($K199,"hh:mm")),$K199))</f>
        <v/>
      </c>
      <c r="AC199" s="8">
        <f>IF($G199="",0,$G199)</f>
        <v/>
      </c>
      <c r="AD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IF($F200="","",IF($F200&gt;31,$F200,IF($Y200="","",DATE(YEAR($Y200),MONTH($Y200),$F200))))</f>
        <v/>
      </c>
      <c r="H200" s="9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9" t="n"/>
      <c r="L200" s="8">
        <f>IF(OR($G200="",$J200=""),"",$J200-$G200+1)</f>
        <v/>
      </c>
      <c r="M200" s="8">
        <f>IF(OR($G200="",$J200=""),"",$J200-$G200)</f>
        <v/>
      </c>
      <c r="N200" s="9" t="n"/>
      <c r="O200" s="9" t="n"/>
      <c r="P200" s="9" t="n"/>
      <c r="Q200" s="9" t="n"/>
      <c r="R200" s="9" t="n"/>
      <c r="S200" s="9" t="n"/>
      <c r="T200" s="13" t="n"/>
      <c r="U200" s="9" t="n"/>
      <c r="V200" s="8">
        <f>IF($G200="","",IF($D200="","⚠部屋が未選択",IF(COUNTIF('M_部屋'!$A$4:$A$20,$D200)=0,"⚠部屋が未登録",IF(OR($J200="",$N200="キャンセル"),"",IF(SUMPRODUCT(($D$5:$D$204=$D200)*($G$5:$G$204&lt;&gt;"")*($J$5:$J$204&lt;&gt;"")*($N$5:$N$204&lt;&gt;"キャンセル")*($G$5:$G$204&lt;$J200)*($J$5:$J$204&gt;$G200))&gt;1,"⚠重複","")))))</f>
        <v/>
      </c>
      <c r="W200" s="8">
        <f>IF(OR($B200="",$G200=""),"",IF(SUMPRODUCT(('利用者マスタ'!$A$4:$A$60=$B200)*('利用者マスタ'!$B$4:$B$60&lt;&gt;""))=0,"",IF(SUMIFS($X$5:$X$204,$B$5:$B$204,$B200,$G$5:$G$204,"&gt;="&amp;DATE(YEAR($G200),MONTH($G200),1),$G$5:$G$204,"&lt;="&amp;EOMONTH($G200,0))&gt;SUMIFS('利用者マスタ'!$B$4:$B$60,'利用者マスタ'!$A$4:$A$60,$B200),"⚠支給量超過","")))</f>
        <v/>
      </c>
      <c r="X200" s="8">
        <f>IF(OR($G200="",$J200="",$N200="キャンセル"),0,IF(IFERROR(INDEX('M_区分'!$B$4:$B$20,MATCH($C200,'M_区分'!$A$4:$A$20,0)),"○")="○",$J200-$G200+1,0))</f>
        <v/>
      </c>
      <c r="Y200" s="8">
        <f>IF($E200&lt;&gt;"",$E200,$Y199)</f>
        <v/>
      </c>
      <c r="Z200" s="8">
        <f>IF(OR($G200="",$J200=""),"",IF(AND($G200&lt;=EOMONTH('02_カレンダー'!$B$4,0),$J200&gt;='02_カレンダー'!$B$4),$G200*10000+ROW(),""))</f>
        <v/>
      </c>
      <c r="AA200" s="8">
        <f>IF($H200="","",IF(ISNUMBER($H200),IF(AND($H200=INT($H200),$H200&gt;=0,$H200&lt;=24),TEXT(INT($H200),"00")&amp;":00",TEXT($H200,"hh:mm")),$H200))</f>
        <v/>
      </c>
      <c r="AB200" s="8">
        <f>IF($K200="","",IF(ISNUMBER($K200),IF(AND($K200=INT($K200),$K200&gt;=0,$K200&lt;=24),TEXT(INT($K200),"00")&amp;":00",TEXT($K200,"hh:mm")),$K200))</f>
        <v/>
      </c>
      <c r="AC200" s="8">
        <f>IF($G200="",0,$G200)</f>
        <v/>
      </c>
      <c r="AD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IF($F201="","",IF($F201&gt;31,$F201,IF($Y201="","",DATE(YEAR($Y201),MONTH($Y201),$F201))))</f>
        <v/>
      </c>
      <c r="H201" s="9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9" t="n"/>
      <c r="L201" s="8">
        <f>IF(OR($G201="",$J201=""),"",$J201-$G201+1)</f>
        <v/>
      </c>
      <c r="M201" s="8">
        <f>IF(OR($G201="",$J201=""),"",$J201-$G201)</f>
        <v/>
      </c>
      <c r="N201" s="9" t="n"/>
      <c r="O201" s="9" t="n"/>
      <c r="P201" s="9" t="n"/>
      <c r="Q201" s="9" t="n"/>
      <c r="R201" s="9" t="n"/>
      <c r="S201" s="9" t="n"/>
      <c r="T201" s="13" t="n"/>
      <c r="U201" s="9" t="n"/>
      <c r="V201" s="8">
        <f>IF($G201="","",IF($D201="","⚠部屋が未選択",IF(COUNTIF('M_部屋'!$A$4:$A$20,$D201)=0,"⚠部屋が未登録",IF(OR($J201="",$N201="キャンセル"),"",IF(SUMPRODUCT(($D$5:$D$204=$D201)*($G$5:$G$204&lt;&gt;"")*($J$5:$J$204&lt;&gt;"")*($N$5:$N$204&lt;&gt;"キャンセル")*($G$5:$G$204&lt;$J201)*($J$5:$J$204&gt;$G201))&gt;1,"⚠重複","")))))</f>
        <v/>
      </c>
      <c r="W201" s="8">
        <f>IF(OR($B201="",$G201=""),"",IF(SUMPRODUCT(('利用者マスタ'!$A$4:$A$60=$B201)*('利用者マスタ'!$B$4:$B$60&lt;&gt;""))=0,"",IF(SUMIFS($X$5:$X$204,$B$5:$B$204,$B201,$G$5:$G$204,"&gt;="&amp;DATE(YEAR($G201),MONTH($G201),1),$G$5:$G$204,"&lt;="&amp;EOMONTH($G201,0))&gt;SUMIFS('利用者マスタ'!$B$4:$B$60,'利用者マスタ'!$A$4:$A$60,$B201),"⚠支給量超過","")))</f>
        <v/>
      </c>
      <c r="X201" s="8">
        <f>IF(OR($G201="",$J201="",$N201="キャンセル"),0,IF(IFERROR(INDEX('M_区分'!$B$4:$B$20,MATCH($C201,'M_区分'!$A$4:$A$20,0)),"○")="○",$J201-$G201+1,0))</f>
        <v/>
      </c>
      <c r="Y201" s="8">
        <f>IF($E201&lt;&gt;"",$E201,$Y200)</f>
        <v/>
      </c>
      <c r="Z201" s="8">
        <f>IF(OR($G201="",$J201=""),"",IF(AND($G201&lt;=EOMONTH('02_カレンダー'!$B$4,0),$J201&gt;='02_カレンダー'!$B$4),$G201*10000+ROW(),""))</f>
        <v/>
      </c>
      <c r="AA201" s="8">
        <f>IF($H201="","",IF(ISNUMBER($H201),IF(AND($H201=INT($H201),$H201&gt;=0,$H201&lt;=24),TEXT(INT($H201),"00")&amp;":00",TEXT($H201,"hh:mm")),$H201))</f>
        <v/>
      </c>
      <c r="AB201" s="8">
        <f>IF($K201="","",IF(ISNUMBER($K201),IF(AND($K201=INT($K201),$K201&gt;=0,$K201&lt;=24),TEXT(INT($K201),"00")&amp;":00",TEXT($K201,"hh:mm")),$K201))</f>
        <v/>
      </c>
      <c r="AC201" s="8">
        <f>IF($G201="",0,$G201)</f>
        <v/>
      </c>
      <c r="AD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IF($F202="","",IF($F202&gt;31,$F202,IF($Y202="","",DATE(YEAR($Y202),MONTH($Y202),$F202))))</f>
        <v/>
      </c>
      <c r="H202" s="9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9" t="n"/>
      <c r="L202" s="8">
        <f>IF(OR($G202="",$J202=""),"",$J202-$G202+1)</f>
        <v/>
      </c>
      <c r="M202" s="8">
        <f>IF(OR($G202="",$J202=""),"",$J202-$G202)</f>
        <v/>
      </c>
      <c r="N202" s="9" t="n"/>
      <c r="O202" s="9" t="n"/>
      <c r="P202" s="9" t="n"/>
      <c r="Q202" s="9" t="n"/>
      <c r="R202" s="9" t="n"/>
      <c r="S202" s="9" t="n"/>
      <c r="T202" s="13" t="n"/>
      <c r="U202" s="9" t="n"/>
      <c r="V202" s="8">
        <f>IF($G202="","",IF($D202="","⚠部屋が未選択",IF(COUNTIF('M_部屋'!$A$4:$A$20,$D202)=0,"⚠部屋が未登録",IF(OR($J202="",$N202="キャンセル"),"",IF(SUMPRODUCT(($D$5:$D$204=$D202)*($G$5:$G$204&lt;&gt;"")*($J$5:$J$204&lt;&gt;"")*($N$5:$N$204&lt;&gt;"キャンセル")*($G$5:$G$204&lt;$J202)*($J$5:$J$204&gt;$G202))&gt;1,"⚠重複","")))))</f>
        <v/>
      </c>
      <c r="W202" s="8">
        <f>IF(OR($B202="",$G202=""),"",IF(SUMPRODUCT(('利用者マスタ'!$A$4:$A$60=$B202)*('利用者マスタ'!$B$4:$B$60&lt;&gt;""))=0,"",IF(SUMIFS($X$5:$X$204,$B$5:$B$204,$B202,$G$5:$G$204,"&gt;="&amp;DATE(YEAR($G202),MONTH($G202),1),$G$5:$G$204,"&lt;="&amp;EOMONTH($G202,0))&gt;SUMIFS('利用者マスタ'!$B$4:$B$60,'利用者マスタ'!$A$4:$A$60,$B202),"⚠支給量超過","")))</f>
        <v/>
      </c>
      <c r="X202" s="8">
        <f>IF(OR($G202="",$J202="",$N202="キャンセル"),0,IF(IFERROR(INDEX('M_区分'!$B$4:$B$20,MATCH($C202,'M_区分'!$A$4:$A$20,0)),"○")="○",$J202-$G202+1,0))</f>
        <v/>
      </c>
      <c r="Y202" s="8">
        <f>IF($E202&lt;&gt;"",$E202,$Y201)</f>
        <v/>
      </c>
      <c r="Z202" s="8">
        <f>IF(OR($G202="",$J202=""),"",IF(AND($G202&lt;=EOMONTH('02_カレンダー'!$B$4,0),$J202&gt;='02_カレンダー'!$B$4),$G202*10000+ROW(),""))</f>
        <v/>
      </c>
      <c r="AA202" s="8">
        <f>IF($H202="","",IF(ISNUMBER($H202),IF(AND($H202=INT($H202),$H202&gt;=0,$H202&lt;=24),TEXT(INT($H202),"00")&amp;":00",TEXT($H202,"hh:mm")),$H202))</f>
        <v/>
      </c>
      <c r="AB202" s="8">
        <f>IF($K202="","",IF(ISNUMBER($K202),IF(AND($K202=INT($K202),$K202&gt;=0,$K202&lt;=24),TEXT(INT($K202),"00")&amp;":00",TEXT($K202,"hh:mm")),$K202))</f>
        <v/>
      </c>
      <c r="AC202" s="8">
        <f>IF($G202="",0,$G202)</f>
        <v/>
      </c>
      <c r="AD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IF($F203="","",IF($F203&gt;31,$F203,IF($Y203="","",DATE(YEAR($Y203),MONTH($Y203),$F203))))</f>
        <v/>
      </c>
      <c r="H203" s="9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9" t="n"/>
      <c r="L203" s="8">
        <f>IF(OR($G203="",$J203=""),"",$J203-$G203+1)</f>
        <v/>
      </c>
      <c r="M203" s="8">
        <f>IF(OR($G203="",$J203=""),"",$J203-$G203)</f>
        <v/>
      </c>
      <c r="N203" s="9" t="n"/>
      <c r="O203" s="9" t="n"/>
      <c r="P203" s="9" t="n"/>
      <c r="Q203" s="9" t="n"/>
      <c r="R203" s="9" t="n"/>
      <c r="S203" s="9" t="n"/>
      <c r="T203" s="13" t="n"/>
      <c r="U203" s="9" t="n"/>
      <c r="V203" s="8">
        <f>IF($G203="","",IF($D203="","⚠部屋が未選択",IF(COUNTIF('M_部屋'!$A$4:$A$20,$D203)=0,"⚠部屋が未登録",IF(OR($J203="",$N203="キャンセル"),"",IF(SUMPRODUCT(($D$5:$D$204=$D203)*($G$5:$G$204&lt;&gt;"")*($J$5:$J$204&lt;&gt;"")*($N$5:$N$204&lt;&gt;"キャンセル")*($G$5:$G$204&lt;$J203)*($J$5:$J$204&gt;$G203))&gt;1,"⚠重複","")))))</f>
        <v/>
      </c>
      <c r="W203" s="8">
        <f>IF(OR($B203="",$G203=""),"",IF(SUMPRODUCT(('利用者マスタ'!$A$4:$A$60=$B203)*('利用者マスタ'!$B$4:$B$60&lt;&gt;""))=0,"",IF(SUMIFS($X$5:$X$204,$B$5:$B$204,$B203,$G$5:$G$204,"&gt;="&amp;DATE(YEAR($G203),MONTH($G203),1),$G$5:$G$204,"&lt;="&amp;EOMONTH($G203,0))&gt;SUMIFS('利用者マスタ'!$B$4:$B$60,'利用者マスタ'!$A$4:$A$60,$B203),"⚠支給量超過","")))</f>
        <v/>
      </c>
      <c r="X203" s="8">
        <f>IF(OR($G203="",$J203="",$N203="キャンセル"),0,IF(IFERROR(INDEX('M_区分'!$B$4:$B$20,MATCH($C203,'M_区分'!$A$4:$A$20,0)),"○")="○",$J203-$G203+1,0))</f>
        <v/>
      </c>
      <c r="Y203" s="8">
        <f>IF($E203&lt;&gt;"",$E203,$Y202)</f>
        <v/>
      </c>
      <c r="Z203" s="8">
        <f>IF(OR($G203="",$J203=""),"",IF(AND($G203&lt;=EOMONTH('02_カレンダー'!$B$4,0),$J203&gt;='02_カレンダー'!$B$4),$G203*10000+ROW(),""))</f>
        <v/>
      </c>
      <c r="AA203" s="8">
        <f>IF($H203="","",IF(ISNUMBER($H203),IF(AND($H203=INT($H203),$H203&gt;=0,$H203&lt;=24),TEXT(INT($H203),"00")&amp;":00",TEXT($H203,"hh:mm")),$H203))</f>
        <v/>
      </c>
      <c r="AB203" s="8">
        <f>IF($K203="","",IF(ISNUMBER($K203),IF(AND($K203=INT($K203),$K203&gt;=0,$K203&lt;=24),TEXT(INT($K203),"00")&amp;":00",TEXT($K203,"hh:mm")),$K203))</f>
        <v/>
      </c>
      <c r="AC203" s="8">
        <f>IF($G203="",0,$G203)</f>
        <v/>
      </c>
      <c r="AD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IF($F204="","",IF($F204&gt;31,$F204,IF($Y204="","",DATE(YEAR($Y204),MONTH($Y204),$F204))))</f>
        <v/>
      </c>
      <c r="H204" s="9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9" t="n"/>
      <c r="L204" s="8">
        <f>IF(OR($G204="",$J204=""),"",$J204-$G204+1)</f>
        <v/>
      </c>
      <c r="M204" s="8">
        <f>IF(OR($G204="",$J204=""),"",$J204-$G204)</f>
        <v/>
      </c>
      <c r="N204" s="9" t="n"/>
      <c r="O204" s="9" t="n"/>
      <c r="P204" s="9" t="n"/>
      <c r="Q204" s="9" t="n"/>
      <c r="R204" s="9" t="n"/>
      <c r="S204" s="9" t="n"/>
      <c r="T204" s="13" t="n"/>
      <c r="U204" s="9" t="n"/>
      <c r="V204" s="8">
        <f>IF($G204="","",IF($D204="","⚠部屋が未選択",IF(COUNTIF('M_部屋'!$A$4:$A$20,$D204)=0,"⚠部屋が未登録",IF(OR($J204="",$N204="キャンセル"),"",IF(SUMPRODUCT(($D$5:$D$204=$D204)*($G$5:$G$204&lt;&gt;"")*($J$5:$J$204&lt;&gt;"")*($N$5:$N$204&lt;&gt;"キャンセル")*($G$5:$G$204&lt;$J204)*($J$5:$J$204&gt;$G204))&gt;1,"⚠重複","")))))</f>
        <v/>
      </c>
      <c r="W204" s="8">
        <f>IF(OR($B204="",$G204=""),"",IF(SUMPRODUCT(('利用者マスタ'!$A$4:$A$60=$B204)*('利用者マスタ'!$B$4:$B$60&lt;&gt;""))=0,"",IF(SUMIFS($X$5:$X$204,$B$5:$B$204,$B204,$G$5:$G$204,"&gt;="&amp;DATE(YEAR($G204),MONTH($G204),1),$G$5:$G$204,"&lt;="&amp;EOMONTH($G204,0))&gt;SUMIFS('利用者マスタ'!$B$4:$B$60,'利用者マスタ'!$A$4:$A$60,$B204),"⚠支給量超過","")))</f>
        <v/>
      </c>
      <c r="X204" s="8">
        <f>IF(OR($G204="",$J204="",$N204="キャンセル"),0,IF(IFERROR(INDEX('M_区分'!$B$4:$B$20,MATCH($C204,'M_区分'!$A$4:$A$20,0)),"○")="○",$J204-$G204+1,0))</f>
        <v/>
      </c>
      <c r="Y204" s="8">
        <f>IF($E204&lt;&gt;"",$E204,$Y203)</f>
        <v/>
      </c>
      <c r="Z204" s="8">
        <f>IF(OR($G204="",$J204=""),"",IF(AND($G204&lt;=EOMONTH('02_カレンダー'!$B$4,0),$J204&gt;='02_カレンダー'!$B$4),$G204*10000+ROW(),""))</f>
        <v/>
      </c>
      <c r="AA204" s="8">
        <f>IF($H204="","",IF(ISNUMBER($H204),IF(AND($H204=INT($H204),$H204&gt;=0,$H204&lt;=24),TEXT(INT($H204),"00")&amp;":00",TEXT($H204,"hh:mm")),$H204))</f>
        <v/>
      </c>
      <c r="AB204" s="8">
        <f>IF($K204="","",IF(ISNUMBER($K204),IF(AND($K204=INT($K204),$K204&gt;=0,$K204&lt;=24),TEXT(INT($K204),"00")&amp;":00",TEXT($K204,"hh:mm")),$K204))</f>
        <v/>
      </c>
      <c r="AC204" s="8">
        <f>IF($G204="",0,$G204)</f>
        <v/>
      </c>
      <c r="AD204" s="8">
        <f>IF($J204="",0,$J204)</f>
        <v/>
      </c>
    </row>
  </sheetData>
  <autoFilter ref="A4:X204"/>
  <conditionalFormatting sqref="A5:X204">
    <cfRule type="expression" priority="1" dxfId="0" stopIfTrue="1">
      <formula>$N5="キャンセル"</formula>
    </cfRule>
    <cfRule type="expression" priority="2" dxfId="1" stopIfTrue="1">
      <formula>$V5&lt;&gt;""</formula>
    </cfRule>
    <cfRule type="expression" priority="3" dxfId="2" stopIfTrue="1">
      <formula>$W5&lt;&gt;""</formula>
    </cfRule>
    <cfRule type="expression" priority="4" dxfId="3">
      <formula>OR($N5="仮予約",$N5="調整中")</formula>
    </cfRule>
  </conditionalFormatting>
  <dataValidations count="5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N5:N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O5:O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8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4" t="inlineStr">
        <is>
          <t>対象月</t>
        </is>
      </c>
      <c r="B3" s="15" t="n">
        <v>46235</v>
      </c>
      <c r="C3" s="2" t="inlineStr">
        <is>
          <t>その月の日付ならどれでも可（1日でなくてもかまいません）</t>
        </is>
      </c>
    </row>
    <row r="4">
      <c r="A4" s="14" t="inlineStr">
        <is>
          <t>月初</t>
        </is>
      </c>
      <c r="B4" s="16">
        <f>DATE(YEAR($B$3),MONTH($B$3),1)</f>
        <v/>
      </c>
      <c r="C4" s="2" t="inlineStr">
        <is>
          <t>自動</t>
        </is>
      </c>
    </row>
    <row r="5">
      <c r="A5" s="14" t="inlineStr">
        <is>
          <t>時刻を表示</t>
        </is>
      </c>
      <c r="B5" s="17" t="inlineStr">
        <is>
          <t>○</t>
        </is>
      </c>
      <c r="C5" s="2" t="inlineStr">
        <is>
          <t>○で入室・退室時刻を表示。狭く感じるときは空欄に</t>
        </is>
      </c>
    </row>
    <row r="6">
      <c r="A6" s="14" t="inlineStr">
        <is>
          <t>食事を表示</t>
        </is>
      </c>
      <c r="B6" s="17" t="inlineStr">
        <is>
          <t>○</t>
        </is>
      </c>
      <c r="C6" s="2" t="inlineStr">
        <is>
          <t>○で各週の下に朝・昼・夕の食数を表示。個別の調整はこのシートの下部で</t>
        </is>
      </c>
    </row>
    <row r="7">
      <c r="A7" s="14" t="inlineStr">
        <is>
          <t>確認</t>
        </is>
      </c>
      <c r="B7" s="18">
        <f>IF(SUMPRODUCT(('01_予約入力'!$D$5:$D$204="")*('01_予約入力'!$G$5:$G$204&lt;&gt;""))=0,"✓ 部屋の指定もれはありません","⚠ 部屋が未選択の予約が "&amp;SUMPRODUCT(('01_予約入力'!$D$5:$D$204="")*('01_予約入力'!$G$5:$G$204&lt;&gt;""))&amp;" 件あります。部屋の行には出ませんが「空き」の判定には数えています。01_予約入力 のV列（赤）をご確認ください。")</f>
        <v/>
      </c>
    </row>
    <row r="8" ht="24" customHeight="1">
      <c r="A8" s="19" t="inlineStr">
        <is>
          <t>記号</t>
        </is>
      </c>
      <c r="B8" s="20" t="inlineStr">
        <is>
          <t>日</t>
        </is>
      </c>
      <c r="C8" s="21" t="inlineStr">
        <is>
          <t>月</t>
        </is>
      </c>
      <c r="D8" s="21" t="inlineStr">
        <is>
          <t>火</t>
        </is>
      </c>
      <c r="E8" s="21" t="inlineStr">
        <is>
          <t>水</t>
        </is>
      </c>
      <c r="F8" s="21" t="inlineStr">
        <is>
          <t>木</t>
        </is>
      </c>
      <c r="G8" s="21" t="inlineStr">
        <is>
          <t>金</t>
        </is>
      </c>
      <c r="H8" s="22" t="inlineStr">
        <is>
          <t>土</t>
        </is>
      </c>
    </row>
    <row r="9" ht="22" customHeight="1">
      <c r="A9" s="23" t="inlineStr">
        <is>
          <t>第1週</t>
        </is>
      </c>
      <c r="B9" s="65">
        <f>IF(MONTH($B$4-WEEKDAY($B$4)+1+0)&lt;&gt;MONTH($B$4),"",$B$4-WEEKDAY($B$4)+1+0)</f>
        <v/>
      </c>
      <c r="C9" s="66">
        <f>IF(MONTH($B$4-WEEKDAY($B$4)+1+1)&lt;&gt;MONTH($B$4),"",$B$4-WEEKDAY($B$4)+1+1)</f>
        <v/>
      </c>
      <c r="D9" s="66">
        <f>IF(MONTH($B$4-WEEKDAY($B$4)+1+2)&lt;&gt;MONTH($B$4),"",$B$4-WEEKDAY($B$4)+1+2)</f>
        <v/>
      </c>
      <c r="E9" s="66">
        <f>IF(MONTH($B$4-WEEKDAY($B$4)+1+3)&lt;&gt;MONTH($B$4),"",$B$4-WEEKDAY($B$4)+1+3)</f>
        <v/>
      </c>
      <c r="F9" s="66">
        <f>IF(MONTH($B$4-WEEKDAY($B$4)+1+4)&lt;&gt;MONTH($B$4),"",$B$4-WEEKDAY($B$4)+1+4)</f>
        <v/>
      </c>
      <c r="G9" s="66">
        <f>IF(MONTH($B$4-WEEKDAY($B$4)+1+5)&lt;&gt;MONTH($B$4),"",$B$4-WEEKDAY($B$4)+1+5)</f>
        <v/>
      </c>
      <c r="H9" s="67">
        <f>IF(MONTH($B$4-WEEKDAY($B$4)+1+6)&lt;&gt;MONTH($B$4),"",$B$4-WEEKDAY($B$4)+1+6)</f>
        <v/>
      </c>
    </row>
    <row r="10" ht="21" customHeight="1">
      <c r="A10" s="27">
        <f>IF(COUNTA('M_部屋'!$A$4:$A$20)&gt;=1,INDEX('M_部屋'!$A$4:$A$20,1),"")</f>
        <v/>
      </c>
      <c r="B10" s="28">
        <f>IF(B9="","",IFERROR(INDEX('04_月間表'!C$7:C$37,MATCH(B9,'04_月間表'!$A$7:$A$37,0)),""))</f>
        <v/>
      </c>
      <c r="C10" s="28">
        <f>IF(C9="","",IFERROR(INDEX('04_月間表'!C$7:C$37,MATCH(C9,'04_月間表'!$A$7:$A$37,0)),""))</f>
        <v/>
      </c>
      <c r="D10" s="28">
        <f>IF(D9="","",IFERROR(INDEX('04_月間表'!C$7:C$37,MATCH(D9,'04_月間表'!$A$7:$A$37,0)),""))</f>
        <v/>
      </c>
      <c r="E10" s="28">
        <f>IF(E9="","",IFERROR(INDEX('04_月間表'!C$7:C$37,MATCH(E9,'04_月間表'!$A$7:$A$37,0)),""))</f>
        <v/>
      </c>
      <c r="F10" s="28">
        <f>IF(F9="","",IFERROR(INDEX('04_月間表'!C$7:C$37,MATCH(F9,'04_月間表'!$A$7:$A$37,0)),""))</f>
        <v/>
      </c>
      <c r="G10" s="28">
        <f>IF(G9="","",IFERROR(INDEX('04_月間表'!C$7:C$37,MATCH(G9,'04_月間表'!$A$7:$A$37,0)),""))</f>
        <v/>
      </c>
      <c r="H10" s="28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21" customHeight="1">
      <c r="A11" s="27">
        <f>IF(COUNTA('M_部屋'!$A$4:$A$20)&gt;=2,INDEX('M_部屋'!$A$4:$A$20,2),"")</f>
        <v/>
      </c>
      <c r="B11" s="28">
        <f>IF(B9="","",IFERROR(INDEX('04_月間表'!D$7:D$37,MATCH(B9,'04_月間表'!$A$7:$A$37,0)),""))</f>
        <v/>
      </c>
      <c r="C11" s="28">
        <f>IF(C9="","",IFERROR(INDEX('04_月間表'!D$7:D$37,MATCH(C9,'04_月間表'!$A$7:$A$37,0)),""))</f>
        <v/>
      </c>
      <c r="D11" s="28">
        <f>IF(D9="","",IFERROR(INDEX('04_月間表'!D$7:D$37,MATCH(D9,'04_月間表'!$A$7:$A$37,0)),""))</f>
        <v/>
      </c>
      <c r="E11" s="28">
        <f>IF(E9="","",IFERROR(INDEX('04_月間表'!D$7:D$37,MATCH(E9,'04_月間表'!$A$7:$A$37,0)),""))</f>
        <v/>
      </c>
      <c r="F11" s="28">
        <f>IF(F9="","",IFERROR(INDEX('04_月間表'!D$7:D$37,MATCH(F9,'04_月間表'!$A$7:$A$37,0)),""))</f>
        <v/>
      </c>
      <c r="G11" s="28">
        <f>IF(G9="","",IFERROR(INDEX('04_月間表'!D$7:D$37,MATCH(G9,'04_月間表'!$A$7:$A$37,0)),""))</f>
        <v/>
      </c>
      <c r="H11" s="28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21" customHeight="1">
      <c r="A12" s="27">
        <f>IF(COUNTA('M_部屋'!$A$4:$A$20)&gt;=3,INDEX('M_部屋'!$A$4:$A$20,3),"")</f>
        <v/>
      </c>
      <c r="B12" s="28">
        <f>IF(B9="","",IFERROR(INDEX('04_月間表'!E$7:E$37,MATCH(B9,'04_月間表'!$A$7:$A$37,0)),""))</f>
        <v/>
      </c>
      <c r="C12" s="28">
        <f>IF(C9="","",IFERROR(INDEX('04_月間表'!E$7:E$37,MATCH(C9,'04_月間表'!$A$7:$A$37,0)),""))</f>
        <v/>
      </c>
      <c r="D12" s="28">
        <f>IF(D9="","",IFERROR(INDEX('04_月間表'!E$7:E$37,MATCH(D9,'04_月間表'!$A$7:$A$37,0)),""))</f>
        <v/>
      </c>
      <c r="E12" s="28">
        <f>IF(E9="","",IFERROR(INDEX('04_月間表'!E$7:E$37,MATCH(E9,'04_月間表'!$A$7:$A$37,0)),""))</f>
        <v/>
      </c>
      <c r="F12" s="28">
        <f>IF(F9="","",IFERROR(INDEX('04_月間表'!E$7:E$37,MATCH(F9,'04_月間表'!$A$7:$A$37,0)),""))</f>
        <v/>
      </c>
      <c r="G12" s="28">
        <f>IF(G9="","",IFERROR(INDEX('04_月間表'!E$7:E$37,MATCH(G9,'04_月間表'!$A$7:$A$37,0)),""))</f>
        <v/>
      </c>
      <c r="H12" s="28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21" customHeight="1">
      <c r="A13" s="27">
        <f>IF(COUNTA('M_部屋'!$A$4:$A$20)&gt;=4,INDEX('M_部屋'!$A$4:$A$20,4),"")</f>
        <v/>
      </c>
      <c r="B13" s="28">
        <f>IF(B9="","",IFERROR(INDEX('04_月間表'!F$7:F$37,MATCH(B9,'04_月間表'!$A$7:$A$37,0)),""))</f>
        <v/>
      </c>
      <c r="C13" s="28">
        <f>IF(C9="","",IFERROR(INDEX('04_月間表'!F$7:F$37,MATCH(C9,'04_月間表'!$A$7:$A$37,0)),""))</f>
        <v/>
      </c>
      <c r="D13" s="28">
        <f>IF(D9="","",IFERROR(INDEX('04_月間表'!F$7:F$37,MATCH(D9,'04_月間表'!$A$7:$A$37,0)),""))</f>
        <v/>
      </c>
      <c r="E13" s="28">
        <f>IF(E9="","",IFERROR(INDEX('04_月間表'!F$7:F$37,MATCH(E9,'04_月間表'!$A$7:$A$37,0)),""))</f>
        <v/>
      </c>
      <c r="F13" s="28">
        <f>IF(F9="","",IFERROR(INDEX('04_月間表'!F$7:F$37,MATCH(F9,'04_月間表'!$A$7:$A$37,0)),""))</f>
        <v/>
      </c>
      <c r="G13" s="28">
        <f>IF(G9="","",IFERROR(INDEX('04_月間表'!F$7:F$37,MATCH(G9,'04_月間表'!$A$7:$A$37,0)),""))</f>
        <v/>
      </c>
      <c r="H13" s="28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22" customHeight="1">
      <c r="A14" s="27" t="inlineStr">
        <is>
          <t>空き</t>
        </is>
      </c>
      <c r="B14" s="29">
        <f>IF(B9="","",IFERROR(INDEX('04_月間表'!$J$7:$J$37,MATCH(B9,'04_月間表'!$A$7:$A$37,0)),""))</f>
        <v/>
      </c>
      <c r="C14" s="29">
        <f>IF(C9="","",IFERROR(INDEX('04_月間表'!$J$7:$J$37,MATCH(C9,'04_月間表'!$A$7:$A$37,0)),""))</f>
        <v/>
      </c>
      <c r="D14" s="29">
        <f>IF(D9="","",IFERROR(INDEX('04_月間表'!$J$7:$J$37,MATCH(D9,'04_月間表'!$A$7:$A$37,0)),""))</f>
        <v/>
      </c>
      <c r="E14" s="29">
        <f>IF(E9="","",IFERROR(INDEX('04_月間表'!$J$7:$J$37,MATCH(E9,'04_月間表'!$A$7:$A$37,0)),""))</f>
        <v/>
      </c>
      <c r="F14" s="29">
        <f>IF(F9="","",IFERROR(INDEX('04_月間表'!$J$7:$J$37,MATCH(F9,'04_月間表'!$A$7:$A$37,0)),""))</f>
        <v/>
      </c>
      <c r="G14" s="29">
        <f>IF(G9="","",IFERROR(INDEX('04_月間表'!$J$7:$J$37,MATCH(G9,'04_月間表'!$A$7:$A$37,0)),""))</f>
        <v/>
      </c>
      <c r="H14" s="29">
        <f>IF(H9="","",IFERROR(INDEX('04_月間表'!$J$7:$J$37,MATCH(H9,'04_月間表'!$A$7:$A$37,0)),""))</f>
        <v/>
      </c>
    </row>
    <row r="15" ht="17" customHeight="1">
      <c r="A15" s="30" t="inlineStr">
        <is>
          <t>食事</t>
        </is>
      </c>
      <c r="B15" s="31">
        <f>IF(OR(B9="",$B$6&lt;&gt;"○"),"",IFERROR(INDEX('04_月間表'!$AI$7:$AI$37,MATCH(B9,'04_月間表'!$A$7:$A$37,0)),""))</f>
        <v/>
      </c>
      <c r="C15" s="31">
        <f>IF(OR(C9="",$B$6&lt;&gt;"○"),"",IFERROR(INDEX('04_月間表'!$AI$7:$AI$37,MATCH(C9,'04_月間表'!$A$7:$A$37,0)),""))</f>
        <v/>
      </c>
      <c r="D15" s="31">
        <f>IF(OR(D9="",$B$6&lt;&gt;"○"),"",IFERROR(INDEX('04_月間表'!$AI$7:$AI$37,MATCH(D9,'04_月間表'!$A$7:$A$37,0)),""))</f>
        <v/>
      </c>
      <c r="E15" s="31">
        <f>IF(OR(E9="",$B$6&lt;&gt;"○"),"",IFERROR(INDEX('04_月間表'!$AI$7:$AI$37,MATCH(E9,'04_月間表'!$A$7:$A$37,0)),""))</f>
        <v/>
      </c>
      <c r="F15" s="31">
        <f>IF(OR(F9="",$B$6&lt;&gt;"○"),"",IFERROR(INDEX('04_月間表'!$AI$7:$AI$37,MATCH(F9,'04_月間表'!$A$7:$A$37,0)),""))</f>
        <v/>
      </c>
      <c r="G15" s="31">
        <f>IF(OR(G9="",$B$6&lt;&gt;"○"),"",IFERROR(INDEX('04_月間表'!$AI$7:$AI$37,MATCH(G9,'04_月間表'!$A$7:$A$37,0)),""))</f>
        <v/>
      </c>
      <c r="H15" s="31">
        <f>IF(OR(H9="",$B$6&lt;&gt;"○"),"",IFERROR(INDEX('04_月間表'!$AI$7:$AI$37,MATCH(H9,'04_月間表'!$A$7:$A$37,0)),""))</f>
        <v/>
      </c>
    </row>
    <row r="17" ht="22" customHeight="1">
      <c r="A17" s="23" t="inlineStr">
        <is>
          <t>第2週</t>
        </is>
      </c>
      <c r="B17" s="65">
        <f>IF(MONTH($B$4-WEEKDAY($B$4)+1+7)&lt;&gt;MONTH($B$4),"",$B$4-WEEKDAY($B$4)+1+7)</f>
        <v/>
      </c>
      <c r="C17" s="66">
        <f>IF(MONTH($B$4-WEEKDAY($B$4)+1+8)&lt;&gt;MONTH($B$4),"",$B$4-WEEKDAY($B$4)+1+8)</f>
        <v/>
      </c>
      <c r="D17" s="66">
        <f>IF(MONTH($B$4-WEEKDAY($B$4)+1+9)&lt;&gt;MONTH($B$4),"",$B$4-WEEKDAY($B$4)+1+9)</f>
        <v/>
      </c>
      <c r="E17" s="66">
        <f>IF(MONTH($B$4-WEEKDAY($B$4)+1+10)&lt;&gt;MONTH($B$4),"",$B$4-WEEKDAY($B$4)+1+10)</f>
        <v/>
      </c>
      <c r="F17" s="66">
        <f>IF(MONTH($B$4-WEEKDAY($B$4)+1+11)&lt;&gt;MONTH($B$4),"",$B$4-WEEKDAY($B$4)+1+11)</f>
        <v/>
      </c>
      <c r="G17" s="66">
        <f>IF(MONTH($B$4-WEEKDAY($B$4)+1+12)&lt;&gt;MONTH($B$4),"",$B$4-WEEKDAY($B$4)+1+12)</f>
        <v/>
      </c>
      <c r="H17" s="67">
        <f>IF(MONTH($B$4-WEEKDAY($B$4)+1+13)&lt;&gt;MONTH($B$4),"",$B$4-WEEKDAY($B$4)+1+13)</f>
        <v/>
      </c>
    </row>
    <row r="18" ht="21" customHeight="1">
      <c r="A18" s="27">
        <f>IF(COUNTA('M_部屋'!$A$4:$A$20)&gt;=1,INDEX('M_部屋'!$A$4:$A$20,1),"")</f>
        <v/>
      </c>
      <c r="B18" s="28">
        <f>IF(B17="","",IFERROR(INDEX('04_月間表'!C$7:C$37,MATCH(B17,'04_月間表'!$A$7:$A$37,0)),""))</f>
        <v/>
      </c>
      <c r="C18" s="28">
        <f>IF(C17="","",IFERROR(INDEX('04_月間表'!C$7:C$37,MATCH(C17,'04_月間表'!$A$7:$A$37,0)),""))</f>
        <v/>
      </c>
      <c r="D18" s="28">
        <f>IF(D17="","",IFERROR(INDEX('04_月間表'!C$7:C$37,MATCH(D17,'04_月間表'!$A$7:$A$37,0)),""))</f>
        <v/>
      </c>
      <c r="E18" s="28">
        <f>IF(E17="","",IFERROR(INDEX('04_月間表'!C$7:C$37,MATCH(E17,'04_月間表'!$A$7:$A$37,0)),""))</f>
        <v/>
      </c>
      <c r="F18" s="28">
        <f>IF(F17="","",IFERROR(INDEX('04_月間表'!C$7:C$37,MATCH(F17,'04_月間表'!$A$7:$A$37,0)),""))</f>
        <v/>
      </c>
      <c r="G18" s="28">
        <f>IF(G17="","",IFERROR(INDEX('04_月間表'!C$7:C$37,MATCH(G17,'04_月間表'!$A$7:$A$37,0)),""))</f>
        <v/>
      </c>
      <c r="H18" s="28">
        <f>IF(H17="","",IFERROR(INDEX('04_月間表'!C$7:C$37,MATCH(H17,'04_月間表'!$A$7:$A$37,0)),""))</f>
        <v/>
      </c>
      <c r="J18">
        <f>IF(B17="","",IFERROR(INDEX('04_月間表'!X$7:X$37,MATCH(B17,'04_月間表'!$A$7:$A$37,0)),""))</f>
        <v/>
      </c>
      <c r="K18">
        <f>IF(C17="","",IFERROR(INDEX('04_月間表'!X$7:X$37,MATCH(C17,'04_月間表'!$A$7:$A$37,0)),""))</f>
        <v/>
      </c>
      <c r="L18">
        <f>IF(D17="","",IFERROR(INDEX('04_月間表'!X$7:X$37,MATCH(D17,'04_月間表'!$A$7:$A$37,0)),""))</f>
        <v/>
      </c>
      <c r="M18">
        <f>IF(E17="","",IFERROR(INDEX('04_月間表'!X$7:X$37,MATCH(E17,'04_月間表'!$A$7:$A$37,0)),""))</f>
        <v/>
      </c>
      <c r="N18">
        <f>IF(F17="","",IFERROR(INDEX('04_月間表'!X$7:X$37,MATCH(F17,'04_月間表'!$A$7:$A$37,0)),""))</f>
        <v/>
      </c>
      <c r="O18">
        <f>IF(G17="","",IFERROR(INDEX('04_月間表'!X$7:X$37,MATCH(G17,'04_月間表'!$A$7:$A$37,0)),""))</f>
        <v/>
      </c>
      <c r="P18">
        <f>IF(H17="","",IFERROR(INDEX('04_月間表'!X$7:X$37,MATCH(H17,'04_月間表'!$A$7:$A$37,0)),""))</f>
        <v/>
      </c>
    </row>
    <row r="19" ht="21" customHeight="1">
      <c r="A19" s="27">
        <f>IF(COUNTA('M_部屋'!$A$4:$A$20)&gt;=2,INDEX('M_部屋'!$A$4:$A$20,2),"")</f>
        <v/>
      </c>
      <c r="B19" s="28">
        <f>IF(B17="","",IFERROR(INDEX('04_月間表'!D$7:D$37,MATCH(B17,'04_月間表'!$A$7:$A$37,0)),""))</f>
        <v/>
      </c>
      <c r="C19" s="28">
        <f>IF(C17="","",IFERROR(INDEX('04_月間表'!D$7:D$37,MATCH(C17,'04_月間表'!$A$7:$A$37,0)),""))</f>
        <v/>
      </c>
      <c r="D19" s="28">
        <f>IF(D17="","",IFERROR(INDEX('04_月間表'!D$7:D$37,MATCH(D17,'04_月間表'!$A$7:$A$37,0)),""))</f>
        <v/>
      </c>
      <c r="E19" s="28">
        <f>IF(E17="","",IFERROR(INDEX('04_月間表'!D$7:D$37,MATCH(E17,'04_月間表'!$A$7:$A$37,0)),""))</f>
        <v/>
      </c>
      <c r="F19" s="28">
        <f>IF(F17="","",IFERROR(INDEX('04_月間表'!D$7:D$37,MATCH(F17,'04_月間表'!$A$7:$A$37,0)),""))</f>
        <v/>
      </c>
      <c r="G19" s="28">
        <f>IF(G17="","",IFERROR(INDEX('04_月間表'!D$7:D$37,MATCH(G17,'04_月間表'!$A$7:$A$37,0)),""))</f>
        <v/>
      </c>
      <c r="H19" s="28">
        <f>IF(H17="","",IFERROR(INDEX('04_月間表'!D$7:D$37,MATCH(H17,'04_月間表'!$A$7:$A$37,0)),""))</f>
        <v/>
      </c>
      <c r="J19">
        <f>IF(B17="","",IFERROR(INDEX('04_月間表'!Y$7:Y$37,MATCH(B17,'04_月間表'!$A$7:$A$37,0)),""))</f>
        <v/>
      </c>
      <c r="K19">
        <f>IF(C17="","",IFERROR(INDEX('04_月間表'!Y$7:Y$37,MATCH(C17,'04_月間表'!$A$7:$A$37,0)),""))</f>
        <v/>
      </c>
      <c r="L19">
        <f>IF(D17="","",IFERROR(INDEX('04_月間表'!Y$7:Y$37,MATCH(D17,'04_月間表'!$A$7:$A$37,0)),""))</f>
        <v/>
      </c>
      <c r="M19">
        <f>IF(E17="","",IFERROR(INDEX('04_月間表'!Y$7:Y$37,MATCH(E17,'04_月間表'!$A$7:$A$37,0)),""))</f>
        <v/>
      </c>
      <c r="N19">
        <f>IF(F17="","",IFERROR(INDEX('04_月間表'!Y$7:Y$37,MATCH(F17,'04_月間表'!$A$7:$A$37,0)),""))</f>
        <v/>
      </c>
      <c r="O19">
        <f>IF(G17="","",IFERROR(INDEX('04_月間表'!Y$7:Y$37,MATCH(G17,'04_月間表'!$A$7:$A$37,0)),""))</f>
        <v/>
      </c>
      <c r="P19">
        <f>IF(H17="","",IFERROR(INDEX('04_月間表'!Y$7:Y$37,MATCH(H17,'04_月間表'!$A$7:$A$37,0)),""))</f>
        <v/>
      </c>
    </row>
    <row r="20" ht="21" customHeight="1">
      <c r="A20" s="27">
        <f>IF(COUNTA('M_部屋'!$A$4:$A$20)&gt;=3,INDEX('M_部屋'!$A$4:$A$20,3),"")</f>
        <v/>
      </c>
      <c r="B20" s="28">
        <f>IF(B17="","",IFERROR(INDEX('04_月間表'!E$7:E$37,MATCH(B17,'04_月間表'!$A$7:$A$37,0)),""))</f>
        <v/>
      </c>
      <c r="C20" s="28">
        <f>IF(C17="","",IFERROR(INDEX('04_月間表'!E$7:E$37,MATCH(C17,'04_月間表'!$A$7:$A$37,0)),""))</f>
        <v/>
      </c>
      <c r="D20" s="28">
        <f>IF(D17="","",IFERROR(INDEX('04_月間表'!E$7:E$37,MATCH(D17,'04_月間表'!$A$7:$A$37,0)),""))</f>
        <v/>
      </c>
      <c r="E20" s="28">
        <f>IF(E17="","",IFERROR(INDEX('04_月間表'!E$7:E$37,MATCH(E17,'04_月間表'!$A$7:$A$37,0)),""))</f>
        <v/>
      </c>
      <c r="F20" s="28">
        <f>IF(F17="","",IFERROR(INDEX('04_月間表'!E$7:E$37,MATCH(F17,'04_月間表'!$A$7:$A$37,0)),""))</f>
        <v/>
      </c>
      <c r="G20" s="28">
        <f>IF(G17="","",IFERROR(INDEX('04_月間表'!E$7:E$37,MATCH(G17,'04_月間表'!$A$7:$A$37,0)),""))</f>
        <v/>
      </c>
      <c r="H20" s="28">
        <f>IF(H17="","",IFERROR(INDEX('04_月間表'!E$7:E$37,MATCH(H17,'04_月間表'!$A$7:$A$37,0)),""))</f>
        <v/>
      </c>
      <c r="J20">
        <f>IF(B17="","",IFERROR(INDEX('04_月間表'!Z$7:Z$37,MATCH(B17,'04_月間表'!$A$7:$A$37,0)),""))</f>
        <v/>
      </c>
      <c r="K20">
        <f>IF(C17="","",IFERROR(INDEX('04_月間表'!Z$7:Z$37,MATCH(C17,'04_月間表'!$A$7:$A$37,0)),""))</f>
        <v/>
      </c>
      <c r="L20">
        <f>IF(D17="","",IFERROR(INDEX('04_月間表'!Z$7:Z$37,MATCH(D17,'04_月間表'!$A$7:$A$37,0)),""))</f>
        <v/>
      </c>
      <c r="M20">
        <f>IF(E17="","",IFERROR(INDEX('04_月間表'!Z$7:Z$37,MATCH(E17,'04_月間表'!$A$7:$A$37,0)),""))</f>
        <v/>
      </c>
      <c r="N20">
        <f>IF(F17="","",IFERROR(INDEX('04_月間表'!Z$7:Z$37,MATCH(F17,'04_月間表'!$A$7:$A$37,0)),""))</f>
        <v/>
      </c>
      <c r="O20">
        <f>IF(G17="","",IFERROR(INDEX('04_月間表'!Z$7:Z$37,MATCH(G17,'04_月間表'!$A$7:$A$37,0)),""))</f>
        <v/>
      </c>
      <c r="P20">
        <f>IF(H17="","",IFERROR(INDEX('04_月間表'!Z$7:Z$37,MATCH(H17,'04_月間表'!$A$7:$A$37,0)),""))</f>
        <v/>
      </c>
    </row>
    <row r="21" ht="21" customHeight="1">
      <c r="A21" s="27">
        <f>IF(COUNTA('M_部屋'!$A$4:$A$20)&gt;=4,INDEX('M_部屋'!$A$4:$A$20,4),"")</f>
        <v/>
      </c>
      <c r="B21" s="28">
        <f>IF(B17="","",IFERROR(INDEX('04_月間表'!F$7:F$37,MATCH(B17,'04_月間表'!$A$7:$A$37,0)),""))</f>
        <v/>
      </c>
      <c r="C21" s="28">
        <f>IF(C17="","",IFERROR(INDEX('04_月間表'!F$7:F$37,MATCH(C17,'04_月間表'!$A$7:$A$37,0)),""))</f>
        <v/>
      </c>
      <c r="D21" s="28">
        <f>IF(D17="","",IFERROR(INDEX('04_月間表'!F$7:F$37,MATCH(D17,'04_月間表'!$A$7:$A$37,0)),""))</f>
        <v/>
      </c>
      <c r="E21" s="28">
        <f>IF(E17="","",IFERROR(INDEX('04_月間表'!F$7:F$37,MATCH(E17,'04_月間表'!$A$7:$A$37,0)),""))</f>
        <v/>
      </c>
      <c r="F21" s="28">
        <f>IF(F17="","",IFERROR(INDEX('04_月間表'!F$7:F$37,MATCH(F17,'04_月間表'!$A$7:$A$37,0)),""))</f>
        <v/>
      </c>
      <c r="G21" s="28">
        <f>IF(G17="","",IFERROR(INDEX('04_月間表'!F$7:F$37,MATCH(G17,'04_月間表'!$A$7:$A$37,0)),""))</f>
        <v/>
      </c>
      <c r="H21" s="28">
        <f>IF(H17="","",IFERROR(INDEX('04_月間表'!F$7:F$37,MATCH(H17,'04_月間表'!$A$7:$A$37,0)),""))</f>
        <v/>
      </c>
      <c r="J21">
        <f>IF(B17="","",IFERROR(INDEX('04_月間表'!AA$7:AA$37,MATCH(B17,'04_月間表'!$A$7:$A$37,0)),""))</f>
        <v/>
      </c>
      <c r="K21">
        <f>IF(C17="","",IFERROR(INDEX('04_月間表'!AA$7:AA$37,MATCH(C17,'04_月間表'!$A$7:$A$37,0)),""))</f>
        <v/>
      </c>
      <c r="L21">
        <f>IF(D17="","",IFERROR(INDEX('04_月間表'!AA$7:AA$37,MATCH(D17,'04_月間表'!$A$7:$A$37,0)),""))</f>
        <v/>
      </c>
      <c r="M21">
        <f>IF(E17="","",IFERROR(INDEX('04_月間表'!AA$7:AA$37,MATCH(E17,'04_月間表'!$A$7:$A$37,0)),""))</f>
        <v/>
      </c>
      <c r="N21">
        <f>IF(F17="","",IFERROR(INDEX('04_月間表'!AA$7:AA$37,MATCH(F17,'04_月間表'!$A$7:$A$37,0)),""))</f>
        <v/>
      </c>
      <c r="O21">
        <f>IF(G17="","",IFERROR(INDEX('04_月間表'!AA$7:AA$37,MATCH(G17,'04_月間表'!$A$7:$A$37,0)),""))</f>
        <v/>
      </c>
      <c r="P21">
        <f>IF(H17="","",IFERROR(INDEX('04_月間表'!AA$7:AA$37,MATCH(H17,'04_月間表'!$A$7:$A$37,0)),""))</f>
        <v/>
      </c>
    </row>
    <row r="22" ht="22" customHeight="1">
      <c r="A22" s="27" t="inlineStr">
        <is>
          <t>空き</t>
        </is>
      </c>
      <c r="B22" s="29">
        <f>IF(B17="","",IFERROR(INDEX('04_月間表'!$J$7:$J$37,MATCH(B17,'04_月間表'!$A$7:$A$37,0)),""))</f>
        <v/>
      </c>
      <c r="C22" s="29">
        <f>IF(C17="","",IFERROR(INDEX('04_月間表'!$J$7:$J$37,MATCH(C17,'04_月間表'!$A$7:$A$37,0)),""))</f>
        <v/>
      </c>
      <c r="D22" s="29">
        <f>IF(D17="","",IFERROR(INDEX('04_月間表'!$J$7:$J$37,MATCH(D17,'04_月間表'!$A$7:$A$37,0)),""))</f>
        <v/>
      </c>
      <c r="E22" s="29">
        <f>IF(E17="","",IFERROR(INDEX('04_月間表'!$J$7:$J$37,MATCH(E17,'04_月間表'!$A$7:$A$37,0)),""))</f>
        <v/>
      </c>
      <c r="F22" s="29">
        <f>IF(F17="","",IFERROR(INDEX('04_月間表'!$J$7:$J$37,MATCH(F17,'04_月間表'!$A$7:$A$37,0)),""))</f>
        <v/>
      </c>
      <c r="G22" s="29">
        <f>IF(G17="","",IFERROR(INDEX('04_月間表'!$J$7:$J$37,MATCH(G17,'04_月間表'!$A$7:$A$37,0)),""))</f>
        <v/>
      </c>
      <c r="H22" s="29">
        <f>IF(H17="","",IFERROR(INDEX('04_月間表'!$J$7:$J$37,MATCH(H17,'04_月間表'!$A$7:$A$37,0)),""))</f>
        <v/>
      </c>
    </row>
    <row r="23" ht="17" customHeight="1">
      <c r="A23" s="30" t="inlineStr">
        <is>
          <t>食事</t>
        </is>
      </c>
      <c r="B23" s="31">
        <f>IF(OR(B17="",$B$6&lt;&gt;"○"),"",IFERROR(INDEX('04_月間表'!$AI$7:$AI$37,MATCH(B17,'04_月間表'!$A$7:$A$37,0)),""))</f>
        <v/>
      </c>
      <c r="C23" s="31">
        <f>IF(OR(C17="",$B$6&lt;&gt;"○"),"",IFERROR(INDEX('04_月間表'!$AI$7:$AI$37,MATCH(C17,'04_月間表'!$A$7:$A$37,0)),""))</f>
        <v/>
      </c>
      <c r="D23" s="31">
        <f>IF(OR(D17="",$B$6&lt;&gt;"○"),"",IFERROR(INDEX('04_月間表'!$AI$7:$AI$37,MATCH(D17,'04_月間表'!$A$7:$A$37,0)),""))</f>
        <v/>
      </c>
      <c r="E23" s="31">
        <f>IF(OR(E17="",$B$6&lt;&gt;"○"),"",IFERROR(INDEX('04_月間表'!$AI$7:$AI$37,MATCH(E17,'04_月間表'!$A$7:$A$37,0)),""))</f>
        <v/>
      </c>
      <c r="F23" s="31">
        <f>IF(OR(F17="",$B$6&lt;&gt;"○"),"",IFERROR(INDEX('04_月間表'!$AI$7:$AI$37,MATCH(F17,'04_月間表'!$A$7:$A$37,0)),""))</f>
        <v/>
      </c>
      <c r="G23" s="31">
        <f>IF(OR(G17="",$B$6&lt;&gt;"○"),"",IFERROR(INDEX('04_月間表'!$AI$7:$AI$37,MATCH(G17,'04_月間表'!$A$7:$A$37,0)),""))</f>
        <v/>
      </c>
      <c r="H23" s="31">
        <f>IF(OR(H17="",$B$6&lt;&gt;"○"),"",IFERROR(INDEX('04_月間表'!$AI$7:$AI$37,MATCH(H17,'04_月間表'!$A$7:$A$37,0)),""))</f>
        <v/>
      </c>
    </row>
    <row r="25" ht="22" customHeight="1">
      <c r="A25" s="23" t="inlineStr">
        <is>
          <t>第3週</t>
        </is>
      </c>
      <c r="B25" s="65">
        <f>IF(MONTH($B$4-WEEKDAY($B$4)+1+14)&lt;&gt;MONTH($B$4),"",$B$4-WEEKDAY($B$4)+1+14)</f>
        <v/>
      </c>
      <c r="C25" s="66">
        <f>IF(MONTH($B$4-WEEKDAY($B$4)+1+15)&lt;&gt;MONTH($B$4),"",$B$4-WEEKDAY($B$4)+1+15)</f>
        <v/>
      </c>
      <c r="D25" s="66">
        <f>IF(MONTH($B$4-WEEKDAY($B$4)+1+16)&lt;&gt;MONTH($B$4),"",$B$4-WEEKDAY($B$4)+1+16)</f>
        <v/>
      </c>
      <c r="E25" s="66">
        <f>IF(MONTH($B$4-WEEKDAY($B$4)+1+17)&lt;&gt;MONTH($B$4),"",$B$4-WEEKDAY($B$4)+1+17)</f>
        <v/>
      </c>
      <c r="F25" s="66">
        <f>IF(MONTH($B$4-WEEKDAY($B$4)+1+18)&lt;&gt;MONTH($B$4),"",$B$4-WEEKDAY($B$4)+1+18)</f>
        <v/>
      </c>
      <c r="G25" s="66">
        <f>IF(MONTH($B$4-WEEKDAY($B$4)+1+19)&lt;&gt;MONTH($B$4),"",$B$4-WEEKDAY($B$4)+1+19)</f>
        <v/>
      </c>
      <c r="H25" s="67">
        <f>IF(MONTH($B$4-WEEKDAY($B$4)+1+20)&lt;&gt;MONTH($B$4),"",$B$4-WEEKDAY($B$4)+1+20)</f>
        <v/>
      </c>
    </row>
    <row r="26" ht="21" customHeight="1">
      <c r="A26" s="27">
        <f>IF(COUNTA('M_部屋'!$A$4:$A$20)&gt;=1,INDEX('M_部屋'!$A$4:$A$20,1),"")</f>
        <v/>
      </c>
      <c r="B26" s="28">
        <f>IF(B25="","",IFERROR(INDEX('04_月間表'!C$7:C$37,MATCH(B25,'04_月間表'!$A$7:$A$37,0)),""))</f>
        <v/>
      </c>
      <c r="C26" s="28">
        <f>IF(C25="","",IFERROR(INDEX('04_月間表'!C$7:C$37,MATCH(C25,'04_月間表'!$A$7:$A$37,0)),""))</f>
        <v/>
      </c>
      <c r="D26" s="28">
        <f>IF(D25="","",IFERROR(INDEX('04_月間表'!C$7:C$37,MATCH(D25,'04_月間表'!$A$7:$A$37,0)),""))</f>
        <v/>
      </c>
      <c r="E26" s="28">
        <f>IF(E25="","",IFERROR(INDEX('04_月間表'!C$7:C$37,MATCH(E25,'04_月間表'!$A$7:$A$37,0)),""))</f>
        <v/>
      </c>
      <c r="F26" s="28">
        <f>IF(F25="","",IFERROR(INDEX('04_月間表'!C$7:C$37,MATCH(F25,'04_月間表'!$A$7:$A$37,0)),""))</f>
        <v/>
      </c>
      <c r="G26" s="28">
        <f>IF(G25="","",IFERROR(INDEX('04_月間表'!C$7:C$37,MATCH(G25,'04_月間表'!$A$7:$A$37,0)),""))</f>
        <v/>
      </c>
      <c r="H26" s="28">
        <f>IF(H25="","",IFERROR(INDEX('04_月間表'!C$7:C$37,MATCH(H25,'04_月間表'!$A$7:$A$37,0)),""))</f>
        <v/>
      </c>
      <c r="J26">
        <f>IF(B25="","",IFERROR(INDEX('04_月間表'!X$7:X$37,MATCH(B25,'04_月間表'!$A$7:$A$37,0)),""))</f>
        <v/>
      </c>
      <c r="K26">
        <f>IF(C25="","",IFERROR(INDEX('04_月間表'!X$7:X$37,MATCH(C25,'04_月間表'!$A$7:$A$37,0)),""))</f>
        <v/>
      </c>
      <c r="L26">
        <f>IF(D25="","",IFERROR(INDEX('04_月間表'!X$7:X$37,MATCH(D25,'04_月間表'!$A$7:$A$37,0)),""))</f>
        <v/>
      </c>
      <c r="M26">
        <f>IF(E25="","",IFERROR(INDEX('04_月間表'!X$7:X$37,MATCH(E25,'04_月間表'!$A$7:$A$37,0)),""))</f>
        <v/>
      </c>
      <c r="N26">
        <f>IF(F25="","",IFERROR(INDEX('04_月間表'!X$7:X$37,MATCH(F25,'04_月間表'!$A$7:$A$37,0)),""))</f>
        <v/>
      </c>
      <c r="O26">
        <f>IF(G25="","",IFERROR(INDEX('04_月間表'!X$7:X$37,MATCH(G25,'04_月間表'!$A$7:$A$37,0)),""))</f>
        <v/>
      </c>
      <c r="P26">
        <f>IF(H25="","",IFERROR(INDEX('04_月間表'!X$7:X$37,MATCH(H25,'04_月間表'!$A$7:$A$37,0)),""))</f>
        <v/>
      </c>
    </row>
    <row r="27" ht="21" customHeight="1">
      <c r="A27" s="27">
        <f>IF(COUNTA('M_部屋'!$A$4:$A$20)&gt;=2,INDEX('M_部屋'!$A$4:$A$20,2),"")</f>
        <v/>
      </c>
      <c r="B27" s="28">
        <f>IF(B25="","",IFERROR(INDEX('04_月間表'!D$7:D$37,MATCH(B25,'04_月間表'!$A$7:$A$37,0)),""))</f>
        <v/>
      </c>
      <c r="C27" s="28">
        <f>IF(C25="","",IFERROR(INDEX('04_月間表'!D$7:D$37,MATCH(C25,'04_月間表'!$A$7:$A$37,0)),""))</f>
        <v/>
      </c>
      <c r="D27" s="28">
        <f>IF(D25="","",IFERROR(INDEX('04_月間表'!D$7:D$37,MATCH(D25,'04_月間表'!$A$7:$A$37,0)),""))</f>
        <v/>
      </c>
      <c r="E27" s="28">
        <f>IF(E25="","",IFERROR(INDEX('04_月間表'!D$7:D$37,MATCH(E25,'04_月間表'!$A$7:$A$37,0)),""))</f>
        <v/>
      </c>
      <c r="F27" s="28">
        <f>IF(F25="","",IFERROR(INDEX('04_月間表'!D$7:D$37,MATCH(F25,'04_月間表'!$A$7:$A$37,0)),""))</f>
        <v/>
      </c>
      <c r="G27" s="28">
        <f>IF(G25="","",IFERROR(INDEX('04_月間表'!D$7:D$37,MATCH(G25,'04_月間表'!$A$7:$A$37,0)),""))</f>
        <v/>
      </c>
      <c r="H27" s="28">
        <f>IF(H25="","",IFERROR(INDEX('04_月間表'!D$7:D$37,MATCH(H25,'04_月間表'!$A$7:$A$37,0)),""))</f>
        <v/>
      </c>
      <c r="J27">
        <f>IF(B25="","",IFERROR(INDEX('04_月間表'!Y$7:Y$37,MATCH(B25,'04_月間表'!$A$7:$A$37,0)),""))</f>
        <v/>
      </c>
      <c r="K27">
        <f>IF(C25="","",IFERROR(INDEX('04_月間表'!Y$7:Y$37,MATCH(C25,'04_月間表'!$A$7:$A$37,0)),""))</f>
        <v/>
      </c>
      <c r="L27">
        <f>IF(D25="","",IFERROR(INDEX('04_月間表'!Y$7:Y$37,MATCH(D25,'04_月間表'!$A$7:$A$37,0)),""))</f>
        <v/>
      </c>
      <c r="M27">
        <f>IF(E25="","",IFERROR(INDEX('04_月間表'!Y$7:Y$37,MATCH(E25,'04_月間表'!$A$7:$A$37,0)),""))</f>
        <v/>
      </c>
      <c r="N27">
        <f>IF(F25="","",IFERROR(INDEX('04_月間表'!Y$7:Y$37,MATCH(F25,'04_月間表'!$A$7:$A$37,0)),""))</f>
        <v/>
      </c>
      <c r="O27">
        <f>IF(G25="","",IFERROR(INDEX('04_月間表'!Y$7:Y$37,MATCH(G25,'04_月間表'!$A$7:$A$37,0)),""))</f>
        <v/>
      </c>
      <c r="P27">
        <f>IF(H25="","",IFERROR(INDEX('04_月間表'!Y$7:Y$37,MATCH(H25,'04_月間表'!$A$7:$A$37,0)),""))</f>
        <v/>
      </c>
    </row>
    <row r="28" ht="21" customHeight="1">
      <c r="A28" s="27">
        <f>IF(COUNTA('M_部屋'!$A$4:$A$20)&gt;=3,INDEX('M_部屋'!$A$4:$A$20,3),"")</f>
        <v/>
      </c>
      <c r="B28" s="28">
        <f>IF(B25="","",IFERROR(INDEX('04_月間表'!E$7:E$37,MATCH(B25,'04_月間表'!$A$7:$A$37,0)),""))</f>
        <v/>
      </c>
      <c r="C28" s="28">
        <f>IF(C25="","",IFERROR(INDEX('04_月間表'!E$7:E$37,MATCH(C25,'04_月間表'!$A$7:$A$37,0)),""))</f>
        <v/>
      </c>
      <c r="D28" s="28">
        <f>IF(D25="","",IFERROR(INDEX('04_月間表'!E$7:E$37,MATCH(D25,'04_月間表'!$A$7:$A$37,0)),""))</f>
        <v/>
      </c>
      <c r="E28" s="28">
        <f>IF(E25="","",IFERROR(INDEX('04_月間表'!E$7:E$37,MATCH(E25,'04_月間表'!$A$7:$A$37,0)),""))</f>
        <v/>
      </c>
      <c r="F28" s="28">
        <f>IF(F25="","",IFERROR(INDEX('04_月間表'!E$7:E$37,MATCH(F25,'04_月間表'!$A$7:$A$37,0)),""))</f>
        <v/>
      </c>
      <c r="G28" s="28">
        <f>IF(G25="","",IFERROR(INDEX('04_月間表'!E$7:E$37,MATCH(G25,'04_月間表'!$A$7:$A$37,0)),""))</f>
        <v/>
      </c>
      <c r="H28" s="28">
        <f>IF(H25="","",IFERROR(INDEX('04_月間表'!E$7:E$37,MATCH(H25,'04_月間表'!$A$7:$A$37,0)),""))</f>
        <v/>
      </c>
      <c r="J28">
        <f>IF(B25="","",IFERROR(INDEX('04_月間表'!Z$7:Z$37,MATCH(B25,'04_月間表'!$A$7:$A$37,0)),""))</f>
        <v/>
      </c>
      <c r="K28">
        <f>IF(C25="","",IFERROR(INDEX('04_月間表'!Z$7:Z$37,MATCH(C25,'04_月間表'!$A$7:$A$37,0)),""))</f>
        <v/>
      </c>
      <c r="L28">
        <f>IF(D25="","",IFERROR(INDEX('04_月間表'!Z$7:Z$37,MATCH(D25,'04_月間表'!$A$7:$A$37,0)),""))</f>
        <v/>
      </c>
      <c r="M28">
        <f>IF(E25="","",IFERROR(INDEX('04_月間表'!Z$7:Z$37,MATCH(E25,'04_月間表'!$A$7:$A$37,0)),""))</f>
        <v/>
      </c>
      <c r="N28">
        <f>IF(F25="","",IFERROR(INDEX('04_月間表'!Z$7:Z$37,MATCH(F25,'04_月間表'!$A$7:$A$37,0)),""))</f>
        <v/>
      </c>
      <c r="O28">
        <f>IF(G25="","",IFERROR(INDEX('04_月間表'!Z$7:Z$37,MATCH(G25,'04_月間表'!$A$7:$A$37,0)),""))</f>
        <v/>
      </c>
      <c r="P28">
        <f>IF(H25="","",IFERROR(INDEX('04_月間表'!Z$7:Z$37,MATCH(H25,'04_月間表'!$A$7:$A$37,0)),""))</f>
        <v/>
      </c>
    </row>
    <row r="29" ht="21" customHeight="1">
      <c r="A29" s="27">
        <f>IF(COUNTA('M_部屋'!$A$4:$A$20)&gt;=4,INDEX('M_部屋'!$A$4:$A$20,4),"")</f>
        <v/>
      </c>
      <c r="B29" s="28">
        <f>IF(B25="","",IFERROR(INDEX('04_月間表'!F$7:F$37,MATCH(B25,'04_月間表'!$A$7:$A$37,0)),""))</f>
        <v/>
      </c>
      <c r="C29" s="28">
        <f>IF(C25="","",IFERROR(INDEX('04_月間表'!F$7:F$37,MATCH(C25,'04_月間表'!$A$7:$A$37,0)),""))</f>
        <v/>
      </c>
      <c r="D29" s="28">
        <f>IF(D25="","",IFERROR(INDEX('04_月間表'!F$7:F$37,MATCH(D25,'04_月間表'!$A$7:$A$37,0)),""))</f>
        <v/>
      </c>
      <c r="E29" s="28">
        <f>IF(E25="","",IFERROR(INDEX('04_月間表'!F$7:F$37,MATCH(E25,'04_月間表'!$A$7:$A$37,0)),""))</f>
        <v/>
      </c>
      <c r="F29" s="28">
        <f>IF(F25="","",IFERROR(INDEX('04_月間表'!F$7:F$37,MATCH(F25,'04_月間表'!$A$7:$A$37,0)),""))</f>
        <v/>
      </c>
      <c r="G29" s="28">
        <f>IF(G25="","",IFERROR(INDEX('04_月間表'!F$7:F$37,MATCH(G25,'04_月間表'!$A$7:$A$37,0)),""))</f>
        <v/>
      </c>
      <c r="H29" s="28">
        <f>IF(H25="","",IFERROR(INDEX('04_月間表'!F$7:F$37,MATCH(H25,'04_月間表'!$A$7:$A$37,0)),""))</f>
        <v/>
      </c>
      <c r="J29">
        <f>IF(B25="","",IFERROR(INDEX('04_月間表'!AA$7:AA$37,MATCH(B25,'04_月間表'!$A$7:$A$37,0)),""))</f>
        <v/>
      </c>
      <c r="K29">
        <f>IF(C25="","",IFERROR(INDEX('04_月間表'!AA$7:AA$37,MATCH(C25,'04_月間表'!$A$7:$A$37,0)),""))</f>
        <v/>
      </c>
      <c r="L29">
        <f>IF(D25="","",IFERROR(INDEX('04_月間表'!AA$7:AA$37,MATCH(D25,'04_月間表'!$A$7:$A$37,0)),""))</f>
        <v/>
      </c>
      <c r="M29">
        <f>IF(E25="","",IFERROR(INDEX('04_月間表'!AA$7:AA$37,MATCH(E25,'04_月間表'!$A$7:$A$37,0)),""))</f>
        <v/>
      </c>
      <c r="N29">
        <f>IF(F25="","",IFERROR(INDEX('04_月間表'!AA$7:AA$37,MATCH(F25,'04_月間表'!$A$7:$A$37,0)),""))</f>
        <v/>
      </c>
      <c r="O29">
        <f>IF(G25="","",IFERROR(INDEX('04_月間表'!AA$7:AA$37,MATCH(G25,'04_月間表'!$A$7:$A$37,0)),""))</f>
        <v/>
      </c>
      <c r="P29">
        <f>IF(H25="","",IFERROR(INDEX('04_月間表'!AA$7:AA$37,MATCH(H25,'04_月間表'!$A$7:$A$37,0)),""))</f>
        <v/>
      </c>
    </row>
    <row r="30" ht="22" customHeight="1">
      <c r="A30" s="27" t="inlineStr">
        <is>
          <t>空き</t>
        </is>
      </c>
      <c r="B30" s="29">
        <f>IF(B25="","",IFERROR(INDEX('04_月間表'!$J$7:$J$37,MATCH(B25,'04_月間表'!$A$7:$A$37,0)),""))</f>
        <v/>
      </c>
      <c r="C30" s="29">
        <f>IF(C25="","",IFERROR(INDEX('04_月間表'!$J$7:$J$37,MATCH(C25,'04_月間表'!$A$7:$A$37,0)),""))</f>
        <v/>
      </c>
      <c r="D30" s="29">
        <f>IF(D25="","",IFERROR(INDEX('04_月間表'!$J$7:$J$37,MATCH(D25,'04_月間表'!$A$7:$A$37,0)),""))</f>
        <v/>
      </c>
      <c r="E30" s="29">
        <f>IF(E25="","",IFERROR(INDEX('04_月間表'!$J$7:$J$37,MATCH(E25,'04_月間表'!$A$7:$A$37,0)),""))</f>
        <v/>
      </c>
      <c r="F30" s="29">
        <f>IF(F25="","",IFERROR(INDEX('04_月間表'!$J$7:$J$37,MATCH(F25,'04_月間表'!$A$7:$A$37,0)),""))</f>
        <v/>
      </c>
      <c r="G30" s="29">
        <f>IF(G25="","",IFERROR(INDEX('04_月間表'!$J$7:$J$37,MATCH(G25,'04_月間表'!$A$7:$A$37,0)),""))</f>
        <v/>
      </c>
      <c r="H30" s="29">
        <f>IF(H25="","",IFERROR(INDEX('04_月間表'!$J$7:$J$37,MATCH(H25,'04_月間表'!$A$7:$A$37,0)),""))</f>
        <v/>
      </c>
    </row>
    <row r="31" ht="17" customHeight="1">
      <c r="A31" s="30" t="inlineStr">
        <is>
          <t>食事</t>
        </is>
      </c>
      <c r="B31" s="31">
        <f>IF(OR(B25="",$B$6&lt;&gt;"○"),"",IFERROR(INDEX('04_月間表'!$AI$7:$AI$37,MATCH(B25,'04_月間表'!$A$7:$A$37,0)),""))</f>
        <v/>
      </c>
      <c r="C31" s="31">
        <f>IF(OR(C25="",$B$6&lt;&gt;"○"),"",IFERROR(INDEX('04_月間表'!$AI$7:$AI$37,MATCH(C25,'04_月間表'!$A$7:$A$37,0)),""))</f>
        <v/>
      </c>
      <c r="D31" s="31">
        <f>IF(OR(D25="",$B$6&lt;&gt;"○"),"",IFERROR(INDEX('04_月間表'!$AI$7:$AI$37,MATCH(D25,'04_月間表'!$A$7:$A$37,0)),""))</f>
        <v/>
      </c>
      <c r="E31" s="31">
        <f>IF(OR(E25="",$B$6&lt;&gt;"○"),"",IFERROR(INDEX('04_月間表'!$AI$7:$AI$37,MATCH(E25,'04_月間表'!$A$7:$A$37,0)),""))</f>
        <v/>
      </c>
      <c r="F31" s="31">
        <f>IF(OR(F25="",$B$6&lt;&gt;"○"),"",IFERROR(INDEX('04_月間表'!$AI$7:$AI$37,MATCH(F25,'04_月間表'!$A$7:$A$37,0)),""))</f>
        <v/>
      </c>
      <c r="G31" s="31">
        <f>IF(OR(G25="",$B$6&lt;&gt;"○"),"",IFERROR(INDEX('04_月間表'!$AI$7:$AI$37,MATCH(G25,'04_月間表'!$A$7:$A$37,0)),""))</f>
        <v/>
      </c>
      <c r="H31" s="31">
        <f>IF(OR(H25="",$B$6&lt;&gt;"○"),"",IFERROR(INDEX('04_月間表'!$AI$7:$AI$37,MATCH(H25,'04_月間表'!$A$7:$A$37,0)),""))</f>
        <v/>
      </c>
    </row>
    <row r="33" ht="22" customHeight="1">
      <c r="A33" s="23" t="inlineStr">
        <is>
          <t>第4週</t>
        </is>
      </c>
      <c r="B33" s="65">
        <f>IF(MONTH($B$4-WEEKDAY($B$4)+1+21)&lt;&gt;MONTH($B$4),"",$B$4-WEEKDAY($B$4)+1+21)</f>
        <v/>
      </c>
      <c r="C33" s="66">
        <f>IF(MONTH($B$4-WEEKDAY($B$4)+1+22)&lt;&gt;MONTH($B$4),"",$B$4-WEEKDAY($B$4)+1+22)</f>
        <v/>
      </c>
      <c r="D33" s="66">
        <f>IF(MONTH($B$4-WEEKDAY($B$4)+1+23)&lt;&gt;MONTH($B$4),"",$B$4-WEEKDAY($B$4)+1+23)</f>
        <v/>
      </c>
      <c r="E33" s="66">
        <f>IF(MONTH($B$4-WEEKDAY($B$4)+1+24)&lt;&gt;MONTH($B$4),"",$B$4-WEEKDAY($B$4)+1+24)</f>
        <v/>
      </c>
      <c r="F33" s="66">
        <f>IF(MONTH($B$4-WEEKDAY($B$4)+1+25)&lt;&gt;MONTH($B$4),"",$B$4-WEEKDAY($B$4)+1+25)</f>
        <v/>
      </c>
      <c r="G33" s="66">
        <f>IF(MONTH($B$4-WEEKDAY($B$4)+1+26)&lt;&gt;MONTH($B$4),"",$B$4-WEEKDAY($B$4)+1+26)</f>
        <v/>
      </c>
      <c r="H33" s="67">
        <f>IF(MONTH($B$4-WEEKDAY($B$4)+1+27)&lt;&gt;MONTH($B$4),"",$B$4-WEEKDAY($B$4)+1+27)</f>
        <v/>
      </c>
    </row>
    <row r="34" ht="21" customHeight="1">
      <c r="A34" s="27">
        <f>IF(COUNTA('M_部屋'!$A$4:$A$20)&gt;=1,INDEX('M_部屋'!$A$4:$A$20,1),"")</f>
        <v/>
      </c>
      <c r="B34" s="28">
        <f>IF(B33="","",IFERROR(INDEX('04_月間表'!C$7:C$37,MATCH(B33,'04_月間表'!$A$7:$A$37,0)),""))</f>
        <v/>
      </c>
      <c r="C34" s="28">
        <f>IF(C33="","",IFERROR(INDEX('04_月間表'!C$7:C$37,MATCH(C33,'04_月間表'!$A$7:$A$37,0)),""))</f>
        <v/>
      </c>
      <c r="D34" s="28">
        <f>IF(D33="","",IFERROR(INDEX('04_月間表'!C$7:C$37,MATCH(D33,'04_月間表'!$A$7:$A$37,0)),""))</f>
        <v/>
      </c>
      <c r="E34" s="28">
        <f>IF(E33="","",IFERROR(INDEX('04_月間表'!C$7:C$37,MATCH(E33,'04_月間表'!$A$7:$A$37,0)),""))</f>
        <v/>
      </c>
      <c r="F34" s="28">
        <f>IF(F33="","",IFERROR(INDEX('04_月間表'!C$7:C$37,MATCH(F33,'04_月間表'!$A$7:$A$37,0)),""))</f>
        <v/>
      </c>
      <c r="G34" s="28">
        <f>IF(G33="","",IFERROR(INDEX('04_月間表'!C$7:C$37,MATCH(G33,'04_月間表'!$A$7:$A$37,0)),""))</f>
        <v/>
      </c>
      <c r="H34" s="28">
        <f>IF(H33="","",IFERROR(INDEX('04_月間表'!C$7:C$37,MATCH(H33,'04_月間表'!$A$7:$A$37,0)),""))</f>
        <v/>
      </c>
      <c r="J34">
        <f>IF(B33="","",IFERROR(INDEX('04_月間表'!X$7:X$37,MATCH(B33,'04_月間表'!$A$7:$A$37,0)),""))</f>
        <v/>
      </c>
      <c r="K34">
        <f>IF(C33="","",IFERROR(INDEX('04_月間表'!X$7:X$37,MATCH(C33,'04_月間表'!$A$7:$A$37,0)),""))</f>
        <v/>
      </c>
      <c r="L34">
        <f>IF(D33="","",IFERROR(INDEX('04_月間表'!X$7:X$37,MATCH(D33,'04_月間表'!$A$7:$A$37,0)),""))</f>
        <v/>
      </c>
      <c r="M34">
        <f>IF(E33="","",IFERROR(INDEX('04_月間表'!X$7:X$37,MATCH(E33,'04_月間表'!$A$7:$A$37,0)),""))</f>
        <v/>
      </c>
      <c r="N34">
        <f>IF(F33="","",IFERROR(INDEX('04_月間表'!X$7:X$37,MATCH(F33,'04_月間表'!$A$7:$A$37,0)),""))</f>
        <v/>
      </c>
      <c r="O34">
        <f>IF(G33="","",IFERROR(INDEX('04_月間表'!X$7:X$37,MATCH(G33,'04_月間表'!$A$7:$A$37,0)),""))</f>
        <v/>
      </c>
      <c r="P34">
        <f>IF(H33="","",IFERROR(INDEX('04_月間表'!X$7:X$37,MATCH(H33,'04_月間表'!$A$7:$A$37,0)),""))</f>
        <v/>
      </c>
    </row>
    <row r="35" ht="21" customHeight="1">
      <c r="A35" s="27">
        <f>IF(COUNTA('M_部屋'!$A$4:$A$20)&gt;=2,INDEX('M_部屋'!$A$4:$A$20,2),"")</f>
        <v/>
      </c>
      <c r="B35" s="28">
        <f>IF(B33="","",IFERROR(INDEX('04_月間表'!D$7:D$37,MATCH(B33,'04_月間表'!$A$7:$A$37,0)),""))</f>
        <v/>
      </c>
      <c r="C35" s="28">
        <f>IF(C33="","",IFERROR(INDEX('04_月間表'!D$7:D$37,MATCH(C33,'04_月間表'!$A$7:$A$37,0)),""))</f>
        <v/>
      </c>
      <c r="D35" s="28">
        <f>IF(D33="","",IFERROR(INDEX('04_月間表'!D$7:D$37,MATCH(D33,'04_月間表'!$A$7:$A$37,0)),""))</f>
        <v/>
      </c>
      <c r="E35" s="28">
        <f>IF(E33="","",IFERROR(INDEX('04_月間表'!D$7:D$37,MATCH(E33,'04_月間表'!$A$7:$A$37,0)),""))</f>
        <v/>
      </c>
      <c r="F35" s="28">
        <f>IF(F33="","",IFERROR(INDEX('04_月間表'!D$7:D$37,MATCH(F33,'04_月間表'!$A$7:$A$37,0)),""))</f>
        <v/>
      </c>
      <c r="G35" s="28">
        <f>IF(G33="","",IFERROR(INDEX('04_月間表'!D$7:D$37,MATCH(G33,'04_月間表'!$A$7:$A$37,0)),""))</f>
        <v/>
      </c>
      <c r="H35" s="28">
        <f>IF(H33="","",IFERROR(INDEX('04_月間表'!D$7:D$37,MATCH(H33,'04_月間表'!$A$7:$A$37,0)),""))</f>
        <v/>
      </c>
      <c r="J35">
        <f>IF(B33="","",IFERROR(INDEX('04_月間表'!Y$7:Y$37,MATCH(B33,'04_月間表'!$A$7:$A$37,0)),""))</f>
        <v/>
      </c>
      <c r="K35">
        <f>IF(C33="","",IFERROR(INDEX('04_月間表'!Y$7:Y$37,MATCH(C33,'04_月間表'!$A$7:$A$37,0)),""))</f>
        <v/>
      </c>
      <c r="L35">
        <f>IF(D33="","",IFERROR(INDEX('04_月間表'!Y$7:Y$37,MATCH(D33,'04_月間表'!$A$7:$A$37,0)),""))</f>
        <v/>
      </c>
      <c r="M35">
        <f>IF(E33="","",IFERROR(INDEX('04_月間表'!Y$7:Y$37,MATCH(E33,'04_月間表'!$A$7:$A$37,0)),""))</f>
        <v/>
      </c>
      <c r="N35">
        <f>IF(F33="","",IFERROR(INDEX('04_月間表'!Y$7:Y$37,MATCH(F33,'04_月間表'!$A$7:$A$37,0)),""))</f>
        <v/>
      </c>
      <c r="O35">
        <f>IF(G33="","",IFERROR(INDEX('04_月間表'!Y$7:Y$37,MATCH(G33,'04_月間表'!$A$7:$A$37,0)),""))</f>
        <v/>
      </c>
      <c r="P35">
        <f>IF(H33="","",IFERROR(INDEX('04_月間表'!Y$7:Y$37,MATCH(H33,'04_月間表'!$A$7:$A$37,0)),""))</f>
        <v/>
      </c>
    </row>
    <row r="36" ht="21" customHeight="1">
      <c r="A36" s="27">
        <f>IF(COUNTA('M_部屋'!$A$4:$A$20)&gt;=3,INDEX('M_部屋'!$A$4:$A$20,3),"")</f>
        <v/>
      </c>
      <c r="B36" s="28">
        <f>IF(B33="","",IFERROR(INDEX('04_月間表'!E$7:E$37,MATCH(B33,'04_月間表'!$A$7:$A$37,0)),""))</f>
        <v/>
      </c>
      <c r="C36" s="28">
        <f>IF(C33="","",IFERROR(INDEX('04_月間表'!E$7:E$37,MATCH(C33,'04_月間表'!$A$7:$A$37,0)),""))</f>
        <v/>
      </c>
      <c r="D36" s="28">
        <f>IF(D33="","",IFERROR(INDEX('04_月間表'!E$7:E$37,MATCH(D33,'04_月間表'!$A$7:$A$37,0)),""))</f>
        <v/>
      </c>
      <c r="E36" s="28">
        <f>IF(E33="","",IFERROR(INDEX('04_月間表'!E$7:E$37,MATCH(E33,'04_月間表'!$A$7:$A$37,0)),""))</f>
        <v/>
      </c>
      <c r="F36" s="28">
        <f>IF(F33="","",IFERROR(INDEX('04_月間表'!E$7:E$37,MATCH(F33,'04_月間表'!$A$7:$A$37,0)),""))</f>
        <v/>
      </c>
      <c r="G36" s="28">
        <f>IF(G33="","",IFERROR(INDEX('04_月間表'!E$7:E$37,MATCH(G33,'04_月間表'!$A$7:$A$37,0)),""))</f>
        <v/>
      </c>
      <c r="H36" s="28">
        <f>IF(H33="","",IFERROR(INDEX('04_月間表'!E$7:E$37,MATCH(H33,'04_月間表'!$A$7:$A$37,0)),""))</f>
        <v/>
      </c>
      <c r="J36">
        <f>IF(B33="","",IFERROR(INDEX('04_月間表'!Z$7:Z$37,MATCH(B33,'04_月間表'!$A$7:$A$37,0)),""))</f>
        <v/>
      </c>
      <c r="K36">
        <f>IF(C33="","",IFERROR(INDEX('04_月間表'!Z$7:Z$37,MATCH(C33,'04_月間表'!$A$7:$A$37,0)),""))</f>
        <v/>
      </c>
      <c r="L36">
        <f>IF(D33="","",IFERROR(INDEX('04_月間表'!Z$7:Z$37,MATCH(D33,'04_月間表'!$A$7:$A$37,0)),""))</f>
        <v/>
      </c>
      <c r="M36">
        <f>IF(E33="","",IFERROR(INDEX('04_月間表'!Z$7:Z$37,MATCH(E33,'04_月間表'!$A$7:$A$37,0)),""))</f>
        <v/>
      </c>
      <c r="N36">
        <f>IF(F33="","",IFERROR(INDEX('04_月間表'!Z$7:Z$37,MATCH(F33,'04_月間表'!$A$7:$A$37,0)),""))</f>
        <v/>
      </c>
      <c r="O36">
        <f>IF(G33="","",IFERROR(INDEX('04_月間表'!Z$7:Z$37,MATCH(G33,'04_月間表'!$A$7:$A$37,0)),""))</f>
        <v/>
      </c>
      <c r="P36">
        <f>IF(H33="","",IFERROR(INDEX('04_月間表'!Z$7:Z$37,MATCH(H33,'04_月間表'!$A$7:$A$37,0)),""))</f>
        <v/>
      </c>
    </row>
    <row r="37" ht="21" customHeight="1">
      <c r="A37" s="27">
        <f>IF(COUNTA('M_部屋'!$A$4:$A$20)&gt;=4,INDEX('M_部屋'!$A$4:$A$20,4),"")</f>
        <v/>
      </c>
      <c r="B37" s="28">
        <f>IF(B33="","",IFERROR(INDEX('04_月間表'!F$7:F$37,MATCH(B33,'04_月間表'!$A$7:$A$37,0)),""))</f>
        <v/>
      </c>
      <c r="C37" s="28">
        <f>IF(C33="","",IFERROR(INDEX('04_月間表'!F$7:F$37,MATCH(C33,'04_月間表'!$A$7:$A$37,0)),""))</f>
        <v/>
      </c>
      <c r="D37" s="28">
        <f>IF(D33="","",IFERROR(INDEX('04_月間表'!F$7:F$37,MATCH(D33,'04_月間表'!$A$7:$A$37,0)),""))</f>
        <v/>
      </c>
      <c r="E37" s="28">
        <f>IF(E33="","",IFERROR(INDEX('04_月間表'!F$7:F$37,MATCH(E33,'04_月間表'!$A$7:$A$37,0)),""))</f>
        <v/>
      </c>
      <c r="F37" s="28">
        <f>IF(F33="","",IFERROR(INDEX('04_月間表'!F$7:F$37,MATCH(F33,'04_月間表'!$A$7:$A$37,0)),""))</f>
        <v/>
      </c>
      <c r="G37" s="28">
        <f>IF(G33="","",IFERROR(INDEX('04_月間表'!F$7:F$37,MATCH(G33,'04_月間表'!$A$7:$A$37,0)),""))</f>
        <v/>
      </c>
      <c r="H37" s="28">
        <f>IF(H33="","",IFERROR(INDEX('04_月間表'!F$7:F$37,MATCH(H33,'04_月間表'!$A$7:$A$37,0)),""))</f>
        <v/>
      </c>
      <c r="J37">
        <f>IF(B33="","",IFERROR(INDEX('04_月間表'!AA$7:AA$37,MATCH(B33,'04_月間表'!$A$7:$A$37,0)),""))</f>
        <v/>
      </c>
      <c r="K37">
        <f>IF(C33="","",IFERROR(INDEX('04_月間表'!AA$7:AA$37,MATCH(C33,'04_月間表'!$A$7:$A$37,0)),""))</f>
        <v/>
      </c>
      <c r="L37">
        <f>IF(D33="","",IFERROR(INDEX('04_月間表'!AA$7:AA$37,MATCH(D33,'04_月間表'!$A$7:$A$37,0)),""))</f>
        <v/>
      </c>
      <c r="M37">
        <f>IF(E33="","",IFERROR(INDEX('04_月間表'!AA$7:AA$37,MATCH(E33,'04_月間表'!$A$7:$A$37,0)),""))</f>
        <v/>
      </c>
      <c r="N37">
        <f>IF(F33="","",IFERROR(INDEX('04_月間表'!AA$7:AA$37,MATCH(F33,'04_月間表'!$A$7:$A$37,0)),""))</f>
        <v/>
      </c>
      <c r="O37">
        <f>IF(G33="","",IFERROR(INDEX('04_月間表'!AA$7:AA$37,MATCH(G33,'04_月間表'!$A$7:$A$37,0)),""))</f>
        <v/>
      </c>
      <c r="P37">
        <f>IF(H33="","",IFERROR(INDEX('04_月間表'!AA$7:AA$37,MATCH(H33,'04_月間表'!$A$7:$A$37,0)),""))</f>
        <v/>
      </c>
    </row>
    <row r="38" ht="22" customHeight="1">
      <c r="A38" s="27" t="inlineStr">
        <is>
          <t>空き</t>
        </is>
      </c>
      <c r="B38" s="29">
        <f>IF(B33="","",IFERROR(INDEX('04_月間表'!$J$7:$J$37,MATCH(B33,'04_月間表'!$A$7:$A$37,0)),""))</f>
        <v/>
      </c>
      <c r="C38" s="29">
        <f>IF(C33="","",IFERROR(INDEX('04_月間表'!$J$7:$J$37,MATCH(C33,'04_月間表'!$A$7:$A$37,0)),""))</f>
        <v/>
      </c>
      <c r="D38" s="29">
        <f>IF(D33="","",IFERROR(INDEX('04_月間表'!$J$7:$J$37,MATCH(D33,'04_月間表'!$A$7:$A$37,0)),""))</f>
        <v/>
      </c>
      <c r="E38" s="29">
        <f>IF(E33="","",IFERROR(INDEX('04_月間表'!$J$7:$J$37,MATCH(E33,'04_月間表'!$A$7:$A$37,0)),""))</f>
        <v/>
      </c>
      <c r="F38" s="29">
        <f>IF(F33="","",IFERROR(INDEX('04_月間表'!$J$7:$J$37,MATCH(F33,'04_月間表'!$A$7:$A$37,0)),""))</f>
        <v/>
      </c>
      <c r="G38" s="29">
        <f>IF(G33="","",IFERROR(INDEX('04_月間表'!$J$7:$J$37,MATCH(G33,'04_月間表'!$A$7:$A$37,0)),""))</f>
        <v/>
      </c>
      <c r="H38" s="29">
        <f>IF(H33="","",IFERROR(INDEX('04_月間表'!$J$7:$J$37,MATCH(H33,'04_月間表'!$A$7:$A$37,0)),""))</f>
        <v/>
      </c>
    </row>
    <row r="39" ht="17" customHeight="1">
      <c r="A39" s="30" t="inlineStr">
        <is>
          <t>食事</t>
        </is>
      </c>
      <c r="B39" s="31">
        <f>IF(OR(B33="",$B$6&lt;&gt;"○"),"",IFERROR(INDEX('04_月間表'!$AI$7:$AI$37,MATCH(B33,'04_月間表'!$A$7:$A$37,0)),""))</f>
        <v/>
      </c>
      <c r="C39" s="31">
        <f>IF(OR(C33="",$B$6&lt;&gt;"○"),"",IFERROR(INDEX('04_月間表'!$AI$7:$AI$37,MATCH(C33,'04_月間表'!$A$7:$A$37,0)),""))</f>
        <v/>
      </c>
      <c r="D39" s="31">
        <f>IF(OR(D33="",$B$6&lt;&gt;"○"),"",IFERROR(INDEX('04_月間表'!$AI$7:$AI$37,MATCH(D33,'04_月間表'!$A$7:$A$37,0)),""))</f>
        <v/>
      </c>
      <c r="E39" s="31">
        <f>IF(OR(E33="",$B$6&lt;&gt;"○"),"",IFERROR(INDEX('04_月間表'!$AI$7:$AI$37,MATCH(E33,'04_月間表'!$A$7:$A$37,0)),""))</f>
        <v/>
      </c>
      <c r="F39" s="31">
        <f>IF(OR(F33="",$B$6&lt;&gt;"○"),"",IFERROR(INDEX('04_月間表'!$AI$7:$AI$37,MATCH(F33,'04_月間表'!$A$7:$A$37,0)),""))</f>
        <v/>
      </c>
      <c r="G39" s="31">
        <f>IF(OR(G33="",$B$6&lt;&gt;"○"),"",IFERROR(INDEX('04_月間表'!$AI$7:$AI$37,MATCH(G33,'04_月間表'!$A$7:$A$37,0)),""))</f>
        <v/>
      </c>
      <c r="H39" s="31">
        <f>IF(OR(H33="",$B$6&lt;&gt;"○"),"",IFERROR(INDEX('04_月間表'!$AI$7:$AI$37,MATCH(H33,'04_月間表'!$A$7:$A$37,0)),""))</f>
        <v/>
      </c>
    </row>
    <row r="41" ht="22" customHeight="1">
      <c r="A41" s="23" t="inlineStr">
        <is>
          <t>第5週</t>
        </is>
      </c>
      <c r="B41" s="65">
        <f>IF(MONTH($B$4-WEEKDAY($B$4)+1+28)&lt;&gt;MONTH($B$4),"",$B$4-WEEKDAY($B$4)+1+28)</f>
        <v/>
      </c>
      <c r="C41" s="66">
        <f>IF(MONTH($B$4-WEEKDAY($B$4)+1+29)&lt;&gt;MONTH($B$4),"",$B$4-WEEKDAY($B$4)+1+29)</f>
        <v/>
      </c>
      <c r="D41" s="66">
        <f>IF(MONTH($B$4-WEEKDAY($B$4)+1+30)&lt;&gt;MONTH($B$4),"",$B$4-WEEKDAY($B$4)+1+30)</f>
        <v/>
      </c>
      <c r="E41" s="66">
        <f>IF(MONTH($B$4-WEEKDAY($B$4)+1+31)&lt;&gt;MONTH($B$4),"",$B$4-WEEKDAY($B$4)+1+31)</f>
        <v/>
      </c>
      <c r="F41" s="66">
        <f>IF(MONTH($B$4-WEEKDAY($B$4)+1+32)&lt;&gt;MONTH($B$4),"",$B$4-WEEKDAY($B$4)+1+32)</f>
        <v/>
      </c>
      <c r="G41" s="66">
        <f>IF(MONTH($B$4-WEEKDAY($B$4)+1+33)&lt;&gt;MONTH($B$4),"",$B$4-WEEKDAY($B$4)+1+33)</f>
        <v/>
      </c>
      <c r="H41" s="67">
        <f>IF(MONTH($B$4-WEEKDAY($B$4)+1+34)&lt;&gt;MONTH($B$4),"",$B$4-WEEKDAY($B$4)+1+34)</f>
        <v/>
      </c>
    </row>
    <row r="42" ht="21" customHeight="1">
      <c r="A42" s="27">
        <f>IF(COUNTA('M_部屋'!$A$4:$A$20)&gt;=1,INDEX('M_部屋'!$A$4:$A$20,1),"")</f>
        <v/>
      </c>
      <c r="B42" s="28">
        <f>IF(B41="","",IFERROR(INDEX('04_月間表'!C$7:C$37,MATCH(B41,'04_月間表'!$A$7:$A$37,0)),""))</f>
        <v/>
      </c>
      <c r="C42" s="28">
        <f>IF(C41="","",IFERROR(INDEX('04_月間表'!C$7:C$37,MATCH(C41,'04_月間表'!$A$7:$A$37,0)),""))</f>
        <v/>
      </c>
      <c r="D42" s="28">
        <f>IF(D41="","",IFERROR(INDEX('04_月間表'!C$7:C$37,MATCH(D41,'04_月間表'!$A$7:$A$37,0)),""))</f>
        <v/>
      </c>
      <c r="E42" s="28">
        <f>IF(E41="","",IFERROR(INDEX('04_月間表'!C$7:C$37,MATCH(E41,'04_月間表'!$A$7:$A$37,0)),""))</f>
        <v/>
      </c>
      <c r="F42" s="28">
        <f>IF(F41="","",IFERROR(INDEX('04_月間表'!C$7:C$37,MATCH(F41,'04_月間表'!$A$7:$A$37,0)),""))</f>
        <v/>
      </c>
      <c r="G42" s="28">
        <f>IF(G41="","",IFERROR(INDEX('04_月間表'!C$7:C$37,MATCH(G41,'04_月間表'!$A$7:$A$37,0)),""))</f>
        <v/>
      </c>
      <c r="H42" s="28">
        <f>IF(H41="","",IFERROR(INDEX('04_月間表'!C$7:C$37,MATCH(H41,'04_月間表'!$A$7:$A$37,0)),""))</f>
        <v/>
      </c>
      <c r="J42">
        <f>IF(B41="","",IFERROR(INDEX('04_月間表'!X$7:X$37,MATCH(B41,'04_月間表'!$A$7:$A$37,0)),""))</f>
        <v/>
      </c>
      <c r="K42">
        <f>IF(C41="","",IFERROR(INDEX('04_月間表'!X$7:X$37,MATCH(C41,'04_月間表'!$A$7:$A$37,0)),""))</f>
        <v/>
      </c>
      <c r="L42">
        <f>IF(D41="","",IFERROR(INDEX('04_月間表'!X$7:X$37,MATCH(D41,'04_月間表'!$A$7:$A$37,0)),""))</f>
        <v/>
      </c>
      <c r="M42">
        <f>IF(E41="","",IFERROR(INDEX('04_月間表'!X$7:X$37,MATCH(E41,'04_月間表'!$A$7:$A$37,0)),""))</f>
        <v/>
      </c>
      <c r="N42">
        <f>IF(F41="","",IFERROR(INDEX('04_月間表'!X$7:X$37,MATCH(F41,'04_月間表'!$A$7:$A$37,0)),""))</f>
        <v/>
      </c>
      <c r="O42">
        <f>IF(G41="","",IFERROR(INDEX('04_月間表'!X$7:X$37,MATCH(G41,'04_月間表'!$A$7:$A$37,0)),""))</f>
        <v/>
      </c>
      <c r="P42">
        <f>IF(H41="","",IFERROR(INDEX('04_月間表'!X$7:X$37,MATCH(H41,'04_月間表'!$A$7:$A$37,0)),""))</f>
        <v/>
      </c>
    </row>
    <row r="43" ht="21" customHeight="1">
      <c r="A43" s="27">
        <f>IF(COUNTA('M_部屋'!$A$4:$A$20)&gt;=2,INDEX('M_部屋'!$A$4:$A$20,2),"")</f>
        <v/>
      </c>
      <c r="B43" s="28">
        <f>IF(B41="","",IFERROR(INDEX('04_月間表'!D$7:D$37,MATCH(B41,'04_月間表'!$A$7:$A$37,0)),""))</f>
        <v/>
      </c>
      <c r="C43" s="28">
        <f>IF(C41="","",IFERROR(INDEX('04_月間表'!D$7:D$37,MATCH(C41,'04_月間表'!$A$7:$A$37,0)),""))</f>
        <v/>
      </c>
      <c r="D43" s="28">
        <f>IF(D41="","",IFERROR(INDEX('04_月間表'!D$7:D$37,MATCH(D41,'04_月間表'!$A$7:$A$37,0)),""))</f>
        <v/>
      </c>
      <c r="E43" s="28">
        <f>IF(E41="","",IFERROR(INDEX('04_月間表'!D$7:D$37,MATCH(E41,'04_月間表'!$A$7:$A$37,0)),""))</f>
        <v/>
      </c>
      <c r="F43" s="28">
        <f>IF(F41="","",IFERROR(INDEX('04_月間表'!D$7:D$37,MATCH(F41,'04_月間表'!$A$7:$A$37,0)),""))</f>
        <v/>
      </c>
      <c r="G43" s="28">
        <f>IF(G41="","",IFERROR(INDEX('04_月間表'!D$7:D$37,MATCH(G41,'04_月間表'!$A$7:$A$37,0)),""))</f>
        <v/>
      </c>
      <c r="H43" s="28">
        <f>IF(H41="","",IFERROR(INDEX('04_月間表'!D$7:D$37,MATCH(H41,'04_月間表'!$A$7:$A$37,0)),""))</f>
        <v/>
      </c>
      <c r="J43">
        <f>IF(B41="","",IFERROR(INDEX('04_月間表'!Y$7:Y$37,MATCH(B41,'04_月間表'!$A$7:$A$37,0)),""))</f>
        <v/>
      </c>
      <c r="K43">
        <f>IF(C41="","",IFERROR(INDEX('04_月間表'!Y$7:Y$37,MATCH(C41,'04_月間表'!$A$7:$A$37,0)),""))</f>
        <v/>
      </c>
      <c r="L43">
        <f>IF(D41="","",IFERROR(INDEX('04_月間表'!Y$7:Y$37,MATCH(D41,'04_月間表'!$A$7:$A$37,0)),""))</f>
        <v/>
      </c>
      <c r="M43">
        <f>IF(E41="","",IFERROR(INDEX('04_月間表'!Y$7:Y$37,MATCH(E41,'04_月間表'!$A$7:$A$37,0)),""))</f>
        <v/>
      </c>
      <c r="N43">
        <f>IF(F41="","",IFERROR(INDEX('04_月間表'!Y$7:Y$37,MATCH(F41,'04_月間表'!$A$7:$A$37,0)),""))</f>
        <v/>
      </c>
      <c r="O43">
        <f>IF(G41="","",IFERROR(INDEX('04_月間表'!Y$7:Y$37,MATCH(G41,'04_月間表'!$A$7:$A$37,0)),""))</f>
        <v/>
      </c>
      <c r="P43">
        <f>IF(H41="","",IFERROR(INDEX('04_月間表'!Y$7:Y$37,MATCH(H41,'04_月間表'!$A$7:$A$37,0)),""))</f>
        <v/>
      </c>
    </row>
    <row r="44" ht="21" customHeight="1">
      <c r="A44" s="27">
        <f>IF(COUNTA('M_部屋'!$A$4:$A$20)&gt;=3,INDEX('M_部屋'!$A$4:$A$20,3),"")</f>
        <v/>
      </c>
      <c r="B44" s="28">
        <f>IF(B41="","",IFERROR(INDEX('04_月間表'!E$7:E$37,MATCH(B41,'04_月間表'!$A$7:$A$37,0)),""))</f>
        <v/>
      </c>
      <c r="C44" s="28">
        <f>IF(C41="","",IFERROR(INDEX('04_月間表'!E$7:E$37,MATCH(C41,'04_月間表'!$A$7:$A$37,0)),""))</f>
        <v/>
      </c>
      <c r="D44" s="28">
        <f>IF(D41="","",IFERROR(INDEX('04_月間表'!E$7:E$37,MATCH(D41,'04_月間表'!$A$7:$A$37,0)),""))</f>
        <v/>
      </c>
      <c r="E44" s="28">
        <f>IF(E41="","",IFERROR(INDEX('04_月間表'!E$7:E$37,MATCH(E41,'04_月間表'!$A$7:$A$37,0)),""))</f>
        <v/>
      </c>
      <c r="F44" s="28">
        <f>IF(F41="","",IFERROR(INDEX('04_月間表'!E$7:E$37,MATCH(F41,'04_月間表'!$A$7:$A$37,0)),""))</f>
        <v/>
      </c>
      <c r="G44" s="28">
        <f>IF(G41="","",IFERROR(INDEX('04_月間表'!E$7:E$37,MATCH(G41,'04_月間表'!$A$7:$A$37,0)),""))</f>
        <v/>
      </c>
      <c r="H44" s="28">
        <f>IF(H41="","",IFERROR(INDEX('04_月間表'!E$7:E$37,MATCH(H41,'04_月間表'!$A$7:$A$37,0)),""))</f>
        <v/>
      </c>
      <c r="J44">
        <f>IF(B41="","",IFERROR(INDEX('04_月間表'!Z$7:Z$37,MATCH(B41,'04_月間表'!$A$7:$A$37,0)),""))</f>
        <v/>
      </c>
      <c r="K44">
        <f>IF(C41="","",IFERROR(INDEX('04_月間表'!Z$7:Z$37,MATCH(C41,'04_月間表'!$A$7:$A$37,0)),""))</f>
        <v/>
      </c>
      <c r="L44">
        <f>IF(D41="","",IFERROR(INDEX('04_月間表'!Z$7:Z$37,MATCH(D41,'04_月間表'!$A$7:$A$37,0)),""))</f>
        <v/>
      </c>
      <c r="M44">
        <f>IF(E41="","",IFERROR(INDEX('04_月間表'!Z$7:Z$37,MATCH(E41,'04_月間表'!$A$7:$A$37,0)),""))</f>
        <v/>
      </c>
      <c r="N44">
        <f>IF(F41="","",IFERROR(INDEX('04_月間表'!Z$7:Z$37,MATCH(F41,'04_月間表'!$A$7:$A$37,0)),""))</f>
        <v/>
      </c>
      <c r="O44">
        <f>IF(G41="","",IFERROR(INDEX('04_月間表'!Z$7:Z$37,MATCH(G41,'04_月間表'!$A$7:$A$37,0)),""))</f>
        <v/>
      </c>
      <c r="P44">
        <f>IF(H41="","",IFERROR(INDEX('04_月間表'!Z$7:Z$37,MATCH(H41,'04_月間表'!$A$7:$A$37,0)),""))</f>
        <v/>
      </c>
    </row>
    <row r="45" ht="21" customHeight="1">
      <c r="A45" s="27">
        <f>IF(COUNTA('M_部屋'!$A$4:$A$20)&gt;=4,INDEX('M_部屋'!$A$4:$A$20,4),"")</f>
        <v/>
      </c>
      <c r="B45" s="28">
        <f>IF(B41="","",IFERROR(INDEX('04_月間表'!F$7:F$37,MATCH(B41,'04_月間表'!$A$7:$A$37,0)),""))</f>
        <v/>
      </c>
      <c r="C45" s="28">
        <f>IF(C41="","",IFERROR(INDEX('04_月間表'!F$7:F$37,MATCH(C41,'04_月間表'!$A$7:$A$37,0)),""))</f>
        <v/>
      </c>
      <c r="D45" s="28">
        <f>IF(D41="","",IFERROR(INDEX('04_月間表'!F$7:F$37,MATCH(D41,'04_月間表'!$A$7:$A$37,0)),""))</f>
        <v/>
      </c>
      <c r="E45" s="28">
        <f>IF(E41="","",IFERROR(INDEX('04_月間表'!F$7:F$37,MATCH(E41,'04_月間表'!$A$7:$A$37,0)),""))</f>
        <v/>
      </c>
      <c r="F45" s="28">
        <f>IF(F41="","",IFERROR(INDEX('04_月間表'!F$7:F$37,MATCH(F41,'04_月間表'!$A$7:$A$37,0)),""))</f>
        <v/>
      </c>
      <c r="G45" s="28">
        <f>IF(G41="","",IFERROR(INDEX('04_月間表'!F$7:F$37,MATCH(G41,'04_月間表'!$A$7:$A$37,0)),""))</f>
        <v/>
      </c>
      <c r="H45" s="28">
        <f>IF(H41="","",IFERROR(INDEX('04_月間表'!F$7:F$37,MATCH(H41,'04_月間表'!$A$7:$A$37,0)),""))</f>
        <v/>
      </c>
      <c r="J45">
        <f>IF(B41="","",IFERROR(INDEX('04_月間表'!AA$7:AA$37,MATCH(B41,'04_月間表'!$A$7:$A$37,0)),""))</f>
        <v/>
      </c>
      <c r="K45">
        <f>IF(C41="","",IFERROR(INDEX('04_月間表'!AA$7:AA$37,MATCH(C41,'04_月間表'!$A$7:$A$37,0)),""))</f>
        <v/>
      </c>
      <c r="L45">
        <f>IF(D41="","",IFERROR(INDEX('04_月間表'!AA$7:AA$37,MATCH(D41,'04_月間表'!$A$7:$A$37,0)),""))</f>
        <v/>
      </c>
      <c r="M45">
        <f>IF(E41="","",IFERROR(INDEX('04_月間表'!AA$7:AA$37,MATCH(E41,'04_月間表'!$A$7:$A$37,0)),""))</f>
        <v/>
      </c>
      <c r="N45">
        <f>IF(F41="","",IFERROR(INDEX('04_月間表'!AA$7:AA$37,MATCH(F41,'04_月間表'!$A$7:$A$37,0)),""))</f>
        <v/>
      </c>
      <c r="O45">
        <f>IF(G41="","",IFERROR(INDEX('04_月間表'!AA$7:AA$37,MATCH(G41,'04_月間表'!$A$7:$A$37,0)),""))</f>
        <v/>
      </c>
      <c r="P45">
        <f>IF(H41="","",IFERROR(INDEX('04_月間表'!AA$7:AA$37,MATCH(H41,'04_月間表'!$A$7:$A$37,0)),""))</f>
        <v/>
      </c>
    </row>
    <row r="46" ht="22" customHeight="1">
      <c r="A46" s="27" t="inlineStr">
        <is>
          <t>空き</t>
        </is>
      </c>
      <c r="B46" s="29">
        <f>IF(B41="","",IFERROR(INDEX('04_月間表'!$J$7:$J$37,MATCH(B41,'04_月間表'!$A$7:$A$37,0)),""))</f>
        <v/>
      </c>
      <c r="C46" s="29">
        <f>IF(C41="","",IFERROR(INDEX('04_月間表'!$J$7:$J$37,MATCH(C41,'04_月間表'!$A$7:$A$37,0)),""))</f>
        <v/>
      </c>
      <c r="D46" s="29">
        <f>IF(D41="","",IFERROR(INDEX('04_月間表'!$J$7:$J$37,MATCH(D41,'04_月間表'!$A$7:$A$37,0)),""))</f>
        <v/>
      </c>
      <c r="E46" s="29">
        <f>IF(E41="","",IFERROR(INDEX('04_月間表'!$J$7:$J$37,MATCH(E41,'04_月間表'!$A$7:$A$37,0)),""))</f>
        <v/>
      </c>
      <c r="F46" s="29">
        <f>IF(F41="","",IFERROR(INDEX('04_月間表'!$J$7:$J$37,MATCH(F41,'04_月間表'!$A$7:$A$37,0)),""))</f>
        <v/>
      </c>
      <c r="G46" s="29">
        <f>IF(G41="","",IFERROR(INDEX('04_月間表'!$J$7:$J$37,MATCH(G41,'04_月間表'!$A$7:$A$37,0)),""))</f>
        <v/>
      </c>
      <c r="H46" s="29">
        <f>IF(H41="","",IFERROR(INDEX('04_月間表'!$J$7:$J$37,MATCH(H41,'04_月間表'!$A$7:$A$37,0)),""))</f>
        <v/>
      </c>
    </row>
    <row r="47" ht="17" customHeight="1">
      <c r="A47" s="30" t="inlineStr">
        <is>
          <t>食事</t>
        </is>
      </c>
      <c r="B47" s="31">
        <f>IF(OR(B41="",$B$6&lt;&gt;"○"),"",IFERROR(INDEX('04_月間表'!$AI$7:$AI$37,MATCH(B41,'04_月間表'!$A$7:$A$37,0)),""))</f>
        <v/>
      </c>
      <c r="C47" s="31">
        <f>IF(OR(C41="",$B$6&lt;&gt;"○"),"",IFERROR(INDEX('04_月間表'!$AI$7:$AI$37,MATCH(C41,'04_月間表'!$A$7:$A$37,0)),""))</f>
        <v/>
      </c>
      <c r="D47" s="31">
        <f>IF(OR(D41="",$B$6&lt;&gt;"○"),"",IFERROR(INDEX('04_月間表'!$AI$7:$AI$37,MATCH(D41,'04_月間表'!$A$7:$A$37,0)),""))</f>
        <v/>
      </c>
      <c r="E47" s="31">
        <f>IF(OR(E41="",$B$6&lt;&gt;"○"),"",IFERROR(INDEX('04_月間表'!$AI$7:$AI$37,MATCH(E41,'04_月間表'!$A$7:$A$37,0)),""))</f>
        <v/>
      </c>
      <c r="F47" s="31">
        <f>IF(OR(F41="",$B$6&lt;&gt;"○"),"",IFERROR(INDEX('04_月間表'!$AI$7:$AI$37,MATCH(F41,'04_月間表'!$A$7:$A$37,0)),""))</f>
        <v/>
      </c>
      <c r="G47" s="31">
        <f>IF(OR(G41="",$B$6&lt;&gt;"○"),"",IFERROR(INDEX('04_月間表'!$AI$7:$AI$37,MATCH(G41,'04_月間表'!$A$7:$A$37,0)),""))</f>
        <v/>
      </c>
      <c r="H47" s="31">
        <f>IF(OR(H41="",$B$6&lt;&gt;"○"),"",IFERROR(INDEX('04_月間表'!$AI$7:$AI$37,MATCH(H41,'04_月間表'!$A$7:$A$37,0)),""))</f>
        <v/>
      </c>
    </row>
    <row r="49" ht="22" customHeight="1">
      <c r="A49" s="23" t="inlineStr">
        <is>
          <t>第6週</t>
        </is>
      </c>
      <c r="B49" s="65">
        <f>IF(MONTH($B$4-WEEKDAY($B$4)+1+35)&lt;&gt;MONTH($B$4),"",$B$4-WEEKDAY($B$4)+1+35)</f>
        <v/>
      </c>
      <c r="C49" s="66">
        <f>IF(MONTH($B$4-WEEKDAY($B$4)+1+36)&lt;&gt;MONTH($B$4),"",$B$4-WEEKDAY($B$4)+1+36)</f>
        <v/>
      </c>
      <c r="D49" s="66">
        <f>IF(MONTH($B$4-WEEKDAY($B$4)+1+37)&lt;&gt;MONTH($B$4),"",$B$4-WEEKDAY($B$4)+1+37)</f>
        <v/>
      </c>
      <c r="E49" s="66">
        <f>IF(MONTH($B$4-WEEKDAY($B$4)+1+38)&lt;&gt;MONTH($B$4),"",$B$4-WEEKDAY($B$4)+1+38)</f>
        <v/>
      </c>
      <c r="F49" s="66">
        <f>IF(MONTH($B$4-WEEKDAY($B$4)+1+39)&lt;&gt;MONTH($B$4),"",$B$4-WEEKDAY($B$4)+1+39)</f>
        <v/>
      </c>
      <c r="G49" s="66">
        <f>IF(MONTH($B$4-WEEKDAY($B$4)+1+40)&lt;&gt;MONTH($B$4),"",$B$4-WEEKDAY($B$4)+1+40)</f>
        <v/>
      </c>
      <c r="H49" s="67">
        <f>IF(MONTH($B$4-WEEKDAY($B$4)+1+41)&lt;&gt;MONTH($B$4),"",$B$4-WEEKDAY($B$4)+1+41)</f>
        <v/>
      </c>
    </row>
    <row r="50" ht="21" customHeight="1">
      <c r="A50" s="27">
        <f>IF(COUNTA('M_部屋'!$A$4:$A$20)&gt;=1,INDEX('M_部屋'!$A$4:$A$20,1),"")</f>
        <v/>
      </c>
      <c r="B50" s="28">
        <f>IF(B49="","",IFERROR(INDEX('04_月間表'!C$7:C$37,MATCH(B49,'04_月間表'!$A$7:$A$37,0)),""))</f>
        <v/>
      </c>
      <c r="C50" s="28">
        <f>IF(C49="","",IFERROR(INDEX('04_月間表'!C$7:C$37,MATCH(C49,'04_月間表'!$A$7:$A$37,0)),""))</f>
        <v/>
      </c>
      <c r="D50" s="28">
        <f>IF(D49="","",IFERROR(INDEX('04_月間表'!C$7:C$37,MATCH(D49,'04_月間表'!$A$7:$A$37,0)),""))</f>
        <v/>
      </c>
      <c r="E50" s="28">
        <f>IF(E49="","",IFERROR(INDEX('04_月間表'!C$7:C$37,MATCH(E49,'04_月間表'!$A$7:$A$37,0)),""))</f>
        <v/>
      </c>
      <c r="F50" s="28">
        <f>IF(F49="","",IFERROR(INDEX('04_月間表'!C$7:C$37,MATCH(F49,'04_月間表'!$A$7:$A$37,0)),""))</f>
        <v/>
      </c>
      <c r="G50" s="28">
        <f>IF(G49="","",IFERROR(INDEX('04_月間表'!C$7:C$37,MATCH(G49,'04_月間表'!$A$7:$A$37,0)),""))</f>
        <v/>
      </c>
      <c r="H50" s="28">
        <f>IF(H49="","",IFERROR(INDEX('04_月間表'!C$7:C$37,MATCH(H49,'04_月間表'!$A$7:$A$37,0)),""))</f>
        <v/>
      </c>
      <c r="J50">
        <f>IF(B49="","",IFERROR(INDEX('04_月間表'!X$7:X$37,MATCH(B49,'04_月間表'!$A$7:$A$37,0)),""))</f>
        <v/>
      </c>
      <c r="K50">
        <f>IF(C49="","",IFERROR(INDEX('04_月間表'!X$7:X$37,MATCH(C49,'04_月間表'!$A$7:$A$37,0)),""))</f>
        <v/>
      </c>
      <c r="L50">
        <f>IF(D49="","",IFERROR(INDEX('04_月間表'!X$7:X$37,MATCH(D49,'04_月間表'!$A$7:$A$37,0)),""))</f>
        <v/>
      </c>
      <c r="M50">
        <f>IF(E49="","",IFERROR(INDEX('04_月間表'!X$7:X$37,MATCH(E49,'04_月間表'!$A$7:$A$37,0)),""))</f>
        <v/>
      </c>
      <c r="N50">
        <f>IF(F49="","",IFERROR(INDEX('04_月間表'!X$7:X$37,MATCH(F49,'04_月間表'!$A$7:$A$37,0)),""))</f>
        <v/>
      </c>
      <c r="O50">
        <f>IF(G49="","",IFERROR(INDEX('04_月間表'!X$7:X$37,MATCH(G49,'04_月間表'!$A$7:$A$37,0)),""))</f>
        <v/>
      </c>
      <c r="P50">
        <f>IF(H49="","",IFERROR(INDEX('04_月間表'!X$7:X$37,MATCH(H49,'04_月間表'!$A$7:$A$37,0)),""))</f>
        <v/>
      </c>
    </row>
    <row r="51" ht="21" customHeight="1">
      <c r="A51" s="27">
        <f>IF(COUNTA('M_部屋'!$A$4:$A$20)&gt;=2,INDEX('M_部屋'!$A$4:$A$20,2),"")</f>
        <v/>
      </c>
      <c r="B51" s="28">
        <f>IF(B49="","",IFERROR(INDEX('04_月間表'!D$7:D$37,MATCH(B49,'04_月間表'!$A$7:$A$37,0)),""))</f>
        <v/>
      </c>
      <c r="C51" s="28">
        <f>IF(C49="","",IFERROR(INDEX('04_月間表'!D$7:D$37,MATCH(C49,'04_月間表'!$A$7:$A$37,0)),""))</f>
        <v/>
      </c>
      <c r="D51" s="28">
        <f>IF(D49="","",IFERROR(INDEX('04_月間表'!D$7:D$37,MATCH(D49,'04_月間表'!$A$7:$A$37,0)),""))</f>
        <v/>
      </c>
      <c r="E51" s="28">
        <f>IF(E49="","",IFERROR(INDEX('04_月間表'!D$7:D$37,MATCH(E49,'04_月間表'!$A$7:$A$37,0)),""))</f>
        <v/>
      </c>
      <c r="F51" s="28">
        <f>IF(F49="","",IFERROR(INDEX('04_月間表'!D$7:D$37,MATCH(F49,'04_月間表'!$A$7:$A$37,0)),""))</f>
        <v/>
      </c>
      <c r="G51" s="28">
        <f>IF(G49="","",IFERROR(INDEX('04_月間表'!D$7:D$37,MATCH(G49,'04_月間表'!$A$7:$A$37,0)),""))</f>
        <v/>
      </c>
      <c r="H51" s="28">
        <f>IF(H49="","",IFERROR(INDEX('04_月間表'!D$7:D$37,MATCH(H49,'04_月間表'!$A$7:$A$37,0)),""))</f>
        <v/>
      </c>
      <c r="J51">
        <f>IF(B49="","",IFERROR(INDEX('04_月間表'!Y$7:Y$37,MATCH(B49,'04_月間表'!$A$7:$A$37,0)),""))</f>
        <v/>
      </c>
      <c r="K51">
        <f>IF(C49="","",IFERROR(INDEX('04_月間表'!Y$7:Y$37,MATCH(C49,'04_月間表'!$A$7:$A$37,0)),""))</f>
        <v/>
      </c>
      <c r="L51">
        <f>IF(D49="","",IFERROR(INDEX('04_月間表'!Y$7:Y$37,MATCH(D49,'04_月間表'!$A$7:$A$37,0)),""))</f>
        <v/>
      </c>
      <c r="M51">
        <f>IF(E49="","",IFERROR(INDEX('04_月間表'!Y$7:Y$37,MATCH(E49,'04_月間表'!$A$7:$A$37,0)),""))</f>
        <v/>
      </c>
      <c r="N51">
        <f>IF(F49="","",IFERROR(INDEX('04_月間表'!Y$7:Y$37,MATCH(F49,'04_月間表'!$A$7:$A$37,0)),""))</f>
        <v/>
      </c>
      <c r="O51">
        <f>IF(G49="","",IFERROR(INDEX('04_月間表'!Y$7:Y$37,MATCH(G49,'04_月間表'!$A$7:$A$37,0)),""))</f>
        <v/>
      </c>
      <c r="P51">
        <f>IF(H49="","",IFERROR(INDEX('04_月間表'!Y$7:Y$37,MATCH(H49,'04_月間表'!$A$7:$A$37,0)),""))</f>
        <v/>
      </c>
    </row>
    <row r="52" ht="21" customHeight="1">
      <c r="A52" s="27">
        <f>IF(COUNTA('M_部屋'!$A$4:$A$20)&gt;=3,INDEX('M_部屋'!$A$4:$A$20,3),"")</f>
        <v/>
      </c>
      <c r="B52" s="28">
        <f>IF(B49="","",IFERROR(INDEX('04_月間表'!E$7:E$37,MATCH(B49,'04_月間表'!$A$7:$A$37,0)),""))</f>
        <v/>
      </c>
      <c r="C52" s="28">
        <f>IF(C49="","",IFERROR(INDEX('04_月間表'!E$7:E$37,MATCH(C49,'04_月間表'!$A$7:$A$37,0)),""))</f>
        <v/>
      </c>
      <c r="D52" s="28">
        <f>IF(D49="","",IFERROR(INDEX('04_月間表'!E$7:E$37,MATCH(D49,'04_月間表'!$A$7:$A$37,0)),""))</f>
        <v/>
      </c>
      <c r="E52" s="28">
        <f>IF(E49="","",IFERROR(INDEX('04_月間表'!E$7:E$37,MATCH(E49,'04_月間表'!$A$7:$A$37,0)),""))</f>
        <v/>
      </c>
      <c r="F52" s="28">
        <f>IF(F49="","",IFERROR(INDEX('04_月間表'!E$7:E$37,MATCH(F49,'04_月間表'!$A$7:$A$37,0)),""))</f>
        <v/>
      </c>
      <c r="G52" s="28">
        <f>IF(G49="","",IFERROR(INDEX('04_月間表'!E$7:E$37,MATCH(G49,'04_月間表'!$A$7:$A$37,0)),""))</f>
        <v/>
      </c>
      <c r="H52" s="28">
        <f>IF(H49="","",IFERROR(INDEX('04_月間表'!E$7:E$37,MATCH(H49,'04_月間表'!$A$7:$A$37,0)),""))</f>
        <v/>
      </c>
      <c r="J52">
        <f>IF(B49="","",IFERROR(INDEX('04_月間表'!Z$7:Z$37,MATCH(B49,'04_月間表'!$A$7:$A$37,0)),""))</f>
        <v/>
      </c>
      <c r="K52">
        <f>IF(C49="","",IFERROR(INDEX('04_月間表'!Z$7:Z$37,MATCH(C49,'04_月間表'!$A$7:$A$37,0)),""))</f>
        <v/>
      </c>
      <c r="L52">
        <f>IF(D49="","",IFERROR(INDEX('04_月間表'!Z$7:Z$37,MATCH(D49,'04_月間表'!$A$7:$A$37,0)),""))</f>
        <v/>
      </c>
      <c r="M52">
        <f>IF(E49="","",IFERROR(INDEX('04_月間表'!Z$7:Z$37,MATCH(E49,'04_月間表'!$A$7:$A$37,0)),""))</f>
        <v/>
      </c>
      <c r="N52">
        <f>IF(F49="","",IFERROR(INDEX('04_月間表'!Z$7:Z$37,MATCH(F49,'04_月間表'!$A$7:$A$37,0)),""))</f>
        <v/>
      </c>
      <c r="O52">
        <f>IF(G49="","",IFERROR(INDEX('04_月間表'!Z$7:Z$37,MATCH(G49,'04_月間表'!$A$7:$A$37,0)),""))</f>
        <v/>
      </c>
      <c r="P52">
        <f>IF(H49="","",IFERROR(INDEX('04_月間表'!Z$7:Z$37,MATCH(H49,'04_月間表'!$A$7:$A$37,0)),""))</f>
        <v/>
      </c>
    </row>
    <row r="53" ht="21" customHeight="1">
      <c r="A53" s="27">
        <f>IF(COUNTA('M_部屋'!$A$4:$A$20)&gt;=4,INDEX('M_部屋'!$A$4:$A$20,4),"")</f>
        <v/>
      </c>
      <c r="B53" s="28">
        <f>IF(B49="","",IFERROR(INDEX('04_月間表'!F$7:F$37,MATCH(B49,'04_月間表'!$A$7:$A$37,0)),""))</f>
        <v/>
      </c>
      <c r="C53" s="28">
        <f>IF(C49="","",IFERROR(INDEX('04_月間表'!F$7:F$37,MATCH(C49,'04_月間表'!$A$7:$A$37,0)),""))</f>
        <v/>
      </c>
      <c r="D53" s="28">
        <f>IF(D49="","",IFERROR(INDEX('04_月間表'!F$7:F$37,MATCH(D49,'04_月間表'!$A$7:$A$37,0)),""))</f>
        <v/>
      </c>
      <c r="E53" s="28">
        <f>IF(E49="","",IFERROR(INDEX('04_月間表'!F$7:F$37,MATCH(E49,'04_月間表'!$A$7:$A$37,0)),""))</f>
        <v/>
      </c>
      <c r="F53" s="28">
        <f>IF(F49="","",IFERROR(INDEX('04_月間表'!F$7:F$37,MATCH(F49,'04_月間表'!$A$7:$A$37,0)),""))</f>
        <v/>
      </c>
      <c r="G53" s="28">
        <f>IF(G49="","",IFERROR(INDEX('04_月間表'!F$7:F$37,MATCH(G49,'04_月間表'!$A$7:$A$37,0)),""))</f>
        <v/>
      </c>
      <c r="H53" s="28">
        <f>IF(H49="","",IFERROR(INDEX('04_月間表'!F$7:F$37,MATCH(H49,'04_月間表'!$A$7:$A$37,0)),""))</f>
        <v/>
      </c>
      <c r="J53">
        <f>IF(B49="","",IFERROR(INDEX('04_月間表'!AA$7:AA$37,MATCH(B49,'04_月間表'!$A$7:$A$37,0)),""))</f>
        <v/>
      </c>
      <c r="K53">
        <f>IF(C49="","",IFERROR(INDEX('04_月間表'!AA$7:AA$37,MATCH(C49,'04_月間表'!$A$7:$A$37,0)),""))</f>
        <v/>
      </c>
      <c r="L53">
        <f>IF(D49="","",IFERROR(INDEX('04_月間表'!AA$7:AA$37,MATCH(D49,'04_月間表'!$A$7:$A$37,0)),""))</f>
        <v/>
      </c>
      <c r="M53">
        <f>IF(E49="","",IFERROR(INDEX('04_月間表'!AA$7:AA$37,MATCH(E49,'04_月間表'!$A$7:$A$37,0)),""))</f>
        <v/>
      </c>
      <c r="N53">
        <f>IF(F49="","",IFERROR(INDEX('04_月間表'!AA$7:AA$37,MATCH(F49,'04_月間表'!$A$7:$A$37,0)),""))</f>
        <v/>
      </c>
      <c r="O53">
        <f>IF(G49="","",IFERROR(INDEX('04_月間表'!AA$7:AA$37,MATCH(G49,'04_月間表'!$A$7:$A$37,0)),""))</f>
        <v/>
      </c>
      <c r="P53">
        <f>IF(H49="","",IFERROR(INDEX('04_月間表'!AA$7:AA$37,MATCH(H49,'04_月間表'!$A$7:$A$37,0)),""))</f>
        <v/>
      </c>
    </row>
    <row r="54" ht="22" customHeight="1">
      <c r="A54" s="27" t="inlineStr">
        <is>
          <t>空き</t>
        </is>
      </c>
      <c r="B54" s="29">
        <f>IF(B49="","",IFERROR(INDEX('04_月間表'!$J$7:$J$37,MATCH(B49,'04_月間表'!$A$7:$A$37,0)),""))</f>
        <v/>
      </c>
      <c r="C54" s="29">
        <f>IF(C49="","",IFERROR(INDEX('04_月間表'!$J$7:$J$37,MATCH(C49,'04_月間表'!$A$7:$A$37,0)),""))</f>
        <v/>
      </c>
      <c r="D54" s="29">
        <f>IF(D49="","",IFERROR(INDEX('04_月間表'!$J$7:$J$37,MATCH(D49,'04_月間表'!$A$7:$A$37,0)),""))</f>
        <v/>
      </c>
      <c r="E54" s="29">
        <f>IF(E49="","",IFERROR(INDEX('04_月間表'!$J$7:$J$37,MATCH(E49,'04_月間表'!$A$7:$A$37,0)),""))</f>
        <v/>
      </c>
      <c r="F54" s="29">
        <f>IF(F49="","",IFERROR(INDEX('04_月間表'!$J$7:$J$37,MATCH(F49,'04_月間表'!$A$7:$A$37,0)),""))</f>
        <v/>
      </c>
      <c r="G54" s="29">
        <f>IF(G49="","",IFERROR(INDEX('04_月間表'!$J$7:$J$37,MATCH(G49,'04_月間表'!$A$7:$A$37,0)),""))</f>
        <v/>
      </c>
      <c r="H54" s="29">
        <f>IF(H49="","",IFERROR(INDEX('04_月間表'!$J$7:$J$37,MATCH(H49,'04_月間表'!$A$7:$A$37,0)),""))</f>
        <v/>
      </c>
    </row>
    <row r="55" ht="17" customHeight="1">
      <c r="A55" s="30" t="inlineStr">
        <is>
          <t>食事</t>
        </is>
      </c>
      <c r="B55" s="31">
        <f>IF(OR(B49="",$B$6&lt;&gt;"○"),"",IFERROR(INDEX('04_月間表'!$AI$7:$AI$37,MATCH(B49,'04_月間表'!$A$7:$A$37,0)),""))</f>
        <v/>
      </c>
      <c r="C55" s="31">
        <f>IF(OR(C49="",$B$6&lt;&gt;"○"),"",IFERROR(INDEX('04_月間表'!$AI$7:$AI$37,MATCH(C49,'04_月間表'!$A$7:$A$37,0)),""))</f>
        <v/>
      </c>
      <c r="D55" s="31">
        <f>IF(OR(D49="",$B$6&lt;&gt;"○"),"",IFERROR(INDEX('04_月間表'!$AI$7:$AI$37,MATCH(D49,'04_月間表'!$A$7:$A$37,0)),""))</f>
        <v/>
      </c>
      <c r="E55" s="31">
        <f>IF(OR(E49="",$B$6&lt;&gt;"○"),"",IFERROR(INDEX('04_月間表'!$AI$7:$AI$37,MATCH(E49,'04_月間表'!$A$7:$A$37,0)),""))</f>
        <v/>
      </c>
      <c r="F55" s="31">
        <f>IF(OR(F49="",$B$6&lt;&gt;"○"),"",IFERROR(INDEX('04_月間表'!$AI$7:$AI$37,MATCH(F49,'04_月間表'!$A$7:$A$37,0)),""))</f>
        <v/>
      </c>
      <c r="G55" s="31">
        <f>IF(OR(G49="",$B$6&lt;&gt;"○"),"",IFERROR(INDEX('04_月間表'!$AI$7:$AI$37,MATCH(G49,'04_月間表'!$A$7:$A$37,0)),""))</f>
        <v/>
      </c>
      <c r="H55" s="31">
        <f>IF(OR(H49="",$B$6&lt;&gt;"○"),"",IFERROR(INDEX('04_月間表'!$AI$7:$AI$37,MATCH(H49,'04_月間表'!$A$7:$A$37,0)),""))</f>
        <v/>
      </c>
    </row>
    <row r="57">
      <c r="A57" s="19" t="inlineStr">
        <is>
          <t>■ 食事の個別調整（既定と違う日だけ入れてください）</t>
        </is>
      </c>
    </row>
    <row r="58">
      <c r="A58" s="2" t="inlineStr">
        <is>
          <t>使い方</t>
        </is>
      </c>
      <c r="B58" s="32" t="inlineStr">
        <is>
          <t>日付</t>
        </is>
      </c>
      <c r="C58" s="32" t="inlineStr">
        <is>
          <t>朝</t>
        </is>
      </c>
      <c r="D58" s="32" t="inlineStr">
        <is>
          <t>昼</t>
        </is>
      </c>
      <c r="E58" s="32" t="inlineStr">
        <is>
          <t>夕</t>
        </is>
      </c>
      <c r="F58" s="32" t="inlineStr">
        <is>
          <t>メモ</t>
        </is>
      </c>
    </row>
    <row r="59">
      <c r="A59" s="33">
        <f>IF($B59="","",IF(MONTH($B59)&lt;&gt;MONTH($B$4),"（他の月）",IF(COUNTIF($B$59:$B$78,$B59)&gt;1,"⚠日付が重複","✓")))</f>
        <v/>
      </c>
      <c r="B59" s="34" t="n"/>
      <c r="C59" s="35" t="n"/>
      <c r="D59" s="35" t="n"/>
      <c r="E59" s="35" t="n"/>
      <c r="F59" s="36" t="n"/>
    </row>
    <row r="60">
      <c r="A60" s="33">
        <f>IF($B60="","",IF(MONTH($B60)&lt;&gt;MONTH($B$4),"（他の月）",IF(COUNTIF($B$59:$B$78,$B60)&gt;1,"⚠日付が重複","✓")))</f>
        <v/>
      </c>
      <c r="B60" s="34" t="n"/>
      <c r="C60" s="35" t="n"/>
      <c r="D60" s="35" t="n"/>
      <c r="E60" s="35" t="n"/>
      <c r="F60" s="36" t="n"/>
    </row>
    <row r="61">
      <c r="A61" s="33">
        <f>IF($B61="","",IF(MONTH($B61)&lt;&gt;MONTH($B$4),"（他の月）",IF(COUNTIF($B$59:$B$78,$B61)&gt;1,"⚠日付が重複","✓")))</f>
        <v/>
      </c>
      <c r="B61" s="34" t="n"/>
      <c r="C61" s="35" t="n"/>
      <c r="D61" s="35" t="n"/>
      <c r="E61" s="35" t="n"/>
      <c r="F61" s="36" t="n"/>
    </row>
    <row r="62">
      <c r="A62" s="33">
        <f>IF($B62="","",IF(MONTH($B62)&lt;&gt;MONTH($B$4),"（他の月）",IF(COUNTIF($B$59:$B$78,$B62)&gt;1,"⚠日付が重複","✓")))</f>
        <v/>
      </c>
      <c r="B62" s="34" t="n"/>
      <c r="C62" s="35" t="n"/>
      <c r="D62" s="35" t="n"/>
      <c r="E62" s="35" t="n"/>
      <c r="F62" s="36" t="n"/>
    </row>
    <row r="63">
      <c r="A63" s="33">
        <f>IF($B63="","",IF(MONTH($B63)&lt;&gt;MONTH($B$4),"（他の月）",IF(COUNTIF($B$59:$B$78,$B63)&gt;1,"⚠日付が重複","✓")))</f>
        <v/>
      </c>
      <c r="B63" s="34" t="n"/>
      <c r="C63" s="35" t="n"/>
      <c r="D63" s="35" t="n"/>
      <c r="E63" s="35" t="n"/>
      <c r="F63" s="36" t="n"/>
    </row>
    <row r="64">
      <c r="A64" s="33">
        <f>IF($B64="","",IF(MONTH($B64)&lt;&gt;MONTH($B$4),"（他の月）",IF(COUNTIF($B$59:$B$78,$B64)&gt;1,"⚠日付が重複","✓")))</f>
        <v/>
      </c>
      <c r="B64" s="34" t="n"/>
      <c r="C64" s="35" t="n"/>
      <c r="D64" s="35" t="n"/>
      <c r="E64" s="35" t="n"/>
      <c r="F64" s="36" t="n"/>
    </row>
    <row r="65">
      <c r="A65" s="33">
        <f>IF($B65="","",IF(MONTH($B65)&lt;&gt;MONTH($B$4),"（他の月）",IF(COUNTIF($B$59:$B$78,$B65)&gt;1,"⚠日付が重複","✓")))</f>
        <v/>
      </c>
      <c r="B65" s="34" t="n"/>
      <c r="C65" s="35" t="n"/>
      <c r="D65" s="35" t="n"/>
      <c r="E65" s="35" t="n"/>
      <c r="F65" s="36" t="n"/>
    </row>
    <row r="66">
      <c r="A66" s="33">
        <f>IF($B66="","",IF(MONTH($B66)&lt;&gt;MONTH($B$4),"（他の月）",IF(COUNTIF($B$59:$B$78,$B66)&gt;1,"⚠日付が重複","✓")))</f>
        <v/>
      </c>
      <c r="B66" s="34" t="n"/>
      <c r="C66" s="35" t="n"/>
      <c r="D66" s="35" t="n"/>
      <c r="E66" s="35" t="n"/>
      <c r="F66" s="36" t="n"/>
    </row>
    <row r="67">
      <c r="A67" s="33">
        <f>IF($B67="","",IF(MONTH($B67)&lt;&gt;MONTH($B$4),"（他の月）",IF(COUNTIF($B$59:$B$78,$B67)&gt;1,"⚠日付が重複","✓")))</f>
        <v/>
      </c>
      <c r="B67" s="34" t="n"/>
      <c r="C67" s="35" t="n"/>
      <c r="D67" s="35" t="n"/>
      <c r="E67" s="35" t="n"/>
      <c r="F67" s="36" t="n"/>
    </row>
    <row r="68">
      <c r="A68" s="33">
        <f>IF($B68="","",IF(MONTH($B68)&lt;&gt;MONTH($B$4),"（他の月）",IF(COUNTIF($B$59:$B$78,$B68)&gt;1,"⚠日付が重複","✓")))</f>
        <v/>
      </c>
      <c r="B68" s="34" t="n"/>
      <c r="C68" s="35" t="n"/>
      <c r="D68" s="35" t="n"/>
      <c r="E68" s="35" t="n"/>
      <c r="F68" s="36" t="n"/>
    </row>
    <row r="69">
      <c r="A69" s="33">
        <f>IF($B69="","",IF(MONTH($B69)&lt;&gt;MONTH($B$4),"（他の月）",IF(COUNTIF($B$59:$B$78,$B69)&gt;1,"⚠日付が重複","✓")))</f>
        <v/>
      </c>
      <c r="B69" s="34" t="n"/>
      <c r="C69" s="35" t="n"/>
      <c r="D69" s="35" t="n"/>
      <c r="E69" s="35" t="n"/>
      <c r="F69" s="36" t="n"/>
    </row>
    <row r="70">
      <c r="A70" s="33">
        <f>IF($B70="","",IF(MONTH($B70)&lt;&gt;MONTH($B$4),"（他の月）",IF(COUNTIF($B$59:$B$78,$B70)&gt;1,"⚠日付が重複","✓")))</f>
        <v/>
      </c>
      <c r="B70" s="34" t="n"/>
      <c r="C70" s="35" t="n"/>
      <c r="D70" s="35" t="n"/>
      <c r="E70" s="35" t="n"/>
      <c r="F70" s="36" t="n"/>
    </row>
    <row r="71">
      <c r="A71" s="33">
        <f>IF($B71="","",IF(MONTH($B71)&lt;&gt;MONTH($B$4),"（他の月）",IF(COUNTIF($B$59:$B$78,$B71)&gt;1,"⚠日付が重複","✓")))</f>
        <v/>
      </c>
      <c r="B71" s="34" t="n"/>
      <c r="C71" s="35" t="n"/>
      <c r="D71" s="35" t="n"/>
      <c r="E71" s="35" t="n"/>
      <c r="F71" s="36" t="n"/>
    </row>
    <row r="72">
      <c r="A72" s="33">
        <f>IF($B72="","",IF(MONTH($B72)&lt;&gt;MONTH($B$4),"（他の月）",IF(COUNTIF($B$59:$B$78,$B72)&gt;1,"⚠日付が重複","✓")))</f>
        <v/>
      </c>
      <c r="B72" s="34" t="n"/>
      <c r="C72" s="35" t="n"/>
      <c r="D72" s="35" t="n"/>
      <c r="E72" s="35" t="n"/>
      <c r="F72" s="36" t="n"/>
    </row>
    <row r="73">
      <c r="A73" s="33">
        <f>IF($B73="","",IF(MONTH($B73)&lt;&gt;MONTH($B$4),"（他の月）",IF(COUNTIF($B$59:$B$78,$B73)&gt;1,"⚠日付が重複","✓")))</f>
        <v/>
      </c>
      <c r="B73" s="34" t="n"/>
      <c r="C73" s="35" t="n"/>
      <c r="D73" s="35" t="n"/>
      <c r="E73" s="35" t="n"/>
      <c r="F73" s="36" t="n"/>
    </row>
    <row r="74">
      <c r="A74" s="33">
        <f>IF($B74="","",IF(MONTH($B74)&lt;&gt;MONTH($B$4),"（他の月）",IF(COUNTIF($B$59:$B$78,$B74)&gt;1,"⚠日付が重複","✓")))</f>
        <v/>
      </c>
      <c r="B74" s="34" t="n"/>
      <c r="C74" s="35" t="n"/>
      <c r="D74" s="35" t="n"/>
      <c r="E74" s="35" t="n"/>
      <c r="F74" s="36" t="n"/>
    </row>
    <row r="75">
      <c r="A75" s="33">
        <f>IF($B75="","",IF(MONTH($B75)&lt;&gt;MONTH($B$4),"（他の月）",IF(COUNTIF($B$59:$B$78,$B75)&gt;1,"⚠日付が重複","✓")))</f>
        <v/>
      </c>
      <c r="B75" s="34" t="n"/>
      <c r="C75" s="35" t="n"/>
      <c r="D75" s="35" t="n"/>
      <c r="E75" s="35" t="n"/>
      <c r="F75" s="36" t="n"/>
    </row>
    <row r="76">
      <c r="A76" s="33">
        <f>IF($B76="","",IF(MONTH($B76)&lt;&gt;MONTH($B$4),"（他の月）",IF(COUNTIF($B$59:$B$78,$B76)&gt;1,"⚠日付が重複","✓")))</f>
        <v/>
      </c>
      <c r="B76" s="34" t="n"/>
      <c r="C76" s="35" t="n"/>
      <c r="D76" s="35" t="n"/>
      <c r="E76" s="35" t="n"/>
      <c r="F76" s="36" t="n"/>
    </row>
    <row r="77">
      <c r="A77" s="33">
        <f>IF($B77="","",IF(MONTH($B77)&lt;&gt;MONTH($B$4),"（他の月）",IF(COUNTIF($B$59:$B$78,$B77)&gt;1,"⚠日付が重複","✓")))</f>
        <v/>
      </c>
      <c r="B77" s="34" t="n"/>
      <c r="C77" s="35" t="n"/>
      <c r="D77" s="35" t="n"/>
      <c r="E77" s="35" t="n"/>
      <c r="F77" s="36" t="n"/>
    </row>
    <row r="78">
      <c r="A78" s="33">
        <f>IF($B78="","",IF(MONTH($B78)&lt;&gt;MONTH($B$4),"（他の月）",IF(COUNTIF($B$59:$B$78,$B78)&gt;1,"⚠日付が重複","✓")))</f>
        <v/>
      </c>
      <c r="B78" s="34" t="n"/>
      <c r="C78" s="35" t="n"/>
      <c r="D78" s="35" t="n"/>
      <c r="E78" s="35" t="n"/>
      <c r="F78" s="36" t="n"/>
    </row>
    <row r="80">
      <c r="A80" s="2" t="inlineStr">
        <is>
          <t>※ 使わない部屋の行（部屋名が空欄の行）は、6週ぶんまとめて選んで 右クリック→非表示 にしてください。</t>
        </is>
      </c>
    </row>
    <row r="81">
      <c r="A81" s="2" t="inlineStr">
        <is>
          <t>※ J〜P列は色分け用の隠し列です。編集しないでください。</t>
        </is>
      </c>
    </row>
    <row r="82">
      <c r="A82" s="2" t="inlineStr">
        <is>
          <t>※ 退所日に名前が出ていても、その日の夜は空いています（「空き」行の記号が正です）。</t>
        </is>
      </c>
    </row>
    <row r="83">
      <c r="A83" s="2" t="inlineStr">
        <is>
          <t>※ 食事の調整は日付で結び付けているので、対象月を切り替えても他の月に影響しません。</t>
        </is>
      </c>
    </row>
  </sheetData>
  <conditionalFormatting sqref="B9:H55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2:H22">
    <cfRule type="expression" priority="10" dxfId="1">
      <formula>B22="×"</formula>
    </cfRule>
    <cfRule type="expression" priority="11" dxfId="2">
      <formula>B22="△"</formula>
    </cfRule>
    <cfRule type="expression" priority="12" dxfId="3">
      <formula>B22="仮"</formula>
    </cfRule>
    <cfRule type="expression" priority="13" dxfId="9">
      <formula>B22="○"</formula>
    </cfRule>
  </conditionalFormatting>
  <conditionalFormatting sqref="B30:H30">
    <cfRule type="expression" priority="14" dxfId="1">
      <formula>B30="×"</formula>
    </cfRule>
    <cfRule type="expression" priority="15" dxfId="2">
      <formula>B30="△"</formula>
    </cfRule>
    <cfRule type="expression" priority="16" dxfId="3">
      <formula>B30="仮"</formula>
    </cfRule>
    <cfRule type="expression" priority="17" dxfId="9">
      <formula>B30="○"</formula>
    </cfRule>
  </conditionalFormatting>
  <conditionalFormatting sqref="B38:H38">
    <cfRule type="expression" priority="18" dxfId="1">
      <formula>B38="×"</formula>
    </cfRule>
    <cfRule type="expression" priority="19" dxfId="2">
      <formula>B38="△"</formula>
    </cfRule>
    <cfRule type="expression" priority="20" dxfId="3">
      <formula>B38="仮"</formula>
    </cfRule>
    <cfRule type="expression" priority="21" dxfId="9">
      <formula>B38="○"</formula>
    </cfRule>
  </conditionalFormatting>
  <conditionalFormatting sqref="B46:H46">
    <cfRule type="expression" priority="22" dxfId="1">
      <formula>B46="×"</formula>
    </cfRule>
    <cfRule type="expression" priority="23" dxfId="2">
      <formula>B46="△"</formula>
    </cfRule>
    <cfRule type="expression" priority="24" dxfId="3">
      <formula>B46="仮"</formula>
    </cfRule>
    <cfRule type="expression" priority="25" dxfId="9">
      <formula>B46="○"</formula>
    </cfRule>
  </conditionalFormatting>
  <conditionalFormatting sqref="B54:H54">
    <cfRule type="expression" priority="26" dxfId="1">
      <formula>B54="×"</formula>
    </cfRule>
    <cfRule type="expression" priority="27" dxfId="2">
      <formula>B54="△"</formula>
    </cfRule>
    <cfRule type="expression" priority="28" dxfId="3">
      <formula>B54="仮"</formula>
    </cfRule>
    <cfRule type="expression" priority="29" dxfId="9">
      <formula>B54="○"</formula>
    </cfRule>
  </conditionalFormatting>
  <conditionalFormatting sqref="A59:F78">
    <cfRule type="expression" priority="30" dxfId="1">
      <formula>$A59="⚠日付が重複"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27" t="inlineStr">
        <is>
          <t>対象月</t>
        </is>
      </c>
      <c r="B3" s="37">
        <f>'02_カレンダー'!$B$4</f>
        <v/>
      </c>
      <c r="C3" s="68" t="n"/>
      <c r="D3" s="68" t="n"/>
      <c r="E3" s="68" t="n"/>
      <c r="F3" s="69" t="n"/>
      <c r="G3" s="39" t="inlineStr">
        <is>
          <t>02_カレンダー の対象月に連動します</t>
        </is>
      </c>
    </row>
    <row r="4" hidden="1">
      <c r="A4" s="27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7" t="inlineStr">
        <is>
          <t>日</t>
        </is>
      </c>
      <c r="B5" s="40">
        <f>IF(B4="","",DAY(B4))</f>
        <v/>
      </c>
      <c r="C5" s="40">
        <f>IF(C4="","",DAY(C4))</f>
        <v/>
      </c>
      <c r="D5" s="40">
        <f>IF(D4="","",DAY(D4))</f>
        <v/>
      </c>
      <c r="E5" s="40">
        <f>IF(E4="","",DAY(E4))</f>
        <v/>
      </c>
      <c r="F5" s="40">
        <f>IF(F4="","",DAY(F4))</f>
        <v/>
      </c>
      <c r="G5" s="40">
        <f>IF(G4="","",DAY(G4))</f>
        <v/>
      </c>
      <c r="H5" s="40">
        <f>IF(H4="","",DAY(H4))</f>
        <v/>
      </c>
      <c r="I5" s="40">
        <f>IF(I4="","",DAY(I4))</f>
        <v/>
      </c>
      <c r="J5" s="40">
        <f>IF(J4="","",DAY(J4))</f>
        <v/>
      </c>
      <c r="K5" s="40">
        <f>IF(K4="","",DAY(K4))</f>
        <v/>
      </c>
      <c r="L5" s="40">
        <f>IF(L4="","",DAY(L4))</f>
        <v/>
      </c>
      <c r="M5" s="40">
        <f>IF(M4="","",DAY(M4))</f>
        <v/>
      </c>
      <c r="N5" s="40">
        <f>IF(N4="","",DAY(N4))</f>
        <v/>
      </c>
      <c r="O5" s="40">
        <f>IF(O4="","",DAY(O4))</f>
        <v/>
      </c>
      <c r="P5" s="40">
        <f>IF(P4="","",DAY(P4))</f>
        <v/>
      </c>
      <c r="Q5" s="40">
        <f>IF(Q4="","",DAY(Q4))</f>
        <v/>
      </c>
      <c r="R5" s="40">
        <f>IF(R4="","",DAY(R4))</f>
        <v/>
      </c>
      <c r="S5" s="40">
        <f>IF(S4="","",DAY(S4))</f>
        <v/>
      </c>
      <c r="T5" s="40">
        <f>IF(T4="","",DAY(T4))</f>
        <v/>
      </c>
      <c r="U5" s="40">
        <f>IF(U4="","",DAY(U4))</f>
        <v/>
      </c>
      <c r="V5" s="40">
        <f>IF(V4="","",DAY(V4))</f>
        <v/>
      </c>
      <c r="W5" s="40">
        <f>IF(W4="","",DAY(W4))</f>
        <v/>
      </c>
      <c r="X5" s="40">
        <f>IF(X4="","",DAY(X4))</f>
        <v/>
      </c>
      <c r="Y5" s="40">
        <f>IF(Y4="","",DAY(Y4))</f>
        <v/>
      </c>
      <c r="Z5" s="40">
        <f>IF(Z4="","",DAY(Z4))</f>
        <v/>
      </c>
      <c r="AA5" s="40">
        <f>IF(AA4="","",DAY(AA4))</f>
        <v/>
      </c>
      <c r="AB5" s="40">
        <f>IF(AB4="","",DAY(AB4))</f>
        <v/>
      </c>
      <c r="AC5" s="40">
        <f>IF(AC4="","",DAY(AC4))</f>
        <v/>
      </c>
      <c r="AD5" s="40">
        <f>IF(AD4="","",DAY(AD4))</f>
        <v/>
      </c>
      <c r="AE5" s="40">
        <f>IF(AE4="","",DAY(AE4))</f>
        <v/>
      </c>
      <c r="AF5" s="40">
        <f>IF(AF4="","",DAY(AF4))</f>
        <v/>
      </c>
      <c r="AG5" s="27" t="inlineStr">
        <is>
          <t>当月</t>
        </is>
      </c>
    </row>
    <row r="6">
      <c r="A6" s="27" t="inlineStr">
        <is>
          <t>曜日</t>
        </is>
      </c>
      <c r="B6" s="41">
        <f>IF(B4="","",MID("日月火水木金土",WEEKDAY(B4),1))</f>
        <v/>
      </c>
      <c r="C6" s="41">
        <f>IF(C4="","",MID("日月火水木金土",WEEKDAY(C4),1))</f>
        <v/>
      </c>
      <c r="D6" s="41">
        <f>IF(D4="","",MID("日月火水木金土",WEEKDAY(D4),1))</f>
        <v/>
      </c>
      <c r="E6" s="41">
        <f>IF(E4="","",MID("日月火水木金土",WEEKDAY(E4),1))</f>
        <v/>
      </c>
      <c r="F6" s="41">
        <f>IF(F4="","",MID("日月火水木金土",WEEKDAY(F4),1))</f>
        <v/>
      </c>
      <c r="G6" s="41">
        <f>IF(G4="","",MID("日月火水木金土",WEEKDAY(G4),1))</f>
        <v/>
      </c>
      <c r="H6" s="41">
        <f>IF(H4="","",MID("日月火水木金土",WEEKDAY(H4),1))</f>
        <v/>
      </c>
      <c r="I6" s="41">
        <f>IF(I4="","",MID("日月火水木金土",WEEKDAY(I4),1))</f>
        <v/>
      </c>
      <c r="J6" s="41">
        <f>IF(J4="","",MID("日月火水木金土",WEEKDAY(J4),1))</f>
        <v/>
      </c>
      <c r="K6" s="41">
        <f>IF(K4="","",MID("日月火水木金土",WEEKDAY(K4),1))</f>
        <v/>
      </c>
      <c r="L6" s="41">
        <f>IF(L4="","",MID("日月火水木金土",WEEKDAY(L4),1))</f>
        <v/>
      </c>
      <c r="M6" s="41">
        <f>IF(M4="","",MID("日月火水木金土",WEEKDAY(M4),1))</f>
        <v/>
      </c>
      <c r="N6" s="41">
        <f>IF(N4="","",MID("日月火水木金土",WEEKDAY(N4),1))</f>
        <v/>
      </c>
      <c r="O6" s="41">
        <f>IF(O4="","",MID("日月火水木金土",WEEKDAY(O4),1))</f>
        <v/>
      </c>
      <c r="P6" s="41">
        <f>IF(P4="","",MID("日月火水木金土",WEEKDAY(P4),1))</f>
        <v/>
      </c>
      <c r="Q6" s="41">
        <f>IF(Q4="","",MID("日月火水木金土",WEEKDAY(Q4),1))</f>
        <v/>
      </c>
      <c r="R6" s="41">
        <f>IF(R4="","",MID("日月火水木金土",WEEKDAY(R4),1))</f>
        <v/>
      </c>
      <c r="S6" s="41">
        <f>IF(S4="","",MID("日月火水木金土",WEEKDAY(S4),1))</f>
        <v/>
      </c>
      <c r="T6" s="41">
        <f>IF(T4="","",MID("日月火水木金土",WEEKDAY(T4),1))</f>
        <v/>
      </c>
      <c r="U6" s="41">
        <f>IF(U4="","",MID("日月火水木金土",WEEKDAY(U4),1))</f>
        <v/>
      </c>
      <c r="V6" s="41">
        <f>IF(V4="","",MID("日月火水木金土",WEEKDAY(V4),1))</f>
        <v/>
      </c>
      <c r="W6" s="41">
        <f>IF(W4="","",MID("日月火水木金土",WEEKDAY(W4),1))</f>
        <v/>
      </c>
      <c r="X6" s="41">
        <f>IF(X4="","",MID("日月火水木金土",WEEKDAY(X4),1))</f>
        <v/>
      </c>
      <c r="Y6" s="41">
        <f>IF(Y4="","",MID("日月火水木金土",WEEKDAY(Y4),1))</f>
        <v/>
      </c>
      <c r="Z6" s="41">
        <f>IF(Z4="","",MID("日月火水木金土",WEEKDAY(Z4),1))</f>
        <v/>
      </c>
      <c r="AA6" s="41">
        <f>IF(AA4="","",MID("日月火水木金土",WEEKDAY(AA4),1))</f>
        <v/>
      </c>
      <c r="AB6" s="41">
        <f>IF(AB4="","",MID("日月火水木金土",WEEKDAY(AB4),1))</f>
        <v/>
      </c>
      <c r="AC6" s="41">
        <f>IF(AC4="","",MID("日月火水木金土",WEEKDAY(AC4),1))</f>
        <v/>
      </c>
      <c r="AD6" s="41">
        <f>IF(AD4="","",MID("日月火水木金土",WEEKDAY(AD4),1))</f>
        <v/>
      </c>
      <c r="AE6" s="41">
        <f>IF(AE4="","",MID("日月火水木金土",WEEKDAY(AE4),1))</f>
        <v/>
      </c>
      <c r="AF6" s="41">
        <f>IF(AF4="","",MID("日月火水木金土",WEEKDAY(AF4),1))</f>
        <v/>
      </c>
      <c r="AG6" s="27" t="inlineStr">
        <is>
          <t>利用日数</t>
        </is>
      </c>
    </row>
    <row r="7" ht="19" customHeight="1">
      <c r="A7" s="42">
        <f>IF(COUNTA('利用者マスタ'!$A$4:$A$60)&gt;=1,INDEX('利用者マスタ'!$A$4:$A$60,1),"")</f>
        <v/>
      </c>
      <c r="B7" s="43">
        <f>IF($AP7=0,"",IF(MOD($AP7,8)=7,IF($AP7&gt;=8,"◇","◆"),IF(MOD($AP7,8)=3,IF($AP7&gt;=8,"▷","▶"),IF(MOD($AP7,8)=5,IF($AP7&gt;=8,"◁","◀"),IF($AP7&gt;=8,"□","■")))))</f>
        <v/>
      </c>
      <c r="C7" s="43">
        <f>IF($AQ7=0,"",IF(MOD($AQ7,8)=7,IF($AQ7&gt;=8,"◇","◆"),IF(MOD($AQ7,8)=3,IF($AQ7&gt;=8,"▷","▶"),IF(MOD($AQ7,8)=5,IF($AQ7&gt;=8,"◁","◀"),IF($AQ7&gt;=8,"□","■")))))</f>
        <v/>
      </c>
      <c r="D7" s="43">
        <f>IF($AR7=0,"",IF(MOD($AR7,8)=7,IF($AR7&gt;=8,"◇","◆"),IF(MOD($AR7,8)=3,IF($AR7&gt;=8,"▷","▶"),IF(MOD($AR7,8)=5,IF($AR7&gt;=8,"◁","◀"),IF($AR7&gt;=8,"□","■")))))</f>
        <v/>
      </c>
      <c r="E7" s="43">
        <f>IF($AS7=0,"",IF(MOD($AS7,8)=7,IF($AS7&gt;=8,"◇","◆"),IF(MOD($AS7,8)=3,IF($AS7&gt;=8,"▷","▶"),IF(MOD($AS7,8)=5,IF($AS7&gt;=8,"◁","◀"),IF($AS7&gt;=8,"□","■")))))</f>
        <v/>
      </c>
      <c r="F7" s="43">
        <f>IF($AT7=0,"",IF(MOD($AT7,8)=7,IF($AT7&gt;=8,"◇","◆"),IF(MOD($AT7,8)=3,IF($AT7&gt;=8,"▷","▶"),IF(MOD($AT7,8)=5,IF($AT7&gt;=8,"◁","◀"),IF($AT7&gt;=8,"□","■")))))</f>
        <v/>
      </c>
      <c r="G7" s="43">
        <f>IF($AU7=0,"",IF(MOD($AU7,8)=7,IF($AU7&gt;=8,"◇","◆"),IF(MOD($AU7,8)=3,IF($AU7&gt;=8,"▷","▶"),IF(MOD($AU7,8)=5,IF($AU7&gt;=8,"◁","◀"),IF($AU7&gt;=8,"□","■")))))</f>
        <v/>
      </c>
      <c r="H7" s="43">
        <f>IF($AV7=0,"",IF(MOD($AV7,8)=7,IF($AV7&gt;=8,"◇","◆"),IF(MOD($AV7,8)=3,IF($AV7&gt;=8,"▷","▶"),IF(MOD($AV7,8)=5,IF($AV7&gt;=8,"◁","◀"),IF($AV7&gt;=8,"□","■")))))</f>
        <v/>
      </c>
      <c r="I7" s="43">
        <f>IF($AW7=0,"",IF(MOD($AW7,8)=7,IF($AW7&gt;=8,"◇","◆"),IF(MOD($AW7,8)=3,IF($AW7&gt;=8,"▷","▶"),IF(MOD($AW7,8)=5,IF($AW7&gt;=8,"◁","◀"),IF($AW7&gt;=8,"□","■")))))</f>
        <v/>
      </c>
      <c r="J7" s="43">
        <f>IF($AX7=0,"",IF(MOD($AX7,8)=7,IF($AX7&gt;=8,"◇","◆"),IF(MOD($AX7,8)=3,IF($AX7&gt;=8,"▷","▶"),IF(MOD($AX7,8)=5,IF($AX7&gt;=8,"◁","◀"),IF($AX7&gt;=8,"□","■")))))</f>
        <v/>
      </c>
      <c r="K7" s="43">
        <f>IF($AY7=0,"",IF(MOD($AY7,8)=7,IF($AY7&gt;=8,"◇","◆"),IF(MOD($AY7,8)=3,IF($AY7&gt;=8,"▷","▶"),IF(MOD($AY7,8)=5,IF($AY7&gt;=8,"◁","◀"),IF($AY7&gt;=8,"□","■")))))</f>
        <v/>
      </c>
      <c r="L7" s="43">
        <f>IF($AZ7=0,"",IF(MOD($AZ7,8)=7,IF($AZ7&gt;=8,"◇","◆"),IF(MOD($AZ7,8)=3,IF($AZ7&gt;=8,"▷","▶"),IF(MOD($AZ7,8)=5,IF($AZ7&gt;=8,"◁","◀"),IF($AZ7&gt;=8,"□","■")))))</f>
        <v/>
      </c>
      <c r="M7" s="43">
        <f>IF($BA7=0,"",IF(MOD($BA7,8)=7,IF($BA7&gt;=8,"◇","◆"),IF(MOD($BA7,8)=3,IF($BA7&gt;=8,"▷","▶"),IF(MOD($BA7,8)=5,IF($BA7&gt;=8,"◁","◀"),IF($BA7&gt;=8,"□","■")))))</f>
        <v/>
      </c>
      <c r="N7" s="43">
        <f>IF($BB7=0,"",IF(MOD($BB7,8)=7,IF($BB7&gt;=8,"◇","◆"),IF(MOD($BB7,8)=3,IF($BB7&gt;=8,"▷","▶"),IF(MOD($BB7,8)=5,IF($BB7&gt;=8,"◁","◀"),IF($BB7&gt;=8,"□","■")))))</f>
        <v/>
      </c>
      <c r="O7" s="43">
        <f>IF($BC7=0,"",IF(MOD($BC7,8)=7,IF($BC7&gt;=8,"◇","◆"),IF(MOD($BC7,8)=3,IF($BC7&gt;=8,"▷","▶"),IF(MOD($BC7,8)=5,IF($BC7&gt;=8,"◁","◀"),IF($BC7&gt;=8,"□","■")))))</f>
        <v/>
      </c>
      <c r="P7" s="43">
        <f>IF($BD7=0,"",IF(MOD($BD7,8)=7,IF($BD7&gt;=8,"◇","◆"),IF(MOD($BD7,8)=3,IF($BD7&gt;=8,"▷","▶"),IF(MOD($BD7,8)=5,IF($BD7&gt;=8,"◁","◀"),IF($BD7&gt;=8,"□","■")))))</f>
        <v/>
      </c>
      <c r="Q7" s="43">
        <f>IF($BE7=0,"",IF(MOD($BE7,8)=7,IF($BE7&gt;=8,"◇","◆"),IF(MOD($BE7,8)=3,IF($BE7&gt;=8,"▷","▶"),IF(MOD($BE7,8)=5,IF($BE7&gt;=8,"◁","◀"),IF($BE7&gt;=8,"□","■")))))</f>
        <v/>
      </c>
      <c r="R7" s="43">
        <f>IF($BF7=0,"",IF(MOD($BF7,8)=7,IF($BF7&gt;=8,"◇","◆"),IF(MOD($BF7,8)=3,IF($BF7&gt;=8,"▷","▶"),IF(MOD($BF7,8)=5,IF($BF7&gt;=8,"◁","◀"),IF($BF7&gt;=8,"□","■")))))</f>
        <v/>
      </c>
      <c r="S7" s="43">
        <f>IF($BG7=0,"",IF(MOD($BG7,8)=7,IF($BG7&gt;=8,"◇","◆"),IF(MOD($BG7,8)=3,IF($BG7&gt;=8,"▷","▶"),IF(MOD($BG7,8)=5,IF($BG7&gt;=8,"◁","◀"),IF($BG7&gt;=8,"□","■")))))</f>
        <v/>
      </c>
      <c r="T7" s="43">
        <f>IF($BH7=0,"",IF(MOD($BH7,8)=7,IF($BH7&gt;=8,"◇","◆"),IF(MOD($BH7,8)=3,IF($BH7&gt;=8,"▷","▶"),IF(MOD($BH7,8)=5,IF($BH7&gt;=8,"◁","◀"),IF($BH7&gt;=8,"□","■")))))</f>
        <v/>
      </c>
      <c r="U7" s="43">
        <f>IF($BI7=0,"",IF(MOD($BI7,8)=7,IF($BI7&gt;=8,"◇","◆"),IF(MOD($BI7,8)=3,IF($BI7&gt;=8,"▷","▶"),IF(MOD($BI7,8)=5,IF($BI7&gt;=8,"◁","◀"),IF($BI7&gt;=8,"□","■")))))</f>
        <v/>
      </c>
      <c r="V7" s="43">
        <f>IF($BJ7=0,"",IF(MOD($BJ7,8)=7,IF($BJ7&gt;=8,"◇","◆"),IF(MOD($BJ7,8)=3,IF($BJ7&gt;=8,"▷","▶"),IF(MOD($BJ7,8)=5,IF($BJ7&gt;=8,"◁","◀"),IF($BJ7&gt;=8,"□","■")))))</f>
        <v/>
      </c>
      <c r="W7" s="43">
        <f>IF($BK7=0,"",IF(MOD($BK7,8)=7,IF($BK7&gt;=8,"◇","◆"),IF(MOD($BK7,8)=3,IF($BK7&gt;=8,"▷","▶"),IF(MOD($BK7,8)=5,IF($BK7&gt;=8,"◁","◀"),IF($BK7&gt;=8,"□","■")))))</f>
        <v/>
      </c>
      <c r="X7" s="43">
        <f>IF($BL7=0,"",IF(MOD($BL7,8)=7,IF($BL7&gt;=8,"◇","◆"),IF(MOD($BL7,8)=3,IF($BL7&gt;=8,"▷","▶"),IF(MOD($BL7,8)=5,IF($BL7&gt;=8,"◁","◀"),IF($BL7&gt;=8,"□","■")))))</f>
        <v/>
      </c>
      <c r="Y7" s="43">
        <f>IF($BM7=0,"",IF(MOD($BM7,8)=7,IF($BM7&gt;=8,"◇","◆"),IF(MOD($BM7,8)=3,IF($BM7&gt;=8,"▷","▶"),IF(MOD($BM7,8)=5,IF($BM7&gt;=8,"◁","◀"),IF($BM7&gt;=8,"□","■")))))</f>
        <v/>
      </c>
      <c r="Z7" s="43">
        <f>IF($BN7=0,"",IF(MOD($BN7,8)=7,IF($BN7&gt;=8,"◇","◆"),IF(MOD($BN7,8)=3,IF($BN7&gt;=8,"▷","▶"),IF(MOD($BN7,8)=5,IF($BN7&gt;=8,"◁","◀"),IF($BN7&gt;=8,"□","■")))))</f>
        <v/>
      </c>
      <c r="AA7" s="43">
        <f>IF($BO7=0,"",IF(MOD($BO7,8)=7,IF($BO7&gt;=8,"◇","◆"),IF(MOD($BO7,8)=3,IF($BO7&gt;=8,"▷","▶"),IF(MOD($BO7,8)=5,IF($BO7&gt;=8,"◁","◀"),IF($BO7&gt;=8,"□","■")))))</f>
        <v/>
      </c>
      <c r="AB7" s="43">
        <f>IF($BP7=0,"",IF(MOD($BP7,8)=7,IF($BP7&gt;=8,"◇","◆"),IF(MOD($BP7,8)=3,IF($BP7&gt;=8,"▷","▶"),IF(MOD($BP7,8)=5,IF($BP7&gt;=8,"◁","◀"),IF($BP7&gt;=8,"□","■")))))</f>
        <v/>
      </c>
      <c r="AC7" s="43">
        <f>IF($BQ7=0,"",IF(MOD($BQ7,8)=7,IF($BQ7&gt;=8,"◇","◆"),IF(MOD($BQ7,8)=3,IF($BQ7&gt;=8,"▷","▶"),IF(MOD($BQ7,8)=5,IF($BQ7&gt;=8,"◁","◀"),IF($BQ7&gt;=8,"□","■")))))</f>
        <v/>
      </c>
      <c r="AD7" s="43">
        <f>IF($BR7=0,"",IF(MOD($BR7,8)=7,IF($BR7&gt;=8,"◇","◆"),IF(MOD($BR7,8)=3,IF($BR7&gt;=8,"▷","▶"),IF(MOD($BR7,8)=5,IF($BR7&gt;=8,"◁","◀"),IF($BR7&gt;=8,"□","■")))))</f>
        <v/>
      </c>
      <c r="AE7" s="43">
        <f>IF($BS7=0,"",IF(MOD($BS7,8)=7,IF($BS7&gt;=8,"◇","◆"),IF(MOD($BS7,8)=3,IF($BS7&gt;=8,"▷","▶"),IF(MOD($BS7,8)=5,IF($BS7&gt;=8,"◁","◀"),IF($BS7&gt;=8,"□","■")))))</f>
        <v/>
      </c>
      <c r="AF7" s="43">
        <f>IF($BT7=0,"",IF(MOD($BT7,8)=7,IF($BT7&gt;=8,"◇","◆"),IF(MOD($BT7,8)=3,IF($BT7&gt;=8,"▷","▶"),IF(MOD($BT7,8)=5,IF($BT7&gt;=8,"◁","◀"),IF($BT7&gt;=8,"□","■")))))</f>
        <v/>
      </c>
      <c r="AG7" s="44">
        <f>IF($A7="","",COUNTIF($AP7:$BT7,"&gt;0"))</f>
        <v/>
      </c>
      <c r="AP7">
        <f>IF(OR($A7="",B$4=""),0,SUMPRODUCT(('01_予約入力'!$G$5:$G$204&lt;&gt;"")*('01_予約入力'!$N$5:$N$204&lt;&gt;"キャンセル")*('01_予約入力'!$B$5:$B$204=$A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7">
        <f>IF(OR($A7="",C$4=""),0,SUMPRODUCT(('01_予約入力'!$G$5:$G$204&lt;&gt;"")*('01_予約入力'!$N$5:$N$204&lt;&gt;"キャンセル")*('01_予約入力'!$B$5:$B$204=$A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7">
        <f>IF(OR($A7="",D$4=""),0,SUMPRODUCT(('01_予約入力'!$G$5:$G$204&lt;&gt;"")*('01_予約入力'!$N$5:$N$204&lt;&gt;"キャンセル")*('01_予約入力'!$B$5:$B$204=$A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7">
        <f>IF(OR($A7="",E$4=""),0,SUMPRODUCT(('01_予約入力'!$G$5:$G$204&lt;&gt;"")*('01_予約入力'!$N$5:$N$204&lt;&gt;"キャンセル")*('01_予約入力'!$B$5:$B$204=$A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7">
        <f>IF(OR($A7="",F$4=""),0,SUMPRODUCT(('01_予約入力'!$G$5:$G$204&lt;&gt;"")*('01_予約入力'!$N$5:$N$204&lt;&gt;"キャンセル")*('01_予約入力'!$B$5:$B$204=$A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7">
        <f>IF(OR($A7="",G$4=""),0,SUMPRODUCT(('01_予約入力'!$G$5:$G$204&lt;&gt;"")*('01_予約入力'!$N$5:$N$204&lt;&gt;"キャンセル")*('01_予約入力'!$B$5:$B$204=$A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7">
        <f>IF(OR($A7="",H$4=""),0,SUMPRODUCT(('01_予約入力'!$G$5:$G$204&lt;&gt;"")*('01_予約入力'!$N$5:$N$204&lt;&gt;"キャンセル")*('01_予約入力'!$B$5:$B$204=$A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7">
        <f>IF(OR($A7="",I$4=""),0,SUMPRODUCT(('01_予約入力'!$G$5:$G$204&lt;&gt;"")*('01_予約入力'!$N$5:$N$204&lt;&gt;"キャンセル")*('01_予約入力'!$B$5:$B$204=$A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7">
        <f>IF(OR($A7="",J$4=""),0,SUMPRODUCT(('01_予約入力'!$G$5:$G$204&lt;&gt;"")*('01_予約入力'!$N$5:$N$204&lt;&gt;"キャンセル")*('01_予約入力'!$B$5:$B$204=$A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7">
        <f>IF(OR($A7="",K$4=""),0,SUMPRODUCT(('01_予約入力'!$G$5:$G$204&lt;&gt;"")*('01_予約入力'!$N$5:$N$204&lt;&gt;"キャンセル")*('01_予約入力'!$B$5:$B$204=$A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7">
        <f>IF(OR($A7="",L$4=""),0,SUMPRODUCT(('01_予約入力'!$G$5:$G$204&lt;&gt;"")*('01_予約入力'!$N$5:$N$204&lt;&gt;"キャンセル")*('01_予約入力'!$B$5:$B$204=$A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7">
        <f>IF(OR($A7="",M$4=""),0,SUMPRODUCT(('01_予約入力'!$G$5:$G$204&lt;&gt;"")*('01_予約入力'!$N$5:$N$204&lt;&gt;"キャンセル")*('01_予約入力'!$B$5:$B$204=$A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7">
        <f>IF(OR($A7="",N$4=""),0,SUMPRODUCT(('01_予約入力'!$G$5:$G$204&lt;&gt;"")*('01_予約入力'!$N$5:$N$204&lt;&gt;"キャンセル")*('01_予約入力'!$B$5:$B$204=$A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7">
        <f>IF(OR($A7="",O$4=""),0,SUMPRODUCT(('01_予約入力'!$G$5:$G$204&lt;&gt;"")*('01_予約入力'!$N$5:$N$204&lt;&gt;"キャンセル")*('01_予約入力'!$B$5:$B$204=$A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7">
        <f>IF(OR($A7="",P$4=""),0,SUMPRODUCT(('01_予約入力'!$G$5:$G$204&lt;&gt;"")*('01_予約入力'!$N$5:$N$204&lt;&gt;"キャンセル")*('01_予約入力'!$B$5:$B$204=$A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7">
        <f>IF(OR($A7="",Q$4=""),0,SUMPRODUCT(('01_予約入力'!$G$5:$G$204&lt;&gt;"")*('01_予約入力'!$N$5:$N$204&lt;&gt;"キャンセル")*('01_予約入力'!$B$5:$B$204=$A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7">
        <f>IF(OR($A7="",R$4=""),0,SUMPRODUCT(('01_予約入力'!$G$5:$G$204&lt;&gt;"")*('01_予約入力'!$N$5:$N$204&lt;&gt;"キャンセル")*('01_予約入力'!$B$5:$B$204=$A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7">
        <f>IF(OR($A7="",S$4=""),0,SUMPRODUCT(('01_予約入力'!$G$5:$G$204&lt;&gt;"")*('01_予約入力'!$N$5:$N$204&lt;&gt;"キャンセル")*('01_予約入力'!$B$5:$B$204=$A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7">
        <f>IF(OR($A7="",T$4=""),0,SUMPRODUCT(('01_予約入力'!$G$5:$G$204&lt;&gt;"")*('01_予約入力'!$N$5:$N$204&lt;&gt;"キャンセル")*('01_予約入力'!$B$5:$B$204=$A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7">
        <f>IF(OR($A7="",U$4=""),0,SUMPRODUCT(('01_予約入力'!$G$5:$G$204&lt;&gt;"")*('01_予約入力'!$N$5:$N$204&lt;&gt;"キャンセル")*('01_予約入力'!$B$5:$B$204=$A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7">
        <f>IF(OR($A7="",V$4=""),0,SUMPRODUCT(('01_予約入力'!$G$5:$G$204&lt;&gt;"")*('01_予約入力'!$N$5:$N$204&lt;&gt;"キャンセル")*('01_予約入力'!$B$5:$B$204=$A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7">
        <f>IF(OR($A7="",W$4=""),0,SUMPRODUCT(('01_予約入力'!$G$5:$G$204&lt;&gt;"")*('01_予約入力'!$N$5:$N$204&lt;&gt;"キャンセル")*('01_予約入力'!$B$5:$B$204=$A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7">
        <f>IF(OR($A7="",X$4=""),0,SUMPRODUCT(('01_予約入力'!$G$5:$G$204&lt;&gt;"")*('01_予約入力'!$N$5:$N$204&lt;&gt;"キャンセル")*('01_予約入力'!$B$5:$B$204=$A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7">
        <f>IF(OR($A7="",Y$4=""),0,SUMPRODUCT(('01_予約入力'!$G$5:$G$204&lt;&gt;"")*('01_予約入力'!$N$5:$N$204&lt;&gt;"キャンセル")*('01_予約入力'!$B$5:$B$204=$A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7">
        <f>IF(OR($A7="",Z$4=""),0,SUMPRODUCT(('01_予約入力'!$G$5:$G$204&lt;&gt;"")*('01_予約入力'!$N$5:$N$204&lt;&gt;"キャンセル")*('01_予約入力'!$B$5:$B$204=$A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7">
        <f>IF(OR($A7="",AA$4=""),0,SUMPRODUCT(('01_予約入力'!$G$5:$G$204&lt;&gt;"")*('01_予約入力'!$N$5:$N$204&lt;&gt;"キャンセル")*('01_予約入力'!$B$5:$B$204=$A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7">
        <f>IF(OR($A7="",AB$4=""),0,SUMPRODUCT(('01_予約入力'!$G$5:$G$204&lt;&gt;"")*('01_予約入力'!$N$5:$N$204&lt;&gt;"キャンセル")*('01_予約入力'!$B$5:$B$204=$A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7">
        <f>IF(OR($A7="",AC$4=""),0,SUMPRODUCT(('01_予約入力'!$G$5:$G$204&lt;&gt;"")*('01_予約入力'!$N$5:$N$204&lt;&gt;"キャンセル")*('01_予約入力'!$B$5:$B$204=$A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7">
        <f>IF(OR($A7="",AD$4=""),0,SUMPRODUCT(('01_予約入力'!$G$5:$G$204&lt;&gt;"")*('01_予約入力'!$N$5:$N$204&lt;&gt;"キャンセル")*('01_予約入力'!$B$5:$B$204=$A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7">
        <f>IF(OR($A7="",AE$4=""),0,SUMPRODUCT(('01_予約入力'!$G$5:$G$204&lt;&gt;"")*('01_予約入力'!$N$5:$N$204&lt;&gt;"キャンセル")*('01_予約入力'!$B$5:$B$204=$A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7">
        <f>IF(OR($A7="",AF$4=""),0,SUMPRODUCT(('01_予約入力'!$G$5:$G$204&lt;&gt;"")*('01_予約入力'!$N$5:$N$204&lt;&gt;"キャンセル")*('01_予約入力'!$B$5:$B$204=$A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8" ht="19" customHeight="1">
      <c r="A8" s="42">
        <f>IF(COUNTA('利用者マスタ'!$A$4:$A$60)&gt;=2,INDEX('利用者マスタ'!$A$4:$A$60,2),"")</f>
        <v/>
      </c>
      <c r="B8" s="43">
        <f>IF($AP8=0,"",IF(MOD($AP8,8)=7,IF($AP8&gt;=8,"◇","◆"),IF(MOD($AP8,8)=3,IF($AP8&gt;=8,"▷","▶"),IF(MOD($AP8,8)=5,IF($AP8&gt;=8,"◁","◀"),IF($AP8&gt;=8,"□","■")))))</f>
        <v/>
      </c>
      <c r="C8" s="43">
        <f>IF($AQ8=0,"",IF(MOD($AQ8,8)=7,IF($AQ8&gt;=8,"◇","◆"),IF(MOD($AQ8,8)=3,IF($AQ8&gt;=8,"▷","▶"),IF(MOD($AQ8,8)=5,IF($AQ8&gt;=8,"◁","◀"),IF($AQ8&gt;=8,"□","■")))))</f>
        <v/>
      </c>
      <c r="D8" s="43">
        <f>IF($AR8=0,"",IF(MOD($AR8,8)=7,IF($AR8&gt;=8,"◇","◆"),IF(MOD($AR8,8)=3,IF($AR8&gt;=8,"▷","▶"),IF(MOD($AR8,8)=5,IF($AR8&gt;=8,"◁","◀"),IF($AR8&gt;=8,"□","■")))))</f>
        <v/>
      </c>
      <c r="E8" s="43">
        <f>IF($AS8=0,"",IF(MOD($AS8,8)=7,IF($AS8&gt;=8,"◇","◆"),IF(MOD($AS8,8)=3,IF($AS8&gt;=8,"▷","▶"),IF(MOD($AS8,8)=5,IF($AS8&gt;=8,"◁","◀"),IF($AS8&gt;=8,"□","■")))))</f>
        <v/>
      </c>
      <c r="F8" s="43">
        <f>IF($AT8=0,"",IF(MOD($AT8,8)=7,IF($AT8&gt;=8,"◇","◆"),IF(MOD($AT8,8)=3,IF($AT8&gt;=8,"▷","▶"),IF(MOD($AT8,8)=5,IF($AT8&gt;=8,"◁","◀"),IF($AT8&gt;=8,"□","■")))))</f>
        <v/>
      </c>
      <c r="G8" s="43">
        <f>IF($AU8=0,"",IF(MOD($AU8,8)=7,IF($AU8&gt;=8,"◇","◆"),IF(MOD($AU8,8)=3,IF($AU8&gt;=8,"▷","▶"),IF(MOD($AU8,8)=5,IF($AU8&gt;=8,"◁","◀"),IF($AU8&gt;=8,"□","■")))))</f>
        <v/>
      </c>
      <c r="H8" s="43">
        <f>IF($AV8=0,"",IF(MOD($AV8,8)=7,IF($AV8&gt;=8,"◇","◆"),IF(MOD($AV8,8)=3,IF($AV8&gt;=8,"▷","▶"),IF(MOD($AV8,8)=5,IF($AV8&gt;=8,"◁","◀"),IF($AV8&gt;=8,"□","■")))))</f>
        <v/>
      </c>
      <c r="I8" s="43">
        <f>IF($AW8=0,"",IF(MOD($AW8,8)=7,IF($AW8&gt;=8,"◇","◆"),IF(MOD($AW8,8)=3,IF($AW8&gt;=8,"▷","▶"),IF(MOD($AW8,8)=5,IF($AW8&gt;=8,"◁","◀"),IF($AW8&gt;=8,"□","■")))))</f>
        <v/>
      </c>
      <c r="J8" s="43">
        <f>IF($AX8=0,"",IF(MOD($AX8,8)=7,IF($AX8&gt;=8,"◇","◆"),IF(MOD($AX8,8)=3,IF($AX8&gt;=8,"▷","▶"),IF(MOD($AX8,8)=5,IF($AX8&gt;=8,"◁","◀"),IF($AX8&gt;=8,"□","■")))))</f>
        <v/>
      </c>
      <c r="K8" s="43">
        <f>IF($AY8=0,"",IF(MOD($AY8,8)=7,IF($AY8&gt;=8,"◇","◆"),IF(MOD($AY8,8)=3,IF($AY8&gt;=8,"▷","▶"),IF(MOD($AY8,8)=5,IF($AY8&gt;=8,"◁","◀"),IF($AY8&gt;=8,"□","■")))))</f>
        <v/>
      </c>
      <c r="L8" s="43">
        <f>IF($AZ8=0,"",IF(MOD($AZ8,8)=7,IF($AZ8&gt;=8,"◇","◆"),IF(MOD($AZ8,8)=3,IF($AZ8&gt;=8,"▷","▶"),IF(MOD($AZ8,8)=5,IF($AZ8&gt;=8,"◁","◀"),IF($AZ8&gt;=8,"□","■")))))</f>
        <v/>
      </c>
      <c r="M8" s="43">
        <f>IF($BA8=0,"",IF(MOD($BA8,8)=7,IF($BA8&gt;=8,"◇","◆"),IF(MOD($BA8,8)=3,IF($BA8&gt;=8,"▷","▶"),IF(MOD($BA8,8)=5,IF($BA8&gt;=8,"◁","◀"),IF($BA8&gt;=8,"□","■")))))</f>
        <v/>
      </c>
      <c r="N8" s="43">
        <f>IF($BB8=0,"",IF(MOD($BB8,8)=7,IF($BB8&gt;=8,"◇","◆"),IF(MOD($BB8,8)=3,IF($BB8&gt;=8,"▷","▶"),IF(MOD($BB8,8)=5,IF($BB8&gt;=8,"◁","◀"),IF($BB8&gt;=8,"□","■")))))</f>
        <v/>
      </c>
      <c r="O8" s="43">
        <f>IF($BC8=0,"",IF(MOD($BC8,8)=7,IF($BC8&gt;=8,"◇","◆"),IF(MOD($BC8,8)=3,IF($BC8&gt;=8,"▷","▶"),IF(MOD($BC8,8)=5,IF($BC8&gt;=8,"◁","◀"),IF($BC8&gt;=8,"□","■")))))</f>
        <v/>
      </c>
      <c r="P8" s="43">
        <f>IF($BD8=0,"",IF(MOD($BD8,8)=7,IF($BD8&gt;=8,"◇","◆"),IF(MOD($BD8,8)=3,IF($BD8&gt;=8,"▷","▶"),IF(MOD($BD8,8)=5,IF($BD8&gt;=8,"◁","◀"),IF($BD8&gt;=8,"□","■")))))</f>
        <v/>
      </c>
      <c r="Q8" s="43">
        <f>IF($BE8=0,"",IF(MOD($BE8,8)=7,IF($BE8&gt;=8,"◇","◆"),IF(MOD($BE8,8)=3,IF($BE8&gt;=8,"▷","▶"),IF(MOD($BE8,8)=5,IF($BE8&gt;=8,"◁","◀"),IF($BE8&gt;=8,"□","■")))))</f>
        <v/>
      </c>
      <c r="R8" s="43">
        <f>IF($BF8=0,"",IF(MOD($BF8,8)=7,IF($BF8&gt;=8,"◇","◆"),IF(MOD($BF8,8)=3,IF($BF8&gt;=8,"▷","▶"),IF(MOD($BF8,8)=5,IF($BF8&gt;=8,"◁","◀"),IF($BF8&gt;=8,"□","■")))))</f>
        <v/>
      </c>
      <c r="S8" s="43">
        <f>IF($BG8=0,"",IF(MOD($BG8,8)=7,IF($BG8&gt;=8,"◇","◆"),IF(MOD($BG8,8)=3,IF($BG8&gt;=8,"▷","▶"),IF(MOD($BG8,8)=5,IF($BG8&gt;=8,"◁","◀"),IF($BG8&gt;=8,"□","■")))))</f>
        <v/>
      </c>
      <c r="T8" s="43">
        <f>IF($BH8=0,"",IF(MOD($BH8,8)=7,IF($BH8&gt;=8,"◇","◆"),IF(MOD($BH8,8)=3,IF($BH8&gt;=8,"▷","▶"),IF(MOD($BH8,8)=5,IF($BH8&gt;=8,"◁","◀"),IF($BH8&gt;=8,"□","■")))))</f>
        <v/>
      </c>
      <c r="U8" s="43">
        <f>IF($BI8=0,"",IF(MOD($BI8,8)=7,IF($BI8&gt;=8,"◇","◆"),IF(MOD($BI8,8)=3,IF($BI8&gt;=8,"▷","▶"),IF(MOD($BI8,8)=5,IF($BI8&gt;=8,"◁","◀"),IF($BI8&gt;=8,"□","■")))))</f>
        <v/>
      </c>
      <c r="V8" s="43">
        <f>IF($BJ8=0,"",IF(MOD($BJ8,8)=7,IF($BJ8&gt;=8,"◇","◆"),IF(MOD($BJ8,8)=3,IF($BJ8&gt;=8,"▷","▶"),IF(MOD($BJ8,8)=5,IF($BJ8&gt;=8,"◁","◀"),IF($BJ8&gt;=8,"□","■")))))</f>
        <v/>
      </c>
      <c r="W8" s="43">
        <f>IF($BK8=0,"",IF(MOD($BK8,8)=7,IF($BK8&gt;=8,"◇","◆"),IF(MOD($BK8,8)=3,IF($BK8&gt;=8,"▷","▶"),IF(MOD($BK8,8)=5,IF($BK8&gt;=8,"◁","◀"),IF($BK8&gt;=8,"□","■")))))</f>
        <v/>
      </c>
      <c r="X8" s="43">
        <f>IF($BL8=0,"",IF(MOD($BL8,8)=7,IF($BL8&gt;=8,"◇","◆"),IF(MOD($BL8,8)=3,IF($BL8&gt;=8,"▷","▶"),IF(MOD($BL8,8)=5,IF($BL8&gt;=8,"◁","◀"),IF($BL8&gt;=8,"□","■")))))</f>
        <v/>
      </c>
      <c r="Y8" s="43">
        <f>IF($BM8=0,"",IF(MOD($BM8,8)=7,IF($BM8&gt;=8,"◇","◆"),IF(MOD($BM8,8)=3,IF($BM8&gt;=8,"▷","▶"),IF(MOD($BM8,8)=5,IF($BM8&gt;=8,"◁","◀"),IF($BM8&gt;=8,"□","■")))))</f>
        <v/>
      </c>
      <c r="Z8" s="43">
        <f>IF($BN8=0,"",IF(MOD($BN8,8)=7,IF($BN8&gt;=8,"◇","◆"),IF(MOD($BN8,8)=3,IF($BN8&gt;=8,"▷","▶"),IF(MOD($BN8,8)=5,IF($BN8&gt;=8,"◁","◀"),IF($BN8&gt;=8,"□","■")))))</f>
        <v/>
      </c>
      <c r="AA8" s="43">
        <f>IF($BO8=0,"",IF(MOD($BO8,8)=7,IF($BO8&gt;=8,"◇","◆"),IF(MOD($BO8,8)=3,IF($BO8&gt;=8,"▷","▶"),IF(MOD($BO8,8)=5,IF($BO8&gt;=8,"◁","◀"),IF($BO8&gt;=8,"□","■")))))</f>
        <v/>
      </c>
      <c r="AB8" s="43">
        <f>IF($BP8=0,"",IF(MOD($BP8,8)=7,IF($BP8&gt;=8,"◇","◆"),IF(MOD($BP8,8)=3,IF($BP8&gt;=8,"▷","▶"),IF(MOD($BP8,8)=5,IF($BP8&gt;=8,"◁","◀"),IF($BP8&gt;=8,"□","■")))))</f>
        <v/>
      </c>
      <c r="AC8" s="43">
        <f>IF($BQ8=0,"",IF(MOD($BQ8,8)=7,IF($BQ8&gt;=8,"◇","◆"),IF(MOD($BQ8,8)=3,IF($BQ8&gt;=8,"▷","▶"),IF(MOD($BQ8,8)=5,IF($BQ8&gt;=8,"◁","◀"),IF($BQ8&gt;=8,"□","■")))))</f>
        <v/>
      </c>
      <c r="AD8" s="43">
        <f>IF($BR8=0,"",IF(MOD($BR8,8)=7,IF($BR8&gt;=8,"◇","◆"),IF(MOD($BR8,8)=3,IF($BR8&gt;=8,"▷","▶"),IF(MOD($BR8,8)=5,IF($BR8&gt;=8,"◁","◀"),IF($BR8&gt;=8,"□","■")))))</f>
        <v/>
      </c>
      <c r="AE8" s="43">
        <f>IF($BS8=0,"",IF(MOD($BS8,8)=7,IF($BS8&gt;=8,"◇","◆"),IF(MOD($BS8,8)=3,IF($BS8&gt;=8,"▷","▶"),IF(MOD($BS8,8)=5,IF($BS8&gt;=8,"◁","◀"),IF($BS8&gt;=8,"□","■")))))</f>
        <v/>
      </c>
      <c r="AF8" s="43">
        <f>IF($BT8=0,"",IF(MOD($BT8,8)=7,IF($BT8&gt;=8,"◇","◆"),IF(MOD($BT8,8)=3,IF($BT8&gt;=8,"▷","▶"),IF(MOD($BT8,8)=5,IF($BT8&gt;=8,"◁","◀"),IF($BT8&gt;=8,"□","■")))))</f>
        <v/>
      </c>
      <c r="AG8" s="44">
        <f>IF($A8="","",COUNTIF($AP8:$BT8,"&gt;0"))</f>
        <v/>
      </c>
      <c r="AP8">
        <f>IF(OR($A8="",B$4=""),0,SUMPRODUCT(('01_予約入力'!$G$5:$G$204&lt;&gt;"")*('01_予約入力'!$N$5:$N$204&lt;&gt;"キャンセル")*('01_予約入力'!$B$5:$B$204=$A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8">
        <f>IF(OR($A8="",C$4=""),0,SUMPRODUCT(('01_予約入力'!$G$5:$G$204&lt;&gt;"")*('01_予約入力'!$N$5:$N$204&lt;&gt;"キャンセル")*('01_予約入力'!$B$5:$B$204=$A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8">
        <f>IF(OR($A8="",D$4=""),0,SUMPRODUCT(('01_予約入力'!$G$5:$G$204&lt;&gt;"")*('01_予約入力'!$N$5:$N$204&lt;&gt;"キャンセル")*('01_予約入力'!$B$5:$B$204=$A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8">
        <f>IF(OR($A8="",E$4=""),0,SUMPRODUCT(('01_予約入力'!$G$5:$G$204&lt;&gt;"")*('01_予約入力'!$N$5:$N$204&lt;&gt;"キャンセル")*('01_予約入力'!$B$5:$B$204=$A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8">
        <f>IF(OR($A8="",F$4=""),0,SUMPRODUCT(('01_予約入力'!$G$5:$G$204&lt;&gt;"")*('01_予約入力'!$N$5:$N$204&lt;&gt;"キャンセル")*('01_予約入力'!$B$5:$B$204=$A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8">
        <f>IF(OR($A8="",G$4=""),0,SUMPRODUCT(('01_予約入力'!$G$5:$G$204&lt;&gt;"")*('01_予約入力'!$N$5:$N$204&lt;&gt;"キャンセル")*('01_予約入力'!$B$5:$B$204=$A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8">
        <f>IF(OR($A8="",H$4=""),0,SUMPRODUCT(('01_予約入力'!$G$5:$G$204&lt;&gt;"")*('01_予約入力'!$N$5:$N$204&lt;&gt;"キャンセル")*('01_予約入力'!$B$5:$B$204=$A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8">
        <f>IF(OR($A8="",I$4=""),0,SUMPRODUCT(('01_予約入力'!$G$5:$G$204&lt;&gt;"")*('01_予約入力'!$N$5:$N$204&lt;&gt;"キャンセル")*('01_予約入力'!$B$5:$B$204=$A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8">
        <f>IF(OR($A8="",J$4=""),0,SUMPRODUCT(('01_予約入力'!$G$5:$G$204&lt;&gt;"")*('01_予約入力'!$N$5:$N$204&lt;&gt;"キャンセル")*('01_予約入力'!$B$5:$B$204=$A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8">
        <f>IF(OR($A8="",K$4=""),0,SUMPRODUCT(('01_予約入力'!$G$5:$G$204&lt;&gt;"")*('01_予約入力'!$N$5:$N$204&lt;&gt;"キャンセル")*('01_予約入力'!$B$5:$B$204=$A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8">
        <f>IF(OR($A8="",L$4=""),0,SUMPRODUCT(('01_予約入力'!$G$5:$G$204&lt;&gt;"")*('01_予約入力'!$N$5:$N$204&lt;&gt;"キャンセル")*('01_予約入力'!$B$5:$B$204=$A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8">
        <f>IF(OR($A8="",M$4=""),0,SUMPRODUCT(('01_予約入力'!$G$5:$G$204&lt;&gt;"")*('01_予約入力'!$N$5:$N$204&lt;&gt;"キャンセル")*('01_予約入力'!$B$5:$B$204=$A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8">
        <f>IF(OR($A8="",N$4=""),0,SUMPRODUCT(('01_予約入力'!$G$5:$G$204&lt;&gt;"")*('01_予約入力'!$N$5:$N$204&lt;&gt;"キャンセル")*('01_予約入力'!$B$5:$B$204=$A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8">
        <f>IF(OR($A8="",O$4=""),0,SUMPRODUCT(('01_予約入力'!$G$5:$G$204&lt;&gt;"")*('01_予約入力'!$N$5:$N$204&lt;&gt;"キャンセル")*('01_予約入力'!$B$5:$B$204=$A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8">
        <f>IF(OR($A8="",P$4=""),0,SUMPRODUCT(('01_予約入力'!$G$5:$G$204&lt;&gt;"")*('01_予約入力'!$N$5:$N$204&lt;&gt;"キャンセル")*('01_予約入力'!$B$5:$B$204=$A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8">
        <f>IF(OR($A8="",Q$4=""),0,SUMPRODUCT(('01_予約入力'!$G$5:$G$204&lt;&gt;"")*('01_予約入力'!$N$5:$N$204&lt;&gt;"キャンセル")*('01_予約入力'!$B$5:$B$204=$A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8">
        <f>IF(OR($A8="",R$4=""),0,SUMPRODUCT(('01_予約入力'!$G$5:$G$204&lt;&gt;"")*('01_予約入力'!$N$5:$N$204&lt;&gt;"キャンセル")*('01_予約入力'!$B$5:$B$204=$A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8">
        <f>IF(OR($A8="",S$4=""),0,SUMPRODUCT(('01_予約入力'!$G$5:$G$204&lt;&gt;"")*('01_予約入力'!$N$5:$N$204&lt;&gt;"キャンセル")*('01_予約入力'!$B$5:$B$204=$A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8">
        <f>IF(OR($A8="",T$4=""),0,SUMPRODUCT(('01_予約入力'!$G$5:$G$204&lt;&gt;"")*('01_予約入力'!$N$5:$N$204&lt;&gt;"キャンセル")*('01_予約入力'!$B$5:$B$204=$A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8">
        <f>IF(OR($A8="",U$4=""),0,SUMPRODUCT(('01_予約入力'!$G$5:$G$204&lt;&gt;"")*('01_予約入力'!$N$5:$N$204&lt;&gt;"キャンセル")*('01_予約入力'!$B$5:$B$204=$A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8">
        <f>IF(OR($A8="",V$4=""),0,SUMPRODUCT(('01_予約入力'!$G$5:$G$204&lt;&gt;"")*('01_予約入力'!$N$5:$N$204&lt;&gt;"キャンセル")*('01_予約入力'!$B$5:$B$204=$A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8">
        <f>IF(OR($A8="",W$4=""),0,SUMPRODUCT(('01_予約入力'!$G$5:$G$204&lt;&gt;"")*('01_予約入力'!$N$5:$N$204&lt;&gt;"キャンセル")*('01_予約入力'!$B$5:$B$204=$A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8">
        <f>IF(OR($A8="",X$4=""),0,SUMPRODUCT(('01_予約入力'!$G$5:$G$204&lt;&gt;"")*('01_予約入力'!$N$5:$N$204&lt;&gt;"キャンセル")*('01_予約入力'!$B$5:$B$204=$A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8">
        <f>IF(OR($A8="",Y$4=""),0,SUMPRODUCT(('01_予約入力'!$G$5:$G$204&lt;&gt;"")*('01_予約入力'!$N$5:$N$204&lt;&gt;"キャンセル")*('01_予約入力'!$B$5:$B$204=$A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8">
        <f>IF(OR($A8="",Z$4=""),0,SUMPRODUCT(('01_予約入力'!$G$5:$G$204&lt;&gt;"")*('01_予約入力'!$N$5:$N$204&lt;&gt;"キャンセル")*('01_予約入力'!$B$5:$B$204=$A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8">
        <f>IF(OR($A8="",AA$4=""),0,SUMPRODUCT(('01_予約入力'!$G$5:$G$204&lt;&gt;"")*('01_予約入力'!$N$5:$N$204&lt;&gt;"キャンセル")*('01_予約入力'!$B$5:$B$204=$A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8">
        <f>IF(OR($A8="",AB$4=""),0,SUMPRODUCT(('01_予約入力'!$G$5:$G$204&lt;&gt;"")*('01_予約入力'!$N$5:$N$204&lt;&gt;"キャンセル")*('01_予約入力'!$B$5:$B$204=$A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8">
        <f>IF(OR($A8="",AC$4=""),0,SUMPRODUCT(('01_予約入力'!$G$5:$G$204&lt;&gt;"")*('01_予約入力'!$N$5:$N$204&lt;&gt;"キャンセル")*('01_予約入力'!$B$5:$B$204=$A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8">
        <f>IF(OR($A8="",AD$4=""),0,SUMPRODUCT(('01_予約入力'!$G$5:$G$204&lt;&gt;"")*('01_予約入力'!$N$5:$N$204&lt;&gt;"キャンセル")*('01_予約入力'!$B$5:$B$204=$A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8">
        <f>IF(OR($A8="",AE$4=""),0,SUMPRODUCT(('01_予約入力'!$G$5:$G$204&lt;&gt;"")*('01_予約入力'!$N$5:$N$204&lt;&gt;"キャンセル")*('01_予約入力'!$B$5:$B$204=$A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8">
        <f>IF(OR($A8="",AF$4=""),0,SUMPRODUCT(('01_予約入力'!$G$5:$G$204&lt;&gt;"")*('01_予約入力'!$N$5:$N$204&lt;&gt;"キャンセル")*('01_予約入力'!$B$5:$B$204=$A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9" ht="19" customHeight="1">
      <c r="A9" s="42">
        <f>IF(COUNTA('利用者マスタ'!$A$4:$A$60)&gt;=3,INDEX('利用者マスタ'!$A$4:$A$60,3),"")</f>
        <v/>
      </c>
      <c r="B9" s="43">
        <f>IF($AP9=0,"",IF(MOD($AP9,8)=7,IF($AP9&gt;=8,"◇","◆"),IF(MOD($AP9,8)=3,IF($AP9&gt;=8,"▷","▶"),IF(MOD($AP9,8)=5,IF($AP9&gt;=8,"◁","◀"),IF($AP9&gt;=8,"□","■")))))</f>
        <v/>
      </c>
      <c r="C9" s="43">
        <f>IF($AQ9=0,"",IF(MOD($AQ9,8)=7,IF($AQ9&gt;=8,"◇","◆"),IF(MOD($AQ9,8)=3,IF($AQ9&gt;=8,"▷","▶"),IF(MOD($AQ9,8)=5,IF($AQ9&gt;=8,"◁","◀"),IF($AQ9&gt;=8,"□","■")))))</f>
        <v/>
      </c>
      <c r="D9" s="43">
        <f>IF($AR9=0,"",IF(MOD($AR9,8)=7,IF($AR9&gt;=8,"◇","◆"),IF(MOD($AR9,8)=3,IF($AR9&gt;=8,"▷","▶"),IF(MOD($AR9,8)=5,IF($AR9&gt;=8,"◁","◀"),IF($AR9&gt;=8,"□","■")))))</f>
        <v/>
      </c>
      <c r="E9" s="43">
        <f>IF($AS9=0,"",IF(MOD($AS9,8)=7,IF($AS9&gt;=8,"◇","◆"),IF(MOD($AS9,8)=3,IF($AS9&gt;=8,"▷","▶"),IF(MOD($AS9,8)=5,IF($AS9&gt;=8,"◁","◀"),IF($AS9&gt;=8,"□","■")))))</f>
        <v/>
      </c>
      <c r="F9" s="43">
        <f>IF($AT9=0,"",IF(MOD($AT9,8)=7,IF($AT9&gt;=8,"◇","◆"),IF(MOD($AT9,8)=3,IF($AT9&gt;=8,"▷","▶"),IF(MOD($AT9,8)=5,IF($AT9&gt;=8,"◁","◀"),IF($AT9&gt;=8,"□","■")))))</f>
        <v/>
      </c>
      <c r="G9" s="43">
        <f>IF($AU9=0,"",IF(MOD($AU9,8)=7,IF($AU9&gt;=8,"◇","◆"),IF(MOD($AU9,8)=3,IF($AU9&gt;=8,"▷","▶"),IF(MOD($AU9,8)=5,IF($AU9&gt;=8,"◁","◀"),IF($AU9&gt;=8,"□","■")))))</f>
        <v/>
      </c>
      <c r="H9" s="43">
        <f>IF($AV9=0,"",IF(MOD($AV9,8)=7,IF($AV9&gt;=8,"◇","◆"),IF(MOD($AV9,8)=3,IF($AV9&gt;=8,"▷","▶"),IF(MOD($AV9,8)=5,IF($AV9&gt;=8,"◁","◀"),IF($AV9&gt;=8,"□","■")))))</f>
        <v/>
      </c>
      <c r="I9" s="43">
        <f>IF($AW9=0,"",IF(MOD($AW9,8)=7,IF($AW9&gt;=8,"◇","◆"),IF(MOD($AW9,8)=3,IF($AW9&gt;=8,"▷","▶"),IF(MOD($AW9,8)=5,IF($AW9&gt;=8,"◁","◀"),IF($AW9&gt;=8,"□","■")))))</f>
        <v/>
      </c>
      <c r="J9" s="43">
        <f>IF($AX9=0,"",IF(MOD($AX9,8)=7,IF($AX9&gt;=8,"◇","◆"),IF(MOD($AX9,8)=3,IF($AX9&gt;=8,"▷","▶"),IF(MOD($AX9,8)=5,IF($AX9&gt;=8,"◁","◀"),IF($AX9&gt;=8,"□","■")))))</f>
        <v/>
      </c>
      <c r="K9" s="43">
        <f>IF($AY9=0,"",IF(MOD($AY9,8)=7,IF($AY9&gt;=8,"◇","◆"),IF(MOD($AY9,8)=3,IF($AY9&gt;=8,"▷","▶"),IF(MOD($AY9,8)=5,IF($AY9&gt;=8,"◁","◀"),IF($AY9&gt;=8,"□","■")))))</f>
        <v/>
      </c>
      <c r="L9" s="43">
        <f>IF($AZ9=0,"",IF(MOD($AZ9,8)=7,IF($AZ9&gt;=8,"◇","◆"),IF(MOD($AZ9,8)=3,IF($AZ9&gt;=8,"▷","▶"),IF(MOD($AZ9,8)=5,IF($AZ9&gt;=8,"◁","◀"),IF($AZ9&gt;=8,"□","■")))))</f>
        <v/>
      </c>
      <c r="M9" s="43">
        <f>IF($BA9=0,"",IF(MOD($BA9,8)=7,IF($BA9&gt;=8,"◇","◆"),IF(MOD($BA9,8)=3,IF($BA9&gt;=8,"▷","▶"),IF(MOD($BA9,8)=5,IF($BA9&gt;=8,"◁","◀"),IF($BA9&gt;=8,"□","■")))))</f>
        <v/>
      </c>
      <c r="N9" s="43">
        <f>IF($BB9=0,"",IF(MOD($BB9,8)=7,IF($BB9&gt;=8,"◇","◆"),IF(MOD($BB9,8)=3,IF($BB9&gt;=8,"▷","▶"),IF(MOD($BB9,8)=5,IF($BB9&gt;=8,"◁","◀"),IF($BB9&gt;=8,"□","■")))))</f>
        <v/>
      </c>
      <c r="O9" s="43">
        <f>IF($BC9=0,"",IF(MOD($BC9,8)=7,IF($BC9&gt;=8,"◇","◆"),IF(MOD($BC9,8)=3,IF($BC9&gt;=8,"▷","▶"),IF(MOD($BC9,8)=5,IF($BC9&gt;=8,"◁","◀"),IF($BC9&gt;=8,"□","■")))))</f>
        <v/>
      </c>
      <c r="P9" s="43">
        <f>IF($BD9=0,"",IF(MOD($BD9,8)=7,IF($BD9&gt;=8,"◇","◆"),IF(MOD($BD9,8)=3,IF($BD9&gt;=8,"▷","▶"),IF(MOD($BD9,8)=5,IF($BD9&gt;=8,"◁","◀"),IF($BD9&gt;=8,"□","■")))))</f>
        <v/>
      </c>
      <c r="Q9" s="43">
        <f>IF($BE9=0,"",IF(MOD($BE9,8)=7,IF($BE9&gt;=8,"◇","◆"),IF(MOD($BE9,8)=3,IF($BE9&gt;=8,"▷","▶"),IF(MOD($BE9,8)=5,IF($BE9&gt;=8,"◁","◀"),IF($BE9&gt;=8,"□","■")))))</f>
        <v/>
      </c>
      <c r="R9" s="43">
        <f>IF($BF9=0,"",IF(MOD($BF9,8)=7,IF($BF9&gt;=8,"◇","◆"),IF(MOD($BF9,8)=3,IF($BF9&gt;=8,"▷","▶"),IF(MOD($BF9,8)=5,IF($BF9&gt;=8,"◁","◀"),IF($BF9&gt;=8,"□","■")))))</f>
        <v/>
      </c>
      <c r="S9" s="43">
        <f>IF($BG9=0,"",IF(MOD($BG9,8)=7,IF($BG9&gt;=8,"◇","◆"),IF(MOD($BG9,8)=3,IF($BG9&gt;=8,"▷","▶"),IF(MOD($BG9,8)=5,IF($BG9&gt;=8,"◁","◀"),IF($BG9&gt;=8,"□","■")))))</f>
        <v/>
      </c>
      <c r="T9" s="43">
        <f>IF($BH9=0,"",IF(MOD($BH9,8)=7,IF($BH9&gt;=8,"◇","◆"),IF(MOD($BH9,8)=3,IF($BH9&gt;=8,"▷","▶"),IF(MOD($BH9,8)=5,IF($BH9&gt;=8,"◁","◀"),IF($BH9&gt;=8,"□","■")))))</f>
        <v/>
      </c>
      <c r="U9" s="43">
        <f>IF($BI9=0,"",IF(MOD($BI9,8)=7,IF($BI9&gt;=8,"◇","◆"),IF(MOD($BI9,8)=3,IF($BI9&gt;=8,"▷","▶"),IF(MOD($BI9,8)=5,IF($BI9&gt;=8,"◁","◀"),IF($BI9&gt;=8,"□","■")))))</f>
        <v/>
      </c>
      <c r="V9" s="43">
        <f>IF($BJ9=0,"",IF(MOD($BJ9,8)=7,IF($BJ9&gt;=8,"◇","◆"),IF(MOD($BJ9,8)=3,IF($BJ9&gt;=8,"▷","▶"),IF(MOD($BJ9,8)=5,IF($BJ9&gt;=8,"◁","◀"),IF($BJ9&gt;=8,"□","■")))))</f>
        <v/>
      </c>
      <c r="W9" s="43">
        <f>IF($BK9=0,"",IF(MOD($BK9,8)=7,IF($BK9&gt;=8,"◇","◆"),IF(MOD($BK9,8)=3,IF($BK9&gt;=8,"▷","▶"),IF(MOD($BK9,8)=5,IF($BK9&gt;=8,"◁","◀"),IF($BK9&gt;=8,"□","■")))))</f>
        <v/>
      </c>
      <c r="X9" s="43">
        <f>IF($BL9=0,"",IF(MOD($BL9,8)=7,IF($BL9&gt;=8,"◇","◆"),IF(MOD($BL9,8)=3,IF($BL9&gt;=8,"▷","▶"),IF(MOD($BL9,8)=5,IF($BL9&gt;=8,"◁","◀"),IF($BL9&gt;=8,"□","■")))))</f>
        <v/>
      </c>
      <c r="Y9" s="43">
        <f>IF($BM9=0,"",IF(MOD($BM9,8)=7,IF($BM9&gt;=8,"◇","◆"),IF(MOD($BM9,8)=3,IF($BM9&gt;=8,"▷","▶"),IF(MOD($BM9,8)=5,IF($BM9&gt;=8,"◁","◀"),IF($BM9&gt;=8,"□","■")))))</f>
        <v/>
      </c>
      <c r="Z9" s="43">
        <f>IF($BN9=0,"",IF(MOD($BN9,8)=7,IF($BN9&gt;=8,"◇","◆"),IF(MOD($BN9,8)=3,IF($BN9&gt;=8,"▷","▶"),IF(MOD($BN9,8)=5,IF($BN9&gt;=8,"◁","◀"),IF($BN9&gt;=8,"□","■")))))</f>
        <v/>
      </c>
      <c r="AA9" s="43">
        <f>IF($BO9=0,"",IF(MOD($BO9,8)=7,IF($BO9&gt;=8,"◇","◆"),IF(MOD($BO9,8)=3,IF($BO9&gt;=8,"▷","▶"),IF(MOD($BO9,8)=5,IF($BO9&gt;=8,"◁","◀"),IF($BO9&gt;=8,"□","■")))))</f>
        <v/>
      </c>
      <c r="AB9" s="43">
        <f>IF($BP9=0,"",IF(MOD($BP9,8)=7,IF($BP9&gt;=8,"◇","◆"),IF(MOD($BP9,8)=3,IF($BP9&gt;=8,"▷","▶"),IF(MOD($BP9,8)=5,IF($BP9&gt;=8,"◁","◀"),IF($BP9&gt;=8,"□","■")))))</f>
        <v/>
      </c>
      <c r="AC9" s="43">
        <f>IF($BQ9=0,"",IF(MOD($BQ9,8)=7,IF($BQ9&gt;=8,"◇","◆"),IF(MOD($BQ9,8)=3,IF($BQ9&gt;=8,"▷","▶"),IF(MOD($BQ9,8)=5,IF($BQ9&gt;=8,"◁","◀"),IF($BQ9&gt;=8,"□","■")))))</f>
        <v/>
      </c>
      <c r="AD9" s="43">
        <f>IF($BR9=0,"",IF(MOD($BR9,8)=7,IF($BR9&gt;=8,"◇","◆"),IF(MOD($BR9,8)=3,IF($BR9&gt;=8,"▷","▶"),IF(MOD($BR9,8)=5,IF($BR9&gt;=8,"◁","◀"),IF($BR9&gt;=8,"□","■")))))</f>
        <v/>
      </c>
      <c r="AE9" s="43">
        <f>IF($BS9=0,"",IF(MOD($BS9,8)=7,IF($BS9&gt;=8,"◇","◆"),IF(MOD($BS9,8)=3,IF($BS9&gt;=8,"▷","▶"),IF(MOD($BS9,8)=5,IF($BS9&gt;=8,"◁","◀"),IF($BS9&gt;=8,"□","■")))))</f>
        <v/>
      </c>
      <c r="AF9" s="43">
        <f>IF($BT9=0,"",IF(MOD($BT9,8)=7,IF($BT9&gt;=8,"◇","◆"),IF(MOD($BT9,8)=3,IF($BT9&gt;=8,"▷","▶"),IF(MOD($BT9,8)=5,IF($BT9&gt;=8,"◁","◀"),IF($BT9&gt;=8,"□","■")))))</f>
        <v/>
      </c>
      <c r="AG9" s="44">
        <f>IF($A9="","",COUNTIF($AP9:$BT9,"&gt;0"))</f>
        <v/>
      </c>
      <c r="AP9">
        <f>IF(OR($A9="",B$4=""),0,SUMPRODUCT(('01_予約入力'!$G$5:$G$204&lt;&gt;"")*('01_予約入力'!$N$5:$N$204&lt;&gt;"キャンセル")*('01_予約入力'!$B$5:$B$204=$A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9">
        <f>IF(OR($A9="",C$4=""),0,SUMPRODUCT(('01_予約入力'!$G$5:$G$204&lt;&gt;"")*('01_予約入力'!$N$5:$N$204&lt;&gt;"キャンセル")*('01_予約入力'!$B$5:$B$204=$A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9">
        <f>IF(OR($A9="",D$4=""),0,SUMPRODUCT(('01_予約入力'!$G$5:$G$204&lt;&gt;"")*('01_予約入力'!$N$5:$N$204&lt;&gt;"キャンセル")*('01_予約入力'!$B$5:$B$204=$A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9">
        <f>IF(OR($A9="",E$4=""),0,SUMPRODUCT(('01_予約入力'!$G$5:$G$204&lt;&gt;"")*('01_予約入力'!$N$5:$N$204&lt;&gt;"キャンセル")*('01_予約入力'!$B$5:$B$204=$A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9">
        <f>IF(OR($A9="",F$4=""),0,SUMPRODUCT(('01_予約入力'!$G$5:$G$204&lt;&gt;"")*('01_予約入力'!$N$5:$N$204&lt;&gt;"キャンセル")*('01_予約入力'!$B$5:$B$204=$A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9">
        <f>IF(OR($A9="",G$4=""),0,SUMPRODUCT(('01_予約入力'!$G$5:$G$204&lt;&gt;"")*('01_予約入力'!$N$5:$N$204&lt;&gt;"キャンセル")*('01_予約入力'!$B$5:$B$204=$A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9">
        <f>IF(OR($A9="",H$4=""),0,SUMPRODUCT(('01_予約入力'!$G$5:$G$204&lt;&gt;"")*('01_予約入力'!$N$5:$N$204&lt;&gt;"キャンセル")*('01_予約入力'!$B$5:$B$204=$A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9">
        <f>IF(OR($A9="",I$4=""),0,SUMPRODUCT(('01_予約入力'!$G$5:$G$204&lt;&gt;"")*('01_予約入力'!$N$5:$N$204&lt;&gt;"キャンセル")*('01_予約入力'!$B$5:$B$204=$A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9">
        <f>IF(OR($A9="",J$4=""),0,SUMPRODUCT(('01_予約入力'!$G$5:$G$204&lt;&gt;"")*('01_予約入力'!$N$5:$N$204&lt;&gt;"キャンセル")*('01_予約入力'!$B$5:$B$204=$A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9">
        <f>IF(OR($A9="",K$4=""),0,SUMPRODUCT(('01_予約入力'!$G$5:$G$204&lt;&gt;"")*('01_予約入力'!$N$5:$N$204&lt;&gt;"キャンセル")*('01_予約入力'!$B$5:$B$204=$A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9">
        <f>IF(OR($A9="",L$4=""),0,SUMPRODUCT(('01_予約入力'!$G$5:$G$204&lt;&gt;"")*('01_予約入力'!$N$5:$N$204&lt;&gt;"キャンセル")*('01_予約入力'!$B$5:$B$204=$A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9">
        <f>IF(OR($A9="",M$4=""),0,SUMPRODUCT(('01_予約入力'!$G$5:$G$204&lt;&gt;"")*('01_予約入力'!$N$5:$N$204&lt;&gt;"キャンセル")*('01_予約入力'!$B$5:$B$204=$A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9">
        <f>IF(OR($A9="",N$4=""),0,SUMPRODUCT(('01_予約入力'!$G$5:$G$204&lt;&gt;"")*('01_予約入力'!$N$5:$N$204&lt;&gt;"キャンセル")*('01_予約入力'!$B$5:$B$204=$A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9">
        <f>IF(OR($A9="",O$4=""),0,SUMPRODUCT(('01_予約入力'!$G$5:$G$204&lt;&gt;"")*('01_予約入力'!$N$5:$N$204&lt;&gt;"キャンセル")*('01_予約入力'!$B$5:$B$204=$A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9">
        <f>IF(OR($A9="",P$4=""),0,SUMPRODUCT(('01_予約入力'!$G$5:$G$204&lt;&gt;"")*('01_予約入力'!$N$5:$N$204&lt;&gt;"キャンセル")*('01_予約入力'!$B$5:$B$204=$A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9">
        <f>IF(OR($A9="",Q$4=""),0,SUMPRODUCT(('01_予約入力'!$G$5:$G$204&lt;&gt;"")*('01_予約入力'!$N$5:$N$204&lt;&gt;"キャンセル")*('01_予約入力'!$B$5:$B$204=$A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9">
        <f>IF(OR($A9="",R$4=""),0,SUMPRODUCT(('01_予約入力'!$G$5:$G$204&lt;&gt;"")*('01_予約入力'!$N$5:$N$204&lt;&gt;"キャンセル")*('01_予約入力'!$B$5:$B$204=$A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9">
        <f>IF(OR($A9="",S$4=""),0,SUMPRODUCT(('01_予約入力'!$G$5:$G$204&lt;&gt;"")*('01_予約入力'!$N$5:$N$204&lt;&gt;"キャンセル")*('01_予約入力'!$B$5:$B$204=$A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9">
        <f>IF(OR($A9="",T$4=""),0,SUMPRODUCT(('01_予約入力'!$G$5:$G$204&lt;&gt;"")*('01_予約入力'!$N$5:$N$204&lt;&gt;"キャンセル")*('01_予約入力'!$B$5:$B$204=$A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9">
        <f>IF(OR($A9="",U$4=""),0,SUMPRODUCT(('01_予約入力'!$G$5:$G$204&lt;&gt;"")*('01_予約入力'!$N$5:$N$204&lt;&gt;"キャンセル")*('01_予約入力'!$B$5:$B$204=$A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9">
        <f>IF(OR($A9="",V$4=""),0,SUMPRODUCT(('01_予約入力'!$G$5:$G$204&lt;&gt;"")*('01_予約入力'!$N$5:$N$204&lt;&gt;"キャンセル")*('01_予約入力'!$B$5:$B$204=$A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9">
        <f>IF(OR($A9="",W$4=""),0,SUMPRODUCT(('01_予約入力'!$G$5:$G$204&lt;&gt;"")*('01_予約入力'!$N$5:$N$204&lt;&gt;"キャンセル")*('01_予約入力'!$B$5:$B$204=$A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9">
        <f>IF(OR($A9="",X$4=""),0,SUMPRODUCT(('01_予約入力'!$G$5:$G$204&lt;&gt;"")*('01_予約入力'!$N$5:$N$204&lt;&gt;"キャンセル")*('01_予約入力'!$B$5:$B$204=$A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9">
        <f>IF(OR($A9="",Y$4=""),0,SUMPRODUCT(('01_予約入力'!$G$5:$G$204&lt;&gt;"")*('01_予約入力'!$N$5:$N$204&lt;&gt;"キャンセル")*('01_予約入力'!$B$5:$B$204=$A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9">
        <f>IF(OR($A9="",Z$4=""),0,SUMPRODUCT(('01_予約入力'!$G$5:$G$204&lt;&gt;"")*('01_予約入力'!$N$5:$N$204&lt;&gt;"キャンセル")*('01_予約入力'!$B$5:$B$204=$A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9">
        <f>IF(OR($A9="",AA$4=""),0,SUMPRODUCT(('01_予約入力'!$G$5:$G$204&lt;&gt;"")*('01_予約入力'!$N$5:$N$204&lt;&gt;"キャンセル")*('01_予約入力'!$B$5:$B$204=$A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9">
        <f>IF(OR($A9="",AB$4=""),0,SUMPRODUCT(('01_予約入力'!$G$5:$G$204&lt;&gt;"")*('01_予約入力'!$N$5:$N$204&lt;&gt;"キャンセル")*('01_予約入力'!$B$5:$B$204=$A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9">
        <f>IF(OR($A9="",AC$4=""),0,SUMPRODUCT(('01_予約入力'!$G$5:$G$204&lt;&gt;"")*('01_予約入力'!$N$5:$N$204&lt;&gt;"キャンセル")*('01_予約入力'!$B$5:$B$204=$A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9">
        <f>IF(OR($A9="",AD$4=""),0,SUMPRODUCT(('01_予約入力'!$G$5:$G$204&lt;&gt;"")*('01_予約入力'!$N$5:$N$204&lt;&gt;"キャンセル")*('01_予約入力'!$B$5:$B$204=$A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9">
        <f>IF(OR($A9="",AE$4=""),0,SUMPRODUCT(('01_予約入力'!$G$5:$G$204&lt;&gt;"")*('01_予約入力'!$N$5:$N$204&lt;&gt;"キャンセル")*('01_予約入力'!$B$5:$B$204=$A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9">
        <f>IF(OR($A9="",AF$4=""),0,SUMPRODUCT(('01_予約入力'!$G$5:$G$204&lt;&gt;"")*('01_予約入力'!$N$5:$N$204&lt;&gt;"キャンセル")*('01_予約入力'!$B$5:$B$204=$A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0" ht="19" customHeight="1">
      <c r="A10" s="42">
        <f>IF(COUNTA('利用者マスタ'!$A$4:$A$60)&gt;=4,INDEX('利用者マスタ'!$A$4:$A$60,4),"")</f>
        <v/>
      </c>
      <c r="B10" s="43">
        <f>IF($AP10=0,"",IF(MOD($AP10,8)=7,IF($AP10&gt;=8,"◇","◆"),IF(MOD($AP10,8)=3,IF($AP10&gt;=8,"▷","▶"),IF(MOD($AP10,8)=5,IF($AP10&gt;=8,"◁","◀"),IF($AP10&gt;=8,"□","■")))))</f>
        <v/>
      </c>
      <c r="C10" s="43">
        <f>IF($AQ10=0,"",IF(MOD($AQ10,8)=7,IF($AQ10&gt;=8,"◇","◆"),IF(MOD($AQ10,8)=3,IF($AQ10&gt;=8,"▷","▶"),IF(MOD($AQ10,8)=5,IF($AQ10&gt;=8,"◁","◀"),IF($AQ10&gt;=8,"□","■")))))</f>
        <v/>
      </c>
      <c r="D10" s="43">
        <f>IF($AR10=0,"",IF(MOD($AR10,8)=7,IF($AR10&gt;=8,"◇","◆"),IF(MOD($AR10,8)=3,IF($AR10&gt;=8,"▷","▶"),IF(MOD($AR10,8)=5,IF($AR10&gt;=8,"◁","◀"),IF($AR10&gt;=8,"□","■")))))</f>
        <v/>
      </c>
      <c r="E10" s="43">
        <f>IF($AS10=0,"",IF(MOD($AS10,8)=7,IF($AS10&gt;=8,"◇","◆"),IF(MOD($AS10,8)=3,IF($AS10&gt;=8,"▷","▶"),IF(MOD($AS10,8)=5,IF($AS10&gt;=8,"◁","◀"),IF($AS10&gt;=8,"□","■")))))</f>
        <v/>
      </c>
      <c r="F10" s="43">
        <f>IF($AT10=0,"",IF(MOD($AT10,8)=7,IF($AT10&gt;=8,"◇","◆"),IF(MOD($AT10,8)=3,IF($AT10&gt;=8,"▷","▶"),IF(MOD($AT10,8)=5,IF($AT10&gt;=8,"◁","◀"),IF($AT10&gt;=8,"□","■")))))</f>
        <v/>
      </c>
      <c r="G10" s="43">
        <f>IF($AU10=0,"",IF(MOD($AU10,8)=7,IF($AU10&gt;=8,"◇","◆"),IF(MOD($AU10,8)=3,IF($AU10&gt;=8,"▷","▶"),IF(MOD($AU10,8)=5,IF($AU10&gt;=8,"◁","◀"),IF($AU10&gt;=8,"□","■")))))</f>
        <v/>
      </c>
      <c r="H10" s="43">
        <f>IF($AV10=0,"",IF(MOD($AV10,8)=7,IF($AV10&gt;=8,"◇","◆"),IF(MOD($AV10,8)=3,IF($AV10&gt;=8,"▷","▶"),IF(MOD($AV10,8)=5,IF($AV10&gt;=8,"◁","◀"),IF($AV10&gt;=8,"□","■")))))</f>
        <v/>
      </c>
      <c r="I10" s="43">
        <f>IF($AW10=0,"",IF(MOD($AW10,8)=7,IF($AW10&gt;=8,"◇","◆"),IF(MOD($AW10,8)=3,IF($AW10&gt;=8,"▷","▶"),IF(MOD($AW10,8)=5,IF($AW10&gt;=8,"◁","◀"),IF($AW10&gt;=8,"□","■")))))</f>
        <v/>
      </c>
      <c r="J10" s="43">
        <f>IF($AX10=0,"",IF(MOD($AX10,8)=7,IF($AX10&gt;=8,"◇","◆"),IF(MOD($AX10,8)=3,IF($AX10&gt;=8,"▷","▶"),IF(MOD($AX10,8)=5,IF($AX10&gt;=8,"◁","◀"),IF($AX10&gt;=8,"□","■")))))</f>
        <v/>
      </c>
      <c r="K10" s="43">
        <f>IF($AY10=0,"",IF(MOD($AY10,8)=7,IF($AY10&gt;=8,"◇","◆"),IF(MOD($AY10,8)=3,IF($AY10&gt;=8,"▷","▶"),IF(MOD($AY10,8)=5,IF($AY10&gt;=8,"◁","◀"),IF($AY10&gt;=8,"□","■")))))</f>
        <v/>
      </c>
      <c r="L10" s="43">
        <f>IF($AZ10=0,"",IF(MOD($AZ10,8)=7,IF($AZ10&gt;=8,"◇","◆"),IF(MOD($AZ10,8)=3,IF($AZ10&gt;=8,"▷","▶"),IF(MOD($AZ10,8)=5,IF($AZ10&gt;=8,"◁","◀"),IF($AZ10&gt;=8,"□","■")))))</f>
        <v/>
      </c>
      <c r="M10" s="43">
        <f>IF($BA10=0,"",IF(MOD($BA10,8)=7,IF($BA10&gt;=8,"◇","◆"),IF(MOD($BA10,8)=3,IF($BA10&gt;=8,"▷","▶"),IF(MOD($BA10,8)=5,IF($BA10&gt;=8,"◁","◀"),IF($BA10&gt;=8,"□","■")))))</f>
        <v/>
      </c>
      <c r="N10" s="43">
        <f>IF($BB10=0,"",IF(MOD($BB10,8)=7,IF($BB10&gt;=8,"◇","◆"),IF(MOD($BB10,8)=3,IF($BB10&gt;=8,"▷","▶"),IF(MOD($BB10,8)=5,IF($BB10&gt;=8,"◁","◀"),IF($BB10&gt;=8,"□","■")))))</f>
        <v/>
      </c>
      <c r="O10" s="43">
        <f>IF($BC10=0,"",IF(MOD($BC10,8)=7,IF($BC10&gt;=8,"◇","◆"),IF(MOD($BC10,8)=3,IF($BC10&gt;=8,"▷","▶"),IF(MOD($BC10,8)=5,IF($BC10&gt;=8,"◁","◀"),IF($BC10&gt;=8,"□","■")))))</f>
        <v/>
      </c>
      <c r="P10" s="43">
        <f>IF($BD10=0,"",IF(MOD($BD10,8)=7,IF($BD10&gt;=8,"◇","◆"),IF(MOD($BD10,8)=3,IF($BD10&gt;=8,"▷","▶"),IF(MOD($BD10,8)=5,IF($BD10&gt;=8,"◁","◀"),IF($BD10&gt;=8,"□","■")))))</f>
        <v/>
      </c>
      <c r="Q10" s="43">
        <f>IF($BE10=0,"",IF(MOD($BE10,8)=7,IF($BE10&gt;=8,"◇","◆"),IF(MOD($BE10,8)=3,IF($BE10&gt;=8,"▷","▶"),IF(MOD($BE10,8)=5,IF($BE10&gt;=8,"◁","◀"),IF($BE10&gt;=8,"□","■")))))</f>
        <v/>
      </c>
      <c r="R10" s="43">
        <f>IF($BF10=0,"",IF(MOD($BF10,8)=7,IF($BF10&gt;=8,"◇","◆"),IF(MOD($BF10,8)=3,IF($BF10&gt;=8,"▷","▶"),IF(MOD($BF10,8)=5,IF($BF10&gt;=8,"◁","◀"),IF($BF10&gt;=8,"□","■")))))</f>
        <v/>
      </c>
      <c r="S10" s="43">
        <f>IF($BG10=0,"",IF(MOD($BG10,8)=7,IF($BG10&gt;=8,"◇","◆"),IF(MOD($BG10,8)=3,IF($BG10&gt;=8,"▷","▶"),IF(MOD($BG10,8)=5,IF($BG10&gt;=8,"◁","◀"),IF($BG10&gt;=8,"□","■")))))</f>
        <v/>
      </c>
      <c r="T10" s="43">
        <f>IF($BH10=0,"",IF(MOD($BH10,8)=7,IF($BH10&gt;=8,"◇","◆"),IF(MOD($BH10,8)=3,IF($BH10&gt;=8,"▷","▶"),IF(MOD($BH10,8)=5,IF($BH10&gt;=8,"◁","◀"),IF($BH10&gt;=8,"□","■")))))</f>
        <v/>
      </c>
      <c r="U10" s="43">
        <f>IF($BI10=0,"",IF(MOD($BI10,8)=7,IF($BI10&gt;=8,"◇","◆"),IF(MOD($BI10,8)=3,IF($BI10&gt;=8,"▷","▶"),IF(MOD($BI10,8)=5,IF($BI10&gt;=8,"◁","◀"),IF($BI10&gt;=8,"□","■")))))</f>
        <v/>
      </c>
      <c r="V10" s="43">
        <f>IF($BJ10=0,"",IF(MOD($BJ10,8)=7,IF($BJ10&gt;=8,"◇","◆"),IF(MOD($BJ10,8)=3,IF($BJ10&gt;=8,"▷","▶"),IF(MOD($BJ10,8)=5,IF($BJ10&gt;=8,"◁","◀"),IF($BJ10&gt;=8,"□","■")))))</f>
        <v/>
      </c>
      <c r="W10" s="43">
        <f>IF($BK10=0,"",IF(MOD($BK10,8)=7,IF($BK10&gt;=8,"◇","◆"),IF(MOD($BK10,8)=3,IF($BK10&gt;=8,"▷","▶"),IF(MOD($BK10,8)=5,IF($BK10&gt;=8,"◁","◀"),IF($BK10&gt;=8,"□","■")))))</f>
        <v/>
      </c>
      <c r="X10" s="43">
        <f>IF($BL10=0,"",IF(MOD($BL10,8)=7,IF($BL10&gt;=8,"◇","◆"),IF(MOD($BL10,8)=3,IF($BL10&gt;=8,"▷","▶"),IF(MOD($BL10,8)=5,IF($BL10&gt;=8,"◁","◀"),IF($BL10&gt;=8,"□","■")))))</f>
        <v/>
      </c>
      <c r="Y10" s="43">
        <f>IF($BM10=0,"",IF(MOD($BM10,8)=7,IF($BM10&gt;=8,"◇","◆"),IF(MOD($BM10,8)=3,IF($BM10&gt;=8,"▷","▶"),IF(MOD($BM10,8)=5,IF($BM10&gt;=8,"◁","◀"),IF($BM10&gt;=8,"□","■")))))</f>
        <v/>
      </c>
      <c r="Z10" s="43">
        <f>IF($BN10=0,"",IF(MOD($BN10,8)=7,IF($BN10&gt;=8,"◇","◆"),IF(MOD($BN10,8)=3,IF($BN10&gt;=8,"▷","▶"),IF(MOD($BN10,8)=5,IF($BN10&gt;=8,"◁","◀"),IF($BN10&gt;=8,"□","■")))))</f>
        <v/>
      </c>
      <c r="AA10" s="43">
        <f>IF($BO10=0,"",IF(MOD($BO10,8)=7,IF($BO10&gt;=8,"◇","◆"),IF(MOD($BO10,8)=3,IF($BO10&gt;=8,"▷","▶"),IF(MOD($BO10,8)=5,IF($BO10&gt;=8,"◁","◀"),IF($BO10&gt;=8,"□","■")))))</f>
        <v/>
      </c>
      <c r="AB10" s="43">
        <f>IF($BP10=0,"",IF(MOD($BP10,8)=7,IF($BP10&gt;=8,"◇","◆"),IF(MOD($BP10,8)=3,IF($BP10&gt;=8,"▷","▶"),IF(MOD($BP10,8)=5,IF($BP10&gt;=8,"◁","◀"),IF($BP10&gt;=8,"□","■")))))</f>
        <v/>
      </c>
      <c r="AC10" s="43">
        <f>IF($BQ10=0,"",IF(MOD($BQ10,8)=7,IF($BQ10&gt;=8,"◇","◆"),IF(MOD($BQ10,8)=3,IF($BQ10&gt;=8,"▷","▶"),IF(MOD($BQ10,8)=5,IF($BQ10&gt;=8,"◁","◀"),IF($BQ10&gt;=8,"□","■")))))</f>
        <v/>
      </c>
      <c r="AD10" s="43">
        <f>IF($BR10=0,"",IF(MOD($BR10,8)=7,IF($BR10&gt;=8,"◇","◆"),IF(MOD($BR10,8)=3,IF($BR10&gt;=8,"▷","▶"),IF(MOD($BR10,8)=5,IF($BR10&gt;=8,"◁","◀"),IF($BR10&gt;=8,"□","■")))))</f>
        <v/>
      </c>
      <c r="AE10" s="43">
        <f>IF($BS10=0,"",IF(MOD($BS10,8)=7,IF($BS10&gt;=8,"◇","◆"),IF(MOD($BS10,8)=3,IF($BS10&gt;=8,"▷","▶"),IF(MOD($BS10,8)=5,IF($BS10&gt;=8,"◁","◀"),IF($BS10&gt;=8,"□","■")))))</f>
        <v/>
      </c>
      <c r="AF10" s="43">
        <f>IF($BT10=0,"",IF(MOD($BT10,8)=7,IF($BT10&gt;=8,"◇","◆"),IF(MOD($BT10,8)=3,IF($BT10&gt;=8,"▷","▶"),IF(MOD($BT10,8)=5,IF($BT10&gt;=8,"◁","◀"),IF($BT10&gt;=8,"□","■")))))</f>
        <v/>
      </c>
      <c r="AG10" s="44">
        <f>IF($A10="","",COUNTIF($AP10:$BT10,"&gt;0"))</f>
        <v/>
      </c>
      <c r="AP10">
        <f>IF(OR($A10="",B$4=""),0,SUMPRODUCT(('01_予約入力'!$G$5:$G$204&lt;&gt;"")*('01_予約入力'!$N$5:$N$204&lt;&gt;"キャンセル")*('01_予約入力'!$B$5:$B$204=$A10)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0">
        <f>IF(OR($A10="",C$4=""),0,SUMPRODUCT(('01_予約入力'!$G$5:$G$204&lt;&gt;"")*('01_予約入力'!$N$5:$N$204&lt;&gt;"キャンセル")*('01_予約入力'!$B$5:$B$204=$A10)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0">
        <f>IF(OR($A10="",D$4=""),0,SUMPRODUCT(('01_予約入力'!$G$5:$G$204&lt;&gt;"")*('01_予約入力'!$N$5:$N$204&lt;&gt;"キャンセル")*('01_予約入力'!$B$5:$B$204=$A10)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0">
        <f>IF(OR($A10="",E$4=""),0,SUMPRODUCT(('01_予約入力'!$G$5:$G$204&lt;&gt;"")*('01_予約入力'!$N$5:$N$204&lt;&gt;"キャンセル")*('01_予約入力'!$B$5:$B$204=$A10)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0">
        <f>IF(OR($A10="",F$4=""),0,SUMPRODUCT(('01_予約入力'!$G$5:$G$204&lt;&gt;"")*('01_予約入力'!$N$5:$N$204&lt;&gt;"キャンセル")*('01_予約入力'!$B$5:$B$204=$A10)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0">
        <f>IF(OR($A10="",G$4=""),0,SUMPRODUCT(('01_予約入力'!$G$5:$G$204&lt;&gt;"")*('01_予約入力'!$N$5:$N$204&lt;&gt;"キャンセル")*('01_予約入力'!$B$5:$B$204=$A10)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0">
        <f>IF(OR($A10="",H$4=""),0,SUMPRODUCT(('01_予約入力'!$G$5:$G$204&lt;&gt;"")*('01_予約入力'!$N$5:$N$204&lt;&gt;"キャンセル")*('01_予約入力'!$B$5:$B$204=$A10)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0">
        <f>IF(OR($A10="",I$4=""),0,SUMPRODUCT(('01_予約入力'!$G$5:$G$204&lt;&gt;"")*('01_予約入力'!$N$5:$N$204&lt;&gt;"キャンセル")*('01_予約入力'!$B$5:$B$204=$A10)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0">
        <f>IF(OR($A10="",J$4=""),0,SUMPRODUCT(('01_予約入力'!$G$5:$G$204&lt;&gt;"")*('01_予約入力'!$N$5:$N$204&lt;&gt;"キャンセル")*('01_予約入力'!$B$5:$B$204=$A10)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0">
        <f>IF(OR($A10="",K$4=""),0,SUMPRODUCT(('01_予約入力'!$G$5:$G$204&lt;&gt;"")*('01_予約入力'!$N$5:$N$204&lt;&gt;"キャンセル")*('01_予約入力'!$B$5:$B$204=$A10)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0">
        <f>IF(OR($A10="",L$4=""),0,SUMPRODUCT(('01_予約入力'!$G$5:$G$204&lt;&gt;"")*('01_予約入力'!$N$5:$N$204&lt;&gt;"キャンセル")*('01_予約入力'!$B$5:$B$204=$A10)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0">
        <f>IF(OR($A10="",M$4=""),0,SUMPRODUCT(('01_予約入力'!$G$5:$G$204&lt;&gt;"")*('01_予約入力'!$N$5:$N$204&lt;&gt;"キャンセル")*('01_予約入力'!$B$5:$B$204=$A10)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0">
        <f>IF(OR($A10="",N$4=""),0,SUMPRODUCT(('01_予約入力'!$G$5:$G$204&lt;&gt;"")*('01_予約入力'!$N$5:$N$204&lt;&gt;"キャンセル")*('01_予約入力'!$B$5:$B$204=$A10)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0">
        <f>IF(OR($A10="",O$4=""),0,SUMPRODUCT(('01_予約入力'!$G$5:$G$204&lt;&gt;"")*('01_予約入力'!$N$5:$N$204&lt;&gt;"キャンセル")*('01_予約入力'!$B$5:$B$204=$A10)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0">
        <f>IF(OR($A10="",P$4=""),0,SUMPRODUCT(('01_予約入力'!$G$5:$G$204&lt;&gt;"")*('01_予約入力'!$N$5:$N$204&lt;&gt;"キャンセル")*('01_予約入力'!$B$5:$B$204=$A10)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0">
        <f>IF(OR($A10="",Q$4=""),0,SUMPRODUCT(('01_予約入力'!$G$5:$G$204&lt;&gt;"")*('01_予約入力'!$N$5:$N$204&lt;&gt;"キャンセル")*('01_予約入力'!$B$5:$B$204=$A10)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0">
        <f>IF(OR($A10="",R$4=""),0,SUMPRODUCT(('01_予約入力'!$G$5:$G$204&lt;&gt;"")*('01_予約入力'!$N$5:$N$204&lt;&gt;"キャンセル")*('01_予約入力'!$B$5:$B$204=$A10)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0">
        <f>IF(OR($A10="",S$4=""),0,SUMPRODUCT(('01_予約入力'!$G$5:$G$204&lt;&gt;"")*('01_予約入力'!$N$5:$N$204&lt;&gt;"キャンセル")*('01_予約入力'!$B$5:$B$204=$A10)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0">
        <f>IF(OR($A10="",T$4=""),0,SUMPRODUCT(('01_予約入力'!$G$5:$G$204&lt;&gt;"")*('01_予約入力'!$N$5:$N$204&lt;&gt;"キャンセル")*('01_予約入力'!$B$5:$B$204=$A10)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0">
        <f>IF(OR($A10="",U$4=""),0,SUMPRODUCT(('01_予約入力'!$G$5:$G$204&lt;&gt;"")*('01_予約入力'!$N$5:$N$204&lt;&gt;"キャンセル")*('01_予約入力'!$B$5:$B$204=$A10)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0">
        <f>IF(OR($A10="",V$4=""),0,SUMPRODUCT(('01_予約入力'!$G$5:$G$204&lt;&gt;"")*('01_予約入力'!$N$5:$N$204&lt;&gt;"キャンセル")*('01_予約入力'!$B$5:$B$204=$A10)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0">
        <f>IF(OR($A10="",W$4=""),0,SUMPRODUCT(('01_予約入力'!$G$5:$G$204&lt;&gt;"")*('01_予約入力'!$N$5:$N$204&lt;&gt;"キャンセル")*('01_予約入力'!$B$5:$B$204=$A10)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0">
        <f>IF(OR($A10="",X$4=""),0,SUMPRODUCT(('01_予約入力'!$G$5:$G$204&lt;&gt;"")*('01_予約入力'!$N$5:$N$204&lt;&gt;"キャンセル")*('01_予約入力'!$B$5:$B$204=$A10)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0">
        <f>IF(OR($A10="",Y$4=""),0,SUMPRODUCT(('01_予約入力'!$G$5:$G$204&lt;&gt;"")*('01_予約入力'!$N$5:$N$204&lt;&gt;"キャンセル")*('01_予約入力'!$B$5:$B$204=$A10)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0">
        <f>IF(OR($A10="",Z$4=""),0,SUMPRODUCT(('01_予約入力'!$G$5:$G$204&lt;&gt;"")*('01_予約入力'!$N$5:$N$204&lt;&gt;"キャンセル")*('01_予約入力'!$B$5:$B$204=$A10)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0">
        <f>IF(OR($A10="",AA$4=""),0,SUMPRODUCT(('01_予約入力'!$G$5:$G$204&lt;&gt;"")*('01_予約入力'!$N$5:$N$204&lt;&gt;"キャンセル")*('01_予約入力'!$B$5:$B$204=$A10)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0">
        <f>IF(OR($A10="",AB$4=""),0,SUMPRODUCT(('01_予約入力'!$G$5:$G$204&lt;&gt;"")*('01_予約入力'!$N$5:$N$204&lt;&gt;"キャンセル")*('01_予約入力'!$B$5:$B$204=$A10)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0">
        <f>IF(OR($A10="",AC$4=""),0,SUMPRODUCT(('01_予約入力'!$G$5:$G$204&lt;&gt;"")*('01_予約入力'!$N$5:$N$204&lt;&gt;"キャンセル")*('01_予約入力'!$B$5:$B$204=$A10)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0">
        <f>IF(OR($A10="",AD$4=""),0,SUMPRODUCT(('01_予約入力'!$G$5:$G$204&lt;&gt;"")*('01_予約入力'!$N$5:$N$204&lt;&gt;"キャンセル")*('01_予約入力'!$B$5:$B$204=$A10)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0">
        <f>IF(OR($A10="",AE$4=""),0,SUMPRODUCT(('01_予約入力'!$G$5:$G$204&lt;&gt;"")*('01_予約入力'!$N$5:$N$204&lt;&gt;"キャンセル")*('01_予約入力'!$B$5:$B$204=$A10)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0">
        <f>IF(OR($A10="",AF$4=""),0,SUMPRODUCT(('01_予約入力'!$G$5:$G$204&lt;&gt;"")*('01_予約入力'!$N$5:$N$204&lt;&gt;"キャンセル")*('01_予約入力'!$B$5:$B$204=$A10)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1" ht="19" customHeight="1">
      <c r="A11" s="42">
        <f>IF(COUNTA('利用者マスタ'!$A$4:$A$60)&gt;=5,INDEX('利用者マスタ'!$A$4:$A$60,5),"")</f>
        <v/>
      </c>
      <c r="B11" s="43">
        <f>IF($AP11=0,"",IF(MOD($AP11,8)=7,IF($AP11&gt;=8,"◇","◆"),IF(MOD($AP11,8)=3,IF($AP11&gt;=8,"▷","▶"),IF(MOD($AP11,8)=5,IF($AP11&gt;=8,"◁","◀"),IF($AP11&gt;=8,"□","■")))))</f>
        <v/>
      </c>
      <c r="C11" s="43">
        <f>IF($AQ11=0,"",IF(MOD($AQ11,8)=7,IF($AQ11&gt;=8,"◇","◆"),IF(MOD($AQ11,8)=3,IF($AQ11&gt;=8,"▷","▶"),IF(MOD($AQ11,8)=5,IF($AQ11&gt;=8,"◁","◀"),IF($AQ11&gt;=8,"□","■")))))</f>
        <v/>
      </c>
      <c r="D11" s="43">
        <f>IF($AR11=0,"",IF(MOD($AR11,8)=7,IF($AR11&gt;=8,"◇","◆"),IF(MOD($AR11,8)=3,IF($AR11&gt;=8,"▷","▶"),IF(MOD($AR11,8)=5,IF($AR11&gt;=8,"◁","◀"),IF($AR11&gt;=8,"□","■")))))</f>
        <v/>
      </c>
      <c r="E11" s="43">
        <f>IF($AS11=0,"",IF(MOD($AS11,8)=7,IF($AS11&gt;=8,"◇","◆"),IF(MOD($AS11,8)=3,IF($AS11&gt;=8,"▷","▶"),IF(MOD($AS11,8)=5,IF($AS11&gt;=8,"◁","◀"),IF($AS11&gt;=8,"□","■")))))</f>
        <v/>
      </c>
      <c r="F11" s="43">
        <f>IF($AT11=0,"",IF(MOD($AT11,8)=7,IF($AT11&gt;=8,"◇","◆"),IF(MOD($AT11,8)=3,IF($AT11&gt;=8,"▷","▶"),IF(MOD($AT11,8)=5,IF($AT11&gt;=8,"◁","◀"),IF($AT11&gt;=8,"□","■")))))</f>
        <v/>
      </c>
      <c r="G11" s="43">
        <f>IF($AU11=0,"",IF(MOD($AU11,8)=7,IF($AU11&gt;=8,"◇","◆"),IF(MOD($AU11,8)=3,IF($AU11&gt;=8,"▷","▶"),IF(MOD($AU11,8)=5,IF($AU11&gt;=8,"◁","◀"),IF($AU11&gt;=8,"□","■")))))</f>
        <v/>
      </c>
      <c r="H11" s="43">
        <f>IF($AV11=0,"",IF(MOD($AV11,8)=7,IF($AV11&gt;=8,"◇","◆"),IF(MOD($AV11,8)=3,IF($AV11&gt;=8,"▷","▶"),IF(MOD($AV11,8)=5,IF($AV11&gt;=8,"◁","◀"),IF($AV11&gt;=8,"□","■")))))</f>
        <v/>
      </c>
      <c r="I11" s="43">
        <f>IF($AW11=0,"",IF(MOD($AW11,8)=7,IF($AW11&gt;=8,"◇","◆"),IF(MOD($AW11,8)=3,IF($AW11&gt;=8,"▷","▶"),IF(MOD($AW11,8)=5,IF($AW11&gt;=8,"◁","◀"),IF($AW11&gt;=8,"□","■")))))</f>
        <v/>
      </c>
      <c r="J11" s="43">
        <f>IF($AX11=0,"",IF(MOD($AX11,8)=7,IF($AX11&gt;=8,"◇","◆"),IF(MOD($AX11,8)=3,IF($AX11&gt;=8,"▷","▶"),IF(MOD($AX11,8)=5,IF($AX11&gt;=8,"◁","◀"),IF($AX11&gt;=8,"□","■")))))</f>
        <v/>
      </c>
      <c r="K11" s="43">
        <f>IF($AY11=0,"",IF(MOD($AY11,8)=7,IF($AY11&gt;=8,"◇","◆"),IF(MOD($AY11,8)=3,IF($AY11&gt;=8,"▷","▶"),IF(MOD($AY11,8)=5,IF($AY11&gt;=8,"◁","◀"),IF($AY11&gt;=8,"□","■")))))</f>
        <v/>
      </c>
      <c r="L11" s="43">
        <f>IF($AZ11=0,"",IF(MOD($AZ11,8)=7,IF($AZ11&gt;=8,"◇","◆"),IF(MOD($AZ11,8)=3,IF($AZ11&gt;=8,"▷","▶"),IF(MOD($AZ11,8)=5,IF($AZ11&gt;=8,"◁","◀"),IF($AZ11&gt;=8,"□","■")))))</f>
        <v/>
      </c>
      <c r="M11" s="43">
        <f>IF($BA11=0,"",IF(MOD($BA11,8)=7,IF($BA11&gt;=8,"◇","◆"),IF(MOD($BA11,8)=3,IF($BA11&gt;=8,"▷","▶"),IF(MOD($BA11,8)=5,IF($BA11&gt;=8,"◁","◀"),IF($BA11&gt;=8,"□","■")))))</f>
        <v/>
      </c>
      <c r="N11" s="43">
        <f>IF($BB11=0,"",IF(MOD($BB11,8)=7,IF($BB11&gt;=8,"◇","◆"),IF(MOD($BB11,8)=3,IF($BB11&gt;=8,"▷","▶"),IF(MOD($BB11,8)=5,IF($BB11&gt;=8,"◁","◀"),IF($BB11&gt;=8,"□","■")))))</f>
        <v/>
      </c>
      <c r="O11" s="43">
        <f>IF($BC11=0,"",IF(MOD($BC11,8)=7,IF($BC11&gt;=8,"◇","◆"),IF(MOD($BC11,8)=3,IF($BC11&gt;=8,"▷","▶"),IF(MOD($BC11,8)=5,IF($BC11&gt;=8,"◁","◀"),IF($BC11&gt;=8,"□","■")))))</f>
        <v/>
      </c>
      <c r="P11" s="43">
        <f>IF($BD11=0,"",IF(MOD($BD11,8)=7,IF($BD11&gt;=8,"◇","◆"),IF(MOD($BD11,8)=3,IF($BD11&gt;=8,"▷","▶"),IF(MOD($BD11,8)=5,IF($BD11&gt;=8,"◁","◀"),IF($BD11&gt;=8,"□","■")))))</f>
        <v/>
      </c>
      <c r="Q11" s="43">
        <f>IF($BE11=0,"",IF(MOD($BE11,8)=7,IF($BE11&gt;=8,"◇","◆"),IF(MOD($BE11,8)=3,IF($BE11&gt;=8,"▷","▶"),IF(MOD($BE11,8)=5,IF($BE11&gt;=8,"◁","◀"),IF($BE11&gt;=8,"□","■")))))</f>
        <v/>
      </c>
      <c r="R11" s="43">
        <f>IF($BF11=0,"",IF(MOD($BF11,8)=7,IF($BF11&gt;=8,"◇","◆"),IF(MOD($BF11,8)=3,IF($BF11&gt;=8,"▷","▶"),IF(MOD($BF11,8)=5,IF($BF11&gt;=8,"◁","◀"),IF($BF11&gt;=8,"□","■")))))</f>
        <v/>
      </c>
      <c r="S11" s="43">
        <f>IF($BG11=0,"",IF(MOD($BG11,8)=7,IF($BG11&gt;=8,"◇","◆"),IF(MOD($BG11,8)=3,IF($BG11&gt;=8,"▷","▶"),IF(MOD($BG11,8)=5,IF($BG11&gt;=8,"◁","◀"),IF($BG11&gt;=8,"□","■")))))</f>
        <v/>
      </c>
      <c r="T11" s="43">
        <f>IF($BH11=0,"",IF(MOD($BH11,8)=7,IF($BH11&gt;=8,"◇","◆"),IF(MOD($BH11,8)=3,IF($BH11&gt;=8,"▷","▶"),IF(MOD($BH11,8)=5,IF($BH11&gt;=8,"◁","◀"),IF($BH11&gt;=8,"□","■")))))</f>
        <v/>
      </c>
      <c r="U11" s="43">
        <f>IF($BI11=0,"",IF(MOD($BI11,8)=7,IF($BI11&gt;=8,"◇","◆"),IF(MOD($BI11,8)=3,IF($BI11&gt;=8,"▷","▶"),IF(MOD($BI11,8)=5,IF($BI11&gt;=8,"◁","◀"),IF($BI11&gt;=8,"□","■")))))</f>
        <v/>
      </c>
      <c r="V11" s="43">
        <f>IF($BJ11=0,"",IF(MOD($BJ11,8)=7,IF($BJ11&gt;=8,"◇","◆"),IF(MOD($BJ11,8)=3,IF($BJ11&gt;=8,"▷","▶"),IF(MOD($BJ11,8)=5,IF($BJ11&gt;=8,"◁","◀"),IF($BJ11&gt;=8,"□","■")))))</f>
        <v/>
      </c>
      <c r="W11" s="43">
        <f>IF($BK11=0,"",IF(MOD($BK11,8)=7,IF($BK11&gt;=8,"◇","◆"),IF(MOD($BK11,8)=3,IF($BK11&gt;=8,"▷","▶"),IF(MOD($BK11,8)=5,IF($BK11&gt;=8,"◁","◀"),IF($BK11&gt;=8,"□","■")))))</f>
        <v/>
      </c>
      <c r="X11" s="43">
        <f>IF($BL11=0,"",IF(MOD($BL11,8)=7,IF($BL11&gt;=8,"◇","◆"),IF(MOD($BL11,8)=3,IF($BL11&gt;=8,"▷","▶"),IF(MOD($BL11,8)=5,IF($BL11&gt;=8,"◁","◀"),IF($BL11&gt;=8,"□","■")))))</f>
        <v/>
      </c>
      <c r="Y11" s="43">
        <f>IF($BM11=0,"",IF(MOD($BM11,8)=7,IF($BM11&gt;=8,"◇","◆"),IF(MOD($BM11,8)=3,IF($BM11&gt;=8,"▷","▶"),IF(MOD($BM11,8)=5,IF($BM11&gt;=8,"◁","◀"),IF($BM11&gt;=8,"□","■")))))</f>
        <v/>
      </c>
      <c r="Z11" s="43">
        <f>IF($BN11=0,"",IF(MOD($BN11,8)=7,IF($BN11&gt;=8,"◇","◆"),IF(MOD($BN11,8)=3,IF($BN11&gt;=8,"▷","▶"),IF(MOD($BN11,8)=5,IF($BN11&gt;=8,"◁","◀"),IF($BN11&gt;=8,"□","■")))))</f>
        <v/>
      </c>
      <c r="AA11" s="43">
        <f>IF($BO11=0,"",IF(MOD($BO11,8)=7,IF($BO11&gt;=8,"◇","◆"),IF(MOD($BO11,8)=3,IF($BO11&gt;=8,"▷","▶"),IF(MOD($BO11,8)=5,IF($BO11&gt;=8,"◁","◀"),IF($BO11&gt;=8,"□","■")))))</f>
        <v/>
      </c>
      <c r="AB11" s="43">
        <f>IF($BP11=0,"",IF(MOD($BP11,8)=7,IF($BP11&gt;=8,"◇","◆"),IF(MOD($BP11,8)=3,IF($BP11&gt;=8,"▷","▶"),IF(MOD($BP11,8)=5,IF($BP11&gt;=8,"◁","◀"),IF($BP11&gt;=8,"□","■")))))</f>
        <v/>
      </c>
      <c r="AC11" s="43">
        <f>IF($BQ11=0,"",IF(MOD($BQ11,8)=7,IF($BQ11&gt;=8,"◇","◆"),IF(MOD($BQ11,8)=3,IF($BQ11&gt;=8,"▷","▶"),IF(MOD($BQ11,8)=5,IF($BQ11&gt;=8,"◁","◀"),IF($BQ11&gt;=8,"□","■")))))</f>
        <v/>
      </c>
      <c r="AD11" s="43">
        <f>IF($BR11=0,"",IF(MOD($BR11,8)=7,IF($BR11&gt;=8,"◇","◆"),IF(MOD($BR11,8)=3,IF($BR11&gt;=8,"▷","▶"),IF(MOD($BR11,8)=5,IF($BR11&gt;=8,"◁","◀"),IF($BR11&gt;=8,"□","■")))))</f>
        <v/>
      </c>
      <c r="AE11" s="43">
        <f>IF($BS11=0,"",IF(MOD($BS11,8)=7,IF($BS11&gt;=8,"◇","◆"),IF(MOD($BS11,8)=3,IF($BS11&gt;=8,"▷","▶"),IF(MOD($BS11,8)=5,IF($BS11&gt;=8,"◁","◀"),IF($BS11&gt;=8,"□","■")))))</f>
        <v/>
      </c>
      <c r="AF11" s="43">
        <f>IF($BT11=0,"",IF(MOD($BT11,8)=7,IF($BT11&gt;=8,"◇","◆"),IF(MOD($BT11,8)=3,IF($BT11&gt;=8,"▷","▶"),IF(MOD($BT11,8)=5,IF($BT11&gt;=8,"◁","◀"),IF($BT11&gt;=8,"□","■")))))</f>
        <v/>
      </c>
      <c r="AG11" s="44">
        <f>IF($A11="","",COUNTIF($AP11:$BT11,"&gt;0"))</f>
        <v/>
      </c>
      <c r="AP11">
        <f>IF(OR($A11="",B$4=""),0,SUMPRODUCT(('01_予約入力'!$G$5:$G$204&lt;&gt;"")*('01_予約入力'!$N$5:$N$204&lt;&gt;"キャンセル")*('01_予約入力'!$B$5:$B$204=$A11)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1">
        <f>IF(OR($A11="",C$4=""),0,SUMPRODUCT(('01_予約入力'!$G$5:$G$204&lt;&gt;"")*('01_予約入力'!$N$5:$N$204&lt;&gt;"キャンセル")*('01_予約入力'!$B$5:$B$204=$A11)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1">
        <f>IF(OR($A11="",D$4=""),0,SUMPRODUCT(('01_予約入力'!$G$5:$G$204&lt;&gt;"")*('01_予約入力'!$N$5:$N$204&lt;&gt;"キャンセル")*('01_予約入力'!$B$5:$B$204=$A11)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1">
        <f>IF(OR($A11="",E$4=""),0,SUMPRODUCT(('01_予約入力'!$G$5:$G$204&lt;&gt;"")*('01_予約入力'!$N$5:$N$204&lt;&gt;"キャンセル")*('01_予約入力'!$B$5:$B$204=$A11)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1">
        <f>IF(OR($A11="",F$4=""),0,SUMPRODUCT(('01_予約入力'!$G$5:$G$204&lt;&gt;"")*('01_予約入力'!$N$5:$N$204&lt;&gt;"キャンセル")*('01_予約入力'!$B$5:$B$204=$A11)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1">
        <f>IF(OR($A11="",G$4=""),0,SUMPRODUCT(('01_予約入力'!$G$5:$G$204&lt;&gt;"")*('01_予約入力'!$N$5:$N$204&lt;&gt;"キャンセル")*('01_予約入力'!$B$5:$B$204=$A11)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1">
        <f>IF(OR($A11="",H$4=""),0,SUMPRODUCT(('01_予約入力'!$G$5:$G$204&lt;&gt;"")*('01_予約入力'!$N$5:$N$204&lt;&gt;"キャンセル")*('01_予約入力'!$B$5:$B$204=$A11)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1">
        <f>IF(OR($A11="",I$4=""),0,SUMPRODUCT(('01_予約入力'!$G$5:$G$204&lt;&gt;"")*('01_予約入力'!$N$5:$N$204&lt;&gt;"キャンセル")*('01_予約入力'!$B$5:$B$204=$A11)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1">
        <f>IF(OR($A11="",J$4=""),0,SUMPRODUCT(('01_予約入力'!$G$5:$G$204&lt;&gt;"")*('01_予約入力'!$N$5:$N$204&lt;&gt;"キャンセル")*('01_予約入力'!$B$5:$B$204=$A11)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1">
        <f>IF(OR($A11="",K$4=""),0,SUMPRODUCT(('01_予約入力'!$G$5:$G$204&lt;&gt;"")*('01_予約入力'!$N$5:$N$204&lt;&gt;"キャンセル")*('01_予約入力'!$B$5:$B$204=$A11)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1">
        <f>IF(OR($A11="",L$4=""),0,SUMPRODUCT(('01_予約入力'!$G$5:$G$204&lt;&gt;"")*('01_予約入力'!$N$5:$N$204&lt;&gt;"キャンセル")*('01_予約入力'!$B$5:$B$204=$A11)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1">
        <f>IF(OR($A11="",M$4=""),0,SUMPRODUCT(('01_予約入力'!$G$5:$G$204&lt;&gt;"")*('01_予約入力'!$N$5:$N$204&lt;&gt;"キャンセル")*('01_予約入力'!$B$5:$B$204=$A11)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1">
        <f>IF(OR($A11="",N$4=""),0,SUMPRODUCT(('01_予約入力'!$G$5:$G$204&lt;&gt;"")*('01_予約入力'!$N$5:$N$204&lt;&gt;"キャンセル")*('01_予約入力'!$B$5:$B$204=$A11)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1">
        <f>IF(OR($A11="",O$4=""),0,SUMPRODUCT(('01_予約入力'!$G$5:$G$204&lt;&gt;"")*('01_予約入力'!$N$5:$N$204&lt;&gt;"キャンセル")*('01_予約入力'!$B$5:$B$204=$A11)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1">
        <f>IF(OR($A11="",P$4=""),0,SUMPRODUCT(('01_予約入力'!$G$5:$G$204&lt;&gt;"")*('01_予約入力'!$N$5:$N$204&lt;&gt;"キャンセル")*('01_予約入力'!$B$5:$B$204=$A11)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1">
        <f>IF(OR($A11="",Q$4=""),0,SUMPRODUCT(('01_予約入力'!$G$5:$G$204&lt;&gt;"")*('01_予約入力'!$N$5:$N$204&lt;&gt;"キャンセル")*('01_予約入力'!$B$5:$B$204=$A11)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1">
        <f>IF(OR($A11="",R$4=""),0,SUMPRODUCT(('01_予約入力'!$G$5:$G$204&lt;&gt;"")*('01_予約入力'!$N$5:$N$204&lt;&gt;"キャンセル")*('01_予約入力'!$B$5:$B$204=$A11)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1">
        <f>IF(OR($A11="",S$4=""),0,SUMPRODUCT(('01_予約入力'!$G$5:$G$204&lt;&gt;"")*('01_予約入力'!$N$5:$N$204&lt;&gt;"キャンセル")*('01_予約入力'!$B$5:$B$204=$A11)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1">
        <f>IF(OR($A11="",T$4=""),0,SUMPRODUCT(('01_予約入力'!$G$5:$G$204&lt;&gt;"")*('01_予約入力'!$N$5:$N$204&lt;&gt;"キャンセル")*('01_予約入力'!$B$5:$B$204=$A11)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1">
        <f>IF(OR($A11="",U$4=""),0,SUMPRODUCT(('01_予約入力'!$G$5:$G$204&lt;&gt;"")*('01_予約入力'!$N$5:$N$204&lt;&gt;"キャンセル")*('01_予約入力'!$B$5:$B$204=$A11)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1">
        <f>IF(OR($A11="",V$4=""),0,SUMPRODUCT(('01_予約入力'!$G$5:$G$204&lt;&gt;"")*('01_予約入力'!$N$5:$N$204&lt;&gt;"キャンセル")*('01_予約入力'!$B$5:$B$204=$A11)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1">
        <f>IF(OR($A11="",W$4=""),0,SUMPRODUCT(('01_予約入力'!$G$5:$G$204&lt;&gt;"")*('01_予約入力'!$N$5:$N$204&lt;&gt;"キャンセル")*('01_予約入力'!$B$5:$B$204=$A11)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1">
        <f>IF(OR($A11="",X$4=""),0,SUMPRODUCT(('01_予約入力'!$G$5:$G$204&lt;&gt;"")*('01_予約入力'!$N$5:$N$204&lt;&gt;"キャンセル")*('01_予約入力'!$B$5:$B$204=$A11)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1">
        <f>IF(OR($A11="",Y$4=""),0,SUMPRODUCT(('01_予約入力'!$G$5:$G$204&lt;&gt;"")*('01_予約入力'!$N$5:$N$204&lt;&gt;"キャンセル")*('01_予約入力'!$B$5:$B$204=$A11)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1">
        <f>IF(OR($A11="",Z$4=""),0,SUMPRODUCT(('01_予約入力'!$G$5:$G$204&lt;&gt;"")*('01_予約入力'!$N$5:$N$204&lt;&gt;"キャンセル")*('01_予約入力'!$B$5:$B$204=$A11)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1">
        <f>IF(OR($A11="",AA$4=""),0,SUMPRODUCT(('01_予約入力'!$G$5:$G$204&lt;&gt;"")*('01_予約入力'!$N$5:$N$204&lt;&gt;"キャンセル")*('01_予約入力'!$B$5:$B$204=$A11)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1">
        <f>IF(OR($A11="",AB$4=""),0,SUMPRODUCT(('01_予約入力'!$G$5:$G$204&lt;&gt;"")*('01_予約入力'!$N$5:$N$204&lt;&gt;"キャンセル")*('01_予約入力'!$B$5:$B$204=$A11)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1">
        <f>IF(OR($A11="",AC$4=""),0,SUMPRODUCT(('01_予約入力'!$G$5:$G$204&lt;&gt;"")*('01_予約入力'!$N$5:$N$204&lt;&gt;"キャンセル")*('01_予約入力'!$B$5:$B$204=$A11)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1">
        <f>IF(OR($A11="",AD$4=""),0,SUMPRODUCT(('01_予約入力'!$G$5:$G$204&lt;&gt;"")*('01_予約入力'!$N$5:$N$204&lt;&gt;"キャンセル")*('01_予約入力'!$B$5:$B$204=$A11)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1">
        <f>IF(OR($A11="",AE$4=""),0,SUMPRODUCT(('01_予約入力'!$G$5:$G$204&lt;&gt;"")*('01_予約入力'!$N$5:$N$204&lt;&gt;"キャンセル")*('01_予約入力'!$B$5:$B$204=$A11)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1">
        <f>IF(OR($A11="",AF$4=""),0,SUMPRODUCT(('01_予約入力'!$G$5:$G$204&lt;&gt;"")*('01_予約入力'!$N$5:$N$204&lt;&gt;"キャンセル")*('01_予約入力'!$B$5:$B$204=$A11)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2" ht="19" customHeight="1">
      <c r="A12" s="42">
        <f>IF(COUNTA('利用者マスタ'!$A$4:$A$60)&gt;=6,INDEX('利用者マスタ'!$A$4:$A$60,6),"")</f>
        <v/>
      </c>
      <c r="B12" s="43">
        <f>IF($AP12=0,"",IF(MOD($AP12,8)=7,IF($AP12&gt;=8,"◇","◆"),IF(MOD($AP12,8)=3,IF($AP12&gt;=8,"▷","▶"),IF(MOD($AP12,8)=5,IF($AP12&gt;=8,"◁","◀"),IF($AP12&gt;=8,"□","■")))))</f>
        <v/>
      </c>
      <c r="C12" s="43">
        <f>IF($AQ12=0,"",IF(MOD($AQ12,8)=7,IF($AQ12&gt;=8,"◇","◆"),IF(MOD($AQ12,8)=3,IF($AQ12&gt;=8,"▷","▶"),IF(MOD($AQ12,8)=5,IF($AQ12&gt;=8,"◁","◀"),IF($AQ12&gt;=8,"□","■")))))</f>
        <v/>
      </c>
      <c r="D12" s="43">
        <f>IF($AR12=0,"",IF(MOD($AR12,8)=7,IF($AR12&gt;=8,"◇","◆"),IF(MOD($AR12,8)=3,IF($AR12&gt;=8,"▷","▶"),IF(MOD($AR12,8)=5,IF($AR12&gt;=8,"◁","◀"),IF($AR12&gt;=8,"□","■")))))</f>
        <v/>
      </c>
      <c r="E12" s="43">
        <f>IF($AS12=0,"",IF(MOD($AS12,8)=7,IF($AS12&gt;=8,"◇","◆"),IF(MOD($AS12,8)=3,IF($AS12&gt;=8,"▷","▶"),IF(MOD($AS12,8)=5,IF($AS12&gt;=8,"◁","◀"),IF($AS12&gt;=8,"□","■")))))</f>
        <v/>
      </c>
      <c r="F12" s="43">
        <f>IF($AT12=0,"",IF(MOD($AT12,8)=7,IF($AT12&gt;=8,"◇","◆"),IF(MOD($AT12,8)=3,IF($AT12&gt;=8,"▷","▶"),IF(MOD($AT12,8)=5,IF($AT12&gt;=8,"◁","◀"),IF($AT12&gt;=8,"□","■")))))</f>
        <v/>
      </c>
      <c r="G12" s="43">
        <f>IF($AU12=0,"",IF(MOD($AU12,8)=7,IF($AU12&gt;=8,"◇","◆"),IF(MOD($AU12,8)=3,IF($AU12&gt;=8,"▷","▶"),IF(MOD($AU12,8)=5,IF($AU12&gt;=8,"◁","◀"),IF($AU12&gt;=8,"□","■")))))</f>
        <v/>
      </c>
      <c r="H12" s="43">
        <f>IF($AV12=0,"",IF(MOD($AV12,8)=7,IF($AV12&gt;=8,"◇","◆"),IF(MOD($AV12,8)=3,IF($AV12&gt;=8,"▷","▶"),IF(MOD($AV12,8)=5,IF($AV12&gt;=8,"◁","◀"),IF($AV12&gt;=8,"□","■")))))</f>
        <v/>
      </c>
      <c r="I12" s="43">
        <f>IF($AW12=0,"",IF(MOD($AW12,8)=7,IF($AW12&gt;=8,"◇","◆"),IF(MOD($AW12,8)=3,IF($AW12&gt;=8,"▷","▶"),IF(MOD($AW12,8)=5,IF($AW12&gt;=8,"◁","◀"),IF($AW12&gt;=8,"□","■")))))</f>
        <v/>
      </c>
      <c r="J12" s="43">
        <f>IF($AX12=0,"",IF(MOD($AX12,8)=7,IF($AX12&gt;=8,"◇","◆"),IF(MOD($AX12,8)=3,IF($AX12&gt;=8,"▷","▶"),IF(MOD($AX12,8)=5,IF($AX12&gt;=8,"◁","◀"),IF($AX12&gt;=8,"□","■")))))</f>
        <v/>
      </c>
      <c r="K12" s="43">
        <f>IF($AY12=0,"",IF(MOD($AY12,8)=7,IF($AY12&gt;=8,"◇","◆"),IF(MOD($AY12,8)=3,IF($AY12&gt;=8,"▷","▶"),IF(MOD($AY12,8)=5,IF($AY12&gt;=8,"◁","◀"),IF($AY12&gt;=8,"□","■")))))</f>
        <v/>
      </c>
      <c r="L12" s="43">
        <f>IF($AZ12=0,"",IF(MOD($AZ12,8)=7,IF($AZ12&gt;=8,"◇","◆"),IF(MOD($AZ12,8)=3,IF($AZ12&gt;=8,"▷","▶"),IF(MOD($AZ12,8)=5,IF($AZ12&gt;=8,"◁","◀"),IF($AZ12&gt;=8,"□","■")))))</f>
        <v/>
      </c>
      <c r="M12" s="43">
        <f>IF($BA12=0,"",IF(MOD($BA12,8)=7,IF($BA12&gt;=8,"◇","◆"),IF(MOD($BA12,8)=3,IF($BA12&gt;=8,"▷","▶"),IF(MOD($BA12,8)=5,IF($BA12&gt;=8,"◁","◀"),IF($BA12&gt;=8,"□","■")))))</f>
        <v/>
      </c>
      <c r="N12" s="43">
        <f>IF($BB12=0,"",IF(MOD($BB12,8)=7,IF($BB12&gt;=8,"◇","◆"),IF(MOD($BB12,8)=3,IF($BB12&gt;=8,"▷","▶"),IF(MOD($BB12,8)=5,IF($BB12&gt;=8,"◁","◀"),IF($BB12&gt;=8,"□","■")))))</f>
        <v/>
      </c>
      <c r="O12" s="43">
        <f>IF($BC12=0,"",IF(MOD($BC12,8)=7,IF($BC12&gt;=8,"◇","◆"),IF(MOD($BC12,8)=3,IF($BC12&gt;=8,"▷","▶"),IF(MOD($BC12,8)=5,IF($BC12&gt;=8,"◁","◀"),IF($BC12&gt;=8,"□","■")))))</f>
        <v/>
      </c>
      <c r="P12" s="43">
        <f>IF($BD12=0,"",IF(MOD($BD12,8)=7,IF($BD12&gt;=8,"◇","◆"),IF(MOD($BD12,8)=3,IF($BD12&gt;=8,"▷","▶"),IF(MOD($BD12,8)=5,IF($BD12&gt;=8,"◁","◀"),IF($BD12&gt;=8,"□","■")))))</f>
        <v/>
      </c>
      <c r="Q12" s="43">
        <f>IF($BE12=0,"",IF(MOD($BE12,8)=7,IF($BE12&gt;=8,"◇","◆"),IF(MOD($BE12,8)=3,IF($BE12&gt;=8,"▷","▶"),IF(MOD($BE12,8)=5,IF($BE12&gt;=8,"◁","◀"),IF($BE12&gt;=8,"□","■")))))</f>
        <v/>
      </c>
      <c r="R12" s="43">
        <f>IF($BF12=0,"",IF(MOD($BF12,8)=7,IF($BF12&gt;=8,"◇","◆"),IF(MOD($BF12,8)=3,IF($BF12&gt;=8,"▷","▶"),IF(MOD($BF12,8)=5,IF($BF12&gt;=8,"◁","◀"),IF($BF12&gt;=8,"□","■")))))</f>
        <v/>
      </c>
      <c r="S12" s="43">
        <f>IF($BG12=0,"",IF(MOD($BG12,8)=7,IF($BG12&gt;=8,"◇","◆"),IF(MOD($BG12,8)=3,IF($BG12&gt;=8,"▷","▶"),IF(MOD($BG12,8)=5,IF($BG12&gt;=8,"◁","◀"),IF($BG12&gt;=8,"□","■")))))</f>
        <v/>
      </c>
      <c r="T12" s="43">
        <f>IF($BH12=0,"",IF(MOD($BH12,8)=7,IF($BH12&gt;=8,"◇","◆"),IF(MOD($BH12,8)=3,IF($BH12&gt;=8,"▷","▶"),IF(MOD($BH12,8)=5,IF($BH12&gt;=8,"◁","◀"),IF($BH12&gt;=8,"□","■")))))</f>
        <v/>
      </c>
      <c r="U12" s="43">
        <f>IF($BI12=0,"",IF(MOD($BI12,8)=7,IF($BI12&gt;=8,"◇","◆"),IF(MOD($BI12,8)=3,IF($BI12&gt;=8,"▷","▶"),IF(MOD($BI12,8)=5,IF($BI12&gt;=8,"◁","◀"),IF($BI12&gt;=8,"□","■")))))</f>
        <v/>
      </c>
      <c r="V12" s="43">
        <f>IF($BJ12=0,"",IF(MOD($BJ12,8)=7,IF($BJ12&gt;=8,"◇","◆"),IF(MOD($BJ12,8)=3,IF($BJ12&gt;=8,"▷","▶"),IF(MOD($BJ12,8)=5,IF($BJ12&gt;=8,"◁","◀"),IF($BJ12&gt;=8,"□","■")))))</f>
        <v/>
      </c>
      <c r="W12" s="43">
        <f>IF($BK12=0,"",IF(MOD($BK12,8)=7,IF($BK12&gt;=8,"◇","◆"),IF(MOD($BK12,8)=3,IF($BK12&gt;=8,"▷","▶"),IF(MOD($BK12,8)=5,IF($BK12&gt;=8,"◁","◀"),IF($BK12&gt;=8,"□","■")))))</f>
        <v/>
      </c>
      <c r="X12" s="43">
        <f>IF($BL12=0,"",IF(MOD($BL12,8)=7,IF($BL12&gt;=8,"◇","◆"),IF(MOD($BL12,8)=3,IF($BL12&gt;=8,"▷","▶"),IF(MOD($BL12,8)=5,IF($BL12&gt;=8,"◁","◀"),IF($BL12&gt;=8,"□","■")))))</f>
        <v/>
      </c>
      <c r="Y12" s="43">
        <f>IF($BM12=0,"",IF(MOD($BM12,8)=7,IF($BM12&gt;=8,"◇","◆"),IF(MOD($BM12,8)=3,IF($BM12&gt;=8,"▷","▶"),IF(MOD($BM12,8)=5,IF($BM12&gt;=8,"◁","◀"),IF($BM12&gt;=8,"□","■")))))</f>
        <v/>
      </c>
      <c r="Z12" s="43">
        <f>IF($BN12=0,"",IF(MOD($BN12,8)=7,IF($BN12&gt;=8,"◇","◆"),IF(MOD($BN12,8)=3,IF($BN12&gt;=8,"▷","▶"),IF(MOD($BN12,8)=5,IF($BN12&gt;=8,"◁","◀"),IF($BN12&gt;=8,"□","■")))))</f>
        <v/>
      </c>
      <c r="AA12" s="43">
        <f>IF($BO12=0,"",IF(MOD($BO12,8)=7,IF($BO12&gt;=8,"◇","◆"),IF(MOD($BO12,8)=3,IF($BO12&gt;=8,"▷","▶"),IF(MOD($BO12,8)=5,IF($BO12&gt;=8,"◁","◀"),IF($BO12&gt;=8,"□","■")))))</f>
        <v/>
      </c>
      <c r="AB12" s="43">
        <f>IF($BP12=0,"",IF(MOD($BP12,8)=7,IF($BP12&gt;=8,"◇","◆"),IF(MOD($BP12,8)=3,IF($BP12&gt;=8,"▷","▶"),IF(MOD($BP12,8)=5,IF($BP12&gt;=8,"◁","◀"),IF($BP12&gt;=8,"□","■")))))</f>
        <v/>
      </c>
      <c r="AC12" s="43">
        <f>IF($BQ12=0,"",IF(MOD($BQ12,8)=7,IF($BQ12&gt;=8,"◇","◆"),IF(MOD($BQ12,8)=3,IF($BQ12&gt;=8,"▷","▶"),IF(MOD($BQ12,8)=5,IF($BQ12&gt;=8,"◁","◀"),IF($BQ12&gt;=8,"□","■")))))</f>
        <v/>
      </c>
      <c r="AD12" s="43">
        <f>IF($BR12=0,"",IF(MOD($BR12,8)=7,IF($BR12&gt;=8,"◇","◆"),IF(MOD($BR12,8)=3,IF($BR12&gt;=8,"▷","▶"),IF(MOD($BR12,8)=5,IF($BR12&gt;=8,"◁","◀"),IF($BR12&gt;=8,"□","■")))))</f>
        <v/>
      </c>
      <c r="AE12" s="43">
        <f>IF($BS12=0,"",IF(MOD($BS12,8)=7,IF($BS12&gt;=8,"◇","◆"),IF(MOD($BS12,8)=3,IF($BS12&gt;=8,"▷","▶"),IF(MOD($BS12,8)=5,IF($BS12&gt;=8,"◁","◀"),IF($BS12&gt;=8,"□","■")))))</f>
        <v/>
      </c>
      <c r="AF12" s="43">
        <f>IF($BT12=0,"",IF(MOD($BT12,8)=7,IF($BT12&gt;=8,"◇","◆"),IF(MOD($BT12,8)=3,IF($BT12&gt;=8,"▷","▶"),IF(MOD($BT12,8)=5,IF($BT12&gt;=8,"◁","◀"),IF($BT12&gt;=8,"□","■")))))</f>
        <v/>
      </c>
      <c r="AG12" s="44">
        <f>IF($A12="","",COUNTIF($AP12:$BT12,"&gt;0"))</f>
        <v/>
      </c>
      <c r="AP12">
        <f>IF(OR($A12="",B$4=""),0,SUMPRODUCT(('01_予約入力'!$G$5:$G$204&lt;&gt;"")*('01_予約入力'!$N$5:$N$204&lt;&gt;"キャンセル")*('01_予約入力'!$B$5:$B$204=$A12)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2">
        <f>IF(OR($A12="",C$4=""),0,SUMPRODUCT(('01_予約入力'!$G$5:$G$204&lt;&gt;"")*('01_予約入力'!$N$5:$N$204&lt;&gt;"キャンセル")*('01_予約入力'!$B$5:$B$204=$A12)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2">
        <f>IF(OR($A12="",D$4=""),0,SUMPRODUCT(('01_予約入力'!$G$5:$G$204&lt;&gt;"")*('01_予約入力'!$N$5:$N$204&lt;&gt;"キャンセル")*('01_予約入力'!$B$5:$B$204=$A12)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2">
        <f>IF(OR($A12="",E$4=""),0,SUMPRODUCT(('01_予約入力'!$G$5:$G$204&lt;&gt;"")*('01_予約入力'!$N$5:$N$204&lt;&gt;"キャンセル")*('01_予約入力'!$B$5:$B$204=$A12)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2">
        <f>IF(OR($A12="",F$4=""),0,SUMPRODUCT(('01_予約入力'!$G$5:$G$204&lt;&gt;"")*('01_予約入力'!$N$5:$N$204&lt;&gt;"キャンセル")*('01_予約入力'!$B$5:$B$204=$A12)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2">
        <f>IF(OR($A12="",G$4=""),0,SUMPRODUCT(('01_予約入力'!$G$5:$G$204&lt;&gt;"")*('01_予約入力'!$N$5:$N$204&lt;&gt;"キャンセル")*('01_予約入力'!$B$5:$B$204=$A12)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2">
        <f>IF(OR($A12="",H$4=""),0,SUMPRODUCT(('01_予約入力'!$G$5:$G$204&lt;&gt;"")*('01_予約入力'!$N$5:$N$204&lt;&gt;"キャンセル")*('01_予約入力'!$B$5:$B$204=$A12)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2">
        <f>IF(OR($A12="",I$4=""),0,SUMPRODUCT(('01_予約入力'!$G$5:$G$204&lt;&gt;"")*('01_予約入力'!$N$5:$N$204&lt;&gt;"キャンセル")*('01_予約入力'!$B$5:$B$204=$A12)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2">
        <f>IF(OR($A12="",J$4=""),0,SUMPRODUCT(('01_予約入力'!$G$5:$G$204&lt;&gt;"")*('01_予約入力'!$N$5:$N$204&lt;&gt;"キャンセル")*('01_予約入力'!$B$5:$B$204=$A12)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2">
        <f>IF(OR($A12="",K$4=""),0,SUMPRODUCT(('01_予約入力'!$G$5:$G$204&lt;&gt;"")*('01_予約入力'!$N$5:$N$204&lt;&gt;"キャンセル")*('01_予約入力'!$B$5:$B$204=$A12)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2">
        <f>IF(OR($A12="",L$4=""),0,SUMPRODUCT(('01_予約入力'!$G$5:$G$204&lt;&gt;"")*('01_予約入力'!$N$5:$N$204&lt;&gt;"キャンセル")*('01_予約入力'!$B$5:$B$204=$A12)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2">
        <f>IF(OR($A12="",M$4=""),0,SUMPRODUCT(('01_予約入力'!$G$5:$G$204&lt;&gt;"")*('01_予約入力'!$N$5:$N$204&lt;&gt;"キャンセル")*('01_予約入力'!$B$5:$B$204=$A12)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2">
        <f>IF(OR($A12="",N$4=""),0,SUMPRODUCT(('01_予約入力'!$G$5:$G$204&lt;&gt;"")*('01_予約入力'!$N$5:$N$204&lt;&gt;"キャンセル")*('01_予約入力'!$B$5:$B$204=$A12)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2">
        <f>IF(OR($A12="",O$4=""),0,SUMPRODUCT(('01_予約入力'!$G$5:$G$204&lt;&gt;"")*('01_予約入力'!$N$5:$N$204&lt;&gt;"キャンセル")*('01_予約入力'!$B$5:$B$204=$A12)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2">
        <f>IF(OR($A12="",P$4=""),0,SUMPRODUCT(('01_予約入力'!$G$5:$G$204&lt;&gt;"")*('01_予約入力'!$N$5:$N$204&lt;&gt;"キャンセル")*('01_予約入力'!$B$5:$B$204=$A12)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2">
        <f>IF(OR($A12="",Q$4=""),0,SUMPRODUCT(('01_予約入力'!$G$5:$G$204&lt;&gt;"")*('01_予約入力'!$N$5:$N$204&lt;&gt;"キャンセル")*('01_予約入力'!$B$5:$B$204=$A12)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2">
        <f>IF(OR($A12="",R$4=""),0,SUMPRODUCT(('01_予約入力'!$G$5:$G$204&lt;&gt;"")*('01_予約入力'!$N$5:$N$204&lt;&gt;"キャンセル")*('01_予約入力'!$B$5:$B$204=$A12)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2">
        <f>IF(OR($A12="",S$4=""),0,SUMPRODUCT(('01_予約入力'!$G$5:$G$204&lt;&gt;"")*('01_予約入力'!$N$5:$N$204&lt;&gt;"キャンセル")*('01_予約入力'!$B$5:$B$204=$A12)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2">
        <f>IF(OR($A12="",T$4=""),0,SUMPRODUCT(('01_予約入力'!$G$5:$G$204&lt;&gt;"")*('01_予約入力'!$N$5:$N$204&lt;&gt;"キャンセル")*('01_予約入力'!$B$5:$B$204=$A12)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2">
        <f>IF(OR($A12="",U$4=""),0,SUMPRODUCT(('01_予約入力'!$G$5:$G$204&lt;&gt;"")*('01_予約入力'!$N$5:$N$204&lt;&gt;"キャンセル")*('01_予約入力'!$B$5:$B$204=$A12)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2">
        <f>IF(OR($A12="",V$4=""),0,SUMPRODUCT(('01_予約入力'!$G$5:$G$204&lt;&gt;"")*('01_予約入力'!$N$5:$N$204&lt;&gt;"キャンセル")*('01_予約入力'!$B$5:$B$204=$A12)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2">
        <f>IF(OR($A12="",W$4=""),0,SUMPRODUCT(('01_予約入力'!$G$5:$G$204&lt;&gt;"")*('01_予約入力'!$N$5:$N$204&lt;&gt;"キャンセル")*('01_予約入力'!$B$5:$B$204=$A12)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2">
        <f>IF(OR($A12="",X$4=""),0,SUMPRODUCT(('01_予約入力'!$G$5:$G$204&lt;&gt;"")*('01_予約入力'!$N$5:$N$204&lt;&gt;"キャンセル")*('01_予約入力'!$B$5:$B$204=$A12)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2">
        <f>IF(OR($A12="",Y$4=""),0,SUMPRODUCT(('01_予約入力'!$G$5:$G$204&lt;&gt;"")*('01_予約入力'!$N$5:$N$204&lt;&gt;"キャンセル")*('01_予約入力'!$B$5:$B$204=$A12)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2">
        <f>IF(OR($A12="",Z$4=""),0,SUMPRODUCT(('01_予約入力'!$G$5:$G$204&lt;&gt;"")*('01_予約入力'!$N$5:$N$204&lt;&gt;"キャンセル")*('01_予約入力'!$B$5:$B$204=$A12)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2">
        <f>IF(OR($A12="",AA$4=""),0,SUMPRODUCT(('01_予約入力'!$G$5:$G$204&lt;&gt;"")*('01_予約入力'!$N$5:$N$204&lt;&gt;"キャンセル")*('01_予約入力'!$B$5:$B$204=$A12)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2">
        <f>IF(OR($A12="",AB$4=""),0,SUMPRODUCT(('01_予約入力'!$G$5:$G$204&lt;&gt;"")*('01_予約入力'!$N$5:$N$204&lt;&gt;"キャンセル")*('01_予約入力'!$B$5:$B$204=$A12)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2">
        <f>IF(OR($A12="",AC$4=""),0,SUMPRODUCT(('01_予約入力'!$G$5:$G$204&lt;&gt;"")*('01_予約入力'!$N$5:$N$204&lt;&gt;"キャンセル")*('01_予約入力'!$B$5:$B$204=$A12)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2">
        <f>IF(OR($A12="",AD$4=""),0,SUMPRODUCT(('01_予約入力'!$G$5:$G$204&lt;&gt;"")*('01_予約入力'!$N$5:$N$204&lt;&gt;"キャンセル")*('01_予約入力'!$B$5:$B$204=$A12)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2">
        <f>IF(OR($A12="",AE$4=""),0,SUMPRODUCT(('01_予約入力'!$G$5:$G$204&lt;&gt;"")*('01_予約入力'!$N$5:$N$204&lt;&gt;"キャンセル")*('01_予約入力'!$B$5:$B$204=$A12)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2">
        <f>IF(OR($A12="",AF$4=""),0,SUMPRODUCT(('01_予約入力'!$G$5:$G$204&lt;&gt;"")*('01_予約入力'!$N$5:$N$204&lt;&gt;"キャンセル")*('01_予約入力'!$B$5:$B$204=$A12)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3" ht="19" customHeight="1">
      <c r="A13" s="42">
        <f>IF(COUNTA('利用者マスタ'!$A$4:$A$60)&gt;=7,INDEX('利用者マスタ'!$A$4:$A$60,7),"")</f>
        <v/>
      </c>
      <c r="B13" s="43">
        <f>IF($AP13=0,"",IF(MOD($AP13,8)=7,IF($AP13&gt;=8,"◇","◆"),IF(MOD($AP13,8)=3,IF($AP13&gt;=8,"▷","▶"),IF(MOD($AP13,8)=5,IF($AP13&gt;=8,"◁","◀"),IF($AP13&gt;=8,"□","■")))))</f>
        <v/>
      </c>
      <c r="C13" s="43">
        <f>IF($AQ13=0,"",IF(MOD($AQ13,8)=7,IF($AQ13&gt;=8,"◇","◆"),IF(MOD($AQ13,8)=3,IF($AQ13&gt;=8,"▷","▶"),IF(MOD($AQ13,8)=5,IF($AQ13&gt;=8,"◁","◀"),IF($AQ13&gt;=8,"□","■")))))</f>
        <v/>
      </c>
      <c r="D13" s="43">
        <f>IF($AR13=0,"",IF(MOD($AR13,8)=7,IF($AR13&gt;=8,"◇","◆"),IF(MOD($AR13,8)=3,IF($AR13&gt;=8,"▷","▶"),IF(MOD($AR13,8)=5,IF($AR13&gt;=8,"◁","◀"),IF($AR13&gt;=8,"□","■")))))</f>
        <v/>
      </c>
      <c r="E13" s="43">
        <f>IF($AS13=0,"",IF(MOD($AS13,8)=7,IF($AS13&gt;=8,"◇","◆"),IF(MOD($AS13,8)=3,IF($AS13&gt;=8,"▷","▶"),IF(MOD($AS13,8)=5,IF($AS13&gt;=8,"◁","◀"),IF($AS13&gt;=8,"□","■")))))</f>
        <v/>
      </c>
      <c r="F13" s="43">
        <f>IF($AT13=0,"",IF(MOD($AT13,8)=7,IF($AT13&gt;=8,"◇","◆"),IF(MOD($AT13,8)=3,IF($AT13&gt;=8,"▷","▶"),IF(MOD($AT13,8)=5,IF($AT13&gt;=8,"◁","◀"),IF($AT13&gt;=8,"□","■")))))</f>
        <v/>
      </c>
      <c r="G13" s="43">
        <f>IF($AU13=0,"",IF(MOD($AU13,8)=7,IF($AU13&gt;=8,"◇","◆"),IF(MOD($AU13,8)=3,IF($AU13&gt;=8,"▷","▶"),IF(MOD($AU13,8)=5,IF($AU13&gt;=8,"◁","◀"),IF($AU13&gt;=8,"□","■")))))</f>
        <v/>
      </c>
      <c r="H13" s="43">
        <f>IF($AV13=0,"",IF(MOD($AV13,8)=7,IF($AV13&gt;=8,"◇","◆"),IF(MOD($AV13,8)=3,IF($AV13&gt;=8,"▷","▶"),IF(MOD($AV13,8)=5,IF($AV13&gt;=8,"◁","◀"),IF($AV13&gt;=8,"□","■")))))</f>
        <v/>
      </c>
      <c r="I13" s="43">
        <f>IF($AW13=0,"",IF(MOD($AW13,8)=7,IF($AW13&gt;=8,"◇","◆"),IF(MOD($AW13,8)=3,IF($AW13&gt;=8,"▷","▶"),IF(MOD($AW13,8)=5,IF($AW13&gt;=8,"◁","◀"),IF($AW13&gt;=8,"□","■")))))</f>
        <v/>
      </c>
      <c r="J13" s="43">
        <f>IF($AX13=0,"",IF(MOD($AX13,8)=7,IF($AX13&gt;=8,"◇","◆"),IF(MOD($AX13,8)=3,IF($AX13&gt;=8,"▷","▶"),IF(MOD($AX13,8)=5,IF($AX13&gt;=8,"◁","◀"),IF($AX13&gt;=8,"□","■")))))</f>
        <v/>
      </c>
      <c r="K13" s="43">
        <f>IF($AY13=0,"",IF(MOD($AY13,8)=7,IF($AY13&gt;=8,"◇","◆"),IF(MOD($AY13,8)=3,IF($AY13&gt;=8,"▷","▶"),IF(MOD($AY13,8)=5,IF($AY13&gt;=8,"◁","◀"),IF($AY13&gt;=8,"□","■")))))</f>
        <v/>
      </c>
      <c r="L13" s="43">
        <f>IF($AZ13=0,"",IF(MOD($AZ13,8)=7,IF($AZ13&gt;=8,"◇","◆"),IF(MOD($AZ13,8)=3,IF($AZ13&gt;=8,"▷","▶"),IF(MOD($AZ13,8)=5,IF($AZ13&gt;=8,"◁","◀"),IF($AZ13&gt;=8,"□","■")))))</f>
        <v/>
      </c>
      <c r="M13" s="43">
        <f>IF($BA13=0,"",IF(MOD($BA13,8)=7,IF($BA13&gt;=8,"◇","◆"),IF(MOD($BA13,8)=3,IF($BA13&gt;=8,"▷","▶"),IF(MOD($BA13,8)=5,IF($BA13&gt;=8,"◁","◀"),IF($BA13&gt;=8,"□","■")))))</f>
        <v/>
      </c>
      <c r="N13" s="43">
        <f>IF($BB13=0,"",IF(MOD($BB13,8)=7,IF($BB13&gt;=8,"◇","◆"),IF(MOD($BB13,8)=3,IF($BB13&gt;=8,"▷","▶"),IF(MOD($BB13,8)=5,IF($BB13&gt;=8,"◁","◀"),IF($BB13&gt;=8,"□","■")))))</f>
        <v/>
      </c>
      <c r="O13" s="43">
        <f>IF($BC13=0,"",IF(MOD($BC13,8)=7,IF($BC13&gt;=8,"◇","◆"),IF(MOD($BC13,8)=3,IF($BC13&gt;=8,"▷","▶"),IF(MOD($BC13,8)=5,IF($BC13&gt;=8,"◁","◀"),IF($BC13&gt;=8,"□","■")))))</f>
        <v/>
      </c>
      <c r="P13" s="43">
        <f>IF($BD13=0,"",IF(MOD($BD13,8)=7,IF($BD13&gt;=8,"◇","◆"),IF(MOD($BD13,8)=3,IF($BD13&gt;=8,"▷","▶"),IF(MOD($BD13,8)=5,IF($BD13&gt;=8,"◁","◀"),IF($BD13&gt;=8,"□","■")))))</f>
        <v/>
      </c>
      <c r="Q13" s="43">
        <f>IF($BE13=0,"",IF(MOD($BE13,8)=7,IF($BE13&gt;=8,"◇","◆"),IF(MOD($BE13,8)=3,IF($BE13&gt;=8,"▷","▶"),IF(MOD($BE13,8)=5,IF($BE13&gt;=8,"◁","◀"),IF($BE13&gt;=8,"□","■")))))</f>
        <v/>
      </c>
      <c r="R13" s="43">
        <f>IF($BF13=0,"",IF(MOD($BF13,8)=7,IF($BF13&gt;=8,"◇","◆"),IF(MOD($BF13,8)=3,IF($BF13&gt;=8,"▷","▶"),IF(MOD($BF13,8)=5,IF($BF13&gt;=8,"◁","◀"),IF($BF13&gt;=8,"□","■")))))</f>
        <v/>
      </c>
      <c r="S13" s="43">
        <f>IF($BG13=0,"",IF(MOD($BG13,8)=7,IF($BG13&gt;=8,"◇","◆"),IF(MOD($BG13,8)=3,IF($BG13&gt;=8,"▷","▶"),IF(MOD($BG13,8)=5,IF($BG13&gt;=8,"◁","◀"),IF($BG13&gt;=8,"□","■")))))</f>
        <v/>
      </c>
      <c r="T13" s="43">
        <f>IF($BH13=0,"",IF(MOD($BH13,8)=7,IF($BH13&gt;=8,"◇","◆"),IF(MOD($BH13,8)=3,IF($BH13&gt;=8,"▷","▶"),IF(MOD($BH13,8)=5,IF($BH13&gt;=8,"◁","◀"),IF($BH13&gt;=8,"□","■")))))</f>
        <v/>
      </c>
      <c r="U13" s="43">
        <f>IF($BI13=0,"",IF(MOD($BI13,8)=7,IF($BI13&gt;=8,"◇","◆"),IF(MOD($BI13,8)=3,IF($BI13&gt;=8,"▷","▶"),IF(MOD($BI13,8)=5,IF($BI13&gt;=8,"◁","◀"),IF($BI13&gt;=8,"□","■")))))</f>
        <v/>
      </c>
      <c r="V13" s="43">
        <f>IF($BJ13=0,"",IF(MOD($BJ13,8)=7,IF($BJ13&gt;=8,"◇","◆"),IF(MOD($BJ13,8)=3,IF($BJ13&gt;=8,"▷","▶"),IF(MOD($BJ13,8)=5,IF($BJ13&gt;=8,"◁","◀"),IF($BJ13&gt;=8,"□","■")))))</f>
        <v/>
      </c>
      <c r="W13" s="43">
        <f>IF($BK13=0,"",IF(MOD($BK13,8)=7,IF($BK13&gt;=8,"◇","◆"),IF(MOD($BK13,8)=3,IF($BK13&gt;=8,"▷","▶"),IF(MOD($BK13,8)=5,IF($BK13&gt;=8,"◁","◀"),IF($BK13&gt;=8,"□","■")))))</f>
        <v/>
      </c>
      <c r="X13" s="43">
        <f>IF($BL13=0,"",IF(MOD($BL13,8)=7,IF($BL13&gt;=8,"◇","◆"),IF(MOD($BL13,8)=3,IF($BL13&gt;=8,"▷","▶"),IF(MOD($BL13,8)=5,IF($BL13&gt;=8,"◁","◀"),IF($BL13&gt;=8,"□","■")))))</f>
        <v/>
      </c>
      <c r="Y13" s="43">
        <f>IF($BM13=0,"",IF(MOD($BM13,8)=7,IF($BM13&gt;=8,"◇","◆"),IF(MOD($BM13,8)=3,IF($BM13&gt;=8,"▷","▶"),IF(MOD($BM13,8)=5,IF($BM13&gt;=8,"◁","◀"),IF($BM13&gt;=8,"□","■")))))</f>
        <v/>
      </c>
      <c r="Z13" s="43">
        <f>IF($BN13=0,"",IF(MOD($BN13,8)=7,IF($BN13&gt;=8,"◇","◆"),IF(MOD($BN13,8)=3,IF($BN13&gt;=8,"▷","▶"),IF(MOD($BN13,8)=5,IF($BN13&gt;=8,"◁","◀"),IF($BN13&gt;=8,"□","■")))))</f>
        <v/>
      </c>
      <c r="AA13" s="43">
        <f>IF($BO13=0,"",IF(MOD($BO13,8)=7,IF($BO13&gt;=8,"◇","◆"),IF(MOD($BO13,8)=3,IF($BO13&gt;=8,"▷","▶"),IF(MOD($BO13,8)=5,IF($BO13&gt;=8,"◁","◀"),IF($BO13&gt;=8,"□","■")))))</f>
        <v/>
      </c>
      <c r="AB13" s="43">
        <f>IF($BP13=0,"",IF(MOD($BP13,8)=7,IF($BP13&gt;=8,"◇","◆"),IF(MOD($BP13,8)=3,IF($BP13&gt;=8,"▷","▶"),IF(MOD($BP13,8)=5,IF($BP13&gt;=8,"◁","◀"),IF($BP13&gt;=8,"□","■")))))</f>
        <v/>
      </c>
      <c r="AC13" s="43">
        <f>IF($BQ13=0,"",IF(MOD($BQ13,8)=7,IF($BQ13&gt;=8,"◇","◆"),IF(MOD($BQ13,8)=3,IF($BQ13&gt;=8,"▷","▶"),IF(MOD($BQ13,8)=5,IF($BQ13&gt;=8,"◁","◀"),IF($BQ13&gt;=8,"□","■")))))</f>
        <v/>
      </c>
      <c r="AD13" s="43">
        <f>IF($BR13=0,"",IF(MOD($BR13,8)=7,IF($BR13&gt;=8,"◇","◆"),IF(MOD($BR13,8)=3,IF($BR13&gt;=8,"▷","▶"),IF(MOD($BR13,8)=5,IF($BR13&gt;=8,"◁","◀"),IF($BR13&gt;=8,"□","■")))))</f>
        <v/>
      </c>
      <c r="AE13" s="43">
        <f>IF($BS13=0,"",IF(MOD($BS13,8)=7,IF($BS13&gt;=8,"◇","◆"),IF(MOD($BS13,8)=3,IF($BS13&gt;=8,"▷","▶"),IF(MOD($BS13,8)=5,IF($BS13&gt;=8,"◁","◀"),IF($BS13&gt;=8,"□","■")))))</f>
        <v/>
      </c>
      <c r="AF13" s="43">
        <f>IF($BT13=0,"",IF(MOD($BT13,8)=7,IF($BT13&gt;=8,"◇","◆"),IF(MOD($BT13,8)=3,IF($BT13&gt;=8,"▷","▶"),IF(MOD($BT13,8)=5,IF($BT13&gt;=8,"◁","◀"),IF($BT13&gt;=8,"□","■")))))</f>
        <v/>
      </c>
      <c r="AG13" s="44">
        <f>IF($A13="","",COUNTIF($AP13:$BT13,"&gt;0"))</f>
        <v/>
      </c>
      <c r="AP13">
        <f>IF(OR($A13="",B$4=""),0,SUMPRODUCT(('01_予約入力'!$G$5:$G$204&lt;&gt;"")*('01_予約入力'!$N$5:$N$204&lt;&gt;"キャンセル")*('01_予約入力'!$B$5:$B$204=$A13)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3">
        <f>IF(OR($A13="",C$4=""),0,SUMPRODUCT(('01_予約入力'!$G$5:$G$204&lt;&gt;"")*('01_予約入力'!$N$5:$N$204&lt;&gt;"キャンセル")*('01_予約入力'!$B$5:$B$204=$A13)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3">
        <f>IF(OR($A13="",D$4=""),0,SUMPRODUCT(('01_予約入力'!$G$5:$G$204&lt;&gt;"")*('01_予約入力'!$N$5:$N$204&lt;&gt;"キャンセル")*('01_予約入力'!$B$5:$B$204=$A13)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3">
        <f>IF(OR($A13="",E$4=""),0,SUMPRODUCT(('01_予約入力'!$G$5:$G$204&lt;&gt;"")*('01_予約入力'!$N$5:$N$204&lt;&gt;"キャンセル")*('01_予約入力'!$B$5:$B$204=$A13)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3">
        <f>IF(OR($A13="",F$4=""),0,SUMPRODUCT(('01_予約入力'!$G$5:$G$204&lt;&gt;"")*('01_予約入力'!$N$5:$N$204&lt;&gt;"キャンセル")*('01_予約入力'!$B$5:$B$204=$A13)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3">
        <f>IF(OR($A13="",G$4=""),0,SUMPRODUCT(('01_予約入力'!$G$5:$G$204&lt;&gt;"")*('01_予約入力'!$N$5:$N$204&lt;&gt;"キャンセル")*('01_予約入力'!$B$5:$B$204=$A13)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3">
        <f>IF(OR($A13="",H$4=""),0,SUMPRODUCT(('01_予約入力'!$G$5:$G$204&lt;&gt;"")*('01_予約入力'!$N$5:$N$204&lt;&gt;"キャンセル")*('01_予約入力'!$B$5:$B$204=$A13)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3">
        <f>IF(OR($A13="",I$4=""),0,SUMPRODUCT(('01_予約入力'!$G$5:$G$204&lt;&gt;"")*('01_予約入力'!$N$5:$N$204&lt;&gt;"キャンセル")*('01_予約入力'!$B$5:$B$204=$A13)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3">
        <f>IF(OR($A13="",J$4=""),0,SUMPRODUCT(('01_予約入力'!$G$5:$G$204&lt;&gt;"")*('01_予約入力'!$N$5:$N$204&lt;&gt;"キャンセル")*('01_予約入力'!$B$5:$B$204=$A13)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3">
        <f>IF(OR($A13="",K$4=""),0,SUMPRODUCT(('01_予約入力'!$G$5:$G$204&lt;&gt;"")*('01_予約入力'!$N$5:$N$204&lt;&gt;"キャンセル")*('01_予約入力'!$B$5:$B$204=$A13)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3">
        <f>IF(OR($A13="",L$4=""),0,SUMPRODUCT(('01_予約入力'!$G$5:$G$204&lt;&gt;"")*('01_予約入力'!$N$5:$N$204&lt;&gt;"キャンセル")*('01_予約入力'!$B$5:$B$204=$A13)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3">
        <f>IF(OR($A13="",M$4=""),0,SUMPRODUCT(('01_予約入力'!$G$5:$G$204&lt;&gt;"")*('01_予約入力'!$N$5:$N$204&lt;&gt;"キャンセル")*('01_予約入力'!$B$5:$B$204=$A13)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3">
        <f>IF(OR($A13="",N$4=""),0,SUMPRODUCT(('01_予約入力'!$G$5:$G$204&lt;&gt;"")*('01_予約入力'!$N$5:$N$204&lt;&gt;"キャンセル")*('01_予約入力'!$B$5:$B$204=$A13)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3">
        <f>IF(OR($A13="",O$4=""),0,SUMPRODUCT(('01_予約入力'!$G$5:$G$204&lt;&gt;"")*('01_予約入力'!$N$5:$N$204&lt;&gt;"キャンセル")*('01_予約入力'!$B$5:$B$204=$A13)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3">
        <f>IF(OR($A13="",P$4=""),0,SUMPRODUCT(('01_予約入力'!$G$5:$G$204&lt;&gt;"")*('01_予約入力'!$N$5:$N$204&lt;&gt;"キャンセル")*('01_予約入力'!$B$5:$B$204=$A13)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3">
        <f>IF(OR($A13="",Q$4=""),0,SUMPRODUCT(('01_予約入力'!$G$5:$G$204&lt;&gt;"")*('01_予約入力'!$N$5:$N$204&lt;&gt;"キャンセル")*('01_予約入力'!$B$5:$B$204=$A13)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3">
        <f>IF(OR($A13="",R$4=""),0,SUMPRODUCT(('01_予約入力'!$G$5:$G$204&lt;&gt;"")*('01_予約入力'!$N$5:$N$204&lt;&gt;"キャンセル")*('01_予約入力'!$B$5:$B$204=$A13)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3">
        <f>IF(OR($A13="",S$4=""),0,SUMPRODUCT(('01_予約入力'!$G$5:$G$204&lt;&gt;"")*('01_予約入力'!$N$5:$N$204&lt;&gt;"キャンセル")*('01_予約入力'!$B$5:$B$204=$A13)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3">
        <f>IF(OR($A13="",T$4=""),0,SUMPRODUCT(('01_予約入力'!$G$5:$G$204&lt;&gt;"")*('01_予約入力'!$N$5:$N$204&lt;&gt;"キャンセル")*('01_予約入力'!$B$5:$B$204=$A13)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3">
        <f>IF(OR($A13="",U$4=""),0,SUMPRODUCT(('01_予約入力'!$G$5:$G$204&lt;&gt;"")*('01_予約入力'!$N$5:$N$204&lt;&gt;"キャンセル")*('01_予約入力'!$B$5:$B$204=$A13)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3">
        <f>IF(OR($A13="",V$4=""),0,SUMPRODUCT(('01_予約入力'!$G$5:$G$204&lt;&gt;"")*('01_予約入力'!$N$5:$N$204&lt;&gt;"キャンセル")*('01_予約入力'!$B$5:$B$204=$A13)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3">
        <f>IF(OR($A13="",W$4=""),0,SUMPRODUCT(('01_予約入力'!$G$5:$G$204&lt;&gt;"")*('01_予約入力'!$N$5:$N$204&lt;&gt;"キャンセル")*('01_予約入力'!$B$5:$B$204=$A13)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3">
        <f>IF(OR($A13="",X$4=""),0,SUMPRODUCT(('01_予約入力'!$G$5:$G$204&lt;&gt;"")*('01_予約入力'!$N$5:$N$204&lt;&gt;"キャンセル")*('01_予約入力'!$B$5:$B$204=$A13)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3">
        <f>IF(OR($A13="",Y$4=""),0,SUMPRODUCT(('01_予約入力'!$G$5:$G$204&lt;&gt;"")*('01_予約入力'!$N$5:$N$204&lt;&gt;"キャンセル")*('01_予約入力'!$B$5:$B$204=$A13)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3">
        <f>IF(OR($A13="",Z$4=""),0,SUMPRODUCT(('01_予約入力'!$G$5:$G$204&lt;&gt;"")*('01_予約入力'!$N$5:$N$204&lt;&gt;"キャンセル")*('01_予約入力'!$B$5:$B$204=$A13)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3">
        <f>IF(OR($A13="",AA$4=""),0,SUMPRODUCT(('01_予約入力'!$G$5:$G$204&lt;&gt;"")*('01_予約入力'!$N$5:$N$204&lt;&gt;"キャンセル")*('01_予約入力'!$B$5:$B$204=$A13)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3">
        <f>IF(OR($A13="",AB$4=""),0,SUMPRODUCT(('01_予約入力'!$G$5:$G$204&lt;&gt;"")*('01_予約入力'!$N$5:$N$204&lt;&gt;"キャンセル")*('01_予約入力'!$B$5:$B$204=$A13)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3">
        <f>IF(OR($A13="",AC$4=""),0,SUMPRODUCT(('01_予約入力'!$G$5:$G$204&lt;&gt;"")*('01_予約入力'!$N$5:$N$204&lt;&gt;"キャンセル")*('01_予約入力'!$B$5:$B$204=$A13)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3">
        <f>IF(OR($A13="",AD$4=""),0,SUMPRODUCT(('01_予約入力'!$G$5:$G$204&lt;&gt;"")*('01_予約入力'!$N$5:$N$204&lt;&gt;"キャンセル")*('01_予約入力'!$B$5:$B$204=$A13)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3">
        <f>IF(OR($A13="",AE$4=""),0,SUMPRODUCT(('01_予約入力'!$G$5:$G$204&lt;&gt;"")*('01_予約入力'!$N$5:$N$204&lt;&gt;"キャンセル")*('01_予約入力'!$B$5:$B$204=$A13)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3">
        <f>IF(OR($A13="",AF$4=""),0,SUMPRODUCT(('01_予約入力'!$G$5:$G$204&lt;&gt;"")*('01_予約入力'!$N$5:$N$204&lt;&gt;"キャンセル")*('01_予約入力'!$B$5:$B$204=$A13)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4" ht="19" customHeight="1">
      <c r="A14" s="42">
        <f>IF(COUNTA('利用者マスタ'!$A$4:$A$60)&gt;=8,INDEX('利用者マスタ'!$A$4:$A$60,8),"")</f>
        <v/>
      </c>
      <c r="B14" s="43">
        <f>IF($AP14=0,"",IF(MOD($AP14,8)=7,IF($AP14&gt;=8,"◇","◆"),IF(MOD($AP14,8)=3,IF($AP14&gt;=8,"▷","▶"),IF(MOD($AP14,8)=5,IF($AP14&gt;=8,"◁","◀"),IF($AP14&gt;=8,"□","■")))))</f>
        <v/>
      </c>
      <c r="C14" s="43">
        <f>IF($AQ14=0,"",IF(MOD($AQ14,8)=7,IF($AQ14&gt;=8,"◇","◆"),IF(MOD($AQ14,8)=3,IF($AQ14&gt;=8,"▷","▶"),IF(MOD($AQ14,8)=5,IF($AQ14&gt;=8,"◁","◀"),IF($AQ14&gt;=8,"□","■")))))</f>
        <v/>
      </c>
      <c r="D14" s="43">
        <f>IF($AR14=0,"",IF(MOD($AR14,8)=7,IF($AR14&gt;=8,"◇","◆"),IF(MOD($AR14,8)=3,IF($AR14&gt;=8,"▷","▶"),IF(MOD($AR14,8)=5,IF($AR14&gt;=8,"◁","◀"),IF($AR14&gt;=8,"□","■")))))</f>
        <v/>
      </c>
      <c r="E14" s="43">
        <f>IF($AS14=0,"",IF(MOD($AS14,8)=7,IF($AS14&gt;=8,"◇","◆"),IF(MOD($AS14,8)=3,IF($AS14&gt;=8,"▷","▶"),IF(MOD($AS14,8)=5,IF($AS14&gt;=8,"◁","◀"),IF($AS14&gt;=8,"□","■")))))</f>
        <v/>
      </c>
      <c r="F14" s="43">
        <f>IF($AT14=0,"",IF(MOD($AT14,8)=7,IF($AT14&gt;=8,"◇","◆"),IF(MOD($AT14,8)=3,IF($AT14&gt;=8,"▷","▶"),IF(MOD($AT14,8)=5,IF($AT14&gt;=8,"◁","◀"),IF($AT14&gt;=8,"□","■")))))</f>
        <v/>
      </c>
      <c r="G14" s="43">
        <f>IF($AU14=0,"",IF(MOD($AU14,8)=7,IF($AU14&gt;=8,"◇","◆"),IF(MOD($AU14,8)=3,IF($AU14&gt;=8,"▷","▶"),IF(MOD($AU14,8)=5,IF($AU14&gt;=8,"◁","◀"),IF($AU14&gt;=8,"□","■")))))</f>
        <v/>
      </c>
      <c r="H14" s="43">
        <f>IF($AV14=0,"",IF(MOD($AV14,8)=7,IF($AV14&gt;=8,"◇","◆"),IF(MOD($AV14,8)=3,IF($AV14&gt;=8,"▷","▶"),IF(MOD($AV14,8)=5,IF($AV14&gt;=8,"◁","◀"),IF($AV14&gt;=8,"□","■")))))</f>
        <v/>
      </c>
      <c r="I14" s="43">
        <f>IF($AW14=0,"",IF(MOD($AW14,8)=7,IF($AW14&gt;=8,"◇","◆"),IF(MOD($AW14,8)=3,IF($AW14&gt;=8,"▷","▶"),IF(MOD($AW14,8)=5,IF($AW14&gt;=8,"◁","◀"),IF($AW14&gt;=8,"□","■")))))</f>
        <v/>
      </c>
      <c r="J14" s="43">
        <f>IF($AX14=0,"",IF(MOD($AX14,8)=7,IF($AX14&gt;=8,"◇","◆"),IF(MOD($AX14,8)=3,IF($AX14&gt;=8,"▷","▶"),IF(MOD($AX14,8)=5,IF($AX14&gt;=8,"◁","◀"),IF($AX14&gt;=8,"□","■")))))</f>
        <v/>
      </c>
      <c r="K14" s="43">
        <f>IF($AY14=0,"",IF(MOD($AY14,8)=7,IF($AY14&gt;=8,"◇","◆"),IF(MOD($AY14,8)=3,IF($AY14&gt;=8,"▷","▶"),IF(MOD($AY14,8)=5,IF($AY14&gt;=8,"◁","◀"),IF($AY14&gt;=8,"□","■")))))</f>
        <v/>
      </c>
      <c r="L14" s="43">
        <f>IF($AZ14=0,"",IF(MOD($AZ14,8)=7,IF($AZ14&gt;=8,"◇","◆"),IF(MOD($AZ14,8)=3,IF($AZ14&gt;=8,"▷","▶"),IF(MOD($AZ14,8)=5,IF($AZ14&gt;=8,"◁","◀"),IF($AZ14&gt;=8,"□","■")))))</f>
        <v/>
      </c>
      <c r="M14" s="43">
        <f>IF($BA14=0,"",IF(MOD($BA14,8)=7,IF($BA14&gt;=8,"◇","◆"),IF(MOD($BA14,8)=3,IF($BA14&gt;=8,"▷","▶"),IF(MOD($BA14,8)=5,IF($BA14&gt;=8,"◁","◀"),IF($BA14&gt;=8,"□","■")))))</f>
        <v/>
      </c>
      <c r="N14" s="43">
        <f>IF($BB14=0,"",IF(MOD($BB14,8)=7,IF($BB14&gt;=8,"◇","◆"),IF(MOD($BB14,8)=3,IF($BB14&gt;=8,"▷","▶"),IF(MOD($BB14,8)=5,IF($BB14&gt;=8,"◁","◀"),IF($BB14&gt;=8,"□","■")))))</f>
        <v/>
      </c>
      <c r="O14" s="43">
        <f>IF($BC14=0,"",IF(MOD($BC14,8)=7,IF($BC14&gt;=8,"◇","◆"),IF(MOD($BC14,8)=3,IF($BC14&gt;=8,"▷","▶"),IF(MOD($BC14,8)=5,IF($BC14&gt;=8,"◁","◀"),IF($BC14&gt;=8,"□","■")))))</f>
        <v/>
      </c>
      <c r="P14" s="43">
        <f>IF($BD14=0,"",IF(MOD($BD14,8)=7,IF($BD14&gt;=8,"◇","◆"),IF(MOD($BD14,8)=3,IF($BD14&gt;=8,"▷","▶"),IF(MOD($BD14,8)=5,IF($BD14&gt;=8,"◁","◀"),IF($BD14&gt;=8,"□","■")))))</f>
        <v/>
      </c>
      <c r="Q14" s="43">
        <f>IF($BE14=0,"",IF(MOD($BE14,8)=7,IF($BE14&gt;=8,"◇","◆"),IF(MOD($BE14,8)=3,IF($BE14&gt;=8,"▷","▶"),IF(MOD($BE14,8)=5,IF($BE14&gt;=8,"◁","◀"),IF($BE14&gt;=8,"□","■")))))</f>
        <v/>
      </c>
      <c r="R14" s="43">
        <f>IF($BF14=0,"",IF(MOD($BF14,8)=7,IF($BF14&gt;=8,"◇","◆"),IF(MOD($BF14,8)=3,IF($BF14&gt;=8,"▷","▶"),IF(MOD($BF14,8)=5,IF($BF14&gt;=8,"◁","◀"),IF($BF14&gt;=8,"□","■")))))</f>
        <v/>
      </c>
      <c r="S14" s="43">
        <f>IF($BG14=0,"",IF(MOD($BG14,8)=7,IF($BG14&gt;=8,"◇","◆"),IF(MOD($BG14,8)=3,IF($BG14&gt;=8,"▷","▶"),IF(MOD($BG14,8)=5,IF($BG14&gt;=8,"◁","◀"),IF($BG14&gt;=8,"□","■")))))</f>
        <v/>
      </c>
      <c r="T14" s="43">
        <f>IF($BH14=0,"",IF(MOD($BH14,8)=7,IF($BH14&gt;=8,"◇","◆"),IF(MOD($BH14,8)=3,IF($BH14&gt;=8,"▷","▶"),IF(MOD($BH14,8)=5,IF($BH14&gt;=8,"◁","◀"),IF($BH14&gt;=8,"□","■")))))</f>
        <v/>
      </c>
      <c r="U14" s="43">
        <f>IF($BI14=0,"",IF(MOD($BI14,8)=7,IF($BI14&gt;=8,"◇","◆"),IF(MOD($BI14,8)=3,IF($BI14&gt;=8,"▷","▶"),IF(MOD($BI14,8)=5,IF($BI14&gt;=8,"◁","◀"),IF($BI14&gt;=8,"□","■")))))</f>
        <v/>
      </c>
      <c r="V14" s="43">
        <f>IF($BJ14=0,"",IF(MOD($BJ14,8)=7,IF($BJ14&gt;=8,"◇","◆"),IF(MOD($BJ14,8)=3,IF($BJ14&gt;=8,"▷","▶"),IF(MOD($BJ14,8)=5,IF($BJ14&gt;=8,"◁","◀"),IF($BJ14&gt;=8,"□","■")))))</f>
        <v/>
      </c>
      <c r="W14" s="43">
        <f>IF($BK14=0,"",IF(MOD($BK14,8)=7,IF($BK14&gt;=8,"◇","◆"),IF(MOD($BK14,8)=3,IF($BK14&gt;=8,"▷","▶"),IF(MOD($BK14,8)=5,IF($BK14&gt;=8,"◁","◀"),IF($BK14&gt;=8,"□","■")))))</f>
        <v/>
      </c>
      <c r="X14" s="43">
        <f>IF($BL14=0,"",IF(MOD($BL14,8)=7,IF($BL14&gt;=8,"◇","◆"),IF(MOD($BL14,8)=3,IF($BL14&gt;=8,"▷","▶"),IF(MOD($BL14,8)=5,IF($BL14&gt;=8,"◁","◀"),IF($BL14&gt;=8,"□","■")))))</f>
        <v/>
      </c>
      <c r="Y14" s="43">
        <f>IF($BM14=0,"",IF(MOD($BM14,8)=7,IF($BM14&gt;=8,"◇","◆"),IF(MOD($BM14,8)=3,IF($BM14&gt;=8,"▷","▶"),IF(MOD($BM14,8)=5,IF($BM14&gt;=8,"◁","◀"),IF($BM14&gt;=8,"□","■")))))</f>
        <v/>
      </c>
      <c r="Z14" s="43">
        <f>IF($BN14=0,"",IF(MOD($BN14,8)=7,IF($BN14&gt;=8,"◇","◆"),IF(MOD($BN14,8)=3,IF($BN14&gt;=8,"▷","▶"),IF(MOD($BN14,8)=5,IF($BN14&gt;=8,"◁","◀"),IF($BN14&gt;=8,"□","■")))))</f>
        <v/>
      </c>
      <c r="AA14" s="43">
        <f>IF($BO14=0,"",IF(MOD($BO14,8)=7,IF($BO14&gt;=8,"◇","◆"),IF(MOD($BO14,8)=3,IF($BO14&gt;=8,"▷","▶"),IF(MOD($BO14,8)=5,IF($BO14&gt;=8,"◁","◀"),IF($BO14&gt;=8,"□","■")))))</f>
        <v/>
      </c>
      <c r="AB14" s="43">
        <f>IF($BP14=0,"",IF(MOD($BP14,8)=7,IF($BP14&gt;=8,"◇","◆"),IF(MOD($BP14,8)=3,IF($BP14&gt;=8,"▷","▶"),IF(MOD($BP14,8)=5,IF($BP14&gt;=8,"◁","◀"),IF($BP14&gt;=8,"□","■")))))</f>
        <v/>
      </c>
      <c r="AC14" s="43">
        <f>IF($BQ14=0,"",IF(MOD($BQ14,8)=7,IF($BQ14&gt;=8,"◇","◆"),IF(MOD($BQ14,8)=3,IF($BQ14&gt;=8,"▷","▶"),IF(MOD($BQ14,8)=5,IF($BQ14&gt;=8,"◁","◀"),IF($BQ14&gt;=8,"□","■")))))</f>
        <v/>
      </c>
      <c r="AD14" s="43">
        <f>IF($BR14=0,"",IF(MOD($BR14,8)=7,IF($BR14&gt;=8,"◇","◆"),IF(MOD($BR14,8)=3,IF($BR14&gt;=8,"▷","▶"),IF(MOD($BR14,8)=5,IF($BR14&gt;=8,"◁","◀"),IF($BR14&gt;=8,"□","■")))))</f>
        <v/>
      </c>
      <c r="AE14" s="43">
        <f>IF($BS14=0,"",IF(MOD($BS14,8)=7,IF($BS14&gt;=8,"◇","◆"),IF(MOD($BS14,8)=3,IF($BS14&gt;=8,"▷","▶"),IF(MOD($BS14,8)=5,IF($BS14&gt;=8,"◁","◀"),IF($BS14&gt;=8,"□","■")))))</f>
        <v/>
      </c>
      <c r="AF14" s="43">
        <f>IF($BT14=0,"",IF(MOD($BT14,8)=7,IF($BT14&gt;=8,"◇","◆"),IF(MOD($BT14,8)=3,IF($BT14&gt;=8,"▷","▶"),IF(MOD($BT14,8)=5,IF($BT14&gt;=8,"◁","◀"),IF($BT14&gt;=8,"□","■")))))</f>
        <v/>
      </c>
      <c r="AG14" s="44">
        <f>IF($A14="","",COUNTIF($AP14:$BT14,"&gt;0"))</f>
        <v/>
      </c>
      <c r="AP14">
        <f>IF(OR($A14="",B$4=""),0,SUMPRODUCT(('01_予約入力'!$G$5:$G$204&lt;&gt;"")*('01_予約入力'!$N$5:$N$204&lt;&gt;"キャンセル")*('01_予約入力'!$B$5:$B$204=$A14)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4">
        <f>IF(OR($A14="",C$4=""),0,SUMPRODUCT(('01_予約入力'!$G$5:$G$204&lt;&gt;"")*('01_予約入力'!$N$5:$N$204&lt;&gt;"キャンセル")*('01_予約入力'!$B$5:$B$204=$A14)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4">
        <f>IF(OR($A14="",D$4=""),0,SUMPRODUCT(('01_予約入力'!$G$5:$G$204&lt;&gt;"")*('01_予約入力'!$N$5:$N$204&lt;&gt;"キャンセル")*('01_予約入力'!$B$5:$B$204=$A14)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4">
        <f>IF(OR($A14="",E$4=""),0,SUMPRODUCT(('01_予約入力'!$G$5:$G$204&lt;&gt;"")*('01_予約入力'!$N$5:$N$204&lt;&gt;"キャンセル")*('01_予約入力'!$B$5:$B$204=$A14)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4">
        <f>IF(OR($A14="",F$4=""),0,SUMPRODUCT(('01_予約入力'!$G$5:$G$204&lt;&gt;"")*('01_予約入力'!$N$5:$N$204&lt;&gt;"キャンセル")*('01_予約入力'!$B$5:$B$204=$A14)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4">
        <f>IF(OR($A14="",G$4=""),0,SUMPRODUCT(('01_予約入力'!$G$5:$G$204&lt;&gt;"")*('01_予約入力'!$N$5:$N$204&lt;&gt;"キャンセル")*('01_予約入力'!$B$5:$B$204=$A14)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4">
        <f>IF(OR($A14="",H$4=""),0,SUMPRODUCT(('01_予約入力'!$G$5:$G$204&lt;&gt;"")*('01_予約入力'!$N$5:$N$204&lt;&gt;"キャンセル")*('01_予約入力'!$B$5:$B$204=$A14)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4">
        <f>IF(OR($A14="",I$4=""),0,SUMPRODUCT(('01_予約入力'!$G$5:$G$204&lt;&gt;"")*('01_予約入力'!$N$5:$N$204&lt;&gt;"キャンセル")*('01_予約入力'!$B$5:$B$204=$A14)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4">
        <f>IF(OR($A14="",J$4=""),0,SUMPRODUCT(('01_予約入力'!$G$5:$G$204&lt;&gt;"")*('01_予約入力'!$N$5:$N$204&lt;&gt;"キャンセル")*('01_予約入力'!$B$5:$B$204=$A14)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4">
        <f>IF(OR($A14="",K$4=""),0,SUMPRODUCT(('01_予約入力'!$G$5:$G$204&lt;&gt;"")*('01_予約入力'!$N$5:$N$204&lt;&gt;"キャンセル")*('01_予約入力'!$B$5:$B$204=$A14)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4">
        <f>IF(OR($A14="",L$4=""),0,SUMPRODUCT(('01_予約入力'!$G$5:$G$204&lt;&gt;"")*('01_予約入力'!$N$5:$N$204&lt;&gt;"キャンセル")*('01_予約入力'!$B$5:$B$204=$A14)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4">
        <f>IF(OR($A14="",M$4=""),0,SUMPRODUCT(('01_予約入力'!$G$5:$G$204&lt;&gt;"")*('01_予約入力'!$N$5:$N$204&lt;&gt;"キャンセル")*('01_予約入力'!$B$5:$B$204=$A14)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4">
        <f>IF(OR($A14="",N$4=""),0,SUMPRODUCT(('01_予約入力'!$G$5:$G$204&lt;&gt;"")*('01_予約入力'!$N$5:$N$204&lt;&gt;"キャンセル")*('01_予約入力'!$B$5:$B$204=$A14)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4">
        <f>IF(OR($A14="",O$4=""),0,SUMPRODUCT(('01_予約入力'!$G$5:$G$204&lt;&gt;"")*('01_予約入力'!$N$5:$N$204&lt;&gt;"キャンセル")*('01_予約入力'!$B$5:$B$204=$A14)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4">
        <f>IF(OR($A14="",P$4=""),0,SUMPRODUCT(('01_予約入力'!$G$5:$G$204&lt;&gt;"")*('01_予約入力'!$N$5:$N$204&lt;&gt;"キャンセル")*('01_予約入力'!$B$5:$B$204=$A14)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4">
        <f>IF(OR($A14="",Q$4=""),0,SUMPRODUCT(('01_予約入力'!$G$5:$G$204&lt;&gt;"")*('01_予約入力'!$N$5:$N$204&lt;&gt;"キャンセル")*('01_予約入力'!$B$5:$B$204=$A14)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4">
        <f>IF(OR($A14="",R$4=""),0,SUMPRODUCT(('01_予約入力'!$G$5:$G$204&lt;&gt;"")*('01_予約入力'!$N$5:$N$204&lt;&gt;"キャンセル")*('01_予約入力'!$B$5:$B$204=$A14)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4">
        <f>IF(OR($A14="",S$4=""),0,SUMPRODUCT(('01_予約入力'!$G$5:$G$204&lt;&gt;"")*('01_予約入力'!$N$5:$N$204&lt;&gt;"キャンセル")*('01_予約入力'!$B$5:$B$204=$A14)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4">
        <f>IF(OR($A14="",T$4=""),0,SUMPRODUCT(('01_予約入力'!$G$5:$G$204&lt;&gt;"")*('01_予約入力'!$N$5:$N$204&lt;&gt;"キャンセル")*('01_予約入力'!$B$5:$B$204=$A14)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4">
        <f>IF(OR($A14="",U$4=""),0,SUMPRODUCT(('01_予約入力'!$G$5:$G$204&lt;&gt;"")*('01_予約入力'!$N$5:$N$204&lt;&gt;"キャンセル")*('01_予約入力'!$B$5:$B$204=$A14)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4">
        <f>IF(OR($A14="",V$4=""),0,SUMPRODUCT(('01_予約入力'!$G$5:$G$204&lt;&gt;"")*('01_予約入力'!$N$5:$N$204&lt;&gt;"キャンセル")*('01_予約入力'!$B$5:$B$204=$A14)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4">
        <f>IF(OR($A14="",W$4=""),0,SUMPRODUCT(('01_予約入力'!$G$5:$G$204&lt;&gt;"")*('01_予約入力'!$N$5:$N$204&lt;&gt;"キャンセル")*('01_予約入力'!$B$5:$B$204=$A14)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4">
        <f>IF(OR($A14="",X$4=""),0,SUMPRODUCT(('01_予約入力'!$G$5:$G$204&lt;&gt;"")*('01_予約入力'!$N$5:$N$204&lt;&gt;"キャンセル")*('01_予約入力'!$B$5:$B$204=$A14)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4">
        <f>IF(OR($A14="",Y$4=""),0,SUMPRODUCT(('01_予約入力'!$G$5:$G$204&lt;&gt;"")*('01_予約入力'!$N$5:$N$204&lt;&gt;"キャンセル")*('01_予約入力'!$B$5:$B$204=$A14)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4">
        <f>IF(OR($A14="",Z$4=""),0,SUMPRODUCT(('01_予約入力'!$G$5:$G$204&lt;&gt;"")*('01_予約入力'!$N$5:$N$204&lt;&gt;"キャンセル")*('01_予約入力'!$B$5:$B$204=$A14)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4">
        <f>IF(OR($A14="",AA$4=""),0,SUMPRODUCT(('01_予約入力'!$G$5:$G$204&lt;&gt;"")*('01_予約入力'!$N$5:$N$204&lt;&gt;"キャンセル")*('01_予約入力'!$B$5:$B$204=$A14)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4">
        <f>IF(OR($A14="",AB$4=""),0,SUMPRODUCT(('01_予約入力'!$G$5:$G$204&lt;&gt;"")*('01_予約入力'!$N$5:$N$204&lt;&gt;"キャンセル")*('01_予約入力'!$B$5:$B$204=$A14)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4">
        <f>IF(OR($A14="",AC$4=""),0,SUMPRODUCT(('01_予約入力'!$G$5:$G$204&lt;&gt;"")*('01_予約入力'!$N$5:$N$204&lt;&gt;"キャンセル")*('01_予約入力'!$B$5:$B$204=$A14)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4">
        <f>IF(OR($A14="",AD$4=""),0,SUMPRODUCT(('01_予約入力'!$G$5:$G$204&lt;&gt;"")*('01_予約入力'!$N$5:$N$204&lt;&gt;"キャンセル")*('01_予約入力'!$B$5:$B$204=$A14)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4">
        <f>IF(OR($A14="",AE$4=""),0,SUMPRODUCT(('01_予約入力'!$G$5:$G$204&lt;&gt;"")*('01_予約入力'!$N$5:$N$204&lt;&gt;"キャンセル")*('01_予約入力'!$B$5:$B$204=$A14)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4">
        <f>IF(OR($A14="",AF$4=""),0,SUMPRODUCT(('01_予約入力'!$G$5:$G$204&lt;&gt;"")*('01_予約入力'!$N$5:$N$204&lt;&gt;"キャンセル")*('01_予約入力'!$B$5:$B$204=$A14)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5" ht="19" customHeight="1">
      <c r="A15" s="42">
        <f>IF(COUNTA('利用者マスタ'!$A$4:$A$60)&gt;=9,INDEX('利用者マスタ'!$A$4:$A$60,9),"")</f>
        <v/>
      </c>
      <c r="B15" s="43">
        <f>IF($AP15=0,"",IF(MOD($AP15,8)=7,IF($AP15&gt;=8,"◇","◆"),IF(MOD($AP15,8)=3,IF($AP15&gt;=8,"▷","▶"),IF(MOD($AP15,8)=5,IF($AP15&gt;=8,"◁","◀"),IF($AP15&gt;=8,"□","■")))))</f>
        <v/>
      </c>
      <c r="C15" s="43">
        <f>IF($AQ15=0,"",IF(MOD($AQ15,8)=7,IF($AQ15&gt;=8,"◇","◆"),IF(MOD($AQ15,8)=3,IF($AQ15&gt;=8,"▷","▶"),IF(MOD($AQ15,8)=5,IF($AQ15&gt;=8,"◁","◀"),IF($AQ15&gt;=8,"□","■")))))</f>
        <v/>
      </c>
      <c r="D15" s="43">
        <f>IF($AR15=0,"",IF(MOD($AR15,8)=7,IF($AR15&gt;=8,"◇","◆"),IF(MOD($AR15,8)=3,IF($AR15&gt;=8,"▷","▶"),IF(MOD($AR15,8)=5,IF($AR15&gt;=8,"◁","◀"),IF($AR15&gt;=8,"□","■")))))</f>
        <v/>
      </c>
      <c r="E15" s="43">
        <f>IF($AS15=0,"",IF(MOD($AS15,8)=7,IF($AS15&gt;=8,"◇","◆"),IF(MOD($AS15,8)=3,IF($AS15&gt;=8,"▷","▶"),IF(MOD($AS15,8)=5,IF($AS15&gt;=8,"◁","◀"),IF($AS15&gt;=8,"□","■")))))</f>
        <v/>
      </c>
      <c r="F15" s="43">
        <f>IF($AT15=0,"",IF(MOD($AT15,8)=7,IF($AT15&gt;=8,"◇","◆"),IF(MOD($AT15,8)=3,IF($AT15&gt;=8,"▷","▶"),IF(MOD($AT15,8)=5,IF($AT15&gt;=8,"◁","◀"),IF($AT15&gt;=8,"□","■")))))</f>
        <v/>
      </c>
      <c r="G15" s="43">
        <f>IF($AU15=0,"",IF(MOD($AU15,8)=7,IF($AU15&gt;=8,"◇","◆"),IF(MOD($AU15,8)=3,IF($AU15&gt;=8,"▷","▶"),IF(MOD($AU15,8)=5,IF($AU15&gt;=8,"◁","◀"),IF($AU15&gt;=8,"□","■")))))</f>
        <v/>
      </c>
      <c r="H15" s="43">
        <f>IF($AV15=0,"",IF(MOD($AV15,8)=7,IF($AV15&gt;=8,"◇","◆"),IF(MOD($AV15,8)=3,IF($AV15&gt;=8,"▷","▶"),IF(MOD($AV15,8)=5,IF($AV15&gt;=8,"◁","◀"),IF($AV15&gt;=8,"□","■")))))</f>
        <v/>
      </c>
      <c r="I15" s="43">
        <f>IF($AW15=0,"",IF(MOD($AW15,8)=7,IF($AW15&gt;=8,"◇","◆"),IF(MOD($AW15,8)=3,IF($AW15&gt;=8,"▷","▶"),IF(MOD($AW15,8)=5,IF($AW15&gt;=8,"◁","◀"),IF($AW15&gt;=8,"□","■")))))</f>
        <v/>
      </c>
      <c r="J15" s="43">
        <f>IF($AX15=0,"",IF(MOD($AX15,8)=7,IF($AX15&gt;=8,"◇","◆"),IF(MOD($AX15,8)=3,IF($AX15&gt;=8,"▷","▶"),IF(MOD($AX15,8)=5,IF($AX15&gt;=8,"◁","◀"),IF($AX15&gt;=8,"□","■")))))</f>
        <v/>
      </c>
      <c r="K15" s="43">
        <f>IF($AY15=0,"",IF(MOD($AY15,8)=7,IF($AY15&gt;=8,"◇","◆"),IF(MOD($AY15,8)=3,IF($AY15&gt;=8,"▷","▶"),IF(MOD($AY15,8)=5,IF($AY15&gt;=8,"◁","◀"),IF($AY15&gt;=8,"□","■")))))</f>
        <v/>
      </c>
      <c r="L15" s="43">
        <f>IF($AZ15=0,"",IF(MOD($AZ15,8)=7,IF($AZ15&gt;=8,"◇","◆"),IF(MOD($AZ15,8)=3,IF($AZ15&gt;=8,"▷","▶"),IF(MOD($AZ15,8)=5,IF($AZ15&gt;=8,"◁","◀"),IF($AZ15&gt;=8,"□","■")))))</f>
        <v/>
      </c>
      <c r="M15" s="43">
        <f>IF($BA15=0,"",IF(MOD($BA15,8)=7,IF($BA15&gt;=8,"◇","◆"),IF(MOD($BA15,8)=3,IF($BA15&gt;=8,"▷","▶"),IF(MOD($BA15,8)=5,IF($BA15&gt;=8,"◁","◀"),IF($BA15&gt;=8,"□","■")))))</f>
        <v/>
      </c>
      <c r="N15" s="43">
        <f>IF($BB15=0,"",IF(MOD($BB15,8)=7,IF($BB15&gt;=8,"◇","◆"),IF(MOD($BB15,8)=3,IF($BB15&gt;=8,"▷","▶"),IF(MOD($BB15,8)=5,IF($BB15&gt;=8,"◁","◀"),IF($BB15&gt;=8,"□","■")))))</f>
        <v/>
      </c>
      <c r="O15" s="43">
        <f>IF($BC15=0,"",IF(MOD($BC15,8)=7,IF($BC15&gt;=8,"◇","◆"),IF(MOD($BC15,8)=3,IF($BC15&gt;=8,"▷","▶"),IF(MOD($BC15,8)=5,IF($BC15&gt;=8,"◁","◀"),IF($BC15&gt;=8,"□","■")))))</f>
        <v/>
      </c>
      <c r="P15" s="43">
        <f>IF($BD15=0,"",IF(MOD($BD15,8)=7,IF($BD15&gt;=8,"◇","◆"),IF(MOD($BD15,8)=3,IF($BD15&gt;=8,"▷","▶"),IF(MOD($BD15,8)=5,IF($BD15&gt;=8,"◁","◀"),IF($BD15&gt;=8,"□","■")))))</f>
        <v/>
      </c>
      <c r="Q15" s="43">
        <f>IF($BE15=0,"",IF(MOD($BE15,8)=7,IF($BE15&gt;=8,"◇","◆"),IF(MOD($BE15,8)=3,IF($BE15&gt;=8,"▷","▶"),IF(MOD($BE15,8)=5,IF($BE15&gt;=8,"◁","◀"),IF($BE15&gt;=8,"□","■")))))</f>
        <v/>
      </c>
      <c r="R15" s="43">
        <f>IF($BF15=0,"",IF(MOD($BF15,8)=7,IF($BF15&gt;=8,"◇","◆"),IF(MOD($BF15,8)=3,IF($BF15&gt;=8,"▷","▶"),IF(MOD($BF15,8)=5,IF($BF15&gt;=8,"◁","◀"),IF($BF15&gt;=8,"□","■")))))</f>
        <v/>
      </c>
      <c r="S15" s="43">
        <f>IF($BG15=0,"",IF(MOD($BG15,8)=7,IF($BG15&gt;=8,"◇","◆"),IF(MOD($BG15,8)=3,IF($BG15&gt;=8,"▷","▶"),IF(MOD($BG15,8)=5,IF($BG15&gt;=8,"◁","◀"),IF($BG15&gt;=8,"□","■")))))</f>
        <v/>
      </c>
      <c r="T15" s="43">
        <f>IF($BH15=0,"",IF(MOD($BH15,8)=7,IF($BH15&gt;=8,"◇","◆"),IF(MOD($BH15,8)=3,IF($BH15&gt;=8,"▷","▶"),IF(MOD($BH15,8)=5,IF($BH15&gt;=8,"◁","◀"),IF($BH15&gt;=8,"□","■")))))</f>
        <v/>
      </c>
      <c r="U15" s="43">
        <f>IF($BI15=0,"",IF(MOD($BI15,8)=7,IF($BI15&gt;=8,"◇","◆"),IF(MOD($BI15,8)=3,IF($BI15&gt;=8,"▷","▶"),IF(MOD($BI15,8)=5,IF($BI15&gt;=8,"◁","◀"),IF($BI15&gt;=8,"□","■")))))</f>
        <v/>
      </c>
      <c r="V15" s="43">
        <f>IF($BJ15=0,"",IF(MOD($BJ15,8)=7,IF($BJ15&gt;=8,"◇","◆"),IF(MOD($BJ15,8)=3,IF($BJ15&gt;=8,"▷","▶"),IF(MOD($BJ15,8)=5,IF($BJ15&gt;=8,"◁","◀"),IF($BJ15&gt;=8,"□","■")))))</f>
        <v/>
      </c>
      <c r="W15" s="43">
        <f>IF($BK15=0,"",IF(MOD($BK15,8)=7,IF($BK15&gt;=8,"◇","◆"),IF(MOD($BK15,8)=3,IF($BK15&gt;=8,"▷","▶"),IF(MOD($BK15,8)=5,IF($BK15&gt;=8,"◁","◀"),IF($BK15&gt;=8,"□","■")))))</f>
        <v/>
      </c>
      <c r="X15" s="43">
        <f>IF($BL15=0,"",IF(MOD($BL15,8)=7,IF($BL15&gt;=8,"◇","◆"),IF(MOD($BL15,8)=3,IF($BL15&gt;=8,"▷","▶"),IF(MOD($BL15,8)=5,IF($BL15&gt;=8,"◁","◀"),IF($BL15&gt;=8,"□","■")))))</f>
        <v/>
      </c>
      <c r="Y15" s="43">
        <f>IF($BM15=0,"",IF(MOD($BM15,8)=7,IF($BM15&gt;=8,"◇","◆"),IF(MOD($BM15,8)=3,IF($BM15&gt;=8,"▷","▶"),IF(MOD($BM15,8)=5,IF($BM15&gt;=8,"◁","◀"),IF($BM15&gt;=8,"□","■")))))</f>
        <v/>
      </c>
      <c r="Z15" s="43">
        <f>IF($BN15=0,"",IF(MOD($BN15,8)=7,IF($BN15&gt;=8,"◇","◆"),IF(MOD($BN15,8)=3,IF($BN15&gt;=8,"▷","▶"),IF(MOD($BN15,8)=5,IF($BN15&gt;=8,"◁","◀"),IF($BN15&gt;=8,"□","■")))))</f>
        <v/>
      </c>
      <c r="AA15" s="43">
        <f>IF($BO15=0,"",IF(MOD($BO15,8)=7,IF($BO15&gt;=8,"◇","◆"),IF(MOD($BO15,8)=3,IF($BO15&gt;=8,"▷","▶"),IF(MOD($BO15,8)=5,IF($BO15&gt;=8,"◁","◀"),IF($BO15&gt;=8,"□","■")))))</f>
        <v/>
      </c>
      <c r="AB15" s="43">
        <f>IF($BP15=0,"",IF(MOD($BP15,8)=7,IF($BP15&gt;=8,"◇","◆"),IF(MOD($BP15,8)=3,IF($BP15&gt;=8,"▷","▶"),IF(MOD($BP15,8)=5,IF($BP15&gt;=8,"◁","◀"),IF($BP15&gt;=8,"□","■")))))</f>
        <v/>
      </c>
      <c r="AC15" s="43">
        <f>IF($BQ15=0,"",IF(MOD($BQ15,8)=7,IF($BQ15&gt;=8,"◇","◆"),IF(MOD($BQ15,8)=3,IF($BQ15&gt;=8,"▷","▶"),IF(MOD($BQ15,8)=5,IF($BQ15&gt;=8,"◁","◀"),IF($BQ15&gt;=8,"□","■")))))</f>
        <v/>
      </c>
      <c r="AD15" s="43">
        <f>IF($BR15=0,"",IF(MOD($BR15,8)=7,IF($BR15&gt;=8,"◇","◆"),IF(MOD($BR15,8)=3,IF($BR15&gt;=8,"▷","▶"),IF(MOD($BR15,8)=5,IF($BR15&gt;=8,"◁","◀"),IF($BR15&gt;=8,"□","■")))))</f>
        <v/>
      </c>
      <c r="AE15" s="43">
        <f>IF($BS15=0,"",IF(MOD($BS15,8)=7,IF($BS15&gt;=8,"◇","◆"),IF(MOD($BS15,8)=3,IF($BS15&gt;=8,"▷","▶"),IF(MOD($BS15,8)=5,IF($BS15&gt;=8,"◁","◀"),IF($BS15&gt;=8,"□","■")))))</f>
        <v/>
      </c>
      <c r="AF15" s="43">
        <f>IF($BT15=0,"",IF(MOD($BT15,8)=7,IF($BT15&gt;=8,"◇","◆"),IF(MOD($BT15,8)=3,IF($BT15&gt;=8,"▷","▶"),IF(MOD($BT15,8)=5,IF($BT15&gt;=8,"◁","◀"),IF($BT15&gt;=8,"□","■")))))</f>
        <v/>
      </c>
      <c r="AG15" s="44">
        <f>IF($A15="","",COUNTIF($AP15:$BT15,"&gt;0"))</f>
        <v/>
      </c>
      <c r="AP15">
        <f>IF(OR($A15="",B$4=""),0,SUMPRODUCT(('01_予約入力'!$G$5:$G$204&lt;&gt;"")*('01_予約入力'!$N$5:$N$204&lt;&gt;"キャンセル")*('01_予約入力'!$B$5:$B$204=$A15)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5">
        <f>IF(OR($A15="",C$4=""),0,SUMPRODUCT(('01_予約入力'!$G$5:$G$204&lt;&gt;"")*('01_予約入力'!$N$5:$N$204&lt;&gt;"キャンセル")*('01_予約入力'!$B$5:$B$204=$A15)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5">
        <f>IF(OR($A15="",D$4=""),0,SUMPRODUCT(('01_予約入力'!$G$5:$G$204&lt;&gt;"")*('01_予約入力'!$N$5:$N$204&lt;&gt;"キャンセル")*('01_予約入力'!$B$5:$B$204=$A15)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5">
        <f>IF(OR($A15="",E$4=""),0,SUMPRODUCT(('01_予約入力'!$G$5:$G$204&lt;&gt;"")*('01_予約入力'!$N$5:$N$204&lt;&gt;"キャンセル")*('01_予約入力'!$B$5:$B$204=$A15)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5">
        <f>IF(OR($A15="",F$4=""),0,SUMPRODUCT(('01_予約入力'!$G$5:$G$204&lt;&gt;"")*('01_予約入力'!$N$5:$N$204&lt;&gt;"キャンセル")*('01_予約入力'!$B$5:$B$204=$A15)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5">
        <f>IF(OR($A15="",G$4=""),0,SUMPRODUCT(('01_予約入力'!$G$5:$G$204&lt;&gt;"")*('01_予約入力'!$N$5:$N$204&lt;&gt;"キャンセル")*('01_予約入力'!$B$5:$B$204=$A15)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5">
        <f>IF(OR($A15="",H$4=""),0,SUMPRODUCT(('01_予約入力'!$G$5:$G$204&lt;&gt;"")*('01_予約入力'!$N$5:$N$204&lt;&gt;"キャンセル")*('01_予約入力'!$B$5:$B$204=$A15)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5">
        <f>IF(OR($A15="",I$4=""),0,SUMPRODUCT(('01_予約入力'!$G$5:$G$204&lt;&gt;"")*('01_予約入力'!$N$5:$N$204&lt;&gt;"キャンセル")*('01_予約入力'!$B$5:$B$204=$A15)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5">
        <f>IF(OR($A15="",J$4=""),0,SUMPRODUCT(('01_予約入力'!$G$5:$G$204&lt;&gt;"")*('01_予約入力'!$N$5:$N$204&lt;&gt;"キャンセル")*('01_予約入力'!$B$5:$B$204=$A15)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5">
        <f>IF(OR($A15="",K$4=""),0,SUMPRODUCT(('01_予約入力'!$G$5:$G$204&lt;&gt;"")*('01_予約入力'!$N$5:$N$204&lt;&gt;"キャンセル")*('01_予約入力'!$B$5:$B$204=$A15)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5">
        <f>IF(OR($A15="",L$4=""),0,SUMPRODUCT(('01_予約入力'!$G$5:$G$204&lt;&gt;"")*('01_予約入力'!$N$5:$N$204&lt;&gt;"キャンセル")*('01_予約入力'!$B$5:$B$204=$A15)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5">
        <f>IF(OR($A15="",M$4=""),0,SUMPRODUCT(('01_予約入力'!$G$5:$G$204&lt;&gt;"")*('01_予約入力'!$N$5:$N$204&lt;&gt;"キャンセル")*('01_予約入力'!$B$5:$B$204=$A15)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5">
        <f>IF(OR($A15="",N$4=""),0,SUMPRODUCT(('01_予約入力'!$G$5:$G$204&lt;&gt;"")*('01_予約入力'!$N$5:$N$204&lt;&gt;"キャンセル")*('01_予約入力'!$B$5:$B$204=$A15)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5">
        <f>IF(OR($A15="",O$4=""),0,SUMPRODUCT(('01_予約入力'!$G$5:$G$204&lt;&gt;"")*('01_予約入力'!$N$5:$N$204&lt;&gt;"キャンセル")*('01_予約入力'!$B$5:$B$204=$A15)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5">
        <f>IF(OR($A15="",P$4=""),0,SUMPRODUCT(('01_予約入力'!$G$5:$G$204&lt;&gt;"")*('01_予約入力'!$N$5:$N$204&lt;&gt;"キャンセル")*('01_予約入力'!$B$5:$B$204=$A15)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5">
        <f>IF(OR($A15="",Q$4=""),0,SUMPRODUCT(('01_予約入力'!$G$5:$G$204&lt;&gt;"")*('01_予約入力'!$N$5:$N$204&lt;&gt;"キャンセル")*('01_予約入力'!$B$5:$B$204=$A15)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5">
        <f>IF(OR($A15="",R$4=""),0,SUMPRODUCT(('01_予約入力'!$G$5:$G$204&lt;&gt;"")*('01_予約入力'!$N$5:$N$204&lt;&gt;"キャンセル")*('01_予約入力'!$B$5:$B$204=$A15)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5">
        <f>IF(OR($A15="",S$4=""),0,SUMPRODUCT(('01_予約入力'!$G$5:$G$204&lt;&gt;"")*('01_予約入力'!$N$5:$N$204&lt;&gt;"キャンセル")*('01_予約入力'!$B$5:$B$204=$A15)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5">
        <f>IF(OR($A15="",T$4=""),0,SUMPRODUCT(('01_予約入力'!$G$5:$G$204&lt;&gt;"")*('01_予約入力'!$N$5:$N$204&lt;&gt;"キャンセル")*('01_予約入力'!$B$5:$B$204=$A15)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5">
        <f>IF(OR($A15="",U$4=""),0,SUMPRODUCT(('01_予約入力'!$G$5:$G$204&lt;&gt;"")*('01_予約入力'!$N$5:$N$204&lt;&gt;"キャンセル")*('01_予約入力'!$B$5:$B$204=$A15)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5">
        <f>IF(OR($A15="",V$4=""),0,SUMPRODUCT(('01_予約入力'!$G$5:$G$204&lt;&gt;"")*('01_予約入力'!$N$5:$N$204&lt;&gt;"キャンセル")*('01_予約入力'!$B$5:$B$204=$A15)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5">
        <f>IF(OR($A15="",W$4=""),0,SUMPRODUCT(('01_予約入力'!$G$5:$G$204&lt;&gt;"")*('01_予約入力'!$N$5:$N$204&lt;&gt;"キャンセル")*('01_予約入力'!$B$5:$B$204=$A15)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5">
        <f>IF(OR($A15="",X$4=""),0,SUMPRODUCT(('01_予約入力'!$G$5:$G$204&lt;&gt;"")*('01_予約入力'!$N$5:$N$204&lt;&gt;"キャンセル")*('01_予約入力'!$B$5:$B$204=$A15)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5">
        <f>IF(OR($A15="",Y$4=""),0,SUMPRODUCT(('01_予約入力'!$G$5:$G$204&lt;&gt;"")*('01_予約入力'!$N$5:$N$204&lt;&gt;"キャンセル")*('01_予約入力'!$B$5:$B$204=$A15)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5">
        <f>IF(OR($A15="",Z$4=""),0,SUMPRODUCT(('01_予約入力'!$G$5:$G$204&lt;&gt;"")*('01_予約入力'!$N$5:$N$204&lt;&gt;"キャンセル")*('01_予約入力'!$B$5:$B$204=$A15)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5">
        <f>IF(OR($A15="",AA$4=""),0,SUMPRODUCT(('01_予約入力'!$G$5:$G$204&lt;&gt;"")*('01_予約入力'!$N$5:$N$204&lt;&gt;"キャンセル")*('01_予約入力'!$B$5:$B$204=$A15)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5">
        <f>IF(OR($A15="",AB$4=""),0,SUMPRODUCT(('01_予約入力'!$G$5:$G$204&lt;&gt;"")*('01_予約入力'!$N$5:$N$204&lt;&gt;"キャンセル")*('01_予約入力'!$B$5:$B$204=$A15)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5">
        <f>IF(OR($A15="",AC$4=""),0,SUMPRODUCT(('01_予約入力'!$G$5:$G$204&lt;&gt;"")*('01_予約入力'!$N$5:$N$204&lt;&gt;"キャンセル")*('01_予約入力'!$B$5:$B$204=$A15)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5">
        <f>IF(OR($A15="",AD$4=""),0,SUMPRODUCT(('01_予約入力'!$G$5:$G$204&lt;&gt;"")*('01_予約入力'!$N$5:$N$204&lt;&gt;"キャンセル")*('01_予約入力'!$B$5:$B$204=$A15)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5">
        <f>IF(OR($A15="",AE$4=""),0,SUMPRODUCT(('01_予約入力'!$G$5:$G$204&lt;&gt;"")*('01_予約入力'!$N$5:$N$204&lt;&gt;"キャンセル")*('01_予約入力'!$B$5:$B$204=$A15)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5">
        <f>IF(OR($A15="",AF$4=""),0,SUMPRODUCT(('01_予約入力'!$G$5:$G$204&lt;&gt;"")*('01_予約入力'!$N$5:$N$204&lt;&gt;"キャンセル")*('01_予約入力'!$B$5:$B$204=$A15)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6" ht="19" customHeight="1">
      <c r="A16" s="42">
        <f>IF(COUNTA('利用者マスタ'!$A$4:$A$60)&gt;=10,INDEX('利用者マスタ'!$A$4:$A$60,10),"")</f>
        <v/>
      </c>
      <c r="B16" s="43">
        <f>IF($AP16=0,"",IF(MOD($AP16,8)=7,IF($AP16&gt;=8,"◇","◆"),IF(MOD($AP16,8)=3,IF($AP16&gt;=8,"▷","▶"),IF(MOD($AP16,8)=5,IF($AP16&gt;=8,"◁","◀"),IF($AP16&gt;=8,"□","■")))))</f>
        <v/>
      </c>
      <c r="C16" s="43">
        <f>IF($AQ16=0,"",IF(MOD($AQ16,8)=7,IF($AQ16&gt;=8,"◇","◆"),IF(MOD($AQ16,8)=3,IF($AQ16&gt;=8,"▷","▶"),IF(MOD($AQ16,8)=5,IF($AQ16&gt;=8,"◁","◀"),IF($AQ16&gt;=8,"□","■")))))</f>
        <v/>
      </c>
      <c r="D16" s="43">
        <f>IF($AR16=0,"",IF(MOD($AR16,8)=7,IF($AR16&gt;=8,"◇","◆"),IF(MOD($AR16,8)=3,IF($AR16&gt;=8,"▷","▶"),IF(MOD($AR16,8)=5,IF($AR16&gt;=8,"◁","◀"),IF($AR16&gt;=8,"□","■")))))</f>
        <v/>
      </c>
      <c r="E16" s="43">
        <f>IF($AS16=0,"",IF(MOD($AS16,8)=7,IF($AS16&gt;=8,"◇","◆"),IF(MOD($AS16,8)=3,IF($AS16&gt;=8,"▷","▶"),IF(MOD($AS16,8)=5,IF($AS16&gt;=8,"◁","◀"),IF($AS16&gt;=8,"□","■")))))</f>
        <v/>
      </c>
      <c r="F16" s="43">
        <f>IF($AT16=0,"",IF(MOD($AT16,8)=7,IF($AT16&gt;=8,"◇","◆"),IF(MOD($AT16,8)=3,IF($AT16&gt;=8,"▷","▶"),IF(MOD($AT16,8)=5,IF($AT16&gt;=8,"◁","◀"),IF($AT16&gt;=8,"□","■")))))</f>
        <v/>
      </c>
      <c r="G16" s="43">
        <f>IF($AU16=0,"",IF(MOD($AU16,8)=7,IF($AU16&gt;=8,"◇","◆"),IF(MOD($AU16,8)=3,IF($AU16&gt;=8,"▷","▶"),IF(MOD($AU16,8)=5,IF($AU16&gt;=8,"◁","◀"),IF($AU16&gt;=8,"□","■")))))</f>
        <v/>
      </c>
      <c r="H16" s="43">
        <f>IF($AV16=0,"",IF(MOD($AV16,8)=7,IF($AV16&gt;=8,"◇","◆"),IF(MOD($AV16,8)=3,IF($AV16&gt;=8,"▷","▶"),IF(MOD($AV16,8)=5,IF($AV16&gt;=8,"◁","◀"),IF($AV16&gt;=8,"□","■")))))</f>
        <v/>
      </c>
      <c r="I16" s="43">
        <f>IF($AW16=0,"",IF(MOD($AW16,8)=7,IF($AW16&gt;=8,"◇","◆"),IF(MOD($AW16,8)=3,IF($AW16&gt;=8,"▷","▶"),IF(MOD($AW16,8)=5,IF($AW16&gt;=8,"◁","◀"),IF($AW16&gt;=8,"□","■")))))</f>
        <v/>
      </c>
      <c r="J16" s="43">
        <f>IF($AX16=0,"",IF(MOD($AX16,8)=7,IF($AX16&gt;=8,"◇","◆"),IF(MOD($AX16,8)=3,IF($AX16&gt;=8,"▷","▶"),IF(MOD($AX16,8)=5,IF($AX16&gt;=8,"◁","◀"),IF($AX16&gt;=8,"□","■")))))</f>
        <v/>
      </c>
      <c r="K16" s="43">
        <f>IF($AY16=0,"",IF(MOD($AY16,8)=7,IF($AY16&gt;=8,"◇","◆"),IF(MOD($AY16,8)=3,IF($AY16&gt;=8,"▷","▶"),IF(MOD($AY16,8)=5,IF($AY16&gt;=8,"◁","◀"),IF($AY16&gt;=8,"□","■")))))</f>
        <v/>
      </c>
      <c r="L16" s="43">
        <f>IF($AZ16=0,"",IF(MOD($AZ16,8)=7,IF($AZ16&gt;=8,"◇","◆"),IF(MOD($AZ16,8)=3,IF($AZ16&gt;=8,"▷","▶"),IF(MOD($AZ16,8)=5,IF($AZ16&gt;=8,"◁","◀"),IF($AZ16&gt;=8,"□","■")))))</f>
        <v/>
      </c>
      <c r="M16" s="43">
        <f>IF($BA16=0,"",IF(MOD($BA16,8)=7,IF($BA16&gt;=8,"◇","◆"),IF(MOD($BA16,8)=3,IF($BA16&gt;=8,"▷","▶"),IF(MOD($BA16,8)=5,IF($BA16&gt;=8,"◁","◀"),IF($BA16&gt;=8,"□","■")))))</f>
        <v/>
      </c>
      <c r="N16" s="43">
        <f>IF($BB16=0,"",IF(MOD($BB16,8)=7,IF($BB16&gt;=8,"◇","◆"),IF(MOD($BB16,8)=3,IF($BB16&gt;=8,"▷","▶"),IF(MOD($BB16,8)=5,IF($BB16&gt;=8,"◁","◀"),IF($BB16&gt;=8,"□","■")))))</f>
        <v/>
      </c>
      <c r="O16" s="43">
        <f>IF($BC16=0,"",IF(MOD($BC16,8)=7,IF($BC16&gt;=8,"◇","◆"),IF(MOD($BC16,8)=3,IF($BC16&gt;=8,"▷","▶"),IF(MOD($BC16,8)=5,IF($BC16&gt;=8,"◁","◀"),IF($BC16&gt;=8,"□","■")))))</f>
        <v/>
      </c>
      <c r="P16" s="43">
        <f>IF($BD16=0,"",IF(MOD($BD16,8)=7,IF($BD16&gt;=8,"◇","◆"),IF(MOD($BD16,8)=3,IF($BD16&gt;=8,"▷","▶"),IF(MOD($BD16,8)=5,IF($BD16&gt;=8,"◁","◀"),IF($BD16&gt;=8,"□","■")))))</f>
        <v/>
      </c>
      <c r="Q16" s="43">
        <f>IF($BE16=0,"",IF(MOD($BE16,8)=7,IF($BE16&gt;=8,"◇","◆"),IF(MOD($BE16,8)=3,IF($BE16&gt;=8,"▷","▶"),IF(MOD($BE16,8)=5,IF($BE16&gt;=8,"◁","◀"),IF($BE16&gt;=8,"□","■")))))</f>
        <v/>
      </c>
      <c r="R16" s="43">
        <f>IF($BF16=0,"",IF(MOD($BF16,8)=7,IF($BF16&gt;=8,"◇","◆"),IF(MOD($BF16,8)=3,IF($BF16&gt;=8,"▷","▶"),IF(MOD($BF16,8)=5,IF($BF16&gt;=8,"◁","◀"),IF($BF16&gt;=8,"□","■")))))</f>
        <v/>
      </c>
      <c r="S16" s="43">
        <f>IF($BG16=0,"",IF(MOD($BG16,8)=7,IF($BG16&gt;=8,"◇","◆"),IF(MOD($BG16,8)=3,IF($BG16&gt;=8,"▷","▶"),IF(MOD($BG16,8)=5,IF($BG16&gt;=8,"◁","◀"),IF($BG16&gt;=8,"□","■")))))</f>
        <v/>
      </c>
      <c r="T16" s="43">
        <f>IF($BH16=0,"",IF(MOD($BH16,8)=7,IF($BH16&gt;=8,"◇","◆"),IF(MOD($BH16,8)=3,IF($BH16&gt;=8,"▷","▶"),IF(MOD($BH16,8)=5,IF($BH16&gt;=8,"◁","◀"),IF($BH16&gt;=8,"□","■")))))</f>
        <v/>
      </c>
      <c r="U16" s="43">
        <f>IF($BI16=0,"",IF(MOD($BI16,8)=7,IF($BI16&gt;=8,"◇","◆"),IF(MOD($BI16,8)=3,IF($BI16&gt;=8,"▷","▶"),IF(MOD($BI16,8)=5,IF($BI16&gt;=8,"◁","◀"),IF($BI16&gt;=8,"□","■")))))</f>
        <v/>
      </c>
      <c r="V16" s="43">
        <f>IF($BJ16=0,"",IF(MOD($BJ16,8)=7,IF($BJ16&gt;=8,"◇","◆"),IF(MOD($BJ16,8)=3,IF($BJ16&gt;=8,"▷","▶"),IF(MOD($BJ16,8)=5,IF($BJ16&gt;=8,"◁","◀"),IF($BJ16&gt;=8,"□","■")))))</f>
        <v/>
      </c>
      <c r="W16" s="43">
        <f>IF($BK16=0,"",IF(MOD($BK16,8)=7,IF($BK16&gt;=8,"◇","◆"),IF(MOD($BK16,8)=3,IF($BK16&gt;=8,"▷","▶"),IF(MOD($BK16,8)=5,IF($BK16&gt;=8,"◁","◀"),IF($BK16&gt;=8,"□","■")))))</f>
        <v/>
      </c>
      <c r="X16" s="43">
        <f>IF($BL16=0,"",IF(MOD($BL16,8)=7,IF($BL16&gt;=8,"◇","◆"),IF(MOD($BL16,8)=3,IF($BL16&gt;=8,"▷","▶"),IF(MOD($BL16,8)=5,IF($BL16&gt;=8,"◁","◀"),IF($BL16&gt;=8,"□","■")))))</f>
        <v/>
      </c>
      <c r="Y16" s="43">
        <f>IF($BM16=0,"",IF(MOD($BM16,8)=7,IF($BM16&gt;=8,"◇","◆"),IF(MOD($BM16,8)=3,IF($BM16&gt;=8,"▷","▶"),IF(MOD($BM16,8)=5,IF($BM16&gt;=8,"◁","◀"),IF($BM16&gt;=8,"□","■")))))</f>
        <v/>
      </c>
      <c r="Z16" s="43">
        <f>IF($BN16=0,"",IF(MOD($BN16,8)=7,IF($BN16&gt;=8,"◇","◆"),IF(MOD($BN16,8)=3,IF($BN16&gt;=8,"▷","▶"),IF(MOD($BN16,8)=5,IF($BN16&gt;=8,"◁","◀"),IF($BN16&gt;=8,"□","■")))))</f>
        <v/>
      </c>
      <c r="AA16" s="43">
        <f>IF($BO16=0,"",IF(MOD($BO16,8)=7,IF($BO16&gt;=8,"◇","◆"),IF(MOD($BO16,8)=3,IF($BO16&gt;=8,"▷","▶"),IF(MOD($BO16,8)=5,IF($BO16&gt;=8,"◁","◀"),IF($BO16&gt;=8,"□","■")))))</f>
        <v/>
      </c>
      <c r="AB16" s="43">
        <f>IF($BP16=0,"",IF(MOD($BP16,8)=7,IF($BP16&gt;=8,"◇","◆"),IF(MOD($BP16,8)=3,IF($BP16&gt;=8,"▷","▶"),IF(MOD($BP16,8)=5,IF($BP16&gt;=8,"◁","◀"),IF($BP16&gt;=8,"□","■")))))</f>
        <v/>
      </c>
      <c r="AC16" s="43">
        <f>IF($BQ16=0,"",IF(MOD($BQ16,8)=7,IF($BQ16&gt;=8,"◇","◆"),IF(MOD($BQ16,8)=3,IF($BQ16&gt;=8,"▷","▶"),IF(MOD($BQ16,8)=5,IF($BQ16&gt;=8,"◁","◀"),IF($BQ16&gt;=8,"□","■")))))</f>
        <v/>
      </c>
      <c r="AD16" s="43">
        <f>IF($BR16=0,"",IF(MOD($BR16,8)=7,IF($BR16&gt;=8,"◇","◆"),IF(MOD($BR16,8)=3,IF($BR16&gt;=8,"▷","▶"),IF(MOD($BR16,8)=5,IF($BR16&gt;=8,"◁","◀"),IF($BR16&gt;=8,"□","■")))))</f>
        <v/>
      </c>
      <c r="AE16" s="43">
        <f>IF($BS16=0,"",IF(MOD($BS16,8)=7,IF($BS16&gt;=8,"◇","◆"),IF(MOD($BS16,8)=3,IF($BS16&gt;=8,"▷","▶"),IF(MOD($BS16,8)=5,IF($BS16&gt;=8,"◁","◀"),IF($BS16&gt;=8,"□","■")))))</f>
        <v/>
      </c>
      <c r="AF16" s="43">
        <f>IF($BT16=0,"",IF(MOD($BT16,8)=7,IF($BT16&gt;=8,"◇","◆"),IF(MOD($BT16,8)=3,IF($BT16&gt;=8,"▷","▶"),IF(MOD($BT16,8)=5,IF($BT16&gt;=8,"◁","◀"),IF($BT16&gt;=8,"□","■")))))</f>
        <v/>
      </c>
      <c r="AG16" s="44">
        <f>IF($A16="","",COUNTIF($AP16:$BT16,"&gt;0"))</f>
        <v/>
      </c>
      <c r="AP16">
        <f>IF(OR($A16="",B$4=""),0,SUMPRODUCT(('01_予約入力'!$G$5:$G$204&lt;&gt;"")*('01_予約入力'!$N$5:$N$204&lt;&gt;"キャンセル")*('01_予約入力'!$B$5:$B$204=$A16)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6">
        <f>IF(OR($A16="",C$4=""),0,SUMPRODUCT(('01_予約入力'!$G$5:$G$204&lt;&gt;"")*('01_予約入力'!$N$5:$N$204&lt;&gt;"キャンセル")*('01_予約入力'!$B$5:$B$204=$A16)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6">
        <f>IF(OR($A16="",D$4=""),0,SUMPRODUCT(('01_予約入力'!$G$5:$G$204&lt;&gt;"")*('01_予約入力'!$N$5:$N$204&lt;&gt;"キャンセル")*('01_予約入力'!$B$5:$B$204=$A16)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6">
        <f>IF(OR($A16="",E$4=""),0,SUMPRODUCT(('01_予約入力'!$G$5:$G$204&lt;&gt;"")*('01_予約入力'!$N$5:$N$204&lt;&gt;"キャンセル")*('01_予約入力'!$B$5:$B$204=$A16)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6">
        <f>IF(OR($A16="",F$4=""),0,SUMPRODUCT(('01_予約入力'!$G$5:$G$204&lt;&gt;"")*('01_予約入力'!$N$5:$N$204&lt;&gt;"キャンセル")*('01_予約入力'!$B$5:$B$204=$A16)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6">
        <f>IF(OR($A16="",G$4=""),0,SUMPRODUCT(('01_予約入力'!$G$5:$G$204&lt;&gt;"")*('01_予約入力'!$N$5:$N$204&lt;&gt;"キャンセル")*('01_予約入力'!$B$5:$B$204=$A16)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6">
        <f>IF(OR($A16="",H$4=""),0,SUMPRODUCT(('01_予約入力'!$G$5:$G$204&lt;&gt;"")*('01_予約入力'!$N$5:$N$204&lt;&gt;"キャンセル")*('01_予約入力'!$B$5:$B$204=$A16)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6">
        <f>IF(OR($A16="",I$4=""),0,SUMPRODUCT(('01_予約入力'!$G$5:$G$204&lt;&gt;"")*('01_予約入力'!$N$5:$N$204&lt;&gt;"キャンセル")*('01_予約入力'!$B$5:$B$204=$A16)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6">
        <f>IF(OR($A16="",J$4=""),0,SUMPRODUCT(('01_予約入力'!$G$5:$G$204&lt;&gt;"")*('01_予約入力'!$N$5:$N$204&lt;&gt;"キャンセル")*('01_予約入力'!$B$5:$B$204=$A16)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6">
        <f>IF(OR($A16="",K$4=""),0,SUMPRODUCT(('01_予約入力'!$G$5:$G$204&lt;&gt;"")*('01_予約入力'!$N$5:$N$204&lt;&gt;"キャンセル")*('01_予約入力'!$B$5:$B$204=$A16)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6">
        <f>IF(OR($A16="",L$4=""),0,SUMPRODUCT(('01_予約入力'!$G$5:$G$204&lt;&gt;"")*('01_予約入力'!$N$5:$N$204&lt;&gt;"キャンセル")*('01_予約入力'!$B$5:$B$204=$A16)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6">
        <f>IF(OR($A16="",M$4=""),0,SUMPRODUCT(('01_予約入力'!$G$5:$G$204&lt;&gt;"")*('01_予約入力'!$N$5:$N$204&lt;&gt;"キャンセル")*('01_予約入力'!$B$5:$B$204=$A16)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6">
        <f>IF(OR($A16="",N$4=""),0,SUMPRODUCT(('01_予約入力'!$G$5:$G$204&lt;&gt;"")*('01_予約入力'!$N$5:$N$204&lt;&gt;"キャンセル")*('01_予約入力'!$B$5:$B$204=$A16)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6">
        <f>IF(OR($A16="",O$4=""),0,SUMPRODUCT(('01_予約入力'!$G$5:$G$204&lt;&gt;"")*('01_予約入力'!$N$5:$N$204&lt;&gt;"キャンセル")*('01_予約入力'!$B$5:$B$204=$A16)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6">
        <f>IF(OR($A16="",P$4=""),0,SUMPRODUCT(('01_予約入力'!$G$5:$G$204&lt;&gt;"")*('01_予約入力'!$N$5:$N$204&lt;&gt;"キャンセル")*('01_予約入力'!$B$5:$B$204=$A16)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6">
        <f>IF(OR($A16="",Q$4=""),0,SUMPRODUCT(('01_予約入力'!$G$5:$G$204&lt;&gt;"")*('01_予約入力'!$N$5:$N$204&lt;&gt;"キャンセル")*('01_予約入力'!$B$5:$B$204=$A16)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6">
        <f>IF(OR($A16="",R$4=""),0,SUMPRODUCT(('01_予約入力'!$G$5:$G$204&lt;&gt;"")*('01_予約入力'!$N$5:$N$204&lt;&gt;"キャンセル")*('01_予約入力'!$B$5:$B$204=$A16)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6">
        <f>IF(OR($A16="",S$4=""),0,SUMPRODUCT(('01_予約入力'!$G$5:$G$204&lt;&gt;"")*('01_予約入力'!$N$5:$N$204&lt;&gt;"キャンセル")*('01_予約入力'!$B$5:$B$204=$A16)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6">
        <f>IF(OR($A16="",T$4=""),0,SUMPRODUCT(('01_予約入力'!$G$5:$G$204&lt;&gt;"")*('01_予約入力'!$N$5:$N$204&lt;&gt;"キャンセル")*('01_予約入力'!$B$5:$B$204=$A16)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6">
        <f>IF(OR($A16="",U$4=""),0,SUMPRODUCT(('01_予約入力'!$G$5:$G$204&lt;&gt;"")*('01_予約入力'!$N$5:$N$204&lt;&gt;"キャンセル")*('01_予約入力'!$B$5:$B$204=$A16)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6">
        <f>IF(OR($A16="",V$4=""),0,SUMPRODUCT(('01_予約入力'!$G$5:$G$204&lt;&gt;"")*('01_予約入力'!$N$5:$N$204&lt;&gt;"キャンセル")*('01_予約入力'!$B$5:$B$204=$A16)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6">
        <f>IF(OR($A16="",W$4=""),0,SUMPRODUCT(('01_予約入力'!$G$5:$G$204&lt;&gt;"")*('01_予約入力'!$N$5:$N$204&lt;&gt;"キャンセル")*('01_予約入力'!$B$5:$B$204=$A16)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6">
        <f>IF(OR($A16="",X$4=""),0,SUMPRODUCT(('01_予約入力'!$G$5:$G$204&lt;&gt;"")*('01_予約入力'!$N$5:$N$204&lt;&gt;"キャンセル")*('01_予約入力'!$B$5:$B$204=$A16)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6">
        <f>IF(OR($A16="",Y$4=""),0,SUMPRODUCT(('01_予約入力'!$G$5:$G$204&lt;&gt;"")*('01_予約入力'!$N$5:$N$204&lt;&gt;"キャンセル")*('01_予約入力'!$B$5:$B$204=$A16)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6">
        <f>IF(OR($A16="",Z$4=""),0,SUMPRODUCT(('01_予約入力'!$G$5:$G$204&lt;&gt;"")*('01_予約入力'!$N$5:$N$204&lt;&gt;"キャンセル")*('01_予約入力'!$B$5:$B$204=$A16)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6">
        <f>IF(OR($A16="",AA$4=""),0,SUMPRODUCT(('01_予約入力'!$G$5:$G$204&lt;&gt;"")*('01_予約入力'!$N$5:$N$204&lt;&gt;"キャンセル")*('01_予約入力'!$B$5:$B$204=$A16)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6">
        <f>IF(OR($A16="",AB$4=""),0,SUMPRODUCT(('01_予約入力'!$G$5:$G$204&lt;&gt;"")*('01_予約入力'!$N$5:$N$204&lt;&gt;"キャンセル")*('01_予約入力'!$B$5:$B$204=$A16)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6">
        <f>IF(OR($A16="",AC$4=""),0,SUMPRODUCT(('01_予約入力'!$G$5:$G$204&lt;&gt;"")*('01_予約入力'!$N$5:$N$204&lt;&gt;"キャンセル")*('01_予約入力'!$B$5:$B$204=$A16)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6">
        <f>IF(OR($A16="",AD$4=""),0,SUMPRODUCT(('01_予約入力'!$G$5:$G$204&lt;&gt;"")*('01_予約入力'!$N$5:$N$204&lt;&gt;"キャンセル")*('01_予約入力'!$B$5:$B$204=$A16)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6">
        <f>IF(OR($A16="",AE$4=""),0,SUMPRODUCT(('01_予約入力'!$G$5:$G$204&lt;&gt;"")*('01_予約入力'!$N$5:$N$204&lt;&gt;"キャンセル")*('01_予約入力'!$B$5:$B$204=$A16)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6">
        <f>IF(OR($A16="",AF$4=""),0,SUMPRODUCT(('01_予約入力'!$G$5:$G$204&lt;&gt;"")*('01_予約入力'!$N$5:$N$204&lt;&gt;"キャンセル")*('01_予約入力'!$B$5:$B$204=$A16)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7" ht="19" customHeight="1">
      <c r="A17" s="42">
        <f>IF(COUNTA('利用者マスタ'!$A$4:$A$60)&gt;=11,INDEX('利用者マスタ'!$A$4:$A$60,11),"")</f>
        <v/>
      </c>
      <c r="B17" s="43">
        <f>IF($AP17=0,"",IF(MOD($AP17,8)=7,IF($AP17&gt;=8,"◇","◆"),IF(MOD($AP17,8)=3,IF($AP17&gt;=8,"▷","▶"),IF(MOD($AP17,8)=5,IF($AP17&gt;=8,"◁","◀"),IF($AP17&gt;=8,"□","■")))))</f>
        <v/>
      </c>
      <c r="C17" s="43">
        <f>IF($AQ17=0,"",IF(MOD($AQ17,8)=7,IF($AQ17&gt;=8,"◇","◆"),IF(MOD($AQ17,8)=3,IF($AQ17&gt;=8,"▷","▶"),IF(MOD($AQ17,8)=5,IF($AQ17&gt;=8,"◁","◀"),IF($AQ17&gt;=8,"□","■")))))</f>
        <v/>
      </c>
      <c r="D17" s="43">
        <f>IF($AR17=0,"",IF(MOD($AR17,8)=7,IF($AR17&gt;=8,"◇","◆"),IF(MOD($AR17,8)=3,IF($AR17&gt;=8,"▷","▶"),IF(MOD($AR17,8)=5,IF($AR17&gt;=8,"◁","◀"),IF($AR17&gt;=8,"□","■")))))</f>
        <v/>
      </c>
      <c r="E17" s="43">
        <f>IF($AS17=0,"",IF(MOD($AS17,8)=7,IF($AS17&gt;=8,"◇","◆"),IF(MOD($AS17,8)=3,IF($AS17&gt;=8,"▷","▶"),IF(MOD($AS17,8)=5,IF($AS17&gt;=8,"◁","◀"),IF($AS17&gt;=8,"□","■")))))</f>
        <v/>
      </c>
      <c r="F17" s="43">
        <f>IF($AT17=0,"",IF(MOD($AT17,8)=7,IF($AT17&gt;=8,"◇","◆"),IF(MOD($AT17,8)=3,IF($AT17&gt;=8,"▷","▶"),IF(MOD($AT17,8)=5,IF($AT17&gt;=8,"◁","◀"),IF($AT17&gt;=8,"□","■")))))</f>
        <v/>
      </c>
      <c r="G17" s="43">
        <f>IF($AU17=0,"",IF(MOD($AU17,8)=7,IF($AU17&gt;=8,"◇","◆"),IF(MOD($AU17,8)=3,IF($AU17&gt;=8,"▷","▶"),IF(MOD($AU17,8)=5,IF($AU17&gt;=8,"◁","◀"),IF($AU17&gt;=8,"□","■")))))</f>
        <v/>
      </c>
      <c r="H17" s="43">
        <f>IF($AV17=0,"",IF(MOD($AV17,8)=7,IF($AV17&gt;=8,"◇","◆"),IF(MOD($AV17,8)=3,IF($AV17&gt;=8,"▷","▶"),IF(MOD($AV17,8)=5,IF($AV17&gt;=8,"◁","◀"),IF($AV17&gt;=8,"□","■")))))</f>
        <v/>
      </c>
      <c r="I17" s="43">
        <f>IF($AW17=0,"",IF(MOD($AW17,8)=7,IF($AW17&gt;=8,"◇","◆"),IF(MOD($AW17,8)=3,IF($AW17&gt;=8,"▷","▶"),IF(MOD($AW17,8)=5,IF($AW17&gt;=8,"◁","◀"),IF($AW17&gt;=8,"□","■")))))</f>
        <v/>
      </c>
      <c r="J17" s="43">
        <f>IF($AX17=0,"",IF(MOD($AX17,8)=7,IF($AX17&gt;=8,"◇","◆"),IF(MOD($AX17,8)=3,IF($AX17&gt;=8,"▷","▶"),IF(MOD($AX17,8)=5,IF($AX17&gt;=8,"◁","◀"),IF($AX17&gt;=8,"□","■")))))</f>
        <v/>
      </c>
      <c r="K17" s="43">
        <f>IF($AY17=0,"",IF(MOD($AY17,8)=7,IF($AY17&gt;=8,"◇","◆"),IF(MOD($AY17,8)=3,IF($AY17&gt;=8,"▷","▶"),IF(MOD($AY17,8)=5,IF($AY17&gt;=8,"◁","◀"),IF($AY17&gt;=8,"□","■")))))</f>
        <v/>
      </c>
      <c r="L17" s="43">
        <f>IF($AZ17=0,"",IF(MOD($AZ17,8)=7,IF($AZ17&gt;=8,"◇","◆"),IF(MOD($AZ17,8)=3,IF($AZ17&gt;=8,"▷","▶"),IF(MOD($AZ17,8)=5,IF($AZ17&gt;=8,"◁","◀"),IF($AZ17&gt;=8,"□","■")))))</f>
        <v/>
      </c>
      <c r="M17" s="43">
        <f>IF($BA17=0,"",IF(MOD($BA17,8)=7,IF($BA17&gt;=8,"◇","◆"),IF(MOD($BA17,8)=3,IF($BA17&gt;=8,"▷","▶"),IF(MOD($BA17,8)=5,IF($BA17&gt;=8,"◁","◀"),IF($BA17&gt;=8,"□","■")))))</f>
        <v/>
      </c>
      <c r="N17" s="43">
        <f>IF($BB17=0,"",IF(MOD($BB17,8)=7,IF($BB17&gt;=8,"◇","◆"),IF(MOD($BB17,8)=3,IF($BB17&gt;=8,"▷","▶"),IF(MOD($BB17,8)=5,IF($BB17&gt;=8,"◁","◀"),IF($BB17&gt;=8,"□","■")))))</f>
        <v/>
      </c>
      <c r="O17" s="43">
        <f>IF($BC17=0,"",IF(MOD($BC17,8)=7,IF($BC17&gt;=8,"◇","◆"),IF(MOD($BC17,8)=3,IF($BC17&gt;=8,"▷","▶"),IF(MOD($BC17,8)=5,IF($BC17&gt;=8,"◁","◀"),IF($BC17&gt;=8,"□","■")))))</f>
        <v/>
      </c>
      <c r="P17" s="43">
        <f>IF($BD17=0,"",IF(MOD($BD17,8)=7,IF($BD17&gt;=8,"◇","◆"),IF(MOD($BD17,8)=3,IF($BD17&gt;=8,"▷","▶"),IF(MOD($BD17,8)=5,IF($BD17&gt;=8,"◁","◀"),IF($BD17&gt;=8,"□","■")))))</f>
        <v/>
      </c>
      <c r="Q17" s="43">
        <f>IF($BE17=0,"",IF(MOD($BE17,8)=7,IF($BE17&gt;=8,"◇","◆"),IF(MOD($BE17,8)=3,IF($BE17&gt;=8,"▷","▶"),IF(MOD($BE17,8)=5,IF($BE17&gt;=8,"◁","◀"),IF($BE17&gt;=8,"□","■")))))</f>
        <v/>
      </c>
      <c r="R17" s="43">
        <f>IF($BF17=0,"",IF(MOD($BF17,8)=7,IF($BF17&gt;=8,"◇","◆"),IF(MOD($BF17,8)=3,IF($BF17&gt;=8,"▷","▶"),IF(MOD($BF17,8)=5,IF($BF17&gt;=8,"◁","◀"),IF($BF17&gt;=8,"□","■")))))</f>
        <v/>
      </c>
      <c r="S17" s="43">
        <f>IF($BG17=0,"",IF(MOD($BG17,8)=7,IF($BG17&gt;=8,"◇","◆"),IF(MOD($BG17,8)=3,IF($BG17&gt;=8,"▷","▶"),IF(MOD($BG17,8)=5,IF($BG17&gt;=8,"◁","◀"),IF($BG17&gt;=8,"□","■")))))</f>
        <v/>
      </c>
      <c r="T17" s="43">
        <f>IF($BH17=0,"",IF(MOD($BH17,8)=7,IF($BH17&gt;=8,"◇","◆"),IF(MOD($BH17,8)=3,IF($BH17&gt;=8,"▷","▶"),IF(MOD($BH17,8)=5,IF($BH17&gt;=8,"◁","◀"),IF($BH17&gt;=8,"□","■")))))</f>
        <v/>
      </c>
      <c r="U17" s="43">
        <f>IF($BI17=0,"",IF(MOD($BI17,8)=7,IF($BI17&gt;=8,"◇","◆"),IF(MOD($BI17,8)=3,IF($BI17&gt;=8,"▷","▶"),IF(MOD($BI17,8)=5,IF($BI17&gt;=8,"◁","◀"),IF($BI17&gt;=8,"□","■")))))</f>
        <v/>
      </c>
      <c r="V17" s="43">
        <f>IF($BJ17=0,"",IF(MOD($BJ17,8)=7,IF($BJ17&gt;=8,"◇","◆"),IF(MOD($BJ17,8)=3,IF($BJ17&gt;=8,"▷","▶"),IF(MOD($BJ17,8)=5,IF($BJ17&gt;=8,"◁","◀"),IF($BJ17&gt;=8,"□","■")))))</f>
        <v/>
      </c>
      <c r="W17" s="43">
        <f>IF($BK17=0,"",IF(MOD($BK17,8)=7,IF($BK17&gt;=8,"◇","◆"),IF(MOD($BK17,8)=3,IF($BK17&gt;=8,"▷","▶"),IF(MOD($BK17,8)=5,IF($BK17&gt;=8,"◁","◀"),IF($BK17&gt;=8,"□","■")))))</f>
        <v/>
      </c>
      <c r="X17" s="43">
        <f>IF($BL17=0,"",IF(MOD($BL17,8)=7,IF($BL17&gt;=8,"◇","◆"),IF(MOD($BL17,8)=3,IF($BL17&gt;=8,"▷","▶"),IF(MOD($BL17,8)=5,IF($BL17&gt;=8,"◁","◀"),IF($BL17&gt;=8,"□","■")))))</f>
        <v/>
      </c>
      <c r="Y17" s="43">
        <f>IF($BM17=0,"",IF(MOD($BM17,8)=7,IF($BM17&gt;=8,"◇","◆"),IF(MOD($BM17,8)=3,IF($BM17&gt;=8,"▷","▶"),IF(MOD($BM17,8)=5,IF($BM17&gt;=8,"◁","◀"),IF($BM17&gt;=8,"□","■")))))</f>
        <v/>
      </c>
      <c r="Z17" s="43">
        <f>IF($BN17=0,"",IF(MOD($BN17,8)=7,IF($BN17&gt;=8,"◇","◆"),IF(MOD($BN17,8)=3,IF($BN17&gt;=8,"▷","▶"),IF(MOD($BN17,8)=5,IF($BN17&gt;=8,"◁","◀"),IF($BN17&gt;=8,"□","■")))))</f>
        <v/>
      </c>
      <c r="AA17" s="43">
        <f>IF($BO17=0,"",IF(MOD($BO17,8)=7,IF($BO17&gt;=8,"◇","◆"),IF(MOD($BO17,8)=3,IF($BO17&gt;=8,"▷","▶"),IF(MOD($BO17,8)=5,IF($BO17&gt;=8,"◁","◀"),IF($BO17&gt;=8,"□","■")))))</f>
        <v/>
      </c>
      <c r="AB17" s="43">
        <f>IF($BP17=0,"",IF(MOD($BP17,8)=7,IF($BP17&gt;=8,"◇","◆"),IF(MOD($BP17,8)=3,IF($BP17&gt;=8,"▷","▶"),IF(MOD($BP17,8)=5,IF($BP17&gt;=8,"◁","◀"),IF($BP17&gt;=8,"□","■")))))</f>
        <v/>
      </c>
      <c r="AC17" s="43">
        <f>IF($BQ17=0,"",IF(MOD($BQ17,8)=7,IF($BQ17&gt;=8,"◇","◆"),IF(MOD($BQ17,8)=3,IF($BQ17&gt;=8,"▷","▶"),IF(MOD($BQ17,8)=5,IF($BQ17&gt;=8,"◁","◀"),IF($BQ17&gt;=8,"□","■")))))</f>
        <v/>
      </c>
      <c r="AD17" s="43">
        <f>IF($BR17=0,"",IF(MOD($BR17,8)=7,IF($BR17&gt;=8,"◇","◆"),IF(MOD($BR17,8)=3,IF($BR17&gt;=8,"▷","▶"),IF(MOD($BR17,8)=5,IF($BR17&gt;=8,"◁","◀"),IF($BR17&gt;=8,"□","■")))))</f>
        <v/>
      </c>
      <c r="AE17" s="43">
        <f>IF($BS17=0,"",IF(MOD($BS17,8)=7,IF($BS17&gt;=8,"◇","◆"),IF(MOD($BS17,8)=3,IF($BS17&gt;=8,"▷","▶"),IF(MOD($BS17,8)=5,IF($BS17&gt;=8,"◁","◀"),IF($BS17&gt;=8,"□","■")))))</f>
        <v/>
      </c>
      <c r="AF17" s="43">
        <f>IF($BT17=0,"",IF(MOD($BT17,8)=7,IF($BT17&gt;=8,"◇","◆"),IF(MOD($BT17,8)=3,IF($BT17&gt;=8,"▷","▶"),IF(MOD($BT17,8)=5,IF($BT17&gt;=8,"◁","◀"),IF($BT17&gt;=8,"□","■")))))</f>
        <v/>
      </c>
      <c r="AG17" s="44">
        <f>IF($A17="","",COUNTIF($AP17:$BT17,"&gt;0"))</f>
        <v/>
      </c>
      <c r="AP17">
        <f>IF(OR($A17="",B$4=""),0,SUMPRODUCT(('01_予約入力'!$G$5:$G$204&lt;&gt;"")*('01_予約入力'!$N$5:$N$204&lt;&gt;"キャンセル")*('01_予約入力'!$B$5:$B$204=$A17)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7">
        <f>IF(OR($A17="",C$4=""),0,SUMPRODUCT(('01_予約入力'!$G$5:$G$204&lt;&gt;"")*('01_予約入力'!$N$5:$N$204&lt;&gt;"キャンセル")*('01_予約入力'!$B$5:$B$204=$A17)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7">
        <f>IF(OR($A17="",D$4=""),0,SUMPRODUCT(('01_予約入力'!$G$5:$G$204&lt;&gt;"")*('01_予約入力'!$N$5:$N$204&lt;&gt;"キャンセル")*('01_予約入力'!$B$5:$B$204=$A17)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7">
        <f>IF(OR($A17="",E$4=""),0,SUMPRODUCT(('01_予約入力'!$G$5:$G$204&lt;&gt;"")*('01_予約入力'!$N$5:$N$204&lt;&gt;"キャンセル")*('01_予約入力'!$B$5:$B$204=$A17)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7">
        <f>IF(OR($A17="",F$4=""),0,SUMPRODUCT(('01_予約入力'!$G$5:$G$204&lt;&gt;"")*('01_予約入力'!$N$5:$N$204&lt;&gt;"キャンセル")*('01_予約入力'!$B$5:$B$204=$A17)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7">
        <f>IF(OR($A17="",G$4=""),0,SUMPRODUCT(('01_予約入力'!$G$5:$G$204&lt;&gt;"")*('01_予約入力'!$N$5:$N$204&lt;&gt;"キャンセル")*('01_予約入力'!$B$5:$B$204=$A17)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7">
        <f>IF(OR($A17="",H$4=""),0,SUMPRODUCT(('01_予約入力'!$G$5:$G$204&lt;&gt;"")*('01_予約入力'!$N$5:$N$204&lt;&gt;"キャンセル")*('01_予約入力'!$B$5:$B$204=$A17)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7">
        <f>IF(OR($A17="",I$4=""),0,SUMPRODUCT(('01_予約入力'!$G$5:$G$204&lt;&gt;"")*('01_予約入力'!$N$5:$N$204&lt;&gt;"キャンセル")*('01_予約入力'!$B$5:$B$204=$A17)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7">
        <f>IF(OR($A17="",J$4=""),0,SUMPRODUCT(('01_予約入力'!$G$5:$G$204&lt;&gt;"")*('01_予約入力'!$N$5:$N$204&lt;&gt;"キャンセル")*('01_予約入力'!$B$5:$B$204=$A17)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7">
        <f>IF(OR($A17="",K$4=""),0,SUMPRODUCT(('01_予約入力'!$G$5:$G$204&lt;&gt;"")*('01_予約入力'!$N$5:$N$204&lt;&gt;"キャンセル")*('01_予約入力'!$B$5:$B$204=$A17)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7">
        <f>IF(OR($A17="",L$4=""),0,SUMPRODUCT(('01_予約入力'!$G$5:$G$204&lt;&gt;"")*('01_予約入力'!$N$5:$N$204&lt;&gt;"キャンセル")*('01_予約入力'!$B$5:$B$204=$A17)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7">
        <f>IF(OR($A17="",M$4=""),0,SUMPRODUCT(('01_予約入力'!$G$5:$G$204&lt;&gt;"")*('01_予約入力'!$N$5:$N$204&lt;&gt;"キャンセル")*('01_予約入力'!$B$5:$B$204=$A17)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7">
        <f>IF(OR($A17="",N$4=""),0,SUMPRODUCT(('01_予約入力'!$G$5:$G$204&lt;&gt;"")*('01_予約入力'!$N$5:$N$204&lt;&gt;"キャンセル")*('01_予約入力'!$B$5:$B$204=$A17)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7">
        <f>IF(OR($A17="",O$4=""),0,SUMPRODUCT(('01_予約入力'!$G$5:$G$204&lt;&gt;"")*('01_予約入力'!$N$5:$N$204&lt;&gt;"キャンセル")*('01_予約入力'!$B$5:$B$204=$A17)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7">
        <f>IF(OR($A17="",P$4=""),0,SUMPRODUCT(('01_予約入力'!$G$5:$G$204&lt;&gt;"")*('01_予約入力'!$N$5:$N$204&lt;&gt;"キャンセル")*('01_予約入力'!$B$5:$B$204=$A17)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7">
        <f>IF(OR($A17="",Q$4=""),0,SUMPRODUCT(('01_予約入力'!$G$5:$G$204&lt;&gt;"")*('01_予約入力'!$N$5:$N$204&lt;&gt;"キャンセル")*('01_予約入力'!$B$5:$B$204=$A17)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7">
        <f>IF(OR($A17="",R$4=""),0,SUMPRODUCT(('01_予約入力'!$G$5:$G$204&lt;&gt;"")*('01_予約入力'!$N$5:$N$204&lt;&gt;"キャンセル")*('01_予約入力'!$B$5:$B$204=$A17)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7">
        <f>IF(OR($A17="",S$4=""),0,SUMPRODUCT(('01_予約入力'!$G$5:$G$204&lt;&gt;"")*('01_予約入力'!$N$5:$N$204&lt;&gt;"キャンセル")*('01_予約入力'!$B$5:$B$204=$A17)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7">
        <f>IF(OR($A17="",T$4=""),0,SUMPRODUCT(('01_予約入力'!$G$5:$G$204&lt;&gt;"")*('01_予約入力'!$N$5:$N$204&lt;&gt;"キャンセル")*('01_予約入力'!$B$5:$B$204=$A17)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7">
        <f>IF(OR($A17="",U$4=""),0,SUMPRODUCT(('01_予約入力'!$G$5:$G$204&lt;&gt;"")*('01_予約入力'!$N$5:$N$204&lt;&gt;"キャンセル")*('01_予約入力'!$B$5:$B$204=$A17)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7">
        <f>IF(OR($A17="",V$4=""),0,SUMPRODUCT(('01_予約入力'!$G$5:$G$204&lt;&gt;"")*('01_予約入力'!$N$5:$N$204&lt;&gt;"キャンセル")*('01_予約入力'!$B$5:$B$204=$A17)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7">
        <f>IF(OR($A17="",W$4=""),0,SUMPRODUCT(('01_予約入力'!$G$5:$G$204&lt;&gt;"")*('01_予約入力'!$N$5:$N$204&lt;&gt;"キャンセル")*('01_予約入力'!$B$5:$B$204=$A17)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7">
        <f>IF(OR($A17="",X$4=""),0,SUMPRODUCT(('01_予約入力'!$G$5:$G$204&lt;&gt;"")*('01_予約入力'!$N$5:$N$204&lt;&gt;"キャンセル")*('01_予約入力'!$B$5:$B$204=$A17)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7">
        <f>IF(OR($A17="",Y$4=""),0,SUMPRODUCT(('01_予約入力'!$G$5:$G$204&lt;&gt;"")*('01_予約入力'!$N$5:$N$204&lt;&gt;"キャンセル")*('01_予約入力'!$B$5:$B$204=$A17)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7">
        <f>IF(OR($A17="",Z$4=""),0,SUMPRODUCT(('01_予約入力'!$G$5:$G$204&lt;&gt;"")*('01_予約入力'!$N$5:$N$204&lt;&gt;"キャンセル")*('01_予約入力'!$B$5:$B$204=$A17)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7">
        <f>IF(OR($A17="",AA$4=""),0,SUMPRODUCT(('01_予約入力'!$G$5:$G$204&lt;&gt;"")*('01_予約入力'!$N$5:$N$204&lt;&gt;"キャンセル")*('01_予約入力'!$B$5:$B$204=$A17)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7">
        <f>IF(OR($A17="",AB$4=""),0,SUMPRODUCT(('01_予約入力'!$G$5:$G$204&lt;&gt;"")*('01_予約入力'!$N$5:$N$204&lt;&gt;"キャンセル")*('01_予約入力'!$B$5:$B$204=$A17)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7">
        <f>IF(OR($A17="",AC$4=""),0,SUMPRODUCT(('01_予約入力'!$G$5:$G$204&lt;&gt;"")*('01_予約入力'!$N$5:$N$204&lt;&gt;"キャンセル")*('01_予約入力'!$B$5:$B$204=$A17)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7">
        <f>IF(OR($A17="",AD$4=""),0,SUMPRODUCT(('01_予約入力'!$G$5:$G$204&lt;&gt;"")*('01_予約入力'!$N$5:$N$204&lt;&gt;"キャンセル")*('01_予約入力'!$B$5:$B$204=$A17)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7">
        <f>IF(OR($A17="",AE$4=""),0,SUMPRODUCT(('01_予約入力'!$G$5:$G$204&lt;&gt;"")*('01_予約入力'!$N$5:$N$204&lt;&gt;"キャンセル")*('01_予約入力'!$B$5:$B$204=$A17)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7">
        <f>IF(OR($A17="",AF$4=""),0,SUMPRODUCT(('01_予約入力'!$G$5:$G$204&lt;&gt;"")*('01_予約入力'!$N$5:$N$204&lt;&gt;"キャンセル")*('01_予約入力'!$B$5:$B$204=$A17)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8" ht="19" customHeight="1">
      <c r="A18" s="42">
        <f>IF(COUNTA('利用者マスタ'!$A$4:$A$60)&gt;=12,INDEX('利用者マスタ'!$A$4:$A$60,12),"")</f>
        <v/>
      </c>
      <c r="B18" s="43">
        <f>IF($AP18=0,"",IF(MOD($AP18,8)=7,IF($AP18&gt;=8,"◇","◆"),IF(MOD($AP18,8)=3,IF($AP18&gt;=8,"▷","▶"),IF(MOD($AP18,8)=5,IF($AP18&gt;=8,"◁","◀"),IF($AP18&gt;=8,"□","■")))))</f>
        <v/>
      </c>
      <c r="C18" s="43">
        <f>IF($AQ18=0,"",IF(MOD($AQ18,8)=7,IF($AQ18&gt;=8,"◇","◆"),IF(MOD($AQ18,8)=3,IF($AQ18&gt;=8,"▷","▶"),IF(MOD($AQ18,8)=5,IF($AQ18&gt;=8,"◁","◀"),IF($AQ18&gt;=8,"□","■")))))</f>
        <v/>
      </c>
      <c r="D18" s="43">
        <f>IF($AR18=0,"",IF(MOD($AR18,8)=7,IF($AR18&gt;=8,"◇","◆"),IF(MOD($AR18,8)=3,IF($AR18&gt;=8,"▷","▶"),IF(MOD($AR18,8)=5,IF($AR18&gt;=8,"◁","◀"),IF($AR18&gt;=8,"□","■")))))</f>
        <v/>
      </c>
      <c r="E18" s="43">
        <f>IF($AS18=0,"",IF(MOD($AS18,8)=7,IF($AS18&gt;=8,"◇","◆"),IF(MOD($AS18,8)=3,IF($AS18&gt;=8,"▷","▶"),IF(MOD($AS18,8)=5,IF($AS18&gt;=8,"◁","◀"),IF($AS18&gt;=8,"□","■")))))</f>
        <v/>
      </c>
      <c r="F18" s="43">
        <f>IF($AT18=0,"",IF(MOD($AT18,8)=7,IF($AT18&gt;=8,"◇","◆"),IF(MOD($AT18,8)=3,IF($AT18&gt;=8,"▷","▶"),IF(MOD($AT18,8)=5,IF($AT18&gt;=8,"◁","◀"),IF($AT18&gt;=8,"□","■")))))</f>
        <v/>
      </c>
      <c r="G18" s="43">
        <f>IF($AU18=0,"",IF(MOD($AU18,8)=7,IF($AU18&gt;=8,"◇","◆"),IF(MOD($AU18,8)=3,IF($AU18&gt;=8,"▷","▶"),IF(MOD($AU18,8)=5,IF($AU18&gt;=8,"◁","◀"),IF($AU18&gt;=8,"□","■")))))</f>
        <v/>
      </c>
      <c r="H18" s="43">
        <f>IF($AV18=0,"",IF(MOD($AV18,8)=7,IF($AV18&gt;=8,"◇","◆"),IF(MOD($AV18,8)=3,IF($AV18&gt;=8,"▷","▶"),IF(MOD($AV18,8)=5,IF($AV18&gt;=8,"◁","◀"),IF($AV18&gt;=8,"□","■")))))</f>
        <v/>
      </c>
      <c r="I18" s="43">
        <f>IF($AW18=0,"",IF(MOD($AW18,8)=7,IF($AW18&gt;=8,"◇","◆"),IF(MOD($AW18,8)=3,IF($AW18&gt;=8,"▷","▶"),IF(MOD($AW18,8)=5,IF($AW18&gt;=8,"◁","◀"),IF($AW18&gt;=8,"□","■")))))</f>
        <v/>
      </c>
      <c r="J18" s="43">
        <f>IF($AX18=0,"",IF(MOD($AX18,8)=7,IF($AX18&gt;=8,"◇","◆"),IF(MOD($AX18,8)=3,IF($AX18&gt;=8,"▷","▶"),IF(MOD($AX18,8)=5,IF($AX18&gt;=8,"◁","◀"),IF($AX18&gt;=8,"□","■")))))</f>
        <v/>
      </c>
      <c r="K18" s="43">
        <f>IF($AY18=0,"",IF(MOD($AY18,8)=7,IF($AY18&gt;=8,"◇","◆"),IF(MOD($AY18,8)=3,IF($AY18&gt;=8,"▷","▶"),IF(MOD($AY18,8)=5,IF($AY18&gt;=8,"◁","◀"),IF($AY18&gt;=8,"□","■")))))</f>
        <v/>
      </c>
      <c r="L18" s="43">
        <f>IF($AZ18=0,"",IF(MOD($AZ18,8)=7,IF($AZ18&gt;=8,"◇","◆"),IF(MOD($AZ18,8)=3,IF($AZ18&gt;=8,"▷","▶"),IF(MOD($AZ18,8)=5,IF($AZ18&gt;=8,"◁","◀"),IF($AZ18&gt;=8,"□","■")))))</f>
        <v/>
      </c>
      <c r="M18" s="43">
        <f>IF($BA18=0,"",IF(MOD($BA18,8)=7,IF($BA18&gt;=8,"◇","◆"),IF(MOD($BA18,8)=3,IF($BA18&gt;=8,"▷","▶"),IF(MOD($BA18,8)=5,IF($BA18&gt;=8,"◁","◀"),IF($BA18&gt;=8,"□","■")))))</f>
        <v/>
      </c>
      <c r="N18" s="43">
        <f>IF($BB18=0,"",IF(MOD($BB18,8)=7,IF($BB18&gt;=8,"◇","◆"),IF(MOD($BB18,8)=3,IF($BB18&gt;=8,"▷","▶"),IF(MOD($BB18,8)=5,IF($BB18&gt;=8,"◁","◀"),IF($BB18&gt;=8,"□","■")))))</f>
        <v/>
      </c>
      <c r="O18" s="43">
        <f>IF($BC18=0,"",IF(MOD($BC18,8)=7,IF($BC18&gt;=8,"◇","◆"),IF(MOD($BC18,8)=3,IF($BC18&gt;=8,"▷","▶"),IF(MOD($BC18,8)=5,IF($BC18&gt;=8,"◁","◀"),IF($BC18&gt;=8,"□","■")))))</f>
        <v/>
      </c>
      <c r="P18" s="43">
        <f>IF($BD18=0,"",IF(MOD($BD18,8)=7,IF($BD18&gt;=8,"◇","◆"),IF(MOD($BD18,8)=3,IF($BD18&gt;=8,"▷","▶"),IF(MOD($BD18,8)=5,IF($BD18&gt;=8,"◁","◀"),IF($BD18&gt;=8,"□","■")))))</f>
        <v/>
      </c>
      <c r="Q18" s="43">
        <f>IF($BE18=0,"",IF(MOD($BE18,8)=7,IF($BE18&gt;=8,"◇","◆"),IF(MOD($BE18,8)=3,IF($BE18&gt;=8,"▷","▶"),IF(MOD($BE18,8)=5,IF($BE18&gt;=8,"◁","◀"),IF($BE18&gt;=8,"□","■")))))</f>
        <v/>
      </c>
      <c r="R18" s="43">
        <f>IF($BF18=0,"",IF(MOD($BF18,8)=7,IF($BF18&gt;=8,"◇","◆"),IF(MOD($BF18,8)=3,IF($BF18&gt;=8,"▷","▶"),IF(MOD($BF18,8)=5,IF($BF18&gt;=8,"◁","◀"),IF($BF18&gt;=8,"□","■")))))</f>
        <v/>
      </c>
      <c r="S18" s="43">
        <f>IF($BG18=0,"",IF(MOD($BG18,8)=7,IF($BG18&gt;=8,"◇","◆"),IF(MOD($BG18,8)=3,IF($BG18&gt;=8,"▷","▶"),IF(MOD($BG18,8)=5,IF($BG18&gt;=8,"◁","◀"),IF($BG18&gt;=8,"□","■")))))</f>
        <v/>
      </c>
      <c r="T18" s="43">
        <f>IF($BH18=0,"",IF(MOD($BH18,8)=7,IF($BH18&gt;=8,"◇","◆"),IF(MOD($BH18,8)=3,IF($BH18&gt;=8,"▷","▶"),IF(MOD($BH18,8)=5,IF($BH18&gt;=8,"◁","◀"),IF($BH18&gt;=8,"□","■")))))</f>
        <v/>
      </c>
      <c r="U18" s="43">
        <f>IF($BI18=0,"",IF(MOD($BI18,8)=7,IF($BI18&gt;=8,"◇","◆"),IF(MOD($BI18,8)=3,IF($BI18&gt;=8,"▷","▶"),IF(MOD($BI18,8)=5,IF($BI18&gt;=8,"◁","◀"),IF($BI18&gt;=8,"□","■")))))</f>
        <v/>
      </c>
      <c r="V18" s="43">
        <f>IF($BJ18=0,"",IF(MOD($BJ18,8)=7,IF($BJ18&gt;=8,"◇","◆"),IF(MOD($BJ18,8)=3,IF($BJ18&gt;=8,"▷","▶"),IF(MOD($BJ18,8)=5,IF($BJ18&gt;=8,"◁","◀"),IF($BJ18&gt;=8,"□","■")))))</f>
        <v/>
      </c>
      <c r="W18" s="43">
        <f>IF($BK18=0,"",IF(MOD($BK18,8)=7,IF($BK18&gt;=8,"◇","◆"),IF(MOD($BK18,8)=3,IF($BK18&gt;=8,"▷","▶"),IF(MOD($BK18,8)=5,IF($BK18&gt;=8,"◁","◀"),IF($BK18&gt;=8,"□","■")))))</f>
        <v/>
      </c>
      <c r="X18" s="43">
        <f>IF($BL18=0,"",IF(MOD($BL18,8)=7,IF($BL18&gt;=8,"◇","◆"),IF(MOD($BL18,8)=3,IF($BL18&gt;=8,"▷","▶"),IF(MOD($BL18,8)=5,IF($BL18&gt;=8,"◁","◀"),IF($BL18&gt;=8,"□","■")))))</f>
        <v/>
      </c>
      <c r="Y18" s="43">
        <f>IF($BM18=0,"",IF(MOD($BM18,8)=7,IF($BM18&gt;=8,"◇","◆"),IF(MOD($BM18,8)=3,IF($BM18&gt;=8,"▷","▶"),IF(MOD($BM18,8)=5,IF($BM18&gt;=8,"◁","◀"),IF($BM18&gt;=8,"□","■")))))</f>
        <v/>
      </c>
      <c r="Z18" s="43">
        <f>IF($BN18=0,"",IF(MOD($BN18,8)=7,IF($BN18&gt;=8,"◇","◆"),IF(MOD($BN18,8)=3,IF($BN18&gt;=8,"▷","▶"),IF(MOD($BN18,8)=5,IF($BN18&gt;=8,"◁","◀"),IF($BN18&gt;=8,"□","■")))))</f>
        <v/>
      </c>
      <c r="AA18" s="43">
        <f>IF($BO18=0,"",IF(MOD($BO18,8)=7,IF($BO18&gt;=8,"◇","◆"),IF(MOD($BO18,8)=3,IF($BO18&gt;=8,"▷","▶"),IF(MOD($BO18,8)=5,IF($BO18&gt;=8,"◁","◀"),IF($BO18&gt;=8,"□","■")))))</f>
        <v/>
      </c>
      <c r="AB18" s="43">
        <f>IF($BP18=0,"",IF(MOD($BP18,8)=7,IF($BP18&gt;=8,"◇","◆"),IF(MOD($BP18,8)=3,IF($BP18&gt;=8,"▷","▶"),IF(MOD($BP18,8)=5,IF($BP18&gt;=8,"◁","◀"),IF($BP18&gt;=8,"□","■")))))</f>
        <v/>
      </c>
      <c r="AC18" s="43">
        <f>IF($BQ18=0,"",IF(MOD($BQ18,8)=7,IF($BQ18&gt;=8,"◇","◆"),IF(MOD($BQ18,8)=3,IF($BQ18&gt;=8,"▷","▶"),IF(MOD($BQ18,8)=5,IF($BQ18&gt;=8,"◁","◀"),IF($BQ18&gt;=8,"□","■")))))</f>
        <v/>
      </c>
      <c r="AD18" s="43">
        <f>IF($BR18=0,"",IF(MOD($BR18,8)=7,IF($BR18&gt;=8,"◇","◆"),IF(MOD($BR18,8)=3,IF($BR18&gt;=8,"▷","▶"),IF(MOD($BR18,8)=5,IF($BR18&gt;=8,"◁","◀"),IF($BR18&gt;=8,"□","■")))))</f>
        <v/>
      </c>
      <c r="AE18" s="43">
        <f>IF($BS18=0,"",IF(MOD($BS18,8)=7,IF($BS18&gt;=8,"◇","◆"),IF(MOD($BS18,8)=3,IF($BS18&gt;=8,"▷","▶"),IF(MOD($BS18,8)=5,IF($BS18&gt;=8,"◁","◀"),IF($BS18&gt;=8,"□","■")))))</f>
        <v/>
      </c>
      <c r="AF18" s="43">
        <f>IF($BT18=0,"",IF(MOD($BT18,8)=7,IF($BT18&gt;=8,"◇","◆"),IF(MOD($BT18,8)=3,IF($BT18&gt;=8,"▷","▶"),IF(MOD($BT18,8)=5,IF($BT18&gt;=8,"◁","◀"),IF($BT18&gt;=8,"□","■")))))</f>
        <v/>
      </c>
      <c r="AG18" s="44">
        <f>IF($A18="","",COUNTIF($AP18:$BT18,"&gt;0"))</f>
        <v/>
      </c>
      <c r="AP18">
        <f>IF(OR($A18="",B$4=""),0,SUMPRODUCT(('01_予約入力'!$G$5:$G$204&lt;&gt;"")*('01_予約入力'!$N$5:$N$204&lt;&gt;"キャンセル")*('01_予約入力'!$B$5:$B$204=$A18)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8">
        <f>IF(OR($A18="",C$4=""),0,SUMPRODUCT(('01_予約入力'!$G$5:$G$204&lt;&gt;"")*('01_予約入力'!$N$5:$N$204&lt;&gt;"キャンセル")*('01_予約入力'!$B$5:$B$204=$A18)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8">
        <f>IF(OR($A18="",D$4=""),0,SUMPRODUCT(('01_予約入力'!$G$5:$G$204&lt;&gt;"")*('01_予約入力'!$N$5:$N$204&lt;&gt;"キャンセル")*('01_予約入力'!$B$5:$B$204=$A18)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8">
        <f>IF(OR($A18="",E$4=""),0,SUMPRODUCT(('01_予約入力'!$G$5:$G$204&lt;&gt;"")*('01_予約入力'!$N$5:$N$204&lt;&gt;"キャンセル")*('01_予約入力'!$B$5:$B$204=$A18)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8">
        <f>IF(OR($A18="",F$4=""),0,SUMPRODUCT(('01_予約入力'!$G$5:$G$204&lt;&gt;"")*('01_予約入力'!$N$5:$N$204&lt;&gt;"キャンセル")*('01_予約入力'!$B$5:$B$204=$A18)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8">
        <f>IF(OR($A18="",G$4=""),0,SUMPRODUCT(('01_予約入力'!$G$5:$G$204&lt;&gt;"")*('01_予約入力'!$N$5:$N$204&lt;&gt;"キャンセル")*('01_予約入力'!$B$5:$B$204=$A18)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8">
        <f>IF(OR($A18="",H$4=""),0,SUMPRODUCT(('01_予約入力'!$G$5:$G$204&lt;&gt;"")*('01_予約入力'!$N$5:$N$204&lt;&gt;"キャンセル")*('01_予約入力'!$B$5:$B$204=$A18)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8">
        <f>IF(OR($A18="",I$4=""),0,SUMPRODUCT(('01_予約入力'!$G$5:$G$204&lt;&gt;"")*('01_予約入力'!$N$5:$N$204&lt;&gt;"キャンセル")*('01_予約入力'!$B$5:$B$204=$A18)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8">
        <f>IF(OR($A18="",J$4=""),0,SUMPRODUCT(('01_予約入力'!$G$5:$G$204&lt;&gt;"")*('01_予約入力'!$N$5:$N$204&lt;&gt;"キャンセル")*('01_予約入力'!$B$5:$B$204=$A18)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8">
        <f>IF(OR($A18="",K$4=""),0,SUMPRODUCT(('01_予約入力'!$G$5:$G$204&lt;&gt;"")*('01_予約入力'!$N$5:$N$204&lt;&gt;"キャンセル")*('01_予約入力'!$B$5:$B$204=$A18)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8">
        <f>IF(OR($A18="",L$4=""),0,SUMPRODUCT(('01_予約入力'!$G$5:$G$204&lt;&gt;"")*('01_予約入力'!$N$5:$N$204&lt;&gt;"キャンセル")*('01_予約入力'!$B$5:$B$204=$A18)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8">
        <f>IF(OR($A18="",M$4=""),0,SUMPRODUCT(('01_予約入力'!$G$5:$G$204&lt;&gt;"")*('01_予約入力'!$N$5:$N$204&lt;&gt;"キャンセル")*('01_予約入力'!$B$5:$B$204=$A18)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8">
        <f>IF(OR($A18="",N$4=""),0,SUMPRODUCT(('01_予約入力'!$G$5:$G$204&lt;&gt;"")*('01_予約入力'!$N$5:$N$204&lt;&gt;"キャンセル")*('01_予約入力'!$B$5:$B$204=$A18)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8">
        <f>IF(OR($A18="",O$4=""),0,SUMPRODUCT(('01_予約入力'!$G$5:$G$204&lt;&gt;"")*('01_予約入力'!$N$5:$N$204&lt;&gt;"キャンセル")*('01_予約入力'!$B$5:$B$204=$A18)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8">
        <f>IF(OR($A18="",P$4=""),0,SUMPRODUCT(('01_予約入力'!$G$5:$G$204&lt;&gt;"")*('01_予約入力'!$N$5:$N$204&lt;&gt;"キャンセル")*('01_予約入力'!$B$5:$B$204=$A18)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8">
        <f>IF(OR($A18="",Q$4=""),0,SUMPRODUCT(('01_予約入力'!$G$5:$G$204&lt;&gt;"")*('01_予約入力'!$N$5:$N$204&lt;&gt;"キャンセル")*('01_予約入力'!$B$5:$B$204=$A18)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8">
        <f>IF(OR($A18="",R$4=""),0,SUMPRODUCT(('01_予約入力'!$G$5:$G$204&lt;&gt;"")*('01_予約入力'!$N$5:$N$204&lt;&gt;"キャンセル")*('01_予約入力'!$B$5:$B$204=$A18)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8">
        <f>IF(OR($A18="",S$4=""),0,SUMPRODUCT(('01_予約入力'!$G$5:$G$204&lt;&gt;"")*('01_予約入力'!$N$5:$N$204&lt;&gt;"キャンセル")*('01_予約入力'!$B$5:$B$204=$A18)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8">
        <f>IF(OR($A18="",T$4=""),0,SUMPRODUCT(('01_予約入力'!$G$5:$G$204&lt;&gt;"")*('01_予約入力'!$N$5:$N$204&lt;&gt;"キャンセル")*('01_予約入力'!$B$5:$B$204=$A18)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8">
        <f>IF(OR($A18="",U$4=""),0,SUMPRODUCT(('01_予約入力'!$G$5:$G$204&lt;&gt;"")*('01_予約入力'!$N$5:$N$204&lt;&gt;"キャンセル")*('01_予約入力'!$B$5:$B$204=$A18)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8">
        <f>IF(OR($A18="",V$4=""),0,SUMPRODUCT(('01_予約入力'!$G$5:$G$204&lt;&gt;"")*('01_予約入力'!$N$5:$N$204&lt;&gt;"キャンセル")*('01_予約入力'!$B$5:$B$204=$A18)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8">
        <f>IF(OR($A18="",W$4=""),0,SUMPRODUCT(('01_予約入力'!$G$5:$G$204&lt;&gt;"")*('01_予約入力'!$N$5:$N$204&lt;&gt;"キャンセル")*('01_予約入力'!$B$5:$B$204=$A18)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8">
        <f>IF(OR($A18="",X$4=""),0,SUMPRODUCT(('01_予約入力'!$G$5:$G$204&lt;&gt;"")*('01_予約入力'!$N$5:$N$204&lt;&gt;"キャンセル")*('01_予約入力'!$B$5:$B$204=$A18)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8">
        <f>IF(OR($A18="",Y$4=""),0,SUMPRODUCT(('01_予約入力'!$G$5:$G$204&lt;&gt;"")*('01_予約入力'!$N$5:$N$204&lt;&gt;"キャンセル")*('01_予約入力'!$B$5:$B$204=$A18)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8">
        <f>IF(OR($A18="",Z$4=""),0,SUMPRODUCT(('01_予約入力'!$G$5:$G$204&lt;&gt;"")*('01_予約入力'!$N$5:$N$204&lt;&gt;"キャンセル")*('01_予約入力'!$B$5:$B$204=$A18)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8">
        <f>IF(OR($A18="",AA$4=""),0,SUMPRODUCT(('01_予約入力'!$G$5:$G$204&lt;&gt;"")*('01_予約入力'!$N$5:$N$204&lt;&gt;"キャンセル")*('01_予約入力'!$B$5:$B$204=$A18)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8">
        <f>IF(OR($A18="",AB$4=""),0,SUMPRODUCT(('01_予約入力'!$G$5:$G$204&lt;&gt;"")*('01_予約入力'!$N$5:$N$204&lt;&gt;"キャンセル")*('01_予約入力'!$B$5:$B$204=$A18)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8">
        <f>IF(OR($A18="",AC$4=""),0,SUMPRODUCT(('01_予約入力'!$G$5:$G$204&lt;&gt;"")*('01_予約入力'!$N$5:$N$204&lt;&gt;"キャンセル")*('01_予約入力'!$B$5:$B$204=$A18)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8">
        <f>IF(OR($A18="",AD$4=""),0,SUMPRODUCT(('01_予約入力'!$G$5:$G$204&lt;&gt;"")*('01_予約入力'!$N$5:$N$204&lt;&gt;"キャンセル")*('01_予約入力'!$B$5:$B$204=$A18)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8">
        <f>IF(OR($A18="",AE$4=""),0,SUMPRODUCT(('01_予約入力'!$G$5:$G$204&lt;&gt;"")*('01_予約入力'!$N$5:$N$204&lt;&gt;"キャンセル")*('01_予約入力'!$B$5:$B$204=$A18)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8">
        <f>IF(OR($A18="",AF$4=""),0,SUMPRODUCT(('01_予約入力'!$G$5:$G$204&lt;&gt;"")*('01_予約入力'!$N$5:$N$204&lt;&gt;"キャンセル")*('01_予約入力'!$B$5:$B$204=$A18)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19" ht="19" customHeight="1">
      <c r="A19" s="42">
        <f>IF(COUNTA('利用者マスタ'!$A$4:$A$60)&gt;=13,INDEX('利用者マスタ'!$A$4:$A$60,13),"")</f>
        <v/>
      </c>
      <c r="B19" s="43">
        <f>IF($AP19=0,"",IF(MOD($AP19,8)=7,IF($AP19&gt;=8,"◇","◆"),IF(MOD($AP19,8)=3,IF($AP19&gt;=8,"▷","▶"),IF(MOD($AP19,8)=5,IF($AP19&gt;=8,"◁","◀"),IF($AP19&gt;=8,"□","■")))))</f>
        <v/>
      </c>
      <c r="C19" s="43">
        <f>IF($AQ19=0,"",IF(MOD($AQ19,8)=7,IF($AQ19&gt;=8,"◇","◆"),IF(MOD($AQ19,8)=3,IF($AQ19&gt;=8,"▷","▶"),IF(MOD($AQ19,8)=5,IF($AQ19&gt;=8,"◁","◀"),IF($AQ19&gt;=8,"□","■")))))</f>
        <v/>
      </c>
      <c r="D19" s="43">
        <f>IF($AR19=0,"",IF(MOD($AR19,8)=7,IF($AR19&gt;=8,"◇","◆"),IF(MOD($AR19,8)=3,IF($AR19&gt;=8,"▷","▶"),IF(MOD($AR19,8)=5,IF($AR19&gt;=8,"◁","◀"),IF($AR19&gt;=8,"□","■")))))</f>
        <v/>
      </c>
      <c r="E19" s="43">
        <f>IF($AS19=0,"",IF(MOD($AS19,8)=7,IF($AS19&gt;=8,"◇","◆"),IF(MOD($AS19,8)=3,IF($AS19&gt;=8,"▷","▶"),IF(MOD($AS19,8)=5,IF($AS19&gt;=8,"◁","◀"),IF($AS19&gt;=8,"□","■")))))</f>
        <v/>
      </c>
      <c r="F19" s="43">
        <f>IF($AT19=0,"",IF(MOD($AT19,8)=7,IF($AT19&gt;=8,"◇","◆"),IF(MOD($AT19,8)=3,IF($AT19&gt;=8,"▷","▶"),IF(MOD($AT19,8)=5,IF($AT19&gt;=8,"◁","◀"),IF($AT19&gt;=8,"□","■")))))</f>
        <v/>
      </c>
      <c r="G19" s="43">
        <f>IF($AU19=0,"",IF(MOD($AU19,8)=7,IF($AU19&gt;=8,"◇","◆"),IF(MOD($AU19,8)=3,IF($AU19&gt;=8,"▷","▶"),IF(MOD($AU19,8)=5,IF($AU19&gt;=8,"◁","◀"),IF($AU19&gt;=8,"□","■")))))</f>
        <v/>
      </c>
      <c r="H19" s="43">
        <f>IF($AV19=0,"",IF(MOD($AV19,8)=7,IF($AV19&gt;=8,"◇","◆"),IF(MOD($AV19,8)=3,IF($AV19&gt;=8,"▷","▶"),IF(MOD($AV19,8)=5,IF($AV19&gt;=8,"◁","◀"),IF($AV19&gt;=8,"□","■")))))</f>
        <v/>
      </c>
      <c r="I19" s="43">
        <f>IF($AW19=0,"",IF(MOD($AW19,8)=7,IF($AW19&gt;=8,"◇","◆"),IF(MOD($AW19,8)=3,IF($AW19&gt;=8,"▷","▶"),IF(MOD($AW19,8)=5,IF($AW19&gt;=8,"◁","◀"),IF($AW19&gt;=8,"□","■")))))</f>
        <v/>
      </c>
      <c r="J19" s="43">
        <f>IF($AX19=0,"",IF(MOD($AX19,8)=7,IF($AX19&gt;=8,"◇","◆"),IF(MOD($AX19,8)=3,IF($AX19&gt;=8,"▷","▶"),IF(MOD($AX19,8)=5,IF($AX19&gt;=8,"◁","◀"),IF($AX19&gt;=8,"□","■")))))</f>
        <v/>
      </c>
      <c r="K19" s="43">
        <f>IF($AY19=0,"",IF(MOD($AY19,8)=7,IF($AY19&gt;=8,"◇","◆"),IF(MOD($AY19,8)=3,IF($AY19&gt;=8,"▷","▶"),IF(MOD($AY19,8)=5,IF($AY19&gt;=8,"◁","◀"),IF($AY19&gt;=8,"□","■")))))</f>
        <v/>
      </c>
      <c r="L19" s="43">
        <f>IF($AZ19=0,"",IF(MOD($AZ19,8)=7,IF($AZ19&gt;=8,"◇","◆"),IF(MOD($AZ19,8)=3,IF($AZ19&gt;=8,"▷","▶"),IF(MOD($AZ19,8)=5,IF($AZ19&gt;=8,"◁","◀"),IF($AZ19&gt;=8,"□","■")))))</f>
        <v/>
      </c>
      <c r="M19" s="43">
        <f>IF($BA19=0,"",IF(MOD($BA19,8)=7,IF($BA19&gt;=8,"◇","◆"),IF(MOD($BA19,8)=3,IF($BA19&gt;=8,"▷","▶"),IF(MOD($BA19,8)=5,IF($BA19&gt;=8,"◁","◀"),IF($BA19&gt;=8,"□","■")))))</f>
        <v/>
      </c>
      <c r="N19" s="43">
        <f>IF($BB19=0,"",IF(MOD($BB19,8)=7,IF($BB19&gt;=8,"◇","◆"),IF(MOD($BB19,8)=3,IF($BB19&gt;=8,"▷","▶"),IF(MOD($BB19,8)=5,IF($BB19&gt;=8,"◁","◀"),IF($BB19&gt;=8,"□","■")))))</f>
        <v/>
      </c>
      <c r="O19" s="43">
        <f>IF($BC19=0,"",IF(MOD($BC19,8)=7,IF($BC19&gt;=8,"◇","◆"),IF(MOD($BC19,8)=3,IF($BC19&gt;=8,"▷","▶"),IF(MOD($BC19,8)=5,IF($BC19&gt;=8,"◁","◀"),IF($BC19&gt;=8,"□","■")))))</f>
        <v/>
      </c>
      <c r="P19" s="43">
        <f>IF($BD19=0,"",IF(MOD($BD19,8)=7,IF($BD19&gt;=8,"◇","◆"),IF(MOD($BD19,8)=3,IF($BD19&gt;=8,"▷","▶"),IF(MOD($BD19,8)=5,IF($BD19&gt;=8,"◁","◀"),IF($BD19&gt;=8,"□","■")))))</f>
        <v/>
      </c>
      <c r="Q19" s="43">
        <f>IF($BE19=0,"",IF(MOD($BE19,8)=7,IF($BE19&gt;=8,"◇","◆"),IF(MOD($BE19,8)=3,IF($BE19&gt;=8,"▷","▶"),IF(MOD($BE19,8)=5,IF($BE19&gt;=8,"◁","◀"),IF($BE19&gt;=8,"□","■")))))</f>
        <v/>
      </c>
      <c r="R19" s="43">
        <f>IF($BF19=0,"",IF(MOD($BF19,8)=7,IF($BF19&gt;=8,"◇","◆"),IF(MOD($BF19,8)=3,IF($BF19&gt;=8,"▷","▶"),IF(MOD($BF19,8)=5,IF($BF19&gt;=8,"◁","◀"),IF($BF19&gt;=8,"□","■")))))</f>
        <v/>
      </c>
      <c r="S19" s="43">
        <f>IF($BG19=0,"",IF(MOD($BG19,8)=7,IF($BG19&gt;=8,"◇","◆"),IF(MOD($BG19,8)=3,IF($BG19&gt;=8,"▷","▶"),IF(MOD($BG19,8)=5,IF($BG19&gt;=8,"◁","◀"),IF($BG19&gt;=8,"□","■")))))</f>
        <v/>
      </c>
      <c r="T19" s="43">
        <f>IF($BH19=0,"",IF(MOD($BH19,8)=7,IF($BH19&gt;=8,"◇","◆"),IF(MOD($BH19,8)=3,IF($BH19&gt;=8,"▷","▶"),IF(MOD($BH19,8)=5,IF($BH19&gt;=8,"◁","◀"),IF($BH19&gt;=8,"□","■")))))</f>
        <v/>
      </c>
      <c r="U19" s="43">
        <f>IF($BI19=0,"",IF(MOD($BI19,8)=7,IF($BI19&gt;=8,"◇","◆"),IF(MOD($BI19,8)=3,IF($BI19&gt;=8,"▷","▶"),IF(MOD($BI19,8)=5,IF($BI19&gt;=8,"◁","◀"),IF($BI19&gt;=8,"□","■")))))</f>
        <v/>
      </c>
      <c r="V19" s="43">
        <f>IF($BJ19=0,"",IF(MOD($BJ19,8)=7,IF($BJ19&gt;=8,"◇","◆"),IF(MOD($BJ19,8)=3,IF($BJ19&gt;=8,"▷","▶"),IF(MOD($BJ19,8)=5,IF($BJ19&gt;=8,"◁","◀"),IF($BJ19&gt;=8,"□","■")))))</f>
        <v/>
      </c>
      <c r="W19" s="43">
        <f>IF($BK19=0,"",IF(MOD($BK19,8)=7,IF($BK19&gt;=8,"◇","◆"),IF(MOD($BK19,8)=3,IF($BK19&gt;=8,"▷","▶"),IF(MOD($BK19,8)=5,IF($BK19&gt;=8,"◁","◀"),IF($BK19&gt;=8,"□","■")))))</f>
        <v/>
      </c>
      <c r="X19" s="43">
        <f>IF($BL19=0,"",IF(MOD($BL19,8)=7,IF($BL19&gt;=8,"◇","◆"),IF(MOD($BL19,8)=3,IF($BL19&gt;=8,"▷","▶"),IF(MOD($BL19,8)=5,IF($BL19&gt;=8,"◁","◀"),IF($BL19&gt;=8,"□","■")))))</f>
        <v/>
      </c>
      <c r="Y19" s="43">
        <f>IF($BM19=0,"",IF(MOD($BM19,8)=7,IF($BM19&gt;=8,"◇","◆"),IF(MOD($BM19,8)=3,IF($BM19&gt;=8,"▷","▶"),IF(MOD($BM19,8)=5,IF($BM19&gt;=8,"◁","◀"),IF($BM19&gt;=8,"□","■")))))</f>
        <v/>
      </c>
      <c r="Z19" s="43">
        <f>IF($BN19=0,"",IF(MOD($BN19,8)=7,IF($BN19&gt;=8,"◇","◆"),IF(MOD($BN19,8)=3,IF($BN19&gt;=8,"▷","▶"),IF(MOD($BN19,8)=5,IF($BN19&gt;=8,"◁","◀"),IF($BN19&gt;=8,"□","■")))))</f>
        <v/>
      </c>
      <c r="AA19" s="43">
        <f>IF($BO19=0,"",IF(MOD($BO19,8)=7,IF($BO19&gt;=8,"◇","◆"),IF(MOD($BO19,8)=3,IF($BO19&gt;=8,"▷","▶"),IF(MOD($BO19,8)=5,IF($BO19&gt;=8,"◁","◀"),IF($BO19&gt;=8,"□","■")))))</f>
        <v/>
      </c>
      <c r="AB19" s="43">
        <f>IF($BP19=0,"",IF(MOD($BP19,8)=7,IF($BP19&gt;=8,"◇","◆"),IF(MOD($BP19,8)=3,IF($BP19&gt;=8,"▷","▶"),IF(MOD($BP19,8)=5,IF($BP19&gt;=8,"◁","◀"),IF($BP19&gt;=8,"□","■")))))</f>
        <v/>
      </c>
      <c r="AC19" s="43">
        <f>IF($BQ19=0,"",IF(MOD($BQ19,8)=7,IF($BQ19&gt;=8,"◇","◆"),IF(MOD($BQ19,8)=3,IF($BQ19&gt;=8,"▷","▶"),IF(MOD($BQ19,8)=5,IF($BQ19&gt;=8,"◁","◀"),IF($BQ19&gt;=8,"□","■")))))</f>
        <v/>
      </c>
      <c r="AD19" s="43">
        <f>IF($BR19=0,"",IF(MOD($BR19,8)=7,IF($BR19&gt;=8,"◇","◆"),IF(MOD($BR19,8)=3,IF($BR19&gt;=8,"▷","▶"),IF(MOD($BR19,8)=5,IF($BR19&gt;=8,"◁","◀"),IF($BR19&gt;=8,"□","■")))))</f>
        <v/>
      </c>
      <c r="AE19" s="43">
        <f>IF($BS19=0,"",IF(MOD($BS19,8)=7,IF($BS19&gt;=8,"◇","◆"),IF(MOD($BS19,8)=3,IF($BS19&gt;=8,"▷","▶"),IF(MOD($BS19,8)=5,IF($BS19&gt;=8,"◁","◀"),IF($BS19&gt;=8,"□","■")))))</f>
        <v/>
      </c>
      <c r="AF19" s="43">
        <f>IF($BT19=0,"",IF(MOD($BT19,8)=7,IF($BT19&gt;=8,"◇","◆"),IF(MOD($BT19,8)=3,IF($BT19&gt;=8,"▷","▶"),IF(MOD($BT19,8)=5,IF($BT19&gt;=8,"◁","◀"),IF($BT19&gt;=8,"□","■")))))</f>
        <v/>
      </c>
      <c r="AG19" s="44">
        <f>IF($A19="","",COUNTIF($AP19:$BT19,"&gt;0"))</f>
        <v/>
      </c>
      <c r="AP19">
        <f>IF(OR($A19="",B$4=""),0,SUMPRODUCT(('01_予約入力'!$G$5:$G$204&lt;&gt;"")*('01_予約入力'!$N$5:$N$204&lt;&gt;"キャンセル")*('01_予約入力'!$B$5:$B$204=$A19)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19">
        <f>IF(OR($A19="",C$4=""),0,SUMPRODUCT(('01_予約入力'!$G$5:$G$204&lt;&gt;"")*('01_予約入力'!$N$5:$N$204&lt;&gt;"キャンセル")*('01_予約入力'!$B$5:$B$204=$A19)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19">
        <f>IF(OR($A19="",D$4=""),0,SUMPRODUCT(('01_予約入力'!$G$5:$G$204&lt;&gt;"")*('01_予約入力'!$N$5:$N$204&lt;&gt;"キャンセル")*('01_予約入力'!$B$5:$B$204=$A19)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19">
        <f>IF(OR($A19="",E$4=""),0,SUMPRODUCT(('01_予約入力'!$G$5:$G$204&lt;&gt;"")*('01_予約入力'!$N$5:$N$204&lt;&gt;"キャンセル")*('01_予約入力'!$B$5:$B$204=$A19)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19">
        <f>IF(OR($A19="",F$4=""),0,SUMPRODUCT(('01_予約入力'!$G$5:$G$204&lt;&gt;"")*('01_予約入力'!$N$5:$N$204&lt;&gt;"キャンセル")*('01_予約入力'!$B$5:$B$204=$A19)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19">
        <f>IF(OR($A19="",G$4=""),0,SUMPRODUCT(('01_予約入力'!$G$5:$G$204&lt;&gt;"")*('01_予約入力'!$N$5:$N$204&lt;&gt;"キャンセル")*('01_予約入力'!$B$5:$B$204=$A19)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19">
        <f>IF(OR($A19="",H$4=""),0,SUMPRODUCT(('01_予約入力'!$G$5:$G$204&lt;&gt;"")*('01_予約入力'!$N$5:$N$204&lt;&gt;"キャンセル")*('01_予約入力'!$B$5:$B$204=$A19)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19">
        <f>IF(OR($A19="",I$4=""),0,SUMPRODUCT(('01_予約入力'!$G$5:$G$204&lt;&gt;"")*('01_予約入力'!$N$5:$N$204&lt;&gt;"キャンセル")*('01_予約入力'!$B$5:$B$204=$A19)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19">
        <f>IF(OR($A19="",J$4=""),0,SUMPRODUCT(('01_予約入力'!$G$5:$G$204&lt;&gt;"")*('01_予約入力'!$N$5:$N$204&lt;&gt;"キャンセル")*('01_予約入力'!$B$5:$B$204=$A19)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19">
        <f>IF(OR($A19="",K$4=""),0,SUMPRODUCT(('01_予約入力'!$G$5:$G$204&lt;&gt;"")*('01_予約入力'!$N$5:$N$204&lt;&gt;"キャンセル")*('01_予約入力'!$B$5:$B$204=$A19)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19">
        <f>IF(OR($A19="",L$4=""),0,SUMPRODUCT(('01_予約入力'!$G$5:$G$204&lt;&gt;"")*('01_予約入力'!$N$5:$N$204&lt;&gt;"キャンセル")*('01_予約入力'!$B$5:$B$204=$A19)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19">
        <f>IF(OR($A19="",M$4=""),0,SUMPRODUCT(('01_予約入力'!$G$5:$G$204&lt;&gt;"")*('01_予約入力'!$N$5:$N$204&lt;&gt;"キャンセル")*('01_予約入力'!$B$5:$B$204=$A19)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19">
        <f>IF(OR($A19="",N$4=""),0,SUMPRODUCT(('01_予約入力'!$G$5:$G$204&lt;&gt;"")*('01_予約入力'!$N$5:$N$204&lt;&gt;"キャンセル")*('01_予約入力'!$B$5:$B$204=$A19)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19">
        <f>IF(OR($A19="",O$4=""),0,SUMPRODUCT(('01_予約入力'!$G$5:$G$204&lt;&gt;"")*('01_予約入力'!$N$5:$N$204&lt;&gt;"キャンセル")*('01_予約入力'!$B$5:$B$204=$A19)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19">
        <f>IF(OR($A19="",P$4=""),0,SUMPRODUCT(('01_予約入力'!$G$5:$G$204&lt;&gt;"")*('01_予約入力'!$N$5:$N$204&lt;&gt;"キャンセル")*('01_予約入力'!$B$5:$B$204=$A19)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19">
        <f>IF(OR($A19="",Q$4=""),0,SUMPRODUCT(('01_予約入力'!$G$5:$G$204&lt;&gt;"")*('01_予約入力'!$N$5:$N$204&lt;&gt;"キャンセル")*('01_予約入力'!$B$5:$B$204=$A19)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19">
        <f>IF(OR($A19="",R$4=""),0,SUMPRODUCT(('01_予約入力'!$G$5:$G$204&lt;&gt;"")*('01_予約入力'!$N$5:$N$204&lt;&gt;"キャンセル")*('01_予約入力'!$B$5:$B$204=$A19)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19">
        <f>IF(OR($A19="",S$4=""),0,SUMPRODUCT(('01_予約入力'!$G$5:$G$204&lt;&gt;"")*('01_予約入力'!$N$5:$N$204&lt;&gt;"キャンセル")*('01_予約入力'!$B$5:$B$204=$A19)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19">
        <f>IF(OR($A19="",T$4=""),0,SUMPRODUCT(('01_予約入力'!$G$5:$G$204&lt;&gt;"")*('01_予約入力'!$N$5:$N$204&lt;&gt;"キャンセル")*('01_予約入力'!$B$5:$B$204=$A19)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19">
        <f>IF(OR($A19="",U$4=""),0,SUMPRODUCT(('01_予約入力'!$G$5:$G$204&lt;&gt;"")*('01_予約入力'!$N$5:$N$204&lt;&gt;"キャンセル")*('01_予約入力'!$B$5:$B$204=$A19)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19">
        <f>IF(OR($A19="",V$4=""),0,SUMPRODUCT(('01_予約入力'!$G$5:$G$204&lt;&gt;"")*('01_予約入力'!$N$5:$N$204&lt;&gt;"キャンセル")*('01_予約入力'!$B$5:$B$204=$A19)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19">
        <f>IF(OR($A19="",W$4=""),0,SUMPRODUCT(('01_予約入力'!$G$5:$G$204&lt;&gt;"")*('01_予約入力'!$N$5:$N$204&lt;&gt;"キャンセル")*('01_予約入力'!$B$5:$B$204=$A19)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19">
        <f>IF(OR($A19="",X$4=""),0,SUMPRODUCT(('01_予約入力'!$G$5:$G$204&lt;&gt;"")*('01_予約入力'!$N$5:$N$204&lt;&gt;"キャンセル")*('01_予約入力'!$B$5:$B$204=$A19)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19">
        <f>IF(OR($A19="",Y$4=""),0,SUMPRODUCT(('01_予約入力'!$G$5:$G$204&lt;&gt;"")*('01_予約入力'!$N$5:$N$204&lt;&gt;"キャンセル")*('01_予約入力'!$B$5:$B$204=$A19)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19">
        <f>IF(OR($A19="",Z$4=""),0,SUMPRODUCT(('01_予約入力'!$G$5:$G$204&lt;&gt;"")*('01_予約入力'!$N$5:$N$204&lt;&gt;"キャンセル")*('01_予約入力'!$B$5:$B$204=$A19)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19">
        <f>IF(OR($A19="",AA$4=""),0,SUMPRODUCT(('01_予約入力'!$G$5:$G$204&lt;&gt;"")*('01_予約入力'!$N$5:$N$204&lt;&gt;"キャンセル")*('01_予約入力'!$B$5:$B$204=$A19)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19">
        <f>IF(OR($A19="",AB$4=""),0,SUMPRODUCT(('01_予約入力'!$G$5:$G$204&lt;&gt;"")*('01_予約入力'!$N$5:$N$204&lt;&gt;"キャンセル")*('01_予約入力'!$B$5:$B$204=$A19)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19">
        <f>IF(OR($A19="",AC$4=""),0,SUMPRODUCT(('01_予約入力'!$G$5:$G$204&lt;&gt;"")*('01_予約入力'!$N$5:$N$204&lt;&gt;"キャンセル")*('01_予約入力'!$B$5:$B$204=$A19)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19">
        <f>IF(OR($A19="",AD$4=""),0,SUMPRODUCT(('01_予約入力'!$G$5:$G$204&lt;&gt;"")*('01_予約入力'!$N$5:$N$204&lt;&gt;"キャンセル")*('01_予約入力'!$B$5:$B$204=$A19)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19">
        <f>IF(OR($A19="",AE$4=""),0,SUMPRODUCT(('01_予約入力'!$G$5:$G$204&lt;&gt;"")*('01_予約入力'!$N$5:$N$204&lt;&gt;"キャンセル")*('01_予約入力'!$B$5:$B$204=$A19)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19">
        <f>IF(OR($A19="",AF$4=""),0,SUMPRODUCT(('01_予約入力'!$G$5:$G$204&lt;&gt;"")*('01_予約入力'!$N$5:$N$204&lt;&gt;"キャンセル")*('01_予約入力'!$B$5:$B$204=$A19)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0" ht="19" customHeight="1">
      <c r="A20" s="42">
        <f>IF(COUNTA('利用者マスタ'!$A$4:$A$60)&gt;=14,INDEX('利用者マスタ'!$A$4:$A$60,14),"")</f>
        <v/>
      </c>
      <c r="B20" s="43">
        <f>IF($AP20=0,"",IF(MOD($AP20,8)=7,IF($AP20&gt;=8,"◇","◆"),IF(MOD($AP20,8)=3,IF($AP20&gt;=8,"▷","▶"),IF(MOD($AP20,8)=5,IF($AP20&gt;=8,"◁","◀"),IF($AP20&gt;=8,"□","■")))))</f>
        <v/>
      </c>
      <c r="C20" s="43">
        <f>IF($AQ20=0,"",IF(MOD($AQ20,8)=7,IF($AQ20&gt;=8,"◇","◆"),IF(MOD($AQ20,8)=3,IF($AQ20&gt;=8,"▷","▶"),IF(MOD($AQ20,8)=5,IF($AQ20&gt;=8,"◁","◀"),IF($AQ20&gt;=8,"□","■")))))</f>
        <v/>
      </c>
      <c r="D20" s="43">
        <f>IF($AR20=0,"",IF(MOD($AR20,8)=7,IF($AR20&gt;=8,"◇","◆"),IF(MOD($AR20,8)=3,IF($AR20&gt;=8,"▷","▶"),IF(MOD($AR20,8)=5,IF($AR20&gt;=8,"◁","◀"),IF($AR20&gt;=8,"□","■")))))</f>
        <v/>
      </c>
      <c r="E20" s="43">
        <f>IF($AS20=0,"",IF(MOD($AS20,8)=7,IF($AS20&gt;=8,"◇","◆"),IF(MOD($AS20,8)=3,IF($AS20&gt;=8,"▷","▶"),IF(MOD($AS20,8)=5,IF($AS20&gt;=8,"◁","◀"),IF($AS20&gt;=8,"□","■")))))</f>
        <v/>
      </c>
      <c r="F20" s="43">
        <f>IF($AT20=0,"",IF(MOD($AT20,8)=7,IF($AT20&gt;=8,"◇","◆"),IF(MOD($AT20,8)=3,IF($AT20&gt;=8,"▷","▶"),IF(MOD($AT20,8)=5,IF($AT20&gt;=8,"◁","◀"),IF($AT20&gt;=8,"□","■")))))</f>
        <v/>
      </c>
      <c r="G20" s="43">
        <f>IF($AU20=0,"",IF(MOD($AU20,8)=7,IF($AU20&gt;=8,"◇","◆"),IF(MOD($AU20,8)=3,IF($AU20&gt;=8,"▷","▶"),IF(MOD($AU20,8)=5,IF($AU20&gt;=8,"◁","◀"),IF($AU20&gt;=8,"□","■")))))</f>
        <v/>
      </c>
      <c r="H20" s="43">
        <f>IF($AV20=0,"",IF(MOD($AV20,8)=7,IF($AV20&gt;=8,"◇","◆"),IF(MOD($AV20,8)=3,IF($AV20&gt;=8,"▷","▶"),IF(MOD($AV20,8)=5,IF($AV20&gt;=8,"◁","◀"),IF($AV20&gt;=8,"□","■")))))</f>
        <v/>
      </c>
      <c r="I20" s="43">
        <f>IF($AW20=0,"",IF(MOD($AW20,8)=7,IF($AW20&gt;=8,"◇","◆"),IF(MOD($AW20,8)=3,IF($AW20&gt;=8,"▷","▶"),IF(MOD($AW20,8)=5,IF($AW20&gt;=8,"◁","◀"),IF($AW20&gt;=8,"□","■")))))</f>
        <v/>
      </c>
      <c r="J20" s="43">
        <f>IF($AX20=0,"",IF(MOD($AX20,8)=7,IF($AX20&gt;=8,"◇","◆"),IF(MOD($AX20,8)=3,IF($AX20&gt;=8,"▷","▶"),IF(MOD($AX20,8)=5,IF($AX20&gt;=8,"◁","◀"),IF($AX20&gt;=8,"□","■")))))</f>
        <v/>
      </c>
      <c r="K20" s="43">
        <f>IF($AY20=0,"",IF(MOD($AY20,8)=7,IF($AY20&gt;=8,"◇","◆"),IF(MOD($AY20,8)=3,IF($AY20&gt;=8,"▷","▶"),IF(MOD($AY20,8)=5,IF($AY20&gt;=8,"◁","◀"),IF($AY20&gt;=8,"□","■")))))</f>
        <v/>
      </c>
      <c r="L20" s="43">
        <f>IF($AZ20=0,"",IF(MOD($AZ20,8)=7,IF($AZ20&gt;=8,"◇","◆"),IF(MOD($AZ20,8)=3,IF($AZ20&gt;=8,"▷","▶"),IF(MOD($AZ20,8)=5,IF($AZ20&gt;=8,"◁","◀"),IF($AZ20&gt;=8,"□","■")))))</f>
        <v/>
      </c>
      <c r="M20" s="43">
        <f>IF($BA20=0,"",IF(MOD($BA20,8)=7,IF($BA20&gt;=8,"◇","◆"),IF(MOD($BA20,8)=3,IF($BA20&gt;=8,"▷","▶"),IF(MOD($BA20,8)=5,IF($BA20&gt;=8,"◁","◀"),IF($BA20&gt;=8,"□","■")))))</f>
        <v/>
      </c>
      <c r="N20" s="43">
        <f>IF($BB20=0,"",IF(MOD($BB20,8)=7,IF($BB20&gt;=8,"◇","◆"),IF(MOD($BB20,8)=3,IF($BB20&gt;=8,"▷","▶"),IF(MOD($BB20,8)=5,IF($BB20&gt;=8,"◁","◀"),IF($BB20&gt;=8,"□","■")))))</f>
        <v/>
      </c>
      <c r="O20" s="43">
        <f>IF($BC20=0,"",IF(MOD($BC20,8)=7,IF($BC20&gt;=8,"◇","◆"),IF(MOD($BC20,8)=3,IF($BC20&gt;=8,"▷","▶"),IF(MOD($BC20,8)=5,IF($BC20&gt;=8,"◁","◀"),IF($BC20&gt;=8,"□","■")))))</f>
        <v/>
      </c>
      <c r="P20" s="43">
        <f>IF($BD20=0,"",IF(MOD($BD20,8)=7,IF($BD20&gt;=8,"◇","◆"),IF(MOD($BD20,8)=3,IF($BD20&gt;=8,"▷","▶"),IF(MOD($BD20,8)=5,IF($BD20&gt;=8,"◁","◀"),IF($BD20&gt;=8,"□","■")))))</f>
        <v/>
      </c>
      <c r="Q20" s="43">
        <f>IF($BE20=0,"",IF(MOD($BE20,8)=7,IF($BE20&gt;=8,"◇","◆"),IF(MOD($BE20,8)=3,IF($BE20&gt;=8,"▷","▶"),IF(MOD($BE20,8)=5,IF($BE20&gt;=8,"◁","◀"),IF($BE20&gt;=8,"□","■")))))</f>
        <v/>
      </c>
      <c r="R20" s="43">
        <f>IF($BF20=0,"",IF(MOD($BF20,8)=7,IF($BF20&gt;=8,"◇","◆"),IF(MOD($BF20,8)=3,IF($BF20&gt;=8,"▷","▶"),IF(MOD($BF20,8)=5,IF($BF20&gt;=8,"◁","◀"),IF($BF20&gt;=8,"□","■")))))</f>
        <v/>
      </c>
      <c r="S20" s="43">
        <f>IF($BG20=0,"",IF(MOD($BG20,8)=7,IF($BG20&gt;=8,"◇","◆"),IF(MOD($BG20,8)=3,IF($BG20&gt;=8,"▷","▶"),IF(MOD($BG20,8)=5,IF($BG20&gt;=8,"◁","◀"),IF($BG20&gt;=8,"□","■")))))</f>
        <v/>
      </c>
      <c r="T20" s="43">
        <f>IF($BH20=0,"",IF(MOD($BH20,8)=7,IF($BH20&gt;=8,"◇","◆"),IF(MOD($BH20,8)=3,IF($BH20&gt;=8,"▷","▶"),IF(MOD($BH20,8)=5,IF($BH20&gt;=8,"◁","◀"),IF($BH20&gt;=8,"□","■")))))</f>
        <v/>
      </c>
      <c r="U20" s="43">
        <f>IF($BI20=0,"",IF(MOD($BI20,8)=7,IF($BI20&gt;=8,"◇","◆"),IF(MOD($BI20,8)=3,IF($BI20&gt;=8,"▷","▶"),IF(MOD($BI20,8)=5,IF($BI20&gt;=8,"◁","◀"),IF($BI20&gt;=8,"□","■")))))</f>
        <v/>
      </c>
      <c r="V20" s="43">
        <f>IF($BJ20=0,"",IF(MOD($BJ20,8)=7,IF($BJ20&gt;=8,"◇","◆"),IF(MOD($BJ20,8)=3,IF($BJ20&gt;=8,"▷","▶"),IF(MOD($BJ20,8)=5,IF($BJ20&gt;=8,"◁","◀"),IF($BJ20&gt;=8,"□","■")))))</f>
        <v/>
      </c>
      <c r="W20" s="43">
        <f>IF($BK20=0,"",IF(MOD($BK20,8)=7,IF($BK20&gt;=8,"◇","◆"),IF(MOD($BK20,8)=3,IF($BK20&gt;=8,"▷","▶"),IF(MOD($BK20,8)=5,IF($BK20&gt;=8,"◁","◀"),IF($BK20&gt;=8,"□","■")))))</f>
        <v/>
      </c>
      <c r="X20" s="43">
        <f>IF($BL20=0,"",IF(MOD($BL20,8)=7,IF($BL20&gt;=8,"◇","◆"),IF(MOD($BL20,8)=3,IF($BL20&gt;=8,"▷","▶"),IF(MOD($BL20,8)=5,IF($BL20&gt;=8,"◁","◀"),IF($BL20&gt;=8,"□","■")))))</f>
        <v/>
      </c>
      <c r="Y20" s="43">
        <f>IF($BM20=0,"",IF(MOD($BM20,8)=7,IF($BM20&gt;=8,"◇","◆"),IF(MOD($BM20,8)=3,IF($BM20&gt;=8,"▷","▶"),IF(MOD($BM20,8)=5,IF($BM20&gt;=8,"◁","◀"),IF($BM20&gt;=8,"□","■")))))</f>
        <v/>
      </c>
      <c r="Z20" s="43">
        <f>IF($BN20=0,"",IF(MOD($BN20,8)=7,IF($BN20&gt;=8,"◇","◆"),IF(MOD($BN20,8)=3,IF($BN20&gt;=8,"▷","▶"),IF(MOD($BN20,8)=5,IF($BN20&gt;=8,"◁","◀"),IF($BN20&gt;=8,"□","■")))))</f>
        <v/>
      </c>
      <c r="AA20" s="43">
        <f>IF($BO20=0,"",IF(MOD($BO20,8)=7,IF($BO20&gt;=8,"◇","◆"),IF(MOD($BO20,8)=3,IF($BO20&gt;=8,"▷","▶"),IF(MOD($BO20,8)=5,IF($BO20&gt;=8,"◁","◀"),IF($BO20&gt;=8,"□","■")))))</f>
        <v/>
      </c>
      <c r="AB20" s="43">
        <f>IF($BP20=0,"",IF(MOD($BP20,8)=7,IF($BP20&gt;=8,"◇","◆"),IF(MOD($BP20,8)=3,IF($BP20&gt;=8,"▷","▶"),IF(MOD($BP20,8)=5,IF($BP20&gt;=8,"◁","◀"),IF($BP20&gt;=8,"□","■")))))</f>
        <v/>
      </c>
      <c r="AC20" s="43">
        <f>IF($BQ20=0,"",IF(MOD($BQ20,8)=7,IF($BQ20&gt;=8,"◇","◆"),IF(MOD($BQ20,8)=3,IF($BQ20&gt;=8,"▷","▶"),IF(MOD($BQ20,8)=5,IF($BQ20&gt;=8,"◁","◀"),IF($BQ20&gt;=8,"□","■")))))</f>
        <v/>
      </c>
      <c r="AD20" s="43">
        <f>IF($BR20=0,"",IF(MOD($BR20,8)=7,IF($BR20&gt;=8,"◇","◆"),IF(MOD($BR20,8)=3,IF($BR20&gt;=8,"▷","▶"),IF(MOD($BR20,8)=5,IF($BR20&gt;=8,"◁","◀"),IF($BR20&gt;=8,"□","■")))))</f>
        <v/>
      </c>
      <c r="AE20" s="43">
        <f>IF($BS20=0,"",IF(MOD($BS20,8)=7,IF($BS20&gt;=8,"◇","◆"),IF(MOD($BS20,8)=3,IF($BS20&gt;=8,"▷","▶"),IF(MOD($BS20,8)=5,IF($BS20&gt;=8,"◁","◀"),IF($BS20&gt;=8,"□","■")))))</f>
        <v/>
      </c>
      <c r="AF20" s="43">
        <f>IF($BT20=0,"",IF(MOD($BT20,8)=7,IF($BT20&gt;=8,"◇","◆"),IF(MOD($BT20,8)=3,IF($BT20&gt;=8,"▷","▶"),IF(MOD($BT20,8)=5,IF($BT20&gt;=8,"◁","◀"),IF($BT20&gt;=8,"□","■")))))</f>
        <v/>
      </c>
      <c r="AG20" s="44">
        <f>IF($A20="","",COUNTIF($AP20:$BT20,"&gt;0"))</f>
        <v/>
      </c>
      <c r="AP20">
        <f>IF(OR($A20="",B$4=""),0,SUMPRODUCT(('01_予約入力'!$G$5:$G$204&lt;&gt;"")*('01_予約入力'!$N$5:$N$204&lt;&gt;"キャンセル")*('01_予約入力'!$B$5:$B$204=$A20)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0">
        <f>IF(OR($A20="",C$4=""),0,SUMPRODUCT(('01_予約入力'!$G$5:$G$204&lt;&gt;"")*('01_予約入力'!$N$5:$N$204&lt;&gt;"キャンセル")*('01_予約入力'!$B$5:$B$204=$A20)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0">
        <f>IF(OR($A20="",D$4=""),0,SUMPRODUCT(('01_予約入力'!$G$5:$G$204&lt;&gt;"")*('01_予約入力'!$N$5:$N$204&lt;&gt;"キャンセル")*('01_予約入力'!$B$5:$B$204=$A20)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0">
        <f>IF(OR($A20="",E$4=""),0,SUMPRODUCT(('01_予約入力'!$G$5:$G$204&lt;&gt;"")*('01_予約入力'!$N$5:$N$204&lt;&gt;"キャンセル")*('01_予約入力'!$B$5:$B$204=$A20)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0">
        <f>IF(OR($A20="",F$4=""),0,SUMPRODUCT(('01_予約入力'!$G$5:$G$204&lt;&gt;"")*('01_予約入力'!$N$5:$N$204&lt;&gt;"キャンセル")*('01_予約入力'!$B$5:$B$204=$A20)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0">
        <f>IF(OR($A20="",G$4=""),0,SUMPRODUCT(('01_予約入力'!$G$5:$G$204&lt;&gt;"")*('01_予約入力'!$N$5:$N$204&lt;&gt;"キャンセル")*('01_予約入力'!$B$5:$B$204=$A20)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0">
        <f>IF(OR($A20="",H$4=""),0,SUMPRODUCT(('01_予約入力'!$G$5:$G$204&lt;&gt;"")*('01_予約入力'!$N$5:$N$204&lt;&gt;"キャンセル")*('01_予約入力'!$B$5:$B$204=$A20)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0">
        <f>IF(OR($A20="",I$4=""),0,SUMPRODUCT(('01_予約入力'!$G$5:$G$204&lt;&gt;"")*('01_予約入力'!$N$5:$N$204&lt;&gt;"キャンセル")*('01_予約入力'!$B$5:$B$204=$A20)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0">
        <f>IF(OR($A20="",J$4=""),0,SUMPRODUCT(('01_予約入力'!$G$5:$G$204&lt;&gt;"")*('01_予約入力'!$N$5:$N$204&lt;&gt;"キャンセル")*('01_予約入力'!$B$5:$B$204=$A20)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0">
        <f>IF(OR($A20="",K$4=""),0,SUMPRODUCT(('01_予約入力'!$G$5:$G$204&lt;&gt;"")*('01_予約入力'!$N$5:$N$204&lt;&gt;"キャンセル")*('01_予約入力'!$B$5:$B$204=$A20)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0">
        <f>IF(OR($A20="",L$4=""),0,SUMPRODUCT(('01_予約入力'!$G$5:$G$204&lt;&gt;"")*('01_予約入力'!$N$5:$N$204&lt;&gt;"キャンセル")*('01_予約入力'!$B$5:$B$204=$A20)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0">
        <f>IF(OR($A20="",M$4=""),0,SUMPRODUCT(('01_予約入力'!$G$5:$G$204&lt;&gt;"")*('01_予約入力'!$N$5:$N$204&lt;&gt;"キャンセル")*('01_予約入力'!$B$5:$B$204=$A20)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0">
        <f>IF(OR($A20="",N$4=""),0,SUMPRODUCT(('01_予約入力'!$G$5:$G$204&lt;&gt;"")*('01_予約入力'!$N$5:$N$204&lt;&gt;"キャンセル")*('01_予約入力'!$B$5:$B$204=$A20)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0">
        <f>IF(OR($A20="",O$4=""),0,SUMPRODUCT(('01_予約入力'!$G$5:$G$204&lt;&gt;"")*('01_予約入力'!$N$5:$N$204&lt;&gt;"キャンセル")*('01_予約入力'!$B$5:$B$204=$A20)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0">
        <f>IF(OR($A20="",P$4=""),0,SUMPRODUCT(('01_予約入力'!$G$5:$G$204&lt;&gt;"")*('01_予約入力'!$N$5:$N$204&lt;&gt;"キャンセル")*('01_予約入力'!$B$5:$B$204=$A20)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0">
        <f>IF(OR($A20="",Q$4=""),0,SUMPRODUCT(('01_予約入力'!$G$5:$G$204&lt;&gt;"")*('01_予約入力'!$N$5:$N$204&lt;&gt;"キャンセル")*('01_予約入力'!$B$5:$B$204=$A20)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0">
        <f>IF(OR($A20="",R$4=""),0,SUMPRODUCT(('01_予約入力'!$G$5:$G$204&lt;&gt;"")*('01_予約入力'!$N$5:$N$204&lt;&gt;"キャンセル")*('01_予約入力'!$B$5:$B$204=$A20)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0">
        <f>IF(OR($A20="",S$4=""),0,SUMPRODUCT(('01_予約入力'!$G$5:$G$204&lt;&gt;"")*('01_予約入力'!$N$5:$N$204&lt;&gt;"キャンセル")*('01_予約入力'!$B$5:$B$204=$A20)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0">
        <f>IF(OR($A20="",T$4=""),0,SUMPRODUCT(('01_予約入力'!$G$5:$G$204&lt;&gt;"")*('01_予約入力'!$N$5:$N$204&lt;&gt;"キャンセル")*('01_予約入力'!$B$5:$B$204=$A20)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0">
        <f>IF(OR($A20="",U$4=""),0,SUMPRODUCT(('01_予約入力'!$G$5:$G$204&lt;&gt;"")*('01_予約入力'!$N$5:$N$204&lt;&gt;"キャンセル")*('01_予約入力'!$B$5:$B$204=$A20)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0">
        <f>IF(OR($A20="",V$4=""),0,SUMPRODUCT(('01_予約入力'!$G$5:$G$204&lt;&gt;"")*('01_予約入力'!$N$5:$N$204&lt;&gt;"キャンセル")*('01_予約入力'!$B$5:$B$204=$A20)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0">
        <f>IF(OR($A20="",W$4=""),0,SUMPRODUCT(('01_予約入力'!$G$5:$G$204&lt;&gt;"")*('01_予約入力'!$N$5:$N$204&lt;&gt;"キャンセル")*('01_予約入力'!$B$5:$B$204=$A20)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0">
        <f>IF(OR($A20="",X$4=""),0,SUMPRODUCT(('01_予約入力'!$G$5:$G$204&lt;&gt;"")*('01_予約入力'!$N$5:$N$204&lt;&gt;"キャンセル")*('01_予約入力'!$B$5:$B$204=$A20)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0">
        <f>IF(OR($A20="",Y$4=""),0,SUMPRODUCT(('01_予約入力'!$G$5:$G$204&lt;&gt;"")*('01_予約入力'!$N$5:$N$204&lt;&gt;"キャンセル")*('01_予約入力'!$B$5:$B$204=$A20)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0">
        <f>IF(OR($A20="",Z$4=""),0,SUMPRODUCT(('01_予約入力'!$G$5:$G$204&lt;&gt;"")*('01_予約入力'!$N$5:$N$204&lt;&gt;"キャンセル")*('01_予約入力'!$B$5:$B$204=$A20)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0">
        <f>IF(OR($A20="",AA$4=""),0,SUMPRODUCT(('01_予約入力'!$G$5:$G$204&lt;&gt;"")*('01_予約入力'!$N$5:$N$204&lt;&gt;"キャンセル")*('01_予約入力'!$B$5:$B$204=$A20)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0">
        <f>IF(OR($A20="",AB$4=""),0,SUMPRODUCT(('01_予約入力'!$G$5:$G$204&lt;&gt;"")*('01_予約入力'!$N$5:$N$204&lt;&gt;"キャンセル")*('01_予約入力'!$B$5:$B$204=$A20)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0">
        <f>IF(OR($A20="",AC$4=""),0,SUMPRODUCT(('01_予約入力'!$G$5:$G$204&lt;&gt;"")*('01_予約入力'!$N$5:$N$204&lt;&gt;"キャンセル")*('01_予約入力'!$B$5:$B$204=$A20)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0">
        <f>IF(OR($A20="",AD$4=""),0,SUMPRODUCT(('01_予約入力'!$G$5:$G$204&lt;&gt;"")*('01_予約入力'!$N$5:$N$204&lt;&gt;"キャンセル")*('01_予約入力'!$B$5:$B$204=$A20)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0">
        <f>IF(OR($A20="",AE$4=""),0,SUMPRODUCT(('01_予約入力'!$G$5:$G$204&lt;&gt;"")*('01_予約入力'!$N$5:$N$204&lt;&gt;"キャンセル")*('01_予約入力'!$B$5:$B$204=$A20)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0">
        <f>IF(OR($A20="",AF$4=""),0,SUMPRODUCT(('01_予約入力'!$G$5:$G$204&lt;&gt;"")*('01_予約入力'!$N$5:$N$204&lt;&gt;"キャンセル")*('01_予約入力'!$B$5:$B$204=$A20)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1" ht="19" customHeight="1">
      <c r="A21" s="42">
        <f>IF(COUNTA('利用者マスタ'!$A$4:$A$60)&gt;=15,INDEX('利用者マスタ'!$A$4:$A$60,15),"")</f>
        <v/>
      </c>
      <c r="B21" s="43">
        <f>IF($AP21=0,"",IF(MOD($AP21,8)=7,IF($AP21&gt;=8,"◇","◆"),IF(MOD($AP21,8)=3,IF($AP21&gt;=8,"▷","▶"),IF(MOD($AP21,8)=5,IF($AP21&gt;=8,"◁","◀"),IF($AP21&gt;=8,"□","■")))))</f>
        <v/>
      </c>
      <c r="C21" s="43">
        <f>IF($AQ21=0,"",IF(MOD($AQ21,8)=7,IF($AQ21&gt;=8,"◇","◆"),IF(MOD($AQ21,8)=3,IF($AQ21&gt;=8,"▷","▶"),IF(MOD($AQ21,8)=5,IF($AQ21&gt;=8,"◁","◀"),IF($AQ21&gt;=8,"□","■")))))</f>
        <v/>
      </c>
      <c r="D21" s="43">
        <f>IF($AR21=0,"",IF(MOD($AR21,8)=7,IF($AR21&gt;=8,"◇","◆"),IF(MOD($AR21,8)=3,IF($AR21&gt;=8,"▷","▶"),IF(MOD($AR21,8)=5,IF($AR21&gt;=8,"◁","◀"),IF($AR21&gt;=8,"□","■")))))</f>
        <v/>
      </c>
      <c r="E21" s="43">
        <f>IF($AS21=0,"",IF(MOD($AS21,8)=7,IF($AS21&gt;=8,"◇","◆"),IF(MOD($AS21,8)=3,IF($AS21&gt;=8,"▷","▶"),IF(MOD($AS21,8)=5,IF($AS21&gt;=8,"◁","◀"),IF($AS21&gt;=8,"□","■")))))</f>
        <v/>
      </c>
      <c r="F21" s="43">
        <f>IF($AT21=0,"",IF(MOD($AT21,8)=7,IF($AT21&gt;=8,"◇","◆"),IF(MOD($AT21,8)=3,IF($AT21&gt;=8,"▷","▶"),IF(MOD($AT21,8)=5,IF($AT21&gt;=8,"◁","◀"),IF($AT21&gt;=8,"□","■")))))</f>
        <v/>
      </c>
      <c r="G21" s="43">
        <f>IF($AU21=0,"",IF(MOD($AU21,8)=7,IF($AU21&gt;=8,"◇","◆"),IF(MOD($AU21,8)=3,IF($AU21&gt;=8,"▷","▶"),IF(MOD($AU21,8)=5,IF($AU21&gt;=8,"◁","◀"),IF($AU21&gt;=8,"□","■")))))</f>
        <v/>
      </c>
      <c r="H21" s="43">
        <f>IF($AV21=0,"",IF(MOD($AV21,8)=7,IF($AV21&gt;=8,"◇","◆"),IF(MOD($AV21,8)=3,IF($AV21&gt;=8,"▷","▶"),IF(MOD($AV21,8)=5,IF($AV21&gt;=8,"◁","◀"),IF($AV21&gt;=8,"□","■")))))</f>
        <v/>
      </c>
      <c r="I21" s="43">
        <f>IF($AW21=0,"",IF(MOD($AW21,8)=7,IF($AW21&gt;=8,"◇","◆"),IF(MOD($AW21,8)=3,IF($AW21&gt;=8,"▷","▶"),IF(MOD($AW21,8)=5,IF($AW21&gt;=8,"◁","◀"),IF($AW21&gt;=8,"□","■")))))</f>
        <v/>
      </c>
      <c r="J21" s="43">
        <f>IF($AX21=0,"",IF(MOD($AX21,8)=7,IF($AX21&gt;=8,"◇","◆"),IF(MOD($AX21,8)=3,IF($AX21&gt;=8,"▷","▶"),IF(MOD($AX21,8)=5,IF($AX21&gt;=8,"◁","◀"),IF($AX21&gt;=8,"□","■")))))</f>
        <v/>
      </c>
      <c r="K21" s="43">
        <f>IF($AY21=0,"",IF(MOD($AY21,8)=7,IF($AY21&gt;=8,"◇","◆"),IF(MOD($AY21,8)=3,IF($AY21&gt;=8,"▷","▶"),IF(MOD($AY21,8)=5,IF($AY21&gt;=8,"◁","◀"),IF($AY21&gt;=8,"□","■")))))</f>
        <v/>
      </c>
      <c r="L21" s="43">
        <f>IF($AZ21=0,"",IF(MOD($AZ21,8)=7,IF($AZ21&gt;=8,"◇","◆"),IF(MOD($AZ21,8)=3,IF($AZ21&gt;=8,"▷","▶"),IF(MOD($AZ21,8)=5,IF($AZ21&gt;=8,"◁","◀"),IF($AZ21&gt;=8,"□","■")))))</f>
        <v/>
      </c>
      <c r="M21" s="43">
        <f>IF($BA21=0,"",IF(MOD($BA21,8)=7,IF($BA21&gt;=8,"◇","◆"),IF(MOD($BA21,8)=3,IF($BA21&gt;=8,"▷","▶"),IF(MOD($BA21,8)=5,IF($BA21&gt;=8,"◁","◀"),IF($BA21&gt;=8,"□","■")))))</f>
        <v/>
      </c>
      <c r="N21" s="43">
        <f>IF($BB21=0,"",IF(MOD($BB21,8)=7,IF($BB21&gt;=8,"◇","◆"),IF(MOD($BB21,8)=3,IF($BB21&gt;=8,"▷","▶"),IF(MOD($BB21,8)=5,IF($BB21&gt;=8,"◁","◀"),IF($BB21&gt;=8,"□","■")))))</f>
        <v/>
      </c>
      <c r="O21" s="43">
        <f>IF($BC21=0,"",IF(MOD($BC21,8)=7,IF($BC21&gt;=8,"◇","◆"),IF(MOD($BC21,8)=3,IF($BC21&gt;=8,"▷","▶"),IF(MOD($BC21,8)=5,IF($BC21&gt;=8,"◁","◀"),IF($BC21&gt;=8,"□","■")))))</f>
        <v/>
      </c>
      <c r="P21" s="43">
        <f>IF($BD21=0,"",IF(MOD($BD21,8)=7,IF($BD21&gt;=8,"◇","◆"),IF(MOD($BD21,8)=3,IF($BD21&gt;=8,"▷","▶"),IF(MOD($BD21,8)=5,IF($BD21&gt;=8,"◁","◀"),IF($BD21&gt;=8,"□","■")))))</f>
        <v/>
      </c>
      <c r="Q21" s="43">
        <f>IF($BE21=0,"",IF(MOD($BE21,8)=7,IF($BE21&gt;=8,"◇","◆"),IF(MOD($BE21,8)=3,IF($BE21&gt;=8,"▷","▶"),IF(MOD($BE21,8)=5,IF($BE21&gt;=8,"◁","◀"),IF($BE21&gt;=8,"□","■")))))</f>
        <v/>
      </c>
      <c r="R21" s="43">
        <f>IF($BF21=0,"",IF(MOD($BF21,8)=7,IF($BF21&gt;=8,"◇","◆"),IF(MOD($BF21,8)=3,IF($BF21&gt;=8,"▷","▶"),IF(MOD($BF21,8)=5,IF($BF21&gt;=8,"◁","◀"),IF($BF21&gt;=8,"□","■")))))</f>
        <v/>
      </c>
      <c r="S21" s="43">
        <f>IF($BG21=0,"",IF(MOD($BG21,8)=7,IF($BG21&gt;=8,"◇","◆"),IF(MOD($BG21,8)=3,IF($BG21&gt;=8,"▷","▶"),IF(MOD($BG21,8)=5,IF($BG21&gt;=8,"◁","◀"),IF($BG21&gt;=8,"□","■")))))</f>
        <v/>
      </c>
      <c r="T21" s="43">
        <f>IF($BH21=0,"",IF(MOD($BH21,8)=7,IF($BH21&gt;=8,"◇","◆"),IF(MOD($BH21,8)=3,IF($BH21&gt;=8,"▷","▶"),IF(MOD($BH21,8)=5,IF($BH21&gt;=8,"◁","◀"),IF($BH21&gt;=8,"□","■")))))</f>
        <v/>
      </c>
      <c r="U21" s="43">
        <f>IF($BI21=0,"",IF(MOD($BI21,8)=7,IF($BI21&gt;=8,"◇","◆"),IF(MOD($BI21,8)=3,IF($BI21&gt;=8,"▷","▶"),IF(MOD($BI21,8)=5,IF($BI21&gt;=8,"◁","◀"),IF($BI21&gt;=8,"□","■")))))</f>
        <v/>
      </c>
      <c r="V21" s="43">
        <f>IF($BJ21=0,"",IF(MOD($BJ21,8)=7,IF($BJ21&gt;=8,"◇","◆"),IF(MOD($BJ21,8)=3,IF($BJ21&gt;=8,"▷","▶"),IF(MOD($BJ21,8)=5,IF($BJ21&gt;=8,"◁","◀"),IF($BJ21&gt;=8,"□","■")))))</f>
        <v/>
      </c>
      <c r="W21" s="43">
        <f>IF($BK21=0,"",IF(MOD($BK21,8)=7,IF($BK21&gt;=8,"◇","◆"),IF(MOD($BK21,8)=3,IF($BK21&gt;=8,"▷","▶"),IF(MOD($BK21,8)=5,IF($BK21&gt;=8,"◁","◀"),IF($BK21&gt;=8,"□","■")))))</f>
        <v/>
      </c>
      <c r="X21" s="43">
        <f>IF($BL21=0,"",IF(MOD($BL21,8)=7,IF($BL21&gt;=8,"◇","◆"),IF(MOD($BL21,8)=3,IF($BL21&gt;=8,"▷","▶"),IF(MOD($BL21,8)=5,IF($BL21&gt;=8,"◁","◀"),IF($BL21&gt;=8,"□","■")))))</f>
        <v/>
      </c>
      <c r="Y21" s="43">
        <f>IF($BM21=0,"",IF(MOD($BM21,8)=7,IF($BM21&gt;=8,"◇","◆"),IF(MOD($BM21,8)=3,IF($BM21&gt;=8,"▷","▶"),IF(MOD($BM21,8)=5,IF($BM21&gt;=8,"◁","◀"),IF($BM21&gt;=8,"□","■")))))</f>
        <v/>
      </c>
      <c r="Z21" s="43">
        <f>IF($BN21=0,"",IF(MOD($BN21,8)=7,IF($BN21&gt;=8,"◇","◆"),IF(MOD($BN21,8)=3,IF($BN21&gt;=8,"▷","▶"),IF(MOD($BN21,8)=5,IF($BN21&gt;=8,"◁","◀"),IF($BN21&gt;=8,"□","■")))))</f>
        <v/>
      </c>
      <c r="AA21" s="43">
        <f>IF($BO21=0,"",IF(MOD($BO21,8)=7,IF($BO21&gt;=8,"◇","◆"),IF(MOD($BO21,8)=3,IF($BO21&gt;=8,"▷","▶"),IF(MOD($BO21,8)=5,IF($BO21&gt;=8,"◁","◀"),IF($BO21&gt;=8,"□","■")))))</f>
        <v/>
      </c>
      <c r="AB21" s="43">
        <f>IF($BP21=0,"",IF(MOD($BP21,8)=7,IF($BP21&gt;=8,"◇","◆"),IF(MOD($BP21,8)=3,IF($BP21&gt;=8,"▷","▶"),IF(MOD($BP21,8)=5,IF($BP21&gt;=8,"◁","◀"),IF($BP21&gt;=8,"□","■")))))</f>
        <v/>
      </c>
      <c r="AC21" s="43">
        <f>IF($BQ21=0,"",IF(MOD($BQ21,8)=7,IF($BQ21&gt;=8,"◇","◆"),IF(MOD($BQ21,8)=3,IF($BQ21&gt;=8,"▷","▶"),IF(MOD($BQ21,8)=5,IF($BQ21&gt;=8,"◁","◀"),IF($BQ21&gt;=8,"□","■")))))</f>
        <v/>
      </c>
      <c r="AD21" s="43">
        <f>IF($BR21=0,"",IF(MOD($BR21,8)=7,IF($BR21&gt;=8,"◇","◆"),IF(MOD($BR21,8)=3,IF($BR21&gt;=8,"▷","▶"),IF(MOD($BR21,8)=5,IF($BR21&gt;=8,"◁","◀"),IF($BR21&gt;=8,"□","■")))))</f>
        <v/>
      </c>
      <c r="AE21" s="43">
        <f>IF($BS21=0,"",IF(MOD($BS21,8)=7,IF($BS21&gt;=8,"◇","◆"),IF(MOD($BS21,8)=3,IF($BS21&gt;=8,"▷","▶"),IF(MOD($BS21,8)=5,IF($BS21&gt;=8,"◁","◀"),IF($BS21&gt;=8,"□","■")))))</f>
        <v/>
      </c>
      <c r="AF21" s="43">
        <f>IF($BT21=0,"",IF(MOD($BT21,8)=7,IF($BT21&gt;=8,"◇","◆"),IF(MOD($BT21,8)=3,IF($BT21&gt;=8,"▷","▶"),IF(MOD($BT21,8)=5,IF($BT21&gt;=8,"◁","◀"),IF($BT21&gt;=8,"□","■")))))</f>
        <v/>
      </c>
      <c r="AG21" s="44">
        <f>IF($A21="","",COUNTIF($AP21:$BT21,"&gt;0"))</f>
        <v/>
      </c>
      <c r="AP21">
        <f>IF(OR($A21="",B$4=""),0,SUMPRODUCT(('01_予約入力'!$G$5:$G$204&lt;&gt;"")*('01_予約入力'!$N$5:$N$204&lt;&gt;"キャンセル")*('01_予約入力'!$B$5:$B$204=$A21)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1">
        <f>IF(OR($A21="",C$4=""),0,SUMPRODUCT(('01_予約入力'!$G$5:$G$204&lt;&gt;"")*('01_予約入力'!$N$5:$N$204&lt;&gt;"キャンセル")*('01_予約入力'!$B$5:$B$204=$A21)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1">
        <f>IF(OR($A21="",D$4=""),0,SUMPRODUCT(('01_予約入力'!$G$5:$G$204&lt;&gt;"")*('01_予約入力'!$N$5:$N$204&lt;&gt;"キャンセル")*('01_予約入力'!$B$5:$B$204=$A21)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1">
        <f>IF(OR($A21="",E$4=""),0,SUMPRODUCT(('01_予約入力'!$G$5:$G$204&lt;&gt;"")*('01_予約入力'!$N$5:$N$204&lt;&gt;"キャンセル")*('01_予約入力'!$B$5:$B$204=$A21)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1">
        <f>IF(OR($A21="",F$4=""),0,SUMPRODUCT(('01_予約入力'!$G$5:$G$204&lt;&gt;"")*('01_予約入力'!$N$5:$N$204&lt;&gt;"キャンセル")*('01_予約入力'!$B$5:$B$204=$A21)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1">
        <f>IF(OR($A21="",G$4=""),0,SUMPRODUCT(('01_予約入力'!$G$5:$G$204&lt;&gt;"")*('01_予約入力'!$N$5:$N$204&lt;&gt;"キャンセル")*('01_予約入力'!$B$5:$B$204=$A21)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1">
        <f>IF(OR($A21="",H$4=""),0,SUMPRODUCT(('01_予約入力'!$G$5:$G$204&lt;&gt;"")*('01_予約入力'!$N$5:$N$204&lt;&gt;"キャンセル")*('01_予約入力'!$B$5:$B$204=$A21)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1">
        <f>IF(OR($A21="",I$4=""),0,SUMPRODUCT(('01_予約入力'!$G$5:$G$204&lt;&gt;"")*('01_予約入力'!$N$5:$N$204&lt;&gt;"キャンセル")*('01_予約入力'!$B$5:$B$204=$A21)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1">
        <f>IF(OR($A21="",J$4=""),0,SUMPRODUCT(('01_予約入力'!$G$5:$G$204&lt;&gt;"")*('01_予約入力'!$N$5:$N$204&lt;&gt;"キャンセル")*('01_予約入力'!$B$5:$B$204=$A21)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1">
        <f>IF(OR($A21="",K$4=""),0,SUMPRODUCT(('01_予約入力'!$G$5:$G$204&lt;&gt;"")*('01_予約入力'!$N$5:$N$204&lt;&gt;"キャンセル")*('01_予約入力'!$B$5:$B$204=$A21)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1">
        <f>IF(OR($A21="",L$4=""),0,SUMPRODUCT(('01_予約入力'!$G$5:$G$204&lt;&gt;"")*('01_予約入力'!$N$5:$N$204&lt;&gt;"キャンセル")*('01_予約入力'!$B$5:$B$204=$A21)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1">
        <f>IF(OR($A21="",M$4=""),0,SUMPRODUCT(('01_予約入力'!$G$5:$G$204&lt;&gt;"")*('01_予約入力'!$N$5:$N$204&lt;&gt;"キャンセル")*('01_予約入力'!$B$5:$B$204=$A21)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1">
        <f>IF(OR($A21="",N$4=""),0,SUMPRODUCT(('01_予約入力'!$G$5:$G$204&lt;&gt;"")*('01_予約入力'!$N$5:$N$204&lt;&gt;"キャンセル")*('01_予約入力'!$B$5:$B$204=$A21)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1">
        <f>IF(OR($A21="",O$4=""),0,SUMPRODUCT(('01_予約入力'!$G$5:$G$204&lt;&gt;"")*('01_予約入力'!$N$5:$N$204&lt;&gt;"キャンセル")*('01_予約入力'!$B$5:$B$204=$A21)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1">
        <f>IF(OR($A21="",P$4=""),0,SUMPRODUCT(('01_予約入力'!$G$5:$G$204&lt;&gt;"")*('01_予約入力'!$N$5:$N$204&lt;&gt;"キャンセル")*('01_予約入力'!$B$5:$B$204=$A21)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1">
        <f>IF(OR($A21="",Q$4=""),0,SUMPRODUCT(('01_予約入力'!$G$5:$G$204&lt;&gt;"")*('01_予約入力'!$N$5:$N$204&lt;&gt;"キャンセル")*('01_予約入力'!$B$5:$B$204=$A21)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1">
        <f>IF(OR($A21="",R$4=""),0,SUMPRODUCT(('01_予約入力'!$G$5:$G$204&lt;&gt;"")*('01_予約入力'!$N$5:$N$204&lt;&gt;"キャンセル")*('01_予約入力'!$B$5:$B$204=$A21)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1">
        <f>IF(OR($A21="",S$4=""),0,SUMPRODUCT(('01_予約入力'!$G$5:$G$204&lt;&gt;"")*('01_予約入力'!$N$5:$N$204&lt;&gt;"キャンセル")*('01_予約入力'!$B$5:$B$204=$A21)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1">
        <f>IF(OR($A21="",T$4=""),0,SUMPRODUCT(('01_予約入力'!$G$5:$G$204&lt;&gt;"")*('01_予約入力'!$N$5:$N$204&lt;&gt;"キャンセル")*('01_予約入力'!$B$5:$B$204=$A21)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1">
        <f>IF(OR($A21="",U$4=""),0,SUMPRODUCT(('01_予約入力'!$G$5:$G$204&lt;&gt;"")*('01_予約入力'!$N$5:$N$204&lt;&gt;"キャンセル")*('01_予約入力'!$B$5:$B$204=$A21)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1">
        <f>IF(OR($A21="",V$4=""),0,SUMPRODUCT(('01_予約入力'!$G$5:$G$204&lt;&gt;"")*('01_予約入力'!$N$5:$N$204&lt;&gt;"キャンセル")*('01_予約入力'!$B$5:$B$204=$A21)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1">
        <f>IF(OR($A21="",W$4=""),0,SUMPRODUCT(('01_予約入力'!$G$5:$G$204&lt;&gt;"")*('01_予約入力'!$N$5:$N$204&lt;&gt;"キャンセル")*('01_予約入力'!$B$5:$B$204=$A21)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1">
        <f>IF(OR($A21="",X$4=""),0,SUMPRODUCT(('01_予約入力'!$G$5:$G$204&lt;&gt;"")*('01_予約入力'!$N$5:$N$204&lt;&gt;"キャンセル")*('01_予約入力'!$B$5:$B$204=$A21)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1">
        <f>IF(OR($A21="",Y$4=""),0,SUMPRODUCT(('01_予約入力'!$G$5:$G$204&lt;&gt;"")*('01_予約入力'!$N$5:$N$204&lt;&gt;"キャンセル")*('01_予約入力'!$B$5:$B$204=$A21)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1">
        <f>IF(OR($A21="",Z$4=""),0,SUMPRODUCT(('01_予約入力'!$G$5:$G$204&lt;&gt;"")*('01_予約入力'!$N$5:$N$204&lt;&gt;"キャンセル")*('01_予約入力'!$B$5:$B$204=$A21)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1">
        <f>IF(OR($A21="",AA$4=""),0,SUMPRODUCT(('01_予約入力'!$G$5:$G$204&lt;&gt;"")*('01_予約入力'!$N$5:$N$204&lt;&gt;"キャンセル")*('01_予約入力'!$B$5:$B$204=$A21)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1">
        <f>IF(OR($A21="",AB$4=""),0,SUMPRODUCT(('01_予約入力'!$G$5:$G$204&lt;&gt;"")*('01_予約入力'!$N$5:$N$204&lt;&gt;"キャンセル")*('01_予約入力'!$B$5:$B$204=$A21)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1">
        <f>IF(OR($A21="",AC$4=""),0,SUMPRODUCT(('01_予約入力'!$G$5:$G$204&lt;&gt;"")*('01_予約入力'!$N$5:$N$204&lt;&gt;"キャンセル")*('01_予約入力'!$B$5:$B$204=$A21)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1">
        <f>IF(OR($A21="",AD$4=""),0,SUMPRODUCT(('01_予約入力'!$G$5:$G$204&lt;&gt;"")*('01_予約入力'!$N$5:$N$204&lt;&gt;"キャンセル")*('01_予約入力'!$B$5:$B$204=$A21)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1">
        <f>IF(OR($A21="",AE$4=""),0,SUMPRODUCT(('01_予約入力'!$G$5:$G$204&lt;&gt;"")*('01_予約入力'!$N$5:$N$204&lt;&gt;"キャンセル")*('01_予約入力'!$B$5:$B$204=$A21)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1">
        <f>IF(OR($A21="",AF$4=""),0,SUMPRODUCT(('01_予約入力'!$G$5:$G$204&lt;&gt;"")*('01_予約入力'!$N$5:$N$204&lt;&gt;"キャンセル")*('01_予約入力'!$B$5:$B$204=$A21)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2" ht="19" customHeight="1">
      <c r="A22" s="42">
        <f>IF(COUNTA('利用者マスタ'!$A$4:$A$60)&gt;=16,INDEX('利用者マスタ'!$A$4:$A$60,16),"")</f>
        <v/>
      </c>
      <c r="B22" s="43">
        <f>IF($AP22=0,"",IF(MOD($AP22,8)=7,IF($AP22&gt;=8,"◇","◆"),IF(MOD($AP22,8)=3,IF($AP22&gt;=8,"▷","▶"),IF(MOD($AP22,8)=5,IF($AP22&gt;=8,"◁","◀"),IF($AP22&gt;=8,"□","■")))))</f>
        <v/>
      </c>
      <c r="C22" s="43">
        <f>IF($AQ22=0,"",IF(MOD($AQ22,8)=7,IF($AQ22&gt;=8,"◇","◆"),IF(MOD($AQ22,8)=3,IF($AQ22&gt;=8,"▷","▶"),IF(MOD($AQ22,8)=5,IF($AQ22&gt;=8,"◁","◀"),IF($AQ22&gt;=8,"□","■")))))</f>
        <v/>
      </c>
      <c r="D22" s="43">
        <f>IF($AR22=0,"",IF(MOD($AR22,8)=7,IF($AR22&gt;=8,"◇","◆"),IF(MOD($AR22,8)=3,IF($AR22&gt;=8,"▷","▶"),IF(MOD($AR22,8)=5,IF($AR22&gt;=8,"◁","◀"),IF($AR22&gt;=8,"□","■")))))</f>
        <v/>
      </c>
      <c r="E22" s="43">
        <f>IF($AS22=0,"",IF(MOD($AS22,8)=7,IF($AS22&gt;=8,"◇","◆"),IF(MOD($AS22,8)=3,IF($AS22&gt;=8,"▷","▶"),IF(MOD($AS22,8)=5,IF($AS22&gt;=8,"◁","◀"),IF($AS22&gt;=8,"□","■")))))</f>
        <v/>
      </c>
      <c r="F22" s="43">
        <f>IF($AT22=0,"",IF(MOD($AT22,8)=7,IF($AT22&gt;=8,"◇","◆"),IF(MOD($AT22,8)=3,IF($AT22&gt;=8,"▷","▶"),IF(MOD($AT22,8)=5,IF($AT22&gt;=8,"◁","◀"),IF($AT22&gt;=8,"□","■")))))</f>
        <v/>
      </c>
      <c r="G22" s="43">
        <f>IF($AU22=0,"",IF(MOD($AU22,8)=7,IF($AU22&gt;=8,"◇","◆"),IF(MOD($AU22,8)=3,IF($AU22&gt;=8,"▷","▶"),IF(MOD($AU22,8)=5,IF($AU22&gt;=8,"◁","◀"),IF($AU22&gt;=8,"□","■")))))</f>
        <v/>
      </c>
      <c r="H22" s="43">
        <f>IF($AV22=0,"",IF(MOD($AV22,8)=7,IF($AV22&gt;=8,"◇","◆"),IF(MOD($AV22,8)=3,IF($AV22&gt;=8,"▷","▶"),IF(MOD($AV22,8)=5,IF($AV22&gt;=8,"◁","◀"),IF($AV22&gt;=8,"□","■")))))</f>
        <v/>
      </c>
      <c r="I22" s="43">
        <f>IF($AW22=0,"",IF(MOD($AW22,8)=7,IF($AW22&gt;=8,"◇","◆"),IF(MOD($AW22,8)=3,IF($AW22&gt;=8,"▷","▶"),IF(MOD($AW22,8)=5,IF($AW22&gt;=8,"◁","◀"),IF($AW22&gt;=8,"□","■")))))</f>
        <v/>
      </c>
      <c r="J22" s="43">
        <f>IF($AX22=0,"",IF(MOD($AX22,8)=7,IF($AX22&gt;=8,"◇","◆"),IF(MOD($AX22,8)=3,IF($AX22&gt;=8,"▷","▶"),IF(MOD($AX22,8)=5,IF($AX22&gt;=8,"◁","◀"),IF($AX22&gt;=8,"□","■")))))</f>
        <v/>
      </c>
      <c r="K22" s="43">
        <f>IF($AY22=0,"",IF(MOD($AY22,8)=7,IF($AY22&gt;=8,"◇","◆"),IF(MOD($AY22,8)=3,IF($AY22&gt;=8,"▷","▶"),IF(MOD($AY22,8)=5,IF($AY22&gt;=8,"◁","◀"),IF($AY22&gt;=8,"□","■")))))</f>
        <v/>
      </c>
      <c r="L22" s="43">
        <f>IF($AZ22=0,"",IF(MOD($AZ22,8)=7,IF($AZ22&gt;=8,"◇","◆"),IF(MOD($AZ22,8)=3,IF($AZ22&gt;=8,"▷","▶"),IF(MOD($AZ22,8)=5,IF($AZ22&gt;=8,"◁","◀"),IF($AZ22&gt;=8,"□","■")))))</f>
        <v/>
      </c>
      <c r="M22" s="43">
        <f>IF($BA22=0,"",IF(MOD($BA22,8)=7,IF($BA22&gt;=8,"◇","◆"),IF(MOD($BA22,8)=3,IF($BA22&gt;=8,"▷","▶"),IF(MOD($BA22,8)=5,IF($BA22&gt;=8,"◁","◀"),IF($BA22&gt;=8,"□","■")))))</f>
        <v/>
      </c>
      <c r="N22" s="43">
        <f>IF($BB22=0,"",IF(MOD($BB22,8)=7,IF($BB22&gt;=8,"◇","◆"),IF(MOD($BB22,8)=3,IF($BB22&gt;=8,"▷","▶"),IF(MOD($BB22,8)=5,IF($BB22&gt;=8,"◁","◀"),IF($BB22&gt;=8,"□","■")))))</f>
        <v/>
      </c>
      <c r="O22" s="43">
        <f>IF($BC22=0,"",IF(MOD($BC22,8)=7,IF($BC22&gt;=8,"◇","◆"),IF(MOD($BC22,8)=3,IF($BC22&gt;=8,"▷","▶"),IF(MOD($BC22,8)=5,IF($BC22&gt;=8,"◁","◀"),IF($BC22&gt;=8,"□","■")))))</f>
        <v/>
      </c>
      <c r="P22" s="43">
        <f>IF($BD22=0,"",IF(MOD($BD22,8)=7,IF($BD22&gt;=8,"◇","◆"),IF(MOD($BD22,8)=3,IF($BD22&gt;=8,"▷","▶"),IF(MOD($BD22,8)=5,IF($BD22&gt;=8,"◁","◀"),IF($BD22&gt;=8,"□","■")))))</f>
        <v/>
      </c>
      <c r="Q22" s="43">
        <f>IF($BE22=0,"",IF(MOD($BE22,8)=7,IF($BE22&gt;=8,"◇","◆"),IF(MOD($BE22,8)=3,IF($BE22&gt;=8,"▷","▶"),IF(MOD($BE22,8)=5,IF($BE22&gt;=8,"◁","◀"),IF($BE22&gt;=8,"□","■")))))</f>
        <v/>
      </c>
      <c r="R22" s="43">
        <f>IF($BF22=0,"",IF(MOD($BF22,8)=7,IF($BF22&gt;=8,"◇","◆"),IF(MOD($BF22,8)=3,IF($BF22&gt;=8,"▷","▶"),IF(MOD($BF22,8)=5,IF($BF22&gt;=8,"◁","◀"),IF($BF22&gt;=8,"□","■")))))</f>
        <v/>
      </c>
      <c r="S22" s="43">
        <f>IF($BG22=0,"",IF(MOD($BG22,8)=7,IF($BG22&gt;=8,"◇","◆"),IF(MOD($BG22,8)=3,IF($BG22&gt;=8,"▷","▶"),IF(MOD($BG22,8)=5,IF($BG22&gt;=8,"◁","◀"),IF($BG22&gt;=8,"□","■")))))</f>
        <v/>
      </c>
      <c r="T22" s="43">
        <f>IF($BH22=0,"",IF(MOD($BH22,8)=7,IF($BH22&gt;=8,"◇","◆"),IF(MOD($BH22,8)=3,IF($BH22&gt;=8,"▷","▶"),IF(MOD($BH22,8)=5,IF($BH22&gt;=8,"◁","◀"),IF($BH22&gt;=8,"□","■")))))</f>
        <v/>
      </c>
      <c r="U22" s="43">
        <f>IF($BI22=0,"",IF(MOD($BI22,8)=7,IF($BI22&gt;=8,"◇","◆"),IF(MOD($BI22,8)=3,IF($BI22&gt;=8,"▷","▶"),IF(MOD($BI22,8)=5,IF($BI22&gt;=8,"◁","◀"),IF($BI22&gt;=8,"□","■")))))</f>
        <v/>
      </c>
      <c r="V22" s="43">
        <f>IF($BJ22=0,"",IF(MOD($BJ22,8)=7,IF($BJ22&gt;=8,"◇","◆"),IF(MOD($BJ22,8)=3,IF($BJ22&gt;=8,"▷","▶"),IF(MOD($BJ22,8)=5,IF($BJ22&gt;=8,"◁","◀"),IF($BJ22&gt;=8,"□","■")))))</f>
        <v/>
      </c>
      <c r="W22" s="43">
        <f>IF($BK22=0,"",IF(MOD($BK22,8)=7,IF($BK22&gt;=8,"◇","◆"),IF(MOD($BK22,8)=3,IF($BK22&gt;=8,"▷","▶"),IF(MOD($BK22,8)=5,IF($BK22&gt;=8,"◁","◀"),IF($BK22&gt;=8,"□","■")))))</f>
        <v/>
      </c>
      <c r="X22" s="43">
        <f>IF($BL22=0,"",IF(MOD($BL22,8)=7,IF($BL22&gt;=8,"◇","◆"),IF(MOD($BL22,8)=3,IF($BL22&gt;=8,"▷","▶"),IF(MOD($BL22,8)=5,IF($BL22&gt;=8,"◁","◀"),IF($BL22&gt;=8,"□","■")))))</f>
        <v/>
      </c>
      <c r="Y22" s="43">
        <f>IF($BM22=0,"",IF(MOD($BM22,8)=7,IF($BM22&gt;=8,"◇","◆"),IF(MOD($BM22,8)=3,IF($BM22&gt;=8,"▷","▶"),IF(MOD($BM22,8)=5,IF($BM22&gt;=8,"◁","◀"),IF($BM22&gt;=8,"□","■")))))</f>
        <v/>
      </c>
      <c r="Z22" s="43">
        <f>IF($BN22=0,"",IF(MOD($BN22,8)=7,IF($BN22&gt;=8,"◇","◆"),IF(MOD($BN22,8)=3,IF($BN22&gt;=8,"▷","▶"),IF(MOD($BN22,8)=5,IF($BN22&gt;=8,"◁","◀"),IF($BN22&gt;=8,"□","■")))))</f>
        <v/>
      </c>
      <c r="AA22" s="43">
        <f>IF($BO22=0,"",IF(MOD($BO22,8)=7,IF($BO22&gt;=8,"◇","◆"),IF(MOD($BO22,8)=3,IF($BO22&gt;=8,"▷","▶"),IF(MOD($BO22,8)=5,IF($BO22&gt;=8,"◁","◀"),IF($BO22&gt;=8,"□","■")))))</f>
        <v/>
      </c>
      <c r="AB22" s="43">
        <f>IF($BP22=0,"",IF(MOD($BP22,8)=7,IF($BP22&gt;=8,"◇","◆"),IF(MOD($BP22,8)=3,IF($BP22&gt;=8,"▷","▶"),IF(MOD($BP22,8)=5,IF($BP22&gt;=8,"◁","◀"),IF($BP22&gt;=8,"□","■")))))</f>
        <v/>
      </c>
      <c r="AC22" s="43">
        <f>IF($BQ22=0,"",IF(MOD($BQ22,8)=7,IF($BQ22&gt;=8,"◇","◆"),IF(MOD($BQ22,8)=3,IF($BQ22&gt;=8,"▷","▶"),IF(MOD($BQ22,8)=5,IF($BQ22&gt;=8,"◁","◀"),IF($BQ22&gt;=8,"□","■")))))</f>
        <v/>
      </c>
      <c r="AD22" s="43">
        <f>IF($BR22=0,"",IF(MOD($BR22,8)=7,IF($BR22&gt;=8,"◇","◆"),IF(MOD($BR22,8)=3,IF($BR22&gt;=8,"▷","▶"),IF(MOD($BR22,8)=5,IF($BR22&gt;=8,"◁","◀"),IF($BR22&gt;=8,"□","■")))))</f>
        <v/>
      </c>
      <c r="AE22" s="43">
        <f>IF($BS22=0,"",IF(MOD($BS22,8)=7,IF($BS22&gt;=8,"◇","◆"),IF(MOD($BS22,8)=3,IF($BS22&gt;=8,"▷","▶"),IF(MOD($BS22,8)=5,IF($BS22&gt;=8,"◁","◀"),IF($BS22&gt;=8,"□","■")))))</f>
        <v/>
      </c>
      <c r="AF22" s="43">
        <f>IF($BT22=0,"",IF(MOD($BT22,8)=7,IF($BT22&gt;=8,"◇","◆"),IF(MOD($BT22,8)=3,IF($BT22&gt;=8,"▷","▶"),IF(MOD($BT22,8)=5,IF($BT22&gt;=8,"◁","◀"),IF($BT22&gt;=8,"□","■")))))</f>
        <v/>
      </c>
      <c r="AG22" s="44">
        <f>IF($A22="","",COUNTIF($AP22:$BT22,"&gt;0"))</f>
        <v/>
      </c>
      <c r="AP22">
        <f>IF(OR($A22="",B$4=""),0,SUMPRODUCT(('01_予約入力'!$G$5:$G$204&lt;&gt;"")*('01_予約入力'!$N$5:$N$204&lt;&gt;"キャンセル")*('01_予約入力'!$B$5:$B$204=$A22)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2">
        <f>IF(OR($A22="",C$4=""),0,SUMPRODUCT(('01_予約入力'!$G$5:$G$204&lt;&gt;"")*('01_予約入力'!$N$5:$N$204&lt;&gt;"キャンセル")*('01_予約入力'!$B$5:$B$204=$A22)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2">
        <f>IF(OR($A22="",D$4=""),0,SUMPRODUCT(('01_予約入力'!$G$5:$G$204&lt;&gt;"")*('01_予約入力'!$N$5:$N$204&lt;&gt;"キャンセル")*('01_予約入力'!$B$5:$B$204=$A22)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2">
        <f>IF(OR($A22="",E$4=""),0,SUMPRODUCT(('01_予約入力'!$G$5:$G$204&lt;&gt;"")*('01_予約入力'!$N$5:$N$204&lt;&gt;"キャンセル")*('01_予約入力'!$B$5:$B$204=$A22)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2">
        <f>IF(OR($A22="",F$4=""),0,SUMPRODUCT(('01_予約入力'!$G$5:$G$204&lt;&gt;"")*('01_予約入力'!$N$5:$N$204&lt;&gt;"キャンセル")*('01_予約入力'!$B$5:$B$204=$A22)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2">
        <f>IF(OR($A22="",G$4=""),0,SUMPRODUCT(('01_予約入力'!$G$5:$G$204&lt;&gt;"")*('01_予約入力'!$N$5:$N$204&lt;&gt;"キャンセル")*('01_予約入力'!$B$5:$B$204=$A22)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2">
        <f>IF(OR($A22="",H$4=""),0,SUMPRODUCT(('01_予約入力'!$G$5:$G$204&lt;&gt;"")*('01_予約入力'!$N$5:$N$204&lt;&gt;"キャンセル")*('01_予約入力'!$B$5:$B$204=$A22)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2">
        <f>IF(OR($A22="",I$4=""),0,SUMPRODUCT(('01_予約入力'!$G$5:$G$204&lt;&gt;"")*('01_予約入力'!$N$5:$N$204&lt;&gt;"キャンセル")*('01_予約入力'!$B$5:$B$204=$A22)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2">
        <f>IF(OR($A22="",J$4=""),0,SUMPRODUCT(('01_予約入力'!$G$5:$G$204&lt;&gt;"")*('01_予約入力'!$N$5:$N$204&lt;&gt;"キャンセル")*('01_予約入力'!$B$5:$B$204=$A22)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2">
        <f>IF(OR($A22="",K$4=""),0,SUMPRODUCT(('01_予約入力'!$G$5:$G$204&lt;&gt;"")*('01_予約入力'!$N$5:$N$204&lt;&gt;"キャンセル")*('01_予約入力'!$B$5:$B$204=$A22)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2">
        <f>IF(OR($A22="",L$4=""),0,SUMPRODUCT(('01_予約入力'!$G$5:$G$204&lt;&gt;"")*('01_予約入力'!$N$5:$N$204&lt;&gt;"キャンセル")*('01_予約入力'!$B$5:$B$204=$A22)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2">
        <f>IF(OR($A22="",M$4=""),0,SUMPRODUCT(('01_予約入力'!$G$5:$G$204&lt;&gt;"")*('01_予約入力'!$N$5:$N$204&lt;&gt;"キャンセル")*('01_予約入力'!$B$5:$B$204=$A22)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2">
        <f>IF(OR($A22="",N$4=""),0,SUMPRODUCT(('01_予約入力'!$G$5:$G$204&lt;&gt;"")*('01_予約入力'!$N$5:$N$204&lt;&gt;"キャンセル")*('01_予約入力'!$B$5:$B$204=$A22)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2">
        <f>IF(OR($A22="",O$4=""),0,SUMPRODUCT(('01_予約入力'!$G$5:$G$204&lt;&gt;"")*('01_予約入力'!$N$5:$N$204&lt;&gt;"キャンセル")*('01_予約入力'!$B$5:$B$204=$A22)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2">
        <f>IF(OR($A22="",P$4=""),0,SUMPRODUCT(('01_予約入力'!$G$5:$G$204&lt;&gt;"")*('01_予約入力'!$N$5:$N$204&lt;&gt;"キャンセル")*('01_予約入力'!$B$5:$B$204=$A22)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2">
        <f>IF(OR($A22="",Q$4=""),0,SUMPRODUCT(('01_予約入力'!$G$5:$G$204&lt;&gt;"")*('01_予約入力'!$N$5:$N$204&lt;&gt;"キャンセル")*('01_予約入力'!$B$5:$B$204=$A22)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2">
        <f>IF(OR($A22="",R$4=""),0,SUMPRODUCT(('01_予約入力'!$G$5:$G$204&lt;&gt;"")*('01_予約入力'!$N$5:$N$204&lt;&gt;"キャンセル")*('01_予約入力'!$B$5:$B$204=$A22)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2">
        <f>IF(OR($A22="",S$4=""),0,SUMPRODUCT(('01_予約入力'!$G$5:$G$204&lt;&gt;"")*('01_予約入力'!$N$5:$N$204&lt;&gt;"キャンセル")*('01_予約入力'!$B$5:$B$204=$A22)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2">
        <f>IF(OR($A22="",T$4=""),0,SUMPRODUCT(('01_予約入力'!$G$5:$G$204&lt;&gt;"")*('01_予約入力'!$N$5:$N$204&lt;&gt;"キャンセル")*('01_予約入力'!$B$5:$B$204=$A22)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2">
        <f>IF(OR($A22="",U$4=""),0,SUMPRODUCT(('01_予約入力'!$G$5:$G$204&lt;&gt;"")*('01_予約入力'!$N$5:$N$204&lt;&gt;"キャンセル")*('01_予約入力'!$B$5:$B$204=$A22)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2">
        <f>IF(OR($A22="",V$4=""),0,SUMPRODUCT(('01_予約入力'!$G$5:$G$204&lt;&gt;"")*('01_予約入力'!$N$5:$N$204&lt;&gt;"キャンセル")*('01_予約入力'!$B$5:$B$204=$A22)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2">
        <f>IF(OR($A22="",W$4=""),0,SUMPRODUCT(('01_予約入力'!$G$5:$G$204&lt;&gt;"")*('01_予約入力'!$N$5:$N$204&lt;&gt;"キャンセル")*('01_予約入力'!$B$5:$B$204=$A22)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2">
        <f>IF(OR($A22="",X$4=""),0,SUMPRODUCT(('01_予約入力'!$G$5:$G$204&lt;&gt;"")*('01_予約入力'!$N$5:$N$204&lt;&gt;"キャンセル")*('01_予約入力'!$B$5:$B$204=$A22)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2">
        <f>IF(OR($A22="",Y$4=""),0,SUMPRODUCT(('01_予約入力'!$G$5:$G$204&lt;&gt;"")*('01_予約入力'!$N$5:$N$204&lt;&gt;"キャンセル")*('01_予約入力'!$B$5:$B$204=$A22)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2">
        <f>IF(OR($A22="",Z$4=""),0,SUMPRODUCT(('01_予約入力'!$G$5:$G$204&lt;&gt;"")*('01_予約入力'!$N$5:$N$204&lt;&gt;"キャンセル")*('01_予約入力'!$B$5:$B$204=$A22)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2">
        <f>IF(OR($A22="",AA$4=""),0,SUMPRODUCT(('01_予約入力'!$G$5:$G$204&lt;&gt;"")*('01_予約入力'!$N$5:$N$204&lt;&gt;"キャンセル")*('01_予約入力'!$B$5:$B$204=$A22)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2">
        <f>IF(OR($A22="",AB$4=""),0,SUMPRODUCT(('01_予約入力'!$G$5:$G$204&lt;&gt;"")*('01_予約入力'!$N$5:$N$204&lt;&gt;"キャンセル")*('01_予約入力'!$B$5:$B$204=$A22)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2">
        <f>IF(OR($A22="",AC$4=""),0,SUMPRODUCT(('01_予約入力'!$G$5:$G$204&lt;&gt;"")*('01_予約入力'!$N$5:$N$204&lt;&gt;"キャンセル")*('01_予約入力'!$B$5:$B$204=$A22)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2">
        <f>IF(OR($A22="",AD$4=""),0,SUMPRODUCT(('01_予約入力'!$G$5:$G$204&lt;&gt;"")*('01_予約入力'!$N$5:$N$204&lt;&gt;"キャンセル")*('01_予約入力'!$B$5:$B$204=$A22)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2">
        <f>IF(OR($A22="",AE$4=""),0,SUMPRODUCT(('01_予約入力'!$G$5:$G$204&lt;&gt;"")*('01_予約入力'!$N$5:$N$204&lt;&gt;"キャンセル")*('01_予約入力'!$B$5:$B$204=$A22)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2">
        <f>IF(OR($A22="",AF$4=""),0,SUMPRODUCT(('01_予約入力'!$G$5:$G$204&lt;&gt;"")*('01_予約入力'!$N$5:$N$204&lt;&gt;"キャンセル")*('01_予約入力'!$B$5:$B$204=$A22)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3" ht="19" customHeight="1">
      <c r="A23" s="42">
        <f>IF(COUNTA('利用者マスタ'!$A$4:$A$60)&gt;=17,INDEX('利用者マスタ'!$A$4:$A$60,17),"")</f>
        <v/>
      </c>
      <c r="B23" s="43">
        <f>IF($AP23=0,"",IF(MOD($AP23,8)=7,IF($AP23&gt;=8,"◇","◆"),IF(MOD($AP23,8)=3,IF($AP23&gt;=8,"▷","▶"),IF(MOD($AP23,8)=5,IF($AP23&gt;=8,"◁","◀"),IF($AP23&gt;=8,"□","■")))))</f>
        <v/>
      </c>
      <c r="C23" s="43">
        <f>IF($AQ23=0,"",IF(MOD($AQ23,8)=7,IF($AQ23&gt;=8,"◇","◆"),IF(MOD($AQ23,8)=3,IF($AQ23&gt;=8,"▷","▶"),IF(MOD($AQ23,8)=5,IF($AQ23&gt;=8,"◁","◀"),IF($AQ23&gt;=8,"□","■")))))</f>
        <v/>
      </c>
      <c r="D23" s="43">
        <f>IF($AR23=0,"",IF(MOD($AR23,8)=7,IF($AR23&gt;=8,"◇","◆"),IF(MOD($AR23,8)=3,IF($AR23&gt;=8,"▷","▶"),IF(MOD($AR23,8)=5,IF($AR23&gt;=8,"◁","◀"),IF($AR23&gt;=8,"□","■")))))</f>
        <v/>
      </c>
      <c r="E23" s="43">
        <f>IF($AS23=0,"",IF(MOD($AS23,8)=7,IF($AS23&gt;=8,"◇","◆"),IF(MOD($AS23,8)=3,IF($AS23&gt;=8,"▷","▶"),IF(MOD($AS23,8)=5,IF($AS23&gt;=8,"◁","◀"),IF($AS23&gt;=8,"□","■")))))</f>
        <v/>
      </c>
      <c r="F23" s="43">
        <f>IF($AT23=0,"",IF(MOD($AT23,8)=7,IF($AT23&gt;=8,"◇","◆"),IF(MOD($AT23,8)=3,IF($AT23&gt;=8,"▷","▶"),IF(MOD($AT23,8)=5,IF($AT23&gt;=8,"◁","◀"),IF($AT23&gt;=8,"□","■")))))</f>
        <v/>
      </c>
      <c r="G23" s="43">
        <f>IF($AU23=0,"",IF(MOD($AU23,8)=7,IF($AU23&gt;=8,"◇","◆"),IF(MOD($AU23,8)=3,IF($AU23&gt;=8,"▷","▶"),IF(MOD($AU23,8)=5,IF($AU23&gt;=8,"◁","◀"),IF($AU23&gt;=8,"□","■")))))</f>
        <v/>
      </c>
      <c r="H23" s="43">
        <f>IF($AV23=0,"",IF(MOD($AV23,8)=7,IF($AV23&gt;=8,"◇","◆"),IF(MOD($AV23,8)=3,IF($AV23&gt;=8,"▷","▶"),IF(MOD($AV23,8)=5,IF($AV23&gt;=8,"◁","◀"),IF($AV23&gt;=8,"□","■")))))</f>
        <v/>
      </c>
      <c r="I23" s="43">
        <f>IF($AW23=0,"",IF(MOD($AW23,8)=7,IF($AW23&gt;=8,"◇","◆"),IF(MOD($AW23,8)=3,IF($AW23&gt;=8,"▷","▶"),IF(MOD($AW23,8)=5,IF($AW23&gt;=8,"◁","◀"),IF($AW23&gt;=8,"□","■")))))</f>
        <v/>
      </c>
      <c r="J23" s="43">
        <f>IF($AX23=0,"",IF(MOD($AX23,8)=7,IF($AX23&gt;=8,"◇","◆"),IF(MOD($AX23,8)=3,IF($AX23&gt;=8,"▷","▶"),IF(MOD($AX23,8)=5,IF($AX23&gt;=8,"◁","◀"),IF($AX23&gt;=8,"□","■")))))</f>
        <v/>
      </c>
      <c r="K23" s="43">
        <f>IF($AY23=0,"",IF(MOD($AY23,8)=7,IF($AY23&gt;=8,"◇","◆"),IF(MOD($AY23,8)=3,IF($AY23&gt;=8,"▷","▶"),IF(MOD($AY23,8)=5,IF($AY23&gt;=8,"◁","◀"),IF($AY23&gt;=8,"□","■")))))</f>
        <v/>
      </c>
      <c r="L23" s="43">
        <f>IF($AZ23=0,"",IF(MOD($AZ23,8)=7,IF($AZ23&gt;=8,"◇","◆"),IF(MOD($AZ23,8)=3,IF($AZ23&gt;=8,"▷","▶"),IF(MOD($AZ23,8)=5,IF($AZ23&gt;=8,"◁","◀"),IF($AZ23&gt;=8,"□","■")))))</f>
        <v/>
      </c>
      <c r="M23" s="43">
        <f>IF($BA23=0,"",IF(MOD($BA23,8)=7,IF($BA23&gt;=8,"◇","◆"),IF(MOD($BA23,8)=3,IF($BA23&gt;=8,"▷","▶"),IF(MOD($BA23,8)=5,IF($BA23&gt;=8,"◁","◀"),IF($BA23&gt;=8,"□","■")))))</f>
        <v/>
      </c>
      <c r="N23" s="43">
        <f>IF($BB23=0,"",IF(MOD($BB23,8)=7,IF($BB23&gt;=8,"◇","◆"),IF(MOD($BB23,8)=3,IF($BB23&gt;=8,"▷","▶"),IF(MOD($BB23,8)=5,IF($BB23&gt;=8,"◁","◀"),IF($BB23&gt;=8,"□","■")))))</f>
        <v/>
      </c>
      <c r="O23" s="43">
        <f>IF($BC23=0,"",IF(MOD($BC23,8)=7,IF($BC23&gt;=8,"◇","◆"),IF(MOD($BC23,8)=3,IF($BC23&gt;=8,"▷","▶"),IF(MOD($BC23,8)=5,IF($BC23&gt;=8,"◁","◀"),IF($BC23&gt;=8,"□","■")))))</f>
        <v/>
      </c>
      <c r="P23" s="43">
        <f>IF($BD23=0,"",IF(MOD($BD23,8)=7,IF($BD23&gt;=8,"◇","◆"),IF(MOD($BD23,8)=3,IF($BD23&gt;=8,"▷","▶"),IF(MOD($BD23,8)=5,IF($BD23&gt;=8,"◁","◀"),IF($BD23&gt;=8,"□","■")))))</f>
        <v/>
      </c>
      <c r="Q23" s="43">
        <f>IF($BE23=0,"",IF(MOD($BE23,8)=7,IF($BE23&gt;=8,"◇","◆"),IF(MOD($BE23,8)=3,IF($BE23&gt;=8,"▷","▶"),IF(MOD($BE23,8)=5,IF($BE23&gt;=8,"◁","◀"),IF($BE23&gt;=8,"□","■")))))</f>
        <v/>
      </c>
      <c r="R23" s="43">
        <f>IF($BF23=0,"",IF(MOD($BF23,8)=7,IF($BF23&gt;=8,"◇","◆"),IF(MOD($BF23,8)=3,IF($BF23&gt;=8,"▷","▶"),IF(MOD($BF23,8)=5,IF($BF23&gt;=8,"◁","◀"),IF($BF23&gt;=8,"□","■")))))</f>
        <v/>
      </c>
      <c r="S23" s="43">
        <f>IF($BG23=0,"",IF(MOD($BG23,8)=7,IF($BG23&gt;=8,"◇","◆"),IF(MOD($BG23,8)=3,IF($BG23&gt;=8,"▷","▶"),IF(MOD($BG23,8)=5,IF($BG23&gt;=8,"◁","◀"),IF($BG23&gt;=8,"□","■")))))</f>
        <v/>
      </c>
      <c r="T23" s="43">
        <f>IF($BH23=0,"",IF(MOD($BH23,8)=7,IF($BH23&gt;=8,"◇","◆"),IF(MOD($BH23,8)=3,IF($BH23&gt;=8,"▷","▶"),IF(MOD($BH23,8)=5,IF($BH23&gt;=8,"◁","◀"),IF($BH23&gt;=8,"□","■")))))</f>
        <v/>
      </c>
      <c r="U23" s="43">
        <f>IF($BI23=0,"",IF(MOD($BI23,8)=7,IF($BI23&gt;=8,"◇","◆"),IF(MOD($BI23,8)=3,IF($BI23&gt;=8,"▷","▶"),IF(MOD($BI23,8)=5,IF($BI23&gt;=8,"◁","◀"),IF($BI23&gt;=8,"□","■")))))</f>
        <v/>
      </c>
      <c r="V23" s="43">
        <f>IF($BJ23=0,"",IF(MOD($BJ23,8)=7,IF($BJ23&gt;=8,"◇","◆"),IF(MOD($BJ23,8)=3,IF($BJ23&gt;=8,"▷","▶"),IF(MOD($BJ23,8)=5,IF($BJ23&gt;=8,"◁","◀"),IF($BJ23&gt;=8,"□","■")))))</f>
        <v/>
      </c>
      <c r="W23" s="43">
        <f>IF($BK23=0,"",IF(MOD($BK23,8)=7,IF($BK23&gt;=8,"◇","◆"),IF(MOD($BK23,8)=3,IF($BK23&gt;=8,"▷","▶"),IF(MOD($BK23,8)=5,IF($BK23&gt;=8,"◁","◀"),IF($BK23&gt;=8,"□","■")))))</f>
        <v/>
      </c>
      <c r="X23" s="43">
        <f>IF($BL23=0,"",IF(MOD($BL23,8)=7,IF($BL23&gt;=8,"◇","◆"),IF(MOD($BL23,8)=3,IF($BL23&gt;=8,"▷","▶"),IF(MOD($BL23,8)=5,IF($BL23&gt;=8,"◁","◀"),IF($BL23&gt;=8,"□","■")))))</f>
        <v/>
      </c>
      <c r="Y23" s="43">
        <f>IF($BM23=0,"",IF(MOD($BM23,8)=7,IF($BM23&gt;=8,"◇","◆"),IF(MOD($BM23,8)=3,IF($BM23&gt;=8,"▷","▶"),IF(MOD($BM23,8)=5,IF($BM23&gt;=8,"◁","◀"),IF($BM23&gt;=8,"□","■")))))</f>
        <v/>
      </c>
      <c r="Z23" s="43">
        <f>IF($BN23=0,"",IF(MOD($BN23,8)=7,IF($BN23&gt;=8,"◇","◆"),IF(MOD($BN23,8)=3,IF($BN23&gt;=8,"▷","▶"),IF(MOD($BN23,8)=5,IF($BN23&gt;=8,"◁","◀"),IF($BN23&gt;=8,"□","■")))))</f>
        <v/>
      </c>
      <c r="AA23" s="43">
        <f>IF($BO23=0,"",IF(MOD($BO23,8)=7,IF($BO23&gt;=8,"◇","◆"),IF(MOD($BO23,8)=3,IF($BO23&gt;=8,"▷","▶"),IF(MOD($BO23,8)=5,IF($BO23&gt;=8,"◁","◀"),IF($BO23&gt;=8,"□","■")))))</f>
        <v/>
      </c>
      <c r="AB23" s="43">
        <f>IF($BP23=0,"",IF(MOD($BP23,8)=7,IF($BP23&gt;=8,"◇","◆"),IF(MOD($BP23,8)=3,IF($BP23&gt;=8,"▷","▶"),IF(MOD($BP23,8)=5,IF($BP23&gt;=8,"◁","◀"),IF($BP23&gt;=8,"□","■")))))</f>
        <v/>
      </c>
      <c r="AC23" s="43">
        <f>IF($BQ23=0,"",IF(MOD($BQ23,8)=7,IF($BQ23&gt;=8,"◇","◆"),IF(MOD($BQ23,8)=3,IF($BQ23&gt;=8,"▷","▶"),IF(MOD($BQ23,8)=5,IF($BQ23&gt;=8,"◁","◀"),IF($BQ23&gt;=8,"□","■")))))</f>
        <v/>
      </c>
      <c r="AD23" s="43">
        <f>IF($BR23=0,"",IF(MOD($BR23,8)=7,IF($BR23&gt;=8,"◇","◆"),IF(MOD($BR23,8)=3,IF($BR23&gt;=8,"▷","▶"),IF(MOD($BR23,8)=5,IF($BR23&gt;=8,"◁","◀"),IF($BR23&gt;=8,"□","■")))))</f>
        <v/>
      </c>
      <c r="AE23" s="43">
        <f>IF($BS23=0,"",IF(MOD($BS23,8)=7,IF($BS23&gt;=8,"◇","◆"),IF(MOD($BS23,8)=3,IF($BS23&gt;=8,"▷","▶"),IF(MOD($BS23,8)=5,IF($BS23&gt;=8,"◁","◀"),IF($BS23&gt;=8,"□","■")))))</f>
        <v/>
      </c>
      <c r="AF23" s="43">
        <f>IF($BT23=0,"",IF(MOD($BT23,8)=7,IF($BT23&gt;=8,"◇","◆"),IF(MOD($BT23,8)=3,IF($BT23&gt;=8,"▷","▶"),IF(MOD($BT23,8)=5,IF($BT23&gt;=8,"◁","◀"),IF($BT23&gt;=8,"□","■")))))</f>
        <v/>
      </c>
      <c r="AG23" s="44">
        <f>IF($A23="","",COUNTIF($AP23:$BT23,"&gt;0"))</f>
        <v/>
      </c>
      <c r="AP23">
        <f>IF(OR($A23="",B$4=""),0,SUMPRODUCT(('01_予約入力'!$G$5:$G$204&lt;&gt;"")*('01_予約入力'!$N$5:$N$204&lt;&gt;"キャンセル")*('01_予約入力'!$B$5:$B$204=$A23)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3">
        <f>IF(OR($A23="",C$4=""),0,SUMPRODUCT(('01_予約入力'!$G$5:$G$204&lt;&gt;"")*('01_予約入力'!$N$5:$N$204&lt;&gt;"キャンセル")*('01_予約入力'!$B$5:$B$204=$A23)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3">
        <f>IF(OR($A23="",D$4=""),0,SUMPRODUCT(('01_予約入力'!$G$5:$G$204&lt;&gt;"")*('01_予約入力'!$N$5:$N$204&lt;&gt;"キャンセル")*('01_予約入力'!$B$5:$B$204=$A23)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3">
        <f>IF(OR($A23="",E$4=""),0,SUMPRODUCT(('01_予約入力'!$G$5:$G$204&lt;&gt;"")*('01_予約入力'!$N$5:$N$204&lt;&gt;"キャンセル")*('01_予約入力'!$B$5:$B$204=$A23)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3">
        <f>IF(OR($A23="",F$4=""),0,SUMPRODUCT(('01_予約入力'!$G$5:$G$204&lt;&gt;"")*('01_予約入力'!$N$5:$N$204&lt;&gt;"キャンセル")*('01_予約入力'!$B$5:$B$204=$A23)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3">
        <f>IF(OR($A23="",G$4=""),0,SUMPRODUCT(('01_予約入力'!$G$5:$G$204&lt;&gt;"")*('01_予約入力'!$N$5:$N$204&lt;&gt;"キャンセル")*('01_予約入力'!$B$5:$B$204=$A23)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3">
        <f>IF(OR($A23="",H$4=""),0,SUMPRODUCT(('01_予約入力'!$G$5:$G$204&lt;&gt;"")*('01_予約入力'!$N$5:$N$204&lt;&gt;"キャンセル")*('01_予約入力'!$B$5:$B$204=$A23)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3">
        <f>IF(OR($A23="",I$4=""),0,SUMPRODUCT(('01_予約入力'!$G$5:$G$204&lt;&gt;"")*('01_予約入力'!$N$5:$N$204&lt;&gt;"キャンセル")*('01_予約入力'!$B$5:$B$204=$A23)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3">
        <f>IF(OR($A23="",J$4=""),0,SUMPRODUCT(('01_予約入力'!$G$5:$G$204&lt;&gt;"")*('01_予約入力'!$N$5:$N$204&lt;&gt;"キャンセル")*('01_予約入力'!$B$5:$B$204=$A23)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3">
        <f>IF(OR($A23="",K$4=""),0,SUMPRODUCT(('01_予約入力'!$G$5:$G$204&lt;&gt;"")*('01_予約入力'!$N$5:$N$204&lt;&gt;"キャンセル")*('01_予約入力'!$B$5:$B$204=$A23)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3">
        <f>IF(OR($A23="",L$4=""),0,SUMPRODUCT(('01_予約入力'!$G$5:$G$204&lt;&gt;"")*('01_予約入力'!$N$5:$N$204&lt;&gt;"キャンセル")*('01_予約入力'!$B$5:$B$204=$A23)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3">
        <f>IF(OR($A23="",M$4=""),0,SUMPRODUCT(('01_予約入力'!$G$5:$G$204&lt;&gt;"")*('01_予約入力'!$N$5:$N$204&lt;&gt;"キャンセル")*('01_予約入力'!$B$5:$B$204=$A23)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3">
        <f>IF(OR($A23="",N$4=""),0,SUMPRODUCT(('01_予約入力'!$G$5:$G$204&lt;&gt;"")*('01_予約入力'!$N$5:$N$204&lt;&gt;"キャンセル")*('01_予約入力'!$B$5:$B$204=$A23)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3">
        <f>IF(OR($A23="",O$4=""),0,SUMPRODUCT(('01_予約入力'!$G$5:$G$204&lt;&gt;"")*('01_予約入力'!$N$5:$N$204&lt;&gt;"キャンセル")*('01_予約入力'!$B$5:$B$204=$A23)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3">
        <f>IF(OR($A23="",P$4=""),0,SUMPRODUCT(('01_予約入力'!$G$5:$G$204&lt;&gt;"")*('01_予約入力'!$N$5:$N$204&lt;&gt;"キャンセル")*('01_予約入力'!$B$5:$B$204=$A23)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3">
        <f>IF(OR($A23="",Q$4=""),0,SUMPRODUCT(('01_予約入力'!$G$5:$G$204&lt;&gt;"")*('01_予約入力'!$N$5:$N$204&lt;&gt;"キャンセル")*('01_予約入力'!$B$5:$B$204=$A23)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3">
        <f>IF(OR($A23="",R$4=""),0,SUMPRODUCT(('01_予約入力'!$G$5:$G$204&lt;&gt;"")*('01_予約入力'!$N$5:$N$204&lt;&gt;"キャンセル")*('01_予約入力'!$B$5:$B$204=$A23)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3">
        <f>IF(OR($A23="",S$4=""),0,SUMPRODUCT(('01_予約入力'!$G$5:$G$204&lt;&gt;"")*('01_予約入力'!$N$5:$N$204&lt;&gt;"キャンセル")*('01_予約入力'!$B$5:$B$204=$A23)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3">
        <f>IF(OR($A23="",T$4=""),0,SUMPRODUCT(('01_予約入力'!$G$5:$G$204&lt;&gt;"")*('01_予約入力'!$N$5:$N$204&lt;&gt;"キャンセル")*('01_予約入力'!$B$5:$B$204=$A23)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3">
        <f>IF(OR($A23="",U$4=""),0,SUMPRODUCT(('01_予約入力'!$G$5:$G$204&lt;&gt;"")*('01_予約入力'!$N$5:$N$204&lt;&gt;"キャンセル")*('01_予約入力'!$B$5:$B$204=$A23)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3">
        <f>IF(OR($A23="",V$4=""),0,SUMPRODUCT(('01_予約入力'!$G$5:$G$204&lt;&gt;"")*('01_予約入力'!$N$5:$N$204&lt;&gt;"キャンセル")*('01_予約入力'!$B$5:$B$204=$A23)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3">
        <f>IF(OR($A23="",W$4=""),0,SUMPRODUCT(('01_予約入力'!$G$5:$G$204&lt;&gt;"")*('01_予約入力'!$N$5:$N$204&lt;&gt;"キャンセル")*('01_予約入力'!$B$5:$B$204=$A23)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3">
        <f>IF(OR($A23="",X$4=""),0,SUMPRODUCT(('01_予約入力'!$G$5:$G$204&lt;&gt;"")*('01_予約入力'!$N$5:$N$204&lt;&gt;"キャンセル")*('01_予約入力'!$B$5:$B$204=$A23)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3">
        <f>IF(OR($A23="",Y$4=""),0,SUMPRODUCT(('01_予約入力'!$G$5:$G$204&lt;&gt;"")*('01_予約入力'!$N$5:$N$204&lt;&gt;"キャンセル")*('01_予約入力'!$B$5:$B$204=$A23)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3">
        <f>IF(OR($A23="",Z$4=""),0,SUMPRODUCT(('01_予約入力'!$G$5:$G$204&lt;&gt;"")*('01_予約入力'!$N$5:$N$204&lt;&gt;"キャンセル")*('01_予約入力'!$B$5:$B$204=$A23)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3">
        <f>IF(OR($A23="",AA$4=""),0,SUMPRODUCT(('01_予約入力'!$G$5:$G$204&lt;&gt;"")*('01_予約入力'!$N$5:$N$204&lt;&gt;"キャンセル")*('01_予約入力'!$B$5:$B$204=$A23)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3">
        <f>IF(OR($A23="",AB$4=""),0,SUMPRODUCT(('01_予約入力'!$G$5:$G$204&lt;&gt;"")*('01_予約入力'!$N$5:$N$204&lt;&gt;"キャンセル")*('01_予約入力'!$B$5:$B$204=$A23)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3">
        <f>IF(OR($A23="",AC$4=""),0,SUMPRODUCT(('01_予約入力'!$G$5:$G$204&lt;&gt;"")*('01_予約入力'!$N$5:$N$204&lt;&gt;"キャンセル")*('01_予約入力'!$B$5:$B$204=$A23)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3">
        <f>IF(OR($A23="",AD$4=""),0,SUMPRODUCT(('01_予約入力'!$G$5:$G$204&lt;&gt;"")*('01_予約入力'!$N$5:$N$204&lt;&gt;"キャンセル")*('01_予約入力'!$B$5:$B$204=$A23)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3">
        <f>IF(OR($A23="",AE$4=""),0,SUMPRODUCT(('01_予約入力'!$G$5:$G$204&lt;&gt;"")*('01_予約入力'!$N$5:$N$204&lt;&gt;"キャンセル")*('01_予約入力'!$B$5:$B$204=$A23)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3">
        <f>IF(OR($A23="",AF$4=""),0,SUMPRODUCT(('01_予約入力'!$G$5:$G$204&lt;&gt;"")*('01_予約入力'!$N$5:$N$204&lt;&gt;"キャンセル")*('01_予約入力'!$B$5:$B$204=$A23)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4" ht="19" customHeight="1">
      <c r="A24" s="42">
        <f>IF(COUNTA('利用者マスタ'!$A$4:$A$60)&gt;=18,INDEX('利用者マスタ'!$A$4:$A$60,18),"")</f>
        <v/>
      </c>
      <c r="B24" s="43">
        <f>IF($AP24=0,"",IF(MOD($AP24,8)=7,IF($AP24&gt;=8,"◇","◆"),IF(MOD($AP24,8)=3,IF($AP24&gt;=8,"▷","▶"),IF(MOD($AP24,8)=5,IF($AP24&gt;=8,"◁","◀"),IF($AP24&gt;=8,"□","■")))))</f>
        <v/>
      </c>
      <c r="C24" s="43">
        <f>IF($AQ24=0,"",IF(MOD($AQ24,8)=7,IF($AQ24&gt;=8,"◇","◆"),IF(MOD($AQ24,8)=3,IF($AQ24&gt;=8,"▷","▶"),IF(MOD($AQ24,8)=5,IF($AQ24&gt;=8,"◁","◀"),IF($AQ24&gt;=8,"□","■")))))</f>
        <v/>
      </c>
      <c r="D24" s="43">
        <f>IF($AR24=0,"",IF(MOD($AR24,8)=7,IF($AR24&gt;=8,"◇","◆"),IF(MOD($AR24,8)=3,IF($AR24&gt;=8,"▷","▶"),IF(MOD($AR24,8)=5,IF($AR24&gt;=8,"◁","◀"),IF($AR24&gt;=8,"□","■")))))</f>
        <v/>
      </c>
      <c r="E24" s="43">
        <f>IF($AS24=0,"",IF(MOD($AS24,8)=7,IF($AS24&gt;=8,"◇","◆"),IF(MOD($AS24,8)=3,IF($AS24&gt;=8,"▷","▶"),IF(MOD($AS24,8)=5,IF($AS24&gt;=8,"◁","◀"),IF($AS24&gt;=8,"□","■")))))</f>
        <v/>
      </c>
      <c r="F24" s="43">
        <f>IF($AT24=0,"",IF(MOD($AT24,8)=7,IF($AT24&gt;=8,"◇","◆"),IF(MOD($AT24,8)=3,IF($AT24&gt;=8,"▷","▶"),IF(MOD($AT24,8)=5,IF($AT24&gt;=8,"◁","◀"),IF($AT24&gt;=8,"□","■")))))</f>
        <v/>
      </c>
      <c r="G24" s="43">
        <f>IF($AU24=0,"",IF(MOD($AU24,8)=7,IF($AU24&gt;=8,"◇","◆"),IF(MOD($AU24,8)=3,IF($AU24&gt;=8,"▷","▶"),IF(MOD($AU24,8)=5,IF($AU24&gt;=8,"◁","◀"),IF($AU24&gt;=8,"□","■")))))</f>
        <v/>
      </c>
      <c r="H24" s="43">
        <f>IF($AV24=0,"",IF(MOD($AV24,8)=7,IF($AV24&gt;=8,"◇","◆"),IF(MOD($AV24,8)=3,IF($AV24&gt;=8,"▷","▶"),IF(MOD($AV24,8)=5,IF($AV24&gt;=8,"◁","◀"),IF($AV24&gt;=8,"□","■")))))</f>
        <v/>
      </c>
      <c r="I24" s="43">
        <f>IF($AW24=0,"",IF(MOD($AW24,8)=7,IF($AW24&gt;=8,"◇","◆"),IF(MOD($AW24,8)=3,IF($AW24&gt;=8,"▷","▶"),IF(MOD($AW24,8)=5,IF($AW24&gt;=8,"◁","◀"),IF($AW24&gt;=8,"□","■")))))</f>
        <v/>
      </c>
      <c r="J24" s="43">
        <f>IF($AX24=0,"",IF(MOD($AX24,8)=7,IF($AX24&gt;=8,"◇","◆"),IF(MOD($AX24,8)=3,IF($AX24&gt;=8,"▷","▶"),IF(MOD($AX24,8)=5,IF($AX24&gt;=8,"◁","◀"),IF($AX24&gt;=8,"□","■")))))</f>
        <v/>
      </c>
      <c r="K24" s="43">
        <f>IF($AY24=0,"",IF(MOD($AY24,8)=7,IF($AY24&gt;=8,"◇","◆"),IF(MOD($AY24,8)=3,IF($AY24&gt;=8,"▷","▶"),IF(MOD($AY24,8)=5,IF($AY24&gt;=8,"◁","◀"),IF($AY24&gt;=8,"□","■")))))</f>
        <v/>
      </c>
      <c r="L24" s="43">
        <f>IF($AZ24=0,"",IF(MOD($AZ24,8)=7,IF($AZ24&gt;=8,"◇","◆"),IF(MOD($AZ24,8)=3,IF($AZ24&gt;=8,"▷","▶"),IF(MOD($AZ24,8)=5,IF($AZ24&gt;=8,"◁","◀"),IF($AZ24&gt;=8,"□","■")))))</f>
        <v/>
      </c>
      <c r="M24" s="43">
        <f>IF($BA24=0,"",IF(MOD($BA24,8)=7,IF($BA24&gt;=8,"◇","◆"),IF(MOD($BA24,8)=3,IF($BA24&gt;=8,"▷","▶"),IF(MOD($BA24,8)=5,IF($BA24&gt;=8,"◁","◀"),IF($BA24&gt;=8,"□","■")))))</f>
        <v/>
      </c>
      <c r="N24" s="43">
        <f>IF($BB24=0,"",IF(MOD($BB24,8)=7,IF($BB24&gt;=8,"◇","◆"),IF(MOD($BB24,8)=3,IF($BB24&gt;=8,"▷","▶"),IF(MOD($BB24,8)=5,IF($BB24&gt;=8,"◁","◀"),IF($BB24&gt;=8,"□","■")))))</f>
        <v/>
      </c>
      <c r="O24" s="43">
        <f>IF($BC24=0,"",IF(MOD($BC24,8)=7,IF($BC24&gt;=8,"◇","◆"),IF(MOD($BC24,8)=3,IF($BC24&gt;=8,"▷","▶"),IF(MOD($BC24,8)=5,IF($BC24&gt;=8,"◁","◀"),IF($BC24&gt;=8,"□","■")))))</f>
        <v/>
      </c>
      <c r="P24" s="43">
        <f>IF($BD24=0,"",IF(MOD($BD24,8)=7,IF($BD24&gt;=8,"◇","◆"),IF(MOD($BD24,8)=3,IF($BD24&gt;=8,"▷","▶"),IF(MOD($BD24,8)=5,IF($BD24&gt;=8,"◁","◀"),IF($BD24&gt;=8,"□","■")))))</f>
        <v/>
      </c>
      <c r="Q24" s="43">
        <f>IF($BE24=0,"",IF(MOD($BE24,8)=7,IF($BE24&gt;=8,"◇","◆"),IF(MOD($BE24,8)=3,IF($BE24&gt;=8,"▷","▶"),IF(MOD($BE24,8)=5,IF($BE24&gt;=8,"◁","◀"),IF($BE24&gt;=8,"□","■")))))</f>
        <v/>
      </c>
      <c r="R24" s="43">
        <f>IF($BF24=0,"",IF(MOD($BF24,8)=7,IF($BF24&gt;=8,"◇","◆"),IF(MOD($BF24,8)=3,IF($BF24&gt;=8,"▷","▶"),IF(MOD($BF24,8)=5,IF($BF24&gt;=8,"◁","◀"),IF($BF24&gt;=8,"□","■")))))</f>
        <v/>
      </c>
      <c r="S24" s="43">
        <f>IF($BG24=0,"",IF(MOD($BG24,8)=7,IF($BG24&gt;=8,"◇","◆"),IF(MOD($BG24,8)=3,IF($BG24&gt;=8,"▷","▶"),IF(MOD($BG24,8)=5,IF($BG24&gt;=8,"◁","◀"),IF($BG24&gt;=8,"□","■")))))</f>
        <v/>
      </c>
      <c r="T24" s="43">
        <f>IF($BH24=0,"",IF(MOD($BH24,8)=7,IF($BH24&gt;=8,"◇","◆"),IF(MOD($BH24,8)=3,IF($BH24&gt;=8,"▷","▶"),IF(MOD($BH24,8)=5,IF($BH24&gt;=8,"◁","◀"),IF($BH24&gt;=8,"□","■")))))</f>
        <v/>
      </c>
      <c r="U24" s="43">
        <f>IF($BI24=0,"",IF(MOD($BI24,8)=7,IF($BI24&gt;=8,"◇","◆"),IF(MOD($BI24,8)=3,IF($BI24&gt;=8,"▷","▶"),IF(MOD($BI24,8)=5,IF($BI24&gt;=8,"◁","◀"),IF($BI24&gt;=8,"□","■")))))</f>
        <v/>
      </c>
      <c r="V24" s="43">
        <f>IF($BJ24=0,"",IF(MOD($BJ24,8)=7,IF($BJ24&gt;=8,"◇","◆"),IF(MOD($BJ24,8)=3,IF($BJ24&gt;=8,"▷","▶"),IF(MOD($BJ24,8)=5,IF($BJ24&gt;=8,"◁","◀"),IF($BJ24&gt;=8,"□","■")))))</f>
        <v/>
      </c>
      <c r="W24" s="43">
        <f>IF($BK24=0,"",IF(MOD($BK24,8)=7,IF($BK24&gt;=8,"◇","◆"),IF(MOD($BK24,8)=3,IF($BK24&gt;=8,"▷","▶"),IF(MOD($BK24,8)=5,IF($BK24&gt;=8,"◁","◀"),IF($BK24&gt;=8,"□","■")))))</f>
        <v/>
      </c>
      <c r="X24" s="43">
        <f>IF($BL24=0,"",IF(MOD($BL24,8)=7,IF($BL24&gt;=8,"◇","◆"),IF(MOD($BL24,8)=3,IF($BL24&gt;=8,"▷","▶"),IF(MOD($BL24,8)=5,IF($BL24&gt;=8,"◁","◀"),IF($BL24&gt;=8,"□","■")))))</f>
        <v/>
      </c>
      <c r="Y24" s="43">
        <f>IF($BM24=0,"",IF(MOD($BM24,8)=7,IF($BM24&gt;=8,"◇","◆"),IF(MOD($BM24,8)=3,IF($BM24&gt;=8,"▷","▶"),IF(MOD($BM24,8)=5,IF($BM24&gt;=8,"◁","◀"),IF($BM24&gt;=8,"□","■")))))</f>
        <v/>
      </c>
      <c r="Z24" s="43">
        <f>IF($BN24=0,"",IF(MOD($BN24,8)=7,IF($BN24&gt;=8,"◇","◆"),IF(MOD($BN24,8)=3,IF($BN24&gt;=8,"▷","▶"),IF(MOD($BN24,8)=5,IF($BN24&gt;=8,"◁","◀"),IF($BN24&gt;=8,"□","■")))))</f>
        <v/>
      </c>
      <c r="AA24" s="43">
        <f>IF($BO24=0,"",IF(MOD($BO24,8)=7,IF($BO24&gt;=8,"◇","◆"),IF(MOD($BO24,8)=3,IF($BO24&gt;=8,"▷","▶"),IF(MOD($BO24,8)=5,IF($BO24&gt;=8,"◁","◀"),IF($BO24&gt;=8,"□","■")))))</f>
        <v/>
      </c>
      <c r="AB24" s="43">
        <f>IF($BP24=0,"",IF(MOD($BP24,8)=7,IF($BP24&gt;=8,"◇","◆"),IF(MOD($BP24,8)=3,IF($BP24&gt;=8,"▷","▶"),IF(MOD($BP24,8)=5,IF($BP24&gt;=8,"◁","◀"),IF($BP24&gt;=8,"□","■")))))</f>
        <v/>
      </c>
      <c r="AC24" s="43">
        <f>IF($BQ24=0,"",IF(MOD($BQ24,8)=7,IF($BQ24&gt;=8,"◇","◆"),IF(MOD($BQ24,8)=3,IF($BQ24&gt;=8,"▷","▶"),IF(MOD($BQ24,8)=5,IF($BQ24&gt;=8,"◁","◀"),IF($BQ24&gt;=8,"□","■")))))</f>
        <v/>
      </c>
      <c r="AD24" s="43">
        <f>IF($BR24=0,"",IF(MOD($BR24,8)=7,IF($BR24&gt;=8,"◇","◆"),IF(MOD($BR24,8)=3,IF($BR24&gt;=8,"▷","▶"),IF(MOD($BR24,8)=5,IF($BR24&gt;=8,"◁","◀"),IF($BR24&gt;=8,"□","■")))))</f>
        <v/>
      </c>
      <c r="AE24" s="43">
        <f>IF($BS24=0,"",IF(MOD($BS24,8)=7,IF($BS24&gt;=8,"◇","◆"),IF(MOD($BS24,8)=3,IF($BS24&gt;=8,"▷","▶"),IF(MOD($BS24,8)=5,IF($BS24&gt;=8,"◁","◀"),IF($BS24&gt;=8,"□","■")))))</f>
        <v/>
      </c>
      <c r="AF24" s="43">
        <f>IF($BT24=0,"",IF(MOD($BT24,8)=7,IF($BT24&gt;=8,"◇","◆"),IF(MOD($BT24,8)=3,IF($BT24&gt;=8,"▷","▶"),IF(MOD($BT24,8)=5,IF($BT24&gt;=8,"◁","◀"),IF($BT24&gt;=8,"□","■")))))</f>
        <v/>
      </c>
      <c r="AG24" s="44">
        <f>IF($A24="","",COUNTIF($AP24:$BT24,"&gt;0"))</f>
        <v/>
      </c>
      <c r="AP24">
        <f>IF(OR($A24="",B$4=""),0,SUMPRODUCT(('01_予約入力'!$G$5:$G$204&lt;&gt;"")*('01_予約入力'!$N$5:$N$204&lt;&gt;"キャンセル")*('01_予約入力'!$B$5:$B$204=$A24)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4">
        <f>IF(OR($A24="",C$4=""),0,SUMPRODUCT(('01_予約入力'!$G$5:$G$204&lt;&gt;"")*('01_予約入力'!$N$5:$N$204&lt;&gt;"キャンセル")*('01_予約入力'!$B$5:$B$204=$A24)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4">
        <f>IF(OR($A24="",D$4=""),0,SUMPRODUCT(('01_予約入力'!$G$5:$G$204&lt;&gt;"")*('01_予約入力'!$N$5:$N$204&lt;&gt;"キャンセル")*('01_予約入力'!$B$5:$B$204=$A24)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4">
        <f>IF(OR($A24="",E$4=""),0,SUMPRODUCT(('01_予約入力'!$G$5:$G$204&lt;&gt;"")*('01_予約入力'!$N$5:$N$204&lt;&gt;"キャンセル")*('01_予約入力'!$B$5:$B$204=$A24)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4">
        <f>IF(OR($A24="",F$4=""),0,SUMPRODUCT(('01_予約入力'!$G$5:$G$204&lt;&gt;"")*('01_予約入力'!$N$5:$N$204&lt;&gt;"キャンセル")*('01_予約入力'!$B$5:$B$204=$A24)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4">
        <f>IF(OR($A24="",G$4=""),0,SUMPRODUCT(('01_予約入力'!$G$5:$G$204&lt;&gt;"")*('01_予約入力'!$N$5:$N$204&lt;&gt;"キャンセル")*('01_予約入力'!$B$5:$B$204=$A24)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4">
        <f>IF(OR($A24="",H$4=""),0,SUMPRODUCT(('01_予約入力'!$G$5:$G$204&lt;&gt;"")*('01_予約入力'!$N$5:$N$204&lt;&gt;"キャンセル")*('01_予約入力'!$B$5:$B$204=$A24)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4">
        <f>IF(OR($A24="",I$4=""),0,SUMPRODUCT(('01_予約入力'!$G$5:$G$204&lt;&gt;"")*('01_予約入力'!$N$5:$N$204&lt;&gt;"キャンセル")*('01_予約入力'!$B$5:$B$204=$A24)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4">
        <f>IF(OR($A24="",J$4=""),0,SUMPRODUCT(('01_予約入力'!$G$5:$G$204&lt;&gt;"")*('01_予約入力'!$N$5:$N$204&lt;&gt;"キャンセル")*('01_予約入力'!$B$5:$B$204=$A24)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4">
        <f>IF(OR($A24="",K$4=""),0,SUMPRODUCT(('01_予約入力'!$G$5:$G$204&lt;&gt;"")*('01_予約入力'!$N$5:$N$204&lt;&gt;"キャンセル")*('01_予約入力'!$B$5:$B$204=$A24)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4">
        <f>IF(OR($A24="",L$4=""),0,SUMPRODUCT(('01_予約入力'!$G$5:$G$204&lt;&gt;"")*('01_予約入力'!$N$5:$N$204&lt;&gt;"キャンセル")*('01_予約入力'!$B$5:$B$204=$A24)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4">
        <f>IF(OR($A24="",M$4=""),0,SUMPRODUCT(('01_予約入力'!$G$5:$G$204&lt;&gt;"")*('01_予約入力'!$N$5:$N$204&lt;&gt;"キャンセル")*('01_予約入力'!$B$5:$B$204=$A24)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4">
        <f>IF(OR($A24="",N$4=""),0,SUMPRODUCT(('01_予約入力'!$G$5:$G$204&lt;&gt;"")*('01_予約入力'!$N$5:$N$204&lt;&gt;"キャンセル")*('01_予約入力'!$B$5:$B$204=$A24)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4">
        <f>IF(OR($A24="",O$4=""),0,SUMPRODUCT(('01_予約入力'!$G$5:$G$204&lt;&gt;"")*('01_予約入力'!$N$5:$N$204&lt;&gt;"キャンセル")*('01_予約入力'!$B$5:$B$204=$A24)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4">
        <f>IF(OR($A24="",P$4=""),0,SUMPRODUCT(('01_予約入力'!$G$5:$G$204&lt;&gt;"")*('01_予約入力'!$N$5:$N$204&lt;&gt;"キャンセル")*('01_予約入力'!$B$5:$B$204=$A24)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4">
        <f>IF(OR($A24="",Q$4=""),0,SUMPRODUCT(('01_予約入力'!$G$5:$G$204&lt;&gt;"")*('01_予約入力'!$N$5:$N$204&lt;&gt;"キャンセル")*('01_予約入力'!$B$5:$B$204=$A24)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4">
        <f>IF(OR($A24="",R$4=""),0,SUMPRODUCT(('01_予約入力'!$G$5:$G$204&lt;&gt;"")*('01_予約入力'!$N$5:$N$204&lt;&gt;"キャンセル")*('01_予約入力'!$B$5:$B$204=$A24)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4">
        <f>IF(OR($A24="",S$4=""),0,SUMPRODUCT(('01_予約入力'!$G$5:$G$204&lt;&gt;"")*('01_予約入力'!$N$5:$N$204&lt;&gt;"キャンセル")*('01_予約入力'!$B$5:$B$204=$A24)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4">
        <f>IF(OR($A24="",T$4=""),0,SUMPRODUCT(('01_予約入力'!$G$5:$G$204&lt;&gt;"")*('01_予約入力'!$N$5:$N$204&lt;&gt;"キャンセル")*('01_予約入力'!$B$5:$B$204=$A24)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4">
        <f>IF(OR($A24="",U$4=""),0,SUMPRODUCT(('01_予約入力'!$G$5:$G$204&lt;&gt;"")*('01_予約入力'!$N$5:$N$204&lt;&gt;"キャンセル")*('01_予約入力'!$B$5:$B$204=$A24)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4">
        <f>IF(OR($A24="",V$4=""),0,SUMPRODUCT(('01_予約入力'!$G$5:$G$204&lt;&gt;"")*('01_予約入力'!$N$5:$N$204&lt;&gt;"キャンセル")*('01_予約入力'!$B$5:$B$204=$A24)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4">
        <f>IF(OR($A24="",W$4=""),0,SUMPRODUCT(('01_予約入力'!$G$5:$G$204&lt;&gt;"")*('01_予約入力'!$N$5:$N$204&lt;&gt;"キャンセル")*('01_予約入力'!$B$5:$B$204=$A24)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4">
        <f>IF(OR($A24="",X$4=""),0,SUMPRODUCT(('01_予約入力'!$G$5:$G$204&lt;&gt;"")*('01_予約入力'!$N$5:$N$204&lt;&gt;"キャンセル")*('01_予約入力'!$B$5:$B$204=$A24)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4">
        <f>IF(OR($A24="",Y$4=""),0,SUMPRODUCT(('01_予約入力'!$G$5:$G$204&lt;&gt;"")*('01_予約入力'!$N$5:$N$204&lt;&gt;"キャンセル")*('01_予約入力'!$B$5:$B$204=$A24)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4">
        <f>IF(OR($A24="",Z$4=""),0,SUMPRODUCT(('01_予約入力'!$G$5:$G$204&lt;&gt;"")*('01_予約入力'!$N$5:$N$204&lt;&gt;"キャンセル")*('01_予約入力'!$B$5:$B$204=$A24)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4">
        <f>IF(OR($A24="",AA$4=""),0,SUMPRODUCT(('01_予約入力'!$G$5:$G$204&lt;&gt;"")*('01_予約入力'!$N$5:$N$204&lt;&gt;"キャンセル")*('01_予約入力'!$B$5:$B$204=$A24)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4">
        <f>IF(OR($A24="",AB$4=""),0,SUMPRODUCT(('01_予約入力'!$G$5:$G$204&lt;&gt;"")*('01_予約入力'!$N$5:$N$204&lt;&gt;"キャンセル")*('01_予約入力'!$B$5:$B$204=$A24)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4">
        <f>IF(OR($A24="",AC$4=""),0,SUMPRODUCT(('01_予約入力'!$G$5:$G$204&lt;&gt;"")*('01_予約入力'!$N$5:$N$204&lt;&gt;"キャンセル")*('01_予約入力'!$B$5:$B$204=$A24)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4">
        <f>IF(OR($A24="",AD$4=""),0,SUMPRODUCT(('01_予約入力'!$G$5:$G$204&lt;&gt;"")*('01_予約入力'!$N$5:$N$204&lt;&gt;"キャンセル")*('01_予約入力'!$B$5:$B$204=$A24)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4">
        <f>IF(OR($A24="",AE$4=""),0,SUMPRODUCT(('01_予約入力'!$G$5:$G$204&lt;&gt;"")*('01_予約入力'!$N$5:$N$204&lt;&gt;"キャンセル")*('01_予約入力'!$B$5:$B$204=$A24)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4">
        <f>IF(OR($A24="",AF$4=""),0,SUMPRODUCT(('01_予約入力'!$G$5:$G$204&lt;&gt;"")*('01_予約入力'!$N$5:$N$204&lt;&gt;"キャンセル")*('01_予約入力'!$B$5:$B$204=$A24)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5" ht="19" customHeight="1">
      <c r="A25" s="42">
        <f>IF(COUNTA('利用者マスタ'!$A$4:$A$60)&gt;=19,INDEX('利用者マスタ'!$A$4:$A$60,19),"")</f>
        <v/>
      </c>
      <c r="B25" s="43">
        <f>IF($AP25=0,"",IF(MOD($AP25,8)=7,IF($AP25&gt;=8,"◇","◆"),IF(MOD($AP25,8)=3,IF($AP25&gt;=8,"▷","▶"),IF(MOD($AP25,8)=5,IF($AP25&gt;=8,"◁","◀"),IF($AP25&gt;=8,"□","■")))))</f>
        <v/>
      </c>
      <c r="C25" s="43">
        <f>IF($AQ25=0,"",IF(MOD($AQ25,8)=7,IF($AQ25&gt;=8,"◇","◆"),IF(MOD($AQ25,8)=3,IF($AQ25&gt;=8,"▷","▶"),IF(MOD($AQ25,8)=5,IF($AQ25&gt;=8,"◁","◀"),IF($AQ25&gt;=8,"□","■")))))</f>
        <v/>
      </c>
      <c r="D25" s="43">
        <f>IF($AR25=0,"",IF(MOD($AR25,8)=7,IF($AR25&gt;=8,"◇","◆"),IF(MOD($AR25,8)=3,IF($AR25&gt;=8,"▷","▶"),IF(MOD($AR25,8)=5,IF($AR25&gt;=8,"◁","◀"),IF($AR25&gt;=8,"□","■")))))</f>
        <v/>
      </c>
      <c r="E25" s="43">
        <f>IF($AS25=0,"",IF(MOD($AS25,8)=7,IF($AS25&gt;=8,"◇","◆"),IF(MOD($AS25,8)=3,IF($AS25&gt;=8,"▷","▶"),IF(MOD($AS25,8)=5,IF($AS25&gt;=8,"◁","◀"),IF($AS25&gt;=8,"□","■")))))</f>
        <v/>
      </c>
      <c r="F25" s="43">
        <f>IF($AT25=0,"",IF(MOD($AT25,8)=7,IF($AT25&gt;=8,"◇","◆"),IF(MOD($AT25,8)=3,IF($AT25&gt;=8,"▷","▶"),IF(MOD($AT25,8)=5,IF($AT25&gt;=8,"◁","◀"),IF($AT25&gt;=8,"□","■")))))</f>
        <v/>
      </c>
      <c r="G25" s="43">
        <f>IF($AU25=0,"",IF(MOD($AU25,8)=7,IF($AU25&gt;=8,"◇","◆"),IF(MOD($AU25,8)=3,IF($AU25&gt;=8,"▷","▶"),IF(MOD($AU25,8)=5,IF($AU25&gt;=8,"◁","◀"),IF($AU25&gt;=8,"□","■")))))</f>
        <v/>
      </c>
      <c r="H25" s="43">
        <f>IF($AV25=0,"",IF(MOD($AV25,8)=7,IF($AV25&gt;=8,"◇","◆"),IF(MOD($AV25,8)=3,IF($AV25&gt;=8,"▷","▶"),IF(MOD($AV25,8)=5,IF($AV25&gt;=8,"◁","◀"),IF($AV25&gt;=8,"□","■")))))</f>
        <v/>
      </c>
      <c r="I25" s="43">
        <f>IF($AW25=0,"",IF(MOD($AW25,8)=7,IF($AW25&gt;=8,"◇","◆"),IF(MOD($AW25,8)=3,IF($AW25&gt;=8,"▷","▶"),IF(MOD($AW25,8)=5,IF($AW25&gt;=8,"◁","◀"),IF($AW25&gt;=8,"□","■")))))</f>
        <v/>
      </c>
      <c r="J25" s="43">
        <f>IF($AX25=0,"",IF(MOD($AX25,8)=7,IF($AX25&gt;=8,"◇","◆"),IF(MOD($AX25,8)=3,IF($AX25&gt;=8,"▷","▶"),IF(MOD($AX25,8)=5,IF($AX25&gt;=8,"◁","◀"),IF($AX25&gt;=8,"□","■")))))</f>
        <v/>
      </c>
      <c r="K25" s="43">
        <f>IF($AY25=0,"",IF(MOD($AY25,8)=7,IF($AY25&gt;=8,"◇","◆"),IF(MOD($AY25,8)=3,IF($AY25&gt;=8,"▷","▶"),IF(MOD($AY25,8)=5,IF($AY25&gt;=8,"◁","◀"),IF($AY25&gt;=8,"□","■")))))</f>
        <v/>
      </c>
      <c r="L25" s="43">
        <f>IF($AZ25=0,"",IF(MOD($AZ25,8)=7,IF($AZ25&gt;=8,"◇","◆"),IF(MOD($AZ25,8)=3,IF($AZ25&gt;=8,"▷","▶"),IF(MOD($AZ25,8)=5,IF($AZ25&gt;=8,"◁","◀"),IF($AZ25&gt;=8,"□","■")))))</f>
        <v/>
      </c>
      <c r="M25" s="43">
        <f>IF($BA25=0,"",IF(MOD($BA25,8)=7,IF($BA25&gt;=8,"◇","◆"),IF(MOD($BA25,8)=3,IF($BA25&gt;=8,"▷","▶"),IF(MOD($BA25,8)=5,IF($BA25&gt;=8,"◁","◀"),IF($BA25&gt;=8,"□","■")))))</f>
        <v/>
      </c>
      <c r="N25" s="43">
        <f>IF($BB25=0,"",IF(MOD($BB25,8)=7,IF($BB25&gt;=8,"◇","◆"),IF(MOD($BB25,8)=3,IF($BB25&gt;=8,"▷","▶"),IF(MOD($BB25,8)=5,IF($BB25&gt;=8,"◁","◀"),IF($BB25&gt;=8,"□","■")))))</f>
        <v/>
      </c>
      <c r="O25" s="43">
        <f>IF($BC25=0,"",IF(MOD($BC25,8)=7,IF($BC25&gt;=8,"◇","◆"),IF(MOD($BC25,8)=3,IF($BC25&gt;=8,"▷","▶"),IF(MOD($BC25,8)=5,IF($BC25&gt;=8,"◁","◀"),IF($BC25&gt;=8,"□","■")))))</f>
        <v/>
      </c>
      <c r="P25" s="43">
        <f>IF($BD25=0,"",IF(MOD($BD25,8)=7,IF($BD25&gt;=8,"◇","◆"),IF(MOD($BD25,8)=3,IF($BD25&gt;=8,"▷","▶"),IF(MOD($BD25,8)=5,IF($BD25&gt;=8,"◁","◀"),IF($BD25&gt;=8,"□","■")))))</f>
        <v/>
      </c>
      <c r="Q25" s="43">
        <f>IF($BE25=0,"",IF(MOD($BE25,8)=7,IF($BE25&gt;=8,"◇","◆"),IF(MOD($BE25,8)=3,IF($BE25&gt;=8,"▷","▶"),IF(MOD($BE25,8)=5,IF($BE25&gt;=8,"◁","◀"),IF($BE25&gt;=8,"□","■")))))</f>
        <v/>
      </c>
      <c r="R25" s="43">
        <f>IF($BF25=0,"",IF(MOD($BF25,8)=7,IF($BF25&gt;=8,"◇","◆"),IF(MOD($BF25,8)=3,IF($BF25&gt;=8,"▷","▶"),IF(MOD($BF25,8)=5,IF($BF25&gt;=8,"◁","◀"),IF($BF25&gt;=8,"□","■")))))</f>
        <v/>
      </c>
      <c r="S25" s="43">
        <f>IF($BG25=0,"",IF(MOD($BG25,8)=7,IF($BG25&gt;=8,"◇","◆"),IF(MOD($BG25,8)=3,IF($BG25&gt;=8,"▷","▶"),IF(MOD($BG25,8)=5,IF($BG25&gt;=8,"◁","◀"),IF($BG25&gt;=8,"□","■")))))</f>
        <v/>
      </c>
      <c r="T25" s="43">
        <f>IF($BH25=0,"",IF(MOD($BH25,8)=7,IF($BH25&gt;=8,"◇","◆"),IF(MOD($BH25,8)=3,IF($BH25&gt;=8,"▷","▶"),IF(MOD($BH25,8)=5,IF($BH25&gt;=8,"◁","◀"),IF($BH25&gt;=8,"□","■")))))</f>
        <v/>
      </c>
      <c r="U25" s="43">
        <f>IF($BI25=0,"",IF(MOD($BI25,8)=7,IF($BI25&gt;=8,"◇","◆"),IF(MOD($BI25,8)=3,IF($BI25&gt;=8,"▷","▶"),IF(MOD($BI25,8)=5,IF($BI25&gt;=8,"◁","◀"),IF($BI25&gt;=8,"□","■")))))</f>
        <v/>
      </c>
      <c r="V25" s="43">
        <f>IF($BJ25=0,"",IF(MOD($BJ25,8)=7,IF($BJ25&gt;=8,"◇","◆"),IF(MOD($BJ25,8)=3,IF($BJ25&gt;=8,"▷","▶"),IF(MOD($BJ25,8)=5,IF($BJ25&gt;=8,"◁","◀"),IF($BJ25&gt;=8,"□","■")))))</f>
        <v/>
      </c>
      <c r="W25" s="43">
        <f>IF($BK25=0,"",IF(MOD($BK25,8)=7,IF($BK25&gt;=8,"◇","◆"),IF(MOD($BK25,8)=3,IF($BK25&gt;=8,"▷","▶"),IF(MOD($BK25,8)=5,IF($BK25&gt;=8,"◁","◀"),IF($BK25&gt;=8,"□","■")))))</f>
        <v/>
      </c>
      <c r="X25" s="43">
        <f>IF($BL25=0,"",IF(MOD($BL25,8)=7,IF($BL25&gt;=8,"◇","◆"),IF(MOD($BL25,8)=3,IF($BL25&gt;=8,"▷","▶"),IF(MOD($BL25,8)=5,IF($BL25&gt;=8,"◁","◀"),IF($BL25&gt;=8,"□","■")))))</f>
        <v/>
      </c>
      <c r="Y25" s="43">
        <f>IF($BM25=0,"",IF(MOD($BM25,8)=7,IF($BM25&gt;=8,"◇","◆"),IF(MOD($BM25,8)=3,IF($BM25&gt;=8,"▷","▶"),IF(MOD($BM25,8)=5,IF($BM25&gt;=8,"◁","◀"),IF($BM25&gt;=8,"□","■")))))</f>
        <v/>
      </c>
      <c r="Z25" s="43">
        <f>IF($BN25=0,"",IF(MOD($BN25,8)=7,IF($BN25&gt;=8,"◇","◆"),IF(MOD($BN25,8)=3,IF($BN25&gt;=8,"▷","▶"),IF(MOD($BN25,8)=5,IF($BN25&gt;=8,"◁","◀"),IF($BN25&gt;=8,"□","■")))))</f>
        <v/>
      </c>
      <c r="AA25" s="43">
        <f>IF($BO25=0,"",IF(MOD($BO25,8)=7,IF($BO25&gt;=8,"◇","◆"),IF(MOD($BO25,8)=3,IF($BO25&gt;=8,"▷","▶"),IF(MOD($BO25,8)=5,IF($BO25&gt;=8,"◁","◀"),IF($BO25&gt;=8,"□","■")))))</f>
        <v/>
      </c>
      <c r="AB25" s="43">
        <f>IF($BP25=0,"",IF(MOD($BP25,8)=7,IF($BP25&gt;=8,"◇","◆"),IF(MOD($BP25,8)=3,IF($BP25&gt;=8,"▷","▶"),IF(MOD($BP25,8)=5,IF($BP25&gt;=8,"◁","◀"),IF($BP25&gt;=8,"□","■")))))</f>
        <v/>
      </c>
      <c r="AC25" s="43">
        <f>IF($BQ25=0,"",IF(MOD($BQ25,8)=7,IF($BQ25&gt;=8,"◇","◆"),IF(MOD($BQ25,8)=3,IF($BQ25&gt;=8,"▷","▶"),IF(MOD($BQ25,8)=5,IF($BQ25&gt;=8,"◁","◀"),IF($BQ25&gt;=8,"□","■")))))</f>
        <v/>
      </c>
      <c r="AD25" s="43">
        <f>IF($BR25=0,"",IF(MOD($BR25,8)=7,IF($BR25&gt;=8,"◇","◆"),IF(MOD($BR25,8)=3,IF($BR25&gt;=8,"▷","▶"),IF(MOD($BR25,8)=5,IF($BR25&gt;=8,"◁","◀"),IF($BR25&gt;=8,"□","■")))))</f>
        <v/>
      </c>
      <c r="AE25" s="43">
        <f>IF($BS25=0,"",IF(MOD($BS25,8)=7,IF($BS25&gt;=8,"◇","◆"),IF(MOD($BS25,8)=3,IF($BS25&gt;=8,"▷","▶"),IF(MOD($BS25,8)=5,IF($BS25&gt;=8,"◁","◀"),IF($BS25&gt;=8,"□","■")))))</f>
        <v/>
      </c>
      <c r="AF25" s="43">
        <f>IF($BT25=0,"",IF(MOD($BT25,8)=7,IF($BT25&gt;=8,"◇","◆"),IF(MOD($BT25,8)=3,IF($BT25&gt;=8,"▷","▶"),IF(MOD($BT25,8)=5,IF($BT25&gt;=8,"◁","◀"),IF($BT25&gt;=8,"□","■")))))</f>
        <v/>
      </c>
      <c r="AG25" s="44">
        <f>IF($A25="","",COUNTIF($AP25:$BT25,"&gt;0"))</f>
        <v/>
      </c>
      <c r="AP25">
        <f>IF(OR($A25="",B$4=""),0,SUMPRODUCT(('01_予約入力'!$G$5:$G$204&lt;&gt;"")*('01_予約入力'!$N$5:$N$204&lt;&gt;"キャンセル")*('01_予約入力'!$B$5:$B$204=$A25)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5">
        <f>IF(OR($A25="",C$4=""),0,SUMPRODUCT(('01_予約入力'!$G$5:$G$204&lt;&gt;"")*('01_予約入力'!$N$5:$N$204&lt;&gt;"キャンセル")*('01_予約入力'!$B$5:$B$204=$A25)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5">
        <f>IF(OR($A25="",D$4=""),0,SUMPRODUCT(('01_予約入力'!$G$5:$G$204&lt;&gt;"")*('01_予約入力'!$N$5:$N$204&lt;&gt;"キャンセル")*('01_予約入力'!$B$5:$B$204=$A25)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5">
        <f>IF(OR($A25="",E$4=""),0,SUMPRODUCT(('01_予約入力'!$G$5:$G$204&lt;&gt;"")*('01_予約入力'!$N$5:$N$204&lt;&gt;"キャンセル")*('01_予約入力'!$B$5:$B$204=$A25)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5">
        <f>IF(OR($A25="",F$4=""),0,SUMPRODUCT(('01_予約入力'!$G$5:$G$204&lt;&gt;"")*('01_予約入力'!$N$5:$N$204&lt;&gt;"キャンセル")*('01_予約入力'!$B$5:$B$204=$A25)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5">
        <f>IF(OR($A25="",G$4=""),0,SUMPRODUCT(('01_予約入力'!$G$5:$G$204&lt;&gt;"")*('01_予約入力'!$N$5:$N$204&lt;&gt;"キャンセル")*('01_予約入力'!$B$5:$B$204=$A25)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5">
        <f>IF(OR($A25="",H$4=""),0,SUMPRODUCT(('01_予約入力'!$G$5:$G$204&lt;&gt;"")*('01_予約入力'!$N$5:$N$204&lt;&gt;"キャンセル")*('01_予約入力'!$B$5:$B$204=$A25)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5">
        <f>IF(OR($A25="",I$4=""),0,SUMPRODUCT(('01_予約入力'!$G$5:$G$204&lt;&gt;"")*('01_予約入力'!$N$5:$N$204&lt;&gt;"キャンセル")*('01_予約入力'!$B$5:$B$204=$A25)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5">
        <f>IF(OR($A25="",J$4=""),0,SUMPRODUCT(('01_予約入力'!$G$5:$G$204&lt;&gt;"")*('01_予約入力'!$N$5:$N$204&lt;&gt;"キャンセル")*('01_予約入力'!$B$5:$B$204=$A25)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5">
        <f>IF(OR($A25="",K$4=""),0,SUMPRODUCT(('01_予約入力'!$G$5:$G$204&lt;&gt;"")*('01_予約入力'!$N$5:$N$204&lt;&gt;"キャンセル")*('01_予約入力'!$B$5:$B$204=$A25)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5">
        <f>IF(OR($A25="",L$4=""),0,SUMPRODUCT(('01_予約入力'!$G$5:$G$204&lt;&gt;"")*('01_予約入力'!$N$5:$N$204&lt;&gt;"キャンセル")*('01_予約入力'!$B$5:$B$204=$A25)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5">
        <f>IF(OR($A25="",M$4=""),0,SUMPRODUCT(('01_予約入力'!$G$5:$G$204&lt;&gt;"")*('01_予約入力'!$N$5:$N$204&lt;&gt;"キャンセル")*('01_予約入力'!$B$5:$B$204=$A25)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5">
        <f>IF(OR($A25="",N$4=""),0,SUMPRODUCT(('01_予約入力'!$G$5:$G$204&lt;&gt;"")*('01_予約入力'!$N$5:$N$204&lt;&gt;"キャンセル")*('01_予約入力'!$B$5:$B$204=$A25)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5">
        <f>IF(OR($A25="",O$4=""),0,SUMPRODUCT(('01_予約入力'!$G$5:$G$204&lt;&gt;"")*('01_予約入力'!$N$5:$N$204&lt;&gt;"キャンセル")*('01_予約入力'!$B$5:$B$204=$A25)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5">
        <f>IF(OR($A25="",P$4=""),0,SUMPRODUCT(('01_予約入力'!$G$5:$G$204&lt;&gt;"")*('01_予約入力'!$N$5:$N$204&lt;&gt;"キャンセル")*('01_予約入力'!$B$5:$B$204=$A25)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5">
        <f>IF(OR($A25="",Q$4=""),0,SUMPRODUCT(('01_予約入力'!$G$5:$G$204&lt;&gt;"")*('01_予約入力'!$N$5:$N$204&lt;&gt;"キャンセル")*('01_予約入力'!$B$5:$B$204=$A25)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5">
        <f>IF(OR($A25="",R$4=""),0,SUMPRODUCT(('01_予約入力'!$G$5:$G$204&lt;&gt;"")*('01_予約入力'!$N$5:$N$204&lt;&gt;"キャンセル")*('01_予約入力'!$B$5:$B$204=$A25)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5">
        <f>IF(OR($A25="",S$4=""),0,SUMPRODUCT(('01_予約入力'!$G$5:$G$204&lt;&gt;"")*('01_予約入力'!$N$5:$N$204&lt;&gt;"キャンセル")*('01_予約入力'!$B$5:$B$204=$A25)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5">
        <f>IF(OR($A25="",T$4=""),0,SUMPRODUCT(('01_予約入力'!$G$5:$G$204&lt;&gt;"")*('01_予約入力'!$N$5:$N$204&lt;&gt;"キャンセル")*('01_予約入力'!$B$5:$B$204=$A25)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5">
        <f>IF(OR($A25="",U$4=""),0,SUMPRODUCT(('01_予約入力'!$G$5:$G$204&lt;&gt;"")*('01_予約入力'!$N$5:$N$204&lt;&gt;"キャンセル")*('01_予約入力'!$B$5:$B$204=$A25)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5">
        <f>IF(OR($A25="",V$4=""),0,SUMPRODUCT(('01_予約入力'!$G$5:$G$204&lt;&gt;"")*('01_予約入力'!$N$5:$N$204&lt;&gt;"キャンセル")*('01_予約入力'!$B$5:$B$204=$A25)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5">
        <f>IF(OR($A25="",W$4=""),0,SUMPRODUCT(('01_予約入力'!$G$5:$G$204&lt;&gt;"")*('01_予約入力'!$N$5:$N$204&lt;&gt;"キャンセル")*('01_予約入力'!$B$5:$B$204=$A25)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5">
        <f>IF(OR($A25="",X$4=""),0,SUMPRODUCT(('01_予約入力'!$G$5:$G$204&lt;&gt;"")*('01_予約入力'!$N$5:$N$204&lt;&gt;"キャンセル")*('01_予約入力'!$B$5:$B$204=$A25)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5">
        <f>IF(OR($A25="",Y$4=""),0,SUMPRODUCT(('01_予約入力'!$G$5:$G$204&lt;&gt;"")*('01_予約入力'!$N$5:$N$204&lt;&gt;"キャンセル")*('01_予約入力'!$B$5:$B$204=$A25)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5">
        <f>IF(OR($A25="",Z$4=""),0,SUMPRODUCT(('01_予約入力'!$G$5:$G$204&lt;&gt;"")*('01_予約入力'!$N$5:$N$204&lt;&gt;"キャンセル")*('01_予約入力'!$B$5:$B$204=$A25)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5">
        <f>IF(OR($A25="",AA$4=""),0,SUMPRODUCT(('01_予約入力'!$G$5:$G$204&lt;&gt;"")*('01_予約入力'!$N$5:$N$204&lt;&gt;"キャンセル")*('01_予約入力'!$B$5:$B$204=$A25)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5">
        <f>IF(OR($A25="",AB$4=""),0,SUMPRODUCT(('01_予約入力'!$G$5:$G$204&lt;&gt;"")*('01_予約入力'!$N$5:$N$204&lt;&gt;"キャンセル")*('01_予約入力'!$B$5:$B$204=$A25)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5">
        <f>IF(OR($A25="",AC$4=""),0,SUMPRODUCT(('01_予約入力'!$G$5:$G$204&lt;&gt;"")*('01_予約入力'!$N$5:$N$204&lt;&gt;"キャンセル")*('01_予約入力'!$B$5:$B$204=$A25)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5">
        <f>IF(OR($A25="",AD$4=""),0,SUMPRODUCT(('01_予約入力'!$G$5:$G$204&lt;&gt;"")*('01_予約入力'!$N$5:$N$204&lt;&gt;"キャンセル")*('01_予約入力'!$B$5:$B$204=$A25)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5">
        <f>IF(OR($A25="",AE$4=""),0,SUMPRODUCT(('01_予約入力'!$G$5:$G$204&lt;&gt;"")*('01_予約入力'!$N$5:$N$204&lt;&gt;"キャンセル")*('01_予約入力'!$B$5:$B$204=$A25)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5">
        <f>IF(OR($A25="",AF$4=""),0,SUMPRODUCT(('01_予約入力'!$G$5:$G$204&lt;&gt;"")*('01_予約入力'!$N$5:$N$204&lt;&gt;"キャンセル")*('01_予約入力'!$B$5:$B$204=$A25)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6" ht="19" customHeight="1">
      <c r="A26" s="42">
        <f>IF(COUNTA('利用者マスタ'!$A$4:$A$60)&gt;=20,INDEX('利用者マスタ'!$A$4:$A$60,20),"")</f>
        <v/>
      </c>
      <c r="B26" s="43">
        <f>IF($AP26=0,"",IF(MOD($AP26,8)=7,IF($AP26&gt;=8,"◇","◆"),IF(MOD($AP26,8)=3,IF($AP26&gt;=8,"▷","▶"),IF(MOD($AP26,8)=5,IF($AP26&gt;=8,"◁","◀"),IF($AP26&gt;=8,"□","■")))))</f>
        <v/>
      </c>
      <c r="C26" s="43">
        <f>IF($AQ26=0,"",IF(MOD($AQ26,8)=7,IF($AQ26&gt;=8,"◇","◆"),IF(MOD($AQ26,8)=3,IF($AQ26&gt;=8,"▷","▶"),IF(MOD($AQ26,8)=5,IF($AQ26&gt;=8,"◁","◀"),IF($AQ26&gt;=8,"□","■")))))</f>
        <v/>
      </c>
      <c r="D26" s="43">
        <f>IF($AR26=0,"",IF(MOD($AR26,8)=7,IF($AR26&gt;=8,"◇","◆"),IF(MOD($AR26,8)=3,IF($AR26&gt;=8,"▷","▶"),IF(MOD($AR26,8)=5,IF($AR26&gt;=8,"◁","◀"),IF($AR26&gt;=8,"□","■")))))</f>
        <v/>
      </c>
      <c r="E26" s="43">
        <f>IF($AS26=0,"",IF(MOD($AS26,8)=7,IF($AS26&gt;=8,"◇","◆"),IF(MOD($AS26,8)=3,IF($AS26&gt;=8,"▷","▶"),IF(MOD($AS26,8)=5,IF($AS26&gt;=8,"◁","◀"),IF($AS26&gt;=8,"□","■")))))</f>
        <v/>
      </c>
      <c r="F26" s="43">
        <f>IF($AT26=0,"",IF(MOD($AT26,8)=7,IF($AT26&gt;=8,"◇","◆"),IF(MOD($AT26,8)=3,IF($AT26&gt;=8,"▷","▶"),IF(MOD($AT26,8)=5,IF($AT26&gt;=8,"◁","◀"),IF($AT26&gt;=8,"□","■")))))</f>
        <v/>
      </c>
      <c r="G26" s="43">
        <f>IF($AU26=0,"",IF(MOD($AU26,8)=7,IF($AU26&gt;=8,"◇","◆"),IF(MOD($AU26,8)=3,IF($AU26&gt;=8,"▷","▶"),IF(MOD($AU26,8)=5,IF($AU26&gt;=8,"◁","◀"),IF($AU26&gt;=8,"□","■")))))</f>
        <v/>
      </c>
      <c r="H26" s="43">
        <f>IF($AV26=0,"",IF(MOD($AV26,8)=7,IF($AV26&gt;=8,"◇","◆"),IF(MOD($AV26,8)=3,IF($AV26&gt;=8,"▷","▶"),IF(MOD($AV26,8)=5,IF($AV26&gt;=8,"◁","◀"),IF($AV26&gt;=8,"□","■")))))</f>
        <v/>
      </c>
      <c r="I26" s="43">
        <f>IF($AW26=0,"",IF(MOD($AW26,8)=7,IF($AW26&gt;=8,"◇","◆"),IF(MOD($AW26,8)=3,IF($AW26&gt;=8,"▷","▶"),IF(MOD($AW26,8)=5,IF($AW26&gt;=8,"◁","◀"),IF($AW26&gt;=8,"□","■")))))</f>
        <v/>
      </c>
      <c r="J26" s="43">
        <f>IF($AX26=0,"",IF(MOD($AX26,8)=7,IF($AX26&gt;=8,"◇","◆"),IF(MOD($AX26,8)=3,IF($AX26&gt;=8,"▷","▶"),IF(MOD($AX26,8)=5,IF($AX26&gt;=8,"◁","◀"),IF($AX26&gt;=8,"□","■")))))</f>
        <v/>
      </c>
      <c r="K26" s="43">
        <f>IF($AY26=0,"",IF(MOD($AY26,8)=7,IF($AY26&gt;=8,"◇","◆"),IF(MOD($AY26,8)=3,IF($AY26&gt;=8,"▷","▶"),IF(MOD($AY26,8)=5,IF($AY26&gt;=8,"◁","◀"),IF($AY26&gt;=8,"□","■")))))</f>
        <v/>
      </c>
      <c r="L26" s="43">
        <f>IF($AZ26=0,"",IF(MOD($AZ26,8)=7,IF($AZ26&gt;=8,"◇","◆"),IF(MOD($AZ26,8)=3,IF($AZ26&gt;=8,"▷","▶"),IF(MOD($AZ26,8)=5,IF($AZ26&gt;=8,"◁","◀"),IF($AZ26&gt;=8,"□","■")))))</f>
        <v/>
      </c>
      <c r="M26" s="43">
        <f>IF($BA26=0,"",IF(MOD($BA26,8)=7,IF($BA26&gt;=8,"◇","◆"),IF(MOD($BA26,8)=3,IF($BA26&gt;=8,"▷","▶"),IF(MOD($BA26,8)=5,IF($BA26&gt;=8,"◁","◀"),IF($BA26&gt;=8,"□","■")))))</f>
        <v/>
      </c>
      <c r="N26" s="43">
        <f>IF($BB26=0,"",IF(MOD($BB26,8)=7,IF($BB26&gt;=8,"◇","◆"),IF(MOD($BB26,8)=3,IF($BB26&gt;=8,"▷","▶"),IF(MOD($BB26,8)=5,IF($BB26&gt;=8,"◁","◀"),IF($BB26&gt;=8,"□","■")))))</f>
        <v/>
      </c>
      <c r="O26" s="43">
        <f>IF($BC26=0,"",IF(MOD($BC26,8)=7,IF($BC26&gt;=8,"◇","◆"),IF(MOD($BC26,8)=3,IF($BC26&gt;=8,"▷","▶"),IF(MOD($BC26,8)=5,IF($BC26&gt;=8,"◁","◀"),IF($BC26&gt;=8,"□","■")))))</f>
        <v/>
      </c>
      <c r="P26" s="43">
        <f>IF($BD26=0,"",IF(MOD($BD26,8)=7,IF($BD26&gt;=8,"◇","◆"),IF(MOD($BD26,8)=3,IF($BD26&gt;=8,"▷","▶"),IF(MOD($BD26,8)=5,IF($BD26&gt;=8,"◁","◀"),IF($BD26&gt;=8,"□","■")))))</f>
        <v/>
      </c>
      <c r="Q26" s="43">
        <f>IF($BE26=0,"",IF(MOD($BE26,8)=7,IF($BE26&gt;=8,"◇","◆"),IF(MOD($BE26,8)=3,IF($BE26&gt;=8,"▷","▶"),IF(MOD($BE26,8)=5,IF($BE26&gt;=8,"◁","◀"),IF($BE26&gt;=8,"□","■")))))</f>
        <v/>
      </c>
      <c r="R26" s="43">
        <f>IF($BF26=0,"",IF(MOD($BF26,8)=7,IF($BF26&gt;=8,"◇","◆"),IF(MOD($BF26,8)=3,IF($BF26&gt;=8,"▷","▶"),IF(MOD($BF26,8)=5,IF($BF26&gt;=8,"◁","◀"),IF($BF26&gt;=8,"□","■")))))</f>
        <v/>
      </c>
      <c r="S26" s="43">
        <f>IF($BG26=0,"",IF(MOD($BG26,8)=7,IF($BG26&gt;=8,"◇","◆"),IF(MOD($BG26,8)=3,IF($BG26&gt;=8,"▷","▶"),IF(MOD($BG26,8)=5,IF($BG26&gt;=8,"◁","◀"),IF($BG26&gt;=8,"□","■")))))</f>
        <v/>
      </c>
      <c r="T26" s="43">
        <f>IF($BH26=0,"",IF(MOD($BH26,8)=7,IF($BH26&gt;=8,"◇","◆"),IF(MOD($BH26,8)=3,IF($BH26&gt;=8,"▷","▶"),IF(MOD($BH26,8)=5,IF($BH26&gt;=8,"◁","◀"),IF($BH26&gt;=8,"□","■")))))</f>
        <v/>
      </c>
      <c r="U26" s="43">
        <f>IF($BI26=0,"",IF(MOD($BI26,8)=7,IF($BI26&gt;=8,"◇","◆"),IF(MOD($BI26,8)=3,IF($BI26&gt;=8,"▷","▶"),IF(MOD($BI26,8)=5,IF($BI26&gt;=8,"◁","◀"),IF($BI26&gt;=8,"□","■")))))</f>
        <v/>
      </c>
      <c r="V26" s="43">
        <f>IF($BJ26=0,"",IF(MOD($BJ26,8)=7,IF($BJ26&gt;=8,"◇","◆"),IF(MOD($BJ26,8)=3,IF($BJ26&gt;=8,"▷","▶"),IF(MOD($BJ26,8)=5,IF($BJ26&gt;=8,"◁","◀"),IF($BJ26&gt;=8,"□","■")))))</f>
        <v/>
      </c>
      <c r="W26" s="43">
        <f>IF($BK26=0,"",IF(MOD($BK26,8)=7,IF($BK26&gt;=8,"◇","◆"),IF(MOD($BK26,8)=3,IF($BK26&gt;=8,"▷","▶"),IF(MOD($BK26,8)=5,IF($BK26&gt;=8,"◁","◀"),IF($BK26&gt;=8,"□","■")))))</f>
        <v/>
      </c>
      <c r="X26" s="43">
        <f>IF($BL26=0,"",IF(MOD($BL26,8)=7,IF($BL26&gt;=8,"◇","◆"),IF(MOD($BL26,8)=3,IF($BL26&gt;=8,"▷","▶"),IF(MOD($BL26,8)=5,IF($BL26&gt;=8,"◁","◀"),IF($BL26&gt;=8,"□","■")))))</f>
        <v/>
      </c>
      <c r="Y26" s="43">
        <f>IF($BM26=0,"",IF(MOD($BM26,8)=7,IF($BM26&gt;=8,"◇","◆"),IF(MOD($BM26,8)=3,IF($BM26&gt;=8,"▷","▶"),IF(MOD($BM26,8)=5,IF($BM26&gt;=8,"◁","◀"),IF($BM26&gt;=8,"□","■")))))</f>
        <v/>
      </c>
      <c r="Z26" s="43">
        <f>IF($BN26=0,"",IF(MOD($BN26,8)=7,IF($BN26&gt;=8,"◇","◆"),IF(MOD($BN26,8)=3,IF($BN26&gt;=8,"▷","▶"),IF(MOD($BN26,8)=5,IF($BN26&gt;=8,"◁","◀"),IF($BN26&gt;=8,"□","■")))))</f>
        <v/>
      </c>
      <c r="AA26" s="43">
        <f>IF($BO26=0,"",IF(MOD($BO26,8)=7,IF($BO26&gt;=8,"◇","◆"),IF(MOD($BO26,8)=3,IF($BO26&gt;=8,"▷","▶"),IF(MOD($BO26,8)=5,IF($BO26&gt;=8,"◁","◀"),IF($BO26&gt;=8,"□","■")))))</f>
        <v/>
      </c>
      <c r="AB26" s="43">
        <f>IF($BP26=0,"",IF(MOD($BP26,8)=7,IF($BP26&gt;=8,"◇","◆"),IF(MOD($BP26,8)=3,IF($BP26&gt;=8,"▷","▶"),IF(MOD($BP26,8)=5,IF($BP26&gt;=8,"◁","◀"),IF($BP26&gt;=8,"□","■")))))</f>
        <v/>
      </c>
      <c r="AC26" s="43">
        <f>IF($BQ26=0,"",IF(MOD($BQ26,8)=7,IF($BQ26&gt;=8,"◇","◆"),IF(MOD($BQ26,8)=3,IF($BQ26&gt;=8,"▷","▶"),IF(MOD($BQ26,8)=5,IF($BQ26&gt;=8,"◁","◀"),IF($BQ26&gt;=8,"□","■")))))</f>
        <v/>
      </c>
      <c r="AD26" s="43">
        <f>IF($BR26=0,"",IF(MOD($BR26,8)=7,IF($BR26&gt;=8,"◇","◆"),IF(MOD($BR26,8)=3,IF($BR26&gt;=8,"▷","▶"),IF(MOD($BR26,8)=5,IF($BR26&gt;=8,"◁","◀"),IF($BR26&gt;=8,"□","■")))))</f>
        <v/>
      </c>
      <c r="AE26" s="43">
        <f>IF($BS26=0,"",IF(MOD($BS26,8)=7,IF($BS26&gt;=8,"◇","◆"),IF(MOD($BS26,8)=3,IF($BS26&gt;=8,"▷","▶"),IF(MOD($BS26,8)=5,IF($BS26&gt;=8,"◁","◀"),IF($BS26&gt;=8,"□","■")))))</f>
        <v/>
      </c>
      <c r="AF26" s="43">
        <f>IF($BT26=0,"",IF(MOD($BT26,8)=7,IF($BT26&gt;=8,"◇","◆"),IF(MOD($BT26,8)=3,IF($BT26&gt;=8,"▷","▶"),IF(MOD($BT26,8)=5,IF($BT26&gt;=8,"◁","◀"),IF($BT26&gt;=8,"□","■")))))</f>
        <v/>
      </c>
      <c r="AG26" s="44">
        <f>IF($A26="","",COUNTIF($AP26:$BT26,"&gt;0"))</f>
        <v/>
      </c>
      <c r="AP26">
        <f>IF(OR($A26="",B$4=""),0,SUMPRODUCT(('01_予約入力'!$G$5:$G$204&lt;&gt;"")*('01_予約入力'!$N$5:$N$204&lt;&gt;"キャンセル")*('01_予約入力'!$B$5:$B$204=$A26)*('01_予約入力'!$G$5:$G$204&lt;=B$4)*('01_予約入力'!$J$5:$J$204&gt;=B$4)*(1+2*('01_予約入力'!$G$5:$G$204=B$4)+4*('01_予約入力'!$J$5:$J$204=B$4)+8*(('01_予約入力'!$N$5:$N$204="仮予約")+('01_予約入力'!$N$5:$N$204="調整中")))))</f>
        <v/>
      </c>
      <c r="AQ26">
        <f>IF(OR($A26="",C$4=""),0,SUMPRODUCT(('01_予約入力'!$G$5:$G$204&lt;&gt;"")*('01_予約入力'!$N$5:$N$204&lt;&gt;"キャンセル")*('01_予約入力'!$B$5:$B$204=$A26)*('01_予約入力'!$G$5:$G$204&lt;=C$4)*('01_予約入力'!$J$5:$J$204&gt;=C$4)*(1+2*('01_予約入力'!$G$5:$G$204=C$4)+4*('01_予約入力'!$J$5:$J$204=C$4)+8*(('01_予約入力'!$N$5:$N$204="仮予約")+('01_予約入力'!$N$5:$N$204="調整中")))))</f>
        <v/>
      </c>
      <c r="AR26">
        <f>IF(OR($A26="",D$4=""),0,SUMPRODUCT(('01_予約入力'!$G$5:$G$204&lt;&gt;"")*('01_予約入力'!$N$5:$N$204&lt;&gt;"キャンセル")*('01_予約入力'!$B$5:$B$204=$A26)*('01_予約入力'!$G$5:$G$204&lt;=D$4)*('01_予約入力'!$J$5:$J$204&gt;=D$4)*(1+2*('01_予約入力'!$G$5:$G$204=D$4)+4*('01_予約入力'!$J$5:$J$204=D$4)+8*(('01_予約入力'!$N$5:$N$204="仮予約")+('01_予約入力'!$N$5:$N$204="調整中")))))</f>
        <v/>
      </c>
      <c r="AS26">
        <f>IF(OR($A26="",E$4=""),0,SUMPRODUCT(('01_予約入力'!$G$5:$G$204&lt;&gt;"")*('01_予約入力'!$N$5:$N$204&lt;&gt;"キャンセル")*('01_予約入力'!$B$5:$B$204=$A26)*('01_予約入力'!$G$5:$G$204&lt;=E$4)*('01_予約入力'!$J$5:$J$204&gt;=E$4)*(1+2*('01_予約入力'!$G$5:$G$204=E$4)+4*('01_予約入力'!$J$5:$J$204=E$4)+8*(('01_予約入力'!$N$5:$N$204="仮予約")+('01_予約入力'!$N$5:$N$204="調整中")))))</f>
        <v/>
      </c>
      <c r="AT26">
        <f>IF(OR($A26="",F$4=""),0,SUMPRODUCT(('01_予約入力'!$G$5:$G$204&lt;&gt;"")*('01_予約入力'!$N$5:$N$204&lt;&gt;"キャンセル")*('01_予約入力'!$B$5:$B$204=$A26)*('01_予約入力'!$G$5:$G$204&lt;=F$4)*('01_予約入力'!$J$5:$J$204&gt;=F$4)*(1+2*('01_予約入力'!$G$5:$G$204=F$4)+4*('01_予約入力'!$J$5:$J$204=F$4)+8*(('01_予約入力'!$N$5:$N$204="仮予約")+('01_予約入力'!$N$5:$N$204="調整中")))))</f>
        <v/>
      </c>
      <c r="AU26">
        <f>IF(OR($A26="",G$4=""),0,SUMPRODUCT(('01_予約入力'!$G$5:$G$204&lt;&gt;"")*('01_予約入力'!$N$5:$N$204&lt;&gt;"キャンセル")*('01_予約入力'!$B$5:$B$204=$A26)*('01_予約入力'!$G$5:$G$204&lt;=G$4)*('01_予約入力'!$J$5:$J$204&gt;=G$4)*(1+2*('01_予約入力'!$G$5:$G$204=G$4)+4*('01_予約入力'!$J$5:$J$204=G$4)+8*(('01_予約入力'!$N$5:$N$204="仮予約")+('01_予約入力'!$N$5:$N$204="調整中")))))</f>
        <v/>
      </c>
      <c r="AV26">
        <f>IF(OR($A26="",H$4=""),0,SUMPRODUCT(('01_予約入力'!$G$5:$G$204&lt;&gt;"")*('01_予約入力'!$N$5:$N$204&lt;&gt;"キャンセル")*('01_予約入力'!$B$5:$B$204=$A26)*('01_予約入力'!$G$5:$G$204&lt;=H$4)*('01_予約入力'!$J$5:$J$204&gt;=H$4)*(1+2*('01_予約入力'!$G$5:$G$204=H$4)+4*('01_予約入力'!$J$5:$J$204=H$4)+8*(('01_予約入力'!$N$5:$N$204="仮予約")+('01_予約入力'!$N$5:$N$204="調整中")))))</f>
        <v/>
      </c>
      <c r="AW26">
        <f>IF(OR($A26="",I$4=""),0,SUMPRODUCT(('01_予約入力'!$G$5:$G$204&lt;&gt;"")*('01_予約入力'!$N$5:$N$204&lt;&gt;"キャンセル")*('01_予約入力'!$B$5:$B$204=$A26)*('01_予約入力'!$G$5:$G$204&lt;=I$4)*('01_予約入力'!$J$5:$J$204&gt;=I$4)*(1+2*('01_予約入力'!$G$5:$G$204=I$4)+4*('01_予約入力'!$J$5:$J$204=I$4)+8*(('01_予約入力'!$N$5:$N$204="仮予約")+('01_予約入力'!$N$5:$N$204="調整中")))))</f>
        <v/>
      </c>
      <c r="AX26">
        <f>IF(OR($A26="",J$4=""),0,SUMPRODUCT(('01_予約入力'!$G$5:$G$204&lt;&gt;"")*('01_予約入力'!$N$5:$N$204&lt;&gt;"キャンセル")*('01_予約入力'!$B$5:$B$204=$A26)*('01_予約入力'!$G$5:$G$204&lt;=J$4)*('01_予約入力'!$J$5:$J$204&gt;=J$4)*(1+2*('01_予約入力'!$G$5:$G$204=J$4)+4*('01_予約入力'!$J$5:$J$204=J$4)+8*(('01_予約入力'!$N$5:$N$204="仮予約")+('01_予約入力'!$N$5:$N$204="調整中")))))</f>
        <v/>
      </c>
      <c r="AY26">
        <f>IF(OR($A26="",K$4=""),0,SUMPRODUCT(('01_予約入力'!$G$5:$G$204&lt;&gt;"")*('01_予約入力'!$N$5:$N$204&lt;&gt;"キャンセル")*('01_予約入力'!$B$5:$B$204=$A26)*('01_予約入力'!$G$5:$G$204&lt;=K$4)*('01_予約入力'!$J$5:$J$204&gt;=K$4)*(1+2*('01_予約入力'!$G$5:$G$204=K$4)+4*('01_予約入力'!$J$5:$J$204=K$4)+8*(('01_予約入力'!$N$5:$N$204="仮予約")+('01_予約入力'!$N$5:$N$204="調整中")))))</f>
        <v/>
      </c>
      <c r="AZ26">
        <f>IF(OR($A26="",L$4=""),0,SUMPRODUCT(('01_予約入力'!$G$5:$G$204&lt;&gt;"")*('01_予約入力'!$N$5:$N$204&lt;&gt;"キャンセル")*('01_予約入力'!$B$5:$B$204=$A26)*('01_予約入力'!$G$5:$G$204&lt;=L$4)*('01_予約入力'!$J$5:$J$204&gt;=L$4)*(1+2*('01_予約入力'!$G$5:$G$204=L$4)+4*('01_予約入力'!$J$5:$J$204=L$4)+8*(('01_予約入力'!$N$5:$N$204="仮予約")+('01_予約入力'!$N$5:$N$204="調整中")))))</f>
        <v/>
      </c>
      <c r="BA26">
        <f>IF(OR($A26="",M$4=""),0,SUMPRODUCT(('01_予約入力'!$G$5:$G$204&lt;&gt;"")*('01_予約入力'!$N$5:$N$204&lt;&gt;"キャンセル")*('01_予約入力'!$B$5:$B$204=$A26)*('01_予約入力'!$G$5:$G$204&lt;=M$4)*('01_予約入力'!$J$5:$J$204&gt;=M$4)*(1+2*('01_予約入力'!$G$5:$G$204=M$4)+4*('01_予約入力'!$J$5:$J$204=M$4)+8*(('01_予約入力'!$N$5:$N$204="仮予約")+('01_予約入力'!$N$5:$N$204="調整中")))))</f>
        <v/>
      </c>
      <c r="BB26">
        <f>IF(OR($A26="",N$4=""),0,SUMPRODUCT(('01_予約入力'!$G$5:$G$204&lt;&gt;"")*('01_予約入力'!$N$5:$N$204&lt;&gt;"キャンセル")*('01_予約入力'!$B$5:$B$204=$A26)*('01_予約入力'!$G$5:$G$204&lt;=N$4)*('01_予約入力'!$J$5:$J$204&gt;=N$4)*(1+2*('01_予約入力'!$G$5:$G$204=N$4)+4*('01_予約入力'!$J$5:$J$204=N$4)+8*(('01_予約入力'!$N$5:$N$204="仮予約")+('01_予約入力'!$N$5:$N$204="調整中")))))</f>
        <v/>
      </c>
      <c r="BC26">
        <f>IF(OR($A26="",O$4=""),0,SUMPRODUCT(('01_予約入力'!$G$5:$G$204&lt;&gt;"")*('01_予約入力'!$N$5:$N$204&lt;&gt;"キャンセル")*('01_予約入力'!$B$5:$B$204=$A26)*('01_予約入力'!$G$5:$G$204&lt;=O$4)*('01_予約入力'!$J$5:$J$204&gt;=O$4)*(1+2*('01_予約入力'!$G$5:$G$204=O$4)+4*('01_予約入力'!$J$5:$J$204=O$4)+8*(('01_予約入力'!$N$5:$N$204="仮予約")+('01_予約入力'!$N$5:$N$204="調整中")))))</f>
        <v/>
      </c>
      <c r="BD26">
        <f>IF(OR($A26="",P$4=""),0,SUMPRODUCT(('01_予約入力'!$G$5:$G$204&lt;&gt;"")*('01_予約入力'!$N$5:$N$204&lt;&gt;"キャンセル")*('01_予約入力'!$B$5:$B$204=$A26)*('01_予約入力'!$G$5:$G$204&lt;=P$4)*('01_予約入力'!$J$5:$J$204&gt;=P$4)*(1+2*('01_予約入力'!$G$5:$G$204=P$4)+4*('01_予約入力'!$J$5:$J$204=P$4)+8*(('01_予約入力'!$N$5:$N$204="仮予約")+('01_予約入力'!$N$5:$N$204="調整中")))))</f>
        <v/>
      </c>
      <c r="BE26">
        <f>IF(OR($A26="",Q$4=""),0,SUMPRODUCT(('01_予約入力'!$G$5:$G$204&lt;&gt;"")*('01_予約入力'!$N$5:$N$204&lt;&gt;"キャンセル")*('01_予約入力'!$B$5:$B$204=$A26)*('01_予約入力'!$G$5:$G$204&lt;=Q$4)*('01_予約入力'!$J$5:$J$204&gt;=Q$4)*(1+2*('01_予約入力'!$G$5:$G$204=Q$4)+4*('01_予約入力'!$J$5:$J$204=Q$4)+8*(('01_予約入力'!$N$5:$N$204="仮予約")+('01_予約入力'!$N$5:$N$204="調整中")))))</f>
        <v/>
      </c>
      <c r="BF26">
        <f>IF(OR($A26="",R$4=""),0,SUMPRODUCT(('01_予約入力'!$G$5:$G$204&lt;&gt;"")*('01_予約入力'!$N$5:$N$204&lt;&gt;"キャンセル")*('01_予約入力'!$B$5:$B$204=$A26)*('01_予約入力'!$G$5:$G$204&lt;=R$4)*('01_予約入力'!$J$5:$J$204&gt;=R$4)*(1+2*('01_予約入力'!$G$5:$G$204=R$4)+4*('01_予約入力'!$J$5:$J$204=R$4)+8*(('01_予約入力'!$N$5:$N$204="仮予約")+('01_予約入力'!$N$5:$N$204="調整中")))))</f>
        <v/>
      </c>
      <c r="BG26">
        <f>IF(OR($A26="",S$4=""),0,SUMPRODUCT(('01_予約入力'!$G$5:$G$204&lt;&gt;"")*('01_予約入力'!$N$5:$N$204&lt;&gt;"キャンセル")*('01_予約入力'!$B$5:$B$204=$A26)*('01_予約入力'!$G$5:$G$204&lt;=S$4)*('01_予約入力'!$J$5:$J$204&gt;=S$4)*(1+2*('01_予約入力'!$G$5:$G$204=S$4)+4*('01_予約入力'!$J$5:$J$204=S$4)+8*(('01_予約入力'!$N$5:$N$204="仮予約")+('01_予約入力'!$N$5:$N$204="調整中")))))</f>
        <v/>
      </c>
      <c r="BH26">
        <f>IF(OR($A26="",T$4=""),0,SUMPRODUCT(('01_予約入力'!$G$5:$G$204&lt;&gt;"")*('01_予約入力'!$N$5:$N$204&lt;&gt;"キャンセル")*('01_予約入力'!$B$5:$B$204=$A26)*('01_予約入力'!$G$5:$G$204&lt;=T$4)*('01_予約入力'!$J$5:$J$204&gt;=T$4)*(1+2*('01_予約入力'!$G$5:$G$204=T$4)+4*('01_予約入力'!$J$5:$J$204=T$4)+8*(('01_予約入力'!$N$5:$N$204="仮予約")+('01_予約入力'!$N$5:$N$204="調整中")))))</f>
        <v/>
      </c>
      <c r="BI26">
        <f>IF(OR($A26="",U$4=""),0,SUMPRODUCT(('01_予約入力'!$G$5:$G$204&lt;&gt;"")*('01_予約入力'!$N$5:$N$204&lt;&gt;"キャンセル")*('01_予約入力'!$B$5:$B$204=$A26)*('01_予約入力'!$G$5:$G$204&lt;=U$4)*('01_予約入力'!$J$5:$J$204&gt;=U$4)*(1+2*('01_予約入力'!$G$5:$G$204=U$4)+4*('01_予約入力'!$J$5:$J$204=U$4)+8*(('01_予約入力'!$N$5:$N$204="仮予約")+('01_予約入力'!$N$5:$N$204="調整中")))))</f>
        <v/>
      </c>
      <c r="BJ26">
        <f>IF(OR($A26="",V$4=""),0,SUMPRODUCT(('01_予約入力'!$G$5:$G$204&lt;&gt;"")*('01_予約入力'!$N$5:$N$204&lt;&gt;"キャンセル")*('01_予約入力'!$B$5:$B$204=$A26)*('01_予約入力'!$G$5:$G$204&lt;=V$4)*('01_予約入力'!$J$5:$J$204&gt;=V$4)*(1+2*('01_予約入力'!$G$5:$G$204=V$4)+4*('01_予約入力'!$J$5:$J$204=V$4)+8*(('01_予約入力'!$N$5:$N$204="仮予約")+('01_予約入力'!$N$5:$N$204="調整中")))))</f>
        <v/>
      </c>
      <c r="BK26">
        <f>IF(OR($A26="",W$4=""),0,SUMPRODUCT(('01_予約入力'!$G$5:$G$204&lt;&gt;"")*('01_予約入力'!$N$5:$N$204&lt;&gt;"キャンセル")*('01_予約入力'!$B$5:$B$204=$A26)*('01_予約入力'!$G$5:$G$204&lt;=W$4)*('01_予約入力'!$J$5:$J$204&gt;=W$4)*(1+2*('01_予約入力'!$G$5:$G$204=W$4)+4*('01_予約入力'!$J$5:$J$204=W$4)+8*(('01_予約入力'!$N$5:$N$204="仮予約")+('01_予約入力'!$N$5:$N$204="調整中")))))</f>
        <v/>
      </c>
      <c r="BL26">
        <f>IF(OR($A26="",X$4=""),0,SUMPRODUCT(('01_予約入力'!$G$5:$G$204&lt;&gt;"")*('01_予約入力'!$N$5:$N$204&lt;&gt;"キャンセル")*('01_予約入力'!$B$5:$B$204=$A26)*('01_予約入力'!$G$5:$G$204&lt;=X$4)*('01_予約入力'!$J$5:$J$204&gt;=X$4)*(1+2*('01_予約入力'!$G$5:$G$204=X$4)+4*('01_予約入力'!$J$5:$J$204=X$4)+8*(('01_予約入力'!$N$5:$N$204="仮予約")+('01_予約入力'!$N$5:$N$204="調整中")))))</f>
        <v/>
      </c>
      <c r="BM26">
        <f>IF(OR($A26="",Y$4=""),0,SUMPRODUCT(('01_予約入力'!$G$5:$G$204&lt;&gt;"")*('01_予約入力'!$N$5:$N$204&lt;&gt;"キャンセル")*('01_予約入力'!$B$5:$B$204=$A26)*('01_予約入力'!$G$5:$G$204&lt;=Y$4)*('01_予約入力'!$J$5:$J$204&gt;=Y$4)*(1+2*('01_予約入力'!$G$5:$G$204=Y$4)+4*('01_予約入力'!$J$5:$J$204=Y$4)+8*(('01_予約入力'!$N$5:$N$204="仮予約")+('01_予約入力'!$N$5:$N$204="調整中")))))</f>
        <v/>
      </c>
      <c r="BN26">
        <f>IF(OR($A26="",Z$4=""),0,SUMPRODUCT(('01_予約入力'!$G$5:$G$204&lt;&gt;"")*('01_予約入力'!$N$5:$N$204&lt;&gt;"キャンセル")*('01_予約入力'!$B$5:$B$204=$A26)*('01_予約入力'!$G$5:$G$204&lt;=Z$4)*('01_予約入力'!$J$5:$J$204&gt;=Z$4)*(1+2*('01_予約入力'!$G$5:$G$204=Z$4)+4*('01_予約入力'!$J$5:$J$204=Z$4)+8*(('01_予約入力'!$N$5:$N$204="仮予約")+('01_予約入力'!$N$5:$N$204="調整中")))))</f>
        <v/>
      </c>
      <c r="BO26">
        <f>IF(OR($A26="",AA$4=""),0,SUMPRODUCT(('01_予約入力'!$G$5:$G$204&lt;&gt;"")*('01_予約入力'!$N$5:$N$204&lt;&gt;"キャンセル")*('01_予約入力'!$B$5:$B$204=$A26)*('01_予約入力'!$G$5:$G$204&lt;=AA$4)*('01_予約入力'!$J$5:$J$204&gt;=AA$4)*(1+2*('01_予約入力'!$G$5:$G$204=AA$4)+4*('01_予約入力'!$J$5:$J$204=AA$4)+8*(('01_予約入力'!$N$5:$N$204="仮予約")+('01_予約入力'!$N$5:$N$204="調整中")))))</f>
        <v/>
      </c>
      <c r="BP26">
        <f>IF(OR($A26="",AB$4=""),0,SUMPRODUCT(('01_予約入力'!$G$5:$G$204&lt;&gt;"")*('01_予約入力'!$N$5:$N$204&lt;&gt;"キャンセル")*('01_予約入力'!$B$5:$B$204=$A26)*('01_予約入力'!$G$5:$G$204&lt;=AB$4)*('01_予約入力'!$J$5:$J$204&gt;=AB$4)*(1+2*('01_予約入力'!$G$5:$G$204=AB$4)+4*('01_予約入力'!$J$5:$J$204=AB$4)+8*(('01_予約入力'!$N$5:$N$204="仮予約")+('01_予約入力'!$N$5:$N$204="調整中")))))</f>
        <v/>
      </c>
      <c r="BQ26">
        <f>IF(OR($A26="",AC$4=""),0,SUMPRODUCT(('01_予約入力'!$G$5:$G$204&lt;&gt;"")*('01_予約入力'!$N$5:$N$204&lt;&gt;"キャンセル")*('01_予約入力'!$B$5:$B$204=$A26)*('01_予約入力'!$G$5:$G$204&lt;=AC$4)*('01_予約入力'!$J$5:$J$204&gt;=AC$4)*(1+2*('01_予約入力'!$G$5:$G$204=AC$4)+4*('01_予約入力'!$J$5:$J$204=AC$4)+8*(('01_予約入力'!$N$5:$N$204="仮予約")+('01_予約入力'!$N$5:$N$204="調整中")))))</f>
        <v/>
      </c>
      <c r="BR26">
        <f>IF(OR($A26="",AD$4=""),0,SUMPRODUCT(('01_予約入力'!$G$5:$G$204&lt;&gt;"")*('01_予約入力'!$N$5:$N$204&lt;&gt;"キャンセル")*('01_予約入力'!$B$5:$B$204=$A26)*('01_予約入力'!$G$5:$G$204&lt;=AD$4)*('01_予約入力'!$J$5:$J$204&gt;=AD$4)*(1+2*('01_予約入力'!$G$5:$G$204=AD$4)+4*('01_予約入力'!$J$5:$J$204=AD$4)+8*(('01_予約入力'!$N$5:$N$204="仮予約")+('01_予約入力'!$N$5:$N$204="調整中")))))</f>
        <v/>
      </c>
      <c r="BS26">
        <f>IF(OR($A26="",AE$4=""),0,SUMPRODUCT(('01_予約入力'!$G$5:$G$204&lt;&gt;"")*('01_予約入力'!$N$5:$N$204&lt;&gt;"キャンセル")*('01_予約入力'!$B$5:$B$204=$A26)*('01_予約入力'!$G$5:$G$204&lt;=AE$4)*('01_予約入力'!$J$5:$J$204&gt;=AE$4)*(1+2*('01_予約入力'!$G$5:$G$204=AE$4)+4*('01_予約入力'!$J$5:$J$204=AE$4)+8*(('01_予約入力'!$N$5:$N$204="仮予約")+('01_予約入力'!$N$5:$N$204="調整中")))))</f>
        <v/>
      </c>
      <c r="BT26">
        <f>IF(OR($A26="",AF$4=""),0,SUMPRODUCT(('01_予約入力'!$G$5:$G$204&lt;&gt;"")*('01_予約入力'!$N$5:$N$204&lt;&gt;"キャンセル")*('01_予約入力'!$B$5:$B$204=$A26)*('01_予約入力'!$G$5:$G$204&lt;=AF$4)*('01_予約入力'!$J$5:$J$204&gt;=AF$4)*(1+2*('01_予約入力'!$G$5:$G$204=AF$4)+4*('01_予約入力'!$J$5:$J$204=AF$4)+8*(('01_予約入力'!$N$5:$N$204="仮予約")+('01_予約入力'!$N$5:$N$204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19" t="inlineStr">
        <is>
          <t>■ 当月の予約明細（入所日順・01_予約入力 から自動）</t>
        </is>
      </c>
    </row>
    <row r="32" ht="20" customHeight="1">
      <c r="A32" s="32" t="inlineStr">
        <is>
          <t>氏名</t>
        </is>
      </c>
      <c r="B32" s="32" t="inlineStr">
        <is>
          <t>部屋</t>
        </is>
      </c>
      <c r="C32" s="68" t="n"/>
      <c r="D32" s="68" t="n"/>
      <c r="E32" s="69" t="n"/>
      <c r="F32" s="32" t="inlineStr">
        <is>
          <t>区分</t>
        </is>
      </c>
      <c r="G32" s="68" t="n"/>
      <c r="H32" s="69" t="n"/>
      <c r="I32" s="32" t="inlineStr">
        <is>
          <t>入所</t>
        </is>
      </c>
      <c r="J32" s="68" t="n"/>
      <c r="K32" s="68" t="n"/>
      <c r="L32" s="68" t="n"/>
      <c r="M32" s="68" t="n"/>
      <c r="N32" s="68" t="n"/>
      <c r="O32" s="69" t="n"/>
      <c r="P32" s="32" t="inlineStr">
        <is>
          <t>退所</t>
        </is>
      </c>
      <c r="Q32" s="68" t="n"/>
      <c r="R32" s="68" t="n"/>
      <c r="S32" s="68" t="n"/>
      <c r="T32" s="68" t="n"/>
      <c r="U32" s="68" t="n"/>
      <c r="V32" s="69" t="n"/>
      <c r="W32" s="32" t="inlineStr">
        <is>
          <t>泊数</t>
        </is>
      </c>
      <c r="X32" s="68" t="n"/>
      <c r="Y32" s="69" t="n"/>
      <c r="Z32" s="32" t="inlineStr">
        <is>
          <t>状態</t>
        </is>
      </c>
      <c r="AA32" s="68" t="n"/>
      <c r="AB32" s="69" t="n"/>
      <c r="AC32" s="32" t="inlineStr">
        <is>
          <t>備考</t>
        </is>
      </c>
      <c r="AD32" s="68" t="n"/>
      <c r="AE32" s="68" t="n"/>
      <c r="AF32" s="69" t="n"/>
    </row>
    <row r="33">
      <c r="A33" s="45">
        <f>IF($AQ33=0,"",INDEX('01_予約入力'!$B$5:$B$204,$AQ33))</f>
        <v/>
      </c>
      <c r="B33" s="46">
        <f>IF($AQ33=0,"",IF(INDEX('01_予約入力'!$D$5:$D$204,$AQ33)="","⚠未選択",INDEX('01_予約入力'!$D$5:$D$204,$AQ33)))</f>
        <v/>
      </c>
      <c r="C33" s="68" t="n"/>
      <c r="D33" s="68" t="n"/>
      <c r="E33" s="69" t="n"/>
      <c r="F33" s="46">
        <f>IF($AQ33=0,"",INDEX('01_予約入力'!$C$5:$C$204,$AQ33))</f>
        <v/>
      </c>
      <c r="G33" s="68" t="n"/>
      <c r="H33" s="69" t="n"/>
      <c r="I33" s="45">
        <f>IF($AQ33=0,"",MONTH(INDEX('01_予約入力'!$G$5:$G$204,$AQ33))&amp;"/"&amp;DAY(INDEX('01_予約入力'!$G$5:$G$204,$AQ33))&amp;"("&amp;MID("日月火水木金土",WEEKDAY(INDEX('01_予約入力'!$G$5:$G$204,$AQ33)),1)&amp;")"&amp;" "&amp;INDEX('01_予約入力'!$AA$5:$AA$204,$AQ33))</f>
        <v/>
      </c>
      <c r="J33" s="68" t="n"/>
      <c r="K33" s="68" t="n"/>
      <c r="L33" s="68" t="n"/>
      <c r="M33" s="68" t="n"/>
      <c r="N33" s="68" t="n"/>
      <c r="O33" s="69" t="n"/>
      <c r="P33" s="45">
        <f>IF($AQ33=0,"",MONTH(INDEX('01_予約入力'!$J$5:$J$204,$AQ33))&amp;"/"&amp;DAY(INDEX('01_予約入力'!$J$5:$J$204,$AQ33))&amp;"("&amp;MID("日月火水木金土",WEEKDAY(INDEX('01_予約入力'!$J$5:$J$204,$AQ33)),1)&amp;")"&amp;" "&amp;INDEX('01_予約入力'!$AB$5:$AB$204,$AQ33))</f>
        <v/>
      </c>
      <c r="Q33" s="68" t="n"/>
      <c r="R33" s="68" t="n"/>
      <c r="S33" s="68" t="n"/>
      <c r="T33" s="68" t="n"/>
      <c r="U33" s="68" t="n"/>
      <c r="V33" s="69" t="n"/>
      <c r="W33" s="46">
        <f>IF($AQ33=0,"",IF(INDEX('01_予約入力'!$J$5:$J$204,$AQ33)=INDEX('01_予約入力'!$G$5:$G$204,$AQ33),"日帰り",INDEX('01_予約入力'!$J$5:$J$204,$AQ33)-INDEX('01_予約入力'!$G$5:$G$204,$AQ33)&amp;"泊"))</f>
        <v/>
      </c>
      <c r="X33" s="68" t="n"/>
      <c r="Y33" s="69" t="n"/>
      <c r="Z33" s="46">
        <f>IF($AQ33=0,"",IF(INDEX('01_予約入力'!$N$5:$N$204,$AQ33)="","確定",INDEX('01_予約入力'!$N$5:$N$204,$AQ33)))</f>
        <v/>
      </c>
      <c r="AA33" s="68" t="n"/>
      <c r="AB33" s="69" t="n"/>
      <c r="AC33" s="45">
        <f>IF($AQ33=0,"",INDEX('01_予約入力'!$S$5:$S$204,$AQ33))</f>
        <v/>
      </c>
      <c r="AD33" s="68" t="n"/>
      <c r="AE33" s="68" t="n"/>
      <c r="AF33" s="69" t="n"/>
      <c r="AP33">
        <f>IFERROR(SMALL('01_予約入力'!$Z$5:$Z$204,1),"")</f>
        <v/>
      </c>
      <c r="AQ33">
        <f>IF($AP33="",0,IFERROR(MATCH($AP33,'01_予約入力'!$Z$5:$Z$204,0),0))</f>
        <v/>
      </c>
    </row>
    <row r="34">
      <c r="A34" s="45">
        <f>IF($AQ34=0,"",INDEX('01_予約入力'!$B$5:$B$204,$AQ34))</f>
        <v/>
      </c>
      <c r="B34" s="46">
        <f>IF($AQ34=0,"",IF(INDEX('01_予約入力'!$D$5:$D$204,$AQ34)="","⚠未選択",INDEX('01_予約入力'!$D$5:$D$204,$AQ34)))</f>
        <v/>
      </c>
      <c r="C34" s="68" t="n"/>
      <c r="D34" s="68" t="n"/>
      <c r="E34" s="69" t="n"/>
      <c r="F34" s="46">
        <f>IF($AQ34=0,"",INDEX('01_予約入力'!$C$5:$C$204,$AQ34))</f>
        <v/>
      </c>
      <c r="G34" s="68" t="n"/>
      <c r="H34" s="69" t="n"/>
      <c r="I34" s="45">
        <f>IF($AQ34=0,"",MONTH(INDEX('01_予約入力'!$G$5:$G$204,$AQ34))&amp;"/"&amp;DAY(INDEX('01_予約入力'!$G$5:$G$204,$AQ34))&amp;"("&amp;MID("日月火水木金土",WEEKDAY(INDEX('01_予約入力'!$G$5:$G$204,$AQ34)),1)&amp;")"&amp;" "&amp;INDEX('01_予約入力'!$AA$5:$AA$204,$AQ34))</f>
        <v/>
      </c>
      <c r="J34" s="68" t="n"/>
      <c r="K34" s="68" t="n"/>
      <c r="L34" s="68" t="n"/>
      <c r="M34" s="68" t="n"/>
      <c r="N34" s="68" t="n"/>
      <c r="O34" s="69" t="n"/>
      <c r="P34" s="45">
        <f>IF($AQ34=0,"",MONTH(INDEX('01_予約入力'!$J$5:$J$204,$AQ34))&amp;"/"&amp;DAY(INDEX('01_予約入力'!$J$5:$J$204,$AQ34))&amp;"("&amp;MID("日月火水木金土",WEEKDAY(INDEX('01_予約入力'!$J$5:$J$204,$AQ34)),1)&amp;")"&amp;" "&amp;INDEX('01_予約入力'!$AB$5:$AB$204,$AQ34))</f>
        <v/>
      </c>
      <c r="Q34" s="68" t="n"/>
      <c r="R34" s="68" t="n"/>
      <c r="S34" s="68" t="n"/>
      <c r="T34" s="68" t="n"/>
      <c r="U34" s="68" t="n"/>
      <c r="V34" s="69" t="n"/>
      <c r="W34" s="46">
        <f>IF($AQ34=0,"",IF(INDEX('01_予約入力'!$J$5:$J$204,$AQ34)=INDEX('01_予約入力'!$G$5:$G$204,$AQ34),"日帰り",INDEX('01_予約入力'!$J$5:$J$204,$AQ34)-INDEX('01_予約入力'!$G$5:$G$204,$AQ34)&amp;"泊"))</f>
        <v/>
      </c>
      <c r="X34" s="68" t="n"/>
      <c r="Y34" s="69" t="n"/>
      <c r="Z34" s="46">
        <f>IF($AQ34=0,"",IF(INDEX('01_予約入力'!$N$5:$N$204,$AQ34)="","確定",INDEX('01_予約入力'!$N$5:$N$204,$AQ34)))</f>
        <v/>
      </c>
      <c r="AA34" s="68" t="n"/>
      <c r="AB34" s="69" t="n"/>
      <c r="AC34" s="45">
        <f>IF($AQ34=0,"",INDEX('01_予約入力'!$S$5:$S$204,$AQ34))</f>
        <v/>
      </c>
      <c r="AD34" s="68" t="n"/>
      <c r="AE34" s="68" t="n"/>
      <c r="AF34" s="69" t="n"/>
      <c r="AP34">
        <f>IFERROR(SMALL('01_予約入力'!$Z$5:$Z$204,2),"")</f>
        <v/>
      </c>
      <c r="AQ34">
        <f>IF($AP34="",0,IFERROR(MATCH($AP34,'01_予約入力'!$Z$5:$Z$204,0),0))</f>
        <v/>
      </c>
    </row>
    <row r="35">
      <c r="A35" s="45">
        <f>IF($AQ35=0,"",INDEX('01_予約入力'!$B$5:$B$204,$AQ35))</f>
        <v/>
      </c>
      <c r="B35" s="46">
        <f>IF($AQ35=0,"",IF(INDEX('01_予約入力'!$D$5:$D$204,$AQ35)="","⚠未選択",INDEX('01_予約入力'!$D$5:$D$204,$AQ35)))</f>
        <v/>
      </c>
      <c r="C35" s="68" t="n"/>
      <c r="D35" s="68" t="n"/>
      <c r="E35" s="69" t="n"/>
      <c r="F35" s="46">
        <f>IF($AQ35=0,"",INDEX('01_予約入力'!$C$5:$C$204,$AQ35))</f>
        <v/>
      </c>
      <c r="G35" s="68" t="n"/>
      <c r="H35" s="69" t="n"/>
      <c r="I35" s="45">
        <f>IF($AQ35=0,"",MONTH(INDEX('01_予約入力'!$G$5:$G$204,$AQ35))&amp;"/"&amp;DAY(INDEX('01_予約入力'!$G$5:$G$204,$AQ35))&amp;"("&amp;MID("日月火水木金土",WEEKDAY(INDEX('01_予約入力'!$G$5:$G$204,$AQ35)),1)&amp;")"&amp;" "&amp;INDEX('01_予約入力'!$AA$5:$AA$204,$AQ35))</f>
        <v/>
      </c>
      <c r="J35" s="68" t="n"/>
      <c r="K35" s="68" t="n"/>
      <c r="L35" s="68" t="n"/>
      <c r="M35" s="68" t="n"/>
      <c r="N35" s="68" t="n"/>
      <c r="O35" s="69" t="n"/>
      <c r="P35" s="45">
        <f>IF($AQ35=0,"",MONTH(INDEX('01_予約入力'!$J$5:$J$204,$AQ35))&amp;"/"&amp;DAY(INDEX('01_予約入力'!$J$5:$J$204,$AQ35))&amp;"("&amp;MID("日月火水木金土",WEEKDAY(INDEX('01_予約入力'!$J$5:$J$204,$AQ35)),1)&amp;")"&amp;" "&amp;INDEX('01_予約入力'!$AB$5:$AB$204,$AQ35))</f>
        <v/>
      </c>
      <c r="Q35" s="68" t="n"/>
      <c r="R35" s="68" t="n"/>
      <c r="S35" s="68" t="n"/>
      <c r="T35" s="68" t="n"/>
      <c r="U35" s="68" t="n"/>
      <c r="V35" s="69" t="n"/>
      <c r="W35" s="46">
        <f>IF($AQ35=0,"",IF(INDEX('01_予約入力'!$J$5:$J$204,$AQ35)=INDEX('01_予約入力'!$G$5:$G$204,$AQ35),"日帰り",INDEX('01_予約入力'!$J$5:$J$204,$AQ35)-INDEX('01_予約入力'!$G$5:$G$204,$AQ35)&amp;"泊"))</f>
        <v/>
      </c>
      <c r="X35" s="68" t="n"/>
      <c r="Y35" s="69" t="n"/>
      <c r="Z35" s="46">
        <f>IF($AQ35=0,"",IF(INDEX('01_予約入力'!$N$5:$N$204,$AQ35)="","確定",INDEX('01_予約入力'!$N$5:$N$204,$AQ35)))</f>
        <v/>
      </c>
      <c r="AA35" s="68" t="n"/>
      <c r="AB35" s="69" t="n"/>
      <c r="AC35" s="45">
        <f>IF($AQ35=0,"",INDEX('01_予約入力'!$S$5:$S$204,$AQ35))</f>
        <v/>
      </c>
      <c r="AD35" s="68" t="n"/>
      <c r="AE35" s="68" t="n"/>
      <c r="AF35" s="69" t="n"/>
      <c r="AP35">
        <f>IFERROR(SMALL('01_予約入力'!$Z$5:$Z$204,3),"")</f>
        <v/>
      </c>
      <c r="AQ35">
        <f>IF($AP35="",0,IFERROR(MATCH($AP35,'01_予約入力'!$Z$5:$Z$204,0),0))</f>
        <v/>
      </c>
    </row>
    <row r="36">
      <c r="A36" s="45">
        <f>IF($AQ36=0,"",INDEX('01_予約入力'!$B$5:$B$204,$AQ36))</f>
        <v/>
      </c>
      <c r="B36" s="46">
        <f>IF($AQ36=0,"",IF(INDEX('01_予約入力'!$D$5:$D$204,$AQ36)="","⚠未選択",INDEX('01_予約入力'!$D$5:$D$204,$AQ36)))</f>
        <v/>
      </c>
      <c r="C36" s="68" t="n"/>
      <c r="D36" s="68" t="n"/>
      <c r="E36" s="69" t="n"/>
      <c r="F36" s="46">
        <f>IF($AQ36=0,"",INDEX('01_予約入力'!$C$5:$C$204,$AQ36))</f>
        <v/>
      </c>
      <c r="G36" s="68" t="n"/>
      <c r="H36" s="69" t="n"/>
      <c r="I36" s="45">
        <f>IF($AQ36=0,"",MONTH(INDEX('01_予約入力'!$G$5:$G$204,$AQ36))&amp;"/"&amp;DAY(INDEX('01_予約入力'!$G$5:$G$204,$AQ36))&amp;"("&amp;MID("日月火水木金土",WEEKDAY(INDEX('01_予約入力'!$G$5:$G$204,$AQ36)),1)&amp;")"&amp;" "&amp;INDEX('01_予約入力'!$AA$5:$AA$204,$AQ36))</f>
        <v/>
      </c>
      <c r="J36" s="68" t="n"/>
      <c r="K36" s="68" t="n"/>
      <c r="L36" s="68" t="n"/>
      <c r="M36" s="68" t="n"/>
      <c r="N36" s="68" t="n"/>
      <c r="O36" s="69" t="n"/>
      <c r="P36" s="45">
        <f>IF($AQ36=0,"",MONTH(INDEX('01_予約入力'!$J$5:$J$204,$AQ36))&amp;"/"&amp;DAY(INDEX('01_予約入力'!$J$5:$J$204,$AQ36))&amp;"("&amp;MID("日月火水木金土",WEEKDAY(INDEX('01_予約入力'!$J$5:$J$204,$AQ36)),1)&amp;")"&amp;" "&amp;INDEX('01_予約入力'!$AB$5:$AB$204,$AQ36))</f>
        <v/>
      </c>
      <c r="Q36" s="68" t="n"/>
      <c r="R36" s="68" t="n"/>
      <c r="S36" s="68" t="n"/>
      <c r="T36" s="68" t="n"/>
      <c r="U36" s="68" t="n"/>
      <c r="V36" s="69" t="n"/>
      <c r="W36" s="46">
        <f>IF($AQ36=0,"",IF(INDEX('01_予約入力'!$J$5:$J$204,$AQ36)=INDEX('01_予約入力'!$G$5:$G$204,$AQ36),"日帰り",INDEX('01_予約入力'!$J$5:$J$204,$AQ36)-INDEX('01_予約入力'!$G$5:$G$204,$AQ36)&amp;"泊"))</f>
        <v/>
      </c>
      <c r="X36" s="68" t="n"/>
      <c r="Y36" s="69" t="n"/>
      <c r="Z36" s="46">
        <f>IF($AQ36=0,"",IF(INDEX('01_予約入力'!$N$5:$N$204,$AQ36)="","確定",INDEX('01_予約入力'!$N$5:$N$204,$AQ36)))</f>
        <v/>
      </c>
      <c r="AA36" s="68" t="n"/>
      <c r="AB36" s="69" t="n"/>
      <c r="AC36" s="45">
        <f>IF($AQ36=0,"",INDEX('01_予約入力'!$S$5:$S$204,$AQ36))</f>
        <v/>
      </c>
      <c r="AD36" s="68" t="n"/>
      <c r="AE36" s="68" t="n"/>
      <c r="AF36" s="69" t="n"/>
      <c r="AP36">
        <f>IFERROR(SMALL('01_予約入力'!$Z$5:$Z$204,4),"")</f>
        <v/>
      </c>
      <c r="AQ36">
        <f>IF($AP36="",0,IFERROR(MATCH($AP36,'01_予約入力'!$Z$5:$Z$204,0),0))</f>
        <v/>
      </c>
    </row>
    <row r="37">
      <c r="A37" s="45">
        <f>IF($AQ37=0,"",INDEX('01_予約入力'!$B$5:$B$204,$AQ37))</f>
        <v/>
      </c>
      <c r="B37" s="46">
        <f>IF($AQ37=0,"",IF(INDEX('01_予約入力'!$D$5:$D$204,$AQ37)="","⚠未選択",INDEX('01_予約入力'!$D$5:$D$204,$AQ37)))</f>
        <v/>
      </c>
      <c r="C37" s="68" t="n"/>
      <c r="D37" s="68" t="n"/>
      <c r="E37" s="69" t="n"/>
      <c r="F37" s="46">
        <f>IF($AQ37=0,"",INDEX('01_予約入力'!$C$5:$C$204,$AQ37))</f>
        <v/>
      </c>
      <c r="G37" s="68" t="n"/>
      <c r="H37" s="69" t="n"/>
      <c r="I37" s="45">
        <f>IF($AQ37=0,"",MONTH(INDEX('01_予約入力'!$G$5:$G$204,$AQ37))&amp;"/"&amp;DAY(INDEX('01_予約入力'!$G$5:$G$204,$AQ37))&amp;"("&amp;MID("日月火水木金土",WEEKDAY(INDEX('01_予約入力'!$G$5:$G$204,$AQ37)),1)&amp;")"&amp;" "&amp;INDEX('01_予約入力'!$AA$5:$AA$204,$AQ37))</f>
        <v/>
      </c>
      <c r="J37" s="68" t="n"/>
      <c r="K37" s="68" t="n"/>
      <c r="L37" s="68" t="n"/>
      <c r="M37" s="68" t="n"/>
      <c r="N37" s="68" t="n"/>
      <c r="O37" s="69" t="n"/>
      <c r="P37" s="45">
        <f>IF($AQ37=0,"",MONTH(INDEX('01_予約入力'!$J$5:$J$204,$AQ37))&amp;"/"&amp;DAY(INDEX('01_予約入力'!$J$5:$J$204,$AQ37))&amp;"("&amp;MID("日月火水木金土",WEEKDAY(INDEX('01_予約入力'!$J$5:$J$204,$AQ37)),1)&amp;")"&amp;" "&amp;INDEX('01_予約入力'!$AB$5:$AB$204,$AQ37))</f>
        <v/>
      </c>
      <c r="Q37" s="68" t="n"/>
      <c r="R37" s="68" t="n"/>
      <c r="S37" s="68" t="n"/>
      <c r="T37" s="68" t="n"/>
      <c r="U37" s="68" t="n"/>
      <c r="V37" s="69" t="n"/>
      <c r="W37" s="46">
        <f>IF($AQ37=0,"",IF(INDEX('01_予約入力'!$J$5:$J$204,$AQ37)=INDEX('01_予約入力'!$G$5:$G$204,$AQ37),"日帰り",INDEX('01_予約入力'!$J$5:$J$204,$AQ37)-INDEX('01_予約入力'!$G$5:$G$204,$AQ37)&amp;"泊"))</f>
        <v/>
      </c>
      <c r="X37" s="68" t="n"/>
      <c r="Y37" s="69" t="n"/>
      <c r="Z37" s="46">
        <f>IF($AQ37=0,"",IF(INDEX('01_予約入力'!$N$5:$N$204,$AQ37)="","確定",INDEX('01_予約入力'!$N$5:$N$204,$AQ37)))</f>
        <v/>
      </c>
      <c r="AA37" s="68" t="n"/>
      <c r="AB37" s="69" t="n"/>
      <c r="AC37" s="45">
        <f>IF($AQ37=0,"",INDEX('01_予約入力'!$S$5:$S$204,$AQ37))</f>
        <v/>
      </c>
      <c r="AD37" s="68" t="n"/>
      <c r="AE37" s="68" t="n"/>
      <c r="AF37" s="69" t="n"/>
      <c r="AP37">
        <f>IFERROR(SMALL('01_予約入力'!$Z$5:$Z$204,5),"")</f>
        <v/>
      </c>
      <c r="AQ37">
        <f>IF($AP37="",0,IFERROR(MATCH($AP37,'01_予約入力'!$Z$5:$Z$204,0),0))</f>
        <v/>
      </c>
    </row>
    <row r="38">
      <c r="A38" s="45">
        <f>IF($AQ38=0,"",INDEX('01_予約入力'!$B$5:$B$204,$AQ38))</f>
        <v/>
      </c>
      <c r="B38" s="46">
        <f>IF($AQ38=0,"",IF(INDEX('01_予約入力'!$D$5:$D$204,$AQ38)="","⚠未選択",INDEX('01_予約入力'!$D$5:$D$204,$AQ38)))</f>
        <v/>
      </c>
      <c r="C38" s="68" t="n"/>
      <c r="D38" s="68" t="n"/>
      <c r="E38" s="69" t="n"/>
      <c r="F38" s="46">
        <f>IF($AQ38=0,"",INDEX('01_予約入力'!$C$5:$C$204,$AQ38))</f>
        <v/>
      </c>
      <c r="G38" s="68" t="n"/>
      <c r="H38" s="69" t="n"/>
      <c r="I38" s="45">
        <f>IF($AQ38=0,"",MONTH(INDEX('01_予約入力'!$G$5:$G$204,$AQ38))&amp;"/"&amp;DAY(INDEX('01_予約入力'!$G$5:$G$204,$AQ38))&amp;"("&amp;MID("日月火水木金土",WEEKDAY(INDEX('01_予約入力'!$G$5:$G$204,$AQ38)),1)&amp;")"&amp;" "&amp;INDEX('01_予約入力'!$AA$5:$AA$204,$AQ38))</f>
        <v/>
      </c>
      <c r="J38" s="68" t="n"/>
      <c r="K38" s="68" t="n"/>
      <c r="L38" s="68" t="n"/>
      <c r="M38" s="68" t="n"/>
      <c r="N38" s="68" t="n"/>
      <c r="O38" s="69" t="n"/>
      <c r="P38" s="45">
        <f>IF($AQ38=0,"",MONTH(INDEX('01_予約入力'!$J$5:$J$204,$AQ38))&amp;"/"&amp;DAY(INDEX('01_予約入力'!$J$5:$J$204,$AQ38))&amp;"("&amp;MID("日月火水木金土",WEEKDAY(INDEX('01_予約入力'!$J$5:$J$204,$AQ38)),1)&amp;")"&amp;" "&amp;INDEX('01_予約入力'!$AB$5:$AB$204,$AQ38))</f>
        <v/>
      </c>
      <c r="Q38" s="68" t="n"/>
      <c r="R38" s="68" t="n"/>
      <c r="S38" s="68" t="n"/>
      <c r="T38" s="68" t="n"/>
      <c r="U38" s="68" t="n"/>
      <c r="V38" s="69" t="n"/>
      <c r="W38" s="46">
        <f>IF($AQ38=0,"",IF(INDEX('01_予約入力'!$J$5:$J$204,$AQ38)=INDEX('01_予約入力'!$G$5:$G$204,$AQ38),"日帰り",INDEX('01_予約入力'!$J$5:$J$204,$AQ38)-INDEX('01_予約入力'!$G$5:$G$204,$AQ38)&amp;"泊"))</f>
        <v/>
      </c>
      <c r="X38" s="68" t="n"/>
      <c r="Y38" s="69" t="n"/>
      <c r="Z38" s="46">
        <f>IF($AQ38=0,"",IF(INDEX('01_予約入力'!$N$5:$N$204,$AQ38)="","確定",INDEX('01_予約入力'!$N$5:$N$204,$AQ38)))</f>
        <v/>
      </c>
      <c r="AA38" s="68" t="n"/>
      <c r="AB38" s="69" t="n"/>
      <c r="AC38" s="45">
        <f>IF($AQ38=0,"",INDEX('01_予約入力'!$S$5:$S$204,$AQ38))</f>
        <v/>
      </c>
      <c r="AD38" s="68" t="n"/>
      <c r="AE38" s="68" t="n"/>
      <c r="AF38" s="69" t="n"/>
      <c r="AP38">
        <f>IFERROR(SMALL('01_予約入力'!$Z$5:$Z$204,6),"")</f>
        <v/>
      </c>
      <c r="AQ38">
        <f>IF($AP38="",0,IFERROR(MATCH($AP38,'01_予約入力'!$Z$5:$Z$204,0),0))</f>
        <v/>
      </c>
    </row>
    <row r="39">
      <c r="A39" s="45">
        <f>IF($AQ39=0,"",INDEX('01_予約入力'!$B$5:$B$204,$AQ39))</f>
        <v/>
      </c>
      <c r="B39" s="46">
        <f>IF($AQ39=0,"",IF(INDEX('01_予約入力'!$D$5:$D$204,$AQ39)="","⚠未選択",INDEX('01_予約入力'!$D$5:$D$204,$AQ39)))</f>
        <v/>
      </c>
      <c r="C39" s="68" t="n"/>
      <c r="D39" s="68" t="n"/>
      <c r="E39" s="69" t="n"/>
      <c r="F39" s="46">
        <f>IF($AQ39=0,"",INDEX('01_予約入力'!$C$5:$C$204,$AQ39))</f>
        <v/>
      </c>
      <c r="G39" s="68" t="n"/>
      <c r="H39" s="69" t="n"/>
      <c r="I39" s="45">
        <f>IF($AQ39=0,"",MONTH(INDEX('01_予約入力'!$G$5:$G$204,$AQ39))&amp;"/"&amp;DAY(INDEX('01_予約入力'!$G$5:$G$204,$AQ39))&amp;"("&amp;MID("日月火水木金土",WEEKDAY(INDEX('01_予約入力'!$G$5:$G$204,$AQ39)),1)&amp;")"&amp;" "&amp;INDEX('01_予約入力'!$AA$5:$AA$204,$AQ39))</f>
        <v/>
      </c>
      <c r="J39" s="68" t="n"/>
      <c r="K39" s="68" t="n"/>
      <c r="L39" s="68" t="n"/>
      <c r="M39" s="68" t="n"/>
      <c r="N39" s="68" t="n"/>
      <c r="O39" s="69" t="n"/>
      <c r="P39" s="45">
        <f>IF($AQ39=0,"",MONTH(INDEX('01_予約入力'!$J$5:$J$204,$AQ39))&amp;"/"&amp;DAY(INDEX('01_予約入力'!$J$5:$J$204,$AQ39))&amp;"("&amp;MID("日月火水木金土",WEEKDAY(INDEX('01_予約入力'!$J$5:$J$204,$AQ39)),1)&amp;")"&amp;" "&amp;INDEX('01_予約入力'!$AB$5:$AB$204,$AQ39))</f>
        <v/>
      </c>
      <c r="Q39" s="68" t="n"/>
      <c r="R39" s="68" t="n"/>
      <c r="S39" s="68" t="n"/>
      <c r="T39" s="68" t="n"/>
      <c r="U39" s="68" t="n"/>
      <c r="V39" s="69" t="n"/>
      <c r="W39" s="46">
        <f>IF($AQ39=0,"",IF(INDEX('01_予約入力'!$J$5:$J$204,$AQ39)=INDEX('01_予約入力'!$G$5:$G$204,$AQ39),"日帰り",INDEX('01_予約入力'!$J$5:$J$204,$AQ39)-INDEX('01_予約入力'!$G$5:$G$204,$AQ39)&amp;"泊"))</f>
        <v/>
      </c>
      <c r="X39" s="68" t="n"/>
      <c r="Y39" s="69" t="n"/>
      <c r="Z39" s="46">
        <f>IF($AQ39=0,"",IF(INDEX('01_予約入力'!$N$5:$N$204,$AQ39)="","確定",INDEX('01_予約入力'!$N$5:$N$204,$AQ39)))</f>
        <v/>
      </c>
      <c r="AA39" s="68" t="n"/>
      <c r="AB39" s="69" t="n"/>
      <c r="AC39" s="45">
        <f>IF($AQ39=0,"",INDEX('01_予約入力'!$S$5:$S$204,$AQ39))</f>
        <v/>
      </c>
      <c r="AD39" s="68" t="n"/>
      <c r="AE39" s="68" t="n"/>
      <c r="AF39" s="69" t="n"/>
      <c r="AP39">
        <f>IFERROR(SMALL('01_予約入力'!$Z$5:$Z$204,7),"")</f>
        <v/>
      </c>
      <c r="AQ39">
        <f>IF($AP39="",0,IFERROR(MATCH($AP39,'01_予約入力'!$Z$5:$Z$204,0),0))</f>
        <v/>
      </c>
    </row>
    <row r="40">
      <c r="A40" s="45">
        <f>IF($AQ40=0,"",INDEX('01_予約入力'!$B$5:$B$204,$AQ40))</f>
        <v/>
      </c>
      <c r="B40" s="46">
        <f>IF($AQ40=0,"",IF(INDEX('01_予約入力'!$D$5:$D$204,$AQ40)="","⚠未選択",INDEX('01_予約入力'!$D$5:$D$204,$AQ40)))</f>
        <v/>
      </c>
      <c r="C40" s="68" t="n"/>
      <c r="D40" s="68" t="n"/>
      <c r="E40" s="69" t="n"/>
      <c r="F40" s="46">
        <f>IF($AQ40=0,"",INDEX('01_予約入力'!$C$5:$C$204,$AQ40))</f>
        <v/>
      </c>
      <c r="G40" s="68" t="n"/>
      <c r="H40" s="69" t="n"/>
      <c r="I40" s="45">
        <f>IF($AQ40=0,"",MONTH(INDEX('01_予約入力'!$G$5:$G$204,$AQ40))&amp;"/"&amp;DAY(INDEX('01_予約入力'!$G$5:$G$204,$AQ40))&amp;"("&amp;MID("日月火水木金土",WEEKDAY(INDEX('01_予約入力'!$G$5:$G$204,$AQ40)),1)&amp;")"&amp;" "&amp;INDEX('01_予約入力'!$AA$5:$AA$204,$AQ40))</f>
        <v/>
      </c>
      <c r="J40" s="68" t="n"/>
      <c r="K40" s="68" t="n"/>
      <c r="L40" s="68" t="n"/>
      <c r="M40" s="68" t="n"/>
      <c r="N40" s="68" t="n"/>
      <c r="O40" s="69" t="n"/>
      <c r="P40" s="45">
        <f>IF($AQ40=0,"",MONTH(INDEX('01_予約入力'!$J$5:$J$204,$AQ40))&amp;"/"&amp;DAY(INDEX('01_予約入力'!$J$5:$J$204,$AQ40))&amp;"("&amp;MID("日月火水木金土",WEEKDAY(INDEX('01_予約入力'!$J$5:$J$204,$AQ40)),1)&amp;")"&amp;" "&amp;INDEX('01_予約入力'!$AB$5:$AB$204,$AQ40))</f>
        <v/>
      </c>
      <c r="Q40" s="68" t="n"/>
      <c r="R40" s="68" t="n"/>
      <c r="S40" s="68" t="n"/>
      <c r="T40" s="68" t="n"/>
      <c r="U40" s="68" t="n"/>
      <c r="V40" s="69" t="n"/>
      <c r="W40" s="46">
        <f>IF($AQ40=0,"",IF(INDEX('01_予約入力'!$J$5:$J$204,$AQ40)=INDEX('01_予約入力'!$G$5:$G$204,$AQ40),"日帰り",INDEX('01_予約入力'!$J$5:$J$204,$AQ40)-INDEX('01_予約入力'!$G$5:$G$204,$AQ40)&amp;"泊"))</f>
        <v/>
      </c>
      <c r="X40" s="68" t="n"/>
      <c r="Y40" s="69" t="n"/>
      <c r="Z40" s="46">
        <f>IF($AQ40=0,"",IF(INDEX('01_予約入力'!$N$5:$N$204,$AQ40)="","確定",INDEX('01_予約入力'!$N$5:$N$204,$AQ40)))</f>
        <v/>
      </c>
      <c r="AA40" s="68" t="n"/>
      <c r="AB40" s="69" t="n"/>
      <c r="AC40" s="45">
        <f>IF($AQ40=0,"",INDEX('01_予約入力'!$S$5:$S$204,$AQ40))</f>
        <v/>
      </c>
      <c r="AD40" s="68" t="n"/>
      <c r="AE40" s="68" t="n"/>
      <c r="AF40" s="69" t="n"/>
      <c r="AP40">
        <f>IFERROR(SMALL('01_予約入力'!$Z$5:$Z$204,8),"")</f>
        <v/>
      </c>
      <c r="AQ40">
        <f>IF($AP40="",0,IFERROR(MATCH($AP40,'01_予約入力'!$Z$5:$Z$204,0),0))</f>
        <v/>
      </c>
    </row>
    <row r="41">
      <c r="A41" s="45">
        <f>IF($AQ41=0,"",INDEX('01_予約入力'!$B$5:$B$204,$AQ41))</f>
        <v/>
      </c>
      <c r="B41" s="46">
        <f>IF($AQ41=0,"",IF(INDEX('01_予約入力'!$D$5:$D$204,$AQ41)="","⚠未選択",INDEX('01_予約入力'!$D$5:$D$204,$AQ41)))</f>
        <v/>
      </c>
      <c r="C41" s="68" t="n"/>
      <c r="D41" s="68" t="n"/>
      <c r="E41" s="69" t="n"/>
      <c r="F41" s="46">
        <f>IF($AQ41=0,"",INDEX('01_予約入力'!$C$5:$C$204,$AQ41))</f>
        <v/>
      </c>
      <c r="G41" s="68" t="n"/>
      <c r="H41" s="69" t="n"/>
      <c r="I41" s="45">
        <f>IF($AQ41=0,"",MONTH(INDEX('01_予約入力'!$G$5:$G$204,$AQ41))&amp;"/"&amp;DAY(INDEX('01_予約入力'!$G$5:$G$204,$AQ41))&amp;"("&amp;MID("日月火水木金土",WEEKDAY(INDEX('01_予約入力'!$G$5:$G$204,$AQ41)),1)&amp;")"&amp;" "&amp;INDEX('01_予約入力'!$AA$5:$AA$204,$AQ41))</f>
        <v/>
      </c>
      <c r="J41" s="68" t="n"/>
      <c r="K41" s="68" t="n"/>
      <c r="L41" s="68" t="n"/>
      <c r="M41" s="68" t="n"/>
      <c r="N41" s="68" t="n"/>
      <c r="O41" s="69" t="n"/>
      <c r="P41" s="45">
        <f>IF($AQ41=0,"",MONTH(INDEX('01_予約入力'!$J$5:$J$204,$AQ41))&amp;"/"&amp;DAY(INDEX('01_予約入力'!$J$5:$J$204,$AQ41))&amp;"("&amp;MID("日月火水木金土",WEEKDAY(INDEX('01_予約入力'!$J$5:$J$204,$AQ41)),1)&amp;")"&amp;" "&amp;INDEX('01_予約入力'!$AB$5:$AB$204,$AQ41))</f>
        <v/>
      </c>
      <c r="Q41" s="68" t="n"/>
      <c r="R41" s="68" t="n"/>
      <c r="S41" s="68" t="n"/>
      <c r="T41" s="68" t="n"/>
      <c r="U41" s="68" t="n"/>
      <c r="V41" s="69" t="n"/>
      <c r="W41" s="46">
        <f>IF($AQ41=0,"",IF(INDEX('01_予約入力'!$J$5:$J$204,$AQ41)=INDEX('01_予約入力'!$G$5:$G$204,$AQ41),"日帰り",INDEX('01_予約入力'!$J$5:$J$204,$AQ41)-INDEX('01_予約入力'!$G$5:$G$204,$AQ41)&amp;"泊"))</f>
        <v/>
      </c>
      <c r="X41" s="68" t="n"/>
      <c r="Y41" s="69" t="n"/>
      <c r="Z41" s="46">
        <f>IF($AQ41=0,"",IF(INDEX('01_予約入力'!$N$5:$N$204,$AQ41)="","確定",INDEX('01_予約入力'!$N$5:$N$204,$AQ41)))</f>
        <v/>
      </c>
      <c r="AA41" s="68" t="n"/>
      <c r="AB41" s="69" t="n"/>
      <c r="AC41" s="45">
        <f>IF($AQ41=0,"",INDEX('01_予約入力'!$S$5:$S$204,$AQ41))</f>
        <v/>
      </c>
      <c r="AD41" s="68" t="n"/>
      <c r="AE41" s="68" t="n"/>
      <c r="AF41" s="69" t="n"/>
      <c r="AP41">
        <f>IFERROR(SMALL('01_予約入力'!$Z$5:$Z$204,9),"")</f>
        <v/>
      </c>
      <c r="AQ41">
        <f>IF($AP41="",0,IFERROR(MATCH($AP41,'01_予約入力'!$Z$5:$Z$204,0),0))</f>
        <v/>
      </c>
    </row>
    <row r="42">
      <c r="A42" s="45">
        <f>IF($AQ42=0,"",INDEX('01_予約入力'!$B$5:$B$204,$AQ42))</f>
        <v/>
      </c>
      <c r="B42" s="46">
        <f>IF($AQ42=0,"",IF(INDEX('01_予約入力'!$D$5:$D$204,$AQ42)="","⚠未選択",INDEX('01_予約入力'!$D$5:$D$204,$AQ42)))</f>
        <v/>
      </c>
      <c r="C42" s="68" t="n"/>
      <c r="D42" s="68" t="n"/>
      <c r="E42" s="69" t="n"/>
      <c r="F42" s="46">
        <f>IF($AQ42=0,"",INDEX('01_予約入力'!$C$5:$C$204,$AQ42))</f>
        <v/>
      </c>
      <c r="G42" s="68" t="n"/>
      <c r="H42" s="69" t="n"/>
      <c r="I42" s="45">
        <f>IF($AQ42=0,"",MONTH(INDEX('01_予約入力'!$G$5:$G$204,$AQ42))&amp;"/"&amp;DAY(INDEX('01_予約入力'!$G$5:$G$204,$AQ42))&amp;"("&amp;MID("日月火水木金土",WEEKDAY(INDEX('01_予約入力'!$G$5:$G$204,$AQ42)),1)&amp;")"&amp;" "&amp;INDEX('01_予約入力'!$AA$5:$AA$204,$AQ42))</f>
        <v/>
      </c>
      <c r="J42" s="68" t="n"/>
      <c r="K42" s="68" t="n"/>
      <c r="L42" s="68" t="n"/>
      <c r="M42" s="68" t="n"/>
      <c r="N42" s="68" t="n"/>
      <c r="O42" s="69" t="n"/>
      <c r="P42" s="45">
        <f>IF($AQ42=0,"",MONTH(INDEX('01_予約入力'!$J$5:$J$204,$AQ42))&amp;"/"&amp;DAY(INDEX('01_予約入力'!$J$5:$J$204,$AQ42))&amp;"("&amp;MID("日月火水木金土",WEEKDAY(INDEX('01_予約入力'!$J$5:$J$204,$AQ42)),1)&amp;")"&amp;" "&amp;INDEX('01_予約入力'!$AB$5:$AB$204,$AQ42))</f>
        <v/>
      </c>
      <c r="Q42" s="68" t="n"/>
      <c r="R42" s="68" t="n"/>
      <c r="S42" s="68" t="n"/>
      <c r="T42" s="68" t="n"/>
      <c r="U42" s="68" t="n"/>
      <c r="V42" s="69" t="n"/>
      <c r="W42" s="46">
        <f>IF($AQ42=0,"",IF(INDEX('01_予約入力'!$J$5:$J$204,$AQ42)=INDEX('01_予約入力'!$G$5:$G$204,$AQ42),"日帰り",INDEX('01_予約入力'!$J$5:$J$204,$AQ42)-INDEX('01_予約入力'!$G$5:$G$204,$AQ42)&amp;"泊"))</f>
        <v/>
      </c>
      <c r="X42" s="68" t="n"/>
      <c r="Y42" s="69" t="n"/>
      <c r="Z42" s="46">
        <f>IF($AQ42=0,"",IF(INDEX('01_予約入力'!$N$5:$N$204,$AQ42)="","確定",INDEX('01_予約入力'!$N$5:$N$204,$AQ42)))</f>
        <v/>
      </c>
      <c r="AA42" s="68" t="n"/>
      <c r="AB42" s="69" t="n"/>
      <c r="AC42" s="45">
        <f>IF($AQ42=0,"",INDEX('01_予約入力'!$S$5:$S$204,$AQ42))</f>
        <v/>
      </c>
      <c r="AD42" s="68" t="n"/>
      <c r="AE42" s="68" t="n"/>
      <c r="AF42" s="69" t="n"/>
      <c r="AP42">
        <f>IFERROR(SMALL('01_予約入力'!$Z$5:$Z$204,10),"")</f>
        <v/>
      </c>
      <c r="AQ42">
        <f>IF($AP42="",0,IFERROR(MATCH($AP42,'01_予約入力'!$Z$5:$Z$204,0),0))</f>
        <v/>
      </c>
    </row>
    <row r="43">
      <c r="A43" s="45">
        <f>IF($AQ43=0,"",INDEX('01_予約入力'!$B$5:$B$204,$AQ43))</f>
        <v/>
      </c>
      <c r="B43" s="46">
        <f>IF($AQ43=0,"",IF(INDEX('01_予約入力'!$D$5:$D$204,$AQ43)="","⚠未選択",INDEX('01_予約入力'!$D$5:$D$204,$AQ43)))</f>
        <v/>
      </c>
      <c r="C43" s="68" t="n"/>
      <c r="D43" s="68" t="n"/>
      <c r="E43" s="69" t="n"/>
      <c r="F43" s="46">
        <f>IF($AQ43=0,"",INDEX('01_予約入力'!$C$5:$C$204,$AQ43))</f>
        <v/>
      </c>
      <c r="G43" s="68" t="n"/>
      <c r="H43" s="69" t="n"/>
      <c r="I43" s="45">
        <f>IF($AQ43=0,"",MONTH(INDEX('01_予約入力'!$G$5:$G$204,$AQ43))&amp;"/"&amp;DAY(INDEX('01_予約入力'!$G$5:$G$204,$AQ43))&amp;"("&amp;MID("日月火水木金土",WEEKDAY(INDEX('01_予約入力'!$G$5:$G$204,$AQ43)),1)&amp;")"&amp;" "&amp;INDEX('01_予約入力'!$AA$5:$AA$204,$AQ43))</f>
        <v/>
      </c>
      <c r="J43" s="68" t="n"/>
      <c r="K43" s="68" t="n"/>
      <c r="L43" s="68" t="n"/>
      <c r="M43" s="68" t="n"/>
      <c r="N43" s="68" t="n"/>
      <c r="O43" s="69" t="n"/>
      <c r="P43" s="45">
        <f>IF($AQ43=0,"",MONTH(INDEX('01_予約入力'!$J$5:$J$204,$AQ43))&amp;"/"&amp;DAY(INDEX('01_予約入力'!$J$5:$J$204,$AQ43))&amp;"("&amp;MID("日月火水木金土",WEEKDAY(INDEX('01_予約入力'!$J$5:$J$204,$AQ43)),1)&amp;")"&amp;" "&amp;INDEX('01_予約入力'!$AB$5:$AB$204,$AQ43))</f>
        <v/>
      </c>
      <c r="Q43" s="68" t="n"/>
      <c r="R43" s="68" t="n"/>
      <c r="S43" s="68" t="n"/>
      <c r="T43" s="68" t="n"/>
      <c r="U43" s="68" t="n"/>
      <c r="V43" s="69" t="n"/>
      <c r="W43" s="46">
        <f>IF($AQ43=0,"",IF(INDEX('01_予約入力'!$J$5:$J$204,$AQ43)=INDEX('01_予約入力'!$G$5:$G$204,$AQ43),"日帰り",INDEX('01_予約入力'!$J$5:$J$204,$AQ43)-INDEX('01_予約入力'!$G$5:$G$204,$AQ43)&amp;"泊"))</f>
        <v/>
      </c>
      <c r="X43" s="68" t="n"/>
      <c r="Y43" s="69" t="n"/>
      <c r="Z43" s="46">
        <f>IF($AQ43=0,"",IF(INDEX('01_予約入力'!$N$5:$N$204,$AQ43)="","確定",INDEX('01_予約入力'!$N$5:$N$204,$AQ43)))</f>
        <v/>
      </c>
      <c r="AA43" s="68" t="n"/>
      <c r="AB43" s="69" t="n"/>
      <c r="AC43" s="45">
        <f>IF($AQ43=0,"",INDEX('01_予約入力'!$S$5:$S$204,$AQ43))</f>
        <v/>
      </c>
      <c r="AD43" s="68" t="n"/>
      <c r="AE43" s="68" t="n"/>
      <c r="AF43" s="69" t="n"/>
      <c r="AP43">
        <f>IFERROR(SMALL('01_予約入力'!$Z$5:$Z$204,11),"")</f>
        <v/>
      </c>
      <c r="AQ43">
        <f>IF($AP43="",0,IFERROR(MATCH($AP43,'01_予約入力'!$Z$5:$Z$204,0),0))</f>
        <v/>
      </c>
    </row>
    <row r="44">
      <c r="A44" s="45">
        <f>IF($AQ44=0,"",INDEX('01_予約入力'!$B$5:$B$204,$AQ44))</f>
        <v/>
      </c>
      <c r="B44" s="46">
        <f>IF($AQ44=0,"",IF(INDEX('01_予約入力'!$D$5:$D$204,$AQ44)="","⚠未選択",INDEX('01_予約入力'!$D$5:$D$204,$AQ44)))</f>
        <v/>
      </c>
      <c r="C44" s="68" t="n"/>
      <c r="D44" s="68" t="n"/>
      <c r="E44" s="69" t="n"/>
      <c r="F44" s="46">
        <f>IF($AQ44=0,"",INDEX('01_予約入力'!$C$5:$C$204,$AQ44))</f>
        <v/>
      </c>
      <c r="G44" s="68" t="n"/>
      <c r="H44" s="69" t="n"/>
      <c r="I44" s="45">
        <f>IF($AQ44=0,"",MONTH(INDEX('01_予約入力'!$G$5:$G$204,$AQ44))&amp;"/"&amp;DAY(INDEX('01_予約入力'!$G$5:$G$204,$AQ44))&amp;"("&amp;MID("日月火水木金土",WEEKDAY(INDEX('01_予約入力'!$G$5:$G$204,$AQ44)),1)&amp;")"&amp;" "&amp;INDEX('01_予約入力'!$AA$5:$AA$204,$AQ44))</f>
        <v/>
      </c>
      <c r="J44" s="68" t="n"/>
      <c r="K44" s="68" t="n"/>
      <c r="L44" s="68" t="n"/>
      <c r="M44" s="68" t="n"/>
      <c r="N44" s="68" t="n"/>
      <c r="O44" s="69" t="n"/>
      <c r="P44" s="45">
        <f>IF($AQ44=0,"",MONTH(INDEX('01_予約入力'!$J$5:$J$204,$AQ44))&amp;"/"&amp;DAY(INDEX('01_予約入力'!$J$5:$J$204,$AQ44))&amp;"("&amp;MID("日月火水木金土",WEEKDAY(INDEX('01_予約入力'!$J$5:$J$204,$AQ44)),1)&amp;")"&amp;" "&amp;INDEX('01_予約入力'!$AB$5:$AB$204,$AQ44))</f>
        <v/>
      </c>
      <c r="Q44" s="68" t="n"/>
      <c r="R44" s="68" t="n"/>
      <c r="S44" s="68" t="n"/>
      <c r="T44" s="68" t="n"/>
      <c r="U44" s="68" t="n"/>
      <c r="V44" s="69" t="n"/>
      <c r="W44" s="46">
        <f>IF($AQ44=0,"",IF(INDEX('01_予約入力'!$J$5:$J$204,$AQ44)=INDEX('01_予約入力'!$G$5:$G$204,$AQ44),"日帰り",INDEX('01_予約入力'!$J$5:$J$204,$AQ44)-INDEX('01_予約入力'!$G$5:$G$204,$AQ44)&amp;"泊"))</f>
        <v/>
      </c>
      <c r="X44" s="68" t="n"/>
      <c r="Y44" s="69" t="n"/>
      <c r="Z44" s="46">
        <f>IF($AQ44=0,"",IF(INDEX('01_予約入力'!$N$5:$N$204,$AQ44)="","確定",INDEX('01_予約入力'!$N$5:$N$204,$AQ44)))</f>
        <v/>
      </c>
      <c r="AA44" s="68" t="n"/>
      <c r="AB44" s="69" t="n"/>
      <c r="AC44" s="45">
        <f>IF($AQ44=0,"",INDEX('01_予約入力'!$S$5:$S$204,$AQ44))</f>
        <v/>
      </c>
      <c r="AD44" s="68" t="n"/>
      <c r="AE44" s="68" t="n"/>
      <c r="AF44" s="69" t="n"/>
      <c r="AP44">
        <f>IFERROR(SMALL('01_予約入力'!$Z$5:$Z$204,12),"")</f>
        <v/>
      </c>
      <c r="AQ44">
        <f>IF($AP44="",0,IFERROR(MATCH($AP44,'01_予約入力'!$Z$5:$Z$204,0),0))</f>
        <v/>
      </c>
    </row>
    <row r="45">
      <c r="A45" s="45">
        <f>IF($AQ45=0,"",INDEX('01_予約入力'!$B$5:$B$204,$AQ45))</f>
        <v/>
      </c>
      <c r="B45" s="46">
        <f>IF($AQ45=0,"",IF(INDEX('01_予約入力'!$D$5:$D$204,$AQ45)="","⚠未選択",INDEX('01_予約入力'!$D$5:$D$204,$AQ45)))</f>
        <v/>
      </c>
      <c r="C45" s="68" t="n"/>
      <c r="D45" s="68" t="n"/>
      <c r="E45" s="69" t="n"/>
      <c r="F45" s="46">
        <f>IF($AQ45=0,"",INDEX('01_予約入力'!$C$5:$C$204,$AQ45))</f>
        <v/>
      </c>
      <c r="G45" s="68" t="n"/>
      <c r="H45" s="69" t="n"/>
      <c r="I45" s="45">
        <f>IF($AQ45=0,"",MONTH(INDEX('01_予約入力'!$G$5:$G$204,$AQ45))&amp;"/"&amp;DAY(INDEX('01_予約入力'!$G$5:$G$204,$AQ45))&amp;"("&amp;MID("日月火水木金土",WEEKDAY(INDEX('01_予約入力'!$G$5:$G$204,$AQ45)),1)&amp;")"&amp;" "&amp;INDEX('01_予約入力'!$AA$5:$AA$204,$AQ45))</f>
        <v/>
      </c>
      <c r="J45" s="68" t="n"/>
      <c r="K45" s="68" t="n"/>
      <c r="L45" s="68" t="n"/>
      <c r="M45" s="68" t="n"/>
      <c r="N45" s="68" t="n"/>
      <c r="O45" s="69" t="n"/>
      <c r="P45" s="45">
        <f>IF($AQ45=0,"",MONTH(INDEX('01_予約入力'!$J$5:$J$204,$AQ45))&amp;"/"&amp;DAY(INDEX('01_予約入力'!$J$5:$J$204,$AQ45))&amp;"("&amp;MID("日月火水木金土",WEEKDAY(INDEX('01_予約入力'!$J$5:$J$204,$AQ45)),1)&amp;")"&amp;" "&amp;INDEX('01_予約入力'!$AB$5:$AB$204,$AQ45))</f>
        <v/>
      </c>
      <c r="Q45" s="68" t="n"/>
      <c r="R45" s="68" t="n"/>
      <c r="S45" s="68" t="n"/>
      <c r="T45" s="68" t="n"/>
      <c r="U45" s="68" t="n"/>
      <c r="V45" s="69" t="n"/>
      <c r="W45" s="46">
        <f>IF($AQ45=0,"",IF(INDEX('01_予約入力'!$J$5:$J$204,$AQ45)=INDEX('01_予約入力'!$G$5:$G$204,$AQ45),"日帰り",INDEX('01_予約入力'!$J$5:$J$204,$AQ45)-INDEX('01_予約入力'!$G$5:$G$204,$AQ45)&amp;"泊"))</f>
        <v/>
      </c>
      <c r="X45" s="68" t="n"/>
      <c r="Y45" s="69" t="n"/>
      <c r="Z45" s="46">
        <f>IF($AQ45=0,"",IF(INDEX('01_予約入力'!$N$5:$N$204,$AQ45)="","確定",INDEX('01_予約入力'!$N$5:$N$204,$AQ45)))</f>
        <v/>
      </c>
      <c r="AA45" s="68" t="n"/>
      <c r="AB45" s="69" t="n"/>
      <c r="AC45" s="45">
        <f>IF($AQ45=0,"",INDEX('01_予約入力'!$S$5:$S$204,$AQ45))</f>
        <v/>
      </c>
      <c r="AD45" s="68" t="n"/>
      <c r="AE45" s="68" t="n"/>
      <c r="AF45" s="69" t="n"/>
      <c r="AP45">
        <f>IFERROR(SMALL('01_予約入力'!$Z$5:$Z$204,13),"")</f>
        <v/>
      </c>
      <c r="AQ45">
        <f>IF($AP45="",0,IFERROR(MATCH($AP45,'01_予約入力'!$Z$5:$Z$204,0),0))</f>
        <v/>
      </c>
    </row>
    <row r="46">
      <c r="A46" s="45">
        <f>IF($AQ46=0,"",INDEX('01_予約入力'!$B$5:$B$204,$AQ46))</f>
        <v/>
      </c>
      <c r="B46" s="46">
        <f>IF($AQ46=0,"",IF(INDEX('01_予約入力'!$D$5:$D$204,$AQ46)="","⚠未選択",INDEX('01_予約入力'!$D$5:$D$204,$AQ46)))</f>
        <v/>
      </c>
      <c r="C46" s="68" t="n"/>
      <c r="D46" s="68" t="n"/>
      <c r="E46" s="69" t="n"/>
      <c r="F46" s="46">
        <f>IF($AQ46=0,"",INDEX('01_予約入力'!$C$5:$C$204,$AQ46))</f>
        <v/>
      </c>
      <c r="G46" s="68" t="n"/>
      <c r="H46" s="69" t="n"/>
      <c r="I46" s="45">
        <f>IF($AQ46=0,"",MONTH(INDEX('01_予約入力'!$G$5:$G$204,$AQ46))&amp;"/"&amp;DAY(INDEX('01_予約入力'!$G$5:$G$204,$AQ46))&amp;"("&amp;MID("日月火水木金土",WEEKDAY(INDEX('01_予約入力'!$G$5:$G$204,$AQ46)),1)&amp;")"&amp;" "&amp;INDEX('01_予約入力'!$AA$5:$AA$204,$AQ46))</f>
        <v/>
      </c>
      <c r="J46" s="68" t="n"/>
      <c r="K46" s="68" t="n"/>
      <c r="L46" s="68" t="n"/>
      <c r="M46" s="68" t="n"/>
      <c r="N46" s="68" t="n"/>
      <c r="O46" s="69" t="n"/>
      <c r="P46" s="45">
        <f>IF($AQ46=0,"",MONTH(INDEX('01_予約入力'!$J$5:$J$204,$AQ46))&amp;"/"&amp;DAY(INDEX('01_予約入力'!$J$5:$J$204,$AQ46))&amp;"("&amp;MID("日月火水木金土",WEEKDAY(INDEX('01_予約入力'!$J$5:$J$204,$AQ46)),1)&amp;")"&amp;" "&amp;INDEX('01_予約入力'!$AB$5:$AB$204,$AQ46))</f>
        <v/>
      </c>
      <c r="Q46" s="68" t="n"/>
      <c r="R46" s="68" t="n"/>
      <c r="S46" s="68" t="n"/>
      <c r="T46" s="68" t="n"/>
      <c r="U46" s="68" t="n"/>
      <c r="V46" s="69" t="n"/>
      <c r="W46" s="46">
        <f>IF($AQ46=0,"",IF(INDEX('01_予約入力'!$J$5:$J$204,$AQ46)=INDEX('01_予約入力'!$G$5:$G$204,$AQ46),"日帰り",INDEX('01_予約入力'!$J$5:$J$204,$AQ46)-INDEX('01_予約入力'!$G$5:$G$204,$AQ46)&amp;"泊"))</f>
        <v/>
      </c>
      <c r="X46" s="68" t="n"/>
      <c r="Y46" s="69" t="n"/>
      <c r="Z46" s="46">
        <f>IF($AQ46=0,"",IF(INDEX('01_予約入力'!$N$5:$N$204,$AQ46)="","確定",INDEX('01_予約入力'!$N$5:$N$204,$AQ46)))</f>
        <v/>
      </c>
      <c r="AA46" s="68" t="n"/>
      <c r="AB46" s="69" t="n"/>
      <c r="AC46" s="45">
        <f>IF($AQ46=0,"",INDEX('01_予約入力'!$S$5:$S$204,$AQ46))</f>
        <v/>
      </c>
      <c r="AD46" s="68" t="n"/>
      <c r="AE46" s="68" t="n"/>
      <c r="AF46" s="69" t="n"/>
      <c r="AP46">
        <f>IFERROR(SMALL('01_予約入力'!$Z$5:$Z$204,14),"")</f>
        <v/>
      </c>
      <c r="AQ46">
        <f>IF($AP46="",0,IFERROR(MATCH($AP46,'01_予約入力'!$Z$5:$Z$204,0),0))</f>
        <v/>
      </c>
    </row>
    <row r="47">
      <c r="A47" s="45">
        <f>IF($AQ47=0,"",INDEX('01_予約入力'!$B$5:$B$204,$AQ47))</f>
        <v/>
      </c>
      <c r="B47" s="46">
        <f>IF($AQ47=0,"",IF(INDEX('01_予約入力'!$D$5:$D$204,$AQ47)="","⚠未選択",INDEX('01_予約入力'!$D$5:$D$204,$AQ47)))</f>
        <v/>
      </c>
      <c r="C47" s="68" t="n"/>
      <c r="D47" s="68" t="n"/>
      <c r="E47" s="69" t="n"/>
      <c r="F47" s="46">
        <f>IF($AQ47=0,"",INDEX('01_予約入力'!$C$5:$C$204,$AQ47))</f>
        <v/>
      </c>
      <c r="G47" s="68" t="n"/>
      <c r="H47" s="69" t="n"/>
      <c r="I47" s="45">
        <f>IF($AQ47=0,"",MONTH(INDEX('01_予約入力'!$G$5:$G$204,$AQ47))&amp;"/"&amp;DAY(INDEX('01_予約入力'!$G$5:$G$204,$AQ47))&amp;"("&amp;MID("日月火水木金土",WEEKDAY(INDEX('01_予約入力'!$G$5:$G$204,$AQ47)),1)&amp;")"&amp;" "&amp;INDEX('01_予約入力'!$AA$5:$AA$204,$AQ47))</f>
        <v/>
      </c>
      <c r="J47" s="68" t="n"/>
      <c r="K47" s="68" t="n"/>
      <c r="L47" s="68" t="n"/>
      <c r="M47" s="68" t="n"/>
      <c r="N47" s="68" t="n"/>
      <c r="O47" s="69" t="n"/>
      <c r="P47" s="45">
        <f>IF($AQ47=0,"",MONTH(INDEX('01_予約入力'!$J$5:$J$204,$AQ47))&amp;"/"&amp;DAY(INDEX('01_予約入力'!$J$5:$J$204,$AQ47))&amp;"("&amp;MID("日月火水木金土",WEEKDAY(INDEX('01_予約入力'!$J$5:$J$204,$AQ47)),1)&amp;")"&amp;" "&amp;INDEX('01_予約入力'!$AB$5:$AB$204,$AQ47))</f>
        <v/>
      </c>
      <c r="Q47" s="68" t="n"/>
      <c r="R47" s="68" t="n"/>
      <c r="S47" s="68" t="n"/>
      <c r="T47" s="68" t="n"/>
      <c r="U47" s="68" t="n"/>
      <c r="V47" s="69" t="n"/>
      <c r="W47" s="46">
        <f>IF($AQ47=0,"",IF(INDEX('01_予約入力'!$J$5:$J$204,$AQ47)=INDEX('01_予約入力'!$G$5:$G$204,$AQ47),"日帰り",INDEX('01_予約入力'!$J$5:$J$204,$AQ47)-INDEX('01_予約入力'!$G$5:$G$204,$AQ47)&amp;"泊"))</f>
        <v/>
      </c>
      <c r="X47" s="68" t="n"/>
      <c r="Y47" s="69" t="n"/>
      <c r="Z47" s="46">
        <f>IF($AQ47=0,"",IF(INDEX('01_予約入力'!$N$5:$N$204,$AQ47)="","確定",INDEX('01_予約入力'!$N$5:$N$204,$AQ47)))</f>
        <v/>
      </c>
      <c r="AA47" s="68" t="n"/>
      <c r="AB47" s="69" t="n"/>
      <c r="AC47" s="45">
        <f>IF($AQ47=0,"",INDEX('01_予約入力'!$S$5:$S$204,$AQ47))</f>
        <v/>
      </c>
      <c r="AD47" s="68" t="n"/>
      <c r="AE47" s="68" t="n"/>
      <c r="AF47" s="69" t="n"/>
      <c r="AP47">
        <f>IFERROR(SMALL('01_予約入力'!$Z$5:$Z$204,15),"")</f>
        <v/>
      </c>
      <c r="AQ47">
        <f>IF($AP47="",0,IFERROR(MATCH($AP47,'01_予約入力'!$Z$5:$Z$204,0),0))</f>
        <v/>
      </c>
    </row>
    <row r="48">
      <c r="A48" s="45">
        <f>IF($AQ48=0,"",INDEX('01_予約入力'!$B$5:$B$204,$AQ48))</f>
        <v/>
      </c>
      <c r="B48" s="46">
        <f>IF($AQ48=0,"",IF(INDEX('01_予約入力'!$D$5:$D$204,$AQ48)="","⚠未選択",INDEX('01_予約入力'!$D$5:$D$204,$AQ48)))</f>
        <v/>
      </c>
      <c r="C48" s="68" t="n"/>
      <c r="D48" s="68" t="n"/>
      <c r="E48" s="69" t="n"/>
      <c r="F48" s="46">
        <f>IF($AQ48=0,"",INDEX('01_予約入力'!$C$5:$C$204,$AQ48))</f>
        <v/>
      </c>
      <c r="G48" s="68" t="n"/>
      <c r="H48" s="69" t="n"/>
      <c r="I48" s="45">
        <f>IF($AQ48=0,"",MONTH(INDEX('01_予約入力'!$G$5:$G$204,$AQ48))&amp;"/"&amp;DAY(INDEX('01_予約入力'!$G$5:$G$204,$AQ48))&amp;"("&amp;MID("日月火水木金土",WEEKDAY(INDEX('01_予約入力'!$G$5:$G$204,$AQ48)),1)&amp;")"&amp;" "&amp;INDEX('01_予約入力'!$AA$5:$AA$204,$AQ48))</f>
        <v/>
      </c>
      <c r="J48" s="68" t="n"/>
      <c r="K48" s="68" t="n"/>
      <c r="L48" s="68" t="n"/>
      <c r="M48" s="68" t="n"/>
      <c r="N48" s="68" t="n"/>
      <c r="O48" s="69" t="n"/>
      <c r="P48" s="45">
        <f>IF($AQ48=0,"",MONTH(INDEX('01_予約入力'!$J$5:$J$204,$AQ48))&amp;"/"&amp;DAY(INDEX('01_予約入力'!$J$5:$J$204,$AQ48))&amp;"("&amp;MID("日月火水木金土",WEEKDAY(INDEX('01_予約入力'!$J$5:$J$204,$AQ48)),1)&amp;")"&amp;" "&amp;INDEX('01_予約入力'!$AB$5:$AB$204,$AQ48))</f>
        <v/>
      </c>
      <c r="Q48" s="68" t="n"/>
      <c r="R48" s="68" t="n"/>
      <c r="S48" s="68" t="n"/>
      <c r="T48" s="68" t="n"/>
      <c r="U48" s="68" t="n"/>
      <c r="V48" s="69" t="n"/>
      <c r="W48" s="46">
        <f>IF($AQ48=0,"",IF(INDEX('01_予約入力'!$J$5:$J$204,$AQ48)=INDEX('01_予約入力'!$G$5:$G$204,$AQ48),"日帰り",INDEX('01_予約入力'!$J$5:$J$204,$AQ48)-INDEX('01_予約入力'!$G$5:$G$204,$AQ48)&amp;"泊"))</f>
        <v/>
      </c>
      <c r="X48" s="68" t="n"/>
      <c r="Y48" s="69" t="n"/>
      <c r="Z48" s="46">
        <f>IF($AQ48=0,"",IF(INDEX('01_予約入力'!$N$5:$N$204,$AQ48)="","確定",INDEX('01_予約入力'!$N$5:$N$204,$AQ48)))</f>
        <v/>
      </c>
      <c r="AA48" s="68" t="n"/>
      <c r="AB48" s="69" t="n"/>
      <c r="AC48" s="45">
        <f>IF($AQ48=0,"",INDEX('01_予約入力'!$S$5:$S$204,$AQ48))</f>
        <v/>
      </c>
      <c r="AD48" s="68" t="n"/>
      <c r="AE48" s="68" t="n"/>
      <c r="AF48" s="69" t="n"/>
      <c r="AP48">
        <f>IFERROR(SMALL('01_予約入力'!$Z$5:$Z$204,16),"")</f>
        <v/>
      </c>
      <c r="AQ48">
        <f>IF($AP48="",0,IFERROR(MATCH($AP48,'01_予約入力'!$Z$5:$Z$204,0),0))</f>
        <v/>
      </c>
    </row>
    <row r="49">
      <c r="A49" s="45">
        <f>IF($AQ49=0,"",INDEX('01_予約入力'!$B$5:$B$204,$AQ49))</f>
        <v/>
      </c>
      <c r="B49" s="46">
        <f>IF($AQ49=0,"",IF(INDEX('01_予約入力'!$D$5:$D$204,$AQ49)="","⚠未選択",INDEX('01_予約入力'!$D$5:$D$204,$AQ49)))</f>
        <v/>
      </c>
      <c r="C49" s="68" t="n"/>
      <c r="D49" s="68" t="n"/>
      <c r="E49" s="69" t="n"/>
      <c r="F49" s="46">
        <f>IF($AQ49=0,"",INDEX('01_予約入力'!$C$5:$C$204,$AQ49))</f>
        <v/>
      </c>
      <c r="G49" s="68" t="n"/>
      <c r="H49" s="69" t="n"/>
      <c r="I49" s="45">
        <f>IF($AQ49=0,"",MONTH(INDEX('01_予約入力'!$G$5:$G$204,$AQ49))&amp;"/"&amp;DAY(INDEX('01_予約入力'!$G$5:$G$204,$AQ49))&amp;"("&amp;MID("日月火水木金土",WEEKDAY(INDEX('01_予約入力'!$G$5:$G$204,$AQ49)),1)&amp;")"&amp;" "&amp;INDEX('01_予約入力'!$AA$5:$AA$204,$AQ49))</f>
        <v/>
      </c>
      <c r="J49" s="68" t="n"/>
      <c r="K49" s="68" t="n"/>
      <c r="L49" s="68" t="n"/>
      <c r="M49" s="68" t="n"/>
      <c r="N49" s="68" t="n"/>
      <c r="O49" s="69" t="n"/>
      <c r="P49" s="45">
        <f>IF($AQ49=0,"",MONTH(INDEX('01_予約入力'!$J$5:$J$204,$AQ49))&amp;"/"&amp;DAY(INDEX('01_予約入力'!$J$5:$J$204,$AQ49))&amp;"("&amp;MID("日月火水木金土",WEEKDAY(INDEX('01_予約入力'!$J$5:$J$204,$AQ49)),1)&amp;")"&amp;" "&amp;INDEX('01_予約入力'!$AB$5:$AB$204,$AQ49))</f>
        <v/>
      </c>
      <c r="Q49" s="68" t="n"/>
      <c r="R49" s="68" t="n"/>
      <c r="S49" s="68" t="n"/>
      <c r="T49" s="68" t="n"/>
      <c r="U49" s="68" t="n"/>
      <c r="V49" s="69" t="n"/>
      <c r="W49" s="46">
        <f>IF($AQ49=0,"",IF(INDEX('01_予約入力'!$J$5:$J$204,$AQ49)=INDEX('01_予約入力'!$G$5:$G$204,$AQ49),"日帰り",INDEX('01_予約入力'!$J$5:$J$204,$AQ49)-INDEX('01_予約入力'!$G$5:$G$204,$AQ49)&amp;"泊"))</f>
        <v/>
      </c>
      <c r="X49" s="68" t="n"/>
      <c r="Y49" s="69" t="n"/>
      <c r="Z49" s="46">
        <f>IF($AQ49=0,"",IF(INDEX('01_予約入力'!$N$5:$N$204,$AQ49)="","確定",INDEX('01_予約入力'!$N$5:$N$204,$AQ49)))</f>
        <v/>
      </c>
      <c r="AA49" s="68" t="n"/>
      <c r="AB49" s="69" t="n"/>
      <c r="AC49" s="45">
        <f>IF($AQ49=0,"",INDEX('01_予約入力'!$S$5:$S$204,$AQ49))</f>
        <v/>
      </c>
      <c r="AD49" s="68" t="n"/>
      <c r="AE49" s="68" t="n"/>
      <c r="AF49" s="69" t="n"/>
      <c r="AP49">
        <f>IFERROR(SMALL('01_予約入力'!$Z$5:$Z$204,17),"")</f>
        <v/>
      </c>
      <c r="AQ49">
        <f>IF($AP49="",0,IFERROR(MATCH($AP49,'01_予約入力'!$Z$5:$Z$204,0),0))</f>
        <v/>
      </c>
    </row>
    <row r="50">
      <c r="A50" s="45">
        <f>IF($AQ50=0,"",INDEX('01_予約入力'!$B$5:$B$204,$AQ50))</f>
        <v/>
      </c>
      <c r="B50" s="46">
        <f>IF($AQ50=0,"",IF(INDEX('01_予約入力'!$D$5:$D$204,$AQ50)="","⚠未選択",INDEX('01_予約入力'!$D$5:$D$204,$AQ50)))</f>
        <v/>
      </c>
      <c r="C50" s="68" t="n"/>
      <c r="D50" s="68" t="n"/>
      <c r="E50" s="69" t="n"/>
      <c r="F50" s="46">
        <f>IF($AQ50=0,"",INDEX('01_予約入力'!$C$5:$C$204,$AQ50))</f>
        <v/>
      </c>
      <c r="G50" s="68" t="n"/>
      <c r="H50" s="69" t="n"/>
      <c r="I50" s="45">
        <f>IF($AQ50=0,"",MONTH(INDEX('01_予約入力'!$G$5:$G$204,$AQ50))&amp;"/"&amp;DAY(INDEX('01_予約入力'!$G$5:$G$204,$AQ50))&amp;"("&amp;MID("日月火水木金土",WEEKDAY(INDEX('01_予約入力'!$G$5:$G$204,$AQ50)),1)&amp;")"&amp;" "&amp;INDEX('01_予約入力'!$AA$5:$AA$204,$AQ50))</f>
        <v/>
      </c>
      <c r="J50" s="68" t="n"/>
      <c r="K50" s="68" t="n"/>
      <c r="L50" s="68" t="n"/>
      <c r="M50" s="68" t="n"/>
      <c r="N50" s="68" t="n"/>
      <c r="O50" s="69" t="n"/>
      <c r="P50" s="45">
        <f>IF($AQ50=0,"",MONTH(INDEX('01_予約入力'!$J$5:$J$204,$AQ50))&amp;"/"&amp;DAY(INDEX('01_予約入力'!$J$5:$J$204,$AQ50))&amp;"("&amp;MID("日月火水木金土",WEEKDAY(INDEX('01_予約入力'!$J$5:$J$204,$AQ50)),1)&amp;")"&amp;" "&amp;INDEX('01_予約入力'!$AB$5:$AB$204,$AQ50))</f>
        <v/>
      </c>
      <c r="Q50" s="68" t="n"/>
      <c r="R50" s="68" t="n"/>
      <c r="S50" s="68" t="n"/>
      <c r="T50" s="68" t="n"/>
      <c r="U50" s="68" t="n"/>
      <c r="V50" s="69" t="n"/>
      <c r="W50" s="46">
        <f>IF($AQ50=0,"",IF(INDEX('01_予約入力'!$J$5:$J$204,$AQ50)=INDEX('01_予約入力'!$G$5:$G$204,$AQ50),"日帰り",INDEX('01_予約入力'!$J$5:$J$204,$AQ50)-INDEX('01_予約入力'!$G$5:$G$204,$AQ50)&amp;"泊"))</f>
        <v/>
      </c>
      <c r="X50" s="68" t="n"/>
      <c r="Y50" s="69" t="n"/>
      <c r="Z50" s="46">
        <f>IF($AQ50=0,"",IF(INDEX('01_予約入力'!$N$5:$N$204,$AQ50)="","確定",INDEX('01_予約入力'!$N$5:$N$204,$AQ50)))</f>
        <v/>
      </c>
      <c r="AA50" s="68" t="n"/>
      <c r="AB50" s="69" t="n"/>
      <c r="AC50" s="45">
        <f>IF($AQ50=0,"",INDEX('01_予約入力'!$S$5:$S$204,$AQ50))</f>
        <v/>
      </c>
      <c r="AD50" s="68" t="n"/>
      <c r="AE50" s="68" t="n"/>
      <c r="AF50" s="69" t="n"/>
      <c r="AP50">
        <f>IFERROR(SMALL('01_予約入力'!$Z$5:$Z$204,18),"")</f>
        <v/>
      </c>
      <c r="AQ50">
        <f>IF($AP50="",0,IFERROR(MATCH($AP50,'01_予約入力'!$Z$5:$Z$204,0),0))</f>
        <v/>
      </c>
    </row>
    <row r="51">
      <c r="A51" s="45">
        <f>IF($AQ51=0,"",INDEX('01_予約入力'!$B$5:$B$204,$AQ51))</f>
        <v/>
      </c>
      <c r="B51" s="46">
        <f>IF($AQ51=0,"",IF(INDEX('01_予約入力'!$D$5:$D$204,$AQ51)="","⚠未選択",INDEX('01_予約入力'!$D$5:$D$204,$AQ51)))</f>
        <v/>
      </c>
      <c r="C51" s="68" t="n"/>
      <c r="D51" s="68" t="n"/>
      <c r="E51" s="69" t="n"/>
      <c r="F51" s="46">
        <f>IF($AQ51=0,"",INDEX('01_予約入力'!$C$5:$C$204,$AQ51))</f>
        <v/>
      </c>
      <c r="G51" s="68" t="n"/>
      <c r="H51" s="69" t="n"/>
      <c r="I51" s="45">
        <f>IF($AQ51=0,"",MONTH(INDEX('01_予約入力'!$G$5:$G$204,$AQ51))&amp;"/"&amp;DAY(INDEX('01_予約入力'!$G$5:$G$204,$AQ51))&amp;"("&amp;MID("日月火水木金土",WEEKDAY(INDEX('01_予約入力'!$G$5:$G$204,$AQ51)),1)&amp;")"&amp;" "&amp;INDEX('01_予約入力'!$AA$5:$AA$204,$AQ51))</f>
        <v/>
      </c>
      <c r="J51" s="68" t="n"/>
      <c r="K51" s="68" t="n"/>
      <c r="L51" s="68" t="n"/>
      <c r="M51" s="68" t="n"/>
      <c r="N51" s="68" t="n"/>
      <c r="O51" s="69" t="n"/>
      <c r="P51" s="45">
        <f>IF($AQ51=0,"",MONTH(INDEX('01_予約入力'!$J$5:$J$204,$AQ51))&amp;"/"&amp;DAY(INDEX('01_予約入力'!$J$5:$J$204,$AQ51))&amp;"("&amp;MID("日月火水木金土",WEEKDAY(INDEX('01_予約入力'!$J$5:$J$204,$AQ51)),1)&amp;")"&amp;" "&amp;INDEX('01_予約入力'!$AB$5:$AB$204,$AQ51))</f>
        <v/>
      </c>
      <c r="Q51" s="68" t="n"/>
      <c r="R51" s="68" t="n"/>
      <c r="S51" s="68" t="n"/>
      <c r="T51" s="68" t="n"/>
      <c r="U51" s="68" t="n"/>
      <c r="V51" s="69" t="n"/>
      <c r="W51" s="46">
        <f>IF($AQ51=0,"",IF(INDEX('01_予約入力'!$J$5:$J$204,$AQ51)=INDEX('01_予約入力'!$G$5:$G$204,$AQ51),"日帰り",INDEX('01_予約入力'!$J$5:$J$204,$AQ51)-INDEX('01_予約入力'!$G$5:$G$204,$AQ51)&amp;"泊"))</f>
        <v/>
      </c>
      <c r="X51" s="68" t="n"/>
      <c r="Y51" s="69" t="n"/>
      <c r="Z51" s="46">
        <f>IF($AQ51=0,"",IF(INDEX('01_予約入力'!$N$5:$N$204,$AQ51)="","確定",INDEX('01_予約入力'!$N$5:$N$204,$AQ51)))</f>
        <v/>
      </c>
      <c r="AA51" s="68" t="n"/>
      <c r="AB51" s="69" t="n"/>
      <c r="AC51" s="45">
        <f>IF($AQ51=0,"",INDEX('01_予約入力'!$S$5:$S$204,$AQ51))</f>
        <v/>
      </c>
      <c r="AD51" s="68" t="n"/>
      <c r="AE51" s="68" t="n"/>
      <c r="AF51" s="69" t="n"/>
      <c r="AP51">
        <f>IFERROR(SMALL('01_予約入力'!$Z$5:$Z$204,19),"")</f>
        <v/>
      </c>
      <c r="AQ51">
        <f>IF($AP51="",0,IFERROR(MATCH($AP51,'01_予約入力'!$Z$5:$Z$204,0),0))</f>
        <v/>
      </c>
    </row>
    <row r="52">
      <c r="A52" s="45">
        <f>IF($AQ52=0,"",INDEX('01_予約入力'!$B$5:$B$204,$AQ52))</f>
        <v/>
      </c>
      <c r="B52" s="46">
        <f>IF($AQ52=0,"",IF(INDEX('01_予約入力'!$D$5:$D$204,$AQ52)="","⚠未選択",INDEX('01_予約入力'!$D$5:$D$204,$AQ52)))</f>
        <v/>
      </c>
      <c r="C52" s="68" t="n"/>
      <c r="D52" s="68" t="n"/>
      <c r="E52" s="69" t="n"/>
      <c r="F52" s="46">
        <f>IF($AQ52=0,"",INDEX('01_予約入力'!$C$5:$C$204,$AQ52))</f>
        <v/>
      </c>
      <c r="G52" s="68" t="n"/>
      <c r="H52" s="69" t="n"/>
      <c r="I52" s="45">
        <f>IF($AQ52=0,"",MONTH(INDEX('01_予約入力'!$G$5:$G$204,$AQ52))&amp;"/"&amp;DAY(INDEX('01_予約入力'!$G$5:$G$204,$AQ52))&amp;"("&amp;MID("日月火水木金土",WEEKDAY(INDEX('01_予約入力'!$G$5:$G$204,$AQ52)),1)&amp;")"&amp;" "&amp;INDEX('01_予約入力'!$AA$5:$AA$204,$AQ52))</f>
        <v/>
      </c>
      <c r="J52" s="68" t="n"/>
      <c r="K52" s="68" t="n"/>
      <c r="L52" s="68" t="n"/>
      <c r="M52" s="68" t="n"/>
      <c r="N52" s="68" t="n"/>
      <c r="O52" s="69" t="n"/>
      <c r="P52" s="45">
        <f>IF($AQ52=0,"",MONTH(INDEX('01_予約入力'!$J$5:$J$204,$AQ52))&amp;"/"&amp;DAY(INDEX('01_予約入力'!$J$5:$J$204,$AQ52))&amp;"("&amp;MID("日月火水木金土",WEEKDAY(INDEX('01_予約入力'!$J$5:$J$204,$AQ52)),1)&amp;")"&amp;" "&amp;INDEX('01_予約入力'!$AB$5:$AB$204,$AQ52))</f>
        <v/>
      </c>
      <c r="Q52" s="68" t="n"/>
      <c r="R52" s="68" t="n"/>
      <c r="S52" s="68" t="n"/>
      <c r="T52" s="68" t="n"/>
      <c r="U52" s="68" t="n"/>
      <c r="V52" s="69" t="n"/>
      <c r="W52" s="46">
        <f>IF($AQ52=0,"",IF(INDEX('01_予約入力'!$J$5:$J$204,$AQ52)=INDEX('01_予約入力'!$G$5:$G$204,$AQ52),"日帰り",INDEX('01_予約入力'!$J$5:$J$204,$AQ52)-INDEX('01_予約入力'!$G$5:$G$204,$AQ52)&amp;"泊"))</f>
        <v/>
      </c>
      <c r="X52" s="68" t="n"/>
      <c r="Y52" s="69" t="n"/>
      <c r="Z52" s="46">
        <f>IF($AQ52=0,"",IF(INDEX('01_予約入力'!$N$5:$N$204,$AQ52)="","確定",INDEX('01_予約入力'!$N$5:$N$204,$AQ52)))</f>
        <v/>
      </c>
      <c r="AA52" s="68" t="n"/>
      <c r="AB52" s="69" t="n"/>
      <c r="AC52" s="45">
        <f>IF($AQ52=0,"",INDEX('01_予約入力'!$S$5:$S$204,$AQ52))</f>
        <v/>
      </c>
      <c r="AD52" s="68" t="n"/>
      <c r="AE52" s="68" t="n"/>
      <c r="AF52" s="69" t="n"/>
      <c r="AP52">
        <f>IFERROR(SMALL('01_予約入力'!$Z$5:$Z$204,20),"")</f>
        <v/>
      </c>
      <c r="AQ52">
        <f>IF($AP52="",0,IFERROR(MATCH($AP52,'01_予約入力'!$Z$5:$Z$204,0),0))</f>
        <v/>
      </c>
    </row>
    <row r="53">
      <c r="A53" s="45">
        <f>IF($AQ53=0,"",INDEX('01_予約入力'!$B$5:$B$204,$AQ53))</f>
        <v/>
      </c>
      <c r="B53" s="46">
        <f>IF($AQ53=0,"",IF(INDEX('01_予約入力'!$D$5:$D$204,$AQ53)="","⚠未選択",INDEX('01_予約入力'!$D$5:$D$204,$AQ53)))</f>
        <v/>
      </c>
      <c r="C53" s="68" t="n"/>
      <c r="D53" s="68" t="n"/>
      <c r="E53" s="69" t="n"/>
      <c r="F53" s="46">
        <f>IF($AQ53=0,"",INDEX('01_予約入力'!$C$5:$C$204,$AQ53))</f>
        <v/>
      </c>
      <c r="G53" s="68" t="n"/>
      <c r="H53" s="69" t="n"/>
      <c r="I53" s="45">
        <f>IF($AQ53=0,"",MONTH(INDEX('01_予約入力'!$G$5:$G$204,$AQ53))&amp;"/"&amp;DAY(INDEX('01_予約入力'!$G$5:$G$204,$AQ53))&amp;"("&amp;MID("日月火水木金土",WEEKDAY(INDEX('01_予約入力'!$G$5:$G$204,$AQ53)),1)&amp;")"&amp;" "&amp;INDEX('01_予約入力'!$AA$5:$AA$204,$AQ53))</f>
        <v/>
      </c>
      <c r="J53" s="68" t="n"/>
      <c r="K53" s="68" t="n"/>
      <c r="L53" s="68" t="n"/>
      <c r="M53" s="68" t="n"/>
      <c r="N53" s="68" t="n"/>
      <c r="O53" s="69" t="n"/>
      <c r="P53" s="45">
        <f>IF($AQ53=0,"",MONTH(INDEX('01_予約入力'!$J$5:$J$204,$AQ53))&amp;"/"&amp;DAY(INDEX('01_予約入力'!$J$5:$J$204,$AQ53))&amp;"("&amp;MID("日月火水木金土",WEEKDAY(INDEX('01_予約入力'!$J$5:$J$204,$AQ53)),1)&amp;")"&amp;" "&amp;INDEX('01_予約入力'!$AB$5:$AB$204,$AQ53))</f>
        <v/>
      </c>
      <c r="Q53" s="68" t="n"/>
      <c r="R53" s="68" t="n"/>
      <c r="S53" s="68" t="n"/>
      <c r="T53" s="68" t="n"/>
      <c r="U53" s="68" t="n"/>
      <c r="V53" s="69" t="n"/>
      <c r="W53" s="46">
        <f>IF($AQ53=0,"",IF(INDEX('01_予約入力'!$J$5:$J$204,$AQ53)=INDEX('01_予約入力'!$G$5:$G$204,$AQ53),"日帰り",INDEX('01_予約入力'!$J$5:$J$204,$AQ53)-INDEX('01_予約入力'!$G$5:$G$204,$AQ53)&amp;"泊"))</f>
        <v/>
      </c>
      <c r="X53" s="68" t="n"/>
      <c r="Y53" s="69" t="n"/>
      <c r="Z53" s="46">
        <f>IF($AQ53=0,"",IF(INDEX('01_予約入力'!$N$5:$N$204,$AQ53)="","確定",INDEX('01_予約入力'!$N$5:$N$204,$AQ53)))</f>
        <v/>
      </c>
      <c r="AA53" s="68" t="n"/>
      <c r="AB53" s="69" t="n"/>
      <c r="AC53" s="45">
        <f>IF($AQ53=0,"",INDEX('01_予約入力'!$S$5:$S$204,$AQ53))</f>
        <v/>
      </c>
      <c r="AD53" s="68" t="n"/>
      <c r="AE53" s="68" t="n"/>
      <c r="AF53" s="69" t="n"/>
      <c r="AP53">
        <f>IFERROR(SMALL('01_予約入力'!$Z$5:$Z$204,21),"")</f>
        <v/>
      </c>
      <c r="AQ53">
        <f>IF($AP53="",0,IFERROR(MATCH($AP53,'01_予約入力'!$Z$5:$Z$204,0),0))</f>
        <v/>
      </c>
    </row>
    <row r="54">
      <c r="A54" s="45">
        <f>IF($AQ54=0,"",INDEX('01_予約入力'!$B$5:$B$204,$AQ54))</f>
        <v/>
      </c>
      <c r="B54" s="46">
        <f>IF($AQ54=0,"",IF(INDEX('01_予約入力'!$D$5:$D$204,$AQ54)="","⚠未選択",INDEX('01_予約入力'!$D$5:$D$204,$AQ54)))</f>
        <v/>
      </c>
      <c r="C54" s="68" t="n"/>
      <c r="D54" s="68" t="n"/>
      <c r="E54" s="69" t="n"/>
      <c r="F54" s="46">
        <f>IF($AQ54=0,"",INDEX('01_予約入力'!$C$5:$C$204,$AQ54))</f>
        <v/>
      </c>
      <c r="G54" s="68" t="n"/>
      <c r="H54" s="69" t="n"/>
      <c r="I54" s="45">
        <f>IF($AQ54=0,"",MONTH(INDEX('01_予約入力'!$G$5:$G$204,$AQ54))&amp;"/"&amp;DAY(INDEX('01_予約入力'!$G$5:$G$204,$AQ54))&amp;"("&amp;MID("日月火水木金土",WEEKDAY(INDEX('01_予約入力'!$G$5:$G$204,$AQ54)),1)&amp;")"&amp;" "&amp;INDEX('01_予約入力'!$AA$5:$AA$204,$AQ54))</f>
        <v/>
      </c>
      <c r="J54" s="68" t="n"/>
      <c r="K54" s="68" t="n"/>
      <c r="L54" s="68" t="n"/>
      <c r="M54" s="68" t="n"/>
      <c r="N54" s="68" t="n"/>
      <c r="O54" s="69" t="n"/>
      <c r="P54" s="45">
        <f>IF($AQ54=0,"",MONTH(INDEX('01_予約入力'!$J$5:$J$204,$AQ54))&amp;"/"&amp;DAY(INDEX('01_予約入力'!$J$5:$J$204,$AQ54))&amp;"("&amp;MID("日月火水木金土",WEEKDAY(INDEX('01_予約入力'!$J$5:$J$204,$AQ54)),1)&amp;")"&amp;" "&amp;INDEX('01_予約入力'!$AB$5:$AB$204,$AQ54))</f>
        <v/>
      </c>
      <c r="Q54" s="68" t="n"/>
      <c r="R54" s="68" t="n"/>
      <c r="S54" s="68" t="n"/>
      <c r="T54" s="68" t="n"/>
      <c r="U54" s="68" t="n"/>
      <c r="V54" s="69" t="n"/>
      <c r="W54" s="46">
        <f>IF($AQ54=0,"",IF(INDEX('01_予約入力'!$J$5:$J$204,$AQ54)=INDEX('01_予約入力'!$G$5:$G$204,$AQ54),"日帰り",INDEX('01_予約入力'!$J$5:$J$204,$AQ54)-INDEX('01_予約入力'!$G$5:$G$204,$AQ54)&amp;"泊"))</f>
        <v/>
      </c>
      <c r="X54" s="68" t="n"/>
      <c r="Y54" s="69" t="n"/>
      <c r="Z54" s="46">
        <f>IF($AQ54=0,"",IF(INDEX('01_予約入力'!$N$5:$N$204,$AQ54)="","確定",INDEX('01_予約入力'!$N$5:$N$204,$AQ54)))</f>
        <v/>
      </c>
      <c r="AA54" s="68" t="n"/>
      <c r="AB54" s="69" t="n"/>
      <c r="AC54" s="45">
        <f>IF($AQ54=0,"",INDEX('01_予約入力'!$S$5:$S$204,$AQ54))</f>
        <v/>
      </c>
      <c r="AD54" s="68" t="n"/>
      <c r="AE54" s="68" t="n"/>
      <c r="AF54" s="69" t="n"/>
      <c r="AP54">
        <f>IFERROR(SMALL('01_予約入力'!$Z$5:$Z$204,22),"")</f>
        <v/>
      </c>
      <c r="AQ54">
        <f>IF($AP54="",0,IFERROR(MATCH($AP54,'01_予約入力'!$Z$5:$Z$204,0),0))</f>
        <v/>
      </c>
    </row>
    <row r="55">
      <c r="A55" s="45">
        <f>IF($AQ55=0,"",INDEX('01_予約入力'!$B$5:$B$204,$AQ55))</f>
        <v/>
      </c>
      <c r="B55" s="46">
        <f>IF($AQ55=0,"",IF(INDEX('01_予約入力'!$D$5:$D$204,$AQ55)="","⚠未選択",INDEX('01_予約入力'!$D$5:$D$204,$AQ55)))</f>
        <v/>
      </c>
      <c r="C55" s="68" t="n"/>
      <c r="D55" s="68" t="n"/>
      <c r="E55" s="69" t="n"/>
      <c r="F55" s="46">
        <f>IF($AQ55=0,"",INDEX('01_予約入力'!$C$5:$C$204,$AQ55))</f>
        <v/>
      </c>
      <c r="G55" s="68" t="n"/>
      <c r="H55" s="69" t="n"/>
      <c r="I55" s="45">
        <f>IF($AQ55=0,"",MONTH(INDEX('01_予約入力'!$G$5:$G$204,$AQ55))&amp;"/"&amp;DAY(INDEX('01_予約入力'!$G$5:$G$204,$AQ55))&amp;"("&amp;MID("日月火水木金土",WEEKDAY(INDEX('01_予約入力'!$G$5:$G$204,$AQ55)),1)&amp;")"&amp;" "&amp;INDEX('01_予約入力'!$AA$5:$AA$204,$AQ55))</f>
        <v/>
      </c>
      <c r="J55" s="68" t="n"/>
      <c r="K55" s="68" t="n"/>
      <c r="L55" s="68" t="n"/>
      <c r="M55" s="68" t="n"/>
      <c r="N55" s="68" t="n"/>
      <c r="O55" s="69" t="n"/>
      <c r="P55" s="45">
        <f>IF($AQ55=0,"",MONTH(INDEX('01_予約入力'!$J$5:$J$204,$AQ55))&amp;"/"&amp;DAY(INDEX('01_予約入力'!$J$5:$J$204,$AQ55))&amp;"("&amp;MID("日月火水木金土",WEEKDAY(INDEX('01_予約入力'!$J$5:$J$204,$AQ55)),1)&amp;")"&amp;" "&amp;INDEX('01_予約入力'!$AB$5:$AB$204,$AQ55))</f>
        <v/>
      </c>
      <c r="Q55" s="68" t="n"/>
      <c r="R55" s="68" t="n"/>
      <c r="S55" s="68" t="n"/>
      <c r="T55" s="68" t="n"/>
      <c r="U55" s="68" t="n"/>
      <c r="V55" s="69" t="n"/>
      <c r="W55" s="46">
        <f>IF($AQ55=0,"",IF(INDEX('01_予約入力'!$J$5:$J$204,$AQ55)=INDEX('01_予約入力'!$G$5:$G$204,$AQ55),"日帰り",INDEX('01_予約入力'!$J$5:$J$204,$AQ55)-INDEX('01_予約入力'!$G$5:$G$204,$AQ55)&amp;"泊"))</f>
        <v/>
      </c>
      <c r="X55" s="68" t="n"/>
      <c r="Y55" s="69" t="n"/>
      <c r="Z55" s="46">
        <f>IF($AQ55=0,"",IF(INDEX('01_予約入力'!$N$5:$N$204,$AQ55)="","確定",INDEX('01_予約入力'!$N$5:$N$204,$AQ55)))</f>
        <v/>
      </c>
      <c r="AA55" s="68" t="n"/>
      <c r="AB55" s="69" t="n"/>
      <c r="AC55" s="45">
        <f>IF($AQ55=0,"",INDEX('01_予約入力'!$S$5:$S$204,$AQ55))</f>
        <v/>
      </c>
      <c r="AD55" s="68" t="n"/>
      <c r="AE55" s="68" t="n"/>
      <c r="AF55" s="69" t="n"/>
      <c r="AP55">
        <f>IFERROR(SMALL('01_予約入力'!$Z$5:$Z$204,23),"")</f>
        <v/>
      </c>
      <c r="AQ55">
        <f>IF($AP55="",0,IFERROR(MATCH($AP55,'01_予約入力'!$Z$5:$Z$204,0),0))</f>
        <v/>
      </c>
    </row>
    <row r="56">
      <c r="A56" s="45">
        <f>IF($AQ56=0,"",INDEX('01_予約入力'!$B$5:$B$204,$AQ56))</f>
        <v/>
      </c>
      <c r="B56" s="46">
        <f>IF($AQ56=0,"",IF(INDEX('01_予約入力'!$D$5:$D$204,$AQ56)="","⚠未選択",INDEX('01_予約入力'!$D$5:$D$204,$AQ56)))</f>
        <v/>
      </c>
      <c r="C56" s="68" t="n"/>
      <c r="D56" s="68" t="n"/>
      <c r="E56" s="69" t="n"/>
      <c r="F56" s="46">
        <f>IF($AQ56=0,"",INDEX('01_予約入力'!$C$5:$C$204,$AQ56))</f>
        <v/>
      </c>
      <c r="G56" s="68" t="n"/>
      <c r="H56" s="69" t="n"/>
      <c r="I56" s="45">
        <f>IF($AQ56=0,"",MONTH(INDEX('01_予約入力'!$G$5:$G$204,$AQ56))&amp;"/"&amp;DAY(INDEX('01_予約入力'!$G$5:$G$204,$AQ56))&amp;"("&amp;MID("日月火水木金土",WEEKDAY(INDEX('01_予約入力'!$G$5:$G$204,$AQ56)),1)&amp;")"&amp;" "&amp;INDEX('01_予約入力'!$AA$5:$AA$204,$AQ56))</f>
        <v/>
      </c>
      <c r="J56" s="68" t="n"/>
      <c r="K56" s="68" t="n"/>
      <c r="L56" s="68" t="n"/>
      <c r="M56" s="68" t="n"/>
      <c r="N56" s="68" t="n"/>
      <c r="O56" s="69" t="n"/>
      <c r="P56" s="45">
        <f>IF($AQ56=0,"",MONTH(INDEX('01_予約入力'!$J$5:$J$204,$AQ56))&amp;"/"&amp;DAY(INDEX('01_予約入力'!$J$5:$J$204,$AQ56))&amp;"("&amp;MID("日月火水木金土",WEEKDAY(INDEX('01_予約入力'!$J$5:$J$204,$AQ56)),1)&amp;")"&amp;" "&amp;INDEX('01_予約入力'!$AB$5:$AB$204,$AQ56))</f>
        <v/>
      </c>
      <c r="Q56" s="68" t="n"/>
      <c r="R56" s="68" t="n"/>
      <c r="S56" s="68" t="n"/>
      <c r="T56" s="68" t="n"/>
      <c r="U56" s="68" t="n"/>
      <c r="V56" s="69" t="n"/>
      <c r="W56" s="46">
        <f>IF($AQ56=0,"",IF(INDEX('01_予約入力'!$J$5:$J$204,$AQ56)=INDEX('01_予約入力'!$G$5:$G$204,$AQ56),"日帰り",INDEX('01_予約入力'!$J$5:$J$204,$AQ56)-INDEX('01_予約入力'!$G$5:$G$204,$AQ56)&amp;"泊"))</f>
        <v/>
      </c>
      <c r="X56" s="68" t="n"/>
      <c r="Y56" s="69" t="n"/>
      <c r="Z56" s="46">
        <f>IF($AQ56=0,"",IF(INDEX('01_予約入力'!$N$5:$N$204,$AQ56)="","確定",INDEX('01_予約入力'!$N$5:$N$204,$AQ56)))</f>
        <v/>
      </c>
      <c r="AA56" s="68" t="n"/>
      <c r="AB56" s="69" t="n"/>
      <c r="AC56" s="45">
        <f>IF($AQ56=0,"",INDEX('01_予約入力'!$S$5:$S$204,$AQ56))</f>
        <v/>
      </c>
      <c r="AD56" s="68" t="n"/>
      <c r="AE56" s="68" t="n"/>
      <c r="AF56" s="69" t="n"/>
      <c r="AP56">
        <f>IFERROR(SMALL('01_予約入力'!$Z$5:$Z$204,24),"")</f>
        <v/>
      </c>
      <c r="AQ56">
        <f>IF($AP56="",0,IFERROR(MATCH($AP56,'01_予約入力'!$Z$5:$Z$204,0),0))</f>
        <v/>
      </c>
    </row>
    <row r="57">
      <c r="A57" s="45">
        <f>IF($AQ57=0,"",INDEX('01_予約入力'!$B$5:$B$204,$AQ57))</f>
        <v/>
      </c>
      <c r="B57" s="46">
        <f>IF($AQ57=0,"",IF(INDEX('01_予約入力'!$D$5:$D$204,$AQ57)="","⚠未選択",INDEX('01_予約入力'!$D$5:$D$204,$AQ57)))</f>
        <v/>
      </c>
      <c r="C57" s="68" t="n"/>
      <c r="D57" s="68" t="n"/>
      <c r="E57" s="69" t="n"/>
      <c r="F57" s="46">
        <f>IF($AQ57=0,"",INDEX('01_予約入力'!$C$5:$C$204,$AQ57))</f>
        <v/>
      </c>
      <c r="G57" s="68" t="n"/>
      <c r="H57" s="69" t="n"/>
      <c r="I57" s="45">
        <f>IF($AQ57=0,"",MONTH(INDEX('01_予約入力'!$G$5:$G$204,$AQ57))&amp;"/"&amp;DAY(INDEX('01_予約入力'!$G$5:$G$204,$AQ57))&amp;"("&amp;MID("日月火水木金土",WEEKDAY(INDEX('01_予約入力'!$G$5:$G$204,$AQ57)),1)&amp;")"&amp;" "&amp;INDEX('01_予約入力'!$AA$5:$AA$204,$AQ57))</f>
        <v/>
      </c>
      <c r="J57" s="68" t="n"/>
      <c r="K57" s="68" t="n"/>
      <c r="L57" s="68" t="n"/>
      <c r="M57" s="68" t="n"/>
      <c r="N57" s="68" t="n"/>
      <c r="O57" s="69" t="n"/>
      <c r="P57" s="45">
        <f>IF($AQ57=0,"",MONTH(INDEX('01_予約入力'!$J$5:$J$204,$AQ57))&amp;"/"&amp;DAY(INDEX('01_予約入力'!$J$5:$J$204,$AQ57))&amp;"("&amp;MID("日月火水木金土",WEEKDAY(INDEX('01_予約入力'!$J$5:$J$204,$AQ57)),1)&amp;")"&amp;" "&amp;INDEX('01_予約入力'!$AB$5:$AB$204,$AQ57))</f>
        <v/>
      </c>
      <c r="Q57" s="68" t="n"/>
      <c r="R57" s="68" t="n"/>
      <c r="S57" s="68" t="n"/>
      <c r="T57" s="68" t="n"/>
      <c r="U57" s="68" t="n"/>
      <c r="V57" s="69" t="n"/>
      <c r="W57" s="46">
        <f>IF($AQ57=0,"",IF(INDEX('01_予約入力'!$J$5:$J$204,$AQ57)=INDEX('01_予約入力'!$G$5:$G$204,$AQ57),"日帰り",INDEX('01_予約入力'!$J$5:$J$204,$AQ57)-INDEX('01_予約入力'!$G$5:$G$204,$AQ57)&amp;"泊"))</f>
        <v/>
      </c>
      <c r="X57" s="68" t="n"/>
      <c r="Y57" s="69" t="n"/>
      <c r="Z57" s="46">
        <f>IF($AQ57=0,"",IF(INDEX('01_予約入力'!$N$5:$N$204,$AQ57)="","確定",INDEX('01_予約入力'!$N$5:$N$204,$AQ57)))</f>
        <v/>
      </c>
      <c r="AA57" s="68" t="n"/>
      <c r="AB57" s="69" t="n"/>
      <c r="AC57" s="45">
        <f>IF($AQ57=0,"",INDEX('01_予約入力'!$S$5:$S$204,$AQ57))</f>
        <v/>
      </c>
      <c r="AD57" s="68" t="n"/>
      <c r="AE57" s="68" t="n"/>
      <c r="AF57" s="69" t="n"/>
      <c r="AP57">
        <f>IFERROR(SMALL('01_予約入力'!$Z$5:$Z$204,25),"")</f>
        <v/>
      </c>
      <c r="AQ57">
        <f>IF($AP57="",0,IFERROR(MATCH($AP57,'01_予約入力'!$Z$5:$Z$204,0),0))</f>
        <v/>
      </c>
    </row>
    <row r="58">
      <c r="A58" s="45">
        <f>IF($AQ58=0,"",INDEX('01_予約入力'!$B$5:$B$204,$AQ58))</f>
        <v/>
      </c>
      <c r="B58" s="46">
        <f>IF($AQ58=0,"",IF(INDEX('01_予約入力'!$D$5:$D$204,$AQ58)="","⚠未選択",INDEX('01_予約入力'!$D$5:$D$204,$AQ58)))</f>
        <v/>
      </c>
      <c r="C58" s="68" t="n"/>
      <c r="D58" s="68" t="n"/>
      <c r="E58" s="69" t="n"/>
      <c r="F58" s="46">
        <f>IF($AQ58=0,"",INDEX('01_予約入力'!$C$5:$C$204,$AQ58))</f>
        <v/>
      </c>
      <c r="G58" s="68" t="n"/>
      <c r="H58" s="69" t="n"/>
      <c r="I58" s="45">
        <f>IF($AQ58=0,"",MONTH(INDEX('01_予約入力'!$G$5:$G$204,$AQ58))&amp;"/"&amp;DAY(INDEX('01_予約入力'!$G$5:$G$204,$AQ58))&amp;"("&amp;MID("日月火水木金土",WEEKDAY(INDEX('01_予約入力'!$G$5:$G$204,$AQ58)),1)&amp;")"&amp;" "&amp;INDEX('01_予約入力'!$AA$5:$AA$204,$AQ58))</f>
        <v/>
      </c>
      <c r="J58" s="68" t="n"/>
      <c r="K58" s="68" t="n"/>
      <c r="L58" s="68" t="n"/>
      <c r="M58" s="68" t="n"/>
      <c r="N58" s="68" t="n"/>
      <c r="O58" s="69" t="n"/>
      <c r="P58" s="45">
        <f>IF($AQ58=0,"",MONTH(INDEX('01_予約入力'!$J$5:$J$204,$AQ58))&amp;"/"&amp;DAY(INDEX('01_予約入力'!$J$5:$J$204,$AQ58))&amp;"("&amp;MID("日月火水木金土",WEEKDAY(INDEX('01_予約入力'!$J$5:$J$204,$AQ58)),1)&amp;")"&amp;" "&amp;INDEX('01_予約入力'!$AB$5:$AB$204,$AQ58))</f>
        <v/>
      </c>
      <c r="Q58" s="68" t="n"/>
      <c r="R58" s="68" t="n"/>
      <c r="S58" s="68" t="n"/>
      <c r="T58" s="68" t="n"/>
      <c r="U58" s="68" t="n"/>
      <c r="V58" s="69" t="n"/>
      <c r="W58" s="46">
        <f>IF($AQ58=0,"",IF(INDEX('01_予約入力'!$J$5:$J$204,$AQ58)=INDEX('01_予約入力'!$G$5:$G$204,$AQ58),"日帰り",INDEX('01_予約入力'!$J$5:$J$204,$AQ58)-INDEX('01_予約入力'!$G$5:$G$204,$AQ58)&amp;"泊"))</f>
        <v/>
      </c>
      <c r="X58" s="68" t="n"/>
      <c r="Y58" s="69" t="n"/>
      <c r="Z58" s="46">
        <f>IF($AQ58=0,"",IF(INDEX('01_予約入力'!$N$5:$N$204,$AQ58)="","確定",INDEX('01_予約入力'!$N$5:$N$204,$AQ58)))</f>
        <v/>
      </c>
      <c r="AA58" s="68" t="n"/>
      <c r="AB58" s="69" t="n"/>
      <c r="AC58" s="45">
        <f>IF($AQ58=0,"",INDEX('01_予約入力'!$S$5:$S$204,$AQ58))</f>
        <v/>
      </c>
      <c r="AD58" s="68" t="n"/>
      <c r="AE58" s="68" t="n"/>
      <c r="AF58" s="69" t="n"/>
      <c r="AP58">
        <f>IFERROR(SMALL('01_予約入力'!$Z$5:$Z$204,26),"")</f>
        <v/>
      </c>
      <c r="AQ58">
        <f>IF($AP58="",0,IFERROR(MATCH($AP58,'01_予約入力'!$Z$5:$Z$204,0),0))</f>
        <v/>
      </c>
    </row>
    <row r="59">
      <c r="A59" s="45">
        <f>IF($AQ59=0,"",INDEX('01_予約入力'!$B$5:$B$204,$AQ59))</f>
        <v/>
      </c>
      <c r="B59" s="46">
        <f>IF($AQ59=0,"",IF(INDEX('01_予約入力'!$D$5:$D$204,$AQ59)="","⚠未選択",INDEX('01_予約入力'!$D$5:$D$204,$AQ59)))</f>
        <v/>
      </c>
      <c r="C59" s="68" t="n"/>
      <c r="D59" s="68" t="n"/>
      <c r="E59" s="69" t="n"/>
      <c r="F59" s="46">
        <f>IF($AQ59=0,"",INDEX('01_予約入力'!$C$5:$C$204,$AQ59))</f>
        <v/>
      </c>
      <c r="G59" s="68" t="n"/>
      <c r="H59" s="69" t="n"/>
      <c r="I59" s="45">
        <f>IF($AQ59=0,"",MONTH(INDEX('01_予約入力'!$G$5:$G$204,$AQ59))&amp;"/"&amp;DAY(INDEX('01_予約入力'!$G$5:$G$204,$AQ59))&amp;"("&amp;MID("日月火水木金土",WEEKDAY(INDEX('01_予約入力'!$G$5:$G$204,$AQ59)),1)&amp;")"&amp;" "&amp;INDEX('01_予約入力'!$AA$5:$AA$204,$AQ59))</f>
        <v/>
      </c>
      <c r="J59" s="68" t="n"/>
      <c r="K59" s="68" t="n"/>
      <c r="L59" s="68" t="n"/>
      <c r="M59" s="68" t="n"/>
      <c r="N59" s="68" t="n"/>
      <c r="O59" s="69" t="n"/>
      <c r="P59" s="45">
        <f>IF($AQ59=0,"",MONTH(INDEX('01_予約入力'!$J$5:$J$204,$AQ59))&amp;"/"&amp;DAY(INDEX('01_予約入力'!$J$5:$J$204,$AQ59))&amp;"("&amp;MID("日月火水木金土",WEEKDAY(INDEX('01_予約入力'!$J$5:$J$204,$AQ59)),1)&amp;")"&amp;" "&amp;INDEX('01_予約入力'!$AB$5:$AB$204,$AQ59))</f>
        <v/>
      </c>
      <c r="Q59" s="68" t="n"/>
      <c r="R59" s="68" t="n"/>
      <c r="S59" s="68" t="n"/>
      <c r="T59" s="68" t="n"/>
      <c r="U59" s="68" t="n"/>
      <c r="V59" s="69" t="n"/>
      <c r="W59" s="46">
        <f>IF($AQ59=0,"",IF(INDEX('01_予約入力'!$J$5:$J$204,$AQ59)=INDEX('01_予約入力'!$G$5:$G$204,$AQ59),"日帰り",INDEX('01_予約入力'!$J$5:$J$204,$AQ59)-INDEX('01_予約入力'!$G$5:$G$204,$AQ59)&amp;"泊"))</f>
        <v/>
      </c>
      <c r="X59" s="68" t="n"/>
      <c r="Y59" s="69" t="n"/>
      <c r="Z59" s="46">
        <f>IF($AQ59=0,"",IF(INDEX('01_予約入力'!$N$5:$N$204,$AQ59)="","確定",INDEX('01_予約入力'!$N$5:$N$204,$AQ59)))</f>
        <v/>
      </c>
      <c r="AA59" s="68" t="n"/>
      <c r="AB59" s="69" t="n"/>
      <c r="AC59" s="45">
        <f>IF($AQ59=0,"",INDEX('01_予約入力'!$S$5:$S$204,$AQ59))</f>
        <v/>
      </c>
      <c r="AD59" s="68" t="n"/>
      <c r="AE59" s="68" t="n"/>
      <c r="AF59" s="69" t="n"/>
      <c r="AP59">
        <f>IFERROR(SMALL('01_予約入力'!$Z$5:$Z$204,27),"")</f>
        <v/>
      </c>
      <c r="AQ59">
        <f>IF($AP59="",0,IFERROR(MATCH($AP59,'01_予約入力'!$Z$5:$Z$204,0),0))</f>
        <v/>
      </c>
    </row>
    <row r="60">
      <c r="A60" s="45">
        <f>IF($AQ60=0,"",INDEX('01_予約入力'!$B$5:$B$204,$AQ60))</f>
        <v/>
      </c>
      <c r="B60" s="46">
        <f>IF($AQ60=0,"",IF(INDEX('01_予約入力'!$D$5:$D$204,$AQ60)="","⚠未選択",INDEX('01_予約入力'!$D$5:$D$204,$AQ60)))</f>
        <v/>
      </c>
      <c r="C60" s="68" t="n"/>
      <c r="D60" s="68" t="n"/>
      <c r="E60" s="69" t="n"/>
      <c r="F60" s="46">
        <f>IF($AQ60=0,"",INDEX('01_予約入力'!$C$5:$C$204,$AQ60))</f>
        <v/>
      </c>
      <c r="G60" s="68" t="n"/>
      <c r="H60" s="69" t="n"/>
      <c r="I60" s="45">
        <f>IF($AQ60=0,"",MONTH(INDEX('01_予約入力'!$G$5:$G$204,$AQ60))&amp;"/"&amp;DAY(INDEX('01_予約入力'!$G$5:$G$204,$AQ60))&amp;"("&amp;MID("日月火水木金土",WEEKDAY(INDEX('01_予約入力'!$G$5:$G$204,$AQ60)),1)&amp;")"&amp;" "&amp;INDEX('01_予約入力'!$AA$5:$AA$204,$AQ60))</f>
        <v/>
      </c>
      <c r="J60" s="68" t="n"/>
      <c r="K60" s="68" t="n"/>
      <c r="L60" s="68" t="n"/>
      <c r="M60" s="68" t="n"/>
      <c r="N60" s="68" t="n"/>
      <c r="O60" s="69" t="n"/>
      <c r="P60" s="45">
        <f>IF($AQ60=0,"",MONTH(INDEX('01_予約入力'!$J$5:$J$204,$AQ60))&amp;"/"&amp;DAY(INDEX('01_予約入力'!$J$5:$J$204,$AQ60))&amp;"("&amp;MID("日月火水木金土",WEEKDAY(INDEX('01_予約入力'!$J$5:$J$204,$AQ60)),1)&amp;")"&amp;" "&amp;INDEX('01_予約入力'!$AB$5:$AB$204,$AQ60))</f>
        <v/>
      </c>
      <c r="Q60" s="68" t="n"/>
      <c r="R60" s="68" t="n"/>
      <c r="S60" s="68" t="n"/>
      <c r="T60" s="68" t="n"/>
      <c r="U60" s="68" t="n"/>
      <c r="V60" s="69" t="n"/>
      <c r="W60" s="46">
        <f>IF($AQ60=0,"",IF(INDEX('01_予約入力'!$J$5:$J$204,$AQ60)=INDEX('01_予約入力'!$G$5:$G$204,$AQ60),"日帰り",INDEX('01_予約入力'!$J$5:$J$204,$AQ60)-INDEX('01_予約入力'!$G$5:$G$204,$AQ60)&amp;"泊"))</f>
        <v/>
      </c>
      <c r="X60" s="68" t="n"/>
      <c r="Y60" s="69" t="n"/>
      <c r="Z60" s="46">
        <f>IF($AQ60=0,"",IF(INDEX('01_予約入力'!$N$5:$N$204,$AQ60)="","確定",INDEX('01_予約入力'!$N$5:$N$204,$AQ60)))</f>
        <v/>
      </c>
      <c r="AA60" s="68" t="n"/>
      <c r="AB60" s="69" t="n"/>
      <c r="AC60" s="45">
        <f>IF($AQ60=0,"",INDEX('01_予約入力'!$S$5:$S$204,$AQ60))</f>
        <v/>
      </c>
      <c r="AD60" s="68" t="n"/>
      <c r="AE60" s="68" t="n"/>
      <c r="AF60" s="69" t="n"/>
      <c r="AP60">
        <f>IFERROR(SMALL('01_予約入力'!$Z$5:$Z$204,28),"")</f>
        <v/>
      </c>
      <c r="AQ60">
        <f>IF($AP60="",0,IFERROR(MATCH($AP60,'01_予約入力'!$Z$5:$Z$204,0),0))</f>
        <v/>
      </c>
    </row>
    <row r="61">
      <c r="A61" s="45">
        <f>IF($AQ61=0,"",INDEX('01_予約入力'!$B$5:$B$204,$AQ61))</f>
        <v/>
      </c>
      <c r="B61" s="46">
        <f>IF($AQ61=0,"",IF(INDEX('01_予約入力'!$D$5:$D$204,$AQ61)="","⚠未選択",INDEX('01_予約入力'!$D$5:$D$204,$AQ61)))</f>
        <v/>
      </c>
      <c r="C61" s="68" t="n"/>
      <c r="D61" s="68" t="n"/>
      <c r="E61" s="69" t="n"/>
      <c r="F61" s="46">
        <f>IF($AQ61=0,"",INDEX('01_予約入力'!$C$5:$C$204,$AQ61))</f>
        <v/>
      </c>
      <c r="G61" s="68" t="n"/>
      <c r="H61" s="69" t="n"/>
      <c r="I61" s="45">
        <f>IF($AQ61=0,"",MONTH(INDEX('01_予約入力'!$G$5:$G$204,$AQ61))&amp;"/"&amp;DAY(INDEX('01_予約入力'!$G$5:$G$204,$AQ61))&amp;"("&amp;MID("日月火水木金土",WEEKDAY(INDEX('01_予約入力'!$G$5:$G$204,$AQ61)),1)&amp;")"&amp;" "&amp;INDEX('01_予約入力'!$AA$5:$AA$204,$AQ61))</f>
        <v/>
      </c>
      <c r="J61" s="68" t="n"/>
      <c r="K61" s="68" t="n"/>
      <c r="L61" s="68" t="n"/>
      <c r="M61" s="68" t="n"/>
      <c r="N61" s="68" t="n"/>
      <c r="O61" s="69" t="n"/>
      <c r="P61" s="45">
        <f>IF($AQ61=0,"",MONTH(INDEX('01_予約入力'!$J$5:$J$204,$AQ61))&amp;"/"&amp;DAY(INDEX('01_予約入力'!$J$5:$J$204,$AQ61))&amp;"("&amp;MID("日月火水木金土",WEEKDAY(INDEX('01_予約入力'!$J$5:$J$204,$AQ61)),1)&amp;")"&amp;" "&amp;INDEX('01_予約入力'!$AB$5:$AB$204,$AQ61))</f>
        <v/>
      </c>
      <c r="Q61" s="68" t="n"/>
      <c r="R61" s="68" t="n"/>
      <c r="S61" s="68" t="n"/>
      <c r="T61" s="68" t="n"/>
      <c r="U61" s="68" t="n"/>
      <c r="V61" s="69" t="n"/>
      <c r="W61" s="46">
        <f>IF($AQ61=0,"",IF(INDEX('01_予約入力'!$J$5:$J$204,$AQ61)=INDEX('01_予約入力'!$G$5:$G$204,$AQ61),"日帰り",INDEX('01_予約入力'!$J$5:$J$204,$AQ61)-INDEX('01_予約入力'!$G$5:$G$204,$AQ61)&amp;"泊"))</f>
        <v/>
      </c>
      <c r="X61" s="68" t="n"/>
      <c r="Y61" s="69" t="n"/>
      <c r="Z61" s="46">
        <f>IF($AQ61=0,"",IF(INDEX('01_予約入力'!$N$5:$N$204,$AQ61)="","確定",INDEX('01_予約入力'!$N$5:$N$204,$AQ61)))</f>
        <v/>
      </c>
      <c r="AA61" s="68" t="n"/>
      <c r="AB61" s="69" t="n"/>
      <c r="AC61" s="45">
        <f>IF($AQ61=0,"",INDEX('01_予約入力'!$S$5:$S$204,$AQ61))</f>
        <v/>
      </c>
      <c r="AD61" s="68" t="n"/>
      <c r="AE61" s="68" t="n"/>
      <c r="AF61" s="69" t="n"/>
      <c r="AP61">
        <f>IFERROR(SMALL('01_予約入力'!$Z$5:$Z$204,29),"")</f>
        <v/>
      </c>
      <c r="AQ61">
        <f>IF($AP61="",0,IFERROR(MATCH($AP61,'01_予約入力'!$Z$5:$Z$204,0),0))</f>
        <v/>
      </c>
    </row>
    <row r="62">
      <c r="A62" s="45">
        <f>IF($AQ62=0,"",INDEX('01_予約入力'!$B$5:$B$204,$AQ62))</f>
        <v/>
      </c>
      <c r="B62" s="46">
        <f>IF($AQ62=0,"",IF(INDEX('01_予約入力'!$D$5:$D$204,$AQ62)="","⚠未選択",INDEX('01_予約入力'!$D$5:$D$204,$AQ62)))</f>
        <v/>
      </c>
      <c r="C62" s="68" t="n"/>
      <c r="D62" s="68" t="n"/>
      <c r="E62" s="69" t="n"/>
      <c r="F62" s="46">
        <f>IF($AQ62=0,"",INDEX('01_予約入力'!$C$5:$C$204,$AQ62))</f>
        <v/>
      </c>
      <c r="G62" s="68" t="n"/>
      <c r="H62" s="69" t="n"/>
      <c r="I62" s="45">
        <f>IF($AQ62=0,"",MONTH(INDEX('01_予約入力'!$G$5:$G$204,$AQ62))&amp;"/"&amp;DAY(INDEX('01_予約入力'!$G$5:$G$204,$AQ62))&amp;"("&amp;MID("日月火水木金土",WEEKDAY(INDEX('01_予約入力'!$G$5:$G$204,$AQ62)),1)&amp;")"&amp;" "&amp;INDEX('01_予約入力'!$AA$5:$AA$204,$AQ62))</f>
        <v/>
      </c>
      <c r="J62" s="68" t="n"/>
      <c r="K62" s="68" t="n"/>
      <c r="L62" s="68" t="n"/>
      <c r="M62" s="68" t="n"/>
      <c r="N62" s="68" t="n"/>
      <c r="O62" s="69" t="n"/>
      <c r="P62" s="45">
        <f>IF($AQ62=0,"",MONTH(INDEX('01_予約入力'!$J$5:$J$204,$AQ62))&amp;"/"&amp;DAY(INDEX('01_予約入力'!$J$5:$J$204,$AQ62))&amp;"("&amp;MID("日月火水木金土",WEEKDAY(INDEX('01_予約入力'!$J$5:$J$204,$AQ62)),1)&amp;")"&amp;" "&amp;INDEX('01_予約入力'!$AB$5:$AB$204,$AQ62))</f>
        <v/>
      </c>
      <c r="Q62" s="68" t="n"/>
      <c r="R62" s="68" t="n"/>
      <c r="S62" s="68" t="n"/>
      <c r="T62" s="68" t="n"/>
      <c r="U62" s="68" t="n"/>
      <c r="V62" s="69" t="n"/>
      <c r="W62" s="46">
        <f>IF($AQ62=0,"",IF(INDEX('01_予約入力'!$J$5:$J$204,$AQ62)=INDEX('01_予約入力'!$G$5:$G$204,$AQ62),"日帰り",INDEX('01_予約入力'!$J$5:$J$204,$AQ62)-INDEX('01_予約入力'!$G$5:$G$204,$AQ62)&amp;"泊"))</f>
        <v/>
      </c>
      <c r="X62" s="68" t="n"/>
      <c r="Y62" s="69" t="n"/>
      <c r="Z62" s="46">
        <f>IF($AQ62=0,"",IF(INDEX('01_予約入力'!$N$5:$N$204,$AQ62)="","確定",INDEX('01_予約入力'!$N$5:$N$204,$AQ62)))</f>
        <v/>
      </c>
      <c r="AA62" s="68" t="n"/>
      <c r="AB62" s="69" t="n"/>
      <c r="AC62" s="45">
        <f>IF($AQ62=0,"",INDEX('01_予約入力'!$S$5:$S$204,$AQ62))</f>
        <v/>
      </c>
      <c r="AD62" s="68" t="n"/>
      <c r="AE62" s="68" t="n"/>
      <c r="AF62" s="69" t="n"/>
      <c r="AP62">
        <f>IFERROR(SMALL('01_予約入力'!$Z$5:$Z$204,30),"")</f>
        <v/>
      </c>
      <c r="AQ62">
        <f>IF($AP62="",0,IFERROR(MATCH($AP62,'01_予約入力'!$Z$5:$Z$204,0),0))</f>
        <v/>
      </c>
    </row>
    <row r="63">
      <c r="A63" s="45">
        <f>IF($AQ63=0,"",INDEX('01_予約入力'!$B$5:$B$204,$AQ63))</f>
        <v/>
      </c>
      <c r="B63" s="46">
        <f>IF($AQ63=0,"",IF(INDEX('01_予約入力'!$D$5:$D$204,$AQ63)="","⚠未選択",INDEX('01_予約入力'!$D$5:$D$204,$AQ63)))</f>
        <v/>
      </c>
      <c r="C63" s="68" t="n"/>
      <c r="D63" s="68" t="n"/>
      <c r="E63" s="69" t="n"/>
      <c r="F63" s="46">
        <f>IF($AQ63=0,"",INDEX('01_予約入力'!$C$5:$C$204,$AQ63))</f>
        <v/>
      </c>
      <c r="G63" s="68" t="n"/>
      <c r="H63" s="69" t="n"/>
      <c r="I63" s="45">
        <f>IF($AQ63=0,"",MONTH(INDEX('01_予約入力'!$G$5:$G$204,$AQ63))&amp;"/"&amp;DAY(INDEX('01_予約入力'!$G$5:$G$204,$AQ63))&amp;"("&amp;MID("日月火水木金土",WEEKDAY(INDEX('01_予約入力'!$G$5:$G$204,$AQ63)),1)&amp;")"&amp;" "&amp;INDEX('01_予約入力'!$AA$5:$AA$204,$AQ63))</f>
        <v/>
      </c>
      <c r="J63" s="68" t="n"/>
      <c r="K63" s="68" t="n"/>
      <c r="L63" s="68" t="n"/>
      <c r="M63" s="68" t="n"/>
      <c r="N63" s="68" t="n"/>
      <c r="O63" s="69" t="n"/>
      <c r="P63" s="45">
        <f>IF($AQ63=0,"",MONTH(INDEX('01_予約入力'!$J$5:$J$204,$AQ63))&amp;"/"&amp;DAY(INDEX('01_予約入力'!$J$5:$J$204,$AQ63))&amp;"("&amp;MID("日月火水木金土",WEEKDAY(INDEX('01_予約入力'!$J$5:$J$204,$AQ63)),1)&amp;")"&amp;" "&amp;INDEX('01_予約入力'!$AB$5:$AB$204,$AQ63))</f>
        <v/>
      </c>
      <c r="Q63" s="68" t="n"/>
      <c r="R63" s="68" t="n"/>
      <c r="S63" s="68" t="n"/>
      <c r="T63" s="68" t="n"/>
      <c r="U63" s="68" t="n"/>
      <c r="V63" s="69" t="n"/>
      <c r="W63" s="46">
        <f>IF($AQ63=0,"",IF(INDEX('01_予約入力'!$J$5:$J$204,$AQ63)=INDEX('01_予約入力'!$G$5:$G$204,$AQ63),"日帰り",INDEX('01_予約入力'!$J$5:$J$204,$AQ63)-INDEX('01_予約入力'!$G$5:$G$204,$AQ63)&amp;"泊"))</f>
        <v/>
      </c>
      <c r="X63" s="68" t="n"/>
      <c r="Y63" s="69" t="n"/>
      <c r="Z63" s="46">
        <f>IF($AQ63=0,"",IF(INDEX('01_予約入力'!$N$5:$N$204,$AQ63)="","確定",INDEX('01_予約入力'!$N$5:$N$204,$AQ63)))</f>
        <v/>
      </c>
      <c r="AA63" s="68" t="n"/>
      <c r="AB63" s="69" t="n"/>
      <c r="AC63" s="45">
        <f>IF($AQ63=0,"",INDEX('01_予約入力'!$S$5:$S$204,$AQ63))</f>
        <v/>
      </c>
      <c r="AD63" s="68" t="n"/>
      <c r="AE63" s="68" t="n"/>
      <c r="AF63" s="69" t="n"/>
      <c r="AP63">
        <f>IFERROR(SMALL('01_予約入力'!$Z$5:$Z$204,31),"")</f>
        <v/>
      </c>
      <c r="AQ63">
        <f>IF($AP63="",0,IFERROR(MATCH($AP63,'01_予約入力'!$Z$5:$Z$204,0),0))</f>
        <v/>
      </c>
    </row>
    <row r="64">
      <c r="A64" s="45">
        <f>IF($AQ64=0,"",INDEX('01_予約入力'!$B$5:$B$204,$AQ64))</f>
        <v/>
      </c>
      <c r="B64" s="46">
        <f>IF($AQ64=0,"",IF(INDEX('01_予約入力'!$D$5:$D$204,$AQ64)="","⚠未選択",INDEX('01_予約入力'!$D$5:$D$204,$AQ64)))</f>
        <v/>
      </c>
      <c r="C64" s="68" t="n"/>
      <c r="D64" s="68" t="n"/>
      <c r="E64" s="69" t="n"/>
      <c r="F64" s="46">
        <f>IF($AQ64=0,"",INDEX('01_予約入力'!$C$5:$C$204,$AQ64))</f>
        <v/>
      </c>
      <c r="G64" s="68" t="n"/>
      <c r="H64" s="69" t="n"/>
      <c r="I64" s="45">
        <f>IF($AQ64=0,"",MONTH(INDEX('01_予約入力'!$G$5:$G$204,$AQ64))&amp;"/"&amp;DAY(INDEX('01_予約入力'!$G$5:$G$204,$AQ64))&amp;"("&amp;MID("日月火水木金土",WEEKDAY(INDEX('01_予約入力'!$G$5:$G$204,$AQ64)),1)&amp;")"&amp;" "&amp;INDEX('01_予約入力'!$AA$5:$AA$204,$AQ64))</f>
        <v/>
      </c>
      <c r="J64" s="68" t="n"/>
      <c r="K64" s="68" t="n"/>
      <c r="L64" s="68" t="n"/>
      <c r="M64" s="68" t="n"/>
      <c r="N64" s="68" t="n"/>
      <c r="O64" s="69" t="n"/>
      <c r="P64" s="45">
        <f>IF($AQ64=0,"",MONTH(INDEX('01_予約入力'!$J$5:$J$204,$AQ64))&amp;"/"&amp;DAY(INDEX('01_予約入力'!$J$5:$J$204,$AQ64))&amp;"("&amp;MID("日月火水木金土",WEEKDAY(INDEX('01_予約入力'!$J$5:$J$204,$AQ64)),1)&amp;")"&amp;" "&amp;INDEX('01_予約入力'!$AB$5:$AB$204,$AQ64))</f>
        <v/>
      </c>
      <c r="Q64" s="68" t="n"/>
      <c r="R64" s="68" t="n"/>
      <c r="S64" s="68" t="n"/>
      <c r="T64" s="68" t="n"/>
      <c r="U64" s="68" t="n"/>
      <c r="V64" s="69" t="n"/>
      <c r="W64" s="46">
        <f>IF($AQ64=0,"",IF(INDEX('01_予約入力'!$J$5:$J$204,$AQ64)=INDEX('01_予約入力'!$G$5:$G$204,$AQ64),"日帰り",INDEX('01_予約入力'!$J$5:$J$204,$AQ64)-INDEX('01_予約入力'!$G$5:$G$204,$AQ64)&amp;"泊"))</f>
        <v/>
      </c>
      <c r="X64" s="68" t="n"/>
      <c r="Y64" s="69" t="n"/>
      <c r="Z64" s="46">
        <f>IF($AQ64=0,"",IF(INDEX('01_予約入力'!$N$5:$N$204,$AQ64)="","確定",INDEX('01_予約入力'!$N$5:$N$204,$AQ64)))</f>
        <v/>
      </c>
      <c r="AA64" s="68" t="n"/>
      <c r="AB64" s="69" t="n"/>
      <c r="AC64" s="45">
        <f>IF($AQ64=0,"",INDEX('01_予約入力'!$S$5:$S$204,$AQ64))</f>
        <v/>
      </c>
      <c r="AD64" s="68" t="n"/>
      <c r="AE64" s="68" t="n"/>
      <c r="AF64" s="69" t="n"/>
      <c r="AP64">
        <f>IFERROR(SMALL('01_予約入力'!$Z$5:$Z$204,32),"")</f>
        <v/>
      </c>
      <c r="AQ64">
        <f>IF($AP64="",0,IFERROR(MATCH($AP64,'01_予約入力'!$Z$5:$Z$204,0),0))</f>
        <v/>
      </c>
    </row>
    <row r="65">
      <c r="A65" s="45">
        <f>IF($AQ65=0,"",INDEX('01_予約入力'!$B$5:$B$204,$AQ65))</f>
        <v/>
      </c>
      <c r="B65" s="46">
        <f>IF($AQ65=0,"",IF(INDEX('01_予約入力'!$D$5:$D$204,$AQ65)="","⚠未選択",INDEX('01_予約入力'!$D$5:$D$204,$AQ65)))</f>
        <v/>
      </c>
      <c r="C65" s="68" t="n"/>
      <c r="D65" s="68" t="n"/>
      <c r="E65" s="69" t="n"/>
      <c r="F65" s="46">
        <f>IF($AQ65=0,"",INDEX('01_予約入力'!$C$5:$C$204,$AQ65))</f>
        <v/>
      </c>
      <c r="G65" s="68" t="n"/>
      <c r="H65" s="69" t="n"/>
      <c r="I65" s="45">
        <f>IF($AQ65=0,"",MONTH(INDEX('01_予約入力'!$G$5:$G$204,$AQ65))&amp;"/"&amp;DAY(INDEX('01_予約入力'!$G$5:$G$204,$AQ65))&amp;"("&amp;MID("日月火水木金土",WEEKDAY(INDEX('01_予約入力'!$G$5:$G$204,$AQ65)),1)&amp;")"&amp;" "&amp;INDEX('01_予約入力'!$AA$5:$AA$204,$AQ65))</f>
        <v/>
      </c>
      <c r="J65" s="68" t="n"/>
      <c r="K65" s="68" t="n"/>
      <c r="L65" s="68" t="n"/>
      <c r="M65" s="68" t="n"/>
      <c r="N65" s="68" t="n"/>
      <c r="O65" s="69" t="n"/>
      <c r="P65" s="45">
        <f>IF($AQ65=0,"",MONTH(INDEX('01_予約入力'!$J$5:$J$204,$AQ65))&amp;"/"&amp;DAY(INDEX('01_予約入力'!$J$5:$J$204,$AQ65))&amp;"("&amp;MID("日月火水木金土",WEEKDAY(INDEX('01_予約入力'!$J$5:$J$204,$AQ65)),1)&amp;")"&amp;" "&amp;INDEX('01_予約入力'!$AB$5:$AB$204,$AQ65))</f>
        <v/>
      </c>
      <c r="Q65" s="68" t="n"/>
      <c r="R65" s="68" t="n"/>
      <c r="S65" s="68" t="n"/>
      <c r="T65" s="68" t="n"/>
      <c r="U65" s="68" t="n"/>
      <c r="V65" s="69" t="n"/>
      <c r="W65" s="46">
        <f>IF($AQ65=0,"",IF(INDEX('01_予約入力'!$J$5:$J$204,$AQ65)=INDEX('01_予約入力'!$G$5:$G$204,$AQ65),"日帰り",INDEX('01_予約入力'!$J$5:$J$204,$AQ65)-INDEX('01_予約入力'!$G$5:$G$204,$AQ65)&amp;"泊"))</f>
        <v/>
      </c>
      <c r="X65" s="68" t="n"/>
      <c r="Y65" s="69" t="n"/>
      <c r="Z65" s="46">
        <f>IF($AQ65=0,"",IF(INDEX('01_予約入力'!$N$5:$N$204,$AQ65)="","確定",INDEX('01_予約入力'!$N$5:$N$204,$AQ65)))</f>
        <v/>
      </c>
      <c r="AA65" s="68" t="n"/>
      <c r="AB65" s="69" t="n"/>
      <c r="AC65" s="45">
        <f>IF($AQ65=0,"",INDEX('01_予約入力'!$S$5:$S$204,$AQ65))</f>
        <v/>
      </c>
      <c r="AD65" s="68" t="n"/>
      <c r="AE65" s="68" t="n"/>
      <c r="AF65" s="69" t="n"/>
      <c r="AP65">
        <f>IFERROR(SMALL('01_予約入力'!$Z$5:$Z$204,33),"")</f>
        <v/>
      </c>
      <c r="AQ65">
        <f>IF($AP65="",0,IFERROR(MATCH($AP65,'01_予約入力'!$Z$5:$Z$204,0),0))</f>
        <v/>
      </c>
    </row>
    <row r="66">
      <c r="A66" s="45">
        <f>IF($AQ66=0,"",INDEX('01_予約入力'!$B$5:$B$204,$AQ66))</f>
        <v/>
      </c>
      <c r="B66" s="46">
        <f>IF($AQ66=0,"",IF(INDEX('01_予約入力'!$D$5:$D$204,$AQ66)="","⚠未選択",INDEX('01_予約入力'!$D$5:$D$204,$AQ66)))</f>
        <v/>
      </c>
      <c r="C66" s="68" t="n"/>
      <c r="D66" s="68" t="n"/>
      <c r="E66" s="69" t="n"/>
      <c r="F66" s="46">
        <f>IF($AQ66=0,"",INDEX('01_予約入力'!$C$5:$C$204,$AQ66))</f>
        <v/>
      </c>
      <c r="G66" s="68" t="n"/>
      <c r="H66" s="69" t="n"/>
      <c r="I66" s="45">
        <f>IF($AQ66=0,"",MONTH(INDEX('01_予約入力'!$G$5:$G$204,$AQ66))&amp;"/"&amp;DAY(INDEX('01_予約入力'!$G$5:$G$204,$AQ66))&amp;"("&amp;MID("日月火水木金土",WEEKDAY(INDEX('01_予約入力'!$G$5:$G$204,$AQ66)),1)&amp;")"&amp;" "&amp;INDEX('01_予約入力'!$AA$5:$AA$204,$AQ66))</f>
        <v/>
      </c>
      <c r="J66" s="68" t="n"/>
      <c r="K66" s="68" t="n"/>
      <c r="L66" s="68" t="n"/>
      <c r="M66" s="68" t="n"/>
      <c r="N66" s="68" t="n"/>
      <c r="O66" s="69" t="n"/>
      <c r="P66" s="45">
        <f>IF($AQ66=0,"",MONTH(INDEX('01_予約入力'!$J$5:$J$204,$AQ66))&amp;"/"&amp;DAY(INDEX('01_予約入力'!$J$5:$J$204,$AQ66))&amp;"("&amp;MID("日月火水木金土",WEEKDAY(INDEX('01_予約入力'!$J$5:$J$204,$AQ66)),1)&amp;")"&amp;" "&amp;INDEX('01_予約入力'!$AB$5:$AB$204,$AQ66))</f>
        <v/>
      </c>
      <c r="Q66" s="68" t="n"/>
      <c r="R66" s="68" t="n"/>
      <c r="S66" s="68" t="n"/>
      <c r="T66" s="68" t="n"/>
      <c r="U66" s="68" t="n"/>
      <c r="V66" s="69" t="n"/>
      <c r="W66" s="46">
        <f>IF($AQ66=0,"",IF(INDEX('01_予約入力'!$J$5:$J$204,$AQ66)=INDEX('01_予約入力'!$G$5:$G$204,$AQ66),"日帰り",INDEX('01_予約入力'!$J$5:$J$204,$AQ66)-INDEX('01_予約入力'!$G$5:$G$204,$AQ66)&amp;"泊"))</f>
        <v/>
      </c>
      <c r="X66" s="68" t="n"/>
      <c r="Y66" s="69" t="n"/>
      <c r="Z66" s="46">
        <f>IF($AQ66=0,"",IF(INDEX('01_予約入力'!$N$5:$N$204,$AQ66)="","確定",INDEX('01_予約入力'!$N$5:$N$204,$AQ66)))</f>
        <v/>
      </c>
      <c r="AA66" s="68" t="n"/>
      <c r="AB66" s="69" t="n"/>
      <c r="AC66" s="45">
        <f>IF($AQ66=0,"",INDEX('01_予約入力'!$S$5:$S$204,$AQ66))</f>
        <v/>
      </c>
      <c r="AD66" s="68" t="n"/>
      <c r="AE66" s="68" t="n"/>
      <c r="AF66" s="69" t="n"/>
      <c r="AP66">
        <f>IFERROR(SMALL('01_予約入力'!$Z$5:$Z$204,34),"")</f>
        <v/>
      </c>
      <c r="AQ66">
        <f>IF($AP66="",0,IFERROR(MATCH($AP66,'01_予約入力'!$Z$5:$Z$204,0),0))</f>
        <v/>
      </c>
    </row>
    <row r="67">
      <c r="A67" s="45">
        <f>IF($AQ67=0,"",INDEX('01_予約入力'!$B$5:$B$204,$AQ67))</f>
        <v/>
      </c>
      <c r="B67" s="46">
        <f>IF($AQ67=0,"",IF(INDEX('01_予約入力'!$D$5:$D$204,$AQ67)="","⚠未選択",INDEX('01_予約入力'!$D$5:$D$204,$AQ67)))</f>
        <v/>
      </c>
      <c r="C67" s="68" t="n"/>
      <c r="D67" s="68" t="n"/>
      <c r="E67" s="69" t="n"/>
      <c r="F67" s="46">
        <f>IF($AQ67=0,"",INDEX('01_予約入力'!$C$5:$C$204,$AQ67))</f>
        <v/>
      </c>
      <c r="G67" s="68" t="n"/>
      <c r="H67" s="69" t="n"/>
      <c r="I67" s="45">
        <f>IF($AQ67=0,"",MONTH(INDEX('01_予約入力'!$G$5:$G$204,$AQ67))&amp;"/"&amp;DAY(INDEX('01_予約入力'!$G$5:$G$204,$AQ67))&amp;"("&amp;MID("日月火水木金土",WEEKDAY(INDEX('01_予約入力'!$G$5:$G$204,$AQ67)),1)&amp;")"&amp;" "&amp;INDEX('01_予約入力'!$AA$5:$AA$204,$AQ67))</f>
        <v/>
      </c>
      <c r="J67" s="68" t="n"/>
      <c r="K67" s="68" t="n"/>
      <c r="L67" s="68" t="n"/>
      <c r="M67" s="68" t="n"/>
      <c r="N67" s="68" t="n"/>
      <c r="O67" s="69" t="n"/>
      <c r="P67" s="45">
        <f>IF($AQ67=0,"",MONTH(INDEX('01_予約入力'!$J$5:$J$204,$AQ67))&amp;"/"&amp;DAY(INDEX('01_予約入力'!$J$5:$J$204,$AQ67))&amp;"("&amp;MID("日月火水木金土",WEEKDAY(INDEX('01_予約入力'!$J$5:$J$204,$AQ67)),1)&amp;")"&amp;" "&amp;INDEX('01_予約入力'!$AB$5:$AB$204,$AQ67))</f>
        <v/>
      </c>
      <c r="Q67" s="68" t="n"/>
      <c r="R67" s="68" t="n"/>
      <c r="S67" s="68" t="n"/>
      <c r="T67" s="68" t="n"/>
      <c r="U67" s="68" t="n"/>
      <c r="V67" s="69" t="n"/>
      <c r="W67" s="46">
        <f>IF($AQ67=0,"",IF(INDEX('01_予約入力'!$J$5:$J$204,$AQ67)=INDEX('01_予約入力'!$G$5:$G$204,$AQ67),"日帰り",INDEX('01_予約入力'!$J$5:$J$204,$AQ67)-INDEX('01_予約入力'!$G$5:$G$204,$AQ67)&amp;"泊"))</f>
        <v/>
      </c>
      <c r="X67" s="68" t="n"/>
      <c r="Y67" s="69" t="n"/>
      <c r="Z67" s="46">
        <f>IF($AQ67=0,"",IF(INDEX('01_予約入力'!$N$5:$N$204,$AQ67)="","確定",INDEX('01_予約入力'!$N$5:$N$204,$AQ67)))</f>
        <v/>
      </c>
      <c r="AA67" s="68" t="n"/>
      <c r="AB67" s="69" t="n"/>
      <c r="AC67" s="45">
        <f>IF($AQ67=0,"",INDEX('01_予約入力'!$S$5:$S$204,$AQ67))</f>
        <v/>
      </c>
      <c r="AD67" s="68" t="n"/>
      <c r="AE67" s="68" t="n"/>
      <c r="AF67" s="69" t="n"/>
      <c r="AP67">
        <f>IFERROR(SMALL('01_予約入力'!$Z$5:$Z$204,35),"")</f>
        <v/>
      </c>
      <c r="AQ67">
        <f>IF($AP67="",0,IFERROR(MATCH($AP67,'01_予約入力'!$Z$5:$Z$204,0),0))</f>
        <v/>
      </c>
    </row>
    <row r="68">
      <c r="A68" s="45">
        <f>IF($AQ68=0,"",INDEX('01_予約入力'!$B$5:$B$204,$AQ68))</f>
        <v/>
      </c>
      <c r="B68" s="46">
        <f>IF($AQ68=0,"",IF(INDEX('01_予約入力'!$D$5:$D$204,$AQ68)="","⚠未選択",INDEX('01_予約入力'!$D$5:$D$204,$AQ68)))</f>
        <v/>
      </c>
      <c r="C68" s="68" t="n"/>
      <c r="D68" s="68" t="n"/>
      <c r="E68" s="69" t="n"/>
      <c r="F68" s="46">
        <f>IF($AQ68=0,"",INDEX('01_予約入力'!$C$5:$C$204,$AQ68))</f>
        <v/>
      </c>
      <c r="G68" s="68" t="n"/>
      <c r="H68" s="69" t="n"/>
      <c r="I68" s="45">
        <f>IF($AQ68=0,"",MONTH(INDEX('01_予約入力'!$G$5:$G$204,$AQ68))&amp;"/"&amp;DAY(INDEX('01_予約入力'!$G$5:$G$204,$AQ68))&amp;"("&amp;MID("日月火水木金土",WEEKDAY(INDEX('01_予約入力'!$G$5:$G$204,$AQ68)),1)&amp;")"&amp;" "&amp;INDEX('01_予約入力'!$AA$5:$AA$204,$AQ68))</f>
        <v/>
      </c>
      <c r="J68" s="68" t="n"/>
      <c r="K68" s="68" t="n"/>
      <c r="L68" s="68" t="n"/>
      <c r="M68" s="68" t="n"/>
      <c r="N68" s="68" t="n"/>
      <c r="O68" s="69" t="n"/>
      <c r="P68" s="45">
        <f>IF($AQ68=0,"",MONTH(INDEX('01_予約入力'!$J$5:$J$204,$AQ68))&amp;"/"&amp;DAY(INDEX('01_予約入力'!$J$5:$J$204,$AQ68))&amp;"("&amp;MID("日月火水木金土",WEEKDAY(INDEX('01_予約入力'!$J$5:$J$204,$AQ68)),1)&amp;")"&amp;" "&amp;INDEX('01_予約入力'!$AB$5:$AB$204,$AQ68))</f>
        <v/>
      </c>
      <c r="Q68" s="68" t="n"/>
      <c r="R68" s="68" t="n"/>
      <c r="S68" s="68" t="n"/>
      <c r="T68" s="68" t="n"/>
      <c r="U68" s="68" t="n"/>
      <c r="V68" s="69" t="n"/>
      <c r="W68" s="46">
        <f>IF($AQ68=0,"",IF(INDEX('01_予約入力'!$J$5:$J$204,$AQ68)=INDEX('01_予約入力'!$G$5:$G$204,$AQ68),"日帰り",INDEX('01_予約入力'!$J$5:$J$204,$AQ68)-INDEX('01_予約入力'!$G$5:$G$204,$AQ68)&amp;"泊"))</f>
        <v/>
      </c>
      <c r="X68" s="68" t="n"/>
      <c r="Y68" s="69" t="n"/>
      <c r="Z68" s="46">
        <f>IF($AQ68=0,"",IF(INDEX('01_予約入力'!$N$5:$N$204,$AQ68)="","確定",INDEX('01_予約入力'!$N$5:$N$204,$AQ68)))</f>
        <v/>
      </c>
      <c r="AA68" s="68" t="n"/>
      <c r="AB68" s="69" t="n"/>
      <c r="AC68" s="45">
        <f>IF($AQ68=0,"",INDEX('01_予約入力'!$S$5:$S$204,$AQ68))</f>
        <v/>
      </c>
      <c r="AD68" s="68" t="n"/>
      <c r="AE68" s="68" t="n"/>
      <c r="AF68" s="69" t="n"/>
      <c r="AP68">
        <f>IFERROR(SMALL('01_予約入力'!$Z$5:$Z$204,36),"")</f>
        <v/>
      </c>
      <c r="AQ68">
        <f>IF($AP68="",0,IFERROR(MATCH($AP68,'01_予約入力'!$Z$5:$Z$204,0),0))</f>
        <v/>
      </c>
    </row>
    <row r="69">
      <c r="A69" s="45">
        <f>IF($AQ69=0,"",INDEX('01_予約入力'!$B$5:$B$204,$AQ69))</f>
        <v/>
      </c>
      <c r="B69" s="46">
        <f>IF($AQ69=0,"",IF(INDEX('01_予約入力'!$D$5:$D$204,$AQ69)="","⚠未選択",INDEX('01_予約入力'!$D$5:$D$204,$AQ69)))</f>
        <v/>
      </c>
      <c r="C69" s="68" t="n"/>
      <c r="D69" s="68" t="n"/>
      <c r="E69" s="69" t="n"/>
      <c r="F69" s="46">
        <f>IF($AQ69=0,"",INDEX('01_予約入力'!$C$5:$C$204,$AQ69))</f>
        <v/>
      </c>
      <c r="G69" s="68" t="n"/>
      <c r="H69" s="69" t="n"/>
      <c r="I69" s="45">
        <f>IF($AQ69=0,"",MONTH(INDEX('01_予約入力'!$G$5:$G$204,$AQ69))&amp;"/"&amp;DAY(INDEX('01_予約入力'!$G$5:$G$204,$AQ69))&amp;"("&amp;MID("日月火水木金土",WEEKDAY(INDEX('01_予約入力'!$G$5:$G$204,$AQ69)),1)&amp;")"&amp;" "&amp;INDEX('01_予約入力'!$AA$5:$AA$204,$AQ69))</f>
        <v/>
      </c>
      <c r="J69" s="68" t="n"/>
      <c r="K69" s="68" t="n"/>
      <c r="L69" s="68" t="n"/>
      <c r="M69" s="68" t="n"/>
      <c r="N69" s="68" t="n"/>
      <c r="O69" s="69" t="n"/>
      <c r="P69" s="45">
        <f>IF($AQ69=0,"",MONTH(INDEX('01_予約入力'!$J$5:$J$204,$AQ69))&amp;"/"&amp;DAY(INDEX('01_予約入力'!$J$5:$J$204,$AQ69))&amp;"("&amp;MID("日月火水木金土",WEEKDAY(INDEX('01_予約入力'!$J$5:$J$204,$AQ69)),1)&amp;")"&amp;" "&amp;INDEX('01_予約入力'!$AB$5:$AB$204,$AQ69))</f>
        <v/>
      </c>
      <c r="Q69" s="68" t="n"/>
      <c r="R69" s="68" t="n"/>
      <c r="S69" s="68" t="n"/>
      <c r="T69" s="68" t="n"/>
      <c r="U69" s="68" t="n"/>
      <c r="V69" s="69" t="n"/>
      <c r="W69" s="46">
        <f>IF($AQ69=0,"",IF(INDEX('01_予約入力'!$J$5:$J$204,$AQ69)=INDEX('01_予約入力'!$G$5:$G$204,$AQ69),"日帰り",INDEX('01_予約入力'!$J$5:$J$204,$AQ69)-INDEX('01_予約入力'!$G$5:$G$204,$AQ69)&amp;"泊"))</f>
        <v/>
      </c>
      <c r="X69" s="68" t="n"/>
      <c r="Y69" s="69" t="n"/>
      <c r="Z69" s="46">
        <f>IF($AQ69=0,"",IF(INDEX('01_予約入力'!$N$5:$N$204,$AQ69)="","確定",INDEX('01_予約入力'!$N$5:$N$204,$AQ69)))</f>
        <v/>
      </c>
      <c r="AA69" s="68" t="n"/>
      <c r="AB69" s="69" t="n"/>
      <c r="AC69" s="45">
        <f>IF($AQ69=0,"",INDEX('01_予約入力'!$S$5:$S$204,$AQ69))</f>
        <v/>
      </c>
      <c r="AD69" s="68" t="n"/>
      <c r="AE69" s="68" t="n"/>
      <c r="AF69" s="69" t="n"/>
      <c r="AP69">
        <f>IFERROR(SMALL('01_予約入力'!$Z$5:$Z$204,37),"")</f>
        <v/>
      </c>
      <c r="AQ69">
        <f>IF($AP69="",0,IFERROR(MATCH($AP69,'01_予約入力'!$Z$5:$Z$204,0),0))</f>
        <v/>
      </c>
    </row>
    <row r="70">
      <c r="A70" s="45">
        <f>IF($AQ70=0,"",INDEX('01_予約入力'!$B$5:$B$204,$AQ70))</f>
        <v/>
      </c>
      <c r="B70" s="46">
        <f>IF($AQ70=0,"",IF(INDEX('01_予約入力'!$D$5:$D$204,$AQ70)="","⚠未選択",INDEX('01_予約入力'!$D$5:$D$204,$AQ70)))</f>
        <v/>
      </c>
      <c r="C70" s="68" t="n"/>
      <c r="D70" s="68" t="n"/>
      <c r="E70" s="69" t="n"/>
      <c r="F70" s="46">
        <f>IF($AQ70=0,"",INDEX('01_予約入力'!$C$5:$C$204,$AQ70))</f>
        <v/>
      </c>
      <c r="G70" s="68" t="n"/>
      <c r="H70" s="69" t="n"/>
      <c r="I70" s="45">
        <f>IF($AQ70=0,"",MONTH(INDEX('01_予約入力'!$G$5:$G$204,$AQ70))&amp;"/"&amp;DAY(INDEX('01_予約入力'!$G$5:$G$204,$AQ70))&amp;"("&amp;MID("日月火水木金土",WEEKDAY(INDEX('01_予約入力'!$G$5:$G$204,$AQ70)),1)&amp;")"&amp;" "&amp;INDEX('01_予約入力'!$AA$5:$AA$204,$AQ70))</f>
        <v/>
      </c>
      <c r="J70" s="68" t="n"/>
      <c r="K70" s="68" t="n"/>
      <c r="L70" s="68" t="n"/>
      <c r="M70" s="68" t="n"/>
      <c r="N70" s="68" t="n"/>
      <c r="O70" s="69" t="n"/>
      <c r="P70" s="45">
        <f>IF($AQ70=0,"",MONTH(INDEX('01_予約入力'!$J$5:$J$204,$AQ70))&amp;"/"&amp;DAY(INDEX('01_予約入力'!$J$5:$J$204,$AQ70))&amp;"("&amp;MID("日月火水木金土",WEEKDAY(INDEX('01_予約入力'!$J$5:$J$204,$AQ70)),1)&amp;")"&amp;" "&amp;INDEX('01_予約入力'!$AB$5:$AB$204,$AQ70))</f>
        <v/>
      </c>
      <c r="Q70" s="68" t="n"/>
      <c r="R70" s="68" t="n"/>
      <c r="S70" s="68" t="n"/>
      <c r="T70" s="68" t="n"/>
      <c r="U70" s="68" t="n"/>
      <c r="V70" s="69" t="n"/>
      <c r="W70" s="46">
        <f>IF($AQ70=0,"",IF(INDEX('01_予約入力'!$J$5:$J$204,$AQ70)=INDEX('01_予約入力'!$G$5:$G$204,$AQ70),"日帰り",INDEX('01_予約入力'!$J$5:$J$204,$AQ70)-INDEX('01_予約入力'!$G$5:$G$204,$AQ70)&amp;"泊"))</f>
        <v/>
      </c>
      <c r="X70" s="68" t="n"/>
      <c r="Y70" s="69" t="n"/>
      <c r="Z70" s="46">
        <f>IF($AQ70=0,"",IF(INDEX('01_予約入力'!$N$5:$N$204,$AQ70)="","確定",INDEX('01_予約入力'!$N$5:$N$204,$AQ70)))</f>
        <v/>
      </c>
      <c r="AA70" s="68" t="n"/>
      <c r="AB70" s="69" t="n"/>
      <c r="AC70" s="45">
        <f>IF($AQ70=0,"",INDEX('01_予約入力'!$S$5:$S$204,$AQ70))</f>
        <v/>
      </c>
      <c r="AD70" s="68" t="n"/>
      <c r="AE70" s="68" t="n"/>
      <c r="AF70" s="69" t="n"/>
      <c r="AP70">
        <f>IFERROR(SMALL('01_予約入力'!$Z$5:$Z$204,38),"")</f>
        <v/>
      </c>
      <c r="AQ70">
        <f>IF($AP70="",0,IFERROR(MATCH($AP70,'01_予約入力'!$Z$5:$Z$204,0),0))</f>
        <v/>
      </c>
    </row>
    <row r="71">
      <c r="A71" s="45">
        <f>IF($AQ71=0,"",INDEX('01_予約入力'!$B$5:$B$204,$AQ71))</f>
        <v/>
      </c>
      <c r="B71" s="46">
        <f>IF($AQ71=0,"",IF(INDEX('01_予約入力'!$D$5:$D$204,$AQ71)="","⚠未選択",INDEX('01_予約入力'!$D$5:$D$204,$AQ71)))</f>
        <v/>
      </c>
      <c r="C71" s="68" t="n"/>
      <c r="D71" s="68" t="n"/>
      <c r="E71" s="69" t="n"/>
      <c r="F71" s="46">
        <f>IF($AQ71=0,"",INDEX('01_予約入力'!$C$5:$C$204,$AQ71))</f>
        <v/>
      </c>
      <c r="G71" s="68" t="n"/>
      <c r="H71" s="69" t="n"/>
      <c r="I71" s="45">
        <f>IF($AQ71=0,"",MONTH(INDEX('01_予約入力'!$G$5:$G$204,$AQ71))&amp;"/"&amp;DAY(INDEX('01_予約入力'!$G$5:$G$204,$AQ71))&amp;"("&amp;MID("日月火水木金土",WEEKDAY(INDEX('01_予約入力'!$G$5:$G$204,$AQ71)),1)&amp;")"&amp;" "&amp;INDEX('01_予約入力'!$AA$5:$AA$204,$AQ71))</f>
        <v/>
      </c>
      <c r="J71" s="68" t="n"/>
      <c r="K71" s="68" t="n"/>
      <c r="L71" s="68" t="n"/>
      <c r="M71" s="68" t="n"/>
      <c r="N71" s="68" t="n"/>
      <c r="O71" s="69" t="n"/>
      <c r="P71" s="45">
        <f>IF($AQ71=0,"",MONTH(INDEX('01_予約入力'!$J$5:$J$204,$AQ71))&amp;"/"&amp;DAY(INDEX('01_予約入力'!$J$5:$J$204,$AQ71))&amp;"("&amp;MID("日月火水木金土",WEEKDAY(INDEX('01_予約入力'!$J$5:$J$204,$AQ71)),1)&amp;")"&amp;" "&amp;INDEX('01_予約入力'!$AB$5:$AB$204,$AQ71))</f>
        <v/>
      </c>
      <c r="Q71" s="68" t="n"/>
      <c r="R71" s="68" t="n"/>
      <c r="S71" s="68" t="n"/>
      <c r="T71" s="68" t="n"/>
      <c r="U71" s="68" t="n"/>
      <c r="V71" s="69" t="n"/>
      <c r="W71" s="46">
        <f>IF($AQ71=0,"",IF(INDEX('01_予約入力'!$J$5:$J$204,$AQ71)=INDEX('01_予約入力'!$G$5:$G$204,$AQ71),"日帰り",INDEX('01_予約入力'!$J$5:$J$204,$AQ71)-INDEX('01_予約入力'!$G$5:$G$204,$AQ71)&amp;"泊"))</f>
        <v/>
      </c>
      <c r="X71" s="68" t="n"/>
      <c r="Y71" s="69" t="n"/>
      <c r="Z71" s="46">
        <f>IF($AQ71=0,"",IF(INDEX('01_予約入力'!$N$5:$N$204,$AQ71)="","確定",INDEX('01_予約入力'!$N$5:$N$204,$AQ71)))</f>
        <v/>
      </c>
      <c r="AA71" s="68" t="n"/>
      <c r="AB71" s="69" t="n"/>
      <c r="AC71" s="45">
        <f>IF($AQ71=0,"",INDEX('01_予約入力'!$S$5:$S$204,$AQ71))</f>
        <v/>
      </c>
      <c r="AD71" s="68" t="n"/>
      <c r="AE71" s="68" t="n"/>
      <c r="AF71" s="69" t="n"/>
      <c r="AP71">
        <f>IFERROR(SMALL('01_予約入力'!$Z$5:$Z$204,39),"")</f>
        <v/>
      </c>
      <c r="AQ71">
        <f>IF($AP71="",0,IFERROR(MATCH($AP71,'01_予約入力'!$Z$5:$Z$204,0),0))</f>
        <v/>
      </c>
    </row>
    <row r="72">
      <c r="A72" s="45">
        <f>IF($AQ72=0,"",INDEX('01_予約入力'!$B$5:$B$204,$AQ72))</f>
        <v/>
      </c>
      <c r="B72" s="46">
        <f>IF($AQ72=0,"",IF(INDEX('01_予約入力'!$D$5:$D$204,$AQ72)="","⚠未選択",INDEX('01_予約入力'!$D$5:$D$204,$AQ72)))</f>
        <v/>
      </c>
      <c r="C72" s="68" t="n"/>
      <c r="D72" s="68" t="n"/>
      <c r="E72" s="69" t="n"/>
      <c r="F72" s="46">
        <f>IF($AQ72=0,"",INDEX('01_予約入力'!$C$5:$C$204,$AQ72))</f>
        <v/>
      </c>
      <c r="G72" s="68" t="n"/>
      <c r="H72" s="69" t="n"/>
      <c r="I72" s="45">
        <f>IF($AQ72=0,"",MONTH(INDEX('01_予約入力'!$G$5:$G$204,$AQ72))&amp;"/"&amp;DAY(INDEX('01_予約入力'!$G$5:$G$204,$AQ72))&amp;"("&amp;MID("日月火水木金土",WEEKDAY(INDEX('01_予約入力'!$G$5:$G$204,$AQ72)),1)&amp;")"&amp;" "&amp;INDEX('01_予約入力'!$AA$5:$AA$204,$AQ72))</f>
        <v/>
      </c>
      <c r="J72" s="68" t="n"/>
      <c r="K72" s="68" t="n"/>
      <c r="L72" s="68" t="n"/>
      <c r="M72" s="68" t="n"/>
      <c r="N72" s="68" t="n"/>
      <c r="O72" s="69" t="n"/>
      <c r="P72" s="45">
        <f>IF($AQ72=0,"",MONTH(INDEX('01_予約入力'!$J$5:$J$204,$AQ72))&amp;"/"&amp;DAY(INDEX('01_予約入力'!$J$5:$J$204,$AQ72))&amp;"("&amp;MID("日月火水木金土",WEEKDAY(INDEX('01_予約入力'!$J$5:$J$204,$AQ72)),1)&amp;")"&amp;" "&amp;INDEX('01_予約入力'!$AB$5:$AB$204,$AQ72))</f>
        <v/>
      </c>
      <c r="Q72" s="68" t="n"/>
      <c r="R72" s="68" t="n"/>
      <c r="S72" s="68" t="n"/>
      <c r="T72" s="68" t="n"/>
      <c r="U72" s="68" t="n"/>
      <c r="V72" s="69" t="n"/>
      <c r="W72" s="46">
        <f>IF($AQ72=0,"",IF(INDEX('01_予約入力'!$J$5:$J$204,$AQ72)=INDEX('01_予約入力'!$G$5:$G$204,$AQ72),"日帰り",INDEX('01_予約入力'!$J$5:$J$204,$AQ72)-INDEX('01_予約入力'!$G$5:$G$204,$AQ72)&amp;"泊"))</f>
        <v/>
      </c>
      <c r="X72" s="68" t="n"/>
      <c r="Y72" s="69" t="n"/>
      <c r="Z72" s="46">
        <f>IF($AQ72=0,"",IF(INDEX('01_予約入力'!$N$5:$N$204,$AQ72)="","確定",INDEX('01_予約入力'!$N$5:$N$204,$AQ72)))</f>
        <v/>
      </c>
      <c r="AA72" s="68" t="n"/>
      <c r="AB72" s="69" t="n"/>
      <c r="AC72" s="45">
        <f>IF($AQ72=0,"",INDEX('01_予約入力'!$S$5:$S$204,$AQ72))</f>
        <v/>
      </c>
      <c r="AD72" s="68" t="n"/>
      <c r="AE72" s="68" t="n"/>
      <c r="AF72" s="69" t="n"/>
      <c r="AP72">
        <f>IFERROR(SMALL('01_予約入力'!$Z$5:$Z$204,40),"")</f>
        <v/>
      </c>
      <c r="AQ72">
        <f>IF($AP72="",0,IFERROR(MATCH($AP72,'01_予約入力'!$Z$5:$Z$204,0),0))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289">
    <mergeCell ref="Z43:AB43"/>
    <mergeCell ref="W47:Y47"/>
    <mergeCell ref="I52:O52"/>
    <mergeCell ref="F36:H36"/>
    <mergeCell ref="B65:E65"/>
    <mergeCell ref="F33:H33"/>
    <mergeCell ref="F45:H45"/>
    <mergeCell ref="P47:V47"/>
    <mergeCell ref="B3:F3"/>
    <mergeCell ref="W32:Y32"/>
    <mergeCell ref="I44:O44"/>
    <mergeCell ref="AC59:AF59"/>
    <mergeCell ref="B68:E68"/>
    <mergeCell ref="F66:H66"/>
    <mergeCell ref="P71:V71"/>
    <mergeCell ref="W72:Y72"/>
    <mergeCell ref="B36:E36"/>
    <mergeCell ref="AC51:AF51"/>
    <mergeCell ref="F47:H47"/>
    <mergeCell ref="Z68:AB68"/>
    <mergeCell ref="B45:E45"/>
    <mergeCell ref="P58:V58"/>
    <mergeCell ref="AC61:AF61"/>
    <mergeCell ref="I69:O69"/>
    <mergeCell ref="AC70:AF70"/>
    <mergeCell ref="Z67:AB67"/>
    <mergeCell ref="AC48:AF48"/>
    <mergeCell ref="W71:Y71"/>
    <mergeCell ref="AC45:AF45"/>
    <mergeCell ref="W58:Y58"/>
    <mergeCell ref="B47:E47"/>
    <mergeCell ref="AC32:AF32"/>
    <mergeCell ref="I46:O46"/>
    <mergeCell ref="Z60:AB60"/>
    <mergeCell ref="F39:H39"/>
    <mergeCell ref="F61:H61"/>
    <mergeCell ref="P63:V63"/>
    <mergeCell ref="Z69:AB69"/>
    <mergeCell ref="P50:V50"/>
    <mergeCell ref="AC47:AF47"/>
    <mergeCell ref="AC62:AF62"/>
    <mergeCell ref="W60:Y60"/>
    <mergeCell ref="I61:O61"/>
    <mergeCell ref="Z59:AB59"/>
    <mergeCell ref="I70:O70"/>
    <mergeCell ref="W57:Y57"/>
    <mergeCell ref="P34:V34"/>
    <mergeCell ref="I57:O57"/>
    <mergeCell ref="B39:E39"/>
    <mergeCell ref="Z45:AB45"/>
    <mergeCell ref="P52:V52"/>
    <mergeCell ref="W44:Y44"/>
    <mergeCell ref="W53:Y53"/>
    <mergeCell ref="I32:O32"/>
    <mergeCell ref="I54:O54"/>
    <mergeCell ref="F64:H64"/>
    <mergeCell ref="AC33:AF33"/>
    <mergeCell ref="I41:O41"/>
    <mergeCell ref="P49:V49"/>
    <mergeCell ref="Z55:AB55"/>
    <mergeCell ref="W34:Y34"/>
    <mergeCell ref="F65:H65"/>
    <mergeCell ref="P36:V36"/>
    <mergeCell ref="I72:O72"/>
    <mergeCell ref="W68:Y68"/>
    <mergeCell ref="I56:O56"/>
    <mergeCell ref="B69:E69"/>
    <mergeCell ref="B38:E38"/>
    <mergeCell ref="Z70:AB70"/>
    <mergeCell ref="AC35:AF35"/>
    <mergeCell ref="I43:O43"/>
    <mergeCell ref="W36:Y36"/>
    <mergeCell ref="AC50:AF50"/>
    <mergeCell ref="Z72:AB72"/>
    <mergeCell ref="I33:O33"/>
    <mergeCell ref="F51:H51"/>
    <mergeCell ref="B40:E40"/>
    <mergeCell ref="B49:E49"/>
    <mergeCell ref="P37:V37"/>
    <mergeCell ref="AC60:AF60"/>
    <mergeCell ref="Z62:AB62"/>
    <mergeCell ref="F41:H41"/>
    <mergeCell ref="Z56:AB56"/>
    <mergeCell ref="F35:H35"/>
    <mergeCell ref="F50:H50"/>
    <mergeCell ref="B64:E64"/>
    <mergeCell ref="B33:E33"/>
    <mergeCell ref="I35:O35"/>
    <mergeCell ref="Z71:AB71"/>
    <mergeCell ref="Z58:AB58"/>
    <mergeCell ref="B51:E51"/>
    <mergeCell ref="W62:Y62"/>
    <mergeCell ref="P62:V62"/>
    <mergeCell ref="Z64:AB64"/>
    <mergeCell ref="I50:O50"/>
    <mergeCell ref="B32:E32"/>
    <mergeCell ref="W59:Y59"/>
    <mergeCell ref="Z33:AB33"/>
    <mergeCell ref="I59:O59"/>
    <mergeCell ref="B41:E41"/>
    <mergeCell ref="W46:Y46"/>
    <mergeCell ref="Z42:AB42"/>
    <mergeCell ref="B35:E35"/>
    <mergeCell ref="B50:E50"/>
    <mergeCell ref="Z51:AB51"/>
    <mergeCell ref="AC52:AF52"/>
    <mergeCell ref="I60:O60"/>
    <mergeCell ref="Z48:AB48"/>
    <mergeCell ref="P55:V55"/>
    <mergeCell ref="W61:Y61"/>
    <mergeCell ref="P64:V64"/>
    <mergeCell ref="Z35:AB35"/>
    <mergeCell ref="W70:Y70"/>
    <mergeCell ref="W48:Y48"/>
    <mergeCell ref="Z44:AB44"/>
    <mergeCell ref="P51:V51"/>
    <mergeCell ref="B66:E66"/>
    <mergeCell ref="AC37:AF37"/>
    <mergeCell ref="Z34:AB34"/>
    <mergeCell ref="I45:O45"/>
    <mergeCell ref="W38:Y38"/>
    <mergeCell ref="P41:V41"/>
    <mergeCell ref="F49:H49"/>
    <mergeCell ref="P56:V56"/>
    <mergeCell ref="Z36:AB36"/>
    <mergeCell ref="I47:O47"/>
    <mergeCell ref="W40:Y40"/>
    <mergeCell ref="F69:H69"/>
    <mergeCell ref="W49:Y49"/>
    <mergeCell ref="B67:E67"/>
    <mergeCell ref="B61:E61"/>
    <mergeCell ref="I37:O37"/>
    <mergeCell ref="B53:E53"/>
    <mergeCell ref="AC55:AF55"/>
    <mergeCell ref="W33:Y33"/>
    <mergeCell ref="P67:V67"/>
    <mergeCell ref="AC64:AF64"/>
    <mergeCell ref="W65:Y65"/>
    <mergeCell ref="Z61:AB61"/>
    <mergeCell ref="F40:H40"/>
    <mergeCell ref="B37:E37"/>
    <mergeCell ref="AC54:AF54"/>
    <mergeCell ref="F59:H59"/>
    <mergeCell ref="I62:O62"/>
    <mergeCell ref="F55:H55"/>
    <mergeCell ref="W35:Y35"/>
    <mergeCell ref="AC63:AF63"/>
    <mergeCell ref="P66:V66"/>
    <mergeCell ref="P53:V53"/>
    <mergeCell ref="AC56:AF56"/>
    <mergeCell ref="I64:O64"/>
    <mergeCell ref="F32:H32"/>
    <mergeCell ref="AC65:AF65"/>
    <mergeCell ref="Z47:AB47"/>
    <mergeCell ref="B55:E55"/>
    <mergeCell ref="I51:O51"/>
    <mergeCell ref="W66:Y66"/>
    <mergeCell ref="P68:V68"/>
    <mergeCell ref="AC49:AF49"/>
    <mergeCell ref="I63:O63"/>
    <mergeCell ref="F38:H38"/>
    <mergeCell ref="AC36:AF36"/>
    <mergeCell ref="Z38:AB38"/>
    <mergeCell ref="P45:V45"/>
    <mergeCell ref="F71:H71"/>
    <mergeCell ref="P54:V54"/>
    <mergeCell ref="B54:E54"/>
    <mergeCell ref="I65:O65"/>
    <mergeCell ref="I34:O34"/>
    <mergeCell ref="F43:H43"/>
    <mergeCell ref="F58:H58"/>
    <mergeCell ref="B72:E72"/>
    <mergeCell ref="W52:Y52"/>
    <mergeCell ref="F52:H52"/>
    <mergeCell ref="F67:H67"/>
    <mergeCell ref="P38:V38"/>
    <mergeCell ref="F37:H37"/>
    <mergeCell ref="W39:Y39"/>
    <mergeCell ref="AC66:AF66"/>
    <mergeCell ref="I49:O49"/>
    <mergeCell ref="Z63:AB63"/>
    <mergeCell ref="B56:E56"/>
    <mergeCell ref="P44:V44"/>
    <mergeCell ref="G3:T3"/>
    <mergeCell ref="I36:O36"/>
    <mergeCell ref="F60:H60"/>
    <mergeCell ref="B71:E71"/>
    <mergeCell ref="B43:E43"/>
    <mergeCell ref="B58:E58"/>
    <mergeCell ref="B52:E52"/>
    <mergeCell ref="W37:Y37"/>
    <mergeCell ref="P40:V40"/>
    <mergeCell ref="F57:H57"/>
    <mergeCell ref="AC68:AF68"/>
    <mergeCell ref="Z65:AB65"/>
    <mergeCell ref="P72:V72"/>
    <mergeCell ref="F44:H44"/>
    <mergeCell ref="F53:H53"/>
    <mergeCell ref="B42:E42"/>
    <mergeCell ref="AC53:AF53"/>
    <mergeCell ref="AC58:AF58"/>
    <mergeCell ref="B60:E60"/>
    <mergeCell ref="F63:H63"/>
    <mergeCell ref="F34:H34"/>
    <mergeCell ref="I66:O66"/>
    <mergeCell ref="Z49:AB49"/>
    <mergeCell ref="AC39:AF39"/>
    <mergeCell ref="B57:E57"/>
    <mergeCell ref="I53:O53"/>
    <mergeCell ref="P65:V65"/>
    <mergeCell ref="AC67:AF67"/>
    <mergeCell ref="F68:H68"/>
    <mergeCell ref="B44:E44"/>
    <mergeCell ref="AC69:AF69"/>
    <mergeCell ref="Z57:AB57"/>
    <mergeCell ref="AC38:AF38"/>
    <mergeCell ref="I68:O68"/>
    <mergeCell ref="B34:E34"/>
    <mergeCell ref="Z66:AB66"/>
    <mergeCell ref="I55:O55"/>
    <mergeCell ref="W64:Y64"/>
    <mergeCell ref="Z53:AB53"/>
    <mergeCell ref="AC44:AF44"/>
    <mergeCell ref="W51:Y51"/>
    <mergeCell ref="I67:O67"/>
    <mergeCell ref="Z50:AB50"/>
    <mergeCell ref="I39:O39"/>
    <mergeCell ref="F42:H42"/>
    <mergeCell ref="AC46:AF46"/>
    <mergeCell ref="AC40:AF40"/>
    <mergeCell ref="I48:O48"/>
    <mergeCell ref="W54:Y54"/>
    <mergeCell ref="P57:V57"/>
    <mergeCell ref="W41:Y41"/>
    <mergeCell ref="Z37:AB37"/>
    <mergeCell ref="P43:V43"/>
    <mergeCell ref="W63:Y63"/>
    <mergeCell ref="W50:Y50"/>
    <mergeCell ref="F70:H70"/>
    <mergeCell ref="I38:O38"/>
    <mergeCell ref="Z52:AB52"/>
    <mergeCell ref="F62:H62"/>
    <mergeCell ref="W56:Y56"/>
    <mergeCell ref="P33:V33"/>
    <mergeCell ref="B63:E63"/>
    <mergeCell ref="Z39:AB39"/>
    <mergeCell ref="P42:V42"/>
    <mergeCell ref="W43:Y43"/>
    <mergeCell ref="F72:H72"/>
    <mergeCell ref="F46:H46"/>
    <mergeCell ref="AC41:AF41"/>
    <mergeCell ref="I40:O40"/>
    <mergeCell ref="P35:V35"/>
    <mergeCell ref="B62:E62"/>
    <mergeCell ref="W42:Y42"/>
    <mergeCell ref="F56:H56"/>
    <mergeCell ref="B59:E59"/>
    <mergeCell ref="F48:H48"/>
    <mergeCell ref="B46:E46"/>
    <mergeCell ref="AC57:AF57"/>
    <mergeCell ref="AC71:AF71"/>
    <mergeCell ref="P60:V60"/>
    <mergeCell ref="W67:Y67"/>
    <mergeCell ref="Z46:AB46"/>
    <mergeCell ref="P69:V69"/>
    <mergeCell ref="Z40:AB40"/>
    <mergeCell ref="B70:E70"/>
    <mergeCell ref="B48:E48"/>
    <mergeCell ref="P59:V59"/>
    <mergeCell ref="W69:Y69"/>
    <mergeCell ref="P46:V46"/>
    <mergeCell ref="AC43:AF43"/>
    <mergeCell ref="F54:H54"/>
    <mergeCell ref="I71:O71"/>
    <mergeCell ref="Z54:AB54"/>
    <mergeCell ref="Z32:AB32"/>
    <mergeCell ref="I58:O58"/>
    <mergeCell ref="P61:V61"/>
    <mergeCell ref="P39:V39"/>
    <mergeCell ref="Z41:AB41"/>
    <mergeCell ref="P70:V70"/>
    <mergeCell ref="AC42:AF42"/>
    <mergeCell ref="W45:Y45"/>
    <mergeCell ref="P48:V48"/>
    <mergeCell ref="AC34:AF34"/>
    <mergeCell ref="AC72:AF72"/>
    <mergeCell ref="I42:O42"/>
    <mergeCell ref="W55:Y55"/>
    <mergeCell ref="P32:V32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OR($Z33="仮予約",$Z33="調整中")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  <col hidden="1" width="8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4" t="inlineStr">
        <is>
          <t>対象月</t>
        </is>
      </c>
      <c r="B3" s="16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7" t="inlineStr">
        <is>
          <t>作業1退所</t>
        </is>
      </c>
      <c r="M6" s="47" t="inlineStr">
        <is>
          <t>作業1宿泊</t>
        </is>
      </c>
      <c r="N6" s="47" t="inlineStr">
        <is>
          <t>作業1日帰</t>
        </is>
      </c>
      <c r="O6" s="47" t="inlineStr">
        <is>
          <t>作業2退所</t>
        </is>
      </c>
      <c r="P6" s="47" t="inlineStr">
        <is>
          <t>作業2宿泊</t>
        </is>
      </c>
      <c r="Q6" s="47" t="inlineStr">
        <is>
          <t>作業2日帰</t>
        </is>
      </c>
      <c r="R6" s="47" t="inlineStr">
        <is>
          <t>作業3退所</t>
        </is>
      </c>
      <c r="S6" s="47" t="inlineStr">
        <is>
          <t>作業3宿泊</t>
        </is>
      </c>
      <c r="T6" s="47" t="inlineStr">
        <is>
          <t>作業3日帰</t>
        </is>
      </c>
      <c r="U6" s="47" t="inlineStr">
        <is>
          <t>作業4退所</t>
        </is>
      </c>
      <c r="V6" s="47" t="inlineStr">
        <is>
          <t>作業4宿泊</t>
        </is>
      </c>
      <c r="W6" s="47" t="inlineStr">
        <is>
          <t>作業4日帰</t>
        </is>
      </c>
      <c r="X6" s="47" t="inlineStr">
        <is>
          <t>色1</t>
        </is>
      </c>
      <c r="Y6" s="47" t="inlineStr">
        <is>
          <t>色2</t>
        </is>
      </c>
      <c r="Z6" s="47" t="inlineStr">
        <is>
          <t>色3</t>
        </is>
      </c>
      <c r="AA6" s="47" t="inlineStr">
        <is>
          <t>色4</t>
        </is>
      </c>
      <c r="AB6" s="47" t="inlineStr">
        <is>
          <t>朝自動</t>
        </is>
      </c>
      <c r="AC6" s="47" t="inlineStr">
        <is>
          <t>昼自動</t>
        </is>
      </c>
      <c r="AD6" s="47" t="inlineStr">
        <is>
          <t>夕自動</t>
        </is>
      </c>
      <c r="AE6" s="47" t="inlineStr">
        <is>
          <t>調整行</t>
        </is>
      </c>
      <c r="AF6" s="47" t="inlineStr">
        <is>
          <t>朝確定</t>
        </is>
      </c>
      <c r="AG6" s="47" t="inlineStr">
        <is>
          <t>昼確定</t>
        </is>
      </c>
      <c r="AH6" s="47" t="inlineStr">
        <is>
          <t>夕確定</t>
        </is>
      </c>
      <c r="AI6" s="47" t="inlineStr">
        <is>
          <t>食事表示</t>
        </is>
      </c>
      <c r="AJ6" s="47" t="inlineStr">
        <is>
          <t>調整有無</t>
        </is>
      </c>
    </row>
    <row r="7">
      <c r="A7" s="37">
        <f>IF(MONTH('02_カレンダー'!$B$4+0)&lt;&gt;MONTH('02_カレンダー'!$B$4),"",'02_カレンダー'!$B$4+0)</f>
        <v/>
      </c>
      <c r="B7" s="44">
        <f>IF($A7="","",MID("日月火水木金土",WEEKDAY($A7),1))</f>
        <v/>
      </c>
      <c r="C7" s="48">
        <f>IF(OR($A7="",C$6=""),"",IF($L7=0,"",INDEX('01_予約入力'!$B$5:$B$204,$L7)&amp;" ◀"&amp;IF(('02_カレンダー'!$B$5="○"),INDEX('01_予約入力'!$AB$5:$AB$204,$L7),""))&amp;IF(AND($L7&gt;0,OR($M7&gt;0,$N7&gt;0)),"  ","")&amp;IF($M7=0,"",IF(INDEX('01_予約入力'!$G$5:$G$204,$M7)=$A7,"▶"&amp;IF(('02_カレンダー'!$B$5="○"),INDEX('01_予約入力'!$AA$5:$AA$204,$M7)&amp;" "," "),"")&amp;INDEX('01_予約入力'!$B$5:$B$204,$M7))&amp;IF(AND($M7&gt;0,$N7&gt;0),"  ","")&amp;IF($N7=0,"","◆ "&amp;INDEX('01_予約入力'!$B$5:$B$204,$N7)&amp;IF(('02_カレンダー'!$B$5="○")," "&amp;INDEX('01_予約入力'!$AA$5:$AA$204,$N7)&amp;"-"&amp;INDEX('01_予約入力'!$AB$5:$AB$204,$N7),"")))</f>
        <v/>
      </c>
      <c r="D7" s="48">
        <f>IF(OR($A7="",D$6=""),"",IF($O7=0,"",INDEX('01_予約入力'!$B$5:$B$204,$O7)&amp;" ◀"&amp;IF(('02_カレンダー'!$B$5="○"),INDEX('01_予約入力'!$AB$5:$AB$204,$O7),""))&amp;IF(AND($O7&gt;0,OR($P7&gt;0,$Q7&gt;0)),"  ","")&amp;IF($P7=0,"",IF(INDEX('01_予約入力'!$G$5:$G$204,$P7)=$A7,"▶"&amp;IF(('02_カレンダー'!$B$5="○"),INDEX('01_予約入力'!$AA$5:$AA$204,$P7)&amp;" "," "),"")&amp;INDEX('01_予約入力'!$B$5:$B$204,$P7))&amp;IF(AND($P7&gt;0,$Q7&gt;0),"  ","")&amp;IF($Q7=0,"","◆ "&amp;INDEX('01_予約入力'!$B$5:$B$204,$Q7)&amp;IF(('02_カレンダー'!$B$5="○")," "&amp;INDEX('01_予約入力'!$AA$5:$AA$204,$Q7)&amp;"-"&amp;INDEX('01_予約入力'!$AB$5:$AB$204,$Q7),"")))</f>
        <v/>
      </c>
      <c r="E7" s="48">
        <f>IF(OR($A7="",E$6=""),"",IF($R7=0,"",INDEX('01_予約入力'!$B$5:$B$204,$R7)&amp;" ◀"&amp;IF(('02_カレンダー'!$B$5="○"),INDEX('01_予約入力'!$AB$5:$AB$204,$R7),""))&amp;IF(AND($R7&gt;0,OR($S7&gt;0,$T7&gt;0)),"  ","")&amp;IF($S7=0,"",IF(INDEX('01_予約入力'!$G$5:$G$204,$S7)=$A7,"▶"&amp;IF(('02_カレンダー'!$B$5="○"),INDEX('01_予約入力'!$AA$5:$AA$204,$S7)&amp;" "," "),"")&amp;INDEX('01_予約入力'!$B$5:$B$204,$S7))&amp;IF(AND($S7&gt;0,$T7&gt;0),"  ","")&amp;IF($T7=0,"","◆ "&amp;INDEX('01_予約入力'!$B$5:$B$204,$T7)&amp;IF(('02_カレンダー'!$B$5="○")," "&amp;INDEX('01_予約入力'!$AA$5:$AA$204,$T7)&amp;"-"&amp;INDEX('01_予約入力'!$AB$5:$AB$204,$T7),"")))</f>
        <v/>
      </c>
      <c r="F7" s="48">
        <f>IF(OR($A7="",F$6=""),"",IF($U7=0,"",INDEX('01_予約入力'!$B$5:$B$204,$U7)&amp;" ◀"&amp;IF(('02_カレンダー'!$B$5="○"),INDEX('01_予約入力'!$AB$5:$AB$204,$U7),""))&amp;IF(AND($U7&gt;0,OR($V7&gt;0,$W7&gt;0)),"  ","")&amp;IF($V7=0,"",IF(INDEX('01_予約入力'!$G$5:$G$204,$V7)=$A7,"▶"&amp;IF(('02_カレンダー'!$B$5="○"),INDEX('01_予約入力'!$AA$5:$AA$204,$V7)&amp;" "," "),"")&amp;INDEX('01_予約入力'!$B$5:$B$204,$V7))&amp;IF(AND($V7&gt;0,$W7&gt;0),"  ","")&amp;IF($W7=0,"","◆ "&amp;INDEX('01_予約入力'!$B$5:$B$204,$W7)&amp;IF(('02_カレンダー'!$B$5="○")," "&amp;INDEX('01_予約入力'!$AA$5:$AA$204,$W7)&amp;"-"&amp;INDEX('01_予約入力'!$AB$5:$AB$204,$W7),"")))</f>
        <v/>
      </c>
      <c r="G7" s="44">
        <f>IF($A7="","",SUMPRODUCT(('01_予約入力'!$G$5:$G$204&lt;&gt;"")*('01_予約入力'!$N$5:$N$204&lt;&gt;"キャンセル")*('01_予約入力'!$G$5:$G$204&lt;=$A7)*('01_予約入力'!$J$5:$J$204&gt;$A7)))</f>
        <v/>
      </c>
      <c r="H7" s="44">
        <f>IF($A7="","",'M_施設設定'!$B$6-$G7)</f>
        <v/>
      </c>
      <c r="I7" s="44">
        <f>IF($A7="","",SUMPRODUCT((('01_予約入力'!$N$5:$N$204="仮予約")+('01_予約入力'!$N$5:$N$204="調整中"))*('01_予約入力'!$G$5:$G$204&lt;&gt;"")*('01_予約入力'!$G$5:$G$204&lt;=$A7)*('01_予約入力'!$J$5:$J$204&gt;$A7)))</f>
        <v/>
      </c>
      <c r="J7" s="44">
        <f>IF($A7="","",IF($I7&gt;0,"仮",IF($H7&lt;=0,"×",IF($H7&lt;'M_施設設定'!$B$6,"△","○"))))</f>
        <v/>
      </c>
      <c r="K7" s="44">
        <f>IF($A7="","",SUMPRODUCT(('01_予約入力'!$G$5:$G$204&lt;&gt;"")*('01_予約入力'!$N$5:$N$204&lt;&gt;"キャンセル")*('01_予約入力'!$G$5:$G$204=$A7)*('01_予約入力'!$J$5:$J$204=$A7)))</f>
        <v/>
      </c>
      <c r="L7" s="44">
        <f>IF(OR($A7="",C$6=""),0,SUMPRODUCT(MAX(('01_予約入力'!$D$5:$D$204=C$6)*('01_予約入力'!$N$5:$N$204&lt;&gt;"キャンセル")*('01_予約入力'!$G$5:$G$204&lt;&gt;"")*('01_予約入力'!$J$5:$J$204=$A7)*('01_予約入力'!$G$5:$G$204&lt;$A7)*(ROW('01_予約入力'!$G$5:$G$204)-4))))</f>
        <v/>
      </c>
      <c r="M7" s="44">
        <f>IF(OR($A7="",C$6=""),0,SUMPRODUCT(MAX(('01_予約入力'!$D$5:$D$204=C$6)*('01_予約入力'!$N$5:$N$204&lt;&gt;"キャンセル")*('01_予約入力'!$G$5:$G$204&lt;&gt;"")*('01_予約入力'!$G$5:$G$204&lt;=$A7)*('01_予約入力'!$J$5:$J$204&gt;$A7)*(ROW('01_予約入力'!$G$5:$G$204)-4))))</f>
        <v/>
      </c>
      <c r="N7" s="44">
        <f>IF(OR($A7="",C$6=""),0,SUMPRODUCT(MAX(('01_予約入力'!$D$5:$D$204=C$6)*('01_予約入力'!$N$5:$N$204&lt;&gt;"キャンセル")*('01_予約入力'!$G$5:$G$204&lt;&gt;"")*('01_予約入力'!$G$5:$G$204=$A7)*('01_予約入力'!$J$5:$J$204=$A7)*(ROW('01_予約入力'!$G$5:$G$204)-4))))</f>
        <v/>
      </c>
      <c r="O7" s="44">
        <f>IF(OR($A7="",D$6=""),0,SUMPRODUCT(MAX(('01_予約入力'!$D$5:$D$204=D$6)*('01_予約入力'!$N$5:$N$204&lt;&gt;"キャンセル")*('01_予約入力'!$G$5:$G$204&lt;&gt;"")*('01_予約入力'!$J$5:$J$204=$A7)*('01_予約入力'!$G$5:$G$204&lt;$A7)*(ROW('01_予約入力'!$G$5:$G$204)-4))))</f>
        <v/>
      </c>
      <c r="P7" s="44">
        <f>IF(OR($A7="",D$6=""),0,SUMPRODUCT(MAX(('01_予約入力'!$D$5:$D$204=D$6)*('01_予約入力'!$N$5:$N$204&lt;&gt;"キャンセル")*('01_予約入力'!$G$5:$G$204&lt;&gt;"")*('01_予約入力'!$G$5:$G$204&lt;=$A7)*('01_予約入力'!$J$5:$J$204&gt;$A7)*(ROW('01_予約入力'!$G$5:$G$204)-4))))</f>
        <v/>
      </c>
      <c r="Q7" s="44">
        <f>IF(OR($A7="",D$6=""),0,SUMPRODUCT(MAX(('01_予約入力'!$D$5:$D$204=D$6)*('01_予約入力'!$N$5:$N$204&lt;&gt;"キャンセル")*('01_予約入力'!$G$5:$G$204&lt;&gt;"")*('01_予約入力'!$G$5:$G$204=$A7)*('01_予約入力'!$J$5:$J$204=$A7)*(ROW('01_予約入力'!$G$5:$G$204)-4))))</f>
        <v/>
      </c>
      <c r="R7" s="44">
        <f>IF(OR($A7="",E$6=""),0,SUMPRODUCT(MAX(('01_予約入力'!$D$5:$D$204=E$6)*('01_予約入力'!$N$5:$N$204&lt;&gt;"キャンセル")*('01_予約入力'!$G$5:$G$204&lt;&gt;"")*('01_予約入力'!$J$5:$J$204=$A7)*('01_予約入力'!$G$5:$G$204&lt;$A7)*(ROW('01_予約入力'!$G$5:$G$204)-4))))</f>
        <v/>
      </c>
      <c r="S7" s="44">
        <f>IF(OR($A7="",E$6=""),0,SUMPRODUCT(MAX(('01_予約入力'!$D$5:$D$204=E$6)*('01_予約入力'!$N$5:$N$204&lt;&gt;"キャンセル")*('01_予約入力'!$G$5:$G$204&lt;&gt;"")*('01_予約入力'!$G$5:$G$204&lt;=$A7)*('01_予約入力'!$J$5:$J$204&gt;$A7)*(ROW('01_予約入力'!$G$5:$G$204)-4))))</f>
        <v/>
      </c>
      <c r="T7" s="44">
        <f>IF(OR($A7="",E$6=""),0,SUMPRODUCT(MAX(('01_予約入力'!$D$5:$D$204=E$6)*('01_予約入力'!$N$5:$N$204&lt;&gt;"キャンセル")*('01_予約入力'!$G$5:$G$204&lt;&gt;"")*('01_予約入力'!$G$5:$G$204=$A7)*('01_予約入力'!$J$5:$J$204=$A7)*(ROW('01_予約入力'!$G$5:$G$204)-4))))</f>
        <v/>
      </c>
      <c r="U7" s="44">
        <f>IF(OR($A7="",F$6=""),0,SUMPRODUCT(MAX(('01_予約入力'!$D$5:$D$204=F$6)*('01_予約入力'!$N$5:$N$204&lt;&gt;"キャンセル")*('01_予約入力'!$G$5:$G$204&lt;&gt;"")*('01_予約入力'!$J$5:$J$204=$A7)*('01_予約入力'!$G$5:$G$204&lt;$A7)*(ROW('01_予約入力'!$G$5:$G$204)-4))))</f>
        <v/>
      </c>
      <c r="V7" s="44">
        <f>IF(OR($A7="",F$6=""),0,SUMPRODUCT(MAX(('01_予約入力'!$D$5:$D$204=F$6)*('01_予約入力'!$N$5:$N$204&lt;&gt;"キャンセル")*('01_予約入力'!$G$5:$G$204&lt;&gt;"")*('01_予約入力'!$G$5:$G$204&lt;=$A7)*('01_予約入力'!$J$5:$J$204&gt;$A7)*(ROW('01_予約入力'!$G$5:$G$204)-4))))</f>
        <v/>
      </c>
      <c r="W7" s="44">
        <f>IF(OR($A7="",F$6=""),0,SUMPRODUCT(MAX(('01_予約入力'!$D$5:$D$204=F$6)*('01_予約入力'!$N$5:$N$204&lt;&gt;"キャンセル")*('01_予約入力'!$G$5:$G$204&lt;&gt;"")*('01_予約入力'!$G$5:$G$204=$A7)*('01_予約入力'!$J$5:$J$204=$A7)*(ROW('01_予約入力'!$G$5:$G$204)-4))))</f>
        <v/>
      </c>
      <c r="X7" s="44">
        <f>IF($A7="","",IF($M7&gt;0,IF(OR(INDEX('01_予約入力'!$N$5:$N$204,$M7)="仮予約",INDEX('01_予約入力'!$N$5:$N$204,$M7)="調整中"),"仮",INDEX('01_予約入力'!$C$5:$C$204,$M7)),IF($N7&gt;0,IF(OR(INDEX('01_予約入力'!$N$5:$N$204,$N7)="仮予約",INDEX('01_予約入力'!$N$5:$N$204,$N7)="調整中"),"仮",INDEX('01_予約入力'!$C$5:$C$204,$N7)),IF($L7&gt;0,IF(OR(INDEX('01_予約入力'!$N$5:$N$204,$L7)="仮予約",INDEX('01_予約入力'!$N$5:$N$204,$L7)="調整中"),"仮",INDEX('01_予約入力'!$C$5:$C$204,$L7)),""))))</f>
        <v/>
      </c>
      <c r="Y7" s="44">
        <f>IF($A7="","",IF($P7&gt;0,IF(OR(INDEX('01_予約入力'!$N$5:$N$204,$P7)="仮予約",INDEX('01_予約入力'!$N$5:$N$204,$P7)="調整中"),"仮",INDEX('01_予約入力'!$C$5:$C$204,$P7)),IF($Q7&gt;0,IF(OR(INDEX('01_予約入力'!$N$5:$N$204,$Q7)="仮予約",INDEX('01_予約入力'!$N$5:$N$204,$Q7)="調整中"),"仮",INDEX('01_予約入力'!$C$5:$C$204,$Q7)),IF($O7&gt;0,IF(OR(INDEX('01_予約入力'!$N$5:$N$204,$O7)="仮予約",INDEX('01_予約入力'!$N$5:$N$204,$O7)="調整中"),"仮",INDEX('01_予約入力'!$C$5:$C$204,$O7)),""))))</f>
        <v/>
      </c>
      <c r="Z7" s="44">
        <f>IF($A7="","",IF($S7&gt;0,IF(OR(INDEX('01_予約入力'!$N$5:$N$204,$S7)="仮予約",INDEX('01_予約入力'!$N$5:$N$204,$S7)="調整中"),"仮",INDEX('01_予約入力'!$C$5:$C$204,$S7)),IF($T7&gt;0,IF(OR(INDEX('01_予約入力'!$N$5:$N$204,$T7)="仮予約",INDEX('01_予約入力'!$N$5:$N$204,$T7)="調整中"),"仮",INDEX('01_予約入力'!$C$5:$C$204,$T7)),IF($R7&gt;0,IF(OR(INDEX('01_予約入力'!$N$5:$N$204,$R7)="仮予約",INDEX('01_予約入力'!$N$5:$N$204,$R7)="調整中"),"仮",INDEX('01_予約入力'!$C$5:$C$204,$R7)),""))))</f>
        <v/>
      </c>
      <c r="AA7" s="44">
        <f>IF($A7="","",IF($V7&gt;0,IF(OR(INDEX('01_予約入力'!$N$5:$N$204,$V7)="仮予約",INDEX('01_予約入力'!$N$5:$N$204,$V7)="調整中"),"仮",INDEX('01_予約入力'!$C$5:$C$204,$V7)),IF($W7&gt;0,IF(OR(INDEX('01_予約入力'!$N$5:$N$204,$W7)="仮予約",INDEX('01_予約入力'!$N$5:$N$204,$W7)="調整中"),"仮",INDEX('01_予約入力'!$C$5:$C$204,$W7)),IF($U7&gt;0,IF(OR(INDEX('01_予約入力'!$N$5:$N$204,$U7)="仮予約",INDEX('01_予約入力'!$N$5:$N$204,$U7)="調整中"),"仮",INDEX('01_予約入力'!$C$5:$C$204,$U7)),""))))</f>
        <v/>
      </c>
      <c r="AB7" s="44">
        <f>IF($A7="",0,SUMPRODUCT(('01_予約入力'!$G$5:$G$204&lt;&gt;"")*('01_予約入力'!$N$5:$N$204&lt;&gt;"キャンセル")*('01_予約入力'!$G$5:$G$204&lt;$A7)*('01_予約入力'!$J$5:$J$204&gt;=$A7)))</f>
        <v/>
      </c>
      <c r="AC7" s="44">
        <f>IF($A7="",0,SUMPRODUCT(('01_予約入力'!$G$5:$G$204&lt;&gt;"")*('01_予約入力'!$N$5:$N$204&lt;&gt;"キャンセル")*((('01_予約入力'!$G$5:$G$204&lt;$A7)*('01_予約入力'!$J$5:$J$204&gt;$A7))+(('01_予約入力'!$G$5:$G$204=$A7)*('01_予約入力'!$J$5:$J$204=$A7)))))</f>
        <v/>
      </c>
      <c r="AD7" s="44">
        <f>IF($A7="",0,SUMPRODUCT(('01_予約入力'!$G$5:$G$204&lt;&gt;"")*('01_予約入力'!$N$5:$N$204&lt;&gt;"キャンセル")*('01_予約入力'!$G$5:$G$204&lt;=$A7)*('01_予約入力'!$J$5:$J$204&gt;$A7)))</f>
        <v/>
      </c>
      <c r="AE7" s="44">
        <f>IF($A7="",0,IFERROR(MATCH($A7,'02_カレンダー'!$B$59:$B$78,0),0))</f>
        <v/>
      </c>
      <c r="AF7" s="44">
        <f>IF($A7="",0,IF($AE7=0,$AB7,IF(INDEX('02_カレンダー'!$C$59:$C$78,$AE7)="",$AB7,INDEX('02_カレンダー'!$C$59:$C$78,$AE7))))</f>
        <v/>
      </c>
      <c r="AG7" s="44">
        <f>IF($A7="",0,IF($AE7=0,$AC7,IF(INDEX('02_カレンダー'!$D$59:$D$78,$AE7)="",$AC7,INDEX('02_カレンダー'!$D$59:$D$78,$AE7))))</f>
        <v/>
      </c>
      <c r="AH7" s="44">
        <f>IF($A7="",0,IF($AE7=0,$AD7,IF(INDEX('02_カレンダー'!$E$59:$E$78,$AE7)="",$AD7,INDEX('02_カレンダー'!$E$59:$E$78,$AE7))))</f>
        <v/>
      </c>
      <c r="AI7" s="44">
        <f>IF($A7="","",IF(AND($AF7=0,$AG7=0,$AH7=0),"","朝"&amp;$AF7&amp;" 昼"&amp;$AG7&amp;" 夕"&amp;$AH7&amp;IF($AJ7=0,"","　※調整")))</f>
        <v/>
      </c>
      <c r="AJ7" s="44">
        <f>IF(OR($A7="",$AE7=0),0,IF(OR(INDEX('02_カレンダー'!$C$59:$C$78,$AE7)&lt;&gt;"",INDEX('02_カレンダー'!$D$59:$D$78,$AE7)&lt;&gt;"",INDEX('02_カレンダー'!$E$59:$E$78,$AE7)&lt;&gt;""),1,0))</f>
        <v/>
      </c>
    </row>
    <row r="8">
      <c r="A8" s="37">
        <f>IF(MONTH('02_カレンダー'!$B$4+1)&lt;&gt;MONTH('02_カレンダー'!$B$4),"",'02_カレンダー'!$B$4+1)</f>
        <v/>
      </c>
      <c r="B8" s="44">
        <f>IF($A8="","",MID("日月火水木金土",WEEKDAY($A8),1))</f>
        <v/>
      </c>
      <c r="C8" s="48">
        <f>IF(OR($A8="",C$6=""),"",IF($L8=0,"",INDEX('01_予約入力'!$B$5:$B$204,$L8)&amp;" ◀"&amp;IF(('02_カレンダー'!$B$5="○"),INDEX('01_予約入力'!$AB$5:$AB$204,$L8),""))&amp;IF(AND($L8&gt;0,OR($M8&gt;0,$N8&gt;0)),"  ","")&amp;IF($M8=0,"",IF(INDEX('01_予約入力'!$G$5:$G$204,$M8)=$A8,"▶"&amp;IF(('02_カレンダー'!$B$5="○"),INDEX('01_予約入力'!$AA$5:$AA$204,$M8)&amp;" "," "),"")&amp;INDEX('01_予約入力'!$B$5:$B$204,$M8))&amp;IF(AND($M8&gt;0,$N8&gt;0),"  ","")&amp;IF($N8=0,"","◆ "&amp;INDEX('01_予約入力'!$B$5:$B$204,$N8)&amp;IF(('02_カレンダー'!$B$5="○")," "&amp;INDEX('01_予約入力'!$AA$5:$AA$204,$N8)&amp;"-"&amp;INDEX('01_予約入力'!$AB$5:$AB$204,$N8),"")))</f>
        <v/>
      </c>
      <c r="D8" s="48">
        <f>IF(OR($A8="",D$6=""),"",IF($O8=0,"",INDEX('01_予約入力'!$B$5:$B$204,$O8)&amp;" ◀"&amp;IF(('02_カレンダー'!$B$5="○"),INDEX('01_予約入力'!$AB$5:$AB$204,$O8),""))&amp;IF(AND($O8&gt;0,OR($P8&gt;0,$Q8&gt;0)),"  ","")&amp;IF($P8=0,"",IF(INDEX('01_予約入力'!$G$5:$G$204,$P8)=$A8,"▶"&amp;IF(('02_カレンダー'!$B$5="○"),INDEX('01_予約入力'!$AA$5:$AA$204,$P8)&amp;" "," "),"")&amp;INDEX('01_予約入力'!$B$5:$B$204,$P8))&amp;IF(AND($P8&gt;0,$Q8&gt;0),"  ","")&amp;IF($Q8=0,"","◆ "&amp;INDEX('01_予約入力'!$B$5:$B$204,$Q8)&amp;IF(('02_カレンダー'!$B$5="○")," "&amp;INDEX('01_予約入力'!$AA$5:$AA$204,$Q8)&amp;"-"&amp;INDEX('01_予約入力'!$AB$5:$AB$204,$Q8),"")))</f>
        <v/>
      </c>
      <c r="E8" s="48">
        <f>IF(OR($A8="",E$6=""),"",IF($R8=0,"",INDEX('01_予約入力'!$B$5:$B$204,$R8)&amp;" ◀"&amp;IF(('02_カレンダー'!$B$5="○"),INDEX('01_予約入力'!$AB$5:$AB$204,$R8),""))&amp;IF(AND($R8&gt;0,OR($S8&gt;0,$T8&gt;0)),"  ","")&amp;IF($S8=0,"",IF(INDEX('01_予約入力'!$G$5:$G$204,$S8)=$A8,"▶"&amp;IF(('02_カレンダー'!$B$5="○"),INDEX('01_予約入力'!$AA$5:$AA$204,$S8)&amp;" "," "),"")&amp;INDEX('01_予約入力'!$B$5:$B$204,$S8))&amp;IF(AND($S8&gt;0,$T8&gt;0),"  ","")&amp;IF($T8=0,"","◆ "&amp;INDEX('01_予約入力'!$B$5:$B$204,$T8)&amp;IF(('02_カレンダー'!$B$5="○")," "&amp;INDEX('01_予約入力'!$AA$5:$AA$204,$T8)&amp;"-"&amp;INDEX('01_予約入力'!$AB$5:$AB$204,$T8),"")))</f>
        <v/>
      </c>
      <c r="F8" s="48">
        <f>IF(OR($A8="",F$6=""),"",IF($U8=0,"",INDEX('01_予約入力'!$B$5:$B$204,$U8)&amp;" ◀"&amp;IF(('02_カレンダー'!$B$5="○"),INDEX('01_予約入力'!$AB$5:$AB$204,$U8),""))&amp;IF(AND($U8&gt;0,OR($V8&gt;0,$W8&gt;0)),"  ","")&amp;IF($V8=0,"",IF(INDEX('01_予約入力'!$G$5:$G$204,$V8)=$A8,"▶"&amp;IF(('02_カレンダー'!$B$5="○"),INDEX('01_予約入力'!$AA$5:$AA$204,$V8)&amp;" "," "),"")&amp;INDEX('01_予約入力'!$B$5:$B$204,$V8))&amp;IF(AND($V8&gt;0,$W8&gt;0),"  ","")&amp;IF($W8=0,"","◆ "&amp;INDEX('01_予約入力'!$B$5:$B$204,$W8)&amp;IF(('02_カレンダー'!$B$5="○")," "&amp;INDEX('01_予約入力'!$AA$5:$AA$204,$W8)&amp;"-"&amp;INDEX('01_予約入力'!$AB$5:$AB$204,$W8),"")))</f>
        <v/>
      </c>
      <c r="G8" s="44">
        <f>IF($A8="","",SUMPRODUCT(('01_予約入力'!$G$5:$G$204&lt;&gt;"")*('01_予約入力'!$N$5:$N$204&lt;&gt;"キャンセル")*('01_予約入力'!$G$5:$G$204&lt;=$A8)*('01_予約入力'!$J$5:$J$204&gt;$A8)))</f>
        <v/>
      </c>
      <c r="H8" s="44">
        <f>IF($A8="","",'M_施設設定'!$B$6-$G8)</f>
        <v/>
      </c>
      <c r="I8" s="44">
        <f>IF($A8="","",SUMPRODUCT((('01_予約入力'!$N$5:$N$204="仮予約")+('01_予約入力'!$N$5:$N$204="調整中"))*('01_予約入力'!$G$5:$G$204&lt;&gt;"")*('01_予約入力'!$G$5:$G$204&lt;=$A8)*('01_予約入力'!$J$5:$J$204&gt;$A8)))</f>
        <v/>
      </c>
      <c r="J8" s="44">
        <f>IF($A8="","",IF($I8&gt;0,"仮",IF($H8&lt;=0,"×",IF($H8&lt;'M_施設設定'!$B$6,"△","○"))))</f>
        <v/>
      </c>
      <c r="K8" s="44">
        <f>IF($A8="","",SUMPRODUCT(('01_予約入力'!$G$5:$G$204&lt;&gt;"")*('01_予約入力'!$N$5:$N$204&lt;&gt;"キャンセル")*('01_予約入力'!$G$5:$G$204=$A8)*('01_予約入力'!$J$5:$J$204=$A8)))</f>
        <v/>
      </c>
      <c r="L8" s="44">
        <f>IF(OR($A8="",C$6=""),0,SUMPRODUCT(MAX(('01_予約入力'!$D$5:$D$204=C$6)*('01_予約入力'!$N$5:$N$204&lt;&gt;"キャンセル")*('01_予約入力'!$G$5:$G$204&lt;&gt;"")*('01_予約入力'!$J$5:$J$204=$A8)*('01_予約入力'!$G$5:$G$204&lt;$A8)*(ROW('01_予約入力'!$G$5:$G$204)-4))))</f>
        <v/>
      </c>
      <c r="M8" s="44">
        <f>IF(OR($A8="",C$6=""),0,SUMPRODUCT(MAX(('01_予約入力'!$D$5:$D$204=C$6)*('01_予約入力'!$N$5:$N$204&lt;&gt;"キャンセル")*('01_予約入力'!$G$5:$G$204&lt;&gt;"")*('01_予約入力'!$G$5:$G$204&lt;=$A8)*('01_予約入力'!$J$5:$J$204&gt;$A8)*(ROW('01_予約入力'!$G$5:$G$204)-4))))</f>
        <v/>
      </c>
      <c r="N8" s="44">
        <f>IF(OR($A8="",C$6=""),0,SUMPRODUCT(MAX(('01_予約入力'!$D$5:$D$204=C$6)*('01_予約入力'!$N$5:$N$204&lt;&gt;"キャンセル")*('01_予約入力'!$G$5:$G$204&lt;&gt;"")*('01_予約入力'!$G$5:$G$204=$A8)*('01_予約入力'!$J$5:$J$204=$A8)*(ROW('01_予約入力'!$G$5:$G$204)-4))))</f>
        <v/>
      </c>
      <c r="O8" s="44">
        <f>IF(OR($A8="",D$6=""),0,SUMPRODUCT(MAX(('01_予約入力'!$D$5:$D$204=D$6)*('01_予約入力'!$N$5:$N$204&lt;&gt;"キャンセル")*('01_予約入力'!$G$5:$G$204&lt;&gt;"")*('01_予約入力'!$J$5:$J$204=$A8)*('01_予約入力'!$G$5:$G$204&lt;$A8)*(ROW('01_予約入力'!$G$5:$G$204)-4))))</f>
        <v/>
      </c>
      <c r="P8" s="44">
        <f>IF(OR($A8="",D$6=""),0,SUMPRODUCT(MAX(('01_予約入力'!$D$5:$D$204=D$6)*('01_予約入力'!$N$5:$N$204&lt;&gt;"キャンセル")*('01_予約入力'!$G$5:$G$204&lt;&gt;"")*('01_予約入力'!$G$5:$G$204&lt;=$A8)*('01_予約入力'!$J$5:$J$204&gt;$A8)*(ROW('01_予約入力'!$G$5:$G$204)-4))))</f>
        <v/>
      </c>
      <c r="Q8" s="44">
        <f>IF(OR($A8="",D$6=""),0,SUMPRODUCT(MAX(('01_予約入力'!$D$5:$D$204=D$6)*('01_予約入力'!$N$5:$N$204&lt;&gt;"キャンセル")*('01_予約入力'!$G$5:$G$204&lt;&gt;"")*('01_予約入力'!$G$5:$G$204=$A8)*('01_予約入力'!$J$5:$J$204=$A8)*(ROW('01_予約入力'!$G$5:$G$204)-4))))</f>
        <v/>
      </c>
      <c r="R8" s="44">
        <f>IF(OR($A8="",E$6=""),0,SUMPRODUCT(MAX(('01_予約入力'!$D$5:$D$204=E$6)*('01_予約入力'!$N$5:$N$204&lt;&gt;"キャンセル")*('01_予約入力'!$G$5:$G$204&lt;&gt;"")*('01_予約入力'!$J$5:$J$204=$A8)*('01_予約入力'!$G$5:$G$204&lt;$A8)*(ROW('01_予約入力'!$G$5:$G$204)-4))))</f>
        <v/>
      </c>
      <c r="S8" s="44">
        <f>IF(OR($A8="",E$6=""),0,SUMPRODUCT(MAX(('01_予約入力'!$D$5:$D$204=E$6)*('01_予約入力'!$N$5:$N$204&lt;&gt;"キャンセル")*('01_予約入力'!$G$5:$G$204&lt;&gt;"")*('01_予約入力'!$G$5:$G$204&lt;=$A8)*('01_予約入力'!$J$5:$J$204&gt;$A8)*(ROW('01_予約入力'!$G$5:$G$204)-4))))</f>
        <v/>
      </c>
      <c r="T8" s="44">
        <f>IF(OR($A8="",E$6=""),0,SUMPRODUCT(MAX(('01_予約入力'!$D$5:$D$204=E$6)*('01_予約入力'!$N$5:$N$204&lt;&gt;"キャンセル")*('01_予約入力'!$G$5:$G$204&lt;&gt;"")*('01_予約入力'!$G$5:$G$204=$A8)*('01_予約入力'!$J$5:$J$204=$A8)*(ROW('01_予約入力'!$G$5:$G$204)-4))))</f>
        <v/>
      </c>
      <c r="U8" s="44">
        <f>IF(OR($A8="",F$6=""),0,SUMPRODUCT(MAX(('01_予約入力'!$D$5:$D$204=F$6)*('01_予約入力'!$N$5:$N$204&lt;&gt;"キャンセル")*('01_予約入力'!$G$5:$G$204&lt;&gt;"")*('01_予約入力'!$J$5:$J$204=$A8)*('01_予約入力'!$G$5:$G$204&lt;$A8)*(ROW('01_予約入力'!$G$5:$G$204)-4))))</f>
        <v/>
      </c>
      <c r="V8" s="44">
        <f>IF(OR($A8="",F$6=""),0,SUMPRODUCT(MAX(('01_予約入力'!$D$5:$D$204=F$6)*('01_予約入力'!$N$5:$N$204&lt;&gt;"キャンセル")*('01_予約入力'!$G$5:$G$204&lt;&gt;"")*('01_予約入力'!$G$5:$G$204&lt;=$A8)*('01_予約入力'!$J$5:$J$204&gt;$A8)*(ROW('01_予約入力'!$G$5:$G$204)-4))))</f>
        <v/>
      </c>
      <c r="W8" s="44">
        <f>IF(OR($A8="",F$6=""),0,SUMPRODUCT(MAX(('01_予約入力'!$D$5:$D$204=F$6)*('01_予約入力'!$N$5:$N$204&lt;&gt;"キャンセル")*('01_予約入力'!$G$5:$G$204&lt;&gt;"")*('01_予約入力'!$G$5:$G$204=$A8)*('01_予約入力'!$J$5:$J$204=$A8)*(ROW('01_予約入力'!$G$5:$G$204)-4))))</f>
        <v/>
      </c>
      <c r="X8" s="44">
        <f>IF($A8="","",IF($M8&gt;0,IF(OR(INDEX('01_予約入力'!$N$5:$N$204,$M8)="仮予約",INDEX('01_予約入力'!$N$5:$N$204,$M8)="調整中"),"仮",INDEX('01_予約入力'!$C$5:$C$204,$M8)),IF($N8&gt;0,IF(OR(INDEX('01_予約入力'!$N$5:$N$204,$N8)="仮予約",INDEX('01_予約入力'!$N$5:$N$204,$N8)="調整中"),"仮",INDEX('01_予約入力'!$C$5:$C$204,$N8)),IF($L8&gt;0,IF(OR(INDEX('01_予約入力'!$N$5:$N$204,$L8)="仮予約",INDEX('01_予約入力'!$N$5:$N$204,$L8)="調整中"),"仮",INDEX('01_予約入力'!$C$5:$C$204,$L8)),""))))</f>
        <v/>
      </c>
      <c r="Y8" s="44">
        <f>IF($A8="","",IF($P8&gt;0,IF(OR(INDEX('01_予約入力'!$N$5:$N$204,$P8)="仮予約",INDEX('01_予約入力'!$N$5:$N$204,$P8)="調整中"),"仮",INDEX('01_予約入力'!$C$5:$C$204,$P8)),IF($Q8&gt;0,IF(OR(INDEX('01_予約入力'!$N$5:$N$204,$Q8)="仮予約",INDEX('01_予約入力'!$N$5:$N$204,$Q8)="調整中"),"仮",INDEX('01_予約入力'!$C$5:$C$204,$Q8)),IF($O8&gt;0,IF(OR(INDEX('01_予約入力'!$N$5:$N$204,$O8)="仮予約",INDEX('01_予約入力'!$N$5:$N$204,$O8)="調整中"),"仮",INDEX('01_予約入力'!$C$5:$C$204,$O8)),""))))</f>
        <v/>
      </c>
      <c r="Z8" s="44">
        <f>IF($A8="","",IF($S8&gt;0,IF(OR(INDEX('01_予約入力'!$N$5:$N$204,$S8)="仮予約",INDEX('01_予約入力'!$N$5:$N$204,$S8)="調整中"),"仮",INDEX('01_予約入力'!$C$5:$C$204,$S8)),IF($T8&gt;0,IF(OR(INDEX('01_予約入力'!$N$5:$N$204,$T8)="仮予約",INDEX('01_予約入力'!$N$5:$N$204,$T8)="調整中"),"仮",INDEX('01_予約入力'!$C$5:$C$204,$T8)),IF($R8&gt;0,IF(OR(INDEX('01_予約入力'!$N$5:$N$204,$R8)="仮予約",INDEX('01_予約入力'!$N$5:$N$204,$R8)="調整中"),"仮",INDEX('01_予約入力'!$C$5:$C$204,$R8)),""))))</f>
        <v/>
      </c>
      <c r="AA8" s="44">
        <f>IF($A8="","",IF($V8&gt;0,IF(OR(INDEX('01_予約入力'!$N$5:$N$204,$V8)="仮予約",INDEX('01_予約入力'!$N$5:$N$204,$V8)="調整中"),"仮",INDEX('01_予約入力'!$C$5:$C$204,$V8)),IF($W8&gt;0,IF(OR(INDEX('01_予約入力'!$N$5:$N$204,$W8)="仮予約",INDEX('01_予約入力'!$N$5:$N$204,$W8)="調整中"),"仮",INDEX('01_予約入力'!$C$5:$C$204,$W8)),IF($U8&gt;0,IF(OR(INDEX('01_予約入力'!$N$5:$N$204,$U8)="仮予約",INDEX('01_予約入力'!$N$5:$N$204,$U8)="調整中"),"仮",INDEX('01_予約入力'!$C$5:$C$204,$U8)),""))))</f>
        <v/>
      </c>
      <c r="AB8" s="44">
        <f>IF($A8="",0,SUMPRODUCT(('01_予約入力'!$G$5:$G$204&lt;&gt;"")*('01_予約入力'!$N$5:$N$204&lt;&gt;"キャンセル")*('01_予約入力'!$G$5:$G$204&lt;$A8)*('01_予約入力'!$J$5:$J$204&gt;=$A8)))</f>
        <v/>
      </c>
      <c r="AC8" s="44">
        <f>IF($A8="",0,SUMPRODUCT(('01_予約入力'!$G$5:$G$204&lt;&gt;"")*('01_予約入力'!$N$5:$N$204&lt;&gt;"キャンセル")*((('01_予約入力'!$G$5:$G$204&lt;$A8)*('01_予約入力'!$J$5:$J$204&gt;$A8))+(('01_予約入力'!$G$5:$G$204=$A8)*('01_予約入力'!$J$5:$J$204=$A8)))))</f>
        <v/>
      </c>
      <c r="AD8" s="44">
        <f>IF($A8="",0,SUMPRODUCT(('01_予約入力'!$G$5:$G$204&lt;&gt;"")*('01_予約入力'!$N$5:$N$204&lt;&gt;"キャンセル")*('01_予約入力'!$G$5:$G$204&lt;=$A8)*('01_予約入力'!$J$5:$J$204&gt;$A8)))</f>
        <v/>
      </c>
      <c r="AE8" s="44">
        <f>IF($A8="",0,IFERROR(MATCH($A8,'02_カレンダー'!$B$59:$B$78,0),0))</f>
        <v/>
      </c>
      <c r="AF8" s="44">
        <f>IF($A8="",0,IF($AE8=0,$AB8,IF(INDEX('02_カレンダー'!$C$59:$C$78,$AE8)="",$AB8,INDEX('02_カレンダー'!$C$59:$C$78,$AE8))))</f>
        <v/>
      </c>
      <c r="AG8" s="44">
        <f>IF($A8="",0,IF($AE8=0,$AC8,IF(INDEX('02_カレンダー'!$D$59:$D$78,$AE8)="",$AC8,INDEX('02_カレンダー'!$D$59:$D$78,$AE8))))</f>
        <v/>
      </c>
      <c r="AH8" s="44">
        <f>IF($A8="",0,IF($AE8=0,$AD8,IF(INDEX('02_カレンダー'!$E$59:$E$78,$AE8)="",$AD8,INDEX('02_カレンダー'!$E$59:$E$78,$AE8))))</f>
        <v/>
      </c>
      <c r="AI8" s="44">
        <f>IF($A8="","",IF(AND($AF8=0,$AG8=0,$AH8=0),"","朝"&amp;$AF8&amp;" 昼"&amp;$AG8&amp;" 夕"&amp;$AH8&amp;IF($AJ8=0,"","　※調整")))</f>
        <v/>
      </c>
      <c r="AJ8" s="44">
        <f>IF(OR($A8="",$AE8=0),0,IF(OR(INDEX('02_カレンダー'!$C$59:$C$78,$AE8)&lt;&gt;"",INDEX('02_カレンダー'!$D$59:$D$78,$AE8)&lt;&gt;"",INDEX('02_カレンダー'!$E$59:$E$78,$AE8)&lt;&gt;""),1,0))</f>
        <v/>
      </c>
    </row>
    <row r="9">
      <c r="A9" s="37">
        <f>IF(MONTH('02_カレンダー'!$B$4+2)&lt;&gt;MONTH('02_カレンダー'!$B$4),"",'02_カレンダー'!$B$4+2)</f>
        <v/>
      </c>
      <c r="B9" s="44">
        <f>IF($A9="","",MID("日月火水木金土",WEEKDAY($A9),1))</f>
        <v/>
      </c>
      <c r="C9" s="48">
        <f>IF(OR($A9="",C$6=""),"",IF($L9=0,"",INDEX('01_予約入力'!$B$5:$B$204,$L9)&amp;" ◀"&amp;IF(('02_カレンダー'!$B$5="○"),INDEX('01_予約入力'!$AB$5:$AB$204,$L9),""))&amp;IF(AND($L9&gt;0,OR($M9&gt;0,$N9&gt;0)),"  ","")&amp;IF($M9=0,"",IF(INDEX('01_予約入力'!$G$5:$G$204,$M9)=$A9,"▶"&amp;IF(('02_カレンダー'!$B$5="○"),INDEX('01_予約入力'!$AA$5:$AA$204,$M9)&amp;" "," "),"")&amp;INDEX('01_予約入力'!$B$5:$B$204,$M9))&amp;IF(AND($M9&gt;0,$N9&gt;0),"  ","")&amp;IF($N9=0,"","◆ "&amp;INDEX('01_予約入力'!$B$5:$B$204,$N9)&amp;IF(('02_カレンダー'!$B$5="○")," "&amp;INDEX('01_予約入力'!$AA$5:$AA$204,$N9)&amp;"-"&amp;INDEX('01_予約入力'!$AB$5:$AB$204,$N9),"")))</f>
        <v/>
      </c>
      <c r="D9" s="48">
        <f>IF(OR($A9="",D$6=""),"",IF($O9=0,"",INDEX('01_予約入力'!$B$5:$B$204,$O9)&amp;" ◀"&amp;IF(('02_カレンダー'!$B$5="○"),INDEX('01_予約入力'!$AB$5:$AB$204,$O9),""))&amp;IF(AND($O9&gt;0,OR($P9&gt;0,$Q9&gt;0)),"  ","")&amp;IF($P9=0,"",IF(INDEX('01_予約入力'!$G$5:$G$204,$P9)=$A9,"▶"&amp;IF(('02_カレンダー'!$B$5="○"),INDEX('01_予約入力'!$AA$5:$AA$204,$P9)&amp;" "," "),"")&amp;INDEX('01_予約入力'!$B$5:$B$204,$P9))&amp;IF(AND($P9&gt;0,$Q9&gt;0),"  ","")&amp;IF($Q9=0,"","◆ "&amp;INDEX('01_予約入力'!$B$5:$B$204,$Q9)&amp;IF(('02_カレンダー'!$B$5="○")," "&amp;INDEX('01_予約入力'!$AA$5:$AA$204,$Q9)&amp;"-"&amp;INDEX('01_予約入力'!$AB$5:$AB$204,$Q9),"")))</f>
        <v/>
      </c>
      <c r="E9" s="48">
        <f>IF(OR($A9="",E$6=""),"",IF($R9=0,"",INDEX('01_予約入力'!$B$5:$B$204,$R9)&amp;" ◀"&amp;IF(('02_カレンダー'!$B$5="○"),INDEX('01_予約入力'!$AB$5:$AB$204,$R9),""))&amp;IF(AND($R9&gt;0,OR($S9&gt;0,$T9&gt;0)),"  ","")&amp;IF($S9=0,"",IF(INDEX('01_予約入力'!$G$5:$G$204,$S9)=$A9,"▶"&amp;IF(('02_カレンダー'!$B$5="○"),INDEX('01_予約入力'!$AA$5:$AA$204,$S9)&amp;" "," "),"")&amp;INDEX('01_予約入力'!$B$5:$B$204,$S9))&amp;IF(AND($S9&gt;0,$T9&gt;0),"  ","")&amp;IF($T9=0,"","◆ "&amp;INDEX('01_予約入力'!$B$5:$B$204,$T9)&amp;IF(('02_カレンダー'!$B$5="○")," "&amp;INDEX('01_予約入力'!$AA$5:$AA$204,$T9)&amp;"-"&amp;INDEX('01_予約入力'!$AB$5:$AB$204,$T9),"")))</f>
        <v/>
      </c>
      <c r="F9" s="48">
        <f>IF(OR($A9="",F$6=""),"",IF($U9=0,"",INDEX('01_予約入力'!$B$5:$B$204,$U9)&amp;" ◀"&amp;IF(('02_カレンダー'!$B$5="○"),INDEX('01_予約入力'!$AB$5:$AB$204,$U9),""))&amp;IF(AND($U9&gt;0,OR($V9&gt;0,$W9&gt;0)),"  ","")&amp;IF($V9=0,"",IF(INDEX('01_予約入力'!$G$5:$G$204,$V9)=$A9,"▶"&amp;IF(('02_カレンダー'!$B$5="○"),INDEX('01_予約入力'!$AA$5:$AA$204,$V9)&amp;" "," "),"")&amp;INDEX('01_予約入力'!$B$5:$B$204,$V9))&amp;IF(AND($V9&gt;0,$W9&gt;0),"  ","")&amp;IF($W9=0,"","◆ "&amp;INDEX('01_予約入力'!$B$5:$B$204,$W9)&amp;IF(('02_カレンダー'!$B$5="○")," "&amp;INDEX('01_予約入力'!$AA$5:$AA$204,$W9)&amp;"-"&amp;INDEX('01_予約入力'!$AB$5:$AB$204,$W9),"")))</f>
        <v/>
      </c>
      <c r="G9" s="44">
        <f>IF($A9="","",SUMPRODUCT(('01_予約入力'!$G$5:$G$204&lt;&gt;"")*('01_予約入力'!$N$5:$N$204&lt;&gt;"キャンセル")*('01_予約入力'!$G$5:$G$204&lt;=$A9)*('01_予約入力'!$J$5:$J$204&gt;$A9)))</f>
        <v/>
      </c>
      <c r="H9" s="44">
        <f>IF($A9="","",'M_施設設定'!$B$6-$G9)</f>
        <v/>
      </c>
      <c r="I9" s="44">
        <f>IF($A9="","",SUMPRODUCT((('01_予約入力'!$N$5:$N$204="仮予約")+('01_予約入力'!$N$5:$N$204="調整中"))*('01_予約入力'!$G$5:$G$204&lt;&gt;"")*('01_予約入力'!$G$5:$G$204&lt;=$A9)*('01_予約入力'!$J$5:$J$204&gt;$A9)))</f>
        <v/>
      </c>
      <c r="J9" s="44">
        <f>IF($A9="","",IF($I9&gt;0,"仮",IF($H9&lt;=0,"×",IF($H9&lt;'M_施設設定'!$B$6,"△","○"))))</f>
        <v/>
      </c>
      <c r="K9" s="44">
        <f>IF($A9="","",SUMPRODUCT(('01_予約入力'!$G$5:$G$204&lt;&gt;"")*('01_予約入力'!$N$5:$N$204&lt;&gt;"キャンセル")*('01_予約入力'!$G$5:$G$204=$A9)*('01_予約入力'!$J$5:$J$204=$A9)))</f>
        <v/>
      </c>
      <c r="L9" s="44">
        <f>IF(OR($A9="",C$6=""),0,SUMPRODUCT(MAX(('01_予約入力'!$D$5:$D$204=C$6)*('01_予約入力'!$N$5:$N$204&lt;&gt;"キャンセル")*('01_予約入力'!$G$5:$G$204&lt;&gt;"")*('01_予約入力'!$J$5:$J$204=$A9)*('01_予約入力'!$G$5:$G$204&lt;$A9)*(ROW('01_予約入力'!$G$5:$G$204)-4))))</f>
        <v/>
      </c>
      <c r="M9" s="44">
        <f>IF(OR($A9="",C$6=""),0,SUMPRODUCT(MAX(('01_予約入力'!$D$5:$D$204=C$6)*('01_予約入力'!$N$5:$N$204&lt;&gt;"キャンセル")*('01_予約入力'!$G$5:$G$204&lt;&gt;"")*('01_予約入力'!$G$5:$G$204&lt;=$A9)*('01_予約入力'!$J$5:$J$204&gt;$A9)*(ROW('01_予約入力'!$G$5:$G$204)-4))))</f>
        <v/>
      </c>
      <c r="N9" s="44">
        <f>IF(OR($A9="",C$6=""),0,SUMPRODUCT(MAX(('01_予約入力'!$D$5:$D$204=C$6)*('01_予約入力'!$N$5:$N$204&lt;&gt;"キャンセル")*('01_予約入力'!$G$5:$G$204&lt;&gt;"")*('01_予約入力'!$G$5:$G$204=$A9)*('01_予約入力'!$J$5:$J$204=$A9)*(ROW('01_予約入力'!$G$5:$G$204)-4))))</f>
        <v/>
      </c>
      <c r="O9" s="44">
        <f>IF(OR($A9="",D$6=""),0,SUMPRODUCT(MAX(('01_予約入力'!$D$5:$D$204=D$6)*('01_予約入力'!$N$5:$N$204&lt;&gt;"キャンセル")*('01_予約入力'!$G$5:$G$204&lt;&gt;"")*('01_予約入力'!$J$5:$J$204=$A9)*('01_予約入力'!$G$5:$G$204&lt;$A9)*(ROW('01_予約入力'!$G$5:$G$204)-4))))</f>
        <v/>
      </c>
      <c r="P9" s="44">
        <f>IF(OR($A9="",D$6=""),0,SUMPRODUCT(MAX(('01_予約入力'!$D$5:$D$204=D$6)*('01_予約入力'!$N$5:$N$204&lt;&gt;"キャンセル")*('01_予約入力'!$G$5:$G$204&lt;&gt;"")*('01_予約入力'!$G$5:$G$204&lt;=$A9)*('01_予約入力'!$J$5:$J$204&gt;$A9)*(ROW('01_予約入力'!$G$5:$G$204)-4))))</f>
        <v/>
      </c>
      <c r="Q9" s="44">
        <f>IF(OR($A9="",D$6=""),0,SUMPRODUCT(MAX(('01_予約入力'!$D$5:$D$204=D$6)*('01_予約入力'!$N$5:$N$204&lt;&gt;"キャンセル")*('01_予約入力'!$G$5:$G$204&lt;&gt;"")*('01_予約入力'!$G$5:$G$204=$A9)*('01_予約入力'!$J$5:$J$204=$A9)*(ROW('01_予約入力'!$G$5:$G$204)-4))))</f>
        <v/>
      </c>
      <c r="R9" s="44">
        <f>IF(OR($A9="",E$6=""),0,SUMPRODUCT(MAX(('01_予約入力'!$D$5:$D$204=E$6)*('01_予約入力'!$N$5:$N$204&lt;&gt;"キャンセル")*('01_予約入力'!$G$5:$G$204&lt;&gt;"")*('01_予約入力'!$J$5:$J$204=$A9)*('01_予約入力'!$G$5:$G$204&lt;$A9)*(ROW('01_予約入力'!$G$5:$G$204)-4))))</f>
        <v/>
      </c>
      <c r="S9" s="44">
        <f>IF(OR($A9="",E$6=""),0,SUMPRODUCT(MAX(('01_予約入力'!$D$5:$D$204=E$6)*('01_予約入力'!$N$5:$N$204&lt;&gt;"キャンセル")*('01_予約入力'!$G$5:$G$204&lt;&gt;"")*('01_予約入力'!$G$5:$G$204&lt;=$A9)*('01_予約入力'!$J$5:$J$204&gt;$A9)*(ROW('01_予約入力'!$G$5:$G$204)-4))))</f>
        <v/>
      </c>
      <c r="T9" s="44">
        <f>IF(OR($A9="",E$6=""),0,SUMPRODUCT(MAX(('01_予約入力'!$D$5:$D$204=E$6)*('01_予約入力'!$N$5:$N$204&lt;&gt;"キャンセル")*('01_予約入力'!$G$5:$G$204&lt;&gt;"")*('01_予約入力'!$G$5:$G$204=$A9)*('01_予約入力'!$J$5:$J$204=$A9)*(ROW('01_予約入力'!$G$5:$G$204)-4))))</f>
        <v/>
      </c>
      <c r="U9" s="44">
        <f>IF(OR($A9="",F$6=""),0,SUMPRODUCT(MAX(('01_予約入力'!$D$5:$D$204=F$6)*('01_予約入力'!$N$5:$N$204&lt;&gt;"キャンセル")*('01_予約入力'!$G$5:$G$204&lt;&gt;"")*('01_予約入力'!$J$5:$J$204=$A9)*('01_予約入力'!$G$5:$G$204&lt;$A9)*(ROW('01_予約入力'!$G$5:$G$204)-4))))</f>
        <v/>
      </c>
      <c r="V9" s="44">
        <f>IF(OR($A9="",F$6=""),0,SUMPRODUCT(MAX(('01_予約入力'!$D$5:$D$204=F$6)*('01_予約入力'!$N$5:$N$204&lt;&gt;"キャンセル")*('01_予約入力'!$G$5:$G$204&lt;&gt;"")*('01_予約入力'!$G$5:$G$204&lt;=$A9)*('01_予約入力'!$J$5:$J$204&gt;$A9)*(ROW('01_予約入力'!$G$5:$G$204)-4))))</f>
        <v/>
      </c>
      <c r="W9" s="44">
        <f>IF(OR($A9="",F$6=""),0,SUMPRODUCT(MAX(('01_予約入力'!$D$5:$D$204=F$6)*('01_予約入力'!$N$5:$N$204&lt;&gt;"キャンセル")*('01_予約入力'!$G$5:$G$204&lt;&gt;"")*('01_予約入力'!$G$5:$G$204=$A9)*('01_予約入力'!$J$5:$J$204=$A9)*(ROW('01_予約入力'!$G$5:$G$204)-4))))</f>
        <v/>
      </c>
      <c r="X9" s="44">
        <f>IF($A9="","",IF($M9&gt;0,IF(OR(INDEX('01_予約入力'!$N$5:$N$204,$M9)="仮予約",INDEX('01_予約入力'!$N$5:$N$204,$M9)="調整中"),"仮",INDEX('01_予約入力'!$C$5:$C$204,$M9)),IF($N9&gt;0,IF(OR(INDEX('01_予約入力'!$N$5:$N$204,$N9)="仮予約",INDEX('01_予約入力'!$N$5:$N$204,$N9)="調整中"),"仮",INDEX('01_予約入力'!$C$5:$C$204,$N9)),IF($L9&gt;0,IF(OR(INDEX('01_予約入力'!$N$5:$N$204,$L9)="仮予約",INDEX('01_予約入力'!$N$5:$N$204,$L9)="調整中"),"仮",INDEX('01_予約入力'!$C$5:$C$204,$L9)),""))))</f>
        <v/>
      </c>
      <c r="Y9" s="44">
        <f>IF($A9="","",IF($P9&gt;0,IF(OR(INDEX('01_予約入力'!$N$5:$N$204,$P9)="仮予約",INDEX('01_予約入力'!$N$5:$N$204,$P9)="調整中"),"仮",INDEX('01_予約入力'!$C$5:$C$204,$P9)),IF($Q9&gt;0,IF(OR(INDEX('01_予約入力'!$N$5:$N$204,$Q9)="仮予約",INDEX('01_予約入力'!$N$5:$N$204,$Q9)="調整中"),"仮",INDEX('01_予約入力'!$C$5:$C$204,$Q9)),IF($O9&gt;0,IF(OR(INDEX('01_予約入力'!$N$5:$N$204,$O9)="仮予約",INDEX('01_予約入力'!$N$5:$N$204,$O9)="調整中"),"仮",INDEX('01_予約入力'!$C$5:$C$204,$O9)),""))))</f>
        <v/>
      </c>
      <c r="Z9" s="44">
        <f>IF($A9="","",IF($S9&gt;0,IF(OR(INDEX('01_予約入力'!$N$5:$N$204,$S9)="仮予約",INDEX('01_予約入力'!$N$5:$N$204,$S9)="調整中"),"仮",INDEX('01_予約入力'!$C$5:$C$204,$S9)),IF($T9&gt;0,IF(OR(INDEX('01_予約入力'!$N$5:$N$204,$T9)="仮予約",INDEX('01_予約入力'!$N$5:$N$204,$T9)="調整中"),"仮",INDEX('01_予約入力'!$C$5:$C$204,$T9)),IF($R9&gt;0,IF(OR(INDEX('01_予約入力'!$N$5:$N$204,$R9)="仮予約",INDEX('01_予約入力'!$N$5:$N$204,$R9)="調整中"),"仮",INDEX('01_予約入力'!$C$5:$C$204,$R9)),""))))</f>
        <v/>
      </c>
      <c r="AA9" s="44">
        <f>IF($A9="","",IF($V9&gt;0,IF(OR(INDEX('01_予約入力'!$N$5:$N$204,$V9)="仮予約",INDEX('01_予約入力'!$N$5:$N$204,$V9)="調整中"),"仮",INDEX('01_予約入力'!$C$5:$C$204,$V9)),IF($W9&gt;0,IF(OR(INDEX('01_予約入力'!$N$5:$N$204,$W9)="仮予約",INDEX('01_予約入力'!$N$5:$N$204,$W9)="調整中"),"仮",INDEX('01_予約入力'!$C$5:$C$204,$W9)),IF($U9&gt;0,IF(OR(INDEX('01_予約入力'!$N$5:$N$204,$U9)="仮予約",INDEX('01_予約入力'!$N$5:$N$204,$U9)="調整中"),"仮",INDEX('01_予約入力'!$C$5:$C$204,$U9)),""))))</f>
        <v/>
      </c>
      <c r="AB9" s="44">
        <f>IF($A9="",0,SUMPRODUCT(('01_予約入力'!$G$5:$G$204&lt;&gt;"")*('01_予約入力'!$N$5:$N$204&lt;&gt;"キャンセル")*('01_予約入力'!$G$5:$G$204&lt;$A9)*('01_予約入力'!$J$5:$J$204&gt;=$A9)))</f>
        <v/>
      </c>
      <c r="AC9" s="44">
        <f>IF($A9="",0,SUMPRODUCT(('01_予約入力'!$G$5:$G$204&lt;&gt;"")*('01_予約入力'!$N$5:$N$204&lt;&gt;"キャンセル")*((('01_予約入力'!$G$5:$G$204&lt;$A9)*('01_予約入力'!$J$5:$J$204&gt;$A9))+(('01_予約入力'!$G$5:$G$204=$A9)*('01_予約入力'!$J$5:$J$204=$A9)))))</f>
        <v/>
      </c>
      <c r="AD9" s="44">
        <f>IF($A9="",0,SUMPRODUCT(('01_予約入力'!$G$5:$G$204&lt;&gt;"")*('01_予約入力'!$N$5:$N$204&lt;&gt;"キャンセル")*('01_予約入力'!$G$5:$G$204&lt;=$A9)*('01_予約入力'!$J$5:$J$204&gt;$A9)))</f>
        <v/>
      </c>
      <c r="AE9" s="44">
        <f>IF($A9="",0,IFERROR(MATCH($A9,'02_カレンダー'!$B$59:$B$78,0),0))</f>
        <v/>
      </c>
      <c r="AF9" s="44">
        <f>IF($A9="",0,IF($AE9=0,$AB9,IF(INDEX('02_カレンダー'!$C$59:$C$78,$AE9)="",$AB9,INDEX('02_カレンダー'!$C$59:$C$78,$AE9))))</f>
        <v/>
      </c>
      <c r="AG9" s="44">
        <f>IF($A9="",0,IF($AE9=0,$AC9,IF(INDEX('02_カレンダー'!$D$59:$D$78,$AE9)="",$AC9,INDEX('02_カレンダー'!$D$59:$D$78,$AE9))))</f>
        <v/>
      </c>
      <c r="AH9" s="44">
        <f>IF($A9="",0,IF($AE9=0,$AD9,IF(INDEX('02_カレンダー'!$E$59:$E$78,$AE9)="",$AD9,INDEX('02_カレンダー'!$E$59:$E$78,$AE9))))</f>
        <v/>
      </c>
      <c r="AI9" s="44">
        <f>IF($A9="","",IF(AND($AF9=0,$AG9=0,$AH9=0),"","朝"&amp;$AF9&amp;" 昼"&amp;$AG9&amp;" 夕"&amp;$AH9&amp;IF($AJ9=0,"","　※調整")))</f>
        <v/>
      </c>
      <c r="AJ9" s="44">
        <f>IF(OR($A9="",$AE9=0),0,IF(OR(INDEX('02_カレンダー'!$C$59:$C$78,$AE9)&lt;&gt;"",INDEX('02_カレンダー'!$D$59:$D$78,$AE9)&lt;&gt;"",INDEX('02_カレンダー'!$E$59:$E$78,$AE9)&lt;&gt;""),1,0))</f>
        <v/>
      </c>
    </row>
    <row r="10">
      <c r="A10" s="37">
        <f>IF(MONTH('02_カレンダー'!$B$4+3)&lt;&gt;MONTH('02_カレンダー'!$B$4),"",'02_カレンダー'!$B$4+3)</f>
        <v/>
      </c>
      <c r="B10" s="44">
        <f>IF($A10="","",MID("日月火水木金土",WEEKDAY($A10),1))</f>
        <v/>
      </c>
      <c r="C10" s="48">
        <f>IF(OR($A10="",C$6=""),"",IF($L10=0,"",INDEX('01_予約入力'!$B$5:$B$204,$L10)&amp;" ◀"&amp;IF(('02_カレンダー'!$B$5="○"),INDEX('01_予約入力'!$AB$5:$AB$204,$L10),""))&amp;IF(AND($L10&gt;0,OR($M10&gt;0,$N10&gt;0)),"  ","")&amp;IF($M10=0,"",IF(INDEX('01_予約入力'!$G$5:$G$204,$M10)=$A10,"▶"&amp;IF(('02_カレンダー'!$B$5="○"),INDEX('01_予約入力'!$AA$5:$AA$204,$M10)&amp;" "," "),"")&amp;INDEX('01_予約入力'!$B$5:$B$204,$M10))&amp;IF(AND($M10&gt;0,$N10&gt;0),"  ","")&amp;IF($N10=0,"","◆ "&amp;INDEX('01_予約入力'!$B$5:$B$204,$N10)&amp;IF(('02_カレンダー'!$B$5="○")," "&amp;INDEX('01_予約入力'!$AA$5:$AA$204,$N10)&amp;"-"&amp;INDEX('01_予約入力'!$AB$5:$AB$204,$N10),"")))</f>
        <v/>
      </c>
      <c r="D10" s="48">
        <f>IF(OR($A10="",D$6=""),"",IF($O10=0,"",INDEX('01_予約入力'!$B$5:$B$204,$O10)&amp;" ◀"&amp;IF(('02_カレンダー'!$B$5="○"),INDEX('01_予約入力'!$AB$5:$AB$204,$O10),""))&amp;IF(AND($O10&gt;0,OR($P10&gt;0,$Q10&gt;0)),"  ","")&amp;IF($P10=0,"",IF(INDEX('01_予約入力'!$G$5:$G$204,$P10)=$A10,"▶"&amp;IF(('02_カレンダー'!$B$5="○"),INDEX('01_予約入力'!$AA$5:$AA$204,$P10)&amp;" "," "),"")&amp;INDEX('01_予約入力'!$B$5:$B$204,$P10))&amp;IF(AND($P10&gt;0,$Q10&gt;0),"  ","")&amp;IF($Q10=0,"","◆ "&amp;INDEX('01_予約入力'!$B$5:$B$204,$Q10)&amp;IF(('02_カレンダー'!$B$5="○")," "&amp;INDEX('01_予約入力'!$AA$5:$AA$204,$Q10)&amp;"-"&amp;INDEX('01_予約入力'!$AB$5:$AB$204,$Q10),"")))</f>
        <v/>
      </c>
      <c r="E10" s="48">
        <f>IF(OR($A10="",E$6=""),"",IF($R10=0,"",INDEX('01_予約入力'!$B$5:$B$204,$R10)&amp;" ◀"&amp;IF(('02_カレンダー'!$B$5="○"),INDEX('01_予約入力'!$AB$5:$AB$204,$R10),""))&amp;IF(AND($R10&gt;0,OR($S10&gt;0,$T10&gt;0)),"  ","")&amp;IF($S10=0,"",IF(INDEX('01_予約入力'!$G$5:$G$204,$S10)=$A10,"▶"&amp;IF(('02_カレンダー'!$B$5="○"),INDEX('01_予約入力'!$AA$5:$AA$204,$S10)&amp;" "," "),"")&amp;INDEX('01_予約入力'!$B$5:$B$204,$S10))&amp;IF(AND($S10&gt;0,$T10&gt;0),"  ","")&amp;IF($T10=0,"","◆ "&amp;INDEX('01_予約入力'!$B$5:$B$204,$T10)&amp;IF(('02_カレンダー'!$B$5="○")," "&amp;INDEX('01_予約入力'!$AA$5:$AA$204,$T10)&amp;"-"&amp;INDEX('01_予約入力'!$AB$5:$AB$204,$T10),"")))</f>
        <v/>
      </c>
      <c r="F10" s="48">
        <f>IF(OR($A10="",F$6=""),"",IF($U10=0,"",INDEX('01_予約入力'!$B$5:$B$204,$U10)&amp;" ◀"&amp;IF(('02_カレンダー'!$B$5="○"),INDEX('01_予約入力'!$AB$5:$AB$204,$U10),""))&amp;IF(AND($U10&gt;0,OR($V10&gt;0,$W10&gt;0)),"  ","")&amp;IF($V10=0,"",IF(INDEX('01_予約入力'!$G$5:$G$204,$V10)=$A10,"▶"&amp;IF(('02_カレンダー'!$B$5="○"),INDEX('01_予約入力'!$AA$5:$AA$204,$V10)&amp;" "," "),"")&amp;INDEX('01_予約入力'!$B$5:$B$204,$V10))&amp;IF(AND($V10&gt;0,$W10&gt;0),"  ","")&amp;IF($W10=0,"","◆ "&amp;INDEX('01_予約入力'!$B$5:$B$204,$W10)&amp;IF(('02_カレンダー'!$B$5="○")," "&amp;INDEX('01_予約入力'!$AA$5:$AA$204,$W10)&amp;"-"&amp;INDEX('01_予約入力'!$AB$5:$AB$204,$W10),"")))</f>
        <v/>
      </c>
      <c r="G10" s="44">
        <f>IF($A10="","",SUMPRODUCT(('01_予約入力'!$G$5:$G$204&lt;&gt;"")*('01_予約入力'!$N$5:$N$204&lt;&gt;"キャンセル")*('01_予約入力'!$G$5:$G$204&lt;=$A10)*('01_予約入力'!$J$5:$J$204&gt;$A10)))</f>
        <v/>
      </c>
      <c r="H10" s="44">
        <f>IF($A10="","",'M_施設設定'!$B$6-$G10)</f>
        <v/>
      </c>
      <c r="I10" s="44">
        <f>IF($A10="","",SUMPRODUCT((('01_予約入力'!$N$5:$N$204="仮予約")+('01_予約入力'!$N$5:$N$204="調整中"))*('01_予約入力'!$G$5:$G$204&lt;&gt;"")*('01_予約入力'!$G$5:$G$204&lt;=$A10)*('01_予約入力'!$J$5:$J$204&gt;$A10)))</f>
        <v/>
      </c>
      <c r="J10" s="44">
        <f>IF($A10="","",IF($I10&gt;0,"仮",IF($H10&lt;=0,"×",IF($H10&lt;'M_施設設定'!$B$6,"△","○"))))</f>
        <v/>
      </c>
      <c r="K10" s="44">
        <f>IF($A10="","",SUMPRODUCT(('01_予約入力'!$G$5:$G$204&lt;&gt;"")*('01_予約入力'!$N$5:$N$204&lt;&gt;"キャンセル")*('01_予約入力'!$G$5:$G$204=$A10)*('01_予約入力'!$J$5:$J$204=$A10)))</f>
        <v/>
      </c>
      <c r="L10" s="44">
        <f>IF(OR($A10="",C$6=""),0,SUMPRODUCT(MAX(('01_予約入力'!$D$5:$D$204=C$6)*('01_予約入力'!$N$5:$N$204&lt;&gt;"キャンセル")*('01_予約入力'!$G$5:$G$204&lt;&gt;"")*('01_予約入力'!$J$5:$J$204=$A10)*('01_予約入力'!$G$5:$G$204&lt;$A10)*(ROW('01_予約入力'!$G$5:$G$204)-4))))</f>
        <v/>
      </c>
      <c r="M10" s="44">
        <f>IF(OR($A10="",C$6=""),0,SUMPRODUCT(MAX(('01_予約入力'!$D$5:$D$204=C$6)*('01_予約入力'!$N$5:$N$204&lt;&gt;"キャンセル")*('01_予約入力'!$G$5:$G$204&lt;&gt;"")*('01_予約入力'!$G$5:$G$204&lt;=$A10)*('01_予約入力'!$J$5:$J$204&gt;$A10)*(ROW('01_予約入力'!$G$5:$G$204)-4))))</f>
        <v/>
      </c>
      <c r="N10" s="44">
        <f>IF(OR($A10="",C$6=""),0,SUMPRODUCT(MAX(('01_予約入力'!$D$5:$D$204=C$6)*('01_予約入力'!$N$5:$N$204&lt;&gt;"キャンセル")*('01_予約入力'!$G$5:$G$204&lt;&gt;"")*('01_予約入力'!$G$5:$G$204=$A10)*('01_予約入力'!$J$5:$J$204=$A10)*(ROW('01_予約入力'!$G$5:$G$204)-4))))</f>
        <v/>
      </c>
      <c r="O10" s="44">
        <f>IF(OR($A10="",D$6=""),0,SUMPRODUCT(MAX(('01_予約入力'!$D$5:$D$204=D$6)*('01_予約入力'!$N$5:$N$204&lt;&gt;"キャンセル")*('01_予約入力'!$G$5:$G$204&lt;&gt;"")*('01_予約入力'!$J$5:$J$204=$A10)*('01_予約入力'!$G$5:$G$204&lt;$A10)*(ROW('01_予約入力'!$G$5:$G$204)-4))))</f>
        <v/>
      </c>
      <c r="P10" s="44">
        <f>IF(OR($A10="",D$6=""),0,SUMPRODUCT(MAX(('01_予約入力'!$D$5:$D$204=D$6)*('01_予約入力'!$N$5:$N$204&lt;&gt;"キャンセル")*('01_予約入力'!$G$5:$G$204&lt;&gt;"")*('01_予約入力'!$G$5:$G$204&lt;=$A10)*('01_予約入力'!$J$5:$J$204&gt;$A10)*(ROW('01_予約入力'!$G$5:$G$204)-4))))</f>
        <v/>
      </c>
      <c r="Q10" s="44">
        <f>IF(OR($A10="",D$6=""),0,SUMPRODUCT(MAX(('01_予約入力'!$D$5:$D$204=D$6)*('01_予約入力'!$N$5:$N$204&lt;&gt;"キャンセル")*('01_予約入力'!$G$5:$G$204&lt;&gt;"")*('01_予約入力'!$G$5:$G$204=$A10)*('01_予約入力'!$J$5:$J$204=$A10)*(ROW('01_予約入力'!$G$5:$G$204)-4))))</f>
        <v/>
      </c>
      <c r="R10" s="44">
        <f>IF(OR($A10="",E$6=""),0,SUMPRODUCT(MAX(('01_予約入力'!$D$5:$D$204=E$6)*('01_予約入力'!$N$5:$N$204&lt;&gt;"キャンセル")*('01_予約入力'!$G$5:$G$204&lt;&gt;"")*('01_予約入力'!$J$5:$J$204=$A10)*('01_予約入力'!$G$5:$G$204&lt;$A10)*(ROW('01_予約入力'!$G$5:$G$204)-4))))</f>
        <v/>
      </c>
      <c r="S10" s="44">
        <f>IF(OR($A10="",E$6=""),0,SUMPRODUCT(MAX(('01_予約入力'!$D$5:$D$204=E$6)*('01_予約入力'!$N$5:$N$204&lt;&gt;"キャンセル")*('01_予約入力'!$G$5:$G$204&lt;&gt;"")*('01_予約入力'!$G$5:$G$204&lt;=$A10)*('01_予約入力'!$J$5:$J$204&gt;$A10)*(ROW('01_予約入力'!$G$5:$G$204)-4))))</f>
        <v/>
      </c>
      <c r="T10" s="44">
        <f>IF(OR($A10="",E$6=""),0,SUMPRODUCT(MAX(('01_予約入力'!$D$5:$D$204=E$6)*('01_予約入力'!$N$5:$N$204&lt;&gt;"キャンセル")*('01_予約入力'!$G$5:$G$204&lt;&gt;"")*('01_予約入力'!$G$5:$G$204=$A10)*('01_予約入力'!$J$5:$J$204=$A10)*(ROW('01_予約入力'!$G$5:$G$204)-4))))</f>
        <v/>
      </c>
      <c r="U10" s="44">
        <f>IF(OR($A10="",F$6=""),0,SUMPRODUCT(MAX(('01_予約入力'!$D$5:$D$204=F$6)*('01_予約入力'!$N$5:$N$204&lt;&gt;"キャンセル")*('01_予約入力'!$G$5:$G$204&lt;&gt;"")*('01_予約入力'!$J$5:$J$204=$A10)*('01_予約入力'!$G$5:$G$204&lt;$A10)*(ROW('01_予約入力'!$G$5:$G$204)-4))))</f>
        <v/>
      </c>
      <c r="V10" s="44">
        <f>IF(OR($A10="",F$6=""),0,SUMPRODUCT(MAX(('01_予約入力'!$D$5:$D$204=F$6)*('01_予約入力'!$N$5:$N$204&lt;&gt;"キャンセル")*('01_予約入力'!$G$5:$G$204&lt;&gt;"")*('01_予約入力'!$G$5:$G$204&lt;=$A10)*('01_予約入力'!$J$5:$J$204&gt;$A10)*(ROW('01_予約入力'!$G$5:$G$204)-4))))</f>
        <v/>
      </c>
      <c r="W10" s="44">
        <f>IF(OR($A10="",F$6=""),0,SUMPRODUCT(MAX(('01_予約入力'!$D$5:$D$204=F$6)*('01_予約入力'!$N$5:$N$204&lt;&gt;"キャンセル")*('01_予約入力'!$G$5:$G$204&lt;&gt;"")*('01_予約入力'!$G$5:$G$204=$A10)*('01_予約入力'!$J$5:$J$204=$A10)*(ROW('01_予約入力'!$G$5:$G$204)-4))))</f>
        <v/>
      </c>
      <c r="X10" s="44">
        <f>IF($A10="","",IF($M10&gt;0,IF(OR(INDEX('01_予約入力'!$N$5:$N$204,$M10)="仮予約",INDEX('01_予約入力'!$N$5:$N$204,$M10)="調整中"),"仮",INDEX('01_予約入力'!$C$5:$C$204,$M10)),IF($N10&gt;0,IF(OR(INDEX('01_予約入力'!$N$5:$N$204,$N10)="仮予約",INDEX('01_予約入力'!$N$5:$N$204,$N10)="調整中"),"仮",INDEX('01_予約入力'!$C$5:$C$204,$N10)),IF($L10&gt;0,IF(OR(INDEX('01_予約入力'!$N$5:$N$204,$L10)="仮予約",INDEX('01_予約入力'!$N$5:$N$204,$L10)="調整中"),"仮",INDEX('01_予約入力'!$C$5:$C$204,$L10)),""))))</f>
        <v/>
      </c>
      <c r="Y10" s="44">
        <f>IF($A10="","",IF($P10&gt;0,IF(OR(INDEX('01_予約入力'!$N$5:$N$204,$P10)="仮予約",INDEX('01_予約入力'!$N$5:$N$204,$P10)="調整中"),"仮",INDEX('01_予約入力'!$C$5:$C$204,$P10)),IF($Q10&gt;0,IF(OR(INDEX('01_予約入力'!$N$5:$N$204,$Q10)="仮予約",INDEX('01_予約入力'!$N$5:$N$204,$Q10)="調整中"),"仮",INDEX('01_予約入力'!$C$5:$C$204,$Q10)),IF($O10&gt;0,IF(OR(INDEX('01_予約入力'!$N$5:$N$204,$O10)="仮予約",INDEX('01_予約入力'!$N$5:$N$204,$O10)="調整中"),"仮",INDEX('01_予約入力'!$C$5:$C$204,$O10)),""))))</f>
        <v/>
      </c>
      <c r="Z10" s="44">
        <f>IF($A10="","",IF($S10&gt;0,IF(OR(INDEX('01_予約入力'!$N$5:$N$204,$S10)="仮予約",INDEX('01_予約入力'!$N$5:$N$204,$S10)="調整中"),"仮",INDEX('01_予約入力'!$C$5:$C$204,$S10)),IF($T10&gt;0,IF(OR(INDEX('01_予約入力'!$N$5:$N$204,$T10)="仮予約",INDEX('01_予約入力'!$N$5:$N$204,$T10)="調整中"),"仮",INDEX('01_予約入力'!$C$5:$C$204,$T10)),IF($R10&gt;0,IF(OR(INDEX('01_予約入力'!$N$5:$N$204,$R10)="仮予約",INDEX('01_予約入力'!$N$5:$N$204,$R10)="調整中"),"仮",INDEX('01_予約入力'!$C$5:$C$204,$R10)),""))))</f>
        <v/>
      </c>
      <c r="AA10" s="44">
        <f>IF($A10="","",IF($V10&gt;0,IF(OR(INDEX('01_予約入力'!$N$5:$N$204,$V10)="仮予約",INDEX('01_予約入力'!$N$5:$N$204,$V10)="調整中"),"仮",INDEX('01_予約入力'!$C$5:$C$204,$V10)),IF($W10&gt;0,IF(OR(INDEX('01_予約入力'!$N$5:$N$204,$W10)="仮予約",INDEX('01_予約入力'!$N$5:$N$204,$W10)="調整中"),"仮",INDEX('01_予約入力'!$C$5:$C$204,$W10)),IF($U10&gt;0,IF(OR(INDEX('01_予約入力'!$N$5:$N$204,$U10)="仮予約",INDEX('01_予約入力'!$N$5:$N$204,$U10)="調整中"),"仮",INDEX('01_予約入力'!$C$5:$C$204,$U10)),""))))</f>
        <v/>
      </c>
      <c r="AB10" s="44">
        <f>IF($A10="",0,SUMPRODUCT(('01_予約入力'!$G$5:$G$204&lt;&gt;"")*('01_予約入力'!$N$5:$N$204&lt;&gt;"キャンセル")*('01_予約入力'!$G$5:$G$204&lt;$A10)*('01_予約入力'!$J$5:$J$204&gt;=$A10)))</f>
        <v/>
      </c>
      <c r="AC10" s="44">
        <f>IF($A10="",0,SUMPRODUCT(('01_予約入力'!$G$5:$G$204&lt;&gt;"")*('01_予約入力'!$N$5:$N$204&lt;&gt;"キャンセル")*((('01_予約入力'!$G$5:$G$204&lt;$A10)*('01_予約入力'!$J$5:$J$204&gt;$A10))+(('01_予約入力'!$G$5:$G$204=$A10)*('01_予約入力'!$J$5:$J$204=$A10)))))</f>
        <v/>
      </c>
      <c r="AD10" s="44">
        <f>IF($A10="",0,SUMPRODUCT(('01_予約入力'!$G$5:$G$204&lt;&gt;"")*('01_予約入力'!$N$5:$N$204&lt;&gt;"キャンセル")*('01_予約入力'!$G$5:$G$204&lt;=$A10)*('01_予約入力'!$J$5:$J$204&gt;$A10)))</f>
        <v/>
      </c>
      <c r="AE10" s="44">
        <f>IF($A10="",0,IFERROR(MATCH($A10,'02_カレンダー'!$B$59:$B$78,0),0))</f>
        <v/>
      </c>
      <c r="AF10" s="44">
        <f>IF($A10="",0,IF($AE10=0,$AB10,IF(INDEX('02_カレンダー'!$C$59:$C$78,$AE10)="",$AB10,INDEX('02_カレンダー'!$C$59:$C$78,$AE10))))</f>
        <v/>
      </c>
      <c r="AG10" s="44">
        <f>IF($A10="",0,IF($AE10=0,$AC10,IF(INDEX('02_カレンダー'!$D$59:$D$78,$AE10)="",$AC10,INDEX('02_カレンダー'!$D$59:$D$78,$AE10))))</f>
        <v/>
      </c>
      <c r="AH10" s="44">
        <f>IF($A10="",0,IF($AE10=0,$AD10,IF(INDEX('02_カレンダー'!$E$59:$E$78,$AE10)="",$AD10,INDEX('02_カレンダー'!$E$59:$E$78,$AE10))))</f>
        <v/>
      </c>
      <c r="AI10" s="44">
        <f>IF($A10="","",IF(AND($AF10=0,$AG10=0,$AH10=0),"","朝"&amp;$AF10&amp;" 昼"&amp;$AG10&amp;" 夕"&amp;$AH10&amp;IF($AJ10=0,"","　※調整")))</f>
        <v/>
      </c>
      <c r="AJ10" s="44">
        <f>IF(OR($A10="",$AE10=0),0,IF(OR(INDEX('02_カレンダー'!$C$59:$C$78,$AE10)&lt;&gt;"",INDEX('02_カレンダー'!$D$59:$D$78,$AE10)&lt;&gt;"",INDEX('02_カレンダー'!$E$59:$E$78,$AE10)&lt;&gt;""),1,0))</f>
        <v/>
      </c>
    </row>
    <row r="11">
      <c r="A11" s="37">
        <f>IF(MONTH('02_カレンダー'!$B$4+4)&lt;&gt;MONTH('02_カレンダー'!$B$4),"",'02_カレンダー'!$B$4+4)</f>
        <v/>
      </c>
      <c r="B11" s="44">
        <f>IF($A11="","",MID("日月火水木金土",WEEKDAY($A11),1))</f>
        <v/>
      </c>
      <c r="C11" s="48">
        <f>IF(OR($A11="",C$6=""),"",IF($L11=0,"",INDEX('01_予約入力'!$B$5:$B$204,$L11)&amp;" ◀"&amp;IF(('02_カレンダー'!$B$5="○"),INDEX('01_予約入力'!$AB$5:$AB$204,$L11),""))&amp;IF(AND($L11&gt;0,OR($M11&gt;0,$N11&gt;0)),"  ","")&amp;IF($M11=0,"",IF(INDEX('01_予約入力'!$G$5:$G$204,$M11)=$A11,"▶"&amp;IF(('02_カレンダー'!$B$5="○"),INDEX('01_予約入力'!$AA$5:$AA$204,$M11)&amp;" "," "),"")&amp;INDEX('01_予約入力'!$B$5:$B$204,$M11))&amp;IF(AND($M11&gt;0,$N11&gt;0),"  ","")&amp;IF($N11=0,"","◆ "&amp;INDEX('01_予約入力'!$B$5:$B$204,$N11)&amp;IF(('02_カレンダー'!$B$5="○")," "&amp;INDEX('01_予約入力'!$AA$5:$AA$204,$N11)&amp;"-"&amp;INDEX('01_予約入力'!$AB$5:$AB$204,$N11),"")))</f>
        <v/>
      </c>
      <c r="D11" s="48">
        <f>IF(OR($A11="",D$6=""),"",IF($O11=0,"",INDEX('01_予約入力'!$B$5:$B$204,$O11)&amp;" ◀"&amp;IF(('02_カレンダー'!$B$5="○"),INDEX('01_予約入力'!$AB$5:$AB$204,$O11),""))&amp;IF(AND($O11&gt;0,OR($P11&gt;0,$Q11&gt;0)),"  ","")&amp;IF($P11=0,"",IF(INDEX('01_予約入力'!$G$5:$G$204,$P11)=$A11,"▶"&amp;IF(('02_カレンダー'!$B$5="○"),INDEX('01_予約入力'!$AA$5:$AA$204,$P11)&amp;" "," "),"")&amp;INDEX('01_予約入力'!$B$5:$B$204,$P11))&amp;IF(AND($P11&gt;0,$Q11&gt;0),"  ","")&amp;IF($Q11=0,"","◆ "&amp;INDEX('01_予約入力'!$B$5:$B$204,$Q11)&amp;IF(('02_カレンダー'!$B$5="○")," "&amp;INDEX('01_予約入力'!$AA$5:$AA$204,$Q11)&amp;"-"&amp;INDEX('01_予約入力'!$AB$5:$AB$204,$Q11),"")))</f>
        <v/>
      </c>
      <c r="E11" s="48">
        <f>IF(OR($A11="",E$6=""),"",IF($R11=0,"",INDEX('01_予約入力'!$B$5:$B$204,$R11)&amp;" ◀"&amp;IF(('02_カレンダー'!$B$5="○"),INDEX('01_予約入力'!$AB$5:$AB$204,$R11),""))&amp;IF(AND($R11&gt;0,OR($S11&gt;0,$T11&gt;0)),"  ","")&amp;IF($S11=0,"",IF(INDEX('01_予約入力'!$G$5:$G$204,$S11)=$A11,"▶"&amp;IF(('02_カレンダー'!$B$5="○"),INDEX('01_予約入力'!$AA$5:$AA$204,$S11)&amp;" "," "),"")&amp;INDEX('01_予約入力'!$B$5:$B$204,$S11))&amp;IF(AND($S11&gt;0,$T11&gt;0),"  ","")&amp;IF($T11=0,"","◆ "&amp;INDEX('01_予約入力'!$B$5:$B$204,$T11)&amp;IF(('02_カレンダー'!$B$5="○")," "&amp;INDEX('01_予約入力'!$AA$5:$AA$204,$T11)&amp;"-"&amp;INDEX('01_予約入力'!$AB$5:$AB$204,$T11),"")))</f>
        <v/>
      </c>
      <c r="F11" s="48">
        <f>IF(OR($A11="",F$6=""),"",IF($U11=0,"",INDEX('01_予約入力'!$B$5:$B$204,$U11)&amp;" ◀"&amp;IF(('02_カレンダー'!$B$5="○"),INDEX('01_予約入力'!$AB$5:$AB$204,$U11),""))&amp;IF(AND($U11&gt;0,OR($V11&gt;0,$W11&gt;0)),"  ","")&amp;IF($V11=0,"",IF(INDEX('01_予約入力'!$G$5:$G$204,$V11)=$A11,"▶"&amp;IF(('02_カレンダー'!$B$5="○"),INDEX('01_予約入力'!$AA$5:$AA$204,$V11)&amp;" "," "),"")&amp;INDEX('01_予約入力'!$B$5:$B$204,$V11))&amp;IF(AND($V11&gt;0,$W11&gt;0),"  ","")&amp;IF($W11=0,"","◆ "&amp;INDEX('01_予約入力'!$B$5:$B$204,$W11)&amp;IF(('02_カレンダー'!$B$5="○")," "&amp;INDEX('01_予約入力'!$AA$5:$AA$204,$W11)&amp;"-"&amp;INDEX('01_予約入力'!$AB$5:$AB$204,$W11),"")))</f>
        <v/>
      </c>
      <c r="G11" s="44">
        <f>IF($A11="","",SUMPRODUCT(('01_予約入力'!$G$5:$G$204&lt;&gt;"")*('01_予約入力'!$N$5:$N$204&lt;&gt;"キャンセル")*('01_予約入力'!$G$5:$G$204&lt;=$A11)*('01_予約入力'!$J$5:$J$204&gt;$A11)))</f>
        <v/>
      </c>
      <c r="H11" s="44">
        <f>IF($A11="","",'M_施設設定'!$B$6-$G11)</f>
        <v/>
      </c>
      <c r="I11" s="44">
        <f>IF($A11="","",SUMPRODUCT((('01_予約入力'!$N$5:$N$204="仮予約")+('01_予約入力'!$N$5:$N$204="調整中"))*('01_予約入力'!$G$5:$G$204&lt;&gt;"")*('01_予約入力'!$G$5:$G$204&lt;=$A11)*('01_予約入力'!$J$5:$J$204&gt;$A11)))</f>
        <v/>
      </c>
      <c r="J11" s="44">
        <f>IF($A11="","",IF($I11&gt;0,"仮",IF($H11&lt;=0,"×",IF($H11&lt;'M_施設設定'!$B$6,"△","○"))))</f>
        <v/>
      </c>
      <c r="K11" s="44">
        <f>IF($A11="","",SUMPRODUCT(('01_予約入力'!$G$5:$G$204&lt;&gt;"")*('01_予約入力'!$N$5:$N$204&lt;&gt;"キャンセル")*('01_予約入力'!$G$5:$G$204=$A11)*('01_予約入力'!$J$5:$J$204=$A11)))</f>
        <v/>
      </c>
      <c r="L11" s="44">
        <f>IF(OR($A11="",C$6=""),0,SUMPRODUCT(MAX(('01_予約入力'!$D$5:$D$204=C$6)*('01_予約入力'!$N$5:$N$204&lt;&gt;"キャンセル")*('01_予約入力'!$G$5:$G$204&lt;&gt;"")*('01_予約入力'!$J$5:$J$204=$A11)*('01_予約入力'!$G$5:$G$204&lt;$A11)*(ROW('01_予約入力'!$G$5:$G$204)-4))))</f>
        <v/>
      </c>
      <c r="M11" s="44">
        <f>IF(OR($A11="",C$6=""),0,SUMPRODUCT(MAX(('01_予約入力'!$D$5:$D$204=C$6)*('01_予約入力'!$N$5:$N$204&lt;&gt;"キャンセル")*('01_予約入力'!$G$5:$G$204&lt;&gt;"")*('01_予約入力'!$G$5:$G$204&lt;=$A11)*('01_予約入力'!$J$5:$J$204&gt;$A11)*(ROW('01_予約入力'!$G$5:$G$204)-4))))</f>
        <v/>
      </c>
      <c r="N11" s="44">
        <f>IF(OR($A11="",C$6=""),0,SUMPRODUCT(MAX(('01_予約入力'!$D$5:$D$204=C$6)*('01_予約入力'!$N$5:$N$204&lt;&gt;"キャンセル")*('01_予約入力'!$G$5:$G$204&lt;&gt;"")*('01_予約入力'!$G$5:$G$204=$A11)*('01_予約入力'!$J$5:$J$204=$A11)*(ROW('01_予約入力'!$G$5:$G$204)-4))))</f>
        <v/>
      </c>
      <c r="O11" s="44">
        <f>IF(OR($A11="",D$6=""),0,SUMPRODUCT(MAX(('01_予約入力'!$D$5:$D$204=D$6)*('01_予約入力'!$N$5:$N$204&lt;&gt;"キャンセル")*('01_予約入力'!$G$5:$G$204&lt;&gt;"")*('01_予約入力'!$J$5:$J$204=$A11)*('01_予約入力'!$G$5:$G$204&lt;$A11)*(ROW('01_予約入力'!$G$5:$G$204)-4))))</f>
        <v/>
      </c>
      <c r="P11" s="44">
        <f>IF(OR($A11="",D$6=""),0,SUMPRODUCT(MAX(('01_予約入力'!$D$5:$D$204=D$6)*('01_予約入力'!$N$5:$N$204&lt;&gt;"キャンセル")*('01_予約入力'!$G$5:$G$204&lt;&gt;"")*('01_予約入力'!$G$5:$G$204&lt;=$A11)*('01_予約入力'!$J$5:$J$204&gt;$A11)*(ROW('01_予約入力'!$G$5:$G$204)-4))))</f>
        <v/>
      </c>
      <c r="Q11" s="44">
        <f>IF(OR($A11="",D$6=""),0,SUMPRODUCT(MAX(('01_予約入力'!$D$5:$D$204=D$6)*('01_予約入力'!$N$5:$N$204&lt;&gt;"キャンセル")*('01_予約入力'!$G$5:$G$204&lt;&gt;"")*('01_予約入力'!$G$5:$G$204=$A11)*('01_予約入力'!$J$5:$J$204=$A11)*(ROW('01_予約入力'!$G$5:$G$204)-4))))</f>
        <v/>
      </c>
      <c r="R11" s="44">
        <f>IF(OR($A11="",E$6=""),0,SUMPRODUCT(MAX(('01_予約入力'!$D$5:$D$204=E$6)*('01_予約入力'!$N$5:$N$204&lt;&gt;"キャンセル")*('01_予約入力'!$G$5:$G$204&lt;&gt;"")*('01_予約入力'!$J$5:$J$204=$A11)*('01_予約入力'!$G$5:$G$204&lt;$A11)*(ROW('01_予約入力'!$G$5:$G$204)-4))))</f>
        <v/>
      </c>
      <c r="S11" s="44">
        <f>IF(OR($A11="",E$6=""),0,SUMPRODUCT(MAX(('01_予約入力'!$D$5:$D$204=E$6)*('01_予約入力'!$N$5:$N$204&lt;&gt;"キャンセル")*('01_予約入力'!$G$5:$G$204&lt;&gt;"")*('01_予約入力'!$G$5:$G$204&lt;=$A11)*('01_予約入力'!$J$5:$J$204&gt;$A11)*(ROW('01_予約入力'!$G$5:$G$204)-4))))</f>
        <v/>
      </c>
      <c r="T11" s="44">
        <f>IF(OR($A11="",E$6=""),0,SUMPRODUCT(MAX(('01_予約入力'!$D$5:$D$204=E$6)*('01_予約入力'!$N$5:$N$204&lt;&gt;"キャンセル")*('01_予約入力'!$G$5:$G$204&lt;&gt;"")*('01_予約入力'!$G$5:$G$204=$A11)*('01_予約入力'!$J$5:$J$204=$A11)*(ROW('01_予約入力'!$G$5:$G$204)-4))))</f>
        <v/>
      </c>
      <c r="U11" s="44">
        <f>IF(OR($A11="",F$6=""),0,SUMPRODUCT(MAX(('01_予約入力'!$D$5:$D$204=F$6)*('01_予約入力'!$N$5:$N$204&lt;&gt;"キャンセル")*('01_予約入力'!$G$5:$G$204&lt;&gt;"")*('01_予約入力'!$J$5:$J$204=$A11)*('01_予約入力'!$G$5:$G$204&lt;$A11)*(ROW('01_予約入力'!$G$5:$G$204)-4))))</f>
        <v/>
      </c>
      <c r="V11" s="44">
        <f>IF(OR($A11="",F$6=""),0,SUMPRODUCT(MAX(('01_予約入力'!$D$5:$D$204=F$6)*('01_予約入力'!$N$5:$N$204&lt;&gt;"キャンセル")*('01_予約入力'!$G$5:$G$204&lt;&gt;"")*('01_予約入力'!$G$5:$G$204&lt;=$A11)*('01_予約入力'!$J$5:$J$204&gt;$A11)*(ROW('01_予約入力'!$G$5:$G$204)-4))))</f>
        <v/>
      </c>
      <c r="W11" s="44">
        <f>IF(OR($A11="",F$6=""),0,SUMPRODUCT(MAX(('01_予約入力'!$D$5:$D$204=F$6)*('01_予約入力'!$N$5:$N$204&lt;&gt;"キャンセル")*('01_予約入力'!$G$5:$G$204&lt;&gt;"")*('01_予約入力'!$G$5:$G$204=$A11)*('01_予約入力'!$J$5:$J$204=$A11)*(ROW('01_予約入力'!$G$5:$G$204)-4))))</f>
        <v/>
      </c>
      <c r="X11" s="44">
        <f>IF($A11="","",IF($M11&gt;0,IF(OR(INDEX('01_予約入力'!$N$5:$N$204,$M11)="仮予約",INDEX('01_予約入力'!$N$5:$N$204,$M11)="調整中"),"仮",INDEX('01_予約入力'!$C$5:$C$204,$M11)),IF($N11&gt;0,IF(OR(INDEX('01_予約入力'!$N$5:$N$204,$N11)="仮予約",INDEX('01_予約入力'!$N$5:$N$204,$N11)="調整中"),"仮",INDEX('01_予約入力'!$C$5:$C$204,$N11)),IF($L11&gt;0,IF(OR(INDEX('01_予約入力'!$N$5:$N$204,$L11)="仮予約",INDEX('01_予約入力'!$N$5:$N$204,$L11)="調整中"),"仮",INDEX('01_予約入力'!$C$5:$C$204,$L11)),""))))</f>
        <v/>
      </c>
      <c r="Y11" s="44">
        <f>IF($A11="","",IF($P11&gt;0,IF(OR(INDEX('01_予約入力'!$N$5:$N$204,$P11)="仮予約",INDEX('01_予約入力'!$N$5:$N$204,$P11)="調整中"),"仮",INDEX('01_予約入力'!$C$5:$C$204,$P11)),IF($Q11&gt;0,IF(OR(INDEX('01_予約入力'!$N$5:$N$204,$Q11)="仮予約",INDEX('01_予約入力'!$N$5:$N$204,$Q11)="調整中"),"仮",INDEX('01_予約入力'!$C$5:$C$204,$Q11)),IF($O11&gt;0,IF(OR(INDEX('01_予約入力'!$N$5:$N$204,$O11)="仮予約",INDEX('01_予約入力'!$N$5:$N$204,$O11)="調整中"),"仮",INDEX('01_予約入力'!$C$5:$C$204,$O11)),""))))</f>
        <v/>
      </c>
      <c r="Z11" s="44">
        <f>IF($A11="","",IF($S11&gt;0,IF(OR(INDEX('01_予約入力'!$N$5:$N$204,$S11)="仮予約",INDEX('01_予約入力'!$N$5:$N$204,$S11)="調整中"),"仮",INDEX('01_予約入力'!$C$5:$C$204,$S11)),IF($T11&gt;0,IF(OR(INDEX('01_予約入力'!$N$5:$N$204,$T11)="仮予約",INDEX('01_予約入力'!$N$5:$N$204,$T11)="調整中"),"仮",INDEX('01_予約入力'!$C$5:$C$204,$T11)),IF($R11&gt;0,IF(OR(INDEX('01_予約入力'!$N$5:$N$204,$R11)="仮予約",INDEX('01_予約入力'!$N$5:$N$204,$R11)="調整中"),"仮",INDEX('01_予約入力'!$C$5:$C$204,$R11)),""))))</f>
        <v/>
      </c>
      <c r="AA11" s="44">
        <f>IF($A11="","",IF($V11&gt;0,IF(OR(INDEX('01_予約入力'!$N$5:$N$204,$V11)="仮予約",INDEX('01_予約入力'!$N$5:$N$204,$V11)="調整中"),"仮",INDEX('01_予約入力'!$C$5:$C$204,$V11)),IF($W11&gt;0,IF(OR(INDEX('01_予約入力'!$N$5:$N$204,$W11)="仮予約",INDEX('01_予約入力'!$N$5:$N$204,$W11)="調整中"),"仮",INDEX('01_予約入力'!$C$5:$C$204,$W11)),IF($U11&gt;0,IF(OR(INDEX('01_予約入力'!$N$5:$N$204,$U11)="仮予約",INDEX('01_予約入力'!$N$5:$N$204,$U11)="調整中"),"仮",INDEX('01_予約入力'!$C$5:$C$204,$U11)),""))))</f>
        <v/>
      </c>
      <c r="AB11" s="44">
        <f>IF($A11="",0,SUMPRODUCT(('01_予約入力'!$G$5:$G$204&lt;&gt;"")*('01_予約入力'!$N$5:$N$204&lt;&gt;"キャンセル")*('01_予約入力'!$G$5:$G$204&lt;$A11)*('01_予約入力'!$J$5:$J$204&gt;=$A11)))</f>
        <v/>
      </c>
      <c r="AC11" s="44">
        <f>IF($A11="",0,SUMPRODUCT(('01_予約入力'!$G$5:$G$204&lt;&gt;"")*('01_予約入力'!$N$5:$N$204&lt;&gt;"キャンセル")*((('01_予約入力'!$G$5:$G$204&lt;$A11)*('01_予約入力'!$J$5:$J$204&gt;$A11))+(('01_予約入力'!$G$5:$G$204=$A11)*('01_予約入力'!$J$5:$J$204=$A11)))))</f>
        <v/>
      </c>
      <c r="AD11" s="44">
        <f>IF($A11="",0,SUMPRODUCT(('01_予約入力'!$G$5:$G$204&lt;&gt;"")*('01_予約入力'!$N$5:$N$204&lt;&gt;"キャンセル")*('01_予約入力'!$G$5:$G$204&lt;=$A11)*('01_予約入力'!$J$5:$J$204&gt;$A11)))</f>
        <v/>
      </c>
      <c r="AE11" s="44">
        <f>IF($A11="",0,IFERROR(MATCH($A11,'02_カレンダー'!$B$59:$B$78,0),0))</f>
        <v/>
      </c>
      <c r="AF11" s="44">
        <f>IF($A11="",0,IF($AE11=0,$AB11,IF(INDEX('02_カレンダー'!$C$59:$C$78,$AE11)="",$AB11,INDEX('02_カレンダー'!$C$59:$C$78,$AE11))))</f>
        <v/>
      </c>
      <c r="AG11" s="44">
        <f>IF($A11="",0,IF($AE11=0,$AC11,IF(INDEX('02_カレンダー'!$D$59:$D$78,$AE11)="",$AC11,INDEX('02_カレンダー'!$D$59:$D$78,$AE11))))</f>
        <v/>
      </c>
      <c r="AH11" s="44">
        <f>IF($A11="",0,IF($AE11=0,$AD11,IF(INDEX('02_カレンダー'!$E$59:$E$78,$AE11)="",$AD11,INDEX('02_カレンダー'!$E$59:$E$78,$AE11))))</f>
        <v/>
      </c>
      <c r="AI11" s="44">
        <f>IF($A11="","",IF(AND($AF11=0,$AG11=0,$AH11=0),"","朝"&amp;$AF11&amp;" 昼"&amp;$AG11&amp;" 夕"&amp;$AH11&amp;IF($AJ11=0,"","　※調整")))</f>
        <v/>
      </c>
      <c r="AJ11" s="44">
        <f>IF(OR($A11="",$AE11=0),0,IF(OR(INDEX('02_カレンダー'!$C$59:$C$78,$AE11)&lt;&gt;"",INDEX('02_カレンダー'!$D$59:$D$78,$AE11)&lt;&gt;"",INDEX('02_カレンダー'!$E$59:$E$78,$AE11)&lt;&gt;""),1,0))</f>
        <v/>
      </c>
    </row>
    <row r="12">
      <c r="A12" s="37">
        <f>IF(MONTH('02_カレンダー'!$B$4+5)&lt;&gt;MONTH('02_カレンダー'!$B$4),"",'02_カレンダー'!$B$4+5)</f>
        <v/>
      </c>
      <c r="B12" s="44">
        <f>IF($A12="","",MID("日月火水木金土",WEEKDAY($A12),1))</f>
        <v/>
      </c>
      <c r="C12" s="48">
        <f>IF(OR($A12="",C$6=""),"",IF($L12=0,"",INDEX('01_予約入力'!$B$5:$B$204,$L12)&amp;" ◀"&amp;IF(('02_カレンダー'!$B$5="○"),INDEX('01_予約入力'!$AB$5:$AB$204,$L12),""))&amp;IF(AND($L12&gt;0,OR($M12&gt;0,$N12&gt;0)),"  ","")&amp;IF($M12=0,"",IF(INDEX('01_予約入力'!$G$5:$G$204,$M12)=$A12,"▶"&amp;IF(('02_カレンダー'!$B$5="○"),INDEX('01_予約入力'!$AA$5:$AA$204,$M12)&amp;" "," "),"")&amp;INDEX('01_予約入力'!$B$5:$B$204,$M12))&amp;IF(AND($M12&gt;0,$N12&gt;0),"  ","")&amp;IF($N12=0,"","◆ "&amp;INDEX('01_予約入力'!$B$5:$B$204,$N12)&amp;IF(('02_カレンダー'!$B$5="○")," "&amp;INDEX('01_予約入力'!$AA$5:$AA$204,$N12)&amp;"-"&amp;INDEX('01_予約入力'!$AB$5:$AB$204,$N12),"")))</f>
        <v/>
      </c>
      <c r="D12" s="48">
        <f>IF(OR($A12="",D$6=""),"",IF($O12=0,"",INDEX('01_予約入力'!$B$5:$B$204,$O12)&amp;" ◀"&amp;IF(('02_カレンダー'!$B$5="○"),INDEX('01_予約入力'!$AB$5:$AB$204,$O12),""))&amp;IF(AND($O12&gt;0,OR($P12&gt;0,$Q12&gt;0)),"  ","")&amp;IF($P12=0,"",IF(INDEX('01_予約入力'!$G$5:$G$204,$P12)=$A12,"▶"&amp;IF(('02_カレンダー'!$B$5="○"),INDEX('01_予約入力'!$AA$5:$AA$204,$P12)&amp;" "," "),"")&amp;INDEX('01_予約入力'!$B$5:$B$204,$P12))&amp;IF(AND($P12&gt;0,$Q12&gt;0),"  ","")&amp;IF($Q12=0,"","◆ "&amp;INDEX('01_予約入力'!$B$5:$B$204,$Q12)&amp;IF(('02_カレンダー'!$B$5="○")," "&amp;INDEX('01_予約入力'!$AA$5:$AA$204,$Q12)&amp;"-"&amp;INDEX('01_予約入力'!$AB$5:$AB$204,$Q12),"")))</f>
        <v/>
      </c>
      <c r="E12" s="48">
        <f>IF(OR($A12="",E$6=""),"",IF($R12=0,"",INDEX('01_予約入力'!$B$5:$B$204,$R12)&amp;" ◀"&amp;IF(('02_カレンダー'!$B$5="○"),INDEX('01_予約入力'!$AB$5:$AB$204,$R12),""))&amp;IF(AND($R12&gt;0,OR($S12&gt;0,$T12&gt;0)),"  ","")&amp;IF($S12=0,"",IF(INDEX('01_予約入力'!$G$5:$G$204,$S12)=$A12,"▶"&amp;IF(('02_カレンダー'!$B$5="○"),INDEX('01_予約入力'!$AA$5:$AA$204,$S12)&amp;" "," "),"")&amp;INDEX('01_予約入力'!$B$5:$B$204,$S12))&amp;IF(AND($S12&gt;0,$T12&gt;0),"  ","")&amp;IF($T12=0,"","◆ "&amp;INDEX('01_予約入力'!$B$5:$B$204,$T12)&amp;IF(('02_カレンダー'!$B$5="○")," "&amp;INDEX('01_予約入力'!$AA$5:$AA$204,$T12)&amp;"-"&amp;INDEX('01_予約入力'!$AB$5:$AB$204,$T12),"")))</f>
        <v/>
      </c>
      <c r="F12" s="48">
        <f>IF(OR($A12="",F$6=""),"",IF($U12=0,"",INDEX('01_予約入力'!$B$5:$B$204,$U12)&amp;" ◀"&amp;IF(('02_カレンダー'!$B$5="○"),INDEX('01_予約入力'!$AB$5:$AB$204,$U12),""))&amp;IF(AND($U12&gt;0,OR($V12&gt;0,$W12&gt;0)),"  ","")&amp;IF($V12=0,"",IF(INDEX('01_予約入力'!$G$5:$G$204,$V12)=$A12,"▶"&amp;IF(('02_カレンダー'!$B$5="○"),INDEX('01_予約入力'!$AA$5:$AA$204,$V12)&amp;" "," "),"")&amp;INDEX('01_予約入力'!$B$5:$B$204,$V12))&amp;IF(AND($V12&gt;0,$W12&gt;0),"  ","")&amp;IF($W12=0,"","◆ "&amp;INDEX('01_予約入力'!$B$5:$B$204,$W12)&amp;IF(('02_カレンダー'!$B$5="○")," "&amp;INDEX('01_予約入力'!$AA$5:$AA$204,$W12)&amp;"-"&amp;INDEX('01_予約入力'!$AB$5:$AB$204,$W12),"")))</f>
        <v/>
      </c>
      <c r="G12" s="44">
        <f>IF($A12="","",SUMPRODUCT(('01_予約入力'!$G$5:$G$204&lt;&gt;"")*('01_予約入力'!$N$5:$N$204&lt;&gt;"キャンセル")*('01_予約入力'!$G$5:$G$204&lt;=$A12)*('01_予約入力'!$J$5:$J$204&gt;$A12)))</f>
        <v/>
      </c>
      <c r="H12" s="44">
        <f>IF($A12="","",'M_施設設定'!$B$6-$G12)</f>
        <v/>
      </c>
      <c r="I12" s="44">
        <f>IF($A12="","",SUMPRODUCT((('01_予約入力'!$N$5:$N$204="仮予約")+('01_予約入力'!$N$5:$N$204="調整中"))*('01_予約入力'!$G$5:$G$204&lt;&gt;"")*('01_予約入力'!$G$5:$G$204&lt;=$A12)*('01_予約入力'!$J$5:$J$204&gt;$A12)))</f>
        <v/>
      </c>
      <c r="J12" s="44">
        <f>IF($A12="","",IF($I12&gt;0,"仮",IF($H12&lt;=0,"×",IF($H12&lt;'M_施設設定'!$B$6,"△","○"))))</f>
        <v/>
      </c>
      <c r="K12" s="44">
        <f>IF($A12="","",SUMPRODUCT(('01_予約入力'!$G$5:$G$204&lt;&gt;"")*('01_予約入力'!$N$5:$N$204&lt;&gt;"キャンセル")*('01_予約入力'!$G$5:$G$204=$A12)*('01_予約入力'!$J$5:$J$204=$A12)))</f>
        <v/>
      </c>
      <c r="L12" s="44">
        <f>IF(OR($A12="",C$6=""),0,SUMPRODUCT(MAX(('01_予約入力'!$D$5:$D$204=C$6)*('01_予約入力'!$N$5:$N$204&lt;&gt;"キャンセル")*('01_予約入力'!$G$5:$G$204&lt;&gt;"")*('01_予約入力'!$J$5:$J$204=$A12)*('01_予約入力'!$G$5:$G$204&lt;$A12)*(ROW('01_予約入力'!$G$5:$G$204)-4))))</f>
        <v/>
      </c>
      <c r="M12" s="44">
        <f>IF(OR($A12="",C$6=""),0,SUMPRODUCT(MAX(('01_予約入力'!$D$5:$D$204=C$6)*('01_予約入力'!$N$5:$N$204&lt;&gt;"キャンセル")*('01_予約入力'!$G$5:$G$204&lt;&gt;"")*('01_予約入力'!$G$5:$G$204&lt;=$A12)*('01_予約入力'!$J$5:$J$204&gt;$A12)*(ROW('01_予約入力'!$G$5:$G$204)-4))))</f>
        <v/>
      </c>
      <c r="N12" s="44">
        <f>IF(OR($A12="",C$6=""),0,SUMPRODUCT(MAX(('01_予約入力'!$D$5:$D$204=C$6)*('01_予約入力'!$N$5:$N$204&lt;&gt;"キャンセル")*('01_予約入力'!$G$5:$G$204&lt;&gt;"")*('01_予約入力'!$G$5:$G$204=$A12)*('01_予約入力'!$J$5:$J$204=$A12)*(ROW('01_予約入力'!$G$5:$G$204)-4))))</f>
        <v/>
      </c>
      <c r="O12" s="44">
        <f>IF(OR($A12="",D$6=""),0,SUMPRODUCT(MAX(('01_予約入力'!$D$5:$D$204=D$6)*('01_予約入力'!$N$5:$N$204&lt;&gt;"キャンセル")*('01_予約入力'!$G$5:$G$204&lt;&gt;"")*('01_予約入力'!$J$5:$J$204=$A12)*('01_予約入力'!$G$5:$G$204&lt;$A12)*(ROW('01_予約入力'!$G$5:$G$204)-4))))</f>
        <v/>
      </c>
      <c r="P12" s="44">
        <f>IF(OR($A12="",D$6=""),0,SUMPRODUCT(MAX(('01_予約入力'!$D$5:$D$204=D$6)*('01_予約入力'!$N$5:$N$204&lt;&gt;"キャンセル")*('01_予約入力'!$G$5:$G$204&lt;&gt;"")*('01_予約入力'!$G$5:$G$204&lt;=$A12)*('01_予約入力'!$J$5:$J$204&gt;$A12)*(ROW('01_予約入力'!$G$5:$G$204)-4))))</f>
        <v/>
      </c>
      <c r="Q12" s="44">
        <f>IF(OR($A12="",D$6=""),0,SUMPRODUCT(MAX(('01_予約入力'!$D$5:$D$204=D$6)*('01_予約入力'!$N$5:$N$204&lt;&gt;"キャンセル")*('01_予約入力'!$G$5:$G$204&lt;&gt;"")*('01_予約入力'!$G$5:$G$204=$A12)*('01_予約入力'!$J$5:$J$204=$A12)*(ROW('01_予約入力'!$G$5:$G$204)-4))))</f>
        <v/>
      </c>
      <c r="R12" s="44">
        <f>IF(OR($A12="",E$6=""),0,SUMPRODUCT(MAX(('01_予約入力'!$D$5:$D$204=E$6)*('01_予約入力'!$N$5:$N$204&lt;&gt;"キャンセル")*('01_予約入力'!$G$5:$G$204&lt;&gt;"")*('01_予約入力'!$J$5:$J$204=$A12)*('01_予約入力'!$G$5:$G$204&lt;$A12)*(ROW('01_予約入力'!$G$5:$G$204)-4))))</f>
        <v/>
      </c>
      <c r="S12" s="44">
        <f>IF(OR($A12="",E$6=""),0,SUMPRODUCT(MAX(('01_予約入力'!$D$5:$D$204=E$6)*('01_予約入力'!$N$5:$N$204&lt;&gt;"キャンセル")*('01_予約入力'!$G$5:$G$204&lt;&gt;"")*('01_予約入力'!$G$5:$G$204&lt;=$A12)*('01_予約入力'!$J$5:$J$204&gt;$A12)*(ROW('01_予約入力'!$G$5:$G$204)-4))))</f>
        <v/>
      </c>
      <c r="T12" s="44">
        <f>IF(OR($A12="",E$6=""),0,SUMPRODUCT(MAX(('01_予約入力'!$D$5:$D$204=E$6)*('01_予約入力'!$N$5:$N$204&lt;&gt;"キャンセル")*('01_予約入力'!$G$5:$G$204&lt;&gt;"")*('01_予約入力'!$G$5:$G$204=$A12)*('01_予約入力'!$J$5:$J$204=$A12)*(ROW('01_予約入力'!$G$5:$G$204)-4))))</f>
        <v/>
      </c>
      <c r="U12" s="44">
        <f>IF(OR($A12="",F$6=""),0,SUMPRODUCT(MAX(('01_予約入力'!$D$5:$D$204=F$6)*('01_予約入力'!$N$5:$N$204&lt;&gt;"キャンセル")*('01_予約入力'!$G$5:$G$204&lt;&gt;"")*('01_予約入力'!$J$5:$J$204=$A12)*('01_予約入力'!$G$5:$G$204&lt;$A12)*(ROW('01_予約入力'!$G$5:$G$204)-4))))</f>
        <v/>
      </c>
      <c r="V12" s="44">
        <f>IF(OR($A12="",F$6=""),0,SUMPRODUCT(MAX(('01_予約入力'!$D$5:$D$204=F$6)*('01_予約入力'!$N$5:$N$204&lt;&gt;"キャンセル")*('01_予約入力'!$G$5:$G$204&lt;&gt;"")*('01_予約入力'!$G$5:$G$204&lt;=$A12)*('01_予約入力'!$J$5:$J$204&gt;$A12)*(ROW('01_予約入力'!$G$5:$G$204)-4))))</f>
        <v/>
      </c>
      <c r="W12" s="44">
        <f>IF(OR($A12="",F$6=""),0,SUMPRODUCT(MAX(('01_予約入力'!$D$5:$D$204=F$6)*('01_予約入力'!$N$5:$N$204&lt;&gt;"キャンセル")*('01_予約入力'!$G$5:$G$204&lt;&gt;"")*('01_予約入力'!$G$5:$G$204=$A12)*('01_予約入力'!$J$5:$J$204=$A12)*(ROW('01_予約入力'!$G$5:$G$204)-4))))</f>
        <v/>
      </c>
      <c r="X12" s="44">
        <f>IF($A12="","",IF($M12&gt;0,IF(OR(INDEX('01_予約入力'!$N$5:$N$204,$M12)="仮予約",INDEX('01_予約入力'!$N$5:$N$204,$M12)="調整中"),"仮",INDEX('01_予約入力'!$C$5:$C$204,$M12)),IF($N12&gt;0,IF(OR(INDEX('01_予約入力'!$N$5:$N$204,$N12)="仮予約",INDEX('01_予約入力'!$N$5:$N$204,$N12)="調整中"),"仮",INDEX('01_予約入力'!$C$5:$C$204,$N12)),IF($L12&gt;0,IF(OR(INDEX('01_予約入力'!$N$5:$N$204,$L12)="仮予約",INDEX('01_予約入力'!$N$5:$N$204,$L12)="調整中"),"仮",INDEX('01_予約入力'!$C$5:$C$204,$L12)),""))))</f>
        <v/>
      </c>
      <c r="Y12" s="44">
        <f>IF($A12="","",IF($P12&gt;0,IF(OR(INDEX('01_予約入力'!$N$5:$N$204,$P12)="仮予約",INDEX('01_予約入力'!$N$5:$N$204,$P12)="調整中"),"仮",INDEX('01_予約入力'!$C$5:$C$204,$P12)),IF($Q12&gt;0,IF(OR(INDEX('01_予約入力'!$N$5:$N$204,$Q12)="仮予約",INDEX('01_予約入力'!$N$5:$N$204,$Q12)="調整中"),"仮",INDEX('01_予約入力'!$C$5:$C$204,$Q12)),IF($O12&gt;0,IF(OR(INDEX('01_予約入力'!$N$5:$N$204,$O12)="仮予約",INDEX('01_予約入力'!$N$5:$N$204,$O12)="調整中"),"仮",INDEX('01_予約入力'!$C$5:$C$204,$O12)),""))))</f>
        <v/>
      </c>
      <c r="Z12" s="44">
        <f>IF($A12="","",IF($S12&gt;0,IF(OR(INDEX('01_予約入力'!$N$5:$N$204,$S12)="仮予約",INDEX('01_予約入力'!$N$5:$N$204,$S12)="調整中"),"仮",INDEX('01_予約入力'!$C$5:$C$204,$S12)),IF($T12&gt;0,IF(OR(INDEX('01_予約入力'!$N$5:$N$204,$T12)="仮予約",INDEX('01_予約入力'!$N$5:$N$204,$T12)="調整中"),"仮",INDEX('01_予約入力'!$C$5:$C$204,$T12)),IF($R12&gt;0,IF(OR(INDEX('01_予約入力'!$N$5:$N$204,$R12)="仮予約",INDEX('01_予約入力'!$N$5:$N$204,$R12)="調整中"),"仮",INDEX('01_予約入力'!$C$5:$C$204,$R12)),""))))</f>
        <v/>
      </c>
      <c r="AA12" s="44">
        <f>IF($A12="","",IF($V12&gt;0,IF(OR(INDEX('01_予約入力'!$N$5:$N$204,$V12)="仮予約",INDEX('01_予約入力'!$N$5:$N$204,$V12)="調整中"),"仮",INDEX('01_予約入力'!$C$5:$C$204,$V12)),IF($W12&gt;0,IF(OR(INDEX('01_予約入力'!$N$5:$N$204,$W12)="仮予約",INDEX('01_予約入力'!$N$5:$N$204,$W12)="調整中"),"仮",INDEX('01_予約入力'!$C$5:$C$204,$W12)),IF($U12&gt;0,IF(OR(INDEX('01_予約入力'!$N$5:$N$204,$U12)="仮予約",INDEX('01_予約入力'!$N$5:$N$204,$U12)="調整中"),"仮",INDEX('01_予約入力'!$C$5:$C$204,$U12)),""))))</f>
        <v/>
      </c>
      <c r="AB12" s="44">
        <f>IF($A12="",0,SUMPRODUCT(('01_予約入力'!$G$5:$G$204&lt;&gt;"")*('01_予約入力'!$N$5:$N$204&lt;&gt;"キャンセル")*('01_予約入力'!$G$5:$G$204&lt;$A12)*('01_予約入力'!$J$5:$J$204&gt;=$A12)))</f>
        <v/>
      </c>
      <c r="AC12" s="44">
        <f>IF($A12="",0,SUMPRODUCT(('01_予約入力'!$G$5:$G$204&lt;&gt;"")*('01_予約入力'!$N$5:$N$204&lt;&gt;"キャンセル")*((('01_予約入力'!$G$5:$G$204&lt;$A12)*('01_予約入力'!$J$5:$J$204&gt;$A12))+(('01_予約入力'!$G$5:$G$204=$A12)*('01_予約入力'!$J$5:$J$204=$A12)))))</f>
        <v/>
      </c>
      <c r="AD12" s="44">
        <f>IF($A12="",0,SUMPRODUCT(('01_予約入力'!$G$5:$G$204&lt;&gt;"")*('01_予約入力'!$N$5:$N$204&lt;&gt;"キャンセル")*('01_予約入力'!$G$5:$G$204&lt;=$A12)*('01_予約入力'!$J$5:$J$204&gt;$A12)))</f>
        <v/>
      </c>
      <c r="AE12" s="44">
        <f>IF($A12="",0,IFERROR(MATCH($A12,'02_カレンダー'!$B$59:$B$78,0),0))</f>
        <v/>
      </c>
      <c r="AF12" s="44">
        <f>IF($A12="",0,IF($AE12=0,$AB12,IF(INDEX('02_カレンダー'!$C$59:$C$78,$AE12)="",$AB12,INDEX('02_カレンダー'!$C$59:$C$78,$AE12))))</f>
        <v/>
      </c>
      <c r="AG12" s="44">
        <f>IF($A12="",0,IF($AE12=0,$AC12,IF(INDEX('02_カレンダー'!$D$59:$D$78,$AE12)="",$AC12,INDEX('02_カレンダー'!$D$59:$D$78,$AE12))))</f>
        <v/>
      </c>
      <c r="AH12" s="44">
        <f>IF($A12="",0,IF($AE12=0,$AD12,IF(INDEX('02_カレンダー'!$E$59:$E$78,$AE12)="",$AD12,INDEX('02_カレンダー'!$E$59:$E$78,$AE12))))</f>
        <v/>
      </c>
      <c r="AI12" s="44">
        <f>IF($A12="","",IF(AND($AF12=0,$AG12=0,$AH12=0),"","朝"&amp;$AF12&amp;" 昼"&amp;$AG12&amp;" 夕"&amp;$AH12&amp;IF($AJ12=0,"","　※調整")))</f>
        <v/>
      </c>
      <c r="AJ12" s="44">
        <f>IF(OR($A12="",$AE12=0),0,IF(OR(INDEX('02_カレンダー'!$C$59:$C$78,$AE12)&lt;&gt;"",INDEX('02_カレンダー'!$D$59:$D$78,$AE12)&lt;&gt;"",INDEX('02_カレンダー'!$E$59:$E$78,$AE12)&lt;&gt;""),1,0))</f>
        <v/>
      </c>
    </row>
    <row r="13">
      <c r="A13" s="37">
        <f>IF(MONTH('02_カレンダー'!$B$4+6)&lt;&gt;MONTH('02_カレンダー'!$B$4),"",'02_カレンダー'!$B$4+6)</f>
        <v/>
      </c>
      <c r="B13" s="44">
        <f>IF($A13="","",MID("日月火水木金土",WEEKDAY($A13),1))</f>
        <v/>
      </c>
      <c r="C13" s="48">
        <f>IF(OR($A13="",C$6=""),"",IF($L13=0,"",INDEX('01_予約入力'!$B$5:$B$204,$L13)&amp;" ◀"&amp;IF(('02_カレンダー'!$B$5="○"),INDEX('01_予約入力'!$AB$5:$AB$204,$L13),""))&amp;IF(AND($L13&gt;0,OR($M13&gt;0,$N13&gt;0)),"  ","")&amp;IF($M13=0,"",IF(INDEX('01_予約入力'!$G$5:$G$204,$M13)=$A13,"▶"&amp;IF(('02_カレンダー'!$B$5="○"),INDEX('01_予約入力'!$AA$5:$AA$204,$M13)&amp;" "," "),"")&amp;INDEX('01_予約入力'!$B$5:$B$204,$M13))&amp;IF(AND($M13&gt;0,$N13&gt;0),"  ","")&amp;IF($N13=0,"","◆ "&amp;INDEX('01_予約入力'!$B$5:$B$204,$N13)&amp;IF(('02_カレンダー'!$B$5="○")," "&amp;INDEX('01_予約入力'!$AA$5:$AA$204,$N13)&amp;"-"&amp;INDEX('01_予約入力'!$AB$5:$AB$204,$N13),"")))</f>
        <v/>
      </c>
      <c r="D13" s="48">
        <f>IF(OR($A13="",D$6=""),"",IF($O13=0,"",INDEX('01_予約入力'!$B$5:$B$204,$O13)&amp;" ◀"&amp;IF(('02_カレンダー'!$B$5="○"),INDEX('01_予約入力'!$AB$5:$AB$204,$O13),""))&amp;IF(AND($O13&gt;0,OR($P13&gt;0,$Q13&gt;0)),"  ","")&amp;IF($P13=0,"",IF(INDEX('01_予約入力'!$G$5:$G$204,$P13)=$A13,"▶"&amp;IF(('02_カレンダー'!$B$5="○"),INDEX('01_予約入力'!$AA$5:$AA$204,$P13)&amp;" "," "),"")&amp;INDEX('01_予約入力'!$B$5:$B$204,$P13))&amp;IF(AND($P13&gt;0,$Q13&gt;0),"  ","")&amp;IF($Q13=0,"","◆ "&amp;INDEX('01_予約入力'!$B$5:$B$204,$Q13)&amp;IF(('02_カレンダー'!$B$5="○")," "&amp;INDEX('01_予約入力'!$AA$5:$AA$204,$Q13)&amp;"-"&amp;INDEX('01_予約入力'!$AB$5:$AB$204,$Q13),"")))</f>
        <v/>
      </c>
      <c r="E13" s="48">
        <f>IF(OR($A13="",E$6=""),"",IF($R13=0,"",INDEX('01_予約入力'!$B$5:$B$204,$R13)&amp;" ◀"&amp;IF(('02_カレンダー'!$B$5="○"),INDEX('01_予約入力'!$AB$5:$AB$204,$R13),""))&amp;IF(AND($R13&gt;0,OR($S13&gt;0,$T13&gt;0)),"  ","")&amp;IF($S13=0,"",IF(INDEX('01_予約入力'!$G$5:$G$204,$S13)=$A13,"▶"&amp;IF(('02_カレンダー'!$B$5="○"),INDEX('01_予約入力'!$AA$5:$AA$204,$S13)&amp;" "," "),"")&amp;INDEX('01_予約入力'!$B$5:$B$204,$S13))&amp;IF(AND($S13&gt;0,$T13&gt;0),"  ","")&amp;IF($T13=0,"","◆ "&amp;INDEX('01_予約入力'!$B$5:$B$204,$T13)&amp;IF(('02_カレンダー'!$B$5="○")," "&amp;INDEX('01_予約入力'!$AA$5:$AA$204,$T13)&amp;"-"&amp;INDEX('01_予約入力'!$AB$5:$AB$204,$T13),"")))</f>
        <v/>
      </c>
      <c r="F13" s="48">
        <f>IF(OR($A13="",F$6=""),"",IF($U13=0,"",INDEX('01_予約入力'!$B$5:$B$204,$U13)&amp;" ◀"&amp;IF(('02_カレンダー'!$B$5="○"),INDEX('01_予約入力'!$AB$5:$AB$204,$U13),""))&amp;IF(AND($U13&gt;0,OR($V13&gt;0,$W13&gt;0)),"  ","")&amp;IF($V13=0,"",IF(INDEX('01_予約入力'!$G$5:$G$204,$V13)=$A13,"▶"&amp;IF(('02_カレンダー'!$B$5="○"),INDEX('01_予約入力'!$AA$5:$AA$204,$V13)&amp;" "," "),"")&amp;INDEX('01_予約入力'!$B$5:$B$204,$V13))&amp;IF(AND($V13&gt;0,$W13&gt;0),"  ","")&amp;IF($W13=0,"","◆ "&amp;INDEX('01_予約入力'!$B$5:$B$204,$W13)&amp;IF(('02_カレンダー'!$B$5="○")," "&amp;INDEX('01_予約入力'!$AA$5:$AA$204,$W13)&amp;"-"&amp;INDEX('01_予約入力'!$AB$5:$AB$204,$W13),"")))</f>
        <v/>
      </c>
      <c r="G13" s="44">
        <f>IF($A13="","",SUMPRODUCT(('01_予約入力'!$G$5:$G$204&lt;&gt;"")*('01_予約入力'!$N$5:$N$204&lt;&gt;"キャンセル")*('01_予約入力'!$G$5:$G$204&lt;=$A13)*('01_予約入力'!$J$5:$J$204&gt;$A13)))</f>
        <v/>
      </c>
      <c r="H13" s="44">
        <f>IF($A13="","",'M_施設設定'!$B$6-$G13)</f>
        <v/>
      </c>
      <c r="I13" s="44">
        <f>IF($A13="","",SUMPRODUCT((('01_予約入力'!$N$5:$N$204="仮予約")+('01_予約入力'!$N$5:$N$204="調整中"))*('01_予約入力'!$G$5:$G$204&lt;&gt;"")*('01_予約入力'!$G$5:$G$204&lt;=$A13)*('01_予約入力'!$J$5:$J$204&gt;$A13)))</f>
        <v/>
      </c>
      <c r="J13" s="44">
        <f>IF($A13="","",IF($I13&gt;0,"仮",IF($H13&lt;=0,"×",IF($H13&lt;'M_施設設定'!$B$6,"△","○"))))</f>
        <v/>
      </c>
      <c r="K13" s="44">
        <f>IF($A13="","",SUMPRODUCT(('01_予約入力'!$G$5:$G$204&lt;&gt;"")*('01_予約入力'!$N$5:$N$204&lt;&gt;"キャンセル")*('01_予約入力'!$G$5:$G$204=$A13)*('01_予約入力'!$J$5:$J$204=$A13)))</f>
        <v/>
      </c>
      <c r="L13" s="44">
        <f>IF(OR($A13="",C$6=""),0,SUMPRODUCT(MAX(('01_予約入力'!$D$5:$D$204=C$6)*('01_予約入力'!$N$5:$N$204&lt;&gt;"キャンセル")*('01_予約入力'!$G$5:$G$204&lt;&gt;"")*('01_予約入力'!$J$5:$J$204=$A13)*('01_予約入力'!$G$5:$G$204&lt;$A13)*(ROW('01_予約入力'!$G$5:$G$204)-4))))</f>
        <v/>
      </c>
      <c r="M13" s="44">
        <f>IF(OR($A13="",C$6=""),0,SUMPRODUCT(MAX(('01_予約入力'!$D$5:$D$204=C$6)*('01_予約入力'!$N$5:$N$204&lt;&gt;"キャンセル")*('01_予約入力'!$G$5:$G$204&lt;&gt;"")*('01_予約入力'!$G$5:$G$204&lt;=$A13)*('01_予約入力'!$J$5:$J$204&gt;$A13)*(ROW('01_予約入力'!$G$5:$G$204)-4))))</f>
        <v/>
      </c>
      <c r="N13" s="44">
        <f>IF(OR($A13="",C$6=""),0,SUMPRODUCT(MAX(('01_予約入力'!$D$5:$D$204=C$6)*('01_予約入力'!$N$5:$N$204&lt;&gt;"キャンセル")*('01_予約入力'!$G$5:$G$204&lt;&gt;"")*('01_予約入力'!$G$5:$G$204=$A13)*('01_予約入力'!$J$5:$J$204=$A13)*(ROW('01_予約入力'!$G$5:$G$204)-4))))</f>
        <v/>
      </c>
      <c r="O13" s="44">
        <f>IF(OR($A13="",D$6=""),0,SUMPRODUCT(MAX(('01_予約入力'!$D$5:$D$204=D$6)*('01_予約入力'!$N$5:$N$204&lt;&gt;"キャンセル")*('01_予約入力'!$G$5:$G$204&lt;&gt;"")*('01_予約入力'!$J$5:$J$204=$A13)*('01_予約入力'!$G$5:$G$204&lt;$A13)*(ROW('01_予約入力'!$G$5:$G$204)-4))))</f>
        <v/>
      </c>
      <c r="P13" s="44">
        <f>IF(OR($A13="",D$6=""),0,SUMPRODUCT(MAX(('01_予約入力'!$D$5:$D$204=D$6)*('01_予約入力'!$N$5:$N$204&lt;&gt;"キャンセル")*('01_予約入力'!$G$5:$G$204&lt;&gt;"")*('01_予約入力'!$G$5:$G$204&lt;=$A13)*('01_予約入力'!$J$5:$J$204&gt;$A13)*(ROW('01_予約入力'!$G$5:$G$204)-4))))</f>
        <v/>
      </c>
      <c r="Q13" s="44">
        <f>IF(OR($A13="",D$6=""),0,SUMPRODUCT(MAX(('01_予約入力'!$D$5:$D$204=D$6)*('01_予約入力'!$N$5:$N$204&lt;&gt;"キャンセル")*('01_予約入力'!$G$5:$G$204&lt;&gt;"")*('01_予約入力'!$G$5:$G$204=$A13)*('01_予約入力'!$J$5:$J$204=$A13)*(ROW('01_予約入力'!$G$5:$G$204)-4))))</f>
        <v/>
      </c>
      <c r="R13" s="44">
        <f>IF(OR($A13="",E$6=""),0,SUMPRODUCT(MAX(('01_予約入力'!$D$5:$D$204=E$6)*('01_予約入力'!$N$5:$N$204&lt;&gt;"キャンセル")*('01_予約入力'!$G$5:$G$204&lt;&gt;"")*('01_予約入力'!$J$5:$J$204=$A13)*('01_予約入力'!$G$5:$G$204&lt;$A13)*(ROW('01_予約入力'!$G$5:$G$204)-4))))</f>
        <v/>
      </c>
      <c r="S13" s="44">
        <f>IF(OR($A13="",E$6=""),0,SUMPRODUCT(MAX(('01_予約入力'!$D$5:$D$204=E$6)*('01_予約入力'!$N$5:$N$204&lt;&gt;"キャンセル")*('01_予約入力'!$G$5:$G$204&lt;&gt;"")*('01_予約入力'!$G$5:$G$204&lt;=$A13)*('01_予約入力'!$J$5:$J$204&gt;$A13)*(ROW('01_予約入力'!$G$5:$G$204)-4))))</f>
        <v/>
      </c>
      <c r="T13" s="44">
        <f>IF(OR($A13="",E$6=""),0,SUMPRODUCT(MAX(('01_予約入力'!$D$5:$D$204=E$6)*('01_予約入力'!$N$5:$N$204&lt;&gt;"キャンセル")*('01_予約入力'!$G$5:$G$204&lt;&gt;"")*('01_予約入力'!$G$5:$G$204=$A13)*('01_予約入力'!$J$5:$J$204=$A13)*(ROW('01_予約入力'!$G$5:$G$204)-4))))</f>
        <v/>
      </c>
      <c r="U13" s="44">
        <f>IF(OR($A13="",F$6=""),0,SUMPRODUCT(MAX(('01_予約入力'!$D$5:$D$204=F$6)*('01_予約入力'!$N$5:$N$204&lt;&gt;"キャンセル")*('01_予約入力'!$G$5:$G$204&lt;&gt;"")*('01_予約入力'!$J$5:$J$204=$A13)*('01_予約入力'!$G$5:$G$204&lt;$A13)*(ROW('01_予約入力'!$G$5:$G$204)-4))))</f>
        <v/>
      </c>
      <c r="V13" s="44">
        <f>IF(OR($A13="",F$6=""),0,SUMPRODUCT(MAX(('01_予約入力'!$D$5:$D$204=F$6)*('01_予約入力'!$N$5:$N$204&lt;&gt;"キャンセル")*('01_予約入力'!$G$5:$G$204&lt;&gt;"")*('01_予約入力'!$G$5:$G$204&lt;=$A13)*('01_予約入力'!$J$5:$J$204&gt;$A13)*(ROW('01_予約入力'!$G$5:$G$204)-4))))</f>
        <v/>
      </c>
      <c r="W13" s="44">
        <f>IF(OR($A13="",F$6=""),0,SUMPRODUCT(MAX(('01_予約入力'!$D$5:$D$204=F$6)*('01_予約入力'!$N$5:$N$204&lt;&gt;"キャンセル")*('01_予約入力'!$G$5:$G$204&lt;&gt;"")*('01_予約入力'!$G$5:$G$204=$A13)*('01_予約入力'!$J$5:$J$204=$A13)*(ROW('01_予約入力'!$G$5:$G$204)-4))))</f>
        <v/>
      </c>
      <c r="X13" s="44">
        <f>IF($A13="","",IF($M13&gt;0,IF(OR(INDEX('01_予約入力'!$N$5:$N$204,$M13)="仮予約",INDEX('01_予約入力'!$N$5:$N$204,$M13)="調整中"),"仮",INDEX('01_予約入力'!$C$5:$C$204,$M13)),IF($N13&gt;0,IF(OR(INDEX('01_予約入力'!$N$5:$N$204,$N13)="仮予約",INDEX('01_予約入力'!$N$5:$N$204,$N13)="調整中"),"仮",INDEX('01_予約入力'!$C$5:$C$204,$N13)),IF($L13&gt;0,IF(OR(INDEX('01_予約入力'!$N$5:$N$204,$L13)="仮予約",INDEX('01_予約入力'!$N$5:$N$204,$L13)="調整中"),"仮",INDEX('01_予約入力'!$C$5:$C$204,$L13)),""))))</f>
        <v/>
      </c>
      <c r="Y13" s="44">
        <f>IF($A13="","",IF($P13&gt;0,IF(OR(INDEX('01_予約入力'!$N$5:$N$204,$P13)="仮予約",INDEX('01_予約入力'!$N$5:$N$204,$P13)="調整中"),"仮",INDEX('01_予約入力'!$C$5:$C$204,$P13)),IF($Q13&gt;0,IF(OR(INDEX('01_予約入力'!$N$5:$N$204,$Q13)="仮予約",INDEX('01_予約入力'!$N$5:$N$204,$Q13)="調整中"),"仮",INDEX('01_予約入力'!$C$5:$C$204,$Q13)),IF($O13&gt;0,IF(OR(INDEX('01_予約入力'!$N$5:$N$204,$O13)="仮予約",INDEX('01_予約入力'!$N$5:$N$204,$O13)="調整中"),"仮",INDEX('01_予約入力'!$C$5:$C$204,$O13)),""))))</f>
        <v/>
      </c>
      <c r="Z13" s="44">
        <f>IF($A13="","",IF($S13&gt;0,IF(OR(INDEX('01_予約入力'!$N$5:$N$204,$S13)="仮予約",INDEX('01_予約入力'!$N$5:$N$204,$S13)="調整中"),"仮",INDEX('01_予約入力'!$C$5:$C$204,$S13)),IF($T13&gt;0,IF(OR(INDEX('01_予約入力'!$N$5:$N$204,$T13)="仮予約",INDEX('01_予約入力'!$N$5:$N$204,$T13)="調整中"),"仮",INDEX('01_予約入力'!$C$5:$C$204,$T13)),IF($R13&gt;0,IF(OR(INDEX('01_予約入力'!$N$5:$N$204,$R13)="仮予約",INDEX('01_予約入力'!$N$5:$N$204,$R13)="調整中"),"仮",INDEX('01_予約入力'!$C$5:$C$204,$R13)),""))))</f>
        <v/>
      </c>
      <c r="AA13" s="44">
        <f>IF($A13="","",IF($V13&gt;0,IF(OR(INDEX('01_予約入力'!$N$5:$N$204,$V13)="仮予約",INDEX('01_予約入力'!$N$5:$N$204,$V13)="調整中"),"仮",INDEX('01_予約入力'!$C$5:$C$204,$V13)),IF($W13&gt;0,IF(OR(INDEX('01_予約入力'!$N$5:$N$204,$W13)="仮予約",INDEX('01_予約入力'!$N$5:$N$204,$W13)="調整中"),"仮",INDEX('01_予約入力'!$C$5:$C$204,$W13)),IF($U13&gt;0,IF(OR(INDEX('01_予約入力'!$N$5:$N$204,$U13)="仮予約",INDEX('01_予約入力'!$N$5:$N$204,$U13)="調整中"),"仮",INDEX('01_予約入力'!$C$5:$C$204,$U13)),""))))</f>
        <v/>
      </c>
      <c r="AB13" s="44">
        <f>IF($A13="",0,SUMPRODUCT(('01_予約入力'!$G$5:$G$204&lt;&gt;"")*('01_予約入力'!$N$5:$N$204&lt;&gt;"キャンセル")*('01_予約入力'!$G$5:$G$204&lt;$A13)*('01_予約入力'!$J$5:$J$204&gt;=$A13)))</f>
        <v/>
      </c>
      <c r="AC13" s="44">
        <f>IF($A13="",0,SUMPRODUCT(('01_予約入力'!$G$5:$G$204&lt;&gt;"")*('01_予約入力'!$N$5:$N$204&lt;&gt;"キャンセル")*((('01_予約入力'!$G$5:$G$204&lt;$A13)*('01_予約入力'!$J$5:$J$204&gt;$A13))+(('01_予約入力'!$G$5:$G$204=$A13)*('01_予約入力'!$J$5:$J$204=$A13)))))</f>
        <v/>
      </c>
      <c r="AD13" s="44">
        <f>IF($A13="",0,SUMPRODUCT(('01_予約入力'!$G$5:$G$204&lt;&gt;"")*('01_予約入力'!$N$5:$N$204&lt;&gt;"キャンセル")*('01_予約入力'!$G$5:$G$204&lt;=$A13)*('01_予約入力'!$J$5:$J$204&gt;$A13)))</f>
        <v/>
      </c>
      <c r="AE13" s="44">
        <f>IF($A13="",0,IFERROR(MATCH($A13,'02_カレンダー'!$B$59:$B$78,0),0))</f>
        <v/>
      </c>
      <c r="AF13" s="44">
        <f>IF($A13="",0,IF($AE13=0,$AB13,IF(INDEX('02_カレンダー'!$C$59:$C$78,$AE13)="",$AB13,INDEX('02_カレンダー'!$C$59:$C$78,$AE13))))</f>
        <v/>
      </c>
      <c r="AG13" s="44">
        <f>IF($A13="",0,IF($AE13=0,$AC13,IF(INDEX('02_カレンダー'!$D$59:$D$78,$AE13)="",$AC13,INDEX('02_カレンダー'!$D$59:$D$78,$AE13))))</f>
        <v/>
      </c>
      <c r="AH13" s="44">
        <f>IF($A13="",0,IF($AE13=0,$AD13,IF(INDEX('02_カレンダー'!$E$59:$E$78,$AE13)="",$AD13,INDEX('02_カレンダー'!$E$59:$E$78,$AE13))))</f>
        <v/>
      </c>
      <c r="AI13" s="44">
        <f>IF($A13="","",IF(AND($AF13=0,$AG13=0,$AH13=0),"","朝"&amp;$AF13&amp;" 昼"&amp;$AG13&amp;" 夕"&amp;$AH13&amp;IF($AJ13=0,"","　※調整")))</f>
        <v/>
      </c>
      <c r="AJ13" s="44">
        <f>IF(OR($A13="",$AE13=0),0,IF(OR(INDEX('02_カレンダー'!$C$59:$C$78,$AE13)&lt;&gt;"",INDEX('02_カレンダー'!$D$59:$D$78,$AE13)&lt;&gt;"",INDEX('02_カレンダー'!$E$59:$E$78,$AE13)&lt;&gt;""),1,0))</f>
        <v/>
      </c>
    </row>
    <row r="14">
      <c r="A14" s="37">
        <f>IF(MONTH('02_カレンダー'!$B$4+7)&lt;&gt;MONTH('02_カレンダー'!$B$4),"",'02_カレンダー'!$B$4+7)</f>
        <v/>
      </c>
      <c r="B14" s="44">
        <f>IF($A14="","",MID("日月火水木金土",WEEKDAY($A14),1))</f>
        <v/>
      </c>
      <c r="C14" s="48">
        <f>IF(OR($A14="",C$6=""),"",IF($L14=0,"",INDEX('01_予約入力'!$B$5:$B$204,$L14)&amp;" ◀"&amp;IF(('02_カレンダー'!$B$5="○"),INDEX('01_予約入力'!$AB$5:$AB$204,$L14),""))&amp;IF(AND($L14&gt;0,OR($M14&gt;0,$N14&gt;0)),"  ","")&amp;IF($M14=0,"",IF(INDEX('01_予約入力'!$G$5:$G$204,$M14)=$A14,"▶"&amp;IF(('02_カレンダー'!$B$5="○"),INDEX('01_予約入力'!$AA$5:$AA$204,$M14)&amp;" "," "),"")&amp;INDEX('01_予約入力'!$B$5:$B$204,$M14))&amp;IF(AND($M14&gt;0,$N14&gt;0),"  ","")&amp;IF($N14=0,"","◆ "&amp;INDEX('01_予約入力'!$B$5:$B$204,$N14)&amp;IF(('02_カレンダー'!$B$5="○")," "&amp;INDEX('01_予約入力'!$AA$5:$AA$204,$N14)&amp;"-"&amp;INDEX('01_予約入力'!$AB$5:$AB$204,$N14),"")))</f>
        <v/>
      </c>
      <c r="D14" s="48">
        <f>IF(OR($A14="",D$6=""),"",IF($O14=0,"",INDEX('01_予約入力'!$B$5:$B$204,$O14)&amp;" ◀"&amp;IF(('02_カレンダー'!$B$5="○"),INDEX('01_予約入力'!$AB$5:$AB$204,$O14),""))&amp;IF(AND($O14&gt;0,OR($P14&gt;0,$Q14&gt;0)),"  ","")&amp;IF($P14=0,"",IF(INDEX('01_予約入力'!$G$5:$G$204,$P14)=$A14,"▶"&amp;IF(('02_カレンダー'!$B$5="○"),INDEX('01_予約入力'!$AA$5:$AA$204,$P14)&amp;" "," "),"")&amp;INDEX('01_予約入力'!$B$5:$B$204,$P14))&amp;IF(AND($P14&gt;0,$Q14&gt;0),"  ","")&amp;IF($Q14=0,"","◆ "&amp;INDEX('01_予約入力'!$B$5:$B$204,$Q14)&amp;IF(('02_カレンダー'!$B$5="○")," "&amp;INDEX('01_予約入力'!$AA$5:$AA$204,$Q14)&amp;"-"&amp;INDEX('01_予約入力'!$AB$5:$AB$204,$Q14),"")))</f>
        <v/>
      </c>
      <c r="E14" s="48">
        <f>IF(OR($A14="",E$6=""),"",IF($R14=0,"",INDEX('01_予約入力'!$B$5:$B$204,$R14)&amp;" ◀"&amp;IF(('02_カレンダー'!$B$5="○"),INDEX('01_予約入力'!$AB$5:$AB$204,$R14),""))&amp;IF(AND($R14&gt;0,OR($S14&gt;0,$T14&gt;0)),"  ","")&amp;IF($S14=0,"",IF(INDEX('01_予約入力'!$G$5:$G$204,$S14)=$A14,"▶"&amp;IF(('02_カレンダー'!$B$5="○"),INDEX('01_予約入力'!$AA$5:$AA$204,$S14)&amp;" "," "),"")&amp;INDEX('01_予約入力'!$B$5:$B$204,$S14))&amp;IF(AND($S14&gt;0,$T14&gt;0),"  ","")&amp;IF($T14=0,"","◆ "&amp;INDEX('01_予約入力'!$B$5:$B$204,$T14)&amp;IF(('02_カレンダー'!$B$5="○")," "&amp;INDEX('01_予約入力'!$AA$5:$AA$204,$T14)&amp;"-"&amp;INDEX('01_予約入力'!$AB$5:$AB$204,$T14),"")))</f>
        <v/>
      </c>
      <c r="F14" s="48">
        <f>IF(OR($A14="",F$6=""),"",IF($U14=0,"",INDEX('01_予約入力'!$B$5:$B$204,$U14)&amp;" ◀"&amp;IF(('02_カレンダー'!$B$5="○"),INDEX('01_予約入力'!$AB$5:$AB$204,$U14),""))&amp;IF(AND($U14&gt;0,OR($V14&gt;0,$W14&gt;0)),"  ","")&amp;IF($V14=0,"",IF(INDEX('01_予約入力'!$G$5:$G$204,$V14)=$A14,"▶"&amp;IF(('02_カレンダー'!$B$5="○"),INDEX('01_予約入力'!$AA$5:$AA$204,$V14)&amp;" "," "),"")&amp;INDEX('01_予約入力'!$B$5:$B$204,$V14))&amp;IF(AND($V14&gt;0,$W14&gt;0),"  ","")&amp;IF($W14=0,"","◆ "&amp;INDEX('01_予約入力'!$B$5:$B$204,$W14)&amp;IF(('02_カレンダー'!$B$5="○")," "&amp;INDEX('01_予約入力'!$AA$5:$AA$204,$W14)&amp;"-"&amp;INDEX('01_予約入力'!$AB$5:$AB$204,$W14),"")))</f>
        <v/>
      </c>
      <c r="G14" s="44">
        <f>IF($A14="","",SUMPRODUCT(('01_予約入力'!$G$5:$G$204&lt;&gt;"")*('01_予約入力'!$N$5:$N$204&lt;&gt;"キャンセル")*('01_予約入力'!$G$5:$G$204&lt;=$A14)*('01_予約入力'!$J$5:$J$204&gt;$A14)))</f>
        <v/>
      </c>
      <c r="H14" s="44">
        <f>IF($A14="","",'M_施設設定'!$B$6-$G14)</f>
        <v/>
      </c>
      <c r="I14" s="44">
        <f>IF($A14="","",SUMPRODUCT((('01_予約入力'!$N$5:$N$204="仮予約")+('01_予約入力'!$N$5:$N$204="調整中"))*('01_予約入力'!$G$5:$G$204&lt;&gt;"")*('01_予約入力'!$G$5:$G$204&lt;=$A14)*('01_予約入力'!$J$5:$J$204&gt;$A14)))</f>
        <v/>
      </c>
      <c r="J14" s="44">
        <f>IF($A14="","",IF($I14&gt;0,"仮",IF($H14&lt;=0,"×",IF($H14&lt;'M_施設設定'!$B$6,"△","○"))))</f>
        <v/>
      </c>
      <c r="K14" s="44">
        <f>IF($A14="","",SUMPRODUCT(('01_予約入力'!$G$5:$G$204&lt;&gt;"")*('01_予約入力'!$N$5:$N$204&lt;&gt;"キャンセル")*('01_予約入力'!$G$5:$G$204=$A14)*('01_予約入力'!$J$5:$J$204=$A14)))</f>
        <v/>
      </c>
      <c r="L14" s="44">
        <f>IF(OR($A14="",C$6=""),0,SUMPRODUCT(MAX(('01_予約入力'!$D$5:$D$204=C$6)*('01_予約入力'!$N$5:$N$204&lt;&gt;"キャンセル")*('01_予約入力'!$G$5:$G$204&lt;&gt;"")*('01_予約入力'!$J$5:$J$204=$A14)*('01_予約入力'!$G$5:$G$204&lt;$A14)*(ROW('01_予約入力'!$G$5:$G$204)-4))))</f>
        <v/>
      </c>
      <c r="M14" s="44">
        <f>IF(OR($A14="",C$6=""),0,SUMPRODUCT(MAX(('01_予約入力'!$D$5:$D$204=C$6)*('01_予約入力'!$N$5:$N$204&lt;&gt;"キャンセル")*('01_予約入力'!$G$5:$G$204&lt;&gt;"")*('01_予約入力'!$G$5:$G$204&lt;=$A14)*('01_予約入力'!$J$5:$J$204&gt;$A14)*(ROW('01_予約入力'!$G$5:$G$204)-4))))</f>
        <v/>
      </c>
      <c r="N14" s="44">
        <f>IF(OR($A14="",C$6=""),0,SUMPRODUCT(MAX(('01_予約入力'!$D$5:$D$204=C$6)*('01_予約入力'!$N$5:$N$204&lt;&gt;"キャンセル")*('01_予約入力'!$G$5:$G$204&lt;&gt;"")*('01_予約入力'!$G$5:$G$204=$A14)*('01_予約入力'!$J$5:$J$204=$A14)*(ROW('01_予約入力'!$G$5:$G$204)-4))))</f>
        <v/>
      </c>
      <c r="O14" s="44">
        <f>IF(OR($A14="",D$6=""),0,SUMPRODUCT(MAX(('01_予約入力'!$D$5:$D$204=D$6)*('01_予約入力'!$N$5:$N$204&lt;&gt;"キャンセル")*('01_予約入力'!$G$5:$G$204&lt;&gt;"")*('01_予約入力'!$J$5:$J$204=$A14)*('01_予約入力'!$G$5:$G$204&lt;$A14)*(ROW('01_予約入力'!$G$5:$G$204)-4))))</f>
        <v/>
      </c>
      <c r="P14" s="44">
        <f>IF(OR($A14="",D$6=""),0,SUMPRODUCT(MAX(('01_予約入力'!$D$5:$D$204=D$6)*('01_予約入力'!$N$5:$N$204&lt;&gt;"キャンセル")*('01_予約入力'!$G$5:$G$204&lt;&gt;"")*('01_予約入力'!$G$5:$G$204&lt;=$A14)*('01_予約入力'!$J$5:$J$204&gt;$A14)*(ROW('01_予約入力'!$G$5:$G$204)-4))))</f>
        <v/>
      </c>
      <c r="Q14" s="44">
        <f>IF(OR($A14="",D$6=""),0,SUMPRODUCT(MAX(('01_予約入力'!$D$5:$D$204=D$6)*('01_予約入力'!$N$5:$N$204&lt;&gt;"キャンセル")*('01_予約入力'!$G$5:$G$204&lt;&gt;"")*('01_予約入力'!$G$5:$G$204=$A14)*('01_予約入力'!$J$5:$J$204=$A14)*(ROW('01_予約入力'!$G$5:$G$204)-4))))</f>
        <v/>
      </c>
      <c r="R14" s="44">
        <f>IF(OR($A14="",E$6=""),0,SUMPRODUCT(MAX(('01_予約入力'!$D$5:$D$204=E$6)*('01_予約入力'!$N$5:$N$204&lt;&gt;"キャンセル")*('01_予約入力'!$G$5:$G$204&lt;&gt;"")*('01_予約入力'!$J$5:$J$204=$A14)*('01_予約入力'!$G$5:$G$204&lt;$A14)*(ROW('01_予約入力'!$G$5:$G$204)-4))))</f>
        <v/>
      </c>
      <c r="S14" s="44">
        <f>IF(OR($A14="",E$6=""),0,SUMPRODUCT(MAX(('01_予約入力'!$D$5:$D$204=E$6)*('01_予約入力'!$N$5:$N$204&lt;&gt;"キャンセル")*('01_予約入力'!$G$5:$G$204&lt;&gt;"")*('01_予約入力'!$G$5:$G$204&lt;=$A14)*('01_予約入力'!$J$5:$J$204&gt;$A14)*(ROW('01_予約入力'!$G$5:$G$204)-4))))</f>
        <v/>
      </c>
      <c r="T14" s="44">
        <f>IF(OR($A14="",E$6=""),0,SUMPRODUCT(MAX(('01_予約入力'!$D$5:$D$204=E$6)*('01_予約入力'!$N$5:$N$204&lt;&gt;"キャンセル")*('01_予約入力'!$G$5:$G$204&lt;&gt;"")*('01_予約入力'!$G$5:$G$204=$A14)*('01_予約入力'!$J$5:$J$204=$A14)*(ROW('01_予約入力'!$G$5:$G$204)-4))))</f>
        <v/>
      </c>
      <c r="U14" s="44">
        <f>IF(OR($A14="",F$6=""),0,SUMPRODUCT(MAX(('01_予約入力'!$D$5:$D$204=F$6)*('01_予約入力'!$N$5:$N$204&lt;&gt;"キャンセル")*('01_予約入力'!$G$5:$G$204&lt;&gt;"")*('01_予約入力'!$J$5:$J$204=$A14)*('01_予約入力'!$G$5:$G$204&lt;$A14)*(ROW('01_予約入力'!$G$5:$G$204)-4))))</f>
        <v/>
      </c>
      <c r="V14" s="44">
        <f>IF(OR($A14="",F$6=""),0,SUMPRODUCT(MAX(('01_予約入力'!$D$5:$D$204=F$6)*('01_予約入力'!$N$5:$N$204&lt;&gt;"キャンセル")*('01_予約入力'!$G$5:$G$204&lt;&gt;"")*('01_予約入力'!$G$5:$G$204&lt;=$A14)*('01_予約入力'!$J$5:$J$204&gt;$A14)*(ROW('01_予約入力'!$G$5:$G$204)-4))))</f>
        <v/>
      </c>
      <c r="W14" s="44">
        <f>IF(OR($A14="",F$6=""),0,SUMPRODUCT(MAX(('01_予約入力'!$D$5:$D$204=F$6)*('01_予約入力'!$N$5:$N$204&lt;&gt;"キャンセル")*('01_予約入力'!$G$5:$G$204&lt;&gt;"")*('01_予約入力'!$G$5:$G$204=$A14)*('01_予約入力'!$J$5:$J$204=$A14)*(ROW('01_予約入力'!$G$5:$G$204)-4))))</f>
        <v/>
      </c>
      <c r="X14" s="44">
        <f>IF($A14="","",IF($M14&gt;0,IF(OR(INDEX('01_予約入力'!$N$5:$N$204,$M14)="仮予約",INDEX('01_予約入力'!$N$5:$N$204,$M14)="調整中"),"仮",INDEX('01_予約入力'!$C$5:$C$204,$M14)),IF($N14&gt;0,IF(OR(INDEX('01_予約入力'!$N$5:$N$204,$N14)="仮予約",INDEX('01_予約入力'!$N$5:$N$204,$N14)="調整中"),"仮",INDEX('01_予約入力'!$C$5:$C$204,$N14)),IF($L14&gt;0,IF(OR(INDEX('01_予約入力'!$N$5:$N$204,$L14)="仮予約",INDEX('01_予約入力'!$N$5:$N$204,$L14)="調整中"),"仮",INDEX('01_予約入力'!$C$5:$C$204,$L14)),""))))</f>
        <v/>
      </c>
      <c r="Y14" s="44">
        <f>IF($A14="","",IF($P14&gt;0,IF(OR(INDEX('01_予約入力'!$N$5:$N$204,$P14)="仮予約",INDEX('01_予約入力'!$N$5:$N$204,$P14)="調整中"),"仮",INDEX('01_予約入力'!$C$5:$C$204,$P14)),IF($Q14&gt;0,IF(OR(INDEX('01_予約入力'!$N$5:$N$204,$Q14)="仮予約",INDEX('01_予約入力'!$N$5:$N$204,$Q14)="調整中"),"仮",INDEX('01_予約入力'!$C$5:$C$204,$Q14)),IF($O14&gt;0,IF(OR(INDEX('01_予約入力'!$N$5:$N$204,$O14)="仮予約",INDEX('01_予約入力'!$N$5:$N$204,$O14)="調整中"),"仮",INDEX('01_予約入力'!$C$5:$C$204,$O14)),""))))</f>
        <v/>
      </c>
      <c r="Z14" s="44">
        <f>IF($A14="","",IF($S14&gt;0,IF(OR(INDEX('01_予約入力'!$N$5:$N$204,$S14)="仮予約",INDEX('01_予約入力'!$N$5:$N$204,$S14)="調整中"),"仮",INDEX('01_予約入力'!$C$5:$C$204,$S14)),IF($T14&gt;0,IF(OR(INDEX('01_予約入力'!$N$5:$N$204,$T14)="仮予約",INDEX('01_予約入力'!$N$5:$N$204,$T14)="調整中"),"仮",INDEX('01_予約入力'!$C$5:$C$204,$T14)),IF($R14&gt;0,IF(OR(INDEX('01_予約入力'!$N$5:$N$204,$R14)="仮予約",INDEX('01_予約入力'!$N$5:$N$204,$R14)="調整中"),"仮",INDEX('01_予約入力'!$C$5:$C$204,$R14)),""))))</f>
        <v/>
      </c>
      <c r="AA14" s="44">
        <f>IF($A14="","",IF($V14&gt;0,IF(OR(INDEX('01_予約入力'!$N$5:$N$204,$V14)="仮予約",INDEX('01_予約入力'!$N$5:$N$204,$V14)="調整中"),"仮",INDEX('01_予約入力'!$C$5:$C$204,$V14)),IF($W14&gt;0,IF(OR(INDEX('01_予約入力'!$N$5:$N$204,$W14)="仮予約",INDEX('01_予約入力'!$N$5:$N$204,$W14)="調整中"),"仮",INDEX('01_予約入力'!$C$5:$C$204,$W14)),IF($U14&gt;0,IF(OR(INDEX('01_予約入力'!$N$5:$N$204,$U14)="仮予約",INDEX('01_予約入力'!$N$5:$N$204,$U14)="調整中"),"仮",INDEX('01_予約入力'!$C$5:$C$204,$U14)),""))))</f>
        <v/>
      </c>
      <c r="AB14" s="44">
        <f>IF($A14="",0,SUMPRODUCT(('01_予約入力'!$G$5:$G$204&lt;&gt;"")*('01_予約入力'!$N$5:$N$204&lt;&gt;"キャンセル")*('01_予約入力'!$G$5:$G$204&lt;$A14)*('01_予約入力'!$J$5:$J$204&gt;=$A14)))</f>
        <v/>
      </c>
      <c r="AC14" s="44">
        <f>IF($A14="",0,SUMPRODUCT(('01_予約入力'!$G$5:$G$204&lt;&gt;"")*('01_予約入力'!$N$5:$N$204&lt;&gt;"キャンセル")*((('01_予約入力'!$G$5:$G$204&lt;$A14)*('01_予約入力'!$J$5:$J$204&gt;$A14))+(('01_予約入力'!$G$5:$G$204=$A14)*('01_予約入力'!$J$5:$J$204=$A14)))))</f>
        <v/>
      </c>
      <c r="AD14" s="44">
        <f>IF($A14="",0,SUMPRODUCT(('01_予約入力'!$G$5:$G$204&lt;&gt;"")*('01_予約入力'!$N$5:$N$204&lt;&gt;"キャンセル")*('01_予約入力'!$G$5:$G$204&lt;=$A14)*('01_予約入力'!$J$5:$J$204&gt;$A14)))</f>
        <v/>
      </c>
      <c r="AE14" s="44">
        <f>IF($A14="",0,IFERROR(MATCH($A14,'02_カレンダー'!$B$59:$B$78,0),0))</f>
        <v/>
      </c>
      <c r="AF14" s="44">
        <f>IF($A14="",0,IF($AE14=0,$AB14,IF(INDEX('02_カレンダー'!$C$59:$C$78,$AE14)="",$AB14,INDEX('02_カレンダー'!$C$59:$C$78,$AE14))))</f>
        <v/>
      </c>
      <c r="AG14" s="44">
        <f>IF($A14="",0,IF($AE14=0,$AC14,IF(INDEX('02_カレンダー'!$D$59:$D$78,$AE14)="",$AC14,INDEX('02_カレンダー'!$D$59:$D$78,$AE14))))</f>
        <v/>
      </c>
      <c r="AH14" s="44">
        <f>IF($A14="",0,IF($AE14=0,$AD14,IF(INDEX('02_カレンダー'!$E$59:$E$78,$AE14)="",$AD14,INDEX('02_カレンダー'!$E$59:$E$78,$AE14))))</f>
        <v/>
      </c>
      <c r="AI14" s="44">
        <f>IF($A14="","",IF(AND($AF14=0,$AG14=0,$AH14=0),"","朝"&amp;$AF14&amp;" 昼"&amp;$AG14&amp;" 夕"&amp;$AH14&amp;IF($AJ14=0,"","　※調整")))</f>
        <v/>
      </c>
      <c r="AJ14" s="44">
        <f>IF(OR($A14="",$AE14=0),0,IF(OR(INDEX('02_カレンダー'!$C$59:$C$78,$AE14)&lt;&gt;"",INDEX('02_カレンダー'!$D$59:$D$78,$AE14)&lt;&gt;"",INDEX('02_カレンダー'!$E$59:$E$78,$AE14)&lt;&gt;""),1,0))</f>
        <v/>
      </c>
    </row>
    <row r="15">
      <c r="A15" s="37">
        <f>IF(MONTH('02_カレンダー'!$B$4+8)&lt;&gt;MONTH('02_カレンダー'!$B$4),"",'02_カレンダー'!$B$4+8)</f>
        <v/>
      </c>
      <c r="B15" s="44">
        <f>IF($A15="","",MID("日月火水木金土",WEEKDAY($A15),1))</f>
        <v/>
      </c>
      <c r="C15" s="48">
        <f>IF(OR($A15="",C$6=""),"",IF($L15=0,"",INDEX('01_予約入力'!$B$5:$B$204,$L15)&amp;" ◀"&amp;IF(('02_カレンダー'!$B$5="○"),INDEX('01_予約入力'!$AB$5:$AB$204,$L15),""))&amp;IF(AND($L15&gt;0,OR($M15&gt;0,$N15&gt;0)),"  ","")&amp;IF($M15=0,"",IF(INDEX('01_予約入力'!$G$5:$G$204,$M15)=$A15,"▶"&amp;IF(('02_カレンダー'!$B$5="○"),INDEX('01_予約入力'!$AA$5:$AA$204,$M15)&amp;" "," "),"")&amp;INDEX('01_予約入力'!$B$5:$B$204,$M15))&amp;IF(AND($M15&gt;0,$N15&gt;0),"  ","")&amp;IF($N15=0,"","◆ "&amp;INDEX('01_予約入力'!$B$5:$B$204,$N15)&amp;IF(('02_カレンダー'!$B$5="○")," "&amp;INDEX('01_予約入力'!$AA$5:$AA$204,$N15)&amp;"-"&amp;INDEX('01_予約入力'!$AB$5:$AB$204,$N15),"")))</f>
        <v/>
      </c>
      <c r="D15" s="48">
        <f>IF(OR($A15="",D$6=""),"",IF($O15=0,"",INDEX('01_予約入力'!$B$5:$B$204,$O15)&amp;" ◀"&amp;IF(('02_カレンダー'!$B$5="○"),INDEX('01_予約入力'!$AB$5:$AB$204,$O15),""))&amp;IF(AND($O15&gt;0,OR($P15&gt;0,$Q15&gt;0)),"  ","")&amp;IF($P15=0,"",IF(INDEX('01_予約入力'!$G$5:$G$204,$P15)=$A15,"▶"&amp;IF(('02_カレンダー'!$B$5="○"),INDEX('01_予約入力'!$AA$5:$AA$204,$P15)&amp;" "," "),"")&amp;INDEX('01_予約入力'!$B$5:$B$204,$P15))&amp;IF(AND($P15&gt;0,$Q15&gt;0),"  ","")&amp;IF($Q15=0,"","◆ "&amp;INDEX('01_予約入力'!$B$5:$B$204,$Q15)&amp;IF(('02_カレンダー'!$B$5="○")," "&amp;INDEX('01_予約入力'!$AA$5:$AA$204,$Q15)&amp;"-"&amp;INDEX('01_予約入力'!$AB$5:$AB$204,$Q15),"")))</f>
        <v/>
      </c>
      <c r="E15" s="48">
        <f>IF(OR($A15="",E$6=""),"",IF($R15=0,"",INDEX('01_予約入力'!$B$5:$B$204,$R15)&amp;" ◀"&amp;IF(('02_カレンダー'!$B$5="○"),INDEX('01_予約入力'!$AB$5:$AB$204,$R15),""))&amp;IF(AND($R15&gt;0,OR($S15&gt;0,$T15&gt;0)),"  ","")&amp;IF($S15=0,"",IF(INDEX('01_予約入力'!$G$5:$G$204,$S15)=$A15,"▶"&amp;IF(('02_カレンダー'!$B$5="○"),INDEX('01_予約入力'!$AA$5:$AA$204,$S15)&amp;" "," "),"")&amp;INDEX('01_予約入力'!$B$5:$B$204,$S15))&amp;IF(AND($S15&gt;0,$T15&gt;0),"  ","")&amp;IF($T15=0,"","◆ "&amp;INDEX('01_予約入力'!$B$5:$B$204,$T15)&amp;IF(('02_カレンダー'!$B$5="○")," "&amp;INDEX('01_予約入力'!$AA$5:$AA$204,$T15)&amp;"-"&amp;INDEX('01_予約入力'!$AB$5:$AB$204,$T15),"")))</f>
        <v/>
      </c>
      <c r="F15" s="48">
        <f>IF(OR($A15="",F$6=""),"",IF($U15=0,"",INDEX('01_予約入力'!$B$5:$B$204,$U15)&amp;" ◀"&amp;IF(('02_カレンダー'!$B$5="○"),INDEX('01_予約入力'!$AB$5:$AB$204,$U15),""))&amp;IF(AND($U15&gt;0,OR($V15&gt;0,$W15&gt;0)),"  ","")&amp;IF($V15=0,"",IF(INDEX('01_予約入力'!$G$5:$G$204,$V15)=$A15,"▶"&amp;IF(('02_カレンダー'!$B$5="○"),INDEX('01_予約入力'!$AA$5:$AA$204,$V15)&amp;" "," "),"")&amp;INDEX('01_予約入力'!$B$5:$B$204,$V15))&amp;IF(AND($V15&gt;0,$W15&gt;0),"  ","")&amp;IF($W15=0,"","◆ "&amp;INDEX('01_予約入力'!$B$5:$B$204,$W15)&amp;IF(('02_カレンダー'!$B$5="○")," "&amp;INDEX('01_予約入力'!$AA$5:$AA$204,$W15)&amp;"-"&amp;INDEX('01_予約入力'!$AB$5:$AB$204,$W15),"")))</f>
        <v/>
      </c>
      <c r="G15" s="44">
        <f>IF($A15="","",SUMPRODUCT(('01_予約入力'!$G$5:$G$204&lt;&gt;"")*('01_予約入力'!$N$5:$N$204&lt;&gt;"キャンセル")*('01_予約入力'!$G$5:$G$204&lt;=$A15)*('01_予約入力'!$J$5:$J$204&gt;$A15)))</f>
        <v/>
      </c>
      <c r="H15" s="44">
        <f>IF($A15="","",'M_施設設定'!$B$6-$G15)</f>
        <v/>
      </c>
      <c r="I15" s="44">
        <f>IF($A15="","",SUMPRODUCT((('01_予約入力'!$N$5:$N$204="仮予約")+('01_予約入力'!$N$5:$N$204="調整中"))*('01_予約入力'!$G$5:$G$204&lt;&gt;"")*('01_予約入力'!$G$5:$G$204&lt;=$A15)*('01_予約入力'!$J$5:$J$204&gt;$A15)))</f>
        <v/>
      </c>
      <c r="J15" s="44">
        <f>IF($A15="","",IF($I15&gt;0,"仮",IF($H15&lt;=0,"×",IF($H15&lt;'M_施設設定'!$B$6,"△","○"))))</f>
        <v/>
      </c>
      <c r="K15" s="44">
        <f>IF($A15="","",SUMPRODUCT(('01_予約入力'!$G$5:$G$204&lt;&gt;"")*('01_予約入力'!$N$5:$N$204&lt;&gt;"キャンセル")*('01_予約入力'!$G$5:$G$204=$A15)*('01_予約入力'!$J$5:$J$204=$A15)))</f>
        <v/>
      </c>
      <c r="L15" s="44">
        <f>IF(OR($A15="",C$6=""),0,SUMPRODUCT(MAX(('01_予約入力'!$D$5:$D$204=C$6)*('01_予約入力'!$N$5:$N$204&lt;&gt;"キャンセル")*('01_予約入力'!$G$5:$G$204&lt;&gt;"")*('01_予約入力'!$J$5:$J$204=$A15)*('01_予約入力'!$G$5:$G$204&lt;$A15)*(ROW('01_予約入力'!$G$5:$G$204)-4))))</f>
        <v/>
      </c>
      <c r="M15" s="44">
        <f>IF(OR($A15="",C$6=""),0,SUMPRODUCT(MAX(('01_予約入力'!$D$5:$D$204=C$6)*('01_予約入力'!$N$5:$N$204&lt;&gt;"キャンセル")*('01_予約入力'!$G$5:$G$204&lt;&gt;"")*('01_予約入力'!$G$5:$G$204&lt;=$A15)*('01_予約入力'!$J$5:$J$204&gt;$A15)*(ROW('01_予約入力'!$G$5:$G$204)-4))))</f>
        <v/>
      </c>
      <c r="N15" s="44">
        <f>IF(OR($A15="",C$6=""),0,SUMPRODUCT(MAX(('01_予約入力'!$D$5:$D$204=C$6)*('01_予約入力'!$N$5:$N$204&lt;&gt;"キャンセル")*('01_予約入力'!$G$5:$G$204&lt;&gt;"")*('01_予約入力'!$G$5:$G$204=$A15)*('01_予約入力'!$J$5:$J$204=$A15)*(ROW('01_予約入力'!$G$5:$G$204)-4))))</f>
        <v/>
      </c>
      <c r="O15" s="44">
        <f>IF(OR($A15="",D$6=""),0,SUMPRODUCT(MAX(('01_予約入力'!$D$5:$D$204=D$6)*('01_予約入力'!$N$5:$N$204&lt;&gt;"キャンセル")*('01_予約入力'!$G$5:$G$204&lt;&gt;"")*('01_予約入力'!$J$5:$J$204=$A15)*('01_予約入力'!$G$5:$G$204&lt;$A15)*(ROW('01_予約入力'!$G$5:$G$204)-4))))</f>
        <v/>
      </c>
      <c r="P15" s="44">
        <f>IF(OR($A15="",D$6=""),0,SUMPRODUCT(MAX(('01_予約入力'!$D$5:$D$204=D$6)*('01_予約入力'!$N$5:$N$204&lt;&gt;"キャンセル")*('01_予約入力'!$G$5:$G$204&lt;&gt;"")*('01_予約入力'!$G$5:$G$204&lt;=$A15)*('01_予約入力'!$J$5:$J$204&gt;$A15)*(ROW('01_予約入力'!$G$5:$G$204)-4))))</f>
        <v/>
      </c>
      <c r="Q15" s="44">
        <f>IF(OR($A15="",D$6=""),0,SUMPRODUCT(MAX(('01_予約入力'!$D$5:$D$204=D$6)*('01_予約入力'!$N$5:$N$204&lt;&gt;"キャンセル")*('01_予約入力'!$G$5:$G$204&lt;&gt;"")*('01_予約入力'!$G$5:$G$204=$A15)*('01_予約入力'!$J$5:$J$204=$A15)*(ROW('01_予約入力'!$G$5:$G$204)-4))))</f>
        <v/>
      </c>
      <c r="R15" s="44">
        <f>IF(OR($A15="",E$6=""),0,SUMPRODUCT(MAX(('01_予約入力'!$D$5:$D$204=E$6)*('01_予約入力'!$N$5:$N$204&lt;&gt;"キャンセル")*('01_予約入力'!$G$5:$G$204&lt;&gt;"")*('01_予約入力'!$J$5:$J$204=$A15)*('01_予約入力'!$G$5:$G$204&lt;$A15)*(ROW('01_予約入力'!$G$5:$G$204)-4))))</f>
        <v/>
      </c>
      <c r="S15" s="44">
        <f>IF(OR($A15="",E$6=""),0,SUMPRODUCT(MAX(('01_予約入力'!$D$5:$D$204=E$6)*('01_予約入力'!$N$5:$N$204&lt;&gt;"キャンセル")*('01_予約入力'!$G$5:$G$204&lt;&gt;"")*('01_予約入力'!$G$5:$G$204&lt;=$A15)*('01_予約入力'!$J$5:$J$204&gt;$A15)*(ROW('01_予約入力'!$G$5:$G$204)-4))))</f>
        <v/>
      </c>
      <c r="T15" s="44">
        <f>IF(OR($A15="",E$6=""),0,SUMPRODUCT(MAX(('01_予約入力'!$D$5:$D$204=E$6)*('01_予約入力'!$N$5:$N$204&lt;&gt;"キャンセル")*('01_予約入力'!$G$5:$G$204&lt;&gt;"")*('01_予約入力'!$G$5:$G$204=$A15)*('01_予約入力'!$J$5:$J$204=$A15)*(ROW('01_予約入力'!$G$5:$G$204)-4))))</f>
        <v/>
      </c>
      <c r="U15" s="44">
        <f>IF(OR($A15="",F$6=""),0,SUMPRODUCT(MAX(('01_予約入力'!$D$5:$D$204=F$6)*('01_予約入力'!$N$5:$N$204&lt;&gt;"キャンセル")*('01_予約入力'!$G$5:$G$204&lt;&gt;"")*('01_予約入力'!$J$5:$J$204=$A15)*('01_予約入力'!$G$5:$G$204&lt;$A15)*(ROW('01_予約入力'!$G$5:$G$204)-4))))</f>
        <v/>
      </c>
      <c r="V15" s="44">
        <f>IF(OR($A15="",F$6=""),0,SUMPRODUCT(MAX(('01_予約入力'!$D$5:$D$204=F$6)*('01_予約入力'!$N$5:$N$204&lt;&gt;"キャンセル")*('01_予約入力'!$G$5:$G$204&lt;&gt;"")*('01_予約入力'!$G$5:$G$204&lt;=$A15)*('01_予約入力'!$J$5:$J$204&gt;$A15)*(ROW('01_予約入力'!$G$5:$G$204)-4))))</f>
        <v/>
      </c>
      <c r="W15" s="44">
        <f>IF(OR($A15="",F$6=""),0,SUMPRODUCT(MAX(('01_予約入力'!$D$5:$D$204=F$6)*('01_予約入力'!$N$5:$N$204&lt;&gt;"キャンセル")*('01_予約入力'!$G$5:$G$204&lt;&gt;"")*('01_予約入力'!$G$5:$G$204=$A15)*('01_予約入力'!$J$5:$J$204=$A15)*(ROW('01_予約入力'!$G$5:$G$204)-4))))</f>
        <v/>
      </c>
      <c r="X15" s="44">
        <f>IF($A15="","",IF($M15&gt;0,IF(OR(INDEX('01_予約入力'!$N$5:$N$204,$M15)="仮予約",INDEX('01_予約入力'!$N$5:$N$204,$M15)="調整中"),"仮",INDEX('01_予約入力'!$C$5:$C$204,$M15)),IF($N15&gt;0,IF(OR(INDEX('01_予約入力'!$N$5:$N$204,$N15)="仮予約",INDEX('01_予約入力'!$N$5:$N$204,$N15)="調整中"),"仮",INDEX('01_予約入力'!$C$5:$C$204,$N15)),IF($L15&gt;0,IF(OR(INDEX('01_予約入力'!$N$5:$N$204,$L15)="仮予約",INDEX('01_予約入力'!$N$5:$N$204,$L15)="調整中"),"仮",INDEX('01_予約入力'!$C$5:$C$204,$L15)),""))))</f>
        <v/>
      </c>
      <c r="Y15" s="44">
        <f>IF($A15="","",IF($P15&gt;0,IF(OR(INDEX('01_予約入力'!$N$5:$N$204,$P15)="仮予約",INDEX('01_予約入力'!$N$5:$N$204,$P15)="調整中"),"仮",INDEX('01_予約入力'!$C$5:$C$204,$P15)),IF($Q15&gt;0,IF(OR(INDEX('01_予約入力'!$N$5:$N$204,$Q15)="仮予約",INDEX('01_予約入力'!$N$5:$N$204,$Q15)="調整中"),"仮",INDEX('01_予約入力'!$C$5:$C$204,$Q15)),IF($O15&gt;0,IF(OR(INDEX('01_予約入力'!$N$5:$N$204,$O15)="仮予約",INDEX('01_予約入力'!$N$5:$N$204,$O15)="調整中"),"仮",INDEX('01_予約入力'!$C$5:$C$204,$O15)),""))))</f>
        <v/>
      </c>
      <c r="Z15" s="44">
        <f>IF($A15="","",IF($S15&gt;0,IF(OR(INDEX('01_予約入力'!$N$5:$N$204,$S15)="仮予約",INDEX('01_予約入力'!$N$5:$N$204,$S15)="調整中"),"仮",INDEX('01_予約入力'!$C$5:$C$204,$S15)),IF($T15&gt;0,IF(OR(INDEX('01_予約入力'!$N$5:$N$204,$T15)="仮予約",INDEX('01_予約入力'!$N$5:$N$204,$T15)="調整中"),"仮",INDEX('01_予約入力'!$C$5:$C$204,$T15)),IF($R15&gt;0,IF(OR(INDEX('01_予約入力'!$N$5:$N$204,$R15)="仮予約",INDEX('01_予約入力'!$N$5:$N$204,$R15)="調整中"),"仮",INDEX('01_予約入力'!$C$5:$C$204,$R15)),""))))</f>
        <v/>
      </c>
      <c r="AA15" s="44">
        <f>IF($A15="","",IF($V15&gt;0,IF(OR(INDEX('01_予約入力'!$N$5:$N$204,$V15)="仮予約",INDEX('01_予約入力'!$N$5:$N$204,$V15)="調整中"),"仮",INDEX('01_予約入力'!$C$5:$C$204,$V15)),IF($W15&gt;0,IF(OR(INDEX('01_予約入力'!$N$5:$N$204,$W15)="仮予約",INDEX('01_予約入力'!$N$5:$N$204,$W15)="調整中"),"仮",INDEX('01_予約入力'!$C$5:$C$204,$W15)),IF($U15&gt;0,IF(OR(INDEX('01_予約入力'!$N$5:$N$204,$U15)="仮予約",INDEX('01_予約入力'!$N$5:$N$204,$U15)="調整中"),"仮",INDEX('01_予約入力'!$C$5:$C$204,$U15)),""))))</f>
        <v/>
      </c>
      <c r="AB15" s="44">
        <f>IF($A15="",0,SUMPRODUCT(('01_予約入力'!$G$5:$G$204&lt;&gt;"")*('01_予約入力'!$N$5:$N$204&lt;&gt;"キャンセル")*('01_予約入力'!$G$5:$G$204&lt;$A15)*('01_予約入力'!$J$5:$J$204&gt;=$A15)))</f>
        <v/>
      </c>
      <c r="AC15" s="44">
        <f>IF($A15="",0,SUMPRODUCT(('01_予約入力'!$G$5:$G$204&lt;&gt;"")*('01_予約入力'!$N$5:$N$204&lt;&gt;"キャンセル")*((('01_予約入力'!$G$5:$G$204&lt;$A15)*('01_予約入力'!$J$5:$J$204&gt;$A15))+(('01_予約入力'!$G$5:$G$204=$A15)*('01_予約入力'!$J$5:$J$204=$A15)))))</f>
        <v/>
      </c>
      <c r="AD15" s="44">
        <f>IF($A15="",0,SUMPRODUCT(('01_予約入力'!$G$5:$G$204&lt;&gt;"")*('01_予約入力'!$N$5:$N$204&lt;&gt;"キャンセル")*('01_予約入力'!$G$5:$G$204&lt;=$A15)*('01_予約入力'!$J$5:$J$204&gt;$A15)))</f>
        <v/>
      </c>
      <c r="AE15" s="44">
        <f>IF($A15="",0,IFERROR(MATCH($A15,'02_カレンダー'!$B$59:$B$78,0),0))</f>
        <v/>
      </c>
      <c r="AF15" s="44">
        <f>IF($A15="",0,IF($AE15=0,$AB15,IF(INDEX('02_カレンダー'!$C$59:$C$78,$AE15)="",$AB15,INDEX('02_カレンダー'!$C$59:$C$78,$AE15))))</f>
        <v/>
      </c>
      <c r="AG15" s="44">
        <f>IF($A15="",0,IF($AE15=0,$AC15,IF(INDEX('02_カレンダー'!$D$59:$D$78,$AE15)="",$AC15,INDEX('02_カレンダー'!$D$59:$D$78,$AE15))))</f>
        <v/>
      </c>
      <c r="AH15" s="44">
        <f>IF($A15="",0,IF($AE15=0,$AD15,IF(INDEX('02_カレンダー'!$E$59:$E$78,$AE15)="",$AD15,INDEX('02_カレンダー'!$E$59:$E$78,$AE15))))</f>
        <v/>
      </c>
      <c r="AI15" s="44">
        <f>IF($A15="","",IF(AND($AF15=0,$AG15=0,$AH15=0),"","朝"&amp;$AF15&amp;" 昼"&amp;$AG15&amp;" 夕"&amp;$AH15&amp;IF($AJ15=0,"","　※調整")))</f>
        <v/>
      </c>
      <c r="AJ15" s="44">
        <f>IF(OR($A15="",$AE15=0),0,IF(OR(INDEX('02_カレンダー'!$C$59:$C$78,$AE15)&lt;&gt;"",INDEX('02_カレンダー'!$D$59:$D$78,$AE15)&lt;&gt;"",INDEX('02_カレンダー'!$E$59:$E$78,$AE15)&lt;&gt;""),1,0))</f>
        <v/>
      </c>
    </row>
    <row r="16">
      <c r="A16" s="37">
        <f>IF(MONTH('02_カレンダー'!$B$4+9)&lt;&gt;MONTH('02_カレンダー'!$B$4),"",'02_カレンダー'!$B$4+9)</f>
        <v/>
      </c>
      <c r="B16" s="44">
        <f>IF($A16="","",MID("日月火水木金土",WEEKDAY($A16),1))</f>
        <v/>
      </c>
      <c r="C16" s="48">
        <f>IF(OR($A16="",C$6=""),"",IF($L16=0,"",INDEX('01_予約入力'!$B$5:$B$204,$L16)&amp;" ◀"&amp;IF(('02_カレンダー'!$B$5="○"),INDEX('01_予約入力'!$AB$5:$AB$204,$L16),""))&amp;IF(AND($L16&gt;0,OR($M16&gt;0,$N16&gt;0)),"  ","")&amp;IF($M16=0,"",IF(INDEX('01_予約入力'!$G$5:$G$204,$M16)=$A16,"▶"&amp;IF(('02_カレンダー'!$B$5="○"),INDEX('01_予約入力'!$AA$5:$AA$204,$M16)&amp;" "," "),"")&amp;INDEX('01_予約入力'!$B$5:$B$204,$M16))&amp;IF(AND($M16&gt;0,$N16&gt;0),"  ","")&amp;IF($N16=0,"","◆ "&amp;INDEX('01_予約入力'!$B$5:$B$204,$N16)&amp;IF(('02_カレンダー'!$B$5="○")," "&amp;INDEX('01_予約入力'!$AA$5:$AA$204,$N16)&amp;"-"&amp;INDEX('01_予約入力'!$AB$5:$AB$204,$N16),"")))</f>
        <v/>
      </c>
      <c r="D16" s="48">
        <f>IF(OR($A16="",D$6=""),"",IF($O16=0,"",INDEX('01_予約入力'!$B$5:$B$204,$O16)&amp;" ◀"&amp;IF(('02_カレンダー'!$B$5="○"),INDEX('01_予約入力'!$AB$5:$AB$204,$O16),""))&amp;IF(AND($O16&gt;0,OR($P16&gt;0,$Q16&gt;0)),"  ","")&amp;IF($P16=0,"",IF(INDEX('01_予約入力'!$G$5:$G$204,$P16)=$A16,"▶"&amp;IF(('02_カレンダー'!$B$5="○"),INDEX('01_予約入力'!$AA$5:$AA$204,$P16)&amp;" "," "),"")&amp;INDEX('01_予約入力'!$B$5:$B$204,$P16))&amp;IF(AND($P16&gt;0,$Q16&gt;0),"  ","")&amp;IF($Q16=0,"","◆ "&amp;INDEX('01_予約入力'!$B$5:$B$204,$Q16)&amp;IF(('02_カレンダー'!$B$5="○")," "&amp;INDEX('01_予約入力'!$AA$5:$AA$204,$Q16)&amp;"-"&amp;INDEX('01_予約入力'!$AB$5:$AB$204,$Q16),"")))</f>
        <v/>
      </c>
      <c r="E16" s="48">
        <f>IF(OR($A16="",E$6=""),"",IF($R16=0,"",INDEX('01_予約入力'!$B$5:$B$204,$R16)&amp;" ◀"&amp;IF(('02_カレンダー'!$B$5="○"),INDEX('01_予約入力'!$AB$5:$AB$204,$R16),""))&amp;IF(AND($R16&gt;0,OR($S16&gt;0,$T16&gt;0)),"  ","")&amp;IF($S16=0,"",IF(INDEX('01_予約入力'!$G$5:$G$204,$S16)=$A16,"▶"&amp;IF(('02_カレンダー'!$B$5="○"),INDEX('01_予約入力'!$AA$5:$AA$204,$S16)&amp;" "," "),"")&amp;INDEX('01_予約入力'!$B$5:$B$204,$S16))&amp;IF(AND($S16&gt;0,$T16&gt;0),"  ","")&amp;IF($T16=0,"","◆ "&amp;INDEX('01_予約入力'!$B$5:$B$204,$T16)&amp;IF(('02_カレンダー'!$B$5="○")," "&amp;INDEX('01_予約入力'!$AA$5:$AA$204,$T16)&amp;"-"&amp;INDEX('01_予約入力'!$AB$5:$AB$204,$T16),"")))</f>
        <v/>
      </c>
      <c r="F16" s="48">
        <f>IF(OR($A16="",F$6=""),"",IF($U16=0,"",INDEX('01_予約入力'!$B$5:$B$204,$U16)&amp;" ◀"&amp;IF(('02_カレンダー'!$B$5="○"),INDEX('01_予約入力'!$AB$5:$AB$204,$U16),""))&amp;IF(AND($U16&gt;0,OR($V16&gt;0,$W16&gt;0)),"  ","")&amp;IF($V16=0,"",IF(INDEX('01_予約入力'!$G$5:$G$204,$V16)=$A16,"▶"&amp;IF(('02_カレンダー'!$B$5="○"),INDEX('01_予約入力'!$AA$5:$AA$204,$V16)&amp;" "," "),"")&amp;INDEX('01_予約入力'!$B$5:$B$204,$V16))&amp;IF(AND($V16&gt;0,$W16&gt;0),"  ","")&amp;IF($W16=0,"","◆ "&amp;INDEX('01_予約入力'!$B$5:$B$204,$W16)&amp;IF(('02_カレンダー'!$B$5="○")," "&amp;INDEX('01_予約入力'!$AA$5:$AA$204,$W16)&amp;"-"&amp;INDEX('01_予約入力'!$AB$5:$AB$204,$W16),"")))</f>
        <v/>
      </c>
      <c r="G16" s="44">
        <f>IF($A16="","",SUMPRODUCT(('01_予約入力'!$G$5:$G$204&lt;&gt;"")*('01_予約入力'!$N$5:$N$204&lt;&gt;"キャンセル")*('01_予約入力'!$G$5:$G$204&lt;=$A16)*('01_予約入力'!$J$5:$J$204&gt;$A16)))</f>
        <v/>
      </c>
      <c r="H16" s="44">
        <f>IF($A16="","",'M_施設設定'!$B$6-$G16)</f>
        <v/>
      </c>
      <c r="I16" s="44">
        <f>IF($A16="","",SUMPRODUCT((('01_予約入力'!$N$5:$N$204="仮予約")+('01_予約入力'!$N$5:$N$204="調整中"))*('01_予約入力'!$G$5:$G$204&lt;&gt;"")*('01_予約入力'!$G$5:$G$204&lt;=$A16)*('01_予約入力'!$J$5:$J$204&gt;$A16)))</f>
        <v/>
      </c>
      <c r="J16" s="44">
        <f>IF($A16="","",IF($I16&gt;0,"仮",IF($H16&lt;=0,"×",IF($H16&lt;'M_施設設定'!$B$6,"△","○"))))</f>
        <v/>
      </c>
      <c r="K16" s="44">
        <f>IF($A16="","",SUMPRODUCT(('01_予約入力'!$G$5:$G$204&lt;&gt;"")*('01_予約入力'!$N$5:$N$204&lt;&gt;"キャンセル")*('01_予約入力'!$G$5:$G$204=$A16)*('01_予約入力'!$J$5:$J$204=$A16)))</f>
        <v/>
      </c>
      <c r="L16" s="44">
        <f>IF(OR($A16="",C$6=""),0,SUMPRODUCT(MAX(('01_予約入力'!$D$5:$D$204=C$6)*('01_予約入力'!$N$5:$N$204&lt;&gt;"キャンセル")*('01_予約入力'!$G$5:$G$204&lt;&gt;"")*('01_予約入力'!$J$5:$J$204=$A16)*('01_予約入力'!$G$5:$G$204&lt;$A16)*(ROW('01_予約入力'!$G$5:$G$204)-4))))</f>
        <v/>
      </c>
      <c r="M16" s="44">
        <f>IF(OR($A16="",C$6=""),0,SUMPRODUCT(MAX(('01_予約入力'!$D$5:$D$204=C$6)*('01_予約入力'!$N$5:$N$204&lt;&gt;"キャンセル")*('01_予約入力'!$G$5:$G$204&lt;&gt;"")*('01_予約入力'!$G$5:$G$204&lt;=$A16)*('01_予約入力'!$J$5:$J$204&gt;$A16)*(ROW('01_予約入力'!$G$5:$G$204)-4))))</f>
        <v/>
      </c>
      <c r="N16" s="44">
        <f>IF(OR($A16="",C$6=""),0,SUMPRODUCT(MAX(('01_予約入力'!$D$5:$D$204=C$6)*('01_予約入力'!$N$5:$N$204&lt;&gt;"キャンセル")*('01_予約入力'!$G$5:$G$204&lt;&gt;"")*('01_予約入力'!$G$5:$G$204=$A16)*('01_予約入力'!$J$5:$J$204=$A16)*(ROW('01_予約入力'!$G$5:$G$204)-4))))</f>
        <v/>
      </c>
      <c r="O16" s="44">
        <f>IF(OR($A16="",D$6=""),0,SUMPRODUCT(MAX(('01_予約入力'!$D$5:$D$204=D$6)*('01_予約入力'!$N$5:$N$204&lt;&gt;"キャンセル")*('01_予約入力'!$G$5:$G$204&lt;&gt;"")*('01_予約入力'!$J$5:$J$204=$A16)*('01_予約入力'!$G$5:$G$204&lt;$A16)*(ROW('01_予約入力'!$G$5:$G$204)-4))))</f>
        <v/>
      </c>
      <c r="P16" s="44">
        <f>IF(OR($A16="",D$6=""),0,SUMPRODUCT(MAX(('01_予約入力'!$D$5:$D$204=D$6)*('01_予約入力'!$N$5:$N$204&lt;&gt;"キャンセル")*('01_予約入力'!$G$5:$G$204&lt;&gt;"")*('01_予約入力'!$G$5:$G$204&lt;=$A16)*('01_予約入力'!$J$5:$J$204&gt;$A16)*(ROW('01_予約入力'!$G$5:$G$204)-4))))</f>
        <v/>
      </c>
      <c r="Q16" s="44">
        <f>IF(OR($A16="",D$6=""),0,SUMPRODUCT(MAX(('01_予約入力'!$D$5:$D$204=D$6)*('01_予約入力'!$N$5:$N$204&lt;&gt;"キャンセル")*('01_予約入力'!$G$5:$G$204&lt;&gt;"")*('01_予約入力'!$G$5:$G$204=$A16)*('01_予約入力'!$J$5:$J$204=$A16)*(ROW('01_予約入力'!$G$5:$G$204)-4))))</f>
        <v/>
      </c>
      <c r="R16" s="44">
        <f>IF(OR($A16="",E$6=""),0,SUMPRODUCT(MAX(('01_予約入力'!$D$5:$D$204=E$6)*('01_予約入力'!$N$5:$N$204&lt;&gt;"キャンセル")*('01_予約入力'!$G$5:$G$204&lt;&gt;"")*('01_予約入力'!$J$5:$J$204=$A16)*('01_予約入力'!$G$5:$G$204&lt;$A16)*(ROW('01_予約入力'!$G$5:$G$204)-4))))</f>
        <v/>
      </c>
      <c r="S16" s="44">
        <f>IF(OR($A16="",E$6=""),0,SUMPRODUCT(MAX(('01_予約入力'!$D$5:$D$204=E$6)*('01_予約入力'!$N$5:$N$204&lt;&gt;"キャンセル")*('01_予約入力'!$G$5:$G$204&lt;&gt;"")*('01_予約入力'!$G$5:$G$204&lt;=$A16)*('01_予約入力'!$J$5:$J$204&gt;$A16)*(ROW('01_予約入力'!$G$5:$G$204)-4))))</f>
        <v/>
      </c>
      <c r="T16" s="44">
        <f>IF(OR($A16="",E$6=""),0,SUMPRODUCT(MAX(('01_予約入力'!$D$5:$D$204=E$6)*('01_予約入力'!$N$5:$N$204&lt;&gt;"キャンセル")*('01_予約入力'!$G$5:$G$204&lt;&gt;"")*('01_予約入力'!$G$5:$G$204=$A16)*('01_予約入力'!$J$5:$J$204=$A16)*(ROW('01_予約入力'!$G$5:$G$204)-4))))</f>
        <v/>
      </c>
      <c r="U16" s="44">
        <f>IF(OR($A16="",F$6=""),0,SUMPRODUCT(MAX(('01_予約入力'!$D$5:$D$204=F$6)*('01_予約入力'!$N$5:$N$204&lt;&gt;"キャンセル")*('01_予約入力'!$G$5:$G$204&lt;&gt;"")*('01_予約入力'!$J$5:$J$204=$A16)*('01_予約入力'!$G$5:$G$204&lt;$A16)*(ROW('01_予約入力'!$G$5:$G$204)-4))))</f>
        <v/>
      </c>
      <c r="V16" s="44">
        <f>IF(OR($A16="",F$6=""),0,SUMPRODUCT(MAX(('01_予約入力'!$D$5:$D$204=F$6)*('01_予約入力'!$N$5:$N$204&lt;&gt;"キャンセル")*('01_予約入力'!$G$5:$G$204&lt;&gt;"")*('01_予約入力'!$G$5:$G$204&lt;=$A16)*('01_予約入力'!$J$5:$J$204&gt;$A16)*(ROW('01_予約入力'!$G$5:$G$204)-4))))</f>
        <v/>
      </c>
      <c r="W16" s="44">
        <f>IF(OR($A16="",F$6=""),0,SUMPRODUCT(MAX(('01_予約入力'!$D$5:$D$204=F$6)*('01_予約入力'!$N$5:$N$204&lt;&gt;"キャンセル")*('01_予約入力'!$G$5:$G$204&lt;&gt;"")*('01_予約入力'!$G$5:$G$204=$A16)*('01_予約入力'!$J$5:$J$204=$A16)*(ROW('01_予約入力'!$G$5:$G$204)-4))))</f>
        <v/>
      </c>
      <c r="X16" s="44">
        <f>IF($A16="","",IF($M16&gt;0,IF(OR(INDEX('01_予約入力'!$N$5:$N$204,$M16)="仮予約",INDEX('01_予約入力'!$N$5:$N$204,$M16)="調整中"),"仮",INDEX('01_予約入力'!$C$5:$C$204,$M16)),IF($N16&gt;0,IF(OR(INDEX('01_予約入力'!$N$5:$N$204,$N16)="仮予約",INDEX('01_予約入力'!$N$5:$N$204,$N16)="調整中"),"仮",INDEX('01_予約入力'!$C$5:$C$204,$N16)),IF($L16&gt;0,IF(OR(INDEX('01_予約入力'!$N$5:$N$204,$L16)="仮予約",INDEX('01_予約入力'!$N$5:$N$204,$L16)="調整中"),"仮",INDEX('01_予約入力'!$C$5:$C$204,$L16)),""))))</f>
        <v/>
      </c>
      <c r="Y16" s="44">
        <f>IF($A16="","",IF($P16&gt;0,IF(OR(INDEX('01_予約入力'!$N$5:$N$204,$P16)="仮予約",INDEX('01_予約入力'!$N$5:$N$204,$P16)="調整中"),"仮",INDEX('01_予約入力'!$C$5:$C$204,$P16)),IF($Q16&gt;0,IF(OR(INDEX('01_予約入力'!$N$5:$N$204,$Q16)="仮予約",INDEX('01_予約入力'!$N$5:$N$204,$Q16)="調整中"),"仮",INDEX('01_予約入力'!$C$5:$C$204,$Q16)),IF($O16&gt;0,IF(OR(INDEX('01_予約入力'!$N$5:$N$204,$O16)="仮予約",INDEX('01_予約入力'!$N$5:$N$204,$O16)="調整中"),"仮",INDEX('01_予約入力'!$C$5:$C$204,$O16)),""))))</f>
        <v/>
      </c>
      <c r="Z16" s="44">
        <f>IF($A16="","",IF($S16&gt;0,IF(OR(INDEX('01_予約入力'!$N$5:$N$204,$S16)="仮予約",INDEX('01_予約入力'!$N$5:$N$204,$S16)="調整中"),"仮",INDEX('01_予約入力'!$C$5:$C$204,$S16)),IF($T16&gt;0,IF(OR(INDEX('01_予約入力'!$N$5:$N$204,$T16)="仮予約",INDEX('01_予約入力'!$N$5:$N$204,$T16)="調整中"),"仮",INDEX('01_予約入力'!$C$5:$C$204,$T16)),IF($R16&gt;0,IF(OR(INDEX('01_予約入力'!$N$5:$N$204,$R16)="仮予約",INDEX('01_予約入力'!$N$5:$N$204,$R16)="調整中"),"仮",INDEX('01_予約入力'!$C$5:$C$204,$R16)),""))))</f>
        <v/>
      </c>
      <c r="AA16" s="44">
        <f>IF($A16="","",IF($V16&gt;0,IF(OR(INDEX('01_予約入力'!$N$5:$N$204,$V16)="仮予約",INDEX('01_予約入力'!$N$5:$N$204,$V16)="調整中"),"仮",INDEX('01_予約入力'!$C$5:$C$204,$V16)),IF($W16&gt;0,IF(OR(INDEX('01_予約入力'!$N$5:$N$204,$W16)="仮予約",INDEX('01_予約入力'!$N$5:$N$204,$W16)="調整中"),"仮",INDEX('01_予約入力'!$C$5:$C$204,$W16)),IF($U16&gt;0,IF(OR(INDEX('01_予約入力'!$N$5:$N$204,$U16)="仮予約",INDEX('01_予約入力'!$N$5:$N$204,$U16)="調整中"),"仮",INDEX('01_予約入力'!$C$5:$C$204,$U16)),""))))</f>
        <v/>
      </c>
      <c r="AB16" s="44">
        <f>IF($A16="",0,SUMPRODUCT(('01_予約入力'!$G$5:$G$204&lt;&gt;"")*('01_予約入力'!$N$5:$N$204&lt;&gt;"キャンセル")*('01_予約入力'!$G$5:$G$204&lt;$A16)*('01_予約入力'!$J$5:$J$204&gt;=$A16)))</f>
        <v/>
      </c>
      <c r="AC16" s="44">
        <f>IF($A16="",0,SUMPRODUCT(('01_予約入力'!$G$5:$G$204&lt;&gt;"")*('01_予約入力'!$N$5:$N$204&lt;&gt;"キャンセル")*((('01_予約入力'!$G$5:$G$204&lt;$A16)*('01_予約入力'!$J$5:$J$204&gt;$A16))+(('01_予約入力'!$G$5:$G$204=$A16)*('01_予約入力'!$J$5:$J$204=$A16)))))</f>
        <v/>
      </c>
      <c r="AD16" s="44">
        <f>IF($A16="",0,SUMPRODUCT(('01_予約入力'!$G$5:$G$204&lt;&gt;"")*('01_予約入力'!$N$5:$N$204&lt;&gt;"キャンセル")*('01_予約入力'!$G$5:$G$204&lt;=$A16)*('01_予約入力'!$J$5:$J$204&gt;$A16)))</f>
        <v/>
      </c>
      <c r="AE16" s="44">
        <f>IF($A16="",0,IFERROR(MATCH($A16,'02_カレンダー'!$B$59:$B$78,0),0))</f>
        <v/>
      </c>
      <c r="AF16" s="44">
        <f>IF($A16="",0,IF($AE16=0,$AB16,IF(INDEX('02_カレンダー'!$C$59:$C$78,$AE16)="",$AB16,INDEX('02_カレンダー'!$C$59:$C$78,$AE16))))</f>
        <v/>
      </c>
      <c r="AG16" s="44">
        <f>IF($A16="",0,IF($AE16=0,$AC16,IF(INDEX('02_カレンダー'!$D$59:$D$78,$AE16)="",$AC16,INDEX('02_カレンダー'!$D$59:$D$78,$AE16))))</f>
        <v/>
      </c>
      <c r="AH16" s="44">
        <f>IF($A16="",0,IF($AE16=0,$AD16,IF(INDEX('02_カレンダー'!$E$59:$E$78,$AE16)="",$AD16,INDEX('02_カレンダー'!$E$59:$E$78,$AE16))))</f>
        <v/>
      </c>
      <c r="AI16" s="44">
        <f>IF($A16="","",IF(AND($AF16=0,$AG16=0,$AH16=0),"","朝"&amp;$AF16&amp;" 昼"&amp;$AG16&amp;" 夕"&amp;$AH16&amp;IF($AJ16=0,"","　※調整")))</f>
        <v/>
      </c>
      <c r="AJ16" s="44">
        <f>IF(OR($A16="",$AE16=0),0,IF(OR(INDEX('02_カレンダー'!$C$59:$C$78,$AE16)&lt;&gt;"",INDEX('02_カレンダー'!$D$59:$D$78,$AE16)&lt;&gt;"",INDEX('02_カレンダー'!$E$59:$E$78,$AE16)&lt;&gt;""),1,0))</f>
        <v/>
      </c>
    </row>
    <row r="17">
      <c r="A17" s="37">
        <f>IF(MONTH('02_カレンダー'!$B$4+10)&lt;&gt;MONTH('02_カレンダー'!$B$4),"",'02_カレンダー'!$B$4+10)</f>
        <v/>
      </c>
      <c r="B17" s="44">
        <f>IF($A17="","",MID("日月火水木金土",WEEKDAY($A17),1))</f>
        <v/>
      </c>
      <c r="C17" s="48">
        <f>IF(OR($A17="",C$6=""),"",IF($L17=0,"",INDEX('01_予約入力'!$B$5:$B$204,$L17)&amp;" ◀"&amp;IF(('02_カレンダー'!$B$5="○"),INDEX('01_予約入力'!$AB$5:$AB$204,$L17),""))&amp;IF(AND($L17&gt;0,OR($M17&gt;0,$N17&gt;0)),"  ","")&amp;IF($M17=0,"",IF(INDEX('01_予約入力'!$G$5:$G$204,$M17)=$A17,"▶"&amp;IF(('02_カレンダー'!$B$5="○"),INDEX('01_予約入力'!$AA$5:$AA$204,$M17)&amp;" "," "),"")&amp;INDEX('01_予約入力'!$B$5:$B$204,$M17))&amp;IF(AND($M17&gt;0,$N17&gt;0),"  ","")&amp;IF($N17=0,"","◆ "&amp;INDEX('01_予約入力'!$B$5:$B$204,$N17)&amp;IF(('02_カレンダー'!$B$5="○")," "&amp;INDEX('01_予約入力'!$AA$5:$AA$204,$N17)&amp;"-"&amp;INDEX('01_予約入力'!$AB$5:$AB$204,$N17),"")))</f>
        <v/>
      </c>
      <c r="D17" s="48">
        <f>IF(OR($A17="",D$6=""),"",IF($O17=0,"",INDEX('01_予約入力'!$B$5:$B$204,$O17)&amp;" ◀"&amp;IF(('02_カレンダー'!$B$5="○"),INDEX('01_予約入力'!$AB$5:$AB$204,$O17),""))&amp;IF(AND($O17&gt;0,OR($P17&gt;0,$Q17&gt;0)),"  ","")&amp;IF($P17=0,"",IF(INDEX('01_予約入力'!$G$5:$G$204,$P17)=$A17,"▶"&amp;IF(('02_カレンダー'!$B$5="○"),INDEX('01_予約入力'!$AA$5:$AA$204,$P17)&amp;" "," "),"")&amp;INDEX('01_予約入力'!$B$5:$B$204,$P17))&amp;IF(AND($P17&gt;0,$Q17&gt;0),"  ","")&amp;IF($Q17=0,"","◆ "&amp;INDEX('01_予約入力'!$B$5:$B$204,$Q17)&amp;IF(('02_カレンダー'!$B$5="○")," "&amp;INDEX('01_予約入力'!$AA$5:$AA$204,$Q17)&amp;"-"&amp;INDEX('01_予約入力'!$AB$5:$AB$204,$Q17),"")))</f>
        <v/>
      </c>
      <c r="E17" s="48">
        <f>IF(OR($A17="",E$6=""),"",IF($R17=0,"",INDEX('01_予約入力'!$B$5:$B$204,$R17)&amp;" ◀"&amp;IF(('02_カレンダー'!$B$5="○"),INDEX('01_予約入力'!$AB$5:$AB$204,$R17),""))&amp;IF(AND($R17&gt;0,OR($S17&gt;0,$T17&gt;0)),"  ","")&amp;IF($S17=0,"",IF(INDEX('01_予約入力'!$G$5:$G$204,$S17)=$A17,"▶"&amp;IF(('02_カレンダー'!$B$5="○"),INDEX('01_予約入力'!$AA$5:$AA$204,$S17)&amp;" "," "),"")&amp;INDEX('01_予約入力'!$B$5:$B$204,$S17))&amp;IF(AND($S17&gt;0,$T17&gt;0),"  ","")&amp;IF($T17=0,"","◆ "&amp;INDEX('01_予約入力'!$B$5:$B$204,$T17)&amp;IF(('02_カレンダー'!$B$5="○")," "&amp;INDEX('01_予約入力'!$AA$5:$AA$204,$T17)&amp;"-"&amp;INDEX('01_予約入力'!$AB$5:$AB$204,$T17),"")))</f>
        <v/>
      </c>
      <c r="F17" s="48">
        <f>IF(OR($A17="",F$6=""),"",IF($U17=0,"",INDEX('01_予約入力'!$B$5:$B$204,$U17)&amp;" ◀"&amp;IF(('02_カレンダー'!$B$5="○"),INDEX('01_予約入力'!$AB$5:$AB$204,$U17),""))&amp;IF(AND($U17&gt;0,OR($V17&gt;0,$W17&gt;0)),"  ","")&amp;IF($V17=0,"",IF(INDEX('01_予約入力'!$G$5:$G$204,$V17)=$A17,"▶"&amp;IF(('02_カレンダー'!$B$5="○"),INDEX('01_予約入力'!$AA$5:$AA$204,$V17)&amp;" "," "),"")&amp;INDEX('01_予約入力'!$B$5:$B$204,$V17))&amp;IF(AND($V17&gt;0,$W17&gt;0),"  ","")&amp;IF($W17=0,"","◆ "&amp;INDEX('01_予約入力'!$B$5:$B$204,$W17)&amp;IF(('02_カレンダー'!$B$5="○")," "&amp;INDEX('01_予約入力'!$AA$5:$AA$204,$W17)&amp;"-"&amp;INDEX('01_予約入力'!$AB$5:$AB$204,$W17),"")))</f>
        <v/>
      </c>
      <c r="G17" s="44">
        <f>IF($A17="","",SUMPRODUCT(('01_予約入力'!$G$5:$G$204&lt;&gt;"")*('01_予約入力'!$N$5:$N$204&lt;&gt;"キャンセル")*('01_予約入力'!$G$5:$G$204&lt;=$A17)*('01_予約入力'!$J$5:$J$204&gt;$A17)))</f>
        <v/>
      </c>
      <c r="H17" s="44">
        <f>IF($A17="","",'M_施設設定'!$B$6-$G17)</f>
        <v/>
      </c>
      <c r="I17" s="44">
        <f>IF($A17="","",SUMPRODUCT((('01_予約入力'!$N$5:$N$204="仮予約")+('01_予約入力'!$N$5:$N$204="調整中"))*('01_予約入力'!$G$5:$G$204&lt;&gt;"")*('01_予約入力'!$G$5:$G$204&lt;=$A17)*('01_予約入力'!$J$5:$J$204&gt;$A17)))</f>
        <v/>
      </c>
      <c r="J17" s="44">
        <f>IF($A17="","",IF($I17&gt;0,"仮",IF($H17&lt;=0,"×",IF($H17&lt;'M_施設設定'!$B$6,"△","○"))))</f>
        <v/>
      </c>
      <c r="K17" s="44">
        <f>IF($A17="","",SUMPRODUCT(('01_予約入力'!$G$5:$G$204&lt;&gt;"")*('01_予約入力'!$N$5:$N$204&lt;&gt;"キャンセル")*('01_予約入力'!$G$5:$G$204=$A17)*('01_予約入力'!$J$5:$J$204=$A17)))</f>
        <v/>
      </c>
      <c r="L17" s="44">
        <f>IF(OR($A17="",C$6=""),0,SUMPRODUCT(MAX(('01_予約入力'!$D$5:$D$204=C$6)*('01_予約入力'!$N$5:$N$204&lt;&gt;"キャンセル")*('01_予約入力'!$G$5:$G$204&lt;&gt;"")*('01_予約入力'!$J$5:$J$204=$A17)*('01_予約入力'!$G$5:$G$204&lt;$A17)*(ROW('01_予約入力'!$G$5:$G$204)-4))))</f>
        <v/>
      </c>
      <c r="M17" s="44">
        <f>IF(OR($A17="",C$6=""),0,SUMPRODUCT(MAX(('01_予約入力'!$D$5:$D$204=C$6)*('01_予約入力'!$N$5:$N$204&lt;&gt;"キャンセル")*('01_予約入力'!$G$5:$G$204&lt;&gt;"")*('01_予約入力'!$G$5:$G$204&lt;=$A17)*('01_予約入力'!$J$5:$J$204&gt;$A17)*(ROW('01_予約入力'!$G$5:$G$204)-4))))</f>
        <v/>
      </c>
      <c r="N17" s="44">
        <f>IF(OR($A17="",C$6=""),0,SUMPRODUCT(MAX(('01_予約入力'!$D$5:$D$204=C$6)*('01_予約入力'!$N$5:$N$204&lt;&gt;"キャンセル")*('01_予約入力'!$G$5:$G$204&lt;&gt;"")*('01_予約入力'!$G$5:$G$204=$A17)*('01_予約入力'!$J$5:$J$204=$A17)*(ROW('01_予約入力'!$G$5:$G$204)-4))))</f>
        <v/>
      </c>
      <c r="O17" s="44">
        <f>IF(OR($A17="",D$6=""),0,SUMPRODUCT(MAX(('01_予約入力'!$D$5:$D$204=D$6)*('01_予約入力'!$N$5:$N$204&lt;&gt;"キャンセル")*('01_予約入力'!$G$5:$G$204&lt;&gt;"")*('01_予約入力'!$J$5:$J$204=$A17)*('01_予約入力'!$G$5:$G$204&lt;$A17)*(ROW('01_予約入力'!$G$5:$G$204)-4))))</f>
        <v/>
      </c>
      <c r="P17" s="44">
        <f>IF(OR($A17="",D$6=""),0,SUMPRODUCT(MAX(('01_予約入力'!$D$5:$D$204=D$6)*('01_予約入力'!$N$5:$N$204&lt;&gt;"キャンセル")*('01_予約入力'!$G$5:$G$204&lt;&gt;"")*('01_予約入力'!$G$5:$G$204&lt;=$A17)*('01_予約入力'!$J$5:$J$204&gt;$A17)*(ROW('01_予約入力'!$G$5:$G$204)-4))))</f>
        <v/>
      </c>
      <c r="Q17" s="44">
        <f>IF(OR($A17="",D$6=""),0,SUMPRODUCT(MAX(('01_予約入力'!$D$5:$D$204=D$6)*('01_予約入力'!$N$5:$N$204&lt;&gt;"キャンセル")*('01_予約入力'!$G$5:$G$204&lt;&gt;"")*('01_予約入力'!$G$5:$G$204=$A17)*('01_予約入力'!$J$5:$J$204=$A17)*(ROW('01_予約入力'!$G$5:$G$204)-4))))</f>
        <v/>
      </c>
      <c r="R17" s="44">
        <f>IF(OR($A17="",E$6=""),0,SUMPRODUCT(MAX(('01_予約入力'!$D$5:$D$204=E$6)*('01_予約入力'!$N$5:$N$204&lt;&gt;"キャンセル")*('01_予約入力'!$G$5:$G$204&lt;&gt;"")*('01_予約入力'!$J$5:$J$204=$A17)*('01_予約入力'!$G$5:$G$204&lt;$A17)*(ROW('01_予約入力'!$G$5:$G$204)-4))))</f>
        <v/>
      </c>
      <c r="S17" s="44">
        <f>IF(OR($A17="",E$6=""),0,SUMPRODUCT(MAX(('01_予約入力'!$D$5:$D$204=E$6)*('01_予約入力'!$N$5:$N$204&lt;&gt;"キャンセル")*('01_予約入力'!$G$5:$G$204&lt;&gt;"")*('01_予約入力'!$G$5:$G$204&lt;=$A17)*('01_予約入力'!$J$5:$J$204&gt;$A17)*(ROW('01_予約入力'!$G$5:$G$204)-4))))</f>
        <v/>
      </c>
      <c r="T17" s="44">
        <f>IF(OR($A17="",E$6=""),0,SUMPRODUCT(MAX(('01_予約入力'!$D$5:$D$204=E$6)*('01_予約入力'!$N$5:$N$204&lt;&gt;"キャンセル")*('01_予約入力'!$G$5:$G$204&lt;&gt;"")*('01_予約入力'!$G$5:$G$204=$A17)*('01_予約入力'!$J$5:$J$204=$A17)*(ROW('01_予約入力'!$G$5:$G$204)-4))))</f>
        <v/>
      </c>
      <c r="U17" s="44">
        <f>IF(OR($A17="",F$6=""),0,SUMPRODUCT(MAX(('01_予約入力'!$D$5:$D$204=F$6)*('01_予約入力'!$N$5:$N$204&lt;&gt;"キャンセル")*('01_予約入力'!$G$5:$G$204&lt;&gt;"")*('01_予約入力'!$J$5:$J$204=$A17)*('01_予約入力'!$G$5:$G$204&lt;$A17)*(ROW('01_予約入力'!$G$5:$G$204)-4))))</f>
        <v/>
      </c>
      <c r="V17" s="44">
        <f>IF(OR($A17="",F$6=""),0,SUMPRODUCT(MAX(('01_予約入力'!$D$5:$D$204=F$6)*('01_予約入力'!$N$5:$N$204&lt;&gt;"キャンセル")*('01_予約入力'!$G$5:$G$204&lt;&gt;"")*('01_予約入力'!$G$5:$G$204&lt;=$A17)*('01_予約入力'!$J$5:$J$204&gt;$A17)*(ROW('01_予約入力'!$G$5:$G$204)-4))))</f>
        <v/>
      </c>
      <c r="W17" s="44">
        <f>IF(OR($A17="",F$6=""),0,SUMPRODUCT(MAX(('01_予約入力'!$D$5:$D$204=F$6)*('01_予約入力'!$N$5:$N$204&lt;&gt;"キャンセル")*('01_予約入力'!$G$5:$G$204&lt;&gt;"")*('01_予約入力'!$G$5:$G$204=$A17)*('01_予約入力'!$J$5:$J$204=$A17)*(ROW('01_予約入力'!$G$5:$G$204)-4))))</f>
        <v/>
      </c>
      <c r="X17" s="44">
        <f>IF($A17="","",IF($M17&gt;0,IF(OR(INDEX('01_予約入力'!$N$5:$N$204,$M17)="仮予約",INDEX('01_予約入力'!$N$5:$N$204,$M17)="調整中"),"仮",INDEX('01_予約入力'!$C$5:$C$204,$M17)),IF($N17&gt;0,IF(OR(INDEX('01_予約入力'!$N$5:$N$204,$N17)="仮予約",INDEX('01_予約入力'!$N$5:$N$204,$N17)="調整中"),"仮",INDEX('01_予約入力'!$C$5:$C$204,$N17)),IF($L17&gt;0,IF(OR(INDEX('01_予約入力'!$N$5:$N$204,$L17)="仮予約",INDEX('01_予約入力'!$N$5:$N$204,$L17)="調整中"),"仮",INDEX('01_予約入力'!$C$5:$C$204,$L17)),""))))</f>
        <v/>
      </c>
      <c r="Y17" s="44">
        <f>IF($A17="","",IF($P17&gt;0,IF(OR(INDEX('01_予約入力'!$N$5:$N$204,$P17)="仮予約",INDEX('01_予約入力'!$N$5:$N$204,$P17)="調整中"),"仮",INDEX('01_予約入力'!$C$5:$C$204,$P17)),IF($Q17&gt;0,IF(OR(INDEX('01_予約入力'!$N$5:$N$204,$Q17)="仮予約",INDEX('01_予約入力'!$N$5:$N$204,$Q17)="調整中"),"仮",INDEX('01_予約入力'!$C$5:$C$204,$Q17)),IF($O17&gt;0,IF(OR(INDEX('01_予約入力'!$N$5:$N$204,$O17)="仮予約",INDEX('01_予約入力'!$N$5:$N$204,$O17)="調整中"),"仮",INDEX('01_予約入力'!$C$5:$C$204,$O17)),""))))</f>
        <v/>
      </c>
      <c r="Z17" s="44">
        <f>IF($A17="","",IF($S17&gt;0,IF(OR(INDEX('01_予約入力'!$N$5:$N$204,$S17)="仮予約",INDEX('01_予約入力'!$N$5:$N$204,$S17)="調整中"),"仮",INDEX('01_予約入力'!$C$5:$C$204,$S17)),IF($T17&gt;0,IF(OR(INDEX('01_予約入力'!$N$5:$N$204,$T17)="仮予約",INDEX('01_予約入力'!$N$5:$N$204,$T17)="調整中"),"仮",INDEX('01_予約入力'!$C$5:$C$204,$T17)),IF($R17&gt;0,IF(OR(INDEX('01_予約入力'!$N$5:$N$204,$R17)="仮予約",INDEX('01_予約入力'!$N$5:$N$204,$R17)="調整中"),"仮",INDEX('01_予約入力'!$C$5:$C$204,$R17)),""))))</f>
        <v/>
      </c>
      <c r="AA17" s="44">
        <f>IF($A17="","",IF($V17&gt;0,IF(OR(INDEX('01_予約入力'!$N$5:$N$204,$V17)="仮予約",INDEX('01_予約入力'!$N$5:$N$204,$V17)="調整中"),"仮",INDEX('01_予約入力'!$C$5:$C$204,$V17)),IF($W17&gt;0,IF(OR(INDEX('01_予約入力'!$N$5:$N$204,$W17)="仮予約",INDEX('01_予約入力'!$N$5:$N$204,$W17)="調整中"),"仮",INDEX('01_予約入力'!$C$5:$C$204,$W17)),IF($U17&gt;0,IF(OR(INDEX('01_予約入力'!$N$5:$N$204,$U17)="仮予約",INDEX('01_予約入力'!$N$5:$N$204,$U17)="調整中"),"仮",INDEX('01_予約入力'!$C$5:$C$204,$U17)),""))))</f>
        <v/>
      </c>
      <c r="AB17" s="44">
        <f>IF($A17="",0,SUMPRODUCT(('01_予約入力'!$G$5:$G$204&lt;&gt;"")*('01_予約入力'!$N$5:$N$204&lt;&gt;"キャンセル")*('01_予約入力'!$G$5:$G$204&lt;$A17)*('01_予約入力'!$J$5:$J$204&gt;=$A17)))</f>
        <v/>
      </c>
      <c r="AC17" s="44">
        <f>IF($A17="",0,SUMPRODUCT(('01_予約入力'!$G$5:$G$204&lt;&gt;"")*('01_予約入力'!$N$5:$N$204&lt;&gt;"キャンセル")*((('01_予約入力'!$G$5:$G$204&lt;$A17)*('01_予約入力'!$J$5:$J$204&gt;$A17))+(('01_予約入力'!$G$5:$G$204=$A17)*('01_予約入力'!$J$5:$J$204=$A17)))))</f>
        <v/>
      </c>
      <c r="AD17" s="44">
        <f>IF($A17="",0,SUMPRODUCT(('01_予約入力'!$G$5:$G$204&lt;&gt;"")*('01_予約入力'!$N$5:$N$204&lt;&gt;"キャンセル")*('01_予約入力'!$G$5:$G$204&lt;=$A17)*('01_予約入力'!$J$5:$J$204&gt;$A17)))</f>
        <v/>
      </c>
      <c r="AE17" s="44">
        <f>IF($A17="",0,IFERROR(MATCH($A17,'02_カレンダー'!$B$59:$B$78,0),0))</f>
        <v/>
      </c>
      <c r="AF17" s="44">
        <f>IF($A17="",0,IF($AE17=0,$AB17,IF(INDEX('02_カレンダー'!$C$59:$C$78,$AE17)="",$AB17,INDEX('02_カレンダー'!$C$59:$C$78,$AE17))))</f>
        <v/>
      </c>
      <c r="AG17" s="44">
        <f>IF($A17="",0,IF($AE17=0,$AC17,IF(INDEX('02_カレンダー'!$D$59:$D$78,$AE17)="",$AC17,INDEX('02_カレンダー'!$D$59:$D$78,$AE17))))</f>
        <v/>
      </c>
      <c r="AH17" s="44">
        <f>IF($A17="",0,IF($AE17=0,$AD17,IF(INDEX('02_カレンダー'!$E$59:$E$78,$AE17)="",$AD17,INDEX('02_カレンダー'!$E$59:$E$78,$AE17))))</f>
        <v/>
      </c>
      <c r="AI17" s="44">
        <f>IF($A17="","",IF(AND($AF17=0,$AG17=0,$AH17=0),"","朝"&amp;$AF17&amp;" 昼"&amp;$AG17&amp;" 夕"&amp;$AH17&amp;IF($AJ17=0,"","　※調整")))</f>
        <v/>
      </c>
      <c r="AJ17" s="44">
        <f>IF(OR($A17="",$AE17=0),0,IF(OR(INDEX('02_カレンダー'!$C$59:$C$78,$AE17)&lt;&gt;"",INDEX('02_カレンダー'!$D$59:$D$78,$AE17)&lt;&gt;"",INDEX('02_カレンダー'!$E$59:$E$78,$AE17)&lt;&gt;""),1,0))</f>
        <v/>
      </c>
    </row>
    <row r="18">
      <c r="A18" s="37">
        <f>IF(MONTH('02_カレンダー'!$B$4+11)&lt;&gt;MONTH('02_カレンダー'!$B$4),"",'02_カレンダー'!$B$4+11)</f>
        <v/>
      </c>
      <c r="B18" s="44">
        <f>IF($A18="","",MID("日月火水木金土",WEEKDAY($A18),1))</f>
        <v/>
      </c>
      <c r="C18" s="48">
        <f>IF(OR($A18="",C$6=""),"",IF($L18=0,"",INDEX('01_予約入力'!$B$5:$B$204,$L18)&amp;" ◀"&amp;IF(('02_カレンダー'!$B$5="○"),INDEX('01_予約入力'!$AB$5:$AB$204,$L18),""))&amp;IF(AND($L18&gt;0,OR($M18&gt;0,$N18&gt;0)),"  ","")&amp;IF($M18=0,"",IF(INDEX('01_予約入力'!$G$5:$G$204,$M18)=$A18,"▶"&amp;IF(('02_カレンダー'!$B$5="○"),INDEX('01_予約入力'!$AA$5:$AA$204,$M18)&amp;" "," "),"")&amp;INDEX('01_予約入力'!$B$5:$B$204,$M18))&amp;IF(AND($M18&gt;0,$N18&gt;0),"  ","")&amp;IF($N18=0,"","◆ "&amp;INDEX('01_予約入力'!$B$5:$B$204,$N18)&amp;IF(('02_カレンダー'!$B$5="○")," "&amp;INDEX('01_予約入力'!$AA$5:$AA$204,$N18)&amp;"-"&amp;INDEX('01_予約入力'!$AB$5:$AB$204,$N18),"")))</f>
        <v/>
      </c>
      <c r="D18" s="48">
        <f>IF(OR($A18="",D$6=""),"",IF($O18=0,"",INDEX('01_予約入力'!$B$5:$B$204,$O18)&amp;" ◀"&amp;IF(('02_カレンダー'!$B$5="○"),INDEX('01_予約入力'!$AB$5:$AB$204,$O18),""))&amp;IF(AND($O18&gt;0,OR($P18&gt;0,$Q18&gt;0)),"  ","")&amp;IF($P18=0,"",IF(INDEX('01_予約入力'!$G$5:$G$204,$P18)=$A18,"▶"&amp;IF(('02_カレンダー'!$B$5="○"),INDEX('01_予約入力'!$AA$5:$AA$204,$P18)&amp;" "," "),"")&amp;INDEX('01_予約入力'!$B$5:$B$204,$P18))&amp;IF(AND($P18&gt;0,$Q18&gt;0),"  ","")&amp;IF($Q18=0,"","◆ "&amp;INDEX('01_予約入力'!$B$5:$B$204,$Q18)&amp;IF(('02_カレンダー'!$B$5="○")," "&amp;INDEX('01_予約入力'!$AA$5:$AA$204,$Q18)&amp;"-"&amp;INDEX('01_予約入力'!$AB$5:$AB$204,$Q18),"")))</f>
        <v/>
      </c>
      <c r="E18" s="48">
        <f>IF(OR($A18="",E$6=""),"",IF($R18=0,"",INDEX('01_予約入力'!$B$5:$B$204,$R18)&amp;" ◀"&amp;IF(('02_カレンダー'!$B$5="○"),INDEX('01_予約入力'!$AB$5:$AB$204,$R18),""))&amp;IF(AND($R18&gt;0,OR($S18&gt;0,$T18&gt;0)),"  ","")&amp;IF($S18=0,"",IF(INDEX('01_予約入力'!$G$5:$G$204,$S18)=$A18,"▶"&amp;IF(('02_カレンダー'!$B$5="○"),INDEX('01_予約入力'!$AA$5:$AA$204,$S18)&amp;" "," "),"")&amp;INDEX('01_予約入力'!$B$5:$B$204,$S18))&amp;IF(AND($S18&gt;0,$T18&gt;0),"  ","")&amp;IF($T18=0,"","◆ "&amp;INDEX('01_予約入力'!$B$5:$B$204,$T18)&amp;IF(('02_カレンダー'!$B$5="○")," "&amp;INDEX('01_予約入力'!$AA$5:$AA$204,$T18)&amp;"-"&amp;INDEX('01_予約入力'!$AB$5:$AB$204,$T18),"")))</f>
        <v/>
      </c>
      <c r="F18" s="48">
        <f>IF(OR($A18="",F$6=""),"",IF($U18=0,"",INDEX('01_予約入力'!$B$5:$B$204,$U18)&amp;" ◀"&amp;IF(('02_カレンダー'!$B$5="○"),INDEX('01_予約入力'!$AB$5:$AB$204,$U18),""))&amp;IF(AND($U18&gt;0,OR($V18&gt;0,$W18&gt;0)),"  ","")&amp;IF($V18=0,"",IF(INDEX('01_予約入力'!$G$5:$G$204,$V18)=$A18,"▶"&amp;IF(('02_カレンダー'!$B$5="○"),INDEX('01_予約入力'!$AA$5:$AA$204,$V18)&amp;" "," "),"")&amp;INDEX('01_予約入力'!$B$5:$B$204,$V18))&amp;IF(AND($V18&gt;0,$W18&gt;0),"  ","")&amp;IF($W18=0,"","◆ "&amp;INDEX('01_予約入力'!$B$5:$B$204,$W18)&amp;IF(('02_カレンダー'!$B$5="○")," "&amp;INDEX('01_予約入力'!$AA$5:$AA$204,$W18)&amp;"-"&amp;INDEX('01_予約入力'!$AB$5:$AB$204,$W18),"")))</f>
        <v/>
      </c>
      <c r="G18" s="44">
        <f>IF($A18="","",SUMPRODUCT(('01_予約入力'!$G$5:$G$204&lt;&gt;"")*('01_予約入力'!$N$5:$N$204&lt;&gt;"キャンセル")*('01_予約入力'!$G$5:$G$204&lt;=$A18)*('01_予約入力'!$J$5:$J$204&gt;$A18)))</f>
        <v/>
      </c>
      <c r="H18" s="44">
        <f>IF($A18="","",'M_施設設定'!$B$6-$G18)</f>
        <v/>
      </c>
      <c r="I18" s="44">
        <f>IF($A18="","",SUMPRODUCT((('01_予約入力'!$N$5:$N$204="仮予約")+('01_予約入力'!$N$5:$N$204="調整中"))*('01_予約入力'!$G$5:$G$204&lt;&gt;"")*('01_予約入力'!$G$5:$G$204&lt;=$A18)*('01_予約入力'!$J$5:$J$204&gt;$A18)))</f>
        <v/>
      </c>
      <c r="J18" s="44">
        <f>IF($A18="","",IF($I18&gt;0,"仮",IF($H18&lt;=0,"×",IF($H18&lt;'M_施設設定'!$B$6,"△","○"))))</f>
        <v/>
      </c>
      <c r="K18" s="44">
        <f>IF($A18="","",SUMPRODUCT(('01_予約入力'!$G$5:$G$204&lt;&gt;"")*('01_予約入力'!$N$5:$N$204&lt;&gt;"キャンセル")*('01_予約入力'!$G$5:$G$204=$A18)*('01_予約入力'!$J$5:$J$204=$A18)))</f>
        <v/>
      </c>
      <c r="L18" s="44">
        <f>IF(OR($A18="",C$6=""),0,SUMPRODUCT(MAX(('01_予約入力'!$D$5:$D$204=C$6)*('01_予約入力'!$N$5:$N$204&lt;&gt;"キャンセル")*('01_予約入力'!$G$5:$G$204&lt;&gt;"")*('01_予約入力'!$J$5:$J$204=$A18)*('01_予約入力'!$G$5:$G$204&lt;$A18)*(ROW('01_予約入力'!$G$5:$G$204)-4))))</f>
        <v/>
      </c>
      <c r="M18" s="44">
        <f>IF(OR($A18="",C$6=""),0,SUMPRODUCT(MAX(('01_予約入力'!$D$5:$D$204=C$6)*('01_予約入力'!$N$5:$N$204&lt;&gt;"キャンセル")*('01_予約入力'!$G$5:$G$204&lt;&gt;"")*('01_予約入力'!$G$5:$G$204&lt;=$A18)*('01_予約入力'!$J$5:$J$204&gt;$A18)*(ROW('01_予約入力'!$G$5:$G$204)-4))))</f>
        <v/>
      </c>
      <c r="N18" s="44">
        <f>IF(OR($A18="",C$6=""),0,SUMPRODUCT(MAX(('01_予約入力'!$D$5:$D$204=C$6)*('01_予約入力'!$N$5:$N$204&lt;&gt;"キャンセル")*('01_予約入力'!$G$5:$G$204&lt;&gt;"")*('01_予約入力'!$G$5:$G$204=$A18)*('01_予約入力'!$J$5:$J$204=$A18)*(ROW('01_予約入力'!$G$5:$G$204)-4))))</f>
        <v/>
      </c>
      <c r="O18" s="44">
        <f>IF(OR($A18="",D$6=""),0,SUMPRODUCT(MAX(('01_予約入力'!$D$5:$D$204=D$6)*('01_予約入力'!$N$5:$N$204&lt;&gt;"キャンセル")*('01_予約入力'!$G$5:$G$204&lt;&gt;"")*('01_予約入力'!$J$5:$J$204=$A18)*('01_予約入力'!$G$5:$G$204&lt;$A18)*(ROW('01_予約入力'!$G$5:$G$204)-4))))</f>
        <v/>
      </c>
      <c r="P18" s="44">
        <f>IF(OR($A18="",D$6=""),0,SUMPRODUCT(MAX(('01_予約入力'!$D$5:$D$204=D$6)*('01_予約入力'!$N$5:$N$204&lt;&gt;"キャンセル")*('01_予約入力'!$G$5:$G$204&lt;&gt;"")*('01_予約入力'!$G$5:$G$204&lt;=$A18)*('01_予約入力'!$J$5:$J$204&gt;$A18)*(ROW('01_予約入力'!$G$5:$G$204)-4))))</f>
        <v/>
      </c>
      <c r="Q18" s="44">
        <f>IF(OR($A18="",D$6=""),0,SUMPRODUCT(MAX(('01_予約入力'!$D$5:$D$204=D$6)*('01_予約入力'!$N$5:$N$204&lt;&gt;"キャンセル")*('01_予約入力'!$G$5:$G$204&lt;&gt;"")*('01_予約入力'!$G$5:$G$204=$A18)*('01_予約入力'!$J$5:$J$204=$A18)*(ROW('01_予約入力'!$G$5:$G$204)-4))))</f>
        <v/>
      </c>
      <c r="R18" s="44">
        <f>IF(OR($A18="",E$6=""),0,SUMPRODUCT(MAX(('01_予約入力'!$D$5:$D$204=E$6)*('01_予約入力'!$N$5:$N$204&lt;&gt;"キャンセル")*('01_予約入力'!$G$5:$G$204&lt;&gt;"")*('01_予約入力'!$J$5:$J$204=$A18)*('01_予約入力'!$G$5:$G$204&lt;$A18)*(ROW('01_予約入力'!$G$5:$G$204)-4))))</f>
        <v/>
      </c>
      <c r="S18" s="44">
        <f>IF(OR($A18="",E$6=""),0,SUMPRODUCT(MAX(('01_予約入力'!$D$5:$D$204=E$6)*('01_予約入力'!$N$5:$N$204&lt;&gt;"キャンセル")*('01_予約入力'!$G$5:$G$204&lt;&gt;"")*('01_予約入力'!$G$5:$G$204&lt;=$A18)*('01_予約入力'!$J$5:$J$204&gt;$A18)*(ROW('01_予約入力'!$G$5:$G$204)-4))))</f>
        <v/>
      </c>
      <c r="T18" s="44">
        <f>IF(OR($A18="",E$6=""),0,SUMPRODUCT(MAX(('01_予約入力'!$D$5:$D$204=E$6)*('01_予約入力'!$N$5:$N$204&lt;&gt;"キャンセル")*('01_予約入力'!$G$5:$G$204&lt;&gt;"")*('01_予約入力'!$G$5:$G$204=$A18)*('01_予約入力'!$J$5:$J$204=$A18)*(ROW('01_予約入力'!$G$5:$G$204)-4))))</f>
        <v/>
      </c>
      <c r="U18" s="44">
        <f>IF(OR($A18="",F$6=""),0,SUMPRODUCT(MAX(('01_予約入力'!$D$5:$D$204=F$6)*('01_予約入力'!$N$5:$N$204&lt;&gt;"キャンセル")*('01_予約入力'!$G$5:$G$204&lt;&gt;"")*('01_予約入力'!$J$5:$J$204=$A18)*('01_予約入力'!$G$5:$G$204&lt;$A18)*(ROW('01_予約入力'!$G$5:$G$204)-4))))</f>
        <v/>
      </c>
      <c r="V18" s="44">
        <f>IF(OR($A18="",F$6=""),0,SUMPRODUCT(MAX(('01_予約入力'!$D$5:$D$204=F$6)*('01_予約入力'!$N$5:$N$204&lt;&gt;"キャンセル")*('01_予約入力'!$G$5:$G$204&lt;&gt;"")*('01_予約入力'!$G$5:$G$204&lt;=$A18)*('01_予約入力'!$J$5:$J$204&gt;$A18)*(ROW('01_予約入力'!$G$5:$G$204)-4))))</f>
        <v/>
      </c>
      <c r="W18" s="44">
        <f>IF(OR($A18="",F$6=""),0,SUMPRODUCT(MAX(('01_予約入力'!$D$5:$D$204=F$6)*('01_予約入力'!$N$5:$N$204&lt;&gt;"キャンセル")*('01_予約入力'!$G$5:$G$204&lt;&gt;"")*('01_予約入力'!$G$5:$G$204=$A18)*('01_予約入力'!$J$5:$J$204=$A18)*(ROW('01_予約入力'!$G$5:$G$204)-4))))</f>
        <v/>
      </c>
      <c r="X18" s="44">
        <f>IF($A18="","",IF($M18&gt;0,IF(OR(INDEX('01_予約入力'!$N$5:$N$204,$M18)="仮予約",INDEX('01_予約入力'!$N$5:$N$204,$M18)="調整中"),"仮",INDEX('01_予約入力'!$C$5:$C$204,$M18)),IF($N18&gt;0,IF(OR(INDEX('01_予約入力'!$N$5:$N$204,$N18)="仮予約",INDEX('01_予約入力'!$N$5:$N$204,$N18)="調整中"),"仮",INDEX('01_予約入力'!$C$5:$C$204,$N18)),IF($L18&gt;0,IF(OR(INDEX('01_予約入力'!$N$5:$N$204,$L18)="仮予約",INDEX('01_予約入力'!$N$5:$N$204,$L18)="調整中"),"仮",INDEX('01_予約入力'!$C$5:$C$204,$L18)),""))))</f>
        <v/>
      </c>
      <c r="Y18" s="44">
        <f>IF($A18="","",IF($P18&gt;0,IF(OR(INDEX('01_予約入力'!$N$5:$N$204,$P18)="仮予約",INDEX('01_予約入力'!$N$5:$N$204,$P18)="調整中"),"仮",INDEX('01_予約入力'!$C$5:$C$204,$P18)),IF($Q18&gt;0,IF(OR(INDEX('01_予約入力'!$N$5:$N$204,$Q18)="仮予約",INDEX('01_予約入力'!$N$5:$N$204,$Q18)="調整中"),"仮",INDEX('01_予約入力'!$C$5:$C$204,$Q18)),IF($O18&gt;0,IF(OR(INDEX('01_予約入力'!$N$5:$N$204,$O18)="仮予約",INDEX('01_予約入力'!$N$5:$N$204,$O18)="調整中"),"仮",INDEX('01_予約入力'!$C$5:$C$204,$O18)),""))))</f>
        <v/>
      </c>
      <c r="Z18" s="44">
        <f>IF($A18="","",IF($S18&gt;0,IF(OR(INDEX('01_予約入力'!$N$5:$N$204,$S18)="仮予約",INDEX('01_予約入力'!$N$5:$N$204,$S18)="調整中"),"仮",INDEX('01_予約入力'!$C$5:$C$204,$S18)),IF($T18&gt;0,IF(OR(INDEX('01_予約入力'!$N$5:$N$204,$T18)="仮予約",INDEX('01_予約入力'!$N$5:$N$204,$T18)="調整中"),"仮",INDEX('01_予約入力'!$C$5:$C$204,$T18)),IF($R18&gt;0,IF(OR(INDEX('01_予約入力'!$N$5:$N$204,$R18)="仮予約",INDEX('01_予約入力'!$N$5:$N$204,$R18)="調整中"),"仮",INDEX('01_予約入力'!$C$5:$C$204,$R18)),""))))</f>
        <v/>
      </c>
      <c r="AA18" s="44">
        <f>IF($A18="","",IF($V18&gt;0,IF(OR(INDEX('01_予約入力'!$N$5:$N$204,$V18)="仮予約",INDEX('01_予約入力'!$N$5:$N$204,$V18)="調整中"),"仮",INDEX('01_予約入力'!$C$5:$C$204,$V18)),IF($W18&gt;0,IF(OR(INDEX('01_予約入力'!$N$5:$N$204,$W18)="仮予約",INDEX('01_予約入力'!$N$5:$N$204,$W18)="調整中"),"仮",INDEX('01_予約入力'!$C$5:$C$204,$W18)),IF($U18&gt;0,IF(OR(INDEX('01_予約入力'!$N$5:$N$204,$U18)="仮予約",INDEX('01_予約入力'!$N$5:$N$204,$U18)="調整中"),"仮",INDEX('01_予約入力'!$C$5:$C$204,$U18)),""))))</f>
        <v/>
      </c>
      <c r="AB18" s="44">
        <f>IF($A18="",0,SUMPRODUCT(('01_予約入力'!$G$5:$G$204&lt;&gt;"")*('01_予約入力'!$N$5:$N$204&lt;&gt;"キャンセル")*('01_予約入力'!$G$5:$G$204&lt;$A18)*('01_予約入力'!$J$5:$J$204&gt;=$A18)))</f>
        <v/>
      </c>
      <c r="AC18" s="44">
        <f>IF($A18="",0,SUMPRODUCT(('01_予約入力'!$G$5:$G$204&lt;&gt;"")*('01_予約入力'!$N$5:$N$204&lt;&gt;"キャンセル")*((('01_予約入力'!$G$5:$G$204&lt;$A18)*('01_予約入力'!$J$5:$J$204&gt;$A18))+(('01_予約入力'!$G$5:$G$204=$A18)*('01_予約入力'!$J$5:$J$204=$A18)))))</f>
        <v/>
      </c>
      <c r="AD18" s="44">
        <f>IF($A18="",0,SUMPRODUCT(('01_予約入力'!$G$5:$G$204&lt;&gt;"")*('01_予約入力'!$N$5:$N$204&lt;&gt;"キャンセル")*('01_予約入力'!$G$5:$G$204&lt;=$A18)*('01_予約入力'!$J$5:$J$204&gt;$A18)))</f>
        <v/>
      </c>
      <c r="AE18" s="44">
        <f>IF($A18="",0,IFERROR(MATCH($A18,'02_カレンダー'!$B$59:$B$78,0),0))</f>
        <v/>
      </c>
      <c r="AF18" s="44">
        <f>IF($A18="",0,IF($AE18=0,$AB18,IF(INDEX('02_カレンダー'!$C$59:$C$78,$AE18)="",$AB18,INDEX('02_カレンダー'!$C$59:$C$78,$AE18))))</f>
        <v/>
      </c>
      <c r="AG18" s="44">
        <f>IF($A18="",0,IF($AE18=0,$AC18,IF(INDEX('02_カレンダー'!$D$59:$D$78,$AE18)="",$AC18,INDEX('02_カレンダー'!$D$59:$D$78,$AE18))))</f>
        <v/>
      </c>
      <c r="AH18" s="44">
        <f>IF($A18="",0,IF($AE18=0,$AD18,IF(INDEX('02_カレンダー'!$E$59:$E$78,$AE18)="",$AD18,INDEX('02_カレンダー'!$E$59:$E$78,$AE18))))</f>
        <v/>
      </c>
      <c r="AI18" s="44">
        <f>IF($A18="","",IF(AND($AF18=0,$AG18=0,$AH18=0),"","朝"&amp;$AF18&amp;" 昼"&amp;$AG18&amp;" 夕"&amp;$AH18&amp;IF($AJ18=0,"","　※調整")))</f>
        <v/>
      </c>
      <c r="AJ18" s="44">
        <f>IF(OR($A18="",$AE18=0),0,IF(OR(INDEX('02_カレンダー'!$C$59:$C$78,$AE18)&lt;&gt;"",INDEX('02_カレンダー'!$D$59:$D$78,$AE18)&lt;&gt;"",INDEX('02_カレンダー'!$E$59:$E$78,$AE18)&lt;&gt;""),1,0))</f>
        <v/>
      </c>
    </row>
    <row r="19">
      <c r="A19" s="37">
        <f>IF(MONTH('02_カレンダー'!$B$4+12)&lt;&gt;MONTH('02_カレンダー'!$B$4),"",'02_カレンダー'!$B$4+12)</f>
        <v/>
      </c>
      <c r="B19" s="44">
        <f>IF($A19="","",MID("日月火水木金土",WEEKDAY($A19),1))</f>
        <v/>
      </c>
      <c r="C19" s="48">
        <f>IF(OR($A19="",C$6=""),"",IF($L19=0,"",INDEX('01_予約入力'!$B$5:$B$204,$L19)&amp;" ◀"&amp;IF(('02_カレンダー'!$B$5="○"),INDEX('01_予約入力'!$AB$5:$AB$204,$L19),""))&amp;IF(AND($L19&gt;0,OR($M19&gt;0,$N19&gt;0)),"  ","")&amp;IF($M19=0,"",IF(INDEX('01_予約入力'!$G$5:$G$204,$M19)=$A19,"▶"&amp;IF(('02_カレンダー'!$B$5="○"),INDEX('01_予約入力'!$AA$5:$AA$204,$M19)&amp;" "," "),"")&amp;INDEX('01_予約入力'!$B$5:$B$204,$M19))&amp;IF(AND($M19&gt;0,$N19&gt;0),"  ","")&amp;IF($N19=0,"","◆ "&amp;INDEX('01_予約入力'!$B$5:$B$204,$N19)&amp;IF(('02_カレンダー'!$B$5="○")," "&amp;INDEX('01_予約入力'!$AA$5:$AA$204,$N19)&amp;"-"&amp;INDEX('01_予約入力'!$AB$5:$AB$204,$N19),"")))</f>
        <v/>
      </c>
      <c r="D19" s="48">
        <f>IF(OR($A19="",D$6=""),"",IF($O19=0,"",INDEX('01_予約入力'!$B$5:$B$204,$O19)&amp;" ◀"&amp;IF(('02_カレンダー'!$B$5="○"),INDEX('01_予約入力'!$AB$5:$AB$204,$O19),""))&amp;IF(AND($O19&gt;0,OR($P19&gt;0,$Q19&gt;0)),"  ","")&amp;IF($P19=0,"",IF(INDEX('01_予約入力'!$G$5:$G$204,$P19)=$A19,"▶"&amp;IF(('02_カレンダー'!$B$5="○"),INDEX('01_予約入力'!$AA$5:$AA$204,$P19)&amp;" "," "),"")&amp;INDEX('01_予約入力'!$B$5:$B$204,$P19))&amp;IF(AND($P19&gt;0,$Q19&gt;0),"  ","")&amp;IF($Q19=0,"","◆ "&amp;INDEX('01_予約入力'!$B$5:$B$204,$Q19)&amp;IF(('02_カレンダー'!$B$5="○")," "&amp;INDEX('01_予約入力'!$AA$5:$AA$204,$Q19)&amp;"-"&amp;INDEX('01_予約入力'!$AB$5:$AB$204,$Q19),"")))</f>
        <v/>
      </c>
      <c r="E19" s="48">
        <f>IF(OR($A19="",E$6=""),"",IF($R19=0,"",INDEX('01_予約入力'!$B$5:$B$204,$R19)&amp;" ◀"&amp;IF(('02_カレンダー'!$B$5="○"),INDEX('01_予約入力'!$AB$5:$AB$204,$R19),""))&amp;IF(AND($R19&gt;0,OR($S19&gt;0,$T19&gt;0)),"  ","")&amp;IF($S19=0,"",IF(INDEX('01_予約入力'!$G$5:$G$204,$S19)=$A19,"▶"&amp;IF(('02_カレンダー'!$B$5="○"),INDEX('01_予約入力'!$AA$5:$AA$204,$S19)&amp;" "," "),"")&amp;INDEX('01_予約入力'!$B$5:$B$204,$S19))&amp;IF(AND($S19&gt;0,$T19&gt;0),"  ","")&amp;IF($T19=0,"","◆ "&amp;INDEX('01_予約入力'!$B$5:$B$204,$T19)&amp;IF(('02_カレンダー'!$B$5="○")," "&amp;INDEX('01_予約入力'!$AA$5:$AA$204,$T19)&amp;"-"&amp;INDEX('01_予約入力'!$AB$5:$AB$204,$T19),"")))</f>
        <v/>
      </c>
      <c r="F19" s="48">
        <f>IF(OR($A19="",F$6=""),"",IF($U19=0,"",INDEX('01_予約入力'!$B$5:$B$204,$U19)&amp;" ◀"&amp;IF(('02_カレンダー'!$B$5="○"),INDEX('01_予約入力'!$AB$5:$AB$204,$U19),""))&amp;IF(AND($U19&gt;0,OR($V19&gt;0,$W19&gt;0)),"  ","")&amp;IF($V19=0,"",IF(INDEX('01_予約入力'!$G$5:$G$204,$V19)=$A19,"▶"&amp;IF(('02_カレンダー'!$B$5="○"),INDEX('01_予約入力'!$AA$5:$AA$204,$V19)&amp;" "," "),"")&amp;INDEX('01_予約入力'!$B$5:$B$204,$V19))&amp;IF(AND($V19&gt;0,$W19&gt;0),"  ","")&amp;IF($W19=0,"","◆ "&amp;INDEX('01_予約入力'!$B$5:$B$204,$W19)&amp;IF(('02_カレンダー'!$B$5="○")," "&amp;INDEX('01_予約入力'!$AA$5:$AA$204,$W19)&amp;"-"&amp;INDEX('01_予約入力'!$AB$5:$AB$204,$W19),"")))</f>
        <v/>
      </c>
      <c r="G19" s="44">
        <f>IF($A19="","",SUMPRODUCT(('01_予約入力'!$G$5:$G$204&lt;&gt;"")*('01_予約入力'!$N$5:$N$204&lt;&gt;"キャンセル")*('01_予約入力'!$G$5:$G$204&lt;=$A19)*('01_予約入力'!$J$5:$J$204&gt;$A19)))</f>
        <v/>
      </c>
      <c r="H19" s="44">
        <f>IF($A19="","",'M_施設設定'!$B$6-$G19)</f>
        <v/>
      </c>
      <c r="I19" s="44">
        <f>IF($A19="","",SUMPRODUCT((('01_予約入力'!$N$5:$N$204="仮予約")+('01_予約入力'!$N$5:$N$204="調整中"))*('01_予約入力'!$G$5:$G$204&lt;&gt;"")*('01_予約入力'!$G$5:$G$204&lt;=$A19)*('01_予約入力'!$J$5:$J$204&gt;$A19)))</f>
        <v/>
      </c>
      <c r="J19" s="44">
        <f>IF($A19="","",IF($I19&gt;0,"仮",IF($H19&lt;=0,"×",IF($H19&lt;'M_施設設定'!$B$6,"△","○"))))</f>
        <v/>
      </c>
      <c r="K19" s="44">
        <f>IF($A19="","",SUMPRODUCT(('01_予約入力'!$G$5:$G$204&lt;&gt;"")*('01_予約入力'!$N$5:$N$204&lt;&gt;"キャンセル")*('01_予約入力'!$G$5:$G$204=$A19)*('01_予約入力'!$J$5:$J$204=$A19)))</f>
        <v/>
      </c>
      <c r="L19" s="44">
        <f>IF(OR($A19="",C$6=""),0,SUMPRODUCT(MAX(('01_予約入力'!$D$5:$D$204=C$6)*('01_予約入力'!$N$5:$N$204&lt;&gt;"キャンセル")*('01_予約入力'!$G$5:$G$204&lt;&gt;"")*('01_予約入力'!$J$5:$J$204=$A19)*('01_予約入力'!$G$5:$G$204&lt;$A19)*(ROW('01_予約入力'!$G$5:$G$204)-4))))</f>
        <v/>
      </c>
      <c r="M19" s="44">
        <f>IF(OR($A19="",C$6=""),0,SUMPRODUCT(MAX(('01_予約入力'!$D$5:$D$204=C$6)*('01_予約入力'!$N$5:$N$204&lt;&gt;"キャンセル")*('01_予約入力'!$G$5:$G$204&lt;&gt;"")*('01_予約入力'!$G$5:$G$204&lt;=$A19)*('01_予約入力'!$J$5:$J$204&gt;$A19)*(ROW('01_予約入力'!$G$5:$G$204)-4))))</f>
        <v/>
      </c>
      <c r="N19" s="44">
        <f>IF(OR($A19="",C$6=""),0,SUMPRODUCT(MAX(('01_予約入力'!$D$5:$D$204=C$6)*('01_予約入力'!$N$5:$N$204&lt;&gt;"キャンセル")*('01_予約入力'!$G$5:$G$204&lt;&gt;"")*('01_予約入力'!$G$5:$G$204=$A19)*('01_予約入力'!$J$5:$J$204=$A19)*(ROW('01_予約入力'!$G$5:$G$204)-4))))</f>
        <v/>
      </c>
      <c r="O19" s="44">
        <f>IF(OR($A19="",D$6=""),0,SUMPRODUCT(MAX(('01_予約入力'!$D$5:$D$204=D$6)*('01_予約入力'!$N$5:$N$204&lt;&gt;"キャンセル")*('01_予約入力'!$G$5:$G$204&lt;&gt;"")*('01_予約入力'!$J$5:$J$204=$A19)*('01_予約入力'!$G$5:$G$204&lt;$A19)*(ROW('01_予約入力'!$G$5:$G$204)-4))))</f>
        <v/>
      </c>
      <c r="P19" s="44">
        <f>IF(OR($A19="",D$6=""),0,SUMPRODUCT(MAX(('01_予約入力'!$D$5:$D$204=D$6)*('01_予約入力'!$N$5:$N$204&lt;&gt;"キャンセル")*('01_予約入力'!$G$5:$G$204&lt;&gt;"")*('01_予約入力'!$G$5:$G$204&lt;=$A19)*('01_予約入力'!$J$5:$J$204&gt;$A19)*(ROW('01_予約入力'!$G$5:$G$204)-4))))</f>
        <v/>
      </c>
      <c r="Q19" s="44">
        <f>IF(OR($A19="",D$6=""),0,SUMPRODUCT(MAX(('01_予約入力'!$D$5:$D$204=D$6)*('01_予約入力'!$N$5:$N$204&lt;&gt;"キャンセル")*('01_予約入力'!$G$5:$G$204&lt;&gt;"")*('01_予約入力'!$G$5:$G$204=$A19)*('01_予約入力'!$J$5:$J$204=$A19)*(ROW('01_予約入力'!$G$5:$G$204)-4))))</f>
        <v/>
      </c>
      <c r="R19" s="44">
        <f>IF(OR($A19="",E$6=""),0,SUMPRODUCT(MAX(('01_予約入力'!$D$5:$D$204=E$6)*('01_予約入力'!$N$5:$N$204&lt;&gt;"キャンセル")*('01_予約入力'!$G$5:$G$204&lt;&gt;"")*('01_予約入力'!$J$5:$J$204=$A19)*('01_予約入力'!$G$5:$G$204&lt;$A19)*(ROW('01_予約入力'!$G$5:$G$204)-4))))</f>
        <v/>
      </c>
      <c r="S19" s="44">
        <f>IF(OR($A19="",E$6=""),0,SUMPRODUCT(MAX(('01_予約入力'!$D$5:$D$204=E$6)*('01_予約入力'!$N$5:$N$204&lt;&gt;"キャンセル")*('01_予約入力'!$G$5:$G$204&lt;&gt;"")*('01_予約入力'!$G$5:$G$204&lt;=$A19)*('01_予約入力'!$J$5:$J$204&gt;$A19)*(ROW('01_予約入力'!$G$5:$G$204)-4))))</f>
        <v/>
      </c>
      <c r="T19" s="44">
        <f>IF(OR($A19="",E$6=""),0,SUMPRODUCT(MAX(('01_予約入力'!$D$5:$D$204=E$6)*('01_予約入力'!$N$5:$N$204&lt;&gt;"キャンセル")*('01_予約入力'!$G$5:$G$204&lt;&gt;"")*('01_予約入力'!$G$5:$G$204=$A19)*('01_予約入力'!$J$5:$J$204=$A19)*(ROW('01_予約入力'!$G$5:$G$204)-4))))</f>
        <v/>
      </c>
      <c r="U19" s="44">
        <f>IF(OR($A19="",F$6=""),0,SUMPRODUCT(MAX(('01_予約入力'!$D$5:$D$204=F$6)*('01_予約入力'!$N$5:$N$204&lt;&gt;"キャンセル")*('01_予約入力'!$G$5:$G$204&lt;&gt;"")*('01_予約入力'!$J$5:$J$204=$A19)*('01_予約入力'!$G$5:$G$204&lt;$A19)*(ROW('01_予約入力'!$G$5:$G$204)-4))))</f>
        <v/>
      </c>
      <c r="V19" s="44">
        <f>IF(OR($A19="",F$6=""),0,SUMPRODUCT(MAX(('01_予約入力'!$D$5:$D$204=F$6)*('01_予約入力'!$N$5:$N$204&lt;&gt;"キャンセル")*('01_予約入力'!$G$5:$G$204&lt;&gt;"")*('01_予約入力'!$G$5:$G$204&lt;=$A19)*('01_予約入力'!$J$5:$J$204&gt;$A19)*(ROW('01_予約入力'!$G$5:$G$204)-4))))</f>
        <v/>
      </c>
      <c r="W19" s="44">
        <f>IF(OR($A19="",F$6=""),0,SUMPRODUCT(MAX(('01_予約入力'!$D$5:$D$204=F$6)*('01_予約入力'!$N$5:$N$204&lt;&gt;"キャンセル")*('01_予約入力'!$G$5:$G$204&lt;&gt;"")*('01_予約入力'!$G$5:$G$204=$A19)*('01_予約入力'!$J$5:$J$204=$A19)*(ROW('01_予約入力'!$G$5:$G$204)-4))))</f>
        <v/>
      </c>
      <c r="X19" s="44">
        <f>IF($A19="","",IF($M19&gt;0,IF(OR(INDEX('01_予約入力'!$N$5:$N$204,$M19)="仮予約",INDEX('01_予約入力'!$N$5:$N$204,$M19)="調整中"),"仮",INDEX('01_予約入力'!$C$5:$C$204,$M19)),IF($N19&gt;0,IF(OR(INDEX('01_予約入力'!$N$5:$N$204,$N19)="仮予約",INDEX('01_予約入力'!$N$5:$N$204,$N19)="調整中"),"仮",INDEX('01_予約入力'!$C$5:$C$204,$N19)),IF($L19&gt;0,IF(OR(INDEX('01_予約入力'!$N$5:$N$204,$L19)="仮予約",INDEX('01_予約入力'!$N$5:$N$204,$L19)="調整中"),"仮",INDEX('01_予約入力'!$C$5:$C$204,$L19)),""))))</f>
        <v/>
      </c>
      <c r="Y19" s="44">
        <f>IF($A19="","",IF($P19&gt;0,IF(OR(INDEX('01_予約入力'!$N$5:$N$204,$P19)="仮予約",INDEX('01_予約入力'!$N$5:$N$204,$P19)="調整中"),"仮",INDEX('01_予約入力'!$C$5:$C$204,$P19)),IF($Q19&gt;0,IF(OR(INDEX('01_予約入力'!$N$5:$N$204,$Q19)="仮予約",INDEX('01_予約入力'!$N$5:$N$204,$Q19)="調整中"),"仮",INDEX('01_予約入力'!$C$5:$C$204,$Q19)),IF($O19&gt;0,IF(OR(INDEX('01_予約入力'!$N$5:$N$204,$O19)="仮予約",INDEX('01_予約入力'!$N$5:$N$204,$O19)="調整中"),"仮",INDEX('01_予約入力'!$C$5:$C$204,$O19)),""))))</f>
        <v/>
      </c>
      <c r="Z19" s="44">
        <f>IF($A19="","",IF($S19&gt;0,IF(OR(INDEX('01_予約入力'!$N$5:$N$204,$S19)="仮予約",INDEX('01_予約入力'!$N$5:$N$204,$S19)="調整中"),"仮",INDEX('01_予約入力'!$C$5:$C$204,$S19)),IF($T19&gt;0,IF(OR(INDEX('01_予約入力'!$N$5:$N$204,$T19)="仮予約",INDEX('01_予約入力'!$N$5:$N$204,$T19)="調整中"),"仮",INDEX('01_予約入力'!$C$5:$C$204,$T19)),IF($R19&gt;0,IF(OR(INDEX('01_予約入力'!$N$5:$N$204,$R19)="仮予約",INDEX('01_予約入力'!$N$5:$N$204,$R19)="調整中"),"仮",INDEX('01_予約入力'!$C$5:$C$204,$R19)),""))))</f>
        <v/>
      </c>
      <c r="AA19" s="44">
        <f>IF($A19="","",IF($V19&gt;0,IF(OR(INDEX('01_予約入力'!$N$5:$N$204,$V19)="仮予約",INDEX('01_予約入力'!$N$5:$N$204,$V19)="調整中"),"仮",INDEX('01_予約入力'!$C$5:$C$204,$V19)),IF($W19&gt;0,IF(OR(INDEX('01_予約入力'!$N$5:$N$204,$W19)="仮予約",INDEX('01_予約入力'!$N$5:$N$204,$W19)="調整中"),"仮",INDEX('01_予約入力'!$C$5:$C$204,$W19)),IF($U19&gt;0,IF(OR(INDEX('01_予約入力'!$N$5:$N$204,$U19)="仮予約",INDEX('01_予約入力'!$N$5:$N$204,$U19)="調整中"),"仮",INDEX('01_予約入力'!$C$5:$C$204,$U19)),""))))</f>
        <v/>
      </c>
      <c r="AB19" s="44">
        <f>IF($A19="",0,SUMPRODUCT(('01_予約入力'!$G$5:$G$204&lt;&gt;"")*('01_予約入力'!$N$5:$N$204&lt;&gt;"キャンセル")*('01_予約入力'!$G$5:$G$204&lt;$A19)*('01_予約入力'!$J$5:$J$204&gt;=$A19)))</f>
        <v/>
      </c>
      <c r="AC19" s="44">
        <f>IF($A19="",0,SUMPRODUCT(('01_予約入力'!$G$5:$G$204&lt;&gt;"")*('01_予約入力'!$N$5:$N$204&lt;&gt;"キャンセル")*((('01_予約入力'!$G$5:$G$204&lt;$A19)*('01_予約入力'!$J$5:$J$204&gt;$A19))+(('01_予約入力'!$G$5:$G$204=$A19)*('01_予約入力'!$J$5:$J$204=$A19)))))</f>
        <v/>
      </c>
      <c r="AD19" s="44">
        <f>IF($A19="",0,SUMPRODUCT(('01_予約入力'!$G$5:$G$204&lt;&gt;"")*('01_予約入力'!$N$5:$N$204&lt;&gt;"キャンセル")*('01_予約入力'!$G$5:$G$204&lt;=$A19)*('01_予約入力'!$J$5:$J$204&gt;$A19)))</f>
        <v/>
      </c>
      <c r="AE19" s="44">
        <f>IF($A19="",0,IFERROR(MATCH($A19,'02_カレンダー'!$B$59:$B$78,0),0))</f>
        <v/>
      </c>
      <c r="AF19" s="44">
        <f>IF($A19="",0,IF($AE19=0,$AB19,IF(INDEX('02_カレンダー'!$C$59:$C$78,$AE19)="",$AB19,INDEX('02_カレンダー'!$C$59:$C$78,$AE19))))</f>
        <v/>
      </c>
      <c r="AG19" s="44">
        <f>IF($A19="",0,IF($AE19=0,$AC19,IF(INDEX('02_カレンダー'!$D$59:$D$78,$AE19)="",$AC19,INDEX('02_カレンダー'!$D$59:$D$78,$AE19))))</f>
        <v/>
      </c>
      <c r="AH19" s="44">
        <f>IF($A19="",0,IF($AE19=0,$AD19,IF(INDEX('02_カレンダー'!$E$59:$E$78,$AE19)="",$AD19,INDEX('02_カレンダー'!$E$59:$E$78,$AE19))))</f>
        <v/>
      </c>
      <c r="AI19" s="44">
        <f>IF($A19="","",IF(AND($AF19=0,$AG19=0,$AH19=0),"","朝"&amp;$AF19&amp;" 昼"&amp;$AG19&amp;" 夕"&amp;$AH19&amp;IF($AJ19=0,"","　※調整")))</f>
        <v/>
      </c>
      <c r="AJ19" s="44">
        <f>IF(OR($A19="",$AE19=0),0,IF(OR(INDEX('02_カレンダー'!$C$59:$C$78,$AE19)&lt;&gt;"",INDEX('02_カレンダー'!$D$59:$D$78,$AE19)&lt;&gt;"",INDEX('02_カレンダー'!$E$59:$E$78,$AE19)&lt;&gt;""),1,0))</f>
        <v/>
      </c>
    </row>
    <row r="20">
      <c r="A20" s="37">
        <f>IF(MONTH('02_カレンダー'!$B$4+13)&lt;&gt;MONTH('02_カレンダー'!$B$4),"",'02_カレンダー'!$B$4+13)</f>
        <v/>
      </c>
      <c r="B20" s="44">
        <f>IF($A20="","",MID("日月火水木金土",WEEKDAY($A20),1))</f>
        <v/>
      </c>
      <c r="C20" s="48">
        <f>IF(OR($A20="",C$6=""),"",IF($L20=0,"",INDEX('01_予約入力'!$B$5:$B$204,$L20)&amp;" ◀"&amp;IF(('02_カレンダー'!$B$5="○"),INDEX('01_予約入力'!$AB$5:$AB$204,$L20),""))&amp;IF(AND($L20&gt;0,OR($M20&gt;0,$N20&gt;0)),"  ","")&amp;IF($M20=0,"",IF(INDEX('01_予約入力'!$G$5:$G$204,$M20)=$A20,"▶"&amp;IF(('02_カレンダー'!$B$5="○"),INDEX('01_予約入力'!$AA$5:$AA$204,$M20)&amp;" "," "),"")&amp;INDEX('01_予約入力'!$B$5:$B$204,$M20))&amp;IF(AND($M20&gt;0,$N20&gt;0),"  ","")&amp;IF($N20=0,"","◆ "&amp;INDEX('01_予約入力'!$B$5:$B$204,$N20)&amp;IF(('02_カレンダー'!$B$5="○")," "&amp;INDEX('01_予約入力'!$AA$5:$AA$204,$N20)&amp;"-"&amp;INDEX('01_予約入力'!$AB$5:$AB$204,$N20),"")))</f>
        <v/>
      </c>
      <c r="D20" s="48">
        <f>IF(OR($A20="",D$6=""),"",IF($O20=0,"",INDEX('01_予約入力'!$B$5:$B$204,$O20)&amp;" ◀"&amp;IF(('02_カレンダー'!$B$5="○"),INDEX('01_予約入力'!$AB$5:$AB$204,$O20),""))&amp;IF(AND($O20&gt;0,OR($P20&gt;0,$Q20&gt;0)),"  ","")&amp;IF($P20=0,"",IF(INDEX('01_予約入力'!$G$5:$G$204,$P20)=$A20,"▶"&amp;IF(('02_カレンダー'!$B$5="○"),INDEX('01_予約入力'!$AA$5:$AA$204,$P20)&amp;" "," "),"")&amp;INDEX('01_予約入力'!$B$5:$B$204,$P20))&amp;IF(AND($P20&gt;0,$Q20&gt;0),"  ","")&amp;IF($Q20=0,"","◆ "&amp;INDEX('01_予約入力'!$B$5:$B$204,$Q20)&amp;IF(('02_カレンダー'!$B$5="○")," "&amp;INDEX('01_予約入力'!$AA$5:$AA$204,$Q20)&amp;"-"&amp;INDEX('01_予約入力'!$AB$5:$AB$204,$Q20),"")))</f>
        <v/>
      </c>
      <c r="E20" s="48">
        <f>IF(OR($A20="",E$6=""),"",IF($R20=0,"",INDEX('01_予約入力'!$B$5:$B$204,$R20)&amp;" ◀"&amp;IF(('02_カレンダー'!$B$5="○"),INDEX('01_予約入力'!$AB$5:$AB$204,$R20),""))&amp;IF(AND($R20&gt;0,OR($S20&gt;0,$T20&gt;0)),"  ","")&amp;IF($S20=0,"",IF(INDEX('01_予約入力'!$G$5:$G$204,$S20)=$A20,"▶"&amp;IF(('02_カレンダー'!$B$5="○"),INDEX('01_予約入力'!$AA$5:$AA$204,$S20)&amp;" "," "),"")&amp;INDEX('01_予約入力'!$B$5:$B$204,$S20))&amp;IF(AND($S20&gt;0,$T20&gt;0),"  ","")&amp;IF($T20=0,"","◆ "&amp;INDEX('01_予約入力'!$B$5:$B$204,$T20)&amp;IF(('02_カレンダー'!$B$5="○")," "&amp;INDEX('01_予約入力'!$AA$5:$AA$204,$T20)&amp;"-"&amp;INDEX('01_予約入力'!$AB$5:$AB$204,$T20),"")))</f>
        <v/>
      </c>
      <c r="F20" s="48">
        <f>IF(OR($A20="",F$6=""),"",IF($U20=0,"",INDEX('01_予約入力'!$B$5:$B$204,$U20)&amp;" ◀"&amp;IF(('02_カレンダー'!$B$5="○"),INDEX('01_予約入力'!$AB$5:$AB$204,$U20),""))&amp;IF(AND($U20&gt;0,OR($V20&gt;0,$W20&gt;0)),"  ","")&amp;IF($V20=0,"",IF(INDEX('01_予約入力'!$G$5:$G$204,$V20)=$A20,"▶"&amp;IF(('02_カレンダー'!$B$5="○"),INDEX('01_予約入力'!$AA$5:$AA$204,$V20)&amp;" "," "),"")&amp;INDEX('01_予約入力'!$B$5:$B$204,$V20))&amp;IF(AND($V20&gt;0,$W20&gt;0),"  ","")&amp;IF($W20=0,"","◆ "&amp;INDEX('01_予約入力'!$B$5:$B$204,$W20)&amp;IF(('02_カレンダー'!$B$5="○")," "&amp;INDEX('01_予約入力'!$AA$5:$AA$204,$W20)&amp;"-"&amp;INDEX('01_予約入力'!$AB$5:$AB$204,$W20),"")))</f>
        <v/>
      </c>
      <c r="G20" s="44">
        <f>IF($A20="","",SUMPRODUCT(('01_予約入力'!$G$5:$G$204&lt;&gt;"")*('01_予約入力'!$N$5:$N$204&lt;&gt;"キャンセル")*('01_予約入力'!$G$5:$G$204&lt;=$A20)*('01_予約入力'!$J$5:$J$204&gt;$A20)))</f>
        <v/>
      </c>
      <c r="H20" s="44">
        <f>IF($A20="","",'M_施設設定'!$B$6-$G20)</f>
        <v/>
      </c>
      <c r="I20" s="44">
        <f>IF($A20="","",SUMPRODUCT((('01_予約入力'!$N$5:$N$204="仮予約")+('01_予約入力'!$N$5:$N$204="調整中"))*('01_予約入力'!$G$5:$G$204&lt;&gt;"")*('01_予約入力'!$G$5:$G$204&lt;=$A20)*('01_予約入力'!$J$5:$J$204&gt;$A20)))</f>
        <v/>
      </c>
      <c r="J20" s="44">
        <f>IF($A20="","",IF($I20&gt;0,"仮",IF($H20&lt;=0,"×",IF($H20&lt;'M_施設設定'!$B$6,"△","○"))))</f>
        <v/>
      </c>
      <c r="K20" s="44">
        <f>IF($A20="","",SUMPRODUCT(('01_予約入力'!$G$5:$G$204&lt;&gt;"")*('01_予約入力'!$N$5:$N$204&lt;&gt;"キャンセル")*('01_予約入力'!$G$5:$G$204=$A20)*('01_予約入力'!$J$5:$J$204=$A20)))</f>
        <v/>
      </c>
      <c r="L20" s="44">
        <f>IF(OR($A20="",C$6=""),0,SUMPRODUCT(MAX(('01_予約入力'!$D$5:$D$204=C$6)*('01_予約入力'!$N$5:$N$204&lt;&gt;"キャンセル")*('01_予約入力'!$G$5:$G$204&lt;&gt;"")*('01_予約入力'!$J$5:$J$204=$A20)*('01_予約入力'!$G$5:$G$204&lt;$A20)*(ROW('01_予約入力'!$G$5:$G$204)-4))))</f>
        <v/>
      </c>
      <c r="M20" s="44">
        <f>IF(OR($A20="",C$6=""),0,SUMPRODUCT(MAX(('01_予約入力'!$D$5:$D$204=C$6)*('01_予約入力'!$N$5:$N$204&lt;&gt;"キャンセル")*('01_予約入力'!$G$5:$G$204&lt;&gt;"")*('01_予約入力'!$G$5:$G$204&lt;=$A20)*('01_予約入力'!$J$5:$J$204&gt;$A20)*(ROW('01_予約入力'!$G$5:$G$204)-4))))</f>
        <v/>
      </c>
      <c r="N20" s="44">
        <f>IF(OR($A20="",C$6=""),0,SUMPRODUCT(MAX(('01_予約入力'!$D$5:$D$204=C$6)*('01_予約入力'!$N$5:$N$204&lt;&gt;"キャンセル")*('01_予約入力'!$G$5:$G$204&lt;&gt;"")*('01_予約入力'!$G$5:$G$204=$A20)*('01_予約入力'!$J$5:$J$204=$A20)*(ROW('01_予約入力'!$G$5:$G$204)-4))))</f>
        <v/>
      </c>
      <c r="O20" s="44">
        <f>IF(OR($A20="",D$6=""),0,SUMPRODUCT(MAX(('01_予約入力'!$D$5:$D$204=D$6)*('01_予約入力'!$N$5:$N$204&lt;&gt;"キャンセル")*('01_予約入力'!$G$5:$G$204&lt;&gt;"")*('01_予約入力'!$J$5:$J$204=$A20)*('01_予約入力'!$G$5:$G$204&lt;$A20)*(ROW('01_予約入力'!$G$5:$G$204)-4))))</f>
        <v/>
      </c>
      <c r="P20" s="44">
        <f>IF(OR($A20="",D$6=""),0,SUMPRODUCT(MAX(('01_予約入力'!$D$5:$D$204=D$6)*('01_予約入力'!$N$5:$N$204&lt;&gt;"キャンセル")*('01_予約入力'!$G$5:$G$204&lt;&gt;"")*('01_予約入力'!$G$5:$G$204&lt;=$A20)*('01_予約入力'!$J$5:$J$204&gt;$A20)*(ROW('01_予約入力'!$G$5:$G$204)-4))))</f>
        <v/>
      </c>
      <c r="Q20" s="44">
        <f>IF(OR($A20="",D$6=""),0,SUMPRODUCT(MAX(('01_予約入力'!$D$5:$D$204=D$6)*('01_予約入力'!$N$5:$N$204&lt;&gt;"キャンセル")*('01_予約入力'!$G$5:$G$204&lt;&gt;"")*('01_予約入力'!$G$5:$G$204=$A20)*('01_予約入力'!$J$5:$J$204=$A20)*(ROW('01_予約入力'!$G$5:$G$204)-4))))</f>
        <v/>
      </c>
      <c r="R20" s="44">
        <f>IF(OR($A20="",E$6=""),0,SUMPRODUCT(MAX(('01_予約入力'!$D$5:$D$204=E$6)*('01_予約入力'!$N$5:$N$204&lt;&gt;"キャンセル")*('01_予約入力'!$G$5:$G$204&lt;&gt;"")*('01_予約入力'!$J$5:$J$204=$A20)*('01_予約入力'!$G$5:$G$204&lt;$A20)*(ROW('01_予約入力'!$G$5:$G$204)-4))))</f>
        <v/>
      </c>
      <c r="S20" s="44">
        <f>IF(OR($A20="",E$6=""),0,SUMPRODUCT(MAX(('01_予約入力'!$D$5:$D$204=E$6)*('01_予約入力'!$N$5:$N$204&lt;&gt;"キャンセル")*('01_予約入力'!$G$5:$G$204&lt;&gt;"")*('01_予約入力'!$G$5:$G$204&lt;=$A20)*('01_予約入力'!$J$5:$J$204&gt;$A20)*(ROW('01_予約入力'!$G$5:$G$204)-4))))</f>
        <v/>
      </c>
      <c r="T20" s="44">
        <f>IF(OR($A20="",E$6=""),0,SUMPRODUCT(MAX(('01_予約入力'!$D$5:$D$204=E$6)*('01_予約入力'!$N$5:$N$204&lt;&gt;"キャンセル")*('01_予約入力'!$G$5:$G$204&lt;&gt;"")*('01_予約入力'!$G$5:$G$204=$A20)*('01_予約入力'!$J$5:$J$204=$A20)*(ROW('01_予約入力'!$G$5:$G$204)-4))))</f>
        <v/>
      </c>
      <c r="U20" s="44">
        <f>IF(OR($A20="",F$6=""),0,SUMPRODUCT(MAX(('01_予約入力'!$D$5:$D$204=F$6)*('01_予約入力'!$N$5:$N$204&lt;&gt;"キャンセル")*('01_予約入力'!$G$5:$G$204&lt;&gt;"")*('01_予約入力'!$J$5:$J$204=$A20)*('01_予約入力'!$G$5:$G$204&lt;$A20)*(ROW('01_予約入力'!$G$5:$G$204)-4))))</f>
        <v/>
      </c>
      <c r="V20" s="44">
        <f>IF(OR($A20="",F$6=""),0,SUMPRODUCT(MAX(('01_予約入力'!$D$5:$D$204=F$6)*('01_予約入力'!$N$5:$N$204&lt;&gt;"キャンセル")*('01_予約入力'!$G$5:$G$204&lt;&gt;"")*('01_予約入力'!$G$5:$G$204&lt;=$A20)*('01_予約入力'!$J$5:$J$204&gt;$A20)*(ROW('01_予約入力'!$G$5:$G$204)-4))))</f>
        <v/>
      </c>
      <c r="W20" s="44">
        <f>IF(OR($A20="",F$6=""),0,SUMPRODUCT(MAX(('01_予約入力'!$D$5:$D$204=F$6)*('01_予約入力'!$N$5:$N$204&lt;&gt;"キャンセル")*('01_予約入力'!$G$5:$G$204&lt;&gt;"")*('01_予約入力'!$G$5:$G$204=$A20)*('01_予約入力'!$J$5:$J$204=$A20)*(ROW('01_予約入力'!$G$5:$G$204)-4))))</f>
        <v/>
      </c>
      <c r="X20" s="44">
        <f>IF($A20="","",IF($M20&gt;0,IF(OR(INDEX('01_予約入力'!$N$5:$N$204,$M20)="仮予約",INDEX('01_予約入力'!$N$5:$N$204,$M20)="調整中"),"仮",INDEX('01_予約入力'!$C$5:$C$204,$M20)),IF($N20&gt;0,IF(OR(INDEX('01_予約入力'!$N$5:$N$204,$N20)="仮予約",INDEX('01_予約入力'!$N$5:$N$204,$N20)="調整中"),"仮",INDEX('01_予約入力'!$C$5:$C$204,$N20)),IF($L20&gt;0,IF(OR(INDEX('01_予約入力'!$N$5:$N$204,$L20)="仮予約",INDEX('01_予約入力'!$N$5:$N$204,$L20)="調整中"),"仮",INDEX('01_予約入力'!$C$5:$C$204,$L20)),""))))</f>
        <v/>
      </c>
      <c r="Y20" s="44">
        <f>IF($A20="","",IF($P20&gt;0,IF(OR(INDEX('01_予約入力'!$N$5:$N$204,$P20)="仮予約",INDEX('01_予約入力'!$N$5:$N$204,$P20)="調整中"),"仮",INDEX('01_予約入力'!$C$5:$C$204,$P20)),IF($Q20&gt;0,IF(OR(INDEX('01_予約入力'!$N$5:$N$204,$Q20)="仮予約",INDEX('01_予約入力'!$N$5:$N$204,$Q20)="調整中"),"仮",INDEX('01_予約入力'!$C$5:$C$204,$Q20)),IF($O20&gt;0,IF(OR(INDEX('01_予約入力'!$N$5:$N$204,$O20)="仮予約",INDEX('01_予約入力'!$N$5:$N$204,$O20)="調整中"),"仮",INDEX('01_予約入力'!$C$5:$C$204,$O20)),""))))</f>
        <v/>
      </c>
      <c r="Z20" s="44">
        <f>IF($A20="","",IF($S20&gt;0,IF(OR(INDEX('01_予約入力'!$N$5:$N$204,$S20)="仮予約",INDEX('01_予約入力'!$N$5:$N$204,$S20)="調整中"),"仮",INDEX('01_予約入力'!$C$5:$C$204,$S20)),IF($T20&gt;0,IF(OR(INDEX('01_予約入力'!$N$5:$N$204,$T20)="仮予約",INDEX('01_予約入力'!$N$5:$N$204,$T20)="調整中"),"仮",INDEX('01_予約入力'!$C$5:$C$204,$T20)),IF($R20&gt;0,IF(OR(INDEX('01_予約入力'!$N$5:$N$204,$R20)="仮予約",INDEX('01_予約入力'!$N$5:$N$204,$R20)="調整中"),"仮",INDEX('01_予約入力'!$C$5:$C$204,$R20)),""))))</f>
        <v/>
      </c>
      <c r="AA20" s="44">
        <f>IF($A20="","",IF($V20&gt;0,IF(OR(INDEX('01_予約入力'!$N$5:$N$204,$V20)="仮予約",INDEX('01_予約入力'!$N$5:$N$204,$V20)="調整中"),"仮",INDEX('01_予約入力'!$C$5:$C$204,$V20)),IF($W20&gt;0,IF(OR(INDEX('01_予約入力'!$N$5:$N$204,$W20)="仮予約",INDEX('01_予約入力'!$N$5:$N$204,$W20)="調整中"),"仮",INDEX('01_予約入力'!$C$5:$C$204,$W20)),IF($U20&gt;0,IF(OR(INDEX('01_予約入力'!$N$5:$N$204,$U20)="仮予約",INDEX('01_予約入力'!$N$5:$N$204,$U20)="調整中"),"仮",INDEX('01_予約入力'!$C$5:$C$204,$U20)),""))))</f>
        <v/>
      </c>
      <c r="AB20" s="44">
        <f>IF($A20="",0,SUMPRODUCT(('01_予約入力'!$G$5:$G$204&lt;&gt;"")*('01_予約入力'!$N$5:$N$204&lt;&gt;"キャンセル")*('01_予約入力'!$G$5:$G$204&lt;$A20)*('01_予約入力'!$J$5:$J$204&gt;=$A20)))</f>
        <v/>
      </c>
      <c r="AC20" s="44">
        <f>IF($A20="",0,SUMPRODUCT(('01_予約入力'!$G$5:$G$204&lt;&gt;"")*('01_予約入力'!$N$5:$N$204&lt;&gt;"キャンセル")*((('01_予約入力'!$G$5:$G$204&lt;$A20)*('01_予約入力'!$J$5:$J$204&gt;$A20))+(('01_予約入力'!$G$5:$G$204=$A20)*('01_予約入力'!$J$5:$J$204=$A20)))))</f>
        <v/>
      </c>
      <c r="AD20" s="44">
        <f>IF($A20="",0,SUMPRODUCT(('01_予約入力'!$G$5:$G$204&lt;&gt;"")*('01_予約入力'!$N$5:$N$204&lt;&gt;"キャンセル")*('01_予約入力'!$G$5:$G$204&lt;=$A20)*('01_予約入力'!$J$5:$J$204&gt;$A20)))</f>
        <v/>
      </c>
      <c r="AE20" s="44">
        <f>IF($A20="",0,IFERROR(MATCH($A20,'02_カレンダー'!$B$59:$B$78,0),0))</f>
        <v/>
      </c>
      <c r="AF20" s="44">
        <f>IF($A20="",0,IF($AE20=0,$AB20,IF(INDEX('02_カレンダー'!$C$59:$C$78,$AE20)="",$AB20,INDEX('02_カレンダー'!$C$59:$C$78,$AE20))))</f>
        <v/>
      </c>
      <c r="AG20" s="44">
        <f>IF($A20="",0,IF($AE20=0,$AC20,IF(INDEX('02_カレンダー'!$D$59:$D$78,$AE20)="",$AC20,INDEX('02_カレンダー'!$D$59:$D$78,$AE20))))</f>
        <v/>
      </c>
      <c r="AH20" s="44">
        <f>IF($A20="",0,IF($AE20=0,$AD20,IF(INDEX('02_カレンダー'!$E$59:$E$78,$AE20)="",$AD20,INDEX('02_カレンダー'!$E$59:$E$78,$AE20))))</f>
        <v/>
      </c>
      <c r="AI20" s="44">
        <f>IF($A20="","",IF(AND($AF20=0,$AG20=0,$AH20=0),"","朝"&amp;$AF20&amp;" 昼"&amp;$AG20&amp;" 夕"&amp;$AH20&amp;IF($AJ20=0,"","　※調整")))</f>
        <v/>
      </c>
      <c r="AJ20" s="44">
        <f>IF(OR($A20="",$AE20=0),0,IF(OR(INDEX('02_カレンダー'!$C$59:$C$78,$AE20)&lt;&gt;"",INDEX('02_カレンダー'!$D$59:$D$78,$AE20)&lt;&gt;"",INDEX('02_カレンダー'!$E$59:$E$78,$AE20)&lt;&gt;""),1,0))</f>
        <v/>
      </c>
    </row>
    <row r="21">
      <c r="A21" s="37">
        <f>IF(MONTH('02_カレンダー'!$B$4+14)&lt;&gt;MONTH('02_カレンダー'!$B$4),"",'02_カレンダー'!$B$4+14)</f>
        <v/>
      </c>
      <c r="B21" s="44">
        <f>IF($A21="","",MID("日月火水木金土",WEEKDAY($A21),1))</f>
        <v/>
      </c>
      <c r="C21" s="48">
        <f>IF(OR($A21="",C$6=""),"",IF($L21=0,"",INDEX('01_予約入力'!$B$5:$B$204,$L21)&amp;" ◀"&amp;IF(('02_カレンダー'!$B$5="○"),INDEX('01_予約入力'!$AB$5:$AB$204,$L21),""))&amp;IF(AND($L21&gt;0,OR($M21&gt;0,$N21&gt;0)),"  ","")&amp;IF($M21=0,"",IF(INDEX('01_予約入力'!$G$5:$G$204,$M21)=$A21,"▶"&amp;IF(('02_カレンダー'!$B$5="○"),INDEX('01_予約入力'!$AA$5:$AA$204,$M21)&amp;" "," "),"")&amp;INDEX('01_予約入力'!$B$5:$B$204,$M21))&amp;IF(AND($M21&gt;0,$N21&gt;0),"  ","")&amp;IF($N21=0,"","◆ "&amp;INDEX('01_予約入力'!$B$5:$B$204,$N21)&amp;IF(('02_カレンダー'!$B$5="○")," "&amp;INDEX('01_予約入力'!$AA$5:$AA$204,$N21)&amp;"-"&amp;INDEX('01_予約入力'!$AB$5:$AB$204,$N21),"")))</f>
        <v/>
      </c>
      <c r="D21" s="48">
        <f>IF(OR($A21="",D$6=""),"",IF($O21=0,"",INDEX('01_予約入力'!$B$5:$B$204,$O21)&amp;" ◀"&amp;IF(('02_カレンダー'!$B$5="○"),INDEX('01_予約入力'!$AB$5:$AB$204,$O21),""))&amp;IF(AND($O21&gt;0,OR($P21&gt;0,$Q21&gt;0)),"  ","")&amp;IF($P21=0,"",IF(INDEX('01_予約入力'!$G$5:$G$204,$P21)=$A21,"▶"&amp;IF(('02_カレンダー'!$B$5="○"),INDEX('01_予約入力'!$AA$5:$AA$204,$P21)&amp;" "," "),"")&amp;INDEX('01_予約入力'!$B$5:$B$204,$P21))&amp;IF(AND($P21&gt;0,$Q21&gt;0),"  ","")&amp;IF($Q21=0,"","◆ "&amp;INDEX('01_予約入力'!$B$5:$B$204,$Q21)&amp;IF(('02_カレンダー'!$B$5="○")," "&amp;INDEX('01_予約入力'!$AA$5:$AA$204,$Q21)&amp;"-"&amp;INDEX('01_予約入力'!$AB$5:$AB$204,$Q21),"")))</f>
        <v/>
      </c>
      <c r="E21" s="48">
        <f>IF(OR($A21="",E$6=""),"",IF($R21=0,"",INDEX('01_予約入力'!$B$5:$B$204,$R21)&amp;" ◀"&amp;IF(('02_カレンダー'!$B$5="○"),INDEX('01_予約入力'!$AB$5:$AB$204,$R21),""))&amp;IF(AND($R21&gt;0,OR($S21&gt;0,$T21&gt;0)),"  ","")&amp;IF($S21=0,"",IF(INDEX('01_予約入力'!$G$5:$G$204,$S21)=$A21,"▶"&amp;IF(('02_カレンダー'!$B$5="○"),INDEX('01_予約入力'!$AA$5:$AA$204,$S21)&amp;" "," "),"")&amp;INDEX('01_予約入力'!$B$5:$B$204,$S21))&amp;IF(AND($S21&gt;0,$T21&gt;0),"  ","")&amp;IF($T21=0,"","◆ "&amp;INDEX('01_予約入力'!$B$5:$B$204,$T21)&amp;IF(('02_カレンダー'!$B$5="○")," "&amp;INDEX('01_予約入力'!$AA$5:$AA$204,$T21)&amp;"-"&amp;INDEX('01_予約入力'!$AB$5:$AB$204,$T21),"")))</f>
        <v/>
      </c>
      <c r="F21" s="48">
        <f>IF(OR($A21="",F$6=""),"",IF($U21=0,"",INDEX('01_予約入力'!$B$5:$B$204,$U21)&amp;" ◀"&amp;IF(('02_カレンダー'!$B$5="○"),INDEX('01_予約入力'!$AB$5:$AB$204,$U21),""))&amp;IF(AND($U21&gt;0,OR($V21&gt;0,$W21&gt;0)),"  ","")&amp;IF($V21=0,"",IF(INDEX('01_予約入力'!$G$5:$G$204,$V21)=$A21,"▶"&amp;IF(('02_カレンダー'!$B$5="○"),INDEX('01_予約入力'!$AA$5:$AA$204,$V21)&amp;" "," "),"")&amp;INDEX('01_予約入力'!$B$5:$B$204,$V21))&amp;IF(AND($V21&gt;0,$W21&gt;0),"  ","")&amp;IF($W21=0,"","◆ "&amp;INDEX('01_予約入力'!$B$5:$B$204,$W21)&amp;IF(('02_カレンダー'!$B$5="○")," "&amp;INDEX('01_予約入力'!$AA$5:$AA$204,$W21)&amp;"-"&amp;INDEX('01_予約入力'!$AB$5:$AB$204,$W21),"")))</f>
        <v/>
      </c>
      <c r="G21" s="44">
        <f>IF($A21="","",SUMPRODUCT(('01_予約入力'!$G$5:$G$204&lt;&gt;"")*('01_予約入力'!$N$5:$N$204&lt;&gt;"キャンセル")*('01_予約入力'!$G$5:$G$204&lt;=$A21)*('01_予約入力'!$J$5:$J$204&gt;$A21)))</f>
        <v/>
      </c>
      <c r="H21" s="44">
        <f>IF($A21="","",'M_施設設定'!$B$6-$G21)</f>
        <v/>
      </c>
      <c r="I21" s="44">
        <f>IF($A21="","",SUMPRODUCT((('01_予約入力'!$N$5:$N$204="仮予約")+('01_予約入力'!$N$5:$N$204="調整中"))*('01_予約入力'!$G$5:$G$204&lt;&gt;"")*('01_予約入力'!$G$5:$G$204&lt;=$A21)*('01_予約入力'!$J$5:$J$204&gt;$A21)))</f>
        <v/>
      </c>
      <c r="J21" s="44">
        <f>IF($A21="","",IF($I21&gt;0,"仮",IF($H21&lt;=0,"×",IF($H21&lt;'M_施設設定'!$B$6,"△","○"))))</f>
        <v/>
      </c>
      <c r="K21" s="44">
        <f>IF($A21="","",SUMPRODUCT(('01_予約入力'!$G$5:$G$204&lt;&gt;"")*('01_予約入力'!$N$5:$N$204&lt;&gt;"キャンセル")*('01_予約入力'!$G$5:$G$204=$A21)*('01_予約入力'!$J$5:$J$204=$A21)))</f>
        <v/>
      </c>
      <c r="L21" s="44">
        <f>IF(OR($A21="",C$6=""),0,SUMPRODUCT(MAX(('01_予約入力'!$D$5:$D$204=C$6)*('01_予約入力'!$N$5:$N$204&lt;&gt;"キャンセル")*('01_予約入力'!$G$5:$G$204&lt;&gt;"")*('01_予約入力'!$J$5:$J$204=$A21)*('01_予約入力'!$G$5:$G$204&lt;$A21)*(ROW('01_予約入力'!$G$5:$G$204)-4))))</f>
        <v/>
      </c>
      <c r="M21" s="44">
        <f>IF(OR($A21="",C$6=""),0,SUMPRODUCT(MAX(('01_予約入力'!$D$5:$D$204=C$6)*('01_予約入力'!$N$5:$N$204&lt;&gt;"キャンセル")*('01_予約入力'!$G$5:$G$204&lt;&gt;"")*('01_予約入力'!$G$5:$G$204&lt;=$A21)*('01_予約入力'!$J$5:$J$204&gt;$A21)*(ROW('01_予約入力'!$G$5:$G$204)-4))))</f>
        <v/>
      </c>
      <c r="N21" s="44">
        <f>IF(OR($A21="",C$6=""),0,SUMPRODUCT(MAX(('01_予約入力'!$D$5:$D$204=C$6)*('01_予約入力'!$N$5:$N$204&lt;&gt;"キャンセル")*('01_予約入力'!$G$5:$G$204&lt;&gt;"")*('01_予約入力'!$G$5:$G$204=$A21)*('01_予約入力'!$J$5:$J$204=$A21)*(ROW('01_予約入力'!$G$5:$G$204)-4))))</f>
        <v/>
      </c>
      <c r="O21" s="44">
        <f>IF(OR($A21="",D$6=""),0,SUMPRODUCT(MAX(('01_予約入力'!$D$5:$D$204=D$6)*('01_予約入力'!$N$5:$N$204&lt;&gt;"キャンセル")*('01_予約入力'!$G$5:$G$204&lt;&gt;"")*('01_予約入力'!$J$5:$J$204=$A21)*('01_予約入力'!$G$5:$G$204&lt;$A21)*(ROW('01_予約入力'!$G$5:$G$204)-4))))</f>
        <v/>
      </c>
      <c r="P21" s="44">
        <f>IF(OR($A21="",D$6=""),0,SUMPRODUCT(MAX(('01_予約入力'!$D$5:$D$204=D$6)*('01_予約入力'!$N$5:$N$204&lt;&gt;"キャンセル")*('01_予約入力'!$G$5:$G$204&lt;&gt;"")*('01_予約入力'!$G$5:$G$204&lt;=$A21)*('01_予約入力'!$J$5:$J$204&gt;$A21)*(ROW('01_予約入力'!$G$5:$G$204)-4))))</f>
        <v/>
      </c>
      <c r="Q21" s="44">
        <f>IF(OR($A21="",D$6=""),0,SUMPRODUCT(MAX(('01_予約入力'!$D$5:$D$204=D$6)*('01_予約入力'!$N$5:$N$204&lt;&gt;"キャンセル")*('01_予約入力'!$G$5:$G$204&lt;&gt;"")*('01_予約入力'!$G$5:$G$204=$A21)*('01_予約入力'!$J$5:$J$204=$A21)*(ROW('01_予約入力'!$G$5:$G$204)-4))))</f>
        <v/>
      </c>
      <c r="R21" s="44">
        <f>IF(OR($A21="",E$6=""),0,SUMPRODUCT(MAX(('01_予約入力'!$D$5:$D$204=E$6)*('01_予約入力'!$N$5:$N$204&lt;&gt;"キャンセル")*('01_予約入力'!$G$5:$G$204&lt;&gt;"")*('01_予約入力'!$J$5:$J$204=$A21)*('01_予約入力'!$G$5:$G$204&lt;$A21)*(ROW('01_予約入力'!$G$5:$G$204)-4))))</f>
        <v/>
      </c>
      <c r="S21" s="44">
        <f>IF(OR($A21="",E$6=""),0,SUMPRODUCT(MAX(('01_予約入力'!$D$5:$D$204=E$6)*('01_予約入力'!$N$5:$N$204&lt;&gt;"キャンセル")*('01_予約入力'!$G$5:$G$204&lt;&gt;"")*('01_予約入力'!$G$5:$G$204&lt;=$A21)*('01_予約入力'!$J$5:$J$204&gt;$A21)*(ROW('01_予約入力'!$G$5:$G$204)-4))))</f>
        <v/>
      </c>
      <c r="T21" s="44">
        <f>IF(OR($A21="",E$6=""),0,SUMPRODUCT(MAX(('01_予約入力'!$D$5:$D$204=E$6)*('01_予約入力'!$N$5:$N$204&lt;&gt;"キャンセル")*('01_予約入力'!$G$5:$G$204&lt;&gt;"")*('01_予約入力'!$G$5:$G$204=$A21)*('01_予約入力'!$J$5:$J$204=$A21)*(ROW('01_予約入力'!$G$5:$G$204)-4))))</f>
        <v/>
      </c>
      <c r="U21" s="44">
        <f>IF(OR($A21="",F$6=""),0,SUMPRODUCT(MAX(('01_予約入力'!$D$5:$D$204=F$6)*('01_予約入力'!$N$5:$N$204&lt;&gt;"キャンセル")*('01_予約入力'!$G$5:$G$204&lt;&gt;"")*('01_予約入力'!$J$5:$J$204=$A21)*('01_予約入力'!$G$5:$G$204&lt;$A21)*(ROW('01_予約入力'!$G$5:$G$204)-4))))</f>
        <v/>
      </c>
      <c r="V21" s="44">
        <f>IF(OR($A21="",F$6=""),0,SUMPRODUCT(MAX(('01_予約入力'!$D$5:$D$204=F$6)*('01_予約入力'!$N$5:$N$204&lt;&gt;"キャンセル")*('01_予約入力'!$G$5:$G$204&lt;&gt;"")*('01_予約入力'!$G$5:$G$204&lt;=$A21)*('01_予約入力'!$J$5:$J$204&gt;$A21)*(ROW('01_予約入力'!$G$5:$G$204)-4))))</f>
        <v/>
      </c>
      <c r="W21" s="44">
        <f>IF(OR($A21="",F$6=""),0,SUMPRODUCT(MAX(('01_予約入力'!$D$5:$D$204=F$6)*('01_予約入力'!$N$5:$N$204&lt;&gt;"キャンセル")*('01_予約入力'!$G$5:$G$204&lt;&gt;"")*('01_予約入力'!$G$5:$G$204=$A21)*('01_予約入力'!$J$5:$J$204=$A21)*(ROW('01_予約入力'!$G$5:$G$204)-4))))</f>
        <v/>
      </c>
      <c r="X21" s="44">
        <f>IF($A21="","",IF($M21&gt;0,IF(OR(INDEX('01_予約入力'!$N$5:$N$204,$M21)="仮予約",INDEX('01_予約入力'!$N$5:$N$204,$M21)="調整中"),"仮",INDEX('01_予約入力'!$C$5:$C$204,$M21)),IF($N21&gt;0,IF(OR(INDEX('01_予約入力'!$N$5:$N$204,$N21)="仮予約",INDEX('01_予約入力'!$N$5:$N$204,$N21)="調整中"),"仮",INDEX('01_予約入力'!$C$5:$C$204,$N21)),IF($L21&gt;0,IF(OR(INDEX('01_予約入力'!$N$5:$N$204,$L21)="仮予約",INDEX('01_予約入力'!$N$5:$N$204,$L21)="調整中"),"仮",INDEX('01_予約入力'!$C$5:$C$204,$L21)),""))))</f>
        <v/>
      </c>
      <c r="Y21" s="44">
        <f>IF($A21="","",IF($P21&gt;0,IF(OR(INDEX('01_予約入力'!$N$5:$N$204,$P21)="仮予約",INDEX('01_予約入力'!$N$5:$N$204,$P21)="調整中"),"仮",INDEX('01_予約入力'!$C$5:$C$204,$P21)),IF($Q21&gt;0,IF(OR(INDEX('01_予約入力'!$N$5:$N$204,$Q21)="仮予約",INDEX('01_予約入力'!$N$5:$N$204,$Q21)="調整中"),"仮",INDEX('01_予約入力'!$C$5:$C$204,$Q21)),IF($O21&gt;0,IF(OR(INDEX('01_予約入力'!$N$5:$N$204,$O21)="仮予約",INDEX('01_予約入力'!$N$5:$N$204,$O21)="調整中"),"仮",INDEX('01_予約入力'!$C$5:$C$204,$O21)),""))))</f>
        <v/>
      </c>
      <c r="Z21" s="44">
        <f>IF($A21="","",IF($S21&gt;0,IF(OR(INDEX('01_予約入力'!$N$5:$N$204,$S21)="仮予約",INDEX('01_予約入力'!$N$5:$N$204,$S21)="調整中"),"仮",INDEX('01_予約入力'!$C$5:$C$204,$S21)),IF($T21&gt;0,IF(OR(INDEX('01_予約入力'!$N$5:$N$204,$T21)="仮予約",INDEX('01_予約入力'!$N$5:$N$204,$T21)="調整中"),"仮",INDEX('01_予約入力'!$C$5:$C$204,$T21)),IF($R21&gt;0,IF(OR(INDEX('01_予約入力'!$N$5:$N$204,$R21)="仮予約",INDEX('01_予約入力'!$N$5:$N$204,$R21)="調整中"),"仮",INDEX('01_予約入力'!$C$5:$C$204,$R21)),""))))</f>
        <v/>
      </c>
      <c r="AA21" s="44">
        <f>IF($A21="","",IF($V21&gt;0,IF(OR(INDEX('01_予約入力'!$N$5:$N$204,$V21)="仮予約",INDEX('01_予約入力'!$N$5:$N$204,$V21)="調整中"),"仮",INDEX('01_予約入力'!$C$5:$C$204,$V21)),IF($W21&gt;0,IF(OR(INDEX('01_予約入力'!$N$5:$N$204,$W21)="仮予約",INDEX('01_予約入力'!$N$5:$N$204,$W21)="調整中"),"仮",INDEX('01_予約入力'!$C$5:$C$204,$W21)),IF($U21&gt;0,IF(OR(INDEX('01_予約入力'!$N$5:$N$204,$U21)="仮予約",INDEX('01_予約入力'!$N$5:$N$204,$U21)="調整中"),"仮",INDEX('01_予約入力'!$C$5:$C$204,$U21)),""))))</f>
        <v/>
      </c>
      <c r="AB21" s="44">
        <f>IF($A21="",0,SUMPRODUCT(('01_予約入力'!$G$5:$G$204&lt;&gt;"")*('01_予約入力'!$N$5:$N$204&lt;&gt;"キャンセル")*('01_予約入力'!$G$5:$G$204&lt;$A21)*('01_予約入力'!$J$5:$J$204&gt;=$A21)))</f>
        <v/>
      </c>
      <c r="AC21" s="44">
        <f>IF($A21="",0,SUMPRODUCT(('01_予約入力'!$G$5:$G$204&lt;&gt;"")*('01_予約入力'!$N$5:$N$204&lt;&gt;"キャンセル")*((('01_予約入力'!$G$5:$G$204&lt;$A21)*('01_予約入力'!$J$5:$J$204&gt;$A21))+(('01_予約入力'!$G$5:$G$204=$A21)*('01_予約入力'!$J$5:$J$204=$A21)))))</f>
        <v/>
      </c>
      <c r="AD21" s="44">
        <f>IF($A21="",0,SUMPRODUCT(('01_予約入力'!$G$5:$G$204&lt;&gt;"")*('01_予約入力'!$N$5:$N$204&lt;&gt;"キャンセル")*('01_予約入力'!$G$5:$G$204&lt;=$A21)*('01_予約入力'!$J$5:$J$204&gt;$A21)))</f>
        <v/>
      </c>
      <c r="AE21" s="44">
        <f>IF($A21="",0,IFERROR(MATCH($A21,'02_カレンダー'!$B$59:$B$78,0),0))</f>
        <v/>
      </c>
      <c r="AF21" s="44">
        <f>IF($A21="",0,IF($AE21=0,$AB21,IF(INDEX('02_カレンダー'!$C$59:$C$78,$AE21)="",$AB21,INDEX('02_カレンダー'!$C$59:$C$78,$AE21))))</f>
        <v/>
      </c>
      <c r="AG21" s="44">
        <f>IF($A21="",0,IF($AE21=0,$AC21,IF(INDEX('02_カレンダー'!$D$59:$D$78,$AE21)="",$AC21,INDEX('02_カレンダー'!$D$59:$D$78,$AE21))))</f>
        <v/>
      </c>
      <c r="AH21" s="44">
        <f>IF($A21="",0,IF($AE21=0,$AD21,IF(INDEX('02_カレンダー'!$E$59:$E$78,$AE21)="",$AD21,INDEX('02_カレンダー'!$E$59:$E$78,$AE21))))</f>
        <v/>
      </c>
      <c r="AI21" s="44">
        <f>IF($A21="","",IF(AND($AF21=0,$AG21=0,$AH21=0),"","朝"&amp;$AF21&amp;" 昼"&amp;$AG21&amp;" 夕"&amp;$AH21&amp;IF($AJ21=0,"","　※調整")))</f>
        <v/>
      </c>
      <c r="AJ21" s="44">
        <f>IF(OR($A21="",$AE21=0),0,IF(OR(INDEX('02_カレンダー'!$C$59:$C$78,$AE21)&lt;&gt;"",INDEX('02_カレンダー'!$D$59:$D$78,$AE21)&lt;&gt;"",INDEX('02_カレンダー'!$E$59:$E$78,$AE21)&lt;&gt;""),1,0))</f>
        <v/>
      </c>
    </row>
    <row r="22">
      <c r="A22" s="37">
        <f>IF(MONTH('02_カレンダー'!$B$4+15)&lt;&gt;MONTH('02_カレンダー'!$B$4),"",'02_カレンダー'!$B$4+15)</f>
        <v/>
      </c>
      <c r="B22" s="44">
        <f>IF($A22="","",MID("日月火水木金土",WEEKDAY($A22),1))</f>
        <v/>
      </c>
      <c r="C22" s="48">
        <f>IF(OR($A22="",C$6=""),"",IF($L22=0,"",INDEX('01_予約入力'!$B$5:$B$204,$L22)&amp;" ◀"&amp;IF(('02_カレンダー'!$B$5="○"),INDEX('01_予約入力'!$AB$5:$AB$204,$L22),""))&amp;IF(AND($L22&gt;0,OR($M22&gt;0,$N22&gt;0)),"  ","")&amp;IF($M22=0,"",IF(INDEX('01_予約入力'!$G$5:$G$204,$M22)=$A22,"▶"&amp;IF(('02_カレンダー'!$B$5="○"),INDEX('01_予約入力'!$AA$5:$AA$204,$M22)&amp;" "," "),"")&amp;INDEX('01_予約入力'!$B$5:$B$204,$M22))&amp;IF(AND($M22&gt;0,$N22&gt;0),"  ","")&amp;IF($N22=0,"","◆ "&amp;INDEX('01_予約入力'!$B$5:$B$204,$N22)&amp;IF(('02_カレンダー'!$B$5="○")," "&amp;INDEX('01_予約入力'!$AA$5:$AA$204,$N22)&amp;"-"&amp;INDEX('01_予約入力'!$AB$5:$AB$204,$N22),"")))</f>
        <v/>
      </c>
      <c r="D22" s="48">
        <f>IF(OR($A22="",D$6=""),"",IF($O22=0,"",INDEX('01_予約入力'!$B$5:$B$204,$O22)&amp;" ◀"&amp;IF(('02_カレンダー'!$B$5="○"),INDEX('01_予約入力'!$AB$5:$AB$204,$O22),""))&amp;IF(AND($O22&gt;0,OR($P22&gt;0,$Q22&gt;0)),"  ","")&amp;IF($P22=0,"",IF(INDEX('01_予約入力'!$G$5:$G$204,$P22)=$A22,"▶"&amp;IF(('02_カレンダー'!$B$5="○"),INDEX('01_予約入力'!$AA$5:$AA$204,$P22)&amp;" "," "),"")&amp;INDEX('01_予約入力'!$B$5:$B$204,$P22))&amp;IF(AND($P22&gt;0,$Q22&gt;0),"  ","")&amp;IF($Q22=0,"","◆ "&amp;INDEX('01_予約入力'!$B$5:$B$204,$Q22)&amp;IF(('02_カレンダー'!$B$5="○")," "&amp;INDEX('01_予約入力'!$AA$5:$AA$204,$Q22)&amp;"-"&amp;INDEX('01_予約入力'!$AB$5:$AB$204,$Q22),"")))</f>
        <v/>
      </c>
      <c r="E22" s="48">
        <f>IF(OR($A22="",E$6=""),"",IF($R22=0,"",INDEX('01_予約入力'!$B$5:$B$204,$R22)&amp;" ◀"&amp;IF(('02_カレンダー'!$B$5="○"),INDEX('01_予約入力'!$AB$5:$AB$204,$R22),""))&amp;IF(AND($R22&gt;0,OR($S22&gt;0,$T22&gt;0)),"  ","")&amp;IF($S22=0,"",IF(INDEX('01_予約入力'!$G$5:$G$204,$S22)=$A22,"▶"&amp;IF(('02_カレンダー'!$B$5="○"),INDEX('01_予約入力'!$AA$5:$AA$204,$S22)&amp;" "," "),"")&amp;INDEX('01_予約入力'!$B$5:$B$204,$S22))&amp;IF(AND($S22&gt;0,$T22&gt;0),"  ","")&amp;IF($T22=0,"","◆ "&amp;INDEX('01_予約入力'!$B$5:$B$204,$T22)&amp;IF(('02_カレンダー'!$B$5="○")," "&amp;INDEX('01_予約入力'!$AA$5:$AA$204,$T22)&amp;"-"&amp;INDEX('01_予約入力'!$AB$5:$AB$204,$T22),"")))</f>
        <v/>
      </c>
      <c r="F22" s="48">
        <f>IF(OR($A22="",F$6=""),"",IF($U22=0,"",INDEX('01_予約入力'!$B$5:$B$204,$U22)&amp;" ◀"&amp;IF(('02_カレンダー'!$B$5="○"),INDEX('01_予約入力'!$AB$5:$AB$204,$U22),""))&amp;IF(AND($U22&gt;0,OR($V22&gt;0,$W22&gt;0)),"  ","")&amp;IF($V22=0,"",IF(INDEX('01_予約入力'!$G$5:$G$204,$V22)=$A22,"▶"&amp;IF(('02_カレンダー'!$B$5="○"),INDEX('01_予約入力'!$AA$5:$AA$204,$V22)&amp;" "," "),"")&amp;INDEX('01_予約入力'!$B$5:$B$204,$V22))&amp;IF(AND($V22&gt;0,$W22&gt;0),"  ","")&amp;IF($W22=0,"","◆ "&amp;INDEX('01_予約入力'!$B$5:$B$204,$W22)&amp;IF(('02_カレンダー'!$B$5="○")," "&amp;INDEX('01_予約入力'!$AA$5:$AA$204,$W22)&amp;"-"&amp;INDEX('01_予約入力'!$AB$5:$AB$204,$W22),"")))</f>
        <v/>
      </c>
      <c r="G22" s="44">
        <f>IF($A22="","",SUMPRODUCT(('01_予約入力'!$G$5:$G$204&lt;&gt;"")*('01_予約入力'!$N$5:$N$204&lt;&gt;"キャンセル")*('01_予約入力'!$G$5:$G$204&lt;=$A22)*('01_予約入力'!$J$5:$J$204&gt;$A22)))</f>
        <v/>
      </c>
      <c r="H22" s="44">
        <f>IF($A22="","",'M_施設設定'!$B$6-$G22)</f>
        <v/>
      </c>
      <c r="I22" s="44">
        <f>IF($A22="","",SUMPRODUCT((('01_予約入力'!$N$5:$N$204="仮予約")+('01_予約入力'!$N$5:$N$204="調整中"))*('01_予約入力'!$G$5:$G$204&lt;&gt;"")*('01_予約入力'!$G$5:$G$204&lt;=$A22)*('01_予約入力'!$J$5:$J$204&gt;$A22)))</f>
        <v/>
      </c>
      <c r="J22" s="44">
        <f>IF($A22="","",IF($I22&gt;0,"仮",IF($H22&lt;=0,"×",IF($H22&lt;'M_施設設定'!$B$6,"△","○"))))</f>
        <v/>
      </c>
      <c r="K22" s="44">
        <f>IF($A22="","",SUMPRODUCT(('01_予約入力'!$G$5:$G$204&lt;&gt;"")*('01_予約入力'!$N$5:$N$204&lt;&gt;"キャンセル")*('01_予約入力'!$G$5:$G$204=$A22)*('01_予約入力'!$J$5:$J$204=$A22)))</f>
        <v/>
      </c>
      <c r="L22" s="44">
        <f>IF(OR($A22="",C$6=""),0,SUMPRODUCT(MAX(('01_予約入力'!$D$5:$D$204=C$6)*('01_予約入力'!$N$5:$N$204&lt;&gt;"キャンセル")*('01_予約入力'!$G$5:$G$204&lt;&gt;"")*('01_予約入力'!$J$5:$J$204=$A22)*('01_予約入力'!$G$5:$G$204&lt;$A22)*(ROW('01_予約入力'!$G$5:$G$204)-4))))</f>
        <v/>
      </c>
      <c r="M22" s="44">
        <f>IF(OR($A22="",C$6=""),0,SUMPRODUCT(MAX(('01_予約入力'!$D$5:$D$204=C$6)*('01_予約入力'!$N$5:$N$204&lt;&gt;"キャンセル")*('01_予約入力'!$G$5:$G$204&lt;&gt;"")*('01_予約入力'!$G$5:$G$204&lt;=$A22)*('01_予約入力'!$J$5:$J$204&gt;$A22)*(ROW('01_予約入力'!$G$5:$G$204)-4))))</f>
        <v/>
      </c>
      <c r="N22" s="44">
        <f>IF(OR($A22="",C$6=""),0,SUMPRODUCT(MAX(('01_予約入力'!$D$5:$D$204=C$6)*('01_予約入力'!$N$5:$N$204&lt;&gt;"キャンセル")*('01_予約入力'!$G$5:$G$204&lt;&gt;"")*('01_予約入力'!$G$5:$G$204=$A22)*('01_予約入力'!$J$5:$J$204=$A22)*(ROW('01_予約入力'!$G$5:$G$204)-4))))</f>
        <v/>
      </c>
      <c r="O22" s="44">
        <f>IF(OR($A22="",D$6=""),0,SUMPRODUCT(MAX(('01_予約入力'!$D$5:$D$204=D$6)*('01_予約入力'!$N$5:$N$204&lt;&gt;"キャンセル")*('01_予約入力'!$G$5:$G$204&lt;&gt;"")*('01_予約入力'!$J$5:$J$204=$A22)*('01_予約入力'!$G$5:$G$204&lt;$A22)*(ROW('01_予約入力'!$G$5:$G$204)-4))))</f>
        <v/>
      </c>
      <c r="P22" s="44">
        <f>IF(OR($A22="",D$6=""),0,SUMPRODUCT(MAX(('01_予約入力'!$D$5:$D$204=D$6)*('01_予約入力'!$N$5:$N$204&lt;&gt;"キャンセル")*('01_予約入力'!$G$5:$G$204&lt;&gt;"")*('01_予約入力'!$G$5:$G$204&lt;=$A22)*('01_予約入力'!$J$5:$J$204&gt;$A22)*(ROW('01_予約入力'!$G$5:$G$204)-4))))</f>
        <v/>
      </c>
      <c r="Q22" s="44">
        <f>IF(OR($A22="",D$6=""),0,SUMPRODUCT(MAX(('01_予約入力'!$D$5:$D$204=D$6)*('01_予約入力'!$N$5:$N$204&lt;&gt;"キャンセル")*('01_予約入力'!$G$5:$G$204&lt;&gt;"")*('01_予約入力'!$G$5:$G$204=$A22)*('01_予約入力'!$J$5:$J$204=$A22)*(ROW('01_予約入力'!$G$5:$G$204)-4))))</f>
        <v/>
      </c>
      <c r="R22" s="44">
        <f>IF(OR($A22="",E$6=""),0,SUMPRODUCT(MAX(('01_予約入力'!$D$5:$D$204=E$6)*('01_予約入力'!$N$5:$N$204&lt;&gt;"キャンセル")*('01_予約入力'!$G$5:$G$204&lt;&gt;"")*('01_予約入力'!$J$5:$J$204=$A22)*('01_予約入力'!$G$5:$G$204&lt;$A22)*(ROW('01_予約入力'!$G$5:$G$204)-4))))</f>
        <v/>
      </c>
      <c r="S22" s="44">
        <f>IF(OR($A22="",E$6=""),0,SUMPRODUCT(MAX(('01_予約入力'!$D$5:$D$204=E$6)*('01_予約入力'!$N$5:$N$204&lt;&gt;"キャンセル")*('01_予約入力'!$G$5:$G$204&lt;&gt;"")*('01_予約入力'!$G$5:$G$204&lt;=$A22)*('01_予約入力'!$J$5:$J$204&gt;$A22)*(ROW('01_予約入力'!$G$5:$G$204)-4))))</f>
        <v/>
      </c>
      <c r="T22" s="44">
        <f>IF(OR($A22="",E$6=""),0,SUMPRODUCT(MAX(('01_予約入力'!$D$5:$D$204=E$6)*('01_予約入力'!$N$5:$N$204&lt;&gt;"キャンセル")*('01_予約入力'!$G$5:$G$204&lt;&gt;"")*('01_予約入力'!$G$5:$G$204=$A22)*('01_予約入力'!$J$5:$J$204=$A22)*(ROW('01_予約入力'!$G$5:$G$204)-4))))</f>
        <v/>
      </c>
      <c r="U22" s="44">
        <f>IF(OR($A22="",F$6=""),0,SUMPRODUCT(MAX(('01_予約入力'!$D$5:$D$204=F$6)*('01_予約入力'!$N$5:$N$204&lt;&gt;"キャンセル")*('01_予約入力'!$G$5:$G$204&lt;&gt;"")*('01_予約入力'!$J$5:$J$204=$A22)*('01_予約入力'!$G$5:$G$204&lt;$A22)*(ROW('01_予約入力'!$G$5:$G$204)-4))))</f>
        <v/>
      </c>
      <c r="V22" s="44">
        <f>IF(OR($A22="",F$6=""),0,SUMPRODUCT(MAX(('01_予約入力'!$D$5:$D$204=F$6)*('01_予約入力'!$N$5:$N$204&lt;&gt;"キャンセル")*('01_予約入力'!$G$5:$G$204&lt;&gt;"")*('01_予約入力'!$G$5:$G$204&lt;=$A22)*('01_予約入力'!$J$5:$J$204&gt;$A22)*(ROW('01_予約入力'!$G$5:$G$204)-4))))</f>
        <v/>
      </c>
      <c r="W22" s="44">
        <f>IF(OR($A22="",F$6=""),0,SUMPRODUCT(MAX(('01_予約入力'!$D$5:$D$204=F$6)*('01_予約入力'!$N$5:$N$204&lt;&gt;"キャンセル")*('01_予約入力'!$G$5:$G$204&lt;&gt;"")*('01_予約入力'!$G$5:$G$204=$A22)*('01_予約入力'!$J$5:$J$204=$A22)*(ROW('01_予約入力'!$G$5:$G$204)-4))))</f>
        <v/>
      </c>
      <c r="X22" s="44">
        <f>IF($A22="","",IF($M22&gt;0,IF(OR(INDEX('01_予約入力'!$N$5:$N$204,$M22)="仮予約",INDEX('01_予約入力'!$N$5:$N$204,$M22)="調整中"),"仮",INDEX('01_予約入力'!$C$5:$C$204,$M22)),IF($N22&gt;0,IF(OR(INDEX('01_予約入力'!$N$5:$N$204,$N22)="仮予約",INDEX('01_予約入力'!$N$5:$N$204,$N22)="調整中"),"仮",INDEX('01_予約入力'!$C$5:$C$204,$N22)),IF($L22&gt;0,IF(OR(INDEX('01_予約入力'!$N$5:$N$204,$L22)="仮予約",INDEX('01_予約入力'!$N$5:$N$204,$L22)="調整中"),"仮",INDEX('01_予約入力'!$C$5:$C$204,$L22)),""))))</f>
        <v/>
      </c>
      <c r="Y22" s="44">
        <f>IF($A22="","",IF($P22&gt;0,IF(OR(INDEX('01_予約入力'!$N$5:$N$204,$P22)="仮予約",INDEX('01_予約入力'!$N$5:$N$204,$P22)="調整中"),"仮",INDEX('01_予約入力'!$C$5:$C$204,$P22)),IF($Q22&gt;0,IF(OR(INDEX('01_予約入力'!$N$5:$N$204,$Q22)="仮予約",INDEX('01_予約入力'!$N$5:$N$204,$Q22)="調整中"),"仮",INDEX('01_予約入力'!$C$5:$C$204,$Q22)),IF($O22&gt;0,IF(OR(INDEX('01_予約入力'!$N$5:$N$204,$O22)="仮予約",INDEX('01_予約入力'!$N$5:$N$204,$O22)="調整中"),"仮",INDEX('01_予約入力'!$C$5:$C$204,$O22)),""))))</f>
        <v/>
      </c>
      <c r="Z22" s="44">
        <f>IF($A22="","",IF($S22&gt;0,IF(OR(INDEX('01_予約入力'!$N$5:$N$204,$S22)="仮予約",INDEX('01_予約入力'!$N$5:$N$204,$S22)="調整中"),"仮",INDEX('01_予約入力'!$C$5:$C$204,$S22)),IF($T22&gt;0,IF(OR(INDEX('01_予約入力'!$N$5:$N$204,$T22)="仮予約",INDEX('01_予約入力'!$N$5:$N$204,$T22)="調整中"),"仮",INDEX('01_予約入力'!$C$5:$C$204,$T22)),IF($R22&gt;0,IF(OR(INDEX('01_予約入力'!$N$5:$N$204,$R22)="仮予約",INDEX('01_予約入力'!$N$5:$N$204,$R22)="調整中"),"仮",INDEX('01_予約入力'!$C$5:$C$204,$R22)),""))))</f>
        <v/>
      </c>
      <c r="AA22" s="44">
        <f>IF($A22="","",IF($V22&gt;0,IF(OR(INDEX('01_予約入力'!$N$5:$N$204,$V22)="仮予約",INDEX('01_予約入力'!$N$5:$N$204,$V22)="調整中"),"仮",INDEX('01_予約入力'!$C$5:$C$204,$V22)),IF($W22&gt;0,IF(OR(INDEX('01_予約入力'!$N$5:$N$204,$W22)="仮予約",INDEX('01_予約入力'!$N$5:$N$204,$W22)="調整中"),"仮",INDEX('01_予約入力'!$C$5:$C$204,$W22)),IF($U22&gt;0,IF(OR(INDEX('01_予約入力'!$N$5:$N$204,$U22)="仮予約",INDEX('01_予約入力'!$N$5:$N$204,$U22)="調整中"),"仮",INDEX('01_予約入力'!$C$5:$C$204,$U22)),""))))</f>
        <v/>
      </c>
      <c r="AB22" s="44">
        <f>IF($A22="",0,SUMPRODUCT(('01_予約入力'!$G$5:$G$204&lt;&gt;"")*('01_予約入力'!$N$5:$N$204&lt;&gt;"キャンセル")*('01_予約入力'!$G$5:$G$204&lt;$A22)*('01_予約入力'!$J$5:$J$204&gt;=$A22)))</f>
        <v/>
      </c>
      <c r="AC22" s="44">
        <f>IF($A22="",0,SUMPRODUCT(('01_予約入力'!$G$5:$G$204&lt;&gt;"")*('01_予約入力'!$N$5:$N$204&lt;&gt;"キャンセル")*((('01_予約入力'!$G$5:$G$204&lt;$A22)*('01_予約入力'!$J$5:$J$204&gt;$A22))+(('01_予約入力'!$G$5:$G$204=$A22)*('01_予約入力'!$J$5:$J$204=$A22)))))</f>
        <v/>
      </c>
      <c r="AD22" s="44">
        <f>IF($A22="",0,SUMPRODUCT(('01_予約入力'!$G$5:$G$204&lt;&gt;"")*('01_予約入力'!$N$5:$N$204&lt;&gt;"キャンセル")*('01_予約入力'!$G$5:$G$204&lt;=$A22)*('01_予約入力'!$J$5:$J$204&gt;$A22)))</f>
        <v/>
      </c>
      <c r="AE22" s="44">
        <f>IF($A22="",0,IFERROR(MATCH($A22,'02_カレンダー'!$B$59:$B$78,0),0))</f>
        <v/>
      </c>
      <c r="AF22" s="44">
        <f>IF($A22="",0,IF($AE22=0,$AB22,IF(INDEX('02_カレンダー'!$C$59:$C$78,$AE22)="",$AB22,INDEX('02_カレンダー'!$C$59:$C$78,$AE22))))</f>
        <v/>
      </c>
      <c r="AG22" s="44">
        <f>IF($A22="",0,IF($AE22=0,$AC22,IF(INDEX('02_カレンダー'!$D$59:$D$78,$AE22)="",$AC22,INDEX('02_カレンダー'!$D$59:$D$78,$AE22))))</f>
        <v/>
      </c>
      <c r="AH22" s="44">
        <f>IF($A22="",0,IF($AE22=0,$AD22,IF(INDEX('02_カレンダー'!$E$59:$E$78,$AE22)="",$AD22,INDEX('02_カレンダー'!$E$59:$E$78,$AE22))))</f>
        <v/>
      </c>
      <c r="AI22" s="44">
        <f>IF($A22="","",IF(AND($AF22=0,$AG22=0,$AH22=0),"","朝"&amp;$AF22&amp;" 昼"&amp;$AG22&amp;" 夕"&amp;$AH22&amp;IF($AJ22=0,"","　※調整")))</f>
        <v/>
      </c>
      <c r="AJ22" s="44">
        <f>IF(OR($A22="",$AE22=0),0,IF(OR(INDEX('02_カレンダー'!$C$59:$C$78,$AE22)&lt;&gt;"",INDEX('02_カレンダー'!$D$59:$D$78,$AE22)&lt;&gt;"",INDEX('02_カレンダー'!$E$59:$E$78,$AE22)&lt;&gt;""),1,0))</f>
        <v/>
      </c>
    </row>
    <row r="23">
      <c r="A23" s="37">
        <f>IF(MONTH('02_カレンダー'!$B$4+16)&lt;&gt;MONTH('02_カレンダー'!$B$4),"",'02_カレンダー'!$B$4+16)</f>
        <v/>
      </c>
      <c r="B23" s="44">
        <f>IF($A23="","",MID("日月火水木金土",WEEKDAY($A23),1))</f>
        <v/>
      </c>
      <c r="C23" s="48">
        <f>IF(OR($A23="",C$6=""),"",IF($L23=0,"",INDEX('01_予約入力'!$B$5:$B$204,$L23)&amp;" ◀"&amp;IF(('02_カレンダー'!$B$5="○"),INDEX('01_予約入力'!$AB$5:$AB$204,$L23),""))&amp;IF(AND($L23&gt;0,OR($M23&gt;0,$N23&gt;0)),"  ","")&amp;IF($M23=0,"",IF(INDEX('01_予約入力'!$G$5:$G$204,$M23)=$A23,"▶"&amp;IF(('02_カレンダー'!$B$5="○"),INDEX('01_予約入力'!$AA$5:$AA$204,$M23)&amp;" "," "),"")&amp;INDEX('01_予約入力'!$B$5:$B$204,$M23))&amp;IF(AND($M23&gt;0,$N23&gt;0),"  ","")&amp;IF($N23=0,"","◆ "&amp;INDEX('01_予約入力'!$B$5:$B$204,$N23)&amp;IF(('02_カレンダー'!$B$5="○")," "&amp;INDEX('01_予約入力'!$AA$5:$AA$204,$N23)&amp;"-"&amp;INDEX('01_予約入力'!$AB$5:$AB$204,$N23),"")))</f>
        <v/>
      </c>
      <c r="D23" s="48">
        <f>IF(OR($A23="",D$6=""),"",IF($O23=0,"",INDEX('01_予約入力'!$B$5:$B$204,$O23)&amp;" ◀"&amp;IF(('02_カレンダー'!$B$5="○"),INDEX('01_予約入力'!$AB$5:$AB$204,$O23),""))&amp;IF(AND($O23&gt;0,OR($P23&gt;0,$Q23&gt;0)),"  ","")&amp;IF($P23=0,"",IF(INDEX('01_予約入力'!$G$5:$G$204,$P23)=$A23,"▶"&amp;IF(('02_カレンダー'!$B$5="○"),INDEX('01_予約入力'!$AA$5:$AA$204,$P23)&amp;" "," "),"")&amp;INDEX('01_予約入力'!$B$5:$B$204,$P23))&amp;IF(AND($P23&gt;0,$Q23&gt;0),"  ","")&amp;IF($Q23=0,"","◆ "&amp;INDEX('01_予約入力'!$B$5:$B$204,$Q23)&amp;IF(('02_カレンダー'!$B$5="○")," "&amp;INDEX('01_予約入力'!$AA$5:$AA$204,$Q23)&amp;"-"&amp;INDEX('01_予約入力'!$AB$5:$AB$204,$Q23),"")))</f>
        <v/>
      </c>
      <c r="E23" s="48">
        <f>IF(OR($A23="",E$6=""),"",IF($R23=0,"",INDEX('01_予約入力'!$B$5:$B$204,$R23)&amp;" ◀"&amp;IF(('02_カレンダー'!$B$5="○"),INDEX('01_予約入力'!$AB$5:$AB$204,$R23),""))&amp;IF(AND($R23&gt;0,OR($S23&gt;0,$T23&gt;0)),"  ","")&amp;IF($S23=0,"",IF(INDEX('01_予約入力'!$G$5:$G$204,$S23)=$A23,"▶"&amp;IF(('02_カレンダー'!$B$5="○"),INDEX('01_予約入力'!$AA$5:$AA$204,$S23)&amp;" "," "),"")&amp;INDEX('01_予約入力'!$B$5:$B$204,$S23))&amp;IF(AND($S23&gt;0,$T23&gt;0),"  ","")&amp;IF($T23=0,"","◆ "&amp;INDEX('01_予約入力'!$B$5:$B$204,$T23)&amp;IF(('02_カレンダー'!$B$5="○")," "&amp;INDEX('01_予約入力'!$AA$5:$AA$204,$T23)&amp;"-"&amp;INDEX('01_予約入力'!$AB$5:$AB$204,$T23),"")))</f>
        <v/>
      </c>
      <c r="F23" s="48">
        <f>IF(OR($A23="",F$6=""),"",IF($U23=0,"",INDEX('01_予約入力'!$B$5:$B$204,$U23)&amp;" ◀"&amp;IF(('02_カレンダー'!$B$5="○"),INDEX('01_予約入力'!$AB$5:$AB$204,$U23),""))&amp;IF(AND($U23&gt;0,OR($V23&gt;0,$W23&gt;0)),"  ","")&amp;IF($V23=0,"",IF(INDEX('01_予約入力'!$G$5:$G$204,$V23)=$A23,"▶"&amp;IF(('02_カレンダー'!$B$5="○"),INDEX('01_予約入力'!$AA$5:$AA$204,$V23)&amp;" "," "),"")&amp;INDEX('01_予約入力'!$B$5:$B$204,$V23))&amp;IF(AND($V23&gt;0,$W23&gt;0),"  ","")&amp;IF($W23=0,"","◆ "&amp;INDEX('01_予約入力'!$B$5:$B$204,$W23)&amp;IF(('02_カレンダー'!$B$5="○")," "&amp;INDEX('01_予約入力'!$AA$5:$AA$204,$W23)&amp;"-"&amp;INDEX('01_予約入力'!$AB$5:$AB$204,$W23),"")))</f>
        <v/>
      </c>
      <c r="G23" s="44">
        <f>IF($A23="","",SUMPRODUCT(('01_予約入力'!$G$5:$G$204&lt;&gt;"")*('01_予約入力'!$N$5:$N$204&lt;&gt;"キャンセル")*('01_予約入力'!$G$5:$G$204&lt;=$A23)*('01_予約入力'!$J$5:$J$204&gt;$A23)))</f>
        <v/>
      </c>
      <c r="H23" s="44">
        <f>IF($A23="","",'M_施設設定'!$B$6-$G23)</f>
        <v/>
      </c>
      <c r="I23" s="44">
        <f>IF($A23="","",SUMPRODUCT((('01_予約入力'!$N$5:$N$204="仮予約")+('01_予約入力'!$N$5:$N$204="調整中"))*('01_予約入力'!$G$5:$G$204&lt;&gt;"")*('01_予約入力'!$G$5:$G$204&lt;=$A23)*('01_予約入力'!$J$5:$J$204&gt;$A23)))</f>
        <v/>
      </c>
      <c r="J23" s="44">
        <f>IF($A23="","",IF($I23&gt;0,"仮",IF($H23&lt;=0,"×",IF($H23&lt;'M_施設設定'!$B$6,"△","○"))))</f>
        <v/>
      </c>
      <c r="K23" s="44">
        <f>IF($A23="","",SUMPRODUCT(('01_予約入力'!$G$5:$G$204&lt;&gt;"")*('01_予約入力'!$N$5:$N$204&lt;&gt;"キャンセル")*('01_予約入力'!$G$5:$G$204=$A23)*('01_予約入力'!$J$5:$J$204=$A23)))</f>
        <v/>
      </c>
      <c r="L23" s="44">
        <f>IF(OR($A23="",C$6=""),0,SUMPRODUCT(MAX(('01_予約入力'!$D$5:$D$204=C$6)*('01_予約入力'!$N$5:$N$204&lt;&gt;"キャンセル")*('01_予約入力'!$G$5:$G$204&lt;&gt;"")*('01_予約入力'!$J$5:$J$204=$A23)*('01_予約入力'!$G$5:$G$204&lt;$A23)*(ROW('01_予約入力'!$G$5:$G$204)-4))))</f>
        <v/>
      </c>
      <c r="M23" s="44">
        <f>IF(OR($A23="",C$6=""),0,SUMPRODUCT(MAX(('01_予約入力'!$D$5:$D$204=C$6)*('01_予約入力'!$N$5:$N$204&lt;&gt;"キャンセル")*('01_予約入力'!$G$5:$G$204&lt;&gt;"")*('01_予約入力'!$G$5:$G$204&lt;=$A23)*('01_予約入力'!$J$5:$J$204&gt;$A23)*(ROW('01_予約入力'!$G$5:$G$204)-4))))</f>
        <v/>
      </c>
      <c r="N23" s="44">
        <f>IF(OR($A23="",C$6=""),0,SUMPRODUCT(MAX(('01_予約入力'!$D$5:$D$204=C$6)*('01_予約入力'!$N$5:$N$204&lt;&gt;"キャンセル")*('01_予約入力'!$G$5:$G$204&lt;&gt;"")*('01_予約入力'!$G$5:$G$204=$A23)*('01_予約入力'!$J$5:$J$204=$A23)*(ROW('01_予約入力'!$G$5:$G$204)-4))))</f>
        <v/>
      </c>
      <c r="O23" s="44">
        <f>IF(OR($A23="",D$6=""),0,SUMPRODUCT(MAX(('01_予約入力'!$D$5:$D$204=D$6)*('01_予約入力'!$N$5:$N$204&lt;&gt;"キャンセル")*('01_予約入力'!$G$5:$G$204&lt;&gt;"")*('01_予約入力'!$J$5:$J$204=$A23)*('01_予約入力'!$G$5:$G$204&lt;$A23)*(ROW('01_予約入力'!$G$5:$G$204)-4))))</f>
        <v/>
      </c>
      <c r="P23" s="44">
        <f>IF(OR($A23="",D$6=""),0,SUMPRODUCT(MAX(('01_予約入力'!$D$5:$D$204=D$6)*('01_予約入力'!$N$5:$N$204&lt;&gt;"キャンセル")*('01_予約入力'!$G$5:$G$204&lt;&gt;"")*('01_予約入力'!$G$5:$G$204&lt;=$A23)*('01_予約入力'!$J$5:$J$204&gt;$A23)*(ROW('01_予約入力'!$G$5:$G$204)-4))))</f>
        <v/>
      </c>
      <c r="Q23" s="44">
        <f>IF(OR($A23="",D$6=""),0,SUMPRODUCT(MAX(('01_予約入力'!$D$5:$D$204=D$6)*('01_予約入力'!$N$5:$N$204&lt;&gt;"キャンセル")*('01_予約入力'!$G$5:$G$204&lt;&gt;"")*('01_予約入力'!$G$5:$G$204=$A23)*('01_予約入力'!$J$5:$J$204=$A23)*(ROW('01_予約入力'!$G$5:$G$204)-4))))</f>
        <v/>
      </c>
      <c r="R23" s="44">
        <f>IF(OR($A23="",E$6=""),0,SUMPRODUCT(MAX(('01_予約入力'!$D$5:$D$204=E$6)*('01_予約入力'!$N$5:$N$204&lt;&gt;"キャンセル")*('01_予約入力'!$G$5:$G$204&lt;&gt;"")*('01_予約入力'!$J$5:$J$204=$A23)*('01_予約入力'!$G$5:$G$204&lt;$A23)*(ROW('01_予約入力'!$G$5:$G$204)-4))))</f>
        <v/>
      </c>
      <c r="S23" s="44">
        <f>IF(OR($A23="",E$6=""),0,SUMPRODUCT(MAX(('01_予約入力'!$D$5:$D$204=E$6)*('01_予約入力'!$N$5:$N$204&lt;&gt;"キャンセル")*('01_予約入力'!$G$5:$G$204&lt;&gt;"")*('01_予約入力'!$G$5:$G$204&lt;=$A23)*('01_予約入力'!$J$5:$J$204&gt;$A23)*(ROW('01_予約入力'!$G$5:$G$204)-4))))</f>
        <v/>
      </c>
      <c r="T23" s="44">
        <f>IF(OR($A23="",E$6=""),0,SUMPRODUCT(MAX(('01_予約入力'!$D$5:$D$204=E$6)*('01_予約入力'!$N$5:$N$204&lt;&gt;"キャンセル")*('01_予約入力'!$G$5:$G$204&lt;&gt;"")*('01_予約入力'!$G$5:$G$204=$A23)*('01_予約入力'!$J$5:$J$204=$A23)*(ROW('01_予約入力'!$G$5:$G$204)-4))))</f>
        <v/>
      </c>
      <c r="U23" s="44">
        <f>IF(OR($A23="",F$6=""),0,SUMPRODUCT(MAX(('01_予約入力'!$D$5:$D$204=F$6)*('01_予約入力'!$N$5:$N$204&lt;&gt;"キャンセル")*('01_予約入力'!$G$5:$G$204&lt;&gt;"")*('01_予約入力'!$J$5:$J$204=$A23)*('01_予約入力'!$G$5:$G$204&lt;$A23)*(ROW('01_予約入力'!$G$5:$G$204)-4))))</f>
        <v/>
      </c>
      <c r="V23" s="44">
        <f>IF(OR($A23="",F$6=""),0,SUMPRODUCT(MAX(('01_予約入力'!$D$5:$D$204=F$6)*('01_予約入力'!$N$5:$N$204&lt;&gt;"キャンセル")*('01_予約入力'!$G$5:$G$204&lt;&gt;"")*('01_予約入力'!$G$5:$G$204&lt;=$A23)*('01_予約入力'!$J$5:$J$204&gt;$A23)*(ROW('01_予約入力'!$G$5:$G$204)-4))))</f>
        <v/>
      </c>
      <c r="W23" s="44">
        <f>IF(OR($A23="",F$6=""),0,SUMPRODUCT(MAX(('01_予約入力'!$D$5:$D$204=F$6)*('01_予約入力'!$N$5:$N$204&lt;&gt;"キャンセル")*('01_予約入力'!$G$5:$G$204&lt;&gt;"")*('01_予約入力'!$G$5:$G$204=$A23)*('01_予約入力'!$J$5:$J$204=$A23)*(ROW('01_予約入力'!$G$5:$G$204)-4))))</f>
        <v/>
      </c>
      <c r="X23" s="44">
        <f>IF($A23="","",IF($M23&gt;0,IF(OR(INDEX('01_予約入力'!$N$5:$N$204,$M23)="仮予約",INDEX('01_予約入力'!$N$5:$N$204,$M23)="調整中"),"仮",INDEX('01_予約入力'!$C$5:$C$204,$M23)),IF($N23&gt;0,IF(OR(INDEX('01_予約入力'!$N$5:$N$204,$N23)="仮予約",INDEX('01_予約入力'!$N$5:$N$204,$N23)="調整中"),"仮",INDEX('01_予約入力'!$C$5:$C$204,$N23)),IF($L23&gt;0,IF(OR(INDEX('01_予約入力'!$N$5:$N$204,$L23)="仮予約",INDEX('01_予約入力'!$N$5:$N$204,$L23)="調整中"),"仮",INDEX('01_予約入力'!$C$5:$C$204,$L23)),""))))</f>
        <v/>
      </c>
      <c r="Y23" s="44">
        <f>IF($A23="","",IF($P23&gt;0,IF(OR(INDEX('01_予約入力'!$N$5:$N$204,$P23)="仮予約",INDEX('01_予約入力'!$N$5:$N$204,$P23)="調整中"),"仮",INDEX('01_予約入力'!$C$5:$C$204,$P23)),IF($Q23&gt;0,IF(OR(INDEX('01_予約入力'!$N$5:$N$204,$Q23)="仮予約",INDEX('01_予約入力'!$N$5:$N$204,$Q23)="調整中"),"仮",INDEX('01_予約入力'!$C$5:$C$204,$Q23)),IF($O23&gt;0,IF(OR(INDEX('01_予約入力'!$N$5:$N$204,$O23)="仮予約",INDEX('01_予約入力'!$N$5:$N$204,$O23)="調整中"),"仮",INDEX('01_予約入力'!$C$5:$C$204,$O23)),""))))</f>
        <v/>
      </c>
      <c r="Z23" s="44">
        <f>IF($A23="","",IF($S23&gt;0,IF(OR(INDEX('01_予約入力'!$N$5:$N$204,$S23)="仮予約",INDEX('01_予約入力'!$N$5:$N$204,$S23)="調整中"),"仮",INDEX('01_予約入力'!$C$5:$C$204,$S23)),IF($T23&gt;0,IF(OR(INDEX('01_予約入力'!$N$5:$N$204,$T23)="仮予約",INDEX('01_予約入力'!$N$5:$N$204,$T23)="調整中"),"仮",INDEX('01_予約入力'!$C$5:$C$204,$T23)),IF($R23&gt;0,IF(OR(INDEX('01_予約入力'!$N$5:$N$204,$R23)="仮予約",INDEX('01_予約入力'!$N$5:$N$204,$R23)="調整中"),"仮",INDEX('01_予約入力'!$C$5:$C$204,$R23)),""))))</f>
        <v/>
      </c>
      <c r="AA23" s="44">
        <f>IF($A23="","",IF($V23&gt;0,IF(OR(INDEX('01_予約入力'!$N$5:$N$204,$V23)="仮予約",INDEX('01_予約入力'!$N$5:$N$204,$V23)="調整中"),"仮",INDEX('01_予約入力'!$C$5:$C$204,$V23)),IF($W23&gt;0,IF(OR(INDEX('01_予約入力'!$N$5:$N$204,$W23)="仮予約",INDEX('01_予約入力'!$N$5:$N$204,$W23)="調整中"),"仮",INDEX('01_予約入力'!$C$5:$C$204,$W23)),IF($U23&gt;0,IF(OR(INDEX('01_予約入力'!$N$5:$N$204,$U23)="仮予約",INDEX('01_予約入力'!$N$5:$N$204,$U23)="調整中"),"仮",INDEX('01_予約入力'!$C$5:$C$204,$U23)),""))))</f>
        <v/>
      </c>
      <c r="AB23" s="44">
        <f>IF($A23="",0,SUMPRODUCT(('01_予約入力'!$G$5:$G$204&lt;&gt;"")*('01_予約入力'!$N$5:$N$204&lt;&gt;"キャンセル")*('01_予約入力'!$G$5:$G$204&lt;$A23)*('01_予約入力'!$J$5:$J$204&gt;=$A23)))</f>
        <v/>
      </c>
      <c r="AC23" s="44">
        <f>IF($A23="",0,SUMPRODUCT(('01_予約入力'!$G$5:$G$204&lt;&gt;"")*('01_予約入力'!$N$5:$N$204&lt;&gt;"キャンセル")*((('01_予約入力'!$G$5:$G$204&lt;$A23)*('01_予約入力'!$J$5:$J$204&gt;$A23))+(('01_予約入力'!$G$5:$G$204=$A23)*('01_予約入力'!$J$5:$J$204=$A23)))))</f>
        <v/>
      </c>
      <c r="AD23" s="44">
        <f>IF($A23="",0,SUMPRODUCT(('01_予約入力'!$G$5:$G$204&lt;&gt;"")*('01_予約入力'!$N$5:$N$204&lt;&gt;"キャンセル")*('01_予約入力'!$G$5:$G$204&lt;=$A23)*('01_予約入力'!$J$5:$J$204&gt;$A23)))</f>
        <v/>
      </c>
      <c r="AE23" s="44">
        <f>IF($A23="",0,IFERROR(MATCH($A23,'02_カレンダー'!$B$59:$B$78,0),0))</f>
        <v/>
      </c>
      <c r="AF23" s="44">
        <f>IF($A23="",0,IF($AE23=0,$AB23,IF(INDEX('02_カレンダー'!$C$59:$C$78,$AE23)="",$AB23,INDEX('02_カレンダー'!$C$59:$C$78,$AE23))))</f>
        <v/>
      </c>
      <c r="AG23" s="44">
        <f>IF($A23="",0,IF($AE23=0,$AC23,IF(INDEX('02_カレンダー'!$D$59:$D$78,$AE23)="",$AC23,INDEX('02_カレンダー'!$D$59:$D$78,$AE23))))</f>
        <v/>
      </c>
      <c r="AH23" s="44">
        <f>IF($A23="",0,IF($AE23=0,$AD23,IF(INDEX('02_カレンダー'!$E$59:$E$78,$AE23)="",$AD23,INDEX('02_カレンダー'!$E$59:$E$78,$AE23))))</f>
        <v/>
      </c>
      <c r="AI23" s="44">
        <f>IF($A23="","",IF(AND($AF23=0,$AG23=0,$AH23=0),"","朝"&amp;$AF23&amp;" 昼"&amp;$AG23&amp;" 夕"&amp;$AH23&amp;IF($AJ23=0,"","　※調整")))</f>
        <v/>
      </c>
      <c r="AJ23" s="44">
        <f>IF(OR($A23="",$AE23=0),0,IF(OR(INDEX('02_カレンダー'!$C$59:$C$78,$AE23)&lt;&gt;"",INDEX('02_カレンダー'!$D$59:$D$78,$AE23)&lt;&gt;"",INDEX('02_カレンダー'!$E$59:$E$78,$AE23)&lt;&gt;""),1,0))</f>
        <v/>
      </c>
    </row>
    <row r="24">
      <c r="A24" s="37">
        <f>IF(MONTH('02_カレンダー'!$B$4+17)&lt;&gt;MONTH('02_カレンダー'!$B$4),"",'02_カレンダー'!$B$4+17)</f>
        <v/>
      </c>
      <c r="B24" s="44">
        <f>IF($A24="","",MID("日月火水木金土",WEEKDAY($A24),1))</f>
        <v/>
      </c>
      <c r="C24" s="48">
        <f>IF(OR($A24="",C$6=""),"",IF($L24=0,"",INDEX('01_予約入力'!$B$5:$B$204,$L24)&amp;" ◀"&amp;IF(('02_カレンダー'!$B$5="○"),INDEX('01_予約入力'!$AB$5:$AB$204,$L24),""))&amp;IF(AND($L24&gt;0,OR($M24&gt;0,$N24&gt;0)),"  ","")&amp;IF($M24=0,"",IF(INDEX('01_予約入力'!$G$5:$G$204,$M24)=$A24,"▶"&amp;IF(('02_カレンダー'!$B$5="○"),INDEX('01_予約入力'!$AA$5:$AA$204,$M24)&amp;" "," "),"")&amp;INDEX('01_予約入力'!$B$5:$B$204,$M24))&amp;IF(AND($M24&gt;0,$N24&gt;0),"  ","")&amp;IF($N24=0,"","◆ "&amp;INDEX('01_予約入力'!$B$5:$B$204,$N24)&amp;IF(('02_カレンダー'!$B$5="○")," "&amp;INDEX('01_予約入力'!$AA$5:$AA$204,$N24)&amp;"-"&amp;INDEX('01_予約入力'!$AB$5:$AB$204,$N24),"")))</f>
        <v/>
      </c>
      <c r="D24" s="48">
        <f>IF(OR($A24="",D$6=""),"",IF($O24=0,"",INDEX('01_予約入力'!$B$5:$B$204,$O24)&amp;" ◀"&amp;IF(('02_カレンダー'!$B$5="○"),INDEX('01_予約入力'!$AB$5:$AB$204,$O24),""))&amp;IF(AND($O24&gt;0,OR($P24&gt;0,$Q24&gt;0)),"  ","")&amp;IF($P24=0,"",IF(INDEX('01_予約入力'!$G$5:$G$204,$P24)=$A24,"▶"&amp;IF(('02_カレンダー'!$B$5="○"),INDEX('01_予約入力'!$AA$5:$AA$204,$P24)&amp;" "," "),"")&amp;INDEX('01_予約入力'!$B$5:$B$204,$P24))&amp;IF(AND($P24&gt;0,$Q24&gt;0),"  ","")&amp;IF($Q24=0,"","◆ "&amp;INDEX('01_予約入力'!$B$5:$B$204,$Q24)&amp;IF(('02_カレンダー'!$B$5="○")," "&amp;INDEX('01_予約入力'!$AA$5:$AA$204,$Q24)&amp;"-"&amp;INDEX('01_予約入力'!$AB$5:$AB$204,$Q24),"")))</f>
        <v/>
      </c>
      <c r="E24" s="48">
        <f>IF(OR($A24="",E$6=""),"",IF($R24=0,"",INDEX('01_予約入力'!$B$5:$B$204,$R24)&amp;" ◀"&amp;IF(('02_カレンダー'!$B$5="○"),INDEX('01_予約入力'!$AB$5:$AB$204,$R24),""))&amp;IF(AND($R24&gt;0,OR($S24&gt;0,$T24&gt;0)),"  ","")&amp;IF($S24=0,"",IF(INDEX('01_予約入力'!$G$5:$G$204,$S24)=$A24,"▶"&amp;IF(('02_カレンダー'!$B$5="○"),INDEX('01_予約入力'!$AA$5:$AA$204,$S24)&amp;" "," "),"")&amp;INDEX('01_予約入力'!$B$5:$B$204,$S24))&amp;IF(AND($S24&gt;0,$T24&gt;0),"  ","")&amp;IF($T24=0,"","◆ "&amp;INDEX('01_予約入力'!$B$5:$B$204,$T24)&amp;IF(('02_カレンダー'!$B$5="○")," "&amp;INDEX('01_予約入力'!$AA$5:$AA$204,$T24)&amp;"-"&amp;INDEX('01_予約入力'!$AB$5:$AB$204,$T24),"")))</f>
        <v/>
      </c>
      <c r="F24" s="48">
        <f>IF(OR($A24="",F$6=""),"",IF($U24=0,"",INDEX('01_予約入力'!$B$5:$B$204,$U24)&amp;" ◀"&amp;IF(('02_カレンダー'!$B$5="○"),INDEX('01_予約入力'!$AB$5:$AB$204,$U24),""))&amp;IF(AND($U24&gt;0,OR($V24&gt;0,$W24&gt;0)),"  ","")&amp;IF($V24=0,"",IF(INDEX('01_予約入力'!$G$5:$G$204,$V24)=$A24,"▶"&amp;IF(('02_カレンダー'!$B$5="○"),INDEX('01_予約入力'!$AA$5:$AA$204,$V24)&amp;" "," "),"")&amp;INDEX('01_予約入力'!$B$5:$B$204,$V24))&amp;IF(AND($V24&gt;0,$W24&gt;0),"  ","")&amp;IF($W24=0,"","◆ "&amp;INDEX('01_予約入力'!$B$5:$B$204,$W24)&amp;IF(('02_カレンダー'!$B$5="○")," "&amp;INDEX('01_予約入力'!$AA$5:$AA$204,$W24)&amp;"-"&amp;INDEX('01_予約入力'!$AB$5:$AB$204,$W24),"")))</f>
        <v/>
      </c>
      <c r="G24" s="44">
        <f>IF($A24="","",SUMPRODUCT(('01_予約入力'!$G$5:$G$204&lt;&gt;"")*('01_予約入力'!$N$5:$N$204&lt;&gt;"キャンセル")*('01_予約入力'!$G$5:$G$204&lt;=$A24)*('01_予約入力'!$J$5:$J$204&gt;$A24)))</f>
        <v/>
      </c>
      <c r="H24" s="44">
        <f>IF($A24="","",'M_施設設定'!$B$6-$G24)</f>
        <v/>
      </c>
      <c r="I24" s="44">
        <f>IF($A24="","",SUMPRODUCT((('01_予約入力'!$N$5:$N$204="仮予約")+('01_予約入力'!$N$5:$N$204="調整中"))*('01_予約入力'!$G$5:$G$204&lt;&gt;"")*('01_予約入力'!$G$5:$G$204&lt;=$A24)*('01_予約入力'!$J$5:$J$204&gt;$A24)))</f>
        <v/>
      </c>
      <c r="J24" s="44">
        <f>IF($A24="","",IF($I24&gt;0,"仮",IF($H24&lt;=0,"×",IF($H24&lt;'M_施設設定'!$B$6,"△","○"))))</f>
        <v/>
      </c>
      <c r="K24" s="44">
        <f>IF($A24="","",SUMPRODUCT(('01_予約入力'!$G$5:$G$204&lt;&gt;"")*('01_予約入力'!$N$5:$N$204&lt;&gt;"キャンセル")*('01_予約入力'!$G$5:$G$204=$A24)*('01_予約入力'!$J$5:$J$204=$A24)))</f>
        <v/>
      </c>
      <c r="L24" s="44">
        <f>IF(OR($A24="",C$6=""),0,SUMPRODUCT(MAX(('01_予約入力'!$D$5:$D$204=C$6)*('01_予約入力'!$N$5:$N$204&lt;&gt;"キャンセル")*('01_予約入力'!$G$5:$G$204&lt;&gt;"")*('01_予約入力'!$J$5:$J$204=$A24)*('01_予約入力'!$G$5:$G$204&lt;$A24)*(ROW('01_予約入力'!$G$5:$G$204)-4))))</f>
        <v/>
      </c>
      <c r="M24" s="44">
        <f>IF(OR($A24="",C$6=""),0,SUMPRODUCT(MAX(('01_予約入力'!$D$5:$D$204=C$6)*('01_予約入力'!$N$5:$N$204&lt;&gt;"キャンセル")*('01_予約入力'!$G$5:$G$204&lt;&gt;"")*('01_予約入力'!$G$5:$G$204&lt;=$A24)*('01_予約入力'!$J$5:$J$204&gt;$A24)*(ROW('01_予約入力'!$G$5:$G$204)-4))))</f>
        <v/>
      </c>
      <c r="N24" s="44">
        <f>IF(OR($A24="",C$6=""),0,SUMPRODUCT(MAX(('01_予約入力'!$D$5:$D$204=C$6)*('01_予約入力'!$N$5:$N$204&lt;&gt;"キャンセル")*('01_予約入力'!$G$5:$G$204&lt;&gt;"")*('01_予約入力'!$G$5:$G$204=$A24)*('01_予約入力'!$J$5:$J$204=$A24)*(ROW('01_予約入力'!$G$5:$G$204)-4))))</f>
        <v/>
      </c>
      <c r="O24" s="44">
        <f>IF(OR($A24="",D$6=""),0,SUMPRODUCT(MAX(('01_予約入力'!$D$5:$D$204=D$6)*('01_予約入力'!$N$5:$N$204&lt;&gt;"キャンセル")*('01_予約入力'!$G$5:$G$204&lt;&gt;"")*('01_予約入力'!$J$5:$J$204=$A24)*('01_予約入力'!$G$5:$G$204&lt;$A24)*(ROW('01_予約入力'!$G$5:$G$204)-4))))</f>
        <v/>
      </c>
      <c r="P24" s="44">
        <f>IF(OR($A24="",D$6=""),0,SUMPRODUCT(MAX(('01_予約入力'!$D$5:$D$204=D$6)*('01_予約入力'!$N$5:$N$204&lt;&gt;"キャンセル")*('01_予約入力'!$G$5:$G$204&lt;&gt;"")*('01_予約入力'!$G$5:$G$204&lt;=$A24)*('01_予約入力'!$J$5:$J$204&gt;$A24)*(ROW('01_予約入力'!$G$5:$G$204)-4))))</f>
        <v/>
      </c>
      <c r="Q24" s="44">
        <f>IF(OR($A24="",D$6=""),0,SUMPRODUCT(MAX(('01_予約入力'!$D$5:$D$204=D$6)*('01_予約入力'!$N$5:$N$204&lt;&gt;"キャンセル")*('01_予約入力'!$G$5:$G$204&lt;&gt;"")*('01_予約入力'!$G$5:$G$204=$A24)*('01_予約入力'!$J$5:$J$204=$A24)*(ROW('01_予約入力'!$G$5:$G$204)-4))))</f>
        <v/>
      </c>
      <c r="R24" s="44">
        <f>IF(OR($A24="",E$6=""),0,SUMPRODUCT(MAX(('01_予約入力'!$D$5:$D$204=E$6)*('01_予約入力'!$N$5:$N$204&lt;&gt;"キャンセル")*('01_予約入力'!$G$5:$G$204&lt;&gt;"")*('01_予約入力'!$J$5:$J$204=$A24)*('01_予約入力'!$G$5:$G$204&lt;$A24)*(ROW('01_予約入力'!$G$5:$G$204)-4))))</f>
        <v/>
      </c>
      <c r="S24" s="44">
        <f>IF(OR($A24="",E$6=""),0,SUMPRODUCT(MAX(('01_予約入力'!$D$5:$D$204=E$6)*('01_予約入力'!$N$5:$N$204&lt;&gt;"キャンセル")*('01_予約入力'!$G$5:$G$204&lt;&gt;"")*('01_予約入力'!$G$5:$G$204&lt;=$A24)*('01_予約入力'!$J$5:$J$204&gt;$A24)*(ROW('01_予約入力'!$G$5:$G$204)-4))))</f>
        <v/>
      </c>
      <c r="T24" s="44">
        <f>IF(OR($A24="",E$6=""),0,SUMPRODUCT(MAX(('01_予約入力'!$D$5:$D$204=E$6)*('01_予約入力'!$N$5:$N$204&lt;&gt;"キャンセル")*('01_予約入力'!$G$5:$G$204&lt;&gt;"")*('01_予約入力'!$G$5:$G$204=$A24)*('01_予約入力'!$J$5:$J$204=$A24)*(ROW('01_予約入力'!$G$5:$G$204)-4))))</f>
        <v/>
      </c>
      <c r="U24" s="44">
        <f>IF(OR($A24="",F$6=""),0,SUMPRODUCT(MAX(('01_予約入力'!$D$5:$D$204=F$6)*('01_予約入力'!$N$5:$N$204&lt;&gt;"キャンセル")*('01_予約入力'!$G$5:$G$204&lt;&gt;"")*('01_予約入力'!$J$5:$J$204=$A24)*('01_予約入力'!$G$5:$G$204&lt;$A24)*(ROW('01_予約入力'!$G$5:$G$204)-4))))</f>
        <v/>
      </c>
      <c r="V24" s="44">
        <f>IF(OR($A24="",F$6=""),0,SUMPRODUCT(MAX(('01_予約入力'!$D$5:$D$204=F$6)*('01_予約入力'!$N$5:$N$204&lt;&gt;"キャンセル")*('01_予約入力'!$G$5:$G$204&lt;&gt;"")*('01_予約入力'!$G$5:$G$204&lt;=$A24)*('01_予約入力'!$J$5:$J$204&gt;$A24)*(ROW('01_予約入力'!$G$5:$G$204)-4))))</f>
        <v/>
      </c>
      <c r="W24" s="44">
        <f>IF(OR($A24="",F$6=""),0,SUMPRODUCT(MAX(('01_予約入力'!$D$5:$D$204=F$6)*('01_予約入力'!$N$5:$N$204&lt;&gt;"キャンセル")*('01_予約入力'!$G$5:$G$204&lt;&gt;"")*('01_予約入力'!$G$5:$G$204=$A24)*('01_予約入力'!$J$5:$J$204=$A24)*(ROW('01_予約入力'!$G$5:$G$204)-4))))</f>
        <v/>
      </c>
      <c r="X24" s="44">
        <f>IF($A24="","",IF($M24&gt;0,IF(OR(INDEX('01_予約入力'!$N$5:$N$204,$M24)="仮予約",INDEX('01_予約入力'!$N$5:$N$204,$M24)="調整中"),"仮",INDEX('01_予約入力'!$C$5:$C$204,$M24)),IF($N24&gt;0,IF(OR(INDEX('01_予約入力'!$N$5:$N$204,$N24)="仮予約",INDEX('01_予約入力'!$N$5:$N$204,$N24)="調整中"),"仮",INDEX('01_予約入力'!$C$5:$C$204,$N24)),IF($L24&gt;0,IF(OR(INDEX('01_予約入力'!$N$5:$N$204,$L24)="仮予約",INDEX('01_予約入力'!$N$5:$N$204,$L24)="調整中"),"仮",INDEX('01_予約入力'!$C$5:$C$204,$L24)),""))))</f>
        <v/>
      </c>
      <c r="Y24" s="44">
        <f>IF($A24="","",IF($P24&gt;0,IF(OR(INDEX('01_予約入力'!$N$5:$N$204,$P24)="仮予約",INDEX('01_予約入力'!$N$5:$N$204,$P24)="調整中"),"仮",INDEX('01_予約入力'!$C$5:$C$204,$P24)),IF($Q24&gt;0,IF(OR(INDEX('01_予約入力'!$N$5:$N$204,$Q24)="仮予約",INDEX('01_予約入力'!$N$5:$N$204,$Q24)="調整中"),"仮",INDEX('01_予約入力'!$C$5:$C$204,$Q24)),IF($O24&gt;0,IF(OR(INDEX('01_予約入力'!$N$5:$N$204,$O24)="仮予約",INDEX('01_予約入力'!$N$5:$N$204,$O24)="調整中"),"仮",INDEX('01_予約入力'!$C$5:$C$204,$O24)),""))))</f>
        <v/>
      </c>
      <c r="Z24" s="44">
        <f>IF($A24="","",IF($S24&gt;0,IF(OR(INDEX('01_予約入力'!$N$5:$N$204,$S24)="仮予約",INDEX('01_予約入力'!$N$5:$N$204,$S24)="調整中"),"仮",INDEX('01_予約入力'!$C$5:$C$204,$S24)),IF($T24&gt;0,IF(OR(INDEX('01_予約入力'!$N$5:$N$204,$T24)="仮予約",INDEX('01_予約入力'!$N$5:$N$204,$T24)="調整中"),"仮",INDEX('01_予約入力'!$C$5:$C$204,$T24)),IF($R24&gt;0,IF(OR(INDEX('01_予約入力'!$N$5:$N$204,$R24)="仮予約",INDEX('01_予約入力'!$N$5:$N$204,$R24)="調整中"),"仮",INDEX('01_予約入力'!$C$5:$C$204,$R24)),""))))</f>
        <v/>
      </c>
      <c r="AA24" s="44">
        <f>IF($A24="","",IF($V24&gt;0,IF(OR(INDEX('01_予約入力'!$N$5:$N$204,$V24)="仮予約",INDEX('01_予約入力'!$N$5:$N$204,$V24)="調整中"),"仮",INDEX('01_予約入力'!$C$5:$C$204,$V24)),IF($W24&gt;0,IF(OR(INDEX('01_予約入力'!$N$5:$N$204,$W24)="仮予約",INDEX('01_予約入力'!$N$5:$N$204,$W24)="調整中"),"仮",INDEX('01_予約入力'!$C$5:$C$204,$W24)),IF($U24&gt;0,IF(OR(INDEX('01_予約入力'!$N$5:$N$204,$U24)="仮予約",INDEX('01_予約入力'!$N$5:$N$204,$U24)="調整中"),"仮",INDEX('01_予約入力'!$C$5:$C$204,$U24)),""))))</f>
        <v/>
      </c>
      <c r="AB24" s="44">
        <f>IF($A24="",0,SUMPRODUCT(('01_予約入力'!$G$5:$G$204&lt;&gt;"")*('01_予約入力'!$N$5:$N$204&lt;&gt;"キャンセル")*('01_予約入力'!$G$5:$G$204&lt;$A24)*('01_予約入力'!$J$5:$J$204&gt;=$A24)))</f>
        <v/>
      </c>
      <c r="AC24" s="44">
        <f>IF($A24="",0,SUMPRODUCT(('01_予約入力'!$G$5:$G$204&lt;&gt;"")*('01_予約入力'!$N$5:$N$204&lt;&gt;"キャンセル")*((('01_予約入力'!$G$5:$G$204&lt;$A24)*('01_予約入力'!$J$5:$J$204&gt;$A24))+(('01_予約入力'!$G$5:$G$204=$A24)*('01_予約入力'!$J$5:$J$204=$A24)))))</f>
        <v/>
      </c>
      <c r="AD24" s="44">
        <f>IF($A24="",0,SUMPRODUCT(('01_予約入力'!$G$5:$G$204&lt;&gt;"")*('01_予約入力'!$N$5:$N$204&lt;&gt;"キャンセル")*('01_予約入力'!$G$5:$G$204&lt;=$A24)*('01_予約入力'!$J$5:$J$204&gt;$A24)))</f>
        <v/>
      </c>
      <c r="AE24" s="44">
        <f>IF($A24="",0,IFERROR(MATCH($A24,'02_カレンダー'!$B$59:$B$78,0),0))</f>
        <v/>
      </c>
      <c r="AF24" s="44">
        <f>IF($A24="",0,IF($AE24=0,$AB24,IF(INDEX('02_カレンダー'!$C$59:$C$78,$AE24)="",$AB24,INDEX('02_カレンダー'!$C$59:$C$78,$AE24))))</f>
        <v/>
      </c>
      <c r="AG24" s="44">
        <f>IF($A24="",0,IF($AE24=0,$AC24,IF(INDEX('02_カレンダー'!$D$59:$D$78,$AE24)="",$AC24,INDEX('02_カレンダー'!$D$59:$D$78,$AE24))))</f>
        <v/>
      </c>
      <c r="AH24" s="44">
        <f>IF($A24="",0,IF($AE24=0,$AD24,IF(INDEX('02_カレンダー'!$E$59:$E$78,$AE24)="",$AD24,INDEX('02_カレンダー'!$E$59:$E$78,$AE24))))</f>
        <v/>
      </c>
      <c r="AI24" s="44">
        <f>IF($A24="","",IF(AND($AF24=0,$AG24=0,$AH24=0),"","朝"&amp;$AF24&amp;" 昼"&amp;$AG24&amp;" 夕"&amp;$AH24&amp;IF($AJ24=0,"","　※調整")))</f>
        <v/>
      </c>
      <c r="AJ24" s="44">
        <f>IF(OR($A24="",$AE24=0),0,IF(OR(INDEX('02_カレンダー'!$C$59:$C$78,$AE24)&lt;&gt;"",INDEX('02_カレンダー'!$D$59:$D$78,$AE24)&lt;&gt;"",INDEX('02_カレンダー'!$E$59:$E$78,$AE24)&lt;&gt;""),1,0))</f>
        <v/>
      </c>
    </row>
    <row r="25">
      <c r="A25" s="37">
        <f>IF(MONTH('02_カレンダー'!$B$4+18)&lt;&gt;MONTH('02_カレンダー'!$B$4),"",'02_カレンダー'!$B$4+18)</f>
        <v/>
      </c>
      <c r="B25" s="44">
        <f>IF($A25="","",MID("日月火水木金土",WEEKDAY($A25),1))</f>
        <v/>
      </c>
      <c r="C25" s="48">
        <f>IF(OR($A25="",C$6=""),"",IF($L25=0,"",INDEX('01_予約入力'!$B$5:$B$204,$L25)&amp;" ◀"&amp;IF(('02_カレンダー'!$B$5="○"),INDEX('01_予約入力'!$AB$5:$AB$204,$L25),""))&amp;IF(AND($L25&gt;0,OR($M25&gt;0,$N25&gt;0)),"  ","")&amp;IF($M25=0,"",IF(INDEX('01_予約入力'!$G$5:$G$204,$M25)=$A25,"▶"&amp;IF(('02_カレンダー'!$B$5="○"),INDEX('01_予約入力'!$AA$5:$AA$204,$M25)&amp;" "," "),"")&amp;INDEX('01_予約入力'!$B$5:$B$204,$M25))&amp;IF(AND($M25&gt;0,$N25&gt;0),"  ","")&amp;IF($N25=0,"","◆ "&amp;INDEX('01_予約入力'!$B$5:$B$204,$N25)&amp;IF(('02_カレンダー'!$B$5="○")," "&amp;INDEX('01_予約入力'!$AA$5:$AA$204,$N25)&amp;"-"&amp;INDEX('01_予約入力'!$AB$5:$AB$204,$N25),"")))</f>
        <v/>
      </c>
      <c r="D25" s="48">
        <f>IF(OR($A25="",D$6=""),"",IF($O25=0,"",INDEX('01_予約入力'!$B$5:$B$204,$O25)&amp;" ◀"&amp;IF(('02_カレンダー'!$B$5="○"),INDEX('01_予約入力'!$AB$5:$AB$204,$O25),""))&amp;IF(AND($O25&gt;0,OR($P25&gt;0,$Q25&gt;0)),"  ","")&amp;IF($P25=0,"",IF(INDEX('01_予約入力'!$G$5:$G$204,$P25)=$A25,"▶"&amp;IF(('02_カレンダー'!$B$5="○"),INDEX('01_予約入力'!$AA$5:$AA$204,$P25)&amp;" "," "),"")&amp;INDEX('01_予約入力'!$B$5:$B$204,$P25))&amp;IF(AND($P25&gt;0,$Q25&gt;0),"  ","")&amp;IF($Q25=0,"","◆ "&amp;INDEX('01_予約入力'!$B$5:$B$204,$Q25)&amp;IF(('02_カレンダー'!$B$5="○")," "&amp;INDEX('01_予約入力'!$AA$5:$AA$204,$Q25)&amp;"-"&amp;INDEX('01_予約入力'!$AB$5:$AB$204,$Q25),"")))</f>
        <v/>
      </c>
      <c r="E25" s="48">
        <f>IF(OR($A25="",E$6=""),"",IF($R25=0,"",INDEX('01_予約入力'!$B$5:$B$204,$R25)&amp;" ◀"&amp;IF(('02_カレンダー'!$B$5="○"),INDEX('01_予約入力'!$AB$5:$AB$204,$R25),""))&amp;IF(AND($R25&gt;0,OR($S25&gt;0,$T25&gt;0)),"  ","")&amp;IF($S25=0,"",IF(INDEX('01_予約入力'!$G$5:$G$204,$S25)=$A25,"▶"&amp;IF(('02_カレンダー'!$B$5="○"),INDEX('01_予約入力'!$AA$5:$AA$204,$S25)&amp;" "," "),"")&amp;INDEX('01_予約入力'!$B$5:$B$204,$S25))&amp;IF(AND($S25&gt;0,$T25&gt;0),"  ","")&amp;IF($T25=0,"","◆ "&amp;INDEX('01_予約入力'!$B$5:$B$204,$T25)&amp;IF(('02_カレンダー'!$B$5="○")," "&amp;INDEX('01_予約入力'!$AA$5:$AA$204,$T25)&amp;"-"&amp;INDEX('01_予約入力'!$AB$5:$AB$204,$T25),"")))</f>
        <v/>
      </c>
      <c r="F25" s="48">
        <f>IF(OR($A25="",F$6=""),"",IF($U25=0,"",INDEX('01_予約入力'!$B$5:$B$204,$U25)&amp;" ◀"&amp;IF(('02_カレンダー'!$B$5="○"),INDEX('01_予約入力'!$AB$5:$AB$204,$U25),""))&amp;IF(AND($U25&gt;0,OR($V25&gt;0,$W25&gt;0)),"  ","")&amp;IF($V25=0,"",IF(INDEX('01_予約入力'!$G$5:$G$204,$V25)=$A25,"▶"&amp;IF(('02_カレンダー'!$B$5="○"),INDEX('01_予約入力'!$AA$5:$AA$204,$V25)&amp;" "," "),"")&amp;INDEX('01_予約入力'!$B$5:$B$204,$V25))&amp;IF(AND($V25&gt;0,$W25&gt;0),"  ","")&amp;IF($W25=0,"","◆ "&amp;INDEX('01_予約入力'!$B$5:$B$204,$W25)&amp;IF(('02_カレンダー'!$B$5="○")," "&amp;INDEX('01_予約入力'!$AA$5:$AA$204,$W25)&amp;"-"&amp;INDEX('01_予約入力'!$AB$5:$AB$204,$W25),"")))</f>
        <v/>
      </c>
      <c r="G25" s="44">
        <f>IF($A25="","",SUMPRODUCT(('01_予約入力'!$G$5:$G$204&lt;&gt;"")*('01_予約入力'!$N$5:$N$204&lt;&gt;"キャンセル")*('01_予約入力'!$G$5:$G$204&lt;=$A25)*('01_予約入力'!$J$5:$J$204&gt;$A25)))</f>
        <v/>
      </c>
      <c r="H25" s="44">
        <f>IF($A25="","",'M_施設設定'!$B$6-$G25)</f>
        <v/>
      </c>
      <c r="I25" s="44">
        <f>IF($A25="","",SUMPRODUCT((('01_予約入力'!$N$5:$N$204="仮予約")+('01_予約入力'!$N$5:$N$204="調整中"))*('01_予約入力'!$G$5:$G$204&lt;&gt;"")*('01_予約入力'!$G$5:$G$204&lt;=$A25)*('01_予約入力'!$J$5:$J$204&gt;$A25)))</f>
        <v/>
      </c>
      <c r="J25" s="44">
        <f>IF($A25="","",IF($I25&gt;0,"仮",IF($H25&lt;=0,"×",IF($H25&lt;'M_施設設定'!$B$6,"△","○"))))</f>
        <v/>
      </c>
      <c r="K25" s="44">
        <f>IF($A25="","",SUMPRODUCT(('01_予約入力'!$G$5:$G$204&lt;&gt;"")*('01_予約入力'!$N$5:$N$204&lt;&gt;"キャンセル")*('01_予約入力'!$G$5:$G$204=$A25)*('01_予約入力'!$J$5:$J$204=$A25)))</f>
        <v/>
      </c>
      <c r="L25" s="44">
        <f>IF(OR($A25="",C$6=""),0,SUMPRODUCT(MAX(('01_予約入力'!$D$5:$D$204=C$6)*('01_予約入力'!$N$5:$N$204&lt;&gt;"キャンセル")*('01_予約入力'!$G$5:$G$204&lt;&gt;"")*('01_予約入力'!$J$5:$J$204=$A25)*('01_予約入力'!$G$5:$G$204&lt;$A25)*(ROW('01_予約入力'!$G$5:$G$204)-4))))</f>
        <v/>
      </c>
      <c r="M25" s="44">
        <f>IF(OR($A25="",C$6=""),0,SUMPRODUCT(MAX(('01_予約入力'!$D$5:$D$204=C$6)*('01_予約入力'!$N$5:$N$204&lt;&gt;"キャンセル")*('01_予約入力'!$G$5:$G$204&lt;&gt;"")*('01_予約入力'!$G$5:$G$204&lt;=$A25)*('01_予約入力'!$J$5:$J$204&gt;$A25)*(ROW('01_予約入力'!$G$5:$G$204)-4))))</f>
        <v/>
      </c>
      <c r="N25" s="44">
        <f>IF(OR($A25="",C$6=""),0,SUMPRODUCT(MAX(('01_予約入力'!$D$5:$D$204=C$6)*('01_予約入力'!$N$5:$N$204&lt;&gt;"キャンセル")*('01_予約入力'!$G$5:$G$204&lt;&gt;"")*('01_予約入力'!$G$5:$G$204=$A25)*('01_予約入力'!$J$5:$J$204=$A25)*(ROW('01_予約入力'!$G$5:$G$204)-4))))</f>
        <v/>
      </c>
      <c r="O25" s="44">
        <f>IF(OR($A25="",D$6=""),0,SUMPRODUCT(MAX(('01_予約入力'!$D$5:$D$204=D$6)*('01_予約入力'!$N$5:$N$204&lt;&gt;"キャンセル")*('01_予約入力'!$G$5:$G$204&lt;&gt;"")*('01_予約入力'!$J$5:$J$204=$A25)*('01_予約入力'!$G$5:$G$204&lt;$A25)*(ROW('01_予約入力'!$G$5:$G$204)-4))))</f>
        <v/>
      </c>
      <c r="P25" s="44">
        <f>IF(OR($A25="",D$6=""),0,SUMPRODUCT(MAX(('01_予約入力'!$D$5:$D$204=D$6)*('01_予約入力'!$N$5:$N$204&lt;&gt;"キャンセル")*('01_予約入力'!$G$5:$G$204&lt;&gt;"")*('01_予約入力'!$G$5:$G$204&lt;=$A25)*('01_予約入力'!$J$5:$J$204&gt;$A25)*(ROW('01_予約入力'!$G$5:$G$204)-4))))</f>
        <v/>
      </c>
      <c r="Q25" s="44">
        <f>IF(OR($A25="",D$6=""),0,SUMPRODUCT(MAX(('01_予約入力'!$D$5:$D$204=D$6)*('01_予約入力'!$N$5:$N$204&lt;&gt;"キャンセル")*('01_予約入力'!$G$5:$G$204&lt;&gt;"")*('01_予約入力'!$G$5:$G$204=$A25)*('01_予約入力'!$J$5:$J$204=$A25)*(ROW('01_予約入力'!$G$5:$G$204)-4))))</f>
        <v/>
      </c>
      <c r="R25" s="44">
        <f>IF(OR($A25="",E$6=""),0,SUMPRODUCT(MAX(('01_予約入力'!$D$5:$D$204=E$6)*('01_予約入力'!$N$5:$N$204&lt;&gt;"キャンセル")*('01_予約入力'!$G$5:$G$204&lt;&gt;"")*('01_予約入力'!$J$5:$J$204=$A25)*('01_予約入力'!$G$5:$G$204&lt;$A25)*(ROW('01_予約入力'!$G$5:$G$204)-4))))</f>
        <v/>
      </c>
      <c r="S25" s="44">
        <f>IF(OR($A25="",E$6=""),0,SUMPRODUCT(MAX(('01_予約入力'!$D$5:$D$204=E$6)*('01_予約入力'!$N$5:$N$204&lt;&gt;"キャンセル")*('01_予約入力'!$G$5:$G$204&lt;&gt;"")*('01_予約入力'!$G$5:$G$204&lt;=$A25)*('01_予約入力'!$J$5:$J$204&gt;$A25)*(ROW('01_予約入力'!$G$5:$G$204)-4))))</f>
        <v/>
      </c>
      <c r="T25" s="44">
        <f>IF(OR($A25="",E$6=""),0,SUMPRODUCT(MAX(('01_予約入力'!$D$5:$D$204=E$6)*('01_予約入力'!$N$5:$N$204&lt;&gt;"キャンセル")*('01_予約入力'!$G$5:$G$204&lt;&gt;"")*('01_予約入力'!$G$5:$G$204=$A25)*('01_予約入力'!$J$5:$J$204=$A25)*(ROW('01_予約入力'!$G$5:$G$204)-4))))</f>
        <v/>
      </c>
      <c r="U25" s="44">
        <f>IF(OR($A25="",F$6=""),0,SUMPRODUCT(MAX(('01_予約入力'!$D$5:$D$204=F$6)*('01_予約入力'!$N$5:$N$204&lt;&gt;"キャンセル")*('01_予約入力'!$G$5:$G$204&lt;&gt;"")*('01_予約入力'!$J$5:$J$204=$A25)*('01_予約入力'!$G$5:$G$204&lt;$A25)*(ROW('01_予約入力'!$G$5:$G$204)-4))))</f>
        <v/>
      </c>
      <c r="V25" s="44">
        <f>IF(OR($A25="",F$6=""),0,SUMPRODUCT(MAX(('01_予約入力'!$D$5:$D$204=F$6)*('01_予約入力'!$N$5:$N$204&lt;&gt;"キャンセル")*('01_予約入力'!$G$5:$G$204&lt;&gt;"")*('01_予約入力'!$G$5:$G$204&lt;=$A25)*('01_予約入力'!$J$5:$J$204&gt;$A25)*(ROW('01_予約入力'!$G$5:$G$204)-4))))</f>
        <v/>
      </c>
      <c r="W25" s="44">
        <f>IF(OR($A25="",F$6=""),0,SUMPRODUCT(MAX(('01_予約入力'!$D$5:$D$204=F$6)*('01_予約入力'!$N$5:$N$204&lt;&gt;"キャンセル")*('01_予約入力'!$G$5:$G$204&lt;&gt;"")*('01_予約入力'!$G$5:$G$204=$A25)*('01_予約入力'!$J$5:$J$204=$A25)*(ROW('01_予約入力'!$G$5:$G$204)-4))))</f>
        <v/>
      </c>
      <c r="X25" s="44">
        <f>IF($A25="","",IF($M25&gt;0,IF(OR(INDEX('01_予約入力'!$N$5:$N$204,$M25)="仮予約",INDEX('01_予約入力'!$N$5:$N$204,$M25)="調整中"),"仮",INDEX('01_予約入力'!$C$5:$C$204,$M25)),IF($N25&gt;0,IF(OR(INDEX('01_予約入力'!$N$5:$N$204,$N25)="仮予約",INDEX('01_予約入力'!$N$5:$N$204,$N25)="調整中"),"仮",INDEX('01_予約入力'!$C$5:$C$204,$N25)),IF($L25&gt;0,IF(OR(INDEX('01_予約入力'!$N$5:$N$204,$L25)="仮予約",INDEX('01_予約入力'!$N$5:$N$204,$L25)="調整中"),"仮",INDEX('01_予約入力'!$C$5:$C$204,$L25)),""))))</f>
        <v/>
      </c>
      <c r="Y25" s="44">
        <f>IF($A25="","",IF($P25&gt;0,IF(OR(INDEX('01_予約入力'!$N$5:$N$204,$P25)="仮予約",INDEX('01_予約入力'!$N$5:$N$204,$P25)="調整中"),"仮",INDEX('01_予約入力'!$C$5:$C$204,$P25)),IF($Q25&gt;0,IF(OR(INDEX('01_予約入力'!$N$5:$N$204,$Q25)="仮予約",INDEX('01_予約入力'!$N$5:$N$204,$Q25)="調整中"),"仮",INDEX('01_予約入力'!$C$5:$C$204,$Q25)),IF($O25&gt;0,IF(OR(INDEX('01_予約入力'!$N$5:$N$204,$O25)="仮予約",INDEX('01_予約入力'!$N$5:$N$204,$O25)="調整中"),"仮",INDEX('01_予約入力'!$C$5:$C$204,$O25)),""))))</f>
        <v/>
      </c>
      <c r="Z25" s="44">
        <f>IF($A25="","",IF($S25&gt;0,IF(OR(INDEX('01_予約入力'!$N$5:$N$204,$S25)="仮予約",INDEX('01_予約入力'!$N$5:$N$204,$S25)="調整中"),"仮",INDEX('01_予約入力'!$C$5:$C$204,$S25)),IF($T25&gt;0,IF(OR(INDEX('01_予約入力'!$N$5:$N$204,$T25)="仮予約",INDEX('01_予約入力'!$N$5:$N$204,$T25)="調整中"),"仮",INDEX('01_予約入力'!$C$5:$C$204,$T25)),IF($R25&gt;0,IF(OR(INDEX('01_予約入力'!$N$5:$N$204,$R25)="仮予約",INDEX('01_予約入力'!$N$5:$N$204,$R25)="調整中"),"仮",INDEX('01_予約入力'!$C$5:$C$204,$R25)),""))))</f>
        <v/>
      </c>
      <c r="AA25" s="44">
        <f>IF($A25="","",IF($V25&gt;0,IF(OR(INDEX('01_予約入力'!$N$5:$N$204,$V25)="仮予約",INDEX('01_予約入力'!$N$5:$N$204,$V25)="調整中"),"仮",INDEX('01_予約入力'!$C$5:$C$204,$V25)),IF($W25&gt;0,IF(OR(INDEX('01_予約入力'!$N$5:$N$204,$W25)="仮予約",INDEX('01_予約入力'!$N$5:$N$204,$W25)="調整中"),"仮",INDEX('01_予約入力'!$C$5:$C$204,$W25)),IF($U25&gt;0,IF(OR(INDEX('01_予約入力'!$N$5:$N$204,$U25)="仮予約",INDEX('01_予約入力'!$N$5:$N$204,$U25)="調整中"),"仮",INDEX('01_予約入力'!$C$5:$C$204,$U25)),""))))</f>
        <v/>
      </c>
      <c r="AB25" s="44">
        <f>IF($A25="",0,SUMPRODUCT(('01_予約入力'!$G$5:$G$204&lt;&gt;"")*('01_予約入力'!$N$5:$N$204&lt;&gt;"キャンセル")*('01_予約入力'!$G$5:$G$204&lt;$A25)*('01_予約入力'!$J$5:$J$204&gt;=$A25)))</f>
        <v/>
      </c>
      <c r="AC25" s="44">
        <f>IF($A25="",0,SUMPRODUCT(('01_予約入力'!$G$5:$G$204&lt;&gt;"")*('01_予約入力'!$N$5:$N$204&lt;&gt;"キャンセル")*((('01_予約入力'!$G$5:$G$204&lt;$A25)*('01_予約入力'!$J$5:$J$204&gt;$A25))+(('01_予約入力'!$G$5:$G$204=$A25)*('01_予約入力'!$J$5:$J$204=$A25)))))</f>
        <v/>
      </c>
      <c r="AD25" s="44">
        <f>IF($A25="",0,SUMPRODUCT(('01_予約入力'!$G$5:$G$204&lt;&gt;"")*('01_予約入力'!$N$5:$N$204&lt;&gt;"キャンセル")*('01_予約入力'!$G$5:$G$204&lt;=$A25)*('01_予約入力'!$J$5:$J$204&gt;$A25)))</f>
        <v/>
      </c>
      <c r="AE25" s="44">
        <f>IF($A25="",0,IFERROR(MATCH($A25,'02_カレンダー'!$B$59:$B$78,0),0))</f>
        <v/>
      </c>
      <c r="AF25" s="44">
        <f>IF($A25="",0,IF($AE25=0,$AB25,IF(INDEX('02_カレンダー'!$C$59:$C$78,$AE25)="",$AB25,INDEX('02_カレンダー'!$C$59:$C$78,$AE25))))</f>
        <v/>
      </c>
      <c r="AG25" s="44">
        <f>IF($A25="",0,IF($AE25=0,$AC25,IF(INDEX('02_カレンダー'!$D$59:$D$78,$AE25)="",$AC25,INDEX('02_カレンダー'!$D$59:$D$78,$AE25))))</f>
        <v/>
      </c>
      <c r="AH25" s="44">
        <f>IF($A25="",0,IF($AE25=0,$AD25,IF(INDEX('02_カレンダー'!$E$59:$E$78,$AE25)="",$AD25,INDEX('02_カレンダー'!$E$59:$E$78,$AE25))))</f>
        <v/>
      </c>
      <c r="AI25" s="44">
        <f>IF($A25="","",IF(AND($AF25=0,$AG25=0,$AH25=0),"","朝"&amp;$AF25&amp;" 昼"&amp;$AG25&amp;" 夕"&amp;$AH25&amp;IF($AJ25=0,"","　※調整")))</f>
        <v/>
      </c>
      <c r="AJ25" s="44">
        <f>IF(OR($A25="",$AE25=0),0,IF(OR(INDEX('02_カレンダー'!$C$59:$C$78,$AE25)&lt;&gt;"",INDEX('02_カレンダー'!$D$59:$D$78,$AE25)&lt;&gt;"",INDEX('02_カレンダー'!$E$59:$E$78,$AE25)&lt;&gt;""),1,0))</f>
        <v/>
      </c>
    </row>
    <row r="26">
      <c r="A26" s="37">
        <f>IF(MONTH('02_カレンダー'!$B$4+19)&lt;&gt;MONTH('02_カレンダー'!$B$4),"",'02_カレンダー'!$B$4+19)</f>
        <v/>
      </c>
      <c r="B26" s="44">
        <f>IF($A26="","",MID("日月火水木金土",WEEKDAY($A26),1))</f>
        <v/>
      </c>
      <c r="C26" s="48">
        <f>IF(OR($A26="",C$6=""),"",IF($L26=0,"",INDEX('01_予約入力'!$B$5:$B$204,$L26)&amp;" ◀"&amp;IF(('02_カレンダー'!$B$5="○"),INDEX('01_予約入力'!$AB$5:$AB$204,$L26),""))&amp;IF(AND($L26&gt;0,OR($M26&gt;0,$N26&gt;0)),"  ","")&amp;IF($M26=0,"",IF(INDEX('01_予約入力'!$G$5:$G$204,$M26)=$A26,"▶"&amp;IF(('02_カレンダー'!$B$5="○"),INDEX('01_予約入力'!$AA$5:$AA$204,$M26)&amp;" "," "),"")&amp;INDEX('01_予約入力'!$B$5:$B$204,$M26))&amp;IF(AND($M26&gt;0,$N26&gt;0),"  ","")&amp;IF($N26=0,"","◆ "&amp;INDEX('01_予約入力'!$B$5:$B$204,$N26)&amp;IF(('02_カレンダー'!$B$5="○")," "&amp;INDEX('01_予約入力'!$AA$5:$AA$204,$N26)&amp;"-"&amp;INDEX('01_予約入力'!$AB$5:$AB$204,$N26),"")))</f>
        <v/>
      </c>
      <c r="D26" s="48">
        <f>IF(OR($A26="",D$6=""),"",IF($O26=0,"",INDEX('01_予約入力'!$B$5:$B$204,$O26)&amp;" ◀"&amp;IF(('02_カレンダー'!$B$5="○"),INDEX('01_予約入力'!$AB$5:$AB$204,$O26),""))&amp;IF(AND($O26&gt;0,OR($P26&gt;0,$Q26&gt;0)),"  ","")&amp;IF($P26=0,"",IF(INDEX('01_予約入力'!$G$5:$G$204,$P26)=$A26,"▶"&amp;IF(('02_カレンダー'!$B$5="○"),INDEX('01_予約入力'!$AA$5:$AA$204,$P26)&amp;" "," "),"")&amp;INDEX('01_予約入力'!$B$5:$B$204,$P26))&amp;IF(AND($P26&gt;0,$Q26&gt;0),"  ","")&amp;IF($Q26=0,"","◆ "&amp;INDEX('01_予約入力'!$B$5:$B$204,$Q26)&amp;IF(('02_カレンダー'!$B$5="○")," "&amp;INDEX('01_予約入力'!$AA$5:$AA$204,$Q26)&amp;"-"&amp;INDEX('01_予約入力'!$AB$5:$AB$204,$Q26),"")))</f>
        <v/>
      </c>
      <c r="E26" s="48">
        <f>IF(OR($A26="",E$6=""),"",IF($R26=0,"",INDEX('01_予約入力'!$B$5:$B$204,$R26)&amp;" ◀"&amp;IF(('02_カレンダー'!$B$5="○"),INDEX('01_予約入力'!$AB$5:$AB$204,$R26),""))&amp;IF(AND($R26&gt;0,OR($S26&gt;0,$T26&gt;0)),"  ","")&amp;IF($S26=0,"",IF(INDEX('01_予約入力'!$G$5:$G$204,$S26)=$A26,"▶"&amp;IF(('02_カレンダー'!$B$5="○"),INDEX('01_予約入力'!$AA$5:$AA$204,$S26)&amp;" "," "),"")&amp;INDEX('01_予約入力'!$B$5:$B$204,$S26))&amp;IF(AND($S26&gt;0,$T26&gt;0),"  ","")&amp;IF($T26=0,"","◆ "&amp;INDEX('01_予約入力'!$B$5:$B$204,$T26)&amp;IF(('02_カレンダー'!$B$5="○")," "&amp;INDEX('01_予約入力'!$AA$5:$AA$204,$T26)&amp;"-"&amp;INDEX('01_予約入力'!$AB$5:$AB$204,$T26),"")))</f>
        <v/>
      </c>
      <c r="F26" s="48">
        <f>IF(OR($A26="",F$6=""),"",IF($U26=0,"",INDEX('01_予約入力'!$B$5:$B$204,$U26)&amp;" ◀"&amp;IF(('02_カレンダー'!$B$5="○"),INDEX('01_予約入力'!$AB$5:$AB$204,$U26),""))&amp;IF(AND($U26&gt;0,OR($V26&gt;0,$W26&gt;0)),"  ","")&amp;IF($V26=0,"",IF(INDEX('01_予約入力'!$G$5:$G$204,$V26)=$A26,"▶"&amp;IF(('02_カレンダー'!$B$5="○"),INDEX('01_予約入力'!$AA$5:$AA$204,$V26)&amp;" "," "),"")&amp;INDEX('01_予約入力'!$B$5:$B$204,$V26))&amp;IF(AND($V26&gt;0,$W26&gt;0),"  ","")&amp;IF($W26=0,"","◆ "&amp;INDEX('01_予約入力'!$B$5:$B$204,$W26)&amp;IF(('02_カレンダー'!$B$5="○")," "&amp;INDEX('01_予約入力'!$AA$5:$AA$204,$W26)&amp;"-"&amp;INDEX('01_予約入力'!$AB$5:$AB$204,$W26),"")))</f>
        <v/>
      </c>
      <c r="G26" s="44">
        <f>IF($A26="","",SUMPRODUCT(('01_予約入力'!$G$5:$G$204&lt;&gt;"")*('01_予約入力'!$N$5:$N$204&lt;&gt;"キャンセル")*('01_予約入力'!$G$5:$G$204&lt;=$A26)*('01_予約入力'!$J$5:$J$204&gt;$A26)))</f>
        <v/>
      </c>
      <c r="H26" s="44">
        <f>IF($A26="","",'M_施設設定'!$B$6-$G26)</f>
        <v/>
      </c>
      <c r="I26" s="44">
        <f>IF($A26="","",SUMPRODUCT((('01_予約入力'!$N$5:$N$204="仮予約")+('01_予約入力'!$N$5:$N$204="調整中"))*('01_予約入力'!$G$5:$G$204&lt;&gt;"")*('01_予約入力'!$G$5:$G$204&lt;=$A26)*('01_予約入力'!$J$5:$J$204&gt;$A26)))</f>
        <v/>
      </c>
      <c r="J26" s="44">
        <f>IF($A26="","",IF($I26&gt;0,"仮",IF($H26&lt;=0,"×",IF($H26&lt;'M_施設設定'!$B$6,"△","○"))))</f>
        <v/>
      </c>
      <c r="K26" s="44">
        <f>IF($A26="","",SUMPRODUCT(('01_予約入力'!$G$5:$G$204&lt;&gt;"")*('01_予約入力'!$N$5:$N$204&lt;&gt;"キャンセル")*('01_予約入力'!$G$5:$G$204=$A26)*('01_予約入力'!$J$5:$J$204=$A26)))</f>
        <v/>
      </c>
      <c r="L26" s="44">
        <f>IF(OR($A26="",C$6=""),0,SUMPRODUCT(MAX(('01_予約入力'!$D$5:$D$204=C$6)*('01_予約入力'!$N$5:$N$204&lt;&gt;"キャンセル")*('01_予約入力'!$G$5:$G$204&lt;&gt;"")*('01_予約入力'!$J$5:$J$204=$A26)*('01_予約入力'!$G$5:$G$204&lt;$A26)*(ROW('01_予約入力'!$G$5:$G$204)-4))))</f>
        <v/>
      </c>
      <c r="M26" s="44">
        <f>IF(OR($A26="",C$6=""),0,SUMPRODUCT(MAX(('01_予約入力'!$D$5:$D$204=C$6)*('01_予約入力'!$N$5:$N$204&lt;&gt;"キャンセル")*('01_予約入力'!$G$5:$G$204&lt;&gt;"")*('01_予約入力'!$G$5:$G$204&lt;=$A26)*('01_予約入力'!$J$5:$J$204&gt;$A26)*(ROW('01_予約入力'!$G$5:$G$204)-4))))</f>
        <v/>
      </c>
      <c r="N26" s="44">
        <f>IF(OR($A26="",C$6=""),0,SUMPRODUCT(MAX(('01_予約入力'!$D$5:$D$204=C$6)*('01_予約入力'!$N$5:$N$204&lt;&gt;"キャンセル")*('01_予約入力'!$G$5:$G$204&lt;&gt;"")*('01_予約入力'!$G$5:$G$204=$A26)*('01_予約入力'!$J$5:$J$204=$A26)*(ROW('01_予約入力'!$G$5:$G$204)-4))))</f>
        <v/>
      </c>
      <c r="O26" s="44">
        <f>IF(OR($A26="",D$6=""),0,SUMPRODUCT(MAX(('01_予約入力'!$D$5:$D$204=D$6)*('01_予約入力'!$N$5:$N$204&lt;&gt;"キャンセル")*('01_予約入力'!$G$5:$G$204&lt;&gt;"")*('01_予約入力'!$J$5:$J$204=$A26)*('01_予約入力'!$G$5:$G$204&lt;$A26)*(ROW('01_予約入力'!$G$5:$G$204)-4))))</f>
        <v/>
      </c>
      <c r="P26" s="44">
        <f>IF(OR($A26="",D$6=""),0,SUMPRODUCT(MAX(('01_予約入力'!$D$5:$D$204=D$6)*('01_予約入力'!$N$5:$N$204&lt;&gt;"キャンセル")*('01_予約入力'!$G$5:$G$204&lt;&gt;"")*('01_予約入力'!$G$5:$G$204&lt;=$A26)*('01_予約入力'!$J$5:$J$204&gt;$A26)*(ROW('01_予約入力'!$G$5:$G$204)-4))))</f>
        <v/>
      </c>
      <c r="Q26" s="44">
        <f>IF(OR($A26="",D$6=""),0,SUMPRODUCT(MAX(('01_予約入力'!$D$5:$D$204=D$6)*('01_予約入力'!$N$5:$N$204&lt;&gt;"キャンセル")*('01_予約入力'!$G$5:$G$204&lt;&gt;"")*('01_予約入力'!$G$5:$G$204=$A26)*('01_予約入力'!$J$5:$J$204=$A26)*(ROW('01_予約入力'!$G$5:$G$204)-4))))</f>
        <v/>
      </c>
      <c r="R26" s="44">
        <f>IF(OR($A26="",E$6=""),0,SUMPRODUCT(MAX(('01_予約入力'!$D$5:$D$204=E$6)*('01_予約入力'!$N$5:$N$204&lt;&gt;"キャンセル")*('01_予約入力'!$G$5:$G$204&lt;&gt;"")*('01_予約入力'!$J$5:$J$204=$A26)*('01_予約入力'!$G$5:$G$204&lt;$A26)*(ROW('01_予約入力'!$G$5:$G$204)-4))))</f>
        <v/>
      </c>
      <c r="S26" s="44">
        <f>IF(OR($A26="",E$6=""),0,SUMPRODUCT(MAX(('01_予約入力'!$D$5:$D$204=E$6)*('01_予約入力'!$N$5:$N$204&lt;&gt;"キャンセル")*('01_予約入力'!$G$5:$G$204&lt;&gt;"")*('01_予約入力'!$G$5:$G$204&lt;=$A26)*('01_予約入力'!$J$5:$J$204&gt;$A26)*(ROW('01_予約入力'!$G$5:$G$204)-4))))</f>
        <v/>
      </c>
      <c r="T26" s="44">
        <f>IF(OR($A26="",E$6=""),0,SUMPRODUCT(MAX(('01_予約入力'!$D$5:$D$204=E$6)*('01_予約入力'!$N$5:$N$204&lt;&gt;"キャンセル")*('01_予約入力'!$G$5:$G$204&lt;&gt;"")*('01_予約入力'!$G$5:$G$204=$A26)*('01_予約入力'!$J$5:$J$204=$A26)*(ROW('01_予約入力'!$G$5:$G$204)-4))))</f>
        <v/>
      </c>
      <c r="U26" s="44">
        <f>IF(OR($A26="",F$6=""),0,SUMPRODUCT(MAX(('01_予約入力'!$D$5:$D$204=F$6)*('01_予約入力'!$N$5:$N$204&lt;&gt;"キャンセル")*('01_予約入力'!$G$5:$G$204&lt;&gt;"")*('01_予約入力'!$J$5:$J$204=$A26)*('01_予約入力'!$G$5:$G$204&lt;$A26)*(ROW('01_予約入力'!$G$5:$G$204)-4))))</f>
        <v/>
      </c>
      <c r="V26" s="44">
        <f>IF(OR($A26="",F$6=""),0,SUMPRODUCT(MAX(('01_予約入力'!$D$5:$D$204=F$6)*('01_予約入力'!$N$5:$N$204&lt;&gt;"キャンセル")*('01_予約入力'!$G$5:$G$204&lt;&gt;"")*('01_予約入力'!$G$5:$G$204&lt;=$A26)*('01_予約入力'!$J$5:$J$204&gt;$A26)*(ROW('01_予約入力'!$G$5:$G$204)-4))))</f>
        <v/>
      </c>
      <c r="W26" s="44">
        <f>IF(OR($A26="",F$6=""),0,SUMPRODUCT(MAX(('01_予約入力'!$D$5:$D$204=F$6)*('01_予約入力'!$N$5:$N$204&lt;&gt;"キャンセル")*('01_予約入力'!$G$5:$G$204&lt;&gt;"")*('01_予約入力'!$G$5:$G$204=$A26)*('01_予約入力'!$J$5:$J$204=$A26)*(ROW('01_予約入力'!$G$5:$G$204)-4))))</f>
        <v/>
      </c>
      <c r="X26" s="44">
        <f>IF($A26="","",IF($M26&gt;0,IF(OR(INDEX('01_予約入力'!$N$5:$N$204,$M26)="仮予約",INDEX('01_予約入力'!$N$5:$N$204,$M26)="調整中"),"仮",INDEX('01_予約入力'!$C$5:$C$204,$M26)),IF($N26&gt;0,IF(OR(INDEX('01_予約入力'!$N$5:$N$204,$N26)="仮予約",INDEX('01_予約入力'!$N$5:$N$204,$N26)="調整中"),"仮",INDEX('01_予約入力'!$C$5:$C$204,$N26)),IF($L26&gt;0,IF(OR(INDEX('01_予約入力'!$N$5:$N$204,$L26)="仮予約",INDEX('01_予約入力'!$N$5:$N$204,$L26)="調整中"),"仮",INDEX('01_予約入力'!$C$5:$C$204,$L26)),""))))</f>
        <v/>
      </c>
      <c r="Y26" s="44">
        <f>IF($A26="","",IF($P26&gt;0,IF(OR(INDEX('01_予約入力'!$N$5:$N$204,$P26)="仮予約",INDEX('01_予約入力'!$N$5:$N$204,$P26)="調整中"),"仮",INDEX('01_予約入力'!$C$5:$C$204,$P26)),IF($Q26&gt;0,IF(OR(INDEX('01_予約入力'!$N$5:$N$204,$Q26)="仮予約",INDEX('01_予約入力'!$N$5:$N$204,$Q26)="調整中"),"仮",INDEX('01_予約入力'!$C$5:$C$204,$Q26)),IF($O26&gt;0,IF(OR(INDEX('01_予約入力'!$N$5:$N$204,$O26)="仮予約",INDEX('01_予約入力'!$N$5:$N$204,$O26)="調整中"),"仮",INDEX('01_予約入力'!$C$5:$C$204,$O26)),""))))</f>
        <v/>
      </c>
      <c r="Z26" s="44">
        <f>IF($A26="","",IF($S26&gt;0,IF(OR(INDEX('01_予約入力'!$N$5:$N$204,$S26)="仮予約",INDEX('01_予約入力'!$N$5:$N$204,$S26)="調整中"),"仮",INDEX('01_予約入力'!$C$5:$C$204,$S26)),IF($T26&gt;0,IF(OR(INDEX('01_予約入力'!$N$5:$N$204,$T26)="仮予約",INDEX('01_予約入力'!$N$5:$N$204,$T26)="調整中"),"仮",INDEX('01_予約入力'!$C$5:$C$204,$T26)),IF($R26&gt;0,IF(OR(INDEX('01_予約入力'!$N$5:$N$204,$R26)="仮予約",INDEX('01_予約入力'!$N$5:$N$204,$R26)="調整中"),"仮",INDEX('01_予約入力'!$C$5:$C$204,$R26)),""))))</f>
        <v/>
      </c>
      <c r="AA26" s="44">
        <f>IF($A26="","",IF($V26&gt;0,IF(OR(INDEX('01_予約入力'!$N$5:$N$204,$V26)="仮予約",INDEX('01_予約入力'!$N$5:$N$204,$V26)="調整中"),"仮",INDEX('01_予約入力'!$C$5:$C$204,$V26)),IF($W26&gt;0,IF(OR(INDEX('01_予約入力'!$N$5:$N$204,$W26)="仮予約",INDEX('01_予約入力'!$N$5:$N$204,$W26)="調整中"),"仮",INDEX('01_予約入力'!$C$5:$C$204,$W26)),IF($U26&gt;0,IF(OR(INDEX('01_予約入力'!$N$5:$N$204,$U26)="仮予約",INDEX('01_予約入力'!$N$5:$N$204,$U26)="調整中"),"仮",INDEX('01_予約入力'!$C$5:$C$204,$U26)),""))))</f>
        <v/>
      </c>
      <c r="AB26" s="44">
        <f>IF($A26="",0,SUMPRODUCT(('01_予約入力'!$G$5:$G$204&lt;&gt;"")*('01_予約入力'!$N$5:$N$204&lt;&gt;"キャンセル")*('01_予約入力'!$G$5:$G$204&lt;$A26)*('01_予約入力'!$J$5:$J$204&gt;=$A26)))</f>
        <v/>
      </c>
      <c r="AC26" s="44">
        <f>IF($A26="",0,SUMPRODUCT(('01_予約入力'!$G$5:$G$204&lt;&gt;"")*('01_予約入力'!$N$5:$N$204&lt;&gt;"キャンセル")*((('01_予約入力'!$G$5:$G$204&lt;$A26)*('01_予約入力'!$J$5:$J$204&gt;$A26))+(('01_予約入力'!$G$5:$G$204=$A26)*('01_予約入力'!$J$5:$J$204=$A26)))))</f>
        <v/>
      </c>
      <c r="AD26" s="44">
        <f>IF($A26="",0,SUMPRODUCT(('01_予約入力'!$G$5:$G$204&lt;&gt;"")*('01_予約入力'!$N$5:$N$204&lt;&gt;"キャンセル")*('01_予約入力'!$G$5:$G$204&lt;=$A26)*('01_予約入力'!$J$5:$J$204&gt;$A26)))</f>
        <v/>
      </c>
      <c r="AE26" s="44">
        <f>IF($A26="",0,IFERROR(MATCH($A26,'02_カレンダー'!$B$59:$B$78,0),0))</f>
        <v/>
      </c>
      <c r="AF26" s="44">
        <f>IF($A26="",0,IF($AE26=0,$AB26,IF(INDEX('02_カレンダー'!$C$59:$C$78,$AE26)="",$AB26,INDEX('02_カレンダー'!$C$59:$C$78,$AE26))))</f>
        <v/>
      </c>
      <c r="AG26" s="44">
        <f>IF($A26="",0,IF($AE26=0,$AC26,IF(INDEX('02_カレンダー'!$D$59:$D$78,$AE26)="",$AC26,INDEX('02_カレンダー'!$D$59:$D$78,$AE26))))</f>
        <v/>
      </c>
      <c r="AH26" s="44">
        <f>IF($A26="",0,IF($AE26=0,$AD26,IF(INDEX('02_カレンダー'!$E$59:$E$78,$AE26)="",$AD26,INDEX('02_カレンダー'!$E$59:$E$78,$AE26))))</f>
        <v/>
      </c>
      <c r="AI26" s="44">
        <f>IF($A26="","",IF(AND($AF26=0,$AG26=0,$AH26=0),"","朝"&amp;$AF26&amp;" 昼"&amp;$AG26&amp;" 夕"&amp;$AH26&amp;IF($AJ26=0,"","　※調整")))</f>
        <v/>
      </c>
      <c r="AJ26" s="44">
        <f>IF(OR($A26="",$AE26=0),0,IF(OR(INDEX('02_カレンダー'!$C$59:$C$78,$AE26)&lt;&gt;"",INDEX('02_カレンダー'!$D$59:$D$78,$AE26)&lt;&gt;"",INDEX('02_カレンダー'!$E$59:$E$78,$AE26)&lt;&gt;""),1,0))</f>
        <v/>
      </c>
    </row>
    <row r="27">
      <c r="A27" s="37">
        <f>IF(MONTH('02_カレンダー'!$B$4+20)&lt;&gt;MONTH('02_カレンダー'!$B$4),"",'02_カレンダー'!$B$4+20)</f>
        <v/>
      </c>
      <c r="B27" s="44">
        <f>IF($A27="","",MID("日月火水木金土",WEEKDAY($A27),1))</f>
        <v/>
      </c>
      <c r="C27" s="48">
        <f>IF(OR($A27="",C$6=""),"",IF($L27=0,"",INDEX('01_予約入力'!$B$5:$B$204,$L27)&amp;" ◀"&amp;IF(('02_カレンダー'!$B$5="○"),INDEX('01_予約入力'!$AB$5:$AB$204,$L27),""))&amp;IF(AND($L27&gt;0,OR($M27&gt;0,$N27&gt;0)),"  ","")&amp;IF($M27=0,"",IF(INDEX('01_予約入力'!$G$5:$G$204,$M27)=$A27,"▶"&amp;IF(('02_カレンダー'!$B$5="○"),INDEX('01_予約入力'!$AA$5:$AA$204,$M27)&amp;" "," "),"")&amp;INDEX('01_予約入力'!$B$5:$B$204,$M27))&amp;IF(AND($M27&gt;0,$N27&gt;0),"  ","")&amp;IF($N27=0,"","◆ "&amp;INDEX('01_予約入力'!$B$5:$B$204,$N27)&amp;IF(('02_カレンダー'!$B$5="○")," "&amp;INDEX('01_予約入力'!$AA$5:$AA$204,$N27)&amp;"-"&amp;INDEX('01_予約入力'!$AB$5:$AB$204,$N27),"")))</f>
        <v/>
      </c>
      <c r="D27" s="48">
        <f>IF(OR($A27="",D$6=""),"",IF($O27=0,"",INDEX('01_予約入力'!$B$5:$B$204,$O27)&amp;" ◀"&amp;IF(('02_カレンダー'!$B$5="○"),INDEX('01_予約入力'!$AB$5:$AB$204,$O27),""))&amp;IF(AND($O27&gt;0,OR($P27&gt;0,$Q27&gt;0)),"  ","")&amp;IF($P27=0,"",IF(INDEX('01_予約入力'!$G$5:$G$204,$P27)=$A27,"▶"&amp;IF(('02_カレンダー'!$B$5="○"),INDEX('01_予約入力'!$AA$5:$AA$204,$P27)&amp;" "," "),"")&amp;INDEX('01_予約入力'!$B$5:$B$204,$P27))&amp;IF(AND($P27&gt;0,$Q27&gt;0),"  ","")&amp;IF($Q27=0,"","◆ "&amp;INDEX('01_予約入力'!$B$5:$B$204,$Q27)&amp;IF(('02_カレンダー'!$B$5="○")," "&amp;INDEX('01_予約入力'!$AA$5:$AA$204,$Q27)&amp;"-"&amp;INDEX('01_予約入力'!$AB$5:$AB$204,$Q27),"")))</f>
        <v/>
      </c>
      <c r="E27" s="48">
        <f>IF(OR($A27="",E$6=""),"",IF($R27=0,"",INDEX('01_予約入力'!$B$5:$B$204,$R27)&amp;" ◀"&amp;IF(('02_カレンダー'!$B$5="○"),INDEX('01_予約入力'!$AB$5:$AB$204,$R27),""))&amp;IF(AND($R27&gt;0,OR($S27&gt;0,$T27&gt;0)),"  ","")&amp;IF($S27=0,"",IF(INDEX('01_予約入力'!$G$5:$G$204,$S27)=$A27,"▶"&amp;IF(('02_カレンダー'!$B$5="○"),INDEX('01_予約入力'!$AA$5:$AA$204,$S27)&amp;" "," "),"")&amp;INDEX('01_予約入力'!$B$5:$B$204,$S27))&amp;IF(AND($S27&gt;0,$T27&gt;0),"  ","")&amp;IF($T27=0,"","◆ "&amp;INDEX('01_予約入力'!$B$5:$B$204,$T27)&amp;IF(('02_カレンダー'!$B$5="○")," "&amp;INDEX('01_予約入力'!$AA$5:$AA$204,$T27)&amp;"-"&amp;INDEX('01_予約入力'!$AB$5:$AB$204,$T27),"")))</f>
        <v/>
      </c>
      <c r="F27" s="48">
        <f>IF(OR($A27="",F$6=""),"",IF($U27=0,"",INDEX('01_予約入力'!$B$5:$B$204,$U27)&amp;" ◀"&amp;IF(('02_カレンダー'!$B$5="○"),INDEX('01_予約入力'!$AB$5:$AB$204,$U27),""))&amp;IF(AND($U27&gt;0,OR($V27&gt;0,$W27&gt;0)),"  ","")&amp;IF($V27=0,"",IF(INDEX('01_予約入力'!$G$5:$G$204,$V27)=$A27,"▶"&amp;IF(('02_カレンダー'!$B$5="○"),INDEX('01_予約入力'!$AA$5:$AA$204,$V27)&amp;" "," "),"")&amp;INDEX('01_予約入力'!$B$5:$B$204,$V27))&amp;IF(AND($V27&gt;0,$W27&gt;0),"  ","")&amp;IF($W27=0,"","◆ "&amp;INDEX('01_予約入力'!$B$5:$B$204,$W27)&amp;IF(('02_カレンダー'!$B$5="○")," "&amp;INDEX('01_予約入力'!$AA$5:$AA$204,$W27)&amp;"-"&amp;INDEX('01_予約入力'!$AB$5:$AB$204,$W27),"")))</f>
        <v/>
      </c>
      <c r="G27" s="44">
        <f>IF($A27="","",SUMPRODUCT(('01_予約入力'!$G$5:$G$204&lt;&gt;"")*('01_予約入力'!$N$5:$N$204&lt;&gt;"キャンセル")*('01_予約入力'!$G$5:$G$204&lt;=$A27)*('01_予約入力'!$J$5:$J$204&gt;$A27)))</f>
        <v/>
      </c>
      <c r="H27" s="44">
        <f>IF($A27="","",'M_施設設定'!$B$6-$G27)</f>
        <v/>
      </c>
      <c r="I27" s="44">
        <f>IF($A27="","",SUMPRODUCT((('01_予約入力'!$N$5:$N$204="仮予約")+('01_予約入力'!$N$5:$N$204="調整中"))*('01_予約入力'!$G$5:$G$204&lt;&gt;"")*('01_予約入力'!$G$5:$G$204&lt;=$A27)*('01_予約入力'!$J$5:$J$204&gt;$A27)))</f>
        <v/>
      </c>
      <c r="J27" s="44">
        <f>IF($A27="","",IF($I27&gt;0,"仮",IF($H27&lt;=0,"×",IF($H27&lt;'M_施設設定'!$B$6,"△","○"))))</f>
        <v/>
      </c>
      <c r="K27" s="44">
        <f>IF($A27="","",SUMPRODUCT(('01_予約入力'!$G$5:$G$204&lt;&gt;"")*('01_予約入力'!$N$5:$N$204&lt;&gt;"キャンセル")*('01_予約入力'!$G$5:$G$204=$A27)*('01_予約入力'!$J$5:$J$204=$A27)))</f>
        <v/>
      </c>
      <c r="L27" s="44">
        <f>IF(OR($A27="",C$6=""),0,SUMPRODUCT(MAX(('01_予約入力'!$D$5:$D$204=C$6)*('01_予約入力'!$N$5:$N$204&lt;&gt;"キャンセル")*('01_予約入力'!$G$5:$G$204&lt;&gt;"")*('01_予約入力'!$J$5:$J$204=$A27)*('01_予約入力'!$G$5:$G$204&lt;$A27)*(ROW('01_予約入力'!$G$5:$G$204)-4))))</f>
        <v/>
      </c>
      <c r="M27" s="44">
        <f>IF(OR($A27="",C$6=""),0,SUMPRODUCT(MAX(('01_予約入力'!$D$5:$D$204=C$6)*('01_予約入力'!$N$5:$N$204&lt;&gt;"キャンセル")*('01_予約入力'!$G$5:$G$204&lt;&gt;"")*('01_予約入力'!$G$5:$G$204&lt;=$A27)*('01_予約入力'!$J$5:$J$204&gt;$A27)*(ROW('01_予約入力'!$G$5:$G$204)-4))))</f>
        <v/>
      </c>
      <c r="N27" s="44">
        <f>IF(OR($A27="",C$6=""),0,SUMPRODUCT(MAX(('01_予約入力'!$D$5:$D$204=C$6)*('01_予約入力'!$N$5:$N$204&lt;&gt;"キャンセル")*('01_予約入力'!$G$5:$G$204&lt;&gt;"")*('01_予約入力'!$G$5:$G$204=$A27)*('01_予約入力'!$J$5:$J$204=$A27)*(ROW('01_予約入力'!$G$5:$G$204)-4))))</f>
        <v/>
      </c>
      <c r="O27" s="44">
        <f>IF(OR($A27="",D$6=""),0,SUMPRODUCT(MAX(('01_予約入力'!$D$5:$D$204=D$6)*('01_予約入力'!$N$5:$N$204&lt;&gt;"キャンセル")*('01_予約入力'!$G$5:$G$204&lt;&gt;"")*('01_予約入力'!$J$5:$J$204=$A27)*('01_予約入力'!$G$5:$G$204&lt;$A27)*(ROW('01_予約入力'!$G$5:$G$204)-4))))</f>
        <v/>
      </c>
      <c r="P27" s="44">
        <f>IF(OR($A27="",D$6=""),0,SUMPRODUCT(MAX(('01_予約入力'!$D$5:$D$204=D$6)*('01_予約入力'!$N$5:$N$204&lt;&gt;"キャンセル")*('01_予約入力'!$G$5:$G$204&lt;&gt;"")*('01_予約入力'!$G$5:$G$204&lt;=$A27)*('01_予約入力'!$J$5:$J$204&gt;$A27)*(ROW('01_予約入力'!$G$5:$G$204)-4))))</f>
        <v/>
      </c>
      <c r="Q27" s="44">
        <f>IF(OR($A27="",D$6=""),0,SUMPRODUCT(MAX(('01_予約入力'!$D$5:$D$204=D$6)*('01_予約入力'!$N$5:$N$204&lt;&gt;"キャンセル")*('01_予約入力'!$G$5:$G$204&lt;&gt;"")*('01_予約入力'!$G$5:$G$204=$A27)*('01_予約入力'!$J$5:$J$204=$A27)*(ROW('01_予約入力'!$G$5:$G$204)-4))))</f>
        <v/>
      </c>
      <c r="R27" s="44">
        <f>IF(OR($A27="",E$6=""),0,SUMPRODUCT(MAX(('01_予約入力'!$D$5:$D$204=E$6)*('01_予約入力'!$N$5:$N$204&lt;&gt;"キャンセル")*('01_予約入力'!$G$5:$G$204&lt;&gt;"")*('01_予約入力'!$J$5:$J$204=$A27)*('01_予約入力'!$G$5:$G$204&lt;$A27)*(ROW('01_予約入力'!$G$5:$G$204)-4))))</f>
        <v/>
      </c>
      <c r="S27" s="44">
        <f>IF(OR($A27="",E$6=""),0,SUMPRODUCT(MAX(('01_予約入力'!$D$5:$D$204=E$6)*('01_予約入力'!$N$5:$N$204&lt;&gt;"キャンセル")*('01_予約入力'!$G$5:$G$204&lt;&gt;"")*('01_予約入力'!$G$5:$G$204&lt;=$A27)*('01_予約入力'!$J$5:$J$204&gt;$A27)*(ROW('01_予約入力'!$G$5:$G$204)-4))))</f>
        <v/>
      </c>
      <c r="T27" s="44">
        <f>IF(OR($A27="",E$6=""),0,SUMPRODUCT(MAX(('01_予約入力'!$D$5:$D$204=E$6)*('01_予約入力'!$N$5:$N$204&lt;&gt;"キャンセル")*('01_予約入力'!$G$5:$G$204&lt;&gt;"")*('01_予約入力'!$G$5:$G$204=$A27)*('01_予約入力'!$J$5:$J$204=$A27)*(ROW('01_予約入力'!$G$5:$G$204)-4))))</f>
        <v/>
      </c>
      <c r="U27" s="44">
        <f>IF(OR($A27="",F$6=""),0,SUMPRODUCT(MAX(('01_予約入力'!$D$5:$D$204=F$6)*('01_予約入力'!$N$5:$N$204&lt;&gt;"キャンセル")*('01_予約入力'!$G$5:$G$204&lt;&gt;"")*('01_予約入力'!$J$5:$J$204=$A27)*('01_予約入力'!$G$5:$G$204&lt;$A27)*(ROW('01_予約入力'!$G$5:$G$204)-4))))</f>
        <v/>
      </c>
      <c r="V27" s="44">
        <f>IF(OR($A27="",F$6=""),0,SUMPRODUCT(MAX(('01_予約入力'!$D$5:$D$204=F$6)*('01_予約入力'!$N$5:$N$204&lt;&gt;"キャンセル")*('01_予約入力'!$G$5:$G$204&lt;&gt;"")*('01_予約入力'!$G$5:$G$204&lt;=$A27)*('01_予約入力'!$J$5:$J$204&gt;$A27)*(ROW('01_予約入力'!$G$5:$G$204)-4))))</f>
        <v/>
      </c>
      <c r="W27" s="44">
        <f>IF(OR($A27="",F$6=""),0,SUMPRODUCT(MAX(('01_予約入力'!$D$5:$D$204=F$6)*('01_予約入力'!$N$5:$N$204&lt;&gt;"キャンセル")*('01_予約入力'!$G$5:$G$204&lt;&gt;"")*('01_予約入力'!$G$5:$G$204=$A27)*('01_予約入力'!$J$5:$J$204=$A27)*(ROW('01_予約入力'!$G$5:$G$204)-4))))</f>
        <v/>
      </c>
      <c r="X27" s="44">
        <f>IF($A27="","",IF($M27&gt;0,IF(OR(INDEX('01_予約入力'!$N$5:$N$204,$M27)="仮予約",INDEX('01_予約入力'!$N$5:$N$204,$M27)="調整中"),"仮",INDEX('01_予約入力'!$C$5:$C$204,$M27)),IF($N27&gt;0,IF(OR(INDEX('01_予約入力'!$N$5:$N$204,$N27)="仮予約",INDEX('01_予約入力'!$N$5:$N$204,$N27)="調整中"),"仮",INDEX('01_予約入力'!$C$5:$C$204,$N27)),IF($L27&gt;0,IF(OR(INDEX('01_予約入力'!$N$5:$N$204,$L27)="仮予約",INDEX('01_予約入力'!$N$5:$N$204,$L27)="調整中"),"仮",INDEX('01_予約入力'!$C$5:$C$204,$L27)),""))))</f>
        <v/>
      </c>
      <c r="Y27" s="44">
        <f>IF($A27="","",IF($P27&gt;0,IF(OR(INDEX('01_予約入力'!$N$5:$N$204,$P27)="仮予約",INDEX('01_予約入力'!$N$5:$N$204,$P27)="調整中"),"仮",INDEX('01_予約入力'!$C$5:$C$204,$P27)),IF($Q27&gt;0,IF(OR(INDEX('01_予約入力'!$N$5:$N$204,$Q27)="仮予約",INDEX('01_予約入力'!$N$5:$N$204,$Q27)="調整中"),"仮",INDEX('01_予約入力'!$C$5:$C$204,$Q27)),IF($O27&gt;0,IF(OR(INDEX('01_予約入力'!$N$5:$N$204,$O27)="仮予約",INDEX('01_予約入力'!$N$5:$N$204,$O27)="調整中"),"仮",INDEX('01_予約入力'!$C$5:$C$204,$O27)),""))))</f>
        <v/>
      </c>
      <c r="Z27" s="44">
        <f>IF($A27="","",IF($S27&gt;0,IF(OR(INDEX('01_予約入力'!$N$5:$N$204,$S27)="仮予約",INDEX('01_予約入力'!$N$5:$N$204,$S27)="調整中"),"仮",INDEX('01_予約入力'!$C$5:$C$204,$S27)),IF($T27&gt;0,IF(OR(INDEX('01_予約入力'!$N$5:$N$204,$T27)="仮予約",INDEX('01_予約入力'!$N$5:$N$204,$T27)="調整中"),"仮",INDEX('01_予約入力'!$C$5:$C$204,$T27)),IF($R27&gt;0,IF(OR(INDEX('01_予約入力'!$N$5:$N$204,$R27)="仮予約",INDEX('01_予約入力'!$N$5:$N$204,$R27)="調整中"),"仮",INDEX('01_予約入力'!$C$5:$C$204,$R27)),""))))</f>
        <v/>
      </c>
      <c r="AA27" s="44">
        <f>IF($A27="","",IF($V27&gt;0,IF(OR(INDEX('01_予約入力'!$N$5:$N$204,$V27)="仮予約",INDEX('01_予約入力'!$N$5:$N$204,$V27)="調整中"),"仮",INDEX('01_予約入力'!$C$5:$C$204,$V27)),IF($W27&gt;0,IF(OR(INDEX('01_予約入力'!$N$5:$N$204,$W27)="仮予約",INDEX('01_予約入力'!$N$5:$N$204,$W27)="調整中"),"仮",INDEX('01_予約入力'!$C$5:$C$204,$W27)),IF($U27&gt;0,IF(OR(INDEX('01_予約入力'!$N$5:$N$204,$U27)="仮予約",INDEX('01_予約入力'!$N$5:$N$204,$U27)="調整中"),"仮",INDEX('01_予約入力'!$C$5:$C$204,$U27)),""))))</f>
        <v/>
      </c>
      <c r="AB27" s="44">
        <f>IF($A27="",0,SUMPRODUCT(('01_予約入力'!$G$5:$G$204&lt;&gt;"")*('01_予約入力'!$N$5:$N$204&lt;&gt;"キャンセル")*('01_予約入力'!$G$5:$G$204&lt;$A27)*('01_予約入力'!$J$5:$J$204&gt;=$A27)))</f>
        <v/>
      </c>
      <c r="AC27" s="44">
        <f>IF($A27="",0,SUMPRODUCT(('01_予約入力'!$G$5:$G$204&lt;&gt;"")*('01_予約入力'!$N$5:$N$204&lt;&gt;"キャンセル")*((('01_予約入力'!$G$5:$G$204&lt;$A27)*('01_予約入力'!$J$5:$J$204&gt;$A27))+(('01_予約入力'!$G$5:$G$204=$A27)*('01_予約入力'!$J$5:$J$204=$A27)))))</f>
        <v/>
      </c>
      <c r="AD27" s="44">
        <f>IF($A27="",0,SUMPRODUCT(('01_予約入力'!$G$5:$G$204&lt;&gt;"")*('01_予約入力'!$N$5:$N$204&lt;&gt;"キャンセル")*('01_予約入力'!$G$5:$G$204&lt;=$A27)*('01_予約入力'!$J$5:$J$204&gt;$A27)))</f>
        <v/>
      </c>
      <c r="AE27" s="44">
        <f>IF($A27="",0,IFERROR(MATCH($A27,'02_カレンダー'!$B$59:$B$78,0),0))</f>
        <v/>
      </c>
      <c r="AF27" s="44">
        <f>IF($A27="",0,IF($AE27=0,$AB27,IF(INDEX('02_カレンダー'!$C$59:$C$78,$AE27)="",$AB27,INDEX('02_カレンダー'!$C$59:$C$78,$AE27))))</f>
        <v/>
      </c>
      <c r="AG27" s="44">
        <f>IF($A27="",0,IF($AE27=0,$AC27,IF(INDEX('02_カレンダー'!$D$59:$D$78,$AE27)="",$AC27,INDEX('02_カレンダー'!$D$59:$D$78,$AE27))))</f>
        <v/>
      </c>
      <c r="AH27" s="44">
        <f>IF($A27="",0,IF($AE27=0,$AD27,IF(INDEX('02_カレンダー'!$E$59:$E$78,$AE27)="",$AD27,INDEX('02_カレンダー'!$E$59:$E$78,$AE27))))</f>
        <v/>
      </c>
      <c r="AI27" s="44">
        <f>IF($A27="","",IF(AND($AF27=0,$AG27=0,$AH27=0),"","朝"&amp;$AF27&amp;" 昼"&amp;$AG27&amp;" 夕"&amp;$AH27&amp;IF($AJ27=0,"","　※調整")))</f>
        <v/>
      </c>
      <c r="AJ27" s="44">
        <f>IF(OR($A27="",$AE27=0),0,IF(OR(INDEX('02_カレンダー'!$C$59:$C$78,$AE27)&lt;&gt;"",INDEX('02_カレンダー'!$D$59:$D$78,$AE27)&lt;&gt;"",INDEX('02_カレンダー'!$E$59:$E$78,$AE27)&lt;&gt;""),1,0))</f>
        <v/>
      </c>
    </row>
    <row r="28">
      <c r="A28" s="37">
        <f>IF(MONTH('02_カレンダー'!$B$4+21)&lt;&gt;MONTH('02_カレンダー'!$B$4),"",'02_カレンダー'!$B$4+21)</f>
        <v/>
      </c>
      <c r="B28" s="44">
        <f>IF($A28="","",MID("日月火水木金土",WEEKDAY($A28),1))</f>
        <v/>
      </c>
      <c r="C28" s="48">
        <f>IF(OR($A28="",C$6=""),"",IF($L28=0,"",INDEX('01_予約入力'!$B$5:$B$204,$L28)&amp;" ◀"&amp;IF(('02_カレンダー'!$B$5="○"),INDEX('01_予約入力'!$AB$5:$AB$204,$L28),""))&amp;IF(AND($L28&gt;0,OR($M28&gt;0,$N28&gt;0)),"  ","")&amp;IF($M28=0,"",IF(INDEX('01_予約入力'!$G$5:$G$204,$M28)=$A28,"▶"&amp;IF(('02_カレンダー'!$B$5="○"),INDEX('01_予約入力'!$AA$5:$AA$204,$M28)&amp;" "," "),"")&amp;INDEX('01_予約入力'!$B$5:$B$204,$M28))&amp;IF(AND($M28&gt;0,$N28&gt;0),"  ","")&amp;IF($N28=0,"","◆ "&amp;INDEX('01_予約入力'!$B$5:$B$204,$N28)&amp;IF(('02_カレンダー'!$B$5="○")," "&amp;INDEX('01_予約入力'!$AA$5:$AA$204,$N28)&amp;"-"&amp;INDEX('01_予約入力'!$AB$5:$AB$204,$N28),"")))</f>
        <v/>
      </c>
      <c r="D28" s="48">
        <f>IF(OR($A28="",D$6=""),"",IF($O28=0,"",INDEX('01_予約入力'!$B$5:$B$204,$O28)&amp;" ◀"&amp;IF(('02_カレンダー'!$B$5="○"),INDEX('01_予約入力'!$AB$5:$AB$204,$O28),""))&amp;IF(AND($O28&gt;0,OR($P28&gt;0,$Q28&gt;0)),"  ","")&amp;IF($P28=0,"",IF(INDEX('01_予約入力'!$G$5:$G$204,$P28)=$A28,"▶"&amp;IF(('02_カレンダー'!$B$5="○"),INDEX('01_予約入力'!$AA$5:$AA$204,$P28)&amp;" "," "),"")&amp;INDEX('01_予約入力'!$B$5:$B$204,$P28))&amp;IF(AND($P28&gt;0,$Q28&gt;0),"  ","")&amp;IF($Q28=0,"","◆ "&amp;INDEX('01_予約入力'!$B$5:$B$204,$Q28)&amp;IF(('02_カレンダー'!$B$5="○")," "&amp;INDEX('01_予約入力'!$AA$5:$AA$204,$Q28)&amp;"-"&amp;INDEX('01_予約入力'!$AB$5:$AB$204,$Q28),"")))</f>
        <v/>
      </c>
      <c r="E28" s="48">
        <f>IF(OR($A28="",E$6=""),"",IF($R28=0,"",INDEX('01_予約入力'!$B$5:$B$204,$R28)&amp;" ◀"&amp;IF(('02_カレンダー'!$B$5="○"),INDEX('01_予約入力'!$AB$5:$AB$204,$R28),""))&amp;IF(AND($R28&gt;0,OR($S28&gt;0,$T28&gt;0)),"  ","")&amp;IF($S28=0,"",IF(INDEX('01_予約入力'!$G$5:$G$204,$S28)=$A28,"▶"&amp;IF(('02_カレンダー'!$B$5="○"),INDEX('01_予約入力'!$AA$5:$AA$204,$S28)&amp;" "," "),"")&amp;INDEX('01_予約入力'!$B$5:$B$204,$S28))&amp;IF(AND($S28&gt;0,$T28&gt;0),"  ","")&amp;IF($T28=0,"","◆ "&amp;INDEX('01_予約入力'!$B$5:$B$204,$T28)&amp;IF(('02_カレンダー'!$B$5="○")," "&amp;INDEX('01_予約入力'!$AA$5:$AA$204,$T28)&amp;"-"&amp;INDEX('01_予約入力'!$AB$5:$AB$204,$T28),"")))</f>
        <v/>
      </c>
      <c r="F28" s="48">
        <f>IF(OR($A28="",F$6=""),"",IF($U28=0,"",INDEX('01_予約入力'!$B$5:$B$204,$U28)&amp;" ◀"&amp;IF(('02_カレンダー'!$B$5="○"),INDEX('01_予約入力'!$AB$5:$AB$204,$U28),""))&amp;IF(AND($U28&gt;0,OR($V28&gt;0,$W28&gt;0)),"  ","")&amp;IF($V28=0,"",IF(INDEX('01_予約入力'!$G$5:$G$204,$V28)=$A28,"▶"&amp;IF(('02_カレンダー'!$B$5="○"),INDEX('01_予約入力'!$AA$5:$AA$204,$V28)&amp;" "," "),"")&amp;INDEX('01_予約入力'!$B$5:$B$204,$V28))&amp;IF(AND($V28&gt;0,$W28&gt;0),"  ","")&amp;IF($W28=0,"","◆ "&amp;INDEX('01_予約入力'!$B$5:$B$204,$W28)&amp;IF(('02_カレンダー'!$B$5="○")," "&amp;INDEX('01_予約入力'!$AA$5:$AA$204,$W28)&amp;"-"&amp;INDEX('01_予約入力'!$AB$5:$AB$204,$W28),"")))</f>
        <v/>
      </c>
      <c r="G28" s="44">
        <f>IF($A28="","",SUMPRODUCT(('01_予約入力'!$G$5:$G$204&lt;&gt;"")*('01_予約入力'!$N$5:$N$204&lt;&gt;"キャンセル")*('01_予約入力'!$G$5:$G$204&lt;=$A28)*('01_予約入力'!$J$5:$J$204&gt;$A28)))</f>
        <v/>
      </c>
      <c r="H28" s="44">
        <f>IF($A28="","",'M_施設設定'!$B$6-$G28)</f>
        <v/>
      </c>
      <c r="I28" s="44">
        <f>IF($A28="","",SUMPRODUCT((('01_予約入力'!$N$5:$N$204="仮予約")+('01_予約入力'!$N$5:$N$204="調整中"))*('01_予約入力'!$G$5:$G$204&lt;&gt;"")*('01_予約入力'!$G$5:$G$204&lt;=$A28)*('01_予約入力'!$J$5:$J$204&gt;$A28)))</f>
        <v/>
      </c>
      <c r="J28" s="44">
        <f>IF($A28="","",IF($I28&gt;0,"仮",IF($H28&lt;=0,"×",IF($H28&lt;'M_施設設定'!$B$6,"△","○"))))</f>
        <v/>
      </c>
      <c r="K28" s="44">
        <f>IF($A28="","",SUMPRODUCT(('01_予約入力'!$G$5:$G$204&lt;&gt;"")*('01_予約入力'!$N$5:$N$204&lt;&gt;"キャンセル")*('01_予約入力'!$G$5:$G$204=$A28)*('01_予約入力'!$J$5:$J$204=$A28)))</f>
        <v/>
      </c>
      <c r="L28" s="44">
        <f>IF(OR($A28="",C$6=""),0,SUMPRODUCT(MAX(('01_予約入力'!$D$5:$D$204=C$6)*('01_予約入力'!$N$5:$N$204&lt;&gt;"キャンセル")*('01_予約入力'!$G$5:$G$204&lt;&gt;"")*('01_予約入力'!$J$5:$J$204=$A28)*('01_予約入力'!$G$5:$G$204&lt;$A28)*(ROW('01_予約入力'!$G$5:$G$204)-4))))</f>
        <v/>
      </c>
      <c r="M28" s="44">
        <f>IF(OR($A28="",C$6=""),0,SUMPRODUCT(MAX(('01_予約入力'!$D$5:$D$204=C$6)*('01_予約入力'!$N$5:$N$204&lt;&gt;"キャンセル")*('01_予約入力'!$G$5:$G$204&lt;&gt;"")*('01_予約入力'!$G$5:$G$204&lt;=$A28)*('01_予約入力'!$J$5:$J$204&gt;$A28)*(ROW('01_予約入力'!$G$5:$G$204)-4))))</f>
        <v/>
      </c>
      <c r="N28" s="44">
        <f>IF(OR($A28="",C$6=""),0,SUMPRODUCT(MAX(('01_予約入力'!$D$5:$D$204=C$6)*('01_予約入力'!$N$5:$N$204&lt;&gt;"キャンセル")*('01_予約入力'!$G$5:$G$204&lt;&gt;"")*('01_予約入力'!$G$5:$G$204=$A28)*('01_予約入力'!$J$5:$J$204=$A28)*(ROW('01_予約入力'!$G$5:$G$204)-4))))</f>
        <v/>
      </c>
      <c r="O28" s="44">
        <f>IF(OR($A28="",D$6=""),0,SUMPRODUCT(MAX(('01_予約入力'!$D$5:$D$204=D$6)*('01_予約入力'!$N$5:$N$204&lt;&gt;"キャンセル")*('01_予約入力'!$G$5:$G$204&lt;&gt;"")*('01_予約入力'!$J$5:$J$204=$A28)*('01_予約入力'!$G$5:$G$204&lt;$A28)*(ROW('01_予約入力'!$G$5:$G$204)-4))))</f>
        <v/>
      </c>
      <c r="P28" s="44">
        <f>IF(OR($A28="",D$6=""),0,SUMPRODUCT(MAX(('01_予約入力'!$D$5:$D$204=D$6)*('01_予約入力'!$N$5:$N$204&lt;&gt;"キャンセル")*('01_予約入力'!$G$5:$G$204&lt;&gt;"")*('01_予約入力'!$G$5:$G$204&lt;=$A28)*('01_予約入力'!$J$5:$J$204&gt;$A28)*(ROW('01_予約入力'!$G$5:$G$204)-4))))</f>
        <v/>
      </c>
      <c r="Q28" s="44">
        <f>IF(OR($A28="",D$6=""),0,SUMPRODUCT(MAX(('01_予約入力'!$D$5:$D$204=D$6)*('01_予約入力'!$N$5:$N$204&lt;&gt;"キャンセル")*('01_予約入力'!$G$5:$G$204&lt;&gt;"")*('01_予約入力'!$G$5:$G$204=$A28)*('01_予約入力'!$J$5:$J$204=$A28)*(ROW('01_予約入力'!$G$5:$G$204)-4))))</f>
        <v/>
      </c>
      <c r="R28" s="44">
        <f>IF(OR($A28="",E$6=""),0,SUMPRODUCT(MAX(('01_予約入力'!$D$5:$D$204=E$6)*('01_予約入力'!$N$5:$N$204&lt;&gt;"キャンセル")*('01_予約入力'!$G$5:$G$204&lt;&gt;"")*('01_予約入力'!$J$5:$J$204=$A28)*('01_予約入力'!$G$5:$G$204&lt;$A28)*(ROW('01_予約入力'!$G$5:$G$204)-4))))</f>
        <v/>
      </c>
      <c r="S28" s="44">
        <f>IF(OR($A28="",E$6=""),0,SUMPRODUCT(MAX(('01_予約入力'!$D$5:$D$204=E$6)*('01_予約入力'!$N$5:$N$204&lt;&gt;"キャンセル")*('01_予約入力'!$G$5:$G$204&lt;&gt;"")*('01_予約入力'!$G$5:$G$204&lt;=$A28)*('01_予約入力'!$J$5:$J$204&gt;$A28)*(ROW('01_予約入力'!$G$5:$G$204)-4))))</f>
        <v/>
      </c>
      <c r="T28" s="44">
        <f>IF(OR($A28="",E$6=""),0,SUMPRODUCT(MAX(('01_予約入力'!$D$5:$D$204=E$6)*('01_予約入力'!$N$5:$N$204&lt;&gt;"キャンセル")*('01_予約入力'!$G$5:$G$204&lt;&gt;"")*('01_予約入力'!$G$5:$G$204=$A28)*('01_予約入力'!$J$5:$J$204=$A28)*(ROW('01_予約入力'!$G$5:$G$204)-4))))</f>
        <v/>
      </c>
      <c r="U28" s="44">
        <f>IF(OR($A28="",F$6=""),0,SUMPRODUCT(MAX(('01_予約入力'!$D$5:$D$204=F$6)*('01_予約入力'!$N$5:$N$204&lt;&gt;"キャンセル")*('01_予約入力'!$G$5:$G$204&lt;&gt;"")*('01_予約入力'!$J$5:$J$204=$A28)*('01_予約入力'!$G$5:$G$204&lt;$A28)*(ROW('01_予約入力'!$G$5:$G$204)-4))))</f>
        <v/>
      </c>
      <c r="V28" s="44">
        <f>IF(OR($A28="",F$6=""),0,SUMPRODUCT(MAX(('01_予約入力'!$D$5:$D$204=F$6)*('01_予約入力'!$N$5:$N$204&lt;&gt;"キャンセル")*('01_予約入力'!$G$5:$G$204&lt;&gt;"")*('01_予約入力'!$G$5:$G$204&lt;=$A28)*('01_予約入力'!$J$5:$J$204&gt;$A28)*(ROW('01_予約入力'!$G$5:$G$204)-4))))</f>
        <v/>
      </c>
      <c r="W28" s="44">
        <f>IF(OR($A28="",F$6=""),0,SUMPRODUCT(MAX(('01_予約入力'!$D$5:$D$204=F$6)*('01_予約入力'!$N$5:$N$204&lt;&gt;"キャンセル")*('01_予約入力'!$G$5:$G$204&lt;&gt;"")*('01_予約入力'!$G$5:$G$204=$A28)*('01_予約入力'!$J$5:$J$204=$A28)*(ROW('01_予約入力'!$G$5:$G$204)-4))))</f>
        <v/>
      </c>
      <c r="X28" s="44">
        <f>IF($A28="","",IF($M28&gt;0,IF(OR(INDEX('01_予約入力'!$N$5:$N$204,$M28)="仮予約",INDEX('01_予約入力'!$N$5:$N$204,$M28)="調整中"),"仮",INDEX('01_予約入力'!$C$5:$C$204,$M28)),IF($N28&gt;0,IF(OR(INDEX('01_予約入力'!$N$5:$N$204,$N28)="仮予約",INDEX('01_予約入力'!$N$5:$N$204,$N28)="調整中"),"仮",INDEX('01_予約入力'!$C$5:$C$204,$N28)),IF($L28&gt;0,IF(OR(INDEX('01_予約入力'!$N$5:$N$204,$L28)="仮予約",INDEX('01_予約入力'!$N$5:$N$204,$L28)="調整中"),"仮",INDEX('01_予約入力'!$C$5:$C$204,$L28)),""))))</f>
        <v/>
      </c>
      <c r="Y28" s="44">
        <f>IF($A28="","",IF($P28&gt;0,IF(OR(INDEX('01_予約入力'!$N$5:$N$204,$P28)="仮予約",INDEX('01_予約入力'!$N$5:$N$204,$P28)="調整中"),"仮",INDEX('01_予約入力'!$C$5:$C$204,$P28)),IF($Q28&gt;0,IF(OR(INDEX('01_予約入力'!$N$5:$N$204,$Q28)="仮予約",INDEX('01_予約入力'!$N$5:$N$204,$Q28)="調整中"),"仮",INDEX('01_予約入力'!$C$5:$C$204,$Q28)),IF($O28&gt;0,IF(OR(INDEX('01_予約入力'!$N$5:$N$204,$O28)="仮予約",INDEX('01_予約入力'!$N$5:$N$204,$O28)="調整中"),"仮",INDEX('01_予約入力'!$C$5:$C$204,$O28)),""))))</f>
        <v/>
      </c>
      <c r="Z28" s="44">
        <f>IF($A28="","",IF($S28&gt;0,IF(OR(INDEX('01_予約入力'!$N$5:$N$204,$S28)="仮予約",INDEX('01_予約入力'!$N$5:$N$204,$S28)="調整中"),"仮",INDEX('01_予約入力'!$C$5:$C$204,$S28)),IF($T28&gt;0,IF(OR(INDEX('01_予約入力'!$N$5:$N$204,$T28)="仮予約",INDEX('01_予約入力'!$N$5:$N$204,$T28)="調整中"),"仮",INDEX('01_予約入力'!$C$5:$C$204,$T28)),IF($R28&gt;0,IF(OR(INDEX('01_予約入力'!$N$5:$N$204,$R28)="仮予約",INDEX('01_予約入力'!$N$5:$N$204,$R28)="調整中"),"仮",INDEX('01_予約入力'!$C$5:$C$204,$R28)),""))))</f>
        <v/>
      </c>
      <c r="AA28" s="44">
        <f>IF($A28="","",IF($V28&gt;0,IF(OR(INDEX('01_予約入力'!$N$5:$N$204,$V28)="仮予約",INDEX('01_予約入力'!$N$5:$N$204,$V28)="調整中"),"仮",INDEX('01_予約入力'!$C$5:$C$204,$V28)),IF($W28&gt;0,IF(OR(INDEX('01_予約入力'!$N$5:$N$204,$W28)="仮予約",INDEX('01_予約入力'!$N$5:$N$204,$W28)="調整中"),"仮",INDEX('01_予約入力'!$C$5:$C$204,$W28)),IF($U28&gt;0,IF(OR(INDEX('01_予約入力'!$N$5:$N$204,$U28)="仮予約",INDEX('01_予約入力'!$N$5:$N$204,$U28)="調整中"),"仮",INDEX('01_予約入力'!$C$5:$C$204,$U28)),""))))</f>
        <v/>
      </c>
      <c r="AB28" s="44">
        <f>IF($A28="",0,SUMPRODUCT(('01_予約入力'!$G$5:$G$204&lt;&gt;"")*('01_予約入力'!$N$5:$N$204&lt;&gt;"キャンセル")*('01_予約入力'!$G$5:$G$204&lt;$A28)*('01_予約入力'!$J$5:$J$204&gt;=$A28)))</f>
        <v/>
      </c>
      <c r="AC28" s="44">
        <f>IF($A28="",0,SUMPRODUCT(('01_予約入力'!$G$5:$G$204&lt;&gt;"")*('01_予約入力'!$N$5:$N$204&lt;&gt;"キャンセル")*((('01_予約入力'!$G$5:$G$204&lt;$A28)*('01_予約入力'!$J$5:$J$204&gt;$A28))+(('01_予約入力'!$G$5:$G$204=$A28)*('01_予約入力'!$J$5:$J$204=$A28)))))</f>
        <v/>
      </c>
      <c r="AD28" s="44">
        <f>IF($A28="",0,SUMPRODUCT(('01_予約入力'!$G$5:$G$204&lt;&gt;"")*('01_予約入力'!$N$5:$N$204&lt;&gt;"キャンセル")*('01_予約入力'!$G$5:$G$204&lt;=$A28)*('01_予約入力'!$J$5:$J$204&gt;$A28)))</f>
        <v/>
      </c>
      <c r="AE28" s="44">
        <f>IF($A28="",0,IFERROR(MATCH($A28,'02_カレンダー'!$B$59:$B$78,0),0))</f>
        <v/>
      </c>
      <c r="AF28" s="44">
        <f>IF($A28="",0,IF($AE28=0,$AB28,IF(INDEX('02_カレンダー'!$C$59:$C$78,$AE28)="",$AB28,INDEX('02_カレンダー'!$C$59:$C$78,$AE28))))</f>
        <v/>
      </c>
      <c r="AG28" s="44">
        <f>IF($A28="",0,IF($AE28=0,$AC28,IF(INDEX('02_カレンダー'!$D$59:$D$78,$AE28)="",$AC28,INDEX('02_カレンダー'!$D$59:$D$78,$AE28))))</f>
        <v/>
      </c>
      <c r="AH28" s="44">
        <f>IF($A28="",0,IF($AE28=0,$AD28,IF(INDEX('02_カレンダー'!$E$59:$E$78,$AE28)="",$AD28,INDEX('02_カレンダー'!$E$59:$E$78,$AE28))))</f>
        <v/>
      </c>
      <c r="AI28" s="44">
        <f>IF($A28="","",IF(AND($AF28=0,$AG28=0,$AH28=0),"","朝"&amp;$AF28&amp;" 昼"&amp;$AG28&amp;" 夕"&amp;$AH28&amp;IF($AJ28=0,"","　※調整")))</f>
        <v/>
      </c>
      <c r="AJ28" s="44">
        <f>IF(OR($A28="",$AE28=0),0,IF(OR(INDEX('02_カレンダー'!$C$59:$C$78,$AE28)&lt;&gt;"",INDEX('02_カレンダー'!$D$59:$D$78,$AE28)&lt;&gt;"",INDEX('02_カレンダー'!$E$59:$E$78,$AE28)&lt;&gt;""),1,0))</f>
        <v/>
      </c>
    </row>
    <row r="29">
      <c r="A29" s="37">
        <f>IF(MONTH('02_カレンダー'!$B$4+22)&lt;&gt;MONTH('02_カレンダー'!$B$4),"",'02_カレンダー'!$B$4+22)</f>
        <v/>
      </c>
      <c r="B29" s="44">
        <f>IF($A29="","",MID("日月火水木金土",WEEKDAY($A29),1))</f>
        <v/>
      </c>
      <c r="C29" s="48">
        <f>IF(OR($A29="",C$6=""),"",IF($L29=0,"",INDEX('01_予約入力'!$B$5:$B$204,$L29)&amp;" ◀"&amp;IF(('02_カレンダー'!$B$5="○"),INDEX('01_予約入力'!$AB$5:$AB$204,$L29),""))&amp;IF(AND($L29&gt;0,OR($M29&gt;0,$N29&gt;0)),"  ","")&amp;IF($M29=0,"",IF(INDEX('01_予約入力'!$G$5:$G$204,$M29)=$A29,"▶"&amp;IF(('02_カレンダー'!$B$5="○"),INDEX('01_予約入力'!$AA$5:$AA$204,$M29)&amp;" "," "),"")&amp;INDEX('01_予約入力'!$B$5:$B$204,$M29))&amp;IF(AND($M29&gt;0,$N29&gt;0),"  ","")&amp;IF($N29=0,"","◆ "&amp;INDEX('01_予約入力'!$B$5:$B$204,$N29)&amp;IF(('02_カレンダー'!$B$5="○")," "&amp;INDEX('01_予約入力'!$AA$5:$AA$204,$N29)&amp;"-"&amp;INDEX('01_予約入力'!$AB$5:$AB$204,$N29),"")))</f>
        <v/>
      </c>
      <c r="D29" s="48">
        <f>IF(OR($A29="",D$6=""),"",IF($O29=0,"",INDEX('01_予約入力'!$B$5:$B$204,$O29)&amp;" ◀"&amp;IF(('02_カレンダー'!$B$5="○"),INDEX('01_予約入力'!$AB$5:$AB$204,$O29),""))&amp;IF(AND($O29&gt;0,OR($P29&gt;0,$Q29&gt;0)),"  ","")&amp;IF($P29=0,"",IF(INDEX('01_予約入力'!$G$5:$G$204,$P29)=$A29,"▶"&amp;IF(('02_カレンダー'!$B$5="○"),INDEX('01_予約入力'!$AA$5:$AA$204,$P29)&amp;" "," "),"")&amp;INDEX('01_予約入力'!$B$5:$B$204,$P29))&amp;IF(AND($P29&gt;0,$Q29&gt;0),"  ","")&amp;IF($Q29=0,"","◆ "&amp;INDEX('01_予約入力'!$B$5:$B$204,$Q29)&amp;IF(('02_カレンダー'!$B$5="○")," "&amp;INDEX('01_予約入力'!$AA$5:$AA$204,$Q29)&amp;"-"&amp;INDEX('01_予約入力'!$AB$5:$AB$204,$Q29),"")))</f>
        <v/>
      </c>
      <c r="E29" s="48">
        <f>IF(OR($A29="",E$6=""),"",IF($R29=0,"",INDEX('01_予約入力'!$B$5:$B$204,$R29)&amp;" ◀"&amp;IF(('02_カレンダー'!$B$5="○"),INDEX('01_予約入力'!$AB$5:$AB$204,$R29),""))&amp;IF(AND($R29&gt;0,OR($S29&gt;0,$T29&gt;0)),"  ","")&amp;IF($S29=0,"",IF(INDEX('01_予約入力'!$G$5:$G$204,$S29)=$A29,"▶"&amp;IF(('02_カレンダー'!$B$5="○"),INDEX('01_予約入力'!$AA$5:$AA$204,$S29)&amp;" "," "),"")&amp;INDEX('01_予約入力'!$B$5:$B$204,$S29))&amp;IF(AND($S29&gt;0,$T29&gt;0),"  ","")&amp;IF($T29=0,"","◆ "&amp;INDEX('01_予約入力'!$B$5:$B$204,$T29)&amp;IF(('02_カレンダー'!$B$5="○")," "&amp;INDEX('01_予約入力'!$AA$5:$AA$204,$T29)&amp;"-"&amp;INDEX('01_予約入力'!$AB$5:$AB$204,$T29),"")))</f>
        <v/>
      </c>
      <c r="F29" s="48">
        <f>IF(OR($A29="",F$6=""),"",IF($U29=0,"",INDEX('01_予約入力'!$B$5:$B$204,$U29)&amp;" ◀"&amp;IF(('02_カレンダー'!$B$5="○"),INDEX('01_予約入力'!$AB$5:$AB$204,$U29),""))&amp;IF(AND($U29&gt;0,OR($V29&gt;0,$W29&gt;0)),"  ","")&amp;IF($V29=0,"",IF(INDEX('01_予約入力'!$G$5:$G$204,$V29)=$A29,"▶"&amp;IF(('02_カレンダー'!$B$5="○"),INDEX('01_予約入力'!$AA$5:$AA$204,$V29)&amp;" "," "),"")&amp;INDEX('01_予約入力'!$B$5:$B$204,$V29))&amp;IF(AND($V29&gt;0,$W29&gt;0),"  ","")&amp;IF($W29=0,"","◆ "&amp;INDEX('01_予約入力'!$B$5:$B$204,$W29)&amp;IF(('02_カレンダー'!$B$5="○")," "&amp;INDEX('01_予約入力'!$AA$5:$AA$204,$W29)&amp;"-"&amp;INDEX('01_予約入力'!$AB$5:$AB$204,$W29),"")))</f>
        <v/>
      </c>
      <c r="G29" s="44">
        <f>IF($A29="","",SUMPRODUCT(('01_予約入力'!$G$5:$G$204&lt;&gt;"")*('01_予約入力'!$N$5:$N$204&lt;&gt;"キャンセル")*('01_予約入力'!$G$5:$G$204&lt;=$A29)*('01_予約入力'!$J$5:$J$204&gt;$A29)))</f>
        <v/>
      </c>
      <c r="H29" s="44">
        <f>IF($A29="","",'M_施設設定'!$B$6-$G29)</f>
        <v/>
      </c>
      <c r="I29" s="44">
        <f>IF($A29="","",SUMPRODUCT((('01_予約入力'!$N$5:$N$204="仮予約")+('01_予約入力'!$N$5:$N$204="調整中"))*('01_予約入力'!$G$5:$G$204&lt;&gt;"")*('01_予約入力'!$G$5:$G$204&lt;=$A29)*('01_予約入力'!$J$5:$J$204&gt;$A29)))</f>
        <v/>
      </c>
      <c r="J29" s="44">
        <f>IF($A29="","",IF($I29&gt;0,"仮",IF($H29&lt;=0,"×",IF($H29&lt;'M_施設設定'!$B$6,"△","○"))))</f>
        <v/>
      </c>
      <c r="K29" s="44">
        <f>IF($A29="","",SUMPRODUCT(('01_予約入力'!$G$5:$G$204&lt;&gt;"")*('01_予約入力'!$N$5:$N$204&lt;&gt;"キャンセル")*('01_予約入力'!$G$5:$G$204=$A29)*('01_予約入力'!$J$5:$J$204=$A29)))</f>
        <v/>
      </c>
      <c r="L29" s="44">
        <f>IF(OR($A29="",C$6=""),0,SUMPRODUCT(MAX(('01_予約入力'!$D$5:$D$204=C$6)*('01_予約入力'!$N$5:$N$204&lt;&gt;"キャンセル")*('01_予約入力'!$G$5:$G$204&lt;&gt;"")*('01_予約入力'!$J$5:$J$204=$A29)*('01_予約入力'!$G$5:$G$204&lt;$A29)*(ROW('01_予約入力'!$G$5:$G$204)-4))))</f>
        <v/>
      </c>
      <c r="M29" s="44">
        <f>IF(OR($A29="",C$6=""),0,SUMPRODUCT(MAX(('01_予約入力'!$D$5:$D$204=C$6)*('01_予約入力'!$N$5:$N$204&lt;&gt;"キャンセル")*('01_予約入力'!$G$5:$G$204&lt;&gt;"")*('01_予約入力'!$G$5:$G$204&lt;=$A29)*('01_予約入力'!$J$5:$J$204&gt;$A29)*(ROW('01_予約入力'!$G$5:$G$204)-4))))</f>
        <v/>
      </c>
      <c r="N29" s="44">
        <f>IF(OR($A29="",C$6=""),0,SUMPRODUCT(MAX(('01_予約入力'!$D$5:$D$204=C$6)*('01_予約入力'!$N$5:$N$204&lt;&gt;"キャンセル")*('01_予約入力'!$G$5:$G$204&lt;&gt;"")*('01_予約入力'!$G$5:$G$204=$A29)*('01_予約入力'!$J$5:$J$204=$A29)*(ROW('01_予約入力'!$G$5:$G$204)-4))))</f>
        <v/>
      </c>
      <c r="O29" s="44">
        <f>IF(OR($A29="",D$6=""),0,SUMPRODUCT(MAX(('01_予約入力'!$D$5:$D$204=D$6)*('01_予約入力'!$N$5:$N$204&lt;&gt;"キャンセル")*('01_予約入力'!$G$5:$G$204&lt;&gt;"")*('01_予約入力'!$J$5:$J$204=$A29)*('01_予約入力'!$G$5:$G$204&lt;$A29)*(ROW('01_予約入力'!$G$5:$G$204)-4))))</f>
        <v/>
      </c>
      <c r="P29" s="44">
        <f>IF(OR($A29="",D$6=""),0,SUMPRODUCT(MAX(('01_予約入力'!$D$5:$D$204=D$6)*('01_予約入力'!$N$5:$N$204&lt;&gt;"キャンセル")*('01_予約入力'!$G$5:$G$204&lt;&gt;"")*('01_予約入力'!$G$5:$G$204&lt;=$A29)*('01_予約入力'!$J$5:$J$204&gt;$A29)*(ROW('01_予約入力'!$G$5:$G$204)-4))))</f>
        <v/>
      </c>
      <c r="Q29" s="44">
        <f>IF(OR($A29="",D$6=""),0,SUMPRODUCT(MAX(('01_予約入力'!$D$5:$D$204=D$6)*('01_予約入力'!$N$5:$N$204&lt;&gt;"キャンセル")*('01_予約入力'!$G$5:$G$204&lt;&gt;"")*('01_予約入力'!$G$5:$G$204=$A29)*('01_予約入力'!$J$5:$J$204=$A29)*(ROW('01_予約入力'!$G$5:$G$204)-4))))</f>
        <v/>
      </c>
      <c r="R29" s="44">
        <f>IF(OR($A29="",E$6=""),0,SUMPRODUCT(MAX(('01_予約入力'!$D$5:$D$204=E$6)*('01_予約入力'!$N$5:$N$204&lt;&gt;"キャンセル")*('01_予約入力'!$G$5:$G$204&lt;&gt;"")*('01_予約入力'!$J$5:$J$204=$A29)*('01_予約入力'!$G$5:$G$204&lt;$A29)*(ROW('01_予約入力'!$G$5:$G$204)-4))))</f>
        <v/>
      </c>
      <c r="S29" s="44">
        <f>IF(OR($A29="",E$6=""),0,SUMPRODUCT(MAX(('01_予約入力'!$D$5:$D$204=E$6)*('01_予約入力'!$N$5:$N$204&lt;&gt;"キャンセル")*('01_予約入力'!$G$5:$G$204&lt;&gt;"")*('01_予約入力'!$G$5:$G$204&lt;=$A29)*('01_予約入力'!$J$5:$J$204&gt;$A29)*(ROW('01_予約入力'!$G$5:$G$204)-4))))</f>
        <v/>
      </c>
      <c r="T29" s="44">
        <f>IF(OR($A29="",E$6=""),0,SUMPRODUCT(MAX(('01_予約入力'!$D$5:$D$204=E$6)*('01_予約入力'!$N$5:$N$204&lt;&gt;"キャンセル")*('01_予約入力'!$G$5:$G$204&lt;&gt;"")*('01_予約入力'!$G$5:$G$204=$A29)*('01_予約入力'!$J$5:$J$204=$A29)*(ROW('01_予約入力'!$G$5:$G$204)-4))))</f>
        <v/>
      </c>
      <c r="U29" s="44">
        <f>IF(OR($A29="",F$6=""),0,SUMPRODUCT(MAX(('01_予約入力'!$D$5:$D$204=F$6)*('01_予約入力'!$N$5:$N$204&lt;&gt;"キャンセル")*('01_予約入力'!$G$5:$G$204&lt;&gt;"")*('01_予約入力'!$J$5:$J$204=$A29)*('01_予約入力'!$G$5:$G$204&lt;$A29)*(ROW('01_予約入力'!$G$5:$G$204)-4))))</f>
        <v/>
      </c>
      <c r="V29" s="44">
        <f>IF(OR($A29="",F$6=""),0,SUMPRODUCT(MAX(('01_予約入力'!$D$5:$D$204=F$6)*('01_予約入力'!$N$5:$N$204&lt;&gt;"キャンセル")*('01_予約入力'!$G$5:$G$204&lt;&gt;"")*('01_予約入力'!$G$5:$G$204&lt;=$A29)*('01_予約入力'!$J$5:$J$204&gt;$A29)*(ROW('01_予約入力'!$G$5:$G$204)-4))))</f>
        <v/>
      </c>
      <c r="W29" s="44">
        <f>IF(OR($A29="",F$6=""),0,SUMPRODUCT(MAX(('01_予約入力'!$D$5:$D$204=F$6)*('01_予約入力'!$N$5:$N$204&lt;&gt;"キャンセル")*('01_予約入力'!$G$5:$G$204&lt;&gt;"")*('01_予約入力'!$G$5:$G$204=$A29)*('01_予約入力'!$J$5:$J$204=$A29)*(ROW('01_予約入力'!$G$5:$G$204)-4))))</f>
        <v/>
      </c>
      <c r="X29" s="44">
        <f>IF($A29="","",IF($M29&gt;0,IF(OR(INDEX('01_予約入力'!$N$5:$N$204,$M29)="仮予約",INDEX('01_予約入力'!$N$5:$N$204,$M29)="調整中"),"仮",INDEX('01_予約入力'!$C$5:$C$204,$M29)),IF($N29&gt;0,IF(OR(INDEX('01_予約入力'!$N$5:$N$204,$N29)="仮予約",INDEX('01_予約入力'!$N$5:$N$204,$N29)="調整中"),"仮",INDEX('01_予約入力'!$C$5:$C$204,$N29)),IF($L29&gt;0,IF(OR(INDEX('01_予約入力'!$N$5:$N$204,$L29)="仮予約",INDEX('01_予約入力'!$N$5:$N$204,$L29)="調整中"),"仮",INDEX('01_予約入力'!$C$5:$C$204,$L29)),""))))</f>
        <v/>
      </c>
      <c r="Y29" s="44">
        <f>IF($A29="","",IF($P29&gt;0,IF(OR(INDEX('01_予約入力'!$N$5:$N$204,$P29)="仮予約",INDEX('01_予約入力'!$N$5:$N$204,$P29)="調整中"),"仮",INDEX('01_予約入力'!$C$5:$C$204,$P29)),IF($Q29&gt;0,IF(OR(INDEX('01_予約入力'!$N$5:$N$204,$Q29)="仮予約",INDEX('01_予約入力'!$N$5:$N$204,$Q29)="調整中"),"仮",INDEX('01_予約入力'!$C$5:$C$204,$Q29)),IF($O29&gt;0,IF(OR(INDEX('01_予約入力'!$N$5:$N$204,$O29)="仮予約",INDEX('01_予約入力'!$N$5:$N$204,$O29)="調整中"),"仮",INDEX('01_予約入力'!$C$5:$C$204,$O29)),""))))</f>
        <v/>
      </c>
      <c r="Z29" s="44">
        <f>IF($A29="","",IF($S29&gt;0,IF(OR(INDEX('01_予約入力'!$N$5:$N$204,$S29)="仮予約",INDEX('01_予約入力'!$N$5:$N$204,$S29)="調整中"),"仮",INDEX('01_予約入力'!$C$5:$C$204,$S29)),IF($T29&gt;0,IF(OR(INDEX('01_予約入力'!$N$5:$N$204,$T29)="仮予約",INDEX('01_予約入力'!$N$5:$N$204,$T29)="調整中"),"仮",INDEX('01_予約入力'!$C$5:$C$204,$T29)),IF($R29&gt;0,IF(OR(INDEX('01_予約入力'!$N$5:$N$204,$R29)="仮予約",INDEX('01_予約入力'!$N$5:$N$204,$R29)="調整中"),"仮",INDEX('01_予約入力'!$C$5:$C$204,$R29)),""))))</f>
        <v/>
      </c>
      <c r="AA29" s="44">
        <f>IF($A29="","",IF($V29&gt;0,IF(OR(INDEX('01_予約入力'!$N$5:$N$204,$V29)="仮予約",INDEX('01_予約入力'!$N$5:$N$204,$V29)="調整中"),"仮",INDEX('01_予約入力'!$C$5:$C$204,$V29)),IF($W29&gt;0,IF(OR(INDEX('01_予約入力'!$N$5:$N$204,$W29)="仮予約",INDEX('01_予約入力'!$N$5:$N$204,$W29)="調整中"),"仮",INDEX('01_予約入力'!$C$5:$C$204,$W29)),IF($U29&gt;0,IF(OR(INDEX('01_予約入力'!$N$5:$N$204,$U29)="仮予約",INDEX('01_予約入力'!$N$5:$N$204,$U29)="調整中"),"仮",INDEX('01_予約入力'!$C$5:$C$204,$U29)),""))))</f>
        <v/>
      </c>
      <c r="AB29" s="44">
        <f>IF($A29="",0,SUMPRODUCT(('01_予約入力'!$G$5:$G$204&lt;&gt;"")*('01_予約入力'!$N$5:$N$204&lt;&gt;"キャンセル")*('01_予約入力'!$G$5:$G$204&lt;$A29)*('01_予約入力'!$J$5:$J$204&gt;=$A29)))</f>
        <v/>
      </c>
      <c r="AC29" s="44">
        <f>IF($A29="",0,SUMPRODUCT(('01_予約入力'!$G$5:$G$204&lt;&gt;"")*('01_予約入力'!$N$5:$N$204&lt;&gt;"キャンセル")*((('01_予約入力'!$G$5:$G$204&lt;$A29)*('01_予約入力'!$J$5:$J$204&gt;$A29))+(('01_予約入力'!$G$5:$G$204=$A29)*('01_予約入力'!$J$5:$J$204=$A29)))))</f>
        <v/>
      </c>
      <c r="AD29" s="44">
        <f>IF($A29="",0,SUMPRODUCT(('01_予約入力'!$G$5:$G$204&lt;&gt;"")*('01_予約入力'!$N$5:$N$204&lt;&gt;"キャンセル")*('01_予約入力'!$G$5:$G$204&lt;=$A29)*('01_予約入力'!$J$5:$J$204&gt;$A29)))</f>
        <v/>
      </c>
      <c r="AE29" s="44">
        <f>IF($A29="",0,IFERROR(MATCH($A29,'02_カレンダー'!$B$59:$B$78,0),0))</f>
        <v/>
      </c>
      <c r="AF29" s="44">
        <f>IF($A29="",0,IF($AE29=0,$AB29,IF(INDEX('02_カレンダー'!$C$59:$C$78,$AE29)="",$AB29,INDEX('02_カレンダー'!$C$59:$C$78,$AE29))))</f>
        <v/>
      </c>
      <c r="AG29" s="44">
        <f>IF($A29="",0,IF($AE29=0,$AC29,IF(INDEX('02_カレンダー'!$D$59:$D$78,$AE29)="",$AC29,INDEX('02_カレンダー'!$D$59:$D$78,$AE29))))</f>
        <v/>
      </c>
      <c r="AH29" s="44">
        <f>IF($A29="",0,IF($AE29=0,$AD29,IF(INDEX('02_カレンダー'!$E$59:$E$78,$AE29)="",$AD29,INDEX('02_カレンダー'!$E$59:$E$78,$AE29))))</f>
        <v/>
      </c>
      <c r="AI29" s="44">
        <f>IF($A29="","",IF(AND($AF29=0,$AG29=0,$AH29=0),"","朝"&amp;$AF29&amp;" 昼"&amp;$AG29&amp;" 夕"&amp;$AH29&amp;IF($AJ29=0,"","　※調整")))</f>
        <v/>
      </c>
      <c r="AJ29" s="44">
        <f>IF(OR($A29="",$AE29=0),0,IF(OR(INDEX('02_カレンダー'!$C$59:$C$78,$AE29)&lt;&gt;"",INDEX('02_カレンダー'!$D$59:$D$78,$AE29)&lt;&gt;"",INDEX('02_カレンダー'!$E$59:$E$78,$AE29)&lt;&gt;""),1,0))</f>
        <v/>
      </c>
    </row>
    <row r="30">
      <c r="A30" s="37">
        <f>IF(MONTH('02_カレンダー'!$B$4+23)&lt;&gt;MONTH('02_カレンダー'!$B$4),"",'02_カレンダー'!$B$4+23)</f>
        <v/>
      </c>
      <c r="B30" s="44">
        <f>IF($A30="","",MID("日月火水木金土",WEEKDAY($A30),1))</f>
        <v/>
      </c>
      <c r="C30" s="48">
        <f>IF(OR($A30="",C$6=""),"",IF($L30=0,"",INDEX('01_予約入力'!$B$5:$B$204,$L30)&amp;" ◀"&amp;IF(('02_カレンダー'!$B$5="○"),INDEX('01_予約入力'!$AB$5:$AB$204,$L30),""))&amp;IF(AND($L30&gt;0,OR($M30&gt;0,$N30&gt;0)),"  ","")&amp;IF($M30=0,"",IF(INDEX('01_予約入力'!$G$5:$G$204,$M30)=$A30,"▶"&amp;IF(('02_カレンダー'!$B$5="○"),INDEX('01_予約入力'!$AA$5:$AA$204,$M30)&amp;" "," "),"")&amp;INDEX('01_予約入力'!$B$5:$B$204,$M30))&amp;IF(AND($M30&gt;0,$N30&gt;0),"  ","")&amp;IF($N30=0,"","◆ "&amp;INDEX('01_予約入力'!$B$5:$B$204,$N30)&amp;IF(('02_カレンダー'!$B$5="○")," "&amp;INDEX('01_予約入力'!$AA$5:$AA$204,$N30)&amp;"-"&amp;INDEX('01_予約入力'!$AB$5:$AB$204,$N30),"")))</f>
        <v/>
      </c>
      <c r="D30" s="48">
        <f>IF(OR($A30="",D$6=""),"",IF($O30=0,"",INDEX('01_予約入力'!$B$5:$B$204,$O30)&amp;" ◀"&amp;IF(('02_カレンダー'!$B$5="○"),INDEX('01_予約入力'!$AB$5:$AB$204,$O30),""))&amp;IF(AND($O30&gt;0,OR($P30&gt;0,$Q30&gt;0)),"  ","")&amp;IF($P30=0,"",IF(INDEX('01_予約入力'!$G$5:$G$204,$P30)=$A30,"▶"&amp;IF(('02_カレンダー'!$B$5="○"),INDEX('01_予約入力'!$AA$5:$AA$204,$P30)&amp;" "," "),"")&amp;INDEX('01_予約入力'!$B$5:$B$204,$P30))&amp;IF(AND($P30&gt;0,$Q30&gt;0),"  ","")&amp;IF($Q30=0,"","◆ "&amp;INDEX('01_予約入力'!$B$5:$B$204,$Q30)&amp;IF(('02_カレンダー'!$B$5="○")," "&amp;INDEX('01_予約入力'!$AA$5:$AA$204,$Q30)&amp;"-"&amp;INDEX('01_予約入力'!$AB$5:$AB$204,$Q30),"")))</f>
        <v/>
      </c>
      <c r="E30" s="48">
        <f>IF(OR($A30="",E$6=""),"",IF($R30=0,"",INDEX('01_予約入力'!$B$5:$B$204,$R30)&amp;" ◀"&amp;IF(('02_カレンダー'!$B$5="○"),INDEX('01_予約入力'!$AB$5:$AB$204,$R30),""))&amp;IF(AND($R30&gt;0,OR($S30&gt;0,$T30&gt;0)),"  ","")&amp;IF($S30=0,"",IF(INDEX('01_予約入力'!$G$5:$G$204,$S30)=$A30,"▶"&amp;IF(('02_カレンダー'!$B$5="○"),INDEX('01_予約入力'!$AA$5:$AA$204,$S30)&amp;" "," "),"")&amp;INDEX('01_予約入力'!$B$5:$B$204,$S30))&amp;IF(AND($S30&gt;0,$T30&gt;0),"  ","")&amp;IF($T30=0,"","◆ "&amp;INDEX('01_予約入力'!$B$5:$B$204,$T30)&amp;IF(('02_カレンダー'!$B$5="○")," "&amp;INDEX('01_予約入力'!$AA$5:$AA$204,$T30)&amp;"-"&amp;INDEX('01_予約入力'!$AB$5:$AB$204,$T30),"")))</f>
        <v/>
      </c>
      <c r="F30" s="48">
        <f>IF(OR($A30="",F$6=""),"",IF($U30=0,"",INDEX('01_予約入力'!$B$5:$B$204,$U30)&amp;" ◀"&amp;IF(('02_カレンダー'!$B$5="○"),INDEX('01_予約入力'!$AB$5:$AB$204,$U30),""))&amp;IF(AND($U30&gt;0,OR($V30&gt;0,$W30&gt;0)),"  ","")&amp;IF($V30=0,"",IF(INDEX('01_予約入力'!$G$5:$G$204,$V30)=$A30,"▶"&amp;IF(('02_カレンダー'!$B$5="○"),INDEX('01_予約入力'!$AA$5:$AA$204,$V30)&amp;" "," "),"")&amp;INDEX('01_予約入力'!$B$5:$B$204,$V30))&amp;IF(AND($V30&gt;0,$W30&gt;0),"  ","")&amp;IF($W30=0,"","◆ "&amp;INDEX('01_予約入力'!$B$5:$B$204,$W30)&amp;IF(('02_カレンダー'!$B$5="○")," "&amp;INDEX('01_予約入力'!$AA$5:$AA$204,$W30)&amp;"-"&amp;INDEX('01_予約入力'!$AB$5:$AB$204,$W30),"")))</f>
        <v/>
      </c>
      <c r="G30" s="44">
        <f>IF($A30="","",SUMPRODUCT(('01_予約入力'!$G$5:$G$204&lt;&gt;"")*('01_予約入力'!$N$5:$N$204&lt;&gt;"キャンセル")*('01_予約入力'!$G$5:$G$204&lt;=$A30)*('01_予約入力'!$J$5:$J$204&gt;$A30)))</f>
        <v/>
      </c>
      <c r="H30" s="44">
        <f>IF($A30="","",'M_施設設定'!$B$6-$G30)</f>
        <v/>
      </c>
      <c r="I30" s="44">
        <f>IF($A30="","",SUMPRODUCT((('01_予約入力'!$N$5:$N$204="仮予約")+('01_予約入力'!$N$5:$N$204="調整中"))*('01_予約入力'!$G$5:$G$204&lt;&gt;"")*('01_予約入力'!$G$5:$G$204&lt;=$A30)*('01_予約入力'!$J$5:$J$204&gt;$A30)))</f>
        <v/>
      </c>
      <c r="J30" s="44">
        <f>IF($A30="","",IF($I30&gt;0,"仮",IF($H30&lt;=0,"×",IF($H30&lt;'M_施設設定'!$B$6,"△","○"))))</f>
        <v/>
      </c>
      <c r="K30" s="44">
        <f>IF($A30="","",SUMPRODUCT(('01_予約入力'!$G$5:$G$204&lt;&gt;"")*('01_予約入力'!$N$5:$N$204&lt;&gt;"キャンセル")*('01_予約入力'!$G$5:$G$204=$A30)*('01_予約入力'!$J$5:$J$204=$A30)))</f>
        <v/>
      </c>
      <c r="L30" s="44">
        <f>IF(OR($A30="",C$6=""),0,SUMPRODUCT(MAX(('01_予約入力'!$D$5:$D$204=C$6)*('01_予約入力'!$N$5:$N$204&lt;&gt;"キャンセル")*('01_予約入力'!$G$5:$G$204&lt;&gt;"")*('01_予約入力'!$J$5:$J$204=$A30)*('01_予約入力'!$G$5:$G$204&lt;$A30)*(ROW('01_予約入力'!$G$5:$G$204)-4))))</f>
        <v/>
      </c>
      <c r="M30" s="44">
        <f>IF(OR($A30="",C$6=""),0,SUMPRODUCT(MAX(('01_予約入力'!$D$5:$D$204=C$6)*('01_予約入力'!$N$5:$N$204&lt;&gt;"キャンセル")*('01_予約入力'!$G$5:$G$204&lt;&gt;"")*('01_予約入力'!$G$5:$G$204&lt;=$A30)*('01_予約入力'!$J$5:$J$204&gt;$A30)*(ROW('01_予約入力'!$G$5:$G$204)-4))))</f>
        <v/>
      </c>
      <c r="N30" s="44">
        <f>IF(OR($A30="",C$6=""),0,SUMPRODUCT(MAX(('01_予約入力'!$D$5:$D$204=C$6)*('01_予約入力'!$N$5:$N$204&lt;&gt;"キャンセル")*('01_予約入力'!$G$5:$G$204&lt;&gt;"")*('01_予約入力'!$G$5:$G$204=$A30)*('01_予約入力'!$J$5:$J$204=$A30)*(ROW('01_予約入力'!$G$5:$G$204)-4))))</f>
        <v/>
      </c>
      <c r="O30" s="44">
        <f>IF(OR($A30="",D$6=""),0,SUMPRODUCT(MAX(('01_予約入力'!$D$5:$D$204=D$6)*('01_予約入力'!$N$5:$N$204&lt;&gt;"キャンセル")*('01_予約入力'!$G$5:$G$204&lt;&gt;"")*('01_予約入力'!$J$5:$J$204=$A30)*('01_予約入力'!$G$5:$G$204&lt;$A30)*(ROW('01_予約入力'!$G$5:$G$204)-4))))</f>
        <v/>
      </c>
      <c r="P30" s="44">
        <f>IF(OR($A30="",D$6=""),0,SUMPRODUCT(MAX(('01_予約入力'!$D$5:$D$204=D$6)*('01_予約入力'!$N$5:$N$204&lt;&gt;"キャンセル")*('01_予約入力'!$G$5:$G$204&lt;&gt;"")*('01_予約入力'!$G$5:$G$204&lt;=$A30)*('01_予約入力'!$J$5:$J$204&gt;$A30)*(ROW('01_予約入力'!$G$5:$G$204)-4))))</f>
        <v/>
      </c>
      <c r="Q30" s="44">
        <f>IF(OR($A30="",D$6=""),0,SUMPRODUCT(MAX(('01_予約入力'!$D$5:$D$204=D$6)*('01_予約入力'!$N$5:$N$204&lt;&gt;"キャンセル")*('01_予約入力'!$G$5:$G$204&lt;&gt;"")*('01_予約入力'!$G$5:$G$204=$A30)*('01_予約入力'!$J$5:$J$204=$A30)*(ROW('01_予約入力'!$G$5:$G$204)-4))))</f>
        <v/>
      </c>
      <c r="R30" s="44">
        <f>IF(OR($A30="",E$6=""),0,SUMPRODUCT(MAX(('01_予約入力'!$D$5:$D$204=E$6)*('01_予約入力'!$N$5:$N$204&lt;&gt;"キャンセル")*('01_予約入力'!$G$5:$G$204&lt;&gt;"")*('01_予約入力'!$J$5:$J$204=$A30)*('01_予約入力'!$G$5:$G$204&lt;$A30)*(ROW('01_予約入力'!$G$5:$G$204)-4))))</f>
        <v/>
      </c>
      <c r="S30" s="44">
        <f>IF(OR($A30="",E$6=""),0,SUMPRODUCT(MAX(('01_予約入力'!$D$5:$D$204=E$6)*('01_予約入力'!$N$5:$N$204&lt;&gt;"キャンセル")*('01_予約入力'!$G$5:$G$204&lt;&gt;"")*('01_予約入力'!$G$5:$G$204&lt;=$A30)*('01_予約入力'!$J$5:$J$204&gt;$A30)*(ROW('01_予約入力'!$G$5:$G$204)-4))))</f>
        <v/>
      </c>
      <c r="T30" s="44">
        <f>IF(OR($A30="",E$6=""),0,SUMPRODUCT(MAX(('01_予約入力'!$D$5:$D$204=E$6)*('01_予約入力'!$N$5:$N$204&lt;&gt;"キャンセル")*('01_予約入力'!$G$5:$G$204&lt;&gt;"")*('01_予約入力'!$G$5:$G$204=$A30)*('01_予約入力'!$J$5:$J$204=$A30)*(ROW('01_予約入力'!$G$5:$G$204)-4))))</f>
        <v/>
      </c>
      <c r="U30" s="44">
        <f>IF(OR($A30="",F$6=""),0,SUMPRODUCT(MAX(('01_予約入力'!$D$5:$D$204=F$6)*('01_予約入力'!$N$5:$N$204&lt;&gt;"キャンセル")*('01_予約入力'!$G$5:$G$204&lt;&gt;"")*('01_予約入力'!$J$5:$J$204=$A30)*('01_予約入力'!$G$5:$G$204&lt;$A30)*(ROW('01_予約入力'!$G$5:$G$204)-4))))</f>
        <v/>
      </c>
      <c r="V30" s="44">
        <f>IF(OR($A30="",F$6=""),0,SUMPRODUCT(MAX(('01_予約入力'!$D$5:$D$204=F$6)*('01_予約入力'!$N$5:$N$204&lt;&gt;"キャンセル")*('01_予約入力'!$G$5:$G$204&lt;&gt;"")*('01_予約入力'!$G$5:$G$204&lt;=$A30)*('01_予約入力'!$J$5:$J$204&gt;$A30)*(ROW('01_予約入力'!$G$5:$G$204)-4))))</f>
        <v/>
      </c>
      <c r="W30" s="44">
        <f>IF(OR($A30="",F$6=""),0,SUMPRODUCT(MAX(('01_予約入力'!$D$5:$D$204=F$6)*('01_予約入力'!$N$5:$N$204&lt;&gt;"キャンセル")*('01_予約入力'!$G$5:$G$204&lt;&gt;"")*('01_予約入力'!$G$5:$G$204=$A30)*('01_予約入力'!$J$5:$J$204=$A30)*(ROW('01_予約入力'!$G$5:$G$204)-4))))</f>
        <v/>
      </c>
      <c r="X30" s="44">
        <f>IF($A30="","",IF($M30&gt;0,IF(OR(INDEX('01_予約入力'!$N$5:$N$204,$M30)="仮予約",INDEX('01_予約入力'!$N$5:$N$204,$M30)="調整中"),"仮",INDEX('01_予約入力'!$C$5:$C$204,$M30)),IF($N30&gt;0,IF(OR(INDEX('01_予約入力'!$N$5:$N$204,$N30)="仮予約",INDEX('01_予約入力'!$N$5:$N$204,$N30)="調整中"),"仮",INDEX('01_予約入力'!$C$5:$C$204,$N30)),IF($L30&gt;0,IF(OR(INDEX('01_予約入力'!$N$5:$N$204,$L30)="仮予約",INDEX('01_予約入力'!$N$5:$N$204,$L30)="調整中"),"仮",INDEX('01_予約入力'!$C$5:$C$204,$L30)),""))))</f>
        <v/>
      </c>
      <c r="Y30" s="44">
        <f>IF($A30="","",IF($P30&gt;0,IF(OR(INDEX('01_予約入力'!$N$5:$N$204,$P30)="仮予約",INDEX('01_予約入力'!$N$5:$N$204,$P30)="調整中"),"仮",INDEX('01_予約入力'!$C$5:$C$204,$P30)),IF($Q30&gt;0,IF(OR(INDEX('01_予約入力'!$N$5:$N$204,$Q30)="仮予約",INDEX('01_予約入力'!$N$5:$N$204,$Q30)="調整中"),"仮",INDEX('01_予約入力'!$C$5:$C$204,$Q30)),IF($O30&gt;0,IF(OR(INDEX('01_予約入力'!$N$5:$N$204,$O30)="仮予約",INDEX('01_予約入力'!$N$5:$N$204,$O30)="調整中"),"仮",INDEX('01_予約入力'!$C$5:$C$204,$O30)),""))))</f>
        <v/>
      </c>
      <c r="Z30" s="44">
        <f>IF($A30="","",IF($S30&gt;0,IF(OR(INDEX('01_予約入力'!$N$5:$N$204,$S30)="仮予約",INDEX('01_予約入力'!$N$5:$N$204,$S30)="調整中"),"仮",INDEX('01_予約入力'!$C$5:$C$204,$S30)),IF($T30&gt;0,IF(OR(INDEX('01_予約入力'!$N$5:$N$204,$T30)="仮予約",INDEX('01_予約入力'!$N$5:$N$204,$T30)="調整中"),"仮",INDEX('01_予約入力'!$C$5:$C$204,$T30)),IF($R30&gt;0,IF(OR(INDEX('01_予約入力'!$N$5:$N$204,$R30)="仮予約",INDEX('01_予約入力'!$N$5:$N$204,$R30)="調整中"),"仮",INDEX('01_予約入力'!$C$5:$C$204,$R30)),""))))</f>
        <v/>
      </c>
      <c r="AA30" s="44">
        <f>IF($A30="","",IF($V30&gt;0,IF(OR(INDEX('01_予約入力'!$N$5:$N$204,$V30)="仮予約",INDEX('01_予約入力'!$N$5:$N$204,$V30)="調整中"),"仮",INDEX('01_予約入力'!$C$5:$C$204,$V30)),IF($W30&gt;0,IF(OR(INDEX('01_予約入力'!$N$5:$N$204,$W30)="仮予約",INDEX('01_予約入力'!$N$5:$N$204,$W30)="調整中"),"仮",INDEX('01_予約入力'!$C$5:$C$204,$W30)),IF($U30&gt;0,IF(OR(INDEX('01_予約入力'!$N$5:$N$204,$U30)="仮予約",INDEX('01_予約入力'!$N$5:$N$204,$U30)="調整中"),"仮",INDEX('01_予約入力'!$C$5:$C$204,$U30)),""))))</f>
        <v/>
      </c>
      <c r="AB30" s="44">
        <f>IF($A30="",0,SUMPRODUCT(('01_予約入力'!$G$5:$G$204&lt;&gt;"")*('01_予約入力'!$N$5:$N$204&lt;&gt;"キャンセル")*('01_予約入力'!$G$5:$G$204&lt;$A30)*('01_予約入力'!$J$5:$J$204&gt;=$A30)))</f>
        <v/>
      </c>
      <c r="AC30" s="44">
        <f>IF($A30="",0,SUMPRODUCT(('01_予約入力'!$G$5:$G$204&lt;&gt;"")*('01_予約入力'!$N$5:$N$204&lt;&gt;"キャンセル")*((('01_予約入力'!$G$5:$G$204&lt;$A30)*('01_予約入力'!$J$5:$J$204&gt;$A30))+(('01_予約入力'!$G$5:$G$204=$A30)*('01_予約入力'!$J$5:$J$204=$A30)))))</f>
        <v/>
      </c>
      <c r="AD30" s="44">
        <f>IF($A30="",0,SUMPRODUCT(('01_予約入力'!$G$5:$G$204&lt;&gt;"")*('01_予約入力'!$N$5:$N$204&lt;&gt;"キャンセル")*('01_予約入力'!$G$5:$G$204&lt;=$A30)*('01_予約入力'!$J$5:$J$204&gt;$A30)))</f>
        <v/>
      </c>
      <c r="AE30" s="44">
        <f>IF($A30="",0,IFERROR(MATCH($A30,'02_カレンダー'!$B$59:$B$78,0),0))</f>
        <v/>
      </c>
      <c r="AF30" s="44">
        <f>IF($A30="",0,IF($AE30=0,$AB30,IF(INDEX('02_カレンダー'!$C$59:$C$78,$AE30)="",$AB30,INDEX('02_カレンダー'!$C$59:$C$78,$AE30))))</f>
        <v/>
      </c>
      <c r="AG30" s="44">
        <f>IF($A30="",0,IF($AE30=0,$AC30,IF(INDEX('02_カレンダー'!$D$59:$D$78,$AE30)="",$AC30,INDEX('02_カレンダー'!$D$59:$D$78,$AE30))))</f>
        <v/>
      </c>
      <c r="AH30" s="44">
        <f>IF($A30="",0,IF($AE30=0,$AD30,IF(INDEX('02_カレンダー'!$E$59:$E$78,$AE30)="",$AD30,INDEX('02_カレンダー'!$E$59:$E$78,$AE30))))</f>
        <v/>
      </c>
      <c r="AI30" s="44">
        <f>IF($A30="","",IF(AND($AF30=0,$AG30=0,$AH30=0),"","朝"&amp;$AF30&amp;" 昼"&amp;$AG30&amp;" 夕"&amp;$AH30&amp;IF($AJ30=0,"","　※調整")))</f>
        <v/>
      </c>
      <c r="AJ30" s="44">
        <f>IF(OR($A30="",$AE30=0),0,IF(OR(INDEX('02_カレンダー'!$C$59:$C$78,$AE30)&lt;&gt;"",INDEX('02_カレンダー'!$D$59:$D$78,$AE30)&lt;&gt;"",INDEX('02_カレンダー'!$E$59:$E$78,$AE30)&lt;&gt;""),1,0))</f>
        <v/>
      </c>
    </row>
    <row r="31">
      <c r="A31" s="37">
        <f>IF(MONTH('02_カレンダー'!$B$4+24)&lt;&gt;MONTH('02_カレンダー'!$B$4),"",'02_カレンダー'!$B$4+24)</f>
        <v/>
      </c>
      <c r="B31" s="44">
        <f>IF($A31="","",MID("日月火水木金土",WEEKDAY($A31),1))</f>
        <v/>
      </c>
      <c r="C31" s="48">
        <f>IF(OR($A31="",C$6=""),"",IF($L31=0,"",INDEX('01_予約入力'!$B$5:$B$204,$L31)&amp;" ◀"&amp;IF(('02_カレンダー'!$B$5="○"),INDEX('01_予約入力'!$AB$5:$AB$204,$L31),""))&amp;IF(AND($L31&gt;0,OR($M31&gt;0,$N31&gt;0)),"  ","")&amp;IF($M31=0,"",IF(INDEX('01_予約入力'!$G$5:$G$204,$M31)=$A31,"▶"&amp;IF(('02_カレンダー'!$B$5="○"),INDEX('01_予約入力'!$AA$5:$AA$204,$M31)&amp;" "," "),"")&amp;INDEX('01_予約入力'!$B$5:$B$204,$M31))&amp;IF(AND($M31&gt;0,$N31&gt;0),"  ","")&amp;IF($N31=0,"","◆ "&amp;INDEX('01_予約入力'!$B$5:$B$204,$N31)&amp;IF(('02_カレンダー'!$B$5="○")," "&amp;INDEX('01_予約入力'!$AA$5:$AA$204,$N31)&amp;"-"&amp;INDEX('01_予約入力'!$AB$5:$AB$204,$N31),"")))</f>
        <v/>
      </c>
      <c r="D31" s="48">
        <f>IF(OR($A31="",D$6=""),"",IF($O31=0,"",INDEX('01_予約入力'!$B$5:$B$204,$O31)&amp;" ◀"&amp;IF(('02_カレンダー'!$B$5="○"),INDEX('01_予約入力'!$AB$5:$AB$204,$O31),""))&amp;IF(AND($O31&gt;0,OR($P31&gt;0,$Q31&gt;0)),"  ","")&amp;IF($P31=0,"",IF(INDEX('01_予約入力'!$G$5:$G$204,$P31)=$A31,"▶"&amp;IF(('02_カレンダー'!$B$5="○"),INDEX('01_予約入力'!$AA$5:$AA$204,$P31)&amp;" "," "),"")&amp;INDEX('01_予約入力'!$B$5:$B$204,$P31))&amp;IF(AND($P31&gt;0,$Q31&gt;0),"  ","")&amp;IF($Q31=0,"","◆ "&amp;INDEX('01_予約入力'!$B$5:$B$204,$Q31)&amp;IF(('02_カレンダー'!$B$5="○")," "&amp;INDEX('01_予約入力'!$AA$5:$AA$204,$Q31)&amp;"-"&amp;INDEX('01_予約入力'!$AB$5:$AB$204,$Q31),"")))</f>
        <v/>
      </c>
      <c r="E31" s="48">
        <f>IF(OR($A31="",E$6=""),"",IF($R31=0,"",INDEX('01_予約入力'!$B$5:$B$204,$R31)&amp;" ◀"&amp;IF(('02_カレンダー'!$B$5="○"),INDEX('01_予約入力'!$AB$5:$AB$204,$R31),""))&amp;IF(AND($R31&gt;0,OR($S31&gt;0,$T31&gt;0)),"  ","")&amp;IF($S31=0,"",IF(INDEX('01_予約入力'!$G$5:$G$204,$S31)=$A31,"▶"&amp;IF(('02_カレンダー'!$B$5="○"),INDEX('01_予約入力'!$AA$5:$AA$204,$S31)&amp;" "," "),"")&amp;INDEX('01_予約入力'!$B$5:$B$204,$S31))&amp;IF(AND($S31&gt;0,$T31&gt;0),"  ","")&amp;IF($T31=0,"","◆ "&amp;INDEX('01_予約入力'!$B$5:$B$204,$T31)&amp;IF(('02_カレンダー'!$B$5="○")," "&amp;INDEX('01_予約入力'!$AA$5:$AA$204,$T31)&amp;"-"&amp;INDEX('01_予約入力'!$AB$5:$AB$204,$T31),"")))</f>
        <v/>
      </c>
      <c r="F31" s="48">
        <f>IF(OR($A31="",F$6=""),"",IF($U31=0,"",INDEX('01_予約入力'!$B$5:$B$204,$U31)&amp;" ◀"&amp;IF(('02_カレンダー'!$B$5="○"),INDEX('01_予約入力'!$AB$5:$AB$204,$U31),""))&amp;IF(AND($U31&gt;0,OR($V31&gt;0,$W31&gt;0)),"  ","")&amp;IF($V31=0,"",IF(INDEX('01_予約入力'!$G$5:$G$204,$V31)=$A31,"▶"&amp;IF(('02_カレンダー'!$B$5="○"),INDEX('01_予約入力'!$AA$5:$AA$204,$V31)&amp;" "," "),"")&amp;INDEX('01_予約入力'!$B$5:$B$204,$V31))&amp;IF(AND($V31&gt;0,$W31&gt;0),"  ","")&amp;IF($W31=0,"","◆ "&amp;INDEX('01_予約入力'!$B$5:$B$204,$W31)&amp;IF(('02_カレンダー'!$B$5="○")," "&amp;INDEX('01_予約入力'!$AA$5:$AA$204,$W31)&amp;"-"&amp;INDEX('01_予約入力'!$AB$5:$AB$204,$W31),"")))</f>
        <v/>
      </c>
      <c r="G31" s="44">
        <f>IF($A31="","",SUMPRODUCT(('01_予約入力'!$G$5:$G$204&lt;&gt;"")*('01_予約入力'!$N$5:$N$204&lt;&gt;"キャンセル")*('01_予約入力'!$G$5:$G$204&lt;=$A31)*('01_予約入力'!$J$5:$J$204&gt;$A31)))</f>
        <v/>
      </c>
      <c r="H31" s="44">
        <f>IF($A31="","",'M_施設設定'!$B$6-$G31)</f>
        <v/>
      </c>
      <c r="I31" s="44">
        <f>IF($A31="","",SUMPRODUCT((('01_予約入力'!$N$5:$N$204="仮予約")+('01_予約入力'!$N$5:$N$204="調整中"))*('01_予約入力'!$G$5:$G$204&lt;&gt;"")*('01_予約入力'!$G$5:$G$204&lt;=$A31)*('01_予約入力'!$J$5:$J$204&gt;$A31)))</f>
        <v/>
      </c>
      <c r="J31" s="44">
        <f>IF($A31="","",IF($I31&gt;0,"仮",IF($H31&lt;=0,"×",IF($H31&lt;'M_施設設定'!$B$6,"△","○"))))</f>
        <v/>
      </c>
      <c r="K31" s="44">
        <f>IF($A31="","",SUMPRODUCT(('01_予約入力'!$G$5:$G$204&lt;&gt;"")*('01_予約入力'!$N$5:$N$204&lt;&gt;"キャンセル")*('01_予約入力'!$G$5:$G$204=$A31)*('01_予約入力'!$J$5:$J$204=$A31)))</f>
        <v/>
      </c>
      <c r="L31" s="44">
        <f>IF(OR($A31="",C$6=""),0,SUMPRODUCT(MAX(('01_予約入力'!$D$5:$D$204=C$6)*('01_予約入力'!$N$5:$N$204&lt;&gt;"キャンセル")*('01_予約入力'!$G$5:$G$204&lt;&gt;"")*('01_予約入力'!$J$5:$J$204=$A31)*('01_予約入力'!$G$5:$G$204&lt;$A31)*(ROW('01_予約入力'!$G$5:$G$204)-4))))</f>
        <v/>
      </c>
      <c r="M31" s="44">
        <f>IF(OR($A31="",C$6=""),0,SUMPRODUCT(MAX(('01_予約入力'!$D$5:$D$204=C$6)*('01_予約入力'!$N$5:$N$204&lt;&gt;"キャンセル")*('01_予約入力'!$G$5:$G$204&lt;&gt;"")*('01_予約入力'!$G$5:$G$204&lt;=$A31)*('01_予約入力'!$J$5:$J$204&gt;$A31)*(ROW('01_予約入力'!$G$5:$G$204)-4))))</f>
        <v/>
      </c>
      <c r="N31" s="44">
        <f>IF(OR($A31="",C$6=""),0,SUMPRODUCT(MAX(('01_予約入力'!$D$5:$D$204=C$6)*('01_予約入力'!$N$5:$N$204&lt;&gt;"キャンセル")*('01_予約入力'!$G$5:$G$204&lt;&gt;"")*('01_予約入力'!$G$5:$G$204=$A31)*('01_予約入力'!$J$5:$J$204=$A31)*(ROW('01_予約入力'!$G$5:$G$204)-4))))</f>
        <v/>
      </c>
      <c r="O31" s="44">
        <f>IF(OR($A31="",D$6=""),0,SUMPRODUCT(MAX(('01_予約入力'!$D$5:$D$204=D$6)*('01_予約入力'!$N$5:$N$204&lt;&gt;"キャンセル")*('01_予約入力'!$G$5:$G$204&lt;&gt;"")*('01_予約入力'!$J$5:$J$204=$A31)*('01_予約入力'!$G$5:$G$204&lt;$A31)*(ROW('01_予約入力'!$G$5:$G$204)-4))))</f>
        <v/>
      </c>
      <c r="P31" s="44">
        <f>IF(OR($A31="",D$6=""),0,SUMPRODUCT(MAX(('01_予約入力'!$D$5:$D$204=D$6)*('01_予約入力'!$N$5:$N$204&lt;&gt;"キャンセル")*('01_予約入力'!$G$5:$G$204&lt;&gt;"")*('01_予約入力'!$G$5:$G$204&lt;=$A31)*('01_予約入力'!$J$5:$J$204&gt;$A31)*(ROW('01_予約入力'!$G$5:$G$204)-4))))</f>
        <v/>
      </c>
      <c r="Q31" s="44">
        <f>IF(OR($A31="",D$6=""),0,SUMPRODUCT(MAX(('01_予約入力'!$D$5:$D$204=D$6)*('01_予約入力'!$N$5:$N$204&lt;&gt;"キャンセル")*('01_予約入力'!$G$5:$G$204&lt;&gt;"")*('01_予約入力'!$G$5:$G$204=$A31)*('01_予約入力'!$J$5:$J$204=$A31)*(ROW('01_予約入力'!$G$5:$G$204)-4))))</f>
        <v/>
      </c>
      <c r="R31" s="44">
        <f>IF(OR($A31="",E$6=""),0,SUMPRODUCT(MAX(('01_予約入力'!$D$5:$D$204=E$6)*('01_予約入力'!$N$5:$N$204&lt;&gt;"キャンセル")*('01_予約入力'!$G$5:$G$204&lt;&gt;"")*('01_予約入力'!$J$5:$J$204=$A31)*('01_予約入力'!$G$5:$G$204&lt;$A31)*(ROW('01_予約入力'!$G$5:$G$204)-4))))</f>
        <v/>
      </c>
      <c r="S31" s="44">
        <f>IF(OR($A31="",E$6=""),0,SUMPRODUCT(MAX(('01_予約入力'!$D$5:$D$204=E$6)*('01_予約入力'!$N$5:$N$204&lt;&gt;"キャンセル")*('01_予約入力'!$G$5:$G$204&lt;&gt;"")*('01_予約入力'!$G$5:$G$204&lt;=$A31)*('01_予約入力'!$J$5:$J$204&gt;$A31)*(ROW('01_予約入力'!$G$5:$G$204)-4))))</f>
        <v/>
      </c>
      <c r="T31" s="44">
        <f>IF(OR($A31="",E$6=""),0,SUMPRODUCT(MAX(('01_予約入力'!$D$5:$D$204=E$6)*('01_予約入力'!$N$5:$N$204&lt;&gt;"キャンセル")*('01_予約入力'!$G$5:$G$204&lt;&gt;"")*('01_予約入力'!$G$5:$G$204=$A31)*('01_予約入力'!$J$5:$J$204=$A31)*(ROW('01_予約入力'!$G$5:$G$204)-4))))</f>
        <v/>
      </c>
      <c r="U31" s="44">
        <f>IF(OR($A31="",F$6=""),0,SUMPRODUCT(MAX(('01_予約入力'!$D$5:$D$204=F$6)*('01_予約入力'!$N$5:$N$204&lt;&gt;"キャンセル")*('01_予約入力'!$G$5:$G$204&lt;&gt;"")*('01_予約入力'!$J$5:$J$204=$A31)*('01_予約入力'!$G$5:$G$204&lt;$A31)*(ROW('01_予約入力'!$G$5:$G$204)-4))))</f>
        <v/>
      </c>
      <c r="V31" s="44">
        <f>IF(OR($A31="",F$6=""),0,SUMPRODUCT(MAX(('01_予約入力'!$D$5:$D$204=F$6)*('01_予約入力'!$N$5:$N$204&lt;&gt;"キャンセル")*('01_予約入力'!$G$5:$G$204&lt;&gt;"")*('01_予約入力'!$G$5:$G$204&lt;=$A31)*('01_予約入力'!$J$5:$J$204&gt;$A31)*(ROW('01_予約入力'!$G$5:$G$204)-4))))</f>
        <v/>
      </c>
      <c r="W31" s="44">
        <f>IF(OR($A31="",F$6=""),0,SUMPRODUCT(MAX(('01_予約入力'!$D$5:$D$204=F$6)*('01_予約入力'!$N$5:$N$204&lt;&gt;"キャンセル")*('01_予約入力'!$G$5:$G$204&lt;&gt;"")*('01_予約入力'!$G$5:$G$204=$A31)*('01_予約入力'!$J$5:$J$204=$A31)*(ROW('01_予約入力'!$G$5:$G$204)-4))))</f>
        <v/>
      </c>
      <c r="X31" s="44">
        <f>IF($A31="","",IF($M31&gt;0,IF(OR(INDEX('01_予約入力'!$N$5:$N$204,$M31)="仮予約",INDEX('01_予約入力'!$N$5:$N$204,$M31)="調整中"),"仮",INDEX('01_予約入力'!$C$5:$C$204,$M31)),IF($N31&gt;0,IF(OR(INDEX('01_予約入力'!$N$5:$N$204,$N31)="仮予約",INDEX('01_予約入力'!$N$5:$N$204,$N31)="調整中"),"仮",INDEX('01_予約入力'!$C$5:$C$204,$N31)),IF($L31&gt;0,IF(OR(INDEX('01_予約入力'!$N$5:$N$204,$L31)="仮予約",INDEX('01_予約入力'!$N$5:$N$204,$L31)="調整中"),"仮",INDEX('01_予約入力'!$C$5:$C$204,$L31)),""))))</f>
        <v/>
      </c>
      <c r="Y31" s="44">
        <f>IF($A31="","",IF($P31&gt;0,IF(OR(INDEX('01_予約入力'!$N$5:$N$204,$P31)="仮予約",INDEX('01_予約入力'!$N$5:$N$204,$P31)="調整中"),"仮",INDEX('01_予約入力'!$C$5:$C$204,$P31)),IF($Q31&gt;0,IF(OR(INDEX('01_予約入力'!$N$5:$N$204,$Q31)="仮予約",INDEX('01_予約入力'!$N$5:$N$204,$Q31)="調整中"),"仮",INDEX('01_予約入力'!$C$5:$C$204,$Q31)),IF($O31&gt;0,IF(OR(INDEX('01_予約入力'!$N$5:$N$204,$O31)="仮予約",INDEX('01_予約入力'!$N$5:$N$204,$O31)="調整中"),"仮",INDEX('01_予約入力'!$C$5:$C$204,$O31)),""))))</f>
        <v/>
      </c>
      <c r="Z31" s="44">
        <f>IF($A31="","",IF($S31&gt;0,IF(OR(INDEX('01_予約入力'!$N$5:$N$204,$S31)="仮予約",INDEX('01_予約入力'!$N$5:$N$204,$S31)="調整中"),"仮",INDEX('01_予約入力'!$C$5:$C$204,$S31)),IF($T31&gt;0,IF(OR(INDEX('01_予約入力'!$N$5:$N$204,$T31)="仮予約",INDEX('01_予約入力'!$N$5:$N$204,$T31)="調整中"),"仮",INDEX('01_予約入力'!$C$5:$C$204,$T31)),IF($R31&gt;0,IF(OR(INDEX('01_予約入力'!$N$5:$N$204,$R31)="仮予約",INDEX('01_予約入力'!$N$5:$N$204,$R31)="調整中"),"仮",INDEX('01_予約入力'!$C$5:$C$204,$R31)),""))))</f>
        <v/>
      </c>
      <c r="AA31" s="44">
        <f>IF($A31="","",IF($V31&gt;0,IF(OR(INDEX('01_予約入力'!$N$5:$N$204,$V31)="仮予約",INDEX('01_予約入力'!$N$5:$N$204,$V31)="調整中"),"仮",INDEX('01_予約入力'!$C$5:$C$204,$V31)),IF($W31&gt;0,IF(OR(INDEX('01_予約入力'!$N$5:$N$204,$W31)="仮予約",INDEX('01_予約入力'!$N$5:$N$204,$W31)="調整中"),"仮",INDEX('01_予約入力'!$C$5:$C$204,$W31)),IF($U31&gt;0,IF(OR(INDEX('01_予約入力'!$N$5:$N$204,$U31)="仮予約",INDEX('01_予約入力'!$N$5:$N$204,$U31)="調整中"),"仮",INDEX('01_予約入力'!$C$5:$C$204,$U31)),""))))</f>
        <v/>
      </c>
      <c r="AB31" s="44">
        <f>IF($A31="",0,SUMPRODUCT(('01_予約入力'!$G$5:$G$204&lt;&gt;"")*('01_予約入力'!$N$5:$N$204&lt;&gt;"キャンセル")*('01_予約入力'!$G$5:$G$204&lt;$A31)*('01_予約入力'!$J$5:$J$204&gt;=$A31)))</f>
        <v/>
      </c>
      <c r="AC31" s="44">
        <f>IF($A31="",0,SUMPRODUCT(('01_予約入力'!$G$5:$G$204&lt;&gt;"")*('01_予約入力'!$N$5:$N$204&lt;&gt;"キャンセル")*((('01_予約入力'!$G$5:$G$204&lt;$A31)*('01_予約入力'!$J$5:$J$204&gt;$A31))+(('01_予約入力'!$G$5:$G$204=$A31)*('01_予約入力'!$J$5:$J$204=$A31)))))</f>
        <v/>
      </c>
      <c r="AD31" s="44">
        <f>IF($A31="",0,SUMPRODUCT(('01_予約入力'!$G$5:$G$204&lt;&gt;"")*('01_予約入力'!$N$5:$N$204&lt;&gt;"キャンセル")*('01_予約入力'!$G$5:$G$204&lt;=$A31)*('01_予約入力'!$J$5:$J$204&gt;$A31)))</f>
        <v/>
      </c>
      <c r="AE31" s="44">
        <f>IF($A31="",0,IFERROR(MATCH($A31,'02_カレンダー'!$B$59:$B$78,0),0))</f>
        <v/>
      </c>
      <c r="AF31" s="44">
        <f>IF($A31="",0,IF($AE31=0,$AB31,IF(INDEX('02_カレンダー'!$C$59:$C$78,$AE31)="",$AB31,INDEX('02_カレンダー'!$C$59:$C$78,$AE31))))</f>
        <v/>
      </c>
      <c r="AG31" s="44">
        <f>IF($A31="",0,IF($AE31=0,$AC31,IF(INDEX('02_カレンダー'!$D$59:$D$78,$AE31)="",$AC31,INDEX('02_カレンダー'!$D$59:$D$78,$AE31))))</f>
        <v/>
      </c>
      <c r="AH31" s="44">
        <f>IF($A31="",0,IF($AE31=0,$AD31,IF(INDEX('02_カレンダー'!$E$59:$E$78,$AE31)="",$AD31,INDEX('02_カレンダー'!$E$59:$E$78,$AE31))))</f>
        <v/>
      </c>
      <c r="AI31" s="44">
        <f>IF($A31="","",IF(AND($AF31=0,$AG31=0,$AH31=0),"","朝"&amp;$AF31&amp;" 昼"&amp;$AG31&amp;" 夕"&amp;$AH31&amp;IF($AJ31=0,"","　※調整")))</f>
        <v/>
      </c>
      <c r="AJ31" s="44">
        <f>IF(OR($A31="",$AE31=0),0,IF(OR(INDEX('02_カレンダー'!$C$59:$C$78,$AE31)&lt;&gt;"",INDEX('02_カレンダー'!$D$59:$D$78,$AE31)&lt;&gt;"",INDEX('02_カレンダー'!$E$59:$E$78,$AE31)&lt;&gt;""),1,0))</f>
        <v/>
      </c>
    </row>
    <row r="32">
      <c r="A32" s="37">
        <f>IF(MONTH('02_カレンダー'!$B$4+25)&lt;&gt;MONTH('02_カレンダー'!$B$4),"",'02_カレンダー'!$B$4+25)</f>
        <v/>
      </c>
      <c r="B32" s="44">
        <f>IF($A32="","",MID("日月火水木金土",WEEKDAY($A32),1))</f>
        <v/>
      </c>
      <c r="C32" s="48">
        <f>IF(OR($A32="",C$6=""),"",IF($L32=0,"",INDEX('01_予約入力'!$B$5:$B$204,$L32)&amp;" ◀"&amp;IF(('02_カレンダー'!$B$5="○"),INDEX('01_予約入力'!$AB$5:$AB$204,$L32),""))&amp;IF(AND($L32&gt;0,OR($M32&gt;0,$N32&gt;0)),"  ","")&amp;IF($M32=0,"",IF(INDEX('01_予約入力'!$G$5:$G$204,$M32)=$A32,"▶"&amp;IF(('02_カレンダー'!$B$5="○"),INDEX('01_予約入力'!$AA$5:$AA$204,$M32)&amp;" "," "),"")&amp;INDEX('01_予約入力'!$B$5:$B$204,$M32))&amp;IF(AND($M32&gt;0,$N32&gt;0),"  ","")&amp;IF($N32=0,"","◆ "&amp;INDEX('01_予約入力'!$B$5:$B$204,$N32)&amp;IF(('02_カレンダー'!$B$5="○")," "&amp;INDEX('01_予約入力'!$AA$5:$AA$204,$N32)&amp;"-"&amp;INDEX('01_予約入力'!$AB$5:$AB$204,$N32),"")))</f>
        <v/>
      </c>
      <c r="D32" s="48">
        <f>IF(OR($A32="",D$6=""),"",IF($O32=0,"",INDEX('01_予約入力'!$B$5:$B$204,$O32)&amp;" ◀"&amp;IF(('02_カレンダー'!$B$5="○"),INDEX('01_予約入力'!$AB$5:$AB$204,$O32),""))&amp;IF(AND($O32&gt;0,OR($P32&gt;0,$Q32&gt;0)),"  ","")&amp;IF($P32=0,"",IF(INDEX('01_予約入力'!$G$5:$G$204,$P32)=$A32,"▶"&amp;IF(('02_カレンダー'!$B$5="○"),INDEX('01_予約入力'!$AA$5:$AA$204,$P32)&amp;" "," "),"")&amp;INDEX('01_予約入力'!$B$5:$B$204,$P32))&amp;IF(AND($P32&gt;0,$Q32&gt;0),"  ","")&amp;IF($Q32=0,"","◆ "&amp;INDEX('01_予約入力'!$B$5:$B$204,$Q32)&amp;IF(('02_カレンダー'!$B$5="○")," "&amp;INDEX('01_予約入力'!$AA$5:$AA$204,$Q32)&amp;"-"&amp;INDEX('01_予約入力'!$AB$5:$AB$204,$Q32),"")))</f>
        <v/>
      </c>
      <c r="E32" s="48">
        <f>IF(OR($A32="",E$6=""),"",IF($R32=0,"",INDEX('01_予約入力'!$B$5:$B$204,$R32)&amp;" ◀"&amp;IF(('02_カレンダー'!$B$5="○"),INDEX('01_予約入力'!$AB$5:$AB$204,$R32),""))&amp;IF(AND($R32&gt;0,OR($S32&gt;0,$T32&gt;0)),"  ","")&amp;IF($S32=0,"",IF(INDEX('01_予約入力'!$G$5:$G$204,$S32)=$A32,"▶"&amp;IF(('02_カレンダー'!$B$5="○"),INDEX('01_予約入力'!$AA$5:$AA$204,$S32)&amp;" "," "),"")&amp;INDEX('01_予約入力'!$B$5:$B$204,$S32))&amp;IF(AND($S32&gt;0,$T32&gt;0),"  ","")&amp;IF($T32=0,"","◆ "&amp;INDEX('01_予約入力'!$B$5:$B$204,$T32)&amp;IF(('02_カレンダー'!$B$5="○")," "&amp;INDEX('01_予約入力'!$AA$5:$AA$204,$T32)&amp;"-"&amp;INDEX('01_予約入力'!$AB$5:$AB$204,$T32),"")))</f>
        <v/>
      </c>
      <c r="F32" s="48">
        <f>IF(OR($A32="",F$6=""),"",IF($U32=0,"",INDEX('01_予約入力'!$B$5:$B$204,$U32)&amp;" ◀"&amp;IF(('02_カレンダー'!$B$5="○"),INDEX('01_予約入力'!$AB$5:$AB$204,$U32),""))&amp;IF(AND($U32&gt;0,OR($V32&gt;0,$W32&gt;0)),"  ","")&amp;IF($V32=0,"",IF(INDEX('01_予約入力'!$G$5:$G$204,$V32)=$A32,"▶"&amp;IF(('02_カレンダー'!$B$5="○"),INDEX('01_予約入力'!$AA$5:$AA$204,$V32)&amp;" "," "),"")&amp;INDEX('01_予約入力'!$B$5:$B$204,$V32))&amp;IF(AND($V32&gt;0,$W32&gt;0),"  ","")&amp;IF($W32=0,"","◆ "&amp;INDEX('01_予約入力'!$B$5:$B$204,$W32)&amp;IF(('02_カレンダー'!$B$5="○")," "&amp;INDEX('01_予約入力'!$AA$5:$AA$204,$W32)&amp;"-"&amp;INDEX('01_予約入力'!$AB$5:$AB$204,$W32),"")))</f>
        <v/>
      </c>
      <c r="G32" s="44">
        <f>IF($A32="","",SUMPRODUCT(('01_予約入力'!$G$5:$G$204&lt;&gt;"")*('01_予約入力'!$N$5:$N$204&lt;&gt;"キャンセル")*('01_予約入力'!$G$5:$G$204&lt;=$A32)*('01_予約入力'!$J$5:$J$204&gt;$A32)))</f>
        <v/>
      </c>
      <c r="H32" s="44">
        <f>IF($A32="","",'M_施設設定'!$B$6-$G32)</f>
        <v/>
      </c>
      <c r="I32" s="44">
        <f>IF($A32="","",SUMPRODUCT((('01_予約入力'!$N$5:$N$204="仮予約")+('01_予約入力'!$N$5:$N$204="調整中"))*('01_予約入力'!$G$5:$G$204&lt;&gt;"")*('01_予約入力'!$G$5:$G$204&lt;=$A32)*('01_予約入力'!$J$5:$J$204&gt;$A32)))</f>
        <v/>
      </c>
      <c r="J32" s="44">
        <f>IF($A32="","",IF($I32&gt;0,"仮",IF($H32&lt;=0,"×",IF($H32&lt;'M_施設設定'!$B$6,"△","○"))))</f>
        <v/>
      </c>
      <c r="K32" s="44">
        <f>IF($A32="","",SUMPRODUCT(('01_予約入力'!$G$5:$G$204&lt;&gt;"")*('01_予約入力'!$N$5:$N$204&lt;&gt;"キャンセル")*('01_予約入力'!$G$5:$G$204=$A32)*('01_予約入力'!$J$5:$J$204=$A32)))</f>
        <v/>
      </c>
      <c r="L32" s="44">
        <f>IF(OR($A32="",C$6=""),0,SUMPRODUCT(MAX(('01_予約入力'!$D$5:$D$204=C$6)*('01_予約入力'!$N$5:$N$204&lt;&gt;"キャンセル")*('01_予約入力'!$G$5:$G$204&lt;&gt;"")*('01_予約入力'!$J$5:$J$204=$A32)*('01_予約入力'!$G$5:$G$204&lt;$A32)*(ROW('01_予約入力'!$G$5:$G$204)-4))))</f>
        <v/>
      </c>
      <c r="M32" s="44">
        <f>IF(OR($A32="",C$6=""),0,SUMPRODUCT(MAX(('01_予約入力'!$D$5:$D$204=C$6)*('01_予約入力'!$N$5:$N$204&lt;&gt;"キャンセル")*('01_予約入力'!$G$5:$G$204&lt;&gt;"")*('01_予約入力'!$G$5:$G$204&lt;=$A32)*('01_予約入力'!$J$5:$J$204&gt;$A32)*(ROW('01_予約入力'!$G$5:$G$204)-4))))</f>
        <v/>
      </c>
      <c r="N32" s="44">
        <f>IF(OR($A32="",C$6=""),0,SUMPRODUCT(MAX(('01_予約入力'!$D$5:$D$204=C$6)*('01_予約入力'!$N$5:$N$204&lt;&gt;"キャンセル")*('01_予約入力'!$G$5:$G$204&lt;&gt;"")*('01_予約入力'!$G$5:$G$204=$A32)*('01_予約入力'!$J$5:$J$204=$A32)*(ROW('01_予約入力'!$G$5:$G$204)-4))))</f>
        <v/>
      </c>
      <c r="O32" s="44">
        <f>IF(OR($A32="",D$6=""),0,SUMPRODUCT(MAX(('01_予約入力'!$D$5:$D$204=D$6)*('01_予約入力'!$N$5:$N$204&lt;&gt;"キャンセル")*('01_予約入力'!$G$5:$G$204&lt;&gt;"")*('01_予約入力'!$J$5:$J$204=$A32)*('01_予約入力'!$G$5:$G$204&lt;$A32)*(ROW('01_予約入力'!$G$5:$G$204)-4))))</f>
        <v/>
      </c>
      <c r="P32" s="44">
        <f>IF(OR($A32="",D$6=""),0,SUMPRODUCT(MAX(('01_予約入力'!$D$5:$D$204=D$6)*('01_予約入力'!$N$5:$N$204&lt;&gt;"キャンセル")*('01_予約入力'!$G$5:$G$204&lt;&gt;"")*('01_予約入力'!$G$5:$G$204&lt;=$A32)*('01_予約入力'!$J$5:$J$204&gt;$A32)*(ROW('01_予約入力'!$G$5:$G$204)-4))))</f>
        <v/>
      </c>
      <c r="Q32" s="44">
        <f>IF(OR($A32="",D$6=""),0,SUMPRODUCT(MAX(('01_予約入力'!$D$5:$D$204=D$6)*('01_予約入力'!$N$5:$N$204&lt;&gt;"キャンセル")*('01_予約入力'!$G$5:$G$204&lt;&gt;"")*('01_予約入力'!$G$5:$G$204=$A32)*('01_予約入力'!$J$5:$J$204=$A32)*(ROW('01_予約入力'!$G$5:$G$204)-4))))</f>
        <v/>
      </c>
      <c r="R32" s="44">
        <f>IF(OR($A32="",E$6=""),0,SUMPRODUCT(MAX(('01_予約入力'!$D$5:$D$204=E$6)*('01_予約入力'!$N$5:$N$204&lt;&gt;"キャンセル")*('01_予約入力'!$G$5:$G$204&lt;&gt;"")*('01_予約入力'!$J$5:$J$204=$A32)*('01_予約入力'!$G$5:$G$204&lt;$A32)*(ROW('01_予約入力'!$G$5:$G$204)-4))))</f>
        <v/>
      </c>
      <c r="S32" s="44">
        <f>IF(OR($A32="",E$6=""),0,SUMPRODUCT(MAX(('01_予約入力'!$D$5:$D$204=E$6)*('01_予約入力'!$N$5:$N$204&lt;&gt;"キャンセル")*('01_予約入力'!$G$5:$G$204&lt;&gt;"")*('01_予約入力'!$G$5:$G$204&lt;=$A32)*('01_予約入力'!$J$5:$J$204&gt;$A32)*(ROW('01_予約入力'!$G$5:$G$204)-4))))</f>
        <v/>
      </c>
      <c r="T32" s="44">
        <f>IF(OR($A32="",E$6=""),0,SUMPRODUCT(MAX(('01_予約入力'!$D$5:$D$204=E$6)*('01_予約入力'!$N$5:$N$204&lt;&gt;"キャンセル")*('01_予約入力'!$G$5:$G$204&lt;&gt;"")*('01_予約入力'!$G$5:$G$204=$A32)*('01_予約入力'!$J$5:$J$204=$A32)*(ROW('01_予約入力'!$G$5:$G$204)-4))))</f>
        <v/>
      </c>
      <c r="U32" s="44">
        <f>IF(OR($A32="",F$6=""),0,SUMPRODUCT(MAX(('01_予約入力'!$D$5:$D$204=F$6)*('01_予約入力'!$N$5:$N$204&lt;&gt;"キャンセル")*('01_予約入力'!$G$5:$G$204&lt;&gt;"")*('01_予約入力'!$J$5:$J$204=$A32)*('01_予約入力'!$G$5:$G$204&lt;$A32)*(ROW('01_予約入力'!$G$5:$G$204)-4))))</f>
        <v/>
      </c>
      <c r="V32" s="44">
        <f>IF(OR($A32="",F$6=""),0,SUMPRODUCT(MAX(('01_予約入力'!$D$5:$D$204=F$6)*('01_予約入力'!$N$5:$N$204&lt;&gt;"キャンセル")*('01_予約入力'!$G$5:$G$204&lt;&gt;"")*('01_予約入力'!$G$5:$G$204&lt;=$A32)*('01_予約入力'!$J$5:$J$204&gt;$A32)*(ROW('01_予約入力'!$G$5:$G$204)-4))))</f>
        <v/>
      </c>
      <c r="W32" s="44">
        <f>IF(OR($A32="",F$6=""),0,SUMPRODUCT(MAX(('01_予約入力'!$D$5:$D$204=F$6)*('01_予約入力'!$N$5:$N$204&lt;&gt;"キャンセル")*('01_予約入力'!$G$5:$G$204&lt;&gt;"")*('01_予約入力'!$G$5:$G$204=$A32)*('01_予約入力'!$J$5:$J$204=$A32)*(ROW('01_予約入力'!$G$5:$G$204)-4))))</f>
        <v/>
      </c>
      <c r="X32" s="44">
        <f>IF($A32="","",IF($M32&gt;0,IF(OR(INDEX('01_予約入力'!$N$5:$N$204,$M32)="仮予約",INDEX('01_予約入力'!$N$5:$N$204,$M32)="調整中"),"仮",INDEX('01_予約入力'!$C$5:$C$204,$M32)),IF($N32&gt;0,IF(OR(INDEX('01_予約入力'!$N$5:$N$204,$N32)="仮予約",INDEX('01_予約入力'!$N$5:$N$204,$N32)="調整中"),"仮",INDEX('01_予約入力'!$C$5:$C$204,$N32)),IF($L32&gt;0,IF(OR(INDEX('01_予約入力'!$N$5:$N$204,$L32)="仮予約",INDEX('01_予約入力'!$N$5:$N$204,$L32)="調整中"),"仮",INDEX('01_予約入力'!$C$5:$C$204,$L32)),""))))</f>
        <v/>
      </c>
      <c r="Y32" s="44">
        <f>IF($A32="","",IF($P32&gt;0,IF(OR(INDEX('01_予約入力'!$N$5:$N$204,$P32)="仮予約",INDEX('01_予約入力'!$N$5:$N$204,$P32)="調整中"),"仮",INDEX('01_予約入力'!$C$5:$C$204,$P32)),IF($Q32&gt;0,IF(OR(INDEX('01_予約入力'!$N$5:$N$204,$Q32)="仮予約",INDEX('01_予約入力'!$N$5:$N$204,$Q32)="調整中"),"仮",INDEX('01_予約入力'!$C$5:$C$204,$Q32)),IF($O32&gt;0,IF(OR(INDEX('01_予約入力'!$N$5:$N$204,$O32)="仮予約",INDEX('01_予約入力'!$N$5:$N$204,$O32)="調整中"),"仮",INDEX('01_予約入力'!$C$5:$C$204,$O32)),""))))</f>
        <v/>
      </c>
      <c r="Z32" s="44">
        <f>IF($A32="","",IF($S32&gt;0,IF(OR(INDEX('01_予約入力'!$N$5:$N$204,$S32)="仮予約",INDEX('01_予約入力'!$N$5:$N$204,$S32)="調整中"),"仮",INDEX('01_予約入力'!$C$5:$C$204,$S32)),IF($T32&gt;0,IF(OR(INDEX('01_予約入力'!$N$5:$N$204,$T32)="仮予約",INDEX('01_予約入力'!$N$5:$N$204,$T32)="調整中"),"仮",INDEX('01_予約入力'!$C$5:$C$204,$T32)),IF($R32&gt;0,IF(OR(INDEX('01_予約入力'!$N$5:$N$204,$R32)="仮予約",INDEX('01_予約入力'!$N$5:$N$204,$R32)="調整中"),"仮",INDEX('01_予約入力'!$C$5:$C$204,$R32)),""))))</f>
        <v/>
      </c>
      <c r="AA32" s="44">
        <f>IF($A32="","",IF($V32&gt;0,IF(OR(INDEX('01_予約入力'!$N$5:$N$204,$V32)="仮予約",INDEX('01_予約入力'!$N$5:$N$204,$V32)="調整中"),"仮",INDEX('01_予約入力'!$C$5:$C$204,$V32)),IF($W32&gt;0,IF(OR(INDEX('01_予約入力'!$N$5:$N$204,$W32)="仮予約",INDEX('01_予約入力'!$N$5:$N$204,$W32)="調整中"),"仮",INDEX('01_予約入力'!$C$5:$C$204,$W32)),IF($U32&gt;0,IF(OR(INDEX('01_予約入力'!$N$5:$N$204,$U32)="仮予約",INDEX('01_予約入力'!$N$5:$N$204,$U32)="調整中"),"仮",INDEX('01_予約入力'!$C$5:$C$204,$U32)),""))))</f>
        <v/>
      </c>
      <c r="AB32" s="44">
        <f>IF($A32="",0,SUMPRODUCT(('01_予約入力'!$G$5:$G$204&lt;&gt;"")*('01_予約入力'!$N$5:$N$204&lt;&gt;"キャンセル")*('01_予約入力'!$G$5:$G$204&lt;$A32)*('01_予約入力'!$J$5:$J$204&gt;=$A32)))</f>
        <v/>
      </c>
      <c r="AC32" s="44">
        <f>IF($A32="",0,SUMPRODUCT(('01_予約入力'!$G$5:$G$204&lt;&gt;"")*('01_予約入力'!$N$5:$N$204&lt;&gt;"キャンセル")*((('01_予約入力'!$G$5:$G$204&lt;$A32)*('01_予約入力'!$J$5:$J$204&gt;$A32))+(('01_予約入力'!$G$5:$G$204=$A32)*('01_予約入力'!$J$5:$J$204=$A32)))))</f>
        <v/>
      </c>
      <c r="AD32" s="44">
        <f>IF($A32="",0,SUMPRODUCT(('01_予約入力'!$G$5:$G$204&lt;&gt;"")*('01_予約入力'!$N$5:$N$204&lt;&gt;"キャンセル")*('01_予約入力'!$G$5:$G$204&lt;=$A32)*('01_予約入力'!$J$5:$J$204&gt;$A32)))</f>
        <v/>
      </c>
      <c r="AE32" s="44">
        <f>IF($A32="",0,IFERROR(MATCH($A32,'02_カレンダー'!$B$59:$B$78,0),0))</f>
        <v/>
      </c>
      <c r="AF32" s="44">
        <f>IF($A32="",0,IF($AE32=0,$AB32,IF(INDEX('02_カレンダー'!$C$59:$C$78,$AE32)="",$AB32,INDEX('02_カレンダー'!$C$59:$C$78,$AE32))))</f>
        <v/>
      </c>
      <c r="AG32" s="44">
        <f>IF($A32="",0,IF($AE32=0,$AC32,IF(INDEX('02_カレンダー'!$D$59:$D$78,$AE32)="",$AC32,INDEX('02_カレンダー'!$D$59:$D$78,$AE32))))</f>
        <v/>
      </c>
      <c r="AH32" s="44">
        <f>IF($A32="",0,IF($AE32=0,$AD32,IF(INDEX('02_カレンダー'!$E$59:$E$78,$AE32)="",$AD32,INDEX('02_カレンダー'!$E$59:$E$78,$AE32))))</f>
        <v/>
      </c>
      <c r="AI32" s="44">
        <f>IF($A32="","",IF(AND($AF32=0,$AG32=0,$AH32=0),"","朝"&amp;$AF32&amp;" 昼"&amp;$AG32&amp;" 夕"&amp;$AH32&amp;IF($AJ32=0,"","　※調整")))</f>
        <v/>
      </c>
      <c r="AJ32" s="44">
        <f>IF(OR($A32="",$AE32=0),0,IF(OR(INDEX('02_カレンダー'!$C$59:$C$78,$AE32)&lt;&gt;"",INDEX('02_カレンダー'!$D$59:$D$78,$AE32)&lt;&gt;"",INDEX('02_カレンダー'!$E$59:$E$78,$AE32)&lt;&gt;""),1,0))</f>
        <v/>
      </c>
    </row>
    <row r="33">
      <c r="A33" s="37">
        <f>IF(MONTH('02_カレンダー'!$B$4+26)&lt;&gt;MONTH('02_カレンダー'!$B$4),"",'02_カレンダー'!$B$4+26)</f>
        <v/>
      </c>
      <c r="B33" s="44">
        <f>IF($A33="","",MID("日月火水木金土",WEEKDAY($A33),1))</f>
        <v/>
      </c>
      <c r="C33" s="48">
        <f>IF(OR($A33="",C$6=""),"",IF($L33=0,"",INDEX('01_予約入力'!$B$5:$B$204,$L33)&amp;" ◀"&amp;IF(('02_カレンダー'!$B$5="○"),INDEX('01_予約入力'!$AB$5:$AB$204,$L33),""))&amp;IF(AND($L33&gt;0,OR($M33&gt;0,$N33&gt;0)),"  ","")&amp;IF($M33=0,"",IF(INDEX('01_予約入力'!$G$5:$G$204,$M33)=$A33,"▶"&amp;IF(('02_カレンダー'!$B$5="○"),INDEX('01_予約入力'!$AA$5:$AA$204,$M33)&amp;" "," "),"")&amp;INDEX('01_予約入力'!$B$5:$B$204,$M33))&amp;IF(AND($M33&gt;0,$N33&gt;0),"  ","")&amp;IF($N33=0,"","◆ "&amp;INDEX('01_予約入力'!$B$5:$B$204,$N33)&amp;IF(('02_カレンダー'!$B$5="○")," "&amp;INDEX('01_予約入力'!$AA$5:$AA$204,$N33)&amp;"-"&amp;INDEX('01_予約入力'!$AB$5:$AB$204,$N33),"")))</f>
        <v/>
      </c>
      <c r="D33" s="48">
        <f>IF(OR($A33="",D$6=""),"",IF($O33=0,"",INDEX('01_予約入力'!$B$5:$B$204,$O33)&amp;" ◀"&amp;IF(('02_カレンダー'!$B$5="○"),INDEX('01_予約入力'!$AB$5:$AB$204,$O33),""))&amp;IF(AND($O33&gt;0,OR($P33&gt;0,$Q33&gt;0)),"  ","")&amp;IF($P33=0,"",IF(INDEX('01_予約入力'!$G$5:$G$204,$P33)=$A33,"▶"&amp;IF(('02_カレンダー'!$B$5="○"),INDEX('01_予約入力'!$AA$5:$AA$204,$P33)&amp;" "," "),"")&amp;INDEX('01_予約入力'!$B$5:$B$204,$P33))&amp;IF(AND($P33&gt;0,$Q33&gt;0),"  ","")&amp;IF($Q33=0,"","◆ "&amp;INDEX('01_予約入力'!$B$5:$B$204,$Q33)&amp;IF(('02_カレンダー'!$B$5="○")," "&amp;INDEX('01_予約入力'!$AA$5:$AA$204,$Q33)&amp;"-"&amp;INDEX('01_予約入力'!$AB$5:$AB$204,$Q33),"")))</f>
        <v/>
      </c>
      <c r="E33" s="48">
        <f>IF(OR($A33="",E$6=""),"",IF($R33=0,"",INDEX('01_予約入力'!$B$5:$B$204,$R33)&amp;" ◀"&amp;IF(('02_カレンダー'!$B$5="○"),INDEX('01_予約入力'!$AB$5:$AB$204,$R33),""))&amp;IF(AND($R33&gt;0,OR($S33&gt;0,$T33&gt;0)),"  ","")&amp;IF($S33=0,"",IF(INDEX('01_予約入力'!$G$5:$G$204,$S33)=$A33,"▶"&amp;IF(('02_カレンダー'!$B$5="○"),INDEX('01_予約入力'!$AA$5:$AA$204,$S33)&amp;" "," "),"")&amp;INDEX('01_予約入力'!$B$5:$B$204,$S33))&amp;IF(AND($S33&gt;0,$T33&gt;0),"  ","")&amp;IF($T33=0,"","◆ "&amp;INDEX('01_予約入力'!$B$5:$B$204,$T33)&amp;IF(('02_カレンダー'!$B$5="○")," "&amp;INDEX('01_予約入力'!$AA$5:$AA$204,$T33)&amp;"-"&amp;INDEX('01_予約入力'!$AB$5:$AB$204,$T33),"")))</f>
        <v/>
      </c>
      <c r="F33" s="48">
        <f>IF(OR($A33="",F$6=""),"",IF($U33=0,"",INDEX('01_予約入力'!$B$5:$B$204,$U33)&amp;" ◀"&amp;IF(('02_カレンダー'!$B$5="○"),INDEX('01_予約入力'!$AB$5:$AB$204,$U33),""))&amp;IF(AND($U33&gt;0,OR($V33&gt;0,$W33&gt;0)),"  ","")&amp;IF($V33=0,"",IF(INDEX('01_予約入力'!$G$5:$G$204,$V33)=$A33,"▶"&amp;IF(('02_カレンダー'!$B$5="○"),INDEX('01_予約入力'!$AA$5:$AA$204,$V33)&amp;" "," "),"")&amp;INDEX('01_予約入力'!$B$5:$B$204,$V33))&amp;IF(AND($V33&gt;0,$W33&gt;0),"  ","")&amp;IF($W33=0,"","◆ "&amp;INDEX('01_予約入力'!$B$5:$B$204,$W33)&amp;IF(('02_カレンダー'!$B$5="○")," "&amp;INDEX('01_予約入力'!$AA$5:$AA$204,$W33)&amp;"-"&amp;INDEX('01_予約入力'!$AB$5:$AB$204,$W33),"")))</f>
        <v/>
      </c>
      <c r="G33" s="44">
        <f>IF($A33="","",SUMPRODUCT(('01_予約入力'!$G$5:$G$204&lt;&gt;"")*('01_予約入力'!$N$5:$N$204&lt;&gt;"キャンセル")*('01_予約入力'!$G$5:$G$204&lt;=$A33)*('01_予約入力'!$J$5:$J$204&gt;$A33)))</f>
        <v/>
      </c>
      <c r="H33" s="44">
        <f>IF($A33="","",'M_施設設定'!$B$6-$G33)</f>
        <v/>
      </c>
      <c r="I33" s="44">
        <f>IF($A33="","",SUMPRODUCT((('01_予約入力'!$N$5:$N$204="仮予約")+('01_予約入力'!$N$5:$N$204="調整中"))*('01_予約入力'!$G$5:$G$204&lt;&gt;"")*('01_予約入力'!$G$5:$G$204&lt;=$A33)*('01_予約入力'!$J$5:$J$204&gt;$A33)))</f>
        <v/>
      </c>
      <c r="J33" s="44">
        <f>IF($A33="","",IF($I33&gt;0,"仮",IF($H33&lt;=0,"×",IF($H33&lt;'M_施設設定'!$B$6,"△","○"))))</f>
        <v/>
      </c>
      <c r="K33" s="44">
        <f>IF($A33="","",SUMPRODUCT(('01_予約入力'!$G$5:$G$204&lt;&gt;"")*('01_予約入力'!$N$5:$N$204&lt;&gt;"キャンセル")*('01_予約入力'!$G$5:$G$204=$A33)*('01_予約入力'!$J$5:$J$204=$A33)))</f>
        <v/>
      </c>
      <c r="L33" s="44">
        <f>IF(OR($A33="",C$6=""),0,SUMPRODUCT(MAX(('01_予約入力'!$D$5:$D$204=C$6)*('01_予約入力'!$N$5:$N$204&lt;&gt;"キャンセル")*('01_予約入力'!$G$5:$G$204&lt;&gt;"")*('01_予約入力'!$J$5:$J$204=$A33)*('01_予約入力'!$G$5:$G$204&lt;$A33)*(ROW('01_予約入力'!$G$5:$G$204)-4))))</f>
        <v/>
      </c>
      <c r="M33" s="44">
        <f>IF(OR($A33="",C$6=""),0,SUMPRODUCT(MAX(('01_予約入力'!$D$5:$D$204=C$6)*('01_予約入力'!$N$5:$N$204&lt;&gt;"キャンセル")*('01_予約入力'!$G$5:$G$204&lt;&gt;"")*('01_予約入力'!$G$5:$G$204&lt;=$A33)*('01_予約入力'!$J$5:$J$204&gt;$A33)*(ROW('01_予約入力'!$G$5:$G$204)-4))))</f>
        <v/>
      </c>
      <c r="N33" s="44">
        <f>IF(OR($A33="",C$6=""),0,SUMPRODUCT(MAX(('01_予約入力'!$D$5:$D$204=C$6)*('01_予約入力'!$N$5:$N$204&lt;&gt;"キャンセル")*('01_予約入力'!$G$5:$G$204&lt;&gt;"")*('01_予約入力'!$G$5:$G$204=$A33)*('01_予約入力'!$J$5:$J$204=$A33)*(ROW('01_予約入力'!$G$5:$G$204)-4))))</f>
        <v/>
      </c>
      <c r="O33" s="44">
        <f>IF(OR($A33="",D$6=""),0,SUMPRODUCT(MAX(('01_予約入力'!$D$5:$D$204=D$6)*('01_予約入力'!$N$5:$N$204&lt;&gt;"キャンセル")*('01_予約入力'!$G$5:$G$204&lt;&gt;"")*('01_予約入力'!$J$5:$J$204=$A33)*('01_予約入力'!$G$5:$G$204&lt;$A33)*(ROW('01_予約入力'!$G$5:$G$204)-4))))</f>
        <v/>
      </c>
      <c r="P33" s="44">
        <f>IF(OR($A33="",D$6=""),0,SUMPRODUCT(MAX(('01_予約入力'!$D$5:$D$204=D$6)*('01_予約入力'!$N$5:$N$204&lt;&gt;"キャンセル")*('01_予約入力'!$G$5:$G$204&lt;&gt;"")*('01_予約入力'!$G$5:$G$204&lt;=$A33)*('01_予約入力'!$J$5:$J$204&gt;$A33)*(ROW('01_予約入力'!$G$5:$G$204)-4))))</f>
        <v/>
      </c>
      <c r="Q33" s="44">
        <f>IF(OR($A33="",D$6=""),0,SUMPRODUCT(MAX(('01_予約入力'!$D$5:$D$204=D$6)*('01_予約入力'!$N$5:$N$204&lt;&gt;"キャンセル")*('01_予約入力'!$G$5:$G$204&lt;&gt;"")*('01_予約入力'!$G$5:$G$204=$A33)*('01_予約入力'!$J$5:$J$204=$A33)*(ROW('01_予約入力'!$G$5:$G$204)-4))))</f>
        <v/>
      </c>
      <c r="R33" s="44">
        <f>IF(OR($A33="",E$6=""),0,SUMPRODUCT(MAX(('01_予約入力'!$D$5:$D$204=E$6)*('01_予約入力'!$N$5:$N$204&lt;&gt;"キャンセル")*('01_予約入力'!$G$5:$G$204&lt;&gt;"")*('01_予約入力'!$J$5:$J$204=$A33)*('01_予約入力'!$G$5:$G$204&lt;$A33)*(ROW('01_予約入力'!$G$5:$G$204)-4))))</f>
        <v/>
      </c>
      <c r="S33" s="44">
        <f>IF(OR($A33="",E$6=""),0,SUMPRODUCT(MAX(('01_予約入力'!$D$5:$D$204=E$6)*('01_予約入力'!$N$5:$N$204&lt;&gt;"キャンセル")*('01_予約入力'!$G$5:$G$204&lt;&gt;"")*('01_予約入力'!$G$5:$G$204&lt;=$A33)*('01_予約入力'!$J$5:$J$204&gt;$A33)*(ROW('01_予約入力'!$G$5:$G$204)-4))))</f>
        <v/>
      </c>
      <c r="T33" s="44">
        <f>IF(OR($A33="",E$6=""),0,SUMPRODUCT(MAX(('01_予約入力'!$D$5:$D$204=E$6)*('01_予約入力'!$N$5:$N$204&lt;&gt;"キャンセル")*('01_予約入力'!$G$5:$G$204&lt;&gt;"")*('01_予約入力'!$G$5:$G$204=$A33)*('01_予約入力'!$J$5:$J$204=$A33)*(ROW('01_予約入力'!$G$5:$G$204)-4))))</f>
        <v/>
      </c>
      <c r="U33" s="44">
        <f>IF(OR($A33="",F$6=""),0,SUMPRODUCT(MAX(('01_予約入力'!$D$5:$D$204=F$6)*('01_予約入力'!$N$5:$N$204&lt;&gt;"キャンセル")*('01_予約入力'!$G$5:$G$204&lt;&gt;"")*('01_予約入力'!$J$5:$J$204=$A33)*('01_予約入力'!$G$5:$G$204&lt;$A33)*(ROW('01_予約入力'!$G$5:$G$204)-4))))</f>
        <v/>
      </c>
      <c r="V33" s="44">
        <f>IF(OR($A33="",F$6=""),0,SUMPRODUCT(MAX(('01_予約入力'!$D$5:$D$204=F$6)*('01_予約入力'!$N$5:$N$204&lt;&gt;"キャンセル")*('01_予約入力'!$G$5:$G$204&lt;&gt;"")*('01_予約入力'!$G$5:$G$204&lt;=$A33)*('01_予約入力'!$J$5:$J$204&gt;$A33)*(ROW('01_予約入力'!$G$5:$G$204)-4))))</f>
        <v/>
      </c>
      <c r="W33" s="44">
        <f>IF(OR($A33="",F$6=""),0,SUMPRODUCT(MAX(('01_予約入力'!$D$5:$D$204=F$6)*('01_予約入力'!$N$5:$N$204&lt;&gt;"キャンセル")*('01_予約入力'!$G$5:$G$204&lt;&gt;"")*('01_予約入力'!$G$5:$G$204=$A33)*('01_予約入力'!$J$5:$J$204=$A33)*(ROW('01_予約入力'!$G$5:$G$204)-4))))</f>
        <v/>
      </c>
      <c r="X33" s="44">
        <f>IF($A33="","",IF($M33&gt;0,IF(OR(INDEX('01_予約入力'!$N$5:$N$204,$M33)="仮予約",INDEX('01_予約入力'!$N$5:$N$204,$M33)="調整中"),"仮",INDEX('01_予約入力'!$C$5:$C$204,$M33)),IF($N33&gt;0,IF(OR(INDEX('01_予約入力'!$N$5:$N$204,$N33)="仮予約",INDEX('01_予約入力'!$N$5:$N$204,$N33)="調整中"),"仮",INDEX('01_予約入力'!$C$5:$C$204,$N33)),IF($L33&gt;0,IF(OR(INDEX('01_予約入力'!$N$5:$N$204,$L33)="仮予約",INDEX('01_予約入力'!$N$5:$N$204,$L33)="調整中"),"仮",INDEX('01_予約入力'!$C$5:$C$204,$L33)),""))))</f>
        <v/>
      </c>
      <c r="Y33" s="44">
        <f>IF($A33="","",IF($P33&gt;0,IF(OR(INDEX('01_予約入力'!$N$5:$N$204,$P33)="仮予約",INDEX('01_予約入力'!$N$5:$N$204,$P33)="調整中"),"仮",INDEX('01_予約入力'!$C$5:$C$204,$P33)),IF($Q33&gt;0,IF(OR(INDEX('01_予約入力'!$N$5:$N$204,$Q33)="仮予約",INDEX('01_予約入力'!$N$5:$N$204,$Q33)="調整中"),"仮",INDEX('01_予約入力'!$C$5:$C$204,$Q33)),IF($O33&gt;0,IF(OR(INDEX('01_予約入力'!$N$5:$N$204,$O33)="仮予約",INDEX('01_予約入力'!$N$5:$N$204,$O33)="調整中"),"仮",INDEX('01_予約入力'!$C$5:$C$204,$O33)),""))))</f>
        <v/>
      </c>
      <c r="Z33" s="44">
        <f>IF($A33="","",IF($S33&gt;0,IF(OR(INDEX('01_予約入力'!$N$5:$N$204,$S33)="仮予約",INDEX('01_予約入力'!$N$5:$N$204,$S33)="調整中"),"仮",INDEX('01_予約入力'!$C$5:$C$204,$S33)),IF($T33&gt;0,IF(OR(INDEX('01_予約入力'!$N$5:$N$204,$T33)="仮予約",INDEX('01_予約入力'!$N$5:$N$204,$T33)="調整中"),"仮",INDEX('01_予約入力'!$C$5:$C$204,$T33)),IF($R33&gt;0,IF(OR(INDEX('01_予約入力'!$N$5:$N$204,$R33)="仮予約",INDEX('01_予約入力'!$N$5:$N$204,$R33)="調整中"),"仮",INDEX('01_予約入力'!$C$5:$C$204,$R33)),""))))</f>
        <v/>
      </c>
      <c r="AA33" s="44">
        <f>IF($A33="","",IF($V33&gt;0,IF(OR(INDEX('01_予約入力'!$N$5:$N$204,$V33)="仮予約",INDEX('01_予約入力'!$N$5:$N$204,$V33)="調整中"),"仮",INDEX('01_予約入力'!$C$5:$C$204,$V33)),IF($W33&gt;0,IF(OR(INDEX('01_予約入力'!$N$5:$N$204,$W33)="仮予約",INDEX('01_予約入力'!$N$5:$N$204,$W33)="調整中"),"仮",INDEX('01_予約入力'!$C$5:$C$204,$W33)),IF($U33&gt;0,IF(OR(INDEX('01_予約入力'!$N$5:$N$204,$U33)="仮予約",INDEX('01_予約入力'!$N$5:$N$204,$U33)="調整中"),"仮",INDEX('01_予約入力'!$C$5:$C$204,$U33)),""))))</f>
        <v/>
      </c>
      <c r="AB33" s="44">
        <f>IF($A33="",0,SUMPRODUCT(('01_予約入力'!$G$5:$G$204&lt;&gt;"")*('01_予約入力'!$N$5:$N$204&lt;&gt;"キャンセル")*('01_予約入力'!$G$5:$G$204&lt;$A33)*('01_予約入力'!$J$5:$J$204&gt;=$A33)))</f>
        <v/>
      </c>
      <c r="AC33" s="44">
        <f>IF($A33="",0,SUMPRODUCT(('01_予約入力'!$G$5:$G$204&lt;&gt;"")*('01_予約入力'!$N$5:$N$204&lt;&gt;"キャンセル")*((('01_予約入力'!$G$5:$G$204&lt;$A33)*('01_予約入力'!$J$5:$J$204&gt;$A33))+(('01_予約入力'!$G$5:$G$204=$A33)*('01_予約入力'!$J$5:$J$204=$A33)))))</f>
        <v/>
      </c>
      <c r="AD33" s="44">
        <f>IF($A33="",0,SUMPRODUCT(('01_予約入力'!$G$5:$G$204&lt;&gt;"")*('01_予約入力'!$N$5:$N$204&lt;&gt;"キャンセル")*('01_予約入力'!$G$5:$G$204&lt;=$A33)*('01_予約入力'!$J$5:$J$204&gt;$A33)))</f>
        <v/>
      </c>
      <c r="AE33" s="44">
        <f>IF($A33="",0,IFERROR(MATCH($A33,'02_カレンダー'!$B$59:$B$78,0),0))</f>
        <v/>
      </c>
      <c r="AF33" s="44">
        <f>IF($A33="",0,IF($AE33=0,$AB33,IF(INDEX('02_カレンダー'!$C$59:$C$78,$AE33)="",$AB33,INDEX('02_カレンダー'!$C$59:$C$78,$AE33))))</f>
        <v/>
      </c>
      <c r="AG33" s="44">
        <f>IF($A33="",0,IF($AE33=0,$AC33,IF(INDEX('02_カレンダー'!$D$59:$D$78,$AE33)="",$AC33,INDEX('02_カレンダー'!$D$59:$D$78,$AE33))))</f>
        <v/>
      </c>
      <c r="AH33" s="44">
        <f>IF($A33="",0,IF($AE33=0,$AD33,IF(INDEX('02_カレンダー'!$E$59:$E$78,$AE33)="",$AD33,INDEX('02_カレンダー'!$E$59:$E$78,$AE33))))</f>
        <v/>
      </c>
      <c r="AI33" s="44">
        <f>IF($A33="","",IF(AND($AF33=0,$AG33=0,$AH33=0),"","朝"&amp;$AF33&amp;" 昼"&amp;$AG33&amp;" 夕"&amp;$AH33&amp;IF($AJ33=0,"","　※調整")))</f>
        <v/>
      </c>
      <c r="AJ33" s="44">
        <f>IF(OR($A33="",$AE33=0),0,IF(OR(INDEX('02_カレンダー'!$C$59:$C$78,$AE33)&lt;&gt;"",INDEX('02_カレンダー'!$D$59:$D$78,$AE33)&lt;&gt;"",INDEX('02_カレンダー'!$E$59:$E$78,$AE33)&lt;&gt;""),1,0))</f>
        <v/>
      </c>
    </row>
    <row r="34">
      <c r="A34" s="37">
        <f>IF(MONTH('02_カレンダー'!$B$4+27)&lt;&gt;MONTH('02_カレンダー'!$B$4),"",'02_カレンダー'!$B$4+27)</f>
        <v/>
      </c>
      <c r="B34" s="44">
        <f>IF($A34="","",MID("日月火水木金土",WEEKDAY($A34),1))</f>
        <v/>
      </c>
      <c r="C34" s="48">
        <f>IF(OR($A34="",C$6=""),"",IF($L34=0,"",INDEX('01_予約入力'!$B$5:$B$204,$L34)&amp;" ◀"&amp;IF(('02_カレンダー'!$B$5="○"),INDEX('01_予約入力'!$AB$5:$AB$204,$L34),""))&amp;IF(AND($L34&gt;0,OR($M34&gt;0,$N34&gt;0)),"  ","")&amp;IF($M34=0,"",IF(INDEX('01_予約入力'!$G$5:$G$204,$M34)=$A34,"▶"&amp;IF(('02_カレンダー'!$B$5="○"),INDEX('01_予約入力'!$AA$5:$AA$204,$M34)&amp;" "," "),"")&amp;INDEX('01_予約入力'!$B$5:$B$204,$M34))&amp;IF(AND($M34&gt;0,$N34&gt;0),"  ","")&amp;IF($N34=0,"","◆ "&amp;INDEX('01_予約入力'!$B$5:$B$204,$N34)&amp;IF(('02_カレンダー'!$B$5="○")," "&amp;INDEX('01_予約入力'!$AA$5:$AA$204,$N34)&amp;"-"&amp;INDEX('01_予約入力'!$AB$5:$AB$204,$N34),"")))</f>
        <v/>
      </c>
      <c r="D34" s="48">
        <f>IF(OR($A34="",D$6=""),"",IF($O34=0,"",INDEX('01_予約入力'!$B$5:$B$204,$O34)&amp;" ◀"&amp;IF(('02_カレンダー'!$B$5="○"),INDEX('01_予約入力'!$AB$5:$AB$204,$O34),""))&amp;IF(AND($O34&gt;0,OR($P34&gt;0,$Q34&gt;0)),"  ","")&amp;IF($P34=0,"",IF(INDEX('01_予約入力'!$G$5:$G$204,$P34)=$A34,"▶"&amp;IF(('02_カレンダー'!$B$5="○"),INDEX('01_予約入力'!$AA$5:$AA$204,$P34)&amp;" "," "),"")&amp;INDEX('01_予約入力'!$B$5:$B$204,$P34))&amp;IF(AND($P34&gt;0,$Q34&gt;0),"  ","")&amp;IF($Q34=0,"","◆ "&amp;INDEX('01_予約入力'!$B$5:$B$204,$Q34)&amp;IF(('02_カレンダー'!$B$5="○")," "&amp;INDEX('01_予約入力'!$AA$5:$AA$204,$Q34)&amp;"-"&amp;INDEX('01_予約入力'!$AB$5:$AB$204,$Q34),"")))</f>
        <v/>
      </c>
      <c r="E34" s="48">
        <f>IF(OR($A34="",E$6=""),"",IF($R34=0,"",INDEX('01_予約入力'!$B$5:$B$204,$R34)&amp;" ◀"&amp;IF(('02_カレンダー'!$B$5="○"),INDEX('01_予約入力'!$AB$5:$AB$204,$R34),""))&amp;IF(AND($R34&gt;0,OR($S34&gt;0,$T34&gt;0)),"  ","")&amp;IF($S34=0,"",IF(INDEX('01_予約入力'!$G$5:$G$204,$S34)=$A34,"▶"&amp;IF(('02_カレンダー'!$B$5="○"),INDEX('01_予約入力'!$AA$5:$AA$204,$S34)&amp;" "," "),"")&amp;INDEX('01_予約入力'!$B$5:$B$204,$S34))&amp;IF(AND($S34&gt;0,$T34&gt;0),"  ","")&amp;IF($T34=0,"","◆ "&amp;INDEX('01_予約入力'!$B$5:$B$204,$T34)&amp;IF(('02_カレンダー'!$B$5="○")," "&amp;INDEX('01_予約入力'!$AA$5:$AA$204,$T34)&amp;"-"&amp;INDEX('01_予約入力'!$AB$5:$AB$204,$T34),"")))</f>
        <v/>
      </c>
      <c r="F34" s="48">
        <f>IF(OR($A34="",F$6=""),"",IF($U34=0,"",INDEX('01_予約入力'!$B$5:$B$204,$U34)&amp;" ◀"&amp;IF(('02_カレンダー'!$B$5="○"),INDEX('01_予約入力'!$AB$5:$AB$204,$U34),""))&amp;IF(AND($U34&gt;0,OR($V34&gt;0,$W34&gt;0)),"  ","")&amp;IF($V34=0,"",IF(INDEX('01_予約入力'!$G$5:$G$204,$V34)=$A34,"▶"&amp;IF(('02_カレンダー'!$B$5="○"),INDEX('01_予約入力'!$AA$5:$AA$204,$V34)&amp;" "," "),"")&amp;INDEX('01_予約入力'!$B$5:$B$204,$V34))&amp;IF(AND($V34&gt;0,$W34&gt;0),"  ","")&amp;IF($W34=0,"","◆ "&amp;INDEX('01_予約入力'!$B$5:$B$204,$W34)&amp;IF(('02_カレンダー'!$B$5="○")," "&amp;INDEX('01_予約入力'!$AA$5:$AA$204,$W34)&amp;"-"&amp;INDEX('01_予約入力'!$AB$5:$AB$204,$W34),"")))</f>
        <v/>
      </c>
      <c r="G34" s="44">
        <f>IF($A34="","",SUMPRODUCT(('01_予約入力'!$G$5:$G$204&lt;&gt;"")*('01_予約入力'!$N$5:$N$204&lt;&gt;"キャンセル")*('01_予約入力'!$G$5:$G$204&lt;=$A34)*('01_予約入力'!$J$5:$J$204&gt;$A34)))</f>
        <v/>
      </c>
      <c r="H34" s="44">
        <f>IF($A34="","",'M_施設設定'!$B$6-$G34)</f>
        <v/>
      </c>
      <c r="I34" s="44">
        <f>IF($A34="","",SUMPRODUCT((('01_予約入力'!$N$5:$N$204="仮予約")+('01_予約入力'!$N$5:$N$204="調整中"))*('01_予約入力'!$G$5:$G$204&lt;&gt;"")*('01_予約入力'!$G$5:$G$204&lt;=$A34)*('01_予約入力'!$J$5:$J$204&gt;$A34)))</f>
        <v/>
      </c>
      <c r="J34" s="44">
        <f>IF($A34="","",IF($I34&gt;0,"仮",IF($H34&lt;=0,"×",IF($H34&lt;'M_施設設定'!$B$6,"△","○"))))</f>
        <v/>
      </c>
      <c r="K34" s="44">
        <f>IF($A34="","",SUMPRODUCT(('01_予約入力'!$G$5:$G$204&lt;&gt;"")*('01_予約入力'!$N$5:$N$204&lt;&gt;"キャンセル")*('01_予約入力'!$G$5:$G$204=$A34)*('01_予約入力'!$J$5:$J$204=$A34)))</f>
        <v/>
      </c>
      <c r="L34" s="44">
        <f>IF(OR($A34="",C$6=""),0,SUMPRODUCT(MAX(('01_予約入力'!$D$5:$D$204=C$6)*('01_予約入力'!$N$5:$N$204&lt;&gt;"キャンセル")*('01_予約入力'!$G$5:$G$204&lt;&gt;"")*('01_予約入力'!$J$5:$J$204=$A34)*('01_予約入力'!$G$5:$G$204&lt;$A34)*(ROW('01_予約入力'!$G$5:$G$204)-4))))</f>
        <v/>
      </c>
      <c r="M34" s="44">
        <f>IF(OR($A34="",C$6=""),0,SUMPRODUCT(MAX(('01_予約入力'!$D$5:$D$204=C$6)*('01_予約入力'!$N$5:$N$204&lt;&gt;"キャンセル")*('01_予約入力'!$G$5:$G$204&lt;&gt;"")*('01_予約入力'!$G$5:$G$204&lt;=$A34)*('01_予約入力'!$J$5:$J$204&gt;$A34)*(ROW('01_予約入力'!$G$5:$G$204)-4))))</f>
        <v/>
      </c>
      <c r="N34" s="44">
        <f>IF(OR($A34="",C$6=""),0,SUMPRODUCT(MAX(('01_予約入力'!$D$5:$D$204=C$6)*('01_予約入力'!$N$5:$N$204&lt;&gt;"キャンセル")*('01_予約入力'!$G$5:$G$204&lt;&gt;"")*('01_予約入力'!$G$5:$G$204=$A34)*('01_予約入力'!$J$5:$J$204=$A34)*(ROW('01_予約入力'!$G$5:$G$204)-4))))</f>
        <v/>
      </c>
      <c r="O34" s="44">
        <f>IF(OR($A34="",D$6=""),0,SUMPRODUCT(MAX(('01_予約入力'!$D$5:$D$204=D$6)*('01_予約入力'!$N$5:$N$204&lt;&gt;"キャンセル")*('01_予約入力'!$G$5:$G$204&lt;&gt;"")*('01_予約入力'!$J$5:$J$204=$A34)*('01_予約入力'!$G$5:$G$204&lt;$A34)*(ROW('01_予約入力'!$G$5:$G$204)-4))))</f>
        <v/>
      </c>
      <c r="P34" s="44">
        <f>IF(OR($A34="",D$6=""),0,SUMPRODUCT(MAX(('01_予約入力'!$D$5:$D$204=D$6)*('01_予約入力'!$N$5:$N$204&lt;&gt;"キャンセル")*('01_予約入力'!$G$5:$G$204&lt;&gt;"")*('01_予約入力'!$G$5:$G$204&lt;=$A34)*('01_予約入力'!$J$5:$J$204&gt;$A34)*(ROW('01_予約入力'!$G$5:$G$204)-4))))</f>
        <v/>
      </c>
      <c r="Q34" s="44">
        <f>IF(OR($A34="",D$6=""),0,SUMPRODUCT(MAX(('01_予約入力'!$D$5:$D$204=D$6)*('01_予約入力'!$N$5:$N$204&lt;&gt;"キャンセル")*('01_予約入力'!$G$5:$G$204&lt;&gt;"")*('01_予約入力'!$G$5:$G$204=$A34)*('01_予約入力'!$J$5:$J$204=$A34)*(ROW('01_予約入力'!$G$5:$G$204)-4))))</f>
        <v/>
      </c>
      <c r="R34" s="44">
        <f>IF(OR($A34="",E$6=""),0,SUMPRODUCT(MAX(('01_予約入力'!$D$5:$D$204=E$6)*('01_予約入力'!$N$5:$N$204&lt;&gt;"キャンセル")*('01_予約入力'!$G$5:$G$204&lt;&gt;"")*('01_予約入力'!$J$5:$J$204=$A34)*('01_予約入力'!$G$5:$G$204&lt;$A34)*(ROW('01_予約入力'!$G$5:$G$204)-4))))</f>
        <v/>
      </c>
      <c r="S34" s="44">
        <f>IF(OR($A34="",E$6=""),0,SUMPRODUCT(MAX(('01_予約入力'!$D$5:$D$204=E$6)*('01_予約入力'!$N$5:$N$204&lt;&gt;"キャンセル")*('01_予約入力'!$G$5:$G$204&lt;&gt;"")*('01_予約入力'!$G$5:$G$204&lt;=$A34)*('01_予約入力'!$J$5:$J$204&gt;$A34)*(ROW('01_予約入力'!$G$5:$G$204)-4))))</f>
        <v/>
      </c>
      <c r="T34" s="44">
        <f>IF(OR($A34="",E$6=""),0,SUMPRODUCT(MAX(('01_予約入力'!$D$5:$D$204=E$6)*('01_予約入力'!$N$5:$N$204&lt;&gt;"キャンセル")*('01_予約入力'!$G$5:$G$204&lt;&gt;"")*('01_予約入力'!$G$5:$G$204=$A34)*('01_予約入力'!$J$5:$J$204=$A34)*(ROW('01_予約入力'!$G$5:$G$204)-4))))</f>
        <v/>
      </c>
      <c r="U34" s="44">
        <f>IF(OR($A34="",F$6=""),0,SUMPRODUCT(MAX(('01_予約入力'!$D$5:$D$204=F$6)*('01_予約入力'!$N$5:$N$204&lt;&gt;"キャンセル")*('01_予約入力'!$G$5:$G$204&lt;&gt;"")*('01_予約入力'!$J$5:$J$204=$A34)*('01_予約入力'!$G$5:$G$204&lt;$A34)*(ROW('01_予約入力'!$G$5:$G$204)-4))))</f>
        <v/>
      </c>
      <c r="V34" s="44">
        <f>IF(OR($A34="",F$6=""),0,SUMPRODUCT(MAX(('01_予約入力'!$D$5:$D$204=F$6)*('01_予約入力'!$N$5:$N$204&lt;&gt;"キャンセル")*('01_予約入力'!$G$5:$G$204&lt;&gt;"")*('01_予約入力'!$G$5:$G$204&lt;=$A34)*('01_予約入力'!$J$5:$J$204&gt;$A34)*(ROW('01_予約入力'!$G$5:$G$204)-4))))</f>
        <v/>
      </c>
      <c r="W34" s="44">
        <f>IF(OR($A34="",F$6=""),0,SUMPRODUCT(MAX(('01_予約入力'!$D$5:$D$204=F$6)*('01_予約入力'!$N$5:$N$204&lt;&gt;"キャンセル")*('01_予約入力'!$G$5:$G$204&lt;&gt;"")*('01_予約入力'!$G$5:$G$204=$A34)*('01_予約入力'!$J$5:$J$204=$A34)*(ROW('01_予約入力'!$G$5:$G$204)-4))))</f>
        <v/>
      </c>
      <c r="X34" s="44">
        <f>IF($A34="","",IF($M34&gt;0,IF(OR(INDEX('01_予約入力'!$N$5:$N$204,$M34)="仮予約",INDEX('01_予約入力'!$N$5:$N$204,$M34)="調整中"),"仮",INDEX('01_予約入力'!$C$5:$C$204,$M34)),IF($N34&gt;0,IF(OR(INDEX('01_予約入力'!$N$5:$N$204,$N34)="仮予約",INDEX('01_予約入力'!$N$5:$N$204,$N34)="調整中"),"仮",INDEX('01_予約入力'!$C$5:$C$204,$N34)),IF($L34&gt;0,IF(OR(INDEX('01_予約入力'!$N$5:$N$204,$L34)="仮予約",INDEX('01_予約入力'!$N$5:$N$204,$L34)="調整中"),"仮",INDEX('01_予約入力'!$C$5:$C$204,$L34)),""))))</f>
        <v/>
      </c>
      <c r="Y34" s="44">
        <f>IF($A34="","",IF($P34&gt;0,IF(OR(INDEX('01_予約入力'!$N$5:$N$204,$P34)="仮予約",INDEX('01_予約入力'!$N$5:$N$204,$P34)="調整中"),"仮",INDEX('01_予約入力'!$C$5:$C$204,$P34)),IF($Q34&gt;0,IF(OR(INDEX('01_予約入力'!$N$5:$N$204,$Q34)="仮予約",INDEX('01_予約入力'!$N$5:$N$204,$Q34)="調整中"),"仮",INDEX('01_予約入力'!$C$5:$C$204,$Q34)),IF($O34&gt;0,IF(OR(INDEX('01_予約入力'!$N$5:$N$204,$O34)="仮予約",INDEX('01_予約入力'!$N$5:$N$204,$O34)="調整中"),"仮",INDEX('01_予約入力'!$C$5:$C$204,$O34)),""))))</f>
        <v/>
      </c>
      <c r="Z34" s="44">
        <f>IF($A34="","",IF($S34&gt;0,IF(OR(INDEX('01_予約入力'!$N$5:$N$204,$S34)="仮予約",INDEX('01_予約入力'!$N$5:$N$204,$S34)="調整中"),"仮",INDEX('01_予約入力'!$C$5:$C$204,$S34)),IF($T34&gt;0,IF(OR(INDEX('01_予約入力'!$N$5:$N$204,$T34)="仮予約",INDEX('01_予約入力'!$N$5:$N$204,$T34)="調整中"),"仮",INDEX('01_予約入力'!$C$5:$C$204,$T34)),IF($R34&gt;0,IF(OR(INDEX('01_予約入力'!$N$5:$N$204,$R34)="仮予約",INDEX('01_予約入力'!$N$5:$N$204,$R34)="調整中"),"仮",INDEX('01_予約入力'!$C$5:$C$204,$R34)),""))))</f>
        <v/>
      </c>
      <c r="AA34" s="44">
        <f>IF($A34="","",IF($V34&gt;0,IF(OR(INDEX('01_予約入力'!$N$5:$N$204,$V34)="仮予約",INDEX('01_予約入力'!$N$5:$N$204,$V34)="調整中"),"仮",INDEX('01_予約入力'!$C$5:$C$204,$V34)),IF($W34&gt;0,IF(OR(INDEX('01_予約入力'!$N$5:$N$204,$W34)="仮予約",INDEX('01_予約入力'!$N$5:$N$204,$W34)="調整中"),"仮",INDEX('01_予約入力'!$C$5:$C$204,$W34)),IF($U34&gt;0,IF(OR(INDEX('01_予約入力'!$N$5:$N$204,$U34)="仮予約",INDEX('01_予約入力'!$N$5:$N$204,$U34)="調整中"),"仮",INDEX('01_予約入力'!$C$5:$C$204,$U34)),""))))</f>
        <v/>
      </c>
      <c r="AB34" s="44">
        <f>IF($A34="",0,SUMPRODUCT(('01_予約入力'!$G$5:$G$204&lt;&gt;"")*('01_予約入力'!$N$5:$N$204&lt;&gt;"キャンセル")*('01_予約入力'!$G$5:$G$204&lt;$A34)*('01_予約入力'!$J$5:$J$204&gt;=$A34)))</f>
        <v/>
      </c>
      <c r="AC34" s="44">
        <f>IF($A34="",0,SUMPRODUCT(('01_予約入力'!$G$5:$G$204&lt;&gt;"")*('01_予約入力'!$N$5:$N$204&lt;&gt;"キャンセル")*((('01_予約入力'!$G$5:$G$204&lt;$A34)*('01_予約入力'!$J$5:$J$204&gt;$A34))+(('01_予約入力'!$G$5:$G$204=$A34)*('01_予約入力'!$J$5:$J$204=$A34)))))</f>
        <v/>
      </c>
      <c r="AD34" s="44">
        <f>IF($A34="",0,SUMPRODUCT(('01_予約入力'!$G$5:$G$204&lt;&gt;"")*('01_予約入力'!$N$5:$N$204&lt;&gt;"キャンセル")*('01_予約入力'!$G$5:$G$204&lt;=$A34)*('01_予約入力'!$J$5:$J$204&gt;$A34)))</f>
        <v/>
      </c>
      <c r="AE34" s="44">
        <f>IF($A34="",0,IFERROR(MATCH($A34,'02_カレンダー'!$B$59:$B$78,0),0))</f>
        <v/>
      </c>
      <c r="AF34" s="44">
        <f>IF($A34="",0,IF($AE34=0,$AB34,IF(INDEX('02_カレンダー'!$C$59:$C$78,$AE34)="",$AB34,INDEX('02_カレンダー'!$C$59:$C$78,$AE34))))</f>
        <v/>
      </c>
      <c r="AG34" s="44">
        <f>IF($A34="",0,IF($AE34=0,$AC34,IF(INDEX('02_カレンダー'!$D$59:$D$78,$AE34)="",$AC34,INDEX('02_カレンダー'!$D$59:$D$78,$AE34))))</f>
        <v/>
      </c>
      <c r="AH34" s="44">
        <f>IF($A34="",0,IF($AE34=0,$AD34,IF(INDEX('02_カレンダー'!$E$59:$E$78,$AE34)="",$AD34,INDEX('02_カレンダー'!$E$59:$E$78,$AE34))))</f>
        <v/>
      </c>
      <c r="AI34" s="44">
        <f>IF($A34="","",IF(AND($AF34=0,$AG34=0,$AH34=0),"","朝"&amp;$AF34&amp;" 昼"&amp;$AG34&amp;" 夕"&amp;$AH34&amp;IF($AJ34=0,"","　※調整")))</f>
        <v/>
      </c>
      <c r="AJ34" s="44">
        <f>IF(OR($A34="",$AE34=0),0,IF(OR(INDEX('02_カレンダー'!$C$59:$C$78,$AE34)&lt;&gt;"",INDEX('02_カレンダー'!$D$59:$D$78,$AE34)&lt;&gt;"",INDEX('02_カレンダー'!$E$59:$E$78,$AE34)&lt;&gt;""),1,0))</f>
        <v/>
      </c>
    </row>
    <row r="35">
      <c r="A35" s="37">
        <f>IF(MONTH('02_カレンダー'!$B$4+28)&lt;&gt;MONTH('02_カレンダー'!$B$4),"",'02_カレンダー'!$B$4+28)</f>
        <v/>
      </c>
      <c r="B35" s="44">
        <f>IF($A35="","",MID("日月火水木金土",WEEKDAY($A35),1))</f>
        <v/>
      </c>
      <c r="C35" s="48">
        <f>IF(OR($A35="",C$6=""),"",IF($L35=0,"",INDEX('01_予約入力'!$B$5:$B$204,$L35)&amp;" ◀"&amp;IF(('02_カレンダー'!$B$5="○"),INDEX('01_予約入力'!$AB$5:$AB$204,$L35),""))&amp;IF(AND($L35&gt;0,OR($M35&gt;0,$N35&gt;0)),"  ","")&amp;IF($M35=0,"",IF(INDEX('01_予約入力'!$G$5:$G$204,$M35)=$A35,"▶"&amp;IF(('02_カレンダー'!$B$5="○"),INDEX('01_予約入力'!$AA$5:$AA$204,$M35)&amp;" "," "),"")&amp;INDEX('01_予約入力'!$B$5:$B$204,$M35))&amp;IF(AND($M35&gt;0,$N35&gt;0),"  ","")&amp;IF($N35=0,"","◆ "&amp;INDEX('01_予約入力'!$B$5:$B$204,$N35)&amp;IF(('02_カレンダー'!$B$5="○")," "&amp;INDEX('01_予約入力'!$AA$5:$AA$204,$N35)&amp;"-"&amp;INDEX('01_予約入力'!$AB$5:$AB$204,$N35),"")))</f>
        <v/>
      </c>
      <c r="D35" s="48">
        <f>IF(OR($A35="",D$6=""),"",IF($O35=0,"",INDEX('01_予約入力'!$B$5:$B$204,$O35)&amp;" ◀"&amp;IF(('02_カレンダー'!$B$5="○"),INDEX('01_予約入力'!$AB$5:$AB$204,$O35),""))&amp;IF(AND($O35&gt;0,OR($P35&gt;0,$Q35&gt;0)),"  ","")&amp;IF($P35=0,"",IF(INDEX('01_予約入力'!$G$5:$G$204,$P35)=$A35,"▶"&amp;IF(('02_カレンダー'!$B$5="○"),INDEX('01_予約入力'!$AA$5:$AA$204,$P35)&amp;" "," "),"")&amp;INDEX('01_予約入力'!$B$5:$B$204,$P35))&amp;IF(AND($P35&gt;0,$Q35&gt;0),"  ","")&amp;IF($Q35=0,"","◆ "&amp;INDEX('01_予約入力'!$B$5:$B$204,$Q35)&amp;IF(('02_カレンダー'!$B$5="○")," "&amp;INDEX('01_予約入力'!$AA$5:$AA$204,$Q35)&amp;"-"&amp;INDEX('01_予約入力'!$AB$5:$AB$204,$Q35),"")))</f>
        <v/>
      </c>
      <c r="E35" s="48">
        <f>IF(OR($A35="",E$6=""),"",IF($R35=0,"",INDEX('01_予約入力'!$B$5:$B$204,$R35)&amp;" ◀"&amp;IF(('02_カレンダー'!$B$5="○"),INDEX('01_予約入力'!$AB$5:$AB$204,$R35),""))&amp;IF(AND($R35&gt;0,OR($S35&gt;0,$T35&gt;0)),"  ","")&amp;IF($S35=0,"",IF(INDEX('01_予約入力'!$G$5:$G$204,$S35)=$A35,"▶"&amp;IF(('02_カレンダー'!$B$5="○"),INDEX('01_予約入力'!$AA$5:$AA$204,$S35)&amp;" "," "),"")&amp;INDEX('01_予約入力'!$B$5:$B$204,$S35))&amp;IF(AND($S35&gt;0,$T35&gt;0),"  ","")&amp;IF($T35=0,"","◆ "&amp;INDEX('01_予約入力'!$B$5:$B$204,$T35)&amp;IF(('02_カレンダー'!$B$5="○")," "&amp;INDEX('01_予約入力'!$AA$5:$AA$204,$T35)&amp;"-"&amp;INDEX('01_予約入力'!$AB$5:$AB$204,$T35),"")))</f>
        <v/>
      </c>
      <c r="F35" s="48">
        <f>IF(OR($A35="",F$6=""),"",IF($U35=0,"",INDEX('01_予約入力'!$B$5:$B$204,$U35)&amp;" ◀"&amp;IF(('02_カレンダー'!$B$5="○"),INDEX('01_予約入力'!$AB$5:$AB$204,$U35),""))&amp;IF(AND($U35&gt;0,OR($V35&gt;0,$W35&gt;0)),"  ","")&amp;IF($V35=0,"",IF(INDEX('01_予約入力'!$G$5:$G$204,$V35)=$A35,"▶"&amp;IF(('02_カレンダー'!$B$5="○"),INDEX('01_予約入力'!$AA$5:$AA$204,$V35)&amp;" "," "),"")&amp;INDEX('01_予約入力'!$B$5:$B$204,$V35))&amp;IF(AND($V35&gt;0,$W35&gt;0),"  ","")&amp;IF($W35=0,"","◆ "&amp;INDEX('01_予約入力'!$B$5:$B$204,$W35)&amp;IF(('02_カレンダー'!$B$5="○")," "&amp;INDEX('01_予約入力'!$AA$5:$AA$204,$W35)&amp;"-"&amp;INDEX('01_予約入力'!$AB$5:$AB$204,$W35),"")))</f>
        <v/>
      </c>
      <c r="G35" s="44">
        <f>IF($A35="","",SUMPRODUCT(('01_予約入力'!$G$5:$G$204&lt;&gt;"")*('01_予約入力'!$N$5:$N$204&lt;&gt;"キャンセル")*('01_予約入力'!$G$5:$G$204&lt;=$A35)*('01_予約入力'!$J$5:$J$204&gt;$A35)))</f>
        <v/>
      </c>
      <c r="H35" s="44">
        <f>IF($A35="","",'M_施設設定'!$B$6-$G35)</f>
        <v/>
      </c>
      <c r="I35" s="44">
        <f>IF($A35="","",SUMPRODUCT((('01_予約入力'!$N$5:$N$204="仮予約")+('01_予約入力'!$N$5:$N$204="調整中"))*('01_予約入力'!$G$5:$G$204&lt;&gt;"")*('01_予約入力'!$G$5:$G$204&lt;=$A35)*('01_予約入力'!$J$5:$J$204&gt;$A35)))</f>
        <v/>
      </c>
      <c r="J35" s="44">
        <f>IF($A35="","",IF($I35&gt;0,"仮",IF($H35&lt;=0,"×",IF($H35&lt;'M_施設設定'!$B$6,"△","○"))))</f>
        <v/>
      </c>
      <c r="K35" s="44">
        <f>IF($A35="","",SUMPRODUCT(('01_予約入力'!$G$5:$G$204&lt;&gt;"")*('01_予約入力'!$N$5:$N$204&lt;&gt;"キャンセル")*('01_予約入力'!$G$5:$G$204=$A35)*('01_予約入力'!$J$5:$J$204=$A35)))</f>
        <v/>
      </c>
      <c r="L35" s="44">
        <f>IF(OR($A35="",C$6=""),0,SUMPRODUCT(MAX(('01_予約入力'!$D$5:$D$204=C$6)*('01_予約入力'!$N$5:$N$204&lt;&gt;"キャンセル")*('01_予約入力'!$G$5:$G$204&lt;&gt;"")*('01_予約入力'!$J$5:$J$204=$A35)*('01_予約入力'!$G$5:$G$204&lt;$A35)*(ROW('01_予約入力'!$G$5:$G$204)-4))))</f>
        <v/>
      </c>
      <c r="M35" s="44">
        <f>IF(OR($A35="",C$6=""),0,SUMPRODUCT(MAX(('01_予約入力'!$D$5:$D$204=C$6)*('01_予約入力'!$N$5:$N$204&lt;&gt;"キャンセル")*('01_予約入力'!$G$5:$G$204&lt;&gt;"")*('01_予約入力'!$G$5:$G$204&lt;=$A35)*('01_予約入力'!$J$5:$J$204&gt;$A35)*(ROW('01_予約入力'!$G$5:$G$204)-4))))</f>
        <v/>
      </c>
      <c r="N35" s="44">
        <f>IF(OR($A35="",C$6=""),0,SUMPRODUCT(MAX(('01_予約入力'!$D$5:$D$204=C$6)*('01_予約入力'!$N$5:$N$204&lt;&gt;"キャンセル")*('01_予約入力'!$G$5:$G$204&lt;&gt;"")*('01_予約入力'!$G$5:$G$204=$A35)*('01_予約入力'!$J$5:$J$204=$A35)*(ROW('01_予約入力'!$G$5:$G$204)-4))))</f>
        <v/>
      </c>
      <c r="O35" s="44">
        <f>IF(OR($A35="",D$6=""),0,SUMPRODUCT(MAX(('01_予約入力'!$D$5:$D$204=D$6)*('01_予約入力'!$N$5:$N$204&lt;&gt;"キャンセル")*('01_予約入力'!$G$5:$G$204&lt;&gt;"")*('01_予約入力'!$J$5:$J$204=$A35)*('01_予約入力'!$G$5:$G$204&lt;$A35)*(ROW('01_予約入力'!$G$5:$G$204)-4))))</f>
        <v/>
      </c>
      <c r="P35" s="44">
        <f>IF(OR($A35="",D$6=""),0,SUMPRODUCT(MAX(('01_予約入力'!$D$5:$D$204=D$6)*('01_予約入力'!$N$5:$N$204&lt;&gt;"キャンセル")*('01_予約入力'!$G$5:$G$204&lt;&gt;"")*('01_予約入力'!$G$5:$G$204&lt;=$A35)*('01_予約入力'!$J$5:$J$204&gt;$A35)*(ROW('01_予約入力'!$G$5:$G$204)-4))))</f>
        <v/>
      </c>
      <c r="Q35" s="44">
        <f>IF(OR($A35="",D$6=""),0,SUMPRODUCT(MAX(('01_予約入力'!$D$5:$D$204=D$6)*('01_予約入力'!$N$5:$N$204&lt;&gt;"キャンセル")*('01_予約入力'!$G$5:$G$204&lt;&gt;"")*('01_予約入力'!$G$5:$G$204=$A35)*('01_予約入力'!$J$5:$J$204=$A35)*(ROW('01_予約入力'!$G$5:$G$204)-4))))</f>
        <v/>
      </c>
      <c r="R35" s="44">
        <f>IF(OR($A35="",E$6=""),0,SUMPRODUCT(MAX(('01_予約入力'!$D$5:$D$204=E$6)*('01_予約入力'!$N$5:$N$204&lt;&gt;"キャンセル")*('01_予約入力'!$G$5:$G$204&lt;&gt;"")*('01_予約入力'!$J$5:$J$204=$A35)*('01_予約入力'!$G$5:$G$204&lt;$A35)*(ROW('01_予約入力'!$G$5:$G$204)-4))))</f>
        <v/>
      </c>
      <c r="S35" s="44">
        <f>IF(OR($A35="",E$6=""),0,SUMPRODUCT(MAX(('01_予約入力'!$D$5:$D$204=E$6)*('01_予約入力'!$N$5:$N$204&lt;&gt;"キャンセル")*('01_予約入力'!$G$5:$G$204&lt;&gt;"")*('01_予約入力'!$G$5:$G$204&lt;=$A35)*('01_予約入力'!$J$5:$J$204&gt;$A35)*(ROW('01_予約入力'!$G$5:$G$204)-4))))</f>
        <v/>
      </c>
      <c r="T35" s="44">
        <f>IF(OR($A35="",E$6=""),0,SUMPRODUCT(MAX(('01_予約入力'!$D$5:$D$204=E$6)*('01_予約入力'!$N$5:$N$204&lt;&gt;"キャンセル")*('01_予約入力'!$G$5:$G$204&lt;&gt;"")*('01_予約入力'!$G$5:$G$204=$A35)*('01_予約入力'!$J$5:$J$204=$A35)*(ROW('01_予約入力'!$G$5:$G$204)-4))))</f>
        <v/>
      </c>
      <c r="U35" s="44">
        <f>IF(OR($A35="",F$6=""),0,SUMPRODUCT(MAX(('01_予約入力'!$D$5:$D$204=F$6)*('01_予約入力'!$N$5:$N$204&lt;&gt;"キャンセル")*('01_予約入力'!$G$5:$G$204&lt;&gt;"")*('01_予約入力'!$J$5:$J$204=$A35)*('01_予約入力'!$G$5:$G$204&lt;$A35)*(ROW('01_予約入力'!$G$5:$G$204)-4))))</f>
        <v/>
      </c>
      <c r="V35" s="44">
        <f>IF(OR($A35="",F$6=""),0,SUMPRODUCT(MAX(('01_予約入力'!$D$5:$D$204=F$6)*('01_予約入力'!$N$5:$N$204&lt;&gt;"キャンセル")*('01_予約入力'!$G$5:$G$204&lt;&gt;"")*('01_予約入力'!$G$5:$G$204&lt;=$A35)*('01_予約入力'!$J$5:$J$204&gt;$A35)*(ROW('01_予約入力'!$G$5:$G$204)-4))))</f>
        <v/>
      </c>
      <c r="W35" s="44">
        <f>IF(OR($A35="",F$6=""),0,SUMPRODUCT(MAX(('01_予約入力'!$D$5:$D$204=F$6)*('01_予約入力'!$N$5:$N$204&lt;&gt;"キャンセル")*('01_予約入力'!$G$5:$G$204&lt;&gt;"")*('01_予約入力'!$G$5:$G$204=$A35)*('01_予約入力'!$J$5:$J$204=$A35)*(ROW('01_予約入力'!$G$5:$G$204)-4))))</f>
        <v/>
      </c>
      <c r="X35" s="44">
        <f>IF($A35="","",IF($M35&gt;0,IF(OR(INDEX('01_予約入力'!$N$5:$N$204,$M35)="仮予約",INDEX('01_予約入力'!$N$5:$N$204,$M35)="調整中"),"仮",INDEX('01_予約入力'!$C$5:$C$204,$M35)),IF($N35&gt;0,IF(OR(INDEX('01_予約入力'!$N$5:$N$204,$N35)="仮予約",INDEX('01_予約入力'!$N$5:$N$204,$N35)="調整中"),"仮",INDEX('01_予約入力'!$C$5:$C$204,$N35)),IF($L35&gt;0,IF(OR(INDEX('01_予約入力'!$N$5:$N$204,$L35)="仮予約",INDEX('01_予約入力'!$N$5:$N$204,$L35)="調整中"),"仮",INDEX('01_予約入力'!$C$5:$C$204,$L35)),""))))</f>
        <v/>
      </c>
      <c r="Y35" s="44">
        <f>IF($A35="","",IF($P35&gt;0,IF(OR(INDEX('01_予約入力'!$N$5:$N$204,$P35)="仮予約",INDEX('01_予約入力'!$N$5:$N$204,$P35)="調整中"),"仮",INDEX('01_予約入力'!$C$5:$C$204,$P35)),IF($Q35&gt;0,IF(OR(INDEX('01_予約入力'!$N$5:$N$204,$Q35)="仮予約",INDEX('01_予約入力'!$N$5:$N$204,$Q35)="調整中"),"仮",INDEX('01_予約入力'!$C$5:$C$204,$Q35)),IF($O35&gt;0,IF(OR(INDEX('01_予約入力'!$N$5:$N$204,$O35)="仮予約",INDEX('01_予約入力'!$N$5:$N$204,$O35)="調整中"),"仮",INDEX('01_予約入力'!$C$5:$C$204,$O35)),""))))</f>
        <v/>
      </c>
      <c r="Z35" s="44">
        <f>IF($A35="","",IF($S35&gt;0,IF(OR(INDEX('01_予約入力'!$N$5:$N$204,$S35)="仮予約",INDEX('01_予約入力'!$N$5:$N$204,$S35)="調整中"),"仮",INDEX('01_予約入力'!$C$5:$C$204,$S35)),IF($T35&gt;0,IF(OR(INDEX('01_予約入力'!$N$5:$N$204,$T35)="仮予約",INDEX('01_予約入力'!$N$5:$N$204,$T35)="調整中"),"仮",INDEX('01_予約入力'!$C$5:$C$204,$T35)),IF($R35&gt;0,IF(OR(INDEX('01_予約入力'!$N$5:$N$204,$R35)="仮予約",INDEX('01_予約入力'!$N$5:$N$204,$R35)="調整中"),"仮",INDEX('01_予約入力'!$C$5:$C$204,$R35)),""))))</f>
        <v/>
      </c>
      <c r="AA35" s="44">
        <f>IF($A35="","",IF($V35&gt;0,IF(OR(INDEX('01_予約入力'!$N$5:$N$204,$V35)="仮予約",INDEX('01_予約入力'!$N$5:$N$204,$V35)="調整中"),"仮",INDEX('01_予約入力'!$C$5:$C$204,$V35)),IF($W35&gt;0,IF(OR(INDEX('01_予約入力'!$N$5:$N$204,$W35)="仮予約",INDEX('01_予約入力'!$N$5:$N$204,$W35)="調整中"),"仮",INDEX('01_予約入力'!$C$5:$C$204,$W35)),IF($U35&gt;0,IF(OR(INDEX('01_予約入力'!$N$5:$N$204,$U35)="仮予約",INDEX('01_予約入力'!$N$5:$N$204,$U35)="調整中"),"仮",INDEX('01_予約入力'!$C$5:$C$204,$U35)),""))))</f>
        <v/>
      </c>
      <c r="AB35" s="44">
        <f>IF($A35="",0,SUMPRODUCT(('01_予約入力'!$G$5:$G$204&lt;&gt;"")*('01_予約入力'!$N$5:$N$204&lt;&gt;"キャンセル")*('01_予約入力'!$G$5:$G$204&lt;$A35)*('01_予約入力'!$J$5:$J$204&gt;=$A35)))</f>
        <v/>
      </c>
      <c r="AC35" s="44">
        <f>IF($A35="",0,SUMPRODUCT(('01_予約入力'!$G$5:$G$204&lt;&gt;"")*('01_予約入力'!$N$5:$N$204&lt;&gt;"キャンセル")*((('01_予約入力'!$G$5:$G$204&lt;$A35)*('01_予約入力'!$J$5:$J$204&gt;$A35))+(('01_予約入力'!$G$5:$G$204=$A35)*('01_予約入力'!$J$5:$J$204=$A35)))))</f>
        <v/>
      </c>
      <c r="AD35" s="44">
        <f>IF($A35="",0,SUMPRODUCT(('01_予約入力'!$G$5:$G$204&lt;&gt;"")*('01_予約入力'!$N$5:$N$204&lt;&gt;"キャンセル")*('01_予約入力'!$G$5:$G$204&lt;=$A35)*('01_予約入力'!$J$5:$J$204&gt;$A35)))</f>
        <v/>
      </c>
      <c r="AE35" s="44">
        <f>IF($A35="",0,IFERROR(MATCH($A35,'02_カレンダー'!$B$59:$B$78,0),0))</f>
        <v/>
      </c>
      <c r="AF35" s="44">
        <f>IF($A35="",0,IF($AE35=0,$AB35,IF(INDEX('02_カレンダー'!$C$59:$C$78,$AE35)="",$AB35,INDEX('02_カレンダー'!$C$59:$C$78,$AE35))))</f>
        <v/>
      </c>
      <c r="AG35" s="44">
        <f>IF($A35="",0,IF($AE35=0,$AC35,IF(INDEX('02_カレンダー'!$D$59:$D$78,$AE35)="",$AC35,INDEX('02_カレンダー'!$D$59:$D$78,$AE35))))</f>
        <v/>
      </c>
      <c r="AH35" s="44">
        <f>IF($A35="",0,IF($AE35=0,$AD35,IF(INDEX('02_カレンダー'!$E$59:$E$78,$AE35)="",$AD35,INDEX('02_カレンダー'!$E$59:$E$78,$AE35))))</f>
        <v/>
      </c>
      <c r="AI35" s="44">
        <f>IF($A35="","",IF(AND($AF35=0,$AG35=0,$AH35=0),"","朝"&amp;$AF35&amp;" 昼"&amp;$AG35&amp;" 夕"&amp;$AH35&amp;IF($AJ35=0,"","　※調整")))</f>
        <v/>
      </c>
      <c r="AJ35" s="44">
        <f>IF(OR($A35="",$AE35=0),0,IF(OR(INDEX('02_カレンダー'!$C$59:$C$78,$AE35)&lt;&gt;"",INDEX('02_カレンダー'!$D$59:$D$78,$AE35)&lt;&gt;"",INDEX('02_カレンダー'!$E$59:$E$78,$AE35)&lt;&gt;""),1,0))</f>
        <v/>
      </c>
    </row>
    <row r="36">
      <c r="A36" s="37">
        <f>IF(MONTH('02_カレンダー'!$B$4+29)&lt;&gt;MONTH('02_カレンダー'!$B$4),"",'02_カレンダー'!$B$4+29)</f>
        <v/>
      </c>
      <c r="B36" s="44">
        <f>IF($A36="","",MID("日月火水木金土",WEEKDAY($A36),1))</f>
        <v/>
      </c>
      <c r="C36" s="48">
        <f>IF(OR($A36="",C$6=""),"",IF($L36=0,"",INDEX('01_予約入力'!$B$5:$B$204,$L36)&amp;" ◀"&amp;IF(('02_カレンダー'!$B$5="○"),INDEX('01_予約入力'!$AB$5:$AB$204,$L36),""))&amp;IF(AND($L36&gt;0,OR($M36&gt;0,$N36&gt;0)),"  ","")&amp;IF($M36=0,"",IF(INDEX('01_予約入力'!$G$5:$G$204,$M36)=$A36,"▶"&amp;IF(('02_カレンダー'!$B$5="○"),INDEX('01_予約入力'!$AA$5:$AA$204,$M36)&amp;" "," "),"")&amp;INDEX('01_予約入力'!$B$5:$B$204,$M36))&amp;IF(AND($M36&gt;0,$N36&gt;0),"  ","")&amp;IF($N36=0,"","◆ "&amp;INDEX('01_予約入力'!$B$5:$B$204,$N36)&amp;IF(('02_カレンダー'!$B$5="○")," "&amp;INDEX('01_予約入力'!$AA$5:$AA$204,$N36)&amp;"-"&amp;INDEX('01_予約入力'!$AB$5:$AB$204,$N36),"")))</f>
        <v/>
      </c>
      <c r="D36" s="48">
        <f>IF(OR($A36="",D$6=""),"",IF($O36=0,"",INDEX('01_予約入力'!$B$5:$B$204,$O36)&amp;" ◀"&amp;IF(('02_カレンダー'!$B$5="○"),INDEX('01_予約入力'!$AB$5:$AB$204,$O36),""))&amp;IF(AND($O36&gt;0,OR($P36&gt;0,$Q36&gt;0)),"  ","")&amp;IF($P36=0,"",IF(INDEX('01_予約入力'!$G$5:$G$204,$P36)=$A36,"▶"&amp;IF(('02_カレンダー'!$B$5="○"),INDEX('01_予約入力'!$AA$5:$AA$204,$P36)&amp;" "," "),"")&amp;INDEX('01_予約入力'!$B$5:$B$204,$P36))&amp;IF(AND($P36&gt;0,$Q36&gt;0),"  ","")&amp;IF($Q36=0,"","◆ "&amp;INDEX('01_予約入力'!$B$5:$B$204,$Q36)&amp;IF(('02_カレンダー'!$B$5="○")," "&amp;INDEX('01_予約入力'!$AA$5:$AA$204,$Q36)&amp;"-"&amp;INDEX('01_予約入力'!$AB$5:$AB$204,$Q36),"")))</f>
        <v/>
      </c>
      <c r="E36" s="48">
        <f>IF(OR($A36="",E$6=""),"",IF($R36=0,"",INDEX('01_予約入力'!$B$5:$B$204,$R36)&amp;" ◀"&amp;IF(('02_カレンダー'!$B$5="○"),INDEX('01_予約入力'!$AB$5:$AB$204,$R36),""))&amp;IF(AND($R36&gt;0,OR($S36&gt;0,$T36&gt;0)),"  ","")&amp;IF($S36=0,"",IF(INDEX('01_予約入力'!$G$5:$G$204,$S36)=$A36,"▶"&amp;IF(('02_カレンダー'!$B$5="○"),INDEX('01_予約入力'!$AA$5:$AA$204,$S36)&amp;" "," "),"")&amp;INDEX('01_予約入力'!$B$5:$B$204,$S36))&amp;IF(AND($S36&gt;0,$T36&gt;0),"  ","")&amp;IF($T36=0,"","◆ "&amp;INDEX('01_予約入力'!$B$5:$B$204,$T36)&amp;IF(('02_カレンダー'!$B$5="○")," "&amp;INDEX('01_予約入力'!$AA$5:$AA$204,$T36)&amp;"-"&amp;INDEX('01_予約入力'!$AB$5:$AB$204,$T36),"")))</f>
        <v/>
      </c>
      <c r="F36" s="48">
        <f>IF(OR($A36="",F$6=""),"",IF($U36=0,"",INDEX('01_予約入力'!$B$5:$B$204,$U36)&amp;" ◀"&amp;IF(('02_カレンダー'!$B$5="○"),INDEX('01_予約入力'!$AB$5:$AB$204,$U36),""))&amp;IF(AND($U36&gt;0,OR($V36&gt;0,$W36&gt;0)),"  ","")&amp;IF($V36=0,"",IF(INDEX('01_予約入力'!$G$5:$G$204,$V36)=$A36,"▶"&amp;IF(('02_カレンダー'!$B$5="○"),INDEX('01_予約入力'!$AA$5:$AA$204,$V36)&amp;" "," "),"")&amp;INDEX('01_予約入力'!$B$5:$B$204,$V36))&amp;IF(AND($V36&gt;0,$W36&gt;0),"  ","")&amp;IF($W36=0,"","◆ "&amp;INDEX('01_予約入力'!$B$5:$B$204,$W36)&amp;IF(('02_カレンダー'!$B$5="○")," "&amp;INDEX('01_予約入力'!$AA$5:$AA$204,$W36)&amp;"-"&amp;INDEX('01_予約入力'!$AB$5:$AB$204,$W36),"")))</f>
        <v/>
      </c>
      <c r="G36" s="44">
        <f>IF($A36="","",SUMPRODUCT(('01_予約入力'!$G$5:$G$204&lt;&gt;"")*('01_予約入力'!$N$5:$N$204&lt;&gt;"キャンセル")*('01_予約入力'!$G$5:$G$204&lt;=$A36)*('01_予約入力'!$J$5:$J$204&gt;$A36)))</f>
        <v/>
      </c>
      <c r="H36" s="44">
        <f>IF($A36="","",'M_施設設定'!$B$6-$G36)</f>
        <v/>
      </c>
      <c r="I36" s="44">
        <f>IF($A36="","",SUMPRODUCT((('01_予約入力'!$N$5:$N$204="仮予約")+('01_予約入力'!$N$5:$N$204="調整中"))*('01_予約入力'!$G$5:$G$204&lt;&gt;"")*('01_予約入力'!$G$5:$G$204&lt;=$A36)*('01_予約入力'!$J$5:$J$204&gt;$A36)))</f>
        <v/>
      </c>
      <c r="J36" s="44">
        <f>IF($A36="","",IF($I36&gt;0,"仮",IF($H36&lt;=0,"×",IF($H36&lt;'M_施設設定'!$B$6,"△","○"))))</f>
        <v/>
      </c>
      <c r="K36" s="44">
        <f>IF($A36="","",SUMPRODUCT(('01_予約入力'!$G$5:$G$204&lt;&gt;"")*('01_予約入力'!$N$5:$N$204&lt;&gt;"キャンセル")*('01_予約入力'!$G$5:$G$204=$A36)*('01_予約入力'!$J$5:$J$204=$A36)))</f>
        <v/>
      </c>
      <c r="L36" s="44">
        <f>IF(OR($A36="",C$6=""),0,SUMPRODUCT(MAX(('01_予約入力'!$D$5:$D$204=C$6)*('01_予約入力'!$N$5:$N$204&lt;&gt;"キャンセル")*('01_予約入力'!$G$5:$G$204&lt;&gt;"")*('01_予約入力'!$J$5:$J$204=$A36)*('01_予約入力'!$G$5:$G$204&lt;$A36)*(ROW('01_予約入力'!$G$5:$G$204)-4))))</f>
        <v/>
      </c>
      <c r="M36" s="44">
        <f>IF(OR($A36="",C$6=""),0,SUMPRODUCT(MAX(('01_予約入力'!$D$5:$D$204=C$6)*('01_予約入力'!$N$5:$N$204&lt;&gt;"キャンセル")*('01_予約入力'!$G$5:$G$204&lt;&gt;"")*('01_予約入力'!$G$5:$G$204&lt;=$A36)*('01_予約入力'!$J$5:$J$204&gt;$A36)*(ROW('01_予約入力'!$G$5:$G$204)-4))))</f>
        <v/>
      </c>
      <c r="N36" s="44">
        <f>IF(OR($A36="",C$6=""),0,SUMPRODUCT(MAX(('01_予約入力'!$D$5:$D$204=C$6)*('01_予約入力'!$N$5:$N$204&lt;&gt;"キャンセル")*('01_予約入力'!$G$5:$G$204&lt;&gt;"")*('01_予約入力'!$G$5:$G$204=$A36)*('01_予約入力'!$J$5:$J$204=$A36)*(ROW('01_予約入力'!$G$5:$G$204)-4))))</f>
        <v/>
      </c>
      <c r="O36" s="44">
        <f>IF(OR($A36="",D$6=""),0,SUMPRODUCT(MAX(('01_予約入力'!$D$5:$D$204=D$6)*('01_予約入力'!$N$5:$N$204&lt;&gt;"キャンセル")*('01_予約入力'!$G$5:$G$204&lt;&gt;"")*('01_予約入力'!$J$5:$J$204=$A36)*('01_予約入力'!$G$5:$G$204&lt;$A36)*(ROW('01_予約入力'!$G$5:$G$204)-4))))</f>
        <v/>
      </c>
      <c r="P36" s="44">
        <f>IF(OR($A36="",D$6=""),0,SUMPRODUCT(MAX(('01_予約入力'!$D$5:$D$204=D$6)*('01_予約入力'!$N$5:$N$204&lt;&gt;"キャンセル")*('01_予約入力'!$G$5:$G$204&lt;&gt;"")*('01_予約入力'!$G$5:$G$204&lt;=$A36)*('01_予約入力'!$J$5:$J$204&gt;$A36)*(ROW('01_予約入力'!$G$5:$G$204)-4))))</f>
        <v/>
      </c>
      <c r="Q36" s="44">
        <f>IF(OR($A36="",D$6=""),0,SUMPRODUCT(MAX(('01_予約入力'!$D$5:$D$204=D$6)*('01_予約入力'!$N$5:$N$204&lt;&gt;"キャンセル")*('01_予約入力'!$G$5:$G$204&lt;&gt;"")*('01_予約入力'!$G$5:$G$204=$A36)*('01_予約入力'!$J$5:$J$204=$A36)*(ROW('01_予約入力'!$G$5:$G$204)-4))))</f>
        <v/>
      </c>
      <c r="R36" s="44">
        <f>IF(OR($A36="",E$6=""),0,SUMPRODUCT(MAX(('01_予約入力'!$D$5:$D$204=E$6)*('01_予約入力'!$N$5:$N$204&lt;&gt;"キャンセル")*('01_予約入力'!$G$5:$G$204&lt;&gt;"")*('01_予約入力'!$J$5:$J$204=$A36)*('01_予約入力'!$G$5:$G$204&lt;$A36)*(ROW('01_予約入力'!$G$5:$G$204)-4))))</f>
        <v/>
      </c>
      <c r="S36" s="44">
        <f>IF(OR($A36="",E$6=""),0,SUMPRODUCT(MAX(('01_予約入力'!$D$5:$D$204=E$6)*('01_予約入力'!$N$5:$N$204&lt;&gt;"キャンセル")*('01_予約入力'!$G$5:$G$204&lt;&gt;"")*('01_予約入力'!$G$5:$G$204&lt;=$A36)*('01_予約入力'!$J$5:$J$204&gt;$A36)*(ROW('01_予約入力'!$G$5:$G$204)-4))))</f>
        <v/>
      </c>
      <c r="T36" s="44">
        <f>IF(OR($A36="",E$6=""),0,SUMPRODUCT(MAX(('01_予約入力'!$D$5:$D$204=E$6)*('01_予約入力'!$N$5:$N$204&lt;&gt;"キャンセル")*('01_予約入力'!$G$5:$G$204&lt;&gt;"")*('01_予約入力'!$G$5:$G$204=$A36)*('01_予約入力'!$J$5:$J$204=$A36)*(ROW('01_予約入力'!$G$5:$G$204)-4))))</f>
        <v/>
      </c>
      <c r="U36" s="44">
        <f>IF(OR($A36="",F$6=""),0,SUMPRODUCT(MAX(('01_予約入力'!$D$5:$D$204=F$6)*('01_予約入力'!$N$5:$N$204&lt;&gt;"キャンセル")*('01_予約入力'!$G$5:$G$204&lt;&gt;"")*('01_予約入力'!$J$5:$J$204=$A36)*('01_予約入力'!$G$5:$G$204&lt;$A36)*(ROW('01_予約入力'!$G$5:$G$204)-4))))</f>
        <v/>
      </c>
      <c r="V36" s="44">
        <f>IF(OR($A36="",F$6=""),0,SUMPRODUCT(MAX(('01_予約入力'!$D$5:$D$204=F$6)*('01_予約入力'!$N$5:$N$204&lt;&gt;"キャンセル")*('01_予約入力'!$G$5:$G$204&lt;&gt;"")*('01_予約入力'!$G$5:$G$204&lt;=$A36)*('01_予約入力'!$J$5:$J$204&gt;$A36)*(ROW('01_予約入力'!$G$5:$G$204)-4))))</f>
        <v/>
      </c>
      <c r="W36" s="44">
        <f>IF(OR($A36="",F$6=""),0,SUMPRODUCT(MAX(('01_予約入力'!$D$5:$D$204=F$6)*('01_予約入力'!$N$5:$N$204&lt;&gt;"キャンセル")*('01_予約入力'!$G$5:$G$204&lt;&gt;"")*('01_予約入力'!$G$5:$G$204=$A36)*('01_予約入力'!$J$5:$J$204=$A36)*(ROW('01_予約入力'!$G$5:$G$204)-4))))</f>
        <v/>
      </c>
      <c r="X36" s="44">
        <f>IF($A36="","",IF($M36&gt;0,IF(OR(INDEX('01_予約入力'!$N$5:$N$204,$M36)="仮予約",INDEX('01_予約入力'!$N$5:$N$204,$M36)="調整中"),"仮",INDEX('01_予約入力'!$C$5:$C$204,$M36)),IF($N36&gt;0,IF(OR(INDEX('01_予約入力'!$N$5:$N$204,$N36)="仮予約",INDEX('01_予約入力'!$N$5:$N$204,$N36)="調整中"),"仮",INDEX('01_予約入力'!$C$5:$C$204,$N36)),IF($L36&gt;0,IF(OR(INDEX('01_予約入力'!$N$5:$N$204,$L36)="仮予約",INDEX('01_予約入力'!$N$5:$N$204,$L36)="調整中"),"仮",INDEX('01_予約入力'!$C$5:$C$204,$L36)),""))))</f>
        <v/>
      </c>
      <c r="Y36" s="44">
        <f>IF($A36="","",IF($P36&gt;0,IF(OR(INDEX('01_予約入力'!$N$5:$N$204,$P36)="仮予約",INDEX('01_予約入力'!$N$5:$N$204,$P36)="調整中"),"仮",INDEX('01_予約入力'!$C$5:$C$204,$P36)),IF($Q36&gt;0,IF(OR(INDEX('01_予約入力'!$N$5:$N$204,$Q36)="仮予約",INDEX('01_予約入力'!$N$5:$N$204,$Q36)="調整中"),"仮",INDEX('01_予約入力'!$C$5:$C$204,$Q36)),IF($O36&gt;0,IF(OR(INDEX('01_予約入力'!$N$5:$N$204,$O36)="仮予約",INDEX('01_予約入力'!$N$5:$N$204,$O36)="調整中"),"仮",INDEX('01_予約入力'!$C$5:$C$204,$O36)),""))))</f>
        <v/>
      </c>
      <c r="Z36" s="44">
        <f>IF($A36="","",IF($S36&gt;0,IF(OR(INDEX('01_予約入力'!$N$5:$N$204,$S36)="仮予約",INDEX('01_予約入力'!$N$5:$N$204,$S36)="調整中"),"仮",INDEX('01_予約入力'!$C$5:$C$204,$S36)),IF($T36&gt;0,IF(OR(INDEX('01_予約入力'!$N$5:$N$204,$T36)="仮予約",INDEX('01_予約入力'!$N$5:$N$204,$T36)="調整中"),"仮",INDEX('01_予約入力'!$C$5:$C$204,$T36)),IF($R36&gt;0,IF(OR(INDEX('01_予約入力'!$N$5:$N$204,$R36)="仮予約",INDEX('01_予約入力'!$N$5:$N$204,$R36)="調整中"),"仮",INDEX('01_予約入力'!$C$5:$C$204,$R36)),""))))</f>
        <v/>
      </c>
      <c r="AA36" s="44">
        <f>IF($A36="","",IF($V36&gt;0,IF(OR(INDEX('01_予約入力'!$N$5:$N$204,$V36)="仮予約",INDEX('01_予約入力'!$N$5:$N$204,$V36)="調整中"),"仮",INDEX('01_予約入力'!$C$5:$C$204,$V36)),IF($W36&gt;0,IF(OR(INDEX('01_予約入力'!$N$5:$N$204,$W36)="仮予約",INDEX('01_予約入力'!$N$5:$N$204,$W36)="調整中"),"仮",INDEX('01_予約入力'!$C$5:$C$204,$W36)),IF($U36&gt;0,IF(OR(INDEX('01_予約入力'!$N$5:$N$204,$U36)="仮予約",INDEX('01_予約入力'!$N$5:$N$204,$U36)="調整中"),"仮",INDEX('01_予約入力'!$C$5:$C$204,$U36)),""))))</f>
        <v/>
      </c>
      <c r="AB36" s="44">
        <f>IF($A36="",0,SUMPRODUCT(('01_予約入力'!$G$5:$G$204&lt;&gt;"")*('01_予約入力'!$N$5:$N$204&lt;&gt;"キャンセル")*('01_予約入力'!$G$5:$G$204&lt;$A36)*('01_予約入力'!$J$5:$J$204&gt;=$A36)))</f>
        <v/>
      </c>
      <c r="AC36" s="44">
        <f>IF($A36="",0,SUMPRODUCT(('01_予約入力'!$G$5:$G$204&lt;&gt;"")*('01_予約入力'!$N$5:$N$204&lt;&gt;"キャンセル")*((('01_予約入力'!$G$5:$G$204&lt;$A36)*('01_予約入力'!$J$5:$J$204&gt;$A36))+(('01_予約入力'!$G$5:$G$204=$A36)*('01_予約入力'!$J$5:$J$204=$A36)))))</f>
        <v/>
      </c>
      <c r="AD36" s="44">
        <f>IF($A36="",0,SUMPRODUCT(('01_予約入力'!$G$5:$G$204&lt;&gt;"")*('01_予約入力'!$N$5:$N$204&lt;&gt;"キャンセル")*('01_予約入力'!$G$5:$G$204&lt;=$A36)*('01_予約入力'!$J$5:$J$204&gt;$A36)))</f>
        <v/>
      </c>
      <c r="AE36" s="44">
        <f>IF($A36="",0,IFERROR(MATCH($A36,'02_カレンダー'!$B$59:$B$78,0),0))</f>
        <v/>
      </c>
      <c r="AF36" s="44">
        <f>IF($A36="",0,IF($AE36=0,$AB36,IF(INDEX('02_カレンダー'!$C$59:$C$78,$AE36)="",$AB36,INDEX('02_カレンダー'!$C$59:$C$78,$AE36))))</f>
        <v/>
      </c>
      <c r="AG36" s="44">
        <f>IF($A36="",0,IF($AE36=0,$AC36,IF(INDEX('02_カレンダー'!$D$59:$D$78,$AE36)="",$AC36,INDEX('02_カレンダー'!$D$59:$D$78,$AE36))))</f>
        <v/>
      </c>
      <c r="AH36" s="44">
        <f>IF($A36="",0,IF($AE36=0,$AD36,IF(INDEX('02_カレンダー'!$E$59:$E$78,$AE36)="",$AD36,INDEX('02_カレンダー'!$E$59:$E$78,$AE36))))</f>
        <v/>
      </c>
      <c r="AI36" s="44">
        <f>IF($A36="","",IF(AND($AF36=0,$AG36=0,$AH36=0),"","朝"&amp;$AF36&amp;" 昼"&amp;$AG36&amp;" 夕"&amp;$AH36&amp;IF($AJ36=0,"","　※調整")))</f>
        <v/>
      </c>
      <c r="AJ36" s="44">
        <f>IF(OR($A36="",$AE36=0),0,IF(OR(INDEX('02_カレンダー'!$C$59:$C$78,$AE36)&lt;&gt;"",INDEX('02_カレンダー'!$D$59:$D$78,$AE36)&lt;&gt;"",INDEX('02_カレンダー'!$E$59:$E$78,$AE36)&lt;&gt;""),1,0))</f>
        <v/>
      </c>
    </row>
    <row r="37">
      <c r="A37" s="37">
        <f>IF(MONTH('02_カレンダー'!$B$4+30)&lt;&gt;MONTH('02_カレンダー'!$B$4),"",'02_カレンダー'!$B$4+30)</f>
        <v/>
      </c>
      <c r="B37" s="44">
        <f>IF($A37="","",MID("日月火水木金土",WEEKDAY($A37),1))</f>
        <v/>
      </c>
      <c r="C37" s="48">
        <f>IF(OR($A37="",C$6=""),"",IF($L37=0,"",INDEX('01_予約入力'!$B$5:$B$204,$L37)&amp;" ◀"&amp;IF(('02_カレンダー'!$B$5="○"),INDEX('01_予約入力'!$AB$5:$AB$204,$L37),""))&amp;IF(AND($L37&gt;0,OR($M37&gt;0,$N37&gt;0)),"  ","")&amp;IF($M37=0,"",IF(INDEX('01_予約入力'!$G$5:$G$204,$M37)=$A37,"▶"&amp;IF(('02_カレンダー'!$B$5="○"),INDEX('01_予約入力'!$AA$5:$AA$204,$M37)&amp;" "," "),"")&amp;INDEX('01_予約入力'!$B$5:$B$204,$M37))&amp;IF(AND($M37&gt;0,$N37&gt;0),"  ","")&amp;IF($N37=0,"","◆ "&amp;INDEX('01_予約入力'!$B$5:$B$204,$N37)&amp;IF(('02_カレンダー'!$B$5="○")," "&amp;INDEX('01_予約入力'!$AA$5:$AA$204,$N37)&amp;"-"&amp;INDEX('01_予約入力'!$AB$5:$AB$204,$N37),"")))</f>
        <v/>
      </c>
      <c r="D37" s="48">
        <f>IF(OR($A37="",D$6=""),"",IF($O37=0,"",INDEX('01_予約入力'!$B$5:$B$204,$O37)&amp;" ◀"&amp;IF(('02_カレンダー'!$B$5="○"),INDEX('01_予約入力'!$AB$5:$AB$204,$O37),""))&amp;IF(AND($O37&gt;0,OR($P37&gt;0,$Q37&gt;0)),"  ","")&amp;IF($P37=0,"",IF(INDEX('01_予約入力'!$G$5:$G$204,$P37)=$A37,"▶"&amp;IF(('02_カレンダー'!$B$5="○"),INDEX('01_予約入力'!$AA$5:$AA$204,$P37)&amp;" "," "),"")&amp;INDEX('01_予約入力'!$B$5:$B$204,$P37))&amp;IF(AND($P37&gt;0,$Q37&gt;0),"  ","")&amp;IF($Q37=0,"","◆ "&amp;INDEX('01_予約入力'!$B$5:$B$204,$Q37)&amp;IF(('02_カレンダー'!$B$5="○")," "&amp;INDEX('01_予約入力'!$AA$5:$AA$204,$Q37)&amp;"-"&amp;INDEX('01_予約入力'!$AB$5:$AB$204,$Q37),"")))</f>
        <v/>
      </c>
      <c r="E37" s="48">
        <f>IF(OR($A37="",E$6=""),"",IF($R37=0,"",INDEX('01_予約入力'!$B$5:$B$204,$R37)&amp;" ◀"&amp;IF(('02_カレンダー'!$B$5="○"),INDEX('01_予約入力'!$AB$5:$AB$204,$R37),""))&amp;IF(AND($R37&gt;0,OR($S37&gt;0,$T37&gt;0)),"  ","")&amp;IF($S37=0,"",IF(INDEX('01_予約入力'!$G$5:$G$204,$S37)=$A37,"▶"&amp;IF(('02_カレンダー'!$B$5="○"),INDEX('01_予約入力'!$AA$5:$AA$204,$S37)&amp;" "," "),"")&amp;INDEX('01_予約入力'!$B$5:$B$204,$S37))&amp;IF(AND($S37&gt;0,$T37&gt;0),"  ","")&amp;IF($T37=0,"","◆ "&amp;INDEX('01_予約入力'!$B$5:$B$204,$T37)&amp;IF(('02_カレンダー'!$B$5="○")," "&amp;INDEX('01_予約入力'!$AA$5:$AA$204,$T37)&amp;"-"&amp;INDEX('01_予約入力'!$AB$5:$AB$204,$T37),"")))</f>
        <v/>
      </c>
      <c r="F37" s="48">
        <f>IF(OR($A37="",F$6=""),"",IF($U37=0,"",INDEX('01_予約入力'!$B$5:$B$204,$U37)&amp;" ◀"&amp;IF(('02_カレンダー'!$B$5="○"),INDEX('01_予約入力'!$AB$5:$AB$204,$U37),""))&amp;IF(AND($U37&gt;0,OR($V37&gt;0,$W37&gt;0)),"  ","")&amp;IF($V37=0,"",IF(INDEX('01_予約入力'!$G$5:$G$204,$V37)=$A37,"▶"&amp;IF(('02_カレンダー'!$B$5="○"),INDEX('01_予約入力'!$AA$5:$AA$204,$V37)&amp;" "," "),"")&amp;INDEX('01_予約入力'!$B$5:$B$204,$V37))&amp;IF(AND($V37&gt;0,$W37&gt;0),"  ","")&amp;IF($W37=0,"","◆ "&amp;INDEX('01_予約入力'!$B$5:$B$204,$W37)&amp;IF(('02_カレンダー'!$B$5="○")," "&amp;INDEX('01_予約入力'!$AA$5:$AA$204,$W37)&amp;"-"&amp;INDEX('01_予約入力'!$AB$5:$AB$204,$W37),"")))</f>
        <v/>
      </c>
      <c r="G37" s="44">
        <f>IF($A37="","",SUMPRODUCT(('01_予約入力'!$G$5:$G$204&lt;&gt;"")*('01_予約入力'!$N$5:$N$204&lt;&gt;"キャンセル")*('01_予約入力'!$G$5:$G$204&lt;=$A37)*('01_予約入力'!$J$5:$J$204&gt;$A37)))</f>
        <v/>
      </c>
      <c r="H37" s="44">
        <f>IF($A37="","",'M_施設設定'!$B$6-$G37)</f>
        <v/>
      </c>
      <c r="I37" s="44">
        <f>IF($A37="","",SUMPRODUCT((('01_予約入力'!$N$5:$N$204="仮予約")+('01_予約入力'!$N$5:$N$204="調整中"))*('01_予約入力'!$G$5:$G$204&lt;&gt;"")*('01_予約入力'!$G$5:$G$204&lt;=$A37)*('01_予約入力'!$J$5:$J$204&gt;$A37)))</f>
        <v/>
      </c>
      <c r="J37" s="44">
        <f>IF($A37="","",IF($I37&gt;0,"仮",IF($H37&lt;=0,"×",IF($H37&lt;'M_施設設定'!$B$6,"△","○"))))</f>
        <v/>
      </c>
      <c r="K37" s="44">
        <f>IF($A37="","",SUMPRODUCT(('01_予約入力'!$G$5:$G$204&lt;&gt;"")*('01_予約入力'!$N$5:$N$204&lt;&gt;"キャンセル")*('01_予約入力'!$G$5:$G$204=$A37)*('01_予約入力'!$J$5:$J$204=$A37)))</f>
        <v/>
      </c>
      <c r="L37" s="44">
        <f>IF(OR($A37="",C$6=""),0,SUMPRODUCT(MAX(('01_予約入力'!$D$5:$D$204=C$6)*('01_予約入力'!$N$5:$N$204&lt;&gt;"キャンセル")*('01_予約入力'!$G$5:$G$204&lt;&gt;"")*('01_予約入力'!$J$5:$J$204=$A37)*('01_予約入力'!$G$5:$G$204&lt;$A37)*(ROW('01_予約入力'!$G$5:$G$204)-4))))</f>
        <v/>
      </c>
      <c r="M37" s="44">
        <f>IF(OR($A37="",C$6=""),0,SUMPRODUCT(MAX(('01_予約入力'!$D$5:$D$204=C$6)*('01_予約入力'!$N$5:$N$204&lt;&gt;"キャンセル")*('01_予約入力'!$G$5:$G$204&lt;&gt;"")*('01_予約入力'!$G$5:$G$204&lt;=$A37)*('01_予約入力'!$J$5:$J$204&gt;$A37)*(ROW('01_予約入力'!$G$5:$G$204)-4))))</f>
        <v/>
      </c>
      <c r="N37" s="44">
        <f>IF(OR($A37="",C$6=""),0,SUMPRODUCT(MAX(('01_予約入力'!$D$5:$D$204=C$6)*('01_予約入力'!$N$5:$N$204&lt;&gt;"キャンセル")*('01_予約入力'!$G$5:$G$204&lt;&gt;"")*('01_予約入力'!$G$5:$G$204=$A37)*('01_予約入力'!$J$5:$J$204=$A37)*(ROW('01_予約入力'!$G$5:$G$204)-4))))</f>
        <v/>
      </c>
      <c r="O37" s="44">
        <f>IF(OR($A37="",D$6=""),0,SUMPRODUCT(MAX(('01_予約入力'!$D$5:$D$204=D$6)*('01_予約入力'!$N$5:$N$204&lt;&gt;"キャンセル")*('01_予約入力'!$G$5:$G$204&lt;&gt;"")*('01_予約入力'!$J$5:$J$204=$A37)*('01_予約入力'!$G$5:$G$204&lt;$A37)*(ROW('01_予約入力'!$G$5:$G$204)-4))))</f>
        <v/>
      </c>
      <c r="P37" s="44">
        <f>IF(OR($A37="",D$6=""),0,SUMPRODUCT(MAX(('01_予約入力'!$D$5:$D$204=D$6)*('01_予約入力'!$N$5:$N$204&lt;&gt;"キャンセル")*('01_予約入力'!$G$5:$G$204&lt;&gt;"")*('01_予約入力'!$G$5:$G$204&lt;=$A37)*('01_予約入力'!$J$5:$J$204&gt;$A37)*(ROW('01_予約入力'!$G$5:$G$204)-4))))</f>
        <v/>
      </c>
      <c r="Q37" s="44">
        <f>IF(OR($A37="",D$6=""),0,SUMPRODUCT(MAX(('01_予約入力'!$D$5:$D$204=D$6)*('01_予約入力'!$N$5:$N$204&lt;&gt;"キャンセル")*('01_予約入力'!$G$5:$G$204&lt;&gt;"")*('01_予約入力'!$G$5:$G$204=$A37)*('01_予約入力'!$J$5:$J$204=$A37)*(ROW('01_予約入力'!$G$5:$G$204)-4))))</f>
        <v/>
      </c>
      <c r="R37" s="44">
        <f>IF(OR($A37="",E$6=""),0,SUMPRODUCT(MAX(('01_予約入力'!$D$5:$D$204=E$6)*('01_予約入力'!$N$5:$N$204&lt;&gt;"キャンセル")*('01_予約入力'!$G$5:$G$204&lt;&gt;"")*('01_予約入力'!$J$5:$J$204=$A37)*('01_予約入力'!$G$5:$G$204&lt;$A37)*(ROW('01_予約入力'!$G$5:$G$204)-4))))</f>
        <v/>
      </c>
      <c r="S37" s="44">
        <f>IF(OR($A37="",E$6=""),0,SUMPRODUCT(MAX(('01_予約入力'!$D$5:$D$204=E$6)*('01_予約入力'!$N$5:$N$204&lt;&gt;"キャンセル")*('01_予約入力'!$G$5:$G$204&lt;&gt;"")*('01_予約入力'!$G$5:$G$204&lt;=$A37)*('01_予約入力'!$J$5:$J$204&gt;$A37)*(ROW('01_予約入力'!$G$5:$G$204)-4))))</f>
        <v/>
      </c>
      <c r="T37" s="44">
        <f>IF(OR($A37="",E$6=""),0,SUMPRODUCT(MAX(('01_予約入力'!$D$5:$D$204=E$6)*('01_予約入力'!$N$5:$N$204&lt;&gt;"キャンセル")*('01_予約入力'!$G$5:$G$204&lt;&gt;"")*('01_予約入力'!$G$5:$G$204=$A37)*('01_予約入力'!$J$5:$J$204=$A37)*(ROW('01_予約入力'!$G$5:$G$204)-4))))</f>
        <v/>
      </c>
      <c r="U37" s="44">
        <f>IF(OR($A37="",F$6=""),0,SUMPRODUCT(MAX(('01_予約入力'!$D$5:$D$204=F$6)*('01_予約入力'!$N$5:$N$204&lt;&gt;"キャンセル")*('01_予約入力'!$G$5:$G$204&lt;&gt;"")*('01_予約入力'!$J$5:$J$204=$A37)*('01_予約入力'!$G$5:$G$204&lt;$A37)*(ROW('01_予約入力'!$G$5:$G$204)-4))))</f>
        <v/>
      </c>
      <c r="V37" s="44">
        <f>IF(OR($A37="",F$6=""),0,SUMPRODUCT(MAX(('01_予約入力'!$D$5:$D$204=F$6)*('01_予約入力'!$N$5:$N$204&lt;&gt;"キャンセル")*('01_予約入力'!$G$5:$G$204&lt;&gt;"")*('01_予約入力'!$G$5:$G$204&lt;=$A37)*('01_予約入力'!$J$5:$J$204&gt;$A37)*(ROW('01_予約入力'!$G$5:$G$204)-4))))</f>
        <v/>
      </c>
      <c r="W37" s="44">
        <f>IF(OR($A37="",F$6=""),0,SUMPRODUCT(MAX(('01_予約入力'!$D$5:$D$204=F$6)*('01_予約入力'!$N$5:$N$204&lt;&gt;"キャンセル")*('01_予約入力'!$G$5:$G$204&lt;&gt;"")*('01_予約入力'!$G$5:$G$204=$A37)*('01_予約入力'!$J$5:$J$204=$A37)*(ROW('01_予約入力'!$G$5:$G$204)-4))))</f>
        <v/>
      </c>
      <c r="X37" s="44">
        <f>IF($A37="","",IF($M37&gt;0,IF(OR(INDEX('01_予約入力'!$N$5:$N$204,$M37)="仮予約",INDEX('01_予約入力'!$N$5:$N$204,$M37)="調整中"),"仮",INDEX('01_予約入力'!$C$5:$C$204,$M37)),IF($N37&gt;0,IF(OR(INDEX('01_予約入力'!$N$5:$N$204,$N37)="仮予約",INDEX('01_予約入力'!$N$5:$N$204,$N37)="調整中"),"仮",INDEX('01_予約入力'!$C$5:$C$204,$N37)),IF($L37&gt;0,IF(OR(INDEX('01_予約入力'!$N$5:$N$204,$L37)="仮予約",INDEX('01_予約入力'!$N$5:$N$204,$L37)="調整中"),"仮",INDEX('01_予約入力'!$C$5:$C$204,$L37)),""))))</f>
        <v/>
      </c>
      <c r="Y37" s="44">
        <f>IF($A37="","",IF($P37&gt;0,IF(OR(INDEX('01_予約入力'!$N$5:$N$204,$P37)="仮予約",INDEX('01_予約入力'!$N$5:$N$204,$P37)="調整中"),"仮",INDEX('01_予約入力'!$C$5:$C$204,$P37)),IF($Q37&gt;0,IF(OR(INDEX('01_予約入力'!$N$5:$N$204,$Q37)="仮予約",INDEX('01_予約入力'!$N$5:$N$204,$Q37)="調整中"),"仮",INDEX('01_予約入力'!$C$5:$C$204,$Q37)),IF($O37&gt;0,IF(OR(INDEX('01_予約入力'!$N$5:$N$204,$O37)="仮予約",INDEX('01_予約入力'!$N$5:$N$204,$O37)="調整中"),"仮",INDEX('01_予約入力'!$C$5:$C$204,$O37)),""))))</f>
        <v/>
      </c>
      <c r="Z37" s="44">
        <f>IF($A37="","",IF($S37&gt;0,IF(OR(INDEX('01_予約入力'!$N$5:$N$204,$S37)="仮予約",INDEX('01_予約入力'!$N$5:$N$204,$S37)="調整中"),"仮",INDEX('01_予約入力'!$C$5:$C$204,$S37)),IF($T37&gt;0,IF(OR(INDEX('01_予約入力'!$N$5:$N$204,$T37)="仮予約",INDEX('01_予約入力'!$N$5:$N$204,$T37)="調整中"),"仮",INDEX('01_予約入力'!$C$5:$C$204,$T37)),IF($R37&gt;0,IF(OR(INDEX('01_予約入力'!$N$5:$N$204,$R37)="仮予約",INDEX('01_予約入力'!$N$5:$N$204,$R37)="調整中"),"仮",INDEX('01_予約入力'!$C$5:$C$204,$R37)),""))))</f>
        <v/>
      </c>
      <c r="AA37" s="44">
        <f>IF($A37="","",IF($V37&gt;0,IF(OR(INDEX('01_予約入力'!$N$5:$N$204,$V37)="仮予約",INDEX('01_予約入力'!$N$5:$N$204,$V37)="調整中"),"仮",INDEX('01_予約入力'!$C$5:$C$204,$V37)),IF($W37&gt;0,IF(OR(INDEX('01_予約入力'!$N$5:$N$204,$W37)="仮予約",INDEX('01_予約入力'!$N$5:$N$204,$W37)="調整中"),"仮",INDEX('01_予約入力'!$C$5:$C$204,$W37)),IF($U37&gt;0,IF(OR(INDEX('01_予約入力'!$N$5:$N$204,$U37)="仮予約",INDEX('01_予約入力'!$N$5:$N$204,$U37)="調整中"),"仮",INDEX('01_予約入力'!$C$5:$C$204,$U37)),""))))</f>
        <v/>
      </c>
      <c r="AB37" s="44">
        <f>IF($A37="",0,SUMPRODUCT(('01_予約入力'!$G$5:$G$204&lt;&gt;"")*('01_予約入力'!$N$5:$N$204&lt;&gt;"キャンセル")*('01_予約入力'!$G$5:$G$204&lt;$A37)*('01_予約入力'!$J$5:$J$204&gt;=$A37)))</f>
        <v/>
      </c>
      <c r="AC37" s="44">
        <f>IF($A37="",0,SUMPRODUCT(('01_予約入力'!$G$5:$G$204&lt;&gt;"")*('01_予約入力'!$N$5:$N$204&lt;&gt;"キャンセル")*((('01_予約入力'!$G$5:$G$204&lt;$A37)*('01_予約入力'!$J$5:$J$204&gt;$A37))+(('01_予約入力'!$G$5:$G$204=$A37)*('01_予約入力'!$J$5:$J$204=$A37)))))</f>
        <v/>
      </c>
      <c r="AD37" s="44">
        <f>IF($A37="",0,SUMPRODUCT(('01_予約入力'!$G$5:$G$204&lt;&gt;"")*('01_予約入力'!$N$5:$N$204&lt;&gt;"キャンセル")*('01_予約入力'!$G$5:$G$204&lt;=$A37)*('01_予約入力'!$J$5:$J$204&gt;$A37)))</f>
        <v/>
      </c>
      <c r="AE37" s="44">
        <f>IF($A37="",0,IFERROR(MATCH($A37,'02_カレンダー'!$B$59:$B$78,0),0))</f>
        <v/>
      </c>
      <c r="AF37" s="44">
        <f>IF($A37="",0,IF($AE37=0,$AB37,IF(INDEX('02_カレンダー'!$C$59:$C$78,$AE37)="",$AB37,INDEX('02_カレンダー'!$C$59:$C$78,$AE37))))</f>
        <v/>
      </c>
      <c r="AG37" s="44">
        <f>IF($A37="",0,IF($AE37=0,$AC37,IF(INDEX('02_カレンダー'!$D$59:$D$78,$AE37)="",$AC37,INDEX('02_カレンダー'!$D$59:$D$78,$AE37))))</f>
        <v/>
      </c>
      <c r="AH37" s="44">
        <f>IF($A37="",0,IF($AE37=0,$AD37,IF(INDEX('02_カレンダー'!$E$59:$E$78,$AE37)="",$AD37,INDEX('02_カレンダー'!$E$59:$E$78,$AE37))))</f>
        <v/>
      </c>
      <c r="AI37" s="44">
        <f>IF($A37="","",IF(AND($AF37=0,$AG37=0,$AH37=0),"","朝"&amp;$AF37&amp;" 昼"&amp;$AG37&amp;" 夕"&amp;$AH37&amp;IF($AJ37=0,"","　※調整")))</f>
        <v/>
      </c>
      <c r="AJ37" s="44">
        <f>IF(OR($A37="",$AE37=0),0,IF(OR(INDEX('02_カレンダー'!$C$59:$C$78,$AE37)&lt;&gt;"",INDEX('02_カレンダー'!$D$59:$D$78,$AE37)&lt;&gt;"",INDEX('02_カレンダー'!$E$59:$E$78,$AE37)&lt;&gt;""),1,0))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4" t="inlineStr">
        <is>
          <t>開始日（入所日）</t>
        </is>
      </c>
      <c r="B3" s="15" t="n">
        <v>46258</v>
      </c>
    </row>
    <row r="4">
      <c r="A4" s="14" t="inlineStr">
        <is>
          <t>終了日（退所予定日）</t>
        </is>
      </c>
      <c r="B4" s="15" t="n">
        <v>46261</v>
      </c>
      <c r="C4" s="2" t="inlineStr">
        <is>
          <t>★退所日の夜は数えません（その夜は次の方が入れるため）</t>
        </is>
      </c>
    </row>
    <row r="5">
      <c r="A5" s="14" t="inlineStr">
        <is>
          <t>泊数</t>
        </is>
      </c>
      <c r="B5" s="49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8">
        <f>IF(COUNTA('M_部屋'!$A$4:$A$20)&gt;=1,INDEX('M_部屋'!$A$4:$A$20,1),"")</f>
        <v/>
      </c>
      <c r="B8" s="44">
        <f>IF($C8="","",MAX(0,$B$4-$B$3-$C8))</f>
        <v/>
      </c>
      <c r="C8" s="44">
        <f>IF(OR($A8="",$B$4&lt;=$B$3),"",SUMPRODUCT(('01_予約入力'!$G$5:$G$204&lt;&gt;"")*('01_予約入力'!$N$5:$N$204&lt;&gt;"キャンセル")*('01_予約入力'!$D$5:$D$204=$A8)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8" s="48">
        <f>IF($A8="","",IF($B$4&lt;=$B$3,"日付を確認してください",IF($B8=$B$4-$B$3,"○ 全日空き",IF($B8=0,"× 空きなし","△ 一部空き"))))</f>
        <v/>
      </c>
    </row>
    <row r="9">
      <c r="A9" s="48">
        <f>IF(COUNTA('M_部屋'!$A$4:$A$20)&gt;=2,INDEX('M_部屋'!$A$4:$A$20,2),"")</f>
        <v/>
      </c>
      <c r="B9" s="44">
        <f>IF($C9="","",MAX(0,$B$4-$B$3-$C9))</f>
        <v/>
      </c>
      <c r="C9" s="44">
        <f>IF(OR($A9="",$B$4&lt;=$B$3),"",SUMPRODUCT(('01_予約入力'!$G$5:$G$204&lt;&gt;"")*('01_予約入力'!$N$5:$N$204&lt;&gt;"キャンセル")*('01_予約入力'!$D$5:$D$204=$A9)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9" s="48">
        <f>IF($A9="","",IF($B$4&lt;=$B$3,"日付を確認してください",IF($B9=$B$4-$B$3,"○ 全日空き",IF($B9=0,"× 空きなし","△ 一部空き"))))</f>
        <v/>
      </c>
    </row>
    <row r="10">
      <c r="A10" s="48">
        <f>IF(COUNTA('M_部屋'!$A$4:$A$20)&gt;=3,INDEX('M_部屋'!$A$4:$A$20,3),"")</f>
        <v/>
      </c>
      <c r="B10" s="44">
        <f>IF($C10="","",MAX(0,$B$4-$B$3-$C10))</f>
        <v/>
      </c>
      <c r="C10" s="44">
        <f>IF(OR($A10="",$B$4&lt;=$B$3),"",SUMPRODUCT(('01_予約入力'!$G$5:$G$204&lt;&gt;"")*('01_予約入力'!$N$5:$N$204&lt;&gt;"キャンセル")*('01_予約入力'!$D$5:$D$204=$A10)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0" s="48">
        <f>IF($A10="","",IF($B$4&lt;=$B$3,"日付を確認してください",IF($B10=$B$4-$B$3,"○ 全日空き",IF($B10=0,"× 空きなし","△ 一部空き"))))</f>
        <v/>
      </c>
    </row>
    <row r="11">
      <c r="A11" s="48">
        <f>IF(COUNTA('M_部屋'!$A$4:$A$20)&gt;=4,INDEX('M_部屋'!$A$4:$A$20,4),"")</f>
        <v/>
      </c>
      <c r="B11" s="44">
        <f>IF($C11="","",MAX(0,$B$4-$B$3-$C11))</f>
        <v/>
      </c>
      <c r="C11" s="44">
        <f>IF(OR($A11="",$B$4&lt;=$B$3),"",SUMPRODUCT(('01_予約入力'!$G$5:$G$204&lt;&gt;"")*('01_予約入力'!$N$5:$N$204&lt;&gt;"キャンセル")*('01_予約入力'!$D$5:$D$204=$A11)*(((('01_予約入力'!$AD$5:$AD$204&lt;=$B$4)*'01_予約入力'!$AD$5:$AD$204+('01_予約入力'!$AD$5:$AD$204&gt;$B$4)*$B$4)-(('01_予約入力'!$AC$5:$AC$204&gt;=$B$3)*'01_予約入力'!$AC$5:$AC$204+('01_予約入力'!$AC$5:$AC$204&lt;$B$3)*$B$3))&gt;0)*((('01_予約入力'!$AD$5:$AD$204&lt;=$B$4)*'01_予約入力'!$AD$5:$AD$204+('01_予約入力'!$AD$5:$AD$204&gt;$B$4)*$B$4)-(('01_予約入力'!$AC$5:$AC$204&gt;=$B$3)*'01_予約入力'!$AC$5:$AC$204+('01_予約入力'!$AC$5:$AC$204&lt;$B$3)*$B$3))))</f>
        <v/>
      </c>
      <c r="D11" s="48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0" customWidth="1" min="5" max="5"/>
    <col width="8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日帰り=昼のみ／初日=夕／中日=朝昼夕／最終日=朝。★個別の調整は 02_カレンダー の下部「食事の個別調整」で日付ごとに入れてください。</t>
        </is>
      </c>
    </row>
    <row r="3">
      <c r="A3" s="14" t="inlineStr">
        <is>
          <t>対象月</t>
        </is>
      </c>
      <c r="B3" s="16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朝食</t>
        </is>
      </c>
      <c r="D5" s="7" t="inlineStr">
        <is>
          <t>昼食</t>
        </is>
      </c>
      <c r="E5" s="7" t="inlineStr">
        <is>
          <t>夕食</t>
        </is>
      </c>
      <c r="F5" s="7" t="inlineStr">
        <is>
          <t>調整</t>
        </is>
      </c>
      <c r="G5" s="7">
        <f>'04_月間表'!C$6</f>
        <v/>
      </c>
      <c r="H5" s="7">
        <f>'04_月間表'!D$6</f>
        <v/>
      </c>
      <c r="I5" s="7">
        <f>'04_月間表'!E$6</f>
        <v/>
      </c>
      <c r="J5" s="7">
        <f>'04_月間表'!F$6</f>
        <v/>
      </c>
    </row>
    <row r="6">
      <c r="A6" s="37">
        <f>IF('04_月間表'!$A7="","",'04_月間表'!$A7)</f>
        <v/>
      </c>
      <c r="B6" s="44">
        <f>IF($A6="","",MID("日月火水木金土",WEEKDAY($A6),1))</f>
        <v/>
      </c>
      <c r="C6" s="50">
        <f>IF($A6="","",'04_月間表'!$AF7)</f>
        <v/>
      </c>
      <c r="D6" s="50">
        <f>IF($A6="","",'04_月間表'!$AG7)</f>
        <v/>
      </c>
      <c r="E6" s="50">
        <f>IF($A6="","",'04_月間表'!$AH7)</f>
        <v/>
      </c>
      <c r="F6" s="51">
        <f>IF($A6="","",IF('04_月間表'!$AJ7=0,"","※"))</f>
        <v/>
      </c>
      <c r="G6" s="45">
        <f>IF($A6="","",'04_月間表'!C7)</f>
        <v/>
      </c>
      <c r="H6" s="45">
        <f>IF($A6="","",'04_月間表'!D7)</f>
        <v/>
      </c>
      <c r="I6" s="45">
        <f>IF($A6="","",'04_月間表'!E7)</f>
        <v/>
      </c>
      <c r="J6" s="45">
        <f>IF($A6="","",'04_月間表'!F7)</f>
        <v/>
      </c>
    </row>
    <row r="7">
      <c r="A7" s="37">
        <f>IF('04_月間表'!$A8="","",'04_月間表'!$A8)</f>
        <v/>
      </c>
      <c r="B7" s="44">
        <f>IF($A7="","",MID("日月火水木金土",WEEKDAY($A7),1))</f>
        <v/>
      </c>
      <c r="C7" s="50">
        <f>IF($A7="","",'04_月間表'!$AF8)</f>
        <v/>
      </c>
      <c r="D7" s="50">
        <f>IF($A7="","",'04_月間表'!$AG8)</f>
        <v/>
      </c>
      <c r="E7" s="50">
        <f>IF($A7="","",'04_月間表'!$AH8)</f>
        <v/>
      </c>
      <c r="F7" s="51">
        <f>IF($A7="","",IF('04_月間表'!$AJ8=0,"","※"))</f>
        <v/>
      </c>
      <c r="G7" s="45">
        <f>IF($A7="","",'04_月間表'!C8)</f>
        <v/>
      </c>
      <c r="H7" s="45">
        <f>IF($A7="","",'04_月間表'!D8)</f>
        <v/>
      </c>
      <c r="I7" s="45">
        <f>IF($A7="","",'04_月間表'!E8)</f>
        <v/>
      </c>
      <c r="J7" s="45">
        <f>IF($A7="","",'04_月間表'!F8)</f>
        <v/>
      </c>
    </row>
    <row r="8">
      <c r="A8" s="37">
        <f>IF('04_月間表'!$A9="","",'04_月間表'!$A9)</f>
        <v/>
      </c>
      <c r="B8" s="44">
        <f>IF($A8="","",MID("日月火水木金土",WEEKDAY($A8),1))</f>
        <v/>
      </c>
      <c r="C8" s="50">
        <f>IF($A8="","",'04_月間表'!$AF9)</f>
        <v/>
      </c>
      <c r="D8" s="50">
        <f>IF($A8="","",'04_月間表'!$AG9)</f>
        <v/>
      </c>
      <c r="E8" s="50">
        <f>IF($A8="","",'04_月間表'!$AH9)</f>
        <v/>
      </c>
      <c r="F8" s="51">
        <f>IF($A8="","",IF('04_月間表'!$AJ9=0,"","※"))</f>
        <v/>
      </c>
      <c r="G8" s="45">
        <f>IF($A8="","",'04_月間表'!C9)</f>
        <v/>
      </c>
      <c r="H8" s="45">
        <f>IF($A8="","",'04_月間表'!D9)</f>
        <v/>
      </c>
      <c r="I8" s="45">
        <f>IF($A8="","",'04_月間表'!E9)</f>
        <v/>
      </c>
      <c r="J8" s="45">
        <f>IF($A8="","",'04_月間表'!F9)</f>
        <v/>
      </c>
    </row>
    <row r="9">
      <c r="A9" s="37">
        <f>IF('04_月間表'!$A10="","",'04_月間表'!$A10)</f>
        <v/>
      </c>
      <c r="B9" s="44">
        <f>IF($A9="","",MID("日月火水木金土",WEEKDAY($A9),1))</f>
        <v/>
      </c>
      <c r="C9" s="50">
        <f>IF($A9="","",'04_月間表'!$AF10)</f>
        <v/>
      </c>
      <c r="D9" s="50">
        <f>IF($A9="","",'04_月間表'!$AG10)</f>
        <v/>
      </c>
      <c r="E9" s="50">
        <f>IF($A9="","",'04_月間表'!$AH10)</f>
        <v/>
      </c>
      <c r="F9" s="51">
        <f>IF($A9="","",IF('04_月間表'!$AJ10=0,"","※"))</f>
        <v/>
      </c>
      <c r="G9" s="45">
        <f>IF($A9="","",'04_月間表'!C10)</f>
        <v/>
      </c>
      <c r="H9" s="45">
        <f>IF($A9="","",'04_月間表'!D10)</f>
        <v/>
      </c>
      <c r="I9" s="45">
        <f>IF($A9="","",'04_月間表'!E10)</f>
        <v/>
      </c>
      <c r="J9" s="45">
        <f>IF($A9="","",'04_月間表'!F10)</f>
        <v/>
      </c>
    </row>
    <row r="10">
      <c r="A10" s="37">
        <f>IF('04_月間表'!$A11="","",'04_月間表'!$A11)</f>
        <v/>
      </c>
      <c r="B10" s="44">
        <f>IF($A10="","",MID("日月火水木金土",WEEKDAY($A10),1))</f>
        <v/>
      </c>
      <c r="C10" s="50">
        <f>IF($A10="","",'04_月間表'!$AF11)</f>
        <v/>
      </c>
      <c r="D10" s="50">
        <f>IF($A10="","",'04_月間表'!$AG11)</f>
        <v/>
      </c>
      <c r="E10" s="50">
        <f>IF($A10="","",'04_月間表'!$AH11)</f>
        <v/>
      </c>
      <c r="F10" s="51">
        <f>IF($A10="","",IF('04_月間表'!$AJ11=0,"","※"))</f>
        <v/>
      </c>
      <c r="G10" s="45">
        <f>IF($A10="","",'04_月間表'!C11)</f>
        <v/>
      </c>
      <c r="H10" s="45">
        <f>IF($A10="","",'04_月間表'!D11)</f>
        <v/>
      </c>
      <c r="I10" s="45">
        <f>IF($A10="","",'04_月間表'!E11)</f>
        <v/>
      </c>
      <c r="J10" s="45">
        <f>IF($A10="","",'04_月間表'!F11)</f>
        <v/>
      </c>
    </row>
    <row r="11">
      <c r="A11" s="37">
        <f>IF('04_月間表'!$A12="","",'04_月間表'!$A12)</f>
        <v/>
      </c>
      <c r="B11" s="44">
        <f>IF($A11="","",MID("日月火水木金土",WEEKDAY($A11),1))</f>
        <v/>
      </c>
      <c r="C11" s="50">
        <f>IF($A11="","",'04_月間表'!$AF12)</f>
        <v/>
      </c>
      <c r="D11" s="50">
        <f>IF($A11="","",'04_月間表'!$AG12)</f>
        <v/>
      </c>
      <c r="E11" s="50">
        <f>IF($A11="","",'04_月間表'!$AH12)</f>
        <v/>
      </c>
      <c r="F11" s="51">
        <f>IF($A11="","",IF('04_月間表'!$AJ12=0,"","※"))</f>
        <v/>
      </c>
      <c r="G11" s="45">
        <f>IF($A11="","",'04_月間表'!C12)</f>
        <v/>
      </c>
      <c r="H11" s="45">
        <f>IF($A11="","",'04_月間表'!D12)</f>
        <v/>
      </c>
      <c r="I11" s="45">
        <f>IF($A11="","",'04_月間表'!E12)</f>
        <v/>
      </c>
      <c r="J11" s="45">
        <f>IF($A11="","",'04_月間表'!F12)</f>
        <v/>
      </c>
    </row>
    <row r="12">
      <c r="A12" s="37">
        <f>IF('04_月間表'!$A13="","",'04_月間表'!$A13)</f>
        <v/>
      </c>
      <c r="B12" s="44">
        <f>IF($A12="","",MID("日月火水木金土",WEEKDAY($A12),1))</f>
        <v/>
      </c>
      <c r="C12" s="50">
        <f>IF($A12="","",'04_月間表'!$AF13)</f>
        <v/>
      </c>
      <c r="D12" s="50">
        <f>IF($A12="","",'04_月間表'!$AG13)</f>
        <v/>
      </c>
      <c r="E12" s="50">
        <f>IF($A12="","",'04_月間表'!$AH13)</f>
        <v/>
      </c>
      <c r="F12" s="51">
        <f>IF($A12="","",IF('04_月間表'!$AJ13=0,"","※"))</f>
        <v/>
      </c>
      <c r="G12" s="45">
        <f>IF($A12="","",'04_月間表'!C13)</f>
        <v/>
      </c>
      <c r="H12" s="45">
        <f>IF($A12="","",'04_月間表'!D13)</f>
        <v/>
      </c>
      <c r="I12" s="45">
        <f>IF($A12="","",'04_月間表'!E13)</f>
        <v/>
      </c>
      <c r="J12" s="45">
        <f>IF($A12="","",'04_月間表'!F13)</f>
        <v/>
      </c>
    </row>
    <row r="13">
      <c r="A13" s="37">
        <f>IF('04_月間表'!$A14="","",'04_月間表'!$A14)</f>
        <v/>
      </c>
      <c r="B13" s="44">
        <f>IF($A13="","",MID("日月火水木金土",WEEKDAY($A13),1))</f>
        <v/>
      </c>
      <c r="C13" s="50">
        <f>IF($A13="","",'04_月間表'!$AF14)</f>
        <v/>
      </c>
      <c r="D13" s="50">
        <f>IF($A13="","",'04_月間表'!$AG14)</f>
        <v/>
      </c>
      <c r="E13" s="50">
        <f>IF($A13="","",'04_月間表'!$AH14)</f>
        <v/>
      </c>
      <c r="F13" s="51">
        <f>IF($A13="","",IF('04_月間表'!$AJ14=0,"","※"))</f>
        <v/>
      </c>
      <c r="G13" s="45">
        <f>IF($A13="","",'04_月間表'!C14)</f>
        <v/>
      </c>
      <c r="H13" s="45">
        <f>IF($A13="","",'04_月間表'!D14)</f>
        <v/>
      </c>
      <c r="I13" s="45">
        <f>IF($A13="","",'04_月間表'!E14)</f>
        <v/>
      </c>
      <c r="J13" s="45">
        <f>IF($A13="","",'04_月間表'!F14)</f>
        <v/>
      </c>
    </row>
    <row r="14">
      <c r="A14" s="37">
        <f>IF('04_月間表'!$A15="","",'04_月間表'!$A15)</f>
        <v/>
      </c>
      <c r="B14" s="44">
        <f>IF($A14="","",MID("日月火水木金土",WEEKDAY($A14),1))</f>
        <v/>
      </c>
      <c r="C14" s="50">
        <f>IF($A14="","",'04_月間表'!$AF15)</f>
        <v/>
      </c>
      <c r="D14" s="50">
        <f>IF($A14="","",'04_月間表'!$AG15)</f>
        <v/>
      </c>
      <c r="E14" s="50">
        <f>IF($A14="","",'04_月間表'!$AH15)</f>
        <v/>
      </c>
      <c r="F14" s="51">
        <f>IF($A14="","",IF('04_月間表'!$AJ15=0,"","※"))</f>
        <v/>
      </c>
      <c r="G14" s="45">
        <f>IF($A14="","",'04_月間表'!C15)</f>
        <v/>
      </c>
      <c r="H14" s="45">
        <f>IF($A14="","",'04_月間表'!D15)</f>
        <v/>
      </c>
      <c r="I14" s="45">
        <f>IF($A14="","",'04_月間表'!E15)</f>
        <v/>
      </c>
      <c r="J14" s="45">
        <f>IF($A14="","",'04_月間表'!F15)</f>
        <v/>
      </c>
    </row>
    <row r="15">
      <c r="A15" s="37">
        <f>IF('04_月間表'!$A16="","",'04_月間表'!$A16)</f>
        <v/>
      </c>
      <c r="B15" s="44">
        <f>IF($A15="","",MID("日月火水木金土",WEEKDAY($A15),1))</f>
        <v/>
      </c>
      <c r="C15" s="50">
        <f>IF($A15="","",'04_月間表'!$AF16)</f>
        <v/>
      </c>
      <c r="D15" s="50">
        <f>IF($A15="","",'04_月間表'!$AG16)</f>
        <v/>
      </c>
      <c r="E15" s="50">
        <f>IF($A15="","",'04_月間表'!$AH16)</f>
        <v/>
      </c>
      <c r="F15" s="51">
        <f>IF($A15="","",IF('04_月間表'!$AJ16=0,"","※"))</f>
        <v/>
      </c>
      <c r="G15" s="45">
        <f>IF($A15="","",'04_月間表'!C16)</f>
        <v/>
      </c>
      <c r="H15" s="45">
        <f>IF($A15="","",'04_月間表'!D16)</f>
        <v/>
      </c>
      <c r="I15" s="45">
        <f>IF($A15="","",'04_月間表'!E16)</f>
        <v/>
      </c>
      <c r="J15" s="45">
        <f>IF($A15="","",'04_月間表'!F16)</f>
        <v/>
      </c>
    </row>
    <row r="16">
      <c r="A16" s="37">
        <f>IF('04_月間表'!$A17="","",'04_月間表'!$A17)</f>
        <v/>
      </c>
      <c r="B16" s="44">
        <f>IF($A16="","",MID("日月火水木金土",WEEKDAY($A16),1))</f>
        <v/>
      </c>
      <c r="C16" s="50">
        <f>IF($A16="","",'04_月間表'!$AF17)</f>
        <v/>
      </c>
      <c r="D16" s="50">
        <f>IF($A16="","",'04_月間表'!$AG17)</f>
        <v/>
      </c>
      <c r="E16" s="50">
        <f>IF($A16="","",'04_月間表'!$AH17)</f>
        <v/>
      </c>
      <c r="F16" s="51">
        <f>IF($A16="","",IF('04_月間表'!$AJ17=0,"","※"))</f>
        <v/>
      </c>
      <c r="G16" s="45">
        <f>IF($A16="","",'04_月間表'!C17)</f>
        <v/>
      </c>
      <c r="H16" s="45">
        <f>IF($A16="","",'04_月間表'!D17)</f>
        <v/>
      </c>
      <c r="I16" s="45">
        <f>IF($A16="","",'04_月間表'!E17)</f>
        <v/>
      </c>
      <c r="J16" s="45">
        <f>IF($A16="","",'04_月間表'!F17)</f>
        <v/>
      </c>
    </row>
    <row r="17">
      <c r="A17" s="37">
        <f>IF('04_月間表'!$A18="","",'04_月間表'!$A18)</f>
        <v/>
      </c>
      <c r="B17" s="44">
        <f>IF($A17="","",MID("日月火水木金土",WEEKDAY($A17),1))</f>
        <v/>
      </c>
      <c r="C17" s="50">
        <f>IF($A17="","",'04_月間表'!$AF18)</f>
        <v/>
      </c>
      <c r="D17" s="50">
        <f>IF($A17="","",'04_月間表'!$AG18)</f>
        <v/>
      </c>
      <c r="E17" s="50">
        <f>IF($A17="","",'04_月間表'!$AH18)</f>
        <v/>
      </c>
      <c r="F17" s="51">
        <f>IF($A17="","",IF('04_月間表'!$AJ18=0,"","※"))</f>
        <v/>
      </c>
      <c r="G17" s="45">
        <f>IF($A17="","",'04_月間表'!C18)</f>
        <v/>
      </c>
      <c r="H17" s="45">
        <f>IF($A17="","",'04_月間表'!D18)</f>
        <v/>
      </c>
      <c r="I17" s="45">
        <f>IF($A17="","",'04_月間表'!E18)</f>
        <v/>
      </c>
      <c r="J17" s="45">
        <f>IF($A17="","",'04_月間表'!F18)</f>
        <v/>
      </c>
    </row>
    <row r="18">
      <c r="A18" s="37">
        <f>IF('04_月間表'!$A19="","",'04_月間表'!$A19)</f>
        <v/>
      </c>
      <c r="B18" s="44">
        <f>IF($A18="","",MID("日月火水木金土",WEEKDAY($A18),1))</f>
        <v/>
      </c>
      <c r="C18" s="50">
        <f>IF($A18="","",'04_月間表'!$AF19)</f>
        <v/>
      </c>
      <c r="D18" s="50">
        <f>IF($A18="","",'04_月間表'!$AG19)</f>
        <v/>
      </c>
      <c r="E18" s="50">
        <f>IF($A18="","",'04_月間表'!$AH19)</f>
        <v/>
      </c>
      <c r="F18" s="51">
        <f>IF($A18="","",IF('04_月間表'!$AJ19=0,"","※"))</f>
        <v/>
      </c>
      <c r="G18" s="45">
        <f>IF($A18="","",'04_月間表'!C19)</f>
        <v/>
      </c>
      <c r="H18" s="45">
        <f>IF($A18="","",'04_月間表'!D19)</f>
        <v/>
      </c>
      <c r="I18" s="45">
        <f>IF($A18="","",'04_月間表'!E19)</f>
        <v/>
      </c>
      <c r="J18" s="45">
        <f>IF($A18="","",'04_月間表'!F19)</f>
        <v/>
      </c>
    </row>
    <row r="19">
      <c r="A19" s="37">
        <f>IF('04_月間表'!$A20="","",'04_月間表'!$A20)</f>
        <v/>
      </c>
      <c r="B19" s="44">
        <f>IF($A19="","",MID("日月火水木金土",WEEKDAY($A19),1))</f>
        <v/>
      </c>
      <c r="C19" s="50">
        <f>IF($A19="","",'04_月間表'!$AF20)</f>
        <v/>
      </c>
      <c r="D19" s="50">
        <f>IF($A19="","",'04_月間表'!$AG20)</f>
        <v/>
      </c>
      <c r="E19" s="50">
        <f>IF($A19="","",'04_月間表'!$AH20)</f>
        <v/>
      </c>
      <c r="F19" s="51">
        <f>IF($A19="","",IF('04_月間表'!$AJ20=0,"","※"))</f>
        <v/>
      </c>
      <c r="G19" s="45">
        <f>IF($A19="","",'04_月間表'!C20)</f>
        <v/>
      </c>
      <c r="H19" s="45">
        <f>IF($A19="","",'04_月間表'!D20)</f>
        <v/>
      </c>
      <c r="I19" s="45">
        <f>IF($A19="","",'04_月間表'!E20)</f>
        <v/>
      </c>
      <c r="J19" s="45">
        <f>IF($A19="","",'04_月間表'!F20)</f>
        <v/>
      </c>
    </row>
    <row r="20">
      <c r="A20" s="37">
        <f>IF('04_月間表'!$A21="","",'04_月間表'!$A21)</f>
        <v/>
      </c>
      <c r="B20" s="44">
        <f>IF($A20="","",MID("日月火水木金土",WEEKDAY($A20),1))</f>
        <v/>
      </c>
      <c r="C20" s="50">
        <f>IF($A20="","",'04_月間表'!$AF21)</f>
        <v/>
      </c>
      <c r="D20" s="50">
        <f>IF($A20="","",'04_月間表'!$AG21)</f>
        <v/>
      </c>
      <c r="E20" s="50">
        <f>IF($A20="","",'04_月間表'!$AH21)</f>
        <v/>
      </c>
      <c r="F20" s="51">
        <f>IF($A20="","",IF('04_月間表'!$AJ21=0,"","※"))</f>
        <v/>
      </c>
      <c r="G20" s="45">
        <f>IF($A20="","",'04_月間表'!C21)</f>
        <v/>
      </c>
      <c r="H20" s="45">
        <f>IF($A20="","",'04_月間表'!D21)</f>
        <v/>
      </c>
      <c r="I20" s="45">
        <f>IF($A20="","",'04_月間表'!E21)</f>
        <v/>
      </c>
      <c r="J20" s="45">
        <f>IF($A20="","",'04_月間表'!F21)</f>
        <v/>
      </c>
    </row>
    <row r="21">
      <c r="A21" s="37">
        <f>IF('04_月間表'!$A22="","",'04_月間表'!$A22)</f>
        <v/>
      </c>
      <c r="B21" s="44">
        <f>IF($A21="","",MID("日月火水木金土",WEEKDAY($A21),1))</f>
        <v/>
      </c>
      <c r="C21" s="50">
        <f>IF($A21="","",'04_月間表'!$AF22)</f>
        <v/>
      </c>
      <c r="D21" s="50">
        <f>IF($A21="","",'04_月間表'!$AG22)</f>
        <v/>
      </c>
      <c r="E21" s="50">
        <f>IF($A21="","",'04_月間表'!$AH22)</f>
        <v/>
      </c>
      <c r="F21" s="51">
        <f>IF($A21="","",IF('04_月間表'!$AJ22=0,"","※"))</f>
        <v/>
      </c>
      <c r="G21" s="45">
        <f>IF($A21="","",'04_月間表'!C22)</f>
        <v/>
      </c>
      <c r="H21" s="45">
        <f>IF($A21="","",'04_月間表'!D22)</f>
        <v/>
      </c>
      <c r="I21" s="45">
        <f>IF($A21="","",'04_月間表'!E22)</f>
        <v/>
      </c>
      <c r="J21" s="45">
        <f>IF($A21="","",'04_月間表'!F22)</f>
        <v/>
      </c>
    </row>
    <row r="22">
      <c r="A22" s="37">
        <f>IF('04_月間表'!$A23="","",'04_月間表'!$A23)</f>
        <v/>
      </c>
      <c r="B22" s="44">
        <f>IF($A22="","",MID("日月火水木金土",WEEKDAY($A22),1))</f>
        <v/>
      </c>
      <c r="C22" s="50">
        <f>IF($A22="","",'04_月間表'!$AF23)</f>
        <v/>
      </c>
      <c r="D22" s="50">
        <f>IF($A22="","",'04_月間表'!$AG23)</f>
        <v/>
      </c>
      <c r="E22" s="50">
        <f>IF($A22="","",'04_月間表'!$AH23)</f>
        <v/>
      </c>
      <c r="F22" s="51">
        <f>IF($A22="","",IF('04_月間表'!$AJ23=0,"","※"))</f>
        <v/>
      </c>
      <c r="G22" s="45">
        <f>IF($A22="","",'04_月間表'!C23)</f>
        <v/>
      </c>
      <c r="H22" s="45">
        <f>IF($A22="","",'04_月間表'!D23)</f>
        <v/>
      </c>
      <c r="I22" s="45">
        <f>IF($A22="","",'04_月間表'!E23)</f>
        <v/>
      </c>
      <c r="J22" s="45">
        <f>IF($A22="","",'04_月間表'!F23)</f>
        <v/>
      </c>
    </row>
    <row r="23">
      <c r="A23" s="37">
        <f>IF('04_月間表'!$A24="","",'04_月間表'!$A24)</f>
        <v/>
      </c>
      <c r="B23" s="44">
        <f>IF($A23="","",MID("日月火水木金土",WEEKDAY($A23),1))</f>
        <v/>
      </c>
      <c r="C23" s="50">
        <f>IF($A23="","",'04_月間表'!$AF24)</f>
        <v/>
      </c>
      <c r="D23" s="50">
        <f>IF($A23="","",'04_月間表'!$AG24)</f>
        <v/>
      </c>
      <c r="E23" s="50">
        <f>IF($A23="","",'04_月間表'!$AH24)</f>
        <v/>
      </c>
      <c r="F23" s="51">
        <f>IF($A23="","",IF('04_月間表'!$AJ24=0,"","※"))</f>
        <v/>
      </c>
      <c r="G23" s="45">
        <f>IF($A23="","",'04_月間表'!C24)</f>
        <v/>
      </c>
      <c r="H23" s="45">
        <f>IF($A23="","",'04_月間表'!D24)</f>
        <v/>
      </c>
      <c r="I23" s="45">
        <f>IF($A23="","",'04_月間表'!E24)</f>
        <v/>
      </c>
      <c r="J23" s="45">
        <f>IF($A23="","",'04_月間表'!F24)</f>
        <v/>
      </c>
    </row>
    <row r="24">
      <c r="A24" s="37">
        <f>IF('04_月間表'!$A25="","",'04_月間表'!$A25)</f>
        <v/>
      </c>
      <c r="B24" s="44">
        <f>IF($A24="","",MID("日月火水木金土",WEEKDAY($A24),1))</f>
        <v/>
      </c>
      <c r="C24" s="50">
        <f>IF($A24="","",'04_月間表'!$AF25)</f>
        <v/>
      </c>
      <c r="D24" s="50">
        <f>IF($A24="","",'04_月間表'!$AG25)</f>
        <v/>
      </c>
      <c r="E24" s="50">
        <f>IF($A24="","",'04_月間表'!$AH25)</f>
        <v/>
      </c>
      <c r="F24" s="51">
        <f>IF($A24="","",IF('04_月間表'!$AJ25=0,"","※"))</f>
        <v/>
      </c>
      <c r="G24" s="45">
        <f>IF($A24="","",'04_月間表'!C25)</f>
        <v/>
      </c>
      <c r="H24" s="45">
        <f>IF($A24="","",'04_月間表'!D25)</f>
        <v/>
      </c>
      <c r="I24" s="45">
        <f>IF($A24="","",'04_月間表'!E25)</f>
        <v/>
      </c>
      <c r="J24" s="45">
        <f>IF($A24="","",'04_月間表'!F25)</f>
        <v/>
      </c>
    </row>
    <row r="25">
      <c r="A25" s="37">
        <f>IF('04_月間表'!$A26="","",'04_月間表'!$A26)</f>
        <v/>
      </c>
      <c r="B25" s="44">
        <f>IF($A25="","",MID("日月火水木金土",WEEKDAY($A25),1))</f>
        <v/>
      </c>
      <c r="C25" s="50">
        <f>IF($A25="","",'04_月間表'!$AF26)</f>
        <v/>
      </c>
      <c r="D25" s="50">
        <f>IF($A25="","",'04_月間表'!$AG26)</f>
        <v/>
      </c>
      <c r="E25" s="50">
        <f>IF($A25="","",'04_月間表'!$AH26)</f>
        <v/>
      </c>
      <c r="F25" s="51">
        <f>IF($A25="","",IF('04_月間表'!$AJ26=0,"","※"))</f>
        <v/>
      </c>
      <c r="G25" s="45">
        <f>IF($A25="","",'04_月間表'!C26)</f>
        <v/>
      </c>
      <c r="H25" s="45">
        <f>IF($A25="","",'04_月間表'!D26)</f>
        <v/>
      </c>
      <c r="I25" s="45">
        <f>IF($A25="","",'04_月間表'!E26)</f>
        <v/>
      </c>
      <c r="J25" s="45">
        <f>IF($A25="","",'04_月間表'!F26)</f>
        <v/>
      </c>
    </row>
    <row r="26">
      <c r="A26" s="37">
        <f>IF('04_月間表'!$A27="","",'04_月間表'!$A27)</f>
        <v/>
      </c>
      <c r="B26" s="44">
        <f>IF($A26="","",MID("日月火水木金土",WEEKDAY($A26),1))</f>
        <v/>
      </c>
      <c r="C26" s="50">
        <f>IF($A26="","",'04_月間表'!$AF27)</f>
        <v/>
      </c>
      <c r="D26" s="50">
        <f>IF($A26="","",'04_月間表'!$AG27)</f>
        <v/>
      </c>
      <c r="E26" s="50">
        <f>IF($A26="","",'04_月間表'!$AH27)</f>
        <v/>
      </c>
      <c r="F26" s="51">
        <f>IF($A26="","",IF('04_月間表'!$AJ27=0,"","※"))</f>
        <v/>
      </c>
      <c r="G26" s="45">
        <f>IF($A26="","",'04_月間表'!C27)</f>
        <v/>
      </c>
      <c r="H26" s="45">
        <f>IF($A26="","",'04_月間表'!D27)</f>
        <v/>
      </c>
      <c r="I26" s="45">
        <f>IF($A26="","",'04_月間表'!E27)</f>
        <v/>
      </c>
      <c r="J26" s="45">
        <f>IF($A26="","",'04_月間表'!F27)</f>
        <v/>
      </c>
    </row>
    <row r="27">
      <c r="A27" s="37">
        <f>IF('04_月間表'!$A28="","",'04_月間表'!$A28)</f>
        <v/>
      </c>
      <c r="B27" s="44">
        <f>IF($A27="","",MID("日月火水木金土",WEEKDAY($A27),1))</f>
        <v/>
      </c>
      <c r="C27" s="50">
        <f>IF($A27="","",'04_月間表'!$AF28)</f>
        <v/>
      </c>
      <c r="D27" s="50">
        <f>IF($A27="","",'04_月間表'!$AG28)</f>
        <v/>
      </c>
      <c r="E27" s="50">
        <f>IF($A27="","",'04_月間表'!$AH28)</f>
        <v/>
      </c>
      <c r="F27" s="51">
        <f>IF($A27="","",IF('04_月間表'!$AJ28=0,"","※"))</f>
        <v/>
      </c>
      <c r="G27" s="45">
        <f>IF($A27="","",'04_月間表'!C28)</f>
        <v/>
      </c>
      <c r="H27" s="45">
        <f>IF($A27="","",'04_月間表'!D28)</f>
        <v/>
      </c>
      <c r="I27" s="45">
        <f>IF($A27="","",'04_月間表'!E28)</f>
        <v/>
      </c>
      <c r="J27" s="45">
        <f>IF($A27="","",'04_月間表'!F28)</f>
        <v/>
      </c>
    </row>
    <row r="28">
      <c r="A28" s="37">
        <f>IF('04_月間表'!$A29="","",'04_月間表'!$A29)</f>
        <v/>
      </c>
      <c r="B28" s="44">
        <f>IF($A28="","",MID("日月火水木金土",WEEKDAY($A28),1))</f>
        <v/>
      </c>
      <c r="C28" s="50">
        <f>IF($A28="","",'04_月間表'!$AF29)</f>
        <v/>
      </c>
      <c r="D28" s="50">
        <f>IF($A28="","",'04_月間表'!$AG29)</f>
        <v/>
      </c>
      <c r="E28" s="50">
        <f>IF($A28="","",'04_月間表'!$AH29)</f>
        <v/>
      </c>
      <c r="F28" s="51">
        <f>IF($A28="","",IF('04_月間表'!$AJ29=0,"","※"))</f>
        <v/>
      </c>
      <c r="G28" s="45">
        <f>IF($A28="","",'04_月間表'!C29)</f>
        <v/>
      </c>
      <c r="H28" s="45">
        <f>IF($A28="","",'04_月間表'!D29)</f>
        <v/>
      </c>
      <c r="I28" s="45">
        <f>IF($A28="","",'04_月間表'!E29)</f>
        <v/>
      </c>
      <c r="J28" s="45">
        <f>IF($A28="","",'04_月間表'!F29)</f>
        <v/>
      </c>
    </row>
    <row r="29">
      <c r="A29" s="37">
        <f>IF('04_月間表'!$A30="","",'04_月間表'!$A30)</f>
        <v/>
      </c>
      <c r="B29" s="44">
        <f>IF($A29="","",MID("日月火水木金土",WEEKDAY($A29),1))</f>
        <v/>
      </c>
      <c r="C29" s="50">
        <f>IF($A29="","",'04_月間表'!$AF30)</f>
        <v/>
      </c>
      <c r="D29" s="50">
        <f>IF($A29="","",'04_月間表'!$AG30)</f>
        <v/>
      </c>
      <c r="E29" s="50">
        <f>IF($A29="","",'04_月間表'!$AH30)</f>
        <v/>
      </c>
      <c r="F29" s="51">
        <f>IF($A29="","",IF('04_月間表'!$AJ30=0,"","※"))</f>
        <v/>
      </c>
      <c r="G29" s="45">
        <f>IF($A29="","",'04_月間表'!C30)</f>
        <v/>
      </c>
      <c r="H29" s="45">
        <f>IF($A29="","",'04_月間表'!D30)</f>
        <v/>
      </c>
      <c r="I29" s="45">
        <f>IF($A29="","",'04_月間表'!E30)</f>
        <v/>
      </c>
      <c r="J29" s="45">
        <f>IF($A29="","",'04_月間表'!F30)</f>
        <v/>
      </c>
    </row>
    <row r="30">
      <c r="A30" s="37">
        <f>IF('04_月間表'!$A31="","",'04_月間表'!$A31)</f>
        <v/>
      </c>
      <c r="B30" s="44">
        <f>IF($A30="","",MID("日月火水木金土",WEEKDAY($A30),1))</f>
        <v/>
      </c>
      <c r="C30" s="50">
        <f>IF($A30="","",'04_月間表'!$AF31)</f>
        <v/>
      </c>
      <c r="D30" s="50">
        <f>IF($A30="","",'04_月間表'!$AG31)</f>
        <v/>
      </c>
      <c r="E30" s="50">
        <f>IF($A30="","",'04_月間表'!$AH31)</f>
        <v/>
      </c>
      <c r="F30" s="51">
        <f>IF($A30="","",IF('04_月間表'!$AJ31=0,"","※"))</f>
        <v/>
      </c>
      <c r="G30" s="45">
        <f>IF($A30="","",'04_月間表'!C31)</f>
        <v/>
      </c>
      <c r="H30" s="45">
        <f>IF($A30="","",'04_月間表'!D31)</f>
        <v/>
      </c>
      <c r="I30" s="45">
        <f>IF($A30="","",'04_月間表'!E31)</f>
        <v/>
      </c>
      <c r="J30" s="45">
        <f>IF($A30="","",'04_月間表'!F31)</f>
        <v/>
      </c>
    </row>
    <row r="31">
      <c r="A31" s="37">
        <f>IF('04_月間表'!$A32="","",'04_月間表'!$A32)</f>
        <v/>
      </c>
      <c r="B31" s="44">
        <f>IF($A31="","",MID("日月火水木金土",WEEKDAY($A31),1))</f>
        <v/>
      </c>
      <c r="C31" s="50">
        <f>IF($A31="","",'04_月間表'!$AF32)</f>
        <v/>
      </c>
      <c r="D31" s="50">
        <f>IF($A31="","",'04_月間表'!$AG32)</f>
        <v/>
      </c>
      <c r="E31" s="50">
        <f>IF($A31="","",'04_月間表'!$AH32)</f>
        <v/>
      </c>
      <c r="F31" s="51">
        <f>IF($A31="","",IF('04_月間表'!$AJ32=0,"","※"))</f>
        <v/>
      </c>
      <c r="G31" s="45">
        <f>IF($A31="","",'04_月間表'!C32)</f>
        <v/>
      </c>
      <c r="H31" s="45">
        <f>IF($A31="","",'04_月間表'!D32)</f>
        <v/>
      </c>
      <c r="I31" s="45">
        <f>IF($A31="","",'04_月間表'!E32)</f>
        <v/>
      </c>
      <c r="J31" s="45">
        <f>IF($A31="","",'04_月間表'!F32)</f>
        <v/>
      </c>
    </row>
    <row r="32">
      <c r="A32" s="37">
        <f>IF('04_月間表'!$A33="","",'04_月間表'!$A33)</f>
        <v/>
      </c>
      <c r="B32" s="44">
        <f>IF($A32="","",MID("日月火水木金土",WEEKDAY($A32),1))</f>
        <v/>
      </c>
      <c r="C32" s="50">
        <f>IF($A32="","",'04_月間表'!$AF33)</f>
        <v/>
      </c>
      <c r="D32" s="50">
        <f>IF($A32="","",'04_月間表'!$AG33)</f>
        <v/>
      </c>
      <c r="E32" s="50">
        <f>IF($A32="","",'04_月間表'!$AH33)</f>
        <v/>
      </c>
      <c r="F32" s="51">
        <f>IF($A32="","",IF('04_月間表'!$AJ33=0,"","※"))</f>
        <v/>
      </c>
      <c r="G32" s="45">
        <f>IF($A32="","",'04_月間表'!C33)</f>
        <v/>
      </c>
      <c r="H32" s="45">
        <f>IF($A32="","",'04_月間表'!D33)</f>
        <v/>
      </c>
      <c r="I32" s="45">
        <f>IF($A32="","",'04_月間表'!E33)</f>
        <v/>
      </c>
      <c r="J32" s="45">
        <f>IF($A32="","",'04_月間表'!F33)</f>
        <v/>
      </c>
    </row>
    <row r="33">
      <c r="A33" s="37">
        <f>IF('04_月間表'!$A34="","",'04_月間表'!$A34)</f>
        <v/>
      </c>
      <c r="B33" s="44">
        <f>IF($A33="","",MID("日月火水木金土",WEEKDAY($A33),1))</f>
        <v/>
      </c>
      <c r="C33" s="50">
        <f>IF($A33="","",'04_月間表'!$AF34)</f>
        <v/>
      </c>
      <c r="D33" s="50">
        <f>IF($A33="","",'04_月間表'!$AG34)</f>
        <v/>
      </c>
      <c r="E33" s="50">
        <f>IF($A33="","",'04_月間表'!$AH34)</f>
        <v/>
      </c>
      <c r="F33" s="51">
        <f>IF($A33="","",IF('04_月間表'!$AJ34=0,"","※"))</f>
        <v/>
      </c>
      <c r="G33" s="45">
        <f>IF($A33="","",'04_月間表'!C34)</f>
        <v/>
      </c>
      <c r="H33" s="45">
        <f>IF($A33="","",'04_月間表'!D34)</f>
        <v/>
      </c>
      <c r="I33" s="45">
        <f>IF($A33="","",'04_月間表'!E34)</f>
        <v/>
      </c>
      <c r="J33" s="45">
        <f>IF($A33="","",'04_月間表'!F34)</f>
        <v/>
      </c>
    </row>
    <row r="34">
      <c r="A34" s="37">
        <f>IF('04_月間表'!$A35="","",'04_月間表'!$A35)</f>
        <v/>
      </c>
      <c r="B34" s="44">
        <f>IF($A34="","",MID("日月火水木金土",WEEKDAY($A34),1))</f>
        <v/>
      </c>
      <c r="C34" s="50">
        <f>IF($A34="","",'04_月間表'!$AF35)</f>
        <v/>
      </c>
      <c r="D34" s="50">
        <f>IF($A34="","",'04_月間表'!$AG35)</f>
        <v/>
      </c>
      <c r="E34" s="50">
        <f>IF($A34="","",'04_月間表'!$AH35)</f>
        <v/>
      </c>
      <c r="F34" s="51">
        <f>IF($A34="","",IF('04_月間表'!$AJ35=0,"","※"))</f>
        <v/>
      </c>
      <c r="G34" s="45">
        <f>IF($A34="","",'04_月間表'!C35)</f>
        <v/>
      </c>
      <c r="H34" s="45">
        <f>IF($A34="","",'04_月間表'!D35)</f>
        <v/>
      </c>
      <c r="I34" s="45">
        <f>IF($A34="","",'04_月間表'!E35)</f>
        <v/>
      </c>
      <c r="J34" s="45">
        <f>IF($A34="","",'04_月間表'!F35)</f>
        <v/>
      </c>
    </row>
    <row r="35">
      <c r="A35" s="37">
        <f>IF('04_月間表'!$A36="","",'04_月間表'!$A36)</f>
        <v/>
      </c>
      <c r="B35" s="44">
        <f>IF($A35="","",MID("日月火水木金土",WEEKDAY($A35),1))</f>
        <v/>
      </c>
      <c r="C35" s="50">
        <f>IF($A35="","",'04_月間表'!$AF36)</f>
        <v/>
      </c>
      <c r="D35" s="50">
        <f>IF($A35="","",'04_月間表'!$AG36)</f>
        <v/>
      </c>
      <c r="E35" s="50">
        <f>IF($A35="","",'04_月間表'!$AH36)</f>
        <v/>
      </c>
      <c r="F35" s="51">
        <f>IF($A35="","",IF('04_月間表'!$AJ36=0,"","※"))</f>
        <v/>
      </c>
      <c r="G35" s="45">
        <f>IF($A35="","",'04_月間表'!C36)</f>
        <v/>
      </c>
      <c r="H35" s="45">
        <f>IF($A35="","",'04_月間表'!D36)</f>
        <v/>
      </c>
      <c r="I35" s="45">
        <f>IF($A35="","",'04_月間表'!E36)</f>
        <v/>
      </c>
      <c r="J35" s="45">
        <f>IF($A35="","",'04_月間表'!F36)</f>
        <v/>
      </c>
    </row>
    <row r="36">
      <c r="A36" s="37">
        <f>IF('04_月間表'!$A37="","",'04_月間表'!$A37)</f>
        <v/>
      </c>
      <c r="B36" s="44">
        <f>IF($A36="","",MID("日月火水木金土",WEEKDAY($A36),1))</f>
        <v/>
      </c>
      <c r="C36" s="50">
        <f>IF($A36="","",'04_月間表'!$AF37)</f>
        <v/>
      </c>
      <c r="D36" s="50">
        <f>IF($A36="","",'04_月間表'!$AG37)</f>
        <v/>
      </c>
      <c r="E36" s="50">
        <f>IF($A36="","",'04_月間表'!$AH37)</f>
        <v/>
      </c>
      <c r="F36" s="51">
        <f>IF($A36="","",IF('04_月間表'!$AJ37=0,"","※"))</f>
        <v/>
      </c>
      <c r="G36" s="45">
        <f>IF($A36="","",'04_月間表'!C37)</f>
        <v/>
      </c>
      <c r="H36" s="45">
        <f>IF($A36="","",'04_月間表'!D37)</f>
        <v/>
      </c>
      <c r="I36" s="45">
        <f>IF($A36="","",'04_月間表'!E37)</f>
        <v/>
      </c>
      <c r="J36" s="45">
        <f>IF($A36="","",'04_月間表'!F37)</f>
        <v/>
      </c>
    </row>
    <row r="38">
      <c r="A38" s="14" t="inlineStr">
        <is>
          <t>月合計</t>
        </is>
      </c>
      <c r="C38" s="52">
        <f>SUM(C6:C36)</f>
        <v/>
      </c>
      <c r="D38" s="52">
        <f>SUM(D6:D36)</f>
        <v/>
      </c>
      <c r="E38" s="52">
        <f>SUM(E6:E36)</f>
        <v/>
      </c>
      <c r="G38" s="2" t="inlineStr">
        <is>
          <t>「調整」に ※ が付いた日は、02_カレンダー で個別に指定した食数です</t>
        </is>
      </c>
    </row>
  </sheetData>
  <conditionalFormatting sqref="A6:B36">
    <cfRule type="expression" priority="1" dxfId="12">
      <formula>AND($A6&lt;&gt;"",WEEKDAY($A6,2)&gt;=6)</formula>
    </cfRule>
  </conditionalFormatting>
  <conditionalFormatting sqref="A6:J36">
    <cfRule type="expression" priority="2" dxfId="13">
      <formula>$F6="※"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4" t="inlineStr">
        <is>
          <t>開始日</t>
        </is>
      </c>
      <c r="B3" s="15" t="n">
        <v>46235</v>
      </c>
    </row>
    <row r="4">
      <c r="A4" s="14" t="inlineStr">
        <is>
          <t>終了日</t>
        </is>
      </c>
      <c r="B4" s="15" t="n">
        <v>46265</v>
      </c>
    </row>
    <row r="6">
      <c r="A6" s="19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48">
        <f>IF(COUNTA('M_区分'!$A$4:$A$20)&gt;=1,INDEX('M_区分'!$A$4:$A$20,1),"")</f>
        <v/>
      </c>
      <c r="B8" s="44">
        <f>IF($A8="","",SUMPRODUCT(--(COUNTIFS('01_予約入力'!$B$5:$B$204,'利用者マスタ'!$A$4:$A$60,'01_予約入力'!$C$5:$C$204,$A8,'01_予約入力'!$G$5:$G$204,"&lt;="&amp;$B$4,'01_予約入力'!$J$5:$J$204,"&gt;="&amp;$B$3,'01_予約入力'!$N$5:$N$204,"&lt;&gt;キャンセル")&gt;0)*('利用者マスタ'!$A$4:$A$60&lt;&gt;"")))</f>
        <v/>
      </c>
      <c r="C8" s="44">
        <f>IF($A8="","",COUNTIFS('01_予約入力'!$C$5:$C$204,$A8,'01_予約入力'!$G$5:$G$204,"&lt;="&amp;$B$4,'01_予約入力'!$J$5:$J$204,"&gt;="&amp;$B$3,'01_予約入力'!$N$5:$N$204,"&lt;&gt;キャンセル"))</f>
        <v/>
      </c>
      <c r="D8" s="44">
        <f>IF($A8="","",SUMPRODUCT(('01_予約入力'!$G$5:$G$204&lt;&gt;"")*('01_予約入力'!$N$5:$N$204&lt;&gt;"キャンセル")*('01_予約入力'!$C$5:$C$204=$A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8" s="44">
        <f>IF($A8="","",SUMPRODUCT(('01_予約入力'!$G$5:$G$204&lt;&gt;"")*('01_予約入力'!$N$5:$N$204&lt;&gt;"キャンセル")*('01_予約入力'!$C$5:$C$204=$A8)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9">
      <c r="A9" s="48">
        <f>IF(COUNTA('M_区分'!$A$4:$A$20)&gt;=2,INDEX('M_区分'!$A$4:$A$20,2),"")</f>
        <v/>
      </c>
      <c r="B9" s="44">
        <f>IF($A9="","",SUMPRODUCT(--(COUNTIFS('01_予約入力'!$B$5:$B$204,'利用者マスタ'!$A$4:$A$60,'01_予約入力'!$C$5:$C$204,$A9,'01_予約入力'!$G$5:$G$204,"&lt;="&amp;$B$4,'01_予約入力'!$J$5:$J$204,"&gt;="&amp;$B$3,'01_予約入力'!$N$5:$N$204,"&lt;&gt;キャンセル")&gt;0)*('利用者マスタ'!$A$4:$A$60&lt;&gt;"")))</f>
        <v/>
      </c>
      <c r="C9" s="44">
        <f>IF($A9="","",COUNTIFS('01_予約入力'!$C$5:$C$204,$A9,'01_予約入力'!$G$5:$G$204,"&lt;="&amp;$B$4,'01_予約入力'!$J$5:$J$204,"&gt;="&amp;$B$3,'01_予約入力'!$N$5:$N$204,"&lt;&gt;キャンセル"))</f>
        <v/>
      </c>
      <c r="D9" s="44">
        <f>IF($A9="","",SUMPRODUCT(('01_予約入力'!$G$5:$G$204&lt;&gt;"")*('01_予約入力'!$N$5:$N$204&lt;&gt;"キャンセル")*('01_予約入力'!$C$5:$C$204=$A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9" s="44">
        <f>IF($A9="","",SUMPRODUCT(('01_予約入力'!$G$5:$G$204&lt;&gt;"")*('01_予約入力'!$N$5:$N$204&lt;&gt;"キャンセル")*('01_予約入力'!$C$5:$C$204=$A9)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0">
      <c r="A10" s="48">
        <f>IF(COUNTA('M_区分'!$A$4:$A$20)&gt;=3,INDEX('M_区分'!$A$4:$A$20,3),"")</f>
        <v/>
      </c>
      <c r="B10" s="44">
        <f>IF($A10="","",SUMPRODUCT(--(COUNTIFS('01_予約入力'!$B$5:$B$204,'利用者マスタ'!$A$4:$A$60,'01_予約入力'!$C$5:$C$204,$A10,'01_予約入力'!$G$5:$G$204,"&lt;="&amp;$B$4,'01_予約入力'!$J$5:$J$204,"&gt;="&amp;$B$3,'01_予約入力'!$N$5:$N$204,"&lt;&gt;キャンセル")&gt;0)*('利用者マスタ'!$A$4:$A$60&lt;&gt;"")))</f>
        <v/>
      </c>
      <c r="C10" s="44">
        <f>IF($A10="","",COUNTIFS('01_予約入力'!$C$5:$C$204,$A10,'01_予約入力'!$G$5:$G$204,"&lt;="&amp;$B$4,'01_予約入力'!$J$5:$J$204,"&gt;="&amp;$B$3,'01_予約入力'!$N$5:$N$204,"&lt;&gt;キャンセル"))</f>
        <v/>
      </c>
      <c r="D10" s="44">
        <f>IF($A10="","",SUMPRODUCT(('01_予約入力'!$G$5:$G$204&lt;&gt;"")*('01_予約入力'!$N$5:$N$204&lt;&gt;"キャンセル")*('01_予約入力'!$C$5:$C$204=$A10)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0" s="44">
        <f>IF($A10="","",SUMPRODUCT(('01_予約入力'!$G$5:$G$204&lt;&gt;"")*('01_予約入力'!$N$5:$N$204&lt;&gt;"キャンセル")*('01_予約入力'!$C$5:$C$204=$A10)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1">
      <c r="A11" s="48">
        <f>IF(COUNTA('M_区分'!$A$4:$A$20)&gt;=4,INDEX('M_区分'!$A$4:$A$20,4),"")</f>
        <v/>
      </c>
      <c r="B11" s="44">
        <f>IF($A11="","",SUMPRODUCT(--(COUNTIFS('01_予約入力'!$B$5:$B$204,'利用者マスタ'!$A$4:$A$60,'01_予約入力'!$C$5:$C$204,$A11,'01_予約入力'!$G$5:$G$204,"&lt;="&amp;$B$4,'01_予約入力'!$J$5:$J$204,"&gt;="&amp;$B$3,'01_予約入力'!$N$5:$N$204,"&lt;&gt;キャンセル")&gt;0)*('利用者マスタ'!$A$4:$A$60&lt;&gt;"")))</f>
        <v/>
      </c>
      <c r="C11" s="44">
        <f>IF($A11="","",COUNTIFS('01_予約入力'!$C$5:$C$204,$A11,'01_予約入力'!$G$5:$G$204,"&lt;="&amp;$B$4,'01_予約入力'!$J$5:$J$204,"&gt;="&amp;$B$3,'01_予約入力'!$N$5:$N$204,"&lt;&gt;キャンセル"))</f>
        <v/>
      </c>
      <c r="D11" s="44">
        <f>IF($A11="","",SUMPRODUCT(('01_予約入力'!$G$5:$G$204&lt;&gt;"")*('01_予約入力'!$N$5:$N$204&lt;&gt;"キャンセル")*('01_予約入力'!$C$5:$C$204=$A11)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1" s="44">
        <f>IF($A11="","",SUMPRODUCT(('01_予約入力'!$G$5:$G$204&lt;&gt;"")*('01_予約入力'!$N$5:$N$204&lt;&gt;"キャンセル")*('01_予約入力'!$C$5:$C$204=$A11)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2">
      <c r="A12" s="48">
        <f>IF(COUNTA('M_区分'!$A$4:$A$20)&gt;=5,INDEX('M_区分'!$A$4:$A$20,5),"")</f>
        <v/>
      </c>
      <c r="B12" s="44">
        <f>IF($A12="","",SUMPRODUCT(--(COUNTIFS('01_予約入力'!$B$5:$B$204,'利用者マスタ'!$A$4:$A$60,'01_予約入力'!$C$5:$C$204,$A12,'01_予約入力'!$G$5:$G$204,"&lt;="&amp;$B$4,'01_予約入力'!$J$5:$J$204,"&gt;="&amp;$B$3,'01_予約入力'!$N$5:$N$204,"&lt;&gt;キャンセル")&gt;0)*('利用者マスタ'!$A$4:$A$60&lt;&gt;"")))</f>
        <v/>
      </c>
      <c r="C12" s="44">
        <f>IF($A12="","",COUNTIFS('01_予約入力'!$C$5:$C$204,$A12,'01_予約入力'!$G$5:$G$204,"&lt;="&amp;$B$4,'01_予約入力'!$J$5:$J$204,"&gt;="&amp;$B$3,'01_予約入力'!$N$5:$N$204,"&lt;&gt;キャンセル"))</f>
        <v/>
      </c>
      <c r="D12" s="44">
        <f>IF($A12="","",SUMPRODUCT(('01_予約入力'!$G$5:$G$204&lt;&gt;"")*('01_予約入力'!$N$5:$N$204&lt;&gt;"キャンセル")*('01_予約入力'!$C$5:$C$204=$A12)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2" s="44">
        <f>IF($A12="","",SUMPRODUCT(('01_予約入力'!$G$5:$G$204&lt;&gt;"")*('01_予約入力'!$N$5:$N$204&lt;&gt;"キャンセル")*('01_予約入力'!$C$5:$C$204=$A12)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3">
      <c r="A13" s="48">
        <f>IF(COUNTA('M_区分'!$A$4:$A$20)&gt;=6,INDEX('M_区分'!$A$4:$A$20,6),"")</f>
        <v/>
      </c>
      <c r="B13" s="44">
        <f>IF($A13="","",SUMPRODUCT(--(COUNTIFS('01_予約入力'!$B$5:$B$204,'利用者マスタ'!$A$4:$A$60,'01_予約入力'!$C$5:$C$204,$A13,'01_予約入力'!$G$5:$G$204,"&lt;="&amp;$B$4,'01_予約入力'!$J$5:$J$204,"&gt;="&amp;$B$3,'01_予約入力'!$N$5:$N$204,"&lt;&gt;キャンセル")&gt;0)*('利用者マスタ'!$A$4:$A$60&lt;&gt;"")))</f>
        <v/>
      </c>
      <c r="C13" s="44">
        <f>IF($A13="","",COUNTIFS('01_予約入力'!$C$5:$C$204,$A13,'01_予約入力'!$G$5:$G$204,"&lt;="&amp;$B$4,'01_予約入力'!$J$5:$J$204,"&gt;="&amp;$B$3,'01_予約入力'!$N$5:$N$204,"&lt;&gt;キャンセル"))</f>
        <v/>
      </c>
      <c r="D13" s="44">
        <f>IF($A13="","",SUMPRODUCT(('01_予約入力'!$G$5:$G$204&lt;&gt;"")*('01_予約入力'!$N$5:$N$204&lt;&gt;"キャンセル")*('01_予約入力'!$C$5:$C$204=$A13)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3" s="44">
        <f>IF($A13="","",SUMPRODUCT(('01_予約入力'!$G$5:$G$204&lt;&gt;"")*('01_予約入力'!$N$5:$N$204&lt;&gt;"キャンセル")*('01_予約入力'!$C$5:$C$204=$A13)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4">
      <c r="A14" s="48">
        <f>IF(COUNTA('M_区分'!$A$4:$A$20)&gt;=7,INDEX('M_区分'!$A$4:$A$20,7),"")</f>
        <v/>
      </c>
      <c r="B14" s="44">
        <f>IF($A14="","",SUMPRODUCT(--(COUNTIFS('01_予約入力'!$B$5:$B$204,'利用者マスタ'!$A$4:$A$60,'01_予約入力'!$C$5:$C$204,$A14,'01_予約入力'!$G$5:$G$204,"&lt;="&amp;$B$4,'01_予約入力'!$J$5:$J$204,"&gt;="&amp;$B$3,'01_予約入力'!$N$5:$N$204,"&lt;&gt;キャンセル")&gt;0)*('利用者マスタ'!$A$4:$A$60&lt;&gt;"")))</f>
        <v/>
      </c>
      <c r="C14" s="44">
        <f>IF($A14="","",COUNTIFS('01_予約入力'!$C$5:$C$204,$A14,'01_予約入力'!$G$5:$G$204,"&lt;="&amp;$B$4,'01_予約入力'!$J$5:$J$204,"&gt;="&amp;$B$3,'01_予約入力'!$N$5:$N$204,"&lt;&gt;キャンセル"))</f>
        <v/>
      </c>
      <c r="D14" s="44">
        <f>IF($A14="","",SUMPRODUCT(('01_予約入力'!$G$5:$G$204&lt;&gt;"")*('01_予約入力'!$N$5:$N$204&lt;&gt;"キャンセル")*('01_予約入力'!$C$5:$C$204=$A14)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4" s="44">
        <f>IF($A14="","",SUMPRODUCT(('01_予約入力'!$G$5:$G$204&lt;&gt;"")*('01_予約入力'!$N$5:$N$204&lt;&gt;"キャンセル")*('01_予約入力'!$C$5:$C$204=$A14)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5">
      <c r="A15" s="48">
        <f>IF(COUNTA('M_区分'!$A$4:$A$20)&gt;=8,INDEX('M_区分'!$A$4:$A$20,8),"")</f>
        <v/>
      </c>
      <c r="B15" s="44">
        <f>IF($A15="","",SUMPRODUCT(--(COUNTIFS('01_予約入力'!$B$5:$B$204,'利用者マスタ'!$A$4:$A$60,'01_予約入力'!$C$5:$C$204,$A15,'01_予約入力'!$G$5:$G$204,"&lt;="&amp;$B$4,'01_予約入力'!$J$5:$J$204,"&gt;="&amp;$B$3,'01_予約入力'!$N$5:$N$204,"&lt;&gt;キャンセル")&gt;0)*('利用者マスタ'!$A$4:$A$60&lt;&gt;"")))</f>
        <v/>
      </c>
      <c r="C15" s="44">
        <f>IF($A15="","",COUNTIFS('01_予約入力'!$C$5:$C$204,$A15,'01_予約入力'!$G$5:$G$204,"&lt;="&amp;$B$4,'01_予約入力'!$J$5:$J$204,"&gt;="&amp;$B$3,'01_予約入力'!$N$5:$N$204,"&lt;&gt;キャンセル"))</f>
        <v/>
      </c>
      <c r="D15" s="44">
        <f>IF($A15="","",SUMPRODUCT(('01_予約入力'!$G$5:$G$204&lt;&gt;"")*('01_予約入力'!$N$5:$N$204&lt;&gt;"キャンセル")*('01_予約入力'!$C$5:$C$204=$A15)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5" s="44">
        <f>IF($A15="","",SUMPRODUCT(('01_予約入力'!$G$5:$G$204&lt;&gt;"")*('01_予約入力'!$N$5:$N$204&lt;&gt;"キャンセル")*('01_予約入力'!$C$5:$C$204=$A15)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6">
      <c r="A16" s="48">
        <f>IF(COUNTA('M_区分'!$A$4:$A$20)&gt;=9,INDEX('M_区分'!$A$4:$A$20,9),"")</f>
        <v/>
      </c>
      <c r="B16" s="44">
        <f>IF($A16="","",SUMPRODUCT(--(COUNTIFS('01_予約入力'!$B$5:$B$204,'利用者マスタ'!$A$4:$A$60,'01_予約入力'!$C$5:$C$204,$A16,'01_予約入力'!$G$5:$G$204,"&lt;="&amp;$B$4,'01_予約入力'!$J$5:$J$204,"&gt;="&amp;$B$3,'01_予約入力'!$N$5:$N$204,"&lt;&gt;キャンセル")&gt;0)*('利用者マスタ'!$A$4:$A$60&lt;&gt;"")))</f>
        <v/>
      </c>
      <c r="C16" s="44">
        <f>IF($A16="","",COUNTIFS('01_予約入力'!$C$5:$C$204,$A16,'01_予約入力'!$G$5:$G$204,"&lt;="&amp;$B$4,'01_予約入力'!$J$5:$J$204,"&gt;="&amp;$B$3,'01_予約入力'!$N$5:$N$204,"&lt;&gt;キャンセル"))</f>
        <v/>
      </c>
      <c r="D16" s="44">
        <f>IF($A16="","",SUMPRODUCT(('01_予約入力'!$G$5:$G$204&lt;&gt;"")*('01_予約入力'!$N$5:$N$204&lt;&gt;"キャンセル")*('01_予約入力'!$C$5:$C$204=$A16)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6" s="44">
        <f>IF($A16="","",SUMPRODUCT(('01_予約入力'!$G$5:$G$204&lt;&gt;"")*('01_予約入力'!$N$5:$N$204&lt;&gt;"キャンセル")*('01_予約入力'!$C$5:$C$204=$A16)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7">
      <c r="A17" s="48">
        <f>IF(COUNTA('M_区分'!$A$4:$A$20)&gt;=10,INDEX('M_区分'!$A$4:$A$20,10),"")</f>
        <v/>
      </c>
      <c r="B17" s="44">
        <f>IF($A17="","",SUMPRODUCT(--(COUNTIFS('01_予約入力'!$B$5:$B$204,'利用者マスタ'!$A$4:$A$60,'01_予約入力'!$C$5:$C$204,$A17,'01_予約入力'!$G$5:$G$204,"&lt;="&amp;$B$4,'01_予約入力'!$J$5:$J$204,"&gt;="&amp;$B$3,'01_予約入力'!$N$5:$N$204,"&lt;&gt;キャンセル")&gt;0)*('利用者マスタ'!$A$4:$A$60&lt;&gt;"")))</f>
        <v/>
      </c>
      <c r="C17" s="44">
        <f>IF($A17="","",COUNTIFS('01_予約入力'!$C$5:$C$204,$A17,'01_予約入力'!$G$5:$G$204,"&lt;="&amp;$B$4,'01_予約入力'!$J$5:$J$204,"&gt;="&amp;$B$3,'01_予約入力'!$N$5:$N$204,"&lt;&gt;キャンセル"))</f>
        <v/>
      </c>
      <c r="D17" s="44">
        <f>IF($A17="","",SUMPRODUCT(('01_予約入力'!$G$5:$G$204&lt;&gt;"")*('01_予約入力'!$N$5:$N$204&lt;&gt;"キャンセル")*('01_予約入力'!$C$5:$C$204=$A17)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E17" s="44">
        <f>IF($A17="","",SUMPRODUCT(('01_予約入力'!$G$5:$G$204&lt;&gt;"")*('01_予約入力'!$N$5:$N$204&lt;&gt;"キャンセル")*('01_予約入力'!$C$5:$C$204=$A17)*('01_予約入力'!$G$5:$G$204&lt;=$B$4)*('01_予約入力'!$J$5:$J$204&gt;$B$3)*(((('01_予約入力'!$AD$5:$AD$204&lt;=$B$4+1)*'01_予約入力'!$AD$5:$AD$204+('01_予約入力'!$AD$5:$AD$204&gt;$B$4+1)*($B$4+1))-(('01_予約入力'!$AC$5:$AC$204&gt;=$B$3)*'01_予約入力'!$AC$5:$AC$204+('01_予約入力'!$AC$5:$AC$204&lt;$B$3)*$B$3))&gt;0)*((('01_予約入力'!$AD$5:$AD$204&lt;=$B$4+1)*'01_予約入力'!$AD$5:$AD$204+('01_予約入力'!$AD$5:$AD$204&gt;$B$4+1)*($B$4+1))-(('01_予約入力'!$AC$5:$AC$204&gt;=$B$3)*'01_予約入力'!$AC$5:$AC$204+('01_予約入力'!$AC$5:$AC$204&lt;$B$3)*$B$3))))</f>
        <v/>
      </c>
    </row>
    <row r="18">
      <c r="A18" s="53" t="inlineStr">
        <is>
          <t>合計</t>
        </is>
      </c>
      <c r="B18" s="53">
        <f>SUMPRODUCT(--(COUNTIFS('01_予約入力'!$B$5:$B$204,'利用者マスタ'!$A$4:$A$60,'01_予約入力'!$G$5:$G$204,"&lt;="&amp;$B$4,'01_予約入力'!$J$5:$J$204,"&gt;="&amp;$B$3,'01_予約入力'!$N$5:$N$204,"&lt;&gt;キャンセル")&gt;0)*('利用者マスタ'!$A$4:$A$60&lt;&gt;""))</f>
        <v/>
      </c>
      <c r="C18" s="53">
        <f>SUM(C8:C17)</f>
        <v/>
      </c>
      <c r="D18" s="53">
        <f>SUM(D8:D17)</f>
        <v/>
      </c>
      <c r="E18" s="53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19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48">
        <f>IF(COUNTA('利用者マスタ'!$A$4:$A$60)&gt;=1,INDEX('利用者マスタ'!$A$4:$A$60,1),"")</f>
        <v/>
      </c>
      <c r="B23" s="44">
        <f>IF($A23="","",COUNTIFS('01_予約入力'!$B$5:$B$204,$A23,'01_予約入力'!$G$5:$G$204,"&lt;="&amp;$B$4,'01_予約入力'!$J$5:$J$204,"&gt;="&amp;$B$3,'01_予約入力'!$N$5:$N$204,"&lt;&gt;キャンセル"))</f>
        <v/>
      </c>
      <c r="C23" s="44">
        <f>IF($A23="","",SUMPRODUCT(('01_予約入力'!$G$5:$G$204&lt;&gt;"")*('01_予約入力'!$N$5:$N$204&lt;&gt;"キャンセル")*('01_予約入力'!$B$5:$B$204=$A23)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3" s="44">
        <f>IF($A23="","",SUMIFS('01_予約入力'!$X$5:$X$204,'01_予約入力'!$B$5:$B$204,$A23,'01_予約入力'!$G$5:$G$204,"&gt;="&amp;$B$3,'01_予約入力'!$G$5:$G$204,"&lt;="&amp;$B$4))</f>
        <v/>
      </c>
    </row>
    <row r="24">
      <c r="A24" s="48">
        <f>IF(COUNTA('利用者マスタ'!$A$4:$A$60)&gt;=2,INDEX('利用者マスタ'!$A$4:$A$60,2),"")</f>
        <v/>
      </c>
      <c r="B24" s="44">
        <f>IF($A24="","",COUNTIFS('01_予約入力'!$B$5:$B$204,$A24,'01_予約入力'!$G$5:$G$204,"&lt;="&amp;$B$4,'01_予約入力'!$J$5:$J$204,"&gt;="&amp;$B$3,'01_予約入力'!$N$5:$N$204,"&lt;&gt;キャンセル"))</f>
        <v/>
      </c>
      <c r="C24" s="44">
        <f>IF($A24="","",SUMPRODUCT(('01_予約入力'!$G$5:$G$204&lt;&gt;"")*('01_予約入力'!$N$5:$N$204&lt;&gt;"キャンセル")*('01_予約入力'!$B$5:$B$204=$A24)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4" s="44">
        <f>IF($A24="","",SUMIFS('01_予約入力'!$X$5:$X$204,'01_予約入力'!$B$5:$B$204,$A24,'01_予約入力'!$G$5:$G$204,"&gt;="&amp;$B$3,'01_予約入力'!$G$5:$G$204,"&lt;="&amp;$B$4))</f>
        <v/>
      </c>
    </row>
    <row r="25">
      <c r="A25" s="48">
        <f>IF(COUNTA('利用者マスタ'!$A$4:$A$60)&gt;=3,INDEX('利用者マスタ'!$A$4:$A$60,3),"")</f>
        <v/>
      </c>
      <c r="B25" s="44">
        <f>IF($A25="","",COUNTIFS('01_予約入力'!$B$5:$B$204,$A25,'01_予約入力'!$G$5:$G$204,"&lt;="&amp;$B$4,'01_予約入力'!$J$5:$J$204,"&gt;="&amp;$B$3,'01_予約入力'!$N$5:$N$204,"&lt;&gt;キャンセル"))</f>
        <v/>
      </c>
      <c r="C25" s="44">
        <f>IF($A25="","",SUMPRODUCT(('01_予約入力'!$G$5:$G$204&lt;&gt;"")*('01_予約入力'!$N$5:$N$204&lt;&gt;"キャンセル")*('01_予約入力'!$B$5:$B$204=$A25)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5" s="44">
        <f>IF($A25="","",SUMIFS('01_予約入力'!$X$5:$X$204,'01_予約入力'!$B$5:$B$204,$A25,'01_予約入力'!$G$5:$G$204,"&gt;="&amp;$B$3,'01_予約入力'!$G$5:$G$204,"&lt;="&amp;$B$4))</f>
        <v/>
      </c>
    </row>
    <row r="26">
      <c r="A26" s="48">
        <f>IF(COUNTA('利用者マスタ'!$A$4:$A$60)&gt;=4,INDEX('利用者マスタ'!$A$4:$A$60,4),"")</f>
        <v/>
      </c>
      <c r="B26" s="44">
        <f>IF($A26="","",COUNTIFS('01_予約入力'!$B$5:$B$204,$A26,'01_予約入力'!$G$5:$G$204,"&lt;="&amp;$B$4,'01_予約入力'!$J$5:$J$204,"&gt;="&amp;$B$3,'01_予約入力'!$N$5:$N$204,"&lt;&gt;キャンセル"))</f>
        <v/>
      </c>
      <c r="C26" s="44">
        <f>IF($A26="","",SUMPRODUCT(('01_予約入力'!$G$5:$G$204&lt;&gt;"")*('01_予約入力'!$N$5:$N$204&lt;&gt;"キャンセル")*('01_予約入力'!$B$5:$B$204=$A26)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6" s="44">
        <f>IF($A26="","",SUMIFS('01_予約入力'!$X$5:$X$204,'01_予約入力'!$B$5:$B$204,$A26,'01_予約入力'!$G$5:$G$204,"&gt;="&amp;$B$3,'01_予約入力'!$G$5:$G$204,"&lt;="&amp;$B$4))</f>
        <v/>
      </c>
    </row>
    <row r="27">
      <c r="A27" s="48">
        <f>IF(COUNTA('利用者マスタ'!$A$4:$A$60)&gt;=5,INDEX('利用者マスタ'!$A$4:$A$60,5),"")</f>
        <v/>
      </c>
      <c r="B27" s="44">
        <f>IF($A27="","",COUNTIFS('01_予約入力'!$B$5:$B$204,$A27,'01_予約入力'!$G$5:$G$204,"&lt;="&amp;$B$4,'01_予約入力'!$J$5:$J$204,"&gt;="&amp;$B$3,'01_予約入力'!$N$5:$N$204,"&lt;&gt;キャンセル"))</f>
        <v/>
      </c>
      <c r="C27" s="44">
        <f>IF($A27="","",SUMPRODUCT(('01_予約入力'!$G$5:$G$204&lt;&gt;"")*('01_予約入力'!$N$5:$N$204&lt;&gt;"キャンセル")*('01_予約入力'!$B$5:$B$204=$A27)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7" s="44">
        <f>IF($A27="","",SUMIFS('01_予約入力'!$X$5:$X$204,'01_予約入力'!$B$5:$B$204,$A27,'01_予約入力'!$G$5:$G$204,"&gt;="&amp;$B$3,'01_予約入力'!$G$5:$G$204,"&lt;="&amp;$B$4))</f>
        <v/>
      </c>
    </row>
    <row r="28">
      <c r="A28" s="48">
        <f>IF(COUNTA('利用者マスタ'!$A$4:$A$60)&gt;=6,INDEX('利用者マスタ'!$A$4:$A$60,6),"")</f>
        <v/>
      </c>
      <c r="B28" s="44">
        <f>IF($A28="","",COUNTIFS('01_予約入力'!$B$5:$B$204,$A28,'01_予約入力'!$G$5:$G$204,"&lt;="&amp;$B$4,'01_予約入力'!$J$5:$J$204,"&gt;="&amp;$B$3,'01_予約入力'!$N$5:$N$204,"&lt;&gt;キャンセル"))</f>
        <v/>
      </c>
      <c r="C28" s="44">
        <f>IF($A28="","",SUMPRODUCT(('01_予約入力'!$G$5:$G$204&lt;&gt;"")*('01_予約入力'!$N$5:$N$204&lt;&gt;"キャンセル")*('01_予約入力'!$B$5:$B$204=$A28)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8" s="44">
        <f>IF($A28="","",SUMIFS('01_予約入力'!$X$5:$X$204,'01_予約入力'!$B$5:$B$204,$A28,'01_予約入力'!$G$5:$G$204,"&gt;="&amp;$B$3,'01_予約入力'!$G$5:$G$204,"&lt;="&amp;$B$4))</f>
        <v/>
      </c>
    </row>
    <row r="29">
      <c r="A29" s="48">
        <f>IF(COUNTA('利用者マスタ'!$A$4:$A$60)&gt;=7,INDEX('利用者マスタ'!$A$4:$A$60,7),"")</f>
        <v/>
      </c>
      <c r="B29" s="44">
        <f>IF($A29="","",COUNTIFS('01_予約入力'!$B$5:$B$204,$A29,'01_予約入力'!$G$5:$G$204,"&lt;="&amp;$B$4,'01_予約入力'!$J$5:$J$204,"&gt;="&amp;$B$3,'01_予約入力'!$N$5:$N$204,"&lt;&gt;キャンセル"))</f>
        <v/>
      </c>
      <c r="C29" s="44">
        <f>IF($A29="","",SUMPRODUCT(('01_予約入力'!$G$5:$G$204&lt;&gt;"")*('01_予約入力'!$N$5:$N$204&lt;&gt;"キャンセル")*('01_予約入力'!$B$5:$B$204=$A29)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29" s="44">
        <f>IF($A29="","",SUMIFS('01_予約入力'!$X$5:$X$204,'01_予約入力'!$B$5:$B$204,$A29,'01_予約入力'!$G$5:$G$204,"&gt;="&amp;$B$3,'01_予約入力'!$G$5:$G$204,"&lt;="&amp;$B$4))</f>
        <v/>
      </c>
    </row>
    <row r="30">
      <c r="A30" s="48">
        <f>IF(COUNTA('利用者マスタ'!$A$4:$A$60)&gt;=8,INDEX('利用者マスタ'!$A$4:$A$60,8),"")</f>
        <v/>
      </c>
      <c r="B30" s="44">
        <f>IF($A30="","",COUNTIFS('01_予約入力'!$B$5:$B$204,$A30,'01_予約入力'!$G$5:$G$204,"&lt;="&amp;$B$4,'01_予約入力'!$J$5:$J$204,"&gt;="&amp;$B$3,'01_予約入力'!$N$5:$N$204,"&lt;&gt;キャンセル"))</f>
        <v/>
      </c>
      <c r="C30" s="44">
        <f>IF($A30="","",SUMPRODUCT(('01_予約入力'!$G$5:$G$204&lt;&gt;"")*('01_予約入力'!$N$5:$N$204&lt;&gt;"キャンセル")*('01_予約入力'!$B$5:$B$204=$A30)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0" s="44">
        <f>IF($A30="","",SUMIFS('01_予約入力'!$X$5:$X$204,'01_予約入力'!$B$5:$B$204,$A30,'01_予約入力'!$G$5:$G$204,"&gt;="&amp;$B$3,'01_予約入力'!$G$5:$G$204,"&lt;="&amp;$B$4))</f>
        <v/>
      </c>
    </row>
    <row r="31">
      <c r="A31" s="48">
        <f>IF(COUNTA('利用者マスタ'!$A$4:$A$60)&gt;=9,INDEX('利用者マスタ'!$A$4:$A$60,9),"")</f>
        <v/>
      </c>
      <c r="B31" s="44">
        <f>IF($A31="","",COUNTIFS('01_予約入力'!$B$5:$B$204,$A31,'01_予約入力'!$G$5:$G$204,"&lt;="&amp;$B$4,'01_予約入力'!$J$5:$J$204,"&gt;="&amp;$B$3,'01_予約入力'!$N$5:$N$204,"&lt;&gt;キャンセル"))</f>
        <v/>
      </c>
      <c r="C31" s="44">
        <f>IF($A31="","",SUMPRODUCT(('01_予約入力'!$G$5:$G$204&lt;&gt;"")*('01_予約入力'!$N$5:$N$204&lt;&gt;"キャンセル")*('01_予約入力'!$B$5:$B$204=$A31)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1" s="44">
        <f>IF($A31="","",SUMIFS('01_予約入力'!$X$5:$X$204,'01_予約入力'!$B$5:$B$204,$A31,'01_予約入力'!$G$5:$G$204,"&gt;="&amp;$B$3,'01_予約入力'!$G$5:$G$204,"&lt;="&amp;$B$4))</f>
        <v/>
      </c>
    </row>
    <row r="32">
      <c r="A32" s="48">
        <f>IF(COUNTA('利用者マスタ'!$A$4:$A$60)&gt;=10,INDEX('利用者マスタ'!$A$4:$A$60,10),"")</f>
        <v/>
      </c>
      <c r="B32" s="44">
        <f>IF($A32="","",COUNTIFS('01_予約入力'!$B$5:$B$204,$A32,'01_予約入力'!$G$5:$G$204,"&lt;="&amp;$B$4,'01_予約入力'!$J$5:$J$204,"&gt;="&amp;$B$3,'01_予約入力'!$N$5:$N$204,"&lt;&gt;キャンセル"))</f>
        <v/>
      </c>
      <c r="C32" s="44">
        <f>IF($A32="","",SUMPRODUCT(('01_予約入力'!$G$5:$G$204&lt;&gt;"")*('01_予約入力'!$N$5:$N$204&lt;&gt;"キャンセル")*('01_予約入力'!$B$5:$B$204=$A32)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2" s="44">
        <f>IF($A32="","",SUMIFS('01_予約入力'!$X$5:$X$204,'01_予約入力'!$B$5:$B$204,$A32,'01_予約入力'!$G$5:$G$204,"&gt;="&amp;$B$3,'01_予約入力'!$G$5:$G$204,"&lt;="&amp;$B$4))</f>
        <v/>
      </c>
    </row>
    <row r="33">
      <c r="A33" s="48">
        <f>IF(COUNTA('利用者マスタ'!$A$4:$A$60)&gt;=11,INDEX('利用者マスタ'!$A$4:$A$60,11),"")</f>
        <v/>
      </c>
      <c r="B33" s="44">
        <f>IF($A33="","",COUNTIFS('01_予約入力'!$B$5:$B$204,$A33,'01_予約入力'!$G$5:$G$204,"&lt;="&amp;$B$4,'01_予約入力'!$J$5:$J$204,"&gt;="&amp;$B$3,'01_予約入力'!$N$5:$N$204,"&lt;&gt;キャンセル"))</f>
        <v/>
      </c>
      <c r="C33" s="44">
        <f>IF($A33="","",SUMPRODUCT(('01_予約入力'!$G$5:$G$204&lt;&gt;"")*('01_予約入力'!$N$5:$N$204&lt;&gt;"キャンセル")*('01_予約入力'!$B$5:$B$204=$A33)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3" s="44">
        <f>IF($A33="","",SUMIFS('01_予約入力'!$X$5:$X$204,'01_予約入力'!$B$5:$B$204,$A33,'01_予約入力'!$G$5:$G$204,"&gt;="&amp;$B$3,'01_予約入力'!$G$5:$G$204,"&lt;="&amp;$B$4))</f>
        <v/>
      </c>
    </row>
    <row r="34">
      <c r="A34" s="48">
        <f>IF(COUNTA('利用者マスタ'!$A$4:$A$60)&gt;=12,INDEX('利用者マスタ'!$A$4:$A$60,12),"")</f>
        <v/>
      </c>
      <c r="B34" s="44">
        <f>IF($A34="","",COUNTIFS('01_予約入力'!$B$5:$B$204,$A34,'01_予約入力'!$G$5:$G$204,"&lt;="&amp;$B$4,'01_予約入力'!$J$5:$J$204,"&gt;="&amp;$B$3,'01_予約入力'!$N$5:$N$204,"&lt;&gt;キャンセル"))</f>
        <v/>
      </c>
      <c r="C34" s="44">
        <f>IF($A34="","",SUMPRODUCT(('01_予約入力'!$G$5:$G$204&lt;&gt;"")*('01_予約入力'!$N$5:$N$204&lt;&gt;"キャンセル")*('01_予約入力'!$B$5:$B$204=$A34)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4" s="44">
        <f>IF($A34="","",SUMIFS('01_予約入力'!$X$5:$X$204,'01_予約入力'!$B$5:$B$204,$A34,'01_予約入力'!$G$5:$G$204,"&gt;="&amp;$B$3,'01_予約入力'!$G$5:$G$204,"&lt;="&amp;$B$4))</f>
        <v/>
      </c>
    </row>
    <row r="35">
      <c r="A35" s="48">
        <f>IF(COUNTA('利用者マスタ'!$A$4:$A$60)&gt;=13,INDEX('利用者マスタ'!$A$4:$A$60,13),"")</f>
        <v/>
      </c>
      <c r="B35" s="44">
        <f>IF($A35="","",COUNTIFS('01_予約入力'!$B$5:$B$204,$A35,'01_予約入力'!$G$5:$G$204,"&lt;="&amp;$B$4,'01_予約入力'!$J$5:$J$204,"&gt;="&amp;$B$3,'01_予約入力'!$N$5:$N$204,"&lt;&gt;キャンセル"))</f>
        <v/>
      </c>
      <c r="C35" s="44">
        <f>IF($A35="","",SUMPRODUCT(('01_予約入力'!$G$5:$G$204&lt;&gt;"")*('01_予約入力'!$N$5:$N$204&lt;&gt;"キャンセル")*('01_予約入力'!$B$5:$B$204=$A35)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5" s="44">
        <f>IF($A35="","",SUMIFS('01_予約入力'!$X$5:$X$204,'01_予約入力'!$B$5:$B$204,$A35,'01_予約入力'!$G$5:$G$204,"&gt;="&amp;$B$3,'01_予約入力'!$G$5:$G$204,"&lt;="&amp;$B$4))</f>
        <v/>
      </c>
    </row>
    <row r="36">
      <c r="A36" s="48">
        <f>IF(COUNTA('利用者マスタ'!$A$4:$A$60)&gt;=14,INDEX('利用者マスタ'!$A$4:$A$60,14),"")</f>
        <v/>
      </c>
      <c r="B36" s="44">
        <f>IF($A36="","",COUNTIFS('01_予約入力'!$B$5:$B$204,$A36,'01_予約入力'!$G$5:$G$204,"&lt;="&amp;$B$4,'01_予約入力'!$J$5:$J$204,"&gt;="&amp;$B$3,'01_予約入力'!$N$5:$N$204,"&lt;&gt;キャンセル"))</f>
        <v/>
      </c>
      <c r="C36" s="44">
        <f>IF($A36="","",SUMPRODUCT(('01_予約入力'!$G$5:$G$204&lt;&gt;"")*('01_予約入力'!$N$5:$N$204&lt;&gt;"キャンセル")*('01_予約入力'!$B$5:$B$204=$A36)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6" s="44">
        <f>IF($A36="","",SUMIFS('01_予約入力'!$X$5:$X$204,'01_予約入力'!$B$5:$B$204,$A36,'01_予約入力'!$G$5:$G$204,"&gt;="&amp;$B$3,'01_予約入力'!$G$5:$G$204,"&lt;="&amp;$B$4))</f>
        <v/>
      </c>
    </row>
    <row r="37">
      <c r="A37" s="48">
        <f>IF(COUNTA('利用者マスタ'!$A$4:$A$60)&gt;=15,INDEX('利用者マスタ'!$A$4:$A$60,15),"")</f>
        <v/>
      </c>
      <c r="B37" s="44">
        <f>IF($A37="","",COUNTIFS('01_予約入力'!$B$5:$B$204,$A37,'01_予約入力'!$G$5:$G$204,"&lt;="&amp;$B$4,'01_予約入力'!$J$5:$J$204,"&gt;="&amp;$B$3,'01_予約入力'!$N$5:$N$204,"&lt;&gt;キャンセル"))</f>
        <v/>
      </c>
      <c r="C37" s="44">
        <f>IF($A37="","",SUMPRODUCT(('01_予約入力'!$G$5:$G$204&lt;&gt;"")*('01_予約入力'!$N$5:$N$204&lt;&gt;"キャンセル")*('01_予約入力'!$B$5:$B$204=$A37)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7" s="44">
        <f>IF($A37="","",SUMIFS('01_予約入力'!$X$5:$X$204,'01_予約入力'!$B$5:$B$204,$A37,'01_予約入力'!$G$5:$G$204,"&gt;="&amp;$B$3,'01_予約入力'!$G$5:$G$204,"&lt;="&amp;$B$4))</f>
        <v/>
      </c>
    </row>
    <row r="38">
      <c r="A38" s="48">
        <f>IF(COUNTA('利用者マスタ'!$A$4:$A$60)&gt;=16,INDEX('利用者マスタ'!$A$4:$A$60,16),"")</f>
        <v/>
      </c>
      <c r="B38" s="44">
        <f>IF($A38="","",COUNTIFS('01_予約入力'!$B$5:$B$204,$A38,'01_予約入力'!$G$5:$G$204,"&lt;="&amp;$B$4,'01_予約入力'!$J$5:$J$204,"&gt;="&amp;$B$3,'01_予約入力'!$N$5:$N$204,"&lt;&gt;キャンセル"))</f>
        <v/>
      </c>
      <c r="C38" s="44">
        <f>IF($A38="","",SUMPRODUCT(('01_予約入力'!$G$5:$G$204&lt;&gt;"")*('01_予約入力'!$N$5:$N$204&lt;&gt;"キャンセル")*('01_予約入力'!$B$5:$B$204=$A38)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8" s="44">
        <f>IF($A38="","",SUMIFS('01_予約入力'!$X$5:$X$204,'01_予約入力'!$B$5:$B$204,$A38,'01_予約入力'!$G$5:$G$204,"&gt;="&amp;$B$3,'01_予約入力'!$G$5:$G$204,"&lt;="&amp;$B$4))</f>
        <v/>
      </c>
    </row>
    <row r="39">
      <c r="A39" s="48">
        <f>IF(COUNTA('利用者マスタ'!$A$4:$A$60)&gt;=17,INDEX('利用者マスタ'!$A$4:$A$60,17),"")</f>
        <v/>
      </c>
      <c r="B39" s="44">
        <f>IF($A39="","",COUNTIFS('01_予約入力'!$B$5:$B$204,$A39,'01_予約入力'!$G$5:$G$204,"&lt;="&amp;$B$4,'01_予約入力'!$J$5:$J$204,"&gt;="&amp;$B$3,'01_予約入力'!$N$5:$N$204,"&lt;&gt;キャンセル"))</f>
        <v/>
      </c>
      <c r="C39" s="44">
        <f>IF($A39="","",SUMPRODUCT(('01_予約入力'!$G$5:$G$204&lt;&gt;"")*('01_予約入力'!$N$5:$N$204&lt;&gt;"キャンセル")*('01_予約入力'!$B$5:$B$204=$A39)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39" s="44">
        <f>IF($A39="","",SUMIFS('01_予約入力'!$X$5:$X$204,'01_予約入力'!$B$5:$B$204,$A39,'01_予約入力'!$G$5:$G$204,"&gt;="&amp;$B$3,'01_予約入力'!$G$5:$G$204,"&lt;="&amp;$B$4))</f>
        <v/>
      </c>
    </row>
    <row r="40">
      <c r="A40" s="48">
        <f>IF(COUNTA('利用者マスタ'!$A$4:$A$60)&gt;=18,INDEX('利用者マスタ'!$A$4:$A$60,18),"")</f>
        <v/>
      </c>
      <c r="B40" s="44">
        <f>IF($A40="","",COUNTIFS('01_予約入力'!$B$5:$B$204,$A40,'01_予約入力'!$G$5:$G$204,"&lt;="&amp;$B$4,'01_予約入力'!$J$5:$J$204,"&gt;="&amp;$B$3,'01_予約入力'!$N$5:$N$204,"&lt;&gt;キャンセル"))</f>
        <v/>
      </c>
      <c r="C40" s="44">
        <f>IF($A40="","",SUMPRODUCT(('01_予約入力'!$G$5:$G$204&lt;&gt;"")*('01_予約入力'!$N$5:$N$204&lt;&gt;"キャンセル")*('01_予約入力'!$B$5:$B$204=$A40)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0" s="44">
        <f>IF($A40="","",SUMIFS('01_予約入力'!$X$5:$X$204,'01_予約入力'!$B$5:$B$204,$A40,'01_予約入力'!$G$5:$G$204,"&gt;="&amp;$B$3,'01_予約入力'!$G$5:$G$204,"&lt;="&amp;$B$4))</f>
        <v/>
      </c>
    </row>
    <row r="41">
      <c r="A41" s="48">
        <f>IF(COUNTA('利用者マスタ'!$A$4:$A$60)&gt;=19,INDEX('利用者マスタ'!$A$4:$A$60,19),"")</f>
        <v/>
      </c>
      <c r="B41" s="44">
        <f>IF($A41="","",COUNTIFS('01_予約入力'!$B$5:$B$204,$A41,'01_予約入力'!$G$5:$G$204,"&lt;="&amp;$B$4,'01_予約入力'!$J$5:$J$204,"&gt;="&amp;$B$3,'01_予約入力'!$N$5:$N$204,"&lt;&gt;キャンセル"))</f>
        <v/>
      </c>
      <c r="C41" s="44">
        <f>IF($A41="","",SUMPRODUCT(('01_予約入力'!$G$5:$G$204&lt;&gt;"")*('01_予約入力'!$N$5:$N$204&lt;&gt;"キャンセル")*('01_予約入力'!$B$5:$B$204=$A41)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1" s="44">
        <f>IF($A41="","",SUMIFS('01_予約入力'!$X$5:$X$204,'01_予約入力'!$B$5:$B$204,$A41,'01_予約入力'!$G$5:$G$204,"&gt;="&amp;$B$3,'01_予約入力'!$G$5:$G$204,"&lt;="&amp;$B$4))</f>
        <v/>
      </c>
    </row>
    <row r="42">
      <c r="A42" s="48">
        <f>IF(COUNTA('利用者マスタ'!$A$4:$A$60)&gt;=20,INDEX('利用者マスタ'!$A$4:$A$60,20),"")</f>
        <v/>
      </c>
      <c r="B42" s="44">
        <f>IF($A42="","",COUNTIFS('01_予約入力'!$B$5:$B$204,$A42,'01_予約入力'!$G$5:$G$204,"&lt;="&amp;$B$4,'01_予約入力'!$J$5:$J$204,"&gt;="&amp;$B$3,'01_予約入力'!$N$5:$N$204,"&lt;&gt;キャンセル"))</f>
        <v/>
      </c>
      <c r="C42" s="44">
        <f>IF($A42="","",SUMPRODUCT(('01_予約入力'!$G$5:$G$204&lt;&gt;"")*('01_予約入力'!$N$5:$N$204&lt;&gt;"キャンセル")*('01_予約入力'!$B$5:$B$204=$A42)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2" s="44">
        <f>IF($A42="","",SUMIFS('01_予約入力'!$X$5:$X$204,'01_予約入力'!$B$5:$B$204,$A42,'01_予約入力'!$G$5:$G$204,"&gt;="&amp;$B$3,'01_予約入力'!$G$5:$G$204,"&lt;="&amp;$B$4))</f>
        <v/>
      </c>
    </row>
    <row r="43">
      <c r="A43" s="48">
        <f>IF(COUNTA('利用者マスタ'!$A$4:$A$60)&gt;=21,INDEX('利用者マスタ'!$A$4:$A$60,21),"")</f>
        <v/>
      </c>
      <c r="B43" s="44">
        <f>IF($A43="","",COUNTIFS('01_予約入力'!$B$5:$B$204,$A43,'01_予約入力'!$G$5:$G$204,"&lt;="&amp;$B$4,'01_予約入力'!$J$5:$J$204,"&gt;="&amp;$B$3,'01_予約入力'!$N$5:$N$204,"&lt;&gt;キャンセル"))</f>
        <v/>
      </c>
      <c r="C43" s="44">
        <f>IF($A43="","",SUMPRODUCT(('01_予約入力'!$G$5:$G$204&lt;&gt;"")*('01_予約入力'!$N$5:$N$204&lt;&gt;"キャンセル")*('01_予約入力'!$B$5:$B$204=$A43)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3" s="44">
        <f>IF($A43="","",SUMIFS('01_予約入力'!$X$5:$X$204,'01_予約入力'!$B$5:$B$204,$A43,'01_予約入力'!$G$5:$G$204,"&gt;="&amp;$B$3,'01_予約入力'!$G$5:$G$204,"&lt;="&amp;$B$4))</f>
        <v/>
      </c>
    </row>
    <row r="44">
      <c r="A44" s="48">
        <f>IF(COUNTA('利用者マスタ'!$A$4:$A$60)&gt;=22,INDEX('利用者マスタ'!$A$4:$A$60,22),"")</f>
        <v/>
      </c>
      <c r="B44" s="44">
        <f>IF($A44="","",COUNTIFS('01_予約入力'!$B$5:$B$204,$A44,'01_予約入力'!$G$5:$G$204,"&lt;="&amp;$B$4,'01_予約入力'!$J$5:$J$204,"&gt;="&amp;$B$3,'01_予約入力'!$N$5:$N$204,"&lt;&gt;キャンセル"))</f>
        <v/>
      </c>
      <c r="C44" s="44">
        <f>IF($A44="","",SUMPRODUCT(('01_予約入力'!$G$5:$G$204&lt;&gt;"")*('01_予約入力'!$N$5:$N$204&lt;&gt;"キャンセル")*('01_予約入力'!$B$5:$B$204=$A44)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4" s="44">
        <f>IF($A44="","",SUMIFS('01_予約入力'!$X$5:$X$204,'01_予約入力'!$B$5:$B$204,$A44,'01_予約入力'!$G$5:$G$204,"&gt;="&amp;$B$3,'01_予約入力'!$G$5:$G$204,"&lt;="&amp;$B$4))</f>
        <v/>
      </c>
    </row>
    <row r="45">
      <c r="A45" s="48">
        <f>IF(COUNTA('利用者マスタ'!$A$4:$A$60)&gt;=23,INDEX('利用者マスタ'!$A$4:$A$60,23),"")</f>
        <v/>
      </c>
      <c r="B45" s="44">
        <f>IF($A45="","",COUNTIFS('01_予約入力'!$B$5:$B$204,$A45,'01_予約入力'!$G$5:$G$204,"&lt;="&amp;$B$4,'01_予約入力'!$J$5:$J$204,"&gt;="&amp;$B$3,'01_予約入力'!$N$5:$N$204,"&lt;&gt;キャンセル"))</f>
        <v/>
      </c>
      <c r="C45" s="44">
        <f>IF($A45="","",SUMPRODUCT(('01_予約入力'!$G$5:$G$204&lt;&gt;"")*('01_予約入力'!$N$5:$N$204&lt;&gt;"キャンセル")*('01_予約入力'!$B$5:$B$204=$A45)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5" s="44">
        <f>IF($A45="","",SUMIFS('01_予約入力'!$X$5:$X$204,'01_予約入力'!$B$5:$B$204,$A45,'01_予約入力'!$G$5:$G$204,"&gt;="&amp;$B$3,'01_予約入力'!$G$5:$G$204,"&lt;="&amp;$B$4))</f>
        <v/>
      </c>
    </row>
    <row r="46">
      <c r="A46" s="48">
        <f>IF(COUNTA('利用者マスタ'!$A$4:$A$60)&gt;=24,INDEX('利用者マスタ'!$A$4:$A$60,24),"")</f>
        <v/>
      </c>
      <c r="B46" s="44">
        <f>IF($A46="","",COUNTIFS('01_予約入力'!$B$5:$B$204,$A46,'01_予約入力'!$G$5:$G$204,"&lt;="&amp;$B$4,'01_予約入力'!$J$5:$J$204,"&gt;="&amp;$B$3,'01_予約入力'!$N$5:$N$204,"&lt;&gt;キャンセル"))</f>
        <v/>
      </c>
      <c r="C46" s="44">
        <f>IF($A46="","",SUMPRODUCT(('01_予約入力'!$G$5:$G$204&lt;&gt;"")*('01_予約入力'!$N$5:$N$204&lt;&gt;"キャンセル")*('01_予約入力'!$B$5:$B$204=$A46)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6" s="44">
        <f>IF($A46="","",SUMIFS('01_予約入力'!$X$5:$X$204,'01_予約入力'!$B$5:$B$204,$A46,'01_予約入力'!$G$5:$G$204,"&gt;="&amp;$B$3,'01_予約入力'!$G$5:$G$204,"&lt;="&amp;$B$4))</f>
        <v/>
      </c>
    </row>
    <row r="47">
      <c r="A47" s="48">
        <f>IF(COUNTA('利用者マスタ'!$A$4:$A$60)&gt;=25,INDEX('利用者マスタ'!$A$4:$A$60,25),"")</f>
        <v/>
      </c>
      <c r="B47" s="44">
        <f>IF($A47="","",COUNTIFS('01_予約入力'!$B$5:$B$204,$A47,'01_予約入力'!$G$5:$G$204,"&lt;="&amp;$B$4,'01_予約入力'!$J$5:$J$204,"&gt;="&amp;$B$3,'01_予約入力'!$N$5:$N$204,"&lt;&gt;キャンセル"))</f>
        <v/>
      </c>
      <c r="C47" s="44">
        <f>IF($A47="","",SUMPRODUCT(('01_予約入力'!$G$5:$G$204&lt;&gt;"")*('01_予約入力'!$N$5:$N$204&lt;&gt;"キャンセル")*('01_予約入力'!$B$5:$B$204=$A47)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7" s="44">
        <f>IF($A47="","",SUMIFS('01_予約入力'!$X$5:$X$204,'01_予約入力'!$B$5:$B$204,$A47,'01_予約入力'!$G$5:$G$204,"&gt;="&amp;$B$3,'01_予約入力'!$G$5:$G$204,"&lt;="&amp;$B$4))</f>
        <v/>
      </c>
    </row>
    <row r="48">
      <c r="A48" s="48">
        <f>IF(COUNTA('利用者マスタ'!$A$4:$A$60)&gt;=26,INDEX('利用者マスタ'!$A$4:$A$60,26),"")</f>
        <v/>
      </c>
      <c r="B48" s="44">
        <f>IF($A48="","",COUNTIFS('01_予約入力'!$B$5:$B$204,$A48,'01_予約入力'!$G$5:$G$204,"&lt;="&amp;$B$4,'01_予約入力'!$J$5:$J$204,"&gt;="&amp;$B$3,'01_予約入力'!$N$5:$N$204,"&lt;&gt;キャンセル"))</f>
        <v/>
      </c>
      <c r="C48" s="44">
        <f>IF($A48="","",SUMPRODUCT(('01_予約入力'!$G$5:$G$204&lt;&gt;"")*('01_予約入力'!$N$5:$N$204&lt;&gt;"キャンセル")*('01_予約入力'!$B$5:$B$204=$A48)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8" s="44">
        <f>IF($A48="","",SUMIFS('01_予約入力'!$X$5:$X$204,'01_予約入力'!$B$5:$B$204,$A48,'01_予約入力'!$G$5:$G$204,"&gt;="&amp;$B$3,'01_予約入力'!$G$5:$G$204,"&lt;="&amp;$B$4))</f>
        <v/>
      </c>
    </row>
    <row r="49">
      <c r="A49" s="48">
        <f>IF(COUNTA('利用者マスタ'!$A$4:$A$60)&gt;=27,INDEX('利用者マスタ'!$A$4:$A$60,27),"")</f>
        <v/>
      </c>
      <c r="B49" s="44">
        <f>IF($A49="","",COUNTIFS('01_予約入力'!$B$5:$B$204,$A49,'01_予約入力'!$G$5:$G$204,"&lt;="&amp;$B$4,'01_予約入力'!$J$5:$J$204,"&gt;="&amp;$B$3,'01_予約入力'!$N$5:$N$204,"&lt;&gt;キャンセル"))</f>
        <v/>
      </c>
      <c r="C49" s="44">
        <f>IF($A49="","",SUMPRODUCT(('01_予約入力'!$G$5:$G$204&lt;&gt;"")*('01_予約入力'!$N$5:$N$204&lt;&gt;"キャンセル")*('01_予約入力'!$B$5:$B$204=$A49)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49" s="44">
        <f>IF($A49="","",SUMIFS('01_予約入力'!$X$5:$X$204,'01_予約入力'!$B$5:$B$204,$A49,'01_予約入力'!$G$5:$G$204,"&gt;="&amp;$B$3,'01_予約入力'!$G$5:$G$204,"&lt;="&amp;$B$4))</f>
        <v/>
      </c>
    </row>
    <row r="50">
      <c r="A50" s="48">
        <f>IF(COUNTA('利用者マスタ'!$A$4:$A$60)&gt;=28,INDEX('利用者マスタ'!$A$4:$A$60,28),"")</f>
        <v/>
      </c>
      <c r="B50" s="44">
        <f>IF($A50="","",COUNTIFS('01_予約入力'!$B$5:$B$204,$A50,'01_予約入力'!$G$5:$G$204,"&lt;="&amp;$B$4,'01_予約入力'!$J$5:$J$204,"&gt;="&amp;$B$3,'01_予約入力'!$N$5:$N$204,"&lt;&gt;キャンセル"))</f>
        <v/>
      </c>
      <c r="C50" s="44">
        <f>IF($A50="","",SUMPRODUCT(('01_予約入力'!$G$5:$G$204&lt;&gt;"")*('01_予約入力'!$N$5:$N$204&lt;&gt;"キャンセル")*('01_予約入力'!$B$5:$B$204=$A50)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0" s="44">
        <f>IF($A50="","",SUMIFS('01_予約入力'!$X$5:$X$204,'01_予約入力'!$B$5:$B$204,$A50,'01_予約入力'!$G$5:$G$204,"&gt;="&amp;$B$3,'01_予約入力'!$G$5:$G$204,"&lt;="&amp;$B$4))</f>
        <v/>
      </c>
    </row>
    <row r="51">
      <c r="A51" s="48">
        <f>IF(COUNTA('利用者マスタ'!$A$4:$A$60)&gt;=29,INDEX('利用者マスタ'!$A$4:$A$60,29),"")</f>
        <v/>
      </c>
      <c r="B51" s="44">
        <f>IF($A51="","",COUNTIFS('01_予約入力'!$B$5:$B$204,$A51,'01_予約入力'!$G$5:$G$204,"&lt;="&amp;$B$4,'01_予約入力'!$J$5:$J$204,"&gt;="&amp;$B$3,'01_予約入力'!$N$5:$N$204,"&lt;&gt;キャンセル"))</f>
        <v/>
      </c>
      <c r="C51" s="44">
        <f>IF($A51="","",SUMPRODUCT(('01_予約入力'!$G$5:$G$204&lt;&gt;"")*('01_予約入力'!$N$5:$N$204&lt;&gt;"キャンセル")*('01_予約入力'!$B$5:$B$204=$A51)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1" s="44">
        <f>IF($A51="","",SUMIFS('01_予約入力'!$X$5:$X$204,'01_予約入力'!$B$5:$B$204,$A51,'01_予約入力'!$G$5:$G$204,"&gt;="&amp;$B$3,'01_予約入力'!$G$5:$G$204,"&lt;="&amp;$B$4))</f>
        <v/>
      </c>
    </row>
    <row r="52">
      <c r="A52" s="48">
        <f>IF(COUNTA('利用者マスタ'!$A$4:$A$60)&gt;=30,INDEX('利用者マスタ'!$A$4:$A$60,30),"")</f>
        <v/>
      </c>
      <c r="B52" s="44">
        <f>IF($A52="","",COUNTIFS('01_予約入力'!$B$5:$B$204,$A52,'01_予約入力'!$G$5:$G$204,"&lt;="&amp;$B$4,'01_予約入力'!$J$5:$J$204,"&gt;="&amp;$B$3,'01_予約入力'!$N$5:$N$204,"&lt;&gt;キャンセル"))</f>
        <v/>
      </c>
      <c r="C52" s="44">
        <f>IF($A52="","",SUMPRODUCT(('01_予約入力'!$G$5:$G$204&lt;&gt;"")*('01_予約入力'!$N$5:$N$204&lt;&gt;"キャンセル")*('01_予約入力'!$B$5:$B$204=$A52)*('01_予約入力'!$G$5:$G$204&lt;=$B$4)*('01_予約入力'!$J$5:$J$204&gt;=$B$3)*((('01_予約入力'!$AD$5:$AD$204&lt;=$B$4)*'01_予約入力'!$AD$5:$AD$204+('01_予約入力'!$AD$5:$AD$204&gt;$B$4)*$B$4)-(('01_予約入力'!$AC$5:$AC$204&gt;=$B$3)*'01_予約入力'!$AC$5:$AC$204+('01_予約入力'!$AC$5:$AC$204&lt;$B$3)*$B$3)+1)))</f>
        <v/>
      </c>
      <c r="D52" s="44">
        <f>IF($A52="","",SUMIFS('01_予約入力'!$X$5:$X$204,'01_予約入力'!$B$5:$B$204,$A52,'01_予約入力'!$G$5:$G$204,"&gt;="&amp;$B$3,'01_予約入力'!$G$5:$G$204,"&lt;="&amp;$B$4))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4" t="inlineStr">
        <is>
          <t>対象月</t>
        </is>
      </c>
      <c r="B3" s="15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8">
        <f>IF(COUNTA('利用者マスタ'!$A$4:$A$60)&gt;=1,INDEX('利用者マスタ'!$A$4:$A$60,1),"")</f>
        <v/>
      </c>
      <c r="B6" s="44">
        <f>IF($A6="","",IF(SUMPRODUCT(('利用者マスタ'!$A$4:$A$60=$A6)*('利用者マスタ'!$B$4:$B$60&lt;&gt;""))=0,"",SUMIFS('利用者マスタ'!$B$4:$B$60,'利用者マスタ'!$A$4:$A$60,$A6)))</f>
        <v/>
      </c>
      <c r="C6" s="44">
        <f>IF($A6="","",SUMIFS('01_予約入力'!$X$5:$X$204,'01_予約入力'!$B$5:$B$204,$A6,'01_予約入力'!$G$5:$G$204,"&gt;="&amp;DATE(YEAR($B$3),MONTH($B$3),1),'01_予約入力'!$G$5:$G$204,"&lt;="&amp;EOMONTH($B$3,0)))</f>
        <v/>
      </c>
      <c r="D6" s="44">
        <f>IF(OR($A6="",$B6=""),"",$B6-$C6)</f>
        <v/>
      </c>
      <c r="E6" s="44">
        <f>IF($A6="","",IF($B6="","（管理しない）",IF($D6&lt;0,"⚠ 超過",IF($D6=0,"上限ちょうど",IF($D6&lt;=1,"残りわずか","OK")))))</f>
        <v/>
      </c>
    </row>
    <row r="7">
      <c r="A7" s="48">
        <f>IF(COUNTA('利用者マスタ'!$A$4:$A$60)&gt;=2,INDEX('利用者マスタ'!$A$4:$A$60,2),"")</f>
        <v/>
      </c>
      <c r="B7" s="44">
        <f>IF($A7="","",IF(SUMPRODUCT(('利用者マスタ'!$A$4:$A$60=$A7)*('利用者マスタ'!$B$4:$B$60&lt;&gt;""))=0,"",SUMIFS('利用者マスタ'!$B$4:$B$60,'利用者マスタ'!$A$4:$A$60,$A7)))</f>
        <v/>
      </c>
      <c r="C7" s="44">
        <f>IF($A7="","",SUMIFS('01_予約入力'!$X$5:$X$204,'01_予約入力'!$B$5:$B$204,$A7,'01_予約入力'!$G$5:$G$204,"&gt;="&amp;DATE(YEAR($B$3),MONTH($B$3),1),'01_予約入力'!$G$5:$G$204,"&lt;="&amp;EOMONTH($B$3,0)))</f>
        <v/>
      </c>
      <c r="D7" s="44">
        <f>IF(OR($A7="",$B7=""),"",$B7-$C7)</f>
        <v/>
      </c>
      <c r="E7" s="44">
        <f>IF($A7="","",IF($B7="","（管理しない）",IF($D7&lt;0,"⚠ 超過",IF($D7=0,"上限ちょうど",IF($D7&lt;=1,"残りわずか","OK")))))</f>
        <v/>
      </c>
    </row>
    <row r="8">
      <c r="A8" s="48">
        <f>IF(COUNTA('利用者マスタ'!$A$4:$A$60)&gt;=3,INDEX('利用者マスタ'!$A$4:$A$60,3),"")</f>
        <v/>
      </c>
      <c r="B8" s="44">
        <f>IF($A8="","",IF(SUMPRODUCT(('利用者マスタ'!$A$4:$A$60=$A8)*('利用者マスタ'!$B$4:$B$60&lt;&gt;""))=0,"",SUMIFS('利用者マスタ'!$B$4:$B$60,'利用者マスタ'!$A$4:$A$60,$A8)))</f>
        <v/>
      </c>
      <c r="C8" s="44">
        <f>IF($A8="","",SUMIFS('01_予約入力'!$X$5:$X$204,'01_予約入力'!$B$5:$B$204,$A8,'01_予約入力'!$G$5:$G$204,"&gt;="&amp;DATE(YEAR($B$3),MONTH($B$3),1),'01_予約入力'!$G$5:$G$204,"&lt;="&amp;EOMONTH($B$3,0)))</f>
        <v/>
      </c>
      <c r="D8" s="44">
        <f>IF(OR($A8="",$B8=""),"",$B8-$C8)</f>
        <v/>
      </c>
      <c r="E8" s="44">
        <f>IF($A8="","",IF($B8="","（管理しない）",IF($D8&lt;0,"⚠ 超過",IF($D8=0,"上限ちょうど",IF($D8&lt;=1,"残りわずか","OK")))))</f>
        <v/>
      </c>
    </row>
    <row r="9">
      <c r="A9" s="48">
        <f>IF(COUNTA('利用者マスタ'!$A$4:$A$60)&gt;=4,INDEX('利用者マスタ'!$A$4:$A$60,4),"")</f>
        <v/>
      </c>
      <c r="B9" s="44">
        <f>IF($A9="","",IF(SUMPRODUCT(('利用者マスタ'!$A$4:$A$60=$A9)*('利用者マスタ'!$B$4:$B$60&lt;&gt;""))=0,"",SUMIFS('利用者マスタ'!$B$4:$B$60,'利用者マスタ'!$A$4:$A$60,$A9)))</f>
        <v/>
      </c>
      <c r="C9" s="44">
        <f>IF($A9="","",SUMIFS('01_予約入力'!$X$5:$X$204,'01_予約入力'!$B$5:$B$204,$A9,'01_予約入力'!$G$5:$G$204,"&gt;="&amp;DATE(YEAR($B$3),MONTH($B$3),1),'01_予約入力'!$G$5:$G$204,"&lt;="&amp;EOMONTH($B$3,0)))</f>
        <v/>
      </c>
      <c r="D9" s="44">
        <f>IF(OR($A9="",$B9=""),"",$B9-$C9)</f>
        <v/>
      </c>
      <c r="E9" s="44">
        <f>IF($A9="","",IF($B9="","（管理しない）",IF($D9&lt;0,"⚠ 超過",IF($D9=0,"上限ちょうど",IF($D9&lt;=1,"残りわずか","OK")))))</f>
        <v/>
      </c>
    </row>
    <row r="10">
      <c r="A10" s="48">
        <f>IF(COUNTA('利用者マスタ'!$A$4:$A$60)&gt;=5,INDEX('利用者マスタ'!$A$4:$A$60,5),"")</f>
        <v/>
      </c>
      <c r="B10" s="44">
        <f>IF($A10="","",IF(SUMPRODUCT(('利用者マスタ'!$A$4:$A$60=$A10)*('利用者マスタ'!$B$4:$B$60&lt;&gt;""))=0,"",SUMIFS('利用者マスタ'!$B$4:$B$60,'利用者マスタ'!$A$4:$A$60,$A10)))</f>
        <v/>
      </c>
      <c r="C10" s="44">
        <f>IF($A10="","",SUMIFS('01_予約入力'!$X$5:$X$204,'01_予約入力'!$B$5:$B$204,$A10,'01_予約入力'!$G$5:$G$204,"&gt;="&amp;DATE(YEAR($B$3),MONTH($B$3),1),'01_予約入力'!$G$5:$G$204,"&lt;="&amp;EOMONTH($B$3,0)))</f>
        <v/>
      </c>
      <c r="D10" s="44">
        <f>IF(OR($A10="",$B10=""),"",$B10-$C10)</f>
        <v/>
      </c>
      <c r="E10" s="44">
        <f>IF($A10="","",IF($B10="","（管理しない）",IF($D10&lt;0,"⚠ 超過",IF($D10=0,"上限ちょうど",IF($D10&lt;=1,"残りわずか","OK")))))</f>
        <v/>
      </c>
    </row>
    <row r="11">
      <c r="A11" s="48">
        <f>IF(COUNTA('利用者マスタ'!$A$4:$A$60)&gt;=6,INDEX('利用者マスタ'!$A$4:$A$60,6),"")</f>
        <v/>
      </c>
      <c r="B11" s="44">
        <f>IF($A11="","",IF(SUMPRODUCT(('利用者マスタ'!$A$4:$A$60=$A11)*('利用者マスタ'!$B$4:$B$60&lt;&gt;""))=0,"",SUMIFS('利用者マスタ'!$B$4:$B$60,'利用者マスタ'!$A$4:$A$60,$A11)))</f>
        <v/>
      </c>
      <c r="C11" s="44">
        <f>IF($A11="","",SUMIFS('01_予約入力'!$X$5:$X$204,'01_予約入力'!$B$5:$B$204,$A11,'01_予約入力'!$G$5:$G$204,"&gt;="&amp;DATE(YEAR($B$3),MONTH($B$3),1),'01_予約入力'!$G$5:$G$204,"&lt;="&amp;EOMONTH($B$3,0)))</f>
        <v/>
      </c>
      <c r="D11" s="44">
        <f>IF(OR($A11="",$B11=""),"",$B11-$C11)</f>
        <v/>
      </c>
      <c r="E11" s="44">
        <f>IF($A11="","",IF($B11="","（管理しない）",IF($D11&lt;0,"⚠ 超過",IF($D11=0,"上限ちょうど",IF($D11&lt;=1,"残りわずか","OK")))))</f>
        <v/>
      </c>
    </row>
    <row r="12">
      <c r="A12" s="48">
        <f>IF(COUNTA('利用者マスタ'!$A$4:$A$60)&gt;=7,INDEX('利用者マスタ'!$A$4:$A$60,7),"")</f>
        <v/>
      </c>
      <c r="B12" s="44">
        <f>IF($A12="","",IF(SUMPRODUCT(('利用者マスタ'!$A$4:$A$60=$A12)*('利用者マスタ'!$B$4:$B$60&lt;&gt;""))=0,"",SUMIFS('利用者マスタ'!$B$4:$B$60,'利用者マスタ'!$A$4:$A$60,$A12)))</f>
        <v/>
      </c>
      <c r="C12" s="44">
        <f>IF($A12="","",SUMIFS('01_予約入力'!$X$5:$X$204,'01_予約入力'!$B$5:$B$204,$A12,'01_予約入力'!$G$5:$G$204,"&gt;="&amp;DATE(YEAR($B$3),MONTH($B$3),1),'01_予約入力'!$G$5:$G$204,"&lt;="&amp;EOMONTH($B$3,0)))</f>
        <v/>
      </c>
      <c r="D12" s="44">
        <f>IF(OR($A12="",$B12=""),"",$B12-$C12)</f>
        <v/>
      </c>
      <c r="E12" s="44">
        <f>IF($A12="","",IF($B12="","（管理しない）",IF($D12&lt;0,"⚠ 超過",IF($D12=0,"上限ちょうど",IF($D12&lt;=1,"残りわずか","OK")))))</f>
        <v/>
      </c>
    </row>
    <row r="13">
      <c r="A13" s="48">
        <f>IF(COUNTA('利用者マスタ'!$A$4:$A$60)&gt;=8,INDEX('利用者マスタ'!$A$4:$A$60,8),"")</f>
        <v/>
      </c>
      <c r="B13" s="44">
        <f>IF($A13="","",IF(SUMPRODUCT(('利用者マスタ'!$A$4:$A$60=$A13)*('利用者マスタ'!$B$4:$B$60&lt;&gt;""))=0,"",SUMIFS('利用者マスタ'!$B$4:$B$60,'利用者マスタ'!$A$4:$A$60,$A13)))</f>
        <v/>
      </c>
      <c r="C13" s="44">
        <f>IF($A13="","",SUMIFS('01_予約入力'!$X$5:$X$204,'01_予約入力'!$B$5:$B$204,$A13,'01_予約入力'!$G$5:$G$204,"&gt;="&amp;DATE(YEAR($B$3),MONTH($B$3),1),'01_予約入力'!$G$5:$G$204,"&lt;="&amp;EOMONTH($B$3,0)))</f>
        <v/>
      </c>
      <c r="D13" s="44">
        <f>IF(OR($A13="",$B13=""),"",$B13-$C13)</f>
        <v/>
      </c>
      <c r="E13" s="44">
        <f>IF($A13="","",IF($B13="","（管理しない）",IF($D13&lt;0,"⚠ 超過",IF($D13=0,"上限ちょうど",IF($D13&lt;=1,"残りわずか","OK")))))</f>
        <v/>
      </c>
    </row>
    <row r="14">
      <c r="A14" s="48">
        <f>IF(COUNTA('利用者マスタ'!$A$4:$A$60)&gt;=9,INDEX('利用者マスタ'!$A$4:$A$60,9),"")</f>
        <v/>
      </c>
      <c r="B14" s="44">
        <f>IF($A14="","",IF(SUMPRODUCT(('利用者マスタ'!$A$4:$A$60=$A14)*('利用者マスタ'!$B$4:$B$60&lt;&gt;""))=0,"",SUMIFS('利用者マスタ'!$B$4:$B$60,'利用者マスタ'!$A$4:$A$60,$A14)))</f>
        <v/>
      </c>
      <c r="C14" s="44">
        <f>IF($A14="","",SUMIFS('01_予約入力'!$X$5:$X$204,'01_予約入力'!$B$5:$B$204,$A14,'01_予約入力'!$G$5:$G$204,"&gt;="&amp;DATE(YEAR($B$3),MONTH($B$3),1),'01_予約入力'!$G$5:$G$204,"&lt;="&amp;EOMONTH($B$3,0)))</f>
        <v/>
      </c>
      <c r="D14" s="44">
        <f>IF(OR($A14="",$B14=""),"",$B14-$C14)</f>
        <v/>
      </c>
      <c r="E14" s="44">
        <f>IF($A14="","",IF($B14="","（管理しない）",IF($D14&lt;0,"⚠ 超過",IF($D14=0,"上限ちょうど",IF($D14&lt;=1,"残りわずか","OK")))))</f>
        <v/>
      </c>
    </row>
    <row r="15">
      <c r="A15" s="48">
        <f>IF(COUNTA('利用者マスタ'!$A$4:$A$60)&gt;=10,INDEX('利用者マスタ'!$A$4:$A$60,10),"")</f>
        <v/>
      </c>
      <c r="B15" s="44">
        <f>IF($A15="","",IF(SUMPRODUCT(('利用者マスタ'!$A$4:$A$60=$A15)*('利用者マスタ'!$B$4:$B$60&lt;&gt;""))=0,"",SUMIFS('利用者マスタ'!$B$4:$B$60,'利用者マスタ'!$A$4:$A$60,$A15)))</f>
        <v/>
      </c>
      <c r="C15" s="44">
        <f>IF($A15="","",SUMIFS('01_予約入力'!$X$5:$X$204,'01_予約入力'!$B$5:$B$204,$A15,'01_予約入力'!$G$5:$G$204,"&gt;="&amp;DATE(YEAR($B$3),MONTH($B$3),1),'01_予約入力'!$G$5:$G$204,"&lt;="&amp;EOMONTH($B$3,0)))</f>
        <v/>
      </c>
      <c r="D15" s="44">
        <f>IF(OR($A15="",$B15=""),"",$B15-$C15)</f>
        <v/>
      </c>
      <c r="E15" s="44">
        <f>IF($A15="","",IF($B15="","（管理しない）",IF($D15&lt;0,"⚠ 超過",IF($D15=0,"上限ちょうど",IF($D15&lt;=1,"残りわずか","OK")))))</f>
        <v/>
      </c>
    </row>
    <row r="16">
      <c r="A16" s="48">
        <f>IF(COUNTA('利用者マスタ'!$A$4:$A$60)&gt;=11,INDEX('利用者マスタ'!$A$4:$A$60,11),"")</f>
        <v/>
      </c>
      <c r="B16" s="44">
        <f>IF($A16="","",IF(SUMPRODUCT(('利用者マスタ'!$A$4:$A$60=$A16)*('利用者マスタ'!$B$4:$B$60&lt;&gt;""))=0,"",SUMIFS('利用者マスタ'!$B$4:$B$60,'利用者マスタ'!$A$4:$A$60,$A16)))</f>
        <v/>
      </c>
      <c r="C16" s="44">
        <f>IF($A16="","",SUMIFS('01_予約入力'!$X$5:$X$204,'01_予約入力'!$B$5:$B$204,$A16,'01_予約入力'!$G$5:$G$204,"&gt;="&amp;DATE(YEAR($B$3),MONTH($B$3),1),'01_予約入力'!$G$5:$G$204,"&lt;="&amp;EOMONTH($B$3,0)))</f>
        <v/>
      </c>
      <c r="D16" s="44">
        <f>IF(OR($A16="",$B16=""),"",$B16-$C16)</f>
        <v/>
      </c>
      <c r="E16" s="44">
        <f>IF($A16="","",IF($B16="","（管理しない）",IF($D16&lt;0,"⚠ 超過",IF($D16=0,"上限ちょうど",IF($D16&lt;=1,"残りわずか","OK")))))</f>
        <v/>
      </c>
    </row>
    <row r="17">
      <c r="A17" s="48">
        <f>IF(COUNTA('利用者マスタ'!$A$4:$A$60)&gt;=12,INDEX('利用者マスタ'!$A$4:$A$60,12),"")</f>
        <v/>
      </c>
      <c r="B17" s="44">
        <f>IF($A17="","",IF(SUMPRODUCT(('利用者マスタ'!$A$4:$A$60=$A17)*('利用者マスタ'!$B$4:$B$60&lt;&gt;""))=0,"",SUMIFS('利用者マスタ'!$B$4:$B$60,'利用者マスタ'!$A$4:$A$60,$A17)))</f>
        <v/>
      </c>
      <c r="C17" s="44">
        <f>IF($A17="","",SUMIFS('01_予約入力'!$X$5:$X$204,'01_予約入力'!$B$5:$B$204,$A17,'01_予約入力'!$G$5:$G$204,"&gt;="&amp;DATE(YEAR($B$3),MONTH($B$3),1),'01_予約入力'!$G$5:$G$204,"&lt;="&amp;EOMONTH($B$3,0)))</f>
        <v/>
      </c>
      <c r="D17" s="44">
        <f>IF(OR($A17="",$B17=""),"",$B17-$C17)</f>
        <v/>
      </c>
      <c r="E17" s="44">
        <f>IF($A17="","",IF($B17="","（管理しない）",IF($D17&lt;0,"⚠ 超過",IF($D17=0,"上限ちょうど",IF($D17&lt;=1,"残りわずか","OK")))))</f>
        <v/>
      </c>
    </row>
    <row r="18">
      <c r="A18" s="48">
        <f>IF(COUNTA('利用者マスタ'!$A$4:$A$60)&gt;=13,INDEX('利用者マスタ'!$A$4:$A$60,13),"")</f>
        <v/>
      </c>
      <c r="B18" s="44">
        <f>IF($A18="","",IF(SUMPRODUCT(('利用者マスタ'!$A$4:$A$60=$A18)*('利用者マスタ'!$B$4:$B$60&lt;&gt;""))=0,"",SUMIFS('利用者マスタ'!$B$4:$B$60,'利用者マスタ'!$A$4:$A$60,$A18)))</f>
        <v/>
      </c>
      <c r="C18" s="44">
        <f>IF($A18="","",SUMIFS('01_予約入力'!$X$5:$X$204,'01_予約入力'!$B$5:$B$204,$A18,'01_予約入力'!$G$5:$G$204,"&gt;="&amp;DATE(YEAR($B$3),MONTH($B$3),1),'01_予約入力'!$G$5:$G$204,"&lt;="&amp;EOMONTH($B$3,0)))</f>
        <v/>
      </c>
      <c r="D18" s="44">
        <f>IF(OR($A18="",$B18=""),"",$B18-$C18)</f>
        <v/>
      </c>
      <c r="E18" s="44">
        <f>IF($A18="","",IF($B18="","（管理しない）",IF($D18&lt;0,"⚠ 超過",IF($D18=0,"上限ちょうど",IF($D18&lt;=1,"残りわずか","OK")))))</f>
        <v/>
      </c>
    </row>
    <row r="19">
      <c r="A19" s="48">
        <f>IF(COUNTA('利用者マスタ'!$A$4:$A$60)&gt;=14,INDEX('利用者マスタ'!$A$4:$A$60,14),"")</f>
        <v/>
      </c>
      <c r="B19" s="44">
        <f>IF($A19="","",IF(SUMPRODUCT(('利用者マスタ'!$A$4:$A$60=$A19)*('利用者マスタ'!$B$4:$B$60&lt;&gt;""))=0,"",SUMIFS('利用者マスタ'!$B$4:$B$60,'利用者マスタ'!$A$4:$A$60,$A19)))</f>
        <v/>
      </c>
      <c r="C19" s="44">
        <f>IF($A19="","",SUMIFS('01_予約入力'!$X$5:$X$204,'01_予約入力'!$B$5:$B$204,$A19,'01_予約入力'!$G$5:$G$204,"&gt;="&amp;DATE(YEAR($B$3),MONTH($B$3),1),'01_予約入力'!$G$5:$G$204,"&lt;="&amp;EOMONTH($B$3,0)))</f>
        <v/>
      </c>
      <c r="D19" s="44">
        <f>IF(OR($A19="",$B19=""),"",$B19-$C19)</f>
        <v/>
      </c>
      <c r="E19" s="44">
        <f>IF($A19="","",IF($B19="","（管理しない）",IF($D19&lt;0,"⚠ 超過",IF($D19=0,"上限ちょうど",IF($D19&lt;=1,"残りわずか","OK")))))</f>
        <v/>
      </c>
    </row>
    <row r="20">
      <c r="A20" s="48">
        <f>IF(COUNTA('利用者マスタ'!$A$4:$A$60)&gt;=15,INDEX('利用者マスタ'!$A$4:$A$60,15),"")</f>
        <v/>
      </c>
      <c r="B20" s="44">
        <f>IF($A20="","",IF(SUMPRODUCT(('利用者マスタ'!$A$4:$A$60=$A20)*('利用者マスタ'!$B$4:$B$60&lt;&gt;""))=0,"",SUMIFS('利用者マスタ'!$B$4:$B$60,'利用者マスタ'!$A$4:$A$60,$A20)))</f>
        <v/>
      </c>
      <c r="C20" s="44">
        <f>IF($A20="","",SUMIFS('01_予約入力'!$X$5:$X$204,'01_予約入力'!$B$5:$B$204,$A20,'01_予約入力'!$G$5:$G$204,"&gt;="&amp;DATE(YEAR($B$3),MONTH($B$3),1),'01_予約入力'!$G$5:$G$204,"&lt;="&amp;EOMONTH($B$3,0)))</f>
        <v/>
      </c>
      <c r="D20" s="44">
        <f>IF(OR($A20="",$B20=""),"",$B20-$C20)</f>
        <v/>
      </c>
      <c r="E20" s="44">
        <f>IF($A20="","",IF($B20="","（管理しない）",IF($D20&lt;0,"⚠ 超過",IF($D20=0,"上限ちょうど",IF($D20&lt;=1,"残りわずか","OK")))))</f>
        <v/>
      </c>
    </row>
    <row r="21">
      <c r="A21" s="48">
        <f>IF(COUNTA('利用者マスタ'!$A$4:$A$60)&gt;=16,INDEX('利用者マスタ'!$A$4:$A$60,16),"")</f>
        <v/>
      </c>
      <c r="B21" s="44">
        <f>IF($A21="","",IF(SUMPRODUCT(('利用者マスタ'!$A$4:$A$60=$A21)*('利用者マスタ'!$B$4:$B$60&lt;&gt;""))=0,"",SUMIFS('利用者マスタ'!$B$4:$B$60,'利用者マスタ'!$A$4:$A$60,$A21)))</f>
        <v/>
      </c>
      <c r="C21" s="44">
        <f>IF($A21="","",SUMIFS('01_予約入力'!$X$5:$X$204,'01_予約入力'!$B$5:$B$204,$A21,'01_予約入力'!$G$5:$G$204,"&gt;="&amp;DATE(YEAR($B$3),MONTH($B$3),1),'01_予約入力'!$G$5:$G$204,"&lt;="&amp;EOMONTH($B$3,0)))</f>
        <v/>
      </c>
      <c r="D21" s="44">
        <f>IF(OR($A21="",$B21=""),"",$B21-$C21)</f>
        <v/>
      </c>
      <c r="E21" s="44">
        <f>IF($A21="","",IF($B21="","（管理しない）",IF($D21&lt;0,"⚠ 超過",IF($D21=0,"上限ちょうど",IF($D21&lt;=1,"残りわずか","OK")))))</f>
        <v/>
      </c>
    </row>
    <row r="22">
      <c r="A22" s="48">
        <f>IF(COUNTA('利用者マスタ'!$A$4:$A$60)&gt;=17,INDEX('利用者マスタ'!$A$4:$A$60,17),"")</f>
        <v/>
      </c>
      <c r="B22" s="44">
        <f>IF($A22="","",IF(SUMPRODUCT(('利用者マスタ'!$A$4:$A$60=$A22)*('利用者マスタ'!$B$4:$B$60&lt;&gt;""))=0,"",SUMIFS('利用者マスタ'!$B$4:$B$60,'利用者マスタ'!$A$4:$A$60,$A22)))</f>
        <v/>
      </c>
      <c r="C22" s="44">
        <f>IF($A22="","",SUMIFS('01_予約入力'!$X$5:$X$204,'01_予約入力'!$B$5:$B$204,$A22,'01_予約入力'!$G$5:$G$204,"&gt;="&amp;DATE(YEAR($B$3),MONTH($B$3),1),'01_予約入力'!$G$5:$G$204,"&lt;="&amp;EOMONTH($B$3,0)))</f>
        <v/>
      </c>
      <c r="D22" s="44">
        <f>IF(OR($A22="",$B22=""),"",$B22-$C22)</f>
        <v/>
      </c>
      <c r="E22" s="44">
        <f>IF($A22="","",IF($B22="","（管理しない）",IF($D22&lt;0,"⚠ 超過",IF($D22=0,"上限ちょうど",IF($D22&lt;=1,"残りわずか","OK")))))</f>
        <v/>
      </c>
    </row>
    <row r="23">
      <c r="A23" s="48">
        <f>IF(COUNTA('利用者マスタ'!$A$4:$A$60)&gt;=18,INDEX('利用者マスタ'!$A$4:$A$60,18),"")</f>
        <v/>
      </c>
      <c r="B23" s="44">
        <f>IF($A23="","",IF(SUMPRODUCT(('利用者マスタ'!$A$4:$A$60=$A23)*('利用者マスタ'!$B$4:$B$60&lt;&gt;""))=0,"",SUMIFS('利用者マスタ'!$B$4:$B$60,'利用者マスタ'!$A$4:$A$60,$A23)))</f>
        <v/>
      </c>
      <c r="C23" s="44">
        <f>IF($A23="","",SUMIFS('01_予約入力'!$X$5:$X$204,'01_予約入力'!$B$5:$B$204,$A23,'01_予約入力'!$G$5:$G$204,"&gt;="&amp;DATE(YEAR($B$3),MONTH($B$3),1),'01_予約入力'!$G$5:$G$204,"&lt;="&amp;EOMONTH($B$3,0)))</f>
        <v/>
      </c>
      <c r="D23" s="44">
        <f>IF(OR($A23="",$B23=""),"",$B23-$C23)</f>
        <v/>
      </c>
      <c r="E23" s="44">
        <f>IF($A23="","",IF($B23="","（管理しない）",IF($D23&lt;0,"⚠ 超過",IF($D23=0,"上限ちょうど",IF($D23&lt;=1,"残りわずか","OK")))))</f>
        <v/>
      </c>
    </row>
    <row r="24">
      <c r="A24" s="48">
        <f>IF(COUNTA('利用者マスタ'!$A$4:$A$60)&gt;=19,INDEX('利用者マスタ'!$A$4:$A$60,19),"")</f>
        <v/>
      </c>
      <c r="B24" s="44">
        <f>IF($A24="","",IF(SUMPRODUCT(('利用者マスタ'!$A$4:$A$60=$A24)*('利用者マスタ'!$B$4:$B$60&lt;&gt;""))=0,"",SUMIFS('利用者マスタ'!$B$4:$B$60,'利用者マスタ'!$A$4:$A$60,$A24)))</f>
        <v/>
      </c>
      <c r="C24" s="44">
        <f>IF($A24="","",SUMIFS('01_予約入力'!$X$5:$X$204,'01_予約入力'!$B$5:$B$204,$A24,'01_予約入力'!$G$5:$G$204,"&gt;="&amp;DATE(YEAR($B$3),MONTH($B$3),1),'01_予約入力'!$G$5:$G$204,"&lt;="&amp;EOMONTH($B$3,0)))</f>
        <v/>
      </c>
      <c r="D24" s="44">
        <f>IF(OR($A24="",$B24=""),"",$B24-$C24)</f>
        <v/>
      </c>
      <c r="E24" s="44">
        <f>IF($A24="","",IF($B24="","（管理しない）",IF($D24&lt;0,"⚠ 超過",IF($D24=0,"上限ちょうど",IF($D24&lt;=1,"残りわずか","OK")))))</f>
        <v/>
      </c>
    </row>
    <row r="25">
      <c r="A25" s="48">
        <f>IF(COUNTA('利用者マスタ'!$A$4:$A$60)&gt;=20,INDEX('利用者マスタ'!$A$4:$A$60,20),"")</f>
        <v/>
      </c>
      <c r="B25" s="44">
        <f>IF($A25="","",IF(SUMPRODUCT(('利用者マスタ'!$A$4:$A$60=$A25)*('利用者マスタ'!$B$4:$B$60&lt;&gt;""))=0,"",SUMIFS('利用者マスタ'!$B$4:$B$60,'利用者マスタ'!$A$4:$A$60,$A25)))</f>
        <v/>
      </c>
      <c r="C25" s="44">
        <f>IF($A25="","",SUMIFS('01_予約入力'!$X$5:$X$204,'01_予約入力'!$B$5:$B$204,$A25,'01_予約入力'!$G$5:$G$204,"&gt;="&amp;DATE(YEAR($B$3),MONTH($B$3),1),'01_予約入力'!$G$5:$G$204,"&lt;="&amp;EOMONTH($B$3,0)))</f>
        <v/>
      </c>
      <c r="D25" s="44">
        <f>IF(OR($A25="",$B25=""),"",$B25-$C25)</f>
        <v/>
      </c>
      <c r="E25" s="44">
        <f>IF($A25="","",IF($B25="","（管理しない）",IF($D25&lt;0,"⚠ 超過",IF($D25=0,"上限ちょうど",IF($D25&lt;=1,"残りわずか","OK")))))</f>
        <v/>
      </c>
    </row>
    <row r="26">
      <c r="A26" s="48">
        <f>IF(COUNTA('利用者マスタ'!$A$4:$A$60)&gt;=21,INDEX('利用者マスタ'!$A$4:$A$60,21),"")</f>
        <v/>
      </c>
      <c r="B26" s="44">
        <f>IF($A26="","",IF(SUMPRODUCT(('利用者マスタ'!$A$4:$A$60=$A26)*('利用者マスタ'!$B$4:$B$60&lt;&gt;""))=0,"",SUMIFS('利用者マスタ'!$B$4:$B$60,'利用者マスタ'!$A$4:$A$60,$A26)))</f>
        <v/>
      </c>
      <c r="C26" s="44">
        <f>IF($A26="","",SUMIFS('01_予約入力'!$X$5:$X$204,'01_予約入力'!$B$5:$B$204,$A26,'01_予約入力'!$G$5:$G$204,"&gt;="&amp;DATE(YEAR($B$3),MONTH($B$3),1),'01_予約入力'!$G$5:$G$204,"&lt;="&amp;EOMONTH($B$3,0)))</f>
        <v/>
      </c>
      <c r="D26" s="44">
        <f>IF(OR($A26="",$B26=""),"",$B26-$C26)</f>
        <v/>
      </c>
      <c r="E26" s="44">
        <f>IF($A26="","",IF($B26="","（管理しない）",IF($D26&lt;0,"⚠ 超過",IF($D26=0,"上限ちょうど",IF($D26&lt;=1,"残りわずか","OK")))))</f>
        <v/>
      </c>
    </row>
    <row r="27">
      <c r="A27" s="48">
        <f>IF(COUNTA('利用者マスタ'!$A$4:$A$60)&gt;=22,INDEX('利用者マスタ'!$A$4:$A$60,22),"")</f>
        <v/>
      </c>
      <c r="B27" s="44">
        <f>IF($A27="","",IF(SUMPRODUCT(('利用者マスタ'!$A$4:$A$60=$A27)*('利用者マスタ'!$B$4:$B$60&lt;&gt;""))=0,"",SUMIFS('利用者マスタ'!$B$4:$B$60,'利用者マスタ'!$A$4:$A$60,$A27)))</f>
        <v/>
      </c>
      <c r="C27" s="44">
        <f>IF($A27="","",SUMIFS('01_予約入力'!$X$5:$X$204,'01_予約入力'!$B$5:$B$204,$A27,'01_予約入力'!$G$5:$G$204,"&gt;="&amp;DATE(YEAR($B$3),MONTH($B$3),1),'01_予約入力'!$G$5:$G$204,"&lt;="&amp;EOMONTH($B$3,0)))</f>
        <v/>
      </c>
      <c r="D27" s="44">
        <f>IF(OR($A27="",$B27=""),"",$B27-$C27)</f>
        <v/>
      </c>
      <c r="E27" s="44">
        <f>IF($A27="","",IF($B27="","（管理しない）",IF($D27&lt;0,"⚠ 超過",IF($D27=0,"上限ちょうど",IF($D27&lt;=1,"残りわずか","OK")))))</f>
        <v/>
      </c>
    </row>
    <row r="28">
      <c r="A28" s="48">
        <f>IF(COUNTA('利用者マスタ'!$A$4:$A$60)&gt;=23,INDEX('利用者マスタ'!$A$4:$A$60,23),"")</f>
        <v/>
      </c>
      <c r="B28" s="44">
        <f>IF($A28="","",IF(SUMPRODUCT(('利用者マスタ'!$A$4:$A$60=$A28)*('利用者マスタ'!$B$4:$B$60&lt;&gt;""))=0,"",SUMIFS('利用者マスタ'!$B$4:$B$60,'利用者マスタ'!$A$4:$A$60,$A28)))</f>
        <v/>
      </c>
      <c r="C28" s="44">
        <f>IF($A28="","",SUMIFS('01_予約入力'!$X$5:$X$204,'01_予約入力'!$B$5:$B$204,$A28,'01_予約入力'!$G$5:$G$204,"&gt;="&amp;DATE(YEAR($B$3),MONTH($B$3),1),'01_予約入力'!$G$5:$G$204,"&lt;="&amp;EOMONTH($B$3,0)))</f>
        <v/>
      </c>
      <c r="D28" s="44">
        <f>IF(OR($A28="",$B28=""),"",$B28-$C28)</f>
        <v/>
      </c>
      <c r="E28" s="44">
        <f>IF($A28="","",IF($B28="","（管理しない）",IF($D28&lt;0,"⚠ 超過",IF($D28=0,"上限ちょうど",IF($D28&lt;=1,"残りわずか","OK")))))</f>
        <v/>
      </c>
    </row>
    <row r="29">
      <c r="A29" s="48">
        <f>IF(COUNTA('利用者マスタ'!$A$4:$A$60)&gt;=24,INDEX('利用者マスタ'!$A$4:$A$60,24),"")</f>
        <v/>
      </c>
      <c r="B29" s="44">
        <f>IF($A29="","",IF(SUMPRODUCT(('利用者マスタ'!$A$4:$A$60=$A29)*('利用者マスタ'!$B$4:$B$60&lt;&gt;""))=0,"",SUMIFS('利用者マスタ'!$B$4:$B$60,'利用者マスタ'!$A$4:$A$60,$A29)))</f>
        <v/>
      </c>
      <c r="C29" s="44">
        <f>IF($A29="","",SUMIFS('01_予約入力'!$X$5:$X$204,'01_予約入力'!$B$5:$B$204,$A29,'01_予約入力'!$G$5:$G$204,"&gt;="&amp;DATE(YEAR($B$3),MONTH($B$3),1),'01_予約入力'!$G$5:$G$204,"&lt;="&amp;EOMONTH($B$3,0)))</f>
        <v/>
      </c>
      <c r="D29" s="44">
        <f>IF(OR($A29="",$B29=""),"",$B29-$C29)</f>
        <v/>
      </c>
      <c r="E29" s="44">
        <f>IF($A29="","",IF($B29="","（管理しない）",IF($D29&lt;0,"⚠ 超過",IF($D29=0,"上限ちょうど",IF($D29&lt;=1,"残りわずか","OK")))))</f>
        <v/>
      </c>
    </row>
    <row r="30">
      <c r="A30" s="48">
        <f>IF(COUNTA('利用者マスタ'!$A$4:$A$60)&gt;=25,INDEX('利用者マスタ'!$A$4:$A$60,25),"")</f>
        <v/>
      </c>
      <c r="B30" s="44">
        <f>IF($A30="","",IF(SUMPRODUCT(('利用者マスタ'!$A$4:$A$60=$A30)*('利用者マスタ'!$B$4:$B$60&lt;&gt;""))=0,"",SUMIFS('利用者マスタ'!$B$4:$B$60,'利用者マスタ'!$A$4:$A$60,$A30)))</f>
        <v/>
      </c>
      <c r="C30" s="44">
        <f>IF($A30="","",SUMIFS('01_予約入力'!$X$5:$X$204,'01_予約入力'!$B$5:$B$204,$A30,'01_予約入力'!$G$5:$G$204,"&gt;="&amp;DATE(YEAR($B$3),MONTH($B$3),1),'01_予約入力'!$G$5:$G$204,"&lt;="&amp;EOMONTH($B$3,0)))</f>
        <v/>
      </c>
      <c r="D30" s="44">
        <f>IF(OR($A30="",$B30=""),"",$B30-$C30)</f>
        <v/>
      </c>
      <c r="E30" s="44">
        <f>IF($A30="","",IF($B30="","（管理しない）",IF($D30&lt;0,"⚠ 超過",IF($D30=0,"上限ちょうど",IF($D30&lt;=1,"残りわずか","OK")))))</f>
        <v/>
      </c>
    </row>
    <row r="31">
      <c r="A31" s="48">
        <f>IF(COUNTA('利用者マスタ'!$A$4:$A$60)&gt;=26,INDEX('利用者マスタ'!$A$4:$A$60,26),"")</f>
        <v/>
      </c>
      <c r="B31" s="44">
        <f>IF($A31="","",IF(SUMPRODUCT(('利用者マスタ'!$A$4:$A$60=$A31)*('利用者マスタ'!$B$4:$B$60&lt;&gt;""))=0,"",SUMIFS('利用者マスタ'!$B$4:$B$60,'利用者マスタ'!$A$4:$A$60,$A31)))</f>
        <v/>
      </c>
      <c r="C31" s="44">
        <f>IF($A31="","",SUMIFS('01_予約入力'!$X$5:$X$204,'01_予約入力'!$B$5:$B$204,$A31,'01_予約入力'!$G$5:$G$204,"&gt;="&amp;DATE(YEAR($B$3),MONTH($B$3),1),'01_予約入力'!$G$5:$G$204,"&lt;="&amp;EOMONTH($B$3,0)))</f>
        <v/>
      </c>
      <c r="D31" s="44">
        <f>IF(OR($A31="",$B31=""),"",$B31-$C31)</f>
        <v/>
      </c>
      <c r="E31" s="44">
        <f>IF($A31="","",IF($B31="","（管理しない）",IF($D31&lt;0,"⚠ 超過",IF($D31=0,"上限ちょうど",IF($D31&lt;=1,"残りわずか","OK")))))</f>
        <v/>
      </c>
    </row>
    <row r="32">
      <c r="A32" s="48">
        <f>IF(COUNTA('利用者マスタ'!$A$4:$A$60)&gt;=27,INDEX('利用者マスタ'!$A$4:$A$60,27),"")</f>
        <v/>
      </c>
      <c r="B32" s="44">
        <f>IF($A32="","",IF(SUMPRODUCT(('利用者マスタ'!$A$4:$A$60=$A32)*('利用者マスタ'!$B$4:$B$60&lt;&gt;""))=0,"",SUMIFS('利用者マスタ'!$B$4:$B$60,'利用者マスタ'!$A$4:$A$60,$A32)))</f>
        <v/>
      </c>
      <c r="C32" s="44">
        <f>IF($A32="","",SUMIFS('01_予約入力'!$X$5:$X$204,'01_予約入力'!$B$5:$B$204,$A32,'01_予約入力'!$G$5:$G$204,"&gt;="&amp;DATE(YEAR($B$3),MONTH($B$3),1),'01_予約入力'!$G$5:$G$204,"&lt;="&amp;EOMONTH($B$3,0)))</f>
        <v/>
      </c>
      <c r="D32" s="44">
        <f>IF(OR($A32="",$B32=""),"",$B32-$C32)</f>
        <v/>
      </c>
      <c r="E32" s="44">
        <f>IF($A32="","",IF($B32="","（管理しない）",IF($D32&lt;0,"⚠ 超過",IF($D32=0,"上限ちょうど",IF($D32&lt;=1,"残りわずか","OK")))))</f>
        <v/>
      </c>
    </row>
    <row r="33">
      <c r="A33" s="48">
        <f>IF(COUNTA('利用者マスタ'!$A$4:$A$60)&gt;=28,INDEX('利用者マスタ'!$A$4:$A$60,28),"")</f>
        <v/>
      </c>
      <c r="B33" s="44">
        <f>IF($A33="","",IF(SUMPRODUCT(('利用者マスタ'!$A$4:$A$60=$A33)*('利用者マスタ'!$B$4:$B$60&lt;&gt;""))=0,"",SUMIFS('利用者マスタ'!$B$4:$B$60,'利用者マスタ'!$A$4:$A$60,$A33)))</f>
        <v/>
      </c>
      <c r="C33" s="44">
        <f>IF($A33="","",SUMIFS('01_予約入力'!$X$5:$X$204,'01_予約入力'!$B$5:$B$204,$A33,'01_予約入力'!$G$5:$G$204,"&gt;="&amp;DATE(YEAR($B$3),MONTH($B$3),1),'01_予約入力'!$G$5:$G$204,"&lt;="&amp;EOMONTH($B$3,0)))</f>
        <v/>
      </c>
      <c r="D33" s="44">
        <f>IF(OR($A33="",$B33=""),"",$B33-$C33)</f>
        <v/>
      </c>
      <c r="E33" s="44">
        <f>IF($A33="","",IF($B33="","（管理しない）",IF($D33&lt;0,"⚠ 超過",IF($D33=0,"上限ちょうど",IF($D33&lt;=1,"残りわずか","OK")))))</f>
        <v/>
      </c>
    </row>
    <row r="34">
      <c r="A34" s="48">
        <f>IF(COUNTA('利用者マスタ'!$A$4:$A$60)&gt;=29,INDEX('利用者マスタ'!$A$4:$A$60,29),"")</f>
        <v/>
      </c>
      <c r="B34" s="44">
        <f>IF($A34="","",IF(SUMPRODUCT(('利用者マスタ'!$A$4:$A$60=$A34)*('利用者マスタ'!$B$4:$B$60&lt;&gt;""))=0,"",SUMIFS('利用者マスタ'!$B$4:$B$60,'利用者マスタ'!$A$4:$A$60,$A34)))</f>
        <v/>
      </c>
      <c r="C34" s="44">
        <f>IF($A34="","",SUMIFS('01_予約入力'!$X$5:$X$204,'01_予約入力'!$B$5:$B$204,$A34,'01_予約入力'!$G$5:$G$204,"&gt;="&amp;DATE(YEAR($B$3),MONTH($B$3),1),'01_予約入力'!$G$5:$G$204,"&lt;="&amp;EOMONTH($B$3,0)))</f>
        <v/>
      </c>
      <c r="D34" s="44">
        <f>IF(OR($A34="",$B34=""),"",$B34-$C34)</f>
        <v/>
      </c>
      <c r="E34" s="44">
        <f>IF($A34="","",IF($B34="","（管理しない）",IF($D34&lt;0,"⚠ 超過",IF($D34=0,"上限ちょうど",IF($D34&lt;=1,"残りわずか","OK")))))</f>
        <v/>
      </c>
    </row>
    <row r="35">
      <c r="A35" s="48">
        <f>IF(COUNTA('利用者マスタ'!$A$4:$A$60)&gt;=30,INDEX('利用者マスタ'!$A$4:$A$60,30),"")</f>
        <v/>
      </c>
      <c r="B35" s="44">
        <f>IF($A35="","",IF(SUMPRODUCT(('利用者マスタ'!$A$4:$A$60=$A35)*('利用者マスタ'!$B$4:$B$60&lt;&gt;""))=0,"",SUMIFS('利用者マスタ'!$B$4:$B$60,'利用者マスタ'!$A$4:$A$60,$A35)))</f>
        <v/>
      </c>
      <c r="C35" s="44">
        <f>IF($A35="","",SUMIFS('01_予約入力'!$X$5:$X$204,'01_予約入力'!$B$5:$B$204,$A35,'01_予約入力'!$G$5:$G$204,"&gt;="&amp;DATE(YEAR($B$3),MONTH($B$3),1),'01_予約入力'!$G$5:$G$204,"&lt;="&amp;EOMONTH($B$3,0)))</f>
        <v/>
      </c>
      <c r="D35" s="44">
        <f>IF(OR($A35="",$B35=""),"",$B35-$C35)</f>
        <v/>
      </c>
      <c r="E35" s="44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54">
        <f>TEXT('02_カレンダー'!$B$4,"yyyy年m月")&amp;"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02_カレンダー で変更します"</f>
        <v/>
      </c>
    </row>
    <row r="6">
      <c r="A6" s="27" t="inlineStr">
        <is>
          <t>日</t>
        </is>
      </c>
      <c r="B6" s="55">
        <f>IF('04_月間表'!$A7="","",DAY('04_月間表'!$A7))</f>
        <v/>
      </c>
      <c r="C6" s="55">
        <f>IF('04_月間表'!$A8="","",DAY('04_月間表'!$A8))</f>
        <v/>
      </c>
      <c r="D6" s="55">
        <f>IF('04_月間表'!$A9="","",DAY('04_月間表'!$A9))</f>
        <v/>
      </c>
      <c r="E6" s="55">
        <f>IF('04_月間表'!$A10="","",DAY('04_月間表'!$A10))</f>
        <v/>
      </c>
      <c r="F6" s="55">
        <f>IF('04_月間表'!$A11="","",DAY('04_月間表'!$A11))</f>
        <v/>
      </c>
      <c r="G6" s="55">
        <f>IF('04_月間表'!$A12="","",DAY('04_月間表'!$A12))</f>
        <v/>
      </c>
      <c r="H6" s="55">
        <f>IF('04_月間表'!$A13="","",DAY('04_月間表'!$A13))</f>
        <v/>
      </c>
      <c r="I6" s="55">
        <f>IF('04_月間表'!$A14="","",DAY('04_月間表'!$A14))</f>
        <v/>
      </c>
      <c r="J6" s="55">
        <f>IF('04_月間表'!$A15="","",DAY('04_月間表'!$A15))</f>
        <v/>
      </c>
      <c r="K6" s="55">
        <f>IF('04_月間表'!$A16="","",DAY('04_月間表'!$A16))</f>
        <v/>
      </c>
      <c r="L6" s="55">
        <f>IF('04_月間表'!$A17="","",DAY('04_月間表'!$A17))</f>
        <v/>
      </c>
      <c r="M6" s="55">
        <f>IF('04_月間表'!$A18="","",DAY('04_月間表'!$A18))</f>
        <v/>
      </c>
      <c r="N6" s="55">
        <f>IF('04_月間表'!$A19="","",DAY('04_月間表'!$A19))</f>
        <v/>
      </c>
      <c r="O6" s="55">
        <f>IF('04_月間表'!$A20="","",DAY('04_月間表'!$A20))</f>
        <v/>
      </c>
      <c r="P6" s="55">
        <f>IF('04_月間表'!$A21="","",DAY('04_月間表'!$A21))</f>
        <v/>
      </c>
      <c r="Q6" s="55">
        <f>IF('04_月間表'!$A22="","",DAY('04_月間表'!$A22))</f>
        <v/>
      </c>
      <c r="R6" s="55">
        <f>IF('04_月間表'!$A23="","",DAY('04_月間表'!$A23))</f>
        <v/>
      </c>
      <c r="S6" s="55">
        <f>IF('04_月間表'!$A24="","",DAY('04_月間表'!$A24))</f>
        <v/>
      </c>
      <c r="T6" s="55">
        <f>IF('04_月間表'!$A25="","",DAY('04_月間表'!$A25))</f>
        <v/>
      </c>
      <c r="U6" s="55">
        <f>IF('04_月間表'!$A26="","",DAY('04_月間表'!$A26))</f>
        <v/>
      </c>
      <c r="V6" s="55">
        <f>IF('04_月間表'!$A27="","",DAY('04_月間表'!$A27))</f>
        <v/>
      </c>
      <c r="W6" s="55">
        <f>IF('04_月間表'!$A28="","",DAY('04_月間表'!$A28))</f>
        <v/>
      </c>
      <c r="X6" s="55">
        <f>IF('04_月間表'!$A29="","",DAY('04_月間表'!$A29))</f>
        <v/>
      </c>
      <c r="Y6" s="55">
        <f>IF('04_月間表'!$A30="","",DAY('04_月間表'!$A30))</f>
        <v/>
      </c>
      <c r="Z6" s="55">
        <f>IF('04_月間表'!$A31="","",DAY('04_月間表'!$A31))</f>
        <v/>
      </c>
      <c r="AA6" s="55">
        <f>IF('04_月間表'!$A32="","",DAY('04_月間表'!$A32))</f>
        <v/>
      </c>
      <c r="AB6" s="55">
        <f>IF('04_月間表'!$A33="","",DAY('04_月間表'!$A33))</f>
        <v/>
      </c>
      <c r="AC6" s="55">
        <f>IF('04_月間表'!$A34="","",DAY('04_月間表'!$A34))</f>
        <v/>
      </c>
      <c r="AD6" s="55">
        <f>IF('04_月間表'!$A35="","",DAY('04_月間表'!$A35))</f>
        <v/>
      </c>
      <c r="AE6" s="55">
        <f>IF('04_月間表'!$A36="","",DAY('04_月間表'!$A36))</f>
        <v/>
      </c>
      <c r="AF6" s="55">
        <f>IF('04_月間表'!$A37="","",DAY('04_月間表'!$A37))</f>
        <v/>
      </c>
    </row>
    <row r="7">
      <c r="A7" s="27" t="inlineStr">
        <is>
          <t>曜日</t>
        </is>
      </c>
      <c r="B7" s="55">
        <f>IF('04_月間表'!$A7="","",'04_月間表'!$B7)</f>
        <v/>
      </c>
      <c r="C7" s="55">
        <f>IF('04_月間表'!$A8="","",'04_月間表'!$B8)</f>
        <v/>
      </c>
      <c r="D7" s="55">
        <f>IF('04_月間表'!$A9="","",'04_月間表'!$B9)</f>
        <v/>
      </c>
      <c r="E7" s="55">
        <f>IF('04_月間表'!$A10="","",'04_月間表'!$B10)</f>
        <v/>
      </c>
      <c r="F7" s="55">
        <f>IF('04_月間表'!$A11="","",'04_月間表'!$B11)</f>
        <v/>
      </c>
      <c r="G7" s="55">
        <f>IF('04_月間表'!$A12="","",'04_月間表'!$B12)</f>
        <v/>
      </c>
      <c r="H7" s="55">
        <f>IF('04_月間表'!$A13="","",'04_月間表'!$B13)</f>
        <v/>
      </c>
      <c r="I7" s="55">
        <f>IF('04_月間表'!$A14="","",'04_月間表'!$B14)</f>
        <v/>
      </c>
      <c r="J7" s="55">
        <f>IF('04_月間表'!$A15="","",'04_月間表'!$B15)</f>
        <v/>
      </c>
      <c r="K7" s="55">
        <f>IF('04_月間表'!$A16="","",'04_月間表'!$B16)</f>
        <v/>
      </c>
      <c r="L7" s="55">
        <f>IF('04_月間表'!$A17="","",'04_月間表'!$B17)</f>
        <v/>
      </c>
      <c r="M7" s="55">
        <f>IF('04_月間表'!$A18="","",'04_月間表'!$B18)</f>
        <v/>
      </c>
      <c r="N7" s="55">
        <f>IF('04_月間表'!$A19="","",'04_月間表'!$B19)</f>
        <v/>
      </c>
      <c r="O7" s="55">
        <f>IF('04_月間表'!$A20="","",'04_月間表'!$B20)</f>
        <v/>
      </c>
      <c r="P7" s="55">
        <f>IF('04_月間表'!$A21="","",'04_月間表'!$B21)</f>
        <v/>
      </c>
      <c r="Q7" s="55">
        <f>IF('04_月間表'!$A22="","",'04_月間表'!$B22)</f>
        <v/>
      </c>
      <c r="R7" s="55">
        <f>IF('04_月間表'!$A23="","",'04_月間表'!$B23)</f>
        <v/>
      </c>
      <c r="S7" s="55">
        <f>IF('04_月間表'!$A24="","",'04_月間表'!$B24)</f>
        <v/>
      </c>
      <c r="T7" s="55">
        <f>IF('04_月間表'!$A25="","",'04_月間表'!$B25)</f>
        <v/>
      </c>
      <c r="U7" s="55">
        <f>IF('04_月間表'!$A26="","",'04_月間表'!$B26)</f>
        <v/>
      </c>
      <c r="V7" s="55">
        <f>IF('04_月間表'!$A27="","",'04_月間表'!$B27)</f>
        <v/>
      </c>
      <c r="W7" s="55">
        <f>IF('04_月間表'!$A28="","",'04_月間表'!$B28)</f>
        <v/>
      </c>
      <c r="X7" s="55">
        <f>IF('04_月間表'!$A29="","",'04_月間表'!$B29)</f>
        <v/>
      </c>
      <c r="Y7" s="55">
        <f>IF('04_月間表'!$A30="","",'04_月間表'!$B30)</f>
        <v/>
      </c>
      <c r="Z7" s="55">
        <f>IF('04_月間表'!$A31="","",'04_月間表'!$B31)</f>
        <v/>
      </c>
      <c r="AA7" s="55">
        <f>IF('04_月間表'!$A32="","",'04_月間表'!$B32)</f>
        <v/>
      </c>
      <c r="AB7" s="55">
        <f>IF('04_月間表'!$A33="","",'04_月間表'!$B33)</f>
        <v/>
      </c>
      <c r="AC7" s="55">
        <f>IF('04_月間表'!$A34="","",'04_月間表'!$B34)</f>
        <v/>
      </c>
      <c r="AD7" s="55">
        <f>IF('04_月間表'!$A35="","",'04_月間表'!$B35)</f>
        <v/>
      </c>
      <c r="AE7" s="55">
        <f>IF('04_月間表'!$A36="","",'04_月間表'!$B36)</f>
        <v/>
      </c>
      <c r="AF7" s="55">
        <f>IF('04_月間表'!$A37="","",'04_月間表'!$B37)</f>
        <v/>
      </c>
    </row>
    <row r="8">
      <c r="A8" s="27" t="inlineStr">
        <is>
          <t>空き状況</t>
        </is>
      </c>
      <c r="B8" s="56">
        <f>IF('04_月間表'!$A7="","",'04_月間表'!$J7)</f>
        <v/>
      </c>
      <c r="C8" s="56">
        <f>IF('04_月間表'!$A8="","",'04_月間表'!$J8)</f>
        <v/>
      </c>
      <c r="D8" s="56">
        <f>IF('04_月間表'!$A9="","",'04_月間表'!$J9)</f>
        <v/>
      </c>
      <c r="E8" s="56">
        <f>IF('04_月間表'!$A10="","",'04_月間表'!$J10)</f>
        <v/>
      </c>
      <c r="F8" s="56">
        <f>IF('04_月間表'!$A11="","",'04_月間表'!$J11)</f>
        <v/>
      </c>
      <c r="G8" s="56">
        <f>IF('04_月間表'!$A12="","",'04_月間表'!$J12)</f>
        <v/>
      </c>
      <c r="H8" s="56">
        <f>IF('04_月間表'!$A13="","",'04_月間表'!$J13)</f>
        <v/>
      </c>
      <c r="I8" s="56">
        <f>IF('04_月間表'!$A14="","",'04_月間表'!$J14)</f>
        <v/>
      </c>
      <c r="J8" s="56">
        <f>IF('04_月間表'!$A15="","",'04_月間表'!$J15)</f>
        <v/>
      </c>
      <c r="K8" s="56">
        <f>IF('04_月間表'!$A16="","",'04_月間表'!$J16)</f>
        <v/>
      </c>
      <c r="L8" s="56">
        <f>IF('04_月間表'!$A17="","",'04_月間表'!$J17)</f>
        <v/>
      </c>
      <c r="M8" s="56">
        <f>IF('04_月間表'!$A18="","",'04_月間表'!$J18)</f>
        <v/>
      </c>
      <c r="N8" s="56">
        <f>IF('04_月間表'!$A19="","",'04_月間表'!$J19)</f>
        <v/>
      </c>
      <c r="O8" s="56">
        <f>IF('04_月間表'!$A20="","",'04_月間表'!$J20)</f>
        <v/>
      </c>
      <c r="P8" s="56">
        <f>IF('04_月間表'!$A21="","",'04_月間表'!$J21)</f>
        <v/>
      </c>
      <c r="Q8" s="56">
        <f>IF('04_月間表'!$A22="","",'04_月間表'!$J22)</f>
        <v/>
      </c>
      <c r="R8" s="56">
        <f>IF('04_月間表'!$A23="","",'04_月間表'!$J23)</f>
        <v/>
      </c>
      <c r="S8" s="56">
        <f>IF('04_月間表'!$A24="","",'04_月間表'!$J24)</f>
        <v/>
      </c>
      <c r="T8" s="56">
        <f>IF('04_月間表'!$A25="","",'04_月間表'!$J25)</f>
        <v/>
      </c>
      <c r="U8" s="56">
        <f>IF('04_月間表'!$A26="","",'04_月間表'!$J26)</f>
        <v/>
      </c>
      <c r="V8" s="56">
        <f>IF('04_月間表'!$A27="","",'04_月間表'!$J27)</f>
        <v/>
      </c>
      <c r="W8" s="56">
        <f>IF('04_月間表'!$A28="","",'04_月間表'!$J28)</f>
        <v/>
      </c>
      <c r="X8" s="56">
        <f>IF('04_月間表'!$A29="","",'04_月間表'!$J29)</f>
        <v/>
      </c>
      <c r="Y8" s="56">
        <f>IF('04_月間表'!$A30="","",'04_月間表'!$J30)</f>
        <v/>
      </c>
      <c r="Z8" s="56">
        <f>IF('04_月間表'!$A31="","",'04_月間表'!$J31)</f>
        <v/>
      </c>
      <c r="AA8" s="56">
        <f>IF('04_月間表'!$A32="","",'04_月間表'!$J32)</f>
        <v/>
      </c>
      <c r="AB8" s="56">
        <f>IF('04_月間表'!$A33="","",'04_月間表'!$J33)</f>
        <v/>
      </c>
      <c r="AC8" s="56">
        <f>IF('04_月間表'!$A34="","",'04_月間表'!$J34)</f>
        <v/>
      </c>
      <c r="AD8" s="56">
        <f>IF('04_月間表'!$A35="","",'04_月間表'!$J35)</f>
        <v/>
      </c>
      <c r="AE8" s="56">
        <f>IF('04_月間表'!$A36="","",'04_月間表'!$J36)</f>
        <v/>
      </c>
      <c r="AF8" s="56">
        <f>IF('04_月間表'!$A37="","",'04_月間表'!$J37)</f>
        <v/>
      </c>
    </row>
    <row r="10">
      <c r="A10" s="19" t="inlineStr">
        <is>
          <t>凡例</t>
        </is>
      </c>
    </row>
    <row r="11">
      <c r="B11" s="57" t="inlineStr">
        <is>
          <t>○</t>
        </is>
      </c>
      <c r="C11" s="2" t="inlineStr">
        <is>
          <t>空室あり</t>
        </is>
      </c>
      <c r="F11" s="57" t="inlineStr">
        <is>
          <t>△</t>
        </is>
      </c>
      <c r="G11" s="2" t="inlineStr">
        <is>
          <t>残りわずか</t>
        </is>
      </c>
      <c r="J11" s="57" t="inlineStr">
        <is>
          <t>仮</t>
        </is>
      </c>
      <c r="K11" s="2" t="inlineStr">
        <is>
          <t>仮予約で調整中</t>
        </is>
      </c>
      <c r="N11" s="57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19" t="inlineStr">
        <is>
          <t>月内集計</t>
        </is>
      </c>
    </row>
    <row r="18">
      <c r="B18" s="58">
        <f>COUNTIF($B$8:$AF$8,"○")&amp;"日"</f>
        <v/>
      </c>
      <c r="C18" s="2" t="inlineStr">
        <is>
          <t>空室あり</t>
        </is>
      </c>
      <c r="F18" s="58">
        <f>COUNTIF($B$8:$AF$8,"△")&amp;"日"</f>
        <v/>
      </c>
      <c r="G18" s="2" t="inlineStr">
        <is>
          <t>残りわずか</t>
        </is>
      </c>
      <c r="J18" s="58">
        <f>COUNTIF($B$8:$AF$8,"仮")&amp;"日"</f>
        <v/>
      </c>
      <c r="K18" s="2" t="inlineStr">
        <is>
          <t>仮予約</t>
        </is>
      </c>
      <c r="N18" s="58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9">
      <formula>B8="○"</formula>
    </cfRule>
  </conditionalFormatting>
  <conditionalFormatting sqref="B7:AF7">
    <cfRule type="expression" priority="5" dxfId="12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4" t="inlineStr">
        <is>
          <t>施設名</t>
        </is>
      </c>
      <c r="B4" s="17" t="inlineStr">
        <is>
          <t>○○事業所</t>
        </is>
      </c>
      <c r="C4" s="2" t="inlineStr">
        <is>
          <t>帳票の見出しに使います</t>
        </is>
      </c>
    </row>
    <row r="5">
      <c r="A5" s="14" t="inlineStr">
        <is>
          <t>棟・フロア</t>
        </is>
      </c>
      <c r="B5" s="17" t="inlineStr">
        <is>
          <t>本棟 1F</t>
        </is>
      </c>
    </row>
    <row r="6">
      <c r="A6" s="14" t="inlineStr">
        <is>
          <t>部屋数（定員）</t>
        </is>
      </c>
      <c r="B6" s="49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4" t="inlineStr">
        <is>
          <t>標準の入所時刻</t>
        </is>
      </c>
      <c r="B7" s="17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4" t="inlineStr">
        <is>
          <t>標準の退所時刻</t>
        </is>
      </c>
      <c r="B8" s="17" t="inlineStr">
        <is>
          <t>09:00</t>
        </is>
      </c>
    </row>
    <row r="9">
      <c r="A9" s="14" t="inlineStr">
        <is>
          <t>入力者名</t>
        </is>
      </c>
      <c r="B9" s="17" t="inlineStr"/>
      <c r="C9" s="2" t="inlineStr">
        <is>
          <t>更新履歴に残す名前</t>
        </is>
      </c>
    </row>
    <row r="10">
      <c r="A10" s="14" t="inlineStr">
        <is>
          <t>郵便番号</t>
        </is>
      </c>
      <c r="B10" s="17" t="inlineStr"/>
    </row>
    <row r="11">
      <c r="A11" s="14" t="inlineStr">
        <is>
          <t>住所</t>
        </is>
      </c>
      <c r="B11" s="17" t="inlineStr"/>
      <c r="C11" s="2" t="inlineStr">
        <is>
          <t>FAX帳票の送信元として印字されます</t>
        </is>
      </c>
    </row>
    <row r="12">
      <c r="A12" s="14" t="inlineStr">
        <is>
          <t>電話番号</t>
        </is>
      </c>
      <c r="B12" s="17" t="inlineStr"/>
    </row>
    <row r="13">
      <c r="A13" s="14" t="inlineStr">
        <is>
          <t>FAX番号</t>
        </is>
      </c>
      <c r="B13" s="17" t="inlineStr"/>
    </row>
    <row r="14">
      <c r="A14" s="14" t="inlineStr">
        <is>
          <t>担当者名</t>
        </is>
      </c>
      <c r="B14" s="1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7" t="inlineStr">
        <is>
          <t>１Ｆ</t>
        </is>
      </c>
      <c r="B4" s="59" t="n"/>
    </row>
    <row r="5">
      <c r="A5" s="17" t="n"/>
      <c r="B5" s="60" t="n"/>
    </row>
    <row r="6">
      <c r="A6" s="17" t="n"/>
      <c r="B6" s="59" t="n"/>
    </row>
    <row r="7">
      <c r="A7" s="17" t="n"/>
      <c r="B7" s="59" t="n"/>
    </row>
    <row r="8">
      <c r="A8" s="17" t="n"/>
      <c r="B8" s="59" t="n"/>
    </row>
    <row r="9">
      <c r="A9" s="17" t="n"/>
      <c r="B9" s="59" t="n"/>
    </row>
    <row r="10">
      <c r="A10" s="17" t="n"/>
      <c r="B10" s="59" t="n"/>
    </row>
    <row r="11">
      <c r="A11" s="17" t="n"/>
      <c r="B11" s="59" t="n"/>
    </row>
    <row r="12">
      <c r="A12" s="17" t="n"/>
      <c r="B12" s="59" t="n"/>
    </row>
    <row r="13">
      <c r="A13" s="17" t="n"/>
      <c r="B13" s="59" t="n"/>
    </row>
    <row r="14">
      <c r="A14" s="17" t="n"/>
      <c r="B14" s="59" t="n"/>
    </row>
    <row r="15">
      <c r="A15" s="17" t="n"/>
      <c r="B15" s="59" t="n"/>
    </row>
    <row r="16">
      <c r="A16" s="17" t="n"/>
      <c r="B16" s="59" t="n"/>
    </row>
    <row r="17">
      <c r="A17" s="17" t="n"/>
      <c r="B17" s="59" t="n"/>
    </row>
    <row r="18">
      <c r="A18" s="17" t="n"/>
      <c r="B18" s="59" t="n"/>
    </row>
    <row r="19">
      <c r="A19" s="17" t="n"/>
      <c r="B19" s="59" t="n"/>
    </row>
    <row r="20">
      <c r="A20" s="17" t="n"/>
      <c r="B20" s="5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7" t="inlineStr">
        <is>
          <t>◎◎様</t>
        </is>
      </c>
      <c r="B4" s="17" t="n">
        <v>7</v>
      </c>
      <c r="C4" s="60" t="n"/>
    </row>
    <row r="5">
      <c r="A5" s="17" t="inlineStr">
        <is>
          <t>木村様</t>
        </is>
      </c>
      <c r="B5" s="17" t="n">
        <v>5</v>
      </c>
      <c r="C5" s="60" t="n"/>
    </row>
    <row r="6">
      <c r="A6" s="17" t="inlineStr">
        <is>
          <t>伊藤メイ様</t>
        </is>
      </c>
      <c r="B6" s="17" t="n"/>
      <c r="C6" s="60" t="n"/>
    </row>
    <row r="7">
      <c r="A7" s="17" t="inlineStr">
        <is>
          <t>小澤様</t>
        </is>
      </c>
      <c r="B7" s="17" t="n"/>
      <c r="C7" s="59" t="n"/>
    </row>
    <row r="8">
      <c r="A8" s="17" t="inlineStr">
        <is>
          <t>小林様</t>
        </is>
      </c>
      <c r="B8" s="17" t="n"/>
      <c r="C8" s="59" t="n"/>
    </row>
    <row r="9">
      <c r="A9" s="17" t="n"/>
      <c r="B9" s="17" t="n"/>
      <c r="C9" s="59" t="n"/>
    </row>
    <row r="10">
      <c r="A10" s="17" t="n"/>
      <c r="B10" s="17" t="n"/>
      <c r="C10" s="59" t="n"/>
    </row>
    <row r="11">
      <c r="A11" s="17" t="n"/>
      <c r="B11" s="17" t="n"/>
      <c r="C11" s="59" t="n"/>
    </row>
    <row r="12">
      <c r="A12" s="17" t="n"/>
      <c r="B12" s="17" t="n"/>
      <c r="C12" s="59" t="n"/>
    </row>
    <row r="13">
      <c r="A13" s="17" t="n"/>
      <c r="B13" s="17" t="n"/>
      <c r="C13" s="59" t="n"/>
    </row>
    <row r="14">
      <c r="A14" s="17" t="n"/>
      <c r="B14" s="17" t="n"/>
      <c r="C14" s="59" t="n"/>
    </row>
    <row r="15">
      <c r="A15" s="17" t="n"/>
      <c r="B15" s="17" t="n"/>
      <c r="C15" s="59" t="n"/>
    </row>
    <row r="16">
      <c r="A16" s="17" t="n"/>
      <c r="B16" s="17" t="n"/>
      <c r="C16" s="59" t="n"/>
    </row>
    <row r="17">
      <c r="A17" s="17" t="n"/>
      <c r="B17" s="17" t="n"/>
      <c r="C17" s="59" t="n"/>
    </row>
    <row r="18">
      <c r="A18" s="17" t="n"/>
      <c r="B18" s="17" t="n"/>
      <c r="C18" s="59" t="n"/>
    </row>
    <row r="19">
      <c r="A19" s="17" t="n"/>
      <c r="B19" s="17" t="n"/>
      <c r="C19" s="59" t="n"/>
    </row>
    <row r="20">
      <c r="A20" s="17" t="n"/>
      <c r="B20" s="17" t="n"/>
      <c r="C20" s="59" t="n"/>
    </row>
    <row r="21">
      <c r="A21" s="17" t="n"/>
      <c r="B21" s="17" t="n"/>
      <c r="C21" s="59" t="n"/>
    </row>
    <row r="22">
      <c r="A22" s="17" t="n"/>
      <c r="B22" s="17" t="n"/>
      <c r="C22" s="59" t="n"/>
    </row>
    <row r="23">
      <c r="A23" s="17" t="n"/>
      <c r="B23" s="17" t="n"/>
      <c r="C23" s="59" t="n"/>
    </row>
    <row r="24">
      <c r="A24" s="17" t="n"/>
      <c r="B24" s="17" t="n"/>
      <c r="C24" s="59" t="n"/>
    </row>
    <row r="25">
      <c r="A25" s="17" t="n"/>
      <c r="B25" s="17" t="n"/>
      <c r="C25" s="59" t="n"/>
    </row>
    <row r="26">
      <c r="A26" s="17" t="n"/>
      <c r="B26" s="17" t="n"/>
      <c r="C26" s="59" t="n"/>
    </row>
    <row r="27">
      <c r="A27" s="17" t="n"/>
      <c r="B27" s="17" t="n"/>
      <c r="C27" s="59" t="n"/>
    </row>
    <row r="28">
      <c r="A28" s="17" t="n"/>
      <c r="B28" s="17" t="n"/>
      <c r="C28" s="59" t="n"/>
    </row>
    <row r="29">
      <c r="A29" s="17" t="n"/>
      <c r="B29" s="17" t="n"/>
      <c r="C29" s="59" t="n"/>
    </row>
    <row r="30">
      <c r="A30" s="17" t="n"/>
      <c r="B30" s="17" t="n"/>
      <c r="C30" s="59" t="n"/>
    </row>
    <row r="31">
      <c r="A31" s="17" t="n"/>
      <c r="B31" s="17" t="n"/>
      <c r="C31" s="59" t="n"/>
    </row>
    <row r="32">
      <c r="A32" s="17" t="n"/>
      <c r="B32" s="17" t="n"/>
      <c r="C32" s="59" t="n"/>
    </row>
    <row r="33">
      <c r="A33" s="17" t="n"/>
      <c r="B33" s="17" t="n"/>
      <c r="C33" s="59" t="n"/>
    </row>
    <row r="34">
      <c r="A34" s="17" t="n"/>
      <c r="B34" s="17" t="n"/>
      <c r="C34" s="59" t="n"/>
    </row>
    <row r="35">
      <c r="A35" s="17" t="n"/>
      <c r="B35" s="17" t="n"/>
      <c r="C35" s="59" t="n"/>
    </row>
    <row r="36">
      <c r="A36" s="17" t="n"/>
      <c r="B36" s="17" t="n"/>
      <c r="C36" s="59" t="n"/>
    </row>
    <row r="37">
      <c r="A37" s="17" t="n"/>
      <c r="B37" s="17" t="n"/>
      <c r="C37" s="59" t="n"/>
    </row>
    <row r="38">
      <c r="A38" s="17" t="n"/>
      <c r="B38" s="17" t="n"/>
      <c r="C38" s="59" t="n"/>
    </row>
    <row r="39">
      <c r="A39" s="17" t="n"/>
      <c r="B39" s="17" t="n"/>
      <c r="C39" s="59" t="n"/>
    </row>
    <row r="40">
      <c r="A40" s="17" t="n"/>
      <c r="B40" s="17" t="n"/>
      <c r="C40" s="59" t="n"/>
    </row>
    <row r="41">
      <c r="A41" s="17" t="n"/>
      <c r="B41" s="17" t="n"/>
      <c r="C41" s="59" t="n"/>
    </row>
    <row r="42">
      <c r="A42" s="17" t="n"/>
      <c r="B42" s="17" t="n"/>
      <c r="C42" s="59" t="n"/>
    </row>
    <row r="43">
      <c r="A43" s="17" t="n"/>
      <c r="B43" s="17" t="n"/>
      <c r="C43" s="59" t="n"/>
    </row>
    <row r="44">
      <c r="A44" s="17" t="n"/>
      <c r="B44" s="17" t="n"/>
      <c r="C44" s="59" t="n"/>
    </row>
    <row r="45">
      <c r="A45" s="17" t="n"/>
      <c r="B45" s="17" t="n"/>
      <c r="C45" s="59" t="n"/>
    </row>
    <row r="46">
      <c r="A46" s="17" t="n"/>
      <c r="B46" s="17" t="n"/>
      <c r="C46" s="59" t="n"/>
    </row>
    <row r="47">
      <c r="A47" s="17" t="n"/>
      <c r="B47" s="17" t="n"/>
      <c r="C47" s="59" t="n"/>
    </row>
    <row r="48">
      <c r="A48" s="17" t="n"/>
      <c r="B48" s="17" t="n"/>
      <c r="C48" s="59" t="n"/>
    </row>
    <row r="49">
      <c r="A49" s="17" t="n"/>
      <c r="B49" s="17" t="n"/>
      <c r="C49" s="59" t="n"/>
    </row>
    <row r="50">
      <c r="A50" s="17" t="n"/>
      <c r="B50" s="17" t="n"/>
      <c r="C50" s="59" t="n"/>
    </row>
    <row r="51">
      <c r="A51" s="17" t="n"/>
      <c r="B51" s="17" t="n"/>
      <c r="C51" s="59" t="n"/>
    </row>
    <row r="52">
      <c r="A52" s="17" t="n"/>
      <c r="B52" s="17" t="n"/>
      <c r="C52" s="59" t="n"/>
    </row>
    <row r="53">
      <c r="A53" s="17" t="n"/>
      <c r="B53" s="17" t="n"/>
      <c r="C53" s="59" t="n"/>
    </row>
    <row r="54">
      <c r="A54" s="17" t="n"/>
      <c r="B54" s="17" t="n"/>
      <c r="C54" s="59" t="n"/>
    </row>
    <row r="55">
      <c r="A55" s="17" t="n"/>
      <c r="B55" s="17" t="n"/>
      <c r="C55" s="59" t="n"/>
    </row>
    <row r="56">
      <c r="A56" s="17" t="n"/>
      <c r="B56" s="17" t="n"/>
      <c r="C56" s="59" t="n"/>
    </row>
    <row r="57">
      <c r="A57" s="17" t="n"/>
      <c r="B57" s="17" t="n"/>
      <c r="C57" s="59" t="n"/>
    </row>
    <row r="58">
      <c r="A58" s="17" t="n"/>
      <c r="B58" s="17" t="n"/>
      <c r="C58" s="59" t="n"/>
    </row>
    <row r="59">
      <c r="A59" s="17" t="n"/>
      <c r="B59" s="17" t="n"/>
      <c r="C59" s="59" t="n"/>
    </row>
    <row r="60">
      <c r="A60" s="17" t="n"/>
      <c r="B60" s="17" t="n"/>
      <c r="C60" s="5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7" t="inlineStr">
        <is>
          <t>SS</t>
        </is>
      </c>
      <c r="B4" s="17" t="inlineStr">
        <is>
          <t>○</t>
        </is>
      </c>
      <c r="C4" s="61" t="inlineStr">
        <is>
          <t>青</t>
        </is>
      </c>
      <c r="D4" s="59" t="n"/>
    </row>
    <row r="5">
      <c r="A5" s="17" t="inlineStr">
        <is>
          <t>無料</t>
        </is>
      </c>
      <c r="B5" s="17" t="inlineStr">
        <is>
          <t>○</t>
        </is>
      </c>
      <c r="C5" s="62" t="inlineStr">
        <is>
          <t>緑</t>
        </is>
      </c>
      <c r="D5" s="59" t="n"/>
    </row>
    <row r="6">
      <c r="A6" s="17" t="inlineStr">
        <is>
          <t>契約</t>
        </is>
      </c>
      <c r="B6" s="17" t="inlineStr">
        <is>
          <t>○</t>
        </is>
      </c>
      <c r="C6" s="63" t="inlineStr">
        <is>
          <t>紫</t>
        </is>
      </c>
      <c r="D6" s="59" t="n"/>
    </row>
    <row r="7">
      <c r="A7" s="17" t="n"/>
      <c r="B7" s="17" t="n"/>
      <c r="C7" s="64" t="inlineStr">
        <is>
          <t>橙</t>
        </is>
      </c>
      <c r="D7" s="59" t="n"/>
    </row>
    <row r="8">
      <c r="A8" s="17" t="n"/>
      <c r="B8" s="17" t="n"/>
      <c r="C8" s="59" t="n"/>
      <c r="D8" s="60" t="inlineStr">
        <is>
          <t>5つめ以降の区分は色が付きません（白のまま）</t>
        </is>
      </c>
    </row>
    <row r="9">
      <c r="A9" s="17" t="n"/>
      <c r="B9" s="17" t="n"/>
      <c r="C9" s="59" t="n"/>
      <c r="D9" s="59" t="n"/>
    </row>
    <row r="10">
      <c r="A10" s="17" t="n"/>
      <c r="B10" s="17" t="n"/>
      <c r="C10" s="59" t="n"/>
      <c r="D10" s="59" t="n"/>
    </row>
    <row r="11">
      <c r="A11" s="17" t="n"/>
      <c r="B11" s="17" t="n"/>
      <c r="C11" s="59" t="n"/>
      <c r="D11" s="59" t="n"/>
    </row>
    <row r="12">
      <c r="A12" s="17" t="n"/>
      <c r="B12" s="17" t="n"/>
      <c r="C12" s="59" t="n"/>
      <c r="D12" s="59" t="n"/>
    </row>
    <row r="13">
      <c r="A13" s="17" t="n"/>
      <c r="B13" s="17" t="n"/>
      <c r="C13" s="59" t="n"/>
      <c r="D13" s="59" t="n"/>
    </row>
    <row r="14">
      <c r="A14" s="17" t="n"/>
      <c r="B14" s="17" t="n"/>
      <c r="C14" s="59" t="n"/>
      <c r="D14" s="59" t="n"/>
    </row>
    <row r="15">
      <c r="A15" s="17" t="n"/>
      <c r="B15" s="17" t="n"/>
      <c r="C15" s="59" t="n"/>
      <c r="D15" s="59" t="n"/>
    </row>
    <row r="16">
      <c r="A16" s="17" t="n"/>
      <c r="B16" s="17" t="n"/>
      <c r="C16" s="59" t="n"/>
      <c r="D16" s="59" t="n"/>
    </row>
    <row r="17">
      <c r="A17" s="17" t="n"/>
      <c r="B17" s="17" t="n"/>
      <c r="C17" s="59" t="n"/>
      <c r="D17" s="59" t="n"/>
    </row>
    <row r="18">
      <c r="A18" s="17" t="n"/>
      <c r="B18" s="17" t="n"/>
      <c r="C18" s="59" t="n"/>
      <c r="D18" s="59" t="n"/>
    </row>
    <row r="19">
      <c r="A19" s="17" t="n"/>
      <c r="B19" s="17" t="n"/>
      <c r="C19" s="59" t="n"/>
      <c r="D19" s="59" t="n"/>
    </row>
    <row r="20">
      <c r="A20" s="17" t="n"/>
      <c r="B20" s="17" t="n"/>
      <c r="C20" s="59" t="n"/>
      <c r="D20" s="5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7" t="inlineStr">
        <is>
          <t>あり</t>
        </is>
      </c>
      <c r="B4" s="59" t="n"/>
    </row>
    <row r="5">
      <c r="A5" s="17" t="inlineStr">
        <is>
          <t>なし</t>
        </is>
      </c>
      <c r="B5" s="59" t="n"/>
    </row>
    <row r="6">
      <c r="A6" s="17" t="inlineStr">
        <is>
          <t>調整中</t>
        </is>
      </c>
      <c r="B6" s="59" t="n"/>
    </row>
    <row r="7">
      <c r="A7" s="17" t="n"/>
      <c r="B7" s="59" t="n"/>
    </row>
    <row r="8">
      <c r="A8" s="17" t="n"/>
      <c r="B8" s="59" t="n"/>
    </row>
    <row r="9">
      <c r="A9" s="17" t="n"/>
      <c r="B9" s="59" t="n"/>
    </row>
    <row r="10">
      <c r="A10" s="17" t="n"/>
      <c r="B10" s="59" t="n"/>
    </row>
    <row r="11">
      <c r="A11" s="17" t="n"/>
      <c r="B11" s="59" t="n"/>
    </row>
    <row r="12">
      <c r="A12" s="17" t="n"/>
      <c r="B12" s="59" t="n"/>
    </row>
    <row r="13">
      <c r="A13" s="17" t="n"/>
      <c r="B13" s="59" t="n"/>
    </row>
    <row r="14">
      <c r="A14" s="17" t="n"/>
      <c r="B14" s="59" t="n"/>
    </row>
    <row r="15">
      <c r="A15" s="17" t="n"/>
      <c r="B15" s="5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59" t="inlineStr">
        <is>
          <t>確定</t>
        </is>
      </c>
      <c r="B4" s="60" t="inlineStr">
        <is>
          <t>集計・稼働に入り、カレンダーでは区分の色で表示します</t>
        </is>
      </c>
    </row>
    <row r="5">
      <c r="A5" s="59" t="inlineStr">
        <is>
          <t>仮予約</t>
        </is>
      </c>
      <c r="B5" s="60" t="inlineStr">
        <is>
          <t>集計には入りますが、カレンダーではグレーの斜体、帯表では白抜き、FAX表では「仮」</t>
        </is>
      </c>
    </row>
    <row r="6">
      <c r="A6" s="59" t="inlineStr">
        <is>
          <t>調整中</t>
        </is>
      </c>
      <c r="B6" s="60" t="inlineStr">
        <is>
          <t>仮予約と同じ扱いです</t>
        </is>
      </c>
    </row>
    <row r="7">
      <c r="A7" s="59" t="inlineStr">
        <is>
          <t>利用済み</t>
        </is>
      </c>
      <c r="B7" s="60" t="inlineStr">
        <is>
          <t>実績。確定と同じ扱いです</t>
        </is>
      </c>
    </row>
    <row r="8">
      <c r="A8" s="59" t="inlineStr">
        <is>
          <t>キャンセル</t>
        </is>
      </c>
      <c r="B8" s="60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7" t="n"/>
      <c r="B4" s="17" t="n"/>
      <c r="C4" s="17" t="n"/>
      <c r="D4" s="17" t="n"/>
      <c r="E4" s="17" t="n"/>
    </row>
    <row r="5">
      <c r="A5" s="17" t="n"/>
      <c r="B5" s="17" t="n"/>
      <c r="C5" s="17" t="n"/>
      <c r="D5" s="17" t="n"/>
      <c r="E5" s="17" t="n"/>
    </row>
    <row r="6">
      <c r="A6" s="17" t="n"/>
      <c r="B6" s="17" t="n"/>
      <c r="C6" s="17" t="n"/>
      <c r="D6" s="17" t="n"/>
      <c r="E6" s="17" t="n"/>
    </row>
    <row r="7">
      <c r="A7" s="17" t="n"/>
      <c r="B7" s="17" t="n"/>
      <c r="C7" s="17" t="n"/>
      <c r="D7" s="17" t="n"/>
      <c r="E7" s="17" t="n"/>
    </row>
    <row r="8">
      <c r="A8" s="17" t="n"/>
      <c r="B8" s="17" t="n"/>
      <c r="C8" s="17" t="n"/>
      <c r="D8" s="17" t="n"/>
      <c r="E8" s="17" t="n"/>
    </row>
    <row r="9">
      <c r="A9" s="17" t="n"/>
      <c r="B9" s="17" t="n"/>
      <c r="C9" s="17" t="n"/>
      <c r="D9" s="17" t="n"/>
      <c r="E9" s="17" t="n"/>
    </row>
    <row r="10">
      <c r="A10" s="17" t="n"/>
      <c r="B10" s="17" t="n"/>
      <c r="C10" s="17" t="n"/>
      <c r="D10" s="17" t="n"/>
      <c r="E10" s="17" t="n"/>
    </row>
    <row r="11">
      <c r="A11" s="17" t="n"/>
      <c r="B11" s="17" t="n"/>
      <c r="C11" s="17" t="n"/>
      <c r="D11" s="17" t="n"/>
      <c r="E11" s="17" t="n"/>
    </row>
    <row r="12">
      <c r="A12" s="17" t="n"/>
      <c r="B12" s="17" t="n"/>
      <c r="C12" s="17" t="n"/>
      <c r="D12" s="17" t="n"/>
      <c r="E12" s="17" t="n"/>
    </row>
    <row r="13">
      <c r="A13" s="17" t="n"/>
      <c r="B13" s="17" t="n"/>
      <c r="C13" s="17" t="n"/>
      <c r="D13" s="17" t="n"/>
      <c r="E13" s="17" t="n"/>
    </row>
    <row r="14">
      <c r="A14" s="17" t="n"/>
      <c r="B14" s="17" t="n"/>
      <c r="C14" s="17" t="n"/>
      <c r="D14" s="17" t="n"/>
      <c r="E14" s="17" t="n"/>
    </row>
    <row r="15">
      <c r="A15" s="17" t="n"/>
      <c r="B15" s="17" t="n"/>
      <c r="C15" s="17" t="n"/>
      <c r="D15" s="17" t="n"/>
      <c r="E15" s="17" t="n"/>
    </row>
    <row r="16">
      <c r="A16" s="17" t="n"/>
      <c r="B16" s="17" t="n"/>
      <c r="C16" s="17" t="n"/>
      <c r="D16" s="17" t="n"/>
      <c r="E16" s="17" t="n"/>
    </row>
    <row r="17">
      <c r="A17" s="17" t="n"/>
      <c r="B17" s="17" t="n"/>
      <c r="C17" s="17" t="n"/>
      <c r="D17" s="17" t="n"/>
      <c r="E17" s="17" t="n"/>
    </row>
    <row r="18">
      <c r="A18" s="17" t="n"/>
      <c r="B18" s="17" t="n"/>
      <c r="C18" s="17" t="n"/>
      <c r="D18" s="17" t="n"/>
      <c r="E18" s="17" t="n"/>
    </row>
    <row r="19">
      <c r="A19" s="17" t="n"/>
      <c r="B19" s="17" t="n"/>
      <c r="C19" s="17" t="n"/>
      <c r="D19" s="17" t="n"/>
      <c r="E19" s="17" t="n"/>
    </row>
    <row r="20">
      <c r="A20" s="17" t="n"/>
      <c r="B20" s="17" t="n"/>
      <c r="C20" s="17" t="n"/>
      <c r="D20" s="17" t="n"/>
      <c r="E20" s="17" t="n"/>
    </row>
    <row r="21">
      <c r="A21" s="17" t="n"/>
      <c r="B21" s="17" t="n"/>
      <c r="C21" s="17" t="n"/>
      <c r="D21" s="17" t="n"/>
      <c r="E21" s="17" t="n"/>
    </row>
    <row r="22">
      <c r="A22" s="17" t="n"/>
      <c r="B22" s="17" t="n"/>
      <c r="C22" s="17" t="n"/>
      <c r="D22" s="17" t="n"/>
      <c r="E22" s="17" t="n"/>
    </row>
    <row r="23">
      <c r="A23" s="17" t="n"/>
      <c r="B23" s="17" t="n"/>
      <c r="C23" s="17" t="n"/>
      <c r="D23" s="17" t="n"/>
      <c r="E23" s="17" t="n"/>
    </row>
    <row r="24">
      <c r="A24" s="17" t="n"/>
      <c r="B24" s="17" t="n"/>
      <c r="C24" s="17" t="n"/>
      <c r="D24" s="17" t="n"/>
      <c r="E24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2026-08-20T13:05:04Z</dcterms:created>
  <dcterms:modified xsi:type="dcterms:W3CDTF">2026-08-20T13:05:06Z</dcterms:modified>
</cp:coreProperties>
</file>