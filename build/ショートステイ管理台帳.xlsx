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00_使い方" sheetId="1" state="visible" r:id="rId1"/>
    <sheet name="01_予約入力" sheetId="2" state="visible" r:id="rId2"/>
    <sheet name="02_カレンダー" sheetId="3" state="visible" r:id="rId3"/>
    <sheet name="03_帯表" sheetId="4" state="visible" r:id="rId4"/>
    <sheet name="04_月間表" sheetId="5" state="visible" r:id="rId5"/>
    <sheet name="05_空室照会" sheetId="6" state="visible" r:id="rId6"/>
    <sheet name="06_食数表" sheetId="7" state="visible" r:id="rId7"/>
    <sheet name="07_月次集計" sheetId="8" state="visible" r:id="rId8"/>
    <sheet name="08_支給量管理" sheetId="9" state="visible" r:id="rId9"/>
    <sheet name="09_FAX空き表" sheetId="10" state="visible" r:id="rId10"/>
    <sheet name="M_施設設定" sheetId="11" state="visible" r:id="rId11"/>
    <sheet name="M_部屋" sheetId="12" state="visible" r:id="rId12"/>
    <sheet name="M_利用者" sheetId="13" state="visible" r:id="rId13"/>
    <sheet name="M_区分" sheetId="14" state="visible" r:id="rId14"/>
    <sheet name="M_送迎" sheetId="15" state="visible" r:id="rId15"/>
    <sheet name="M_状態" sheetId="16" state="visible" r:id="rId16"/>
    <sheet name="M_FAX送付先" sheetId="17" state="visible" r:id="rId17"/>
  </sheets>
  <definedNames>
    <definedName name="氏名一覧">OFFSET('M_利用者'!$A$4,0,0,MAX(1,COUNTA('M_利用者'!$A$4:$A$60)),1)</definedName>
    <definedName name="部屋一覧">OFFSET('M_部屋'!$A$4,0,0,MAX(1,COUNTA('M_部屋'!$A$4:$A$20)),1)</definedName>
    <definedName name="区分一覧">OFFSET('M_区分'!$A$4,0,0,MAX(1,COUNTA('M_区分'!$A$4:$A$20)),1)</definedName>
    <definedName name="送迎一覧">OFFSET('M_送迎'!$A$4,0,0,MAX(1,COUNTA('M_送迎'!$A$4:$A$15)),1)</definedName>
    <definedName name="状態一覧">'M_状態'!$A$4:$A$8</definedName>
    <definedName name="_xlnm._FilterDatabase" localSheetId="1" hidden="1">'01_予約入力'!$A$4:$U$204</definedName>
    <definedName name="_xlnm.Print_Area" localSheetId="2">'02_カレンダー'!$A$1:$H$47</definedName>
    <definedName name="_xlnm.Print_Area" localSheetId="3">'03_帯表'!$A$1:$AG$26</definedName>
    <definedName name="_xlnm.Print_Area" localSheetId="4">'04_月間表'!$A$1:$K$37</definedName>
    <definedName name="_xlnm.Print_Area" localSheetId="6">'06_食数表'!$A$1:$K$38</definedName>
    <definedName name="_xlnm.Print_Area" localSheetId="9">'09_FAX空き表'!$A$1:$AF$18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hh:mm"/>
    <numFmt numFmtId="166" formatCode="yyyy-mm-dd"/>
    <numFmt numFmtId="167" formatCode="d"/>
  </numFmts>
  <fonts count="14">
    <font>
      <name val="Calibri"/>
      <family val="2"/>
      <color theme="1"/>
      <sz val="11"/>
      <scheme val="minor"/>
    </font>
    <font>
      <name val="Meiryo"/>
      <b val="1"/>
      <color rgb="001F3B52"/>
      <sz val="13"/>
    </font>
    <font>
      <name val="Meiryo"/>
      <color rgb="00666666"/>
      <sz val="9"/>
    </font>
    <font>
      <name val="Meiryo"/>
      <b val="1"/>
      <color rgb="001F3B52"/>
      <sz val="10"/>
    </font>
    <font>
      <name val="Meiryo"/>
      <b val="1"/>
      <sz val="10"/>
    </font>
    <font>
      <name val="Meiryo"/>
      <sz val="10"/>
    </font>
    <font>
      <name val="Meiryo"/>
      <i val="1"/>
      <color rgb="00666666"/>
      <sz val="10"/>
    </font>
    <font>
      <name val="Meiryo"/>
      <b val="1"/>
      <color rgb="00FFFFFF"/>
      <sz val="10"/>
    </font>
    <font>
      <name val="Meiryo"/>
      <b val="1"/>
      <color rgb="00C0392B"/>
      <sz val="11"/>
    </font>
    <font>
      <name val="Meiryo"/>
      <b val="1"/>
      <color rgb="002471A3"/>
      <sz val="11"/>
    </font>
    <font>
      <name val="Meiryo"/>
      <sz val="9"/>
    </font>
    <font>
      <name val="Meiryo"/>
      <b val="1"/>
      <sz val="11"/>
    </font>
    <font>
      <name val="Meiryo"/>
      <b val="1"/>
      <color rgb="00333333"/>
      <sz val="11"/>
    </font>
    <font>
      <name val="Meiryo"/>
      <b val="1"/>
      <sz val="9"/>
    </font>
  </fonts>
  <fills count="12">
    <fill>
      <patternFill/>
    </fill>
    <fill>
      <patternFill patternType="gray125"/>
    </fill>
    <fill>
      <patternFill patternType="solid">
        <fgColor rgb="00DCE6EF"/>
      </patternFill>
    </fill>
    <fill>
      <patternFill patternType="solid">
        <fgColor rgb="00FFF7DD"/>
      </patternFill>
    </fill>
    <fill>
      <patternFill patternType="solid">
        <fgColor rgb="00F2F2F2"/>
      </patternFill>
    </fill>
    <fill>
      <patternFill patternType="solid">
        <fgColor rgb="002F6690"/>
      </patternFill>
    </fill>
    <fill>
      <patternFill patternType="solid">
        <fgColor rgb="00D6E4F0"/>
      </patternFill>
    </fill>
    <fill>
      <patternFill patternType="solid">
        <fgColor rgb="00DCEEDF"/>
      </patternFill>
    </fill>
    <fill>
      <patternFill patternType="solid">
        <fgColor rgb="00EAE0F2"/>
      </patternFill>
    </fill>
    <fill>
      <patternFill patternType="solid">
        <fgColor rgb="00FBE7CE"/>
      </patternFill>
    </fill>
    <fill>
      <patternFill patternType="solid">
        <fgColor rgb="00EAF0F6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3" fillId="2" borderId="1" pivotButton="0" quotePrefix="0" xfId="0"/>
    <xf numFmtId="164" fontId="5" fillId="3" borderId="1" pivotButton="0" quotePrefix="0" xfId="0"/>
    <xf numFmtId="164" fontId="6" fillId="4" borderId="1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8" fillId="1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7" fontId="8" fillId="11" borderId="1" applyAlignment="1" pivotButton="0" quotePrefix="0" xfId="0">
      <alignment horizontal="right" vertical="center"/>
    </xf>
    <xf numFmtId="167" fontId="12" fillId="11" borderId="1" applyAlignment="1" pivotButton="0" quotePrefix="0" xfId="0">
      <alignment horizontal="right" vertical="center"/>
    </xf>
    <xf numFmtId="167" fontId="9" fillId="11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 shrinkToFit="1"/>
    </xf>
    <xf numFmtId="0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shrinkToFit="1"/>
    </xf>
    <xf numFmtId="0" fontId="4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3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5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8" borderId="1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name val="Meiryo"/>
        <strike val="1"/>
        <color rgb="00999999"/>
        <sz val="10"/>
      </font>
      <fill>
        <patternFill patternType="solid">
          <fgColor rgb="00EFEFEF"/>
        </patternFill>
      </fill>
    </dxf>
    <dxf>
      <fill>
        <patternFill patternType="solid">
          <fgColor rgb="00FBD3D3"/>
        </patternFill>
      </fill>
    </dxf>
    <dxf>
      <fill>
        <patternFill patternType="solid">
          <fgColor rgb="00FCE4C8"/>
        </patternFill>
      </fill>
    </dxf>
    <dxf>
      <fill>
        <patternFill patternType="solid">
          <fgColor rgb="00EDE3F5"/>
        </patternFill>
      </fill>
    </dxf>
    <dxf>
      <font>
        <name val="Meiryo"/>
        <i val="1"/>
        <color rgb="00777777"/>
        <sz val="9"/>
      </font>
      <fill>
        <patternFill patternType="solid">
          <fgColor rgb="00EFEFEF"/>
        </patternFill>
      </fill>
    </dxf>
    <dxf>
      <fill>
        <patternFill patternType="solid">
          <fgColor rgb="00D6E4F0"/>
        </patternFill>
      </fill>
    </dxf>
    <dxf>
      <fill>
        <patternFill patternType="solid">
          <fgColor rgb="00DCEEDF"/>
        </patternFill>
      </fill>
    </dxf>
    <dxf>
      <fill>
        <patternFill patternType="solid">
          <fgColor rgb="00EAE0F2"/>
        </patternFill>
      </fill>
    </dxf>
    <dxf>
      <fill>
        <patternFill patternType="solid">
          <fgColor rgb="00FBE7CE"/>
        </patternFill>
      </fill>
    </dxf>
    <dxf>
      <fill>
        <patternFill patternType="solid">
          <fgColor rgb="00D9EDDC"/>
        </patternFill>
      </fill>
    </dxf>
    <dxf>
      <font>
        <name val="Meiryo"/>
        <color rgb="00606070"/>
        <sz val="9"/>
      </font>
      <fill>
        <patternFill patternType="solid">
          <fgColor rgb="00D8D8E4"/>
        </patternFill>
      </fill>
    </dxf>
    <dxf>
      <font>
        <name val="Meiryo"/>
        <b val="1"/>
        <color rgb="00FFFFFF"/>
        <sz val="9"/>
      </font>
      <fill>
        <patternFill patternType="solid">
          <fgColor rgb="003A6EA5"/>
        </patternFill>
      </fill>
    </dxf>
    <dxf>
      <fill>
        <patternFill patternType="solid">
          <fgColor rgb="00E8EE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設計メモ</author>
  </authors>
  <commentList>
    <comment ref="S4" authorId="0" shapeId="0">
      <text>
        <t>同じ部屋・同じ夜に2件以上入っていると「⚠重複」が出ます。
退所日の夜は空き扱いなので、前の方の退所日＝次の方の入所日は重複になりません。
M_部屋 に無い部屋名が入っていると「⚠部屋が未登録」が出ます。
（2室→1室に変更したのに、古い予約が部屋2のまま残っている場合など）</t>
      </text>
    </comment>
    <comment ref="T4" authorId="0" shapeId="0">
      <text>
        <t>M_利用者 に支給量が入っている方だけ判定します。
入所日の属する月で合計し、M_区分 で「○」の区分だけを数えます。</t>
      </text>
    </comment>
  </commentList>
</comments>
</file>

<file path=xl/comments/comment2.xml><?xml version="1.0" encoding="utf-8"?>
<comments xmlns="http://schemas.openxmlformats.org/spreadsheetml/2006/main">
  <authors>
    <author>設計メモ</author>
  </authors>
  <commentList>
    <comment ref="A3" authorId="0" shapeId="0">
      <text>
        <t>氏名を書き換えると 01_予約入力 のプルダウンにも反映されます。
ただし入力済みの予約の氏名は自動では変わりません。
03_帯表 に出るのは、このマスタの上から20名です。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ショートステイ・体験利用 管理台帳</t>
        </is>
      </c>
    </row>
    <row r="2">
      <c r="A2" s="2" t="inlineStr">
        <is>
          <t>入力するのは 01_予約入力 と、M_ で始まるマスタだけです。02〜09 は全て自動計算です。</t>
        </is>
      </c>
    </row>
    <row r="4">
      <c r="A4" s="3" t="inlineStr">
        <is>
          <t>画面の役割</t>
        </is>
      </c>
      <c r="B4" s="4" t="n"/>
    </row>
    <row r="5" ht="32" customHeight="1">
      <c r="A5" s="5" t="inlineStr">
        <is>
          <t>02_カレンダー</t>
        </is>
      </c>
      <c r="B5" s="6" t="inlineStr">
        <is>
          <t>★毎日見るのはここ。ふつうの月カレンダーの形で、日ごとに「どの部屋に誰がいるか」を表示します。連泊は ▶入所日 → 継続 → 退所日◀ と続けて出るので、いつからいつまでかが目で追えます。色は区分ごと（SS・無料・契約）。仮予約はグレーの斜体です。★対象月の変更もこのシートで行います。</t>
        </is>
      </c>
    </row>
    <row r="6" ht="32" customHeight="1">
      <c r="A6" s="5" t="inlineStr">
        <is>
          <t>03_帯表</t>
        </is>
      </c>
      <c r="B6" s="6" t="inlineStr">
        <is>
          <t>1人1行・横軸が1〜31日のガントチャートです。誰がどの期間を押さえているかを1か月分まとめて俯瞰できます。▶入所 ■連泊 ◀退所 ◆日帰り。白抜き（▷□◁◇）は仮予約です。</t>
        </is>
      </c>
    </row>
    <row r="7" ht="32" customHeight="1">
      <c r="A7" s="5" t="inlineStr">
        <is>
          <t>04_月間表</t>
        </is>
      </c>
      <c r="B7" s="6" t="inlineStr">
        <is>
          <t>日付を縦に並べた一覧。空室数や食数の根拠を数字で確認したいときに使います。カレンダーと帯表はこのシートを引いているので、内容は必ず一致します。</t>
        </is>
      </c>
    </row>
    <row r="8" ht="32" customHeight="1">
      <c r="A8" s="5" t="inlineStr">
        <is>
          <t>05_空室照会</t>
        </is>
      </c>
      <c r="B8" s="6" t="inlineStr">
        <is>
          <t>「この期間空いてますか」と電話で聞かれたとき用。日付を2つ入れるだけです。</t>
        </is>
      </c>
    </row>
    <row r="9" ht="32" customHeight="1">
      <c r="A9" s="5" t="inlineStr">
        <is>
          <t>06_食数表</t>
        </is>
      </c>
      <c r="B9" s="6" t="inlineStr">
        <is>
          <t>厨房へ渡す日別の朝・昼・夕の食数。</t>
        </is>
      </c>
    </row>
    <row r="10" ht="32" customHeight="1">
      <c r="A10" s="5" t="inlineStr">
        <is>
          <t>07_月次集計</t>
        </is>
      </c>
      <c r="B10" s="6" t="inlineStr">
        <is>
          <t>上司報告・請求突合用。期間を入れると区分別・利用者別が出ます。</t>
        </is>
      </c>
    </row>
    <row r="11" ht="32" customHeight="1">
      <c r="A11" s="5" t="inlineStr">
        <is>
          <t>08_支給量管理</t>
        </is>
      </c>
      <c r="B11" s="6" t="inlineStr">
        <is>
          <t>受給者証の月あたり上限に対する残日数。</t>
        </is>
      </c>
    </row>
    <row r="12" ht="32" customHeight="1">
      <c r="A12" s="5" t="inlineStr">
        <is>
          <t>09_FAX空き表</t>
        </is>
      </c>
      <c r="B12" s="6" t="inlineStr">
        <is>
          <t>外部へFAXする空き状況。利用者名は載りません。</t>
        </is>
      </c>
    </row>
    <row r="13">
      <c r="A13" s="3" t="inlineStr">
        <is>
          <t>はじめに設定すること</t>
        </is>
      </c>
      <c r="B13" s="4" t="n"/>
    </row>
    <row r="14" ht="32" customHeight="1">
      <c r="A14" s="5" t="inlineStr">
        <is>
          <t>① M_施設設定</t>
        </is>
      </c>
      <c r="B14" s="6" t="inlineStr">
        <is>
          <t>施設名・棟・標準の入所/退所時刻・住所・TEL/FAX を入れます。</t>
        </is>
      </c>
    </row>
    <row r="15" ht="32" customHeight="1">
      <c r="A15" s="5" t="inlineStr">
        <is>
          <t>② M_部屋</t>
        </is>
      </c>
      <c r="B15" s="6" t="inlineStr">
        <is>
          <t>部屋名を1行1室で登録します。★ここの行数が、そのまま定員（部屋数）になります。</t>
        </is>
      </c>
    </row>
    <row r="16" ht="32" customHeight="1">
      <c r="A16" s="5" t="inlineStr">
        <is>
          <t>③ M_利用者</t>
        </is>
      </c>
      <c r="B16" s="6" t="inlineStr">
        <is>
          <t>氏名と支給量（受給者証の月あたり上限日数）。支給量が空欄の方は残日数を管理しません。</t>
        </is>
      </c>
    </row>
    <row r="17" ht="32" customHeight="1">
      <c r="A17" s="5" t="inlineStr">
        <is>
          <t>④ M_区分・M_送迎</t>
        </is>
      </c>
      <c r="B17" s="6" t="inlineStr">
        <is>
          <t>区分（SS・無料・契約など）と、その区分を支給量に数えるかどうか。★区分名はカレンダーの色分けに使います。M_区分 の上から4つまでが色に対応します。</t>
        </is>
      </c>
    </row>
    <row r="18">
      <c r="A18" s="3" t="inlineStr">
        <is>
          <t>★ 部屋数が施設ごとに違う場合（1室の施設と2室の施設）</t>
        </is>
      </c>
      <c r="B18" s="4" t="n"/>
    </row>
    <row r="19" ht="32" customHeight="1">
      <c r="A19" s="5" t="inlineStr">
        <is>
          <t>同じファイルで使えます</t>
        </is>
      </c>
      <c r="B19" s="6" t="inlineStr">
        <is>
          <t>1室の施設は M_部屋 に1行だけ、2室の施設は2行だけ登録してください。定員・空室数・空き記号（○△×）は全て M_部屋 の行数から計算しているので、シートも数式も一切変えずに両方に対応します。最大4室まで。</t>
        </is>
      </c>
    </row>
    <row r="20" ht="32" customHeight="1">
      <c r="A20" s="5" t="inlineStr">
        <is>
          <t>使わない部屋の行を隠す</t>
        </is>
      </c>
      <c r="B20" s="6" t="inlineStr">
        <is>
          <t>02_カレンダー は各週に「部屋1〜部屋4」の4行があります。1〜2室の施設では、使わない部屋の行（部屋名が空欄の行）をまとめて選択し、右クリック→非表示 にしてください。6週ぶんまとめて選べます。03_帯表・04_月間表 も同様に列を非表示にできます。</t>
        </is>
      </c>
    </row>
    <row r="21" ht="32" customHeight="1">
      <c r="A21" s="5" t="inlineStr">
        <is>
          <t>部屋を減らしたとき</t>
        </is>
      </c>
      <c r="B21" s="6" t="inlineStr">
        <is>
          <t>2室から1室に変更したのに古い予約が「部屋2」のまま残っていると、01_予約入力 のS列に「⚠部屋が未登録」と赤で出ます。その予約の部屋を選び直してください。</t>
        </is>
      </c>
    </row>
    <row r="22" ht="32" customHeight="1">
      <c r="A22" s="5" t="inlineStr">
        <is>
          <t>1室のときの表示</t>
        </is>
      </c>
      <c r="B22" s="6" t="inlineStr">
        <is>
          <t>1室の施設では「△（残りわずか）」は構造上発生せず、必ず ○ か × になります。</t>
        </is>
      </c>
    </row>
    <row r="23" ht="32" customHeight="1">
      <c r="A23" s="5" t="inlineStr">
        <is>
          <t>★ファイルは施設ごとに分ける</t>
        </is>
      </c>
      <c r="B23" s="6" t="inlineStr">
        <is>
          <t>このファイルを施設の数だけコピーして「施設A_管理台帳.xlsx」「施設B_管理台帳.xlsx」のように分けてください。1つのファイルに複数施設を混ぜると、定員が施設ごとに違うため空き判定が成立せず、全ての集計に施設の絞り込みが必要になって必ず崩れます。</t>
        </is>
      </c>
    </row>
    <row r="24">
      <c r="A24" s="3" t="inlineStr">
        <is>
          <t>カレンダーの記号の読み方</t>
        </is>
      </c>
      <c r="B24" s="4" t="n"/>
    </row>
    <row r="25" ht="32" customHeight="1">
      <c r="A25" s="5" t="inlineStr">
        <is>
          <t>▶ 利用者A</t>
        </is>
      </c>
      <c r="B25" s="6" t="inlineStr">
        <is>
          <t>その日が入所日。ここから滞在が始まります。</t>
        </is>
      </c>
    </row>
    <row r="26" ht="32" customHeight="1">
      <c r="A26" s="5" t="inlineStr">
        <is>
          <t>利用者A</t>
        </is>
      </c>
      <c r="B26" s="6" t="inlineStr">
        <is>
          <t>記号なしは連泊の中日。前の日から続いています。</t>
        </is>
      </c>
    </row>
    <row r="27" ht="32" customHeight="1">
      <c r="A27" s="5" t="inlineStr">
        <is>
          <t>利用者A ◀</t>
        </is>
      </c>
      <c r="B27" s="6" t="inlineStr">
        <is>
          <t>その日が退所日。朝に退所するので、★その日の夜はもう次の方が入れます。</t>
        </is>
      </c>
    </row>
    <row r="28" ht="32" customHeight="1">
      <c r="A28" s="5" t="inlineStr">
        <is>
          <t>◆ 利用者A</t>
        </is>
      </c>
      <c r="B28" s="6" t="inlineStr">
        <is>
          <t>日帰り（体験利用）。宿泊しません。</t>
        </is>
      </c>
    </row>
    <row r="29" ht="32" customHeight="1">
      <c r="A29" s="5" t="inlineStr">
        <is>
          <t>空き ○ △ × 仮</t>
        </is>
      </c>
      <c r="B29" s="6" t="inlineStr">
        <is>
          <t>各週のいちばん下の行。○=空室あり／△=残りわずか／×=満室／仮=仮予約で調整中。これは「その日の夜」の空き状況です。</t>
        </is>
      </c>
    </row>
    <row r="30">
      <c r="A30" s="3" t="inlineStr">
        <is>
          <t>数え方の定義（全シート共通のルール）</t>
        </is>
      </c>
      <c r="B30" s="4" t="n"/>
    </row>
    <row r="31" ht="32" customHeight="1">
      <c r="A31" s="5" t="inlineStr">
        <is>
          <t>利用日数</t>
        </is>
      </c>
      <c r="B31" s="6" t="inlineStr">
        <is>
          <t>入所日から退所日までの暦日数。両端を含みます（4/1入所・4/3退所 = 3日）。</t>
        </is>
      </c>
    </row>
    <row r="32" ht="32" customHeight="1">
      <c r="A32" s="5" t="inlineStr">
        <is>
          <t>宿泊数</t>
        </is>
      </c>
      <c r="B32" s="6" t="inlineStr">
        <is>
          <t>退所日 − 入所日（4/1入所・4/3退所 = 2泊）。</t>
        </is>
      </c>
    </row>
    <row r="33" ht="32" customHeight="1">
      <c r="A33" s="5" t="inlineStr">
        <is>
          <t>日帰り（体験利用）</t>
        </is>
      </c>
      <c r="B33" s="6" t="inlineStr">
        <is>
          <t>入所日 = 退所日。1利用日・0泊。食事は昼のみが既定です。</t>
        </is>
      </c>
    </row>
    <row r="34" ht="32" customHeight="1">
      <c r="A34" s="5" t="inlineStr">
        <is>
          <t>空室の判定</t>
        </is>
      </c>
      <c r="B34" s="6" t="inlineStr">
        <is>
          <t>「その日の夜に泊まるか」で見ます。★退所日の当日の夜は空き扱いです（次の方が入れます）。カレンダーで退所日に名前が出ていても、その夜は空いています。</t>
        </is>
      </c>
    </row>
    <row r="35" ht="32" customHeight="1">
      <c r="A35" s="5" t="inlineStr">
        <is>
          <t>集計に入る予約</t>
        </is>
      </c>
      <c r="B35" s="6" t="inlineStr">
        <is>
          <t>確定・利用済み・仮予約・調整中は集計に入り、キャンセルだけが除外されます。キャンセルは行を削除せず、状態を「キャンセル」に変えて記録として残してください。</t>
        </is>
      </c>
    </row>
    <row r="36" ht="32" customHeight="1">
      <c r="A36" s="5" t="inlineStr">
        <is>
          <t>食事の既定</t>
        </is>
      </c>
      <c r="B36" s="6" t="inlineStr">
        <is>
          <t>日帰り=昼のみ ／ 初日=夕 ／ 中日=朝昼夕 ／ 最終日=朝。例外だけ 06_食数表 の「調整」列に実数を入れると、そちらが優先されます。</t>
        </is>
      </c>
    </row>
    <row r="37">
      <c r="A37" s="3" t="inlineStr">
        <is>
          <t>セルの色の意味</t>
        </is>
      </c>
      <c r="B37" s="4" t="n"/>
    </row>
    <row r="38" ht="32" customHeight="1">
      <c r="A38" s="5" t="inlineStr">
        <is>
          <t>うすい黄色</t>
        </is>
      </c>
      <c r="B38" s="6" t="inlineStr">
        <is>
          <t>手で入力するセルです。</t>
        </is>
      </c>
    </row>
    <row r="39" ht="32" customHeight="1">
      <c r="A39" s="5" t="inlineStr">
        <is>
          <t>うすい灰色（斜体）</t>
        </is>
      </c>
      <c r="B39" s="6" t="inlineStr">
        <is>
          <t>自動計算です。上書きすると壊れます。触らないでください。</t>
        </is>
      </c>
    </row>
    <row r="40" ht="32" customHeight="1">
      <c r="A40" s="5" t="inlineStr">
        <is>
          <t>赤・オレンジ</t>
        </is>
      </c>
      <c r="B40" s="6" t="inlineStr">
        <is>
          <t>警告です。ダブルブッキング（⚠重複）・支給量オーバー・未登録の部屋を知らせます。</t>
        </is>
      </c>
    </row>
    <row r="41">
      <c r="A41" s="3" t="inlineStr">
        <is>
          <t>毎日の使い方</t>
        </is>
      </c>
      <c r="B41" s="4" t="n"/>
    </row>
    <row r="42" ht="32" customHeight="1">
      <c r="A42" s="5" t="inlineStr">
        <is>
          <t>予約が入ったら</t>
        </is>
      </c>
      <c r="B42" s="6" t="inlineStr">
        <is>
          <t>01_予約入力 の空いている行に、1滞在=1行で入れます。S列・T列が赤くならないことだけ確認してください。</t>
        </is>
      </c>
    </row>
    <row r="43" ht="32" customHeight="1">
      <c r="A43" s="5" t="inlineStr">
        <is>
          <t>入れたあと確認</t>
        </is>
      </c>
      <c r="B43" s="6" t="inlineStr">
        <is>
          <t>02_カレンダー を見て、意図した期間に帯が出ているかを目で確かめます。</t>
        </is>
      </c>
    </row>
    <row r="44" ht="32" customHeight="1">
      <c r="A44" s="5" t="inlineStr">
        <is>
          <t>「空いてますか」</t>
        </is>
      </c>
      <c r="B44" s="6" t="inlineStr">
        <is>
          <t>05_空室照会 に日付を2つ入れるだけです。</t>
        </is>
      </c>
    </row>
    <row r="45" ht="32" customHeight="1">
      <c r="A45" s="5" t="inlineStr">
        <is>
          <t>月を切り替える</t>
        </is>
      </c>
      <c r="B45" s="6" t="inlineStr">
        <is>
          <t>★02_カレンダー の「対象月」を変えると、03_帯表・06_食数表・09_FAX空き表 の月も一緒に変わります。</t>
        </is>
      </c>
    </row>
    <row r="46">
      <c r="A46" s="3" t="inlineStr">
        <is>
          <t>バックアップ</t>
        </is>
      </c>
      <c r="B46" s="4" t="n"/>
    </row>
    <row r="47" ht="32" customHeight="1">
      <c r="A47" s="5" t="inlineStr">
        <is>
          <t>月に一度はコピーを</t>
        </is>
      </c>
      <c r="B47" s="6" t="inlineStr">
        <is>
          <t>このファイル自体が台帳です。月初に「YYYYMM_管理台帳.xlsx」の名前でコピーを別フォルダに残してください。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8" customWidth="1" min="10" max="10"/>
    <col width="11" customWidth="1" min="11" max="11"/>
    <col width="9" customWidth="1" min="12" max="12"/>
    <col width="16" customWidth="1" min="13" max="13"/>
    <col width="20" customWidth="1" min="14" max="14"/>
    <col width="16" customWidth="1" min="15" max="15"/>
    <col width="30" customWidth="1" min="16" max="16"/>
    <col width="12" customWidth="1" min="17" max="17"/>
    <col width="12" customWidth="1" min="18" max="18"/>
    <col width="17" customWidth="1" min="19" max="19"/>
    <col width="15" customWidth="1" min="20" max="20"/>
    <col width="13" customWidth="1" min="21" max="21"/>
  </cols>
  <sheetData>
    <row r="1">
      <c r="A1" s="1" t="inlineStr">
        <is>
          <t>予約入力（1滞在 = 1行）</t>
        </is>
      </c>
    </row>
    <row r="2">
      <c r="A2" s="2" t="inlineStr">
        <is>
          <t>黄色の列だけ入力します。灰色は自動計算。S列・T列が赤くなったら、その行を直してください。入れたあとは 02_カレンダー で帯を目視確認してください。</t>
        </is>
      </c>
    </row>
    <row r="4" ht="30" customHeight="1">
      <c r="A4" s="7" t="inlineStr">
        <is>
          <t>予約ID</t>
        </is>
      </c>
      <c r="B4" s="7" t="inlineStr">
        <is>
          <t>氏名</t>
        </is>
      </c>
      <c r="C4" s="7" t="inlineStr">
        <is>
          <t>区分</t>
        </is>
      </c>
      <c r="D4" s="7" t="inlineStr">
        <is>
          <t>部屋</t>
        </is>
      </c>
      <c r="E4" s="7" t="inlineStr">
        <is>
          <t>入所日</t>
        </is>
      </c>
      <c r="F4" s="7" t="inlineStr">
        <is>
          <t>入所時刻</t>
        </is>
      </c>
      <c r="G4" s="7" t="inlineStr">
        <is>
          <t>退所予定日</t>
        </is>
      </c>
      <c r="H4" s="7" t="inlineStr">
        <is>
          <t>退所時刻</t>
        </is>
      </c>
      <c r="I4" s="7" t="inlineStr">
        <is>
          <t>利用日数</t>
        </is>
      </c>
      <c r="J4" s="7" t="inlineStr">
        <is>
          <t>宿泊数</t>
        </is>
      </c>
      <c r="K4" s="7" t="inlineStr">
        <is>
          <t>予約状態</t>
        </is>
      </c>
      <c r="L4" s="7" t="inlineStr">
        <is>
          <t>送迎</t>
        </is>
      </c>
      <c r="M4" s="7" t="inlineStr">
        <is>
          <t>送迎方法</t>
        </is>
      </c>
      <c r="N4" s="7" t="inlineStr">
        <is>
          <t>送迎場所・時間帯</t>
        </is>
      </c>
      <c r="O4" s="7" t="inlineStr">
        <is>
          <t>外部サービス</t>
        </is>
      </c>
      <c r="P4" s="7" t="inlineStr">
        <is>
          <t>備考</t>
        </is>
      </c>
      <c r="Q4" s="7" t="inlineStr">
        <is>
          <t>更新日</t>
        </is>
      </c>
      <c r="R4" s="7" t="inlineStr">
        <is>
          <t>更新者</t>
        </is>
      </c>
      <c r="S4" s="7" t="inlineStr">
        <is>
          <t>⚠重複・部屋チェック</t>
        </is>
      </c>
      <c r="T4" s="7" t="inlineStr">
        <is>
          <t>⚠支給量チェック</t>
        </is>
      </c>
      <c r="U4" s="7" t="inlineStr">
        <is>
          <t>支給量対象日数</t>
        </is>
      </c>
    </row>
    <row r="5">
      <c r="A5" s="8">
        <f>IF($E5="","","SS-"&amp;TEXT(ROW()-4,"0000"))</f>
        <v/>
      </c>
      <c r="B5" s="9" t="inlineStr">
        <is>
          <t>利用者A</t>
        </is>
      </c>
      <c r="C5" s="9" t="inlineStr">
        <is>
          <t>SS</t>
        </is>
      </c>
      <c r="D5" s="9" t="inlineStr">
        <is>
          <t>部屋1</t>
        </is>
      </c>
      <c r="E5" s="10" t="n">
        <v>46118</v>
      </c>
      <c r="F5" s="11" t="inlineStr">
        <is>
          <t>16:00</t>
        </is>
      </c>
      <c r="G5" s="10" t="n">
        <v>46120</v>
      </c>
      <c r="H5" s="11" t="inlineStr">
        <is>
          <t>09:00</t>
        </is>
      </c>
      <c r="I5" s="8">
        <f>IF(OR($E5="",$G5=""),"",$G5-$E5+1)</f>
        <v/>
      </c>
      <c r="J5" s="8">
        <f>IF(OR($E5="",$G5=""),"",$G5-$E5)</f>
        <v/>
      </c>
      <c r="K5" s="9" t="inlineStr">
        <is>
          <t>確定</t>
        </is>
      </c>
      <c r="L5" s="9" t="inlineStr">
        <is>
          <t>あり</t>
        </is>
      </c>
      <c r="M5" s="9" t="inlineStr">
        <is>
          <t>施設車</t>
        </is>
      </c>
      <c r="N5" s="9" t="inlineStr">
        <is>
          <t>自宅前 16:00</t>
        </is>
      </c>
      <c r="O5" s="9" t="inlineStr"/>
      <c r="P5" s="9" t="inlineStr">
        <is>
          <t>サンプル行です。削除してお使いください</t>
        </is>
      </c>
      <c r="Q5" s="10" t="n"/>
      <c r="R5" s="9" t="n"/>
      <c r="S5" s="8">
        <f>IF($D5="","",IF(COUNTIF('M_部屋'!$A$4:$A$20,$D5)=0,"⚠部屋が未登録",IF(OR($E5="",$G5="",$K5="キャンセル"),"",IF(SUMPRODUCT(($D$5:$D$204=$D5)*($E$5:$E$204&lt;&gt;"")*($G$5:$G$204&lt;&gt;"")*($K$5:$K$204&lt;&gt;"キャンセル")*($E$5:$E$204&lt;$G5)*($G$5:$G$204&gt;$E5))&gt;1,"⚠重複",""))))</f>
        <v/>
      </c>
      <c r="T5" s="8">
        <f>IF(OR($B5="",$E5=""),"",IF(SUMPRODUCT(('M_利用者'!$A$4:$A$60=$B5)*('M_利用者'!$B$4:$B$60&lt;&gt;""))=0,"",IF(SUMIFS($U$5:$U$204,$B$5:$B$204,$B5,$E$5:$E$204,"&gt;="&amp;DATE(YEAR($E5),MONTH($E5),1),$E$5:$E$204,"&lt;="&amp;EOMONTH($E5,0))&gt;SUMIFS('M_利用者'!$B$4:$B$60,'M_利用者'!$A$4:$A$60,$B5),"⚠支給量超過","")))</f>
        <v/>
      </c>
      <c r="U5" s="8">
        <f>IF(OR($E5="",$G5="",$K5="キャンセル"),0,IF(IFERROR(INDEX('M_区分'!$B$4:$B$20,MATCH($C5,'M_区分'!$A$4:$A$20,0)),"○")="○",$G5-$E5+1,0))</f>
        <v/>
      </c>
    </row>
    <row r="6">
      <c r="A6" s="8">
        <f>IF($E6="","","SS-"&amp;TEXT(ROW()-4,"0000"))</f>
        <v/>
      </c>
      <c r="B6" s="9" t="inlineStr">
        <is>
          <t>利用者B</t>
        </is>
      </c>
      <c r="C6" s="9" t="inlineStr">
        <is>
          <t>契約</t>
        </is>
      </c>
      <c r="D6" s="9" t="inlineStr">
        <is>
          <t>部屋2</t>
        </is>
      </c>
      <c r="E6" s="10" t="n">
        <v>46118</v>
      </c>
      <c r="F6" s="11" t="inlineStr">
        <is>
          <t>16:30</t>
        </is>
      </c>
      <c r="G6" s="10" t="n">
        <v>46119</v>
      </c>
      <c r="H6" s="11" t="inlineStr">
        <is>
          <t>09:00</t>
        </is>
      </c>
      <c r="I6" s="8">
        <f>IF(OR($E6="",$G6=""),"",$G6-$E6+1)</f>
        <v/>
      </c>
      <c r="J6" s="8">
        <f>IF(OR($E6="",$G6=""),"",$G6-$E6)</f>
        <v/>
      </c>
      <c r="K6" s="9" t="inlineStr">
        <is>
          <t>確定</t>
        </is>
      </c>
      <c r="L6" s="9" t="inlineStr">
        <is>
          <t>なし</t>
        </is>
      </c>
      <c r="M6" s="9" t="inlineStr"/>
      <c r="N6" s="9" t="inlineStr"/>
      <c r="O6" s="9" t="inlineStr"/>
      <c r="P6" s="9" t="inlineStr"/>
      <c r="Q6" s="10" t="n"/>
      <c r="R6" s="9" t="n"/>
      <c r="S6" s="8">
        <f>IF($D6="","",IF(COUNTIF('M_部屋'!$A$4:$A$20,$D6)=0,"⚠部屋が未登録",IF(OR($E6="",$G6="",$K6="キャンセル"),"",IF(SUMPRODUCT(($D$5:$D$204=$D6)*($E$5:$E$204&lt;&gt;"")*($G$5:$G$204&lt;&gt;"")*($K$5:$K$204&lt;&gt;"キャンセル")*($E$5:$E$204&lt;$G6)*($G$5:$G$204&gt;$E6))&gt;1,"⚠重複",""))))</f>
        <v/>
      </c>
      <c r="T6" s="8">
        <f>IF(OR($B6="",$E6=""),"",IF(SUMPRODUCT(('M_利用者'!$A$4:$A$60=$B6)*('M_利用者'!$B$4:$B$60&lt;&gt;""))=0,"",IF(SUMIFS($U$5:$U$204,$B$5:$B$204,$B6,$E$5:$E$204,"&gt;="&amp;DATE(YEAR($E6),MONTH($E6),1),$E$5:$E$204,"&lt;="&amp;EOMONTH($E6,0))&gt;SUMIFS('M_利用者'!$B$4:$B$60,'M_利用者'!$A$4:$A$60,$B6),"⚠支給量超過","")))</f>
        <v/>
      </c>
      <c r="U6" s="8">
        <f>IF(OR($E6="",$G6="",$K6="キャンセル"),0,IF(IFERROR(INDEX('M_区分'!$B$4:$B$20,MATCH($C6,'M_区分'!$A$4:$A$20,0)),"○")="○",$G6-$E6+1,0))</f>
        <v/>
      </c>
    </row>
    <row r="7">
      <c r="A7" s="8">
        <f>IF($E7="","","SS-"&amp;TEXT(ROW()-4,"0000"))</f>
        <v/>
      </c>
      <c r="B7" s="9" t="inlineStr">
        <is>
          <t>利用者C</t>
        </is>
      </c>
      <c r="C7" s="9" t="inlineStr">
        <is>
          <t>無料</t>
        </is>
      </c>
      <c r="D7" s="9" t="inlineStr">
        <is>
          <t>部屋1</t>
        </is>
      </c>
      <c r="E7" s="10" t="n">
        <v>46123</v>
      </c>
      <c r="F7" s="11" t="inlineStr">
        <is>
          <t>10:00</t>
        </is>
      </c>
      <c r="G7" s="10" t="n">
        <v>46123</v>
      </c>
      <c r="H7" s="11" t="inlineStr">
        <is>
          <t>16:00</t>
        </is>
      </c>
      <c r="I7" s="8">
        <f>IF(OR($E7="",$G7=""),"",$G7-$E7+1)</f>
        <v/>
      </c>
      <c r="J7" s="8">
        <f>IF(OR($E7="",$G7=""),"",$G7-$E7)</f>
        <v/>
      </c>
      <c r="K7" s="9" t="inlineStr">
        <is>
          <t>確定</t>
        </is>
      </c>
      <c r="L7" s="9" t="inlineStr">
        <is>
          <t>あり</t>
        </is>
      </c>
      <c r="M7" s="9" t="inlineStr">
        <is>
          <t>家族送迎</t>
        </is>
      </c>
      <c r="N7" s="9" t="inlineStr"/>
      <c r="O7" s="9" t="inlineStr"/>
      <c r="P7" s="9" t="inlineStr">
        <is>
          <t>日帰り（体験利用）の例：入所日と退所日が同じ</t>
        </is>
      </c>
      <c r="Q7" s="10" t="n"/>
      <c r="R7" s="9" t="n"/>
      <c r="S7" s="8">
        <f>IF($D7="","",IF(COUNTIF('M_部屋'!$A$4:$A$20,$D7)=0,"⚠部屋が未登録",IF(OR($E7="",$G7="",$K7="キャンセル"),"",IF(SUMPRODUCT(($D$5:$D$204=$D7)*($E$5:$E$204&lt;&gt;"")*($G$5:$G$204&lt;&gt;"")*($K$5:$K$204&lt;&gt;"キャンセル")*($E$5:$E$204&lt;$G7)*($G$5:$G$204&gt;$E7))&gt;1,"⚠重複",""))))</f>
        <v/>
      </c>
      <c r="T7" s="8">
        <f>IF(OR($B7="",$E7=""),"",IF(SUMPRODUCT(('M_利用者'!$A$4:$A$60=$B7)*('M_利用者'!$B$4:$B$60&lt;&gt;""))=0,"",IF(SUMIFS($U$5:$U$204,$B$5:$B$204,$B7,$E$5:$E$204,"&gt;="&amp;DATE(YEAR($E7),MONTH($E7),1),$E$5:$E$204,"&lt;="&amp;EOMONTH($E7,0))&gt;SUMIFS('M_利用者'!$B$4:$B$60,'M_利用者'!$A$4:$A$60,$B7),"⚠支給量超過","")))</f>
        <v/>
      </c>
      <c r="U7" s="8">
        <f>IF(OR($E7="",$G7="",$K7="キャンセル"),0,IF(IFERROR(INDEX('M_区分'!$B$4:$B$20,MATCH($C7,'M_区分'!$A$4:$A$20,0)),"○")="○",$G7-$E7+1,0))</f>
        <v/>
      </c>
    </row>
    <row r="8">
      <c r="A8" s="8">
        <f>IF($E8="","","SS-"&amp;TEXT(ROW()-4,"0000"))</f>
        <v/>
      </c>
      <c r="B8" s="9" t="inlineStr">
        <is>
          <t>利用者A</t>
        </is>
      </c>
      <c r="C8" s="9" t="inlineStr">
        <is>
          <t>SS</t>
        </is>
      </c>
      <c r="D8" s="9" t="inlineStr">
        <is>
          <t>部屋1</t>
        </is>
      </c>
      <c r="E8" s="10" t="n">
        <v>46132</v>
      </c>
      <c r="F8" s="11" t="inlineStr">
        <is>
          <t>16:00</t>
        </is>
      </c>
      <c r="G8" s="10" t="n">
        <v>46136</v>
      </c>
      <c r="H8" s="11" t="inlineStr">
        <is>
          <t>09:00</t>
        </is>
      </c>
      <c r="I8" s="8">
        <f>IF(OR($E8="",$G8=""),"",$G8-$E8+1)</f>
        <v/>
      </c>
      <c r="J8" s="8">
        <f>IF(OR($E8="",$G8=""),"",$G8-$E8)</f>
        <v/>
      </c>
      <c r="K8" s="9" t="inlineStr">
        <is>
          <t>仮予約</t>
        </is>
      </c>
      <c r="L8" s="9" t="inlineStr">
        <is>
          <t>調整中</t>
        </is>
      </c>
      <c r="M8" s="9" t="inlineStr"/>
      <c r="N8" s="9" t="inlineStr"/>
      <c r="O8" s="9" t="inlineStr"/>
      <c r="P8" s="9" t="inlineStr">
        <is>
          <t>仮予約の例</t>
        </is>
      </c>
      <c r="Q8" s="10" t="n"/>
      <c r="R8" s="9" t="n"/>
      <c r="S8" s="8">
        <f>IF($D8="","",IF(COUNTIF('M_部屋'!$A$4:$A$20,$D8)=0,"⚠部屋が未登録",IF(OR($E8="",$G8="",$K8="キャンセル"),"",IF(SUMPRODUCT(($D$5:$D$204=$D8)*($E$5:$E$204&lt;&gt;"")*($G$5:$G$204&lt;&gt;"")*($K$5:$K$204&lt;&gt;"キャンセル")*($E$5:$E$204&lt;$G8)*($G$5:$G$204&gt;$E8))&gt;1,"⚠重複",""))))</f>
        <v/>
      </c>
      <c r="T8" s="8">
        <f>IF(OR($B8="",$E8=""),"",IF(SUMPRODUCT(('M_利用者'!$A$4:$A$60=$B8)*('M_利用者'!$B$4:$B$60&lt;&gt;""))=0,"",IF(SUMIFS($U$5:$U$204,$B$5:$B$204,$B8,$E$5:$E$204,"&gt;="&amp;DATE(YEAR($E8),MONTH($E8),1),$E$5:$E$204,"&lt;="&amp;EOMONTH($E8,0))&gt;SUMIFS('M_利用者'!$B$4:$B$60,'M_利用者'!$A$4:$A$60,$B8),"⚠支給量超過","")))</f>
        <v/>
      </c>
      <c r="U8" s="8">
        <f>IF(OR($E8="",$G8="",$K8="キャンセル"),0,IF(IFERROR(INDEX('M_区分'!$B$4:$B$20,MATCH($C8,'M_区分'!$A$4:$A$20,0)),"○")="○",$G8-$E8+1,0))</f>
        <v/>
      </c>
    </row>
    <row r="9">
      <c r="A9" s="8">
        <f>IF($E9="","","SS-"&amp;TEXT(ROW()-4,"0000"))</f>
        <v/>
      </c>
      <c r="B9" s="9" t="n"/>
      <c r="C9" s="9" t="n"/>
      <c r="D9" s="9" t="n"/>
      <c r="E9" s="10" t="n"/>
      <c r="F9" s="11" t="n"/>
      <c r="G9" s="10" t="n"/>
      <c r="H9" s="11" t="n"/>
      <c r="I9" s="8">
        <f>IF(OR($E9="",$G9=""),"",$G9-$E9+1)</f>
        <v/>
      </c>
      <c r="J9" s="8">
        <f>IF(OR($E9="",$G9=""),"",$G9-$E9)</f>
        <v/>
      </c>
      <c r="K9" s="9" t="n"/>
      <c r="L9" s="9" t="n"/>
      <c r="M9" s="9" t="n"/>
      <c r="N9" s="9" t="n"/>
      <c r="O9" s="9" t="n"/>
      <c r="P9" s="9" t="n"/>
      <c r="Q9" s="10" t="n"/>
      <c r="R9" s="9" t="n"/>
      <c r="S9" s="8">
        <f>IF($D9="","",IF(COUNTIF('M_部屋'!$A$4:$A$20,$D9)=0,"⚠部屋が未登録",IF(OR($E9="",$G9="",$K9="キャンセル"),"",IF(SUMPRODUCT(($D$5:$D$204=$D9)*($E$5:$E$204&lt;&gt;"")*($G$5:$G$204&lt;&gt;"")*($K$5:$K$204&lt;&gt;"キャンセル")*($E$5:$E$204&lt;$G9)*($G$5:$G$204&gt;$E9))&gt;1,"⚠重複",""))))</f>
        <v/>
      </c>
      <c r="T9" s="8">
        <f>IF(OR($B9="",$E9=""),"",IF(SUMPRODUCT(('M_利用者'!$A$4:$A$60=$B9)*('M_利用者'!$B$4:$B$60&lt;&gt;""))=0,"",IF(SUMIFS($U$5:$U$204,$B$5:$B$204,$B9,$E$5:$E$204,"&gt;="&amp;DATE(YEAR($E9),MONTH($E9),1),$E$5:$E$204,"&lt;="&amp;EOMONTH($E9,0))&gt;SUMIFS('M_利用者'!$B$4:$B$60,'M_利用者'!$A$4:$A$60,$B9),"⚠支給量超過","")))</f>
        <v/>
      </c>
      <c r="U9" s="8">
        <f>IF(OR($E9="",$G9="",$K9="キャンセル"),0,IF(IFERROR(INDEX('M_区分'!$B$4:$B$20,MATCH($C9,'M_区分'!$A$4:$A$20,0)),"○")="○",$G9-$E9+1,0))</f>
        <v/>
      </c>
    </row>
    <row r="10">
      <c r="A10" s="8">
        <f>IF($E10="","","SS-"&amp;TEXT(ROW()-4,"0000"))</f>
        <v/>
      </c>
      <c r="B10" s="9" t="n"/>
      <c r="C10" s="9" t="n"/>
      <c r="D10" s="9" t="n"/>
      <c r="E10" s="10" t="n"/>
      <c r="F10" s="11" t="n"/>
      <c r="G10" s="10" t="n"/>
      <c r="H10" s="11" t="n"/>
      <c r="I10" s="8">
        <f>IF(OR($E10="",$G10=""),"",$G10-$E10+1)</f>
        <v/>
      </c>
      <c r="J10" s="8">
        <f>IF(OR($E10="",$G10=""),"",$G10-$E10)</f>
        <v/>
      </c>
      <c r="K10" s="9" t="n"/>
      <c r="L10" s="9" t="n"/>
      <c r="M10" s="9" t="n"/>
      <c r="N10" s="9" t="n"/>
      <c r="O10" s="9" t="n"/>
      <c r="P10" s="9" t="n"/>
      <c r="Q10" s="10" t="n"/>
      <c r="R10" s="9" t="n"/>
      <c r="S10" s="8">
        <f>IF($D10="","",IF(COUNTIF('M_部屋'!$A$4:$A$20,$D10)=0,"⚠部屋が未登録",IF(OR($E10="",$G10="",$K10="キャンセル"),"",IF(SUMPRODUCT(($D$5:$D$204=$D10)*($E$5:$E$204&lt;&gt;"")*($G$5:$G$204&lt;&gt;"")*($K$5:$K$204&lt;&gt;"キャンセル")*($E$5:$E$204&lt;$G10)*($G$5:$G$204&gt;$E10))&gt;1,"⚠重複",""))))</f>
        <v/>
      </c>
      <c r="T10" s="8">
        <f>IF(OR($B10="",$E10=""),"",IF(SUMPRODUCT(('M_利用者'!$A$4:$A$60=$B10)*('M_利用者'!$B$4:$B$60&lt;&gt;""))=0,"",IF(SUMIFS($U$5:$U$204,$B$5:$B$204,$B10,$E$5:$E$204,"&gt;="&amp;DATE(YEAR($E10),MONTH($E10),1),$E$5:$E$204,"&lt;="&amp;EOMONTH($E10,0))&gt;SUMIFS('M_利用者'!$B$4:$B$60,'M_利用者'!$A$4:$A$60,$B10),"⚠支給量超過","")))</f>
        <v/>
      </c>
      <c r="U10" s="8">
        <f>IF(OR($E10="",$G10="",$K10="キャンセル"),0,IF(IFERROR(INDEX('M_区分'!$B$4:$B$20,MATCH($C10,'M_区分'!$A$4:$A$20,0)),"○")="○",$G10-$E10+1,0))</f>
        <v/>
      </c>
    </row>
    <row r="11">
      <c r="A11" s="8">
        <f>IF($E11="","","SS-"&amp;TEXT(ROW()-4,"0000"))</f>
        <v/>
      </c>
      <c r="B11" s="9" t="n"/>
      <c r="C11" s="9" t="n"/>
      <c r="D11" s="9" t="n"/>
      <c r="E11" s="10" t="n"/>
      <c r="F11" s="11" t="n"/>
      <c r="G11" s="10" t="n"/>
      <c r="H11" s="11" t="n"/>
      <c r="I11" s="8">
        <f>IF(OR($E11="",$G11=""),"",$G11-$E11+1)</f>
        <v/>
      </c>
      <c r="J11" s="8">
        <f>IF(OR($E11="",$G11=""),"",$G11-$E11)</f>
        <v/>
      </c>
      <c r="K11" s="9" t="n"/>
      <c r="L11" s="9" t="n"/>
      <c r="M11" s="9" t="n"/>
      <c r="N11" s="9" t="n"/>
      <c r="O11" s="9" t="n"/>
      <c r="P11" s="9" t="n"/>
      <c r="Q11" s="10" t="n"/>
      <c r="R11" s="9" t="n"/>
      <c r="S11" s="8">
        <f>IF($D11="","",IF(COUNTIF('M_部屋'!$A$4:$A$20,$D11)=0,"⚠部屋が未登録",IF(OR($E11="",$G11="",$K11="キャンセル"),"",IF(SUMPRODUCT(($D$5:$D$204=$D11)*($E$5:$E$204&lt;&gt;"")*($G$5:$G$204&lt;&gt;"")*($K$5:$K$204&lt;&gt;"キャンセル")*($E$5:$E$204&lt;$G11)*($G$5:$G$204&gt;$E11))&gt;1,"⚠重複",""))))</f>
        <v/>
      </c>
      <c r="T11" s="8">
        <f>IF(OR($B11="",$E11=""),"",IF(SUMPRODUCT(('M_利用者'!$A$4:$A$60=$B11)*('M_利用者'!$B$4:$B$60&lt;&gt;""))=0,"",IF(SUMIFS($U$5:$U$204,$B$5:$B$204,$B11,$E$5:$E$204,"&gt;="&amp;DATE(YEAR($E11),MONTH($E11),1),$E$5:$E$204,"&lt;="&amp;EOMONTH($E11,0))&gt;SUMIFS('M_利用者'!$B$4:$B$60,'M_利用者'!$A$4:$A$60,$B11),"⚠支給量超過","")))</f>
        <v/>
      </c>
      <c r="U11" s="8">
        <f>IF(OR($E11="",$G11="",$K11="キャンセル"),0,IF(IFERROR(INDEX('M_区分'!$B$4:$B$20,MATCH($C11,'M_区分'!$A$4:$A$20,0)),"○")="○",$G11-$E11+1,0))</f>
        <v/>
      </c>
    </row>
    <row r="12">
      <c r="A12" s="8">
        <f>IF($E12="","","SS-"&amp;TEXT(ROW()-4,"0000"))</f>
        <v/>
      </c>
      <c r="B12" s="9" t="n"/>
      <c r="C12" s="9" t="n"/>
      <c r="D12" s="9" t="n"/>
      <c r="E12" s="10" t="n"/>
      <c r="F12" s="11" t="n"/>
      <c r="G12" s="10" t="n"/>
      <c r="H12" s="11" t="n"/>
      <c r="I12" s="8">
        <f>IF(OR($E12="",$G12=""),"",$G12-$E12+1)</f>
        <v/>
      </c>
      <c r="J12" s="8">
        <f>IF(OR($E12="",$G12=""),"",$G12-$E12)</f>
        <v/>
      </c>
      <c r="K12" s="9" t="n"/>
      <c r="L12" s="9" t="n"/>
      <c r="M12" s="9" t="n"/>
      <c r="N12" s="9" t="n"/>
      <c r="O12" s="9" t="n"/>
      <c r="P12" s="9" t="n"/>
      <c r="Q12" s="10" t="n"/>
      <c r="R12" s="9" t="n"/>
      <c r="S12" s="8">
        <f>IF($D12="","",IF(COUNTIF('M_部屋'!$A$4:$A$20,$D12)=0,"⚠部屋が未登録",IF(OR($E12="",$G12="",$K12="キャンセル"),"",IF(SUMPRODUCT(($D$5:$D$204=$D12)*($E$5:$E$204&lt;&gt;"")*($G$5:$G$204&lt;&gt;"")*($K$5:$K$204&lt;&gt;"キャンセル")*($E$5:$E$204&lt;$G12)*($G$5:$G$204&gt;$E12))&gt;1,"⚠重複",""))))</f>
        <v/>
      </c>
      <c r="T12" s="8">
        <f>IF(OR($B12="",$E12=""),"",IF(SUMPRODUCT(('M_利用者'!$A$4:$A$60=$B12)*('M_利用者'!$B$4:$B$60&lt;&gt;""))=0,"",IF(SUMIFS($U$5:$U$204,$B$5:$B$204,$B12,$E$5:$E$204,"&gt;="&amp;DATE(YEAR($E12),MONTH($E12),1),$E$5:$E$204,"&lt;="&amp;EOMONTH($E12,0))&gt;SUMIFS('M_利用者'!$B$4:$B$60,'M_利用者'!$A$4:$A$60,$B12),"⚠支給量超過","")))</f>
        <v/>
      </c>
      <c r="U12" s="8">
        <f>IF(OR($E12="",$G12="",$K12="キャンセル"),0,IF(IFERROR(INDEX('M_区分'!$B$4:$B$20,MATCH($C12,'M_区分'!$A$4:$A$20,0)),"○")="○",$G12-$E12+1,0))</f>
        <v/>
      </c>
    </row>
    <row r="13">
      <c r="A13" s="8">
        <f>IF($E13="","","SS-"&amp;TEXT(ROW()-4,"0000"))</f>
        <v/>
      </c>
      <c r="B13" s="9" t="n"/>
      <c r="C13" s="9" t="n"/>
      <c r="D13" s="9" t="n"/>
      <c r="E13" s="10" t="n"/>
      <c r="F13" s="11" t="n"/>
      <c r="G13" s="10" t="n"/>
      <c r="H13" s="11" t="n"/>
      <c r="I13" s="8">
        <f>IF(OR($E13="",$G13=""),"",$G13-$E13+1)</f>
        <v/>
      </c>
      <c r="J13" s="8">
        <f>IF(OR($E13="",$G13=""),"",$G13-$E13)</f>
        <v/>
      </c>
      <c r="K13" s="9" t="n"/>
      <c r="L13" s="9" t="n"/>
      <c r="M13" s="9" t="n"/>
      <c r="N13" s="9" t="n"/>
      <c r="O13" s="9" t="n"/>
      <c r="P13" s="9" t="n"/>
      <c r="Q13" s="10" t="n"/>
      <c r="R13" s="9" t="n"/>
      <c r="S13" s="8">
        <f>IF($D13="","",IF(COUNTIF('M_部屋'!$A$4:$A$20,$D13)=0,"⚠部屋が未登録",IF(OR($E13="",$G13="",$K13="キャンセル"),"",IF(SUMPRODUCT(($D$5:$D$204=$D13)*($E$5:$E$204&lt;&gt;"")*($G$5:$G$204&lt;&gt;"")*($K$5:$K$204&lt;&gt;"キャンセル")*($E$5:$E$204&lt;$G13)*($G$5:$G$204&gt;$E13))&gt;1,"⚠重複",""))))</f>
        <v/>
      </c>
      <c r="T13" s="8">
        <f>IF(OR($B13="",$E13=""),"",IF(SUMPRODUCT(('M_利用者'!$A$4:$A$60=$B13)*('M_利用者'!$B$4:$B$60&lt;&gt;""))=0,"",IF(SUMIFS($U$5:$U$204,$B$5:$B$204,$B13,$E$5:$E$204,"&gt;="&amp;DATE(YEAR($E13),MONTH($E13),1),$E$5:$E$204,"&lt;="&amp;EOMONTH($E13,0))&gt;SUMIFS('M_利用者'!$B$4:$B$60,'M_利用者'!$A$4:$A$60,$B13),"⚠支給量超過","")))</f>
        <v/>
      </c>
      <c r="U13" s="8">
        <f>IF(OR($E13="",$G13="",$K13="キャンセル"),0,IF(IFERROR(INDEX('M_区分'!$B$4:$B$20,MATCH($C13,'M_区分'!$A$4:$A$20,0)),"○")="○",$G13-$E13+1,0))</f>
        <v/>
      </c>
    </row>
    <row r="14">
      <c r="A14" s="8">
        <f>IF($E14="","","SS-"&amp;TEXT(ROW()-4,"0000"))</f>
        <v/>
      </c>
      <c r="B14" s="9" t="n"/>
      <c r="C14" s="9" t="n"/>
      <c r="D14" s="9" t="n"/>
      <c r="E14" s="10" t="n"/>
      <c r="F14" s="11" t="n"/>
      <c r="G14" s="10" t="n"/>
      <c r="H14" s="11" t="n"/>
      <c r="I14" s="8">
        <f>IF(OR($E14="",$G14=""),"",$G14-$E14+1)</f>
        <v/>
      </c>
      <c r="J14" s="8">
        <f>IF(OR($E14="",$G14=""),"",$G14-$E14)</f>
        <v/>
      </c>
      <c r="K14" s="9" t="n"/>
      <c r="L14" s="9" t="n"/>
      <c r="M14" s="9" t="n"/>
      <c r="N14" s="9" t="n"/>
      <c r="O14" s="9" t="n"/>
      <c r="P14" s="9" t="n"/>
      <c r="Q14" s="10" t="n"/>
      <c r="R14" s="9" t="n"/>
      <c r="S14" s="8">
        <f>IF($D14="","",IF(COUNTIF('M_部屋'!$A$4:$A$20,$D14)=0,"⚠部屋が未登録",IF(OR($E14="",$G14="",$K14="キャンセル"),"",IF(SUMPRODUCT(($D$5:$D$204=$D14)*($E$5:$E$204&lt;&gt;"")*($G$5:$G$204&lt;&gt;"")*($K$5:$K$204&lt;&gt;"キャンセル")*($E$5:$E$204&lt;$G14)*($G$5:$G$204&gt;$E14))&gt;1,"⚠重複",""))))</f>
        <v/>
      </c>
      <c r="T14" s="8">
        <f>IF(OR($B14="",$E14=""),"",IF(SUMPRODUCT(('M_利用者'!$A$4:$A$60=$B14)*('M_利用者'!$B$4:$B$60&lt;&gt;""))=0,"",IF(SUMIFS($U$5:$U$204,$B$5:$B$204,$B14,$E$5:$E$204,"&gt;="&amp;DATE(YEAR($E14),MONTH($E14),1),$E$5:$E$204,"&lt;="&amp;EOMONTH($E14,0))&gt;SUMIFS('M_利用者'!$B$4:$B$60,'M_利用者'!$A$4:$A$60,$B14),"⚠支給量超過","")))</f>
        <v/>
      </c>
      <c r="U14" s="8">
        <f>IF(OR($E14="",$G14="",$K14="キャンセル"),0,IF(IFERROR(INDEX('M_区分'!$B$4:$B$20,MATCH($C14,'M_区分'!$A$4:$A$20,0)),"○")="○",$G14-$E14+1,0))</f>
        <v/>
      </c>
    </row>
    <row r="15">
      <c r="A15" s="8">
        <f>IF($E15="","","SS-"&amp;TEXT(ROW()-4,"0000"))</f>
        <v/>
      </c>
      <c r="B15" s="9" t="n"/>
      <c r="C15" s="9" t="n"/>
      <c r="D15" s="9" t="n"/>
      <c r="E15" s="10" t="n"/>
      <c r="F15" s="11" t="n"/>
      <c r="G15" s="10" t="n"/>
      <c r="H15" s="11" t="n"/>
      <c r="I15" s="8">
        <f>IF(OR($E15="",$G15=""),"",$G15-$E15+1)</f>
        <v/>
      </c>
      <c r="J15" s="8">
        <f>IF(OR($E15="",$G15=""),"",$G15-$E15)</f>
        <v/>
      </c>
      <c r="K15" s="9" t="n"/>
      <c r="L15" s="9" t="n"/>
      <c r="M15" s="9" t="n"/>
      <c r="N15" s="9" t="n"/>
      <c r="O15" s="9" t="n"/>
      <c r="P15" s="9" t="n"/>
      <c r="Q15" s="10" t="n"/>
      <c r="R15" s="9" t="n"/>
      <c r="S15" s="8">
        <f>IF($D15="","",IF(COUNTIF('M_部屋'!$A$4:$A$20,$D15)=0,"⚠部屋が未登録",IF(OR($E15="",$G15="",$K15="キャンセル"),"",IF(SUMPRODUCT(($D$5:$D$204=$D15)*($E$5:$E$204&lt;&gt;"")*($G$5:$G$204&lt;&gt;"")*($K$5:$K$204&lt;&gt;"キャンセル")*($E$5:$E$204&lt;$G15)*($G$5:$G$204&gt;$E15))&gt;1,"⚠重複",""))))</f>
        <v/>
      </c>
      <c r="T15" s="8">
        <f>IF(OR($B15="",$E15=""),"",IF(SUMPRODUCT(('M_利用者'!$A$4:$A$60=$B15)*('M_利用者'!$B$4:$B$60&lt;&gt;""))=0,"",IF(SUMIFS($U$5:$U$204,$B$5:$B$204,$B15,$E$5:$E$204,"&gt;="&amp;DATE(YEAR($E15),MONTH($E15),1),$E$5:$E$204,"&lt;="&amp;EOMONTH($E15,0))&gt;SUMIFS('M_利用者'!$B$4:$B$60,'M_利用者'!$A$4:$A$60,$B15),"⚠支給量超過","")))</f>
        <v/>
      </c>
      <c r="U15" s="8">
        <f>IF(OR($E15="",$G15="",$K15="キャンセル"),0,IF(IFERROR(INDEX('M_区分'!$B$4:$B$20,MATCH($C15,'M_区分'!$A$4:$A$20,0)),"○")="○",$G15-$E15+1,0))</f>
        <v/>
      </c>
    </row>
    <row r="16">
      <c r="A16" s="8">
        <f>IF($E16="","","SS-"&amp;TEXT(ROW()-4,"0000"))</f>
        <v/>
      </c>
      <c r="B16" s="9" t="n"/>
      <c r="C16" s="9" t="n"/>
      <c r="D16" s="9" t="n"/>
      <c r="E16" s="10" t="n"/>
      <c r="F16" s="11" t="n"/>
      <c r="G16" s="10" t="n"/>
      <c r="H16" s="11" t="n"/>
      <c r="I16" s="8">
        <f>IF(OR($E16="",$G16=""),"",$G16-$E16+1)</f>
        <v/>
      </c>
      <c r="J16" s="8">
        <f>IF(OR($E16="",$G16=""),"",$G16-$E16)</f>
        <v/>
      </c>
      <c r="K16" s="9" t="n"/>
      <c r="L16" s="9" t="n"/>
      <c r="M16" s="9" t="n"/>
      <c r="N16" s="9" t="n"/>
      <c r="O16" s="9" t="n"/>
      <c r="P16" s="9" t="n"/>
      <c r="Q16" s="10" t="n"/>
      <c r="R16" s="9" t="n"/>
      <c r="S16" s="8">
        <f>IF($D16="","",IF(COUNTIF('M_部屋'!$A$4:$A$20,$D16)=0,"⚠部屋が未登録",IF(OR($E16="",$G16="",$K16="キャンセル"),"",IF(SUMPRODUCT(($D$5:$D$204=$D16)*($E$5:$E$204&lt;&gt;"")*($G$5:$G$204&lt;&gt;"")*($K$5:$K$204&lt;&gt;"キャンセル")*($E$5:$E$204&lt;$G16)*($G$5:$G$204&gt;$E16))&gt;1,"⚠重複",""))))</f>
        <v/>
      </c>
      <c r="T16" s="8">
        <f>IF(OR($B16="",$E16=""),"",IF(SUMPRODUCT(('M_利用者'!$A$4:$A$60=$B16)*('M_利用者'!$B$4:$B$60&lt;&gt;""))=0,"",IF(SUMIFS($U$5:$U$204,$B$5:$B$204,$B16,$E$5:$E$204,"&gt;="&amp;DATE(YEAR($E16),MONTH($E16),1),$E$5:$E$204,"&lt;="&amp;EOMONTH($E16,0))&gt;SUMIFS('M_利用者'!$B$4:$B$60,'M_利用者'!$A$4:$A$60,$B16),"⚠支給量超過","")))</f>
        <v/>
      </c>
      <c r="U16" s="8">
        <f>IF(OR($E16="",$G16="",$K16="キャンセル"),0,IF(IFERROR(INDEX('M_区分'!$B$4:$B$20,MATCH($C16,'M_区分'!$A$4:$A$20,0)),"○")="○",$G16-$E16+1,0))</f>
        <v/>
      </c>
    </row>
    <row r="17">
      <c r="A17" s="8">
        <f>IF($E17="","","SS-"&amp;TEXT(ROW()-4,"0000"))</f>
        <v/>
      </c>
      <c r="B17" s="9" t="n"/>
      <c r="C17" s="9" t="n"/>
      <c r="D17" s="9" t="n"/>
      <c r="E17" s="10" t="n"/>
      <c r="F17" s="11" t="n"/>
      <c r="G17" s="10" t="n"/>
      <c r="H17" s="11" t="n"/>
      <c r="I17" s="8">
        <f>IF(OR($E17="",$G17=""),"",$G17-$E17+1)</f>
        <v/>
      </c>
      <c r="J17" s="8">
        <f>IF(OR($E17="",$G17=""),"",$G17-$E17)</f>
        <v/>
      </c>
      <c r="K17" s="9" t="n"/>
      <c r="L17" s="9" t="n"/>
      <c r="M17" s="9" t="n"/>
      <c r="N17" s="9" t="n"/>
      <c r="O17" s="9" t="n"/>
      <c r="P17" s="9" t="n"/>
      <c r="Q17" s="10" t="n"/>
      <c r="R17" s="9" t="n"/>
      <c r="S17" s="8">
        <f>IF($D17="","",IF(COUNTIF('M_部屋'!$A$4:$A$20,$D17)=0,"⚠部屋が未登録",IF(OR($E17="",$G17="",$K17="キャンセル"),"",IF(SUMPRODUCT(($D$5:$D$204=$D17)*($E$5:$E$204&lt;&gt;"")*($G$5:$G$204&lt;&gt;"")*($K$5:$K$204&lt;&gt;"キャンセル")*($E$5:$E$204&lt;$G17)*($G$5:$G$204&gt;$E17))&gt;1,"⚠重複",""))))</f>
        <v/>
      </c>
      <c r="T17" s="8">
        <f>IF(OR($B17="",$E17=""),"",IF(SUMPRODUCT(('M_利用者'!$A$4:$A$60=$B17)*('M_利用者'!$B$4:$B$60&lt;&gt;""))=0,"",IF(SUMIFS($U$5:$U$204,$B$5:$B$204,$B17,$E$5:$E$204,"&gt;="&amp;DATE(YEAR($E17),MONTH($E17),1),$E$5:$E$204,"&lt;="&amp;EOMONTH($E17,0))&gt;SUMIFS('M_利用者'!$B$4:$B$60,'M_利用者'!$A$4:$A$60,$B17),"⚠支給量超過","")))</f>
        <v/>
      </c>
      <c r="U17" s="8">
        <f>IF(OR($E17="",$G17="",$K17="キャンセル"),0,IF(IFERROR(INDEX('M_区分'!$B$4:$B$20,MATCH($C17,'M_区分'!$A$4:$A$20,0)),"○")="○",$G17-$E17+1,0))</f>
        <v/>
      </c>
    </row>
    <row r="18">
      <c r="A18" s="8">
        <f>IF($E18="","","SS-"&amp;TEXT(ROW()-4,"0000"))</f>
        <v/>
      </c>
      <c r="B18" s="9" t="n"/>
      <c r="C18" s="9" t="n"/>
      <c r="D18" s="9" t="n"/>
      <c r="E18" s="10" t="n"/>
      <c r="F18" s="11" t="n"/>
      <c r="G18" s="10" t="n"/>
      <c r="H18" s="11" t="n"/>
      <c r="I18" s="8">
        <f>IF(OR($E18="",$G18=""),"",$G18-$E18+1)</f>
        <v/>
      </c>
      <c r="J18" s="8">
        <f>IF(OR($E18="",$G18=""),"",$G18-$E18)</f>
        <v/>
      </c>
      <c r="K18" s="9" t="n"/>
      <c r="L18" s="9" t="n"/>
      <c r="M18" s="9" t="n"/>
      <c r="N18" s="9" t="n"/>
      <c r="O18" s="9" t="n"/>
      <c r="P18" s="9" t="n"/>
      <c r="Q18" s="10" t="n"/>
      <c r="R18" s="9" t="n"/>
      <c r="S18" s="8">
        <f>IF($D18="","",IF(COUNTIF('M_部屋'!$A$4:$A$20,$D18)=0,"⚠部屋が未登録",IF(OR($E18="",$G18="",$K18="キャンセル"),"",IF(SUMPRODUCT(($D$5:$D$204=$D18)*($E$5:$E$204&lt;&gt;"")*($G$5:$G$204&lt;&gt;"")*($K$5:$K$204&lt;&gt;"キャンセル")*($E$5:$E$204&lt;$G18)*($G$5:$G$204&gt;$E18))&gt;1,"⚠重複",""))))</f>
        <v/>
      </c>
      <c r="T18" s="8">
        <f>IF(OR($B18="",$E18=""),"",IF(SUMPRODUCT(('M_利用者'!$A$4:$A$60=$B18)*('M_利用者'!$B$4:$B$60&lt;&gt;""))=0,"",IF(SUMIFS($U$5:$U$204,$B$5:$B$204,$B18,$E$5:$E$204,"&gt;="&amp;DATE(YEAR($E18),MONTH($E18),1),$E$5:$E$204,"&lt;="&amp;EOMONTH($E18,0))&gt;SUMIFS('M_利用者'!$B$4:$B$60,'M_利用者'!$A$4:$A$60,$B18),"⚠支給量超過","")))</f>
        <v/>
      </c>
      <c r="U18" s="8">
        <f>IF(OR($E18="",$G18="",$K18="キャンセル"),0,IF(IFERROR(INDEX('M_区分'!$B$4:$B$20,MATCH($C18,'M_区分'!$A$4:$A$20,0)),"○")="○",$G18-$E18+1,0))</f>
        <v/>
      </c>
    </row>
    <row r="19">
      <c r="A19" s="8">
        <f>IF($E19="","","SS-"&amp;TEXT(ROW()-4,"0000"))</f>
        <v/>
      </c>
      <c r="B19" s="9" t="n"/>
      <c r="C19" s="9" t="n"/>
      <c r="D19" s="9" t="n"/>
      <c r="E19" s="10" t="n"/>
      <c r="F19" s="11" t="n"/>
      <c r="G19" s="10" t="n"/>
      <c r="H19" s="11" t="n"/>
      <c r="I19" s="8">
        <f>IF(OR($E19="",$G19=""),"",$G19-$E19+1)</f>
        <v/>
      </c>
      <c r="J19" s="8">
        <f>IF(OR($E19="",$G19=""),"",$G19-$E19)</f>
        <v/>
      </c>
      <c r="K19" s="9" t="n"/>
      <c r="L19" s="9" t="n"/>
      <c r="M19" s="9" t="n"/>
      <c r="N19" s="9" t="n"/>
      <c r="O19" s="9" t="n"/>
      <c r="P19" s="9" t="n"/>
      <c r="Q19" s="10" t="n"/>
      <c r="R19" s="9" t="n"/>
      <c r="S19" s="8">
        <f>IF($D19="","",IF(COUNTIF('M_部屋'!$A$4:$A$20,$D19)=0,"⚠部屋が未登録",IF(OR($E19="",$G19="",$K19="キャンセル"),"",IF(SUMPRODUCT(($D$5:$D$204=$D19)*($E$5:$E$204&lt;&gt;"")*($G$5:$G$204&lt;&gt;"")*($K$5:$K$204&lt;&gt;"キャンセル")*($E$5:$E$204&lt;$G19)*($G$5:$G$204&gt;$E19))&gt;1,"⚠重複",""))))</f>
        <v/>
      </c>
      <c r="T19" s="8">
        <f>IF(OR($B19="",$E19=""),"",IF(SUMPRODUCT(('M_利用者'!$A$4:$A$60=$B19)*('M_利用者'!$B$4:$B$60&lt;&gt;""))=0,"",IF(SUMIFS($U$5:$U$204,$B$5:$B$204,$B19,$E$5:$E$204,"&gt;="&amp;DATE(YEAR($E19),MONTH($E19),1),$E$5:$E$204,"&lt;="&amp;EOMONTH($E19,0))&gt;SUMIFS('M_利用者'!$B$4:$B$60,'M_利用者'!$A$4:$A$60,$B19),"⚠支給量超過","")))</f>
        <v/>
      </c>
      <c r="U19" s="8">
        <f>IF(OR($E19="",$G19="",$K19="キャンセル"),0,IF(IFERROR(INDEX('M_区分'!$B$4:$B$20,MATCH($C19,'M_区分'!$A$4:$A$20,0)),"○")="○",$G19-$E19+1,0))</f>
        <v/>
      </c>
    </row>
    <row r="20">
      <c r="A20" s="8">
        <f>IF($E20="","","SS-"&amp;TEXT(ROW()-4,"0000"))</f>
        <v/>
      </c>
      <c r="B20" s="9" t="n"/>
      <c r="C20" s="9" t="n"/>
      <c r="D20" s="9" t="n"/>
      <c r="E20" s="10" t="n"/>
      <c r="F20" s="11" t="n"/>
      <c r="G20" s="10" t="n"/>
      <c r="H20" s="11" t="n"/>
      <c r="I20" s="8">
        <f>IF(OR($E20="",$G20=""),"",$G20-$E20+1)</f>
        <v/>
      </c>
      <c r="J20" s="8">
        <f>IF(OR($E20="",$G20=""),"",$G20-$E20)</f>
        <v/>
      </c>
      <c r="K20" s="9" t="n"/>
      <c r="L20" s="9" t="n"/>
      <c r="M20" s="9" t="n"/>
      <c r="N20" s="9" t="n"/>
      <c r="O20" s="9" t="n"/>
      <c r="P20" s="9" t="n"/>
      <c r="Q20" s="10" t="n"/>
      <c r="R20" s="9" t="n"/>
      <c r="S20" s="8">
        <f>IF($D20="","",IF(COUNTIF('M_部屋'!$A$4:$A$20,$D20)=0,"⚠部屋が未登録",IF(OR($E20="",$G20="",$K20="キャンセル"),"",IF(SUMPRODUCT(($D$5:$D$204=$D20)*($E$5:$E$204&lt;&gt;"")*($G$5:$G$204&lt;&gt;"")*($K$5:$K$204&lt;&gt;"キャンセル")*($E$5:$E$204&lt;$G20)*($G$5:$G$204&gt;$E20))&gt;1,"⚠重複",""))))</f>
        <v/>
      </c>
      <c r="T20" s="8">
        <f>IF(OR($B20="",$E20=""),"",IF(SUMPRODUCT(('M_利用者'!$A$4:$A$60=$B20)*('M_利用者'!$B$4:$B$60&lt;&gt;""))=0,"",IF(SUMIFS($U$5:$U$204,$B$5:$B$204,$B20,$E$5:$E$204,"&gt;="&amp;DATE(YEAR($E20),MONTH($E20),1),$E$5:$E$204,"&lt;="&amp;EOMONTH($E20,0))&gt;SUMIFS('M_利用者'!$B$4:$B$60,'M_利用者'!$A$4:$A$60,$B20),"⚠支給量超過","")))</f>
        <v/>
      </c>
      <c r="U20" s="8">
        <f>IF(OR($E20="",$G20="",$K20="キャンセル"),0,IF(IFERROR(INDEX('M_区分'!$B$4:$B$20,MATCH($C20,'M_区分'!$A$4:$A$20,0)),"○")="○",$G20-$E20+1,0))</f>
        <v/>
      </c>
    </row>
    <row r="21">
      <c r="A21" s="8">
        <f>IF($E21="","","SS-"&amp;TEXT(ROW()-4,"0000"))</f>
        <v/>
      </c>
      <c r="B21" s="9" t="n"/>
      <c r="C21" s="9" t="n"/>
      <c r="D21" s="9" t="n"/>
      <c r="E21" s="10" t="n"/>
      <c r="F21" s="11" t="n"/>
      <c r="G21" s="10" t="n"/>
      <c r="H21" s="11" t="n"/>
      <c r="I21" s="8">
        <f>IF(OR($E21="",$G21=""),"",$G21-$E21+1)</f>
        <v/>
      </c>
      <c r="J21" s="8">
        <f>IF(OR($E21="",$G21=""),"",$G21-$E21)</f>
        <v/>
      </c>
      <c r="K21" s="9" t="n"/>
      <c r="L21" s="9" t="n"/>
      <c r="M21" s="9" t="n"/>
      <c r="N21" s="9" t="n"/>
      <c r="O21" s="9" t="n"/>
      <c r="P21" s="9" t="n"/>
      <c r="Q21" s="10" t="n"/>
      <c r="R21" s="9" t="n"/>
      <c r="S21" s="8">
        <f>IF($D21="","",IF(COUNTIF('M_部屋'!$A$4:$A$20,$D21)=0,"⚠部屋が未登録",IF(OR($E21="",$G21="",$K21="キャンセル"),"",IF(SUMPRODUCT(($D$5:$D$204=$D21)*($E$5:$E$204&lt;&gt;"")*($G$5:$G$204&lt;&gt;"")*($K$5:$K$204&lt;&gt;"キャンセル")*($E$5:$E$204&lt;$G21)*($G$5:$G$204&gt;$E21))&gt;1,"⚠重複",""))))</f>
        <v/>
      </c>
      <c r="T21" s="8">
        <f>IF(OR($B21="",$E21=""),"",IF(SUMPRODUCT(('M_利用者'!$A$4:$A$60=$B21)*('M_利用者'!$B$4:$B$60&lt;&gt;""))=0,"",IF(SUMIFS($U$5:$U$204,$B$5:$B$204,$B21,$E$5:$E$204,"&gt;="&amp;DATE(YEAR($E21),MONTH($E21),1),$E$5:$E$204,"&lt;="&amp;EOMONTH($E21,0))&gt;SUMIFS('M_利用者'!$B$4:$B$60,'M_利用者'!$A$4:$A$60,$B21),"⚠支給量超過","")))</f>
        <v/>
      </c>
      <c r="U21" s="8">
        <f>IF(OR($E21="",$G21="",$K21="キャンセル"),0,IF(IFERROR(INDEX('M_区分'!$B$4:$B$20,MATCH($C21,'M_区分'!$A$4:$A$20,0)),"○")="○",$G21-$E21+1,0))</f>
        <v/>
      </c>
    </row>
    <row r="22">
      <c r="A22" s="8">
        <f>IF($E22="","","SS-"&amp;TEXT(ROW()-4,"0000"))</f>
        <v/>
      </c>
      <c r="B22" s="9" t="n"/>
      <c r="C22" s="9" t="n"/>
      <c r="D22" s="9" t="n"/>
      <c r="E22" s="10" t="n"/>
      <c r="F22" s="11" t="n"/>
      <c r="G22" s="10" t="n"/>
      <c r="H22" s="11" t="n"/>
      <c r="I22" s="8">
        <f>IF(OR($E22="",$G22=""),"",$G22-$E22+1)</f>
        <v/>
      </c>
      <c r="J22" s="8">
        <f>IF(OR($E22="",$G22=""),"",$G22-$E22)</f>
        <v/>
      </c>
      <c r="K22" s="9" t="n"/>
      <c r="L22" s="9" t="n"/>
      <c r="M22" s="9" t="n"/>
      <c r="N22" s="9" t="n"/>
      <c r="O22" s="9" t="n"/>
      <c r="P22" s="9" t="n"/>
      <c r="Q22" s="10" t="n"/>
      <c r="R22" s="9" t="n"/>
      <c r="S22" s="8">
        <f>IF($D22="","",IF(COUNTIF('M_部屋'!$A$4:$A$20,$D22)=0,"⚠部屋が未登録",IF(OR($E22="",$G22="",$K22="キャンセル"),"",IF(SUMPRODUCT(($D$5:$D$204=$D22)*($E$5:$E$204&lt;&gt;"")*($G$5:$G$204&lt;&gt;"")*($K$5:$K$204&lt;&gt;"キャンセル")*($E$5:$E$204&lt;$G22)*($G$5:$G$204&gt;$E22))&gt;1,"⚠重複",""))))</f>
        <v/>
      </c>
      <c r="T22" s="8">
        <f>IF(OR($B22="",$E22=""),"",IF(SUMPRODUCT(('M_利用者'!$A$4:$A$60=$B22)*('M_利用者'!$B$4:$B$60&lt;&gt;""))=0,"",IF(SUMIFS($U$5:$U$204,$B$5:$B$204,$B22,$E$5:$E$204,"&gt;="&amp;DATE(YEAR($E22),MONTH($E22),1),$E$5:$E$204,"&lt;="&amp;EOMONTH($E22,0))&gt;SUMIFS('M_利用者'!$B$4:$B$60,'M_利用者'!$A$4:$A$60,$B22),"⚠支給量超過","")))</f>
        <v/>
      </c>
      <c r="U22" s="8">
        <f>IF(OR($E22="",$G22="",$K22="キャンセル"),0,IF(IFERROR(INDEX('M_区分'!$B$4:$B$20,MATCH($C22,'M_区分'!$A$4:$A$20,0)),"○")="○",$G22-$E22+1,0))</f>
        <v/>
      </c>
    </row>
    <row r="23">
      <c r="A23" s="8">
        <f>IF($E23="","","SS-"&amp;TEXT(ROW()-4,"0000"))</f>
        <v/>
      </c>
      <c r="B23" s="9" t="n"/>
      <c r="C23" s="9" t="n"/>
      <c r="D23" s="9" t="n"/>
      <c r="E23" s="10" t="n"/>
      <c r="F23" s="11" t="n"/>
      <c r="G23" s="10" t="n"/>
      <c r="H23" s="11" t="n"/>
      <c r="I23" s="8">
        <f>IF(OR($E23="",$G23=""),"",$G23-$E23+1)</f>
        <v/>
      </c>
      <c r="J23" s="8">
        <f>IF(OR($E23="",$G23=""),"",$G23-$E23)</f>
        <v/>
      </c>
      <c r="K23" s="9" t="n"/>
      <c r="L23" s="9" t="n"/>
      <c r="M23" s="9" t="n"/>
      <c r="N23" s="9" t="n"/>
      <c r="O23" s="9" t="n"/>
      <c r="P23" s="9" t="n"/>
      <c r="Q23" s="10" t="n"/>
      <c r="R23" s="9" t="n"/>
      <c r="S23" s="8">
        <f>IF($D23="","",IF(COUNTIF('M_部屋'!$A$4:$A$20,$D23)=0,"⚠部屋が未登録",IF(OR($E23="",$G23="",$K23="キャンセル"),"",IF(SUMPRODUCT(($D$5:$D$204=$D23)*($E$5:$E$204&lt;&gt;"")*($G$5:$G$204&lt;&gt;"")*($K$5:$K$204&lt;&gt;"キャンセル")*($E$5:$E$204&lt;$G23)*($G$5:$G$204&gt;$E23))&gt;1,"⚠重複",""))))</f>
        <v/>
      </c>
      <c r="T23" s="8">
        <f>IF(OR($B23="",$E23=""),"",IF(SUMPRODUCT(('M_利用者'!$A$4:$A$60=$B23)*('M_利用者'!$B$4:$B$60&lt;&gt;""))=0,"",IF(SUMIFS($U$5:$U$204,$B$5:$B$204,$B23,$E$5:$E$204,"&gt;="&amp;DATE(YEAR($E23),MONTH($E23),1),$E$5:$E$204,"&lt;="&amp;EOMONTH($E23,0))&gt;SUMIFS('M_利用者'!$B$4:$B$60,'M_利用者'!$A$4:$A$60,$B23),"⚠支給量超過","")))</f>
        <v/>
      </c>
      <c r="U23" s="8">
        <f>IF(OR($E23="",$G23="",$K23="キャンセル"),0,IF(IFERROR(INDEX('M_区分'!$B$4:$B$20,MATCH($C23,'M_区分'!$A$4:$A$20,0)),"○")="○",$G23-$E23+1,0))</f>
        <v/>
      </c>
    </row>
    <row r="24">
      <c r="A24" s="8">
        <f>IF($E24="","","SS-"&amp;TEXT(ROW()-4,"0000"))</f>
        <v/>
      </c>
      <c r="B24" s="9" t="n"/>
      <c r="C24" s="9" t="n"/>
      <c r="D24" s="9" t="n"/>
      <c r="E24" s="10" t="n"/>
      <c r="F24" s="11" t="n"/>
      <c r="G24" s="10" t="n"/>
      <c r="H24" s="11" t="n"/>
      <c r="I24" s="8">
        <f>IF(OR($E24="",$G24=""),"",$G24-$E24+1)</f>
        <v/>
      </c>
      <c r="J24" s="8">
        <f>IF(OR($E24="",$G24=""),"",$G24-$E24)</f>
        <v/>
      </c>
      <c r="K24" s="9" t="n"/>
      <c r="L24" s="9" t="n"/>
      <c r="M24" s="9" t="n"/>
      <c r="N24" s="9" t="n"/>
      <c r="O24" s="9" t="n"/>
      <c r="P24" s="9" t="n"/>
      <c r="Q24" s="10" t="n"/>
      <c r="R24" s="9" t="n"/>
      <c r="S24" s="8">
        <f>IF($D24="","",IF(COUNTIF('M_部屋'!$A$4:$A$20,$D24)=0,"⚠部屋が未登録",IF(OR($E24="",$G24="",$K24="キャンセル"),"",IF(SUMPRODUCT(($D$5:$D$204=$D24)*($E$5:$E$204&lt;&gt;"")*($G$5:$G$204&lt;&gt;"")*($K$5:$K$204&lt;&gt;"キャンセル")*($E$5:$E$204&lt;$G24)*($G$5:$G$204&gt;$E24))&gt;1,"⚠重複",""))))</f>
        <v/>
      </c>
      <c r="T24" s="8">
        <f>IF(OR($B24="",$E24=""),"",IF(SUMPRODUCT(('M_利用者'!$A$4:$A$60=$B24)*('M_利用者'!$B$4:$B$60&lt;&gt;""))=0,"",IF(SUMIFS($U$5:$U$204,$B$5:$B$204,$B24,$E$5:$E$204,"&gt;="&amp;DATE(YEAR($E24),MONTH($E24),1),$E$5:$E$204,"&lt;="&amp;EOMONTH($E24,0))&gt;SUMIFS('M_利用者'!$B$4:$B$60,'M_利用者'!$A$4:$A$60,$B24),"⚠支給量超過","")))</f>
        <v/>
      </c>
      <c r="U24" s="8">
        <f>IF(OR($E24="",$G24="",$K24="キャンセル"),0,IF(IFERROR(INDEX('M_区分'!$B$4:$B$20,MATCH($C24,'M_区分'!$A$4:$A$20,0)),"○")="○",$G24-$E24+1,0))</f>
        <v/>
      </c>
    </row>
    <row r="25">
      <c r="A25" s="8">
        <f>IF($E25="","","SS-"&amp;TEXT(ROW()-4,"0000"))</f>
        <v/>
      </c>
      <c r="B25" s="9" t="n"/>
      <c r="C25" s="9" t="n"/>
      <c r="D25" s="9" t="n"/>
      <c r="E25" s="10" t="n"/>
      <c r="F25" s="11" t="n"/>
      <c r="G25" s="10" t="n"/>
      <c r="H25" s="11" t="n"/>
      <c r="I25" s="8">
        <f>IF(OR($E25="",$G25=""),"",$G25-$E25+1)</f>
        <v/>
      </c>
      <c r="J25" s="8">
        <f>IF(OR($E25="",$G25=""),"",$G25-$E25)</f>
        <v/>
      </c>
      <c r="K25" s="9" t="n"/>
      <c r="L25" s="9" t="n"/>
      <c r="M25" s="9" t="n"/>
      <c r="N25" s="9" t="n"/>
      <c r="O25" s="9" t="n"/>
      <c r="P25" s="9" t="n"/>
      <c r="Q25" s="10" t="n"/>
      <c r="R25" s="9" t="n"/>
      <c r="S25" s="8">
        <f>IF($D25="","",IF(COUNTIF('M_部屋'!$A$4:$A$20,$D25)=0,"⚠部屋が未登録",IF(OR($E25="",$G25="",$K25="キャンセル"),"",IF(SUMPRODUCT(($D$5:$D$204=$D25)*($E$5:$E$204&lt;&gt;"")*($G$5:$G$204&lt;&gt;"")*($K$5:$K$204&lt;&gt;"キャンセル")*($E$5:$E$204&lt;$G25)*($G$5:$G$204&gt;$E25))&gt;1,"⚠重複",""))))</f>
        <v/>
      </c>
      <c r="T25" s="8">
        <f>IF(OR($B25="",$E25=""),"",IF(SUMPRODUCT(('M_利用者'!$A$4:$A$60=$B25)*('M_利用者'!$B$4:$B$60&lt;&gt;""))=0,"",IF(SUMIFS($U$5:$U$204,$B$5:$B$204,$B25,$E$5:$E$204,"&gt;="&amp;DATE(YEAR($E25),MONTH($E25),1),$E$5:$E$204,"&lt;="&amp;EOMONTH($E25,0))&gt;SUMIFS('M_利用者'!$B$4:$B$60,'M_利用者'!$A$4:$A$60,$B25),"⚠支給量超過","")))</f>
        <v/>
      </c>
      <c r="U25" s="8">
        <f>IF(OR($E25="",$G25="",$K25="キャンセル"),0,IF(IFERROR(INDEX('M_区分'!$B$4:$B$20,MATCH($C25,'M_区分'!$A$4:$A$20,0)),"○")="○",$G25-$E25+1,0))</f>
        <v/>
      </c>
    </row>
    <row r="26">
      <c r="A26" s="8">
        <f>IF($E26="","","SS-"&amp;TEXT(ROW()-4,"0000"))</f>
        <v/>
      </c>
      <c r="B26" s="9" t="n"/>
      <c r="C26" s="9" t="n"/>
      <c r="D26" s="9" t="n"/>
      <c r="E26" s="10" t="n"/>
      <c r="F26" s="11" t="n"/>
      <c r="G26" s="10" t="n"/>
      <c r="H26" s="11" t="n"/>
      <c r="I26" s="8">
        <f>IF(OR($E26="",$G26=""),"",$G26-$E26+1)</f>
        <v/>
      </c>
      <c r="J26" s="8">
        <f>IF(OR($E26="",$G26=""),"",$G26-$E26)</f>
        <v/>
      </c>
      <c r="K26" s="9" t="n"/>
      <c r="L26" s="9" t="n"/>
      <c r="M26" s="9" t="n"/>
      <c r="N26" s="9" t="n"/>
      <c r="O26" s="9" t="n"/>
      <c r="P26" s="9" t="n"/>
      <c r="Q26" s="10" t="n"/>
      <c r="R26" s="9" t="n"/>
      <c r="S26" s="8">
        <f>IF($D26="","",IF(COUNTIF('M_部屋'!$A$4:$A$20,$D26)=0,"⚠部屋が未登録",IF(OR($E26="",$G26="",$K26="キャンセル"),"",IF(SUMPRODUCT(($D$5:$D$204=$D26)*($E$5:$E$204&lt;&gt;"")*($G$5:$G$204&lt;&gt;"")*($K$5:$K$204&lt;&gt;"キャンセル")*($E$5:$E$204&lt;$G26)*($G$5:$G$204&gt;$E26))&gt;1,"⚠重複",""))))</f>
        <v/>
      </c>
      <c r="T26" s="8">
        <f>IF(OR($B26="",$E26=""),"",IF(SUMPRODUCT(('M_利用者'!$A$4:$A$60=$B26)*('M_利用者'!$B$4:$B$60&lt;&gt;""))=0,"",IF(SUMIFS($U$5:$U$204,$B$5:$B$204,$B26,$E$5:$E$204,"&gt;="&amp;DATE(YEAR($E26),MONTH($E26),1),$E$5:$E$204,"&lt;="&amp;EOMONTH($E26,0))&gt;SUMIFS('M_利用者'!$B$4:$B$60,'M_利用者'!$A$4:$A$60,$B26),"⚠支給量超過","")))</f>
        <v/>
      </c>
      <c r="U26" s="8">
        <f>IF(OR($E26="",$G26="",$K26="キャンセル"),0,IF(IFERROR(INDEX('M_区分'!$B$4:$B$20,MATCH($C26,'M_区分'!$A$4:$A$20,0)),"○")="○",$G26-$E26+1,0))</f>
        <v/>
      </c>
    </row>
    <row r="27">
      <c r="A27" s="8">
        <f>IF($E27="","","SS-"&amp;TEXT(ROW()-4,"0000"))</f>
        <v/>
      </c>
      <c r="B27" s="9" t="n"/>
      <c r="C27" s="9" t="n"/>
      <c r="D27" s="9" t="n"/>
      <c r="E27" s="10" t="n"/>
      <c r="F27" s="11" t="n"/>
      <c r="G27" s="10" t="n"/>
      <c r="H27" s="11" t="n"/>
      <c r="I27" s="8">
        <f>IF(OR($E27="",$G27=""),"",$G27-$E27+1)</f>
        <v/>
      </c>
      <c r="J27" s="8">
        <f>IF(OR($E27="",$G27=""),"",$G27-$E27)</f>
        <v/>
      </c>
      <c r="K27" s="9" t="n"/>
      <c r="L27" s="9" t="n"/>
      <c r="M27" s="9" t="n"/>
      <c r="N27" s="9" t="n"/>
      <c r="O27" s="9" t="n"/>
      <c r="P27" s="9" t="n"/>
      <c r="Q27" s="10" t="n"/>
      <c r="R27" s="9" t="n"/>
      <c r="S27" s="8">
        <f>IF($D27="","",IF(COUNTIF('M_部屋'!$A$4:$A$20,$D27)=0,"⚠部屋が未登録",IF(OR($E27="",$G27="",$K27="キャンセル"),"",IF(SUMPRODUCT(($D$5:$D$204=$D27)*($E$5:$E$204&lt;&gt;"")*($G$5:$G$204&lt;&gt;"")*($K$5:$K$204&lt;&gt;"キャンセル")*($E$5:$E$204&lt;$G27)*($G$5:$G$204&gt;$E27))&gt;1,"⚠重複",""))))</f>
        <v/>
      </c>
      <c r="T27" s="8">
        <f>IF(OR($B27="",$E27=""),"",IF(SUMPRODUCT(('M_利用者'!$A$4:$A$60=$B27)*('M_利用者'!$B$4:$B$60&lt;&gt;""))=0,"",IF(SUMIFS($U$5:$U$204,$B$5:$B$204,$B27,$E$5:$E$204,"&gt;="&amp;DATE(YEAR($E27),MONTH($E27),1),$E$5:$E$204,"&lt;="&amp;EOMONTH($E27,0))&gt;SUMIFS('M_利用者'!$B$4:$B$60,'M_利用者'!$A$4:$A$60,$B27),"⚠支給量超過","")))</f>
        <v/>
      </c>
      <c r="U27" s="8">
        <f>IF(OR($E27="",$G27="",$K27="キャンセル"),0,IF(IFERROR(INDEX('M_区分'!$B$4:$B$20,MATCH($C27,'M_区分'!$A$4:$A$20,0)),"○")="○",$G27-$E27+1,0))</f>
        <v/>
      </c>
    </row>
    <row r="28">
      <c r="A28" s="8">
        <f>IF($E28="","","SS-"&amp;TEXT(ROW()-4,"0000"))</f>
        <v/>
      </c>
      <c r="B28" s="9" t="n"/>
      <c r="C28" s="9" t="n"/>
      <c r="D28" s="9" t="n"/>
      <c r="E28" s="10" t="n"/>
      <c r="F28" s="11" t="n"/>
      <c r="G28" s="10" t="n"/>
      <c r="H28" s="11" t="n"/>
      <c r="I28" s="8">
        <f>IF(OR($E28="",$G28=""),"",$G28-$E28+1)</f>
        <v/>
      </c>
      <c r="J28" s="8">
        <f>IF(OR($E28="",$G28=""),"",$G28-$E28)</f>
        <v/>
      </c>
      <c r="K28" s="9" t="n"/>
      <c r="L28" s="9" t="n"/>
      <c r="M28" s="9" t="n"/>
      <c r="N28" s="9" t="n"/>
      <c r="O28" s="9" t="n"/>
      <c r="P28" s="9" t="n"/>
      <c r="Q28" s="10" t="n"/>
      <c r="R28" s="9" t="n"/>
      <c r="S28" s="8">
        <f>IF($D28="","",IF(COUNTIF('M_部屋'!$A$4:$A$20,$D28)=0,"⚠部屋が未登録",IF(OR($E28="",$G28="",$K28="キャンセル"),"",IF(SUMPRODUCT(($D$5:$D$204=$D28)*($E$5:$E$204&lt;&gt;"")*($G$5:$G$204&lt;&gt;"")*($K$5:$K$204&lt;&gt;"キャンセル")*($E$5:$E$204&lt;$G28)*($G$5:$G$204&gt;$E28))&gt;1,"⚠重複",""))))</f>
        <v/>
      </c>
      <c r="T28" s="8">
        <f>IF(OR($B28="",$E28=""),"",IF(SUMPRODUCT(('M_利用者'!$A$4:$A$60=$B28)*('M_利用者'!$B$4:$B$60&lt;&gt;""))=0,"",IF(SUMIFS($U$5:$U$204,$B$5:$B$204,$B28,$E$5:$E$204,"&gt;="&amp;DATE(YEAR($E28),MONTH($E28),1),$E$5:$E$204,"&lt;="&amp;EOMONTH($E28,0))&gt;SUMIFS('M_利用者'!$B$4:$B$60,'M_利用者'!$A$4:$A$60,$B28),"⚠支給量超過","")))</f>
        <v/>
      </c>
      <c r="U28" s="8">
        <f>IF(OR($E28="",$G28="",$K28="キャンセル"),0,IF(IFERROR(INDEX('M_区分'!$B$4:$B$20,MATCH($C28,'M_区分'!$A$4:$A$20,0)),"○")="○",$G28-$E28+1,0))</f>
        <v/>
      </c>
    </row>
    <row r="29">
      <c r="A29" s="8">
        <f>IF($E29="","","SS-"&amp;TEXT(ROW()-4,"0000"))</f>
        <v/>
      </c>
      <c r="B29" s="9" t="n"/>
      <c r="C29" s="9" t="n"/>
      <c r="D29" s="9" t="n"/>
      <c r="E29" s="10" t="n"/>
      <c r="F29" s="11" t="n"/>
      <c r="G29" s="10" t="n"/>
      <c r="H29" s="11" t="n"/>
      <c r="I29" s="8">
        <f>IF(OR($E29="",$G29=""),"",$G29-$E29+1)</f>
        <v/>
      </c>
      <c r="J29" s="8">
        <f>IF(OR($E29="",$G29=""),"",$G29-$E29)</f>
        <v/>
      </c>
      <c r="K29" s="9" t="n"/>
      <c r="L29" s="9" t="n"/>
      <c r="M29" s="9" t="n"/>
      <c r="N29" s="9" t="n"/>
      <c r="O29" s="9" t="n"/>
      <c r="P29" s="9" t="n"/>
      <c r="Q29" s="10" t="n"/>
      <c r="R29" s="9" t="n"/>
      <c r="S29" s="8">
        <f>IF($D29="","",IF(COUNTIF('M_部屋'!$A$4:$A$20,$D29)=0,"⚠部屋が未登録",IF(OR($E29="",$G29="",$K29="キャンセル"),"",IF(SUMPRODUCT(($D$5:$D$204=$D29)*($E$5:$E$204&lt;&gt;"")*($G$5:$G$204&lt;&gt;"")*($K$5:$K$204&lt;&gt;"キャンセル")*($E$5:$E$204&lt;$G29)*($G$5:$G$204&gt;$E29))&gt;1,"⚠重複",""))))</f>
        <v/>
      </c>
      <c r="T29" s="8">
        <f>IF(OR($B29="",$E29=""),"",IF(SUMPRODUCT(('M_利用者'!$A$4:$A$60=$B29)*('M_利用者'!$B$4:$B$60&lt;&gt;""))=0,"",IF(SUMIFS($U$5:$U$204,$B$5:$B$204,$B29,$E$5:$E$204,"&gt;="&amp;DATE(YEAR($E29),MONTH($E29),1),$E$5:$E$204,"&lt;="&amp;EOMONTH($E29,0))&gt;SUMIFS('M_利用者'!$B$4:$B$60,'M_利用者'!$A$4:$A$60,$B29),"⚠支給量超過","")))</f>
        <v/>
      </c>
      <c r="U29" s="8">
        <f>IF(OR($E29="",$G29="",$K29="キャンセル"),0,IF(IFERROR(INDEX('M_区分'!$B$4:$B$20,MATCH($C29,'M_区分'!$A$4:$A$20,0)),"○")="○",$G29-$E29+1,0))</f>
        <v/>
      </c>
    </row>
    <row r="30">
      <c r="A30" s="8">
        <f>IF($E30="","","SS-"&amp;TEXT(ROW()-4,"0000"))</f>
        <v/>
      </c>
      <c r="B30" s="9" t="n"/>
      <c r="C30" s="9" t="n"/>
      <c r="D30" s="9" t="n"/>
      <c r="E30" s="10" t="n"/>
      <c r="F30" s="11" t="n"/>
      <c r="G30" s="10" t="n"/>
      <c r="H30" s="11" t="n"/>
      <c r="I30" s="8">
        <f>IF(OR($E30="",$G30=""),"",$G30-$E30+1)</f>
        <v/>
      </c>
      <c r="J30" s="8">
        <f>IF(OR($E30="",$G30=""),"",$G30-$E30)</f>
        <v/>
      </c>
      <c r="K30" s="9" t="n"/>
      <c r="L30" s="9" t="n"/>
      <c r="M30" s="9" t="n"/>
      <c r="N30" s="9" t="n"/>
      <c r="O30" s="9" t="n"/>
      <c r="P30" s="9" t="n"/>
      <c r="Q30" s="10" t="n"/>
      <c r="R30" s="9" t="n"/>
      <c r="S30" s="8">
        <f>IF($D30="","",IF(COUNTIF('M_部屋'!$A$4:$A$20,$D30)=0,"⚠部屋が未登録",IF(OR($E30="",$G30="",$K30="キャンセル"),"",IF(SUMPRODUCT(($D$5:$D$204=$D30)*($E$5:$E$204&lt;&gt;"")*($G$5:$G$204&lt;&gt;"")*($K$5:$K$204&lt;&gt;"キャンセル")*($E$5:$E$204&lt;$G30)*($G$5:$G$204&gt;$E30))&gt;1,"⚠重複",""))))</f>
        <v/>
      </c>
      <c r="T30" s="8">
        <f>IF(OR($B30="",$E30=""),"",IF(SUMPRODUCT(('M_利用者'!$A$4:$A$60=$B30)*('M_利用者'!$B$4:$B$60&lt;&gt;""))=0,"",IF(SUMIFS($U$5:$U$204,$B$5:$B$204,$B30,$E$5:$E$204,"&gt;="&amp;DATE(YEAR($E30),MONTH($E30),1),$E$5:$E$204,"&lt;="&amp;EOMONTH($E30,0))&gt;SUMIFS('M_利用者'!$B$4:$B$60,'M_利用者'!$A$4:$A$60,$B30),"⚠支給量超過","")))</f>
        <v/>
      </c>
      <c r="U30" s="8">
        <f>IF(OR($E30="",$G30="",$K30="キャンセル"),0,IF(IFERROR(INDEX('M_区分'!$B$4:$B$20,MATCH($C30,'M_区分'!$A$4:$A$20,0)),"○")="○",$G30-$E30+1,0))</f>
        <v/>
      </c>
    </row>
    <row r="31">
      <c r="A31" s="8">
        <f>IF($E31="","","SS-"&amp;TEXT(ROW()-4,"0000"))</f>
        <v/>
      </c>
      <c r="B31" s="9" t="n"/>
      <c r="C31" s="9" t="n"/>
      <c r="D31" s="9" t="n"/>
      <c r="E31" s="10" t="n"/>
      <c r="F31" s="11" t="n"/>
      <c r="G31" s="10" t="n"/>
      <c r="H31" s="11" t="n"/>
      <c r="I31" s="8">
        <f>IF(OR($E31="",$G31=""),"",$G31-$E31+1)</f>
        <v/>
      </c>
      <c r="J31" s="8">
        <f>IF(OR($E31="",$G31=""),"",$G31-$E31)</f>
        <v/>
      </c>
      <c r="K31" s="9" t="n"/>
      <c r="L31" s="9" t="n"/>
      <c r="M31" s="9" t="n"/>
      <c r="N31" s="9" t="n"/>
      <c r="O31" s="9" t="n"/>
      <c r="P31" s="9" t="n"/>
      <c r="Q31" s="10" t="n"/>
      <c r="R31" s="9" t="n"/>
      <c r="S31" s="8">
        <f>IF($D31="","",IF(COUNTIF('M_部屋'!$A$4:$A$20,$D31)=0,"⚠部屋が未登録",IF(OR($E31="",$G31="",$K31="キャンセル"),"",IF(SUMPRODUCT(($D$5:$D$204=$D31)*($E$5:$E$204&lt;&gt;"")*($G$5:$G$204&lt;&gt;"")*($K$5:$K$204&lt;&gt;"キャンセル")*($E$5:$E$204&lt;$G31)*($G$5:$G$204&gt;$E31))&gt;1,"⚠重複",""))))</f>
        <v/>
      </c>
      <c r="T31" s="8">
        <f>IF(OR($B31="",$E31=""),"",IF(SUMPRODUCT(('M_利用者'!$A$4:$A$60=$B31)*('M_利用者'!$B$4:$B$60&lt;&gt;""))=0,"",IF(SUMIFS($U$5:$U$204,$B$5:$B$204,$B31,$E$5:$E$204,"&gt;="&amp;DATE(YEAR($E31),MONTH($E31),1),$E$5:$E$204,"&lt;="&amp;EOMONTH($E31,0))&gt;SUMIFS('M_利用者'!$B$4:$B$60,'M_利用者'!$A$4:$A$60,$B31),"⚠支給量超過","")))</f>
        <v/>
      </c>
      <c r="U31" s="8">
        <f>IF(OR($E31="",$G31="",$K31="キャンセル"),0,IF(IFERROR(INDEX('M_区分'!$B$4:$B$20,MATCH($C31,'M_区分'!$A$4:$A$20,0)),"○")="○",$G31-$E31+1,0))</f>
        <v/>
      </c>
    </row>
    <row r="32">
      <c r="A32" s="8">
        <f>IF($E32="","","SS-"&amp;TEXT(ROW()-4,"0000"))</f>
        <v/>
      </c>
      <c r="B32" s="9" t="n"/>
      <c r="C32" s="9" t="n"/>
      <c r="D32" s="9" t="n"/>
      <c r="E32" s="10" t="n"/>
      <c r="F32" s="11" t="n"/>
      <c r="G32" s="10" t="n"/>
      <c r="H32" s="11" t="n"/>
      <c r="I32" s="8">
        <f>IF(OR($E32="",$G32=""),"",$G32-$E32+1)</f>
        <v/>
      </c>
      <c r="J32" s="8">
        <f>IF(OR($E32="",$G32=""),"",$G32-$E32)</f>
        <v/>
      </c>
      <c r="K32" s="9" t="n"/>
      <c r="L32" s="9" t="n"/>
      <c r="M32" s="9" t="n"/>
      <c r="N32" s="9" t="n"/>
      <c r="O32" s="9" t="n"/>
      <c r="P32" s="9" t="n"/>
      <c r="Q32" s="10" t="n"/>
      <c r="R32" s="9" t="n"/>
      <c r="S32" s="8">
        <f>IF($D32="","",IF(COUNTIF('M_部屋'!$A$4:$A$20,$D32)=0,"⚠部屋が未登録",IF(OR($E32="",$G32="",$K32="キャンセル"),"",IF(SUMPRODUCT(($D$5:$D$204=$D32)*($E$5:$E$204&lt;&gt;"")*($G$5:$G$204&lt;&gt;"")*($K$5:$K$204&lt;&gt;"キャンセル")*($E$5:$E$204&lt;$G32)*($G$5:$G$204&gt;$E32))&gt;1,"⚠重複",""))))</f>
        <v/>
      </c>
      <c r="T32" s="8">
        <f>IF(OR($B32="",$E32=""),"",IF(SUMPRODUCT(('M_利用者'!$A$4:$A$60=$B32)*('M_利用者'!$B$4:$B$60&lt;&gt;""))=0,"",IF(SUMIFS($U$5:$U$204,$B$5:$B$204,$B32,$E$5:$E$204,"&gt;="&amp;DATE(YEAR($E32),MONTH($E32),1),$E$5:$E$204,"&lt;="&amp;EOMONTH($E32,0))&gt;SUMIFS('M_利用者'!$B$4:$B$60,'M_利用者'!$A$4:$A$60,$B32),"⚠支給量超過","")))</f>
        <v/>
      </c>
      <c r="U32" s="8">
        <f>IF(OR($E32="",$G32="",$K32="キャンセル"),0,IF(IFERROR(INDEX('M_区分'!$B$4:$B$20,MATCH($C32,'M_区分'!$A$4:$A$20,0)),"○")="○",$G32-$E32+1,0))</f>
        <v/>
      </c>
    </row>
    <row r="33">
      <c r="A33" s="8">
        <f>IF($E33="","","SS-"&amp;TEXT(ROW()-4,"0000"))</f>
        <v/>
      </c>
      <c r="B33" s="9" t="n"/>
      <c r="C33" s="9" t="n"/>
      <c r="D33" s="9" t="n"/>
      <c r="E33" s="10" t="n"/>
      <c r="F33" s="11" t="n"/>
      <c r="G33" s="10" t="n"/>
      <c r="H33" s="11" t="n"/>
      <c r="I33" s="8">
        <f>IF(OR($E33="",$G33=""),"",$G33-$E33+1)</f>
        <v/>
      </c>
      <c r="J33" s="8">
        <f>IF(OR($E33="",$G33=""),"",$G33-$E33)</f>
        <v/>
      </c>
      <c r="K33" s="9" t="n"/>
      <c r="L33" s="9" t="n"/>
      <c r="M33" s="9" t="n"/>
      <c r="N33" s="9" t="n"/>
      <c r="O33" s="9" t="n"/>
      <c r="P33" s="9" t="n"/>
      <c r="Q33" s="10" t="n"/>
      <c r="R33" s="9" t="n"/>
      <c r="S33" s="8">
        <f>IF($D33="","",IF(COUNTIF('M_部屋'!$A$4:$A$20,$D33)=0,"⚠部屋が未登録",IF(OR($E33="",$G33="",$K33="キャンセル"),"",IF(SUMPRODUCT(($D$5:$D$204=$D33)*($E$5:$E$204&lt;&gt;"")*($G$5:$G$204&lt;&gt;"")*($K$5:$K$204&lt;&gt;"キャンセル")*($E$5:$E$204&lt;$G33)*($G$5:$G$204&gt;$E33))&gt;1,"⚠重複",""))))</f>
        <v/>
      </c>
      <c r="T33" s="8">
        <f>IF(OR($B33="",$E33=""),"",IF(SUMPRODUCT(('M_利用者'!$A$4:$A$60=$B33)*('M_利用者'!$B$4:$B$60&lt;&gt;""))=0,"",IF(SUMIFS($U$5:$U$204,$B$5:$B$204,$B33,$E$5:$E$204,"&gt;="&amp;DATE(YEAR($E33),MONTH($E33),1),$E$5:$E$204,"&lt;="&amp;EOMONTH($E33,0))&gt;SUMIFS('M_利用者'!$B$4:$B$60,'M_利用者'!$A$4:$A$60,$B33),"⚠支給量超過","")))</f>
        <v/>
      </c>
      <c r="U33" s="8">
        <f>IF(OR($E33="",$G33="",$K33="キャンセル"),0,IF(IFERROR(INDEX('M_区分'!$B$4:$B$20,MATCH($C33,'M_区分'!$A$4:$A$20,0)),"○")="○",$G33-$E33+1,0))</f>
        <v/>
      </c>
    </row>
    <row r="34">
      <c r="A34" s="8">
        <f>IF($E34="","","SS-"&amp;TEXT(ROW()-4,"0000"))</f>
        <v/>
      </c>
      <c r="B34" s="9" t="n"/>
      <c r="C34" s="9" t="n"/>
      <c r="D34" s="9" t="n"/>
      <c r="E34" s="10" t="n"/>
      <c r="F34" s="11" t="n"/>
      <c r="G34" s="10" t="n"/>
      <c r="H34" s="11" t="n"/>
      <c r="I34" s="8">
        <f>IF(OR($E34="",$G34=""),"",$G34-$E34+1)</f>
        <v/>
      </c>
      <c r="J34" s="8">
        <f>IF(OR($E34="",$G34=""),"",$G34-$E34)</f>
        <v/>
      </c>
      <c r="K34" s="9" t="n"/>
      <c r="L34" s="9" t="n"/>
      <c r="M34" s="9" t="n"/>
      <c r="N34" s="9" t="n"/>
      <c r="O34" s="9" t="n"/>
      <c r="P34" s="9" t="n"/>
      <c r="Q34" s="10" t="n"/>
      <c r="R34" s="9" t="n"/>
      <c r="S34" s="8">
        <f>IF($D34="","",IF(COUNTIF('M_部屋'!$A$4:$A$20,$D34)=0,"⚠部屋が未登録",IF(OR($E34="",$G34="",$K34="キャンセル"),"",IF(SUMPRODUCT(($D$5:$D$204=$D34)*($E$5:$E$204&lt;&gt;"")*($G$5:$G$204&lt;&gt;"")*($K$5:$K$204&lt;&gt;"キャンセル")*($E$5:$E$204&lt;$G34)*($G$5:$G$204&gt;$E34))&gt;1,"⚠重複",""))))</f>
        <v/>
      </c>
      <c r="T34" s="8">
        <f>IF(OR($B34="",$E34=""),"",IF(SUMPRODUCT(('M_利用者'!$A$4:$A$60=$B34)*('M_利用者'!$B$4:$B$60&lt;&gt;""))=0,"",IF(SUMIFS($U$5:$U$204,$B$5:$B$204,$B34,$E$5:$E$204,"&gt;="&amp;DATE(YEAR($E34),MONTH($E34),1),$E$5:$E$204,"&lt;="&amp;EOMONTH($E34,0))&gt;SUMIFS('M_利用者'!$B$4:$B$60,'M_利用者'!$A$4:$A$60,$B34),"⚠支給量超過","")))</f>
        <v/>
      </c>
      <c r="U34" s="8">
        <f>IF(OR($E34="",$G34="",$K34="キャンセル"),0,IF(IFERROR(INDEX('M_区分'!$B$4:$B$20,MATCH($C34,'M_区分'!$A$4:$A$20,0)),"○")="○",$G34-$E34+1,0))</f>
        <v/>
      </c>
    </row>
    <row r="35">
      <c r="A35" s="8">
        <f>IF($E35="","","SS-"&amp;TEXT(ROW()-4,"0000"))</f>
        <v/>
      </c>
      <c r="B35" s="9" t="n"/>
      <c r="C35" s="9" t="n"/>
      <c r="D35" s="9" t="n"/>
      <c r="E35" s="10" t="n"/>
      <c r="F35" s="11" t="n"/>
      <c r="G35" s="10" t="n"/>
      <c r="H35" s="11" t="n"/>
      <c r="I35" s="8">
        <f>IF(OR($E35="",$G35=""),"",$G35-$E35+1)</f>
        <v/>
      </c>
      <c r="J35" s="8">
        <f>IF(OR($E35="",$G35=""),"",$G35-$E35)</f>
        <v/>
      </c>
      <c r="K35" s="9" t="n"/>
      <c r="L35" s="9" t="n"/>
      <c r="M35" s="9" t="n"/>
      <c r="N35" s="9" t="n"/>
      <c r="O35" s="9" t="n"/>
      <c r="P35" s="9" t="n"/>
      <c r="Q35" s="10" t="n"/>
      <c r="R35" s="9" t="n"/>
      <c r="S35" s="8">
        <f>IF($D35="","",IF(COUNTIF('M_部屋'!$A$4:$A$20,$D35)=0,"⚠部屋が未登録",IF(OR($E35="",$G35="",$K35="キャンセル"),"",IF(SUMPRODUCT(($D$5:$D$204=$D35)*($E$5:$E$204&lt;&gt;"")*($G$5:$G$204&lt;&gt;"")*($K$5:$K$204&lt;&gt;"キャンセル")*($E$5:$E$204&lt;$G35)*($G$5:$G$204&gt;$E35))&gt;1,"⚠重複",""))))</f>
        <v/>
      </c>
      <c r="T35" s="8">
        <f>IF(OR($B35="",$E35=""),"",IF(SUMPRODUCT(('M_利用者'!$A$4:$A$60=$B35)*('M_利用者'!$B$4:$B$60&lt;&gt;""))=0,"",IF(SUMIFS($U$5:$U$204,$B$5:$B$204,$B35,$E$5:$E$204,"&gt;="&amp;DATE(YEAR($E35),MONTH($E35),1),$E$5:$E$204,"&lt;="&amp;EOMONTH($E35,0))&gt;SUMIFS('M_利用者'!$B$4:$B$60,'M_利用者'!$A$4:$A$60,$B35),"⚠支給量超過","")))</f>
        <v/>
      </c>
      <c r="U35" s="8">
        <f>IF(OR($E35="",$G35="",$K35="キャンセル"),0,IF(IFERROR(INDEX('M_区分'!$B$4:$B$20,MATCH($C35,'M_区分'!$A$4:$A$20,0)),"○")="○",$G35-$E35+1,0))</f>
        <v/>
      </c>
    </row>
    <row r="36">
      <c r="A36" s="8">
        <f>IF($E36="","","SS-"&amp;TEXT(ROW()-4,"0000"))</f>
        <v/>
      </c>
      <c r="B36" s="9" t="n"/>
      <c r="C36" s="9" t="n"/>
      <c r="D36" s="9" t="n"/>
      <c r="E36" s="10" t="n"/>
      <c r="F36" s="11" t="n"/>
      <c r="G36" s="10" t="n"/>
      <c r="H36" s="11" t="n"/>
      <c r="I36" s="8">
        <f>IF(OR($E36="",$G36=""),"",$G36-$E36+1)</f>
        <v/>
      </c>
      <c r="J36" s="8">
        <f>IF(OR($E36="",$G36=""),"",$G36-$E36)</f>
        <v/>
      </c>
      <c r="K36" s="9" t="n"/>
      <c r="L36" s="9" t="n"/>
      <c r="M36" s="9" t="n"/>
      <c r="N36" s="9" t="n"/>
      <c r="O36" s="9" t="n"/>
      <c r="P36" s="9" t="n"/>
      <c r="Q36" s="10" t="n"/>
      <c r="R36" s="9" t="n"/>
      <c r="S36" s="8">
        <f>IF($D36="","",IF(COUNTIF('M_部屋'!$A$4:$A$20,$D36)=0,"⚠部屋が未登録",IF(OR($E36="",$G36="",$K36="キャンセル"),"",IF(SUMPRODUCT(($D$5:$D$204=$D36)*($E$5:$E$204&lt;&gt;"")*($G$5:$G$204&lt;&gt;"")*($K$5:$K$204&lt;&gt;"キャンセル")*($E$5:$E$204&lt;$G36)*($G$5:$G$204&gt;$E36))&gt;1,"⚠重複",""))))</f>
        <v/>
      </c>
      <c r="T36" s="8">
        <f>IF(OR($B36="",$E36=""),"",IF(SUMPRODUCT(('M_利用者'!$A$4:$A$60=$B36)*('M_利用者'!$B$4:$B$60&lt;&gt;""))=0,"",IF(SUMIFS($U$5:$U$204,$B$5:$B$204,$B36,$E$5:$E$204,"&gt;="&amp;DATE(YEAR($E36),MONTH($E36),1),$E$5:$E$204,"&lt;="&amp;EOMONTH($E36,0))&gt;SUMIFS('M_利用者'!$B$4:$B$60,'M_利用者'!$A$4:$A$60,$B36),"⚠支給量超過","")))</f>
        <v/>
      </c>
      <c r="U36" s="8">
        <f>IF(OR($E36="",$G36="",$K36="キャンセル"),0,IF(IFERROR(INDEX('M_区分'!$B$4:$B$20,MATCH($C36,'M_区分'!$A$4:$A$20,0)),"○")="○",$G36-$E36+1,0))</f>
        <v/>
      </c>
    </row>
    <row r="37">
      <c r="A37" s="8">
        <f>IF($E37="","","SS-"&amp;TEXT(ROW()-4,"0000"))</f>
        <v/>
      </c>
      <c r="B37" s="9" t="n"/>
      <c r="C37" s="9" t="n"/>
      <c r="D37" s="9" t="n"/>
      <c r="E37" s="10" t="n"/>
      <c r="F37" s="11" t="n"/>
      <c r="G37" s="10" t="n"/>
      <c r="H37" s="11" t="n"/>
      <c r="I37" s="8">
        <f>IF(OR($E37="",$G37=""),"",$G37-$E37+1)</f>
        <v/>
      </c>
      <c r="J37" s="8">
        <f>IF(OR($E37="",$G37=""),"",$G37-$E37)</f>
        <v/>
      </c>
      <c r="K37" s="9" t="n"/>
      <c r="L37" s="9" t="n"/>
      <c r="M37" s="9" t="n"/>
      <c r="N37" s="9" t="n"/>
      <c r="O37" s="9" t="n"/>
      <c r="P37" s="9" t="n"/>
      <c r="Q37" s="10" t="n"/>
      <c r="R37" s="9" t="n"/>
      <c r="S37" s="8">
        <f>IF($D37="","",IF(COUNTIF('M_部屋'!$A$4:$A$20,$D37)=0,"⚠部屋が未登録",IF(OR($E37="",$G37="",$K37="キャンセル"),"",IF(SUMPRODUCT(($D$5:$D$204=$D37)*($E$5:$E$204&lt;&gt;"")*($G$5:$G$204&lt;&gt;"")*($K$5:$K$204&lt;&gt;"キャンセル")*($E$5:$E$204&lt;$G37)*($G$5:$G$204&gt;$E37))&gt;1,"⚠重複",""))))</f>
        <v/>
      </c>
      <c r="T37" s="8">
        <f>IF(OR($B37="",$E37=""),"",IF(SUMPRODUCT(('M_利用者'!$A$4:$A$60=$B37)*('M_利用者'!$B$4:$B$60&lt;&gt;""))=0,"",IF(SUMIFS($U$5:$U$204,$B$5:$B$204,$B37,$E$5:$E$204,"&gt;="&amp;DATE(YEAR($E37),MONTH($E37),1),$E$5:$E$204,"&lt;="&amp;EOMONTH($E37,0))&gt;SUMIFS('M_利用者'!$B$4:$B$60,'M_利用者'!$A$4:$A$60,$B37),"⚠支給量超過","")))</f>
        <v/>
      </c>
      <c r="U37" s="8">
        <f>IF(OR($E37="",$G37="",$K37="キャンセル"),0,IF(IFERROR(INDEX('M_区分'!$B$4:$B$20,MATCH($C37,'M_区分'!$A$4:$A$20,0)),"○")="○",$G37-$E37+1,0))</f>
        <v/>
      </c>
    </row>
    <row r="38">
      <c r="A38" s="8">
        <f>IF($E38="","","SS-"&amp;TEXT(ROW()-4,"0000"))</f>
        <v/>
      </c>
      <c r="B38" s="9" t="n"/>
      <c r="C38" s="9" t="n"/>
      <c r="D38" s="9" t="n"/>
      <c r="E38" s="10" t="n"/>
      <c r="F38" s="11" t="n"/>
      <c r="G38" s="10" t="n"/>
      <c r="H38" s="11" t="n"/>
      <c r="I38" s="8">
        <f>IF(OR($E38="",$G38=""),"",$G38-$E38+1)</f>
        <v/>
      </c>
      <c r="J38" s="8">
        <f>IF(OR($E38="",$G38=""),"",$G38-$E38)</f>
        <v/>
      </c>
      <c r="K38" s="9" t="n"/>
      <c r="L38" s="9" t="n"/>
      <c r="M38" s="9" t="n"/>
      <c r="N38" s="9" t="n"/>
      <c r="O38" s="9" t="n"/>
      <c r="P38" s="9" t="n"/>
      <c r="Q38" s="10" t="n"/>
      <c r="R38" s="9" t="n"/>
      <c r="S38" s="8">
        <f>IF($D38="","",IF(COUNTIF('M_部屋'!$A$4:$A$20,$D38)=0,"⚠部屋が未登録",IF(OR($E38="",$G38="",$K38="キャンセル"),"",IF(SUMPRODUCT(($D$5:$D$204=$D38)*($E$5:$E$204&lt;&gt;"")*($G$5:$G$204&lt;&gt;"")*($K$5:$K$204&lt;&gt;"キャンセル")*($E$5:$E$204&lt;$G38)*($G$5:$G$204&gt;$E38))&gt;1,"⚠重複",""))))</f>
        <v/>
      </c>
      <c r="T38" s="8">
        <f>IF(OR($B38="",$E38=""),"",IF(SUMPRODUCT(('M_利用者'!$A$4:$A$60=$B38)*('M_利用者'!$B$4:$B$60&lt;&gt;""))=0,"",IF(SUMIFS($U$5:$U$204,$B$5:$B$204,$B38,$E$5:$E$204,"&gt;="&amp;DATE(YEAR($E38),MONTH($E38),1),$E$5:$E$204,"&lt;="&amp;EOMONTH($E38,0))&gt;SUMIFS('M_利用者'!$B$4:$B$60,'M_利用者'!$A$4:$A$60,$B38),"⚠支給量超過","")))</f>
        <v/>
      </c>
      <c r="U38" s="8">
        <f>IF(OR($E38="",$G38="",$K38="キャンセル"),0,IF(IFERROR(INDEX('M_区分'!$B$4:$B$20,MATCH($C38,'M_区分'!$A$4:$A$20,0)),"○")="○",$G38-$E38+1,0))</f>
        <v/>
      </c>
    </row>
    <row r="39">
      <c r="A39" s="8">
        <f>IF($E39="","","SS-"&amp;TEXT(ROW()-4,"0000"))</f>
        <v/>
      </c>
      <c r="B39" s="9" t="n"/>
      <c r="C39" s="9" t="n"/>
      <c r="D39" s="9" t="n"/>
      <c r="E39" s="10" t="n"/>
      <c r="F39" s="11" t="n"/>
      <c r="G39" s="10" t="n"/>
      <c r="H39" s="11" t="n"/>
      <c r="I39" s="8">
        <f>IF(OR($E39="",$G39=""),"",$G39-$E39+1)</f>
        <v/>
      </c>
      <c r="J39" s="8">
        <f>IF(OR($E39="",$G39=""),"",$G39-$E39)</f>
        <v/>
      </c>
      <c r="K39" s="9" t="n"/>
      <c r="L39" s="9" t="n"/>
      <c r="M39" s="9" t="n"/>
      <c r="N39" s="9" t="n"/>
      <c r="O39" s="9" t="n"/>
      <c r="P39" s="9" t="n"/>
      <c r="Q39" s="10" t="n"/>
      <c r="R39" s="9" t="n"/>
      <c r="S39" s="8">
        <f>IF($D39="","",IF(COUNTIF('M_部屋'!$A$4:$A$20,$D39)=0,"⚠部屋が未登録",IF(OR($E39="",$G39="",$K39="キャンセル"),"",IF(SUMPRODUCT(($D$5:$D$204=$D39)*($E$5:$E$204&lt;&gt;"")*($G$5:$G$204&lt;&gt;"")*($K$5:$K$204&lt;&gt;"キャンセル")*($E$5:$E$204&lt;$G39)*($G$5:$G$204&gt;$E39))&gt;1,"⚠重複",""))))</f>
        <v/>
      </c>
      <c r="T39" s="8">
        <f>IF(OR($B39="",$E39=""),"",IF(SUMPRODUCT(('M_利用者'!$A$4:$A$60=$B39)*('M_利用者'!$B$4:$B$60&lt;&gt;""))=0,"",IF(SUMIFS($U$5:$U$204,$B$5:$B$204,$B39,$E$5:$E$204,"&gt;="&amp;DATE(YEAR($E39),MONTH($E39),1),$E$5:$E$204,"&lt;="&amp;EOMONTH($E39,0))&gt;SUMIFS('M_利用者'!$B$4:$B$60,'M_利用者'!$A$4:$A$60,$B39),"⚠支給量超過","")))</f>
        <v/>
      </c>
      <c r="U39" s="8">
        <f>IF(OR($E39="",$G39="",$K39="キャンセル"),0,IF(IFERROR(INDEX('M_区分'!$B$4:$B$20,MATCH($C39,'M_区分'!$A$4:$A$20,0)),"○")="○",$G39-$E39+1,0))</f>
        <v/>
      </c>
    </row>
    <row r="40">
      <c r="A40" s="8">
        <f>IF($E40="","","SS-"&amp;TEXT(ROW()-4,"0000"))</f>
        <v/>
      </c>
      <c r="B40" s="9" t="n"/>
      <c r="C40" s="9" t="n"/>
      <c r="D40" s="9" t="n"/>
      <c r="E40" s="10" t="n"/>
      <c r="F40" s="11" t="n"/>
      <c r="G40" s="10" t="n"/>
      <c r="H40" s="11" t="n"/>
      <c r="I40" s="8">
        <f>IF(OR($E40="",$G40=""),"",$G40-$E40+1)</f>
        <v/>
      </c>
      <c r="J40" s="8">
        <f>IF(OR($E40="",$G40=""),"",$G40-$E40)</f>
        <v/>
      </c>
      <c r="K40" s="9" t="n"/>
      <c r="L40" s="9" t="n"/>
      <c r="M40" s="9" t="n"/>
      <c r="N40" s="9" t="n"/>
      <c r="O40" s="9" t="n"/>
      <c r="P40" s="9" t="n"/>
      <c r="Q40" s="10" t="n"/>
      <c r="R40" s="9" t="n"/>
      <c r="S40" s="8">
        <f>IF($D40="","",IF(COUNTIF('M_部屋'!$A$4:$A$20,$D40)=0,"⚠部屋が未登録",IF(OR($E40="",$G40="",$K40="キャンセル"),"",IF(SUMPRODUCT(($D$5:$D$204=$D40)*($E$5:$E$204&lt;&gt;"")*($G$5:$G$204&lt;&gt;"")*($K$5:$K$204&lt;&gt;"キャンセル")*($E$5:$E$204&lt;$G40)*($G$5:$G$204&gt;$E40))&gt;1,"⚠重複",""))))</f>
        <v/>
      </c>
      <c r="T40" s="8">
        <f>IF(OR($B40="",$E40=""),"",IF(SUMPRODUCT(('M_利用者'!$A$4:$A$60=$B40)*('M_利用者'!$B$4:$B$60&lt;&gt;""))=0,"",IF(SUMIFS($U$5:$U$204,$B$5:$B$204,$B40,$E$5:$E$204,"&gt;="&amp;DATE(YEAR($E40),MONTH($E40),1),$E$5:$E$204,"&lt;="&amp;EOMONTH($E40,0))&gt;SUMIFS('M_利用者'!$B$4:$B$60,'M_利用者'!$A$4:$A$60,$B40),"⚠支給量超過","")))</f>
        <v/>
      </c>
      <c r="U40" s="8">
        <f>IF(OR($E40="",$G40="",$K40="キャンセル"),0,IF(IFERROR(INDEX('M_区分'!$B$4:$B$20,MATCH($C40,'M_区分'!$A$4:$A$20,0)),"○")="○",$G40-$E40+1,0))</f>
        <v/>
      </c>
    </row>
    <row r="41">
      <c r="A41" s="8">
        <f>IF($E41="","","SS-"&amp;TEXT(ROW()-4,"0000"))</f>
        <v/>
      </c>
      <c r="B41" s="9" t="n"/>
      <c r="C41" s="9" t="n"/>
      <c r="D41" s="9" t="n"/>
      <c r="E41" s="10" t="n"/>
      <c r="F41" s="11" t="n"/>
      <c r="G41" s="10" t="n"/>
      <c r="H41" s="11" t="n"/>
      <c r="I41" s="8">
        <f>IF(OR($E41="",$G41=""),"",$G41-$E41+1)</f>
        <v/>
      </c>
      <c r="J41" s="8">
        <f>IF(OR($E41="",$G41=""),"",$G41-$E41)</f>
        <v/>
      </c>
      <c r="K41" s="9" t="n"/>
      <c r="L41" s="9" t="n"/>
      <c r="M41" s="9" t="n"/>
      <c r="N41" s="9" t="n"/>
      <c r="O41" s="9" t="n"/>
      <c r="P41" s="9" t="n"/>
      <c r="Q41" s="10" t="n"/>
      <c r="R41" s="9" t="n"/>
      <c r="S41" s="8">
        <f>IF($D41="","",IF(COUNTIF('M_部屋'!$A$4:$A$20,$D41)=0,"⚠部屋が未登録",IF(OR($E41="",$G41="",$K41="キャンセル"),"",IF(SUMPRODUCT(($D$5:$D$204=$D41)*($E$5:$E$204&lt;&gt;"")*($G$5:$G$204&lt;&gt;"")*($K$5:$K$204&lt;&gt;"キャンセル")*($E$5:$E$204&lt;$G41)*($G$5:$G$204&gt;$E41))&gt;1,"⚠重複",""))))</f>
        <v/>
      </c>
      <c r="T41" s="8">
        <f>IF(OR($B41="",$E41=""),"",IF(SUMPRODUCT(('M_利用者'!$A$4:$A$60=$B41)*('M_利用者'!$B$4:$B$60&lt;&gt;""))=0,"",IF(SUMIFS($U$5:$U$204,$B$5:$B$204,$B41,$E$5:$E$204,"&gt;="&amp;DATE(YEAR($E41),MONTH($E41),1),$E$5:$E$204,"&lt;="&amp;EOMONTH($E41,0))&gt;SUMIFS('M_利用者'!$B$4:$B$60,'M_利用者'!$A$4:$A$60,$B41),"⚠支給量超過","")))</f>
        <v/>
      </c>
      <c r="U41" s="8">
        <f>IF(OR($E41="",$G41="",$K41="キャンセル"),0,IF(IFERROR(INDEX('M_区分'!$B$4:$B$20,MATCH($C41,'M_区分'!$A$4:$A$20,0)),"○")="○",$G41-$E41+1,0))</f>
        <v/>
      </c>
    </row>
    <row r="42">
      <c r="A42" s="8">
        <f>IF($E42="","","SS-"&amp;TEXT(ROW()-4,"0000"))</f>
        <v/>
      </c>
      <c r="B42" s="9" t="n"/>
      <c r="C42" s="9" t="n"/>
      <c r="D42" s="9" t="n"/>
      <c r="E42" s="10" t="n"/>
      <c r="F42" s="11" t="n"/>
      <c r="G42" s="10" t="n"/>
      <c r="H42" s="11" t="n"/>
      <c r="I42" s="8">
        <f>IF(OR($E42="",$G42=""),"",$G42-$E42+1)</f>
        <v/>
      </c>
      <c r="J42" s="8">
        <f>IF(OR($E42="",$G42=""),"",$G42-$E42)</f>
        <v/>
      </c>
      <c r="K42" s="9" t="n"/>
      <c r="L42" s="9" t="n"/>
      <c r="M42" s="9" t="n"/>
      <c r="N42" s="9" t="n"/>
      <c r="O42" s="9" t="n"/>
      <c r="P42" s="9" t="n"/>
      <c r="Q42" s="10" t="n"/>
      <c r="R42" s="9" t="n"/>
      <c r="S42" s="8">
        <f>IF($D42="","",IF(COUNTIF('M_部屋'!$A$4:$A$20,$D42)=0,"⚠部屋が未登録",IF(OR($E42="",$G42="",$K42="キャンセル"),"",IF(SUMPRODUCT(($D$5:$D$204=$D42)*($E$5:$E$204&lt;&gt;"")*($G$5:$G$204&lt;&gt;"")*($K$5:$K$204&lt;&gt;"キャンセル")*($E$5:$E$204&lt;$G42)*($G$5:$G$204&gt;$E42))&gt;1,"⚠重複",""))))</f>
        <v/>
      </c>
      <c r="T42" s="8">
        <f>IF(OR($B42="",$E42=""),"",IF(SUMPRODUCT(('M_利用者'!$A$4:$A$60=$B42)*('M_利用者'!$B$4:$B$60&lt;&gt;""))=0,"",IF(SUMIFS($U$5:$U$204,$B$5:$B$204,$B42,$E$5:$E$204,"&gt;="&amp;DATE(YEAR($E42),MONTH($E42),1),$E$5:$E$204,"&lt;="&amp;EOMONTH($E42,0))&gt;SUMIFS('M_利用者'!$B$4:$B$60,'M_利用者'!$A$4:$A$60,$B42),"⚠支給量超過","")))</f>
        <v/>
      </c>
      <c r="U42" s="8">
        <f>IF(OR($E42="",$G42="",$K42="キャンセル"),0,IF(IFERROR(INDEX('M_区分'!$B$4:$B$20,MATCH($C42,'M_区分'!$A$4:$A$20,0)),"○")="○",$G42-$E42+1,0))</f>
        <v/>
      </c>
    </row>
    <row r="43">
      <c r="A43" s="8">
        <f>IF($E43="","","SS-"&amp;TEXT(ROW()-4,"0000"))</f>
        <v/>
      </c>
      <c r="B43" s="9" t="n"/>
      <c r="C43" s="9" t="n"/>
      <c r="D43" s="9" t="n"/>
      <c r="E43" s="10" t="n"/>
      <c r="F43" s="11" t="n"/>
      <c r="G43" s="10" t="n"/>
      <c r="H43" s="11" t="n"/>
      <c r="I43" s="8">
        <f>IF(OR($E43="",$G43=""),"",$G43-$E43+1)</f>
        <v/>
      </c>
      <c r="J43" s="8">
        <f>IF(OR($E43="",$G43=""),"",$G43-$E43)</f>
        <v/>
      </c>
      <c r="K43" s="9" t="n"/>
      <c r="L43" s="9" t="n"/>
      <c r="M43" s="9" t="n"/>
      <c r="N43" s="9" t="n"/>
      <c r="O43" s="9" t="n"/>
      <c r="P43" s="9" t="n"/>
      <c r="Q43" s="10" t="n"/>
      <c r="R43" s="9" t="n"/>
      <c r="S43" s="8">
        <f>IF($D43="","",IF(COUNTIF('M_部屋'!$A$4:$A$20,$D43)=0,"⚠部屋が未登録",IF(OR($E43="",$G43="",$K43="キャンセル"),"",IF(SUMPRODUCT(($D$5:$D$204=$D43)*($E$5:$E$204&lt;&gt;"")*($G$5:$G$204&lt;&gt;"")*($K$5:$K$204&lt;&gt;"キャンセル")*($E$5:$E$204&lt;$G43)*($G$5:$G$204&gt;$E43))&gt;1,"⚠重複",""))))</f>
        <v/>
      </c>
      <c r="T43" s="8">
        <f>IF(OR($B43="",$E43=""),"",IF(SUMPRODUCT(('M_利用者'!$A$4:$A$60=$B43)*('M_利用者'!$B$4:$B$60&lt;&gt;""))=0,"",IF(SUMIFS($U$5:$U$204,$B$5:$B$204,$B43,$E$5:$E$204,"&gt;="&amp;DATE(YEAR($E43),MONTH($E43),1),$E$5:$E$204,"&lt;="&amp;EOMONTH($E43,0))&gt;SUMIFS('M_利用者'!$B$4:$B$60,'M_利用者'!$A$4:$A$60,$B43),"⚠支給量超過","")))</f>
        <v/>
      </c>
      <c r="U43" s="8">
        <f>IF(OR($E43="",$G43="",$K43="キャンセル"),0,IF(IFERROR(INDEX('M_区分'!$B$4:$B$20,MATCH($C43,'M_区分'!$A$4:$A$20,0)),"○")="○",$G43-$E43+1,0))</f>
        <v/>
      </c>
    </row>
    <row r="44">
      <c r="A44" s="8">
        <f>IF($E44="","","SS-"&amp;TEXT(ROW()-4,"0000"))</f>
        <v/>
      </c>
      <c r="B44" s="9" t="n"/>
      <c r="C44" s="9" t="n"/>
      <c r="D44" s="9" t="n"/>
      <c r="E44" s="10" t="n"/>
      <c r="F44" s="11" t="n"/>
      <c r="G44" s="10" t="n"/>
      <c r="H44" s="11" t="n"/>
      <c r="I44" s="8">
        <f>IF(OR($E44="",$G44=""),"",$G44-$E44+1)</f>
        <v/>
      </c>
      <c r="J44" s="8">
        <f>IF(OR($E44="",$G44=""),"",$G44-$E44)</f>
        <v/>
      </c>
      <c r="K44" s="9" t="n"/>
      <c r="L44" s="9" t="n"/>
      <c r="M44" s="9" t="n"/>
      <c r="N44" s="9" t="n"/>
      <c r="O44" s="9" t="n"/>
      <c r="P44" s="9" t="n"/>
      <c r="Q44" s="10" t="n"/>
      <c r="R44" s="9" t="n"/>
      <c r="S44" s="8">
        <f>IF($D44="","",IF(COUNTIF('M_部屋'!$A$4:$A$20,$D44)=0,"⚠部屋が未登録",IF(OR($E44="",$G44="",$K44="キャンセル"),"",IF(SUMPRODUCT(($D$5:$D$204=$D44)*($E$5:$E$204&lt;&gt;"")*($G$5:$G$204&lt;&gt;"")*($K$5:$K$204&lt;&gt;"キャンセル")*($E$5:$E$204&lt;$G44)*($G$5:$G$204&gt;$E44))&gt;1,"⚠重複",""))))</f>
        <v/>
      </c>
      <c r="T44" s="8">
        <f>IF(OR($B44="",$E44=""),"",IF(SUMPRODUCT(('M_利用者'!$A$4:$A$60=$B44)*('M_利用者'!$B$4:$B$60&lt;&gt;""))=0,"",IF(SUMIFS($U$5:$U$204,$B$5:$B$204,$B44,$E$5:$E$204,"&gt;="&amp;DATE(YEAR($E44),MONTH($E44),1),$E$5:$E$204,"&lt;="&amp;EOMONTH($E44,0))&gt;SUMIFS('M_利用者'!$B$4:$B$60,'M_利用者'!$A$4:$A$60,$B44),"⚠支給量超過","")))</f>
        <v/>
      </c>
      <c r="U44" s="8">
        <f>IF(OR($E44="",$G44="",$K44="キャンセル"),0,IF(IFERROR(INDEX('M_区分'!$B$4:$B$20,MATCH($C44,'M_区分'!$A$4:$A$20,0)),"○")="○",$G44-$E44+1,0))</f>
        <v/>
      </c>
    </row>
    <row r="45">
      <c r="A45" s="8">
        <f>IF($E45="","","SS-"&amp;TEXT(ROW()-4,"0000"))</f>
        <v/>
      </c>
      <c r="B45" s="9" t="n"/>
      <c r="C45" s="9" t="n"/>
      <c r="D45" s="9" t="n"/>
      <c r="E45" s="10" t="n"/>
      <c r="F45" s="11" t="n"/>
      <c r="G45" s="10" t="n"/>
      <c r="H45" s="11" t="n"/>
      <c r="I45" s="8">
        <f>IF(OR($E45="",$G45=""),"",$G45-$E45+1)</f>
        <v/>
      </c>
      <c r="J45" s="8">
        <f>IF(OR($E45="",$G45=""),"",$G45-$E45)</f>
        <v/>
      </c>
      <c r="K45" s="9" t="n"/>
      <c r="L45" s="9" t="n"/>
      <c r="M45" s="9" t="n"/>
      <c r="N45" s="9" t="n"/>
      <c r="O45" s="9" t="n"/>
      <c r="P45" s="9" t="n"/>
      <c r="Q45" s="10" t="n"/>
      <c r="R45" s="9" t="n"/>
      <c r="S45" s="8">
        <f>IF($D45="","",IF(COUNTIF('M_部屋'!$A$4:$A$20,$D45)=0,"⚠部屋が未登録",IF(OR($E45="",$G45="",$K45="キャンセル"),"",IF(SUMPRODUCT(($D$5:$D$204=$D45)*($E$5:$E$204&lt;&gt;"")*($G$5:$G$204&lt;&gt;"")*($K$5:$K$204&lt;&gt;"キャンセル")*($E$5:$E$204&lt;$G45)*($G$5:$G$204&gt;$E45))&gt;1,"⚠重複",""))))</f>
        <v/>
      </c>
      <c r="T45" s="8">
        <f>IF(OR($B45="",$E45=""),"",IF(SUMPRODUCT(('M_利用者'!$A$4:$A$60=$B45)*('M_利用者'!$B$4:$B$60&lt;&gt;""))=0,"",IF(SUMIFS($U$5:$U$204,$B$5:$B$204,$B45,$E$5:$E$204,"&gt;="&amp;DATE(YEAR($E45),MONTH($E45),1),$E$5:$E$204,"&lt;="&amp;EOMONTH($E45,0))&gt;SUMIFS('M_利用者'!$B$4:$B$60,'M_利用者'!$A$4:$A$60,$B45),"⚠支給量超過","")))</f>
        <v/>
      </c>
      <c r="U45" s="8">
        <f>IF(OR($E45="",$G45="",$K45="キャンセル"),0,IF(IFERROR(INDEX('M_区分'!$B$4:$B$20,MATCH($C45,'M_区分'!$A$4:$A$20,0)),"○")="○",$G45-$E45+1,0))</f>
        <v/>
      </c>
    </row>
    <row r="46">
      <c r="A46" s="8">
        <f>IF($E46="","","SS-"&amp;TEXT(ROW()-4,"0000"))</f>
        <v/>
      </c>
      <c r="B46" s="9" t="n"/>
      <c r="C46" s="9" t="n"/>
      <c r="D46" s="9" t="n"/>
      <c r="E46" s="10" t="n"/>
      <c r="F46" s="11" t="n"/>
      <c r="G46" s="10" t="n"/>
      <c r="H46" s="11" t="n"/>
      <c r="I46" s="8">
        <f>IF(OR($E46="",$G46=""),"",$G46-$E46+1)</f>
        <v/>
      </c>
      <c r="J46" s="8">
        <f>IF(OR($E46="",$G46=""),"",$G46-$E46)</f>
        <v/>
      </c>
      <c r="K46" s="9" t="n"/>
      <c r="L46" s="9" t="n"/>
      <c r="M46" s="9" t="n"/>
      <c r="N46" s="9" t="n"/>
      <c r="O46" s="9" t="n"/>
      <c r="P46" s="9" t="n"/>
      <c r="Q46" s="10" t="n"/>
      <c r="R46" s="9" t="n"/>
      <c r="S46" s="8">
        <f>IF($D46="","",IF(COUNTIF('M_部屋'!$A$4:$A$20,$D46)=0,"⚠部屋が未登録",IF(OR($E46="",$G46="",$K46="キャンセル"),"",IF(SUMPRODUCT(($D$5:$D$204=$D46)*($E$5:$E$204&lt;&gt;"")*($G$5:$G$204&lt;&gt;"")*($K$5:$K$204&lt;&gt;"キャンセル")*($E$5:$E$204&lt;$G46)*($G$5:$G$204&gt;$E46))&gt;1,"⚠重複",""))))</f>
        <v/>
      </c>
      <c r="T46" s="8">
        <f>IF(OR($B46="",$E46=""),"",IF(SUMPRODUCT(('M_利用者'!$A$4:$A$60=$B46)*('M_利用者'!$B$4:$B$60&lt;&gt;""))=0,"",IF(SUMIFS($U$5:$U$204,$B$5:$B$204,$B46,$E$5:$E$204,"&gt;="&amp;DATE(YEAR($E46),MONTH($E46),1),$E$5:$E$204,"&lt;="&amp;EOMONTH($E46,0))&gt;SUMIFS('M_利用者'!$B$4:$B$60,'M_利用者'!$A$4:$A$60,$B46),"⚠支給量超過","")))</f>
        <v/>
      </c>
      <c r="U46" s="8">
        <f>IF(OR($E46="",$G46="",$K46="キャンセル"),0,IF(IFERROR(INDEX('M_区分'!$B$4:$B$20,MATCH($C46,'M_区分'!$A$4:$A$20,0)),"○")="○",$G46-$E46+1,0))</f>
        <v/>
      </c>
    </row>
    <row r="47">
      <c r="A47" s="8">
        <f>IF($E47="","","SS-"&amp;TEXT(ROW()-4,"0000"))</f>
        <v/>
      </c>
      <c r="B47" s="9" t="n"/>
      <c r="C47" s="9" t="n"/>
      <c r="D47" s="9" t="n"/>
      <c r="E47" s="10" t="n"/>
      <c r="F47" s="11" t="n"/>
      <c r="G47" s="10" t="n"/>
      <c r="H47" s="11" t="n"/>
      <c r="I47" s="8">
        <f>IF(OR($E47="",$G47=""),"",$G47-$E47+1)</f>
        <v/>
      </c>
      <c r="J47" s="8">
        <f>IF(OR($E47="",$G47=""),"",$G47-$E47)</f>
        <v/>
      </c>
      <c r="K47" s="9" t="n"/>
      <c r="L47" s="9" t="n"/>
      <c r="M47" s="9" t="n"/>
      <c r="N47" s="9" t="n"/>
      <c r="O47" s="9" t="n"/>
      <c r="P47" s="9" t="n"/>
      <c r="Q47" s="10" t="n"/>
      <c r="R47" s="9" t="n"/>
      <c r="S47" s="8">
        <f>IF($D47="","",IF(COUNTIF('M_部屋'!$A$4:$A$20,$D47)=0,"⚠部屋が未登録",IF(OR($E47="",$G47="",$K47="キャンセル"),"",IF(SUMPRODUCT(($D$5:$D$204=$D47)*($E$5:$E$204&lt;&gt;"")*($G$5:$G$204&lt;&gt;"")*($K$5:$K$204&lt;&gt;"キャンセル")*($E$5:$E$204&lt;$G47)*($G$5:$G$204&gt;$E47))&gt;1,"⚠重複",""))))</f>
        <v/>
      </c>
      <c r="T47" s="8">
        <f>IF(OR($B47="",$E47=""),"",IF(SUMPRODUCT(('M_利用者'!$A$4:$A$60=$B47)*('M_利用者'!$B$4:$B$60&lt;&gt;""))=0,"",IF(SUMIFS($U$5:$U$204,$B$5:$B$204,$B47,$E$5:$E$204,"&gt;="&amp;DATE(YEAR($E47),MONTH($E47),1),$E$5:$E$204,"&lt;="&amp;EOMONTH($E47,0))&gt;SUMIFS('M_利用者'!$B$4:$B$60,'M_利用者'!$A$4:$A$60,$B47),"⚠支給量超過","")))</f>
        <v/>
      </c>
      <c r="U47" s="8">
        <f>IF(OR($E47="",$G47="",$K47="キャンセル"),0,IF(IFERROR(INDEX('M_区分'!$B$4:$B$20,MATCH($C47,'M_区分'!$A$4:$A$20,0)),"○")="○",$G47-$E47+1,0))</f>
        <v/>
      </c>
    </row>
    <row r="48">
      <c r="A48" s="8">
        <f>IF($E48="","","SS-"&amp;TEXT(ROW()-4,"0000"))</f>
        <v/>
      </c>
      <c r="B48" s="9" t="n"/>
      <c r="C48" s="9" t="n"/>
      <c r="D48" s="9" t="n"/>
      <c r="E48" s="10" t="n"/>
      <c r="F48" s="11" t="n"/>
      <c r="G48" s="10" t="n"/>
      <c r="H48" s="11" t="n"/>
      <c r="I48" s="8">
        <f>IF(OR($E48="",$G48=""),"",$G48-$E48+1)</f>
        <v/>
      </c>
      <c r="J48" s="8">
        <f>IF(OR($E48="",$G48=""),"",$G48-$E48)</f>
        <v/>
      </c>
      <c r="K48" s="9" t="n"/>
      <c r="L48" s="9" t="n"/>
      <c r="M48" s="9" t="n"/>
      <c r="N48" s="9" t="n"/>
      <c r="O48" s="9" t="n"/>
      <c r="P48" s="9" t="n"/>
      <c r="Q48" s="10" t="n"/>
      <c r="R48" s="9" t="n"/>
      <c r="S48" s="8">
        <f>IF($D48="","",IF(COUNTIF('M_部屋'!$A$4:$A$20,$D48)=0,"⚠部屋が未登録",IF(OR($E48="",$G48="",$K48="キャンセル"),"",IF(SUMPRODUCT(($D$5:$D$204=$D48)*($E$5:$E$204&lt;&gt;"")*($G$5:$G$204&lt;&gt;"")*($K$5:$K$204&lt;&gt;"キャンセル")*($E$5:$E$204&lt;$G48)*($G$5:$G$204&gt;$E48))&gt;1,"⚠重複",""))))</f>
        <v/>
      </c>
      <c r="T48" s="8">
        <f>IF(OR($B48="",$E48=""),"",IF(SUMPRODUCT(('M_利用者'!$A$4:$A$60=$B48)*('M_利用者'!$B$4:$B$60&lt;&gt;""))=0,"",IF(SUMIFS($U$5:$U$204,$B$5:$B$204,$B48,$E$5:$E$204,"&gt;="&amp;DATE(YEAR($E48),MONTH($E48),1),$E$5:$E$204,"&lt;="&amp;EOMONTH($E48,0))&gt;SUMIFS('M_利用者'!$B$4:$B$60,'M_利用者'!$A$4:$A$60,$B48),"⚠支給量超過","")))</f>
        <v/>
      </c>
      <c r="U48" s="8">
        <f>IF(OR($E48="",$G48="",$K48="キャンセル"),0,IF(IFERROR(INDEX('M_区分'!$B$4:$B$20,MATCH($C48,'M_区分'!$A$4:$A$20,0)),"○")="○",$G48-$E48+1,0))</f>
        <v/>
      </c>
    </row>
    <row r="49">
      <c r="A49" s="8">
        <f>IF($E49="","","SS-"&amp;TEXT(ROW()-4,"0000"))</f>
        <v/>
      </c>
      <c r="B49" s="9" t="n"/>
      <c r="C49" s="9" t="n"/>
      <c r="D49" s="9" t="n"/>
      <c r="E49" s="10" t="n"/>
      <c r="F49" s="11" t="n"/>
      <c r="G49" s="10" t="n"/>
      <c r="H49" s="11" t="n"/>
      <c r="I49" s="8">
        <f>IF(OR($E49="",$G49=""),"",$G49-$E49+1)</f>
        <v/>
      </c>
      <c r="J49" s="8">
        <f>IF(OR($E49="",$G49=""),"",$G49-$E49)</f>
        <v/>
      </c>
      <c r="K49" s="9" t="n"/>
      <c r="L49" s="9" t="n"/>
      <c r="M49" s="9" t="n"/>
      <c r="N49" s="9" t="n"/>
      <c r="O49" s="9" t="n"/>
      <c r="P49" s="9" t="n"/>
      <c r="Q49" s="10" t="n"/>
      <c r="R49" s="9" t="n"/>
      <c r="S49" s="8">
        <f>IF($D49="","",IF(COUNTIF('M_部屋'!$A$4:$A$20,$D49)=0,"⚠部屋が未登録",IF(OR($E49="",$G49="",$K49="キャンセル"),"",IF(SUMPRODUCT(($D$5:$D$204=$D49)*($E$5:$E$204&lt;&gt;"")*($G$5:$G$204&lt;&gt;"")*($K$5:$K$204&lt;&gt;"キャンセル")*($E$5:$E$204&lt;$G49)*($G$5:$G$204&gt;$E49))&gt;1,"⚠重複",""))))</f>
        <v/>
      </c>
      <c r="T49" s="8">
        <f>IF(OR($B49="",$E49=""),"",IF(SUMPRODUCT(('M_利用者'!$A$4:$A$60=$B49)*('M_利用者'!$B$4:$B$60&lt;&gt;""))=0,"",IF(SUMIFS($U$5:$U$204,$B$5:$B$204,$B49,$E$5:$E$204,"&gt;="&amp;DATE(YEAR($E49),MONTH($E49),1),$E$5:$E$204,"&lt;="&amp;EOMONTH($E49,0))&gt;SUMIFS('M_利用者'!$B$4:$B$60,'M_利用者'!$A$4:$A$60,$B49),"⚠支給量超過","")))</f>
        <v/>
      </c>
      <c r="U49" s="8">
        <f>IF(OR($E49="",$G49="",$K49="キャンセル"),0,IF(IFERROR(INDEX('M_区分'!$B$4:$B$20,MATCH($C49,'M_区分'!$A$4:$A$20,0)),"○")="○",$G49-$E49+1,0))</f>
        <v/>
      </c>
    </row>
    <row r="50">
      <c r="A50" s="8">
        <f>IF($E50="","","SS-"&amp;TEXT(ROW()-4,"0000"))</f>
        <v/>
      </c>
      <c r="B50" s="9" t="n"/>
      <c r="C50" s="9" t="n"/>
      <c r="D50" s="9" t="n"/>
      <c r="E50" s="10" t="n"/>
      <c r="F50" s="11" t="n"/>
      <c r="G50" s="10" t="n"/>
      <c r="H50" s="11" t="n"/>
      <c r="I50" s="8">
        <f>IF(OR($E50="",$G50=""),"",$G50-$E50+1)</f>
        <v/>
      </c>
      <c r="J50" s="8">
        <f>IF(OR($E50="",$G50=""),"",$G50-$E50)</f>
        <v/>
      </c>
      <c r="K50" s="9" t="n"/>
      <c r="L50" s="9" t="n"/>
      <c r="M50" s="9" t="n"/>
      <c r="N50" s="9" t="n"/>
      <c r="O50" s="9" t="n"/>
      <c r="P50" s="9" t="n"/>
      <c r="Q50" s="10" t="n"/>
      <c r="R50" s="9" t="n"/>
      <c r="S50" s="8">
        <f>IF($D50="","",IF(COUNTIF('M_部屋'!$A$4:$A$20,$D50)=0,"⚠部屋が未登録",IF(OR($E50="",$G50="",$K50="キャンセル"),"",IF(SUMPRODUCT(($D$5:$D$204=$D50)*($E$5:$E$204&lt;&gt;"")*($G$5:$G$204&lt;&gt;"")*($K$5:$K$204&lt;&gt;"キャンセル")*($E$5:$E$204&lt;$G50)*($G$5:$G$204&gt;$E50))&gt;1,"⚠重複",""))))</f>
        <v/>
      </c>
      <c r="T50" s="8">
        <f>IF(OR($B50="",$E50=""),"",IF(SUMPRODUCT(('M_利用者'!$A$4:$A$60=$B50)*('M_利用者'!$B$4:$B$60&lt;&gt;""))=0,"",IF(SUMIFS($U$5:$U$204,$B$5:$B$204,$B50,$E$5:$E$204,"&gt;="&amp;DATE(YEAR($E50),MONTH($E50),1),$E$5:$E$204,"&lt;="&amp;EOMONTH($E50,0))&gt;SUMIFS('M_利用者'!$B$4:$B$60,'M_利用者'!$A$4:$A$60,$B50),"⚠支給量超過","")))</f>
        <v/>
      </c>
      <c r="U50" s="8">
        <f>IF(OR($E50="",$G50="",$K50="キャンセル"),0,IF(IFERROR(INDEX('M_区分'!$B$4:$B$20,MATCH($C50,'M_区分'!$A$4:$A$20,0)),"○")="○",$G50-$E50+1,0))</f>
        <v/>
      </c>
    </row>
    <row r="51">
      <c r="A51" s="8">
        <f>IF($E51="","","SS-"&amp;TEXT(ROW()-4,"0000"))</f>
        <v/>
      </c>
      <c r="B51" s="9" t="n"/>
      <c r="C51" s="9" t="n"/>
      <c r="D51" s="9" t="n"/>
      <c r="E51" s="10" t="n"/>
      <c r="F51" s="11" t="n"/>
      <c r="G51" s="10" t="n"/>
      <c r="H51" s="11" t="n"/>
      <c r="I51" s="8">
        <f>IF(OR($E51="",$G51=""),"",$G51-$E51+1)</f>
        <v/>
      </c>
      <c r="J51" s="8">
        <f>IF(OR($E51="",$G51=""),"",$G51-$E51)</f>
        <v/>
      </c>
      <c r="K51" s="9" t="n"/>
      <c r="L51" s="9" t="n"/>
      <c r="M51" s="9" t="n"/>
      <c r="N51" s="9" t="n"/>
      <c r="O51" s="9" t="n"/>
      <c r="P51" s="9" t="n"/>
      <c r="Q51" s="10" t="n"/>
      <c r="R51" s="9" t="n"/>
      <c r="S51" s="8">
        <f>IF($D51="","",IF(COUNTIF('M_部屋'!$A$4:$A$20,$D51)=0,"⚠部屋が未登録",IF(OR($E51="",$G51="",$K51="キャンセル"),"",IF(SUMPRODUCT(($D$5:$D$204=$D51)*($E$5:$E$204&lt;&gt;"")*($G$5:$G$204&lt;&gt;"")*($K$5:$K$204&lt;&gt;"キャンセル")*($E$5:$E$204&lt;$G51)*($G$5:$G$204&gt;$E51))&gt;1,"⚠重複",""))))</f>
        <v/>
      </c>
      <c r="T51" s="8">
        <f>IF(OR($B51="",$E51=""),"",IF(SUMPRODUCT(('M_利用者'!$A$4:$A$60=$B51)*('M_利用者'!$B$4:$B$60&lt;&gt;""))=0,"",IF(SUMIFS($U$5:$U$204,$B$5:$B$204,$B51,$E$5:$E$204,"&gt;="&amp;DATE(YEAR($E51),MONTH($E51),1),$E$5:$E$204,"&lt;="&amp;EOMONTH($E51,0))&gt;SUMIFS('M_利用者'!$B$4:$B$60,'M_利用者'!$A$4:$A$60,$B51),"⚠支給量超過","")))</f>
        <v/>
      </c>
      <c r="U51" s="8">
        <f>IF(OR($E51="",$G51="",$K51="キャンセル"),0,IF(IFERROR(INDEX('M_区分'!$B$4:$B$20,MATCH($C51,'M_区分'!$A$4:$A$20,0)),"○")="○",$G51-$E51+1,0))</f>
        <v/>
      </c>
    </row>
    <row r="52">
      <c r="A52" s="8">
        <f>IF($E52="","","SS-"&amp;TEXT(ROW()-4,"0000"))</f>
        <v/>
      </c>
      <c r="B52" s="9" t="n"/>
      <c r="C52" s="9" t="n"/>
      <c r="D52" s="9" t="n"/>
      <c r="E52" s="10" t="n"/>
      <c r="F52" s="11" t="n"/>
      <c r="G52" s="10" t="n"/>
      <c r="H52" s="11" t="n"/>
      <c r="I52" s="8">
        <f>IF(OR($E52="",$G52=""),"",$G52-$E52+1)</f>
        <v/>
      </c>
      <c r="J52" s="8">
        <f>IF(OR($E52="",$G52=""),"",$G52-$E52)</f>
        <v/>
      </c>
      <c r="K52" s="9" t="n"/>
      <c r="L52" s="9" t="n"/>
      <c r="M52" s="9" t="n"/>
      <c r="N52" s="9" t="n"/>
      <c r="O52" s="9" t="n"/>
      <c r="P52" s="9" t="n"/>
      <c r="Q52" s="10" t="n"/>
      <c r="R52" s="9" t="n"/>
      <c r="S52" s="8">
        <f>IF($D52="","",IF(COUNTIF('M_部屋'!$A$4:$A$20,$D52)=0,"⚠部屋が未登録",IF(OR($E52="",$G52="",$K52="キャンセル"),"",IF(SUMPRODUCT(($D$5:$D$204=$D52)*($E$5:$E$204&lt;&gt;"")*($G$5:$G$204&lt;&gt;"")*($K$5:$K$204&lt;&gt;"キャンセル")*($E$5:$E$204&lt;$G52)*($G$5:$G$204&gt;$E52))&gt;1,"⚠重複",""))))</f>
        <v/>
      </c>
      <c r="T52" s="8">
        <f>IF(OR($B52="",$E52=""),"",IF(SUMPRODUCT(('M_利用者'!$A$4:$A$60=$B52)*('M_利用者'!$B$4:$B$60&lt;&gt;""))=0,"",IF(SUMIFS($U$5:$U$204,$B$5:$B$204,$B52,$E$5:$E$204,"&gt;="&amp;DATE(YEAR($E52),MONTH($E52),1),$E$5:$E$204,"&lt;="&amp;EOMONTH($E52,0))&gt;SUMIFS('M_利用者'!$B$4:$B$60,'M_利用者'!$A$4:$A$60,$B52),"⚠支給量超過","")))</f>
        <v/>
      </c>
      <c r="U52" s="8">
        <f>IF(OR($E52="",$G52="",$K52="キャンセル"),0,IF(IFERROR(INDEX('M_区分'!$B$4:$B$20,MATCH($C52,'M_区分'!$A$4:$A$20,0)),"○")="○",$G52-$E52+1,0))</f>
        <v/>
      </c>
    </row>
    <row r="53">
      <c r="A53" s="8">
        <f>IF($E53="","","SS-"&amp;TEXT(ROW()-4,"0000"))</f>
        <v/>
      </c>
      <c r="B53" s="9" t="n"/>
      <c r="C53" s="9" t="n"/>
      <c r="D53" s="9" t="n"/>
      <c r="E53" s="10" t="n"/>
      <c r="F53" s="11" t="n"/>
      <c r="G53" s="10" t="n"/>
      <c r="H53" s="11" t="n"/>
      <c r="I53" s="8">
        <f>IF(OR($E53="",$G53=""),"",$G53-$E53+1)</f>
        <v/>
      </c>
      <c r="J53" s="8">
        <f>IF(OR($E53="",$G53=""),"",$G53-$E53)</f>
        <v/>
      </c>
      <c r="K53" s="9" t="n"/>
      <c r="L53" s="9" t="n"/>
      <c r="M53" s="9" t="n"/>
      <c r="N53" s="9" t="n"/>
      <c r="O53" s="9" t="n"/>
      <c r="P53" s="9" t="n"/>
      <c r="Q53" s="10" t="n"/>
      <c r="R53" s="9" t="n"/>
      <c r="S53" s="8">
        <f>IF($D53="","",IF(COUNTIF('M_部屋'!$A$4:$A$20,$D53)=0,"⚠部屋が未登録",IF(OR($E53="",$G53="",$K53="キャンセル"),"",IF(SUMPRODUCT(($D$5:$D$204=$D53)*($E$5:$E$204&lt;&gt;"")*($G$5:$G$204&lt;&gt;"")*($K$5:$K$204&lt;&gt;"キャンセル")*($E$5:$E$204&lt;$G53)*($G$5:$G$204&gt;$E53))&gt;1,"⚠重複",""))))</f>
        <v/>
      </c>
      <c r="T53" s="8">
        <f>IF(OR($B53="",$E53=""),"",IF(SUMPRODUCT(('M_利用者'!$A$4:$A$60=$B53)*('M_利用者'!$B$4:$B$60&lt;&gt;""))=0,"",IF(SUMIFS($U$5:$U$204,$B$5:$B$204,$B53,$E$5:$E$204,"&gt;="&amp;DATE(YEAR($E53),MONTH($E53),1),$E$5:$E$204,"&lt;="&amp;EOMONTH($E53,0))&gt;SUMIFS('M_利用者'!$B$4:$B$60,'M_利用者'!$A$4:$A$60,$B53),"⚠支給量超過","")))</f>
        <v/>
      </c>
      <c r="U53" s="8">
        <f>IF(OR($E53="",$G53="",$K53="キャンセル"),0,IF(IFERROR(INDEX('M_区分'!$B$4:$B$20,MATCH($C53,'M_区分'!$A$4:$A$20,0)),"○")="○",$G53-$E53+1,0))</f>
        <v/>
      </c>
    </row>
    <row r="54">
      <c r="A54" s="8">
        <f>IF($E54="","","SS-"&amp;TEXT(ROW()-4,"0000"))</f>
        <v/>
      </c>
      <c r="B54" s="9" t="n"/>
      <c r="C54" s="9" t="n"/>
      <c r="D54" s="9" t="n"/>
      <c r="E54" s="10" t="n"/>
      <c r="F54" s="11" t="n"/>
      <c r="G54" s="10" t="n"/>
      <c r="H54" s="11" t="n"/>
      <c r="I54" s="8">
        <f>IF(OR($E54="",$G54=""),"",$G54-$E54+1)</f>
        <v/>
      </c>
      <c r="J54" s="8">
        <f>IF(OR($E54="",$G54=""),"",$G54-$E54)</f>
        <v/>
      </c>
      <c r="K54" s="9" t="n"/>
      <c r="L54" s="9" t="n"/>
      <c r="M54" s="9" t="n"/>
      <c r="N54" s="9" t="n"/>
      <c r="O54" s="9" t="n"/>
      <c r="P54" s="9" t="n"/>
      <c r="Q54" s="10" t="n"/>
      <c r="R54" s="9" t="n"/>
      <c r="S54" s="8">
        <f>IF($D54="","",IF(COUNTIF('M_部屋'!$A$4:$A$20,$D54)=0,"⚠部屋が未登録",IF(OR($E54="",$G54="",$K54="キャンセル"),"",IF(SUMPRODUCT(($D$5:$D$204=$D54)*($E$5:$E$204&lt;&gt;"")*($G$5:$G$204&lt;&gt;"")*($K$5:$K$204&lt;&gt;"キャンセル")*($E$5:$E$204&lt;$G54)*($G$5:$G$204&gt;$E54))&gt;1,"⚠重複",""))))</f>
        <v/>
      </c>
      <c r="T54" s="8">
        <f>IF(OR($B54="",$E54=""),"",IF(SUMPRODUCT(('M_利用者'!$A$4:$A$60=$B54)*('M_利用者'!$B$4:$B$60&lt;&gt;""))=0,"",IF(SUMIFS($U$5:$U$204,$B$5:$B$204,$B54,$E$5:$E$204,"&gt;="&amp;DATE(YEAR($E54),MONTH($E54),1),$E$5:$E$204,"&lt;="&amp;EOMONTH($E54,0))&gt;SUMIFS('M_利用者'!$B$4:$B$60,'M_利用者'!$A$4:$A$60,$B54),"⚠支給量超過","")))</f>
        <v/>
      </c>
      <c r="U54" s="8">
        <f>IF(OR($E54="",$G54="",$K54="キャンセル"),0,IF(IFERROR(INDEX('M_区分'!$B$4:$B$20,MATCH($C54,'M_区分'!$A$4:$A$20,0)),"○")="○",$G54-$E54+1,0))</f>
        <v/>
      </c>
    </row>
    <row r="55">
      <c r="A55" s="8">
        <f>IF($E55="","","SS-"&amp;TEXT(ROW()-4,"0000"))</f>
        <v/>
      </c>
      <c r="B55" s="9" t="n"/>
      <c r="C55" s="9" t="n"/>
      <c r="D55" s="9" t="n"/>
      <c r="E55" s="10" t="n"/>
      <c r="F55" s="11" t="n"/>
      <c r="G55" s="10" t="n"/>
      <c r="H55" s="11" t="n"/>
      <c r="I55" s="8">
        <f>IF(OR($E55="",$G55=""),"",$G55-$E55+1)</f>
        <v/>
      </c>
      <c r="J55" s="8">
        <f>IF(OR($E55="",$G55=""),"",$G55-$E55)</f>
        <v/>
      </c>
      <c r="K55" s="9" t="n"/>
      <c r="L55" s="9" t="n"/>
      <c r="M55" s="9" t="n"/>
      <c r="N55" s="9" t="n"/>
      <c r="O55" s="9" t="n"/>
      <c r="P55" s="9" t="n"/>
      <c r="Q55" s="10" t="n"/>
      <c r="R55" s="9" t="n"/>
      <c r="S55" s="8">
        <f>IF($D55="","",IF(COUNTIF('M_部屋'!$A$4:$A$20,$D55)=0,"⚠部屋が未登録",IF(OR($E55="",$G55="",$K55="キャンセル"),"",IF(SUMPRODUCT(($D$5:$D$204=$D55)*($E$5:$E$204&lt;&gt;"")*($G$5:$G$204&lt;&gt;"")*($K$5:$K$204&lt;&gt;"キャンセル")*($E$5:$E$204&lt;$G55)*($G$5:$G$204&gt;$E55))&gt;1,"⚠重複",""))))</f>
        <v/>
      </c>
      <c r="T55" s="8">
        <f>IF(OR($B55="",$E55=""),"",IF(SUMPRODUCT(('M_利用者'!$A$4:$A$60=$B55)*('M_利用者'!$B$4:$B$60&lt;&gt;""))=0,"",IF(SUMIFS($U$5:$U$204,$B$5:$B$204,$B55,$E$5:$E$204,"&gt;="&amp;DATE(YEAR($E55),MONTH($E55),1),$E$5:$E$204,"&lt;="&amp;EOMONTH($E55,0))&gt;SUMIFS('M_利用者'!$B$4:$B$60,'M_利用者'!$A$4:$A$60,$B55),"⚠支給量超過","")))</f>
        <v/>
      </c>
      <c r="U55" s="8">
        <f>IF(OR($E55="",$G55="",$K55="キャンセル"),0,IF(IFERROR(INDEX('M_区分'!$B$4:$B$20,MATCH($C55,'M_区分'!$A$4:$A$20,0)),"○")="○",$G55-$E55+1,0))</f>
        <v/>
      </c>
    </row>
    <row r="56">
      <c r="A56" s="8">
        <f>IF($E56="","","SS-"&amp;TEXT(ROW()-4,"0000"))</f>
        <v/>
      </c>
      <c r="B56" s="9" t="n"/>
      <c r="C56" s="9" t="n"/>
      <c r="D56" s="9" t="n"/>
      <c r="E56" s="10" t="n"/>
      <c r="F56" s="11" t="n"/>
      <c r="G56" s="10" t="n"/>
      <c r="H56" s="11" t="n"/>
      <c r="I56" s="8">
        <f>IF(OR($E56="",$G56=""),"",$G56-$E56+1)</f>
        <v/>
      </c>
      <c r="J56" s="8">
        <f>IF(OR($E56="",$G56=""),"",$G56-$E56)</f>
        <v/>
      </c>
      <c r="K56" s="9" t="n"/>
      <c r="L56" s="9" t="n"/>
      <c r="M56" s="9" t="n"/>
      <c r="N56" s="9" t="n"/>
      <c r="O56" s="9" t="n"/>
      <c r="P56" s="9" t="n"/>
      <c r="Q56" s="10" t="n"/>
      <c r="R56" s="9" t="n"/>
      <c r="S56" s="8">
        <f>IF($D56="","",IF(COUNTIF('M_部屋'!$A$4:$A$20,$D56)=0,"⚠部屋が未登録",IF(OR($E56="",$G56="",$K56="キャンセル"),"",IF(SUMPRODUCT(($D$5:$D$204=$D56)*($E$5:$E$204&lt;&gt;"")*($G$5:$G$204&lt;&gt;"")*($K$5:$K$204&lt;&gt;"キャンセル")*($E$5:$E$204&lt;$G56)*($G$5:$G$204&gt;$E56))&gt;1,"⚠重複",""))))</f>
        <v/>
      </c>
      <c r="T56" s="8">
        <f>IF(OR($B56="",$E56=""),"",IF(SUMPRODUCT(('M_利用者'!$A$4:$A$60=$B56)*('M_利用者'!$B$4:$B$60&lt;&gt;""))=0,"",IF(SUMIFS($U$5:$U$204,$B$5:$B$204,$B56,$E$5:$E$204,"&gt;="&amp;DATE(YEAR($E56),MONTH($E56),1),$E$5:$E$204,"&lt;="&amp;EOMONTH($E56,0))&gt;SUMIFS('M_利用者'!$B$4:$B$60,'M_利用者'!$A$4:$A$60,$B56),"⚠支給量超過","")))</f>
        <v/>
      </c>
      <c r="U56" s="8">
        <f>IF(OR($E56="",$G56="",$K56="キャンセル"),0,IF(IFERROR(INDEX('M_区分'!$B$4:$B$20,MATCH($C56,'M_区分'!$A$4:$A$20,0)),"○")="○",$G56-$E56+1,0))</f>
        <v/>
      </c>
    </row>
    <row r="57">
      <c r="A57" s="8">
        <f>IF($E57="","","SS-"&amp;TEXT(ROW()-4,"0000"))</f>
        <v/>
      </c>
      <c r="B57" s="9" t="n"/>
      <c r="C57" s="9" t="n"/>
      <c r="D57" s="9" t="n"/>
      <c r="E57" s="10" t="n"/>
      <c r="F57" s="11" t="n"/>
      <c r="G57" s="10" t="n"/>
      <c r="H57" s="11" t="n"/>
      <c r="I57" s="8">
        <f>IF(OR($E57="",$G57=""),"",$G57-$E57+1)</f>
        <v/>
      </c>
      <c r="J57" s="8">
        <f>IF(OR($E57="",$G57=""),"",$G57-$E57)</f>
        <v/>
      </c>
      <c r="K57" s="9" t="n"/>
      <c r="L57" s="9" t="n"/>
      <c r="M57" s="9" t="n"/>
      <c r="N57" s="9" t="n"/>
      <c r="O57" s="9" t="n"/>
      <c r="P57" s="9" t="n"/>
      <c r="Q57" s="10" t="n"/>
      <c r="R57" s="9" t="n"/>
      <c r="S57" s="8">
        <f>IF($D57="","",IF(COUNTIF('M_部屋'!$A$4:$A$20,$D57)=0,"⚠部屋が未登録",IF(OR($E57="",$G57="",$K57="キャンセル"),"",IF(SUMPRODUCT(($D$5:$D$204=$D57)*($E$5:$E$204&lt;&gt;"")*($G$5:$G$204&lt;&gt;"")*($K$5:$K$204&lt;&gt;"キャンセル")*($E$5:$E$204&lt;$G57)*($G$5:$G$204&gt;$E57))&gt;1,"⚠重複",""))))</f>
        <v/>
      </c>
      <c r="T57" s="8">
        <f>IF(OR($B57="",$E57=""),"",IF(SUMPRODUCT(('M_利用者'!$A$4:$A$60=$B57)*('M_利用者'!$B$4:$B$60&lt;&gt;""))=0,"",IF(SUMIFS($U$5:$U$204,$B$5:$B$204,$B57,$E$5:$E$204,"&gt;="&amp;DATE(YEAR($E57),MONTH($E57),1),$E$5:$E$204,"&lt;="&amp;EOMONTH($E57,0))&gt;SUMIFS('M_利用者'!$B$4:$B$60,'M_利用者'!$A$4:$A$60,$B57),"⚠支給量超過","")))</f>
        <v/>
      </c>
      <c r="U57" s="8">
        <f>IF(OR($E57="",$G57="",$K57="キャンセル"),0,IF(IFERROR(INDEX('M_区分'!$B$4:$B$20,MATCH($C57,'M_区分'!$A$4:$A$20,0)),"○")="○",$G57-$E57+1,0))</f>
        <v/>
      </c>
    </row>
    <row r="58">
      <c r="A58" s="8">
        <f>IF($E58="","","SS-"&amp;TEXT(ROW()-4,"0000"))</f>
        <v/>
      </c>
      <c r="B58" s="9" t="n"/>
      <c r="C58" s="9" t="n"/>
      <c r="D58" s="9" t="n"/>
      <c r="E58" s="10" t="n"/>
      <c r="F58" s="11" t="n"/>
      <c r="G58" s="10" t="n"/>
      <c r="H58" s="11" t="n"/>
      <c r="I58" s="8">
        <f>IF(OR($E58="",$G58=""),"",$G58-$E58+1)</f>
        <v/>
      </c>
      <c r="J58" s="8">
        <f>IF(OR($E58="",$G58=""),"",$G58-$E58)</f>
        <v/>
      </c>
      <c r="K58" s="9" t="n"/>
      <c r="L58" s="9" t="n"/>
      <c r="M58" s="9" t="n"/>
      <c r="N58" s="9" t="n"/>
      <c r="O58" s="9" t="n"/>
      <c r="P58" s="9" t="n"/>
      <c r="Q58" s="10" t="n"/>
      <c r="R58" s="9" t="n"/>
      <c r="S58" s="8">
        <f>IF($D58="","",IF(COUNTIF('M_部屋'!$A$4:$A$20,$D58)=0,"⚠部屋が未登録",IF(OR($E58="",$G58="",$K58="キャンセル"),"",IF(SUMPRODUCT(($D$5:$D$204=$D58)*($E$5:$E$204&lt;&gt;"")*($G$5:$G$204&lt;&gt;"")*($K$5:$K$204&lt;&gt;"キャンセル")*($E$5:$E$204&lt;$G58)*($G$5:$G$204&gt;$E58))&gt;1,"⚠重複",""))))</f>
        <v/>
      </c>
      <c r="T58" s="8">
        <f>IF(OR($B58="",$E58=""),"",IF(SUMPRODUCT(('M_利用者'!$A$4:$A$60=$B58)*('M_利用者'!$B$4:$B$60&lt;&gt;""))=0,"",IF(SUMIFS($U$5:$U$204,$B$5:$B$204,$B58,$E$5:$E$204,"&gt;="&amp;DATE(YEAR($E58),MONTH($E58),1),$E$5:$E$204,"&lt;="&amp;EOMONTH($E58,0))&gt;SUMIFS('M_利用者'!$B$4:$B$60,'M_利用者'!$A$4:$A$60,$B58),"⚠支給量超過","")))</f>
        <v/>
      </c>
      <c r="U58" s="8">
        <f>IF(OR($E58="",$G58="",$K58="キャンセル"),0,IF(IFERROR(INDEX('M_区分'!$B$4:$B$20,MATCH($C58,'M_区分'!$A$4:$A$20,0)),"○")="○",$G58-$E58+1,0))</f>
        <v/>
      </c>
    </row>
    <row r="59">
      <c r="A59" s="8">
        <f>IF($E59="","","SS-"&amp;TEXT(ROW()-4,"0000"))</f>
        <v/>
      </c>
      <c r="B59" s="9" t="n"/>
      <c r="C59" s="9" t="n"/>
      <c r="D59" s="9" t="n"/>
      <c r="E59" s="10" t="n"/>
      <c r="F59" s="11" t="n"/>
      <c r="G59" s="10" t="n"/>
      <c r="H59" s="11" t="n"/>
      <c r="I59" s="8">
        <f>IF(OR($E59="",$G59=""),"",$G59-$E59+1)</f>
        <v/>
      </c>
      <c r="J59" s="8">
        <f>IF(OR($E59="",$G59=""),"",$G59-$E59)</f>
        <v/>
      </c>
      <c r="K59" s="9" t="n"/>
      <c r="L59" s="9" t="n"/>
      <c r="M59" s="9" t="n"/>
      <c r="N59" s="9" t="n"/>
      <c r="O59" s="9" t="n"/>
      <c r="P59" s="9" t="n"/>
      <c r="Q59" s="10" t="n"/>
      <c r="R59" s="9" t="n"/>
      <c r="S59" s="8">
        <f>IF($D59="","",IF(COUNTIF('M_部屋'!$A$4:$A$20,$D59)=0,"⚠部屋が未登録",IF(OR($E59="",$G59="",$K59="キャンセル"),"",IF(SUMPRODUCT(($D$5:$D$204=$D59)*($E$5:$E$204&lt;&gt;"")*($G$5:$G$204&lt;&gt;"")*($K$5:$K$204&lt;&gt;"キャンセル")*($E$5:$E$204&lt;$G59)*($G$5:$G$204&gt;$E59))&gt;1,"⚠重複",""))))</f>
        <v/>
      </c>
      <c r="T59" s="8">
        <f>IF(OR($B59="",$E59=""),"",IF(SUMPRODUCT(('M_利用者'!$A$4:$A$60=$B59)*('M_利用者'!$B$4:$B$60&lt;&gt;""))=0,"",IF(SUMIFS($U$5:$U$204,$B$5:$B$204,$B59,$E$5:$E$204,"&gt;="&amp;DATE(YEAR($E59),MONTH($E59),1),$E$5:$E$204,"&lt;="&amp;EOMONTH($E59,0))&gt;SUMIFS('M_利用者'!$B$4:$B$60,'M_利用者'!$A$4:$A$60,$B59),"⚠支給量超過","")))</f>
        <v/>
      </c>
      <c r="U59" s="8">
        <f>IF(OR($E59="",$G59="",$K59="キャンセル"),0,IF(IFERROR(INDEX('M_区分'!$B$4:$B$20,MATCH($C59,'M_区分'!$A$4:$A$20,0)),"○")="○",$G59-$E59+1,0))</f>
        <v/>
      </c>
    </row>
    <row r="60">
      <c r="A60" s="8">
        <f>IF($E60="","","SS-"&amp;TEXT(ROW()-4,"0000"))</f>
        <v/>
      </c>
      <c r="B60" s="9" t="n"/>
      <c r="C60" s="9" t="n"/>
      <c r="D60" s="9" t="n"/>
      <c r="E60" s="10" t="n"/>
      <c r="F60" s="11" t="n"/>
      <c r="G60" s="10" t="n"/>
      <c r="H60" s="11" t="n"/>
      <c r="I60" s="8">
        <f>IF(OR($E60="",$G60=""),"",$G60-$E60+1)</f>
        <v/>
      </c>
      <c r="J60" s="8">
        <f>IF(OR($E60="",$G60=""),"",$G60-$E60)</f>
        <v/>
      </c>
      <c r="K60" s="9" t="n"/>
      <c r="L60" s="9" t="n"/>
      <c r="M60" s="9" t="n"/>
      <c r="N60" s="9" t="n"/>
      <c r="O60" s="9" t="n"/>
      <c r="P60" s="9" t="n"/>
      <c r="Q60" s="10" t="n"/>
      <c r="R60" s="9" t="n"/>
      <c r="S60" s="8">
        <f>IF($D60="","",IF(COUNTIF('M_部屋'!$A$4:$A$20,$D60)=0,"⚠部屋が未登録",IF(OR($E60="",$G60="",$K60="キャンセル"),"",IF(SUMPRODUCT(($D$5:$D$204=$D60)*($E$5:$E$204&lt;&gt;"")*($G$5:$G$204&lt;&gt;"")*($K$5:$K$204&lt;&gt;"キャンセル")*($E$5:$E$204&lt;$G60)*($G$5:$G$204&gt;$E60))&gt;1,"⚠重複",""))))</f>
        <v/>
      </c>
      <c r="T60" s="8">
        <f>IF(OR($B60="",$E60=""),"",IF(SUMPRODUCT(('M_利用者'!$A$4:$A$60=$B60)*('M_利用者'!$B$4:$B$60&lt;&gt;""))=0,"",IF(SUMIFS($U$5:$U$204,$B$5:$B$204,$B60,$E$5:$E$204,"&gt;="&amp;DATE(YEAR($E60),MONTH($E60),1),$E$5:$E$204,"&lt;="&amp;EOMONTH($E60,0))&gt;SUMIFS('M_利用者'!$B$4:$B$60,'M_利用者'!$A$4:$A$60,$B60),"⚠支給量超過","")))</f>
        <v/>
      </c>
      <c r="U60" s="8">
        <f>IF(OR($E60="",$G60="",$K60="キャンセル"),0,IF(IFERROR(INDEX('M_区分'!$B$4:$B$20,MATCH($C60,'M_区分'!$A$4:$A$20,0)),"○")="○",$G60-$E60+1,0))</f>
        <v/>
      </c>
    </row>
    <row r="61">
      <c r="A61" s="8">
        <f>IF($E61="","","SS-"&amp;TEXT(ROW()-4,"0000"))</f>
        <v/>
      </c>
      <c r="B61" s="9" t="n"/>
      <c r="C61" s="9" t="n"/>
      <c r="D61" s="9" t="n"/>
      <c r="E61" s="10" t="n"/>
      <c r="F61" s="11" t="n"/>
      <c r="G61" s="10" t="n"/>
      <c r="H61" s="11" t="n"/>
      <c r="I61" s="8">
        <f>IF(OR($E61="",$G61=""),"",$G61-$E61+1)</f>
        <v/>
      </c>
      <c r="J61" s="8">
        <f>IF(OR($E61="",$G61=""),"",$G61-$E61)</f>
        <v/>
      </c>
      <c r="K61" s="9" t="n"/>
      <c r="L61" s="9" t="n"/>
      <c r="M61" s="9" t="n"/>
      <c r="N61" s="9" t="n"/>
      <c r="O61" s="9" t="n"/>
      <c r="P61" s="9" t="n"/>
      <c r="Q61" s="10" t="n"/>
      <c r="R61" s="9" t="n"/>
      <c r="S61" s="8">
        <f>IF($D61="","",IF(COUNTIF('M_部屋'!$A$4:$A$20,$D61)=0,"⚠部屋が未登録",IF(OR($E61="",$G61="",$K61="キャンセル"),"",IF(SUMPRODUCT(($D$5:$D$204=$D61)*($E$5:$E$204&lt;&gt;"")*($G$5:$G$204&lt;&gt;"")*($K$5:$K$204&lt;&gt;"キャンセル")*($E$5:$E$204&lt;$G61)*($G$5:$G$204&gt;$E61))&gt;1,"⚠重複",""))))</f>
        <v/>
      </c>
      <c r="T61" s="8">
        <f>IF(OR($B61="",$E61=""),"",IF(SUMPRODUCT(('M_利用者'!$A$4:$A$60=$B61)*('M_利用者'!$B$4:$B$60&lt;&gt;""))=0,"",IF(SUMIFS($U$5:$U$204,$B$5:$B$204,$B61,$E$5:$E$204,"&gt;="&amp;DATE(YEAR($E61),MONTH($E61),1),$E$5:$E$204,"&lt;="&amp;EOMONTH($E61,0))&gt;SUMIFS('M_利用者'!$B$4:$B$60,'M_利用者'!$A$4:$A$60,$B61),"⚠支給量超過","")))</f>
        <v/>
      </c>
      <c r="U61" s="8">
        <f>IF(OR($E61="",$G61="",$K61="キャンセル"),0,IF(IFERROR(INDEX('M_区分'!$B$4:$B$20,MATCH($C61,'M_区分'!$A$4:$A$20,0)),"○")="○",$G61-$E61+1,0))</f>
        <v/>
      </c>
    </row>
    <row r="62">
      <c r="A62" s="8">
        <f>IF($E62="","","SS-"&amp;TEXT(ROW()-4,"0000"))</f>
        <v/>
      </c>
      <c r="B62" s="9" t="n"/>
      <c r="C62" s="9" t="n"/>
      <c r="D62" s="9" t="n"/>
      <c r="E62" s="10" t="n"/>
      <c r="F62" s="11" t="n"/>
      <c r="G62" s="10" t="n"/>
      <c r="H62" s="11" t="n"/>
      <c r="I62" s="8">
        <f>IF(OR($E62="",$G62=""),"",$G62-$E62+1)</f>
        <v/>
      </c>
      <c r="J62" s="8">
        <f>IF(OR($E62="",$G62=""),"",$G62-$E62)</f>
        <v/>
      </c>
      <c r="K62" s="9" t="n"/>
      <c r="L62" s="9" t="n"/>
      <c r="M62" s="9" t="n"/>
      <c r="N62" s="9" t="n"/>
      <c r="O62" s="9" t="n"/>
      <c r="P62" s="9" t="n"/>
      <c r="Q62" s="10" t="n"/>
      <c r="R62" s="9" t="n"/>
      <c r="S62" s="8">
        <f>IF($D62="","",IF(COUNTIF('M_部屋'!$A$4:$A$20,$D62)=0,"⚠部屋が未登録",IF(OR($E62="",$G62="",$K62="キャンセル"),"",IF(SUMPRODUCT(($D$5:$D$204=$D62)*($E$5:$E$204&lt;&gt;"")*($G$5:$G$204&lt;&gt;"")*($K$5:$K$204&lt;&gt;"キャンセル")*($E$5:$E$204&lt;$G62)*($G$5:$G$204&gt;$E62))&gt;1,"⚠重複",""))))</f>
        <v/>
      </c>
      <c r="T62" s="8">
        <f>IF(OR($B62="",$E62=""),"",IF(SUMPRODUCT(('M_利用者'!$A$4:$A$60=$B62)*('M_利用者'!$B$4:$B$60&lt;&gt;""))=0,"",IF(SUMIFS($U$5:$U$204,$B$5:$B$204,$B62,$E$5:$E$204,"&gt;="&amp;DATE(YEAR($E62),MONTH($E62),1),$E$5:$E$204,"&lt;="&amp;EOMONTH($E62,0))&gt;SUMIFS('M_利用者'!$B$4:$B$60,'M_利用者'!$A$4:$A$60,$B62),"⚠支給量超過","")))</f>
        <v/>
      </c>
      <c r="U62" s="8">
        <f>IF(OR($E62="",$G62="",$K62="キャンセル"),0,IF(IFERROR(INDEX('M_区分'!$B$4:$B$20,MATCH($C62,'M_区分'!$A$4:$A$20,0)),"○")="○",$G62-$E62+1,0))</f>
        <v/>
      </c>
    </row>
    <row r="63">
      <c r="A63" s="8">
        <f>IF($E63="","","SS-"&amp;TEXT(ROW()-4,"0000"))</f>
        <v/>
      </c>
      <c r="B63" s="9" t="n"/>
      <c r="C63" s="9" t="n"/>
      <c r="D63" s="9" t="n"/>
      <c r="E63" s="10" t="n"/>
      <c r="F63" s="11" t="n"/>
      <c r="G63" s="10" t="n"/>
      <c r="H63" s="11" t="n"/>
      <c r="I63" s="8">
        <f>IF(OR($E63="",$G63=""),"",$G63-$E63+1)</f>
        <v/>
      </c>
      <c r="J63" s="8">
        <f>IF(OR($E63="",$G63=""),"",$G63-$E63)</f>
        <v/>
      </c>
      <c r="K63" s="9" t="n"/>
      <c r="L63" s="9" t="n"/>
      <c r="M63" s="9" t="n"/>
      <c r="N63" s="9" t="n"/>
      <c r="O63" s="9" t="n"/>
      <c r="P63" s="9" t="n"/>
      <c r="Q63" s="10" t="n"/>
      <c r="R63" s="9" t="n"/>
      <c r="S63" s="8">
        <f>IF($D63="","",IF(COUNTIF('M_部屋'!$A$4:$A$20,$D63)=0,"⚠部屋が未登録",IF(OR($E63="",$G63="",$K63="キャンセル"),"",IF(SUMPRODUCT(($D$5:$D$204=$D63)*($E$5:$E$204&lt;&gt;"")*($G$5:$G$204&lt;&gt;"")*($K$5:$K$204&lt;&gt;"キャンセル")*($E$5:$E$204&lt;$G63)*($G$5:$G$204&gt;$E63))&gt;1,"⚠重複",""))))</f>
        <v/>
      </c>
      <c r="T63" s="8">
        <f>IF(OR($B63="",$E63=""),"",IF(SUMPRODUCT(('M_利用者'!$A$4:$A$60=$B63)*('M_利用者'!$B$4:$B$60&lt;&gt;""))=0,"",IF(SUMIFS($U$5:$U$204,$B$5:$B$204,$B63,$E$5:$E$204,"&gt;="&amp;DATE(YEAR($E63),MONTH($E63),1),$E$5:$E$204,"&lt;="&amp;EOMONTH($E63,0))&gt;SUMIFS('M_利用者'!$B$4:$B$60,'M_利用者'!$A$4:$A$60,$B63),"⚠支給量超過","")))</f>
        <v/>
      </c>
      <c r="U63" s="8">
        <f>IF(OR($E63="",$G63="",$K63="キャンセル"),0,IF(IFERROR(INDEX('M_区分'!$B$4:$B$20,MATCH($C63,'M_区分'!$A$4:$A$20,0)),"○")="○",$G63-$E63+1,0))</f>
        <v/>
      </c>
    </row>
    <row r="64">
      <c r="A64" s="8">
        <f>IF($E64="","","SS-"&amp;TEXT(ROW()-4,"0000"))</f>
        <v/>
      </c>
      <c r="B64" s="9" t="n"/>
      <c r="C64" s="9" t="n"/>
      <c r="D64" s="9" t="n"/>
      <c r="E64" s="10" t="n"/>
      <c r="F64" s="11" t="n"/>
      <c r="G64" s="10" t="n"/>
      <c r="H64" s="11" t="n"/>
      <c r="I64" s="8">
        <f>IF(OR($E64="",$G64=""),"",$G64-$E64+1)</f>
        <v/>
      </c>
      <c r="J64" s="8">
        <f>IF(OR($E64="",$G64=""),"",$G64-$E64)</f>
        <v/>
      </c>
      <c r="K64" s="9" t="n"/>
      <c r="L64" s="9" t="n"/>
      <c r="M64" s="9" t="n"/>
      <c r="N64" s="9" t="n"/>
      <c r="O64" s="9" t="n"/>
      <c r="P64" s="9" t="n"/>
      <c r="Q64" s="10" t="n"/>
      <c r="R64" s="9" t="n"/>
      <c r="S64" s="8">
        <f>IF($D64="","",IF(COUNTIF('M_部屋'!$A$4:$A$20,$D64)=0,"⚠部屋が未登録",IF(OR($E64="",$G64="",$K64="キャンセル"),"",IF(SUMPRODUCT(($D$5:$D$204=$D64)*($E$5:$E$204&lt;&gt;"")*($G$5:$G$204&lt;&gt;"")*($K$5:$K$204&lt;&gt;"キャンセル")*($E$5:$E$204&lt;$G64)*($G$5:$G$204&gt;$E64))&gt;1,"⚠重複",""))))</f>
        <v/>
      </c>
      <c r="T64" s="8">
        <f>IF(OR($B64="",$E64=""),"",IF(SUMPRODUCT(('M_利用者'!$A$4:$A$60=$B64)*('M_利用者'!$B$4:$B$60&lt;&gt;""))=0,"",IF(SUMIFS($U$5:$U$204,$B$5:$B$204,$B64,$E$5:$E$204,"&gt;="&amp;DATE(YEAR($E64),MONTH($E64),1),$E$5:$E$204,"&lt;="&amp;EOMONTH($E64,0))&gt;SUMIFS('M_利用者'!$B$4:$B$60,'M_利用者'!$A$4:$A$60,$B64),"⚠支給量超過","")))</f>
        <v/>
      </c>
      <c r="U64" s="8">
        <f>IF(OR($E64="",$G64="",$K64="キャンセル"),0,IF(IFERROR(INDEX('M_区分'!$B$4:$B$20,MATCH($C64,'M_区分'!$A$4:$A$20,0)),"○")="○",$G64-$E64+1,0))</f>
        <v/>
      </c>
    </row>
    <row r="65">
      <c r="A65" s="8">
        <f>IF($E65="","","SS-"&amp;TEXT(ROW()-4,"0000"))</f>
        <v/>
      </c>
      <c r="B65" s="9" t="n"/>
      <c r="C65" s="9" t="n"/>
      <c r="D65" s="9" t="n"/>
      <c r="E65" s="10" t="n"/>
      <c r="F65" s="11" t="n"/>
      <c r="G65" s="10" t="n"/>
      <c r="H65" s="11" t="n"/>
      <c r="I65" s="8">
        <f>IF(OR($E65="",$G65=""),"",$G65-$E65+1)</f>
        <v/>
      </c>
      <c r="J65" s="8">
        <f>IF(OR($E65="",$G65=""),"",$G65-$E65)</f>
        <v/>
      </c>
      <c r="K65" s="9" t="n"/>
      <c r="L65" s="9" t="n"/>
      <c r="M65" s="9" t="n"/>
      <c r="N65" s="9" t="n"/>
      <c r="O65" s="9" t="n"/>
      <c r="P65" s="9" t="n"/>
      <c r="Q65" s="10" t="n"/>
      <c r="R65" s="9" t="n"/>
      <c r="S65" s="8">
        <f>IF($D65="","",IF(COUNTIF('M_部屋'!$A$4:$A$20,$D65)=0,"⚠部屋が未登録",IF(OR($E65="",$G65="",$K65="キャンセル"),"",IF(SUMPRODUCT(($D$5:$D$204=$D65)*($E$5:$E$204&lt;&gt;"")*($G$5:$G$204&lt;&gt;"")*($K$5:$K$204&lt;&gt;"キャンセル")*($E$5:$E$204&lt;$G65)*($G$5:$G$204&gt;$E65))&gt;1,"⚠重複",""))))</f>
        <v/>
      </c>
      <c r="T65" s="8">
        <f>IF(OR($B65="",$E65=""),"",IF(SUMPRODUCT(('M_利用者'!$A$4:$A$60=$B65)*('M_利用者'!$B$4:$B$60&lt;&gt;""))=0,"",IF(SUMIFS($U$5:$U$204,$B$5:$B$204,$B65,$E$5:$E$204,"&gt;="&amp;DATE(YEAR($E65),MONTH($E65),1),$E$5:$E$204,"&lt;="&amp;EOMONTH($E65,0))&gt;SUMIFS('M_利用者'!$B$4:$B$60,'M_利用者'!$A$4:$A$60,$B65),"⚠支給量超過","")))</f>
        <v/>
      </c>
      <c r="U65" s="8">
        <f>IF(OR($E65="",$G65="",$K65="キャンセル"),0,IF(IFERROR(INDEX('M_区分'!$B$4:$B$20,MATCH($C65,'M_区分'!$A$4:$A$20,0)),"○")="○",$G65-$E65+1,0))</f>
        <v/>
      </c>
    </row>
    <row r="66">
      <c r="A66" s="8">
        <f>IF($E66="","","SS-"&amp;TEXT(ROW()-4,"0000"))</f>
        <v/>
      </c>
      <c r="B66" s="9" t="n"/>
      <c r="C66" s="9" t="n"/>
      <c r="D66" s="9" t="n"/>
      <c r="E66" s="10" t="n"/>
      <c r="F66" s="11" t="n"/>
      <c r="G66" s="10" t="n"/>
      <c r="H66" s="11" t="n"/>
      <c r="I66" s="8">
        <f>IF(OR($E66="",$G66=""),"",$G66-$E66+1)</f>
        <v/>
      </c>
      <c r="J66" s="8">
        <f>IF(OR($E66="",$G66=""),"",$G66-$E66)</f>
        <v/>
      </c>
      <c r="K66" s="9" t="n"/>
      <c r="L66" s="9" t="n"/>
      <c r="M66" s="9" t="n"/>
      <c r="N66" s="9" t="n"/>
      <c r="O66" s="9" t="n"/>
      <c r="P66" s="9" t="n"/>
      <c r="Q66" s="10" t="n"/>
      <c r="R66" s="9" t="n"/>
      <c r="S66" s="8">
        <f>IF($D66="","",IF(COUNTIF('M_部屋'!$A$4:$A$20,$D66)=0,"⚠部屋が未登録",IF(OR($E66="",$G66="",$K66="キャンセル"),"",IF(SUMPRODUCT(($D$5:$D$204=$D66)*($E$5:$E$204&lt;&gt;"")*($G$5:$G$204&lt;&gt;"")*($K$5:$K$204&lt;&gt;"キャンセル")*($E$5:$E$204&lt;$G66)*($G$5:$G$204&gt;$E66))&gt;1,"⚠重複",""))))</f>
        <v/>
      </c>
      <c r="T66" s="8">
        <f>IF(OR($B66="",$E66=""),"",IF(SUMPRODUCT(('M_利用者'!$A$4:$A$60=$B66)*('M_利用者'!$B$4:$B$60&lt;&gt;""))=0,"",IF(SUMIFS($U$5:$U$204,$B$5:$B$204,$B66,$E$5:$E$204,"&gt;="&amp;DATE(YEAR($E66),MONTH($E66),1),$E$5:$E$204,"&lt;="&amp;EOMONTH($E66,0))&gt;SUMIFS('M_利用者'!$B$4:$B$60,'M_利用者'!$A$4:$A$60,$B66),"⚠支給量超過","")))</f>
        <v/>
      </c>
      <c r="U66" s="8">
        <f>IF(OR($E66="",$G66="",$K66="キャンセル"),0,IF(IFERROR(INDEX('M_区分'!$B$4:$B$20,MATCH($C66,'M_区分'!$A$4:$A$20,0)),"○")="○",$G66-$E66+1,0))</f>
        <v/>
      </c>
    </row>
    <row r="67">
      <c r="A67" s="8">
        <f>IF($E67="","","SS-"&amp;TEXT(ROW()-4,"0000"))</f>
        <v/>
      </c>
      <c r="B67" s="9" t="n"/>
      <c r="C67" s="9" t="n"/>
      <c r="D67" s="9" t="n"/>
      <c r="E67" s="10" t="n"/>
      <c r="F67" s="11" t="n"/>
      <c r="G67" s="10" t="n"/>
      <c r="H67" s="11" t="n"/>
      <c r="I67" s="8">
        <f>IF(OR($E67="",$G67=""),"",$G67-$E67+1)</f>
        <v/>
      </c>
      <c r="J67" s="8">
        <f>IF(OR($E67="",$G67=""),"",$G67-$E67)</f>
        <v/>
      </c>
      <c r="K67" s="9" t="n"/>
      <c r="L67" s="9" t="n"/>
      <c r="M67" s="9" t="n"/>
      <c r="N67" s="9" t="n"/>
      <c r="O67" s="9" t="n"/>
      <c r="P67" s="9" t="n"/>
      <c r="Q67" s="10" t="n"/>
      <c r="R67" s="9" t="n"/>
      <c r="S67" s="8">
        <f>IF($D67="","",IF(COUNTIF('M_部屋'!$A$4:$A$20,$D67)=0,"⚠部屋が未登録",IF(OR($E67="",$G67="",$K67="キャンセル"),"",IF(SUMPRODUCT(($D$5:$D$204=$D67)*($E$5:$E$204&lt;&gt;"")*($G$5:$G$204&lt;&gt;"")*($K$5:$K$204&lt;&gt;"キャンセル")*($E$5:$E$204&lt;$G67)*($G$5:$G$204&gt;$E67))&gt;1,"⚠重複",""))))</f>
        <v/>
      </c>
      <c r="T67" s="8">
        <f>IF(OR($B67="",$E67=""),"",IF(SUMPRODUCT(('M_利用者'!$A$4:$A$60=$B67)*('M_利用者'!$B$4:$B$60&lt;&gt;""))=0,"",IF(SUMIFS($U$5:$U$204,$B$5:$B$204,$B67,$E$5:$E$204,"&gt;="&amp;DATE(YEAR($E67),MONTH($E67),1),$E$5:$E$204,"&lt;="&amp;EOMONTH($E67,0))&gt;SUMIFS('M_利用者'!$B$4:$B$60,'M_利用者'!$A$4:$A$60,$B67),"⚠支給量超過","")))</f>
        <v/>
      </c>
      <c r="U67" s="8">
        <f>IF(OR($E67="",$G67="",$K67="キャンセル"),0,IF(IFERROR(INDEX('M_区分'!$B$4:$B$20,MATCH($C67,'M_区分'!$A$4:$A$20,0)),"○")="○",$G67-$E67+1,0))</f>
        <v/>
      </c>
    </row>
    <row r="68">
      <c r="A68" s="8">
        <f>IF($E68="","","SS-"&amp;TEXT(ROW()-4,"0000"))</f>
        <v/>
      </c>
      <c r="B68" s="9" t="n"/>
      <c r="C68" s="9" t="n"/>
      <c r="D68" s="9" t="n"/>
      <c r="E68" s="10" t="n"/>
      <c r="F68" s="11" t="n"/>
      <c r="G68" s="10" t="n"/>
      <c r="H68" s="11" t="n"/>
      <c r="I68" s="8">
        <f>IF(OR($E68="",$G68=""),"",$G68-$E68+1)</f>
        <v/>
      </c>
      <c r="J68" s="8">
        <f>IF(OR($E68="",$G68=""),"",$G68-$E68)</f>
        <v/>
      </c>
      <c r="K68" s="9" t="n"/>
      <c r="L68" s="9" t="n"/>
      <c r="M68" s="9" t="n"/>
      <c r="N68" s="9" t="n"/>
      <c r="O68" s="9" t="n"/>
      <c r="P68" s="9" t="n"/>
      <c r="Q68" s="10" t="n"/>
      <c r="R68" s="9" t="n"/>
      <c r="S68" s="8">
        <f>IF($D68="","",IF(COUNTIF('M_部屋'!$A$4:$A$20,$D68)=0,"⚠部屋が未登録",IF(OR($E68="",$G68="",$K68="キャンセル"),"",IF(SUMPRODUCT(($D$5:$D$204=$D68)*($E$5:$E$204&lt;&gt;"")*($G$5:$G$204&lt;&gt;"")*($K$5:$K$204&lt;&gt;"キャンセル")*($E$5:$E$204&lt;$G68)*($G$5:$G$204&gt;$E68))&gt;1,"⚠重複",""))))</f>
        <v/>
      </c>
      <c r="T68" s="8">
        <f>IF(OR($B68="",$E68=""),"",IF(SUMPRODUCT(('M_利用者'!$A$4:$A$60=$B68)*('M_利用者'!$B$4:$B$60&lt;&gt;""))=0,"",IF(SUMIFS($U$5:$U$204,$B$5:$B$204,$B68,$E$5:$E$204,"&gt;="&amp;DATE(YEAR($E68),MONTH($E68),1),$E$5:$E$204,"&lt;="&amp;EOMONTH($E68,0))&gt;SUMIFS('M_利用者'!$B$4:$B$60,'M_利用者'!$A$4:$A$60,$B68),"⚠支給量超過","")))</f>
        <v/>
      </c>
      <c r="U68" s="8">
        <f>IF(OR($E68="",$G68="",$K68="キャンセル"),0,IF(IFERROR(INDEX('M_区分'!$B$4:$B$20,MATCH($C68,'M_区分'!$A$4:$A$20,0)),"○")="○",$G68-$E68+1,0))</f>
        <v/>
      </c>
    </row>
    <row r="69">
      <c r="A69" s="8">
        <f>IF($E69="","","SS-"&amp;TEXT(ROW()-4,"0000"))</f>
        <v/>
      </c>
      <c r="B69" s="9" t="n"/>
      <c r="C69" s="9" t="n"/>
      <c r="D69" s="9" t="n"/>
      <c r="E69" s="10" t="n"/>
      <c r="F69" s="11" t="n"/>
      <c r="G69" s="10" t="n"/>
      <c r="H69" s="11" t="n"/>
      <c r="I69" s="8">
        <f>IF(OR($E69="",$G69=""),"",$G69-$E69+1)</f>
        <v/>
      </c>
      <c r="J69" s="8">
        <f>IF(OR($E69="",$G69=""),"",$G69-$E69)</f>
        <v/>
      </c>
      <c r="K69" s="9" t="n"/>
      <c r="L69" s="9" t="n"/>
      <c r="M69" s="9" t="n"/>
      <c r="N69" s="9" t="n"/>
      <c r="O69" s="9" t="n"/>
      <c r="P69" s="9" t="n"/>
      <c r="Q69" s="10" t="n"/>
      <c r="R69" s="9" t="n"/>
      <c r="S69" s="8">
        <f>IF($D69="","",IF(COUNTIF('M_部屋'!$A$4:$A$20,$D69)=0,"⚠部屋が未登録",IF(OR($E69="",$G69="",$K69="キャンセル"),"",IF(SUMPRODUCT(($D$5:$D$204=$D69)*($E$5:$E$204&lt;&gt;"")*($G$5:$G$204&lt;&gt;"")*($K$5:$K$204&lt;&gt;"キャンセル")*($E$5:$E$204&lt;$G69)*($G$5:$G$204&gt;$E69))&gt;1,"⚠重複",""))))</f>
        <v/>
      </c>
      <c r="T69" s="8">
        <f>IF(OR($B69="",$E69=""),"",IF(SUMPRODUCT(('M_利用者'!$A$4:$A$60=$B69)*('M_利用者'!$B$4:$B$60&lt;&gt;""))=0,"",IF(SUMIFS($U$5:$U$204,$B$5:$B$204,$B69,$E$5:$E$204,"&gt;="&amp;DATE(YEAR($E69),MONTH($E69),1),$E$5:$E$204,"&lt;="&amp;EOMONTH($E69,0))&gt;SUMIFS('M_利用者'!$B$4:$B$60,'M_利用者'!$A$4:$A$60,$B69),"⚠支給量超過","")))</f>
        <v/>
      </c>
      <c r="U69" s="8">
        <f>IF(OR($E69="",$G69="",$K69="キャンセル"),0,IF(IFERROR(INDEX('M_区分'!$B$4:$B$20,MATCH($C69,'M_区分'!$A$4:$A$20,0)),"○")="○",$G69-$E69+1,0))</f>
        <v/>
      </c>
    </row>
    <row r="70">
      <c r="A70" s="8">
        <f>IF($E70="","","SS-"&amp;TEXT(ROW()-4,"0000"))</f>
        <v/>
      </c>
      <c r="B70" s="9" t="n"/>
      <c r="C70" s="9" t="n"/>
      <c r="D70" s="9" t="n"/>
      <c r="E70" s="10" t="n"/>
      <c r="F70" s="11" t="n"/>
      <c r="G70" s="10" t="n"/>
      <c r="H70" s="11" t="n"/>
      <c r="I70" s="8">
        <f>IF(OR($E70="",$G70=""),"",$G70-$E70+1)</f>
        <v/>
      </c>
      <c r="J70" s="8">
        <f>IF(OR($E70="",$G70=""),"",$G70-$E70)</f>
        <v/>
      </c>
      <c r="K70" s="9" t="n"/>
      <c r="L70" s="9" t="n"/>
      <c r="M70" s="9" t="n"/>
      <c r="N70" s="9" t="n"/>
      <c r="O70" s="9" t="n"/>
      <c r="P70" s="9" t="n"/>
      <c r="Q70" s="10" t="n"/>
      <c r="R70" s="9" t="n"/>
      <c r="S70" s="8">
        <f>IF($D70="","",IF(COUNTIF('M_部屋'!$A$4:$A$20,$D70)=0,"⚠部屋が未登録",IF(OR($E70="",$G70="",$K70="キャンセル"),"",IF(SUMPRODUCT(($D$5:$D$204=$D70)*($E$5:$E$204&lt;&gt;"")*($G$5:$G$204&lt;&gt;"")*($K$5:$K$204&lt;&gt;"キャンセル")*($E$5:$E$204&lt;$G70)*($G$5:$G$204&gt;$E70))&gt;1,"⚠重複",""))))</f>
        <v/>
      </c>
      <c r="T70" s="8">
        <f>IF(OR($B70="",$E70=""),"",IF(SUMPRODUCT(('M_利用者'!$A$4:$A$60=$B70)*('M_利用者'!$B$4:$B$60&lt;&gt;""))=0,"",IF(SUMIFS($U$5:$U$204,$B$5:$B$204,$B70,$E$5:$E$204,"&gt;="&amp;DATE(YEAR($E70),MONTH($E70),1),$E$5:$E$204,"&lt;="&amp;EOMONTH($E70,0))&gt;SUMIFS('M_利用者'!$B$4:$B$60,'M_利用者'!$A$4:$A$60,$B70),"⚠支給量超過","")))</f>
        <v/>
      </c>
      <c r="U70" s="8">
        <f>IF(OR($E70="",$G70="",$K70="キャンセル"),0,IF(IFERROR(INDEX('M_区分'!$B$4:$B$20,MATCH($C70,'M_区分'!$A$4:$A$20,0)),"○")="○",$G70-$E70+1,0))</f>
        <v/>
      </c>
    </row>
    <row r="71">
      <c r="A71" s="8">
        <f>IF($E71="","","SS-"&amp;TEXT(ROW()-4,"0000"))</f>
        <v/>
      </c>
      <c r="B71" s="9" t="n"/>
      <c r="C71" s="9" t="n"/>
      <c r="D71" s="9" t="n"/>
      <c r="E71" s="10" t="n"/>
      <c r="F71" s="11" t="n"/>
      <c r="G71" s="10" t="n"/>
      <c r="H71" s="11" t="n"/>
      <c r="I71" s="8">
        <f>IF(OR($E71="",$G71=""),"",$G71-$E71+1)</f>
        <v/>
      </c>
      <c r="J71" s="8">
        <f>IF(OR($E71="",$G71=""),"",$G71-$E71)</f>
        <v/>
      </c>
      <c r="K71" s="9" t="n"/>
      <c r="L71" s="9" t="n"/>
      <c r="M71" s="9" t="n"/>
      <c r="N71" s="9" t="n"/>
      <c r="O71" s="9" t="n"/>
      <c r="P71" s="9" t="n"/>
      <c r="Q71" s="10" t="n"/>
      <c r="R71" s="9" t="n"/>
      <c r="S71" s="8">
        <f>IF($D71="","",IF(COUNTIF('M_部屋'!$A$4:$A$20,$D71)=0,"⚠部屋が未登録",IF(OR($E71="",$G71="",$K71="キャンセル"),"",IF(SUMPRODUCT(($D$5:$D$204=$D71)*($E$5:$E$204&lt;&gt;"")*($G$5:$G$204&lt;&gt;"")*($K$5:$K$204&lt;&gt;"キャンセル")*($E$5:$E$204&lt;$G71)*($G$5:$G$204&gt;$E71))&gt;1,"⚠重複",""))))</f>
        <v/>
      </c>
      <c r="T71" s="8">
        <f>IF(OR($B71="",$E71=""),"",IF(SUMPRODUCT(('M_利用者'!$A$4:$A$60=$B71)*('M_利用者'!$B$4:$B$60&lt;&gt;""))=0,"",IF(SUMIFS($U$5:$U$204,$B$5:$B$204,$B71,$E$5:$E$204,"&gt;="&amp;DATE(YEAR($E71),MONTH($E71),1),$E$5:$E$204,"&lt;="&amp;EOMONTH($E71,0))&gt;SUMIFS('M_利用者'!$B$4:$B$60,'M_利用者'!$A$4:$A$60,$B71),"⚠支給量超過","")))</f>
        <v/>
      </c>
      <c r="U71" s="8">
        <f>IF(OR($E71="",$G71="",$K71="キャンセル"),0,IF(IFERROR(INDEX('M_区分'!$B$4:$B$20,MATCH($C71,'M_区分'!$A$4:$A$20,0)),"○")="○",$G71-$E71+1,0))</f>
        <v/>
      </c>
    </row>
    <row r="72">
      <c r="A72" s="8">
        <f>IF($E72="","","SS-"&amp;TEXT(ROW()-4,"0000"))</f>
        <v/>
      </c>
      <c r="B72" s="9" t="n"/>
      <c r="C72" s="9" t="n"/>
      <c r="D72" s="9" t="n"/>
      <c r="E72" s="10" t="n"/>
      <c r="F72" s="11" t="n"/>
      <c r="G72" s="10" t="n"/>
      <c r="H72" s="11" t="n"/>
      <c r="I72" s="8">
        <f>IF(OR($E72="",$G72=""),"",$G72-$E72+1)</f>
        <v/>
      </c>
      <c r="J72" s="8">
        <f>IF(OR($E72="",$G72=""),"",$G72-$E72)</f>
        <v/>
      </c>
      <c r="K72" s="9" t="n"/>
      <c r="L72" s="9" t="n"/>
      <c r="M72" s="9" t="n"/>
      <c r="N72" s="9" t="n"/>
      <c r="O72" s="9" t="n"/>
      <c r="P72" s="9" t="n"/>
      <c r="Q72" s="10" t="n"/>
      <c r="R72" s="9" t="n"/>
      <c r="S72" s="8">
        <f>IF($D72="","",IF(COUNTIF('M_部屋'!$A$4:$A$20,$D72)=0,"⚠部屋が未登録",IF(OR($E72="",$G72="",$K72="キャンセル"),"",IF(SUMPRODUCT(($D$5:$D$204=$D72)*($E$5:$E$204&lt;&gt;"")*($G$5:$G$204&lt;&gt;"")*($K$5:$K$204&lt;&gt;"キャンセル")*($E$5:$E$204&lt;$G72)*($G$5:$G$204&gt;$E72))&gt;1,"⚠重複",""))))</f>
        <v/>
      </c>
      <c r="T72" s="8">
        <f>IF(OR($B72="",$E72=""),"",IF(SUMPRODUCT(('M_利用者'!$A$4:$A$60=$B72)*('M_利用者'!$B$4:$B$60&lt;&gt;""))=0,"",IF(SUMIFS($U$5:$U$204,$B$5:$B$204,$B72,$E$5:$E$204,"&gt;="&amp;DATE(YEAR($E72),MONTH($E72),1),$E$5:$E$204,"&lt;="&amp;EOMONTH($E72,0))&gt;SUMIFS('M_利用者'!$B$4:$B$60,'M_利用者'!$A$4:$A$60,$B72),"⚠支給量超過","")))</f>
        <v/>
      </c>
      <c r="U72" s="8">
        <f>IF(OR($E72="",$G72="",$K72="キャンセル"),0,IF(IFERROR(INDEX('M_区分'!$B$4:$B$20,MATCH($C72,'M_区分'!$A$4:$A$20,0)),"○")="○",$G72-$E72+1,0))</f>
        <v/>
      </c>
    </row>
    <row r="73">
      <c r="A73" s="8">
        <f>IF($E73="","","SS-"&amp;TEXT(ROW()-4,"0000"))</f>
        <v/>
      </c>
      <c r="B73" s="9" t="n"/>
      <c r="C73" s="9" t="n"/>
      <c r="D73" s="9" t="n"/>
      <c r="E73" s="10" t="n"/>
      <c r="F73" s="11" t="n"/>
      <c r="G73" s="10" t="n"/>
      <c r="H73" s="11" t="n"/>
      <c r="I73" s="8">
        <f>IF(OR($E73="",$G73=""),"",$G73-$E73+1)</f>
        <v/>
      </c>
      <c r="J73" s="8">
        <f>IF(OR($E73="",$G73=""),"",$G73-$E73)</f>
        <v/>
      </c>
      <c r="K73" s="9" t="n"/>
      <c r="L73" s="9" t="n"/>
      <c r="M73" s="9" t="n"/>
      <c r="N73" s="9" t="n"/>
      <c r="O73" s="9" t="n"/>
      <c r="P73" s="9" t="n"/>
      <c r="Q73" s="10" t="n"/>
      <c r="R73" s="9" t="n"/>
      <c r="S73" s="8">
        <f>IF($D73="","",IF(COUNTIF('M_部屋'!$A$4:$A$20,$D73)=0,"⚠部屋が未登録",IF(OR($E73="",$G73="",$K73="キャンセル"),"",IF(SUMPRODUCT(($D$5:$D$204=$D73)*($E$5:$E$204&lt;&gt;"")*($G$5:$G$204&lt;&gt;"")*($K$5:$K$204&lt;&gt;"キャンセル")*($E$5:$E$204&lt;$G73)*($G$5:$G$204&gt;$E73))&gt;1,"⚠重複",""))))</f>
        <v/>
      </c>
      <c r="T73" s="8">
        <f>IF(OR($B73="",$E73=""),"",IF(SUMPRODUCT(('M_利用者'!$A$4:$A$60=$B73)*('M_利用者'!$B$4:$B$60&lt;&gt;""))=0,"",IF(SUMIFS($U$5:$U$204,$B$5:$B$204,$B73,$E$5:$E$204,"&gt;="&amp;DATE(YEAR($E73),MONTH($E73),1),$E$5:$E$204,"&lt;="&amp;EOMONTH($E73,0))&gt;SUMIFS('M_利用者'!$B$4:$B$60,'M_利用者'!$A$4:$A$60,$B73),"⚠支給量超過","")))</f>
        <v/>
      </c>
      <c r="U73" s="8">
        <f>IF(OR($E73="",$G73="",$K73="キャンセル"),0,IF(IFERROR(INDEX('M_区分'!$B$4:$B$20,MATCH($C73,'M_区分'!$A$4:$A$20,0)),"○")="○",$G73-$E73+1,0))</f>
        <v/>
      </c>
    </row>
    <row r="74">
      <c r="A74" s="8">
        <f>IF($E74="","","SS-"&amp;TEXT(ROW()-4,"0000"))</f>
        <v/>
      </c>
      <c r="B74" s="9" t="n"/>
      <c r="C74" s="9" t="n"/>
      <c r="D74" s="9" t="n"/>
      <c r="E74" s="10" t="n"/>
      <c r="F74" s="11" t="n"/>
      <c r="G74" s="10" t="n"/>
      <c r="H74" s="11" t="n"/>
      <c r="I74" s="8">
        <f>IF(OR($E74="",$G74=""),"",$G74-$E74+1)</f>
        <v/>
      </c>
      <c r="J74" s="8">
        <f>IF(OR($E74="",$G74=""),"",$G74-$E74)</f>
        <v/>
      </c>
      <c r="K74" s="9" t="n"/>
      <c r="L74" s="9" t="n"/>
      <c r="M74" s="9" t="n"/>
      <c r="N74" s="9" t="n"/>
      <c r="O74" s="9" t="n"/>
      <c r="P74" s="9" t="n"/>
      <c r="Q74" s="10" t="n"/>
      <c r="R74" s="9" t="n"/>
      <c r="S74" s="8">
        <f>IF($D74="","",IF(COUNTIF('M_部屋'!$A$4:$A$20,$D74)=0,"⚠部屋が未登録",IF(OR($E74="",$G74="",$K74="キャンセル"),"",IF(SUMPRODUCT(($D$5:$D$204=$D74)*($E$5:$E$204&lt;&gt;"")*($G$5:$G$204&lt;&gt;"")*($K$5:$K$204&lt;&gt;"キャンセル")*($E$5:$E$204&lt;$G74)*($G$5:$G$204&gt;$E74))&gt;1,"⚠重複",""))))</f>
        <v/>
      </c>
      <c r="T74" s="8">
        <f>IF(OR($B74="",$E74=""),"",IF(SUMPRODUCT(('M_利用者'!$A$4:$A$60=$B74)*('M_利用者'!$B$4:$B$60&lt;&gt;""))=0,"",IF(SUMIFS($U$5:$U$204,$B$5:$B$204,$B74,$E$5:$E$204,"&gt;="&amp;DATE(YEAR($E74),MONTH($E74),1),$E$5:$E$204,"&lt;="&amp;EOMONTH($E74,0))&gt;SUMIFS('M_利用者'!$B$4:$B$60,'M_利用者'!$A$4:$A$60,$B74),"⚠支給量超過","")))</f>
        <v/>
      </c>
      <c r="U74" s="8">
        <f>IF(OR($E74="",$G74="",$K74="キャンセル"),0,IF(IFERROR(INDEX('M_区分'!$B$4:$B$20,MATCH($C74,'M_区分'!$A$4:$A$20,0)),"○")="○",$G74-$E74+1,0))</f>
        <v/>
      </c>
    </row>
    <row r="75">
      <c r="A75" s="8">
        <f>IF($E75="","","SS-"&amp;TEXT(ROW()-4,"0000"))</f>
        <v/>
      </c>
      <c r="B75" s="9" t="n"/>
      <c r="C75" s="9" t="n"/>
      <c r="D75" s="9" t="n"/>
      <c r="E75" s="10" t="n"/>
      <c r="F75" s="11" t="n"/>
      <c r="G75" s="10" t="n"/>
      <c r="H75" s="11" t="n"/>
      <c r="I75" s="8">
        <f>IF(OR($E75="",$G75=""),"",$G75-$E75+1)</f>
        <v/>
      </c>
      <c r="J75" s="8">
        <f>IF(OR($E75="",$G75=""),"",$G75-$E75)</f>
        <v/>
      </c>
      <c r="K75" s="9" t="n"/>
      <c r="L75" s="9" t="n"/>
      <c r="M75" s="9" t="n"/>
      <c r="N75" s="9" t="n"/>
      <c r="O75" s="9" t="n"/>
      <c r="P75" s="9" t="n"/>
      <c r="Q75" s="10" t="n"/>
      <c r="R75" s="9" t="n"/>
      <c r="S75" s="8">
        <f>IF($D75="","",IF(COUNTIF('M_部屋'!$A$4:$A$20,$D75)=0,"⚠部屋が未登録",IF(OR($E75="",$G75="",$K75="キャンセル"),"",IF(SUMPRODUCT(($D$5:$D$204=$D75)*($E$5:$E$204&lt;&gt;"")*($G$5:$G$204&lt;&gt;"")*($K$5:$K$204&lt;&gt;"キャンセル")*($E$5:$E$204&lt;$G75)*($G$5:$G$204&gt;$E75))&gt;1,"⚠重複",""))))</f>
        <v/>
      </c>
      <c r="T75" s="8">
        <f>IF(OR($B75="",$E75=""),"",IF(SUMPRODUCT(('M_利用者'!$A$4:$A$60=$B75)*('M_利用者'!$B$4:$B$60&lt;&gt;""))=0,"",IF(SUMIFS($U$5:$U$204,$B$5:$B$204,$B75,$E$5:$E$204,"&gt;="&amp;DATE(YEAR($E75),MONTH($E75),1),$E$5:$E$204,"&lt;="&amp;EOMONTH($E75,0))&gt;SUMIFS('M_利用者'!$B$4:$B$60,'M_利用者'!$A$4:$A$60,$B75),"⚠支給量超過","")))</f>
        <v/>
      </c>
      <c r="U75" s="8">
        <f>IF(OR($E75="",$G75="",$K75="キャンセル"),0,IF(IFERROR(INDEX('M_区分'!$B$4:$B$20,MATCH($C75,'M_区分'!$A$4:$A$20,0)),"○")="○",$G75-$E75+1,0))</f>
        <v/>
      </c>
    </row>
    <row r="76">
      <c r="A76" s="8">
        <f>IF($E76="","","SS-"&amp;TEXT(ROW()-4,"0000"))</f>
        <v/>
      </c>
      <c r="B76" s="9" t="n"/>
      <c r="C76" s="9" t="n"/>
      <c r="D76" s="9" t="n"/>
      <c r="E76" s="10" t="n"/>
      <c r="F76" s="11" t="n"/>
      <c r="G76" s="10" t="n"/>
      <c r="H76" s="11" t="n"/>
      <c r="I76" s="8">
        <f>IF(OR($E76="",$G76=""),"",$G76-$E76+1)</f>
        <v/>
      </c>
      <c r="J76" s="8">
        <f>IF(OR($E76="",$G76=""),"",$G76-$E76)</f>
        <v/>
      </c>
      <c r="K76" s="9" t="n"/>
      <c r="L76" s="9" t="n"/>
      <c r="M76" s="9" t="n"/>
      <c r="N76" s="9" t="n"/>
      <c r="O76" s="9" t="n"/>
      <c r="P76" s="9" t="n"/>
      <c r="Q76" s="10" t="n"/>
      <c r="R76" s="9" t="n"/>
      <c r="S76" s="8">
        <f>IF($D76="","",IF(COUNTIF('M_部屋'!$A$4:$A$20,$D76)=0,"⚠部屋が未登録",IF(OR($E76="",$G76="",$K76="キャンセル"),"",IF(SUMPRODUCT(($D$5:$D$204=$D76)*($E$5:$E$204&lt;&gt;"")*($G$5:$G$204&lt;&gt;"")*($K$5:$K$204&lt;&gt;"キャンセル")*($E$5:$E$204&lt;$G76)*($G$5:$G$204&gt;$E76))&gt;1,"⚠重複",""))))</f>
        <v/>
      </c>
      <c r="T76" s="8">
        <f>IF(OR($B76="",$E76=""),"",IF(SUMPRODUCT(('M_利用者'!$A$4:$A$60=$B76)*('M_利用者'!$B$4:$B$60&lt;&gt;""))=0,"",IF(SUMIFS($U$5:$U$204,$B$5:$B$204,$B76,$E$5:$E$204,"&gt;="&amp;DATE(YEAR($E76),MONTH($E76),1),$E$5:$E$204,"&lt;="&amp;EOMONTH($E76,0))&gt;SUMIFS('M_利用者'!$B$4:$B$60,'M_利用者'!$A$4:$A$60,$B76),"⚠支給量超過","")))</f>
        <v/>
      </c>
      <c r="U76" s="8">
        <f>IF(OR($E76="",$G76="",$K76="キャンセル"),0,IF(IFERROR(INDEX('M_区分'!$B$4:$B$20,MATCH($C76,'M_区分'!$A$4:$A$20,0)),"○")="○",$G76-$E76+1,0))</f>
        <v/>
      </c>
    </row>
    <row r="77">
      <c r="A77" s="8">
        <f>IF($E77="","","SS-"&amp;TEXT(ROW()-4,"0000"))</f>
        <v/>
      </c>
      <c r="B77" s="9" t="n"/>
      <c r="C77" s="9" t="n"/>
      <c r="D77" s="9" t="n"/>
      <c r="E77" s="10" t="n"/>
      <c r="F77" s="11" t="n"/>
      <c r="G77" s="10" t="n"/>
      <c r="H77" s="11" t="n"/>
      <c r="I77" s="8">
        <f>IF(OR($E77="",$G77=""),"",$G77-$E77+1)</f>
        <v/>
      </c>
      <c r="J77" s="8">
        <f>IF(OR($E77="",$G77=""),"",$G77-$E77)</f>
        <v/>
      </c>
      <c r="K77" s="9" t="n"/>
      <c r="L77" s="9" t="n"/>
      <c r="M77" s="9" t="n"/>
      <c r="N77" s="9" t="n"/>
      <c r="O77" s="9" t="n"/>
      <c r="P77" s="9" t="n"/>
      <c r="Q77" s="10" t="n"/>
      <c r="R77" s="9" t="n"/>
      <c r="S77" s="8">
        <f>IF($D77="","",IF(COUNTIF('M_部屋'!$A$4:$A$20,$D77)=0,"⚠部屋が未登録",IF(OR($E77="",$G77="",$K77="キャンセル"),"",IF(SUMPRODUCT(($D$5:$D$204=$D77)*($E$5:$E$204&lt;&gt;"")*($G$5:$G$204&lt;&gt;"")*($K$5:$K$204&lt;&gt;"キャンセル")*($E$5:$E$204&lt;$G77)*($G$5:$G$204&gt;$E77))&gt;1,"⚠重複",""))))</f>
        <v/>
      </c>
      <c r="T77" s="8">
        <f>IF(OR($B77="",$E77=""),"",IF(SUMPRODUCT(('M_利用者'!$A$4:$A$60=$B77)*('M_利用者'!$B$4:$B$60&lt;&gt;""))=0,"",IF(SUMIFS($U$5:$U$204,$B$5:$B$204,$B77,$E$5:$E$204,"&gt;="&amp;DATE(YEAR($E77),MONTH($E77),1),$E$5:$E$204,"&lt;="&amp;EOMONTH($E77,0))&gt;SUMIFS('M_利用者'!$B$4:$B$60,'M_利用者'!$A$4:$A$60,$B77),"⚠支給量超過","")))</f>
        <v/>
      </c>
      <c r="U77" s="8">
        <f>IF(OR($E77="",$G77="",$K77="キャンセル"),0,IF(IFERROR(INDEX('M_区分'!$B$4:$B$20,MATCH($C77,'M_区分'!$A$4:$A$20,0)),"○")="○",$G77-$E77+1,0))</f>
        <v/>
      </c>
    </row>
    <row r="78">
      <c r="A78" s="8">
        <f>IF($E78="","","SS-"&amp;TEXT(ROW()-4,"0000"))</f>
        <v/>
      </c>
      <c r="B78" s="9" t="n"/>
      <c r="C78" s="9" t="n"/>
      <c r="D78" s="9" t="n"/>
      <c r="E78" s="10" t="n"/>
      <c r="F78" s="11" t="n"/>
      <c r="G78" s="10" t="n"/>
      <c r="H78" s="11" t="n"/>
      <c r="I78" s="8">
        <f>IF(OR($E78="",$G78=""),"",$G78-$E78+1)</f>
        <v/>
      </c>
      <c r="J78" s="8">
        <f>IF(OR($E78="",$G78=""),"",$G78-$E78)</f>
        <v/>
      </c>
      <c r="K78" s="9" t="n"/>
      <c r="L78" s="9" t="n"/>
      <c r="M78" s="9" t="n"/>
      <c r="N78" s="9" t="n"/>
      <c r="O78" s="9" t="n"/>
      <c r="P78" s="9" t="n"/>
      <c r="Q78" s="10" t="n"/>
      <c r="R78" s="9" t="n"/>
      <c r="S78" s="8">
        <f>IF($D78="","",IF(COUNTIF('M_部屋'!$A$4:$A$20,$D78)=0,"⚠部屋が未登録",IF(OR($E78="",$G78="",$K78="キャンセル"),"",IF(SUMPRODUCT(($D$5:$D$204=$D78)*($E$5:$E$204&lt;&gt;"")*($G$5:$G$204&lt;&gt;"")*($K$5:$K$204&lt;&gt;"キャンセル")*($E$5:$E$204&lt;$G78)*($G$5:$G$204&gt;$E78))&gt;1,"⚠重複",""))))</f>
        <v/>
      </c>
      <c r="T78" s="8">
        <f>IF(OR($B78="",$E78=""),"",IF(SUMPRODUCT(('M_利用者'!$A$4:$A$60=$B78)*('M_利用者'!$B$4:$B$60&lt;&gt;""))=0,"",IF(SUMIFS($U$5:$U$204,$B$5:$B$204,$B78,$E$5:$E$204,"&gt;="&amp;DATE(YEAR($E78),MONTH($E78),1),$E$5:$E$204,"&lt;="&amp;EOMONTH($E78,0))&gt;SUMIFS('M_利用者'!$B$4:$B$60,'M_利用者'!$A$4:$A$60,$B78),"⚠支給量超過","")))</f>
        <v/>
      </c>
      <c r="U78" s="8">
        <f>IF(OR($E78="",$G78="",$K78="キャンセル"),0,IF(IFERROR(INDEX('M_区分'!$B$4:$B$20,MATCH($C78,'M_区分'!$A$4:$A$20,0)),"○")="○",$G78-$E78+1,0))</f>
        <v/>
      </c>
    </row>
    <row r="79">
      <c r="A79" s="8">
        <f>IF($E79="","","SS-"&amp;TEXT(ROW()-4,"0000"))</f>
        <v/>
      </c>
      <c r="B79" s="9" t="n"/>
      <c r="C79" s="9" t="n"/>
      <c r="D79" s="9" t="n"/>
      <c r="E79" s="10" t="n"/>
      <c r="F79" s="11" t="n"/>
      <c r="G79" s="10" t="n"/>
      <c r="H79" s="11" t="n"/>
      <c r="I79" s="8">
        <f>IF(OR($E79="",$G79=""),"",$G79-$E79+1)</f>
        <v/>
      </c>
      <c r="J79" s="8">
        <f>IF(OR($E79="",$G79=""),"",$G79-$E79)</f>
        <v/>
      </c>
      <c r="K79" s="9" t="n"/>
      <c r="L79" s="9" t="n"/>
      <c r="M79" s="9" t="n"/>
      <c r="N79" s="9" t="n"/>
      <c r="O79" s="9" t="n"/>
      <c r="P79" s="9" t="n"/>
      <c r="Q79" s="10" t="n"/>
      <c r="R79" s="9" t="n"/>
      <c r="S79" s="8">
        <f>IF($D79="","",IF(COUNTIF('M_部屋'!$A$4:$A$20,$D79)=0,"⚠部屋が未登録",IF(OR($E79="",$G79="",$K79="キャンセル"),"",IF(SUMPRODUCT(($D$5:$D$204=$D79)*($E$5:$E$204&lt;&gt;"")*($G$5:$G$204&lt;&gt;"")*($K$5:$K$204&lt;&gt;"キャンセル")*($E$5:$E$204&lt;$G79)*($G$5:$G$204&gt;$E79))&gt;1,"⚠重複",""))))</f>
        <v/>
      </c>
      <c r="T79" s="8">
        <f>IF(OR($B79="",$E79=""),"",IF(SUMPRODUCT(('M_利用者'!$A$4:$A$60=$B79)*('M_利用者'!$B$4:$B$60&lt;&gt;""))=0,"",IF(SUMIFS($U$5:$U$204,$B$5:$B$204,$B79,$E$5:$E$204,"&gt;="&amp;DATE(YEAR($E79),MONTH($E79),1),$E$5:$E$204,"&lt;="&amp;EOMONTH($E79,0))&gt;SUMIFS('M_利用者'!$B$4:$B$60,'M_利用者'!$A$4:$A$60,$B79),"⚠支給量超過","")))</f>
        <v/>
      </c>
      <c r="U79" s="8">
        <f>IF(OR($E79="",$G79="",$K79="キャンセル"),0,IF(IFERROR(INDEX('M_区分'!$B$4:$B$20,MATCH($C79,'M_区分'!$A$4:$A$20,0)),"○")="○",$G79-$E79+1,0))</f>
        <v/>
      </c>
    </row>
    <row r="80">
      <c r="A80" s="8">
        <f>IF($E80="","","SS-"&amp;TEXT(ROW()-4,"0000"))</f>
        <v/>
      </c>
      <c r="B80" s="9" t="n"/>
      <c r="C80" s="9" t="n"/>
      <c r="D80" s="9" t="n"/>
      <c r="E80" s="10" t="n"/>
      <c r="F80" s="11" t="n"/>
      <c r="G80" s="10" t="n"/>
      <c r="H80" s="11" t="n"/>
      <c r="I80" s="8">
        <f>IF(OR($E80="",$G80=""),"",$G80-$E80+1)</f>
        <v/>
      </c>
      <c r="J80" s="8">
        <f>IF(OR($E80="",$G80=""),"",$G80-$E80)</f>
        <v/>
      </c>
      <c r="K80" s="9" t="n"/>
      <c r="L80" s="9" t="n"/>
      <c r="M80" s="9" t="n"/>
      <c r="N80" s="9" t="n"/>
      <c r="O80" s="9" t="n"/>
      <c r="P80" s="9" t="n"/>
      <c r="Q80" s="10" t="n"/>
      <c r="R80" s="9" t="n"/>
      <c r="S80" s="8">
        <f>IF($D80="","",IF(COUNTIF('M_部屋'!$A$4:$A$20,$D80)=0,"⚠部屋が未登録",IF(OR($E80="",$G80="",$K80="キャンセル"),"",IF(SUMPRODUCT(($D$5:$D$204=$D80)*($E$5:$E$204&lt;&gt;"")*($G$5:$G$204&lt;&gt;"")*($K$5:$K$204&lt;&gt;"キャンセル")*($E$5:$E$204&lt;$G80)*($G$5:$G$204&gt;$E80))&gt;1,"⚠重複",""))))</f>
        <v/>
      </c>
      <c r="T80" s="8">
        <f>IF(OR($B80="",$E80=""),"",IF(SUMPRODUCT(('M_利用者'!$A$4:$A$60=$B80)*('M_利用者'!$B$4:$B$60&lt;&gt;""))=0,"",IF(SUMIFS($U$5:$U$204,$B$5:$B$204,$B80,$E$5:$E$204,"&gt;="&amp;DATE(YEAR($E80),MONTH($E80),1),$E$5:$E$204,"&lt;="&amp;EOMONTH($E80,0))&gt;SUMIFS('M_利用者'!$B$4:$B$60,'M_利用者'!$A$4:$A$60,$B80),"⚠支給量超過","")))</f>
        <v/>
      </c>
      <c r="U80" s="8">
        <f>IF(OR($E80="",$G80="",$K80="キャンセル"),0,IF(IFERROR(INDEX('M_区分'!$B$4:$B$20,MATCH($C80,'M_区分'!$A$4:$A$20,0)),"○")="○",$G80-$E80+1,0))</f>
        <v/>
      </c>
    </row>
    <row r="81">
      <c r="A81" s="8">
        <f>IF($E81="","","SS-"&amp;TEXT(ROW()-4,"0000"))</f>
        <v/>
      </c>
      <c r="B81" s="9" t="n"/>
      <c r="C81" s="9" t="n"/>
      <c r="D81" s="9" t="n"/>
      <c r="E81" s="10" t="n"/>
      <c r="F81" s="11" t="n"/>
      <c r="G81" s="10" t="n"/>
      <c r="H81" s="11" t="n"/>
      <c r="I81" s="8">
        <f>IF(OR($E81="",$G81=""),"",$G81-$E81+1)</f>
        <v/>
      </c>
      <c r="J81" s="8">
        <f>IF(OR($E81="",$G81=""),"",$G81-$E81)</f>
        <v/>
      </c>
      <c r="K81" s="9" t="n"/>
      <c r="L81" s="9" t="n"/>
      <c r="M81" s="9" t="n"/>
      <c r="N81" s="9" t="n"/>
      <c r="O81" s="9" t="n"/>
      <c r="P81" s="9" t="n"/>
      <c r="Q81" s="10" t="n"/>
      <c r="R81" s="9" t="n"/>
      <c r="S81" s="8">
        <f>IF($D81="","",IF(COUNTIF('M_部屋'!$A$4:$A$20,$D81)=0,"⚠部屋が未登録",IF(OR($E81="",$G81="",$K81="キャンセル"),"",IF(SUMPRODUCT(($D$5:$D$204=$D81)*($E$5:$E$204&lt;&gt;"")*($G$5:$G$204&lt;&gt;"")*($K$5:$K$204&lt;&gt;"キャンセル")*($E$5:$E$204&lt;$G81)*($G$5:$G$204&gt;$E81))&gt;1,"⚠重複",""))))</f>
        <v/>
      </c>
      <c r="T81" s="8">
        <f>IF(OR($B81="",$E81=""),"",IF(SUMPRODUCT(('M_利用者'!$A$4:$A$60=$B81)*('M_利用者'!$B$4:$B$60&lt;&gt;""))=0,"",IF(SUMIFS($U$5:$U$204,$B$5:$B$204,$B81,$E$5:$E$204,"&gt;="&amp;DATE(YEAR($E81),MONTH($E81),1),$E$5:$E$204,"&lt;="&amp;EOMONTH($E81,0))&gt;SUMIFS('M_利用者'!$B$4:$B$60,'M_利用者'!$A$4:$A$60,$B81),"⚠支給量超過","")))</f>
        <v/>
      </c>
      <c r="U81" s="8">
        <f>IF(OR($E81="",$G81="",$K81="キャンセル"),0,IF(IFERROR(INDEX('M_区分'!$B$4:$B$20,MATCH($C81,'M_区分'!$A$4:$A$20,0)),"○")="○",$G81-$E81+1,0))</f>
        <v/>
      </c>
    </row>
    <row r="82">
      <c r="A82" s="8">
        <f>IF($E82="","","SS-"&amp;TEXT(ROW()-4,"0000"))</f>
        <v/>
      </c>
      <c r="B82" s="9" t="n"/>
      <c r="C82" s="9" t="n"/>
      <c r="D82" s="9" t="n"/>
      <c r="E82" s="10" t="n"/>
      <c r="F82" s="11" t="n"/>
      <c r="G82" s="10" t="n"/>
      <c r="H82" s="11" t="n"/>
      <c r="I82" s="8">
        <f>IF(OR($E82="",$G82=""),"",$G82-$E82+1)</f>
        <v/>
      </c>
      <c r="J82" s="8">
        <f>IF(OR($E82="",$G82=""),"",$G82-$E82)</f>
        <v/>
      </c>
      <c r="K82" s="9" t="n"/>
      <c r="L82" s="9" t="n"/>
      <c r="M82" s="9" t="n"/>
      <c r="N82" s="9" t="n"/>
      <c r="O82" s="9" t="n"/>
      <c r="P82" s="9" t="n"/>
      <c r="Q82" s="10" t="n"/>
      <c r="R82" s="9" t="n"/>
      <c r="S82" s="8">
        <f>IF($D82="","",IF(COUNTIF('M_部屋'!$A$4:$A$20,$D82)=0,"⚠部屋が未登録",IF(OR($E82="",$G82="",$K82="キャンセル"),"",IF(SUMPRODUCT(($D$5:$D$204=$D82)*($E$5:$E$204&lt;&gt;"")*($G$5:$G$204&lt;&gt;"")*($K$5:$K$204&lt;&gt;"キャンセル")*($E$5:$E$204&lt;$G82)*($G$5:$G$204&gt;$E82))&gt;1,"⚠重複",""))))</f>
        <v/>
      </c>
      <c r="T82" s="8">
        <f>IF(OR($B82="",$E82=""),"",IF(SUMPRODUCT(('M_利用者'!$A$4:$A$60=$B82)*('M_利用者'!$B$4:$B$60&lt;&gt;""))=0,"",IF(SUMIFS($U$5:$U$204,$B$5:$B$204,$B82,$E$5:$E$204,"&gt;="&amp;DATE(YEAR($E82),MONTH($E82),1),$E$5:$E$204,"&lt;="&amp;EOMONTH($E82,0))&gt;SUMIFS('M_利用者'!$B$4:$B$60,'M_利用者'!$A$4:$A$60,$B82),"⚠支給量超過","")))</f>
        <v/>
      </c>
      <c r="U82" s="8">
        <f>IF(OR($E82="",$G82="",$K82="キャンセル"),0,IF(IFERROR(INDEX('M_区分'!$B$4:$B$20,MATCH($C82,'M_区分'!$A$4:$A$20,0)),"○")="○",$G82-$E82+1,0))</f>
        <v/>
      </c>
    </row>
    <row r="83">
      <c r="A83" s="8">
        <f>IF($E83="","","SS-"&amp;TEXT(ROW()-4,"0000"))</f>
        <v/>
      </c>
      <c r="B83" s="9" t="n"/>
      <c r="C83" s="9" t="n"/>
      <c r="D83" s="9" t="n"/>
      <c r="E83" s="10" t="n"/>
      <c r="F83" s="11" t="n"/>
      <c r="G83" s="10" t="n"/>
      <c r="H83" s="11" t="n"/>
      <c r="I83" s="8">
        <f>IF(OR($E83="",$G83=""),"",$G83-$E83+1)</f>
        <v/>
      </c>
      <c r="J83" s="8">
        <f>IF(OR($E83="",$G83=""),"",$G83-$E83)</f>
        <v/>
      </c>
      <c r="K83" s="9" t="n"/>
      <c r="L83" s="9" t="n"/>
      <c r="M83" s="9" t="n"/>
      <c r="N83" s="9" t="n"/>
      <c r="O83" s="9" t="n"/>
      <c r="P83" s="9" t="n"/>
      <c r="Q83" s="10" t="n"/>
      <c r="R83" s="9" t="n"/>
      <c r="S83" s="8">
        <f>IF($D83="","",IF(COUNTIF('M_部屋'!$A$4:$A$20,$D83)=0,"⚠部屋が未登録",IF(OR($E83="",$G83="",$K83="キャンセル"),"",IF(SUMPRODUCT(($D$5:$D$204=$D83)*($E$5:$E$204&lt;&gt;"")*($G$5:$G$204&lt;&gt;"")*($K$5:$K$204&lt;&gt;"キャンセル")*($E$5:$E$204&lt;$G83)*($G$5:$G$204&gt;$E83))&gt;1,"⚠重複",""))))</f>
        <v/>
      </c>
      <c r="T83" s="8">
        <f>IF(OR($B83="",$E83=""),"",IF(SUMPRODUCT(('M_利用者'!$A$4:$A$60=$B83)*('M_利用者'!$B$4:$B$60&lt;&gt;""))=0,"",IF(SUMIFS($U$5:$U$204,$B$5:$B$204,$B83,$E$5:$E$204,"&gt;="&amp;DATE(YEAR($E83),MONTH($E83),1),$E$5:$E$204,"&lt;="&amp;EOMONTH($E83,0))&gt;SUMIFS('M_利用者'!$B$4:$B$60,'M_利用者'!$A$4:$A$60,$B83),"⚠支給量超過","")))</f>
        <v/>
      </c>
      <c r="U83" s="8">
        <f>IF(OR($E83="",$G83="",$K83="キャンセル"),0,IF(IFERROR(INDEX('M_区分'!$B$4:$B$20,MATCH($C83,'M_区分'!$A$4:$A$20,0)),"○")="○",$G83-$E83+1,0))</f>
        <v/>
      </c>
    </row>
    <row r="84">
      <c r="A84" s="8">
        <f>IF($E84="","","SS-"&amp;TEXT(ROW()-4,"0000"))</f>
        <v/>
      </c>
      <c r="B84" s="9" t="n"/>
      <c r="C84" s="9" t="n"/>
      <c r="D84" s="9" t="n"/>
      <c r="E84" s="10" t="n"/>
      <c r="F84" s="11" t="n"/>
      <c r="G84" s="10" t="n"/>
      <c r="H84" s="11" t="n"/>
      <c r="I84" s="8">
        <f>IF(OR($E84="",$G84=""),"",$G84-$E84+1)</f>
        <v/>
      </c>
      <c r="J84" s="8">
        <f>IF(OR($E84="",$G84=""),"",$G84-$E84)</f>
        <v/>
      </c>
      <c r="K84" s="9" t="n"/>
      <c r="L84" s="9" t="n"/>
      <c r="M84" s="9" t="n"/>
      <c r="N84" s="9" t="n"/>
      <c r="O84" s="9" t="n"/>
      <c r="P84" s="9" t="n"/>
      <c r="Q84" s="10" t="n"/>
      <c r="R84" s="9" t="n"/>
      <c r="S84" s="8">
        <f>IF($D84="","",IF(COUNTIF('M_部屋'!$A$4:$A$20,$D84)=0,"⚠部屋が未登録",IF(OR($E84="",$G84="",$K84="キャンセル"),"",IF(SUMPRODUCT(($D$5:$D$204=$D84)*($E$5:$E$204&lt;&gt;"")*($G$5:$G$204&lt;&gt;"")*($K$5:$K$204&lt;&gt;"キャンセル")*($E$5:$E$204&lt;$G84)*($G$5:$G$204&gt;$E84))&gt;1,"⚠重複",""))))</f>
        <v/>
      </c>
      <c r="T84" s="8">
        <f>IF(OR($B84="",$E84=""),"",IF(SUMPRODUCT(('M_利用者'!$A$4:$A$60=$B84)*('M_利用者'!$B$4:$B$60&lt;&gt;""))=0,"",IF(SUMIFS($U$5:$U$204,$B$5:$B$204,$B84,$E$5:$E$204,"&gt;="&amp;DATE(YEAR($E84),MONTH($E84),1),$E$5:$E$204,"&lt;="&amp;EOMONTH($E84,0))&gt;SUMIFS('M_利用者'!$B$4:$B$60,'M_利用者'!$A$4:$A$60,$B84),"⚠支給量超過","")))</f>
        <v/>
      </c>
      <c r="U84" s="8">
        <f>IF(OR($E84="",$G84="",$K84="キャンセル"),0,IF(IFERROR(INDEX('M_区分'!$B$4:$B$20,MATCH($C84,'M_区分'!$A$4:$A$20,0)),"○")="○",$G84-$E84+1,0))</f>
        <v/>
      </c>
    </row>
    <row r="85">
      <c r="A85" s="8">
        <f>IF($E85="","","SS-"&amp;TEXT(ROW()-4,"0000"))</f>
        <v/>
      </c>
      <c r="B85" s="9" t="n"/>
      <c r="C85" s="9" t="n"/>
      <c r="D85" s="9" t="n"/>
      <c r="E85" s="10" t="n"/>
      <c r="F85" s="11" t="n"/>
      <c r="G85" s="10" t="n"/>
      <c r="H85" s="11" t="n"/>
      <c r="I85" s="8">
        <f>IF(OR($E85="",$G85=""),"",$G85-$E85+1)</f>
        <v/>
      </c>
      <c r="J85" s="8">
        <f>IF(OR($E85="",$G85=""),"",$G85-$E85)</f>
        <v/>
      </c>
      <c r="K85" s="9" t="n"/>
      <c r="L85" s="9" t="n"/>
      <c r="M85" s="9" t="n"/>
      <c r="N85" s="9" t="n"/>
      <c r="O85" s="9" t="n"/>
      <c r="P85" s="9" t="n"/>
      <c r="Q85" s="10" t="n"/>
      <c r="R85" s="9" t="n"/>
      <c r="S85" s="8">
        <f>IF($D85="","",IF(COUNTIF('M_部屋'!$A$4:$A$20,$D85)=0,"⚠部屋が未登録",IF(OR($E85="",$G85="",$K85="キャンセル"),"",IF(SUMPRODUCT(($D$5:$D$204=$D85)*($E$5:$E$204&lt;&gt;"")*($G$5:$G$204&lt;&gt;"")*($K$5:$K$204&lt;&gt;"キャンセル")*($E$5:$E$204&lt;$G85)*($G$5:$G$204&gt;$E85))&gt;1,"⚠重複",""))))</f>
        <v/>
      </c>
      <c r="T85" s="8">
        <f>IF(OR($B85="",$E85=""),"",IF(SUMPRODUCT(('M_利用者'!$A$4:$A$60=$B85)*('M_利用者'!$B$4:$B$60&lt;&gt;""))=0,"",IF(SUMIFS($U$5:$U$204,$B$5:$B$204,$B85,$E$5:$E$204,"&gt;="&amp;DATE(YEAR($E85),MONTH($E85),1),$E$5:$E$204,"&lt;="&amp;EOMONTH($E85,0))&gt;SUMIFS('M_利用者'!$B$4:$B$60,'M_利用者'!$A$4:$A$60,$B85),"⚠支給量超過","")))</f>
        <v/>
      </c>
      <c r="U85" s="8">
        <f>IF(OR($E85="",$G85="",$K85="キャンセル"),0,IF(IFERROR(INDEX('M_区分'!$B$4:$B$20,MATCH($C85,'M_区分'!$A$4:$A$20,0)),"○")="○",$G85-$E85+1,0))</f>
        <v/>
      </c>
    </row>
    <row r="86">
      <c r="A86" s="8">
        <f>IF($E86="","","SS-"&amp;TEXT(ROW()-4,"0000"))</f>
        <v/>
      </c>
      <c r="B86" s="9" t="n"/>
      <c r="C86" s="9" t="n"/>
      <c r="D86" s="9" t="n"/>
      <c r="E86" s="10" t="n"/>
      <c r="F86" s="11" t="n"/>
      <c r="G86" s="10" t="n"/>
      <c r="H86" s="11" t="n"/>
      <c r="I86" s="8">
        <f>IF(OR($E86="",$G86=""),"",$G86-$E86+1)</f>
        <v/>
      </c>
      <c r="J86" s="8">
        <f>IF(OR($E86="",$G86=""),"",$G86-$E86)</f>
        <v/>
      </c>
      <c r="K86" s="9" t="n"/>
      <c r="L86" s="9" t="n"/>
      <c r="M86" s="9" t="n"/>
      <c r="N86" s="9" t="n"/>
      <c r="O86" s="9" t="n"/>
      <c r="P86" s="9" t="n"/>
      <c r="Q86" s="10" t="n"/>
      <c r="R86" s="9" t="n"/>
      <c r="S86" s="8">
        <f>IF($D86="","",IF(COUNTIF('M_部屋'!$A$4:$A$20,$D86)=0,"⚠部屋が未登録",IF(OR($E86="",$G86="",$K86="キャンセル"),"",IF(SUMPRODUCT(($D$5:$D$204=$D86)*($E$5:$E$204&lt;&gt;"")*($G$5:$G$204&lt;&gt;"")*($K$5:$K$204&lt;&gt;"キャンセル")*($E$5:$E$204&lt;$G86)*($G$5:$G$204&gt;$E86))&gt;1,"⚠重複",""))))</f>
        <v/>
      </c>
      <c r="T86" s="8">
        <f>IF(OR($B86="",$E86=""),"",IF(SUMPRODUCT(('M_利用者'!$A$4:$A$60=$B86)*('M_利用者'!$B$4:$B$60&lt;&gt;""))=0,"",IF(SUMIFS($U$5:$U$204,$B$5:$B$204,$B86,$E$5:$E$204,"&gt;="&amp;DATE(YEAR($E86),MONTH($E86),1),$E$5:$E$204,"&lt;="&amp;EOMONTH($E86,0))&gt;SUMIFS('M_利用者'!$B$4:$B$60,'M_利用者'!$A$4:$A$60,$B86),"⚠支給量超過","")))</f>
        <v/>
      </c>
      <c r="U86" s="8">
        <f>IF(OR($E86="",$G86="",$K86="キャンセル"),0,IF(IFERROR(INDEX('M_区分'!$B$4:$B$20,MATCH($C86,'M_区分'!$A$4:$A$20,0)),"○")="○",$G86-$E86+1,0))</f>
        <v/>
      </c>
    </row>
    <row r="87">
      <c r="A87" s="8">
        <f>IF($E87="","","SS-"&amp;TEXT(ROW()-4,"0000"))</f>
        <v/>
      </c>
      <c r="B87" s="9" t="n"/>
      <c r="C87" s="9" t="n"/>
      <c r="D87" s="9" t="n"/>
      <c r="E87" s="10" t="n"/>
      <c r="F87" s="11" t="n"/>
      <c r="G87" s="10" t="n"/>
      <c r="H87" s="11" t="n"/>
      <c r="I87" s="8">
        <f>IF(OR($E87="",$G87=""),"",$G87-$E87+1)</f>
        <v/>
      </c>
      <c r="J87" s="8">
        <f>IF(OR($E87="",$G87=""),"",$G87-$E87)</f>
        <v/>
      </c>
      <c r="K87" s="9" t="n"/>
      <c r="L87" s="9" t="n"/>
      <c r="M87" s="9" t="n"/>
      <c r="N87" s="9" t="n"/>
      <c r="O87" s="9" t="n"/>
      <c r="P87" s="9" t="n"/>
      <c r="Q87" s="10" t="n"/>
      <c r="R87" s="9" t="n"/>
      <c r="S87" s="8">
        <f>IF($D87="","",IF(COUNTIF('M_部屋'!$A$4:$A$20,$D87)=0,"⚠部屋が未登録",IF(OR($E87="",$G87="",$K87="キャンセル"),"",IF(SUMPRODUCT(($D$5:$D$204=$D87)*($E$5:$E$204&lt;&gt;"")*($G$5:$G$204&lt;&gt;"")*($K$5:$K$204&lt;&gt;"キャンセル")*($E$5:$E$204&lt;$G87)*($G$5:$G$204&gt;$E87))&gt;1,"⚠重複",""))))</f>
        <v/>
      </c>
      <c r="T87" s="8">
        <f>IF(OR($B87="",$E87=""),"",IF(SUMPRODUCT(('M_利用者'!$A$4:$A$60=$B87)*('M_利用者'!$B$4:$B$60&lt;&gt;""))=0,"",IF(SUMIFS($U$5:$U$204,$B$5:$B$204,$B87,$E$5:$E$204,"&gt;="&amp;DATE(YEAR($E87),MONTH($E87),1),$E$5:$E$204,"&lt;="&amp;EOMONTH($E87,0))&gt;SUMIFS('M_利用者'!$B$4:$B$60,'M_利用者'!$A$4:$A$60,$B87),"⚠支給量超過","")))</f>
        <v/>
      </c>
      <c r="U87" s="8">
        <f>IF(OR($E87="",$G87="",$K87="キャンセル"),0,IF(IFERROR(INDEX('M_区分'!$B$4:$B$20,MATCH($C87,'M_区分'!$A$4:$A$20,0)),"○")="○",$G87-$E87+1,0))</f>
        <v/>
      </c>
    </row>
    <row r="88">
      <c r="A88" s="8">
        <f>IF($E88="","","SS-"&amp;TEXT(ROW()-4,"0000"))</f>
        <v/>
      </c>
      <c r="B88" s="9" t="n"/>
      <c r="C88" s="9" t="n"/>
      <c r="D88" s="9" t="n"/>
      <c r="E88" s="10" t="n"/>
      <c r="F88" s="11" t="n"/>
      <c r="G88" s="10" t="n"/>
      <c r="H88" s="11" t="n"/>
      <c r="I88" s="8">
        <f>IF(OR($E88="",$G88=""),"",$G88-$E88+1)</f>
        <v/>
      </c>
      <c r="J88" s="8">
        <f>IF(OR($E88="",$G88=""),"",$G88-$E88)</f>
        <v/>
      </c>
      <c r="K88" s="9" t="n"/>
      <c r="L88" s="9" t="n"/>
      <c r="M88" s="9" t="n"/>
      <c r="N88" s="9" t="n"/>
      <c r="O88" s="9" t="n"/>
      <c r="P88" s="9" t="n"/>
      <c r="Q88" s="10" t="n"/>
      <c r="R88" s="9" t="n"/>
      <c r="S88" s="8">
        <f>IF($D88="","",IF(COUNTIF('M_部屋'!$A$4:$A$20,$D88)=0,"⚠部屋が未登録",IF(OR($E88="",$G88="",$K88="キャンセル"),"",IF(SUMPRODUCT(($D$5:$D$204=$D88)*($E$5:$E$204&lt;&gt;"")*($G$5:$G$204&lt;&gt;"")*($K$5:$K$204&lt;&gt;"キャンセル")*($E$5:$E$204&lt;$G88)*($G$5:$G$204&gt;$E88))&gt;1,"⚠重複",""))))</f>
        <v/>
      </c>
      <c r="T88" s="8">
        <f>IF(OR($B88="",$E88=""),"",IF(SUMPRODUCT(('M_利用者'!$A$4:$A$60=$B88)*('M_利用者'!$B$4:$B$60&lt;&gt;""))=0,"",IF(SUMIFS($U$5:$U$204,$B$5:$B$204,$B88,$E$5:$E$204,"&gt;="&amp;DATE(YEAR($E88),MONTH($E88),1),$E$5:$E$204,"&lt;="&amp;EOMONTH($E88,0))&gt;SUMIFS('M_利用者'!$B$4:$B$60,'M_利用者'!$A$4:$A$60,$B88),"⚠支給量超過","")))</f>
        <v/>
      </c>
      <c r="U88" s="8">
        <f>IF(OR($E88="",$G88="",$K88="キャンセル"),0,IF(IFERROR(INDEX('M_区分'!$B$4:$B$20,MATCH($C88,'M_区分'!$A$4:$A$20,0)),"○")="○",$G88-$E88+1,0))</f>
        <v/>
      </c>
    </row>
    <row r="89">
      <c r="A89" s="8">
        <f>IF($E89="","","SS-"&amp;TEXT(ROW()-4,"0000"))</f>
        <v/>
      </c>
      <c r="B89" s="9" t="n"/>
      <c r="C89" s="9" t="n"/>
      <c r="D89" s="9" t="n"/>
      <c r="E89" s="10" t="n"/>
      <c r="F89" s="11" t="n"/>
      <c r="G89" s="10" t="n"/>
      <c r="H89" s="11" t="n"/>
      <c r="I89" s="8">
        <f>IF(OR($E89="",$G89=""),"",$G89-$E89+1)</f>
        <v/>
      </c>
      <c r="J89" s="8">
        <f>IF(OR($E89="",$G89=""),"",$G89-$E89)</f>
        <v/>
      </c>
      <c r="K89" s="9" t="n"/>
      <c r="L89" s="9" t="n"/>
      <c r="M89" s="9" t="n"/>
      <c r="N89" s="9" t="n"/>
      <c r="O89" s="9" t="n"/>
      <c r="P89" s="9" t="n"/>
      <c r="Q89" s="10" t="n"/>
      <c r="R89" s="9" t="n"/>
      <c r="S89" s="8">
        <f>IF($D89="","",IF(COUNTIF('M_部屋'!$A$4:$A$20,$D89)=0,"⚠部屋が未登録",IF(OR($E89="",$G89="",$K89="キャンセル"),"",IF(SUMPRODUCT(($D$5:$D$204=$D89)*($E$5:$E$204&lt;&gt;"")*($G$5:$G$204&lt;&gt;"")*($K$5:$K$204&lt;&gt;"キャンセル")*($E$5:$E$204&lt;$G89)*($G$5:$G$204&gt;$E89))&gt;1,"⚠重複",""))))</f>
        <v/>
      </c>
      <c r="T89" s="8">
        <f>IF(OR($B89="",$E89=""),"",IF(SUMPRODUCT(('M_利用者'!$A$4:$A$60=$B89)*('M_利用者'!$B$4:$B$60&lt;&gt;""))=0,"",IF(SUMIFS($U$5:$U$204,$B$5:$B$204,$B89,$E$5:$E$204,"&gt;="&amp;DATE(YEAR($E89),MONTH($E89),1),$E$5:$E$204,"&lt;="&amp;EOMONTH($E89,0))&gt;SUMIFS('M_利用者'!$B$4:$B$60,'M_利用者'!$A$4:$A$60,$B89),"⚠支給量超過","")))</f>
        <v/>
      </c>
      <c r="U89" s="8">
        <f>IF(OR($E89="",$G89="",$K89="キャンセル"),0,IF(IFERROR(INDEX('M_区分'!$B$4:$B$20,MATCH($C89,'M_区分'!$A$4:$A$20,0)),"○")="○",$G89-$E89+1,0))</f>
        <v/>
      </c>
    </row>
    <row r="90">
      <c r="A90" s="8">
        <f>IF($E90="","","SS-"&amp;TEXT(ROW()-4,"0000"))</f>
        <v/>
      </c>
      <c r="B90" s="9" t="n"/>
      <c r="C90" s="9" t="n"/>
      <c r="D90" s="9" t="n"/>
      <c r="E90" s="10" t="n"/>
      <c r="F90" s="11" t="n"/>
      <c r="G90" s="10" t="n"/>
      <c r="H90" s="11" t="n"/>
      <c r="I90" s="8">
        <f>IF(OR($E90="",$G90=""),"",$G90-$E90+1)</f>
        <v/>
      </c>
      <c r="J90" s="8">
        <f>IF(OR($E90="",$G90=""),"",$G90-$E90)</f>
        <v/>
      </c>
      <c r="K90" s="9" t="n"/>
      <c r="L90" s="9" t="n"/>
      <c r="M90" s="9" t="n"/>
      <c r="N90" s="9" t="n"/>
      <c r="O90" s="9" t="n"/>
      <c r="P90" s="9" t="n"/>
      <c r="Q90" s="10" t="n"/>
      <c r="R90" s="9" t="n"/>
      <c r="S90" s="8">
        <f>IF($D90="","",IF(COUNTIF('M_部屋'!$A$4:$A$20,$D90)=0,"⚠部屋が未登録",IF(OR($E90="",$G90="",$K90="キャンセル"),"",IF(SUMPRODUCT(($D$5:$D$204=$D90)*($E$5:$E$204&lt;&gt;"")*($G$5:$G$204&lt;&gt;"")*($K$5:$K$204&lt;&gt;"キャンセル")*($E$5:$E$204&lt;$G90)*($G$5:$G$204&gt;$E90))&gt;1,"⚠重複",""))))</f>
        <v/>
      </c>
      <c r="T90" s="8">
        <f>IF(OR($B90="",$E90=""),"",IF(SUMPRODUCT(('M_利用者'!$A$4:$A$60=$B90)*('M_利用者'!$B$4:$B$60&lt;&gt;""))=0,"",IF(SUMIFS($U$5:$U$204,$B$5:$B$204,$B90,$E$5:$E$204,"&gt;="&amp;DATE(YEAR($E90),MONTH($E90),1),$E$5:$E$204,"&lt;="&amp;EOMONTH($E90,0))&gt;SUMIFS('M_利用者'!$B$4:$B$60,'M_利用者'!$A$4:$A$60,$B90),"⚠支給量超過","")))</f>
        <v/>
      </c>
      <c r="U90" s="8">
        <f>IF(OR($E90="",$G90="",$K90="キャンセル"),0,IF(IFERROR(INDEX('M_区分'!$B$4:$B$20,MATCH($C90,'M_区分'!$A$4:$A$20,0)),"○")="○",$G90-$E90+1,0))</f>
        <v/>
      </c>
    </row>
    <row r="91">
      <c r="A91" s="8">
        <f>IF($E91="","","SS-"&amp;TEXT(ROW()-4,"0000"))</f>
        <v/>
      </c>
      <c r="B91" s="9" t="n"/>
      <c r="C91" s="9" t="n"/>
      <c r="D91" s="9" t="n"/>
      <c r="E91" s="10" t="n"/>
      <c r="F91" s="11" t="n"/>
      <c r="G91" s="10" t="n"/>
      <c r="H91" s="11" t="n"/>
      <c r="I91" s="8">
        <f>IF(OR($E91="",$G91=""),"",$G91-$E91+1)</f>
        <v/>
      </c>
      <c r="J91" s="8">
        <f>IF(OR($E91="",$G91=""),"",$G91-$E91)</f>
        <v/>
      </c>
      <c r="K91" s="9" t="n"/>
      <c r="L91" s="9" t="n"/>
      <c r="M91" s="9" t="n"/>
      <c r="N91" s="9" t="n"/>
      <c r="O91" s="9" t="n"/>
      <c r="P91" s="9" t="n"/>
      <c r="Q91" s="10" t="n"/>
      <c r="R91" s="9" t="n"/>
      <c r="S91" s="8">
        <f>IF($D91="","",IF(COUNTIF('M_部屋'!$A$4:$A$20,$D91)=0,"⚠部屋が未登録",IF(OR($E91="",$G91="",$K91="キャンセル"),"",IF(SUMPRODUCT(($D$5:$D$204=$D91)*($E$5:$E$204&lt;&gt;"")*($G$5:$G$204&lt;&gt;"")*($K$5:$K$204&lt;&gt;"キャンセル")*($E$5:$E$204&lt;$G91)*($G$5:$G$204&gt;$E91))&gt;1,"⚠重複",""))))</f>
        <v/>
      </c>
      <c r="T91" s="8">
        <f>IF(OR($B91="",$E91=""),"",IF(SUMPRODUCT(('M_利用者'!$A$4:$A$60=$B91)*('M_利用者'!$B$4:$B$60&lt;&gt;""))=0,"",IF(SUMIFS($U$5:$U$204,$B$5:$B$204,$B91,$E$5:$E$204,"&gt;="&amp;DATE(YEAR($E91),MONTH($E91),1),$E$5:$E$204,"&lt;="&amp;EOMONTH($E91,0))&gt;SUMIFS('M_利用者'!$B$4:$B$60,'M_利用者'!$A$4:$A$60,$B91),"⚠支給量超過","")))</f>
        <v/>
      </c>
      <c r="U91" s="8">
        <f>IF(OR($E91="",$G91="",$K91="キャンセル"),0,IF(IFERROR(INDEX('M_区分'!$B$4:$B$20,MATCH($C91,'M_区分'!$A$4:$A$20,0)),"○")="○",$G91-$E91+1,0))</f>
        <v/>
      </c>
    </row>
    <row r="92">
      <c r="A92" s="8">
        <f>IF($E92="","","SS-"&amp;TEXT(ROW()-4,"0000"))</f>
        <v/>
      </c>
      <c r="B92" s="9" t="n"/>
      <c r="C92" s="9" t="n"/>
      <c r="D92" s="9" t="n"/>
      <c r="E92" s="10" t="n"/>
      <c r="F92" s="11" t="n"/>
      <c r="G92" s="10" t="n"/>
      <c r="H92" s="11" t="n"/>
      <c r="I92" s="8">
        <f>IF(OR($E92="",$G92=""),"",$G92-$E92+1)</f>
        <v/>
      </c>
      <c r="J92" s="8">
        <f>IF(OR($E92="",$G92=""),"",$G92-$E92)</f>
        <v/>
      </c>
      <c r="K92" s="9" t="n"/>
      <c r="L92" s="9" t="n"/>
      <c r="M92" s="9" t="n"/>
      <c r="N92" s="9" t="n"/>
      <c r="O92" s="9" t="n"/>
      <c r="P92" s="9" t="n"/>
      <c r="Q92" s="10" t="n"/>
      <c r="R92" s="9" t="n"/>
      <c r="S92" s="8">
        <f>IF($D92="","",IF(COUNTIF('M_部屋'!$A$4:$A$20,$D92)=0,"⚠部屋が未登録",IF(OR($E92="",$G92="",$K92="キャンセル"),"",IF(SUMPRODUCT(($D$5:$D$204=$D92)*($E$5:$E$204&lt;&gt;"")*($G$5:$G$204&lt;&gt;"")*($K$5:$K$204&lt;&gt;"キャンセル")*($E$5:$E$204&lt;$G92)*($G$5:$G$204&gt;$E92))&gt;1,"⚠重複",""))))</f>
        <v/>
      </c>
      <c r="T92" s="8">
        <f>IF(OR($B92="",$E92=""),"",IF(SUMPRODUCT(('M_利用者'!$A$4:$A$60=$B92)*('M_利用者'!$B$4:$B$60&lt;&gt;""))=0,"",IF(SUMIFS($U$5:$U$204,$B$5:$B$204,$B92,$E$5:$E$204,"&gt;="&amp;DATE(YEAR($E92),MONTH($E92),1),$E$5:$E$204,"&lt;="&amp;EOMONTH($E92,0))&gt;SUMIFS('M_利用者'!$B$4:$B$60,'M_利用者'!$A$4:$A$60,$B92),"⚠支給量超過","")))</f>
        <v/>
      </c>
      <c r="U92" s="8">
        <f>IF(OR($E92="",$G92="",$K92="キャンセル"),0,IF(IFERROR(INDEX('M_区分'!$B$4:$B$20,MATCH($C92,'M_区分'!$A$4:$A$20,0)),"○")="○",$G92-$E92+1,0))</f>
        <v/>
      </c>
    </row>
    <row r="93">
      <c r="A93" s="8">
        <f>IF($E93="","","SS-"&amp;TEXT(ROW()-4,"0000"))</f>
        <v/>
      </c>
      <c r="B93" s="9" t="n"/>
      <c r="C93" s="9" t="n"/>
      <c r="D93" s="9" t="n"/>
      <c r="E93" s="10" t="n"/>
      <c r="F93" s="11" t="n"/>
      <c r="G93" s="10" t="n"/>
      <c r="H93" s="11" t="n"/>
      <c r="I93" s="8">
        <f>IF(OR($E93="",$G93=""),"",$G93-$E93+1)</f>
        <v/>
      </c>
      <c r="J93" s="8">
        <f>IF(OR($E93="",$G93=""),"",$G93-$E93)</f>
        <v/>
      </c>
      <c r="K93" s="9" t="n"/>
      <c r="L93" s="9" t="n"/>
      <c r="M93" s="9" t="n"/>
      <c r="N93" s="9" t="n"/>
      <c r="O93" s="9" t="n"/>
      <c r="P93" s="9" t="n"/>
      <c r="Q93" s="10" t="n"/>
      <c r="R93" s="9" t="n"/>
      <c r="S93" s="8">
        <f>IF($D93="","",IF(COUNTIF('M_部屋'!$A$4:$A$20,$D93)=0,"⚠部屋が未登録",IF(OR($E93="",$G93="",$K93="キャンセル"),"",IF(SUMPRODUCT(($D$5:$D$204=$D93)*($E$5:$E$204&lt;&gt;"")*($G$5:$G$204&lt;&gt;"")*($K$5:$K$204&lt;&gt;"キャンセル")*($E$5:$E$204&lt;$G93)*($G$5:$G$204&gt;$E93))&gt;1,"⚠重複",""))))</f>
        <v/>
      </c>
      <c r="T93" s="8">
        <f>IF(OR($B93="",$E93=""),"",IF(SUMPRODUCT(('M_利用者'!$A$4:$A$60=$B93)*('M_利用者'!$B$4:$B$60&lt;&gt;""))=0,"",IF(SUMIFS($U$5:$U$204,$B$5:$B$204,$B93,$E$5:$E$204,"&gt;="&amp;DATE(YEAR($E93),MONTH($E93),1),$E$5:$E$204,"&lt;="&amp;EOMONTH($E93,0))&gt;SUMIFS('M_利用者'!$B$4:$B$60,'M_利用者'!$A$4:$A$60,$B93),"⚠支給量超過","")))</f>
        <v/>
      </c>
      <c r="U93" s="8">
        <f>IF(OR($E93="",$G93="",$K93="キャンセル"),0,IF(IFERROR(INDEX('M_区分'!$B$4:$B$20,MATCH($C93,'M_区分'!$A$4:$A$20,0)),"○")="○",$G93-$E93+1,0))</f>
        <v/>
      </c>
    </row>
    <row r="94">
      <c r="A94" s="8">
        <f>IF($E94="","","SS-"&amp;TEXT(ROW()-4,"0000"))</f>
        <v/>
      </c>
      <c r="B94" s="9" t="n"/>
      <c r="C94" s="9" t="n"/>
      <c r="D94" s="9" t="n"/>
      <c r="E94" s="10" t="n"/>
      <c r="F94" s="11" t="n"/>
      <c r="G94" s="10" t="n"/>
      <c r="H94" s="11" t="n"/>
      <c r="I94" s="8">
        <f>IF(OR($E94="",$G94=""),"",$G94-$E94+1)</f>
        <v/>
      </c>
      <c r="J94" s="8">
        <f>IF(OR($E94="",$G94=""),"",$G94-$E94)</f>
        <v/>
      </c>
      <c r="K94" s="9" t="n"/>
      <c r="L94" s="9" t="n"/>
      <c r="M94" s="9" t="n"/>
      <c r="N94" s="9" t="n"/>
      <c r="O94" s="9" t="n"/>
      <c r="P94" s="9" t="n"/>
      <c r="Q94" s="10" t="n"/>
      <c r="R94" s="9" t="n"/>
      <c r="S94" s="8">
        <f>IF($D94="","",IF(COUNTIF('M_部屋'!$A$4:$A$20,$D94)=0,"⚠部屋が未登録",IF(OR($E94="",$G94="",$K94="キャンセル"),"",IF(SUMPRODUCT(($D$5:$D$204=$D94)*($E$5:$E$204&lt;&gt;"")*($G$5:$G$204&lt;&gt;"")*($K$5:$K$204&lt;&gt;"キャンセル")*($E$5:$E$204&lt;$G94)*($G$5:$G$204&gt;$E94))&gt;1,"⚠重複",""))))</f>
        <v/>
      </c>
      <c r="T94" s="8">
        <f>IF(OR($B94="",$E94=""),"",IF(SUMPRODUCT(('M_利用者'!$A$4:$A$60=$B94)*('M_利用者'!$B$4:$B$60&lt;&gt;""))=0,"",IF(SUMIFS($U$5:$U$204,$B$5:$B$204,$B94,$E$5:$E$204,"&gt;="&amp;DATE(YEAR($E94),MONTH($E94),1),$E$5:$E$204,"&lt;="&amp;EOMONTH($E94,0))&gt;SUMIFS('M_利用者'!$B$4:$B$60,'M_利用者'!$A$4:$A$60,$B94),"⚠支給量超過","")))</f>
        <v/>
      </c>
      <c r="U94" s="8">
        <f>IF(OR($E94="",$G94="",$K94="キャンセル"),0,IF(IFERROR(INDEX('M_区分'!$B$4:$B$20,MATCH($C94,'M_区分'!$A$4:$A$20,0)),"○")="○",$G94-$E94+1,0))</f>
        <v/>
      </c>
    </row>
    <row r="95">
      <c r="A95" s="8">
        <f>IF($E95="","","SS-"&amp;TEXT(ROW()-4,"0000"))</f>
        <v/>
      </c>
      <c r="B95" s="9" t="n"/>
      <c r="C95" s="9" t="n"/>
      <c r="D95" s="9" t="n"/>
      <c r="E95" s="10" t="n"/>
      <c r="F95" s="11" t="n"/>
      <c r="G95" s="10" t="n"/>
      <c r="H95" s="11" t="n"/>
      <c r="I95" s="8">
        <f>IF(OR($E95="",$G95=""),"",$G95-$E95+1)</f>
        <v/>
      </c>
      <c r="J95" s="8">
        <f>IF(OR($E95="",$G95=""),"",$G95-$E95)</f>
        <v/>
      </c>
      <c r="K95" s="9" t="n"/>
      <c r="L95" s="9" t="n"/>
      <c r="M95" s="9" t="n"/>
      <c r="N95" s="9" t="n"/>
      <c r="O95" s="9" t="n"/>
      <c r="P95" s="9" t="n"/>
      <c r="Q95" s="10" t="n"/>
      <c r="R95" s="9" t="n"/>
      <c r="S95" s="8">
        <f>IF($D95="","",IF(COUNTIF('M_部屋'!$A$4:$A$20,$D95)=0,"⚠部屋が未登録",IF(OR($E95="",$G95="",$K95="キャンセル"),"",IF(SUMPRODUCT(($D$5:$D$204=$D95)*($E$5:$E$204&lt;&gt;"")*($G$5:$G$204&lt;&gt;"")*($K$5:$K$204&lt;&gt;"キャンセル")*($E$5:$E$204&lt;$G95)*($G$5:$G$204&gt;$E95))&gt;1,"⚠重複",""))))</f>
        <v/>
      </c>
      <c r="T95" s="8">
        <f>IF(OR($B95="",$E95=""),"",IF(SUMPRODUCT(('M_利用者'!$A$4:$A$60=$B95)*('M_利用者'!$B$4:$B$60&lt;&gt;""))=0,"",IF(SUMIFS($U$5:$U$204,$B$5:$B$204,$B95,$E$5:$E$204,"&gt;="&amp;DATE(YEAR($E95),MONTH($E95),1),$E$5:$E$204,"&lt;="&amp;EOMONTH($E95,0))&gt;SUMIFS('M_利用者'!$B$4:$B$60,'M_利用者'!$A$4:$A$60,$B95),"⚠支給量超過","")))</f>
        <v/>
      </c>
      <c r="U95" s="8">
        <f>IF(OR($E95="",$G95="",$K95="キャンセル"),0,IF(IFERROR(INDEX('M_区分'!$B$4:$B$20,MATCH($C95,'M_区分'!$A$4:$A$20,0)),"○")="○",$G95-$E95+1,0))</f>
        <v/>
      </c>
    </row>
    <row r="96">
      <c r="A96" s="8">
        <f>IF($E96="","","SS-"&amp;TEXT(ROW()-4,"0000"))</f>
        <v/>
      </c>
      <c r="B96" s="9" t="n"/>
      <c r="C96" s="9" t="n"/>
      <c r="D96" s="9" t="n"/>
      <c r="E96" s="10" t="n"/>
      <c r="F96" s="11" t="n"/>
      <c r="G96" s="10" t="n"/>
      <c r="H96" s="11" t="n"/>
      <c r="I96" s="8">
        <f>IF(OR($E96="",$G96=""),"",$G96-$E96+1)</f>
        <v/>
      </c>
      <c r="J96" s="8">
        <f>IF(OR($E96="",$G96=""),"",$G96-$E96)</f>
        <v/>
      </c>
      <c r="K96" s="9" t="n"/>
      <c r="L96" s="9" t="n"/>
      <c r="M96" s="9" t="n"/>
      <c r="N96" s="9" t="n"/>
      <c r="O96" s="9" t="n"/>
      <c r="P96" s="9" t="n"/>
      <c r="Q96" s="10" t="n"/>
      <c r="R96" s="9" t="n"/>
      <c r="S96" s="8">
        <f>IF($D96="","",IF(COUNTIF('M_部屋'!$A$4:$A$20,$D96)=0,"⚠部屋が未登録",IF(OR($E96="",$G96="",$K96="キャンセル"),"",IF(SUMPRODUCT(($D$5:$D$204=$D96)*($E$5:$E$204&lt;&gt;"")*($G$5:$G$204&lt;&gt;"")*($K$5:$K$204&lt;&gt;"キャンセル")*($E$5:$E$204&lt;$G96)*($G$5:$G$204&gt;$E96))&gt;1,"⚠重複",""))))</f>
        <v/>
      </c>
      <c r="T96" s="8">
        <f>IF(OR($B96="",$E96=""),"",IF(SUMPRODUCT(('M_利用者'!$A$4:$A$60=$B96)*('M_利用者'!$B$4:$B$60&lt;&gt;""))=0,"",IF(SUMIFS($U$5:$U$204,$B$5:$B$204,$B96,$E$5:$E$204,"&gt;="&amp;DATE(YEAR($E96),MONTH($E96),1),$E$5:$E$204,"&lt;="&amp;EOMONTH($E96,0))&gt;SUMIFS('M_利用者'!$B$4:$B$60,'M_利用者'!$A$4:$A$60,$B96),"⚠支給量超過","")))</f>
        <v/>
      </c>
      <c r="U96" s="8">
        <f>IF(OR($E96="",$G96="",$K96="キャンセル"),0,IF(IFERROR(INDEX('M_区分'!$B$4:$B$20,MATCH($C96,'M_区分'!$A$4:$A$20,0)),"○")="○",$G96-$E96+1,0))</f>
        <v/>
      </c>
    </row>
    <row r="97">
      <c r="A97" s="8">
        <f>IF($E97="","","SS-"&amp;TEXT(ROW()-4,"0000"))</f>
        <v/>
      </c>
      <c r="B97" s="9" t="n"/>
      <c r="C97" s="9" t="n"/>
      <c r="D97" s="9" t="n"/>
      <c r="E97" s="10" t="n"/>
      <c r="F97" s="11" t="n"/>
      <c r="G97" s="10" t="n"/>
      <c r="H97" s="11" t="n"/>
      <c r="I97" s="8">
        <f>IF(OR($E97="",$G97=""),"",$G97-$E97+1)</f>
        <v/>
      </c>
      <c r="J97" s="8">
        <f>IF(OR($E97="",$G97=""),"",$G97-$E97)</f>
        <v/>
      </c>
      <c r="K97" s="9" t="n"/>
      <c r="L97" s="9" t="n"/>
      <c r="M97" s="9" t="n"/>
      <c r="N97" s="9" t="n"/>
      <c r="O97" s="9" t="n"/>
      <c r="P97" s="9" t="n"/>
      <c r="Q97" s="10" t="n"/>
      <c r="R97" s="9" t="n"/>
      <c r="S97" s="8">
        <f>IF($D97="","",IF(COUNTIF('M_部屋'!$A$4:$A$20,$D97)=0,"⚠部屋が未登録",IF(OR($E97="",$G97="",$K97="キャンセル"),"",IF(SUMPRODUCT(($D$5:$D$204=$D97)*($E$5:$E$204&lt;&gt;"")*($G$5:$G$204&lt;&gt;"")*($K$5:$K$204&lt;&gt;"キャンセル")*($E$5:$E$204&lt;$G97)*($G$5:$G$204&gt;$E97))&gt;1,"⚠重複",""))))</f>
        <v/>
      </c>
      <c r="T97" s="8">
        <f>IF(OR($B97="",$E97=""),"",IF(SUMPRODUCT(('M_利用者'!$A$4:$A$60=$B97)*('M_利用者'!$B$4:$B$60&lt;&gt;""))=0,"",IF(SUMIFS($U$5:$U$204,$B$5:$B$204,$B97,$E$5:$E$204,"&gt;="&amp;DATE(YEAR($E97),MONTH($E97),1),$E$5:$E$204,"&lt;="&amp;EOMONTH($E97,0))&gt;SUMIFS('M_利用者'!$B$4:$B$60,'M_利用者'!$A$4:$A$60,$B97),"⚠支給量超過","")))</f>
        <v/>
      </c>
      <c r="U97" s="8">
        <f>IF(OR($E97="",$G97="",$K97="キャンセル"),0,IF(IFERROR(INDEX('M_区分'!$B$4:$B$20,MATCH($C97,'M_区分'!$A$4:$A$20,0)),"○")="○",$G97-$E97+1,0))</f>
        <v/>
      </c>
    </row>
    <row r="98">
      <c r="A98" s="8">
        <f>IF($E98="","","SS-"&amp;TEXT(ROW()-4,"0000"))</f>
        <v/>
      </c>
      <c r="B98" s="9" t="n"/>
      <c r="C98" s="9" t="n"/>
      <c r="D98" s="9" t="n"/>
      <c r="E98" s="10" t="n"/>
      <c r="F98" s="11" t="n"/>
      <c r="G98" s="10" t="n"/>
      <c r="H98" s="11" t="n"/>
      <c r="I98" s="8">
        <f>IF(OR($E98="",$G98=""),"",$G98-$E98+1)</f>
        <v/>
      </c>
      <c r="J98" s="8">
        <f>IF(OR($E98="",$G98=""),"",$G98-$E98)</f>
        <v/>
      </c>
      <c r="K98" s="9" t="n"/>
      <c r="L98" s="9" t="n"/>
      <c r="M98" s="9" t="n"/>
      <c r="N98" s="9" t="n"/>
      <c r="O98" s="9" t="n"/>
      <c r="P98" s="9" t="n"/>
      <c r="Q98" s="10" t="n"/>
      <c r="R98" s="9" t="n"/>
      <c r="S98" s="8">
        <f>IF($D98="","",IF(COUNTIF('M_部屋'!$A$4:$A$20,$D98)=0,"⚠部屋が未登録",IF(OR($E98="",$G98="",$K98="キャンセル"),"",IF(SUMPRODUCT(($D$5:$D$204=$D98)*($E$5:$E$204&lt;&gt;"")*($G$5:$G$204&lt;&gt;"")*($K$5:$K$204&lt;&gt;"キャンセル")*($E$5:$E$204&lt;$G98)*($G$5:$G$204&gt;$E98))&gt;1,"⚠重複",""))))</f>
        <v/>
      </c>
      <c r="T98" s="8">
        <f>IF(OR($B98="",$E98=""),"",IF(SUMPRODUCT(('M_利用者'!$A$4:$A$60=$B98)*('M_利用者'!$B$4:$B$60&lt;&gt;""))=0,"",IF(SUMIFS($U$5:$U$204,$B$5:$B$204,$B98,$E$5:$E$204,"&gt;="&amp;DATE(YEAR($E98),MONTH($E98),1),$E$5:$E$204,"&lt;="&amp;EOMONTH($E98,0))&gt;SUMIFS('M_利用者'!$B$4:$B$60,'M_利用者'!$A$4:$A$60,$B98),"⚠支給量超過","")))</f>
        <v/>
      </c>
      <c r="U98" s="8">
        <f>IF(OR($E98="",$G98="",$K98="キャンセル"),0,IF(IFERROR(INDEX('M_区分'!$B$4:$B$20,MATCH($C98,'M_区分'!$A$4:$A$20,0)),"○")="○",$G98-$E98+1,0))</f>
        <v/>
      </c>
    </row>
    <row r="99">
      <c r="A99" s="8">
        <f>IF($E99="","","SS-"&amp;TEXT(ROW()-4,"0000"))</f>
        <v/>
      </c>
      <c r="B99" s="9" t="n"/>
      <c r="C99" s="9" t="n"/>
      <c r="D99" s="9" t="n"/>
      <c r="E99" s="10" t="n"/>
      <c r="F99" s="11" t="n"/>
      <c r="G99" s="10" t="n"/>
      <c r="H99" s="11" t="n"/>
      <c r="I99" s="8">
        <f>IF(OR($E99="",$G99=""),"",$G99-$E99+1)</f>
        <v/>
      </c>
      <c r="J99" s="8">
        <f>IF(OR($E99="",$G99=""),"",$G99-$E99)</f>
        <v/>
      </c>
      <c r="K99" s="9" t="n"/>
      <c r="L99" s="9" t="n"/>
      <c r="M99" s="9" t="n"/>
      <c r="N99" s="9" t="n"/>
      <c r="O99" s="9" t="n"/>
      <c r="P99" s="9" t="n"/>
      <c r="Q99" s="10" t="n"/>
      <c r="R99" s="9" t="n"/>
      <c r="S99" s="8">
        <f>IF($D99="","",IF(COUNTIF('M_部屋'!$A$4:$A$20,$D99)=0,"⚠部屋が未登録",IF(OR($E99="",$G99="",$K99="キャンセル"),"",IF(SUMPRODUCT(($D$5:$D$204=$D99)*($E$5:$E$204&lt;&gt;"")*($G$5:$G$204&lt;&gt;"")*($K$5:$K$204&lt;&gt;"キャンセル")*($E$5:$E$204&lt;$G99)*($G$5:$G$204&gt;$E99))&gt;1,"⚠重複",""))))</f>
        <v/>
      </c>
      <c r="T99" s="8">
        <f>IF(OR($B99="",$E99=""),"",IF(SUMPRODUCT(('M_利用者'!$A$4:$A$60=$B99)*('M_利用者'!$B$4:$B$60&lt;&gt;""))=0,"",IF(SUMIFS($U$5:$U$204,$B$5:$B$204,$B99,$E$5:$E$204,"&gt;="&amp;DATE(YEAR($E99),MONTH($E99),1),$E$5:$E$204,"&lt;="&amp;EOMONTH($E99,0))&gt;SUMIFS('M_利用者'!$B$4:$B$60,'M_利用者'!$A$4:$A$60,$B99),"⚠支給量超過","")))</f>
        <v/>
      </c>
      <c r="U99" s="8">
        <f>IF(OR($E99="",$G99="",$K99="キャンセル"),0,IF(IFERROR(INDEX('M_区分'!$B$4:$B$20,MATCH($C99,'M_区分'!$A$4:$A$20,0)),"○")="○",$G99-$E99+1,0))</f>
        <v/>
      </c>
    </row>
    <row r="100">
      <c r="A100" s="8">
        <f>IF($E100="","","SS-"&amp;TEXT(ROW()-4,"0000"))</f>
        <v/>
      </c>
      <c r="B100" s="9" t="n"/>
      <c r="C100" s="9" t="n"/>
      <c r="D100" s="9" t="n"/>
      <c r="E100" s="10" t="n"/>
      <c r="F100" s="11" t="n"/>
      <c r="G100" s="10" t="n"/>
      <c r="H100" s="11" t="n"/>
      <c r="I100" s="8">
        <f>IF(OR($E100="",$G100=""),"",$G100-$E100+1)</f>
        <v/>
      </c>
      <c r="J100" s="8">
        <f>IF(OR($E100="",$G100=""),"",$G100-$E100)</f>
        <v/>
      </c>
      <c r="K100" s="9" t="n"/>
      <c r="L100" s="9" t="n"/>
      <c r="M100" s="9" t="n"/>
      <c r="N100" s="9" t="n"/>
      <c r="O100" s="9" t="n"/>
      <c r="P100" s="9" t="n"/>
      <c r="Q100" s="10" t="n"/>
      <c r="R100" s="9" t="n"/>
      <c r="S100" s="8">
        <f>IF($D100="","",IF(COUNTIF('M_部屋'!$A$4:$A$20,$D100)=0,"⚠部屋が未登録",IF(OR($E100="",$G100="",$K100="キャンセル"),"",IF(SUMPRODUCT(($D$5:$D$204=$D100)*($E$5:$E$204&lt;&gt;"")*($G$5:$G$204&lt;&gt;"")*($K$5:$K$204&lt;&gt;"キャンセル")*($E$5:$E$204&lt;$G100)*($G$5:$G$204&gt;$E100))&gt;1,"⚠重複",""))))</f>
        <v/>
      </c>
      <c r="T100" s="8">
        <f>IF(OR($B100="",$E100=""),"",IF(SUMPRODUCT(('M_利用者'!$A$4:$A$60=$B100)*('M_利用者'!$B$4:$B$60&lt;&gt;""))=0,"",IF(SUMIFS($U$5:$U$204,$B$5:$B$204,$B100,$E$5:$E$204,"&gt;="&amp;DATE(YEAR($E100),MONTH($E100),1),$E$5:$E$204,"&lt;="&amp;EOMONTH($E100,0))&gt;SUMIFS('M_利用者'!$B$4:$B$60,'M_利用者'!$A$4:$A$60,$B100),"⚠支給量超過","")))</f>
        <v/>
      </c>
      <c r="U100" s="8">
        <f>IF(OR($E100="",$G100="",$K100="キャンセル"),0,IF(IFERROR(INDEX('M_区分'!$B$4:$B$20,MATCH($C100,'M_区分'!$A$4:$A$20,0)),"○")="○",$G100-$E100+1,0))</f>
        <v/>
      </c>
    </row>
    <row r="101">
      <c r="A101" s="8">
        <f>IF($E101="","","SS-"&amp;TEXT(ROW()-4,"0000"))</f>
        <v/>
      </c>
      <c r="B101" s="9" t="n"/>
      <c r="C101" s="9" t="n"/>
      <c r="D101" s="9" t="n"/>
      <c r="E101" s="10" t="n"/>
      <c r="F101" s="11" t="n"/>
      <c r="G101" s="10" t="n"/>
      <c r="H101" s="11" t="n"/>
      <c r="I101" s="8">
        <f>IF(OR($E101="",$G101=""),"",$G101-$E101+1)</f>
        <v/>
      </c>
      <c r="J101" s="8">
        <f>IF(OR($E101="",$G101=""),"",$G101-$E101)</f>
        <v/>
      </c>
      <c r="K101" s="9" t="n"/>
      <c r="L101" s="9" t="n"/>
      <c r="M101" s="9" t="n"/>
      <c r="N101" s="9" t="n"/>
      <c r="O101" s="9" t="n"/>
      <c r="P101" s="9" t="n"/>
      <c r="Q101" s="10" t="n"/>
      <c r="R101" s="9" t="n"/>
      <c r="S101" s="8">
        <f>IF($D101="","",IF(COUNTIF('M_部屋'!$A$4:$A$20,$D101)=0,"⚠部屋が未登録",IF(OR($E101="",$G101="",$K101="キャンセル"),"",IF(SUMPRODUCT(($D$5:$D$204=$D101)*($E$5:$E$204&lt;&gt;"")*($G$5:$G$204&lt;&gt;"")*($K$5:$K$204&lt;&gt;"キャンセル")*($E$5:$E$204&lt;$G101)*($G$5:$G$204&gt;$E101))&gt;1,"⚠重複",""))))</f>
        <v/>
      </c>
      <c r="T101" s="8">
        <f>IF(OR($B101="",$E101=""),"",IF(SUMPRODUCT(('M_利用者'!$A$4:$A$60=$B101)*('M_利用者'!$B$4:$B$60&lt;&gt;""))=0,"",IF(SUMIFS($U$5:$U$204,$B$5:$B$204,$B101,$E$5:$E$204,"&gt;="&amp;DATE(YEAR($E101),MONTH($E101),1),$E$5:$E$204,"&lt;="&amp;EOMONTH($E101,0))&gt;SUMIFS('M_利用者'!$B$4:$B$60,'M_利用者'!$A$4:$A$60,$B101),"⚠支給量超過","")))</f>
        <v/>
      </c>
      <c r="U101" s="8">
        <f>IF(OR($E101="",$G101="",$K101="キャンセル"),0,IF(IFERROR(INDEX('M_区分'!$B$4:$B$20,MATCH($C101,'M_区分'!$A$4:$A$20,0)),"○")="○",$G101-$E101+1,0))</f>
        <v/>
      </c>
    </row>
    <row r="102">
      <c r="A102" s="8">
        <f>IF($E102="","","SS-"&amp;TEXT(ROW()-4,"0000"))</f>
        <v/>
      </c>
      <c r="B102" s="9" t="n"/>
      <c r="C102" s="9" t="n"/>
      <c r="D102" s="9" t="n"/>
      <c r="E102" s="10" t="n"/>
      <c r="F102" s="11" t="n"/>
      <c r="G102" s="10" t="n"/>
      <c r="H102" s="11" t="n"/>
      <c r="I102" s="8">
        <f>IF(OR($E102="",$G102=""),"",$G102-$E102+1)</f>
        <v/>
      </c>
      <c r="J102" s="8">
        <f>IF(OR($E102="",$G102=""),"",$G102-$E102)</f>
        <v/>
      </c>
      <c r="K102" s="9" t="n"/>
      <c r="L102" s="9" t="n"/>
      <c r="M102" s="9" t="n"/>
      <c r="N102" s="9" t="n"/>
      <c r="O102" s="9" t="n"/>
      <c r="P102" s="9" t="n"/>
      <c r="Q102" s="10" t="n"/>
      <c r="R102" s="9" t="n"/>
      <c r="S102" s="8">
        <f>IF($D102="","",IF(COUNTIF('M_部屋'!$A$4:$A$20,$D102)=0,"⚠部屋が未登録",IF(OR($E102="",$G102="",$K102="キャンセル"),"",IF(SUMPRODUCT(($D$5:$D$204=$D102)*($E$5:$E$204&lt;&gt;"")*($G$5:$G$204&lt;&gt;"")*($K$5:$K$204&lt;&gt;"キャンセル")*($E$5:$E$204&lt;$G102)*($G$5:$G$204&gt;$E102))&gt;1,"⚠重複",""))))</f>
        <v/>
      </c>
      <c r="T102" s="8">
        <f>IF(OR($B102="",$E102=""),"",IF(SUMPRODUCT(('M_利用者'!$A$4:$A$60=$B102)*('M_利用者'!$B$4:$B$60&lt;&gt;""))=0,"",IF(SUMIFS($U$5:$U$204,$B$5:$B$204,$B102,$E$5:$E$204,"&gt;="&amp;DATE(YEAR($E102),MONTH($E102),1),$E$5:$E$204,"&lt;="&amp;EOMONTH($E102,0))&gt;SUMIFS('M_利用者'!$B$4:$B$60,'M_利用者'!$A$4:$A$60,$B102),"⚠支給量超過","")))</f>
        <v/>
      </c>
      <c r="U102" s="8">
        <f>IF(OR($E102="",$G102="",$K102="キャンセル"),0,IF(IFERROR(INDEX('M_区分'!$B$4:$B$20,MATCH($C102,'M_区分'!$A$4:$A$20,0)),"○")="○",$G102-$E102+1,0))</f>
        <v/>
      </c>
    </row>
    <row r="103">
      <c r="A103" s="8">
        <f>IF($E103="","","SS-"&amp;TEXT(ROW()-4,"0000"))</f>
        <v/>
      </c>
      <c r="B103" s="9" t="n"/>
      <c r="C103" s="9" t="n"/>
      <c r="D103" s="9" t="n"/>
      <c r="E103" s="10" t="n"/>
      <c r="F103" s="11" t="n"/>
      <c r="G103" s="10" t="n"/>
      <c r="H103" s="11" t="n"/>
      <c r="I103" s="8">
        <f>IF(OR($E103="",$G103=""),"",$G103-$E103+1)</f>
        <v/>
      </c>
      <c r="J103" s="8">
        <f>IF(OR($E103="",$G103=""),"",$G103-$E103)</f>
        <v/>
      </c>
      <c r="K103" s="9" t="n"/>
      <c r="L103" s="9" t="n"/>
      <c r="M103" s="9" t="n"/>
      <c r="N103" s="9" t="n"/>
      <c r="O103" s="9" t="n"/>
      <c r="P103" s="9" t="n"/>
      <c r="Q103" s="10" t="n"/>
      <c r="R103" s="9" t="n"/>
      <c r="S103" s="8">
        <f>IF($D103="","",IF(COUNTIF('M_部屋'!$A$4:$A$20,$D103)=0,"⚠部屋が未登録",IF(OR($E103="",$G103="",$K103="キャンセル"),"",IF(SUMPRODUCT(($D$5:$D$204=$D103)*($E$5:$E$204&lt;&gt;"")*($G$5:$G$204&lt;&gt;"")*($K$5:$K$204&lt;&gt;"キャンセル")*($E$5:$E$204&lt;$G103)*($G$5:$G$204&gt;$E103))&gt;1,"⚠重複",""))))</f>
        <v/>
      </c>
      <c r="T103" s="8">
        <f>IF(OR($B103="",$E103=""),"",IF(SUMPRODUCT(('M_利用者'!$A$4:$A$60=$B103)*('M_利用者'!$B$4:$B$60&lt;&gt;""))=0,"",IF(SUMIFS($U$5:$U$204,$B$5:$B$204,$B103,$E$5:$E$204,"&gt;="&amp;DATE(YEAR($E103),MONTH($E103),1),$E$5:$E$204,"&lt;="&amp;EOMONTH($E103,0))&gt;SUMIFS('M_利用者'!$B$4:$B$60,'M_利用者'!$A$4:$A$60,$B103),"⚠支給量超過","")))</f>
        <v/>
      </c>
      <c r="U103" s="8">
        <f>IF(OR($E103="",$G103="",$K103="キャンセル"),0,IF(IFERROR(INDEX('M_区分'!$B$4:$B$20,MATCH($C103,'M_区分'!$A$4:$A$20,0)),"○")="○",$G103-$E103+1,0))</f>
        <v/>
      </c>
    </row>
    <row r="104">
      <c r="A104" s="8">
        <f>IF($E104="","","SS-"&amp;TEXT(ROW()-4,"0000"))</f>
        <v/>
      </c>
      <c r="B104" s="9" t="n"/>
      <c r="C104" s="9" t="n"/>
      <c r="D104" s="9" t="n"/>
      <c r="E104" s="10" t="n"/>
      <c r="F104" s="11" t="n"/>
      <c r="G104" s="10" t="n"/>
      <c r="H104" s="11" t="n"/>
      <c r="I104" s="8">
        <f>IF(OR($E104="",$G104=""),"",$G104-$E104+1)</f>
        <v/>
      </c>
      <c r="J104" s="8">
        <f>IF(OR($E104="",$G104=""),"",$G104-$E104)</f>
        <v/>
      </c>
      <c r="K104" s="9" t="n"/>
      <c r="L104" s="9" t="n"/>
      <c r="M104" s="9" t="n"/>
      <c r="N104" s="9" t="n"/>
      <c r="O104" s="9" t="n"/>
      <c r="P104" s="9" t="n"/>
      <c r="Q104" s="10" t="n"/>
      <c r="R104" s="9" t="n"/>
      <c r="S104" s="8">
        <f>IF($D104="","",IF(COUNTIF('M_部屋'!$A$4:$A$20,$D104)=0,"⚠部屋が未登録",IF(OR($E104="",$G104="",$K104="キャンセル"),"",IF(SUMPRODUCT(($D$5:$D$204=$D104)*($E$5:$E$204&lt;&gt;"")*($G$5:$G$204&lt;&gt;"")*($K$5:$K$204&lt;&gt;"キャンセル")*($E$5:$E$204&lt;$G104)*($G$5:$G$204&gt;$E104))&gt;1,"⚠重複",""))))</f>
        <v/>
      </c>
      <c r="T104" s="8">
        <f>IF(OR($B104="",$E104=""),"",IF(SUMPRODUCT(('M_利用者'!$A$4:$A$60=$B104)*('M_利用者'!$B$4:$B$60&lt;&gt;""))=0,"",IF(SUMIFS($U$5:$U$204,$B$5:$B$204,$B104,$E$5:$E$204,"&gt;="&amp;DATE(YEAR($E104),MONTH($E104),1),$E$5:$E$204,"&lt;="&amp;EOMONTH($E104,0))&gt;SUMIFS('M_利用者'!$B$4:$B$60,'M_利用者'!$A$4:$A$60,$B104),"⚠支給量超過","")))</f>
        <v/>
      </c>
      <c r="U104" s="8">
        <f>IF(OR($E104="",$G104="",$K104="キャンセル"),0,IF(IFERROR(INDEX('M_区分'!$B$4:$B$20,MATCH($C104,'M_区分'!$A$4:$A$20,0)),"○")="○",$G104-$E104+1,0))</f>
        <v/>
      </c>
    </row>
    <row r="105">
      <c r="A105" s="8">
        <f>IF($E105="","","SS-"&amp;TEXT(ROW()-4,"0000"))</f>
        <v/>
      </c>
      <c r="B105" s="9" t="n"/>
      <c r="C105" s="9" t="n"/>
      <c r="D105" s="9" t="n"/>
      <c r="E105" s="10" t="n"/>
      <c r="F105" s="11" t="n"/>
      <c r="G105" s="10" t="n"/>
      <c r="H105" s="11" t="n"/>
      <c r="I105" s="8">
        <f>IF(OR($E105="",$G105=""),"",$G105-$E105+1)</f>
        <v/>
      </c>
      <c r="J105" s="8">
        <f>IF(OR($E105="",$G105=""),"",$G105-$E105)</f>
        <v/>
      </c>
      <c r="K105" s="9" t="n"/>
      <c r="L105" s="9" t="n"/>
      <c r="M105" s="9" t="n"/>
      <c r="N105" s="9" t="n"/>
      <c r="O105" s="9" t="n"/>
      <c r="P105" s="9" t="n"/>
      <c r="Q105" s="10" t="n"/>
      <c r="R105" s="9" t="n"/>
      <c r="S105" s="8">
        <f>IF($D105="","",IF(COUNTIF('M_部屋'!$A$4:$A$20,$D105)=0,"⚠部屋が未登録",IF(OR($E105="",$G105="",$K105="キャンセル"),"",IF(SUMPRODUCT(($D$5:$D$204=$D105)*($E$5:$E$204&lt;&gt;"")*($G$5:$G$204&lt;&gt;"")*($K$5:$K$204&lt;&gt;"キャンセル")*($E$5:$E$204&lt;$G105)*($G$5:$G$204&gt;$E105))&gt;1,"⚠重複",""))))</f>
        <v/>
      </c>
      <c r="T105" s="8">
        <f>IF(OR($B105="",$E105=""),"",IF(SUMPRODUCT(('M_利用者'!$A$4:$A$60=$B105)*('M_利用者'!$B$4:$B$60&lt;&gt;""))=0,"",IF(SUMIFS($U$5:$U$204,$B$5:$B$204,$B105,$E$5:$E$204,"&gt;="&amp;DATE(YEAR($E105),MONTH($E105),1),$E$5:$E$204,"&lt;="&amp;EOMONTH($E105,0))&gt;SUMIFS('M_利用者'!$B$4:$B$60,'M_利用者'!$A$4:$A$60,$B105),"⚠支給量超過","")))</f>
        <v/>
      </c>
      <c r="U105" s="8">
        <f>IF(OR($E105="",$G105="",$K105="キャンセル"),0,IF(IFERROR(INDEX('M_区分'!$B$4:$B$20,MATCH($C105,'M_区分'!$A$4:$A$20,0)),"○")="○",$G105-$E105+1,0))</f>
        <v/>
      </c>
    </row>
    <row r="106">
      <c r="A106" s="8">
        <f>IF($E106="","","SS-"&amp;TEXT(ROW()-4,"0000"))</f>
        <v/>
      </c>
      <c r="B106" s="9" t="n"/>
      <c r="C106" s="9" t="n"/>
      <c r="D106" s="9" t="n"/>
      <c r="E106" s="10" t="n"/>
      <c r="F106" s="11" t="n"/>
      <c r="G106" s="10" t="n"/>
      <c r="H106" s="11" t="n"/>
      <c r="I106" s="8">
        <f>IF(OR($E106="",$G106=""),"",$G106-$E106+1)</f>
        <v/>
      </c>
      <c r="J106" s="8">
        <f>IF(OR($E106="",$G106=""),"",$G106-$E106)</f>
        <v/>
      </c>
      <c r="K106" s="9" t="n"/>
      <c r="L106" s="9" t="n"/>
      <c r="M106" s="9" t="n"/>
      <c r="N106" s="9" t="n"/>
      <c r="O106" s="9" t="n"/>
      <c r="P106" s="9" t="n"/>
      <c r="Q106" s="10" t="n"/>
      <c r="R106" s="9" t="n"/>
      <c r="S106" s="8">
        <f>IF($D106="","",IF(COUNTIF('M_部屋'!$A$4:$A$20,$D106)=0,"⚠部屋が未登録",IF(OR($E106="",$G106="",$K106="キャンセル"),"",IF(SUMPRODUCT(($D$5:$D$204=$D106)*($E$5:$E$204&lt;&gt;"")*($G$5:$G$204&lt;&gt;"")*($K$5:$K$204&lt;&gt;"キャンセル")*($E$5:$E$204&lt;$G106)*($G$5:$G$204&gt;$E106))&gt;1,"⚠重複",""))))</f>
        <v/>
      </c>
      <c r="T106" s="8">
        <f>IF(OR($B106="",$E106=""),"",IF(SUMPRODUCT(('M_利用者'!$A$4:$A$60=$B106)*('M_利用者'!$B$4:$B$60&lt;&gt;""))=0,"",IF(SUMIFS($U$5:$U$204,$B$5:$B$204,$B106,$E$5:$E$204,"&gt;="&amp;DATE(YEAR($E106),MONTH($E106),1),$E$5:$E$204,"&lt;="&amp;EOMONTH($E106,0))&gt;SUMIFS('M_利用者'!$B$4:$B$60,'M_利用者'!$A$4:$A$60,$B106),"⚠支給量超過","")))</f>
        <v/>
      </c>
      <c r="U106" s="8">
        <f>IF(OR($E106="",$G106="",$K106="キャンセル"),0,IF(IFERROR(INDEX('M_区分'!$B$4:$B$20,MATCH($C106,'M_区分'!$A$4:$A$20,0)),"○")="○",$G106-$E106+1,0))</f>
        <v/>
      </c>
    </row>
    <row r="107">
      <c r="A107" s="8">
        <f>IF($E107="","","SS-"&amp;TEXT(ROW()-4,"0000"))</f>
        <v/>
      </c>
      <c r="B107" s="9" t="n"/>
      <c r="C107" s="9" t="n"/>
      <c r="D107" s="9" t="n"/>
      <c r="E107" s="10" t="n"/>
      <c r="F107" s="11" t="n"/>
      <c r="G107" s="10" t="n"/>
      <c r="H107" s="11" t="n"/>
      <c r="I107" s="8">
        <f>IF(OR($E107="",$G107=""),"",$G107-$E107+1)</f>
        <v/>
      </c>
      <c r="J107" s="8">
        <f>IF(OR($E107="",$G107=""),"",$G107-$E107)</f>
        <v/>
      </c>
      <c r="K107" s="9" t="n"/>
      <c r="L107" s="9" t="n"/>
      <c r="M107" s="9" t="n"/>
      <c r="N107" s="9" t="n"/>
      <c r="O107" s="9" t="n"/>
      <c r="P107" s="9" t="n"/>
      <c r="Q107" s="10" t="n"/>
      <c r="R107" s="9" t="n"/>
      <c r="S107" s="8">
        <f>IF($D107="","",IF(COUNTIF('M_部屋'!$A$4:$A$20,$D107)=0,"⚠部屋が未登録",IF(OR($E107="",$G107="",$K107="キャンセル"),"",IF(SUMPRODUCT(($D$5:$D$204=$D107)*($E$5:$E$204&lt;&gt;"")*($G$5:$G$204&lt;&gt;"")*($K$5:$K$204&lt;&gt;"キャンセル")*($E$5:$E$204&lt;$G107)*($G$5:$G$204&gt;$E107))&gt;1,"⚠重複",""))))</f>
        <v/>
      </c>
      <c r="T107" s="8">
        <f>IF(OR($B107="",$E107=""),"",IF(SUMPRODUCT(('M_利用者'!$A$4:$A$60=$B107)*('M_利用者'!$B$4:$B$60&lt;&gt;""))=0,"",IF(SUMIFS($U$5:$U$204,$B$5:$B$204,$B107,$E$5:$E$204,"&gt;="&amp;DATE(YEAR($E107),MONTH($E107),1),$E$5:$E$204,"&lt;="&amp;EOMONTH($E107,0))&gt;SUMIFS('M_利用者'!$B$4:$B$60,'M_利用者'!$A$4:$A$60,$B107),"⚠支給量超過","")))</f>
        <v/>
      </c>
      <c r="U107" s="8">
        <f>IF(OR($E107="",$G107="",$K107="キャンセル"),0,IF(IFERROR(INDEX('M_区分'!$B$4:$B$20,MATCH($C107,'M_区分'!$A$4:$A$20,0)),"○")="○",$G107-$E107+1,0))</f>
        <v/>
      </c>
    </row>
    <row r="108">
      <c r="A108" s="8">
        <f>IF($E108="","","SS-"&amp;TEXT(ROW()-4,"0000"))</f>
        <v/>
      </c>
      <c r="B108" s="9" t="n"/>
      <c r="C108" s="9" t="n"/>
      <c r="D108" s="9" t="n"/>
      <c r="E108" s="10" t="n"/>
      <c r="F108" s="11" t="n"/>
      <c r="G108" s="10" t="n"/>
      <c r="H108" s="11" t="n"/>
      <c r="I108" s="8">
        <f>IF(OR($E108="",$G108=""),"",$G108-$E108+1)</f>
        <v/>
      </c>
      <c r="J108" s="8">
        <f>IF(OR($E108="",$G108=""),"",$G108-$E108)</f>
        <v/>
      </c>
      <c r="K108" s="9" t="n"/>
      <c r="L108" s="9" t="n"/>
      <c r="M108" s="9" t="n"/>
      <c r="N108" s="9" t="n"/>
      <c r="O108" s="9" t="n"/>
      <c r="P108" s="9" t="n"/>
      <c r="Q108" s="10" t="n"/>
      <c r="R108" s="9" t="n"/>
      <c r="S108" s="8">
        <f>IF($D108="","",IF(COUNTIF('M_部屋'!$A$4:$A$20,$D108)=0,"⚠部屋が未登録",IF(OR($E108="",$G108="",$K108="キャンセル"),"",IF(SUMPRODUCT(($D$5:$D$204=$D108)*($E$5:$E$204&lt;&gt;"")*($G$5:$G$204&lt;&gt;"")*($K$5:$K$204&lt;&gt;"キャンセル")*($E$5:$E$204&lt;$G108)*($G$5:$G$204&gt;$E108))&gt;1,"⚠重複",""))))</f>
        <v/>
      </c>
      <c r="T108" s="8">
        <f>IF(OR($B108="",$E108=""),"",IF(SUMPRODUCT(('M_利用者'!$A$4:$A$60=$B108)*('M_利用者'!$B$4:$B$60&lt;&gt;""))=0,"",IF(SUMIFS($U$5:$U$204,$B$5:$B$204,$B108,$E$5:$E$204,"&gt;="&amp;DATE(YEAR($E108),MONTH($E108),1),$E$5:$E$204,"&lt;="&amp;EOMONTH($E108,0))&gt;SUMIFS('M_利用者'!$B$4:$B$60,'M_利用者'!$A$4:$A$60,$B108),"⚠支給量超過","")))</f>
        <v/>
      </c>
      <c r="U108" s="8">
        <f>IF(OR($E108="",$G108="",$K108="キャンセル"),0,IF(IFERROR(INDEX('M_区分'!$B$4:$B$20,MATCH($C108,'M_区分'!$A$4:$A$20,0)),"○")="○",$G108-$E108+1,0))</f>
        <v/>
      </c>
    </row>
    <row r="109">
      <c r="A109" s="8">
        <f>IF($E109="","","SS-"&amp;TEXT(ROW()-4,"0000"))</f>
        <v/>
      </c>
      <c r="B109" s="9" t="n"/>
      <c r="C109" s="9" t="n"/>
      <c r="D109" s="9" t="n"/>
      <c r="E109" s="10" t="n"/>
      <c r="F109" s="11" t="n"/>
      <c r="G109" s="10" t="n"/>
      <c r="H109" s="11" t="n"/>
      <c r="I109" s="8">
        <f>IF(OR($E109="",$G109=""),"",$G109-$E109+1)</f>
        <v/>
      </c>
      <c r="J109" s="8">
        <f>IF(OR($E109="",$G109=""),"",$G109-$E109)</f>
        <v/>
      </c>
      <c r="K109" s="9" t="n"/>
      <c r="L109" s="9" t="n"/>
      <c r="M109" s="9" t="n"/>
      <c r="N109" s="9" t="n"/>
      <c r="O109" s="9" t="n"/>
      <c r="P109" s="9" t="n"/>
      <c r="Q109" s="10" t="n"/>
      <c r="R109" s="9" t="n"/>
      <c r="S109" s="8">
        <f>IF($D109="","",IF(COUNTIF('M_部屋'!$A$4:$A$20,$D109)=0,"⚠部屋が未登録",IF(OR($E109="",$G109="",$K109="キャンセル"),"",IF(SUMPRODUCT(($D$5:$D$204=$D109)*($E$5:$E$204&lt;&gt;"")*($G$5:$G$204&lt;&gt;"")*($K$5:$K$204&lt;&gt;"キャンセル")*($E$5:$E$204&lt;$G109)*($G$5:$G$204&gt;$E109))&gt;1,"⚠重複",""))))</f>
        <v/>
      </c>
      <c r="T109" s="8">
        <f>IF(OR($B109="",$E109=""),"",IF(SUMPRODUCT(('M_利用者'!$A$4:$A$60=$B109)*('M_利用者'!$B$4:$B$60&lt;&gt;""))=0,"",IF(SUMIFS($U$5:$U$204,$B$5:$B$204,$B109,$E$5:$E$204,"&gt;="&amp;DATE(YEAR($E109),MONTH($E109),1),$E$5:$E$204,"&lt;="&amp;EOMONTH($E109,0))&gt;SUMIFS('M_利用者'!$B$4:$B$60,'M_利用者'!$A$4:$A$60,$B109),"⚠支給量超過","")))</f>
        <v/>
      </c>
      <c r="U109" s="8">
        <f>IF(OR($E109="",$G109="",$K109="キャンセル"),0,IF(IFERROR(INDEX('M_区分'!$B$4:$B$20,MATCH($C109,'M_区分'!$A$4:$A$20,0)),"○")="○",$G109-$E109+1,0))</f>
        <v/>
      </c>
    </row>
    <row r="110">
      <c r="A110" s="8">
        <f>IF($E110="","","SS-"&amp;TEXT(ROW()-4,"0000"))</f>
        <v/>
      </c>
      <c r="B110" s="9" t="n"/>
      <c r="C110" s="9" t="n"/>
      <c r="D110" s="9" t="n"/>
      <c r="E110" s="10" t="n"/>
      <c r="F110" s="11" t="n"/>
      <c r="G110" s="10" t="n"/>
      <c r="H110" s="11" t="n"/>
      <c r="I110" s="8">
        <f>IF(OR($E110="",$G110=""),"",$G110-$E110+1)</f>
        <v/>
      </c>
      <c r="J110" s="8">
        <f>IF(OR($E110="",$G110=""),"",$G110-$E110)</f>
        <v/>
      </c>
      <c r="K110" s="9" t="n"/>
      <c r="L110" s="9" t="n"/>
      <c r="M110" s="9" t="n"/>
      <c r="N110" s="9" t="n"/>
      <c r="O110" s="9" t="n"/>
      <c r="P110" s="9" t="n"/>
      <c r="Q110" s="10" t="n"/>
      <c r="R110" s="9" t="n"/>
      <c r="S110" s="8">
        <f>IF($D110="","",IF(COUNTIF('M_部屋'!$A$4:$A$20,$D110)=0,"⚠部屋が未登録",IF(OR($E110="",$G110="",$K110="キャンセル"),"",IF(SUMPRODUCT(($D$5:$D$204=$D110)*($E$5:$E$204&lt;&gt;"")*($G$5:$G$204&lt;&gt;"")*($K$5:$K$204&lt;&gt;"キャンセル")*($E$5:$E$204&lt;$G110)*($G$5:$G$204&gt;$E110))&gt;1,"⚠重複",""))))</f>
        <v/>
      </c>
      <c r="T110" s="8">
        <f>IF(OR($B110="",$E110=""),"",IF(SUMPRODUCT(('M_利用者'!$A$4:$A$60=$B110)*('M_利用者'!$B$4:$B$60&lt;&gt;""))=0,"",IF(SUMIFS($U$5:$U$204,$B$5:$B$204,$B110,$E$5:$E$204,"&gt;="&amp;DATE(YEAR($E110),MONTH($E110),1),$E$5:$E$204,"&lt;="&amp;EOMONTH($E110,0))&gt;SUMIFS('M_利用者'!$B$4:$B$60,'M_利用者'!$A$4:$A$60,$B110),"⚠支給量超過","")))</f>
        <v/>
      </c>
      <c r="U110" s="8">
        <f>IF(OR($E110="",$G110="",$K110="キャンセル"),0,IF(IFERROR(INDEX('M_区分'!$B$4:$B$20,MATCH($C110,'M_区分'!$A$4:$A$20,0)),"○")="○",$G110-$E110+1,0))</f>
        <v/>
      </c>
    </row>
    <row r="111">
      <c r="A111" s="8">
        <f>IF($E111="","","SS-"&amp;TEXT(ROW()-4,"0000"))</f>
        <v/>
      </c>
      <c r="B111" s="9" t="n"/>
      <c r="C111" s="9" t="n"/>
      <c r="D111" s="9" t="n"/>
      <c r="E111" s="10" t="n"/>
      <c r="F111" s="11" t="n"/>
      <c r="G111" s="10" t="n"/>
      <c r="H111" s="11" t="n"/>
      <c r="I111" s="8">
        <f>IF(OR($E111="",$G111=""),"",$G111-$E111+1)</f>
        <v/>
      </c>
      <c r="J111" s="8">
        <f>IF(OR($E111="",$G111=""),"",$G111-$E111)</f>
        <v/>
      </c>
      <c r="K111" s="9" t="n"/>
      <c r="L111" s="9" t="n"/>
      <c r="M111" s="9" t="n"/>
      <c r="N111" s="9" t="n"/>
      <c r="O111" s="9" t="n"/>
      <c r="P111" s="9" t="n"/>
      <c r="Q111" s="10" t="n"/>
      <c r="R111" s="9" t="n"/>
      <c r="S111" s="8">
        <f>IF($D111="","",IF(COUNTIF('M_部屋'!$A$4:$A$20,$D111)=0,"⚠部屋が未登録",IF(OR($E111="",$G111="",$K111="キャンセル"),"",IF(SUMPRODUCT(($D$5:$D$204=$D111)*($E$5:$E$204&lt;&gt;"")*($G$5:$G$204&lt;&gt;"")*($K$5:$K$204&lt;&gt;"キャンセル")*($E$5:$E$204&lt;$G111)*($G$5:$G$204&gt;$E111))&gt;1,"⚠重複",""))))</f>
        <v/>
      </c>
      <c r="T111" s="8">
        <f>IF(OR($B111="",$E111=""),"",IF(SUMPRODUCT(('M_利用者'!$A$4:$A$60=$B111)*('M_利用者'!$B$4:$B$60&lt;&gt;""))=0,"",IF(SUMIFS($U$5:$U$204,$B$5:$B$204,$B111,$E$5:$E$204,"&gt;="&amp;DATE(YEAR($E111),MONTH($E111),1),$E$5:$E$204,"&lt;="&amp;EOMONTH($E111,0))&gt;SUMIFS('M_利用者'!$B$4:$B$60,'M_利用者'!$A$4:$A$60,$B111),"⚠支給量超過","")))</f>
        <v/>
      </c>
      <c r="U111" s="8">
        <f>IF(OR($E111="",$G111="",$K111="キャンセル"),0,IF(IFERROR(INDEX('M_区分'!$B$4:$B$20,MATCH($C111,'M_区分'!$A$4:$A$20,0)),"○")="○",$G111-$E111+1,0))</f>
        <v/>
      </c>
    </row>
    <row r="112">
      <c r="A112" s="8">
        <f>IF($E112="","","SS-"&amp;TEXT(ROW()-4,"0000"))</f>
        <v/>
      </c>
      <c r="B112" s="9" t="n"/>
      <c r="C112" s="9" t="n"/>
      <c r="D112" s="9" t="n"/>
      <c r="E112" s="10" t="n"/>
      <c r="F112" s="11" t="n"/>
      <c r="G112" s="10" t="n"/>
      <c r="H112" s="11" t="n"/>
      <c r="I112" s="8">
        <f>IF(OR($E112="",$G112=""),"",$G112-$E112+1)</f>
        <v/>
      </c>
      <c r="J112" s="8">
        <f>IF(OR($E112="",$G112=""),"",$G112-$E112)</f>
        <v/>
      </c>
      <c r="K112" s="9" t="n"/>
      <c r="L112" s="9" t="n"/>
      <c r="M112" s="9" t="n"/>
      <c r="N112" s="9" t="n"/>
      <c r="O112" s="9" t="n"/>
      <c r="P112" s="9" t="n"/>
      <c r="Q112" s="10" t="n"/>
      <c r="R112" s="9" t="n"/>
      <c r="S112" s="8">
        <f>IF($D112="","",IF(COUNTIF('M_部屋'!$A$4:$A$20,$D112)=0,"⚠部屋が未登録",IF(OR($E112="",$G112="",$K112="キャンセル"),"",IF(SUMPRODUCT(($D$5:$D$204=$D112)*($E$5:$E$204&lt;&gt;"")*($G$5:$G$204&lt;&gt;"")*($K$5:$K$204&lt;&gt;"キャンセル")*($E$5:$E$204&lt;$G112)*($G$5:$G$204&gt;$E112))&gt;1,"⚠重複",""))))</f>
        <v/>
      </c>
      <c r="T112" s="8">
        <f>IF(OR($B112="",$E112=""),"",IF(SUMPRODUCT(('M_利用者'!$A$4:$A$60=$B112)*('M_利用者'!$B$4:$B$60&lt;&gt;""))=0,"",IF(SUMIFS($U$5:$U$204,$B$5:$B$204,$B112,$E$5:$E$204,"&gt;="&amp;DATE(YEAR($E112),MONTH($E112),1),$E$5:$E$204,"&lt;="&amp;EOMONTH($E112,0))&gt;SUMIFS('M_利用者'!$B$4:$B$60,'M_利用者'!$A$4:$A$60,$B112),"⚠支給量超過","")))</f>
        <v/>
      </c>
      <c r="U112" s="8">
        <f>IF(OR($E112="",$G112="",$K112="キャンセル"),0,IF(IFERROR(INDEX('M_区分'!$B$4:$B$20,MATCH($C112,'M_区分'!$A$4:$A$20,0)),"○")="○",$G112-$E112+1,0))</f>
        <v/>
      </c>
    </row>
    <row r="113">
      <c r="A113" s="8">
        <f>IF($E113="","","SS-"&amp;TEXT(ROW()-4,"0000"))</f>
        <v/>
      </c>
      <c r="B113" s="9" t="n"/>
      <c r="C113" s="9" t="n"/>
      <c r="D113" s="9" t="n"/>
      <c r="E113" s="10" t="n"/>
      <c r="F113" s="11" t="n"/>
      <c r="G113" s="10" t="n"/>
      <c r="H113" s="11" t="n"/>
      <c r="I113" s="8">
        <f>IF(OR($E113="",$G113=""),"",$G113-$E113+1)</f>
        <v/>
      </c>
      <c r="J113" s="8">
        <f>IF(OR($E113="",$G113=""),"",$G113-$E113)</f>
        <v/>
      </c>
      <c r="K113" s="9" t="n"/>
      <c r="L113" s="9" t="n"/>
      <c r="M113" s="9" t="n"/>
      <c r="N113" s="9" t="n"/>
      <c r="O113" s="9" t="n"/>
      <c r="P113" s="9" t="n"/>
      <c r="Q113" s="10" t="n"/>
      <c r="R113" s="9" t="n"/>
      <c r="S113" s="8">
        <f>IF($D113="","",IF(COUNTIF('M_部屋'!$A$4:$A$20,$D113)=0,"⚠部屋が未登録",IF(OR($E113="",$G113="",$K113="キャンセル"),"",IF(SUMPRODUCT(($D$5:$D$204=$D113)*($E$5:$E$204&lt;&gt;"")*($G$5:$G$204&lt;&gt;"")*($K$5:$K$204&lt;&gt;"キャンセル")*($E$5:$E$204&lt;$G113)*($G$5:$G$204&gt;$E113))&gt;1,"⚠重複",""))))</f>
        <v/>
      </c>
      <c r="T113" s="8">
        <f>IF(OR($B113="",$E113=""),"",IF(SUMPRODUCT(('M_利用者'!$A$4:$A$60=$B113)*('M_利用者'!$B$4:$B$60&lt;&gt;""))=0,"",IF(SUMIFS($U$5:$U$204,$B$5:$B$204,$B113,$E$5:$E$204,"&gt;="&amp;DATE(YEAR($E113),MONTH($E113),1),$E$5:$E$204,"&lt;="&amp;EOMONTH($E113,0))&gt;SUMIFS('M_利用者'!$B$4:$B$60,'M_利用者'!$A$4:$A$60,$B113),"⚠支給量超過","")))</f>
        <v/>
      </c>
      <c r="U113" s="8">
        <f>IF(OR($E113="",$G113="",$K113="キャンセル"),0,IF(IFERROR(INDEX('M_区分'!$B$4:$B$20,MATCH($C113,'M_区分'!$A$4:$A$20,0)),"○")="○",$G113-$E113+1,0))</f>
        <v/>
      </c>
    </row>
    <row r="114">
      <c r="A114" s="8">
        <f>IF($E114="","","SS-"&amp;TEXT(ROW()-4,"0000"))</f>
        <v/>
      </c>
      <c r="B114" s="9" t="n"/>
      <c r="C114" s="9" t="n"/>
      <c r="D114" s="9" t="n"/>
      <c r="E114" s="10" t="n"/>
      <c r="F114" s="11" t="n"/>
      <c r="G114" s="10" t="n"/>
      <c r="H114" s="11" t="n"/>
      <c r="I114" s="8">
        <f>IF(OR($E114="",$G114=""),"",$G114-$E114+1)</f>
        <v/>
      </c>
      <c r="J114" s="8">
        <f>IF(OR($E114="",$G114=""),"",$G114-$E114)</f>
        <v/>
      </c>
      <c r="K114" s="9" t="n"/>
      <c r="L114" s="9" t="n"/>
      <c r="M114" s="9" t="n"/>
      <c r="N114" s="9" t="n"/>
      <c r="O114" s="9" t="n"/>
      <c r="P114" s="9" t="n"/>
      <c r="Q114" s="10" t="n"/>
      <c r="R114" s="9" t="n"/>
      <c r="S114" s="8">
        <f>IF($D114="","",IF(COUNTIF('M_部屋'!$A$4:$A$20,$D114)=0,"⚠部屋が未登録",IF(OR($E114="",$G114="",$K114="キャンセル"),"",IF(SUMPRODUCT(($D$5:$D$204=$D114)*($E$5:$E$204&lt;&gt;"")*($G$5:$G$204&lt;&gt;"")*($K$5:$K$204&lt;&gt;"キャンセル")*($E$5:$E$204&lt;$G114)*($G$5:$G$204&gt;$E114))&gt;1,"⚠重複",""))))</f>
        <v/>
      </c>
      <c r="T114" s="8">
        <f>IF(OR($B114="",$E114=""),"",IF(SUMPRODUCT(('M_利用者'!$A$4:$A$60=$B114)*('M_利用者'!$B$4:$B$60&lt;&gt;""))=0,"",IF(SUMIFS($U$5:$U$204,$B$5:$B$204,$B114,$E$5:$E$204,"&gt;="&amp;DATE(YEAR($E114),MONTH($E114),1),$E$5:$E$204,"&lt;="&amp;EOMONTH($E114,0))&gt;SUMIFS('M_利用者'!$B$4:$B$60,'M_利用者'!$A$4:$A$60,$B114),"⚠支給量超過","")))</f>
        <v/>
      </c>
      <c r="U114" s="8">
        <f>IF(OR($E114="",$G114="",$K114="キャンセル"),0,IF(IFERROR(INDEX('M_区分'!$B$4:$B$20,MATCH($C114,'M_区分'!$A$4:$A$20,0)),"○")="○",$G114-$E114+1,0))</f>
        <v/>
      </c>
    </row>
    <row r="115">
      <c r="A115" s="8">
        <f>IF($E115="","","SS-"&amp;TEXT(ROW()-4,"0000"))</f>
        <v/>
      </c>
      <c r="B115" s="9" t="n"/>
      <c r="C115" s="9" t="n"/>
      <c r="D115" s="9" t="n"/>
      <c r="E115" s="10" t="n"/>
      <c r="F115" s="11" t="n"/>
      <c r="G115" s="10" t="n"/>
      <c r="H115" s="11" t="n"/>
      <c r="I115" s="8">
        <f>IF(OR($E115="",$G115=""),"",$G115-$E115+1)</f>
        <v/>
      </c>
      <c r="J115" s="8">
        <f>IF(OR($E115="",$G115=""),"",$G115-$E115)</f>
        <v/>
      </c>
      <c r="K115" s="9" t="n"/>
      <c r="L115" s="9" t="n"/>
      <c r="M115" s="9" t="n"/>
      <c r="N115" s="9" t="n"/>
      <c r="O115" s="9" t="n"/>
      <c r="P115" s="9" t="n"/>
      <c r="Q115" s="10" t="n"/>
      <c r="R115" s="9" t="n"/>
      <c r="S115" s="8">
        <f>IF($D115="","",IF(COUNTIF('M_部屋'!$A$4:$A$20,$D115)=0,"⚠部屋が未登録",IF(OR($E115="",$G115="",$K115="キャンセル"),"",IF(SUMPRODUCT(($D$5:$D$204=$D115)*($E$5:$E$204&lt;&gt;"")*($G$5:$G$204&lt;&gt;"")*($K$5:$K$204&lt;&gt;"キャンセル")*($E$5:$E$204&lt;$G115)*($G$5:$G$204&gt;$E115))&gt;1,"⚠重複",""))))</f>
        <v/>
      </c>
      <c r="T115" s="8">
        <f>IF(OR($B115="",$E115=""),"",IF(SUMPRODUCT(('M_利用者'!$A$4:$A$60=$B115)*('M_利用者'!$B$4:$B$60&lt;&gt;""))=0,"",IF(SUMIFS($U$5:$U$204,$B$5:$B$204,$B115,$E$5:$E$204,"&gt;="&amp;DATE(YEAR($E115),MONTH($E115),1),$E$5:$E$204,"&lt;="&amp;EOMONTH($E115,0))&gt;SUMIFS('M_利用者'!$B$4:$B$60,'M_利用者'!$A$4:$A$60,$B115),"⚠支給量超過","")))</f>
        <v/>
      </c>
      <c r="U115" s="8">
        <f>IF(OR($E115="",$G115="",$K115="キャンセル"),0,IF(IFERROR(INDEX('M_区分'!$B$4:$B$20,MATCH($C115,'M_区分'!$A$4:$A$20,0)),"○")="○",$G115-$E115+1,0))</f>
        <v/>
      </c>
    </row>
    <row r="116">
      <c r="A116" s="8">
        <f>IF($E116="","","SS-"&amp;TEXT(ROW()-4,"0000"))</f>
        <v/>
      </c>
      <c r="B116" s="9" t="n"/>
      <c r="C116" s="9" t="n"/>
      <c r="D116" s="9" t="n"/>
      <c r="E116" s="10" t="n"/>
      <c r="F116" s="11" t="n"/>
      <c r="G116" s="10" t="n"/>
      <c r="H116" s="11" t="n"/>
      <c r="I116" s="8">
        <f>IF(OR($E116="",$G116=""),"",$G116-$E116+1)</f>
        <v/>
      </c>
      <c r="J116" s="8">
        <f>IF(OR($E116="",$G116=""),"",$G116-$E116)</f>
        <v/>
      </c>
      <c r="K116" s="9" t="n"/>
      <c r="L116" s="9" t="n"/>
      <c r="M116" s="9" t="n"/>
      <c r="N116" s="9" t="n"/>
      <c r="O116" s="9" t="n"/>
      <c r="P116" s="9" t="n"/>
      <c r="Q116" s="10" t="n"/>
      <c r="R116" s="9" t="n"/>
      <c r="S116" s="8">
        <f>IF($D116="","",IF(COUNTIF('M_部屋'!$A$4:$A$20,$D116)=0,"⚠部屋が未登録",IF(OR($E116="",$G116="",$K116="キャンセル"),"",IF(SUMPRODUCT(($D$5:$D$204=$D116)*($E$5:$E$204&lt;&gt;"")*($G$5:$G$204&lt;&gt;"")*($K$5:$K$204&lt;&gt;"キャンセル")*($E$5:$E$204&lt;$G116)*($G$5:$G$204&gt;$E116))&gt;1,"⚠重複",""))))</f>
        <v/>
      </c>
      <c r="T116" s="8">
        <f>IF(OR($B116="",$E116=""),"",IF(SUMPRODUCT(('M_利用者'!$A$4:$A$60=$B116)*('M_利用者'!$B$4:$B$60&lt;&gt;""))=0,"",IF(SUMIFS($U$5:$U$204,$B$5:$B$204,$B116,$E$5:$E$204,"&gt;="&amp;DATE(YEAR($E116),MONTH($E116),1),$E$5:$E$204,"&lt;="&amp;EOMONTH($E116,0))&gt;SUMIFS('M_利用者'!$B$4:$B$60,'M_利用者'!$A$4:$A$60,$B116),"⚠支給量超過","")))</f>
        <v/>
      </c>
      <c r="U116" s="8">
        <f>IF(OR($E116="",$G116="",$K116="キャンセル"),0,IF(IFERROR(INDEX('M_区分'!$B$4:$B$20,MATCH($C116,'M_区分'!$A$4:$A$20,0)),"○")="○",$G116-$E116+1,0))</f>
        <v/>
      </c>
    </row>
    <row r="117">
      <c r="A117" s="8">
        <f>IF($E117="","","SS-"&amp;TEXT(ROW()-4,"0000"))</f>
        <v/>
      </c>
      <c r="B117" s="9" t="n"/>
      <c r="C117" s="9" t="n"/>
      <c r="D117" s="9" t="n"/>
      <c r="E117" s="10" t="n"/>
      <c r="F117" s="11" t="n"/>
      <c r="G117" s="10" t="n"/>
      <c r="H117" s="11" t="n"/>
      <c r="I117" s="8">
        <f>IF(OR($E117="",$G117=""),"",$G117-$E117+1)</f>
        <v/>
      </c>
      <c r="J117" s="8">
        <f>IF(OR($E117="",$G117=""),"",$G117-$E117)</f>
        <v/>
      </c>
      <c r="K117" s="9" t="n"/>
      <c r="L117" s="9" t="n"/>
      <c r="M117" s="9" t="n"/>
      <c r="N117" s="9" t="n"/>
      <c r="O117" s="9" t="n"/>
      <c r="P117" s="9" t="n"/>
      <c r="Q117" s="10" t="n"/>
      <c r="R117" s="9" t="n"/>
      <c r="S117" s="8">
        <f>IF($D117="","",IF(COUNTIF('M_部屋'!$A$4:$A$20,$D117)=0,"⚠部屋が未登録",IF(OR($E117="",$G117="",$K117="キャンセル"),"",IF(SUMPRODUCT(($D$5:$D$204=$D117)*($E$5:$E$204&lt;&gt;"")*($G$5:$G$204&lt;&gt;"")*($K$5:$K$204&lt;&gt;"キャンセル")*($E$5:$E$204&lt;$G117)*($G$5:$G$204&gt;$E117))&gt;1,"⚠重複",""))))</f>
        <v/>
      </c>
      <c r="T117" s="8">
        <f>IF(OR($B117="",$E117=""),"",IF(SUMPRODUCT(('M_利用者'!$A$4:$A$60=$B117)*('M_利用者'!$B$4:$B$60&lt;&gt;""))=0,"",IF(SUMIFS($U$5:$U$204,$B$5:$B$204,$B117,$E$5:$E$204,"&gt;="&amp;DATE(YEAR($E117),MONTH($E117),1),$E$5:$E$204,"&lt;="&amp;EOMONTH($E117,0))&gt;SUMIFS('M_利用者'!$B$4:$B$60,'M_利用者'!$A$4:$A$60,$B117),"⚠支給量超過","")))</f>
        <v/>
      </c>
      <c r="U117" s="8">
        <f>IF(OR($E117="",$G117="",$K117="キャンセル"),0,IF(IFERROR(INDEX('M_区分'!$B$4:$B$20,MATCH($C117,'M_区分'!$A$4:$A$20,0)),"○")="○",$G117-$E117+1,0))</f>
        <v/>
      </c>
    </row>
    <row r="118">
      <c r="A118" s="8">
        <f>IF($E118="","","SS-"&amp;TEXT(ROW()-4,"0000"))</f>
        <v/>
      </c>
      <c r="B118" s="9" t="n"/>
      <c r="C118" s="9" t="n"/>
      <c r="D118" s="9" t="n"/>
      <c r="E118" s="10" t="n"/>
      <c r="F118" s="11" t="n"/>
      <c r="G118" s="10" t="n"/>
      <c r="H118" s="11" t="n"/>
      <c r="I118" s="8">
        <f>IF(OR($E118="",$G118=""),"",$G118-$E118+1)</f>
        <v/>
      </c>
      <c r="J118" s="8">
        <f>IF(OR($E118="",$G118=""),"",$G118-$E118)</f>
        <v/>
      </c>
      <c r="K118" s="9" t="n"/>
      <c r="L118" s="9" t="n"/>
      <c r="M118" s="9" t="n"/>
      <c r="N118" s="9" t="n"/>
      <c r="O118" s="9" t="n"/>
      <c r="P118" s="9" t="n"/>
      <c r="Q118" s="10" t="n"/>
      <c r="R118" s="9" t="n"/>
      <c r="S118" s="8">
        <f>IF($D118="","",IF(COUNTIF('M_部屋'!$A$4:$A$20,$D118)=0,"⚠部屋が未登録",IF(OR($E118="",$G118="",$K118="キャンセル"),"",IF(SUMPRODUCT(($D$5:$D$204=$D118)*($E$5:$E$204&lt;&gt;"")*($G$5:$G$204&lt;&gt;"")*($K$5:$K$204&lt;&gt;"キャンセル")*($E$5:$E$204&lt;$G118)*($G$5:$G$204&gt;$E118))&gt;1,"⚠重複",""))))</f>
        <v/>
      </c>
      <c r="T118" s="8">
        <f>IF(OR($B118="",$E118=""),"",IF(SUMPRODUCT(('M_利用者'!$A$4:$A$60=$B118)*('M_利用者'!$B$4:$B$60&lt;&gt;""))=0,"",IF(SUMIFS($U$5:$U$204,$B$5:$B$204,$B118,$E$5:$E$204,"&gt;="&amp;DATE(YEAR($E118),MONTH($E118),1),$E$5:$E$204,"&lt;="&amp;EOMONTH($E118,0))&gt;SUMIFS('M_利用者'!$B$4:$B$60,'M_利用者'!$A$4:$A$60,$B118),"⚠支給量超過","")))</f>
        <v/>
      </c>
      <c r="U118" s="8">
        <f>IF(OR($E118="",$G118="",$K118="キャンセル"),0,IF(IFERROR(INDEX('M_区分'!$B$4:$B$20,MATCH($C118,'M_区分'!$A$4:$A$20,0)),"○")="○",$G118-$E118+1,0))</f>
        <v/>
      </c>
    </row>
    <row r="119">
      <c r="A119" s="8">
        <f>IF($E119="","","SS-"&amp;TEXT(ROW()-4,"0000"))</f>
        <v/>
      </c>
      <c r="B119" s="9" t="n"/>
      <c r="C119" s="9" t="n"/>
      <c r="D119" s="9" t="n"/>
      <c r="E119" s="10" t="n"/>
      <c r="F119" s="11" t="n"/>
      <c r="G119" s="10" t="n"/>
      <c r="H119" s="11" t="n"/>
      <c r="I119" s="8">
        <f>IF(OR($E119="",$G119=""),"",$G119-$E119+1)</f>
        <v/>
      </c>
      <c r="J119" s="8">
        <f>IF(OR($E119="",$G119=""),"",$G119-$E119)</f>
        <v/>
      </c>
      <c r="K119" s="9" t="n"/>
      <c r="L119" s="9" t="n"/>
      <c r="M119" s="9" t="n"/>
      <c r="N119" s="9" t="n"/>
      <c r="O119" s="9" t="n"/>
      <c r="P119" s="9" t="n"/>
      <c r="Q119" s="10" t="n"/>
      <c r="R119" s="9" t="n"/>
      <c r="S119" s="8">
        <f>IF($D119="","",IF(COUNTIF('M_部屋'!$A$4:$A$20,$D119)=0,"⚠部屋が未登録",IF(OR($E119="",$G119="",$K119="キャンセル"),"",IF(SUMPRODUCT(($D$5:$D$204=$D119)*($E$5:$E$204&lt;&gt;"")*($G$5:$G$204&lt;&gt;"")*($K$5:$K$204&lt;&gt;"キャンセル")*($E$5:$E$204&lt;$G119)*($G$5:$G$204&gt;$E119))&gt;1,"⚠重複",""))))</f>
        <v/>
      </c>
      <c r="T119" s="8">
        <f>IF(OR($B119="",$E119=""),"",IF(SUMPRODUCT(('M_利用者'!$A$4:$A$60=$B119)*('M_利用者'!$B$4:$B$60&lt;&gt;""))=0,"",IF(SUMIFS($U$5:$U$204,$B$5:$B$204,$B119,$E$5:$E$204,"&gt;="&amp;DATE(YEAR($E119),MONTH($E119),1),$E$5:$E$204,"&lt;="&amp;EOMONTH($E119,0))&gt;SUMIFS('M_利用者'!$B$4:$B$60,'M_利用者'!$A$4:$A$60,$B119),"⚠支給量超過","")))</f>
        <v/>
      </c>
      <c r="U119" s="8">
        <f>IF(OR($E119="",$G119="",$K119="キャンセル"),0,IF(IFERROR(INDEX('M_区分'!$B$4:$B$20,MATCH($C119,'M_区分'!$A$4:$A$20,0)),"○")="○",$G119-$E119+1,0))</f>
        <v/>
      </c>
    </row>
    <row r="120">
      <c r="A120" s="8">
        <f>IF($E120="","","SS-"&amp;TEXT(ROW()-4,"0000"))</f>
        <v/>
      </c>
      <c r="B120" s="9" t="n"/>
      <c r="C120" s="9" t="n"/>
      <c r="D120" s="9" t="n"/>
      <c r="E120" s="10" t="n"/>
      <c r="F120" s="11" t="n"/>
      <c r="G120" s="10" t="n"/>
      <c r="H120" s="11" t="n"/>
      <c r="I120" s="8">
        <f>IF(OR($E120="",$G120=""),"",$G120-$E120+1)</f>
        <v/>
      </c>
      <c r="J120" s="8">
        <f>IF(OR($E120="",$G120=""),"",$G120-$E120)</f>
        <v/>
      </c>
      <c r="K120" s="9" t="n"/>
      <c r="L120" s="9" t="n"/>
      <c r="M120" s="9" t="n"/>
      <c r="N120" s="9" t="n"/>
      <c r="O120" s="9" t="n"/>
      <c r="P120" s="9" t="n"/>
      <c r="Q120" s="10" t="n"/>
      <c r="R120" s="9" t="n"/>
      <c r="S120" s="8">
        <f>IF($D120="","",IF(COUNTIF('M_部屋'!$A$4:$A$20,$D120)=0,"⚠部屋が未登録",IF(OR($E120="",$G120="",$K120="キャンセル"),"",IF(SUMPRODUCT(($D$5:$D$204=$D120)*($E$5:$E$204&lt;&gt;"")*($G$5:$G$204&lt;&gt;"")*($K$5:$K$204&lt;&gt;"キャンセル")*($E$5:$E$204&lt;$G120)*($G$5:$G$204&gt;$E120))&gt;1,"⚠重複",""))))</f>
        <v/>
      </c>
      <c r="T120" s="8">
        <f>IF(OR($B120="",$E120=""),"",IF(SUMPRODUCT(('M_利用者'!$A$4:$A$60=$B120)*('M_利用者'!$B$4:$B$60&lt;&gt;""))=0,"",IF(SUMIFS($U$5:$U$204,$B$5:$B$204,$B120,$E$5:$E$204,"&gt;="&amp;DATE(YEAR($E120),MONTH($E120),1),$E$5:$E$204,"&lt;="&amp;EOMONTH($E120,0))&gt;SUMIFS('M_利用者'!$B$4:$B$60,'M_利用者'!$A$4:$A$60,$B120),"⚠支給量超過","")))</f>
        <v/>
      </c>
      <c r="U120" s="8">
        <f>IF(OR($E120="",$G120="",$K120="キャンセル"),0,IF(IFERROR(INDEX('M_区分'!$B$4:$B$20,MATCH($C120,'M_区分'!$A$4:$A$20,0)),"○")="○",$G120-$E120+1,0))</f>
        <v/>
      </c>
    </row>
    <row r="121">
      <c r="A121" s="8">
        <f>IF($E121="","","SS-"&amp;TEXT(ROW()-4,"0000"))</f>
        <v/>
      </c>
      <c r="B121" s="9" t="n"/>
      <c r="C121" s="9" t="n"/>
      <c r="D121" s="9" t="n"/>
      <c r="E121" s="10" t="n"/>
      <c r="F121" s="11" t="n"/>
      <c r="G121" s="10" t="n"/>
      <c r="H121" s="11" t="n"/>
      <c r="I121" s="8">
        <f>IF(OR($E121="",$G121=""),"",$G121-$E121+1)</f>
        <v/>
      </c>
      <c r="J121" s="8">
        <f>IF(OR($E121="",$G121=""),"",$G121-$E121)</f>
        <v/>
      </c>
      <c r="K121" s="9" t="n"/>
      <c r="L121" s="9" t="n"/>
      <c r="M121" s="9" t="n"/>
      <c r="N121" s="9" t="n"/>
      <c r="O121" s="9" t="n"/>
      <c r="P121" s="9" t="n"/>
      <c r="Q121" s="10" t="n"/>
      <c r="R121" s="9" t="n"/>
      <c r="S121" s="8">
        <f>IF($D121="","",IF(COUNTIF('M_部屋'!$A$4:$A$20,$D121)=0,"⚠部屋が未登録",IF(OR($E121="",$G121="",$K121="キャンセル"),"",IF(SUMPRODUCT(($D$5:$D$204=$D121)*($E$5:$E$204&lt;&gt;"")*($G$5:$G$204&lt;&gt;"")*($K$5:$K$204&lt;&gt;"キャンセル")*($E$5:$E$204&lt;$G121)*($G$5:$G$204&gt;$E121))&gt;1,"⚠重複",""))))</f>
        <v/>
      </c>
      <c r="T121" s="8">
        <f>IF(OR($B121="",$E121=""),"",IF(SUMPRODUCT(('M_利用者'!$A$4:$A$60=$B121)*('M_利用者'!$B$4:$B$60&lt;&gt;""))=0,"",IF(SUMIFS($U$5:$U$204,$B$5:$B$204,$B121,$E$5:$E$204,"&gt;="&amp;DATE(YEAR($E121),MONTH($E121),1),$E$5:$E$204,"&lt;="&amp;EOMONTH($E121,0))&gt;SUMIFS('M_利用者'!$B$4:$B$60,'M_利用者'!$A$4:$A$60,$B121),"⚠支給量超過","")))</f>
        <v/>
      </c>
      <c r="U121" s="8">
        <f>IF(OR($E121="",$G121="",$K121="キャンセル"),0,IF(IFERROR(INDEX('M_区分'!$B$4:$B$20,MATCH($C121,'M_区分'!$A$4:$A$20,0)),"○")="○",$G121-$E121+1,0))</f>
        <v/>
      </c>
    </row>
    <row r="122">
      <c r="A122" s="8">
        <f>IF($E122="","","SS-"&amp;TEXT(ROW()-4,"0000"))</f>
        <v/>
      </c>
      <c r="B122" s="9" t="n"/>
      <c r="C122" s="9" t="n"/>
      <c r="D122" s="9" t="n"/>
      <c r="E122" s="10" t="n"/>
      <c r="F122" s="11" t="n"/>
      <c r="G122" s="10" t="n"/>
      <c r="H122" s="11" t="n"/>
      <c r="I122" s="8">
        <f>IF(OR($E122="",$G122=""),"",$G122-$E122+1)</f>
        <v/>
      </c>
      <c r="J122" s="8">
        <f>IF(OR($E122="",$G122=""),"",$G122-$E122)</f>
        <v/>
      </c>
      <c r="K122" s="9" t="n"/>
      <c r="L122" s="9" t="n"/>
      <c r="M122" s="9" t="n"/>
      <c r="N122" s="9" t="n"/>
      <c r="O122" s="9" t="n"/>
      <c r="P122" s="9" t="n"/>
      <c r="Q122" s="10" t="n"/>
      <c r="R122" s="9" t="n"/>
      <c r="S122" s="8">
        <f>IF($D122="","",IF(COUNTIF('M_部屋'!$A$4:$A$20,$D122)=0,"⚠部屋が未登録",IF(OR($E122="",$G122="",$K122="キャンセル"),"",IF(SUMPRODUCT(($D$5:$D$204=$D122)*($E$5:$E$204&lt;&gt;"")*($G$5:$G$204&lt;&gt;"")*($K$5:$K$204&lt;&gt;"キャンセル")*($E$5:$E$204&lt;$G122)*($G$5:$G$204&gt;$E122))&gt;1,"⚠重複",""))))</f>
        <v/>
      </c>
      <c r="T122" s="8">
        <f>IF(OR($B122="",$E122=""),"",IF(SUMPRODUCT(('M_利用者'!$A$4:$A$60=$B122)*('M_利用者'!$B$4:$B$60&lt;&gt;""))=0,"",IF(SUMIFS($U$5:$U$204,$B$5:$B$204,$B122,$E$5:$E$204,"&gt;="&amp;DATE(YEAR($E122),MONTH($E122),1),$E$5:$E$204,"&lt;="&amp;EOMONTH($E122,0))&gt;SUMIFS('M_利用者'!$B$4:$B$60,'M_利用者'!$A$4:$A$60,$B122),"⚠支給量超過","")))</f>
        <v/>
      </c>
      <c r="U122" s="8">
        <f>IF(OR($E122="",$G122="",$K122="キャンセル"),0,IF(IFERROR(INDEX('M_区分'!$B$4:$B$20,MATCH($C122,'M_区分'!$A$4:$A$20,0)),"○")="○",$G122-$E122+1,0))</f>
        <v/>
      </c>
    </row>
    <row r="123">
      <c r="A123" s="8">
        <f>IF($E123="","","SS-"&amp;TEXT(ROW()-4,"0000"))</f>
        <v/>
      </c>
      <c r="B123" s="9" t="n"/>
      <c r="C123" s="9" t="n"/>
      <c r="D123" s="9" t="n"/>
      <c r="E123" s="10" t="n"/>
      <c r="F123" s="11" t="n"/>
      <c r="G123" s="10" t="n"/>
      <c r="H123" s="11" t="n"/>
      <c r="I123" s="8">
        <f>IF(OR($E123="",$G123=""),"",$G123-$E123+1)</f>
        <v/>
      </c>
      <c r="J123" s="8">
        <f>IF(OR($E123="",$G123=""),"",$G123-$E123)</f>
        <v/>
      </c>
      <c r="K123" s="9" t="n"/>
      <c r="L123" s="9" t="n"/>
      <c r="M123" s="9" t="n"/>
      <c r="N123" s="9" t="n"/>
      <c r="O123" s="9" t="n"/>
      <c r="P123" s="9" t="n"/>
      <c r="Q123" s="10" t="n"/>
      <c r="R123" s="9" t="n"/>
      <c r="S123" s="8">
        <f>IF($D123="","",IF(COUNTIF('M_部屋'!$A$4:$A$20,$D123)=0,"⚠部屋が未登録",IF(OR($E123="",$G123="",$K123="キャンセル"),"",IF(SUMPRODUCT(($D$5:$D$204=$D123)*($E$5:$E$204&lt;&gt;"")*($G$5:$G$204&lt;&gt;"")*($K$5:$K$204&lt;&gt;"キャンセル")*($E$5:$E$204&lt;$G123)*($G$5:$G$204&gt;$E123))&gt;1,"⚠重複",""))))</f>
        <v/>
      </c>
      <c r="T123" s="8">
        <f>IF(OR($B123="",$E123=""),"",IF(SUMPRODUCT(('M_利用者'!$A$4:$A$60=$B123)*('M_利用者'!$B$4:$B$60&lt;&gt;""))=0,"",IF(SUMIFS($U$5:$U$204,$B$5:$B$204,$B123,$E$5:$E$204,"&gt;="&amp;DATE(YEAR($E123),MONTH($E123),1),$E$5:$E$204,"&lt;="&amp;EOMONTH($E123,0))&gt;SUMIFS('M_利用者'!$B$4:$B$60,'M_利用者'!$A$4:$A$60,$B123),"⚠支給量超過","")))</f>
        <v/>
      </c>
      <c r="U123" s="8">
        <f>IF(OR($E123="",$G123="",$K123="キャンセル"),0,IF(IFERROR(INDEX('M_区分'!$B$4:$B$20,MATCH($C123,'M_区分'!$A$4:$A$20,0)),"○")="○",$G123-$E123+1,0))</f>
        <v/>
      </c>
    </row>
    <row r="124">
      <c r="A124" s="8">
        <f>IF($E124="","","SS-"&amp;TEXT(ROW()-4,"0000"))</f>
        <v/>
      </c>
      <c r="B124" s="9" t="n"/>
      <c r="C124" s="9" t="n"/>
      <c r="D124" s="9" t="n"/>
      <c r="E124" s="10" t="n"/>
      <c r="F124" s="11" t="n"/>
      <c r="G124" s="10" t="n"/>
      <c r="H124" s="11" t="n"/>
      <c r="I124" s="8">
        <f>IF(OR($E124="",$G124=""),"",$G124-$E124+1)</f>
        <v/>
      </c>
      <c r="J124" s="8">
        <f>IF(OR($E124="",$G124=""),"",$G124-$E124)</f>
        <v/>
      </c>
      <c r="K124" s="9" t="n"/>
      <c r="L124" s="9" t="n"/>
      <c r="M124" s="9" t="n"/>
      <c r="N124" s="9" t="n"/>
      <c r="O124" s="9" t="n"/>
      <c r="P124" s="9" t="n"/>
      <c r="Q124" s="10" t="n"/>
      <c r="R124" s="9" t="n"/>
      <c r="S124" s="8">
        <f>IF($D124="","",IF(COUNTIF('M_部屋'!$A$4:$A$20,$D124)=0,"⚠部屋が未登録",IF(OR($E124="",$G124="",$K124="キャンセル"),"",IF(SUMPRODUCT(($D$5:$D$204=$D124)*($E$5:$E$204&lt;&gt;"")*($G$5:$G$204&lt;&gt;"")*($K$5:$K$204&lt;&gt;"キャンセル")*($E$5:$E$204&lt;$G124)*($G$5:$G$204&gt;$E124))&gt;1,"⚠重複",""))))</f>
        <v/>
      </c>
      <c r="T124" s="8">
        <f>IF(OR($B124="",$E124=""),"",IF(SUMPRODUCT(('M_利用者'!$A$4:$A$60=$B124)*('M_利用者'!$B$4:$B$60&lt;&gt;""))=0,"",IF(SUMIFS($U$5:$U$204,$B$5:$B$204,$B124,$E$5:$E$204,"&gt;="&amp;DATE(YEAR($E124),MONTH($E124),1),$E$5:$E$204,"&lt;="&amp;EOMONTH($E124,0))&gt;SUMIFS('M_利用者'!$B$4:$B$60,'M_利用者'!$A$4:$A$60,$B124),"⚠支給量超過","")))</f>
        <v/>
      </c>
      <c r="U124" s="8">
        <f>IF(OR($E124="",$G124="",$K124="キャンセル"),0,IF(IFERROR(INDEX('M_区分'!$B$4:$B$20,MATCH($C124,'M_区分'!$A$4:$A$20,0)),"○")="○",$G124-$E124+1,0))</f>
        <v/>
      </c>
    </row>
    <row r="125">
      <c r="A125" s="8">
        <f>IF($E125="","","SS-"&amp;TEXT(ROW()-4,"0000"))</f>
        <v/>
      </c>
      <c r="B125" s="9" t="n"/>
      <c r="C125" s="9" t="n"/>
      <c r="D125" s="9" t="n"/>
      <c r="E125" s="10" t="n"/>
      <c r="F125" s="11" t="n"/>
      <c r="G125" s="10" t="n"/>
      <c r="H125" s="11" t="n"/>
      <c r="I125" s="8">
        <f>IF(OR($E125="",$G125=""),"",$G125-$E125+1)</f>
        <v/>
      </c>
      <c r="J125" s="8">
        <f>IF(OR($E125="",$G125=""),"",$G125-$E125)</f>
        <v/>
      </c>
      <c r="K125" s="9" t="n"/>
      <c r="L125" s="9" t="n"/>
      <c r="M125" s="9" t="n"/>
      <c r="N125" s="9" t="n"/>
      <c r="O125" s="9" t="n"/>
      <c r="P125" s="9" t="n"/>
      <c r="Q125" s="10" t="n"/>
      <c r="R125" s="9" t="n"/>
      <c r="S125" s="8">
        <f>IF($D125="","",IF(COUNTIF('M_部屋'!$A$4:$A$20,$D125)=0,"⚠部屋が未登録",IF(OR($E125="",$G125="",$K125="キャンセル"),"",IF(SUMPRODUCT(($D$5:$D$204=$D125)*($E$5:$E$204&lt;&gt;"")*($G$5:$G$204&lt;&gt;"")*($K$5:$K$204&lt;&gt;"キャンセル")*($E$5:$E$204&lt;$G125)*($G$5:$G$204&gt;$E125))&gt;1,"⚠重複",""))))</f>
        <v/>
      </c>
      <c r="T125" s="8">
        <f>IF(OR($B125="",$E125=""),"",IF(SUMPRODUCT(('M_利用者'!$A$4:$A$60=$B125)*('M_利用者'!$B$4:$B$60&lt;&gt;""))=0,"",IF(SUMIFS($U$5:$U$204,$B$5:$B$204,$B125,$E$5:$E$204,"&gt;="&amp;DATE(YEAR($E125),MONTH($E125),1),$E$5:$E$204,"&lt;="&amp;EOMONTH($E125,0))&gt;SUMIFS('M_利用者'!$B$4:$B$60,'M_利用者'!$A$4:$A$60,$B125),"⚠支給量超過","")))</f>
        <v/>
      </c>
      <c r="U125" s="8">
        <f>IF(OR($E125="",$G125="",$K125="キャンセル"),0,IF(IFERROR(INDEX('M_区分'!$B$4:$B$20,MATCH($C125,'M_区分'!$A$4:$A$20,0)),"○")="○",$G125-$E125+1,0))</f>
        <v/>
      </c>
    </row>
    <row r="126">
      <c r="A126" s="8">
        <f>IF($E126="","","SS-"&amp;TEXT(ROW()-4,"0000"))</f>
        <v/>
      </c>
      <c r="B126" s="9" t="n"/>
      <c r="C126" s="9" t="n"/>
      <c r="D126" s="9" t="n"/>
      <c r="E126" s="10" t="n"/>
      <c r="F126" s="11" t="n"/>
      <c r="G126" s="10" t="n"/>
      <c r="H126" s="11" t="n"/>
      <c r="I126" s="8">
        <f>IF(OR($E126="",$G126=""),"",$G126-$E126+1)</f>
        <v/>
      </c>
      <c r="J126" s="8">
        <f>IF(OR($E126="",$G126=""),"",$G126-$E126)</f>
        <v/>
      </c>
      <c r="K126" s="9" t="n"/>
      <c r="L126" s="9" t="n"/>
      <c r="M126" s="9" t="n"/>
      <c r="N126" s="9" t="n"/>
      <c r="O126" s="9" t="n"/>
      <c r="P126" s="9" t="n"/>
      <c r="Q126" s="10" t="n"/>
      <c r="R126" s="9" t="n"/>
      <c r="S126" s="8">
        <f>IF($D126="","",IF(COUNTIF('M_部屋'!$A$4:$A$20,$D126)=0,"⚠部屋が未登録",IF(OR($E126="",$G126="",$K126="キャンセル"),"",IF(SUMPRODUCT(($D$5:$D$204=$D126)*($E$5:$E$204&lt;&gt;"")*($G$5:$G$204&lt;&gt;"")*($K$5:$K$204&lt;&gt;"キャンセル")*($E$5:$E$204&lt;$G126)*($G$5:$G$204&gt;$E126))&gt;1,"⚠重複",""))))</f>
        <v/>
      </c>
      <c r="T126" s="8">
        <f>IF(OR($B126="",$E126=""),"",IF(SUMPRODUCT(('M_利用者'!$A$4:$A$60=$B126)*('M_利用者'!$B$4:$B$60&lt;&gt;""))=0,"",IF(SUMIFS($U$5:$U$204,$B$5:$B$204,$B126,$E$5:$E$204,"&gt;="&amp;DATE(YEAR($E126),MONTH($E126),1),$E$5:$E$204,"&lt;="&amp;EOMONTH($E126,0))&gt;SUMIFS('M_利用者'!$B$4:$B$60,'M_利用者'!$A$4:$A$60,$B126),"⚠支給量超過","")))</f>
        <v/>
      </c>
      <c r="U126" s="8">
        <f>IF(OR($E126="",$G126="",$K126="キャンセル"),0,IF(IFERROR(INDEX('M_区分'!$B$4:$B$20,MATCH($C126,'M_区分'!$A$4:$A$20,0)),"○")="○",$G126-$E126+1,0))</f>
        <v/>
      </c>
    </row>
    <row r="127">
      <c r="A127" s="8">
        <f>IF($E127="","","SS-"&amp;TEXT(ROW()-4,"0000"))</f>
        <v/>
      </c>
      <c r="B127" s="9" t="n"/>
      <c r="C127" s="9" t="n"/>
      <c r="D127" s="9" t="n"/>
      <c r="E127" s="10" t="n"/>
      <c r="F127" s="11" t="n"/>
      <c r="G127" s="10" t="n"/>
      <c r="H127" s="11" t="n"/>
      <c r="I127" s="8">
        <f>IF(OR($E127="",$G127=""),"",$G127-$E127+1)</f>
        <v/>
      </c>
      <c r="J127" s="8">
        <f>IF(OR($E127="",$G127=""),"",$G127-$E127)</f>
        <v/>
      </c>
      <c r="K127" s="9" t="n"/>
      <c r="L127" s="9" t="n"/>
      <c r="M127" s="9" t="n"/>
      <c r="N127" s="9" t="n"/>
      <c r="O127" s="9" t="n"/>
      <c r="P127" s="9" t="n"/>
      <c r="Q127" s="10" t="n"/>
      <c r="R127" s="9" t="n"/>
      <c r="S127" s="8">
        <f>IF($D127="","",IF(COUNTIF('M_部屋'!$A$4:$A$20,$D127)=0,"⚠部屋が未登録",IF(OR($E127="",$G127="",$K127="キャンセル"),"",IF(SUMPRODUCT(($D$5:$D$204=$D127)*($E$5:$E$204&lt;&gt;"")*($G$5:$G$204&lt;&gt;"")*($K$5:$K$204&lt;&gt;"キャンセル")*($E$5:$E$204&lt;$G127)*($G$5:$G$204&gt;$E127))&gt;1,"⚠重複",""))))</f>
        <v/>
      </c>
      <c r="T127" s="8">
        <f>IF(OR($B127="",$E127=""),"",IF(SUMPRODUCT(('M_利用者'!$A$4:$A$60=$B127)*('M_利用者'!$B$4:$B$60&lt;&gt;""))=0,"",IF(SUMIFS($U$5:$U$204,$B$5:$B$204,$B127,$E$5:$E$204,"&gt;="&amp;DATE(YEAR($E127),MONTH($E127),1),$E$5:$E$204,"&lt;="&amp;EOMONTH($E127,0))&gt;SUMIFS('M_利用者'!$B$4:$B$60,'M_利用者'!$A$4:$A$60,$B127),"⚠支給量超過","")))</f>
        <v/>
      </c>
      <c r="U127" s="8">
        <f>IF(OR($E127="",$G127="",$K127="キャンセル"),0,IF(IFERROR(INDEX('M_区分'!$B$4:$B$20,MATCH($C127,'M_区分'!$A$4:$A$20,0)),"○")="○",$G127-$E127+1,0))</f>
        <v/>
      </c>
    </row>
    <row r="128">
      <c r="A128" s="8">
        <f>IF($E128="","","SS-"&amp;TEXT(ROW()-4,"0000"))</f>
        <v/>
      </c>
      <c r="B128" s="9" t="n"/>
      <c r="C128" s="9" t="n"/>
      <c r="D128" s="9" t="n"/>
      <c r="E128" s="10" t="n"/>
      <c r="F128" s="11" t="n"/>
      <c r="G128" s="10" t="n"/>
      <c r="H128" s="11" t="n"/>
      <c r="I128" s="8">
        <f>IF(OR($E128="",$G128=""),"",$G128-$E128+1)</f>
        <v/>
      </c>
      <c r="J128" s="8">
        <f>IF(OR($E128="",$G128=""),"",$G128-$E128)</f>
        <v/>
      </c>
      <c r="K128" s="9" t="n"/>
      <c r="L128" s="9" t="n"/>
      <c r="M128" s="9" t="n"/>
      <c r="N128" s="9" t="n"/>
      <c r="O128" s="9" t="n"/>
      <c r="P128" s="9" t="n"/>
      <c r="Q128" s="10" t="n"/>
      <c r="R128" s="9" t="n"/>
      <c r="S128" s="8">
        <f>IF($D128="","",IF(COUNTIF('M_部屋'!$A$4:$A$20,$D128)=0,"⚠部屋が未登録",IF(OR($E128="",$G128="",$K128="キャンセル"),"",IF(SUMPRODUCT(($D$5:$D$204=$D128)*($E$5:$E$204&lt;&gt;"")*($G$5:$G$204&lt;&gt;"")*($K$5:$K$204&lt;&gt;"キャンセル")*($E$5:$E$204&lt;$G128)*($G$5:$G$204&gt;$E128))&gt;1,"⚠重複",""))))</f>
        <v/>
      </c>
      <c r="T128" s="8">
        <f>IF(OR($B128="",$E128=""),"",IF(SUMPRODUCT(('M_利用者'!$A$4:$A$60=$B128)*('M_利用者'!$B$4:$B$60&lt;&gt;""))=0,"",IF(SUMIFS($U$5:$U$204,$B$5:$B$204,$B128,$E$5:$E$204,"&gt;="&amp;DATE(YEAR($E128),MONTH($E128),1),$E$5:$E$204,"&lt;="&amp;EOMONTH($E128,0))&gt;SUMIFS('M_利用者'!$B$4:$B$60,'M_利用者'!$A$4:$A$60,$B128),"⚠支給量超過","")))</f>
        <v/>
      </c>
      <c r="U128" s="8">
        <f>IF(OR($E128="",$G128="",$K128="キャンセル"),0,IF(IFERROR(INDEX('M_区分'!$B$4:$B$20,MATCH($C128,'M_区分'!$A$4:$A$20,0)),"○")="○",$G128-$E128+1,0))</f>
        <v/>
      </c>
    </row>
    <row r="129">
      <c r="A129" s="8">
        <f>IF($E129="","","SS-"&amp;TEXT(ROW()-4,"0000"))</f>
        <v/>
      </c>
      <c r="B129" s="9" t="n"/>
      <c r="C129" s="9" t="n"/>
      <c r="D129" s="9" t="n"/>
      <c r="E129" s="10" t="n"/>
      <c r="F129" s="11" t="n"/>
      <c r="G129" s="10" t="n"/>
      <c r="H129" s="11" t="n"/>
      <c r="I129" s="8">
        <f>IF(OR($E129="",$G129=""),"",$G129-$E129+1)</f>
        <v/>
      </c>
      <c r="J129" s="8">
        <f>IF(OR($E129="",$G129=""),"",$G129-$E129)</f>
        <v/>
      </c>
      <c r="K129" s="9" t="n"/>
      <c r="L129" s="9" t="n"/>
      <c r="M129" s="9" t="n"/>
      <c r="N129" s="9" t="n"/>
      <c r="O129" s="9" t="n"/>
      <c r="P129" s="9" t="n"/>
      <c r="Q129" s="10" t="n"/>
      <c r="R129" s="9" t="n"/>
      <c r="S129" s="8">
        <f>IF($D129="","",IF(COUNTIF('M_部屋'!$A$4:$A$20,$D129)=0,"⚠部屋が未登録",IF(OR($E129="",$G129="",$K129="キャンセル"),"",IF(SUMPRODUCT(($D$5:$D$204=$D129)*($E$5:$E$204&lt;&gt;"")*($G$5:$G$204&lt;&gt;"")*($K$5:$K$204&lt;&gt;"キャンセル")*($E$5:$E$204&lt;$G129)*($G$5:$G$204&gt;$E129))&gt;1,"⚠重複",""))))</f>
        <v/>
      </c>
      <c r="T129" s="8">
        <f>IF(OR($B129="",$E129=""),"",IF(SUMPRODUCT(('M_利用者'!$A$4:$A$60=$B129)*('M_利用者'!$B$4:$B$60&lt;&gt;""))=0,"",IF(SUMIFS($U$5:$U$204,$B$5:$B$204,$B129,$E$5:$E$204,"&gt;="&amp;DATE(YEAR($E129),MONTH($E129),1),$E$5:$E$204,"&lt;="&amp;EOMONTH($E129,0))&gt;SUMIFS('M_利用者'!$B$4:$B$60,'M_利用者'!$A$4:$A$60,$B129),"⚠支給量超過","")))</f>
        <v/>
      </c>
      <c r="U129" s="8">
        <f>IF(OR($E129="",$G129="",$K129="キャンセル"),0,IF(IFERROR(INDEX('M_区分'!$B$4:$B$20,MATCH($C129,'M_区分'!$A$4:$A$20,0)),"○")="○",$G129-$E129+1,0))</f>
        <v/>
      </c>
    </row>
    <row r="130">
      <c r="A130" s="8">
        <f>IF($E130="","","SS-"&amp;TEXT(ROW()-4,"0000"))</f>
        <v/>
      </c>
      <c r="B130" s="9" t="n"/>
      <c r="C130" s="9" t="n"/>
      <c r="D130" s="9" t="n"/>
      <c r="E130" s="10" t="n"/>
      <c r="F130" s="11" t="n"/>
      <c r="G130" s="10" t="n"/>
      <c r="H130" s="11" t="n"/>
      <c r="I130" s="8">
        <f>IF(OR($E130="",$G130=""),"",$G130-$E130+1)</f>
        <v/>
      </c>
      <c r="J130" s="8">
        <f>IF(OR($E130="",$G130=""),"",$G130-$E130)</f>
        <v/>
      </c>
      <c r="K130" s="9" t="n"/>
      <c r="L130" s="9" t="n"/>
      <c r="M130" s="9" t="n"/>
      <c r="N130" s="9" t="n"/>
      <c r="O130" s="9" t="n"/>
      <c r="P130" s="9" t="n"/>
      <c r="Q130" s="10" t="n"/>
      <c r="R130" s="9" t="n"/>
      <c r="S130" s="8">
        <f>IF($D130="","",IF(COUNTIF('M_部屋'!$A$4:$A$20,$D130)=0,"⚠部屋が未登録",IF(OR($E130="",$G130="",$K130="キャンセル"),"",IF(SUMPRODUCT(($D$5:$D$204=$D130)*($E$5:$E$204&lt;&gt;"")*($G$5:$G$204&lt;&gt;"")*($K$5:$K$204&lt;&gt;"キャンセル")*($E$5:$E$204&lt;$G130)*($G$5:$G$204&gt;$E130))&gt;1,"⚠重複",""))))</f>
        <v/>
      </c>
      <c r="T130" s="8">
        <f>IF(OR($B130="",$E130=""),"",IF(SUMPRODUCT(('M_利用者'!$A$4:$A$60=$B130)*('M_利用者'!$B$4:$B$60&lt;&gt;""))=0,"",IF(SUMIFS($U$5:$U$204,$B$5:$B$204,$B130,$E$5:$E$204,"&gt;="&amp;DATE(YEAR($E130),MONTH($E130),1),$E$5:$E$204,"&lt;="&amp;EOMONTH($E130,0))&gt;SUMIFS('M_利用者'!$B$4:$B$60,'M_利用者'!$A$4:$A$60,$B130),"⚠支給量超過","")))</f>
        <v/>
      </c>
      <c r="U130" s="8">
        <f>IF(OR($E130="",$G130="",$K130="キャンセル"),0,IF(IFERROR(INDEX('M_区分'!$B$4:$B$20,MATCH($C130,'M_区分'!$A$4:$A$20,0)),"○")="○",$G130-$E130+1,0))</f>
        <v/>
      </c>
    </row>
    <row r="131">
      <c r="A131" s="8">
        <f>IF($E131="","","SS-"&amp;TEXT(ROW()-4,"0000"))</f>
        <v/>
      </c>
      <c r="B131" s="9" t="n"/>
      <c r="C131" s="9" t="n"/>
      <c r="D131" s="9" t="n"/>
      <c r="E131" s="10" t="n"/>
      <c r="F131" s="11" t="n"/>
      <c r="G131" s="10" t="n"/>
      <c r="H131" s="11" t="n"/>
      <c r="I131" s="8">
        <f>IF(OR($E131="",$G131=""),"",$G131-$E131+1)</f>
        <v/>
      </c>
      <c r="J131" s="8">
        <f>IF(OR($E131="",$G131=""),"",$G131-$E131)</f>
        <v/>
      </c>
      <c r="K131" s="9" t="n"/>
      <c r="L131" s="9" t="n"/>
      <c r="M131" s="9" t="n"/>
      <c r="N131" s="9" t="n"/>
      <c r="O131" s="9" t="n"/>
      <c r="P131" s="9" t="n"/>
      <c r="Q131" s="10" t="n"/>
      <c r="R131" s="9" t="n"/>
      <c r="S131" s="8">
        <f>IF($D131="","",IF(COUNTIF('M_部屋'!$A$4:$A$20,$D131)=0,"⚠部屋が未登録",IF(OR($E131="",$G131="",$K131="キャンセル"),"",IF(SUMPRODUCT(($D$5:$D$204=$D131)*($E$5:$E$204&lt;&gt;"")*($G$5:$G$204&lt;&gt;"")*($K$5:$K$204&lt;&gt;"キャンセル")*($E$5:$E$204&lt;$G131)*($G$5:$G$204&gt;$E131))&gt;1,"⚠重複",""))))</f>
        <v/>
      </c>
      <c r="T131" s="8">
        <f>IF(OR($B131="",$E131=""),"",IF(SUMPRODUCT(('M_利用者'!$A$4:$A$60=$B131)*('M_利用者'!$B$4:$B$60&lt;&gt;""))=0,"",IF(SUMIFS($U$5:$U$204,$B$5:$B$204,$B131,$E$5:$E$204,"&gt;="&amp;DATE(YEAR($E131),MONTH($E131),1),$E$5:$E$204,"&lt;="&amp;EOMONTH($E131,0))&gt;SUMIFS('M_利用者'!$B$4:$B$60,'M_利用者'!$A$4:$A$60,$B131),"⚠支給量超過","")))</f>
        <v/>
      </c>
      <c r="U131" s="8">
        <f>IF(OR($E131="",$G131="",$K131="キャンセル"),0,IF(IFERROR(INDEX('M_区分'!$B$4:$B$20,MATCH($C131,'M_区分'!$A$4:$A$20,0)),"○")="○",$G131-$E131+1,0))</f>
        <v/>
      </c>
    </row>
    <row r="132">
      <c r="A132" s="8">
        <f>IF($E132="","","SS-"&amp;TEXT(ROW()-4,"0000"))</f>
        <v/>
      </c>
      <c r="B132" s="9" t="n"/>
      <c r="C132" s="9" t="n"/>
      <c r="D132" s="9" t="n"/>
      <c r="E132" s="10" t="n"/>
      <c r="F132" s="11" t="n"/>
      <c r="G132" s="10" t="n"/>
      <c r="H132" s="11" t="n"/>
      <c r="I132" s="8">
        <f>IF(OR($E132="",$G132=""),"",$G132-$E132+1)</f>
        <v/>
      </c>
      <c r="J132" s="8">
        <f>IF(OR($E132="",$G132=""),"",$G132-$E132)</f>
        <v/>
      </c>
      <c r="K132" s="9" t="n"/>
      <c r="L132" s="9" t="n"/>
      <c r="M132" s="9" t="n"/>
      <c r="N132" s="9" t="n"/>
      <c r="O132" s="9" t="n"/>
      <c r="P132" s="9" t="n"/>
      <c r="Q132" s="10" t="n"/>
      <c r="R132" s="9" t="n"/>
      <c r="S132" s="8">
        <f>IF($D132="","",IF(COUNTIF('M_部屋'!$A$4:$A$20,$D132)=0,"⚠部屋が未登録",IF(OR($E132="",$G132="",$K132="キャンセル"),"",IF(SUMPRODUCT(($D$5:$D$204=$D132)*($E$5:$E$204&lt;&gt;"")*($G$5:$G$204&lt;&gt;"")*($K$5:$K$204&lt;&gt;"キャンセル")*($E$5:$E$204&lt;$G132)*($G$5:$G$204&gt;$E132))&gt;1,"⚠重複",""))))</f>
        <v/>
      </c>
      <c r="T132" s="8">
        <f>IF(OR($B132="",$E132=""),"",IF(SUMPRODUCT(('M_利用者'!$A$4:$A$60=$B132)*('M_利用者'!$B$4:$B$60&lt;&gt;""))=0,"",IF(SUMIFS($U$5:$U$204,$B$5:$B$204,$B132,$E$5:$E$204,"&gt;="&amp;DATE(YEAR($E132),MONTH($E132),1),$E$5:$E$204,"&lt;="&amp;EOMONTH($E132,0))&gt;SUMIFS('M_利用者'!$B$4:$B$60,'M_利用者'!$A$4:$A$60,$B132),"⚠支給量超過","")))</f>
        <v/>
      </c>
      <c r="U132" s="8">
        <f>IF(OR($E132="",$G132="",$K132="キャンセル"),0,IF(IFERROR(INDEX('M_区分'!$B$4:$B$20,MATCH($C132,'M_区分'!$A$4:$A$20,0)),"○")="○",$G132-$E132+1,0))</f>
        <v/>
      </c>
    </row>
    <row r="133">
      <c r="A133" s="8">
        <f>IF($E133="","","SS-"&amp;TEXT(ROW()-4,"0000"))</f>
        <v/>
      </c>
      <c r="B133" s="9" t="n"/>
      <c r="C133" s="9" t="n"/>
      <c r="D133" s="9" t="n"/>
      <c r="E133" s="10" t="n"/>
      <c r="F133" s="11" t="n"/>
      <c r="G133" s="10" t="n"/>
      <c r="H133" s="11" t="n"/>
      <c r="I133" s="8">
        <f>IF(OR($E133="",$G133=""),"",$G133-$E133+1)</f>
        <v/>
      </c>
      <c r="J133" s="8">
        <f>IF(OR($E133="",$G133=""),"",$G133-$E133)</f>
        <v/>
      </c>
      <c r="K133" s="9" t="n"/>
      <c r="L133" s="9" t="n"/>
      <c r="M133" s="9" t="n"/>
      <c r="N133" s="9" t="n"/>
      <c r="O133" s="9" t="n"/>
      <c r="P133" s="9" t="n"/>
      <c r="Q133" s="10" t="n"/>
      <c r="R133" s="9" t="n"/>
      <c r="S133" s="8">
        <f>IF($D133="","",IF(COUNTIF('M_部屋'!$A$4:$A$20,$D133)=0,"⚠部屋が未登録",IF(OR($E133="",$G133="",$K133="キャンセル"),"",IF(SUMPRODUCT(($D$5:$D$204=$D133)*($E$5:$E$204&lt;&gt;"")*($G$5:$G$204&lt;&gt;"")*($K$5:$K$204&lt;&gt;"キャンセル")*($E$5:$E$204&lt;$G133)*($G$5:$G$204&gt;$E133))&gt;1,"⚠重複",""))))</f>
        <v/>
      </c>
      <c r="T133" s="8">
        <f>IF(OR($B133="",$E133=""),"",IF(SUMPRODUCT(('M_利用者'!$A$4:$A$60=$B133)*('M_利用者'!$B$4:$B$60&lt;&gt;""))=0,"",IF(SUMIFS($U$5:$U$204,$B$5:$B$204,$B133,$E$5:$E$204,"&gt;="&amp;DATE(YEAR($E133),MONTH($E133),1),$E$5:$E$204,"&lt;="&amp;EOMONTH($E133,0))&gt;SUMIFS('M_利用者'!$B$4:$B$60,'M_利用者'!$A$4:$A$60,$B133),"⚠支給量超過","")))</f>
        <v/>
      </c>
      <c r="U133" s="8">
        <f>IF(OR($E133="",$G133="",$K133="キャンセル"),0,IF(IFERROR(INDEX('M_区分'!$B$4:$B$20,MATCH($C133,'M_区分'!$A$4:$A$20,0)),"○")="○",$G133-$E133+1,0))</f>
        <v/>
      </c>
    </row>
    <row r="134">
      <c r="A134" s="8">
        <f>IF($E134="","","SS-"&amp;TEXT(ROW()-4,"0000"))</f>
        <v/>
      </c>
      <c r="B134" s="9" t="n"/>
      <c r="C134" s="9" t="n"/>
      <c r="D134" s="9" t="n"/>
      <c r="E134" s="10" t="n"/>
      <c r="F134" s="11" t="n"/>
      <c r="G134" s="10" t="n"/>
      <c r="H134" s="11" t="n"/>
      <c r="I134" s="8">
        <f>IF(OR($E134="",$G134=""),"",$G134-$E134+1)</f>
        <v/>
      </c>
      <c r="J134" s="8">
        <f>IF(OR($E134="",$G134=""),"",$G134-$E134)</f>
        <v/>
      </c>
      <c r="K134" s="9" t="n"/>
      <c r="L134" s="9" t="n"/>
      <c r="M134" s="9" t="n"/>
      <c r="N134" s="9" t="n"/>
      <c r="O134" s="9" t="n"/>
      <c r="P134" s="9" t="n"/>
      <c r="Q134" s="10" t="n"/>
      <c r="R134" s="9" t="n"/>
      <c r="S134" s="8">
        <f>IF($D134="","",IF(COUNTIF('M_部屋'!$A$4:$A$20,$D134)=0,"⚠部屋が未登録",IF(OR($E134="",$G134="",$K134="キャンセル"),"",IF(SUMPRODUCT(($D$5:$D$204=$D134)*($E$5:$E$204&lt;&gt;"")*($G$5:$G$204&lt;&gt;"")*($K$5:$K$204&lt;&gt;"キャンセル")*($E$5:$E$204&lt;$G134)*($G$5:$G$204&gt;$E134))&gt;1,"⚠重複",""))))</f>
        <v/>
      </c>
      <c r="T134" s="8">
        <f>IF(OR($B134="",$E134=""),"",IF(SUMPRODUCT(('M_利用者'!$A$4:$A$60=$B134)*('M_利用者'!$B$4:$B$60&lt;&gt;""))=0,"",IF(SUMIFS($U$5:$U$204,$B$5:$B$204,$B134,$E$5:$E$204,"&gt;="&amp;DATE(YEAR($E134),MONTH($E134),1),$E$5:$E$204,"&lt;="&amp;EOMONTH($E134,0))&gt;SUMIFS('M_利用者'!$B$4:$B$60,'M_利用者'!$A$4:$A$60,$B134),"⚠支給量超過","")))</f>
        <v/>
      </c>
      <c r="U134" s="8">
        <f>IF(OR($E134="",$G134="",$K134="キャンセル"),0,IF(IFERROR(INDEX('M_区分'!$B$4:$B$20,MATCH($C134,'M_区分'!$A$4:$A$20,0)),"○")="○",$G134-$E134+1,0))</f>
        <v/>
      </c>
    </row>
    <row r="135">
      <c r="A135" s="8">
        <f>IF($E135="","","SS-"&amp;TEXT(ROW()-4,"0000"))</f>
        <v/>
      </c>
      <c r="B135" s="9" t="n"/>
      <c r="C135" s="9" t="n"/>
      <c r="D135" s="9" t="n"/>
      <c r="E135" s="10" t="n"/>
      <c r="F135" s="11" t="n"/>
      <c r="G135" s="10" t="n"/>
      <c r="H135" s="11" t="n"/>
      <c r="I135" s="8">
        <f>IF(OR($E135="",$G135=""),"",$G135-$E135+1)</f>
        <v/>
      </c>
      <c r="J135" s="8">
        <f>IF(OR($E135="",$G135=""),"",$G135-$E135)</f>
        <v/>
      </c>
      <c r="K135" s="9" t="n"/>
      <c r="L135" s="9" t="n"/>
      <c r="M135" s="9" t="n"/>
      <c r="N135" s="9" t="n"/>
      <c r="O135" s="9" t="n"/>
      <c r="P135" s="9" t="n"/>
      <c r="Q135" s="10" t="n"/>
      <c r="R135" s="9" t="n"/>
      <c r="S135" s="8">
        <f>IF($D135="","",IF(COUNTIF('M_部屋'!$A$4:$A$20,$D135)=0,"⚠部屋が未登録",IF(OR($E135="",$G135="",$K135="キャンセル"),"",IF(SUMPRODUCT(($D$5:$D$204=$D135)*($E$5:$E$204&lt;&gt;"")*($G$5:$G$204&lt;&gt;"")*($K$5:$K$204&lt;&gt;"キャンセル")*($E$5:$E$204&lt;$G135)*($G$5:$G$204&gt;$E135))&gt;1,"⚠重複",""))))</f>
        <v/>
      </c>
      <c r="T135" s="8">
        <f>IF(OR($B135="",$E135=""),"",IF(SUMPRODUCT(('M_利用者'!$A$4:$A$60=$B135)*('M_利用者'!$B$4:$B$60&lt;&gt;""))=0,"",IF(SUMIFS($U$5:$U$204,$B$5:$B$204,$B135,$E$5:$E$204,"&gt;="&amp;DATE(YEAR($E135),MONTH($E135),1),$E$5:$E$204,"&lt;="&amp;EOMONTH($E135,0))&gt;SUMIFS('M_利用者'!$B$4:$B$60,'M_利用者'!$A$4:$A$60,$B135),"⚠支給量超過","")))</f>
        <v/>
      </c>
      <c r="U135" s="8">
        <f>IF(OR($E135="",$G135="",$K135="キャンセル"),0,IF(IFERROR(INDEX('M_区分'!$B$4:$B$20,MATCH($C135,'M_区分'!$A$4:$A$20,0)),"○")="○",$G135-$E135+1,0))</f>
        <v/>
      </c>
    </row>
    <row r="136">
      <c r="A136" s="8">
        <f>IF($E136="","","SS-"&amp;TEXT(ROW()-4,"0000"))</f>
        <v/>
      </c>
      <c r="B136" s="9" t="n"/>
      <c r="C136" s="9" t="n"/>
      <c r="D136" s="9" t="n"/>
      <c r="E136" s="10" t="n"/>
      <c r="F136" s="11" t="n"/>
      <c r="G136" s="10" t="n"/>
      <c r="H136" s="11" t="n"/>
      <c r="I136" s="8">
        <f>IF(OR($E136="",$G136=""),"",$G136-$E136+1)</f>
        <v/>
      </c>
      <c r="J136" s="8">
        <f>IF(OR($E136="",$G136=""),"",$G136-$E136)</f>
        <v/>
      </c>
      <c r="K136" s="9" t="n"/>
      <c r="L136" s="9" t="n"/>
      <c r="M136" s="9" t="n"/>
      <c r="N136" s="9" t="n"/>
      <c r="O136" s="9" t="n"/>
      <c r="P136" s="9" t="n"/>
      <c r="Q136" s="10" t="n"/>
      <c r="R136" s="9" t="n"/>
      <c r="S136" s="8">
        <f>IF($D136="","",IF(COUNTIF('M_部屋'!$A$4:$A$20,$D136)=0,"⚠部屋が未登録",IF(OR($E136="",$G136="",$K136="キャンセル"),"",IF(SUMPRODUCT(($D$5:$D$204=$D136)*($E$5:$E$204&lt;&gt;"")*($G$5:$G$204&lt;&gt;"")*($K$5:$K$204&lt;&gt;"キャンセル")*($E$5:$E$204&lt;$G136)*($G$5:$G$204&gt;$E136))&gt;1,"⚠重複",""))))</f>
        <v/>
      </c>
      <c r="T136" s="8">
        <f>IF(OR($B136="",$E136=""),"",IF(SUMPRODUCT(('M_利用者'!$A$4:$A$60=$B136)*('M_利用者'!$B$4:$B$60&lt;&gt;""))=0,"",IF(SUMIFS($U$5:$U$204,$B$5:$B$204,$B136,$E$5:$E$204,"&gt;="&amp;DATE(YEAR($E136),MONTH($E136),1),$E$5:$E$204,"&lt;="&amp;EOMONTH($E136,0))&gt;SUMIFS('M_利用者'!$B$4:$B$60,'M_利用者'!$A$4:$A$60,$B136),"⚠支給量超過","")))</f>
        <v/>
      </c>
      <c r="U136" s="8">
        <f>IF(OR($E136="",$G136="",$K136="キャンセル"),0,IF(IFERROR(INDEX('M_区分'!$B$4:$B$20,MATCH($C136,'M_区分'!$A$4:$A$20,0)),"○")="○",$G136-$E136+1,0))</f>
        <v/>
      </c>
    </row>
    <row r="137">
      <c r="A137" s="8">
        <f>IF($E137="","","SS-"&amp;TEXT(ROW()-4,"0000"))</f>
        <v/>
      </c>
      <c r="B137" s="9" t="n"/>
      <c r="C137" s="9" t="n"/>
      <c r="D137" s="9" t="n"/>
      <c r="E137" s="10" t="n"/>
      <c r="F137" s="11" t="n"/>
      <c r="G137" s="10" t="n"/>
      <c r="H137" s="11" t="n"/>
      <c r="I137" s="8">
        <f>IF(OR($E137="",$G137=""),"",$G137-$E137+1)</f>
        <v/>
      </c>
      <c r="J137" s="8">
        <f>IF(OR($E137="",$G137=""),"",$G137-$E137)</f>
        <v/>
      </c>
      <c r="K137" s="9" t="n"/>
      <c r="L137" s="9" t="n"/>
      <c r="M137" s="9" t="n"/>
      <c r="N137" s="9" t="n"/>
      <c r="O137" s="9" t="n"/>
      <c r="P137" s="9" t="n"/>
      <c r="Q137" s="10" t="n"/>
      <c r="R137" s="9" t="n"/>
      <c r="S137" s="8">
        <f>IF($D137="","",IF(COUNTIF('M_部屋'!$A$4:$A$20,$D137)=0,"⚠部屋が未登録",IF(OR($E137="",$G137="",$K137="キャンセル"),"",IF(SUMPRODUCT(($D$5:$D$204=$D137)*($E$5:$E$204&lt;&gt;"")*($G$5:$G$204&lt;&gt;"")*($K$5:$K$204&lt;&gt;"キャンセル")*($E$5:$E$204&lt;$G137)*($G$5:$G$204&gt;$E137))&gt;1,"⚠重複",""))))</f>
        <v/>
      </c>
      <c r="T137" s="8">
        <f>IF(OR($B137="",$E137=""),"",IF(SUMPRODUCT(('M_利用者'!$A$4:$A$60=$B137)*('M_利用者'!$B$4:$B$60&lt;&gt;""))=0,"",IF(SUMIFS($U$5:$U$204,$B$5:$B$204,$B137,$E$5:$E$204,"&gt;="&amp;DATE(YEAR($E137),MONTH($E137),1),$E$5:$E$204,"&lt;="&amp;EOMONTH($E137,0))&gt;SUMIFS('M_利用者'!$B$4:$B$60,'M_利用者'!$A$4:$A$60,$B137),"⚠支給量超過","")))</f>
        <v/>
      </c>
      <c r="U137" s="8">
        <f>IF(OR($E137="",$G137="",$K137="キャンセル"),0,IF(IFERROR(INDEX('M_区分'!$B$4:$B$20,MATCH($C137,'M_区分'!$A$4:$A$20,0)),"○")="○",$G137-$E137+1,0))</f>
        <v/>
      </c>
    </row>
    <row r="138">
      <c r="A138" s="8">
        <f>IF($E138="","","SS-"&amp;TEXT(ROW()-4,"0000"))</f>
        <v/>
      </c>
      <c r="B138" s="9" t="n"/>
      <c r="C138" s="9" t="n"/>
      <c r="D138" s="9" t="n"/>
      <c r="E138" s="10" t="n"/>
      <c r="F138" s="11" t="n"/>
      <c r="G138" s="10" t="n"/>
      <c r="H138" s="11" t="n"/>
      <c r="I138" s="8">
        <f>IF(OR($E138="",$G138=""),"",$G138-$E138+1)</f>
        <v/>
      </c>
      <c r="J138" s="8">
        <f>IF(OR($E138="",$G138=""),"",$G138-$E138)</f>
        <v/>
      </c>
      <c r="K138" s="9" t="n"/>
      <c r="L138" s="9" t="n"/>
      <c r="M138" s="9" t="n"/>
      <c r="N138" s="9" t="n"/>
      <c r="O138" s="9" t="n"/>
      <c r="P138" s="9" t="n"/>
      <c r="Q138" s="10" t="n"/>
      <c r="R138" s="9" t="n"/>
      <c r="S138" s="8">
        <f>IF($D138="","",IF(COUNTIF('M_部屋'!$A$4:$A$20,$D138)=0,"⚠部屋が未登録",IF(OR($E138="",$G138="",$K138="キャンセル"),"",IF(SUMPRODUCT(($D$5:$D$204=$D138)*($E$5:$E$204&lt;&gt;"")*($G$5:$G$204&lt;&gt;"")*($K$5:$K$204&lt;&gt;"キャンセル")*($E$5:$E$204&lt;$G138)*($G$5:$G$204&gt;$E138))&gt;1,"⚠重複",""))))</f>
        <v/>
      </c>
      <c r="T138" s="8">
        <f>IF(OR($B138="",$E138=""),"",IF(SUMPRODUCT(('M_利用者'!$A$4:$A$60=$B138)*('M_利用者'!$B$4:$B$60&lt;&gt;""))=0,"",IF(SUMIFS($U$5:$U$204,$B$5:$B$204,$B138,$E$5:$E$204,"&gt;="&amp;DATE(YEAR($E138),MONTH($E138),1),$E$5:$E$204,"&lt;="&amp;EOMONTH($E138,0))&gt;SUMIFS('M_利用者'!$B$4:$B$60,'M_利用者'!$A$4:$A$60,$B138),"⚠支給量超過","")))</f>
        <v/>
      </c>
      <c r="U138" s="8">
        <f>IF(OR($E138="",$G138="",$K138="キャンセル"),0,IF(IFERROR(INDEX('M_区分'!$B$4:$B$20,MATCH($C138,'M_区分'!$A$4:$A$20,0)),"○")="○",$G138-$E138+1,0))</f>
        <v/>
      </c>
    </row>
    <row r="139">
      <c r="A139" s="8">
        <f>IF($E139="","","SS-"&amp;TEXT(ROW()-4,"0000"))</f>
        <v/>
      </c>
      <c r="B139" s="9" t="n"/>
      <c r="C139" s="9" t="n"/>
      <c r="D139" s="9" t="n"/>
      <c r="E139" s="10" t="n"/>
      <c r="F139" s="11" t="n"/>
      <c r="G139" s="10" t="n"/>
      <c r="H139" s="11" t="n"/>
      <c r="I139" s="8">
        <f>IF(OR($E139="",$G139=""),"",$G139-$E139+1)</f>
        <v/>
      </c>
      <c r="J139" s="8">
        <f>IF(OR($E139="",$G139=""),"",$G139-$E139)</f>
        <v/>
      </c>
      <c r="K139" s="9" t="n"/>
      <c r="L139" s="9" t="n"/>
      <c r="M139" s="9" t="n"/>
      <c r="N139" s="9" t="n"/>
      <c r="O139" s="9" t="n"/>
      <c r="P139" s="9" t="n"/>
      <c r="Q139" s="10" t="n"/>
      <c r="R139" s="9" t="n"/>
      <c r="S139" s="8">
        <f>IF($D139="","",IF(COUNTIF('M_部屋'!$A$4:$A$20,$D139)=0,"⚠部屋が未登録",IF(OR($E139="",$G139="",$K139="キャンセル"),"",IF(SUMPRODUCT(($D$5:$D$204=$D139)*($E$5:$E$204&lt;&gt;"")*($G$5:$G$204&lt;&gt;"")*($K$5:$K$204&lt;&gt;"キャンセル")*($E$5:$E$204&lt;$G139)*($G$5:$G$204&gt;$E139))&gt;1,"⚠重複",""))))</f>
        <v/>
      </c>
      <c r="T139" s="8">
        <f>IF(OR($B139="",$E139=""),"",IF(SUMPRODUCT(('M_利用者'!$A$4:$A$60=$B139)*('M_利用者'!$B$4:$B$60&lt;&gt;""))=0,"",IF(SUMIFS($U$5:$U$204,$B$5:$B$204,$B139,$E$5:$E$204,"&gt;="&amp;DATE(YEAR($E139),MONTH($E139),1),$E$5:$E$204,"&lt;="&amp;EOMONTH($E139,0))&gt;SUMIFS('M_利用者'!$B$4:$B$60,'M_利用者'!$A$4:$A$60,$B139),"⚠支給量超過","")))</f>
        <v/>
      </c>
      <c r="U139" s="8">
        <f>IF(OR($E139="",$G139="",$K139="キャンセル"),0,IF(IFERROR(INDEX('M_区分'!$B$4:$B$20,MATCH($C139,'M_区分'!$A$4:$A$20,0)),"○")="○",$G139-$E139+1,0))</f>
        <v/>
      </c>
    </row>
    <row r="140">
      <c r="A140" s="8">
        <f>IF($E140="","","SS-"&amp;TEXT(ROW()-4,"0000"))</f>
        <v/>
      </c>
      <c r="B140" s="9" t="n"/>
      <c r="C140" s="9" t="n"/>
      <c r="D140" s="9" t="n"/>
      <c r="E140" s="10" t="n"/>
      <c r="F140" s="11" t="n"/>
      <c r="G140" s="10" t="n"/>
      <c r="H140" s="11" t="n"/>
      <c r="I140" s="8">
        <f>IF(OR($E140="",$G140=""),"",$G140-$E140+1)</f>
        <v/>
      </c>
      <c r="J140" s="8">
        <f>IF(OR($E140="",$G140=""),"",$G140-$E140)</f>
        <v/>
      </c>
      <c r="K140" s="9" t="n"/>
      <c r="L140" s="9" t="n"/>
      <c r="M140" s="9" t="n"/>
      <c r="N140" s="9" t="n"/>
      <c r="O140" s="9" t="n"/>
      <c r="P140" s="9" t="n"/>
      <c r="Q140" s="10" t="n"/>
      <c r="R140" s="9" t="n"/>
      <c r="S140" s="8">
        <f>IF($D140="","",IF(COUNTIF('M_部屋'!$A$4:$A$20,$D140)=0,"⚠部屋が未登録",IF(OR($E140="",$G140="",$K140="キャンセル"),"",IF(SUMPRODUCT(($D$5:$D$204=$D140)*($E$5:$E$204&lt;&gt;"")*($G$5:$G$204&lt;&gt;"")*($K$5:$K$204&lt;&gt;"キャンセル")*($E$5:$E$204&lt;$G140)*($G$5:$G$204&gt;$E140))&gt;1,"⚠重複",""))))</f>
        <v/>
      </c>
      <c r="T140" s="8">
        <f>IF(OR($B140="",$E140=""),"",IF(SUMPRODUCT(('M_利用者'!$A$4:$A$60=$B140)*('M_利用者'!$B$4:$B$60&lt;&gt;""))=0,"",IF(SUMIFS($U$5:$U$204,$B$5:$B$204,$B140,$E$5:$E$204,"&gt;="&amp;DATE(YEAR($E140),MONTH($E140),1),$E$5:$E$204,"&lt;="&amp;EOMONTH($E140,0))&gt;SUMIFS('M_利用者'!$B$4:$B$60,'M_利用者'!$A$4:$A$60,$B140),"⚠支給量超過","")))</f>
        <v/>
      </c>
      <c r="U140" s="8">
        <f>IF(OR($E140="",$G140="",$K140="キャンセル"),0,IF(IFERROR(INDEX('M_区分'!$B$4:$B$20,MATCH($C140,'M_区分'!$A$4:$A$20,0)),"○")="○",$G140-$E140+1,0))</f>
        <v/>
      </c>
    </row>
    <row r="141">
      <c r="A141" s="8">
        <f>IF($E141="","","SS-"&amp;TEXT(ROW()-4,"0000"))</f>
        <v/>
      </c>
      <c r="B141" s="9" t="n"/>
      <c r="C141" s="9" t="n"/>
      <c r="D141" s="9" t="n"/>
      <c r="E141" s="10" t="n"/>
      <c r="F141" s="11" t="n"/>
      <c r="G141" s="10" t="n"/>
      <c r="H141" s="11" t="n"/>
      <c r="I141" s="8">
        <f>IF(OR($E141="",$G141=""),"",$G141-$E141+1)</f>
        <v/>
      </c>
      <c r="J141" s="8">
        <f>IF(OR($E141="",$G141=""),"",$G141-$E141)</f>
        <v/>
      </c>
      <c r="K141" s="9" t="n"/>
      <c r="L141" s="9" t="n"/>
      <c r="M141" s="9" t="n"/>
      <c r="N141" s="9" t="n"/>
      <c r="O141" s="9" t="n"/>
      <c r="P141" s="9" t="n"/>
      <c r="Q141" s="10" t="n"/>
      <c r="R141" s="9" t="n"/>
      <c r="S141" s="8">
        <f>IF($D141="","",IF(COUNTIF('M_部屋'!$A$4:$A$20,$D141)=0,"⚠部屋が未登録",IF(OR($E141="",$G141="",$K141="キャンセル"),"",IF(SUMPRODUCT(($D$5:$D$204=$D141)*($E$5:$E$204&lt;&gt;"")*($G$5:$G$204&lt;&gt;"")*($K$5:$K$204&lt;&gt;"キャンセル")*($E$5:$E$204&lt;$G141)*($G$5:$G$204&gt;$E141))&gt;1,"⚠重複",""))))</f>
        <v/>
      </c>
      <c r="T141" s="8">
        <f>IF(OR($B141="",$E141=""),"",IF(SUMPRODUCT(('M_利用者'!$A$4:$A$60=$B141)*('M_利用者'!$B$4:$B$60&lt;&gt;""))=0,"",IF(SUMIFS($U$5:$U$204,$B$5:$B$204,$B141,$E$5:$E$204,"&gt;="&amp;DATE(YEAR($E141),MONTH($E141),1),$E$5:$E$204,"&lt;="&amp;EOMONTH($E141,0))&gt;SUMIFS('M_利用者'!$B$4:$B$60,'M_利用者'!$A$4:$A$60,$B141),"⚠支給量超過","")))</f>
        <v/>
      </c>
      <c r="U141" s="8">
        <f>IF(OR($E141="",$G141="",$K141="キャンセル"),0,IF(IFERROR(INDEX('M_区分'!$B$4:$B$20,MATCH($C141,'M_区分'!$A$4:$A$20,0)),"○")="○",$G141-$E141+1,0))</f>
        <v/>
      </c>
    </row>
    <row r="142">
      <c r="A142" s="8">
        <f>IF($E142="","","SS-"&amp;TEXT(ROW()-4,"0000"))</f>
        <v/>
      </c>
      <c r="B142" s="9" t="n"/>
      <c r="C142" s="9" t="n"/>
      <c r="D142" s="9" t="n"/>
      <c r="E142" s="10" t="n"/>
      <c r="F142" s="11" t="n"/>
      <c r="G142" s="10" t="n"/>
      <c r="H142" s="11" t="n"/>
      <c r="I142" s="8">
        <f>IF(OR($E142="",$G142=""),"",$G142-$E142+1)</f>
        <v/>
      </c>
      <c r="J142" s="8">
        <f>IF(OR($E142="",$G142=""),"",$G142-$E142)</f>
        <v/>
      </c>
      <c r="K142" s="9" t="n"/>
      <c r="L142" s="9" t="n"/>
      <c r="M142" s="9" t="n"/>
      <c r="N142" s="9" t="n"/>
      <c r="O142" s="9" t="n"/>
      <c r="P142" s="9" t="n"/>
      <c r="Q142" s="10" t="n"/>
      <c r="R142" s="9" t="n"/>
      <c r="S142" s="8">
        <f>IF($D142="","",IF(COUNTIF('M_部屋'!$A$4:$A$20,$D142)=0,"⚠部屋が未登録",IF(OR($E142="",$G142="",$K142="キャンセル"),"",IF(SUMPRODUCT(($D$5:$D$204=$D142)*($E$5:$E$204&lt;&gt;"")*($G$5:$G$204&lt;&gt;"")*($K$5:$K$204&lt;&gt;"キャンセル")*($E$5:$E$204&lt;$G142)*($G$5:$G$204&gt;$E142))&gt;1,"⚠重複",""))))</f>
        <v/>
      </c>
      <c r="T142" s="8">
        <f>IF(OR($B142="",$E142=""),"",IF(SUMPRODUCT(('M_利用者'!$A$4:$A$60=$B142)*('M_利用者'!$B$4:$B$60&lt;&gt;""))=0,"",IF(SUMIFS($U$5:$U$204,$B$5:$B$204,$B142,$E$5:$E$204,"&gt;="&amp;DATE(YEAR($E142),MONTH($E142),1),$E$5:$E$204,"&lt;="&amp;EOMONTH($E142,0))&gt;SUMIFS('M_利用者'!$B$4:$B$60,'M_利用者'!$A$4:$A$60,$B142),"⚠支給量超過","")))</f>
        <v/>
      </c>
      <c r="U142" s="8">
        <f>IF(OR($E142="",$G142="",$K142="キャンセル"),0,IF(IFERROR(INDEX('M_区分'!$B$4:$B$20,MATCH($C142,'M_区分'!$A$4:$A$20,0)),"○")="○",$G142-$E142+1,0))</f>
        <v/>
      </c>
    </row>
    <row r="143">
      <c r="A143" s="8">
        <f>IF($E143="","","SS-"&amp;TEXT(ROW()-4,"0000"))</f>
        <v/>
      </c>
      <c r="B143" s="9" t="n"/>
      <c r="C143" s="9" t="n"/>
      <c r="D143" s="9" t="n"/>
      <c r="E143" s="10" t="n"/>
      <c r="F143" s="11" t="n"/>
      <c r="G143" s="10" t="n"/>
      <c r="H143" s="11" t="n"/>
      <c r="I143" s="8">
        <f>IF(OR($E143="",$G143=""),"",$G143-$E143+1)</f>
        <v/>
      </c>
      <c r="J143" s="8">
        <f>IF(OR($E143="",$G143=""),"",$G143-$E143)</f>
        <v/>
      </c>
      <c r="K143" s="9" t="n"/>
      <c r="L143" s="9" t="n"/>
      <c r="M143" s="9" t="n"/>
      <c r="N143" s="9" t="n"/>
      <c r="O143" s="9" t="n"/>
      <c r="P143" s="9" t="n"/>
      <c r="Q143" s="10" t="n"/>
      <c r="R143" s="9" t="n"/>
      <c r="S143" s="8">
        <f>IF($D143="","",IF(COUNTIF('M_部屋'!$A$4:$A$20,$D143)=0,"⚠部屋が未登録",IF(OR($E143="",$G143="",$K143="キャンセル"),"",IF(SUMPRODUCT(($D$5:$D$204=$D143)*($E$5:$E$204&lt;&gt;"")*($G$5:$G$204&lt;&gt;"")*($K$5:$K$204&lt;&gt;"キャンセル")*($E$5:$E$204&lt;$G143)*($G$5:$G$204&gt;$E143))&gt;1,"⚠重複",""))))</f>
        <v/>
      </c>
      <c r="T143" s="8">
        <f>IF(OR($B143="",$E143=""),"",IF(SUMPRODUCT(('M_利用者'!$A$4:$A$60=$B143)*('M_利用者'!$B$4:$B$60&lt;&gt;""))=0,"",IF(SUMIFS($U$5:$U$204,$B$5:$B$204,$B143,$E$5:$E$204,"&gt;="&amp;DATE(YEAR($E143),MONTH($E143),1),$E$5:$E$204,"&lt;="&amp;EOMONTH($E143,0))&gt;SUMIFS('M_利用者'!$B$4:$B$60,'M_利用者'!$A$4:$A$60,$B143),"⚠支給量超過","")))</f>
        <v/>
      </c>
      <c r="U143" s="8">
        <f>IF(OR($E143="",$G143="",$K143="キャンセル"),0,IF(IFERROR(INDEX('M_区分'!$B$4:$B$20,MATCH($C143,'M_区分'!$A$4:$A$20,0)),"○")="○",$G143-$E143+1,0))</f>
        <v/>
      </c>
    </row>
    <row r="144">
      <c r="A144" s="8">
        <f>IF($E144="","","SS-"&amp;TEXT(ROW()-4,"0000"))</f>
        <v/>
      </c>
      <c r="B144" s="9" t="n"/>
      <c r="C144" s="9" t="n"/>
      <c r="D144" s="9" t="n"/>
      <c r="E144" s="10" t="n"/>
      <c r="F144" s="11" t="n"/>
      <c r="G144" s="10" t="n"/>
      <c r="H144" s="11" t="n"/>
      <c r="I144" s="8">
        <f>IF(OR($E144="",$G144=""),"",$G144-$E144+1)</f>
        <v/>
      </c>
      <c r="J144" s="8">
        <f>IF(OR($E144="",$G144=""),"",$G144-$E144)</f>
        <v/>
      </c>
      <c r="K144" s="9" t="n"/>
      <c r="L144" s="9" t="n"/>
      <c r="M144" s="9" t="n"/>
      <c r="N144" s="9" t="n"/>
      <c r="O144" s="9" t="n"/>
      <c r="P144" s="9" t="n"/>
      <c r="Q144" s="10" t="n"/>
      <c r="R144" s="9" t="n"/>
      <c r="S144" s="8">
        <f>IF($D144="","",IF(COUNTIF('M_部屋'!$A$4:$A$20,$D144)=0,"⚠部屋が未登録",IF(OR($E144="",$G144="",$K144="キャンセル"),"",IF(SUMPRODUCT(($D$5:$D$204=$D144)*($E$5:$E$204&lt;&gt;"")*($G$5:$G$204&lt;&gt;"")*($K$5:$K$204&lt;&gt;"キャンセル")*($E$5:$E$204&lt;$G144)*($G$5:$G$204&gt;$E144))&gt;1,"⚠重複",""))))</f>
        <v/>
      </c>
      <c r="T144" s="8">
        <f>IF(OR($B144="",$E144=""),"",IF(SUMPRODUCT(('M_利用者'!$A$4:$A$60=$B144)*('M_利用者'!$B$4:$B$60&lt;&gt;""))=0,"",IF(SUMIFS($U$5:$U$204,$B$5:$B$204,$B144,$E$5:$E$204,"&gt;="&amp;DATE(YEAR($E144),MONTH($E144),1),$E$5:$E$204,"&lt;="&amp;EOMONTH($E144,0))&gt;SUMIFS('M_利用者'!$B$4:$B$60,'M_利用者'!$A$4:$A$60,$B144),"⚠支給量超過","")))</f>
        <v/>
      </c>
      <c r="U144" s="8">
        <f>IF(OR($E144="",$G144="",$K144="キャンセル"),0,IF(IFERROR(INDEX('M_区分'!$B$4:$B$20,MATCH($C144,'M_区分'!$A$4:$A$20,0)),"○")="○",$G144-$E144+1,0))</f>
        <v/>
      </c>
    </row>
    <row r="145">
      <c r="A145" s="8">
        <f>IF($E145="","","SS-"&amp;TEXT(ROW()-4,"0000"))</f>
        <v/>
      </c>
      <c r="B145" s="9" t="n"/>
      <c r="C145" s="9" t="n"/>
      <c r="D145" s="9" t="n"/>
      <c r="E145" s="10" t="n"/>
      <c r="F145" s="11" t="n"/>
      <c r="G145" s="10" t="n"/>
      <c r="H145" s="11" t="n"/>
      <c r="I145" s="8">
        <f>IF(OR($E145="",$G145=""),"",$G145-$E145+1)</f>
        <v/>
      </c>
      <c r="J145" s="8">
        <f>IF(OR($E145="",$G145=""),"",$G145-$E145)</f>
        <v/>
      </c>
      <c r="K145" s="9" t="n"/>
      <c r="L145" s="9" t="n"/>
      <c r="M145" s="9" t="n"/>
      <c r="N145" s="9" t="n"/>
      <c r="O145" s="9" t="n"/>
      <c r="P145" s="9" t="n"/>
      <c r="Q145" s="10" t="n"/>
      <c r="R145" s="9" t="n"/>
      <c r="S145" s="8">
        <f>IF($D145="","",IF(COUNTIF('M_部屋'!$A$4:$A$20,$D145)=0,"⚠部屋が未登録",IF(OR($E145="",$G145="",$K145="キャンセル"),"",IF(SUMPRODUCT(($D$5:$D$204=$D145)*($E$5:$E$204&lt;&gt;"")*($G$5:$G$204&lt;&gt;"")*($K$5:$K$204&lt;&gt;"キャンセル")*($E$5:$E$204&lt;$G145)*($G$5:$G$204&gt;$E145))&gt;1,"⚠重複",""))))</f>
        <v/>
      </c>
      <c r="T145" s="8">
        <f>IF(OR($B145="",$E145=""),"",IF(SUMPRODUCT(('M_利用者'!$A$4:$A$60=$B145)*('M_利用者'!$B$4:$B$60&lt;&gt;""))=0,"",IF(SUMIFS($U$5:$U$204,$B$5:$B$204,$B145,$E$5:$E$204,"&gt;="&amp;DATE(YEAR($E145),MONTH($E145),1),$E$5:$E$204,"&lt;="&amp;EOMONTH($E145,0))&gt;SUMIFS('M_利用者'!$B$4:$B$60,'M_利用者'!$A$4:$A$60,$B145),"⚠支給量超過","")))</f>
        <v/>
      </c>
      <c r="U145" s="8">
        <f>IF(OR($E145="",$G145="",$K145="キャンセル"),0,IF(IFERROR(INDEX('M_区分'!$B$4:$B$20,MATCH($C145,'M_区分'!$A$4:$A$20,0)),"○")="○",$G145-$E145+1,0))</f>
        <v/>
      </c>
    </row>
    <row r="146">
      <c r="A146" s="8">
        <f>IF($E146="","","SS-"&amp;TEXT(ROW()-4,"0000"))</f>
        <v/>
      </c>
      <c r="B146" s="9" t="n"/>
      <c r="C146" s="9" t="n"/>
      <c r="D146" s="9" t="n"/>
      <c r="E146" s="10" t="n"/>
      <c r="F146" s="11" t="n"/>
      <c r="G146" s="10" t="n"/>
      <c r="H146" s="11" t="n"/>
      <c r="I146" s="8">
        <f>IF(OR($E146="",$G146=""),"",$G146-$E146+1)</f>
        <v/>
      </c>
      <c r="J146" s="8">
        <f>IF(OR($E146="",$G146=""),"",$G146-$E146)</f>
        <v/>
      </c>
      <c r="K146" s="9" t="n"/>
      <c r="L146" s="9" t="n"/>
      <c r="M146" s="9" t="n"/>
      <c r="N146" s="9" t="n"/>
      <c r="O146" s="9" t="n"/>
      <c r="P146" s="9" t="n"/>
      <c r="Q146" s="10" t="n"/>
      <c r="R146" s="9" t="n"/>
      <c r="S146" s="8">
        <f>IF($D146="","",IF(COUNTIF('M_部屋'!$A$4:$A$20,$D146)=0,"⚠部屋が未登録",IF(OR($E146="",$G146="",$K146="キャンセル"),"",IF(SUMPRODUCT(($D$5:$D$204=$D146)*($E$5:$E$204&lt;&gt;"")*($G$5:$G$204&lt;&gt;"")*($K$5:$K$204&lt;&gt;"キャンセル")*($E$5:$E$204&lt;$G146)*($G$5:$G$204&gt;$E146))&gt;1,"⚠重複",""))))</f>
        <v/>
      </c>
      <c r="T146" s="8">
        <f>IF(OR($B146="",$E146=""),"",IF(SUMPRODUCT(('M_利用者'!$A$4:$A$60=$B146)*('M_利用者'!$B$4:$B$60&lt;&gt;""))=0,"",IF(SUMIFS($U$5:$U$204,$B$5:$B$204,$B146,$E$5:$E$204,"&gt;="&amp;DATE(YEAR($E146),MONTH($E146),1),$E$5:$E$204,"&lt;="&amp;EOMONTH($E146,0))&gt;SUMIFS('M_利用者'!$B$4:$B$60,'M_利用者'!$A$4:$A$60,$B146),"⚠支給量超過","")))</f>
        <v/>
      </c>
      <c r="U146" s="8">
        <f>IF(OR($E146="",$G146="",$K146="キャンセル"),0,IF(IFERROR(INDEX('M_区分'!$B$4:$B$20,MATCH($C146,'M_区分'!$A$4:$A$20,0)),"○")="○",$G146-$E146+1,0))</f>
        <v/>
      </c>
    </row>
    <row r="147">
      <c r="A147" s="8">
        <f>IF($E147="","","SS-"&amp;TEXT(ROW()-4,"0000"))</f>
        <v/>
      </c>
      <c r="B147" s="9" t="n"/>
      <c r="C147" s="9" t="n"/>
      <c r="D147" s="9" t="n"/>
      <c r="E147" s="10" t="n"/>
      <c r="F147" s="11" t="n"/>
      <c r="G147" s="10" t="n"/>
      <c r="H147" s="11" t="n"/>
      <c r="I147" s="8">
        <f>IF(OR($E147="",$G147=""),"",$G147-$E147+1)</f>
        <v/>
      </c>
      <c r="J147" s="8">
        <f>IF(OR($E147="",$G147=""),"",$G147-$E147)</f>
        <v/>
      </c>
      <c r="K147" s="9" t="n"/>
      <c r="L147" s="9" t="n"/>
      <c r="M147" s="9" t="n"/>
      <c r="N147" s="9" t="n"/>
      <c r="O147" s="9" t="n"/>
      <c r="P147" s="9" t="n"/>
      <c r="Q147" s="10" t="n"/>
      <c r="R147" s="9" t="n"/>
      <c r="S147" s="8">
        <f>IF($D147="","",IF(COUNTIF('M_部屋'!$A$4:$A$20,$D147)=0,"⚠部屋が未登録",IF(OR($E147="",$G147="",$K147="キャンセル"),"",IF(SUMPRODUCT(($D$5:$D$204=$D147)*($E$5:$E$204&lt;&gt;"")*($G$5:$G$204&lt;&gt;"")*($K$5:$K$204&lt;&gt;"キャンセル")*($E$5:$E$204&lt;$G147)*($G$5:$G$204&gt;$E147))&gt;1,"⚠重複",""))))</f>
        <v/>
      </c>
      <c r="T147" s="8">
        <f>IF(OR($B147="",$E147=""),"",IF(SUMPRODUCT(('M_利用者'!$A$4:$A$60=$B147)*('M_利用者'!$B$4:$B$60&lt;&gt;""))=0,"",IF(SUMIFS($U$5:$U$204,$B$5:$B$204,$B147,$E$5:$E$204,"&gt;="&amp;DATE(YEAR($E147),MONTH($E147),1),$E$5:$E$204,"&lt;="&amp;EOMONTH($E147,0))&gt;SUMIFS('M_利用者'!$B$4:$B$60,'M_利用者'!$A$4:$A$60,$B147),"⚠支給量超過","")))</f>
        <v/>
      </c>
      <c r="U147" s="8">
        <f>IF(OR($E147="",$G147="",$K147="キャンセル"),0,IF(IFERROR(INDEX('M_区分'!$B$4:$B$20,MATCH($C147,'M_区分'!$A$4:$A$20,0)),"○")="○",$G147-$E147+1,0))</f>
        <v/>
      </c>
    </row>
    <row r="148">
      <c r="A148" s="8">
        <f>IF($E148="","","SS-"&amp;TEXT(ROW()-4,"0000"))</f>
        <v/>
      </c>
      <c r="B148" s="9" t="n"/>
      <c r="C148" s="9" t="n"/>
      <c r="D148" s="9" t="n"/>
      <c r="E148" s="10" t="n"/>
      <c r="F148" s="11" t="n"/>
      <c r="G148" s="10" t="n"/>
      <c r="H148" s="11" t="n"/>
      <c r="I148" s="8">
        <f>IF(OR($E148="",$G148=""),"",$G148-$E148+1)</f>
        <v/>
      </c>
      <c r="J148" s="8">
        <f>IF(OR($E148="",$G148=""),"",$G148-$E148)</f>
        <v/>
      </c>
      <c r="K148" s="9" t="n"/>
      <c r="L148" s="9" t="n"/>
      <c r="M148" s="9" t="n"/>
      <c r="N148" s="9" t="n"/>
      <c r="O148" s="9" t="n"/>
      <c r="P148" s="9" t="n"/>
      <c r="Q148" s="10" t="n"/>
      <c r="R148" s="9" t="n"/>
      <c r="S148" s="8">
        <f>IF($D148="","",IF(COUNTIF('M_部屋'!$A$4:$A$20,$D148)=0,"⚠部屋が未登録",IF(OR($E148="",$G148="",$K148="キャンセル"),"",IF(SUMPRODUCT(($D$5:$D$204=$D148)*($E$5:$E$204&lt;&gt;"")*($G$5:$G$204&lt;&gt;"")*($K$5:$K$204&lt;&gt;"キャンセル")*($E$5:$E$204&lt;$G148)*($G$5:$G$204&gt;$E148))&gt;1,"⚠重複",""))))</f>
        <v/>
      </c>
      <c r="T148" s="8">
        <f>IF(OR($B148="",$E148=""),"",IF(SUMPRODUCT(('M_利用者'!$A$4:$A$60=$B148)*('M_利用者'!$B$4:$B$60&lt;&gt;""))=0,"",IF(SUMIFS($U$5:$U$204,$B$5:$B$204,$B148,$E$5:$E$204,"&gt;="&amp;DATE(YEAR($E148),MONTH($E148),1),$E$5:$E$204,"&lt;="&amp;EOMONTH($E148,0))&gt;SUMIFS('M_利用者'!$B$4:$B$60,'M_利用者'!$A$4:$A$60,$B148),"⚠支給量超過","")))</f>
        <v/>
      </c>
      <c r="U148" s="8">
        <f>IF(OR($E148="",$G148="",$K148="キャンセル"),0,IF(IFERROR(INDEX('M_区分'!$B$4:$B$20,MATCH($C148,'M_区分'!$A$4:$A$20,0)),"○")="○",$G148-$E148+1,0))</f>
        <v/>
      </c>
    </row>
    <row r="149">
      <c r="A149" s="8">
        <f>IF($E149="","","SS-"&amp;TEXT(ROW()-4,"0000"))</f>
        <v/>
      </c>
      <c r="B149" s="9" t="n"/>
      <c r="C149" s="9" t="n"/>
      <c r="D149" s="9" t="n"/>
      <c r="E149" s="10" t="n"/>
      <c r="F149" s="11" t="n"/>
      <c r="G149" s="10" t="n"/>
      <c r="H149" s="11" t="n"/>
      <c r="I149" s="8">
        <f>IF(OR($E149="",$G149=""),"",$G149-$E149+1)</f>
        <v/>
      </c>
      <c r="J149" s="8">
        <f>IF(OR($E149="",$G149=""),"",$G149-$E149)</f>
        <v/>
      </c>
      <c r="K149" s="9" t="n"/>
      <c r="L149" s="9" t="n"/>
      <c r="M149" s="9" t="n"/>
      <c r="N149" s="9" t="n"/>
      <c r="O149" s="9" t="n"/>
      <c r="P149" s="9" t="n"/>
      <c r="Q149" s="10" t="n"/>
      <c r="R149" s="9" t="n"/>
      <c r="S149" s="8">
        <f>IF($D149="","",IF(COUNTIF('M_部屋'!$A$4:$A$20,$D149)=0,"⚠部屋が未登録",IF(OR($E149="",$G149="",$K149="キャンセル"),"",IF(SUMPRODUCT(($D$5:$D$204=$D149)*($E$5:$E$204&lt;&gt;"")*($G$5:$G$204&lt;&gt;"")*($K$5:$K$204&lt;&gt;"キャンセル")*($E$5:$E$204&lt;$G149)*($G$5:$G$204&gt;$E149))&gt;1,"⚠重複",""))))</f>
        <v/>
      </c>
      <c r="T149" s="8">
        <f>IF(OR($B149="",$E149=""),"",IF(SUMPRODUCT(('M_利用者'!$A$4:$A$60=$B149)*('M_利用者'!$B$4:$B$60&lt;&gt;""))=0,"",IF(SUMIFS($U$5:$U$204,$B$5:$B$204,$B149,$E$5:$E$204,"&gt;="&amp;DATE(YEAR($E149),MONTH($E149),1),$E$5:$E$204,"&lt;="&amp;EOMONTH($E149,0))&gt;SUMIFS('M_利用者'!$B$4:$B$60,'M_利用者'!$A$4:$A$60,$B149),"⚠支給量超過","")))</f>
        <v/>
      </c>
      <c r="U149" s="8">
        <f>IF(OR($E149="",$G149="",$K149="キャンセル"),0,IF(IFERROR(INDEX('M_区分'!$B$4:$B$20,MATCH($C149,'M_区分'!$A$4:$A$20,0)),"○")="○",$G149-$E149+1,0))</f>
        <v/>
      </c>
    </row>
    <row r="150">
      <c r="A150" s="8">
        <f>IF($E150="","","SS-"&amp;TEXT(ROW()-4,"0000"))</f>
        <v/>
      </c>
      <c r="B150" s="9" t="n"/>
      <c r="C150" s="9" t="n"/>
      <c r="D150" s="9" t="n"/>
      <c r="E150" s="10" t="n"/>
      <c r="F150" s="11" t="n"/>
      <c r="G150" s="10" t="n"/>
      <c r="H150" s="11" t="n"/>
      <c r="I150" s="8">
        <f>IF(OR($E150="",$G150=""),"",$G150-$E150+1)</f>
        <v/>
      </c>
      <c r="J150" s="8">
        <f>IF(OR($E150="",$G150=""),"",$G150-$E150)</f>
        <v/>
      </c>
      <c r="K150" s="9" t="n"/>
      <c r="L150" s="9" t="n"/>
      <c r="M150" s="9" t="n"/>
      <c r="N150" s="9" t="n"/>
      <c r="O150" s="9" t="n"/>
      <c r="P150" s="9" t="n"/>
      <c r="Q150" s="10" t="n"/>
      <c r="R150" s="9" t="n"/>
      <c r="S150" s="8">
        <f>IF($D150="","",IF(COUNTIF('M_部屋'!$A$4:$A$20,$D150)=0,"⚠部屋が未登録",IF(OR($E150="",$G150="",$K150="キャンセル"),"",IF(SUMPRODUCT(($D$5:$D$204=$D150)*($E$5:$E$204&lt;&gt;"")*($G$5:$G$204&lt;&gt;"")*($K$5:$K$204&lt;&gt;"キャンセル")*($E$5:$E$204&lt;$G150)*($G$5:$G$204&gt;$E150))&gt;1,"⚠重複",""))))</f>
        <v/>
      </c>
      <c r="T150" s="8">
        <f>IF(OR($B150="",$E150=""),"",IF(SUMPRODUCT(('M_利用者'!$A$4:$A$60=$B150)*('M_利用者'!$B$4:$B$60&lt;&gt;""))=0,"",IF(SUMIFS($U$5:$U$204,$B$5:$B$204,$B150,$E$5:$E$204,"&gt;="&amp;DATE(YEAR($E150),MONTH($E150),1),$E$5:$E$204,"&lt;="&amp;EOMONTH($E150,0))&gt;SUMIFS('M_利用者'!$B$4:$B$60,'M_利用者'!$A$4:$A$60,$B150),"⚠支給量超過","")))</f>
        <v/>
      </c>
      <c r="U150" s="8">
        <f>IF(OR($E150="",$G150="",$K150="キャンセル"),0,IF(IFERROR(INDEX('M_区分'!$B$4:$B$20,MATCH($C150,'M_区分'!$A$4:$A$20,0)),"○")="○",$G150-$E150+1,0))</f>
        <v/>
      </c>
    </row>
    <row r="151">
      <c r="A151" s="8">
        <f>IF($E151="","","SS-"&amp;TEXT(ROW()-4,"0000"))</f>
        <v/>
      </c>
      <c r="B151" s="9" t="n"/>
      <c r="C151" s="9" t="n"/>
      <c r="D151" s="9" t="n"/>
      <c r="E151" s="10" t="n"/>
      <c r="F151" s="11" t="n"/>
      <c r="G151" s="10" t="n"/>
      <c r="H151" s="11" t="n"/>
      <c r="I151" s="8">
        <f>IF(OR($E151="",$G151=""),"",$G151-$E151+1)</f>
        <v/>
      </c>
      <c r="J151" s="8">
        <f>IF(OR($E151="",$G151=""),"",$G151-$E151)</f>
        <v/>
      </c>
      <c r="K151" s="9" t="n"/>
      <c r="L151" s="9" t="n"/>
      <c r="M151" s="9" t="n"/>
      <c r="N151" s="9" t="n"/>
      <c r="O151" s="9" t="n"/>
      <c r="P151" s="9" t="n"/>
      <c r="Q151" s="10" t="n"/>
      <c r="R151" s="9" t="n"/>
      <c r="S151" s="8">
        <f>IF($D151="","",IF(COUNTIF('M_部屋'!$A$4:$A$20,$D151)=0,"⚠部屋が未登録",IF(OR($E151="",$G151="",$K151="キャンセル"),"",IF(SUMPRODUCT(($D$5:$D$204=$D151)*($E$5:$E$204&lt;&gt;"")*($G$5:$G$204&lt;&gt;"")*($K$5:$K$204&lt;&gt;"キャンセル")*($E$5:$E$204&lt;$G151)*($G$5:$G$204&gt;$E151))&gt;1,"⚠重複",""))))</f>
        <v/>
      </c>
      <c r="T151" s="8">
        <f>IF(OR($B151="",$E151=""),"",IF(SUMPRODUCT(('M_利用者'!$A$4:$A$60=$B151)*('M_利用者'!$B$4:$B$60&lt;&gt;""))=0,"",IF(SUMIFS($U$5:$U$204,$B$5:$B$204,$B151,$E$5:$E$204,"&gt;="&amp;DATE(YEAR($E151),MONTH($E151),1),$E$5:$E$204,"&lt;="&amp;EOMONTH($E151,0))&gt;SUMIFS('M_利用者'!$B$4:$B$60,'M_利用者'!$A$4:$A$60,$B151),"⚠支給量超過","")))</f>
        <v/>
      </c>
      <c r="U151" s="8">
        <f>IF(OR($E151="",$G151="",$K151="キャンセル"),0,IF(IFERROR(INDEX('M_区分'!$B$4:$B$20,MATCH($C151,'M_区分'!$A$4:$A$20,0)),"○")="○",$G151-$E151+1,0))</f>
        <v/>
      </c>
    </row>
    <row r="152">
      <c r="A152" s="8">
        <f>IF($E152="","","SS-"&amp;TEXT(ROW()-4,"0000"))</f>
        <v/>
      </c>
      <c r="B152" s="9" t="n"/>
      <c r="C152" s="9" t="n"/>
      <c r="D152" s="9" t="n"/>
      <c r="E152" s="10" t="n"/>
      <c r="F152" s="11" t="n"/>
      <c r="G152" s="10" t="n"/>
      <c r="H152" s="11" t="n"/>
      <c r="I152" s="8">
        <f>IF(OR($E152="",$G152=""),"",$G152-$E152+1)</f>
        <v/>
      </c>
      <c r="J152" s="8">
        <f>IF(OR($E152="",$G152=""),"",$G152-$E152)</f>
        <v/>
      </c>
      <c r="K152" s="9" t="n"/>
      <c r="L152" s="9" t="n"/>
      <c r="M152" s="9" t="n"/>
      <c r="N152" s="9" t="n"/>
      <c r="O152" s="9" t="n"/>
      <c r="P152" s="9" t="n"/>
      <c r="Q152" s="10" t="n"/>
      <c r="R152" s="9" t="n"/>
      <c r="S152" s="8">
        <f>IF($D152="","",IF(COUNTIF('M_部屋'!$A$4:$A$20,$D152)=0,"⚠部屋が未登録",IF(OR($E152="",$G152="",$K152="キャンセル"),"",IF(SUMPRODUCT(($D$5:$D$204=$D152)*($E$5:$E$204&lt;&gt;"")*($G$5:$G$204&lt;&gt;"")*($K$5:$K$204&lt;&gt;"キャンセル")*($E$5:$E$204&lt;$G152)*($G$5:$G$204&gt;$E152))&gt;1,"⚠重複",""))))</f>
        <v/>
      </c>
      <c r="T152" s="8">
        <f>IF(OR($B152="",$E152=""),"",IF(SUMPRODUCT(('M_利用者'!$A$4:$A$60=$B152)*('M_利用者'!$B$4:$B$60&lt;&gt;""))=0,"",IF(SUMIFS($U$5:$U$204,$B$5:$B$204,$B152,$E$5:$E$204,"&gt;="&amp;DATE(YEAR($E152),MONTH($E152),1),$E$5:$E$204,"&lt;="&amp;EOMONTH($E152,0))&gt;SUMIFS('M_利用者'!$B$4:$B$60,'M_利用者'!$A$4:$A$60,$B152),"⚠支給量超過","")))</f>
        <v/>
      </c>
      <c r="U152" s="8">
        <f>IF(OR($E152="",$G152="",$K152="キャンセル"),0,IF(IFERROR(INDEX('M_区分'!$B$4:$B$20,MATCH($C152,'M_区分'!$A$4:$A$20,0)),"○")="○",$G152-$E152+1,0))</f>
        <v/>
      </c>
    </row>
    <row r="153">
      <c r="A153" s="8">
        <f>IF($E153="","","SS-"&amp;TEXT(ROW()-4,"0000"))</f>
        <v/>
      </c>
      <c r="B153" s="9" t="n"/>
      <c r="C153" s="9" t="n"/>
      <c r="D153" s="9" t="n"/>
      <c r="E153" s="10" t="n"/>
      <c r="F153" s="11" t="n"/>
      <c r="G153" s="10" t="n"/>
      <c r="H153" s="11" t="n"/>
      <c r="I153" s="8">
        <f>IF(OR($E153="",$G153=""),"",$G153-$E153+1)</f>
        <v/>
      </c>
      <c r="J153" s="8">
        <f>IF(OR($E153="",$G153=""),"",$G153-$E153)</f>
        <v/>
      </c>
      <c r="K153" s="9" t="n"/>
      <c r="L153" s="9" t="n"/>
      <c r="M153" s="9" t="n"/>
      <c r="N153" s="9" t="n"/>
      <c r="O153" s="9" t="n"/>
      <c r="P153" s="9" t="n"/>
      <c r="Q153" s="10" t="n"/>
      <c r="R153" s="9" t="n"/>
      <c r="S153" s="8">
        <f>IF($D153="","",IF(COUNTIF('M_部屋'!$A$4:$A$20,$D153)=0,"⚠部屋が未登録",IF(OR($E153="",$G153="",$K153="キャンセル"),"",IF(SUMPRODUCT(($D$5:$D$204=$D153)*($E$5:$E$204&lt;&gt;"")*($G$5:$G$204&lt;&gt;"")*($K$5:$K$204&lt;&gt;"キャンセル")*($E$5:$E$204&lt;$G153)*($G$5:$G$204&gt;$E153))&gt;1,"⚠重複",""))))</f>
        <v/>
      </c>
      <c r="T153" s="8">
        <f>IF(OR($B153="",$E153=""),"",IF(SUMPRODUCT(('M_利用者'!$A$4:$A$60=$B153)*('M_利用者'!$B$4:$B$60&lt;&gt;""))=0,"",IF(SUMIFS($U$5:$U$204,$B$5:$B$204,$B153,$E$5:$E$204,"&gt;="&amp;DATE(YEAR($E153),MONTH($E153),1),$E$5:$E$204,"&lt;="&amp;EOMONTH($E153,0))&gt;SUMIFS('M_利用者'!$B$4:$B$60,'M_利用者'!$A$4:$A$60,$B153),"⚠支給量超過","")))</f>
        <v/>
      </c>
      <c r="U153" s="8">
        <f>IF(OR($E153="",$G153="",$K153="キャンセル"),0,IF(IFERROR(INDEX('M_区分'!$B$4:$B$20,MATCH($C153,'M_区分'!$A$4:$A$20,0)),"○")="○",$G153-$E153+1,0))</f>
        <v/>
      </c>
    </row>
    <row r="154">
      <c r="A154" s="8">
        <f>IF($E154="","","SS-"&amp;TEXT(ROW()-4,"0000"))</f>
        <v/>
      </c>
      <c r="B154" s="9" t="n"/>
      <c r="C154" s="9" t="n"/>
      <c r="D154" s="9" t="n"/>
      <c r="E154" s="10" t="n"/>
      <c r="F154" s="11" t="n"/>
      <c r="G154" s="10" t="n"/>
      <c r="H154" s="11" t="n"/>
      <c r="I154" s="8">
        <f>IF(OR($E154="",$G154=""),"",$G154-$E154+1)</f>
        <v/>
      </c>
      <c r="J154" s="8">
        <f>IF(OR($E154="",$G154=""),"",$G154-$E154)</f>
        <v/>
      </c>
      <c r="K154" s="9" t="n"/>
      <c r="L154" s="9" t="n"/>
      <c r="M154" s="9" t="n"/>
      <c r="N154" s="9" t="n"/>
      <c r="O154" s="9" t="n"/>
      <c r="P154" s="9" t="n"/>
      <c r="Q154" s="10" t="n"/>
      <c r="R154" s="9" t="n"/>
      <c r="S154" s="8">
        <f>IF($D154="","",IF(COUNTIF('M_部屋'!$A$4:$A$20,$D154)=0,"⚠部屋が未登録",IF(OR($E154="",$G154="",$K154="キャンセル"),"",IF(SUMPRODUCT(($D$5:$D$204=$D154)*($E$5:$E$204&lt;&gt;"")*($G$5:$G$204&lt;&gt;"")*($K$5:$K$204&lt;&gt;"キャンセル")*($E$5:$E$204&lt;$G154)*($G$5:$G$204&gt;$E154))&gt;1,"⚠重複",""))))</f>
        <v/>
      </c>
      <c r="T154" s="8">
        <f>IF(OR($B154="",$E154=""),"",IF(SUMPRODUCT(('M_利用者'!$A$4:$A$60=$B154)*('M_利用者'!$B$4:$B$60&lt;&gt;""))=0,"",IF(SUMIFS($U$5:$U$204,$B$5:$B$204,$B154,$E$5:$E$204,"&gt;="&amp;DATE(YEAR($E154),MONTH($E154),1),$E$5:$E$204,"&lt;="&amp;EOMONTH($E154,0))&gt;SUMIFS('M_利用者'!$B$4:$B$60,'M_利用者'!$A$4:$A$60,$B154),"⚠支給量超過","")))</f>
        <v/>
      </c>
      <c r="U154" s="8">
        <f>IF(OR($E154="",$G154="",$K154="キャンセル"),0,IF(IFERROR(INDEX('M_区分'!$B$4:$B$20,MATCH($C154,'M_区分'!$A$4:$A$20,0)),"○")="○",$G154-$E154+1,0))</f>
        <v/>
      </c>
    </row>
    <row r="155">
      <c r="A155" s="8">
        <f>IF($E155="","","SS-"&amp;TEXT(ROW()-4,"0000"))</f>
        <v/>
      </c>
      <c r="B155" s="9" t="n"/>
      <c r="C155" s="9" t="n"/>
      <c r="D155" s="9" t="n"/>
      <c r="E155" s="10" t="n"/>
      <c r="F155" s="11" t="n"/>
      <c r="G155" s="10" t="n"/>
      <c r="H155" s="11" t="n"/>
      <c r="I155" s="8">
        <f>IF(OR($E155="",$G155=""),"",$G155-$E155+1)</f>
        <v/>
      </c>
      <c r="J155" s="8">
        <f>IF(OR($E155="",$G155=""),"",$G155-$E155)</f>
        <v/>
      </c>
      <c r="K155" s="9" t="n"/>
      <c r="L155" s="9" t="n"/>
      <c r="M155" s="9" t="n"/>
      <c r="N155" s="9" t="n"/>
      <c r="O155" s="9" t="n"/>
      <c r="P155" s="9" t="n"/>
      <c r="Q155" s="10" t="n"/>
      <c r="R155" s="9" t="n"/>
      <c r="S155" s="8">
        <f>IF($D155="","",IF(COUNTIF('M_部屋'!$A$4:$A$20,$D155)=0,"⚠部屋が未登録",IF(OR($E155="",$G155="",$K155="キャンセル"),"",IF(SUMPRODUCT(($D$5:$D$204=$D155)*($E$5:$E$204&lt;&gt;"")*($G$5:$G$204&lt;&gt;"")*($K$5:$K$204&lt;&gt;"キャンセル")*($E$5:$E$204&lt;$G155)*($G$5:$G$204&gt;$E155))&gt;1,"⚠重複",""))))</f>
        <v/>
      </c>
      <c r="T155" s="8">
        <f>IF(OR($B155="",$E155=""),"",IF(SUMPRODUCT(('M_利用者'!$A$4:$A$60=$B155)*('M_利用者'!$B$4:$B$60&lt;&gt;""))=0,"",IF(SUMIFS($U$5:$U$204,$B$5:$B$204,$B155,$E$5:$E$204,"&gt;="&amp;DATE(YEAR($E155),MONTH($E155),1),$E$5:$E$204,"&lt;="&amp;EOMONTH($E155,0))&gt;SUMIFS('M_利用者'!$B$4:$B$60,'M_利用者'!$A$4:$A$60,$B155),"⚠支給量超過","")))</f>
        <v/>
      </c>
      <c r="U155" s="8">
        <f>IF(OR($E155="",$G155="",$K155="キャンセル"),0,IF(IFERROR(INDEX('M_区分'!$B$4:$B$20,MATCH($C155,'M_区分'!$A$4:$A$20,0)),"○")="○",$G155-$E155+1,0))</f>
        <v/>
      </c>
    </row>
    <row r="156">
      <c r="A156" s="8">
        <f>IF($E156="","","SS-"&amp;TEXT(ROW()-4,"0000"))</f>
        <v/>
      </c>
      <c r="B156" s="9" t="n"/>
      <c r="C156" s="9" t="n"/>
      <c r="D156" s="9" t="n"/>
      <c r="E156" s="10" t="n"/>
      <c r="F156" s="11" t="n"/>
      <c r="G156" s="10" t="n"/>
      <c r="H156" s="11" t="n"/>
      <c r="I156" s="8">
        <f>IF(OR($E156="",$G156=""),"",$G156-$E156+1)</f>
        <v/>
      </c>
      <c r="J156" s="8">
        <f>IF(OR($E156="",$G156=""),"",$G156-$E156)</f>
        <v/>
      </c>
      <c r="K156" s="9" t="n"/>
      <c r="L156" s="9" t="n"/>
      <c r="M156" s="9" t="n"/>
      <c r="N156" s="9" t="n"/>
      <c r="O156" s="9" t="n"/>
      <c r="P156" s="9" t="n"/>
      <c r="Q156" s="10" t="n"/>
      <c r="R156" s="9" t="n"/>
      <c r="S156" s="8">
        <f>IF($D156="","",IF(COUNTIF('M_部屋'!$A$4:$A$20,$D156)=0,"⚠部屋が未登録",IF(OR($E156="",$G156="",$K156="キャンセル"),"",IF(SUMPRODUCT(($D$5:$D$204=$D156)*($E$5:$E$204&lt;&gt;"")*($G$5:$G$204&lt;&gt;"")*($K$5:$K$204&lt;&gt;"キャンセル")*($E$5:$E$204&lt;$G156)*($G$5:$G$204&gt;$E156))&gt;1,"⚠重複",""))))</f>
        <v/>
      </c>
      <c r="T156" s="8">
        <f>IF(OR($B156="",$E156=""),"",IF(SUMPRODUCT(('M_利用者'!$A$4:$A$60=$B156)*('M_利用者'!$B$4:$B$60&lt;&gt;""))=0,"",IF(SUMIFS($U$5:$U$204,$B$5:$B$204,$B156,$E$5:$E$204,"&gt;="&amp;DATE(YEAR($E156),MONTH($E156),1),$E$5:$E$204,"&lt;="&amp;EOMONTH($E156,0))&gt;SUMIFS('M_利用者'!$B$4:$B$60,'M_利用者'!$A$4:$A$60,$B156),"⚠支給量超過","")))</f>
        <v/>
      </c>
      <c r="U156" s="8">
        <f>IF(OR($E156="",$G156="",$K156="キャンセル"),0,IF(IFERROR(INDEX('M_区分'!$B$4:$B$20,MATCH($C156,'M_区分'!$A$4:$A$20,0)),"○")="○",$G156-$E156+1,0))</f>
        <v/>
      </c>
    </row>
    <row r="157">
      <c r="A157" s="8">
        <f>IF($E157="","","SS-"&amp;TEXT(ROW()-4,"0000"))</f>
        <v/>
      </c>
      <c r="B157" s="9" t="n"/>
      <c r="C157" s="9" t="n"/>
      <c r="D157" s="9" t="n"/>
      <c r="E157" s="10" t="n"/>
      <c r="F157" s="11" t="n"/>
      <c r="G157" s="10" t="n"/>
      <c r="H157" s="11" t="n"/>
      <c r="I157" s="8">
        <f>IF(OR($E157="",$G157=""),"",$G157-$E157+1)</f>
        <v/>
      </c>
      <c r="J157" s="8">
        <f>IF(OR($E157="",$G157=""),"",$G157-$E157)</f>
        <v/>
      </c>
      <c r="K157" s="9" t="n"/>
      <c r="L157" s="9" t="n"/>
      <c r="M157" s="9" t="n"/>
      <c r="N157" s="9" t="n"/>
      <c r="O157" s="9" t="n"/>
      <c r="P157" s="9" t="n"/>
      <c r="Q157" s="10" t="n"/>
      <c r="R157" s="9" t="n"/>
      <c r="S157" s="8">
        <f>IF($D157="","",IF(COUNTIF('M_部屋'!$A$4:$A$20,$D157)=0,"⚠部屋が未登録",IF(OR($E157="",$G157="",$K157="キャンセル"),"",IF(SUMPRODUCT(($D$5:$D$204=$D157)*($E$5:$E$204&lt;&gt;"")*($G$5:$G$204&lt;&gt;"")*($K$5:$K$204&lt;&gt;"キャンセル")*($E$5:$E$204&lt;$G157)*($G$5:$G$204&gt;$E157))&gt;1,"⚠重複",""))))</f>
        <v/>
      </c>
      <c r="T157" s="8">
        <f>IF(OR($B157="",$E157=""),"",IF(SUMPRODUCT(('M_利用者'!$A$4:$A$60=$B157)*('M_利用者'!$B$4:$B$60&lt;&gt;""))=0,"",IF(SUMIFS($U$5:$U$204,$B$5:$B$204,$B157,$E$5:$E$204,"&gt;="&amp;DATE(YEAR($E157),MONTH($E157),1),$E$5:$E$204,"&lt;="&amp;EOMONTH($E157,0))&gt;SUMIFS('M_利用者'!$B$4:$B$60,'M_利用者'!$A$4:$A$60,$B157),"⚠支給量超過","")))</f>
        <v/>
      </c>
      <c r="U157" s="8">
        <f>IF(OR($E157="",$G157="",$K157="キャンセル"),0,IF(IFERROR(INDEX('M_区分'!$B$4:$B$20,MATCH($C157,'M_区分'!$A$4:$A$20,0)),"○")="○",$G157-$E157+1,0))</f>
        <v/>
      </c>
    </row>
    <row r="158">
      <c r="A158" s="8">
        <f>IF($E158="","","SS-"&amp;TEXT(ROW()-4,"0000"))</f>
        <v/>
      </c>
      <c r="B158" s="9" t="n"/>
      <c r="C158" s="9" t="n"/>
      <c r="D158" s="9" t="n"/>
      <c r="E158" s="10" t="n"/>
      <c r="F158" s="11" t="n"/>
      <c r="G158" s="10" t="n"/>
      <c r="H158" s="11" t="n"/>
      <c r="I158" s="8">
        <f>IF(OR($E158="",$G158=""),"",$G158-$E158+1)</f>
        <v/>
      </c>
      <c r="J158" s="8">
        <f>IF(OR($E158="",$G158=""),"",$G158-$E158)</f>
        <v/>
      </c>
      <c r="K158" s="9" t="n"/>
      <c r="L158" s="9" t="n"/>
      <c r="M158" s="9" t="n"/>
      <c r="N158" s="9" t="n"/>
      <c r="O158" s="9" t="n"/>
      <c r="P158" s="9" t="n"/>
      <c r="Q158" s="10" t="n"/>
      <c r="R158" s="9" t="n"/>
      <c r="S158" s="8">
        <f>IF($D158="","",IF(COUNTIF('M_部屋'!$A$4:$A$20,$D158)=0,"⚠部屋が未登録",IF(OR($E158="",$G158="",$K158="キャンセル"),"",IF(SUMPRODUCT(($D$5:$D$204=$D158)*($E$5:$E$204&lt;&gt;"")*($G$5:$G$204&lt;&gt;"")*($K$5:$K$204&lt;&gt;"キャンセル")*($E$5:$E$204&lt;$G158)*($G$5:$G$204&gt;$E158))&gt;1,"⚠重複",""))))</f>
        <v/>
      </c>
      <c r="T158" s="8">
        <f>IF(OR($B158="",$E158=""),"",IF(SUMPRODUCT(('M_利用者'!$A$4:$A$60=$B158)*('M_利用者'!$B$4:$B$60&lt;&gt;""))=0,"",IF(SUMIFS($U$5:$U$204,$B$5:$B$204,$B158,$E$5:$E$204,"&gt;="&amp;DATE(YEAR($E158),MONTH($E158),1),$E$5:$E$204,"&lt;="&amp;EOMONTH($E158,0))&gt;SUMIFS('M_利用者'!$B$4:$B$60,'M_利用者'!$A$4:$A$60,$B158),"⚠支給量超過","")))</f>
        <v/>
      </c>
      <c r="U158" s="8">
        <f>IF(OR($E158="",$G158="",$K158="キャンセル"),0,IF(IFERROR(INDEX('M_区分'!$B$4:$B$20,MATCH($C158,'M_区分'!$A$4:$A$20,0)),"○")="○",$G158-$E158+1,0))</f>
        <v/>
      </c>
    </row>
    <row r="159">
      <c r="A159" s="8">
        <f>IF($E159="","","SS-"&amp;TEXT(ROW()-4,"0000"))</f>
        <v/>
      </c>
      <c r="B159" s="9" t="n"/>
      <c r="C159" s="9" t="n"/>
      <c r="D159" s="9" t="n"/>
      <c r="E159" s="10" t="n"/>
      <c r="F159" s="11" t="n"/>
      <c r="G159" s="10" t="n"/>
      <c r="H159" s="11" t="n"/>
      <c r="I159" s="8">
        <f>IF(OR($E159="",$G159=""),"",$G159-$E159+1)</f>
        <v/>
      </c>
      <c r="J159" s="8">
        <f>IF(OR($E159="",$G159=""),"",$G159-$E159)</f>
        <v/>
      </c>
      <c r="K159" s="9" t="n"/>
      <c r="L159" s="9" t="n"/>
      <c r="M159" s="9" t="n"/>
      <c r="N159" s="9" t="n"/>
      <c r="O159" s="9" t="n"/>
      <c r="P159" s="9" t="n"/>
      <c r="Q159" s="10" t="n"/>
      <c r="R159" s="9" t="n"/>
      <c r="S159" s="8">
        <f>IF($D159="","",IF(COUNTIF('M_部屋'!$A$4:$A$20,$D159)=0,"⚠部屋が未登録",IF(OR($E159="",$G159="",$K159="キャンセル"),"",IF(SUMPRODUCT(($D$5:$D$204=$D159)*($E$5:$E$204&lt;&gt;"")*($G$5:$G$204&lt;&gt;"")*($K$5:$K$204&lt;&gt;"キャンセル")*($E$5:$E$204&lt;$G159)*($G$5:$G$204&gt;$E159))&gt;1,"⚠重複",""))))</f>
        <v/>
      </c>
      <c r="T159" s="8">
        <f>IF(OR($B159="",$E159=""),"",IF(SUMPRODUCT(('M_利用者'!$A$4:$A$60=$B159)*('M_利用者'!$B$4:$B$60&lt;&gt;""))=0,"",IF(SUMIFS($U$5:$U$204,$B$5:$B$204,$B159,$E$5:$E$204,"&gt;="&amp;DATE(YEAR($E159),MONTH($E159),1),$E$5:$E$204,"&lt;="&amp;EOMONTH($E159,0))&gt;SUMIFS('M_利用者'!$B$4:$B$60,'M_利用者'!$A$4:$A$60,$B159),"⚠支給量超過","")))</f>
        <v/>
      </c>
      <c r="U159" s="8">
        <f>IF(OR($E159="",$G159="",$K159="キャンセル"),0,IF(IFERROR(INDEX('M_区分'!$B$4:$B$20,MATCH($C159,'M_区分'!$A$4:$A$20,0)),"○")="○",$G159-$E159+1,0))</f>
        <v/>
      </c>
    </row>
    <row r="160">
      <c r="A160" s="8">
        <f>IF($E160="","","SS-"&amp;TEXT(ROW()-4,"0000"))</f>
        <v/>
      </c>
      <c r="B160" s="9" t="n"/>
      <c r="C160" s="9" t="n"/>
      <c r="D160" s="9" t="n"/>
      <c r="E160" s="10" t="n"/>
      <c r="F160" s="11" t="n"/>
      <c r="G160" s="10" t="n"/>
      <c r="H160" s="11" t="n"/>
      <c r="I160" s="8">
        <f>IF(OR($E160="",$G160=""),"",$G160-$E160+1)</f>
        <v/>
      </c>
      <c r="J160" s="8">
        <f>IF(OR($E160="",$G160=""),"",$G160-$E160)</f>
        <v/>
      </c>
      <c r="K160" s="9" t="n"/>
      <c r="L160" s="9" t="n"/>
      <c r="M160" s="9" t="n"/>
      <c r="N160" s="9" t="n"/>
      <c r="O160" s="9" t="n"/>
      <c r="P160" s="9" t="n"/>
      <c r="Q160" s="10" t="n"/>
      <c r="R160" s="9" t="n"/>
      <c r="S160" s="8">
        <f>IF($D160="","",IF(COUNTIF('M_部屋'!$A$4:$A$20,$D160)=0,"⚠部屋が未登録",IF(OR($E160="",$G160="",$K160="キャンセル"),"",IF(SUMPRODUCT(($D$5:$D$204=$D160)*($E$5:$E$204&lt;&gt;"")*($G$5:$G$204&lt;&gt;"")*($K$5:$K$204&lt;&gt;"キャンセル")*($E$5:$E$204&lt;$G160)*($G$5:$G$204&gt;$E160))&gt;1,"⚠重複",""))))</f>
        <v/>
      </c>
      <c r="T160" s="8">
        <f>IF(OR($B160="",$E160=""),"",IF(SUMPRODUCT(('M_利用者'!$A$4:$A$60=$B160)*('M_利用者'!$B$4:$B$60&lt;&gt;""))=0,"",IF(SUMIFS($U$5:$U$204,$B$5:$B$204,$B160,$E$5:$E$204,"&gt;="&amp;DATE(YEAR($E160),MONTH($E160),1),$E$5:$E$204,"&lt;="&amp;EOMONTH($E160,0))&gt;SUMIFS('M_利用者'!$B$4:$B$60,'M_利用者'!$A$4:$A$60,$B160),"⚠支給量超過","")))</f>
        <v/>
      </c>
      <c r="U160" s="8">
        <f>IF(OR($E160="",$G160="",$K160="キャンセル"),0,IF(IFERROR(INDEX('M_区分'!$B$4:$B$20,MATCH($C160,'M_区分'!$A$4:$A$20,0)),"○")="○",$G160-$E160+1,0))</f>
        <v/>
      </c>
    </row>
    <row r="161">
      <c r="A161" s="8">
        <f>IF($E161="","","SS-"&amp;TEXT(ROW()-4,"0000"))</f>
        <v/>
      </c>
      <c r="B161" s="9" t="n"/>
      <c r="C161" s="9" t="n"/>
      <c r="D161" s="9" t="n"/>
      <c r="E161" s="10" t="n"/>
      <c r="F161" s="11" t="n"/>
      <c r="G161" s="10" t="n"/>
      <c r="H161" s="11" t="n"/>
      <c r="I161" s="8">
        <f>IF(OR($E161="",$G161=""),"",$G161-$E161+1)</f>
        <v/>
      </c>
      <c r="J161" s="8">
        <f>IF(OR($E161="",$G161=""),"",$G161-$E161)</f>
        <v/>
      </c>
      <c r="K161" s="9" t="n"/>
      <c r="L161" s="9" t="n"/>
      <c r="M161" s="9" t="n"/>
      <c r="N161" s="9" t="n"/>
      <c r="O161" s="9" t="n"/>
      <c r="P161" s="9" t="n"/>
      <c r="Q161" s="10" t="n"/>
      <c r="R161" s="9" t="n"/>
      <c r="S161" s="8">
        <f>IF($D161="","",IF(COUNTIF('M_部屋'!$A$4:$A$20,$D161)=0,"⚠部屋が未登録",IF(OR($E161="",$G161="",$K161="キャンセル"),"",IF(SUMPRODUCT(($D$5:$D$204=$D161)*($E$5:$E$204&lt;&gt;"")*($G$5:$G$204&lt;&gt;"")*($K$5:$K$204&lt;&gt;"キャンセル")*($E$5:$E$204&lt;$G161)*($G$5:$G$204&gt;$E161))&gt;1,"⚠重複",""))))</f>
        <v/>
      </c>
      <c r="T161" s="8">
        <f>IF(OR($B161="",$E161=""),"",IF(SUMPRODUCT(('M_利用者'!$A$4:$A$60=$B161)*('M_利用者'!$B$4:$B$60&lt;&gt;""))=0,"",IF(SUMIFS($U$5:$U$204,$B$5:$B$204,$B161,$E$5:$E$204,"&gt;="&amp;DATE(YEAR($E161),MONTH($E161),1),$E$5:$E$204,"&lt;="&amp;EOMONTH($E161,0))&gt;SUMIFS('M_利用者'!$B$4:$B$60,'M_利用者'!$A$4:$A$60,$B161),"⚠支給量超過","")))</f>
        <v/>
      </c>
      <c r="U161" s="8">
        <f>IF(OR($E161="",$G161="",$K161="キャンセル"),0,IF(IFERROR(INDEX('M_区分'!$B$4:$B$20,MATCH($C161,'M_区分'!$A$4:$A$20,0)),"○")="○",$G161-$E161+1,0))</f>
        <v/>
      </c>
    </row>
    <row r="162">
      <c r="A162" s="8">
        <f>IF($E162="","","SS-"&amp;TEXT(ROW()-4,"0000"))</f>
        <v/>
      </c>
      <c r="B162" s="9" t="n"/>
      <c r="C162" s="9" t="n"/>
      <c r="D162" s="9" t="n"/>
      <c r="E162" s="10" t="n"/>
      <c r="F162" s="11" t="n"/>
      <c r="G162" s="10" t="n"/>
      <c r="H162" s="11" t="n"/>
      <c r="I162" s="8">
        <f>IF(OR($E162="",$G162=""),"",$G162-$E162+1)</f>
        <v/>
      </c>
      <c r="J162" s="8">
        <f>IF(OR($E162="",$G162=""),"",$G162-$E162)</f>
        <v/>
      </c>
      <c r="K162" s="9" t="n"/>
      <c r="L162" s="9" t="n"/>
      <c r="M162" s="9" t="n"/>
      <c r="N162" s="9" t="n"/>
      <c r="O162" s="9" t="n"/>
      <c r="P162" s="9" t="n"/>
      <c r="Q162" s="10" t="n"/>
      <c r="R162" s="9" t="n"/>
      <c r="S162" s="8">
        <f>IF($D162="","",IF(COUNTIF('M_部屋'!$A$4:$A$20,$D162)=0,"⚠部屋が未登録",IF(OR($E162="",$G162="",$K162="キャンセル"),"",IF(SUMPRODUCT(($D$5:$D$204=$D162)*($E$5:$E$204&lt;&gt;"")*($G$5:$G$204&lt;&gt;"")*($K$5:$K$204&lt;&gt;"キャンセル")*($E$5:$E$204&lt;$G162)*($G$5:$G$204&gt;$E162))&gt;1,"⚠重複",""))))</f>
        <v/>
      </c>
      <c r="T162" s="8">
        <f>IF(OR($B162="",$E162=""),"",IF(SUMPRODUCT(('M_利用者'!$A$4:$A$60=$B162)*('M_利用者'!$B$4:$B$60&lt;&gt;""))=0,"",IF(SUMIFS($U$5:$U$204,$B$5:$B$204,$B162,$E$5:$E$204,"&gt;="&amp;DATE(YEAR($E162),MONTH($E162),1),$E$5:$E$204,"&lt;="&amp;EOMONTH($E162,0))&gt;SUMIFS('M_利用者'!$B$4:$B$60,'M_利用者'!$A$4:$A$60,$B162),"⚠支給量超過","")))</f>
        <v/>
      </c>
      <c r="U162" s="8">
        <f>IF(OR($E162="",$G162="",$K162="キャンセル"),0,IF(IFERROR(INDEX('M_区分'!$B$4:$B$20,MATCH($C162,'M_区分'!$A$4:$A$20,0)),"○")="○",$G162-$E162+1,0))</f>
        <v/>
      </c>
    </row>
    <row r="163">
      <c r="A163" s="8">
        <f>IF($E163="","","SS-"&amp;TEXT(ROW()-4,"0000"))</f>
        <v/>
      </c>
      <c r="B163" s="9" t="n"/>
      <c r="C163" s="9" t="n"/>
      <c r="D163" s="9" t="n"/>
      <c r="E163" s="10" t="n"/>
      <c r="F163" s="11" t="n"/>
      <c r="G163" s="10" t="n"/>
      <c r="H163" s="11" t="n"/>
      <c r="I163" s="8">
        <f>IF(OR($E163="",$G163=""),"",$G163-$E163+1)</f>
        <v/>
      </c>
      <c r="J163" s="8">
        <f>IF(OR($E163="",$G163=""),"",$G163-$E163)</f>
        <v/>
      </c>
      <c r="K163" s="9" t="n"/>
      <c r="L163" s="9" t="n"/>
      <c r="M163" s="9" t="n"/>
      <c r="N163" s="9" t="n"/>
      <c r="O163" s="9" t="n"/>
      <c r="P163" s="9" t="n"/>
      <c r="Q163" s="10" t="n"/>
      <c r="R163" s="9" t="n"/>
      <c r="S163" s="8">
        <f>IF($D163="","",IF(COUNTIF('M_部屋'!$A$4:$A$20,$D163)=0,"⚠部屋が未登録",IF(OR($E163="",$G163="",$K163="キャンセル"),"",IF(SUMPRODUCT(($D$5:$D$204=$D163)*($E$5:$E$204&lt;&gt;"")*($G$5:$G$204&lt;&gt;"")*($K$5:$K$204&lt;&gt;"キャンセル")*($E$5:$E$204&lt;$G163)*($G$5:$G$204&gt;$E163))&gt;1,"⚠重複",""))))</f>
        <v/>
      </c>
      <c r="T163" s="8">
        <f>IF(OR($B163="",$E163=""),"",IF(SUMPRODUCT(('M_利用者'!$A$4:$A$60=$B163)*('M_利用者'!$B$4:$B$60&lt;&gt;""))=0,"",IF(SUMIFS($U$5:$U$204,$B$5:$B$204,$B163,$E$5:$E$204,"&gt;="&amp;DATE(YEAR($E163),MONTH($E163),1),$E$5:$E$204,"&lt;="&amp;EOMONTH($E163,0))&gt;SUMIFS('M_利用者'!$B$4:$B$60,'M_利用者'!$A$4:$A$60,$B163),"⚠支給量超過","")))</f>
        <v/>
      </c>
      <c r="U163" s="8">
        <f>IF(OR($E163="",$G163="",$K163="キャンセル"),0,IF(IFERROR(INDEX('M_区分'!$B$4:$B$20,MATCH($C163,'M_区分'!$A$4:$A$20,0)),"○")="○",$G163-$E163+1,0))</f>
        <v/>
      </c>
    </row>
    <row r="164">
      <c r="A164" s="8">
        <f>IF($E164="","","SS-"&amp;TEXT(ROW()-4,"0000"))</f>
        <v/>
      </c>
      <c r="B164" s="9" t="n"/>
      <c r="C164" s="9" t="n"/>
      <c r="D164" s="9" t="n"/>
      <c r="E164" s="10" t="n"/>
      <c r="F164" s="11" t="n"/>
      <c r="G164" s="10" t="n"/>
      <c r="H164" s="11" t="n"/>
      <c r="I164" s="8">
        <f>IF(OR($E164="",$G164=""),"",$G164-$E164+1)</f>
        <v/>
      </c>
      <c r="J164" s="8">
        <f>IF(OR($E164="",$G164=""),"",$G164-$E164)</f>
        <v/>
      </c>
      <c r="K164" s="9" t="n"/>
      <c r="L164" s="9" t="n"/>
      <c r="M164" s="9" t="n"/>
      <c r="N164" s="9" t="n"/>
      <c r="O164" s="9" t="n"/>
      <c r="P164" s="9" t="n"/>
      <c r="Q164" s="10" t="n"/>
      <c r="R164" s="9" t="n"/>
      <c r="S164" s="8">
        <f>IF($D164="","",IF(COUNTIF('M_部屋'!$A$4:$A$20,$D164)=0,"⚠部屋が未登録",IF(OR($E164="",$G164="",$K164="キャンセル"),"",IF(SUMPRODUCT(($D$5:$D$204=$D164)*($E$5:$E$204&lt;&gt;"")*($G$5:$G$204&lt;&gt;"")*($K$5:$K$204&lt;&gt;"キャンセル")*($E$5:$E$204&lt;$G164)*($G$5:$G$204&gt;$E164))&gt;1,"⚠重複",""))))</f>
        <v/>
      </c>
      <c r="T164" s="8">
        <f>IF(OR($B164="",$E164=""),"",IF(SUMPRODUCT(('M_利用者'!$A$4:$A$60=$B164)*('M_利用者'!$B$4:$B$60&lt;&gt;""))=0,"",IF(SUMIFS($U$5:$U$204,$B$5:$B$204,$B164,$E$5:$E$204,"&gt;="&amp;DATE(YEAR($E164),MONTH($E164),1),$E$5:$E$204,"&lt;="&amp;EOMONTH($E164,0))&gt;SUMIFS('M_利用者'!$B$4:$B$60,'M_利用者'!$A$4:$A$60,$B164),"⚠支給量超過","")))</f>
        <v/>
      </c>
      <c r="U164" s="8">
        <f>IF(OR($E164="",$G164="",$K164="キャンセル"),0,IF(IFERROR(INDEX('M_区分'!$B$4:$B$20,MATCH($C164,'M_区分'!$A$4:$A$20,0)),"○")="○",$G164-$E164+1,0))</f>
        <v/>
      </c>
    </row>
    <row r="165">
      <c r="A165" s="8">
        <f>IF($E165="","","SS-"&amp;TEXT(ROW()-4,"0000"))</f>
        <v/>
      </c>
      <c r="B165" s="9" t="n"/>
      <c r="C165" s="9" t="n"/>
      <c r="D165" s="9" t="n"/>
      <c r="E165" s="10" t="n"/>
      <c r="F165" s="11" t="n"/>
      <c r="G165" s="10" t="n"/>
      <c r="H165" s="11" t="n"/>
      <c r="I165" s="8">
        <f>IF(OR($E165="",$G165=""),"",$G165-$E165+1)</f>
        <v/>
      </c>
      <c r="J165" s="8">
        <f>IF(OR($E165="",$G165=""),"",$G165-$E165)</f>
        <v/>
      </c>
      <c r="K165" s="9" t="n"/>
      <c r="L165" s="9" t="n"/>
      <c r="M165" s="9" t="n"/>
      <c r="N165" s="9" t="n"/>
      <c r="O165" s="9" t="n"/>
      <c r="P165" s="9" t="n"/>
      <c r="Q165" s="10" t="n"/>
      <c r="R165" s="9" t="n"/>
      <c r="S165" s="8">
        <f>IF($D165="","",IF(COUNTIF('M_部屋'!$A$4:$A$20,$D165)=0,"⚠部屋が未登録",IF(OR($E165="",$G165="",$K165="キャンセル"),"",IF(SUMPRODUCT(($D$5:$D$204=$D165)*($E$5:$E$204&lt;&gt;"")*($G$5:$G$204&lt;&gt;"")*($K$5:$K$204&lt;&gt;"キャンセル")*($E$5:$E$204&lt;$G165)*($G$5:$G$204&gt;$E165))&gt;1,"⚠重複",""))))</f>
        <v/>
      </c>
      <c r="T165" s="8">
        <f>IF(OR($B165="",$E165=""),"",IF(SUMPRODUCT(('M_利用者'!$A$4:$A$60=$B165)*('M_利用者'!$B$4:$B$60&lt;&gt;""))=0,"",IF(SUMIFS($U$5:$U$204,$B$5:$B$204,$B165,$E$5:$E$204,"&gt;="&amp;DATE(YEAR($E165),MONTH($E165),1),$E$5:$E$204,"&lt;="&amp;EOMONTH($E165,0))&gt;SUMIFS('M_利用者'!$B$4:$B$60,'M_利用者'!$A$4:$A$60,$B165),"⚠支給量超過","")))</f>
        <v/>
      </c>
      <c r="U165" s="8">
        <f>IF(OR($E165="",$G165="",$K165="キャンセル"),0,IF(IFERROR(INDEX('M_区分'!$B$4:$B$20,MATCH($C165,'M_区分'!$A$4:$A$20,0)),"○")="○",$G165-$E165+1,0))</f>
        <v/>
      </c>
    </row>
    <row r="166">
      <c r="A166" s="8">
        <f>IF($E166="","","SS-"&amp;TEXT(ROW()-4,"0000"))</f>
        <v/>
      </c>
      <c r="B166" s="9" t="n"/>
      <c r="C166" s="9" t="n"/>
      <c r="D166" s="9" t="n"/>
      <c r="E166" s="10" t="n"/>
      <c r="F166" s="11" t="n"/>
      <c r="G166" s="10" t="n"/>
      <c r="H166" s="11" t="n"/>
      <c r="I166" s="8">
        <f>IF(OR($E166="",$G166=""),"",$G166-$E166+1)</f>
        <v/>
      </c>
      <c r="J166" s="8">
        <f>IF(OR($E166="",$G166=""),"",$G166-$E166)</f>
        <v/>
      </c>
      <c r="K166" s="9" t="n"/>
      <c r="L166" s="9" t="n"/>
      <c r="M166" s="9" t="n"/>
      <c r="N166" s="9" t="n"/>
      <c r="O166" s="9" t="n"/>
      <c r="P166" s="9" t="n"/>
      <c r="Q166" s="10" t="n"/>
      <c r="R166" s="9" t="n"/>
      <c r="S166" s="8">
        <f>IF($D166="","",IF(COUNTIF('M_部屋'!$A$4:$A$20,$D166)=0,"⚠部屋が未登録",IF(OR($E166="",$G166="",$K166="キャンセル"),"",IF(SUMPRODUCT(($D$5:$D$204=$D166)*($E$5:$E$204&lt;&gt;"")*($G$5:$G$204&lt;&gt;"")*($K$5:$K$204&lt;&gt;"キャンセル")*($E$5:$E$204&lt;$G166)*($G$5:$G$204&gt;$E166))&gt;1,"⚠重複",""))))</f>
        <v/>
      </c>
      <c r="T166" s="8">
        <f>IF(OR($B166="",$E166=""),"",IF(SUMPRODUCT(('M_利用者'!$A$4:$A$60=$B166)*('M_利用者'!$B$4:$B$60&lt;&gt;""))=0,"",IF(SUMIFS($U$5:$U$204,$B$5:$B$204,$B166,$E$5:$E$204,"&gt;="&amp;DATE(YEAR($E166),MONTH($E166),1),$E$5:$E$204,"&lt;="&amp;EOMONTH($E166,0))&gt;SUMIFS('M_利用者'!$B$4:$B$60,'M_利用者'!$A$4:$A$60,$B166),"⚠支給量超過","")))</f>
        <v/>
      </c>
      <c r="U166" s="8">
        <f>IF(OR($E166="",$G166="",$K166="キャンセル"),0,IF(IFERROR(INDEX('M_区分'!$B$4:$B$20,MATCH($C166,'M_区分'!$A$4:$A$20,0)),"○")="○",$G166-$E166+1,0))</f>
        <v/>
      </c>
    </row>
    <row r="167">
      <c r="A167" s="8">
        <f>IF($E167="","","SS-"&amp;TEXT(ROW()-4,"0000"))</f>
        <v/>
      </c>
      <c r="B167" s="9" t="n"/>
      <c r="C167" s="9" t="n"/>
      <c r="D167" s="9" t="n"/>
      <c r="E167" s="10" t="n"/>
      <c r="F167" s="11" t="n"/>
      <c r="G167" s="10" t="n"/>
      <c r="H167" s="11" t="n"/>
      <c r="I167" s="8">
        <f>IF(OR($E167="",$G167=""),"",$G167-$E167+1)</f>
        <v/>
      </c>
      <c r="J167" s="8">
        <f>IF(OR($E167="",$G167=""),"",$G167-$E167)</f>
        <v/>
      </c>
      <c r="K167" s="9" t="n"/>
      <c r="L167" s="9" t="n"/>
      <c r="M167" s="9" t="n"/>
      <c r="N167" s="9" t="n"/>
      <c r="O167" s="9" t="n"/>
      <c r="P167" s="9" t="n"/>
      <c r="Q167" s="10" t="n"/>
      <c r="R167" s="9" t="n"/>
      <c r="S167" s="8">
        <f>IF($D167="","",IF(COUNTIF('M_部屋'!$A$4:$A$20,$D167)=0,"⚠部屋が未登録",IF(OR($E167="",$G167="",$K167="キャンセル"),"",IF(SUMPRODUCT(($D$5:$D$204=$D167)*($E$5:$E$204&lt;&gt;"")*($G$5:$G$204&lt;&gt;"")*($K$5:$K$204&lt;&gt;"キャンセル")*($E$5:$E$204&lt;$G167)*($G$5:$G$204&gt;$E167))&gt;1,"⚠重複",""))))</f>
        <v/>
      </c>
      <c r="T167" s="8">
        <f>IF(OR($B167="",$E167=""),"",IF(SUMPRODUCT(('M_利用者'!$A$4:$A$60=$B167)*('M_利用者'!$B$4:$B$60&lt;&gt;""))=0,"",IF(SUMIFS($U$5:$U$204,$B$5:$B$204,$B167,$E$5:$E$204,"&gt;="&amp;DATE(YEAR($E167),MONTH($E167),1),$E$5:$E$204,"&lt;="&amp;EOMONTH($E167,0))&gt;SUMIFS('M_利用者'!$B$4:$B$60,'M_利用者'!$A$4:$A$60,$B167),"⚠支給量超過","")))</f>
        <v/>
      </c>
      <c r="U167" s="8">
        <f>IF(OR($E167="",$G167="",$K167="キャンセル"),0,IF(IFERROR(INDEX('M_区分'!$B$4:$B$20,MATCH($C167,'M_区分'!$A$4:$A$20,0)),"○")="○",$G167-$E167+1,0))</f>
        <v/>
      </c>
    </row>
    <row r="168">
      <c r="A168" s="8">
        <f>IF($E168="","","SS-"&amp;TEXT(ROW()-4,"0000"))</f>
        <v/>
      </c>
      <c r="B168" s="9" t="n"/>
      <c r="C168" s="9" t="n"/>
      <c r="D168" s="9" t="n"/>
      <c r="E168" s="10" t="n"/>
      <c r="F168" s="11" t="n"/>
      <c r="G168" s="10" t="n"/>
      <c r="H168" s="11" t="n"/>
      <c r="I168" s="8">
        <f>IF(OR($E168="",$G168=""),"",$G168-$E168+1)</f>
        <v/>
      </c>
      <c r="J168" s="8">
        <f>IF(OR($E168="",$G168=""),"",$G168-$E168)</f>
        <v/>
      </c>
      <c r="K168" s="9" t="n"/>
      <c r="L168" s="9" t="n"/>
      <c r="M168" s="9" t="n"/>
      <c r="N168" s="9" t="n"/>
      <c r="O168" s="9" t="n"/>
      <c r="P168" s="9" t="n"/>
      <c r="Q168" s="10" t="n"/>
      <c r="R168" s="9" t="n"/>
      <c r="S168" s="8">
        <f>IF($D168="","",IF(COUNTIF('M_部屋'!$A$4:$A$20,$D168)=0,"⚠部屋が未登録",IF(OR($E168="",$G168="",$K168="キャンセル"),"",IF(SUMPRODUCT(($D$5:$D$204=$D168)*($E$5:$E$204&lt;&gt;"")*($G$5:$G$204&lt;&gt;"")*($K$5:$K$204&lt;&gt;"キャンセル")*($E$5:$E$204&lt;$G168)*($G$5:$G$204&gt;$E168))&gt;1,"⚠重複",""))))</f>
        <v/>
      </c>
      <c r="T168" s="8">
        <f>IF(OR($B168="",$E168=""),"",IF(SUMPRODUCT(('M_利用者'!$A$4:$A$60=$B168)*('M_利用者'!$B$4:$B$60&lt;&gt;""))=0,"",IF(SUMIFS($U$5:$U$204,$B$5:$B$204,$B168,$E$5:$E$204,"&gt;="&amp;DATE(YEAR($E168),MONTH($E168),1),$E$5:$E$204,"&lt;="&amp;EOMONTH($E168,0))&gt;SUMIFS('M_利用者'!$B$4:$B$60,'M_利用者'!$A$4:$A$60,$B168),"⚠支給量超過","")))</f>
        <v/>
      </c>
      <c r="U168" s="8">
        <f>IF(OR($E168="",$G168="",$K168="キャンセル"),0,IF(IFERROR(INDEX('M_区分'!$B$4:$B$20,MATCH($C168,'M_区分'!$A$4:$A$20,0)),"○")="○",$G168-$E168+1,0))</f>
        <v/>
      </c>
    </row>
    <row r="169">
      <c r="A169" s="8">
        <f>IF($E169="","","SS-"&amp;TEXT(ROW()-4,"0000"))</f>
        <v/>
      </c>
      <c r="B169" s="9" t="n"/>
      <c r="C169" s="9" t="n"/>
      <c r="D169" s="9" t="n"/>
      <c r="E169" s="10" t="n"/>
      <c r="F169" s="11" t="n"/>
      <c r="G169" s="10" t="n"/>
      <c r="H169" s="11" t="n"/>
      <c r="I169" s="8">
        <f>IF(OR($E169="",$G169=""),"",$G169-$E169+1)</f>
        <v/>
      </c>
      <c r="J169" s="8">
        <f>IF(OR($E169="",$G169=""),"",$G169-$E169)</f>
        <v/>
      </c>
      <c r="K169" s="9" t="n"/>
      <c r="L169" s="9" t="n"/>
      <c r="M169" s="9" t="n"/>
      <c r="N169" s="9" t="n"/>
      <c r="O169" s="9" t="n"/>
      <c r="P169" s="9" t="n"/>
      <c r="Q169" s="10" t="n"/>
      <c r="R169" s="9" t="n"/>
      <c r="S169" s="8">
        <f>IF($D169="","",IF(COUNTIF('M_部屋'!$A$4:$A$20,$D169)=0,"⚠部屋が未登録",IF(OR($E169="",$G169="",$K169="キャンセル"),"",IF(SUMPRODUCT(($D$5:$D$204=$D169)*($E$5:$E$204&lt;&gt;"")*($G$5:$G$204&lt;&gt;"")*($K$5:$K$204&lt;&gt;"キャンセル")*($E$5:$E$204&lt;$G169)*($G$5:$G$204&gt;$E169))&gt;1,"⚠重複",""))))</f>
        <v/>
      </c>
      <c r="T169" s="8">
        <f>IF(OR($B169="",$E169=""),"",IF(SUMPRODUCT(('M_利用者'!$A$4:$A$60=$B169)*('M_利用者'!$B$4:$B$60&lt;&gt;""))=0,"",IF(SUMIFS($U$5:$U$204,$B$5:$B$204,$B169,$E$5:$E$204,"&gt;="&amp;DATE(YEAR($E169),MONTH($E169),1),$E$5:$E$204,"&lt;="&amp;EOMONTH($E169,0))&gt;SUMIFS('M_利用者'!$B$4:$B$60,'M_利用者'!$A$4:$A$60,$B169),"⚠支給量超過","")))</f>
        <v/>
      </c>
      <c r="U169" s="8">
        <f>IF(OR($E169="",$G169="",$K169="キャンセル"),0,IF(IFERROR(INDEX('M_区分'!$B$4:$B$20,MATCH($C169,'M_区分'!$A$4:$A$20,0)),"○")="○",$G169-$E169+1,0))</f>
        <v/>
      </c>
    </row>
    <row r="170">
      <c r="A170" s="8">
        <f>IF($E170="","","SS-"&amp;TEXT(ROW()-4,"0000"))</f>
        <v/>
      </c>
      <c r="B170" s="9" t="n"/>
      <c r="C170" s="9" t="n"/>
      <c r="D170" s="9" t="n"/>
      <c r="E170" s="10" t="n"/>
      <c r="F170" s="11" t="n"/>
      <c r="G170" s="10" t="n"/>
      <c r="H170" s="11" t="n"/>
      <c r="I170" s="8">
        <f>IF(OR($E170="",$G170=""),"",$G170-$E170+1)</f>
        <v/>
      </c>
      <c r="J170" s="8">
        <f>IF(OR($E170="",$G170=""),"",$G170-$E170)</f>
        <v/>
      </c>
      <c r="K170" s="9" t="n"/>
      <c r="L170" s="9" t="n"/>
      <c r="M170" s="9" t="n"/>
      <c r="N170" s="9" t="n"/>
      <c r="O170" s="9" t="n"/>
      <c r="P170" s="9" t="n"/>
      <c r="Q170" s="10" t="n"/>
      <c r="R170" s="9" t="n"/>
      <c r="S170" s="8">
        <f>IF($D170="","",IF(COUNTIF('M_部屋'!$A$4:$A$20,$D170)=0,"⚠部屋が未登録",IF(OR($E170="",$G170="",$K170="キャンセル"),"",IF(SUMPRODUCT(($D$5:$D$204=$D170)*($E$5:$E$204&lt;&gt;"")*($G$5:$G$204&lt;&gt;"")*($K$5:$K$204&lt;&gt;"キャンセル")*($E$5:$E$204&lt;$G170)*($G$5:$G$204&gt;$E170))&gt;1,"⚠重複",""))))</f>
        <v/>
      </c>
      <c r="T170" s="8">
        <f>IF(OR($B170="",$E170=""),"",IF(SUMPRODUCT(('M_利用者'!$A$4:$A$60=$B170)*('M_利用者'!$B$4:$B$60&lt;&gt;""))=0,"",IF(SUMIFS($U$5:$U$204,$B$5:$B$204,$B170,$E$5:$E$204,"&gt;="&amp;DATE(YEAR($E170),MONTH($E170),1),$E$5:$E$204,"&lt;="&amp;EOMONTH($E170,0))&gt;SUMIFS('M_利用者'!$B$4:$B$60,'M_利用者'!$A$4:$A$60,$B170),"⚠支給量超過","")))</f>
        <v/>
      </c>
      <c r="U170" s="8">
        <f>IF(OR($E170="",$G170="",$K170="キャンセル"),0,IF(IFERROR(INDEX('M_区分'!$B$4:$B$20,MATCH($C170,'M_区分'!$A$4:$A$20,0)),"○")="○",$G170-$E170+1,0))</f>
        <v/>
      </c>
    </row>
    <row r="171">
      <c r="A171" s="8">
        <f>IF($E171="","","SS-"&amp;TEXT(ROW()-4,"0000"))</f>
        <v/>
      </c>
      <c r="B171" s="9" t="n"/>
      <c r="C171" s="9" t="n"/>
      <c r="D171" s="9" t="n"/>
      <c r="E171" s="10" t="n"/>
      <c r="F171" s="11" t="n"/>
      <c r="G171" s="10" t="n"/>
      <c r="H171" s="11" t="n"/>
      <c r="I171" s="8">
        <f>IF(OR($E171="",$G171=""),"",$G171-$E171+1)</f>
        <v/>
      </c>
      <c r="J171" s="8">
        <f>IF(OR($E171="",$G171=""),"",$G171-$E171)</f>
        <v/>
      </c>
      <c r="K171" s="9" t="n"/>
      <c r="L171" s="9" t="n"/>
      <c r="M171" s="9" t="n"/>
      <c r="N171" s="9" t="n"/>
      <c r="O171" s="9" t="n"/>
      <c r="P171" s="9" t="n"/>
      <c r="Q171" s="10" t="n"/>
      <c r="R171" s="9" t="n"/>
      <c r="S171" s="8">
        <f>IF($D171="","",IF(COUNTIF('M_部屋'!$A$4:$A$20,$D171)=0,"⚠部屋が未登録",IF(OR($E171="",$G171="",$K171="キャンセル"),"",IF(SUMPRODUCT(($D$5:$D$204=$D171)*($E$5:$E$204&lt;&gt;"")*($G$5:$G$204&lt;&gt;"")*($K$5:$K$204&lt;&gt;"キャンセル")*($E$5:$E$204&lt;$G171)*($G$5:$G$204&gt;$E171))&gt;1,"⚠重複",""))))</f>
        <v/>
      </c>
      <c r="T171" s="8">
        <f>IF(OR($B171="",$E171=""),"",IF(SUMPRODUCT(('M_利用者'!$A$4:$A$60=$B171)*('M_利用者'!$B$4:$B$60&lt;&gt;""))=0,"",IF(SUMIFS($U$5:$U$204,$B$5:$B$204,$B171,$E$5:$E$204,"&gt;="&amp;DATE(YEAR($E171),MONTH($E171),1),$E$5:$E$204,"&lt;="&amp;EOMONTH($E171,0))&gt;SUMIFS('M_利用者'!$B$4:$B$60,'M_利用者'!$A$4:$A$60,$B171),"⚠支給量超過","")))</f>
        <v/>
      </c>
      <c r="U171" s="8">
        <f>IF(OR($E171="",$G171="",$K171="キャンセル"),0,IF(IFERROR(INDEX('M_区分'!$B$4:$B$20,MATCH($C171,'M_区分'!$A$4:$A$20,0)),"○")="○",$G171-$E171+1,0))</f>
        <v/>
      </c>
    </row>
    <row r="172">
      <c r="A172" s="8">
        <f>IF($E172="","","SS-"&amp;TEXT(ROW()-4,"0000"))</f>
        <v/>
      </c>
      <c r="B172" s="9" t="n"/>
      <c r="C172" s="9" t="n"/>
      <c r="D172" s="9" t="n"/>
      <c r="E172" s="10" t="n"/>
      <c r="F172" s="11" t="n"/>
      <c r="G172" s="10" t="n"/>
      <c r="H172" s="11" t="n"/>
      <c r="I172" s="8">
        <f>IF(OR($E172="",$G172=""),"",$G172-$E172+1)</f>
        <v/>
      </c>
      <c r="J172" s="8">
        <f>IF(OR($E172="",$G172=""),"",$G172-$E172)</f>
        <v/>
      </c>
      <c r="K172" s="9" t="n"/>
      <c r="L172" s="9" t="n"/>
      <c r="M172" s="9" t="n"/>
      <c r="N172" s="9" t="n"/>
      <c r="O172" s="9" t="n"/>
      <c r="P172" s="9" t="n"/>
      <c r="Q172" s="10" t="n"/>
      <c r="R172" s="9" t="n"/>
      <c r="S172" s="8">
        <f>IF($D172="","",IF(COUNTIF('M_部屋'!$A$4:$A$20,$D172)=0,"⚠部屋が未登録",IF(OR($E172="",$G172="",$K172="キャンセル"),"",IF(SUMPRODUCT(($D$5:$D$204=$D172)*($E$5:$E$204&lt;&gt;"")*($G$5:$G$204&lt;&gt;"")*($K$5:$K$204&lt;&gt;"キャンセル")*($E$5:$E$204&lt;$G172)*($G$5:$G$204&gt;$E172))&gt;1,"⚠重複",""))))</f>
        <v/>
      </c>
      <c r="T172" s="8">
        <f>IF(OR($B172="",$E172=""),"",IF(SUMPRODUCT(('M_利用者'!$A$4:$A$60=$B172)*('M_利用者'!$B$4:$B$60&lt;&gt;""))=0,"",IF(SUMIFS($U$5:$U$204,$B$5:$B$204,$B172,$E$5:$E$204,"&gt;="&amp;DATE(YEAR($E172),MONTH($E172),1),$E$5:$E$204,"&lt;="&amp;EOMONTH($E172,0))&gt;SUMIFS('M_利用者'!$B$4:$B$60,'M_利用者'!$A$4:$A$60,$B172),"⚠支給量超過","")))</f>
        <v/>
      </c>
      <c r="U172" s="8">
        <f>IF(OR($E172="",$G172="",$K172="キャンセル"),0,IF(IFERROR(INDEX('M_区分'!$B$4:$B$20,MATCH($C172,'M_区分'!$A$4:$A$20,0)),"○")="○",$G172-$E172+1,0))</f>
        <v/>
      </c>
    </row>
    <row r="173">
      <c r="A173" s="8">
        <f>IF($E173="","","SS-"&amp;TEXT(ROW()-4,"0000"))</f>
        <v/>
      </c>
      <c r="B173" s="9" t="n"/>
      <c r="C173" s="9" t="n"/>
      <c r="D173" s="9" t="n"/>
      <c r="E173" s="10" t="n"/>
      <c r="F173" s="11" t="n"/>
      <c r="G173" s="10" t="n"/>
      <c r="H173" s="11" t="n"/>
      <c r="I173" s="8">
        <f>IF(OR($E173="",$G173=""),"",$G173-$E173+1)</f>
        <v/>
      </c>
      <c r="J173" s="8">
        <f>IF(OR($E173="",$G173=""),"",$G173-$E173)</f>
        <v/>
      </c>
      <c r="K173" s="9" t="n"/>
      <c r="L173" s="9" t="n"/>
      <c r="M173" s="9" t="n"/>
      <c r="N173" s="9" t="n"/>
      <c r="O173" s="9" t="n"/>
      <c r="P173" s="9" t="n"/>
      <c r="Q173" s="10" t="n"/>
      <c r="R173" s="9" t="n"/>
      <c r="S173" s="8">
        <f>IF($D173="","",IF(COUNTIF('M_部屋'!$A$4:$A$20,$D173)=0,"⚠部屋が未登録",IF(OR($E173="",$G173="",$K173="キャンセル"),"",IF(SUMPRODUCT(($D$5:$D$204=$D173)*($E$5:$E$204&lt;&gt;"")*($G$5:$G$204&lt;&gt;"")*($K$5:$K$204&lt;&gt;"キャンセル")*($E$5:$E$204&lt;$G173)*($G$5:$G$204&gt;$E173))&gt;1,"⚠重複",""))))</f>
        <v/>
      </c>
      <c r="T173" s="8">
        <f>IF(OR($B173="",$E173=""),"",IF(SUMPRODUCT(('M_利用者'!$A$4:$A$60=$B173)*('M_利用者'!$B$4:$B$60&lt;&gt;""))=0,"",IF(SUMIFS($U$5:$U$204,$B$5:$B$204,$B173,$E$5:$E$204,"&gt;="&amp;DATE(YEAR($E173),MONTH($E173),1),$E$5:$E$204,"&lt;="&amp;EOMONTH($E173,0))&gt;SUMIFS('M_利用者'!$B$4:$B$60,'M_利用者'!$A$4:$A$60,$B173),"⚠支給量超過","")))</f>
        <v/>
      </c>
      <c r="U173" s="8">
        <f>IF(OR($E173="",$G173="",$K173="キャンセル"),0,IF(IFERROR(INDEX('M_区分'!$B$4:$B$20,MATCH($C173,'M_区分'!$A$4:$A$20,0)),"○")="○",$G173-$E173+1,0))</f>
        <v/>
      </c>
    </row>
    <row r="174">
      <c r="A174" s="8">
        <f>IF($E174="","","SS-"&amp;TEXT(ROW()-4,"0000"))</f>
        <v/>
      </c>
      <c r="B174" s="9" t="n"/>
      <c r="C174" s="9" t="n"/>
      <c r="D174" s="9" t="n"/>
      <c r="E174" s="10" t="n"/>
      <c r="F174" s="11" t="n"/>
      <c r="G174" s="10" t="n"/>
      <c r="H174" s="11" t="n"/>
      <c r="I174" s="8">
        <f>IF(OR($E174="",$G174=""),"",$G174-$E174+1)</f>
        <v/>
      </c>
      <c r="J174" s="8">
        <f>IF(OR($E174="",$G174=""),"",$G174-$E174)</f>
        <v/>
      </c>
      <c r="K174" s="9" t="n"/>
      <c r="L174" s="9" t="n"/>
      <c r="M174" s="9" t="n"/>
      <c r="N174" s="9" t="n"/>
      <c r="O174" s="9" t="n"/>
      <c r="P174" s="9" t="n"/>
      <c r="Q174" s="10" t="n"/>
      <c r="R174" s="9" t="n"/>
      <c r="S174" s="8">
        <f>IF($D174="","",IF(COUNTIF('M_部屋'!$A$4:$A$20,$D174)=0,"⚠部屋が未登録",IF(OR($E174="",$G174="",$K174="キャンセル"),"",IF(SUMPRODUCT(($D$5:$D$204=$D174)*($E$5:$E$204&lt;&gt;"")*($G$5:$G$204&lt;&gt;"")*($K$5:$K$204&lt;&gt;"キャンセル")*($E$5:$E$204&lt;$G174)*($G$5:$G$204&gt;$E174))&gt;1,"⚠重複",""))))</f>
        <v/>
      </c>
      <c r="T174" s="8">
        <f>IF(OR($B174="",$E174=""),"",IF(SUMPRODUCT(('M_利用者'!$A$4:$A$60=$B174)*('M_利用者'!$B$4:$B$60&lt;&gt;""))=0,"",IF(SUMIFS($U$5:$U$204,$B$5:$B$204,$B174,$E$5:$E$204,"&gt;="&amp;DATE(YEAR($E174),MONTH($E174),1),$E$5:$E$204,"&lt;="&amp;EOMONTH($E174,0))&gt;SUMIFS('M_利用者'!$B$4:$B$60,'M_利用者'!$A$4:$A$60,$B174),"⚠支給量超過","")))</f>
        <v/>
      </c>
      <c r="U174" s="8">
        <f>IF(OR($E174="",$G174="",$K174="キャンセル"),0,IF(IFERROR(INDEX('M_区分'!$B$4:$B$20,MATCH($C174,'M_区分'!$A$4:$A$20,0)),"○")="○",$G174-$E174+1,0))</f>
        <v/>
      </c>
    </row>
    <row r="175">
      <c r="A175" s="8">
        <f>IF($E175="","","SS-"&amp;TEXT(ROW()-4,"0000"))</f>
        <v/>
      </c>
      <c r="B175" s="9" t="n"/>
      <c r="C175" s="9" t="n"/>
      <c r="D175" s="9" t="n"/>
      <c r="E175" s="10" t="n"/>
      <c r="F175" s="11" t="n"/>
      <c r="G175" s="10" t="n"/>
      <c r="H175" s="11" t="n"/>
      <c r="I175" s="8">
        <f>IF(OR($E175="",$G175=""),"",$G175-$E175+1)</f>
        <v/>
      </c>
      <c r="J175" s="8">
        <f>IF(OR($E175="",$G175=""),"",$G175-$E175)</f>
        <v/>
      </c>
      <c r="K175" s="9" t="n"/>
      <c r="L175" s="9" t="n"/>
      <c r="M175" s="9" t="n"/>
      <c r="N175" s="9" t="n"/>
      <c r="O175" s="9" t="n"/>
      <c r="P175" s="9" t="n"/>
      <c r="Q175" s="10" t="n"/>
      <c r="R175" s="9" t="n"/>
      <c r="S175" s="8">
        <f>IF($D175="","",IF(COUNTIF('M_部屋'!$A$4:$A$20,$D175)=0,"⚠部屋が未登録",IF(OR($E175="",$G175="",$K175="キャンセル"),"",IF(SUMPRODUCT(($D$5:$D$204=$D175)*($E$5:$E$204&lt;&gt;"")*($G$5:$G$204&lt;&gt;"")*($K$5:$K$204&lt;&gt;"キャンセル")*($E$5:$E$204&lt;$G175)*($G$5:$G$204&gt;$E175))&gt;1,"⚠重複",""))))</f>
        <v/>
      </c>
      <c r="T175" s="8">
        <f>IF(OR($B175="",$E175=""),"",IF(SUMPRODUCT(('M_利用者'!$A$4:$A$60=$B175)*('M_利用者'!$B$4:$B$60&lt;&gt;""))=0,"",IF(SUMIFS($U$5:$U$204,$B$5:$B$204,$B175,$E$5:$E$204,"&gt;="&amp;DATE(YEAR($E175),MONTH($E175),1),$E$5:$E$204,"&lt;="&amp;EOMONTH($E175,0))&gt;SUMIFS('M_利用者'!$B$4:$B$60,'M_利用者'!$A$4:$A$60,$B175),"⚠支給量超過","")))</f>
        <v/>
      </c>
      <c r="U175" s="8">
        <f>IF(OR($E175="",$G175="",$K175="キャンセル"),0,IF(IFERROR(INDEX('M_区分'!$B$4:$B$20,MATCH($C175,'M_区分'!$A$4:$A$20,0)),"○")="○",$G175-$E175+1,0))</f>
        <v/>
      </c>
    </row>
    <row r="176">
      <c r="A176" s="8">
        <f>IF($E176="","","SS-"&amp;TEXT(ROW()-4,"0000"))</f>
        <v/>
      </c>
      <c r="B176" s="9" t="n"/>
      <c r="C176" s="9" t="n"/>
      <c r="D176" s="9" t="n"/>
      <c r="E176" s="10" t="n"/>
      <c r="F176" s="11" t="n"/>
      <c r="G176" s="10" t="n"/>
      <c r="H176" s="11" t="n"/>
      <c r="I176" s="8">
        <f>IF(OR($E176="",$G176=""),"",$G176-$E176+1)</f>
        <v/>
      </c>
      <c r="J176" s="8">
        <f>IF(OR($E176="",$G176=""),"",$G176-$E176)</f>
        <v/>
      </c>
      <c r="K176" s="9" t="n"/>
      <c r="L176" s="9" t="n"/>
      <c r="M176" s="9" t="n"/>
      <c r="N176" s="9" t="n"/>
      <c r="O176" s="9" t="n"/>
      <c r="P176" s="9" t="n"/>
      <c r="Q176" s="10" t="n"/>
      <c r="R176" s="9" t="n"/>
      <c r="S176" s="8">
        <f>IF($D176="","",IF(COUNTIF('M_部屋'!$A$4:$A$20,$D176)=0,"⚠部屋が未登録",IF(OR($E176="",$G176="",$K176="キャンセル"),"",IF(SUMPRODUCT(($D$5:$D$204=$D176)*($E$5:$E$204&lt;&gt;"")*($G$5:$G$204&lt;&gt;"")*($K$5:$K$204&lt;&gt;"キャンセル")*($E$5:$E$204&lt;$G176)*($G$5:$G$204&gt;$E176))&gt;1,"⚠重複",""))))</f>
        <v/>
      </c>
      <c r="T176" s="8">
        <f>IF(OR($B176="",$E176=""),"",IF(SUMPRODUCT(('M_利用者'!$A$4:$A$60=$B176)*('M_利用者'!$B$4:$B$60&lt;&gt;""))=0,"",IF(SUMIFS($U$5:$U$204,$B$5:$B$204,$B176,$E$5:$E$204,"&gt;="&amp;DATE(YEAR($E176),MONTH($E176),1),$E$5:$E$204,"&lt;="&amp;EOMONTH($E176,0))&gt;SUMIFS('M_利用者'!$B$4:$B$60,'M_利用者'!$A$4:$A$60,$B176),"⚠支給量超過","")))</f>
        <v/>
      </c>
      <c r="U176" s="8">
        <f>IF(OR($E176="",$G176="",$K176="キャンセル"),0,IF(IFERROR(INDEX('M_区分'!$B$4:$B$20,MATCH($C176,'M_区分'!$A$4:$A$20,0)),"○")="○",$G176-$E176+1,0))</f>
        <v/>
      </c>
    </row>
    <row r="177">
      <c r="A177" s="8">
        <f>IF($E177="","","SS-"&amp;TEXT(ROW()-4,"0000"))</f>
        <v/>
      </c>
      <c r="B177" s="9" t="n"/>
      <c r="C177" s="9" t="n"/>
      <c r="D177" s="9" t="n"/>
      <c r="E177" s="10" t="n"/>
      <c r="F177" s="11" t="n"/>
      <c r="G177" s="10" t="n"/>
      <c r="H177" s="11" t="n"/>
      <c r="I177" s="8">
        <f>IF(OR($E177="",$G177=""),"",$G177-$E177+1)</f>
        <v/>
      </c>
      <c r="J177" s="8">
        <f>IF(OR($E177="",$G177=""),"",$G177-$E177)</f>
        <v/>
      </c>
      <c r="K177" s="9" t="n"/>
      <c r="L177" s="9" t="n"/>
      <c r="M177" s="9" t="n"/>
      <c r="N177" s="9" t="n"/>
      <c r="O177" s="9" t="n"/>
      <c r="P177" s="9" t="n"/>
      <c r="Q177" s="10" t="n"/>
      <c r="R177" s="9" t="n"/>
      <c r="S177" s="8">
        <f>IF($D177="","",IF(COUNTIF('M_部屋'!$A$4:$A$20,$D177)=0,"⚠部屋が未登録",IF(OR($E177="",$G177="",$K177="キャンセル"),"",IF(SUMPRODUCT(($D$5:$D$204=$D177)*($E$5:$E$204&lt;&gt;"")*($G$5:$G$204&lt;&gt;"")*($K$5:$K$204&lt;&gt;"キャンセル")*($E$5:$E$204&lt;$G177)*($G$5:$G$204&gt;$E177))&gt;1,"⚠重複",""))))</f>
        <v/>
      </c>
      <c r="T177" s="8">
        <f>IF(OR($B177="",$E177=""),"",IF(SUMPRODUCT(('M_利用者'!$A$4:$A$60=$B177)*('M_利用者'!$B$4:$B$60&lt;&gt;""))=0,"",IF(SUMIFS($U$5:$U$204,$B$5:$B$204,$B177,$E$5:$E$204,"&gt;="&amp;DATE(YEAR($E177),MONTH($E177),1),$E$5:$E$204,"&lt;="&amp;EOMONTH($E177,0))&gt;SUMIFS('M_利用者'!$B$4:$B$60,'M_利用者'!$A$4:$A$60,$B177),"⚠支給量超過","")))</f>
        <v/>
      </c>
      <c r="U177" s="8">
        <f>IF(OR($E177="",$G177="",$K177="キャンセル"),0,IF(IFERROR(INDEX('M_区分'!$B$4:$B$20,MATCH($C177,'M_区分'!$A$4:$A$20,0)),"○")="○",$G177-$E177+1,0))</f>
        <v/>
      </c>
    </row>
    <row r="178">
      <c r="A178" s="8">
        <f>IF($E178="","","SS-"&amp;TEXT(ROW()-4,"0000"))</f>
        <v/>
      </c>
      <c r="B178" s="9" t="n"/>
      <c r="C178" s="9" t="n"/>
      <c r="D178" s="9" t="n"/>
      <c r="E178" s="10" t="n"/>
      <c r="F178" s="11" t="n"/>
      <c r="G178" s="10" t="n"/>
      <c r="H178" s="11" t="n"/>
      <c r="I178" s="8">
        <f>IF(OR($E178="",$G178=""),"",$G178-$E178+1)</f>
        <v/>
      </c>
      <c r="J178" s="8">
        <f>IF(OR($E178="",$G178=""),"",$G178-$E178)</f>
        <v/>
      </c>
      <c r="K178" s="9" t="n"/>
      <c r="L178" s="9" t="n"/>
      <c r="M178" s="9" t="n"/>
      <c r="N178" s="9" t="n"/>
      <c r="O178" s="9" t="n"/>
      <c r="P178" s="9" t="n"/>
      <c r="Q178" s="10" t="n"/>
      <c r="R178" s="9" t="n"/>
      <c r="S178" s="8">
        <f>IF($D178="","",IF(COUNTIF('M_部屋'!$A$4:$A$20,$D178)=0,"⚠部屋が未登録",IF(OR($E178="",$G178="",$K178="キャンセル"),"",IF(SUMPRODUCT(($D$5:$D$204=$D178)*($E$5:$E$204&lt;&gt;"")*($G$5:$G$204&lt;&gt;"")*($K$5:$K$204&lt;&gt;"キャンセル")*($E$5:$E$204&lt;$G178)*($G$5:$G$204&gt;$E178))&gt;1,"⚠重複",""))))</f>
        <v/>
      </c>
      <c r="T178" s="8">
        <f>IF(OR($B178="",$E178=""),"",IF(SUMPRODUCT(('M_利用者'!$A$4:$A$60=$B178)*('M_利用者'!$B$4:$B$60&lt;&gt;""))=0,"",IF(SUMIFS($U$5:$U$204,$B$5:$B$204,$B178,$E$5:$E$204,"&gt;="&amp;DATE(YEAR($E178),MONTH($E178),1),$E$5:$E$204,"&lt;="&amp;EOMONTH($E178,0))&gt;SUMIFS('M_利用者'!$B$4:$B$60,'M_利用者'!$A$4:$A$60,$B178),"⚠支給量超過","")))</f>
        <v/>
      </c>
      <c r="U178" s="8">
        <f>IF(OR($E178="",$G178="",$K178="キャンセル"),0,IF(IFERROR(INDEX('M_区分'!$B$4:$B$20,MATCH($C178,'M_区分'!$A$4:$A$20,0)),"○")="○",$G178-$E178+1,0))</f>
        <v/>
      </c>
    </row>
    <row r="179">
      <c r="A179" s="8">
        <f>IF($E179="","","SS-"&amp;TEXT(ROW()-4,"0000"))</f>
        <v/>
      </c>
      <c r="B179" s="9" t="n"/>
      <c r="C179" s="9" t="n"/>
      <c r="D179" s="9" t="n"/>
      <c r="E179" s="10" t="n"/>
      <c r="F179" s="11" t="n"/>
      <c r="G179" s="10" t="n"/>
      <c r="H179" s="11" t="n"/>
      <c r="I179" s="8">
        <f>IF(OR($E179="",$G179=""),"",$G179-$E179+1)</f>
        <v/>
      </c>
      <c r="J179" s="8">
        <f>IF(OR($E179="",$G179=""),"",$G179-$E179)</f>
        <v/>
      </c>
      <c r="K179" s="9" t="n"/>
      <c r="L179" s="9" t="n"/>
      <c r="M179" s="9" t="n"/>
      <c r="N179" s="9" t="n"/>
      <c r="O179" s="9" t="n"/>
      <c r="P179" s="9" t="n"/>
      <c r="Q179" s="10" t="n"/>
      <c r="R179" s="9" t="n"/>
      <c r="S179" s="8">
        <f>IF($D179="","",IF(COUNTIF('M_部屋'!$A$4:$A$20,$D179)=0,"⚠部屋が未登録",IF(OR($E179="",$G179="",$K179="キャンセル"),"",IF(SUMPRODUCT(($D$5:$D$204=$D179)*($E$5:$E$204&lt;&gt;"")*($G$5:$G$204&lt;&gt;"")*($K$5:$K$204&lt;&gt;"キャンセル")*($E$5:$E$204&lt;$G179)*($G$5:$G$204&gt;$E179))&gt;1,"⚠重複",""))))</f>
        <v/>
      </c>
      <c r="T179" s="8">
        <f>IF(OR($B179="",$E179=""),"",IF(SUMPRODUCT(('M_利用者'!$A$4:$A$60=$B179)*('M_利用者'!$B$4:$B$60&lt;&gt;""))=0,"",IF(SUMIFS($U$5:$U$204,$B$5:$B$204,$B179,$E$5:$E$204,"&gt;="&amp;DATE(YEAR($E179),MONTH($E179),1),$E$5:$E$204,"&lt;="&amp;EOMONTH($E179,0))&gt;SUMIFS('M_利用者'!$B$4:$B$60,'M_利用者'!$A$4:$A$60,$B179),"⚠支給量超過","")))</f>
        <v/>
      </c>
      <c r="U179" s="8">
        <f>IF(OR($E179="",$G179="",$K179="キャンセル"),0,IF(IFERROR(INDEX('M_区分'!$B$4:$B$20,MATCH($C179,'M_区分'!$A$4:$A$20,0)),"○")="○",$G179-$E179+1,0))</f>
        <v/>
      </c>
    </row>
    <row r="180">
      <c r="A180" s="8">
        <f>IF($E180="","","SS-"&amp;TEXT(ROW()-4,"0000"))</f>
        <v/>
      </c>
      <c r="B180" s="9" t="n"/>
      <c r="C180" s="9" t="n"/>
      <c r="D180" s="9" t="n"/>
      <c r="E180" s="10" t="n"/>
      <c r="F180" s="11" t="n"/>
      <c r="G180" s="10" t="n"/>
      <c r="H180" s="11" t="n"/>
      <c r="I180" s="8">
        <f>IF(OR($E180="",$G180=""),"",$G180-$E180+1)</f>
        <v/>
      </c>
      <c r="J180" s="8">
        <f>IF(OR($E180="",$G180=""),"",$G180-$E180)</f>
        <v/>
      </c>
      <c r="K180" s="9" t="n"/>
      <c r="L180" s="9" t="n"/>
      <c r="M180" s="9" t="n"/>
      <c r="N180" s="9" t="n"/>
      <c r="O180" s="9" t="n"/>
      <c r="P180" s="9" t="n"/>
      <c r="Q180" s="10" t="n"/>
      <c r="R180" s="9" t="n"/>
      <c r="S180" s="8">
        <f>IF($D180="","",IF(COUNTIF('M_部屋'!$A$4:$A$20,$D180)=0,"⚠部屋が未登録",IF(OR($E180="",$G180="",$K180="キャンセル"),"",IF(SUMPRODUCT(($D$5:$D$204=$D180)*($E$5:$E$204&lt;&gt;"")*($G$5:$G$204&lt;&gt;"")*($K$5:$K$204&lt;&gt;"キャンセル")*($E$5:$E$204&lt;$G180)*($G$5:$G$204&gt;$E180))&gt;1,"⚠重複",""))))</f>
        <v/>
      </c>
      <c r="T180" s="8">
        <f>IF(OR($B180="",$E180=""),"",IF(SUMPRODUCT(('M_利用者'!$A$4:$A$60=$B180)*('M_利用者'!$B$4:$B$60&lt;&gt;""))=0,"",IF(SUMIFS($U$5:$U$204,$B$5:$B$204,$B180,$E$5:$E$204,"&gt;="&amp;DATE(YEAR($E180),MONTH($E180),1),$E$5:$E$204,"&lt;="&amp;EOMONTH($E180,0))&gt;SUMIFS('M_利用者'!$B$4:$B$60,'M_利用者'!$A$4:$A$60,$B180),"⚠支給量超過","")))</f>
        <v/>
      </c>
      <c r="U180" s="8">
        <f>IF(OR($E180="",$G180="",$K180="キャンセル"),0,IF(IFERROR(INDEX('M_区分'!$B$4:$B$20,MATCH($C180,'M_区分'!$A$4:$A$20,0)),"○")="○",$G180-$E180+1,0))</f>
        <v/>
      </c>
    </row>
    <row r="181">
      <c r="A181" s="8">
        <f>IF($E181="","","SS-"&amp;TEXT(ROW()-4,"0000"))</f>
        <v/>
      </c>
      <c r="B181" s="9" t="n"/>
      <c r="C181" s="9" t="n"/>
      <c r="D181" s="9" t="n"/>
      <c r="E181" s="10" t="n"/>
      <c r="F181" s="11" t="n"/>
      <c r="G181" s="10" t="n"/>
      <c r="H181" s="11" t="n"/>
      <c r="I181" s="8">
        <f>IF(OR($E181="",$G181=""),"",$G181-$E181+1)</f>
        <v/>
      </c>
      <c r="J181" s="8">
        <f>IF(OR($E181="",$G181=""),"",$G181-$E181)</f>
        <v/>
      </c>
      <c r="K181" s="9" t="n"/>
      <c r="L181" s="9" t="n"/>
      <c r="M181" s="9" t="n"/>
      <c r="N181" s="9" t="n"/>
      <c r="O181" s="9" t="n"/>
      <c r="P181" s="9" t="n"/>
      <c r="Q181" s="10" t="n"/>
      <c r="R181" s="9" t="n"/>
      <c r="S181" s="8">
        <f>IF($D181="","",IF(COUNTIF('M_部屋'!$A$4:$A$20,$D181)=0,"⚠部屋が未登録",IF(OR($E181="",$G181="",$K181="キャンセル"),"",IF(SUMPRODUCT(($D$5:$D$204=$D181)*($E$5:$E$204&lt;&gt;"")*($G$5:$G$204&lt;&gt;"")*($K$5:$K$204&lt;&gt;"キャンセル")*($E$5:$E$204&lt;$G181)*($G$5:$G$204&gt;$E181))&gt;1,"⚠重複",""))))</f>
        <v/>
      </c>
      <c r="T181" s="8">
        <f>IF(OR($B181="",$E181=""),"",IF(SUMPRODUCT(('M_利用者'!$A$4:$A$60=$B181)*('M_利用者'!$B$4:$B$60&lt;&gt;""))=0,"",IF(SUMIFS($U$5:$U$204,$B$5:$B$204,$B181,$E$5:$E$204,"&gt;="&amp;DATE(YEAR($E181),MONTH($E181),1),$E$5:$E$204,"&lt;="&amp;EOMONTH($E181,0))&gt;SUMIFS('M_利用者'!$B$4:$B$60,'M_利用者'!$A$4:$A$60,$B181),"⚠支給量超過","")))</f>
        <v/>
      </c>
      <c r="U181" s="8">
        <f>IF(OR($E181="",$G181="",$K181="キャンセル"),0,IF(IFERROR(INDEX('M_区分'!$B$4:$B$20,MATCH($C181,'M_区分'!$A$4:$A$20,0)),"○")="○",$G181-$E181+1,0))</f>
        <v/>
      </c>
    </row>
    <row r="182">
      <c r="A182" s="8">
        <f>IF($E182="","","SS-"&amp;TEXT(ROW()-4,"0000"))</f>
        <v/>
      </c>
      <c r="B182" s="9" t="n"/>
      <c r="C182" s="9" t="n"/>
      <c r="D182" s="9" t="n"/>
      <c r="E182" s="10" t="n"/>
      <c r="F182" s="11" t="n"/>
      <c r="G182" s="10" t="n"/>
      <c r="H182" s="11" t="n"/>
      <c r="I182" s="8">
        <f>IF(OR($E182="",$G182=""),"",$G182-$E182+1)</f>
        <v/>
      </c>
      <c r="J182" s="8">
        <f>IF(OR($E182="",$G182=""),"",$G182-$E182)</f>
        <v/>
      </c>
      <c r="K182" s="9" t="n"/>
      <c r="L182" s="9" t="n"/>
      <c r="M182" s="9" t="n"/>
      <c r="N182" s="9" t="n"/>
      <c r="O182" s="9" t="n"/>
      <c r="P182" s="9" t="n"/>
      <c r="Q182" s="10" t="n"/>
      <c r="R182" s="9" t="n"/>
      <c r="S182" s="8">
        <f>IF($D182="","",IF(COUNTIF('M_部屋'!$A$4:$A$20,$D182)=0,"⚠部屋が未登録",IF(OR($E182="",$G182="",$K182="キャンセル"),"",IF(SUMPRODUCT(($D$5:$D$204=$D182)*($E$5:$E$204&lt;&gt;"")*($G$5:$G$204&lt;&gt;"")*($K$5:$K$204&lt;&gt;"キャンセル")*($E$5:$E$204&lt;$G182)*($G$5:$G$204&gt;$E182))&gt;1,"⚠重複",""))))</f>
        <v/>
      </c>
      <c r="T182" s="8">
        <f>IF(OR($B182="",$E182=""),"",IF(SUMPRODUCT(('M_利用者'!$A$4:$A$60=$B182)*('M_利用者'!$B$4:$B$60&lt;&gt;""))=0,"",IF(SUMIFS($U$5:$U$204,$B$5:$B$204,$B182,$E$5:$E$204,"&gt;="&amp;DATE(YEAR($E182),MONTH($E182),1),$E$5:$E$204,"&lt;="&amp;EOMONTH($E182,0))&gt;SUMIFS('M_利用者'!$B$4:$B$60,'M_利用者'!$A$4:$A$60,$B182),"⚠支給量超過","")))</f>
        <v/>
      </c>
      <c r="U182" s="8">
        <f>IF(OR($E182="",$G182="",$K182="キャンセル"),0,IF(IFERROR(INDEX('M_区分'!$B$4:$B$20,MATCH($C182,'M_区分'!$A$4:$A$20,0)),"○")="○",$G182-$E182+1,0))</f>
        <v/>
      </c>
    </row>
    <row r="183">
      <c r="A183" s="8">
        <f>IF($E183="","","SS-"&amp;TEXT(ROW()-4,"0000"))</f>
        <v/>
      </c>
      <c r="B183" s="9" t="n"/>
      <c r="C183" s="9" t="n"/>
      <c r="D183" s="9" t="n"/>
      <c r="E183" s="10" t="n"/>
      <c r="F183" s="11" t="n"/>
      <c r="G183" s="10" t="n"/>
      <c r="H183" s="11" t="n"/>
      <c r="I183" s="8">
        <f>IF(OR($E183="",$G183=""),"",$G183-$E183+1)</f>
        <v/>
      </c>
      <c r="J183" s="8">
        <f>IF(OR($E183="",$G183=""),"",$G183-$E183)</f>
        <v/>
      </c>
      <c r="K183" s="9" t="n"/>
      <c r="L183" s="9" t="n"/>
      <c r="M183" s="9" t="n"/>
      <c r="N183" s="9" t="n"/>
      <c r="O183" s="9" t="n"/>
      <c r="P183" s="9" t="n"/>
      <c r="Q183" s="10" t="n"/>
      <c r="R183" s="9" t="n"/>
      <c r="S183" s="8">
        <f>IF($D183="","",IF(COUNTIF('M_部屋'!$A$4:$A$20,$D183)=0,"⚠部屋が未登録",IF(OR($E183="",$G183="",$K183="キャンセル"),"",IF(SUMPRODUCT(($D$5:$D$204=$D183)*($E$5:$E$204&lt;&gt;"")*($G$5:$G$204&lt;&gt;"")*($K$5:$K$204&lt;&gt;"キャンセル")*($E$5:$E$204&lt;$G183)*($G$5:$G$204&gt;$E183))&gt;1,"⚠重複",""))))</f>
        <v/>
      </c>
      <c r="T183" s="8">
        <f>IF(OR($B183="",$E183=""),"",IF(SUMPRODUCT(('M_利用者'!$A$4:$A$60=$B183)*('M_利用者'!$B$4:$B$60&lt;&gt;""))=0,"",IF(SUMIFS($U$5:$U$204,$B$5:$B$204,$B183,$E$5:$E$204,"&gt;="&amp;DATE(YEAR($E183),MONTH($E183),1),$E$5:$E$204,"&lt;="&amp;EOMONTH($E183,0))&gt;SUMIFS('M_利用者'!$B$4:$B$60,'M_利用者'!$A$4:$A$60,$B183),"⚠支給量超過","")))</f>
        <v/>
      </c>
      <c r="U183" s="8">
        <f>IF(OR($E183="",$G183="",$K183="キャンセル"),0,IF(IFERROR(INDEX('M_区分'!$B$4:$B$20,MATCH($C183,'M_区分'!$A$4:$A$20,0)),"○")="○",$G183-$E183+1,0))</f>
        <v/>
      </c>
    </row>
    <row r="184">
      <c r="A184" s="8">
        <f>IF($E184="","","SS-"&amp;TEXT(ROW()-4,"0000"))</f>
        <v/>
      </c>
      <c r="B184" s="9" t="n"/>
      <c r="C184" s="9" t="n"/>
      <c r="D184" s="9" t="n"/>
      <c r="E184" s="10" t="n"/>
      <c r="F184" s="11" t="n"/>
      <c r="G184" s="10" t="n"/>
      <c r="H184" s="11" t="n"/>
      <c r="I184" s="8">
        <f>IF(OR($E184="",$G184=""),"",$G184-$E184+1)</f>
        <v/>
      </c>
      <c r="J184" s="8">
        <f>IF(OR($E184="",$G184=""),"",$G184-$E184)</f>
        <v/>
      </c>
      <c r="K184" s="9" t="n"/>
      <c r="L184" s="9" t="n"/>
      <c r="M184" s="9" t="n"/>
      <c r="N184" s="9" t="n"/>
      <c r="O184" s="9" t="n"/>
      <c r="P184" s="9" t="n"/>
      <c r="Q184" s="10" t="n"/>
      <c r="R184" s="9" t="n"/>
      <c r="S184" s="8">
        <f>IF($D184="","",IF(COUNTIF('M_部屋'!$A$4:$A$20,$D184)=0,"⚠部屋が未登録",IF(OR($E184="",$G184="",$K184="キャンセル"),"",IF(SUMPRODUCT(($D$5:$D$204=$D184)*($E$5:$E$204&lt;&gt;"")*($G$5:$G$204&lt;&gt;"")*($K$5:$K$204&lt;&gt;"キャンセル")*($E$5:$E$204&lt;$G184)*($G$5:$G$204&gt;$E184))&gt;1,"⚠重複",""))))</f>
        <v/>
      </c>
      <c r="T184" s="8">
        <f>IF(OR($B184="",$E184=""),"",IF(SUMPRODUCT(('M_利用者'!$A$4:$A$60=$B184)*('M_利用者'!$B$4:$B$60&lt;&gt;""))=0,"",IF(SUMIFS($U$5:$U$204,$B$5:$B$204,$B184,$E$5:$E$204,"&gt;="&amp;DATE(YEAR($E184),MONTH($E184),1),$E$5:$E$204,"&lt;="&amp;EOMONTH($E184,0))&gt;SUMIFS('M_利用者'!$B$4:$B$60,'M_利用者'!$A$4:$A$60,$B184),"⚠支給量超過","")))</f>
        <v/>
      </c>
      <c r="U184" s="8">
        <f>IF(OR($E184="",$G184="",$K184="キャンセル"),0,IF(IFERROR(INDEX('M_区分'!$B$4:$B$20,MATCH($C184,'M_区分'!$A$4:$A$20,0)),"○")="○",$G184-$E184+1,0))</f>
        <v/>
      </c>
    </row>
    <row r="185">
      <c r="A185" s="8">
        <f>IF($E185="","","SS-"&amp;TEXT(ROW()-4,"0000"))</f>
        <v/>
      </c>
      <c r="B185" s="9" t="n"/>
      <c r="C185" s="9" t="n"/>
      <c r="D185" s="9" t="n"/>
      <c r="E185" s="10" t="n"/>
      <c r="F185" s="11" t="n"/>
      <c r="G185" s="10" t="n"/>
      <c r="H185" s="11" t="n"/>
      <c r="I185" s="8">
        <f>IF(OR($E185="",$G185=""),"",$G185-$E185+1)</f>
        <v/>
      </c>
      <c r="J185" s="8">
        <f>IF(OR($E185="",$G185=""),"",$G185-$E185)</f>
        <v/>
      </c>
      <c r="K185" s="9" t="n"/>
      <c r="L185" s="9" t="n"/>
      <c r="M185" s="9" t="n"/>
      <c r="N185" s="9" t="n"/>
      <c r="O185" s="9" t="n"/>
      <c r="P185" s="9" t="n"/>
      <c r="Q185" s="10" t="n"/>
      <c r="R185" s="9" t="n"/>
      <c r="S185" s="8">
        <f>IF($D185="","",IF(COUNTIF('M_部屋'!$A$4:$A$20,$D185)=0,"⚠部屋が未登録",IF(OR($E185="",$G185="",$K185="キャンセル"),"",IF(SUMPRODUCT(($D$5:$D$204=$D185)*($E$5:$E$204&lt;&gt;"")*($G$5:$G$204&lt;&gt;"")*($K$5:$K$204&lt;&gt;"キャンセル")*($E$5:$E$204&lt;$G185)*($G$5:$G$204&gt;$E185))&gt;1,"⚠重複",""))))</f>
        <v/>
      </c>
      <c r="T185" s="8">
        <f>IF(OR($B185="",$E185=""),"",IF(SUMPRODUCT(('M_利用者'!$A$4:$A$60=$B185)*('M_利用者'!$B$4:$B$60&lt;&gt;""))=0,"",IF(SUMIFS($U$5:$U$204,$B$5:$B$204,$B185,$E$5:$E$204,"&gt;="&amp;DATE(YEAR($E185),MONTH($E185),1),$E$5:$E$204,"&lt;="&amp;EOMONTH($E185,0))&gt;SUMIFS('M_利用者'!$B$4:$B$60,'M_利用者'!$A$4:$A$60,$B185),"⚠支給量超過","")))</f>
        <v/>
      </c>
      <c r="U185" s="8">
        <f>IF(OR($E185="",$G185="",$K185="キャンセル"),0,IF(IFERROR(INDEX('M_区分'!$B$4:$B$20,MATCH($C185,'M_区分'!$A$4:$A$20,0)),"○")="○",$G185-$E185+1,0))</f>
        <v/>
      </c>
    </row>
    <row r="186">
      <c r="A186" s="8">
        <f>IF($E186="","","SS-"&amp;TEXT(ROW()-4,"0000"))</f>
        <v/>
      </c>
      <c r="B186" s="9" t="n"/>
      <c r="C186" s="9" t="n"/>
      <c r="D186" s="9" t="n"/>
      <c r="E186" s="10" t="n"/>
      <c r="F186" s="11" t="n"/>
      <c r="G186" s="10" t="n"/>
      <c r="H186" s="11" t="n"/>
      <c r="I186" s="8">
        <f>IF(OR($E186="",$G186=""),"",$G186-$E186+1)</f>
        <v/>
      </c>
      <c r="J186" s="8">
        <f>IF(OR($E186="",$G186=""),"",$G186-$E186)</f>
        <v/>
      </c>
      <c r="K186" s="9" t="n"/>
      <c r="L186" s="9" t="n"/>
      <c r="M186" s="9" t="n"/>
      <c r="N186" s="9" t="n"/>
      <c r="O186" s="9" t="n"/>
      <c r="P186" s="9" t="n"/>
      <c r="Q186" s="10" t="n"/>
      <c r="R186" s="9" t="n"/>
      <c r="S186" s="8">
        <f>IF($D186="","",IF(COUNTIF('M_部屋'!$A$4:$A$20,$D186)=0,"⚠部屋が未登録",IF(OR($E186="",$G186="",$K186="キャンセル"),"",IF(SUMPRODUCT(($D$5:$D$204=$D186)*($E$5:$E$204&lt;&gt;"")*($G$5:$G$204&lt;&gt;"")*($K$5:$K$204&lt;&gt;"キャンセル")*($E$5:$E$204&lt;$G186)*($G$5:$G$204&gt;$E186))&gt;1,"⚠重複",""))))</f>
        <v/>
      </c>
      <c r="T186" s="8">
        <f>IF(OR($B186="",$E186=""),"",IF(SUMPRODUCT(('M_利用者'!$A$4:$A$60=$B186)*('M_利用者'!$B$4:$B$60&lt;&gt;""))=0,"",IF(SUMIFS($U$5:$U$204,$B$5:$B$204,$B186,$E$5:$E$204,"&gt;="&amp;DATE(YEAR($E186),MONTH($E186),1),$E$5:$E$204,"&lt;="&amp;EOMONTH($E186,0))&gt;SUMIFS('M_利用者'!$B$4:$B$60,'M_利用者'!$A$4:$A$60,$B186),"⚠支給量超過","")))</f>
        <v/>
      </c>
      <c r="U186" s="8">
        <f>IF(OR($E186="",$G186="",$K186="キャンセル"),0,IF(IFERROR(INDEX('M_区分'!$B$4:$B$20,MATCH($C186,'M_区分'!$A$4:$A$20,0)),"○")="○",$G186-$E186+1,0))</f>
        <v/>
      </c>
    </row>
    <row r="187">
      <c r="A187" s="8">
        <f>IF($E187="","","SS-"&amp;TEXT(ROW()-4,"0000"))</f>
        <v/>
      </c>
      <c r="B187" s="9" t="n"/>
      <c r="C187" s="9" t="n"/>
      <c r="D187" s="9" t="n"/>
      <c r="E187" s="10" t="n"/>
      <c r="F187" s="11" t="n"/>
      <c r="G187" s="10" t="n"/>
      <c r="H187" s="11" t="n"/>
      <c r="I187" s="8">
        <f>IF(OR($E187="",$G187=""),"",$G187-$E187+1)</f>
        <v/>
      </c>
      <c r="J187" s="8">
        <f>IF(OR($E187="",$G187=""),"",$G187-$E187)</f>
        <v/>
      </c>
      <c r="K187" s="9" t="n"/>
      <c r="L187" s="9" t="n"/>
      <c r="M187" s="9" t="n"/>
      <c r="N187" s="9" t="n"/>
      <c r="O187" s="9" t="n"/>
      <c r="P187" s="9" t="n"/>
      <c r="Q187" s="10" t="n"/>
      <c r="R187" s="9" t="n"/>
      <c r="S187" s="8">
        <f>IF($D187="","",IF(COUNTIF('M_部屋'!$A$4:$A$20,$D187)=0,"⚠部屋が未登録",IF(OR($E187="",$G187="",$K187="キャンセル"),"",IF(SUMPRODUCT(($D$5:$D$204=$D187)*($E$5:$E$204&lt;&gt;"")*($G$5:$G$204&lt;&gt;"")*($K$5:$K$204&lt;&gt;"キャンセル")*($E$5:$E$204&lt;$G187)*($G$5:$G$204&gt;$E187))&gt;1,"⚠重複",""))))</f>
        <v/>
      </c>
      <c r="T187" s="8">
        <f>IF(OR($B187="",$E187=""),"",IF(SUMPRODUCT(('M_利用者'!$A$4:$A$60=$B187)*('M_利用者'!$B$4:$B$60&lt;&gt;""))=0,"",IF(SUMIFS($U$5:$U$204,$B$5:$B$204,$B187,$E$5:$E$204,"&gt;="&amp;DATE(YEAR($E187),MONTH($E187),1),$E$5:$E$204,"&lt;="&amp;EOMONTH($E187,0))&gt;SUMIFS('M_利用者'!$B$4:$B$60,'M_利用者'!$A$4:$A$60,$B187),"⚠支給量超過","")))</f>
        <v/>
      </c>
      <c r="U187" s="8">
        <f>IF(OR($E187="",$G187="",$K187="キャンセル"),0,IF(IFERROR(INDEX('M_区分'!$B$4:$B$20,MATCH($C187,'M_区分'!$A$4:$A$20,0)),"○")="○",$G187-$E187+1,0))</f>
        <v/>
      </c>
    </row>
    <row r="188">
      <c r="A188" s="8">
        <f>IF($E188="","","SS-"&amp;TEXT(ROW()-4,"0000"))</f>
        <v/>
      </c>
      <c r="B188" s="9" t="n"/>
      <c r="C188" s="9" t="n"/>
      <c r="D188" s="9" t="n"/>
      <c r="E188" s="10" t="n"/>
      <c r="F188" s="11" t="n"/>
      <c r="G188" s="10" t="n"/>
      <c r="H188" s="11" t="n"/>
      <c r="I188" s="8">
        <f>IF(OR($E188="",$G188=""),"",$G188-$E188+1)</f>
        <v/>
      </c>
      <c r="J188" s="8">
        <f>IF(OR($E188="",$G188=""),"",$G188-$E188)</f>
        <v/>
      </c>
      <c r="K188" s="9" t="n"/>
      <c r="L188" s="9" t="n"/>
      <c r="M188" s="9" t="n"/>
      <c r="N188" s="9" t="n"/>
      <c r="O188" s="9" t="n"/>
      <c r="P188" s="9" t="n"/>
      <c r="Q188" s="10" t="n"/>
      <c r="R188" s="9" t="n"/>
      <c r="S188" s="8">
        <f>IF($D188="","",IF(COUNTIF('M_部屋'!$A$4:$A$20,$D188)=0,"⚠部屋が未登録",IF(OR($E188="",$G188="",$K188="キャンセル"),"",IF(SUMPRODUCT(($D$5:$D$204=$D188)*($E$5:$E$204&lt;&gt;"")*($G$5:$G$204&lt;&gt;"")*($K$5:$K$204&lt;&gt;"キャンセル")*($E$5:$E$204&lt;$G188)*($G$5:$G$204&gt;$E188))&gt;1,"⚠重複",""))))</f>
        <v/>
      </c>
      <c r="T188" s="8">
        <f>IF(OR($B188="",$E188=""),"",IF(SUMPRODUCT(('M_利用者'!$A$4:$A$60=$B188)*('M_利用者'!$B$4:$B$60&lt;&gt;""))=0,"",IF(SUMIFS($U$5:$U$204,$B$5:$B$204,$B188,$E$5:$E$204,"&gt;="&amp;DATE(YEAR($E188),MONTH($E188),1),$E$5:$E$204,"&lt;="&amp;EOMONTH($E188,0))&gt;SUMIFS('M_利用者'!$B$4:$B$60,'M_利用者'!$A$4:$A$60,$B188),"⚠支給量超過","")))</f>
        <v/>
      </c>
      <c r="U188" s="8">
        <f>IF(OR($E188="",$G188="",$K188="キャンセル"),0,IF(IFERROR(INDEX('M_区分'!$B$4:$B$20,MATCH($C188,'M_区分'!$A$4:$A$20,0)),"○")="○",$G188-$E188+1,0))</f>
        <v/>
      </c>
    </row>
    <row r="189">
      <c r="A189" s="8">
        <f>IF($E189="","","SS-"&amp;TEXT(ROW()-4,"0000"))</f>
        <v/>
      </c>
      <c r="B189" s="9" t="n"/>
      <c r="C189" s="9" t="n"/>
      <c r="D189" s="9" t="n"/>
      <c r="E189" s="10" t="n"/>
      <c r="F189" s="11" t="n"/>
      <c r="G189" s="10" t="n"/>
      <c r="H189" s="11" t="n"/>
      <c r="I189" s="8">
        <f>IF(OR($E189="",$G189=""),"",$G189-$E189+1)</f>
        <v/>
      </c>
      <c r="J189" s="8">
        <f>IF(OR($E189="",$G189=""),"",$G189-$E189)</f>
        <v/>
      </c>
      <c r="K189" s="9" t="n"/>
      <c r="L189" s="9" t="n"/>
      <c r="M189" s="9" t="n"/>
      <c r="N189" s="9" t="n"/>
      <c r="O189" s="9" t="n"/>
      <c r="P189" s="9" t="n"/>
      <c r="Q189" s="10" t="n"/>
      <c r="R189" s="9" t="n"/>
      <c r="S189" s="8">
        <f>IF($D189="","",IF(COUNTIF('M_部屋'!$A$4:$A$20,$D189)=0,"⚠部屋が未登録",IF(OR($E189="",$G189="",$K189="キャンセル"),"",IF(SUMPRODUCT(($D$5:$D$204=$D189)*($E$5:$E$204&lt;&gt;"")*($G$5:$G$204&lt;&gt;"")*($K$5:$K$204&lt;&gt;"キャンセル")*($E$5:$E$204&lt;$G189)*($G$5:$G$204&gt;$E189))&gt;1,"⚠重複",""))))</f>
        <v/>
      </c>
      <c r="T189" s="8">
        <f>IF(OR($B189="",$E189=""),"",IF(SUMPRODUCT(('M_利用者'!$A$4:$A$60=$B189)*('M_利用者'!$B$4:$B$60&lt;&gt;""))=0,"",IF(SUMIFS($U$5:$U$204,$B$5:$B$204,$B189,$E$5:$E$204,"&gt;="&amp;DATE(YEAR($E189),MONTH($E189),1),$E$5:$E$204,"&lt;="&amp;EOMONTH($E189,0))&gt;SUMIFS('M_利用者'!$B$4:$B$60,'M_利用者'!$A$4:$A$60,$B189),"⚠支給量超過","")))</f>
        <v/>
      </c>
      <c r="U189" s="8">
        <f>IF(OR($E189="",$G189="",$K189="キャンセル"),0,IF(IFERROR(INDEX('M_区分'!$B$4:$B$20,MATCH($C189,'M_区分'!$A$4:$A$20,0)),"○")="○",$G189-$E189+1,0))</f>
        <v/>
      </c>
    </row>
    <row r="190">
      <c r="A190" s="8">
        <f>IF($E190="","","SS-"&amp;TEXT(ROW()-4,"0000"))</f>
        <v/>
      </c>
      <c r="B190" s="9" t="n"/>
      <c r="C190" s="9" t="n"/>
      <c r="D190" s="9" t="n"/>
      <c r="E190" s="10" t="n"/>
      <c r="F190" s="11" t="n"/>
      <c r="G190" s="10" t="n"/>
      <c r="H190" s="11" t="n"/>
      <c r="I190" s="8">
        <f>IF(OR($E190="",$G190=""),"",$G190-$E190+1)</f>
        <v/>
      </c>
      <c r="J190" s="8">
        <f>IF(OR($E190="",$G190=""),"",$G190-$E190)</f>
        <v/>
      </c>
      <c r="K190" s="9" t="n"/>
      <c r="L190" s="9" t="n"/>
      <c r="M190" s="9" t="n"/>
      <c r="N190" s="9" t="n"/>
      <c r="O190" s="9" t="n"/>
      <c r="P190" s="9" t="n"/>
      <c r="Q190" s="10" t="n"/>
      <c r="R190" s="9" t="n"/>
      <c r="S190" s="8">
        <f>IF($D190="","",IF(COUNTIF('M_部屋'!$A$4:$A$20,$D190)=0,"⚠部屋が未登録",IF(OR($E190="",$G190="",$K190="キャンセル"),"",IF(SUMPRODUCT(($D$5:$D$204=$D190)*($E$5:$E$204&lt;&gt;"")*($G$5:$G$204&lt;&gt;"")*($K$5:$K$204&lt;&gt;"キャンセル")*($E$5:$E$204&lt;$G190)*($G$5:$G$204&gt;$E190))&gt;1,"⚠重複",""))))</f>
        <v/>
      </c>
      <c r="T190" s="8">
        <f>IF(OR($B190="",$E190=""),"",IF(SUMPRODUCT(('M_利用者'!$A$4:$A$60=$B190)*('M_利用者'!$B$4:$B$60&lt;&gt;""))=0,"",IF(SUMIFS($U$5:$U$204,$B$5:$B$204,$B190,$E$5:$E$204,"&gt;="&amp;DATE(YEAR($E190),MONTH($E190),1),$E$5:$E$204,"&lt;="&amp;EOMONTH($E190,0))&gt;SUMIFS('M_利用者'!$B$4:$B$60,'M_利用者'!$A$4:$A$60,$B190),"⚠支給量超過","")))</f>
        <v/>
      </c>
      <c r="U190" s="8">
        <f>IF(OR($E190="",$G190="",$K190="キャンセル"),0,IF(IFERROR(INDEX('M_区分'!$B$4:$B$20,MATCH($C190,'M_区分'!$A$4:$A$20,0)),"○")="○",$G190-$E190+1,0))</f>
        <v/>
      </c>
    </row>
    <row r="191">
      <c r="A191" s="8">
        <f>IF($E191="","","SS-"&amp;TEXT(ROW()-4,"0000"))</f>
        <v/>
      </c>
      <c r="B191" s="9" t="n"/>
      <c r="C191" s="9" t="n"/>
      <c r="D191" s="9" t="n"/>
      <c r="E191" s="10" t="n"/>
      <c r="F191" s="11" t="n"/>
      <c r="G191" s="10" t="n"/>
      <c r="H191" s="11" t="n"/>
      <c r="I191" s="8">
        <f>IF(OR($E191="",$G191=""),"",$G191-$E191+1)</f>
        <v/>
      </c>
      <c r="J191" s="8">
        <f>IF(OR($E191="",$G191=""),"",$G191-$E191)</f>
        <v/>
      </c>
      <c r="K191" s="9" t="n"/>
      <c r="L191" s="9" t="n"/>
      <c r="M191" s="9" t="n"/>
      <c r="N191" s="9" t="n"/>
      <c r="O191" s="9" t="n"/>
      <c r="P191" s="9" t="n"/>
      <c r="Q191" s="10" t="n"/>
      <c r="R191" s="9" t="n"/>
      <c r="S191" s="8">
        <f>IF($D191="","",IF(COUNTIF('M_部屋'!$A$4:$A$20,$D191)=0,"⚠部屋が未登録",IF(OR($E191="",$G191="",$K191="キャンセル"),"",IF(SUMPRODUCT(($D$5:$D$204=$D191)*($E$5:$E$204&lt;&gt;"")*($G$5:$G$204&lt;&gt;"")*($K$5:$K$204&lt;&gt;"キャンセル")*($E$5:$E$204&lt;$G191)*($G$5:$G$204&gt;$E191))&gt;1,"⚠重複",""))))</f>
        <v/>
      </c>
      <c r="T191" s="8">
        <f>IF(OR($B191="",$E191=""),"",IF(SUMPRODUCT(('M_利用者'!$A$4:$A$60=$B191)*('M_利用者'!$B$4:$B$60&lt;&gt;""))=0,"",IF(SUMIFS($U$5:$U$204,$B$5:$B$204,$B191,$E$5:$E$204,"&gt;="&amp;DATE(YEAR($E191),MONTH($E191),1),$E$5:$E$204,"&lt;="&amp;EOMONTH($E191,0))&gt;SUMIFS('M_利用者'!$B$4:$B$60,'M_利用者'!$A$4:$A$60,$B191),"⚠支給量超過","")))</f>
        <v/>
      </c>
      <c r="U191" s="8">
        <f>IF(OR($E191="",$G191="",$K191="キャンセル"),0,IF(IFERROR(INDEX('M_区分'!$B$4:$B$20,MATCH($C191,'M_区分'!$A$4:$A$20,0)),"○")="○",$G191-$E191+1,0))</f>
        <v/>
      </c>
    </row>
    <row r="192">
      <c r="A192" s="8">
        <f>IF($E192="","","SS-"&amp;TEXT(ROW()-4,"0000"))</f>
        <v/>
      </c>
      <c r="B192" s="9" t="n"/>
      <c r="C192" s="9" t="n"/>
      <c r="D192" s="9" t="n"/>
      <c r="E192" s="10" t="n"/>
      <c r="F192" s="11" t="n"/>
      <c r="G192" s="10" t="n"/>
      <c r="H192" s="11" t="n"/>
      <c r="I192" s="8">
        <f>IF(OR($E192="",$G192=""),"",$G192-$E192+1)</f>
        <v/>
      </c>
      <c r="J192" s="8">
        <f>IF(OR($E192="",$G192=""),"",$G192-$E192)</f>
        <v/>
      </c>
      <c r="K192" s="9" t="n"/>
      <c r="L192" s="9" t="n"/>
      <c r="M192" s="9" t="n"/>
      <c r="N192" s="9" t="n"/>
      <c r="O192" s="9" t="n"/>
      <c r="P192" s="9" t="n"/>
      <c r="Q192" s="10" t="n"/>
      <c r="R192" s="9" t="n"/>
      <c r="S192" s="8">
        <f>IF($D192="","",IF(COUNTIF('M_部屋'!$A$4:$A$20,$D192)=0,"⚠部屋が未登録",IF(OR($E192="",$G192="",$K192="キャンセル"),"",IF(SUMPRODUCT(($D$5:$D$204=$D192)*($E$5:$E$204&lt;&gt;"")*($G$5:$G$204&lt;&gt;"")*($K$5:$K$204&lt;&gt;"キャンセル")*($E$5:$E$204&lt;$G192)*($G$5:$G$204&gt;$E192))&gt;1,"⚠重複",""))))</f>
        <v/>
      </c>
      <c r="T192" s="8">
        <f>IF(OR($B192="",$E192=""),"",IF(SUMPRODUCT(('M_利用者'!$A$4:$A$60=$B192)*('M_利用者'!$B$4:$B$60&lt;&gt;""))=0,"",IF(SUMIFS($U$5:$U$204,$B$5:$B$204,$B192,$E$5:$E$204,"&gt;="&amp;DATE(YEAR($E192),MONTH($E192),1),$E$5:$E$204,"&lt;="&amp;EOMONTH($E192,0))&gt;SUMIFS('M_利用者'!$B$4:$B$60,'M_利用者'!$A$4:$A$60,$B192),"⚠支給量超過","")))</f>
        <v/>
      </c>
      <c r="U192" s="8">
        <f>IF(OR($E192="",$G192="",$K192="キャンセル"),0,IF(IFERROR(INDEX('M_区分'!$B$4:$B$20,MATCH($C192,'M_区分'!$A$4:$A$20,0)),"○")="○",$G192-$E192+1,0))</f>
        <v/>
      </c>
    </row>
    <row r="193">
      <c r="A193" s="8">
        <f>IF($E193="","","SS-"&amp;TEXT(ROW()-4,"0000"))</f>
        <v/>
      </c>
      <c r="B193" s="9" t="n"/>
      <c r="C193" s="9" t="n"/>
      <c r="D193" s="9" t="n"/>
      <c r="E193" s="10" t="n"/>
      <c r="F193" s="11" t="n"/>
      <c r="G193" s="10" t="n"/>
      <c r="H193" s="11" t="n"/>
      <c r="I193" s="8">
        <f>IF(OR($E193="",$G193=""),"",$G193-$E193+1)</f>
        <v/>
      </c>
      <c r="J193" s="8">
        <f>IF(OR($E193="",$G193=""),"",$G193-$E193)</f>
        <v/>
      </c>
      <c r="K193" s="9" t="n"/>
      <c r="L193" s="9" t="n"/>
      <c r="M193" s="9" t="n"/>
      <c r="N193" s="9" t="n"/>
      <c r="O193" s="9" t="n"/>
      <c r="P193" s="9" t="n"/>
      <c r="Q193" s="10" t="n"/>
      <c r="R193" s="9" t="n"/>
      <c r="S193" s="8">
        <f>IF($D193="","",IF(COUNTIF('M_部屋'!$A$4:$A$20,$D193)=0,"⚠部屋が未登録",IF(OR($E193="",$G193="",$K193="キャンセル"),"",IF(SUMPRODUCT(($D$5:$D$204=$D193)*($E$5:$E$204&lt;&gt;"")*($G$5:$G$204&lt;&gt;"")*($K$5:$K$204&lt;&gt;"キャンセル")*($E$5:$E$204&lt;$G193)*($G$5:$G$204&gt;$E193))&gt;1,"⚠重複",""))))</f>
        <v/>
      </c>
      <c r="T193" s="8">
        <f>IF(OR($B193="",$E193=""),"",IF(SUMPRODUCT(('M_利用者'!$A$4:$A$60=$B193)*('M_利用者'!$B$4:$B$60&lt;&gt;""))=0,"",IF(SUMIFS($U$5:$U$204,$B$5:$B$204,$B193,$E$5:$E$204,"&gt;="&amp;DATE(YEAR($E193),MONTH($E193),1),$E$5:$E$204,"&lt;="&amp;EOMONTH($E193,0))&gt;SUMIFS('M_利用者'!$B$4:$B$60,'M_利用者'!$A$4:$A$60,$B193),"⚠支給量超過","")))</f>
        <v/>
      </c>
      <c r="U193" s="8">
        <f>IF(OR($E193="",$G193="",$K193="キャンセル"),0,IF(IFERROR(INDEX('M_区分'!$B$4:$B$20,MATCH($C193,'M_区分'!$A$4:$A$20,0)),"○")="○",$G193-$E193+1,0))</f>
        <v/>
      </c>
    </row>
    <row r="194">
      <c r="A194" s="8">
        <f>IF($E194="","","SS-"&amp;TEXT(ROW()-4,"0000"))</f>
        <v/>
      </c>
      <c r="B194" s="9" t="n"/>
      <c r="C194" s="9" t="n"/>
      <c r="D194" s="9" t="n"/>
      <c r="E194" s="10" t="n"/>
      <c r="F194" s="11" t="n"/>
      <c r="G194" s="10" t="n"/>
      <c r="H194" s="11" t="n"/>
      <c r="I194" s="8">
        <f>IF(OR($E194="",$G194=""),"",$G194-$E194+1)</f>
        <v/>
      </c>
      <c r="J194" s="8">
        <f>IF(OR($E194="",$G194=""),"",$G194-$E194)</f>
        <v/>
      </c>
      <c r="K194" s="9" t="n"/>
      <c r="L194" s="9" t="n"/>
      <c r="M194" s="9" t="n"/>
      <c r="N194" s="9" t="n"/>
      <c r="O194" s="9" t="n"/>
      <c r="P194" s="9" t="n"/>
      <c r="Q194" s="10" t="n"/>
      <c r="R194" s="9" t="n"/>
      <c r="S194" s="8">
        <f>IF($D194="","",IF(COUNTIF('M_部屋'!$A$4:$A$20,$D194)=0,"⚠部屋が未登録",IF(OR($E194="",$G194="",$K194="キャンセル"),"",IF(SUMPRODUCT(($D$5:$D$204=$D194)*($E$5:$E$204&lt;&gt;"")*($G$5:$G$204&lt;&gt;"")*($K$5:$K$204&lt;&gt;"キャンセル")*($E$5:$E$204&lt;$G194)*($G$5:$G$204&gt;$E194))&gt;1,"⚠重複",""))))</f>
        <v/>
      </c>
      <c r="T194" s="8">
        <f>IF(OR($B194="",$E194=""),"",IF(SUMPRODUCT(('M_利用者'!$A$4:$A$60=$B194)*('M_利用者'!$B$4:$B$60&lt;&gt;""))=0,"",IF(SUMIFS($U$5:$U$204,$B$5:$B$204,$B194,$E$5:$E$204,"&gt;="&amp;DATE(YEAR($E194),MONTH($E194),1),$E$5:$E$204,"&lt;="&amp;EOMONTH($E194,0))&gt;SUMIFS('M_利用者'!$B$4:$B$60,'M_利用者'!$A$4:$A$60,$B194),"⚠支給量超過","")))</f>
        <v/>
      </c>
      <c r="U194" s="8">
        <f>IF(OR($E194="",$G194="",$K194="キャンセル"),0,IF(IFERROR(INDEX('M_区分'!$B$4:$B$20,MATCH($C194,'M_区分'!$A$4:$A$20,0)),"○")="○",$G194-$E194+1,0))</f>
        <v/>
      </c>
    </row>
    <row r="195">
      <c r="A195" s="8">
        <f>IF($E195="","","SS-"&amp;TEXT(ROW()-4,"0000"))</f>
        <v/>
      </c>
      <c r="B195" s="9" t="n"/>
      <c r="C195" s="9" t="n"/>
      <c r="D195" s="9" t="n"/>
      <c r="E195" s="10" t="n"/>
      <c r="F195" s="11" t="n"/>
      <c r="G195" s="10" t="n"/>
      <c r="H195" s="11" t="n"/>
      <c r="I195" s="8">
        <f>IF(OR($E195="",$G195=""),"",$G195-$E195+1)</f>
        <v/>
      </c>
      <c r="J195" s="8">
        <f>IF(OR($E195="",$G195=""),"",$G195-$E195)</f>
        <v/>
      </c>
      <c r="K195" s="9" t="n"/>
      <c r="L195" s="9" t="n"/>
      <c r="M195" s="9" t="n"/>
      <c r="N195" s="9" t="n"/>
      <c r="O195" s="9" t="n"/>
      <c r="P195" s="9" t="n"/>
      <c r="Q195" s="10" t="n"/>
      <c r="R195" s="9" t="n"/>
      <c r="S195" s="8">
        <f>IF($D195="","",IF(COUNTIF('M_部屋'!$A$4:$A$20,$D195)=0,"⚠部屋が未登録",IF(OR($E195="",$G195="",$K195="キャンセル"),"",IF(SUMPRODUCT(($D$5:$D$204=$D195)*($E$5:$E$204&lt;&gt;"")*($G$5:$G$204&lt;&gt;"")*($K$5:$K$204&lt;&gt;"キャンセル")*($E$5:$E$204&lt;$G195)*($G$5:$G$204&gt;$E195))&gt;1,"⚠重複",""))))</f>
        <v/>
      </c>
      <c r="T195" s="8">
        <f>IF(OR($B195="",$E195=""),"",IF(SUMPRODUCT(('M_利用者'!$A$4:$A$60=$B195)*('M_利用者'!$B$4:$B$60&lt;&gt;""))=0,"",IF(SUMIFS($U$5:$U$204,$B$5:$B$204,$B195,$E$5:$E$204,"&gt;="&amp;DATE(YEAR($E195),MONTH($E195),1),$E$5:$E$204,"&lt;="&amp;EOMONTH($E195,0))&gt;SUMIFS('M_利用者'!$B$4:$B$60,'M_利用者'!$A$4:$A$60,$B195),"⚠支給量超過","")))</f>
        <v/>
      </c>
      <c r="U195" s="8">
        <f>IF(OR($E195="",$G195="",$K195="キャンセル"),0,IF(IFERROR(INDEX('M_区分'!$B$4:$B$20,MATCH($C195,'M_区分'!$A$4:$A$20,0)),"○")="○",$G195-$E195+1,0))</f>
        <v/>
      </c>
    </row>
    <row r="196">
      <c r="A196" s="8">
        <f>IF($E196="","","SS-"&amp;TEXT(ROW()-4,"0000"))</f>
        <v/>
      </c>
      <c r="B196" s="9" t="n"/>
      <c r="C196" s="9" t="n"/>
      <c r="D196" s="9" t="n"/>
      <c r="E196" s="10" t="n"/>
      <c r="F196" s="11" t="n"/>
      <c r="G196" s="10" t="n"/>
      <c r="H196" s="11" t="n"/>
      <c r="I196" s="8">
        <f>IF(OR($E196="",$G196=""),"",$G196-$E196+1)</f>
        <v/>
      </c>
      <c r="J196" s="8">
        <f>IF(OR($E196="",$G196=""),"",$G196-$E196)</f>
        <v/>
      </c>
      <c r="K196" s="9" t="n"/>
      <c r="L196" s="9" t="n"/>
      <c r="M196" s="9" t="n"/>
      <c r="N196" s="9" t="n"/>
      <c r="O196" s="9" t="n"/>
      <c r="P196" s="9" t="n"/>
      <c r="Q196" s="10" t="n"/>
      <c r="R196" s="9" t="n"/>
      <c r="S196" s="8">
        <f>IF($D196="","",IF(COUNTIF('M_部屋'!$A$4:$A$20,$D196)=0,"⚠部屋が未登録",IF(OR($E196="",$G196="",$K196="キャンセル"),"",IF(SUMPRODUCT(($D$5:$D$204=$D196)*($E$5:$E$204&lt;&gt;"")*($G$5:$G$204&lt;&gt;"")*($K$5:$K$204&lt;&gt;"キャンセル")*($E$5:$E$204&lt;$G196)*($G$5:$G$204&gt;$E196))&gt;1,"⚠重複",""))))</f>
        <v/>
      </c>
      <c r="T196" s="8">
        <f>IF(OR($B196="",$E196=""),"",IF(SUMPRODUCT(('M_利用者'!$A$4:$A$60=$B196)*('M_利用者'!$B$4:$B$60&lt;&gt;""))=0,"",IF(SUMIFS($U$5:$U$204,$B$5:$B$204,$B196,$E$5:$E$204,"&gt;="&amp;DATE(YEAR($E196),MONTH($E196),1),$E$5:$E$204,"&lt;="&amp;EOMONTH($E196,0))&gt;SUMIFS('M_利用者'!$B$4:$B$60,'M_利用者'!$A$4:$A$60,$B196),"⚠支給量超過","")))</f>
        <v/>
      </c>
      <c r="U196" s="8">
        <f>IF(OR($E196="",$G196="",$K196="キャンセル"),0,IF(IFERROR(INDEX('M_区分'!$B$4:$B$20,MATCH($C196,'M_区分'!$A$4:$A$20,0)),"○")="○",$G196-$E196+1,0))</f>
        <v/>
      </c>
    </row>
    <row r="197">
      <c r="A197" s="8">
        <f>IF($E197="","","SS-"&amp;TEXT(ROW()-4,"0000"))</f>
        <v/>
      </c>
      <c r="B197" s="9" t="n"/>
      <c r="C197" s="9" t="n"/>
      <c r="D197" s="9" t="n"/>
      <c r="E197" s="10" t="n"/>
      <c r="F197" s="11" t="n"/>
      <c r="G197" s="10" t="n"/>
      <c r="H197" s="11" t="n"/>
      <c r="I197" s="8">
        <f>IF(OR($E197="",$G197=""),"",$G197-$E197+1)</f>
        <v/>
      </c>
      <c r="J197" s="8">
        <f>IF(OR($E197="",$G197=""),"",$G197-$E197)</f>
        <v/>
      </c>
      <c r="K197" s="9" t="n"/>
      <c r="L197" s="9" t="n"/>
      <c r="M197" s="9" t="n"/>
      <c r="N197" s="9" t="n"/>
      <c r="O197" s="9" t="n"/>
      <c r="P197" s="9" t="n"/>
      <c r="Q197" s="10" t="n"/>
      <c r="R197" s="9" t="n"/>
      <c r="S197" s="8">
        <f>IF($D197="","",IF(COUNTIF('M_部屋'!$A$4:$A$20,$D197)=0,"⚠部屋が未登録",IF(OR($E197="",$G197="",$K197="キャンセル"),"",IF(SUMPRODUCT(($D$5:$D$204=$D197)*($E$5:$E$204&lt;&gt;"")*($G$5:$G$204&lt;&gt;"")*($K$5:$K$204&lt;&gt;"キャンセル")*($E$5:$E$204&lt;$G197)*($G$5:$G$204&gt;$E197))&gt;1,"⚠重複",""))))</f>
        <v/>
      </c>
      <c r="T197" s="8">
        <f>IF(OR($B197="",$E197=""),"",IF(SUMPRODUCT(('M_利用者'!$A$4:$A$60=$B197)*('M_利用者'!$B$4:$B$60&lt;&gt;""))=0,"",IF(SUMIFS($U$5:$U$204,$B$5:$B$204,$B197,$E$5:$E$204,"&gt;="&amp;DATE(YEAR($E197),MONTH($E197),1),$E$5:$E$204,"&lt;="&amp;EOMONTH($E197,0))&gt;SUMIFS('M_利用者'!$B$4:$B$60,'M_利用者'!$A$4:$A$60,$B197),"⚠支給量超過","")))</f>
        <v/>
      </c>
      <c r="U197" s="8">
        <f>IF(OR($E197="",$G197="",$K197="キャンセル"),0,IF(IFERROR(INDEX('M_区分'!$B$4:$B$20,MATCH($C197,'M_区分'!$A$4:$A$20,0)),"○")="○",$G197-$E197+1,0))</f>
        <v/>
      </c>
    </row>
    <row r="198">
      <c r="A198" s="8">
        <f>IF($E198="","","SS-"&amp;TEXT(ROW()-4,"0000"))</f>
        <v/>
      </c>
      <c r="B198" s="9" t="n"/>
      <c r="C198" s="9" t="n"/>
      <c r="D198" s="9" t="n"/>
      <c r="E198" s="10" t="n"/>
      <c r="F198" s="11" t="n"/>
      <c r="G198" s="10" t="n"/>
      <c r="H198" s="11" t="n"/>
      <c r="I198" s="8">
        <f>IF(OR($E198="",$G198=""),"",$G198-$E198+1)</f>
        <v/>
      </c>
      <c r="J198" s="8">
        <f>IF(OR($E198="",$G198=""),"",$G198-$E198)</f>
        <v/>
      </c>
      <c r="K198" s="9" t="n"/>
      <c r="L198" s="9" t="n"/>
      <c r="M198" s="9" t="n"/>
      <c r="N198" s="9" t="n"/>
      <c r="O198" s="9" t="n"/>
      <c r="P198" s="9" t="n"/>
      <c r="Q198" s="10" t="n"/>
      <c r="R198" s="9" t="n"/>
      <c r="S198" s="8">
        <f>IF($D198="","",IF(COUNTIF('M_部屋'!$A$4:$A$20,$D198)=0,"⚠部屋が未登録",IF(OR($E198="",$G198="",$K198="キャンセル"),"",IF(SUMPRODUCT(($D$5:$D$204=$D198)*($E$5:$E$204&lt;&gt;"")*($G$5:$G$204&lt;&gt;"")*($K$5:$K$204&lt;&gt;"キャンセル")*($E$5:$E$204&lt;$G198)*($G$5:$G$204&gt;$E198))&gt;1,"⚠重複",""))))</f>
        <v/>
      </c>
      <c r="T198" s="8">
        <f>IF(OR($B198="",$E198=""),"",IF(SUMPRODUCT(('M_利用者'!$A$4:$A$60=$B198)*('M_利用者'!$B$4:$B$60&lt;&gt;""))=0,"",IF(SUMIFS($U$5:$U$204,$B$5:$B$204,$B198,$E$5:$E$204,"&gt;="&amp;DATE(YEAR($E198),MONTH($E198),1),$E$5:$E$204,"&lt;="&amp;EOMONTH($E198,0))&gt;SUMIFS('M_利用者'!$B$4:$B$60,'M_利用者'!$A$4:$A$60,$B198),"⚠支給量超過","")))</f>
        <v/>
      </c>
      <c r="U198" s="8">
        <f>IF(OR($E198="",$G198="",$K198="キャンセル"),0,IF(IFERROR(INDEX('M_区分'!$B$4:$B$20,MATCH($C198,'M_区分'!$A$4:$A$20,0)),"○")="○",$G198-$E198+1,0))</f>
        <v/>
      </c>
    </row>
    <row r="199">
      <c r="A199" s="8">
        <f>IF($E199="","","SS-"&amp;TEXT(ROW()-4,"0000"))</f>
        <v/>
      </c>
      <c r="B199" s="9" t="n"/>
      <c r="C199" s="9" t="n"/>
      <c r="D199" s="9" t="n"/>
      <c r="E199" s="10" t="n"/>
      <c r="F199" s="11" t="n"/>
      <c r="G199" s="10" t="n"/>
      <c r="H199" s="11" t="n"/>
      <c r="I199" s="8">
        <f>IF(OR($E199="",$G199=""),"",$G199-$E199+1)</f>
        <v/>
      </c>
      <c r="J199" s="8">
        <f>IF(OR($E199="",$G199=""),"",$G199-$E199)</f>
        <v/>
      </c>
      <c r="K199" s="9" t="n"/>
      <c r="L199" s="9" t="n"/>
      <c r="M199" s="9" t="n"/>
      <c r="N199" s="9" t="n"/>
      <c r="O199" s="9" t="n"/>
      <c r="P199" s="9" t="n"/>
      <c r="Q199" s="10" t="n"/>
      <c r="R199" s="9" t="n"/>
      <c r="S199" s="8">
        <f>IF($D199="","",IF(COUNTIF('M_部屋'!$A$4:$A$20,$D199)=0,"⚠部屋が未登録",IF(OR($E199="",$G199="",$K199="キャンセル"),"",IF(SUMPRODUCT(($D$5:$D$204=$D199)*($E$5:$E$204&lt;&gt;"")*($G$5:$G$204&lt;&gt;"")*($K$5:$K$204&lt;&gt;"キャンセル")*($E$5:$E$204&lt;$G199)*($G$5:$G$204&gt;$E199))&gt;1,"⚠重複",""))))</f>
        <v/>
      </c>
      <c r="T199" s="8">
        <f>IF(OR($B199="",$E199=""),"",IF(SUMPRODUCT(('M_利用者'!$A$4:$A$60=$B199)*('M_利用者'!$B$4:$B$60&lt;&gt;""))=0,"",IF(SUMIFS($U$5:$U$204,$B$5:$B$204,$B199,$E$5:$E$204,"&gt;="&amp;DATE(YEAR($E199),MONTH($E199),1),$E$5:$E$204,"&lt;="&amp;EOMONTH($E199,0))&gt;SUMIFS('M_利用者'!$B$4:$B$60,'M_利用者'!$A$4:$A$60,$B199),"⚠支給量超過","")))</f>
        <v/>
      </c>
      <c r="U199" s="8">
        <f>IF(OR($E199="",$G199="",$K199="キャンセル"),0,IF(IFERROR(INDEX('M_区分'!$B$4:$B$20,MATCH($C199,'M_区分'!$A$4:$A$20,0)),"○")="○",$G199-$E199+1,0))</f>
        <v/>
      </c>
    </row>
    <row r="200">
      <c r="A200" s="8">
        <f>IF($E200="","","SS-"&amp;TEXT(ROW()-4,"0000"))</f>
        <v/>
      </c>
      <c r="B200" s="9" t="n"/>
      <c r="C200" s="9" t="n"/>
      <c r="D200" s="9" t="n"/>
      <c r="E200" s="10" t="n"/>
      <c r="F200" s="11" t="n"/>
      <c r="G200" s="10" t="n"/>
      <c r="H200" s="11" t="n"/>
      <c r="I200" s="8">
        <f>IF(OR($E200="",$G200=""),"",$G200-$E200+1)</f>
        <v/>
      </c>
      <c r="J200" s="8">
        <f>IF(OR($E200="",$G200=""),"",$G200-$E200)</f>
        <v/>
      </c>
      <c r="K200" s="9" t="n"/>
      <c r="L200" s="9" t="n"/>
      <c r="M200" s="9" t="n"/>
      <c r="N200" s="9" t="n"/>
      <c r="O200" s="9" t="n"/>
      <c r="P200" s="9" t="n"/>
      <c r="Q200" s="10" t="n"/>
      <c r="R200" s="9" t="n"/>
      <c r="S200" s="8">
        <f>IF($D200="","",IF(COUNTIF('M_部屋'!$A$4:$A$20,$D200)=0,"⚠部屋が未登録",IF(OR($E200="",$G200="",$K200="キャンセル"),"",IF(SUMPRODUCT(($D$5:$D$204=$D200)*($E$5:$E$204&lt;&gt;"")*($G$5:$G$204&lt;&gt;"")*($K$5:$K$204&lt;&gt;"キャンセル")*($E$5:$E$204&lt;$G200)*($G$5:$G$204&gt;$E200))&gt;1,"⚠重複",""))))</f>
        <v/>
      </c>
      <c r="T200" s="8">
        <f>IF(OR($B200="",$E200=""),"",IF(SUMPRODUCT(('M_利用者'!$A$4:$A$60=$B200)*('M_利用者'!$B$4:$B$60&lt;&gt;""))=0,"",IF(SUMIFS($U$5:$U$204,$B$5:$B$204,$B200,$E$5:$E$204,"&gt;="&amp;DATE(YEAR($E200),MONTH($E200),1),$E$5:$E$204,"&lt;="&amp;EOMONTH($E200,0))&gt;SUMIFS('M_利用者'!$B$4:$B$60,'M_利用者'!$A$4:$A$60,$B200),"⚠支給量超過","")))</f>
        <v/>
      </c>
      <c r="U200" s="8">
        <f>IF(OR($E200="",$G200="",$K200="キャンセル"),0,IF(IFERROR(INDEX('M_区分'!$B$4:$B$20,MATCH($C200,'M_区分'!$A$4:$A$20,0)),"○")="○",$G200-$E200+1,0))</f>
        <v/>
      </c>
    </row>
    <row r="201">
      <c r="A201" s="8">
        <f>IF($E201="","","SS-"&amp;TEXT(ROW()-4,"0000"))</f>
        <v/>
      </c>
      <c r="B201" s="9" t="n"/>
      <c r="C201" s="9" t="n"/>
      <c r="D201" s="9" t="n"/>
      <c r="E201" s="10" t="n"/>
      <c r="F201" s="11" t="n"/>
      <c r="G201" s="10" t="n"/>
      <c r="H201" s="11" t="n"/>
      <c r="I201" s="8">
        <f>IF(OR($E201="",$G201=""),"",$G201-$E201+1)</f>
        <v/>
      </c>
      <c r="J201" s="8">
        <f>IF(OR($E201="",$G201=""),"",$G201-$E201)</f>
        <v/>
      </c>
      <c r="K201" s="9" t="n"/>
      <c r="L201" s="9" t="n"/>
      <c r="M201" s="9" t="n"/>
      <c r="N201" s="9" t="n"/>
      <c r="O201" s="9" t="n"/>
      <c r="P201" s="9" t="n"/>
      <c r="Q201" s="10" t="n"/>
      <c r="R201" s="9" t="n"/>
      <c r="S201" s="8">
        <f>IF($D201="","",IF(COUNTIF('M_部屋'!$A$4:$A$20,$D201)=0,"⚠部屋が未登録",IF(OR($E201="",$G201="",$K201="キャンセル"),"",IF(SUMPRODUCT(($D$5:$D$204=$D201)*($E$5:$E$204&lt;&gt;"")*($G$5:$G$204&lt;&gt;"")*($K$5:$K$204&lt;&gt;"キャンセル")*($E$5:$E$204&lt;$G201)*($G$5:$G$204&gt;$E201))&gt;1,"⚠重複",""))))</f>
        <v/>
      </c>
      <c r="T201" s="8">
        <f>IF(OR($B201="",$E201=""),"",IF(SUMPRODUCT(('M_利用者'!$A$4:$A$60=$B201)*('M_利用者'!$B$4:$B$60&lt;&gt;""))=0,"",IF(SUMIFS($U$5:$U$204,$B$5:$B$204,$B201,$E$5:$E$204,"&gt;="&amp;DATE(YEAR($E201),MONTH($E201),1),$E$5:$E$204,"&lt;="&amp;EOMONTH($E201,0))&gt;SUMIFS('M_利用者'!$B$4:$B$60,'M_利用者'!$A$4:$A$60,$B201),"⚠支給量超過","")))</f>
        <v/>
      </c>
      <c r="U201" s="8">
        <f>IF(OR($E201="",$G201="",$K201="キャンセル"),0,IF(IFERROR(INDEX('M_区分'!$B$4:$B$20,MATCH($C201,'M_区分'!$A$4:$A$20,0)),"○")="○",$G201-$E201+1,0))</f>
        <v/>
      </c>
    </row>
    <row r="202">
      <c r="A202" s="8">
        <f>IF($E202="","","SS-"&amp;TEXT(ROW()-4,"0000"))</f>
        <v/>
      </c>
      <c r="B202" s="9" t="n"/>
      <c r="C202" s="9" t="n"/>
      <c r="D202" s="9" t="n"/>
      <c r="E202" s="10" t="n"/>
      <c r="F202" s="11" t="n"/>
      <c r="G202" s="10" t="n"/>
      <c r="H202" s="11" t="n"/>
      <c r="I202" s="8">
        <f>IF(OR($E202="",$G202=""),"",$G202-$E202+1)</f>
        <v/>
      </c>
      <c r="J202" s="8">
        <f>IF(OR($E202="",$G202=""),"",$G202-$E202)</f>
        <v/>
      </c>
      <c r="K202" s="9" t="n"/>
      <c r="L202" s="9" t="n"/>
      <c r="M202" s="9" t="n"/>
      <c r="N202" s="9" t="n"/>
      <c r="O202" s="9" t="n"/>
      <c r="P202" s="9" t="n"/>
      <c r="Q202" s="10" t="n"/>
      <c r="R202" s="9" t="n"/>
      <c r="S202" s="8">
        <f>IF($D202="","",IF(COUNTIF('M_部屋'!$A$4:$A$20,$D202)=0,"⚠部屋が未登録",IF(OR($E202="",$G202="",$K202="キャンセル"),"",IF(SUMPRODUCT(($D$5:$D$204=$D202)*($E$5:$E$204&lt;&gt;"")*($G$5:$G$204&lt;&gt;"")*($K$5:$K$204&lt;&gt;"キャンセル")*($E$5:$E$204&lt;$G202)*($G$5:$G$204&gt;$E202))&gt;1,"⚠重複",""))))</f>
        <v/>
      </c>
      <c r="T202" s="8">
        <f>IF(OR($B202="",$E202=""),"",IF(SUMPRODUCT(('M_利用者'!$A$4:$A$60=$B202)*('M_利用者'!$B$4:$B$60&lt;&gt;""))=0,"",IF(SUMIFS($U$5:$U$204,$B$5:$B$204,$B202,$E$5:$E$204,"&gt;="&amp;DATE(YEAR($E202),MONTH($E202),1),$E$5:$E$204,"&lt;="&amp;EOMONTH($E202,0))&gt;SUMIFS('M_利用者'!$B$4:$B$60,'M_利用者'!$A$4:$A$60,$B202),"⚠支給量超過","")))</f>
        <v/>
      </c>
      <c r="U202" s="8">
        <f>IF(OR($E202="",$G202="",$K202="キャンセル"),0,IF(IFERROR(INDEX('M_区分'!$B$4:$B$20,MATCH($C202,'M_区分'!$A$4:$A$20,0)),"○")="○",$G202-$E202+1,0))</f>
        <v/>
      </c>
    </row>
    <row r="203">
      <c r="A203" s="8">
        <f>IF($E203="","","SS-"&amp;TEXT(ROW()-4,"0000"))</f>
        <v/>
      </c>
      <c r="B203" s="9" t="n"/>
      <c r="C203" s="9" t="n"/>
      <c r="D203" s="9" t="n"/>
      <c r="E203" s="10" t="n"/>
      <c r="F203" s="11" t="n"/>
      <c r="G203" s="10" t="n"/>
      <c r="H203" s="11" t="n"/>
      <c r="I203" s="8">
        <f>IF(OR($E203="",$G203=""),"",$G203-$E203+1)</f>
        <v/>
      </c>
      <c r="J203" s="8">
        <f>IF(OR($E203="",$G203=""),"",$G203-$E203)</f>
        <v/>
      </c>
      <c r="K203" s="9" t="n"/>
      <c r="L203" s="9" t="n"/>
      <c r="M203" s="9" t="n"/>
      <c r="N203" s="9" t="n"/>
      <c r="O203" s="9" t="n"/>
      <c r="P203" s="9" t="n"/>
      <c r="Q203" s="10" t="n"/>
      <c r="R203" s="9" t="n"/>
      <c r="S203" s="8">
        <f>IF($D203="","",IF(COUNTIF('M_部屋'!$A$4:$A$20,$D203)=0,"⚠部屋が未登録",IF(OR($E203="",$G203="",$K203="キャンセル"),"",IF(SUMPRODUCT(($D$5:$D$204=$D203)*($E$5:$E$204&lt;&gt;"")*($G$5:$G$204&lt;&gt;"")*($K$5:$K$204&lt;&gt;"キャンセル")*($E$5:$E$204&lt;$G203)*($G$5:$G$204&gt;$E203))&gt;1,"⚠重複",""))))</f>
        <v/>
      </c>
      <c r="T203" s="8">
        <f>IF(OR($B203="",$E203=""),"",IF(SUMPRODUCT(('M_利用者'!$A$4:$A$60=$B203)*('M_利用者'!$B$4:$B$60&lt;&gt;""))=0,"",IF(SUMIFS($U$5:$U$204,$B$5:$B$204,$B203,$E$5:$E$204,"&gt;="&amp;DATE(YEAR($E203),MONTH($E203),1),$E$5:$E$204,"&lt;="&amp;EOMONTH($E203,0))&gt;SUMIFS('M_利用者'!$B$4:$B$60,'M_利用者'!$A$4:$A$60,$B203),"⚠支給量超過","")))</f>
        <v/>
      </c>
      <c r="U203" s="8">
        <f>IF(OR($E203="",$G203="",$K203="キャンセル"),0,IF(IFERROR(INDEX('M_区分'!$B$4:$B$20,MATCH($C203,'M_区分'!$A$4:$A$20,0)),"○")="○",$G203-$E203+1,0))</f>
        <v/>
      </c>
    </row>
    <row r="204">
      <c r="A204" s="8">
        <f>IF($E204="","","SS-"&amp;TEXT(ROW()-4,"0000"))</f>
        <v/>
      </c>
      <c r="B204" s="9" t="n"/>
      <c r="C204" s="9" t="n"/>
      <c r="D204" s="9" t="n"/>
      <c r="E204" s="10" t="n"/>
      <c r="F204" s="11" t="n"/>
      <c r="G204" s="10" t="n"/>
      <c r="H204" s="11" t="n"/>
      <c r="I204" s="8">
        <f>IF(OR($E204="",$G204=""),"",$G204-$E204+1)</f>
        <v/>
      </c>
      <c r="J204" s="8">
        <f>IF(OR($E204="",$G204=""),"",$G204-$E204)</f>
        <v/>
      </c>
      <c r="K204" s="9" t="n"/>
      <c r="L204" s="9" t="n"/>
      <c r="M204" s="9" t="n"/>
      <c r="N204" s="9" t="n"/>
      <c r="O204" s="9" t="n"/>
      <c r="P204" s="9" t="n"/>
      <c r="Q204" s="10" t="n"/>
      <c r="R204" s="9" t="n"/>
      <c r="S204" s="8">
        <f>IF($D204="","",IF(COUNTIF('M_部屋'!$A$4:$A$20,$D204)=0,"⚠部屋が未登録",IF(OR($E204="",$G204="",$K204="キャンセル"),"",IF(SUMPRODUCT(($D$5:$D$204=$D204)*($E$5:$E$204&lt;&gt;"")*($G$5:$G$204&lt;&gt;"")*($K$5:$K$204&lt;&gt;"キャンセル")*($E$5:$E$204&lt;$G204)*($G$5:$G$204&gt;$E204))&gt;1,"⚠重複",""))))</f>
        <v/>
      </c>
      <c r="T204" s="8">
        <f>IF(OR($B204="",$E204=""),"",IF(SUMPRODUCT(('M_利用者'!$A$4:$A$60=$B204)*('M_利用者'!$B$4:$B$60&lt;&gt;""))=0,"",IF(SUMIFS($U$5:$U$204,$B$5:$B$204,$B204,$E$5:$E$204,"&gt;="&amp;DATE(YEAR($E204),MONTH($E204),1),$E$5:$E$204,"&lt;="&amp;EOMONTH($E204,0))&gt;SUMIFS('M_利用者'!$B$4:$B$60,'M_利用者'!$A$4:$A$60,$B204),"⚠支給量超過","")))</f>
        <v/>
      </c>
      <c r="U204" s="8">
        <f>IF(OR($E204="",$G204="",$K204="キャンセル"),0,IF(IFERROR(INDEX('M_区分'!$B$4:$B$20,MATCH($C204,'M_区分'!$A$4:$A$20,0)),"○")="○",$G204-$E204+1,0))</f>
        <v/>
      </c>
    </row>
  </sheetData>
  <autoFilter ref="A4:U204"/>
  <conditionalFormatting sqref="A5:U204">
    <cfRule type="expression" priority="1" dxfId="0" stopIfTrue="1">
      <formula>$K5="キャンセル"</formula>
    </cfRule>
    <cfRule type="expression" priority="2" dxfId="1" stopIfTrue="1">
      <formula>$S5&lt;&gt;""</formula>
    </cfRule>
    <cfRule type="expression" priority="3" dxfId="2" stopIfTrue="1">
      <formula>$T5&lt;&gt;""</formula>
    </cfRule>
    <cfRule type="expression" priority="4" dxfId="3">
      <formula>OR($K5="仮予約",$K5="調整中")</formula>
    </cfRule>
  </conditionalFormatting>
  <dataValidations count="5">
    <dataValidation sqref="B5:B204" showDropDown="0" showInputMessage="0" showErrorMessage="0" allowBlank="1" errorTitle="入力できません" error="一覧にない値です。マスタに登録してから選んでください。" type="list">
      <formula1>=氏名一覧</formula1>
    </dataValidation>
    <dataValidation sqref="C5:C204" showDropDown="0" showInputMessage="0" showErrorMessage="0" allowBlank="1" errorTitle="入力できません" error="一覧にない値です。マスタに登録してから選んでください。" type="list">
      <formula1>=区分一覧</formula1>
    </dataValidation>
    <dataValidation sqref="D5:D204" showDropDown="0" showInputMessage="0" showErrorMessage="0" allowBlank="1" errorTitle="入力できません" error="一覧にない値です。マスタに登録してから選んでください。" type="list">
      <formula1>=部屋一覧</formula1>
    </dataValidation>
    <dataValidation sqref="K5:K204" showDropDown="0" showInputMessage="0" showErrorMessage="0" allowBlank="1" errorTitle="入力できません" error="一覧にない値です。マスタに登録してから選んでください。" type="list">
      <formula1>=状態一覧</formula1>
    </dataValidation>
    <dataValidation sqref="L5:L204" showDropDown="0" showInputMessage="0" showErrorMessage="0" allowBlank="1" errorTitle="入力できません" error="一覧にない値です。マスタに登録してから選んでください。" type="list">
      <formula1>=送迎一覧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51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カレンダー</t>
        </is>
      </c>
    </row>
    <row r="2">
      <c r="A2" s="2" t="inlineStr">
        <is>
          <t>★対象月を変えると、03_帯表・04_月間表・06_食数表・09_FAX空き表 も同じ月になります。</t>
        </is>
      </c>
    </row>
    <row r="3">
      <c r="A3" s="12" t="inlineStr">
        <is>
          <t>対象月</t>
        </is>
      </c>
      <c r="B3" s="13" t="n">
        <v>46113</v>
      </c>
      <c r="C3" s="2" t="inlineStr">
        <is>
          <t>その月の日付ならどれでも可（1日でなくてもかまいません）</t>
        </is>
      </c>
    </row>
    <row r="4">
      <c r="A4" s="12" t="inlineStr">
        <is>
          <t>月初</t>
        </is>
      </c>
      <c r="B4" s="14">
        <f>DATE(YEAR($B$3),MONTH($B$3),1)</f>
        <v/>
      </c>
      <c r="C4" s="2" t="inlineStr">
        <is>
          <t>自動</t>
        </is>
      </c>
    </row>
    <row r="5">
      <c r="A5" s="15" t="inlineStr">
        <is>
          <t>記号の読み方</t>
        </is>
      </c>
      <c r="B5" s="16" t="inlineStr">
        <is>
          <t>▶ 入所日　／　記号なし 連泊の中日　／　◀ 退所日（朝に退所。その夜は空きます）　／　◆ 日帰り（体験利用）</t>
        </is>
      </c>
    </row>
    <row r="6" ht="22" customHeight="1">
      <c r="B6" s="17" t="inlineStr">
        <is>
          <t>日</t>
        </is>
      </c>
      <c r="C6" s="18" t="inlineStr">
        <is>
          <t>月</t>
        </is>
      </c>
      <c r="D6" s="18" t="inlineStr">
        <is>
          <t>火</t>
        </is>
      </c>
      <c r="E6" s="18" t="inlineStr">
        <is>
          <t>水</t>
        </is>
      </c>
      <c r="F6" s="18" t="inlineStr">
        <is>
          <t>木</t>
        </is>
      </c>
      <c r="G6" s="18" t="inlineStr">
        <is>
          <t>金</t>
        </is>
      </c>
      <c r="H6" s="19" t="inlineStr">
        <is>
          <t>土</t>
        </is>
      </c>
    </row>
    <row r="7" ht="20" customHeight="1">
      <c r="A7" s="20" t="inlineStr">
        <is>
          <t>第1週</t>
        </is>
      </c>
      <c r="B7" s="21">
        <f>IF(MONTH($B$4-WEEKDAY($B$4)+1+0)&lt;&gt;MONTH($B$4),"",$B$4-WEEKDAY($B$4)+1+0)</f>
        <v/>
      </c>
      <c r="C7" s="22">
        <f>IF(MONTH($B$4-WEEKDAY($B$4)+1+1)&lt;&gt;MONTH($B$4),"",$B$4-WEEKDAY($B$4)+1+1)</f>
        <v/>
      </c>
      <c r="D7" s="22">
        <f>IF(MONTH($B$4-WEEKDAY($B$4)+1+2)&lt;&gt;MONTH($B$4),"",$B$4-WEEKDAY($B$4)+1+2)</f>
        <v/>
      </c>
      <c r="E7" s="22">
        <f>IF(MONTH($B$4-WEEKDAY($B$4)+1+3)&lt;&gt;MONTH($B$4),"",$B$4-WEEKDAY($B$4)+1+3)</f>
        <v/>
      </c>
      <c r="F7" s="22">
        <f>IF(MONTH($B$4-WEEKDAY($B$4)+1+4)&lt;&gt;MONTH($B$4),"",$B$4-WEEKDAY($B$4)+1+4)</f>
        <v/>
      </c>
      <c r="G7" s="22">
        <f>IF(MONTH($B$4-WEEKDAY($B$4)+1+5)&lt;&gt;MONTH($B$4),"",$B$4-WEEKDAY($B$4)+1+5)</f>
        <v/>
      </c>
      <c r="H7" s="23">
        <f>IF(MONTH($B$4-WEEKDAY($B$4)+1+6)&lt;&gt;MONTH($B$4),"",$B$4-WEEKDAY($B$4)+1+6)</f>
        <v/>
      </c>
    </row>
    <row r="8" ht="17" customHeight="1">
      <c r="A8" s="24">
        <f>IF(COUNTA('M_部屋'!$A$4:$A$20)&gt;=1,INDEX('M_部屋'!$A$4:$A$20,1),"")</f>
        <v/>
      </c>
      <c r="B8" s="25">
        <f>IF(B7="","",IFERROR(INDEX('04_月間表'!C$7:C$37,MATCH(B7,'04_月間表'!$A$7:$A$37,0)),""))</f>
        <v/>
      </c>
      <c r="C8" s="25">
        <f>IF(C7="","",IFERROR(INDEX('04_月間表'!C$7:C$37,MATCH(C7,'04_月間表'!$A$7:$A$37,0)),""))</f>
        <v/>
      </c>
      <c r="D8" s="25">
        <f>IF(D7="","",IFERROR(INDEX('04_月間表'!C$7:C$37,MATCH(D7,'04_月間表'!$A$7:$A$37,0)),""))</f>
        <v/>
      </c>
      <c r="E8" s="25">
        <f>IF(E7="","",IFERROR(INDEX('04_月間表'!C$7:C$37,MATCH(E7,'04_月間表'!$A$7:$A$37,0)),""))</f>
        <v/>
      </c>
      <c r="F8" s="25">
        <f>IF(F7="","",IFERROR(INDEX('04_月間表'!C$7:C$37,MATCH(F7,'04_月間表'!$A$7:$A$37,0)),""))</f>
        <v/>
      </c>
      <c r="G8" s="25">
        <f>IF(G7="","",IFERROR(INDEX('04_月間表'!C$7:C$37,MATCH(G7,'04_月間表'!$A$7:$A$37,0)),""))</f>
        <v/>
      </c>
      <c r="H8" s="25">
        <f>IF(H7="","",IFERROR(INDEX('04_月間表'!C$7:C$37,MATCH(H7,'04_月間表'!$A$7:$A$37,0)),""))</f>
        <v/>
      </c>
      <c r="J8">
        <f>IF(B7="","",IFERROR(INDEX('04_月間表'!X$7:X$37,MATCH(B7,'04_月間表'!$A$7:$A$37,0)),""))</f>
        <v/>
      </c>
      <c r="K8">
        <f>IF(C7="","",IFERROR(INDEX('04_月間表'!X$7:X$37,MATCH(C7,'04_月間表'!$A$7:$A$37,0)),""))</f>
        <v/>
      </c>
      <c r="L8">
        <f>IF(D7="","",IFERROR(INDEX('04_月間表'!X$7:X$37,MATCH(D7,'04_月間表'!$A$7:$A$37,0)),""))</f>
        <v/>
      </c>
      <c r="M8">
        <f>IF(E7="","",IFERROR(INDEX('04_月間表'!X$7:X$37,MATCH(E7,'04_月間表'!$A$7:$A$37,0)),""))</f>
        <v/>
      </c>
      <c r="N8">
        <f>IF(F7="","",IFERROR(INDEX('04_月間表'!X$7:X$37,MATCH(F7,'04_月間表'!$A$7:$A$37,0)),""))</f>
        <v/>
      </c>
      <c r="O8">
        <f>IF(G7="","",IFERROR(INDEX('04_月間表'!X$7:X$37,MATCH(G7,'04_月間表'!$A$7:$A$37,0)),""))</f>
        <v/>
      </c>
      <c r="P8">
        <f>IF(H7="","",IFERROR(INDEX('04_月間表'!X$7:X$37,MATCH(H7,'04_月間表'!$A$7:$A$37,0)),""))</f>
        <v/>
      </c>
    </row>
    <row r="9" ht="17" customHeight="1">
      <c r="A9" s="24">
        <f>IF(COUNTA('M_部屋'!$A$4:$A$20)&gt;=2,INDEX('M_部屋'!$A$4:$A$20,2),"")</f>
        <v/>
      </c>
      <c r="B9" s="25">
        <f>IF(B7="","",IFERROR(INDEX('04_月間表'!D$7:D$37,MATCH(B7,'04_月間表'!$A$7:$A$37,0)),""))</f>
        <v/>
      </c>
      <c r="C9" s="25">
        <f>IF(C7="","",IFERROR(INDEX('04_月間表'!D$7:D$37,MATCH(C7,'04_月間表'!$A$7:$A$37,0)),""))</f>
        <v/>
      </c>
      <c r="D9" s="25">
        <f>IF(D7="","",IFERROR(INDEX('04_月間表'!D$7:D$37,MATCH(D7,'04_月間表'!$A$7:$A$37,0)),""))</f>
        <v/>
      </c>
      <c r="E9" s="25">
        <f>IF(E7="","",IFERROR(INDEX('04_月間表'!D$7:D$37,MATCH(E7,'04_月間表'!$A$7:$A$37,0)),""))</f>
        <v/>
      </c>
      <c r="F9" s="25">
        <f>IF(F7="","",IFERROR(INDEX('04_月間表'!D$7:D$37,MATCH(F7,'04_月間表'!$A$7:$A$37,0)),""))</f>
        <v/>
      </c>
      <c r="G9" s="25">
        <f>IF(G7="","",IFERROR(INDEX('04_月間表'!D$7:D$37,MATCH(G7,'04_月間表'!$A$7:$A$37,0)),""))</f>
        <v/>
      </c>
      <c r="H9" s="25">
        <f>IF(H7="","",IFERROR(INDEX('04_月間表'!D$7:D$37,MATCH(H7,'04_月間表'!$A$7:$A$37,0)),""))</f>
        <v/>
      </c>
      <c r="J9">
        <f>IF(B7="","",IFERROR(INDEX('04_月間表'!Y$7:Y$37,MATCH(B7,'04_月間表'!$A$7:$A$37,0)),""))</f>
        <v/>
      </c>
      <c r="K9">
        <f>IF(C7="","",IFERROR(INDEX('04_月間表'!Y$7:Y$37,MATCH(C7,'04_月間表'!$A$7:$A$37,0)),""))</f>
        <v/>
      </c>
      <c r="L9">
        <f>IF(D7="","",IFERROR(INDEX('04_月間表'!Y$7:Y$37,MATCH(D7,'04_月間表'!$A$7:$A$37,0)),""))</f>
        <v/>
      </c>
      <c r="M9">
        <f>IF(E7="","",IFERROR(INDEX('04_月間表'!Y$7:Y$37,MATCH(E7,'04_月間表'!$A$7:$A$37,0)),""))</f>
        <v/>
      </c>
      <c r="N9">
        <f>IF(F7="","",IFERROR(INDEX('04_月間表'!Y$7:Y$37,MATCH(F7,'04_月間表'!$A$7:$A$37,0)),""))</f>
        <v/>
      </c>
      <c r="O9">
        <f>IF(G7="","",IFERROR(INDEX('04_月間表'!Y$7:Y$37,MATCH(G7,'04_月間表'!$A$7:$A$37,0)),""))</f>
        <v/>
      </c>
      <c r="P9">
        <f>IF(H7="","",IFERROR(INDEX('04_月間表'!Y$7:Y$37,MATCH(H7,'04_月間表'!$A$7:$A$37,0)),""))</f>
        <v/>
      </c>
    </row>
    <row r="10" ht="17" customHeight="1">
      <c r="A10" s="24">
        <f>IF(COUNTA('M_部屋'!$A$4:$A$20)&gt;=3,INDEX('M_部屋'!$A$4:$A$20,3),"")</f>
        <v/>
      </c>
      <c r="B10" s="25">
        <f>IF(B7="","",IFERROR(INDEX('04_月間表'!E$7:E$37,MATCH(B7,'04_月間表'!$A$7:$A$37,0)),""))</f>
        <v/>
      </c>
      <c r="C10" s="25">
        <f>IF(C7="","",IFERROR(INDEX('04_月間表'!E$7:E$37,MATCH(C7,'04_月間表'!$A$7:$A$37,0)),""))</f>
        <v/>
      </c>
      <c r="D10" s="25">
        <f>IF(D7="","",IFERROR(INDEX('04_月間表'!E$7:E$37,MATCH(D7,'04_月間表'!$A$7:$A$37,0)),""))</f>
        <v/>
      </c>
      <c r="E10" s="25">
        <f>IF(E7="","",IFERROR(INDEX('04_月間表'!E$7:E$37,MATCH(E7,'04_月間表'!$A$7:$A$37,0)),""))</f>
        <v/>
      </c>
      <c r="F10" s="25">
        <f>IF(F7="","",IFERROR(INDEX('04_月間表'!E$7:E$37,MATCH(F7,'04_月間表'!$A$7:$A$37,0)),""))</f>
        <v/>
      </c>
      <c r="G10" s="25">
        <f>IF(G7="","",IFERROR(INDEX('04_月間表'!E$7:E$37,MATCH(G7,'04_月間表'!$A$7:$A$37,0)),""))</f>
        <v/>
      </c>
      <c r="H10" s="25">
        <f>IF(H7="","",IFERROR(INDEX('04_月間表'!E$7:E$37,MATCH(H7,'04_月間表'!$A$7:$A$37,0)),""))</f>
        <v/>
      </c>
      <c r="J10">
        <f>IF(B7="","",IFERROR(INDEX('04_月間表'!Z$7:Z$37,MATCH(B7,'04_月間表'!$A$7:$A$37,0)),""))</f>
        <v/>
      </c>
      <c r="K10">
        <f>IF(C7="","",IFERROR(INDEX('04_月間表'!Z$7:Z$37,MATCH(C7,'04_月間表'!$A$7:$A$37,0)),""))</f>
        <v/>
      </c>
      <c r="L10">
        <f>IF(D7="","",IFERROR(INDEX('04_月間表'!Z$7:Z$37,MATCH(D7,'04_月間表'!$A$7:$A$37,0)),""))</f>
        <v/>
      </c>
      <c r="M10">
        <f>IF(E7="","",IFERROR(INDEX('04_月間表'!Z$7:Z$37,MATCH(E7,'04_月間表'!$A$7:$A$37,0)),""))</f>
        <v/>
      </c>
      <c r="N10">
        <f>IF(F7="","",IFERROR(INDEX('04_月間表'!Z$7:Z$37,MATCH(F7,'04_月間表'!$A$7:$A$37,0)),""))</f>
        <v/>
      </c>
      <c r="O10">
        <f>IF(G7="","",IFERROR(INDEX('04_月間表'!Z$7:Z$37,MATCH(G7,'04_月間表'!$A$7:$A$37,0)),""))</f>
        <v/>
      </c>
      <c r="P10">
        <f>IF(H7="","",IFERROR(INDEX('04_月間表'!Z$7:Z$37,MATCH(H7,'04_月間表'!$A$7:$A$37,0)),""))</f>
        <v/>
      </c>
    </row>
    <row r="11" ht="17" customHeight="1">
      <c r="A11" s="24">
        <f>IF(COUNTA('M_部屋'!$A$4:$A$20)&gt;=4,INDEX('M_部屋'!$A$4:$A$20,4),"")</f>
        <v/>
      </c>
      <c r="B11" s="25">
        <f>IF(B7="","",IFERROR(INDEX('04_月間表'!F$7:F$37,MATCH(B7,'04_月間表'!$A$7:$A$37,0)),""))</f>
        <v/>
      </c>
      <c r="C11" s="25">
        <f>IF(C7="","",IFERROR(INDEX('04_月間表'!F$7:F$37,MATCH(C7,'04_月間表'!$A$7:$A$37,0)),""))</f>
        <v/>
      </c>
      <c r="D11" s="25">
        <f>IF(D7="","",IFERROR(INDEX('04_月間表'!F$7:F$37,MATCH(D7,'04_月間表'!$A$7:$A$37,0)),""))</f>
        <v/>
      </c>
      <c r="E11" s="25">
        <f>IF(E7="","",IFERROR(INDEX('04_月間表'!F$7:F$37,MATCH(E7,'04_月間表'!$A$7:$A$37,0)),""))</f>
        <v/>
      </c>
      <c r="F11" s="25">
        <f>IF(F7="","",IFERROR(INDEX('04_月間表'!F$7:F$37,MATCH(F7,'04_月間表'!$A$7:$A$37,0)),""))</f>
        <v/>
      </c>
      <c r="G11" s="25">
        <f>IF(G7="","",IFERROR(INDEX('04_月間表'!F$7:F$37,MATCH(G7,'04_月間表'!$A$7:$A$37,0)),""))</f>
        <v/>
      </c>
      <c r="H11" s="25">
        <f>IF(H7="","",IFERROR(INDEX('04_月間表'!F$7:F$37,MATCH(H7,'04_月間表'!$A$7:$A$37,0)),""))</f>
        <v/>
      </c>
      <c r="J11">
        <f>IF(B7="","",IFERROR(INDEX('04_月間表'!AA$7:AA$37,MATCH(B7,'04_月間表'!$A$7:$A$37,0)),""))</f>
        <v/>
      </c>
      <c r="K11">
        <f>IF(C7="","",IFERROR(INDEX('04_月間表'!AA$7:AA$37,MATCH(C7,'04_月間表'!$A$7:$A$37,0)),""))</f>
        <v/>
      </c>
      <c r="L11">
        <f>IF(D7="","",IFERROR(INDEX('04_月間表'!AA$7:AA$37,MATCH(D7,'04_月間表'!$A$7:$A$37,0)),""))</f>
        <v/>
      </c>
      <c r="M11">
        <f>IF(E7="","",IFERROR(INDEX('04_月間表'!AA$7:AA$37,MATCH(E7,'04_月間表'!$A$7:$A$37,0)),""))</f>
        <v/>
      </c>
      <c r="N11">
        <f>IF(F7="","",IFERROR(INDEX('04_月間表'!AA$7:AA$37,MATCH(F7,'04_月間表'!$A$7:$A$37,0)),""))</f>
        <v/>
      </c>
      <c r="O11">
        <f>IF(G7="","",IFERROR(INDEX('04_月間表'!AA$7:AA$37,MATCH(G7,'04_月間表'!$A$7:$A$37,0)),""))</f>
        <v/>
      </c>
      <c r="P11">
        <f>IF(H7="","",IFERROR(INDEX('04_月間表'!AA$7:AA$37,MATCH(H7,'04_月間表'!$A$7:$A$37,0)),""))</f>
        <v/>
      </c>
    </row>
    <row r="12" ht="19" customHeight="1">
      <c r="A12" s="24" t="inlineStr">
        <is>
          <t>空き</t>
        </is>
      </c>
      <c r="B12" s="26">
        <f>IF(B7="","",IFERROR(INDEX('04_月間表'!$J$7:$J$37,MATCH(B7,'04_月間表'!$A$7:$A$37,0)),""))</f>
        <v/>
      </c>
      <c r="C12" s="26">
        <f>IF(C7="","",IFERROR(INDEX('04_月間表'!$J$7:$J$37,MATCH(C7,'04_月間表'!$A$7:$A$37,0)),""))</f>
        <v/>
      </c>
      <c r="D12" s="26">
        <f>IF(D7="","",IFERROR(INDEX('04_月間表'!$J$7:$J$37,MATCH(D7,'04_月間表'!$A$7:$A$37,0)),""))</f>
        <v/>
      </c>
      <c r="E12" s="26">
        <f>IF(E7="","",IFERROR(INDEX('04_月間表'!$J$7:$J$37,MATCH(E7,'04_月間表'!$A$7:$A$37,0)),""))</f>
        <v/>
      </c>
      <c r="F12" s="26">
        <f>IF(F7="","",IFERROR(INDEX('04_月間表'!$J$7:$J$37,MATCH(F7,'04_月間表'!$A$7:$A$37,0)),""))</f>
        <v/>
      </c>
      <c r="G12" s="26">
        <f>IF(G7="","",IFERROR(INDEX('04_月間表'!$J$7:$J$37,MATCH(G7,'04_月間表'!$A$7:$A$37,0)),""))</f>
        <v/>
      </c>
      <c r="H12" s="26">
        <f>IF(H7="","",IFERROR(INDEX('04_月間表'!$J$7:$J$37,MATCH(H7,'04_月間表'!$A$7:$A$37,0)),""))</f>
        <v/>
      </c>
    </row>
    <row r="14" ht="20" customHeight="1">
      <c r="A14" s="20" t="inlineStr">
        <is>
          <t>第2週</t>
        </is>
      </c>
      <c r="B14" s="21">
        <f>IF(MONTH($B$4-WEEKDAY($B$4)+1+7)&lt;&gt;MONTH($B$4),"",$B$4-WEEKDAY($B$4)+1+7)</f>
        <v/>
      </c>
      <c r="C14" s="22">
        <f>IF(MONTH($B$4-WEEKDAY($B$4)+1+8)&lt;&gt;MONTH($B$4),"",$B$4-WEEKDAY($B$4)+1+8)</f>
        <v/>
      </c>
      <c r="D14" s="22">
        <f>IF(MONTH($B$4-WEEKDAY($B$4)+1+9)&lt;&gt;MONTH($B$4),"",$B$4-WEEKDAY($B$4)+1+9)</f>
        <v/>
      </c>
      <c r="E14" s="22">
        <f>IF(MONTH($B$4-WEEKDAY($B$4)+1+10)&lt;&gt;MONTH($B$4),"",$B$4-WEEKDAY($B$4)+1+10)</f>
        <v/>
      </c>
      <c r="F14" s="22">
        <f>IF(MONTH($B$4-WEEKDAY($B$4)+1+11)&lt;&gt;MONTH($B$4),"",$B$4-WEEKDAY($B$4)+1+11)</f>
        <v/>
      </c>
      <c r="G14" s="22">
        <f>IF(MONTH($B$4-WEEKDAY($B$4)+1+12)&lt;&gt;MONTH($B$4),"",$B$4-WEEKDAY($B$4)+1+12)</f>
        <v/>
      </c>
      <c r="H14" s="23">
        <f>IF(MONTH($B$4-WEEKDAY($B$4)+1+13)&lt;&gt;MONTH($B$4),"",$B$4-WEEKDAY($B$4)+1+13)</f>
        <v/>
      </c>
    </row>
    <row r="15" ht="17" customHeight="1">
      <c r="A15" s="24">
        <f>IF(COUNTA('M_部屋'!$A$4:$A$20)&gt;=1,INDEX('M_部屋'!$A$4:$A$20,1),"")</f>
        <v/>
      </c>
      <c r="B15" s="25">
        <f>IF(B14="","",IFERROR(INDEX('04_月間表'!C$7:C$37,MATCH(B14,'04_月間表'!$A$7:$A$37,0)),""))</f>
        <v/>
      </c>
      <c r="C15" s="25">
        <f>IF(C14="","",IFERROR(INDEX('04_月間表'!C$7:C$37,MATCH(C14,'04_月間表'!$A$7:$A$37,0)),""))</f>
        <v/>
      </c>
      <c r="D15" s="25">
        <f>IF(D14="","",IFERROR(INDEX('04_月間表'!C$7:C$37,MATCH(D14,'04_月間表'!$A$7:$A$37,0)),""))</f>
        <v/>
      </c>
      <c r="E15" s="25">
        <f>IF(E14="","",IFERROR(INDEX('04_月間表'!C$7:C$37,MATCH(E14,'04_月間表'!$A$7:$A$37,0)),""))</f>
        <v/>
      </c>
      <c r="F15" s="25">
        <f>IF(F14="","",IFERROR(INDEX('04_月間表'!C$7:C$37,MATCH(F14,'04_月間表'!$A$7:$A$37,0)),""))</f>
        <v/>
      </c>
      <c r="G15" s="25">
        <f>IF(G14="","",IFERROR(INDEX('04_月間表'!C$7:C$37,MATCH(G14,'04_月間表'!$A$7:$A$37,0)),""))</f>
        <v/>
      </c>
      <c r="H15" s="25">
        <f>IF(H14="","",IFERROR(INDEX('04_月間表'!C$7:C$37,MATCH(H14,'04_月間表'!$A$7:$A$37,0)),""))</f>
        <v/>
      </c>
      <c r="J15">
        <f>IF(B14="","",IFERROR(INDEX('04_月間表'!X$7:X$37,MATCH(B14,'04_月間表'!$A$7:$A$37,0)),""))</f>
        <v/>
      </c>
      <c r="K15">
        <f>IF(C14="","",IFERROR(INDEX('04_月間表'!X$7:X$37,MATCH(C14,'04_月間表'!$A$7:$A$37,0)),""))</f>
        <v/>
      </c>
      <c r="L15">
        <f>IF(D14="","",IFERROR(INDEX('04_月間表'!X$7:X$37,MATCH(D14,'04_月間表'!$A$7:$A$37,0)),""))</f>
        <v/>
      </c>
      <c r="M15">
        <f>IF(E14="","",IFERROR(INDEX('04_月間表'!X$7:X$37,MATCH(E14,'04_月間表'!$A$7:$A$37,0)),""))</f>
        <v/>
      </c>
      <c r="N15">
        <f>IF(F14="","",IFERROR(INDEX('04_月間表'!X$7:X$37,MATCH(F14,'04_月間表'!$A$7:$A$37,0)),""))</f>
        <v/>
      </c>
      <c r="O15">
        <f>IF(G14="","",IFERROR(INDEX('04_月間表'!X$7:X$37,MATCH(G14,'04_月間表'!$A$7:$A$37,0)),""))</f>
        <v/>
      </c>
      <c r="P15">
        <f>IF(H14="","",IFERROR(INDEX('04_月間表'!X$7:X$37,MATCH(H14,'04_月間表'!$A$7:$A$37,0)),""))</f>
        <v/>
      </c>
    </row>
    <row r="16" ht="17" customHeight="1">
      <c r="A16" s="24">
        <f>IF(COUNTA('M_部屋'!$A$4:$A$20)&gt;=2,INDEX('M_部屋'!$A$4:$A$20,2),"")</f>
        <v/>
      </c>
      <c r="B16" s="25">
        <f>IF(B14="","",IFERROR(INDEX('04_月間表'!D$7:D$37,MATCH(B14,'04_月間表'!$A$7:$A$37,0)),""))</f>
        <v/>
      </c>
      <c r="C16" s="25">
        <f>IF(C14="","",IFERROR(INDEX('04_月間表'!D$7:D$37,MATCH(C14,'04_月間表'!$A$7:$A$37,0)),""))</f>
        <v/>
      </c>
      <c r="D16" s="25">
        <f>IF(D14="","",IFERROR(INDEX('04_月間表'!D$7:D$37,MATCH(D14,'04_月間表'!$A$7:$A$37,0)),""))</f>
        <v/>
      </c>
      <c r="E16" s="25">
        <f>IF(E14="","",IFERROR(INDEX('04_月間表'!D$7:D$37,MATCH(E14,'04_月間表'!$A$7:$A$37,0)),""))</f>
        <v/>
      </c>
      <c r="F16" s="25">
        <f>IF(F14="","",IFERROR(INDEX('04_月間表'!D$7:D$37,MATCH(F14,'04_月間表'!$A$7:$A$37,0)),""))</f>
        <v/>
      </c>
      <c r="G16" s="25">
        <f>IF(G14="","",IFERROR(INDEX('04_月間表'!D$7:D$37,MATCH(G14,'04_月間表'!$A$7:$A$37,0)),""))</f>
        <v/>
      </c>
      <c r="H16" s="25">
        <f>IF(H14="","",IFERROR(INDEX('04_月間表'!D$7:D$37,MATCH(H14,'04_月間表'!$A$7:$A$37,0)),""))</f>
        <v/>
      </c>
      <c r="J16">
        <f>IF(B14="","",IFERROR(INDEX('04_月間表'!Y$7:Y$37,MATCH(B14,'04_月間表'!$A$7:$A$37,0)),""))</f>
        <v/>
      </c>
      <c r="K16">
        <f>IF(C14="","",IFERROR(INDEX('04_月間表'!Y$7:Y$37,MATCH(C14,'04_月間表'!$A$7:$A$37,0)),""))</f>
        <v/>
      </c>
      <c r="L16">
        <f>IF(D14="","",IFERROR(INDEX('04_月間表'!Y$7:Y$37,MATCH(D14,'04_月間表'!$A$7:$A$37,0)),""))</f>
        <v/>
      </c>
      <c r="M16">
        <f>IF(E14="","",IFERROR(INDEX('04_月間表'!Y$7:Y$37,MATCH(E14,'04_月間表'!$A$7:$A$37,0)),""))</f>
        <v/>
      </c>
      <c r="N16">
        <f>IF(F14="","",IFERROR(INDEX('04_月間表'!Y$7:Y$37,MATCH(F14,'04_月間表'!$A$7:$A$37,0)),""))</f>
        <v/>
      </c>
      <c r="O16">
        <f>IF(G14="","",IFERROR(INDEX('04_月間表'!Y$7:Y$37,MATCH(G14,'04_月間表'!$A$7:$A$37,0)),""))</f>
        <v/>
      </c>
      <c r="P16">
        <f>IF(H14="","",IFERROR(INDEX('04_月間表'!Y$7:Y$37,MATCH(H14,'04_月間表'!$A$7:$A$37,0)),""))</f>
        <v/>
      </c>
    </row>
    <row r="17" ht="17" customHeight="1">
      <c r="A17" s="24">
        <f>IF(COUNTA('M_部屋'!$A$4:$A$20)&gt;=3,INDEX('M_部屋'!$A$4:$A$20,3),"")</f>
        <v/>
      </c>
      <c r="B17" s="25">
        <f>IF(B14="","",IFERROR(INDEX('04_月間表'!E$7:E$37,MATCH(B14,'04_月間表'!$A$7:$A$37,0)),""))</f>
        <v/>
      </c>
      <c r="C17" s="25">
        <f>IF(C14="","",IFERROR(INDEX('04_月間表'!E$7:E$37,MATCH(C14,'04_月間表'!$A$7:$A$37,0)),""))</f>
        <v/>
      </c>
      <c r="D17" s="25">
        <f>IF(D14="","",IFERROR(INDEX('04_月間表'!E$7:E$37,MATCH(D14,'04_月間表'!$A$7:$A$37,0)),""))</f>
        <v/>
      </c>
      <c r="E17" s="25">
        <f>IF(E14="","",IFERROR(INDEX('04_月間表'!E$7:E$37,MATCH(E14,'04_月間表'!$A$7:$A$37,0)),""))</f>
        <v/>
      </c>
      <c r="F17" s="25">
        <f>IF(F14="","",IFERROR(INDEX('04_月間表'!E$7:E$37,MATCH(F14,'04_月間表'!$A$7:$A$37,0)),""))</f>
        <v/>
      </c>
      <c r="G17" s="25">
        <f>IF(G14="","",IFERROR(INDEX('04_月間表'!E$7:E$37,MATCH(G14,'04_月間表'!$A$7:$A$37,0)),""))</f>
        <v/>
      </c>
      <c r="H17" s="25">
        <f>IF(H14="","",IFERROR(INDEX('04_月間表'!E$7:E$37,MATCH(H14,'04_月間表'!$A$7:$A$37,0)),""))</f>
        <v/>
      </c>
      <c r="J17">
        <f>IF(B14="","",IFERROR(INDEX('04_月間表'!Z$7:Z$37,MATCH(B14,'04_月間表'!$A$7:$A$37,0)),""))</f>
        <v/>
      </c>
      <c r="K17">
        <f>IF(C14="","",IFERROR(INDEX('04_月間表'!Z$7:Z$37,MATCH(C14,'04_月間表'!$A$7:$A$37,0)),""))</f>
        <v/>
      </c>
      <c r="L17">
        <f>IF(D14="","",IFERROR(INDEX('04_月間表'!Z$7:Z$37,MATCH(D14,'04_月間表'!$A$7:$A$37,0)),""))</f>
        <v/>
      </c>
      <c r="M17">
        <f>IF(E14="","",IFERROR(INDEX('04_月間表'!Z$7:Z$37,MATCH(E14,'04_月間表'!$A$7:$A$37,0)),""))</f>
        <v/>
      </c>
      <c r="N17">
        <f>IF(F14="","",IFERROR(INDEX('04_月間表'!Z$7:Z$37,MATCH(F14,'04_月間表'!$A$7:$A$37,0)),""))</f>
        <v/>
      </c>
      <c r="O17">
        <f>IF(G14="","",IFERROR(INDEX('04_月間表'!Z$7:Z$37,MATCH(G14,'04_月間表'!$A$7:$A$37,0)),""))</f>
        <v/>
      </c>
      <c r="P17">
        <f>IF(H14="","",IFERROR(INDEX('04_月間表'!Z$7:Z$37,MATCH(H14,'04_月間表'!$A$7:$A$37,0)),""))</f>
        <v/>
      </c>
    </row>
    <row r="18" ht="17" customHeight="1">
      <c r="A18" s="24">
        <f>IF(COUNTA('M_部屋'!$A$4:$A$20)&gt;=4,INDEX('M_部屋'!$A$4:$A$20,4),"")</f>
        <v/>
      </c>
      <c r="B18" s="25">
        <f>IF(B14="","",IFERROR(INDEX('04_月間表'!F$7:F$37,MATCH(B14,'04_月間表'!$A$7:$A$37,0)),""))</f>
        <v/>
      </c>
      <c r="C18" s="25">
        <f>IF(C14="","",IFERROR(INDEX('04_月間表'!F$7:F$37,MATCH(C14,'04_月間表'!$A$7:$A$37,0)),""))</f>
        <v/>
      </c>
      <c r="D18" s="25">
        <f>IF(D14="","",IFERROR(INDEX('04_月間表'!F$7:F$37,MATCH(D14,'04_月間表'!$A$7:$A$37,0)),""))</f>
        <v/>
      </c>
      <c r="E18" s="25">
        <f>IF(E14="","",IFERROR(INDEX('04_月間表'!F$7:F$37,MATCH(E14,'04_月間表'!$A$7:$A$37,0)),""))</f>
        <v/>
      </c>
      <c r="F18" s="25">
        <f>IF(F14="","",IFERROR(INDEX('04_月間表'!F$7:F$37,MATCH(F14,'04_月間表'!$A$7:$A$37,0)),""))</f>
        <v/>
      </c>
      <c r="G18" s="25">
        <f>IF(G14="","",IFERROR(INDEX('04_月間表'!F$7:F$37,MATCH(G14,'04_月間表'!$A$7:$A$37,0)),""))</f>
        <v/>
      </c>
      <c r="H18" s="25">
        <f>IF(H14="","",IFERROR(INDEX('04_月間表'!F$7:F$37,MATCH(H14,'04_月間表'!$A$7:$A$37,0)),""))</f>
        <v/>
      </c>
      <c r="J18">
        <f>IF(B14="","",IFERROR(INDEX('04_月間表'!AA$7:AA$37,MATCH(B14,'04_月間表'!$A$7:$A$37,0)),""))</f>
        <v/>
      </c>
      <c r="K18">
        <f>IF(C14="","",IFERROR(INDEX('04_月間表'!AA$7:AA$37,MATCH(C14,'04_月間表'!$A$7:$A$37,0)),""))</f>
        <v/>
      </c>
      <c r="L18">
        <f>IF(D14="","",IFERROR(INDEX('04_月間表'!AA$7:AA$37,MATCH(D14,'04_月間表'!$A$7:$A$37,0)),""))</f>
        <v/>
      </c>
      <c r="M18">
        <f>IF(E14="","",IFERROR(INDEX('04_月間表'!AA$7:AA$37,MATCH(E14,'04_月間表'!$A$7:$A$37,0)),""))</f>
        <v/>
      </c>
      <c r="N18">
        <f>IF(F14="","",IFERROR(INDEX('04_月間表'!AA$7:AA$37,MATCH(F14,'04_月間表'!$A$7:$A$37,0)),""))</f>
        <v/>
      </c>
      <c r="O18">
        <f>IF(G14="","",IFERROR(INDEX('04_月間表'!AA$7:AA$37,MATCH(G14,'04_月間表'!$A$7:$A$37,0)),""))</f>
        <v/>
      </c>
      <c r="P18">
        <f>IF(H14="","",IFERROR(INDEX('04_月間表'!AA$7:AA$37,MATCH(H14,'04_月間表'!$A$7:$A$37,0)),""))</f>
        <v/>
      </c>
    </row>
    <row r="19" ht="19" customHeight="1">
      <c r="A19" s="24" t="inlineStr">
        <is>
          <t>空き</t>
        </is>
      </c>
      <c r="B19" s="26">
        <f>IF(B14="","",IFERROR(INDEX('04_月間表'!$J$7:$J$37,MATCH(B14,'04_月間表'!$A$7:$A$37,0)),""))</f>
        <v/>
      </c>
      <c r="C19" s="26">
        <f>IF(C14="","",IFERROR(INDEX('04_月間表'!$J$7:$J$37,MATCH(C14,'04_月間表'!$A$7:$A$37,0)),""))</f>
        <v/>
      </c>
      <c r="D19" s="26">
        <f>IF(D14="","",IFERROR(INDEX('04_月間表'!$J$7:$J$37,MATCH(D14,'04_月間表'!$A$7:$A$37,0)),""))</f>
        <v/>
      </c>
      <c r="E19" s="26">
        <f>IF(E14="","",IFERROR(INDEX('04_月間表'!$J$7:$J$37,MATCH(E14,'04_月間表'!$A$7:$A$37,0)),""))</f>
        <v/>
      </c>
      <c r="F19" s="26">
        <f>IF(F14="","",IFERROR(INDEX('04_月間表'!$J$7:$J$37,MATCH(F14,'04_月間表'!$A$7:$A$37,0)),""))</f>
        <v/>
      </c>
      <c r="G19" s="26">
        <f>IF(G14="","",IFERROR(INDEX('04_月間表'!$J$7:$J$37,MATCH(G14,'04_月間表'!$A$7:$A$37,0)),""))</f>
        <v/>
      </c>
      <c r="H19" s="26">
        <f>IF(H14="","",IFERROR(INDEX('04_月間表'!$J$7:$J$37,MATCH(H14,'04_月間表'!$A$7:$A$37,0)),""))</f>
        <v/>
      </c>
    </row>
    <row r="21" ht="20" customHeight="1">
      <c r="A21" s="20" t="inlineStr">
        <is>
          <t>第3週</t>
        </is>
      </c>
      <c r="B21" s="21">
        <f>IF(MONTH($B$4-WEEKDAY($B$4)+1+14)&lt;&gt;MONTH($B$4),"",$B$4-WEEKDAY($B$4)+1+14)</f>
        <v/>
      </c>
      <c r="C21" s="22">
        <f>IF(MONTH($B$4-WEEKDAY($B$4)+1+15)&lt;&gt;MONTH($B$4),"",$B$4-WEEKDAY($B$4)+1+15)</f>
        <v/>
      </c>
      <c r="D21" s="22">
        <f>IF(MONTH($B$4-WEEKDAY($B$4)+1+16)&lt;&gt;MONTH($B$4),"",$B$4-WEEKDAY($B$4)+1+16)</f>
        <v/>
      </c>
      <c r="E21" s="22">
        <f>IF(MONTH($B$4-WEEKDAY($B$4)+1+17)&lt;&gt;MONTH($B$4),"",$B$4-WEEKDAY($B$4)+1+17)</f>
        <v/>
      </c>
      <c r="F21" s="22">
        <f>IF(MONTH($B$4-WEEKDAY($B$4)+1+18)&lt;&gt;MONTH($B$4),"",$B$4-WEEKDAY($B$4)+1+18)</f>
        <v/>
      </c>
      <c r="G21" s="22">
        <f>IF(MONTH($B$4-WEEKDAY($B$4)+1+19)&lt;&gt;MONTH($B$4),"",$B$4-WEEKDAY($B$4)+1+19)</f>
        <v/>
      </c>
      <c r="H21" s="23">
        <f>IF(MONTH($B$4-WEEKDAY($B$4)+1+20)&lt;&gt;MONTH($B$4),"",$B$4-WEEKDAY($B$4)+1+20)</f>
        <v/>
      </c>
    </row>
    <row r="22" ht="17" customHeight="1">
      <c r="A22" s="24">
        <f>IF(COUNTA('M_部屋'!$A$4:$A$20)&gt;=1,INDEX('M_部屋'!$A$4:$A$20,1),"")</f>
        <v/>
      </c>
      <c r="B22" s="25">
        <f>IF(B21="","",IFERROR(INDEX('04_月間表'!C$7:C$37,MATCH(B21,'04_月間表'!$A$7:$A$37,0)),""))</f>
        <v/>
      </c>
      <c r="C22" s="25">
        <f>IF(C21="","",IFERROR(INDEX('04_月間表'!C$7:C$37,MATCH(C21,'04_月間表'!$A$7:$A$37,0)),""))</f>
        <v/>
      </c>
      <c r="D22" s="25">
        <f>IF(D21="","",IFERROR(INDEX('04_月間表'!C$7:C$37,MATCH(D21,'04_月間表'!$A$7:$A$37,0)),""))</f>
        <v/>
      </c>
      <c r="E22" s="25">
        <f>IF(E21="","",IFERROR(INDEX('04_月間表'!C$7:C$37,MATCH(E21,'04_月間表'!$A$7:$A$37,0)),""))</f>
        <v/>
      </c>
      <c r="F22" s="25">
        <f>IF(F21="","",IFERROR(INDEX('04_月間表'!C$7:C$37,MATCH(F21,'04_月間表'!$A$7:$A$37,0)),""))</f>
        <v/>
      </c>
      <c r="G22" s="25">
        <f>IF(G21="","",IFERROR(INDEX('04_月間表'!C$7:C$37,MATCH(G21,'04_月間表'!$A$7:$A$37,0)),""))</f>
        <v/>
      </c>
      <c r="H22" s="25">
        <f>IF(H21="","",IFERROR(INDEX('04_月間表'!C$7:C$37,MATCH(H21,'04_月間表'!$A$7:$A$37,0)),""))</f>
        <v/>
      </c>
      <c r="J22">
        <f>IF(B21="","",IFERROR(INDEX('04_月間表'!X$7:X$37,MATCH(B21,'04_月間表'!$A$7:$A$37,0)),""))</f>
        <v/>
      </c>
      <c r="K22">
        <f>IF(C21="","",IFERROR(INDEX('04_月間表'!X$7:X$37,MATCH(C21,'04_月間表'!$A$7:$A$37,0)),""))</f>
        <v/>
      </c>
      <c r="L22">
        <f>IF(D21="","",IFERROR(INDEX('04_月間表'!X$7:X$37,MATCH(D21,'04_月間表'!$A$7:$A$37,0)),""))</f>
        <v/>
      </c>
      <c r="M22">
        <f>IF(E21="","",IFERROR(INDEX('04_月間表'!X$7:X$37,MATCH(E21,'04_月間表'!$A$7:$A$37,0)),""))</f>
        <v/>
      </c>
      <c r="N22">
        <f>IF(F21="","",IFERROR(INDEX('04_月間表'!X$7:X$37,MATCH(F21,'04_月間表'!$A$7:$A$37,0)),""))</f>
        <v/>
      </c>
      <c r="O22">
        <f>IF(G21="","",IFERROR(INDEX('04_月間表'!X$7:X$37,MATCH(G21,'04_月間表'!$A$7:$A$37,0)),""))</f>
        <v/>
      </c>
      <c r="P22">
        <f>IF(H21="","",IFERROR(INDEX('04_月間表'!X$7:X$37,MATCH(H21,'04_月間表'!$A$7:$A$37,0)),""))</f>
        <v/>
      </c>
    </row>
    <row r="23" ht="17" customHeight="1">
      <c r="A23" s="24">
        <f>IF(COUNTA('M_部屋'!$A$4:$A$20)&gt;=2,INDEX('M_部屋'!$A$4:$A$20,2),"")</f>
        <v/>
      </c>
      <c r="B23" s="25">
        <f>IF(B21="","",IFERROR(INDEX('04_月間表'!D$7:D$37,MATCH(B21,'04_月間表'!$A$7:$A$37,0)),""))</f>
        <v/>
      </c>
      <c r="C23" s="25">
        <f>IF(C21="","",IFERROR(INDEX('04_月間表'!D$7:D$37,MATCH(C21,'04_月間表'!$A$7:$A$37,0)),""))</f>
        <v/>
      </c>
      <c r="D23" s="25">
        <f>IF(D21="","",IFERROR(INDEX('04_月間表'!D$7:D$37,MATCH(D21,'04_月間表'!$A$7:$A$37,0)),""))</f>
        <v/>
      </c>
      <c r="E23" s="25">
        <f>IF(E21="","",IFERROR(INDEX('04_月間表'!D$7:D$37,MATCH(E21,'04_月間表'!$A$7:$A$37,0)),""))</f>
        <v/>
      </c>
      <c r="F23" s="25">
        <f>IF(F21="","",IFERROR(INDEX('04_月間表'!D$7:D$37,MATCH(F21,'04_月間表'!$A$7:$A$37,0)),""))</f>
        <v/>
      </c>
      <c r="G23" s="25">
        <f>IF(G21="","",IFERROR(INDEX('04_月間表'!D$7:D$37,MATCH(G21,'04_月間表'!$A$7:$A$37,0)),""))</f>
        <v/>
      </c>
      <c r="H23" s="25">
        <f>IF(H21="","",IFERROR(INDEX('04_月間表'!D$7:D$37,MATCH(H21,'04_月間表'!$A$7:$A$37,0)),""))</f>
        <v/>
      </c>
      <c r="J23">
        <f>IF(B21="","",IFERROR(INDEX('04_月間表'!Y$7:Y$37,MATCH(B21,'04_月間表'!$A$7:$A$37,0)),""))</f>
        <v/>
      </c>
      <c r="K23">
        <f>IF(C21="","",IFERROR(INDEX('04_月間表'!Y$7:Y$37,MATCH(C21,'04_月間表'!$A$7:$A$37,0)),""))</f>
        <v/>
      </c>
      <c r="L23">
        <f>IF(D21="","",IFERROR(INDEX('04_月間表'!Y$7:Y$37,MATCH(D21,'04_月間表'!$A$7:$A$37,0)),""))</f>
        <v/>
      </c>
      <c r="M23">
        <f>IF(E21="","",IFERROR(INDEX('04_月間表'!Y$7:Y$37,MATCH(E21,'04_月間表'!$A$7:$A$37,0)),""))</f>
        <v/>
      </c>
      <c r="N23">
        <f>IF(F21="","",IFERROR(INDEX('04_月間表'!Y$7:Y$37,MATCH(F21,'04_月間表'!$A$7:$A$37,0)),""))</f>
        <v/>
      </c>
      <c r="O23">
        <f>IF(G21="","",IFERROR(INDEX('04_月間表'!Y$7:Y$37,MATCH(G21,'04_月間表'!$A$7:$A$37,0)),""))</f>
        <v/>
      </c>
      <c r="P23">
        <f>IF(H21="","",IFERROR(INDEX('04_月間表'!Y$7:Y$37,MATCH(H21,'04_月間表'!$A$7:$A$37,0)),""))</f>
        <v/>
      </c>
    </row>
    <row r="24" ht="17" customHeight="1">
      <c r="A24" s="24">
        <f>IF(COUNTA('M_部屋'!$A$4:$A$20)&gt;=3,INDEX('M_部屋'!$A$4:$A$20,3),"")</f>
        <v/>
      </c>
      <c r="B24" s="25">
        <f>IF(B21="","",IFERROR(INDEX('04_月間表'!E$7:E$37,MATCH(B21,'04_月間表'!$A$7:$A$37,0)),""))</f>
        <v/>
      </c>
      <c r="C24" s="25">
        <f>IF(C21="","",IFERROR(INDEX('04_月間表'!E$7:E$37,MATCH(C21,'04_月間表'!$A$7:$A$37,0)),""))</f>
        <v/>
      </c>
      <c r="D24" s="25">
        <f>IF(D21="","",IFERROR(INDEX('04_月間表'!E$7:E$37,MATCH(D21,'04_月間表'!$A$7:$A$37,0)),""))</f>
        <v/>
      </c>
      <c r="E24" s="25">
        <f>IF(E21="","",IFERROR(INDEX('04_月間表'!E$7:E$37,MATCH(E21,'04_月間表'!$A$7:$A$37,0)),""))</f>
        <v/>
      </c>
      <c r="F24" s="25">
        <f>IF(F21="","",IFERROR(INDEX('04_月間表'!E$7:E$37,MATCH(F21,'04_月間表'!$A$7:$A$37,0)),""))</f>
        <v/>
      </c>
      <c r="G24" s="25">
        <f>IF(G21="","",IFERROR(INDEX('04_月間表'!E$7:E$37,MATCH(G21,'04_月間表'!$A$7:$A$37,0)),""))</f>
        <v/>
      </c>
      <c r="H24" s="25">
        <f>IF(H21="","",IFERROR(INDEX('04_月間表'!E$7:E$37,MATCH(H21,'04_月間表'!$A$7:$A$37,0)),""))</f>
        <v/>
      </c>
      <c r="J24">
        <f>IF(B21="","",IFERROR(INDEX('04_月間表'!Z$7:Z$37,MATCH(B21,'04_月間表'!$A$7:$A$37,0)),""))</f>
        <v/>
      </c>
      <c r="K24">
        <f>IF(C21="","",IFERROR(INDEX('04_月間表'!Z$7:Z$37,MATCH(C21,'04_月間表'!$A$7:$A$37,0)),""))</f>
        <v/>
      </c>
      <c r="L24">
        <f>IF(D21="","",IFERROR(INDEX('04_月間表'!Z$7:Z$37,MATCH(D21,'04_月間表'!$A$7:$A$37,0)),""))</f>
        <v/>
      </c>
      <c r="M24">
        <f>IF(E21="","",IFERROR(INDEX('04_月間表'!Z$7:Z$37,MATCH(E21,'04_月間表'!$A$7:$A$37,0)),""))</f>
        <v/>
      </c>
      <c r="N24">
        <f>IF(F21="","",IFERROR(INDEX('04_月間表'!Z$7:Z$37,MATCH(F21,'04_月間表'!$A$7:$A$37,0)),""))</f>
        <v/>
      </c>
      <c r="O24">
        <f>IF(G21="","",IFERROR(INDEX('04_月間表'!Z$7:Z$37,MATCH(G21,'04_月間表'!$A$7:$A$37,0)),""))</f>
        <v/>
      </c>
      <c r="P24">
        <f>IF(H21="","",IFERROR(INDEX('04_月間表'!Z$7:Z$37,MATCH(H21,'04_月間表'!$A$7:$A$37,0)),""))</f>
        <v/>
      </c>
    </row>
    <row r="25" ht="17" customHeight="1">
      <c r="A25" s="24">
        <f>IF(COUNTA('M_部屋'!$A$4:$A$20)&gt;=4,INDEX('M_部屋'!$A$4:$A$20,4),"")</f>
        <v/>
      </c>
      <c r="B25" s="25">
        <f>IF(B21="","",IFERROR(INDEX('04_月間表'!F$7:F$37,MATCH(B21,'04_月間表'!$A$7:$A$37,0)),""))</f>
        <v/>
      </c>
      <c r="C25" s="25">
        <f>IF(C21="","",IFERROR(INDEX('04_月間表'!F$7:F$37,MATCH(C21,'04_月間表'!$A$7:$A$37,0)),""))</f>
        <v/>
      </c>
      <c r="D25" s="25">
        <f>IF(D21="","",IFERROR(INDEX('04_月間表'!F$7:F$37,MATCH(D21,'04_月間表'!$A$7:$A$37,0)),""))</f>
        <v/>
      </c>
      <c r="E25" s="25">
        <f>IF(E21="","",IFERROR(INDEX('04_月間表'!F$7:F$37,MATCH(E21,'04_月間表'!$A$7:$A$37,0)),""))</f>
        <v/>
      </c>
      <c r="F25" s="25">
        <f>IF(F21="","",IFERROR(INDEX('04_月間表'!F$7:F$37,MATCH(F21,'04_月間表'!$A$7:$A$37,0)),""))</f>
        <v/>
      </c>
      <c r="G25" s="25">
        <f>IF(G21="","",IFERROR(INDEX('04_月間表'!F$7:F$37,MATCH(G21,'04_月間表'!$A$7:$A$37,0)),""))</f>
        <v/>
      </c>
      <c r="H25" s="25">
        <f>IF(H21="","",IFERROR(INDEX('04_月間表'!F$7:F$37,MATCH(H21,'04_月間表'!$A$7:$A$37,0)),""))</f>
        <v/>
      </c>
      <c r="J25">
        <f>IF(B21="","",IFERROR(INDEX('04_月間表'!AA$7:AA$37,MATCH(B21,'04_月間表'!$A$7:$A$37,0)),""))</f>
        <v/>
      </c>
      <c r="K25">
        <f>IF(C21="","",IFERROR(INDEX('04_月間表'!AA$7:AA$37,MATCH(C21,'04_月間表'!$A$7:$A$37,0)),""))</f>
        <v/>
      </c>
      <c r="L25">
        <f>IF(D21="","",IFERROR(INDEX('04_月間表'!AA$7:AA$37,MATCH(D21,'04_月間表'!$A$7:$A$37,0)),""))</f>
        <v/>
      </c>
      <c r="M25">
        <f>IF(E21="","",IFERROR(INDEX('04_月間表'!AA$7:AA$37,MATCH(E21,'04_月間表'!$A$7:$A$37,0)),""))</f>
        <v/>
      </c>
      <c r="N25">
        <f>IF(F21="","",IFERROR(INDEX('04_月間表'!AA$7:AA$37,MATCH(F21,'04_月間表'!$A$7:$A$37,0)),""))</f>
        <v/>
      </c>
      <c r="O25">
        <f>IF(G21="","",IFERROR(INDEX('04_月間表'!AA$7:AA$37,MATCH(G21,'04_月間表'!$A$7:$A$37,0)),""))</f>
        <v/>
      </c>
      <c r="P25">
        <f>IF(H21="","",IFERROR(INDEX('04_月間表'!AA$7:AA$37,MATCH(H21,'04_月間表'!$A$7:$A$37,0)),""))</f>
        <v/>
      </c>
    </row>
    <row r="26" ht="19" customHeight="1">
      <c r="A26" s="24" t="inlineStr">
        <is>
          <t>空き</t>
        </is>
      </c>
      <c r="B26" s="26">
        <f>IF(B21="","",IFERROR(INDEX('04_月間表'!$J$7:$J$37,MATCH(B21,'04_月間表'!$A$7:$A$37,0)),""))</f>
        <v/>
      </c>
      <c r="C26" s="26">
        <f>IF(C21="","",IFERROR(INDEX('04_月間表'!$J$7:$J$37,MATCH(C21,'04_月間表'!$A$7:$A$37,0)),""))</f>
        <v/>
      </c>
      <c r="D26" s="26">
        <f>IF(D21="","",IFERROR(INDEX('04_月間表'!$J$7:$J$37,MATCH(D21,'04_月間表'!$A$7:$A$37,0)),""))</f>
        <v/>
      </c>
      <c r="E26" s="26">
        <f>IF(E21="","",IFERROR(INDEX('04_月間表'!$J$7:$J$37,MATCH(E21,'04_月間表'!$A$7:$A$37,0)),""))</f>
        <v/>
      </c>
      <c r="F26" s="26">
        <f>IF(F21="","",IFERROR(INDEX('04_月間表'!$J$7:$J$37,MATCH(F21,'04_月間表'!$A$7:$A$37,0)),""))</f>
        <v/>
      </c>
      <c r="G26" s="26">
        <f>IF(G21="","",IFERROR(INDEX('04_月間表'!$J$7:$J$37,MATCH(G21,'04_月間表'!$A$7:$A$37,0)),""))</f>
        <v/>
      </c>
      <c r="H26" s="26">
        <f>IF(H21="","",IFERROR(INDEX('04_月間表'!$J$7:$J$37,MATCH(H21,'04_月間表'!$A$7:$A$37,0)),""))</f>
        <v/>
      </c>
    </row>
    <row r="28" ht="20" customHeight="1">
      <c r="A28" s="20" t="inlineStr">
        <is>
          <t>第4週</t>
        </is>
      </c>
      <c r="B28" s="21">
        <f>IF(MONTH($B$4-WEEKDAY($B$4)+1+21)&lt;&gt;MONTH($B$4),"",$B$4-WEEKDAY($B$4)+1+21)</f>
        <v/>
      </c>
      <c r="C28" s="22">
        <f>IF(MONTH($B$4-WEEKDAY($B$4)+1+22)&lt;&gt;MONTH($B$4),"",$B$4-WEEKDAY($B$4)+1+22)</f>
        <v/>
      </c>
      <c r="D28" s="22">
        <f>IF(MONTH($B$4-WEEKDAY($B$4)+1+23)&lt;&gt;MONTH($B$4),"",$B$4-WEEKDAY($B$4)+1+23)</f>
        <v/>
      </c>
      <c r="E28" s="22">
        <f>IF(MONTH($B$4-WEEKDAY($B$4)+1+24)&lt;&gt;MONTH($B$4),"",$B$4-WEEKDAY($B$4)+1+24)</f>
        <v/>
      </c>
      <c r="F28" s="22">
        <f>IF(MONTH($B$4-WEEKDAY($B$4)+1+25)&lt;&gt;MONTH($B$4),"",$B$4-WEEKDAY($B$4)+1+25)</f>
        <v/>
      </c>
      <c r="G28" s="22">
        <f>IF(MONTH($B$4-WEEKDAY($B$4)+1+26)&lt;&gt;MONTH($B$4),"",$B$4-WEEKDAY($B$4)+1+26)</f>
        <v/>
      </c>
      <c r="H28" s="23">
        <f>IF(MONTH($B$4-WEEKDAY($B$4)+1+27)&lt;&gt;MONTH($B$4),"",$B$4-WEEKDAY($B$4)+1+27)</f>
        <v/>
      </c>
    </row>
    <row r="29" ht="17" customHeight="1">
      <c r="A29" s="24">
        <f>IF(COUNTA('M_部屋'!$A$4:$A$20)&gt;=1,INDEX('M_部屋'!$A$4:$A$20,1),"")</f>
        <v/>
      </c>
      <c r="B29" s="25">
        <f>IF(B28="","",IFERROR(INDEX('04_月間表'!C$7:C$37,MATCH(B28,'04_月間表'!$A$7:$A$37,0)),""))</f>
        <v/>
      </c>
      <c r="C29" s="25">
        <f>IF(C28="","",IFERROR(INDEX('04_月間表'!C$7:C$37,MATCH(C28,'04_月間表'!$A$7:$A$37,0)),""))</f>
        <v/>
      </c>
      <c r="D29" s="25">
        <f>IF(D28="","",IFERROR(INDEX('04_月間表'!C$7:C$37,MATCH(D28,'04_月間表'!$A$7:$A$37,0)),""))</f>
        <v/>
      </c>
      <c r="E29" s="25">
        <f>IF(E28="","",IFERROR(INDEX('04_月間表'!C$7:C$37,MATCH(E28,'04_月間表'!$A$7:$A$37,0)),""))</f>
        <v/>
      </c>
      <c r="F29" s="25">
        <f>IF(F28="","",IFERROR(INDEX('04_月間表'!C$7:C$37,MATCH(F28,'04_月間表'!$A$7:$A$37,0)),""))</f>
        <v/>
      </c>
      <c r="G29" s="25">
        <f>IF(G28="","",IFERROR(INDEX('04_月間表'!C$7:C$37,MATCH(G28,'04_月間表'!$A$7:$A$37,0)),""))</f>
        <v/>
      </c>
      <c r="H29" s="25">
        <f>IF(H28="","",IFERROR(INDEX('04_月間表'!C$7:C$37,MATCH(H28,'04_月間表'!$A$7:$A$37,0)),""))</f>
        <v/>
      </c>
      <c r="J29">
        <f>IF(B28="","",IFERROR(INDEX('04_月間表'!X$7:X$37,MATCH(B28,'04_月間表'!$A$7:$A$37,0)),""))</f>
        <v/>
      </c>
      <c r="K29">
        <f>IF(C28="","",IFERROR(INDEX('04_月間表'!X$7:X$37,MATCH(C28,'04_月間表'!$A$7:$A$37,0)),""))</f>
        <v/>
      </c>
      <c r="L29">
        <f>IF(D28="","",IFERROR(INDEX('04_月間表'!X$7:X$37,MATCH(D28,'04_月間表'!$A$7:$A$37,0)),""))</f>
        <v/>
      </c>
      <c r="M29">
        <f>IF(E28="","",IFERROR(INDEX('04_月間表'!X$7:X$37,MATCH(E28,'04_月間表'!$A$7:$A$37,0)),""))</f>
        <v/>
      </c>
      <c r="N29">
        <f>IF(F28="","",IFERROR(INDEX('04_月間表'!X$7:X$37,MATCH(F28,'04_月間表'!$A$7:$A$37,0)),""))</f>
        <v/>
      </c>
      <c r="O29">
        <f>IF(G28="","",IFERROR(INDEX('04_月間表'!X$7:X$37,MATCH(G28,'04_月間表'!$A$7:$A$37,0)),""))</f>
        <v/>
      </c>
      <c r="P29">
        <f>IF(H28="","",IFERROR(INDEX('04_月間表'!X$7:X$37,MATCH(H28,'04_月間表'!$A$7:$A$37,0)),""))</f>
        <v/>
      </c>
    </row>
    <row r="30" ht="17" customHeight="1">
      <c r="A30" s="24">
        <f>IF(COUNTA('M_部屋'!$A$4:$A$20)&gt;=2,INDEX('M_部屋'!$A$4:$A$20,2),"")</f>
        <v/>
      </c>
      <c r="B30" s="25">
        <f>IF(B28="","",IFERROR(INDEX('04_月間表'!D$7:D$37,MATCH(B28,'04_月間表'!$A$7:$A$37,0)),""))</f>
        <v/>
      </c>
      <c r="C30" s="25">
        <f>IF(C28="","",IFERROR(INDEX('04_月間表'!D$7:D$37,MATCH(C28,'04_月間表'!$A$7:$A$37,0)),""))</f>
        <v/>
      </c>
      <c r="D30" s="25">
        <f>IF(D28="","",IFERROR(INDEX('04_月間表'!D$7:D$37,MATCH(D28,'04_月間表'!$A$7:$A$37,0)),""))</f>
        <v/>
      </c>
      <c r="E30" s="25">
        <f>IF(E28="","",IFERROR(INDEX('04_月間表'!D$7:D$37,MATCH(E28,'04_月間表'!$A$7:$A$37,0)),""))</f>
        <v/>
      </c>
      <c r="F30" s="25">
        <f>IF(F28="","",IFERROR(INDEX('04_月間表'!D$7:D$37,MATCH(F28,'04_月間表'!$A$7:$A$37,0)),""))</f>
        <v/>
      </c>
      <c r="G30" s="25">
        <f>IF(G28="","",IFERROR(INDEX('04_月間表'!D$7:D$37,MATCH(G28,'04_月間表'!$A$7:$A$37,0)),""))</f>
        <v/>
      </c>
      <c r="H30" s="25">
        <f>IF(H28="","",IFERROR(INDEX('04_月間表'!D$7:D$37,MATCH(H28,'04_月間表'!$A$7:$A$37,0)),""))</f>
        <v/>
      </c>
      <c r="J30">
        <f>IF(B28="","",IFERROR(INDEX('04_月間表'!Y$7:Y$37,MATCH(B28,'04_月間表'!$A$7:$A$37,0)),""))</f>
        <v/>
      </c>
      <c r="K30">
        <f>IF(C28="","",IFERROR(INDEX('04_月間表'!Y$7:Y$37,MATCH(C28,'04_月間表'!$A$7:$A$37,0)),""))</f>
        <v/>
      </c>
      <c r="L30">
        <f>IF(D28="","",IFERROR(INDEX('04_月間表'!Y$7:Y$37,MATCH(D28,'04_月間表'!$A$7:$A$37,0)),""))</f>
        <v/>
      </c>
      <c r="M30">
        <f>IF(E28="","",IFERROR(INDEX('04_月間表'!Y$7:Y$37,MATCH(E28,'04_月間表'!$A$7:$A$37,0)),""))</f>
        <v/>
      </c>
      <c r="N30">
        <f>IF(F28="","",IFERROR(INDEX('04_月間表'!Y$7:Y$37,MATCH(F28,'04_月間表'!$A$7:$A$37,0)),""))</f>
        <v/>
      </c>
      <c r="O30">
        <f>IF(G28="","",IFERROR(INDEX('04_月間表'!Y$7:Y$37,MATCH(G28,'04_月間表'!$A$7:$A$37,0)),""))</f>
        <v/>
      </c>
      <c r="P30">
        <f>IF(H28="","",IFERROR(INDEX('04_月間表'!Y$7:Y$37,MATCH(H28,'04_月間表'!$A$7:$A$37,0)),""))</f>
        <v/>
      </c>
    </row>
    <row r="31" ht="17" customHeight="1">
      <c r="A31" s="24">
        <f>IF(COUNTA('M_部屋'!$A$4:$A$20)&gt;=3,INDEX('M_部屋'!$A$4:$A$20,3),"")</f>
        <v/>
      </c>
      <c r="B31" s="25">
        <f>IF(B28="","",IFERROR(INDEX('04_月間表'!E$7:E$37,MATCH(B28,'04_月間表'!$A$7:$A$37,0)),""))</f>
        <v/>
      </c>
      <c r="C31" s="25">
        <f>IF(C28="","",IFERROR(INDEX('04_月間表'!E$7:E$37,MATCH(C28,'04_月間表'!$A$7:$A$37,0)),""))</f>
        <v/>
      </c>
      <c r="D31" s="25">
        <f>IF(D28="","",IFERROR(INDEX('04_月間表'!E$7:E$37,MATCH(D28,'04_月間表'!$A$7:$A$37,0)),""))</f>
        <v/>
      </c>
      <c r="E31" s="25">
        <f>IF(E28="","",IFERROR(INDEX('04_月間表'!E$7:E$37,MATCH(E28,'04_月間表'!$A$7:$A$37,0)),""))</f>
        <v/>
      </c>
      <c r="F31" s="25">
        <f>IF(F28="","",IFERROR(INDEX('04_月間表'!E$7:E$37,MATCH(F28,'04_月間表'!$A$7:$A$37,0)),""))</f>
        <v/>
      </c>
      <c r="G31" s="25">
        <f>IF(G28="","",IFERROR(INDEX('04_月間表'!E$7:E$37,MATCH(G28,'04_月間表'!$A$7:$A$37,0)),""))</f>
        <v/>
      </c>
      <c r="H31" s="25">
        <f>IF(H28="","",IFERROR(INDEX('04_月間表'!E$7:E$37,MATCH(H28,'04_月間表'!$A$7:$A$37,0)),""))</f>
        <v/>
      </c>
      <c r="J31">
        <f>IF(B28="","",IFERROR(INDEX('04_月間表'!Z$7:Z$37,MATCH(B28,'04_月間表'!$A$7:$A$37,0)),""))</f>
        <v/>
      </c>
      <c r="K31">
        <f>IF(C28="","",IFERROR(INDEX('04_月間表'!Z$7:Z$37,MATCH(C28,'04_月間表'!$A$7:$A$37,0)),""))</f>
        <v/>
      </c>
      <c r="L31">
        <f>IF(D28="","",IFERROR(INDEX('04_月間表'!Z$7:Z$37,MATCH(D28,'04_月間表'!$A$7:$A$37,0)),""))</f>
        <v/>
      </c>
      <c r="M31">
        <f>IF(E28="","",IFERROR(INDEX('04_月間表'!Z$7:Z$37,MATCH(E28,'04_月間表'!$A$7:$A$37,0)),""))</f>
        <v/>
      </c>
      <c r="N31">
        <f>IF(F28="","",IFERROR(INDEX('04_月間表'!Z$7:Z$37,MATCH(F28,'04_月間表'!$A$7:$A$37,0)),""))</f>
        <v/>
      </c>
      <c r="O31">
        <f>IF(G28="","",IFERROR(INDEX('04_月間表'!Z$7:Z$37,MATCH(G28,'04_月間表'!$A$7:$A$37,0)),""))</f>
        <v/>
      </c>
      <c r="P31">
        <f>IF(H28="","",IFERROR(INDEX('04_月間表'!Z$7:Z$37,MATCH(H28,'04_月間表'!$A$7:$A$37,0)),""))</f>
        <v/>
      </c>
    </row>
    <row r="32" ht="17" customHeight="1">
      <c r="A32" s="24">
        <f>IF(COUNTA('M_部屋'!$A$4:$A$20)&gt;=4,INDEX('M_部屋'!$A$4:$A$20,4),"")</f>
        <v/>
      </c>
      <c r="B32" s="25">
        <f>IF(B28="","",IFERROR(INDEX('04_月間表'!F$7:F$37,MATCH(B28,'04_月間表'!$A$7:$A$37,0)),""))</f>
        <v/>
      </c>
      <c r="C32" s="25">
        <f>IF(C28="","",IFERROR(INDEX('04_月間表'!F$7:F$37,MATCH(C28,'04_月間表'!$A$7:$A$37,0)),""))</f>
        <v/>
      </c>
      <c r="D32" s="25">
        <f>IF(D28="","",IFERROR(INDEX('04_月間表'!F$7:F$37,MATCH(D28,'04_月間表'!$A$7:$A$37,0)),""))</f>
        <v/>
      </c>
      <c r="E32" s="25">
        <f>IF(E28="","",IFERROR(INDEX('04_月間表'!F$7:F$37,MATCH(E28,'04_月間表'!$A$7:$A$37,0)),""))</f>
        <v/>
      </c>
      <c r="F32" s="25">
        <f>IF(F28="","",IFERROR(INDEX('04_月間表'!F$7:F$37,MATCH(F28,'04_月間表'!$A$7:$A$37,0)),""))</f>
        <v/>
      </c>
      <c r="G32" s="25">
        <f>IF(G28="","",IFERROR(INDEX('04_月間表'!F$7:F$37,MATCH(G28,'04_月間表'!$A$7:$A$37,0)),""))</f>
        <v/>
      </c>
      <c r="H32" s="25">
        <f>IF(H28="","",IFERROR(INDEX('04_月間表'!F$7:F$37,MATCH(H28,'04_月間表'!$A$7:$A$37,0)),""))</f>
        <v/>
      </c>
      <c r="J32">
        <f>IF(B28="","",IFERROR(INDEX('04_月間表'!AA$7:AA$37,MATCH(B28,'04_月間表'!$A$7:$A$37,0)),""))</f>
        <v/>
      </c>
      <c r="K32">
        <f>IF(C28="","",IFERROR(INDEX('04_月間表'!AA$7:AA$37,MATCH(C28,'04_月間表'!$A$7:$A$37,0)),""))</f>
        <v/>
      </c>
      <c r="L32">
        <f>IF(D28="","",IFERROR(INDEX('04_月間表'!AA$7:AA$37,MATCH(D28,'04_月間表'!$A$7:$A$37,0)),""))</f>
        <v/>
      </c>
      <c r="M32">
        <f>IF(E28="","",IFERROR(INDEX('04_月間表'!AA$7:AA$37,MATCH(E28,'04_月間表'!$A$7:$A$37,0)),""))</f>
        <v/>
      </c>
      <c r="N32">
        <f>IF(F28="","",IFERROR(INDEX('04_月間表'!AA$7:AA$37,MATCH(F28,'04_月間表'!$A$7:$A$37,0)),""))</f>
        <v/>
      </c>
      <c r="O32">
        <f>IF(G28="","",IFERROR(INDEX('04_月間表'!AA$7:AA$37,MATCH(G28,'04_月間表'!$A$7:$A$37,0)),""))</f>
        <v/>
      </c>
      <c r="P32">
        <f>IF(H28="","",IFERROR(INDEX('04_月間表'!AA$7:AA$37,MATCH(H28,'04_月間表'!$A$7:$A$37,0)),""))</f>
        <v/>
      </c>
    </row>
    <row r="33" ht="19" customHeight="1">
      <c r="A33" s="24" t="inlineStr">
        <is>
          <t>空き</t>
        </is>
      </c>
      <c r="B33" s="26">
        <f>IF(B28="","",IFERROR(INDEX('04_月間表'!$J$7:$J$37,MATCH(B28,'04_月間表'!$A$7:$A$37,0)),""))</f>
        <v/>
      </c>
      <c r="C33" s="26">
        <f>IF(C28="","",IFERROR(INDEX('04_月間表'!$J$7:$J$37,MATCH(C28,'04_月間表'!$A$7:$A$37,0)),""))</f>
        <v/>
      </c>
      <c r="D33" s="26">
        <f>IF(D28="","",IFERROR(INDEX('04_月間表'!$J$7:$J$37,MATCH(D28,'04_月間表'!$A$7:$A$37,0)),""))</f>
        <v/>
      </c>
      <c r="E33" s="26">
        <f>IF(E28="","",IFERROR(INDEX('04_月間表'!$J$7:$J$37,MATCH(E28,'04_月間表'!$A$7:$A$37,0)),""))</f>
        <v/>
      </c>
      <c r="F33" s="26">
        <f>IF(F28="","",IFERROR(INDEX('04_月間表'!$J$7:$J$37,MATCH(F28,'04_月間表'!$A$7:$A$37,0)),""))</f>
        <v/>
      </c>
      <c r="G33" s="26">
        <f>IF(G28="","",IFERROR(INDEX('04_月間表'!$J$7:$J$37,MATCH(G28,'04_月間表'!$A$7:$A$37,0)),""))</f>
        <v/>
      </c>
      <c r="H33" s="26">
        <f>IF(H28="","",IFERROR(INDEX('04_月間表'!$J$7:$J$37,MATCH(H28,'04_月間表'!$A$7:$A$37,0)),""))</f>
        <v/>
      </c>
    </row>
    <row r="35" ht="20" customHeight="1">
      <c r="A35" s="20" t="inlineStr">
        <is>
          <t>第5週</t>
        </is>
      </c>
      <c r="B35" s="21">
        <f>IF(MONTH($B$4-WEEKDAY($B$4)+1+28)&lt;&gt;MONTH($B$4),"",$B$4-WEEKDAY($B$4)+1+28)</f>
        <v/>
      </c>
      <c r="C35" s="22">
        <f>IF(MONTH($B$4-WEEKDAY($B$4)+1+29)&lt;&gt;MONTH($B$4),"",$B$4-WEEKDAY($B$4)+1+29)</f>
        <v/>
      </c>
      <c r="D35" s="22">
        <f>IF(MONTH($B$4-WEEKDAY($B$4)+1+30)&lt;&gt;MONTH($B$4),"",$B$4-WEEKDAY($B$4)+1+30)</f>
        <v/>
      </c>
      <c r="E35" s="22">
        <f>IF(MONTH($B$4-WEEKDAY($B$4)+1+31)&lt;&gt;MONTH($B$4),"",$B$4-WEEKDAY($B$4)+1+31)</f>
        <v/>
      </c>
      <c r="F35" s="22">
        <f>IF(MONTH($B$4-WEEKDAY($B$4)+1+32)&lt;&gt;MONTH($B$4),"",$B$4-WEEKDAY($B$4)+1+32)</f>
        <v/>
      </c>
      <c r="G35" s="22">
        <f>IF(MONTH($B$4-WEEKDAY($B$4)+1+33)&lt;&gt;MONTH($B$4),"",$B$4-WEEKDAY($B$4)+1+33)</f>
        <v/>
      </c>
      <c r="H35" s="23">
        <f>IF(MONTH($B$4-WEEKDAY($B$4)+1+34)&lt;&gt;MONTH($B$4),"",$B$4-WEEKDAY($B$4)+1+34)</f>
        <v/>
      </c>
    </row>
    <row r="36" ht="17" customHeight="1">
      <c r="A36" s="24">
        <f>IF(COUNTA('M_部屋'!$A$4:$A$20)&gt;=1,INDEX('M_部屋'!$A$4:$A$20,1),"")</f>
        <v/>
      </c>
      <c r="B36" s="25">
        <f>IF(B35="","",IFERROR(INDEX('04_月間表'!C$7:C$37,MATCH(B35,'04_月間表'!$A$7:$A$37,0)),""))</f>
        <v/>
      </c>
      <c r="C36" s="25">
        <f>IF(C35="","",IFERROR(INDEX('04_月間表'!C$7:C$37,MATCH(C35,'04_月間表'!$A$7:$A$37,0)),""))</f>
        <v/>
      </c>
      <c r="D36" s="25">
        <f>IF(D35="","",IFERROR(INDEX('04_月間表'!C$7:C$37,MATCH(D35,'04_月間表'!$A$7:$A$37,0)),""))</f>
        <v/>
      </c>
      <c r="E36" s="25">
        <f>IF(E35="","",IFERROR(INDEX('04_月間表'!C$7:C$37,MATCH(E35,'04_月間表'!$A$7:$A$37,0)),""))</f>
        <v/>
      </c>
      <c r="F36" s="25">
        <f>IF(F35="","",IFERROR(INDEX('04_月間表'!C$7:C$37,MATCH(F35,'04_月間表'!$A$7:$A$37,0)),""))</f>
        <v/>
      </c>
      <c r="G36" s="25">
        <f>IF(G35="","",IFERROR(INDEX('04_月間表'!C$7:C$37,MATCH(G35,'04_月間表'!$A$7:$A$37,0)),""))</f>
        <v/>
      </c>
      <c r="H36" s="25">
        <f>IF(H35="","",IFERROR(INDEX('04_月間表'!C$7:C$37,MATCH(H35,'04_月間表'!$A$7:$A$37,0)),""))</f>
        <v/>
      </c>
      <c r="J36">
        <f>IF(B35="","",IFERROR(INDEX('04_月間表'!X$7:X$37,MATCH(B35,'04_月間表'!$A$7:$A$37,0)),""))</f>
        <v/>
      </c>
      <c r="K36">
        <f>IF(C35="","",IFERROR(INDEX('04_月間表'!X$7:X$37,MATCH(C35,'04_月間表'!$A$7:$A$37,0)),""))</f>
        <v/>
      </c>
      <c r="L36">
        <f>IF(D35="","",IFERROR(INDEX('04_月間表'!X$7:X$37,MATCH(D35,'04_月間表'!$A$7:$A$37,0)),""))</f>
        <v/>
      </c>
      <c r="M36">
        <f>IF(E35="","",IFERROR(INDEX('04_月間表'!X$7:X$37,MATCH(E35,'04_月間表'!$A$7:$A$37,0)),""))</f>
        <v/>
      </c>
      <c r="N36">
        <f>IF(F35="","",IFERROR(INDEX('04_月間表'!X$7:X$37,MATCH(F35,'04_月間表'!$A$7:$A$37,0)),""))</f>
        <v/>
      </c>
      <c r="O36">
        <f>IF(G35="","",IFERROR(INDEX('04_月間表'!X$7:X$37,MATCH(G35,'04_月間表'!$A$7:$A$37,0)),""))</f>
        <v/>
      </c>
      <c r="P36">
        <f>IF(H35="","",IFERROR(INDEX('04_月間表'!X$7:X$37,MATCH(H35,'04_月間表'!$A$7:$A$37,0)),""))</f>
        <v/>
      </c>
    </row>
    <row r="37" ht="17" customHeight="1">
      <c r="A37" s="24">
        <f>IF(COUNTA('M_部屋'!$A$4:$A$20)&gt;=2,INDEX('M_部屋'!$A$4:$A$20,2),"")</f>
        <v/>
      </c>
      <c r="B37" s="25">
        <f>IF(B35="","",IFERROR(INDEX('04_月間表'!D$7:D$37,MATCH(B35,'04_月間表'!$A$7:$A$37,0)),""))</f>
        <v/>
      </c>
      <c r="C37" s="25">
        <f>IF(C35="","",IFERROR(INDEX('04_月間表'!D$7:D$37,MATCH(C35,'04_月間表'!$A$7:$A$37,0)),""))</f>
        <v/>
      </c>
      <c r="D37" s="25">
        <f>IF(D35="","",IFERROR(INDEX('04_月間表'!D$7:D$37,MATCH(D35,'04_月間表'!$A$7:$A$37,0)),""))</f>
        <v/>
      </c>
      <c r="E37" s="25">
        <f>IF(E35="","",IFERROR(INDEX('04_月間表'!D$7:D$37,MATCH(E35,'04_月間表'!$A$7:$A$37,0)),""))</f>
        <v/>
      </c>
      <c r="F37" s="25">
        <f>IF(F35="","",IFERROR(INDEX('04_月間表'!D$7:D$37,MATCH(F35,'04_月間表'!$A$7:$A$37,0)),""))</f>
        <v/>
      </c>
      <c r="G37" s="25">
        <f>IF(G35="","",IFERROR(INDEX('04_月間表'!D$7:D$37,MATCH(G35,'04_月間表'!$A$7:$A$37,0)),""))</f>
        <v/>
      </c>
      <c r="H37" s="25">
        <f>IF(H35="","",IFERROR(INDEX('04_月間表'!D$7:D$37,MATCH(H35,'04_月間表'!$A$7:$A$37,0)),""))</f>
        <v/>
      </c>
      <c r="J37">
        <f>IF(B35="","",IFERROR(INDEX('04_月間表'!Y$7:Y$37,MATCH(B35,'04_月間表'!$A$7:$A$37,0)),""))</f>
        <v/>
      </c>
      <c r="K37">
        <f>IF(C35="","",IFERROR(INDEX('04_月間表'!Y$7:Y$37,MATCH(C35,'04_月間表'!$A$7:$A$37,0)),""))</f>
        <v/>
      </c>
      <c r="L37">
        <f>IF(D35="","",IFERROR(INDEX('04_月間表'!Y$7:Y$37,MATCH(D35,'04_月間表'!$A$7:$A$37,0)),""))</f>
        <v/>
      </c>
      <c r="M37">
        <f>IF(E35="","",IFERROR(INDEX('04_月間表'!Y$7:Y$37,MATCH(E35,'04_月間表'!$A$7:$A$37,0)),""))</f>
        <v/>
      </c>
      <c r="N37">
        <f>IF(F35="","",IFERROR(INDEX('04_月間表'!Y$7:Y$37,MATCH(F35,'04_月間表'!$A$7:$A$37,0)),""))</f>
        <v/>
      </c>
      <c r="O37">
        <f>IF(G35="","",IFERROR(INDEX('04_月間表'!Y$7:Y$37,MATCH(G35,'04_月間表'!$A$7:$A$37,0)),""))</f>
        <v/>
      </c>
      <c r="P37">
        <f>IF(H35="","",IFERROR(INDEX('04_月間表'!Y$7:Y$37,MATCH(H35,'04_月間表'!$A$7:$A$37,0)),""))</f>
        <v/>
      </c>
    </row>
    <row r="38" ht="17" customHeight="1">
      <c r="A38" s="24">
        <f>IF(COUNTA('M_部屋'!$A$4:$A$20)&gt;=3,INDEX('M_部屋'!$A$4:$A$20,3),"")</f>
        <v/>
      </c>
      <c r="B38" s="25">
        <f>IF(B35="","",IFERROR(INDEX('04_月間表'!E$7:E$37,MATCH(B35,'04_月間表'!$A$7:$A$37,0)),""))</f>
        <v/>
      </c>
      <c r="C38" s="25">
        <f>IF(C35="","",IFERROR(INDEX('04_月間表'!E$7:E$37,MATCH(C35,'04_月間表'!$A$7:$A$37,0)),""))</f>
        <v/>
      </c>
      <c r="D38" s="25">
        <f>IF(D35="","",IFERROR(INDEX('04_月間表'!E$7:E$37,MATCH(D35,'04_月間表'!$A$7:$A$37,0)),""))</f>
        <v/>
      </c>
      <c r="E38" s="25">
        <f>IF(E35="","",IFERROR(INDEX('04_月間表'!E$7:E$37,MATCH(E35,'04_月間表'!$A$7:$A$37,0)),""))</f>
        <v/>
      </c>
      <c r="F38" s="25">
        <f>IF(F35="","",IFERROR(INDEX('04_月間表'!E$7:E$37,MATCH(F35,'04_月間表'!$A$7:$A$37,0)),""))</f>
        <v/>
      </c>
      <c r="G38" s="25">
        <f>IF(G35="","",IFERROR(INDEX('04_月間表'!E$7:E$37,MATCH(G35,'04_月間表'!$A$7:$A$37,0)),""))</f>
        <v/>
      </c>
      <c r="H38" s="25">
        <f>IF(H35="","",IFERROR(INDEX('04_月間表'!E$7:E$37,MATCH(H35,'04_月間表'!$A$7:$A$37,0)),""))</f>
        <v/>
      </c>
      <c r="J38">
        <f>IF(B35="","",IFERROR(INDEX('04_月間表'!Z$7:Z$37,MATCH(B35,'04_月間表'!$A$7:$A$37,0)),""))</f>
        <v/>
      </c>
      <c r="K38">
        <f>IF(C35="","",IFERROR(INDEX('04_月間表'!Z$7:Z$37,MATCH(C35,'04_月間表'!$A$7:$A$37,0)),""))</f>
        <v/>
      </c>
      <c r="L38">
        <f>IF(D35="","",IFERROR(INDEX('04_月間表'!Z$7:Z$37,MATCH(D35,'04_月間表'!$A$7:$A$37,0)),""))</f>
        <v/>
      </c>
      <c r="M38">
        <f>IF(E35="","",IFERROR(INDEX('04_月間表'!Z$7:Z$37,MATCH(E35,'04_月間表'!$A$7:$A$37,0)),""))</f>
        <v/>
      </c>
      <c r="N38">
        <f>IF(F35="","",IFERROR(INDEX('04_月間表'!Z$7:Z$37,MATCH(F35,'04_月間表'!$A$7:$A$37,0)),""))</f>
        <v/>
      </c>
      <c r="O38">
        <f>IF(G35="","",IFERROR(INDEX('04_月間表'!Z$7:Z$37,MATCH(G35,'04_月間表'!$A$7:$A$37,0)),""))</f>
        <v/>
      </c>
      <c r="P38">
        <f>IF(H35="","",IFERROR(INDEX('04_月間表'!Z$7:Z$37,MATCH(H35,'04_月間表'!$A$7:$A$37,0)),""))</f>
        <v/>
      </c>
    </row>
    <row r="39" ht="17" customHeight="1">
      <c r="A39" s="24">
        <f>IF(COUNTA('M_部屋'!$A$4:$A$20)&gt;=4,INDEX('M_部屋'!$A$4:$A$20,4),"")</f>
        <v/>
      </c>
      <c r="B39" s="25">
        <f>IF(B35="","",IFERROR(INDEX('04_月間表'!F$7:F$37,MATCH(B35,'04_月間表'!$A$7:$A$37,0)),""))</f>
        <v/>
      </c>
      <c r="C39" s="25">
        <f>IF(C35="","",IFERROR(INDEX('04_月間表'!F$7:F$37,MATCH(C35,'04_月間表'!$A$7:$A$37,0)),""))</f>
        <v/>
      </c>
      <c r="D39" s="25">
        <f>IF(D35="","",IFERROR(INDEX('04_月間表'!F$7:F$37,MATCH(D35,'04_月間表'!$A$7:$A$37,0)),""))</f>
        <v/>
      </c>
      <c r="E39" s="25">
        <f>IF(E35="","",IFERROR(INDEX('04_月間表'!F$7:F$37,MATCH(E35,'04_月間表'!$A$7:$A$37,0)),""))</f>
        <v/>
      </c>
      <c r="F39" s="25">
        <f>IF(F35="","",IFERROR(INDEX('04_月間表'!F$7:F$37,MATCH(F35,'04_月間表'!$A$7:$A$37,0)),""))</f>
        <v/>
      </c>
      <c r="G39" s="25">
        <f>IF(G35="","",IFERROR(INDEX('04_月間表'!F$7:F$37,MATCH(G35,'04_月間表'!$A$7:$A$37,0)),""))</f>
        <v/>
      </c>
      <c r="H39" s="25">
        <f>IF(H35="","",IFERROR(INDEX('04_月間表'!F$7:F$37,MATCH(H35,'04_月間表'!$A$7:$A$37,0)),""))</f>
        <v/>
      </c>
      <c r="J39">
        <f>IF(B35="","",IFERROR(INDEX('04_月間表'!AA$7:AA$37,MATCH(B35,'04_月間表'!$A$7:$A$37,0)),""))</f>
        <v/>
      </c>
      <c r="K39">
        <f>IF(C35="","",IFERROR(INDEX('04_月間表'!AA$7:AA$37,MATCH(C35,'04_月間表'!$A$7:$A$37,0)),""))</f>
        <v/>
      </c>
      <c r="L39">
        <f>IF(D35="","",IFERROR(INDEX('04_月間表'!AA$7:AA$37,MATCH(D35,'04_月間表'!$A$7:$A$37,0)),""))</f>
        <v/>
      </c>
      <c r="M39">
        <f>IF(E35="","",IFERROR(INDEX('04_月間表'!AA$7:AA$37,MATCH(E35,'04_月間表'!$A$7:$A$37,0)),""))</f>
        <v/>
      </c>
      <c r="N39">
        <f>IF(F35="","",IFERROR(INDEX('04_月間表'!AA$7:AA$37,MATCH(F35,'04_月間表'!$A$7:$A$37,0)),""))</f>
        <v/>
      </c>
      <c r="O39">
        <f>IF(G35="","",IFERROR(INDEX('04_月間表'!AA$7:AA$37,MATCH(G35,'04_月間表'!$A$7:$A$37,0)),""))</f>
        <v/>
      </c>
      <c r="P39">
        <f>IF(H35="","",IFERROR(INDEX('04_月間表'!AA$7:AA$37,MATCH(H35,'04_月間表'!$A$7:$A$37,0)),""))</f>
        <v/>
      </c>
    </row>
    <row r="40" ht="19" customHeight="1">
      <c r="A40" s="24" t="inlineStr">
        <is>
          <t>空き</t>
        </is>
      </c>
      <c r="B40" s="26">
        <f>IF(B35="","",IFERROR(INDEX('04_月間表'!$J$7:$J$37,MATCH(B35,'04_月間表'!$A$7:$A$37,0)),""))</f>
        <v/>
      </c>
      <c r="C40" s="26">
        <f>IF(C35="","",IFERROR(INDEX('04_月間表'!$J$7:$J$37,MATCH(C35,'04_月間表'!$A$7:$A$37,0)),""))</f>
        <v/>
      </c>
      <c r="D40" s="26">
        <f>IF(D35="","",IFERROR(INDEX('04_月間表'!$J$7:$J$37,MATCH(D35,'04_月間表'!$A$7:$A$37,0)),""))</f>
        <v/>
      </c>
      <c r="E40" s="26">
        <f>IF(E35="","",IFERROR(INDEX('04_月間表'!$J$7:$J$37,MATCH(E35,'04_月間表'!$A$7:$A$37,0)),""))</f>
        <v/>
      </c>
      <c r="F40" s="26">
        <f>IF(F35="","",IFERROR(INDEX('04_月間表'!$J$7:$J$37,MATCH(F35,'04_月間表'!$A$7:$A$37,0)),""))</f>
        <v/>
      </c>
      <c r="G40" s="26">
        <f>IF(G35="","",IFERROR(INDEX('04_月間表'!$J$7:$J$37,MATCH(G35,'04_月間表'!$A$7:$A$37,0)),""))</f>
        <v/>
      </c>
      <c r="H40" s="26">
        <f>IF(H35="","",IFERROR(INDEX('04_月間表'!$J$7:$J$37,MATCH(H35,'04_月間表'!$A$7:$A$37,0)),""))</f>
        <v/>
      </c>
    </row>
    <row r="42" ht="20" customHeight="1">
      <c r="A42" s="20" t="inlineStr">
        <is>
          <t>第6週</t>
        </is>
      </c>
      <c r="B42" s="21">
        <f>IF(MONTH($B$4-WEEKDAY($B$4)+1+35)&lt;&gt;MONTH($B$4),"",$B$4-WEEKDAY($B$4)+1+35)</f>
        <v/>
      </c>
      <c r="C42" s="22">
        <f>IF(MONTH($B$4-WEEKDAY($B$4)+1+36)&lt;&gt;MONTH($B$4),"",$B$4-WEEKDAY($B$4)+1+36)</f>
        <v/>
      </c>
      <c r="D42" s="22">
        <f>IF(MONTH($B$4-WEEKDAY($B$4)+1+37)&lt;&gt;MONTH($B$4),"",$B$4-WEEKDAY($B$4)+1+37)</f>
        <v/>
      </c>
      <c r="E42" s="22">
        <f>IF(MONTH($B$4-WEEKDAY($B$4)+1+38)&lt;&gt;MONTH($B$4),"",$B$4-WEEKDAY($B$4)+1+38)</f>
        <v/>
      </c>
      <c r="F42" s="22">
        <f>IF(MONTH($B$4-WEEKDAY($B$4)+1+39)&lt;&gt;MONTH($B$4),"",$B$4-WEEKDAY($B$4)+1+39)</f>
        <v/>
      </c>
      <c r="G42" s="22">
        <f>IF(MONTH($B$4-WEEKDAY($B$4)+1+40)&lt;&gt;MONTH($B$4),"",$B$4-WEEKDAY($B$4)+1+40)</f>
        <v/>
      </c>
      <c r="H42" s="23">
        <f>IF(MONTH($B$4-WEEKDAY($B$4)+1+41)&lt;&gt;MONTH($B$4),"",$B$4-WEEKDAY($B$4)+1+41)</f>
        <v/>
      </c>
    </row>
    <row r="43" ht="17" customHeight="1">
      <c r="A43" s="24">
        <f>IF(COUNTA('M_部屋'!$A$4:$A$20)&gt;=1,INDEX('M_部屋'!$A$4:$A$20,1),"")</f>
        <v/>
      </c>
      <c r="B43" s="25">
        <f>IF(B42="","",IFERROR(INDEX('04_月間表'!C$7:C$37,MATCH(B42,'04_月間表'!$A$7:$A$37,0)),""))</f>
        <v/>
      </c>
      <c r="C43" s="25">
        <f>IF(C42="","",IFERROR(INDEX('04_月間表'!C$7:C$37,MATCH(C42,'04_月間表'!$A$7:$A$37,0)),""))</f>
        <v/>
      </c>
      <c r="D43" s="25">
        <f>IF(D42="","",IFERROR(INDEX('04_月間表'!C$7:C$37,MATCH(D42,'04_月間表'!$A$7:$A$37,0)),""))</f>
        <v/>
      </c>
      <c r="E43" s="25">
        <f>IF(E42="","",IFERROR(INDEX('04_月間表'!C$7:C$37,MATCH(E42,'04_月間表'!$A$7:$A$37,0)),""))</f>
        <v/>
      </c>
      <c r="F43" s="25">
        <f>IF(F42="","",IFERROR(INDEX('04_月間表'!C$7:C$37,MATCH(F42,'04_月間表'!$A$7:$A$37,0)),""))</f>
        <v/>
      </c>
      <c r="G43" s="25">
        <f>IF(G42="","",IFERROR(INDEX('04_月間表'!C$7:C$37,MATCH(G42,'04_月間表'!$A$7:$A$37,0)),""))</f>
        <v/>
      </c>
      <c r="H43" s="25">
        <f>IF(H42="","",IFERROR(INDEX('04_月間表'!C$7:C$37,MATCH(H42,'04_月間表'!$A$7:$A$37,0)),""))</f>
        <v/>
      </c>
      <c r="J43">
        <f>IF(B42="","",IFERROR(INDEX('04_月間表'!X$7:X$37,MATCH(B42,'04_月間表'!$A$7:$A$37,0)),""))</f>
        <v/>
      </c>
      <c r="K43">
        <f>IF(C42="","",IFERROR(INDEX('04_月間表'!X$7:X$37,MATCH(C42,'04_月間表'!$A$7:$A$37,0)),""))</f>
        <v/>
      </c>
      <c r="L43">
        <f>IF(D42="","",IFERROR(INDEX('04_月間表'!X$7:X$37,MATCH(D42,'04_月間表'!$A$7:$A$37,0)),""))</f>
        <v/>
      </c>
      <c r="M43">
        <f>IF(E42="","",IFERROR(INDEX('04_月間表'!X$7:X$37,MATCH(E42,'04_月間表'!$A$7:$A$37,0)),""))</f>
        <v/>
      </c>
      <c r="N43">
        <f>IF(F42="","",IFERROR(INDEX('04_月間表'!X$7:X$37,MATCH(F42,'04_月間表'!$A$7:$A$37,0)),""))</f>
        <v/>
      </c>
      <c r="O43">
        <f>IF(G42="","",IFERROR(INDEX('04_月間表'!X$7:X$37,MATCH(G42,'04_月間表'!$A$7:$A$37,0)),""))</f>
        <v/>
      </c>
      <c r="P43">
        <f>IF(H42="","",IFERROR(INDEX('04_月間表'!X$7:X$37,MATCH(H42,'04_月間表'!$A$7:$A$37,0)),""))</f>
        <v/>
      </c>
    </row>
    <row r="44" ht="17" customHeight="1">
      <c r="A44" s="24">
        <f>IF(COUNTA('M_部屋'!$A$4:$A$20)&gt;=2,INDEX('M_部屋'!$A$4:$A$20,2),"")</f>
        <v/>
      </c>
      <c r="B44" s="25">
        <f>IF(B42="","",IFERROR(INDEX('04_月間表'!D$7:D$37,MATCH(B42,'04_月間表'!$A$7:$A$37,0)),""))</f>
        <v/>
      </c>
      <c r="C44" s="25">
        <f>IF(C42="","",IFERROR(INDEX('04_月間表'!D$7:D$37,MATCH(C42,'04_月間表'!$A$7:$A$37,0)),""))</f>
        <v/>
      </c>
      <c r="D44" s="25">
        <f>IF(D42="","",IFERROR(INDEX('04_月間表'!D$7:D$37,MATCH(D42,'04_月間表'!$A$7:$A$37,0)),""))</f>
        <v/>
      </c>
      <c r="E44" s="25">
        <f>IF(E42="","",IFERROR(INDEX('04_月間表'!D$7:D$37,MATCH(E42,'04_月間表'!$A$7:$A$37,0)),""))</f>
        <v/>
      </c>
      <c r="F44" s="25">
        <f>IF(F42="","",IFERROR(INDEX('04_月間表'!D$7:D$37,MATCH(F42,'04_月間表'!$A$7:$A$37,0)),""))</f>
        <v/>
      </c>
      <c r="G44" s="25">
        <f>IF(G42="","",IFERROR(INDEX('04_月間表'!D$7:D$37,MATCH(G42,'04_月間表'!$A$7:$A$37,0)),""))</f>
        <v/>
      </c>
      <c r="H44" s="25">
        <f>IF(H42="","",IFERROR(INDEX('04_月間表'!D$7:D$37,MATCH(H42,'04_月間表'!$A$7:$A$37,0)),""))</f>
        <v/>
      </c>
      <c r="J44">
        <f>IF(B42="","",IFERROR(INDEX('04_月間表'!Y$7:Y$37,MATCH(B42,'04_月間表'!$A$7:$A$37,0)),""))</f>
        <v/>
      </c>
      <c r="K44">
        <f>IF(C42="","",IFERROR(INDEX('04_月間表'!Y$7:Y$37,MATCH(C42,'04_月間表'!$A$7:$A$37,0)),""))</f>
        <v/>
      </c>
      <c r="L44">
        <f>IF(D42="","",IFERROR(INDEX('04_月間表'!Y$7:Y$37,MATCH(D42,'04_月間表'!$A$7:$A$37,0)),""))</f>
        <v/>
      </c>
      <c r="M44">
        <f>IF(E42="","",IFERROR(INDEX('04_月間表'!Y$7:Y$37,MATCH(E42,'04_月間表'!$A$7:$A$37,0)),""))</f>
        <v/>
      </c>
      <c r="N44">
        <f>IF(F42="","",IFERROR(INDEX('04_月間表'!Y$7:Y$37,MATCH(F42,'04_月間表'!$A$7:$A$37,0)),""))</f>
        <v/>
      </c>
      <c r="O44">
        <f>IF(G42="","",IFERROR(INDEX('04_月間表'!Y$7:Y$37,MATCH(G42,'04_月間表'!$A$7:$A$37,0)),""))</f>
        <v/>
      </c>
      <c r="P44">
        <f>IF(H42="","",IFERROR(INDEX('04_月間表'!Y$7:Y$37,MATCH(H42,'04_月間表'!$A$7:$A$37,0)),""))</f>
        <v/>
      </c>
    </row>
    <row r="45" ht="17" customHeight="1">
      <c r="A45" s="24">
        <f>IF(COUNTA('M_部屋'!$A$4:$A$20)&gt;=3,INDEX('M_部屋'!$A$4:$A$20,3),"")</f>
        <v/>
      </c>
      <c r="B45" s="25">
        <f>IF(B42="","",IFERROR(INDEX('04_月間表'!E$7:E$37,MATCH(B42,'04_月間表'!$A$7:$A$37,0)),""))</f>
        <v/>
      </c>
      <c r="C45" s="25">
        <f>IF(C42="","",IFERROR(INDEX('04_月間表'!E$7:E$37,MATCH(C42,'04_月間表'!$A$7:$A$37,0)),""))</f>
        <v/>
      </c>
      <c r="D45" s="25">
        <f>IF(D42="","",IFERROR(INDEX('04_月間表'!E$7:E$37,MATCH(D42,'04_月間表'!$A$7:$A$37,0)),""))</f>
        <v/>
      </c>
      <c r="E45" s="25">
        <f>IF(E42="","",IFERROR(INDEX('04_月間表'!E$7:E$37,MATCH(E42,'04_月間表'!$A$7:$A$37,0)),""))</f>
        <v/>
      </c>
      <c r="F45" s="25">
        <f>IF(F42="","",IFERROR(INDEX('04_月間表'!E$7:E$37,MATCH(F42,'04_月間表'!$A$7:$A$37,0)),""))</f>
        <v/>
      </c>
      <c r="G45" s="25">
        <f>IF(G42="","",IFERROR(INDEX('04_月間表'!E$7:E$37,MATCH(G42,'04_月間表'!$A$7:$A$37,0)),""))</f>
        <v/>
      </c>
      <c r="H45" s="25">
        <f>IF(H42="","",IFERROR(INDEX('04_月間表'!E$7:E$37,MATCH(H42,'04_月間表'!$A$7:$A$37,0)),""))</f>
        <v/>
      </c>
      <c r="J45">
        <f>IF(B42="","",IFERROR(INDEX('04_月間表'!Z$7:Z$37,MATCH(B42,'04_月間表'!$A$7:$A$37,0)),""))</f>
        <v/>
      </c>
      <c r="K45">
        <f>IF(C42="","",IFERROR(INDEX('04_月間表'!Z$7:Z$37,MATCH(C42,'04_月間表'!$A$7:$A$37,0)),""))</f>
        <v/>
      </c>
      <c r="L45">
        <f>IF(D42="","",IFERROR(INDEX('04_月間表'!Z$7:Z$37,MATCH(D42,'04_月間表'!$A$7:$A$37,0)),""))</f>
        <v/>
      </c>
      <c r="M45">
        <f>IF(E42="","",IFERROR(INDEX('04_月間表'!Z$7:Z$37,MATCH(E42,'04_月間表'!$A$7:$A$37,0)),""))</f>
        <v/>
      </c>
      <c r="N45">
        <f>IF(F42="","",IFERROR(INDEX('04_月間表'!Z$7:Z$37,MATCH(F42,'04_月間表'!$A$7:$A$37,0)),""))</f>
        <v/>
      </c>
      <c r="O45">
        <f>IF(G42="","",IFERROR(INDEX('04_月間表'!Z$7:Z$37,MATCH(G42,'04_月間表'!$A$7:$A$37,0)),""))</f>
        <v/>
      </c>
      <c r="P45">
        <f>IF(H42="","",IFERROR(INDEX('04_月間表'!Z$7:Z$37,MATCH(H42,'04_月間表'!$A$7:$A$37,0)),""))</f>
        <v/>
      </c>
    </row>
    <row r="46" ht="17" customHeight="1">
      <c r="A46" s="24">
        <f>IF(COUNTA('M_部屋'!$A$4:$A$20)&gt;=4,INDEX('M_部屋'!$A$4:$A$20,4),"")</f>
        <v/>
      </c>
      <c r="B46" s="25">
        <f>IF(B42="","",IFERROR(INDEX('04_月間表'!F$7:F$37,MATCH(B42,'04_月間表'!$A$7:$A$37,0)),""))</f>
        <v/>
      </c>
      <c r="C46" s="25">
        <f>IF(C42="","",IFERROR(INDEX('04_月間表'!F$7:F$37,MATCH(C42,'04_月間表'!$A$7:$A$37,0)),""))</f>
        <v/>
      </c>
      <c r="D46" s="25">
        <f>IF(D42="","",IFERROR(INDEX('04_月間表'!F$7:F$37,MATCH(D42,'04_月間表'!$A$7:$A$37,0)),""))</f>
        <v/>
      </c>
      <c r="E46" s="25">
        <f>IF(E42="","",IFERROR(INDEX('04_月間表'!F$7:F$37,MATCH(E42,'04_月間表'!$A$7:$A$37,0)),""))</f>
        <v/>
      </c>
      <c r="F46" s="25">
        <f>IF(F42="","",IFERROR(INDEX('04_月間表'!F$7:F$37,MATCH(F42,'04_月間表'!$A$7:$A$37,0)),""))</f>
        <v/>
      </c>
      <c r="G46" s="25">
        <f>IF(G42="","",IFERROR(INDEX('04_月間表'!F$7:F$37,MATCH(G42,'04_月間表'!$A$7:$A$37,0)),""))</f>
        <v/>
      </c>
      <c r="H46" s="25">
        <f>IF(H42="","",IFERROR(INDEX('04_月間表'!F$7:F$37,MATCH(H42,'04_月間表'!$A$7:$A$37,0)),""))</f>
        <v/>
      </c>
      <c r="J46">
        <f>IF(B42="","",IFERROR(INDEX('04_月間表'!AA$7:AA$37,MATCH(B42,'04_月間表'!$A$7:$A$37,0)),""))</f>
        <v/>
      </c>
      <c r="K46">
        <f>IF(C42="","",IFERROR(INDEX('04_月間表'!AA$7:AA$37,MATCH(C42,'04_月間表'!$A$7:$A$37,0)),""))</f>
        <v/>
      </c>
      <c r="L46">
        <f>IF(D42="","",IFERROR(INDEX('04_月間表'!AA$7:AA$37,MATCH(D42,'04_月間表'!$A$7:$A$37,0)),""))</f>
        <v/>
      </c>
      <c r="M46">
        <f>IF(E42="","",IFERROR(INDEX('04_月間表'!AA$7:AA$37,MATCH(E42,'04_月間表'!$A$7:$A$37,0)),""))</f>
        <v/>
      </c>
      <c r="N46">
        <f>IF(F42="","",IFERROR(INDEX('04_月間表'!AA$7:AA$37,MATCH(F42,'04_月間表'!$A$7:$A$37,0)),""))</f>
        <v/>
      </c>
      <c r="O46">
        <f>IF(G42="","",IFERROR(INDEX('04_月間表'!AA$7:AA$37,MATCH(G42,'04_月間表'!$A$7:$A$37,0)),""))</f>
        <v/>
      </c>
      <c r="P46">
        <f>IF(H42="","",IFERROR(INDEX('04_月間表'!AA$7:AA$37,MATCH(H42,'04_月間表'!$A$7:$A$37,0)),""))</f>
        <v/>
      </c>
    </row>
    <row r="47" ht="19" customHeight="1">
      <c r="A47" s="24" t="inlineStr">
        <is>
          <t>空き</t>
        </is>
      </c>
      <c r="B47" s="26">
        <f>IF(B42="","",IFERROR(INDEX('04_月間表'!$J$7:$J$37,MATCH(B42,'04_月間表'!$A$7:$A$37,0)),""))</f>
        <v/>
      </c>
      <c r="C47" s="26">
        <f>IF(C42="","",IFERROR(INDEX('04_月間表'!$J$7:$J$37,MATCH(C42,'04_月間表'!$A$7:$A$37,0)),""))</f>
        <v/>
      </c>
      <c r="D47" s="26">
        <f>IF(D42="","",IFERROR(INDEX('04_月間表'!$J$7:$J$37,MATCH(D42,'04_月間表'!$A$7:$A$37,0)),""))</f>
        <v/>
      </c>
      <c r="E47" s="26">
        <f>IF(E42="","",IFERROR(INDEX('04_月間表'!$J$7:$J$37,MATCH(E42,'04_月間表'!$A$7:$A$37,0)),""))</f>
        <v/>
      </c>
      <c r="F47" s="26">
        <f>IF(F42="","",IFERROR(INDEX('04_月間表'!$J$7:$J$37,MATCH(F42,'04_月間表'!$A$7:$A$37,0)),""))</f>
        <v/>
      </c>
      <c r="G47" s="26">
        <f>IF(G42="","",IFERROR(INDEX('04_月間表'!$J$7:$J$37,MATCH(G42,'04_月間表'!$A$7:$A$37,0)),""))</f>
        <v/>
      </c>
      <c r="H47" s="26">
        <f>IF(H42="","",IFERROR(INDEX('04_月間表'!$J$7:$J$37,MATCH(H42,'04_月間表'!$A$7:$A$37,0)),""))</f>
        <v/>
      </c>
    </row>
    <row r="49">
      <c r="A49" s="2" t="inlineStr">
        <is>
          <t>※ 1〜2室の施設では、使わない部屋の行（部屋名が空欄の行）を6週ぶんまとめて選択し、右クリック→非表示 にしてください。数式を消す必要はありません。</t>
        </is>
      </c>
    </row>
    <row r="50">
      <c r="A50" s="2" t="inlineStr">
        <is>
          <t>※ J〜P列は色分け用の隠し列です。表示しても構いませんが、編集しないでください。</t>
        </is>
      </c>
    </row>
    <row r="51">
      <c r="A51" s="2" t="inlineStr">
        <is>
          <t>※ 退所日に名前が出ていても、その日の夜は空いています（「空き」行の記号が正です）。</t>
        </is>
      </c>
    </row>
  </sheetData>
  <conditionalFormatting sqref="B7:H47">
    <cfRule type="expression" priority="1" dxfId="4" stopIfTrue="1">
      <formula>AND(B7&lt;&gt;"",J7="仮")</formula>
    </cfRule>
    <cfRule type="expression" priority="2" dxfId="5" stopIfTrue="1">
      <formula>AND(B7&lt;&gt;"",'M_区分'!$A$4&lt;&gt;"",J7='M_区分'!$A$4)</formula>
    </cfRule>
    <cfRule type="expression" priority="3" dxfId="6" stopIfTrue="1">
      <formula>AND(B7&lt;&gt;"",'M_区分'!$A$5&lt;&gt;"",J7='M_区分'!$A$5)</formula>
    </cfRule>
    <cfRule type="expression" priority="4" dxfId="7" stopIfTrue="1">
      <formula>AND(B7&lt;&gt;"",'M_区分'!$A$6&lt;&gt;"",J7='M_区分'!$A$6)</formula>
    </cfRule>
    <cfRule type="expression" priority="5" dxfId="8" stopIfTrue="1">
      <formula>AND(B7&lt;&gt;"",'M_区分'!$A$7&lt;&gt;"",J7='M_区分'!$A$7)</formula>
    </cfRule>
  </conditionalFormatting>
  <conditionalFormatting sqref="B12:H12">
    <cfRule type="expression" priority="6" dxfId="1">
      <formula>B12="×"</formula>
    </cfRule>
    <cfRule type="expression" priority="7" dxfId="2">
      <formula>B12="△"</formula>
    </cfRule>
    <cfRule type="expression" priority="8" dxfId="3">
      <formula>B12="仮"</formula>
    </cfRule>
    <cfRule type="expression" priority="9" dxfId="9">
      <formula>B12="○"</formula>
    </cfRule>
  </conditionalFormatting>
  <conditionalFormatting sqref="B19:H19">
    <cfRule type="expression" priority="10" dxfId="1">
      <formula>B19="×"</formula>
    </cfRule>
    <cfRule type="expression" priority="11" dxfId="2">
      <formula>B19="△"</formula>
    </cfRule>
    <cfRule type="expression" priority="12" dxfId="3">
      <formula>B19="仮"</formula>
    </cfRule>
    <cfRule type="expression" priority="13" dxfId="9">
      <formula>B19="○"</formula>
    </cfRule>
  </conditionalFormatting>
  <conditionalFormatting sqref="B26:H26">
    <cfRule type="expression" priority="14" dxfId="1">
      <formula>B26="×"</formula>
    </cfRule>
    <cfRule type="expression" priority="15" dxfId="2">
      <formula>B26="△"</formula>
    </cfRule>
    <cfRule type="expression" priority="16" dxfId="3">
      <formula>B26="仮"</formula>
    </cfRule>
    <cfRule type="expression" priority="17" dxfId="9">
      <formula>B26="○"</formula>
    </cfRule>
  </conditionalFormatting>
  <conditionalFormatting sqref="B33:H33">
    <cfRule type="expression" priority="18" dxfId="1">
      <formula>B33="×"</formula>
    </cfRule>
    <cfRule type="expression" priority="19" dxfId="2">
      <formula>B33="△"</formula>
    </cfRule>
    <cfRule type="expression" priority="20" dxfId="3">
      <formula>B33="仮"</formula>
    </cfRule>
    <cfRule type="expression" priority="21" dxfId="9">
      <formula>B33="○"</formula>
    </cfRule>
  </conditionalFormatting>
  <conditionalFormatting sqref="B40:H40">
    <cfRule type="expression" priority="22" dxfId="1">
      <formula>B40="×"</formula>
    </cfRule>
    <cfRule type="expression" priority="23" dxfId="2">
      <formula>B40="△"</formula>
    </cfRule>
    <cfRule type="expression" priority="24" dxfId="3">
      <formula>B40="仮"</formula>
    </cfRule>
    <cfRule type="expression" priority="25" dxfId="9">
      <formula>B40="○"</formula>
    </cfRule>
  </conditionalFormatting>
  <conditionalFormatting sqref="B47:H47">
    <cfRule type="expression" priority="26" dxfId="1">
      <formula>B47="×"</formula>
    </cfRule>
    <cfRule type="expression" priority="27" dxfId="2">
      <formula>B47="△"</formula>
    </cfRule>
    <cfRule type="expression" priority="28" dxfId="3">
      <formula>B47="仮"</formula>
    </cfRule>
    <cfRule type="expression" priority="29" dxfId="9">
      <formula>B47="○"</formula>
    </cfRule>
  </conditionalFormatting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T3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.1" customWidth="1" min="2" max="2"/>
    <col width="3.1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3.1" customWidth="1" min="20" max="20"/>
    <col width="3.1" customWidth="1" min="21" max="21"/>
    <col width="3.1" customWidth="1" min="22" max="22"/>
    <col width="3.1" customWidth="1" min="23" max="23"/>
    <col width="3.1" customWidth="1" min="24" max="24"/>
    <col width="3.1" customWidth="1" min="25" max="25"/>
    <col width="3.1" customWidth="1" min="26" max="26"/>
    <col width="3.1" customWidth="1" min="27" max="27"/>
    <col width="3.1" customWidth="1" min="28" max="28"/>
    <col width="3.1" customWidth="1" min="29" max="29"/>
    <col width="3.1" customWidth="1" min="30" max="30"/>
    <col width="3.1" customWidth="1" min="31" max="31"/>
    <col width="3.1" customWidth="1" min="32" max="32"/>
    <col width="10" customWidth="1" min="33" max="33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</cols>
  <sheetData>
    <row r="1">
      <c r="A1" s="1" t="inlineStr">
        <is>
          <t>帯表（だれが・いつから・いつまで）</t>
        </is>
      </c>
    </row>
    <row r="2">
      <c r="A2" s="2" t="inlineStr">
        <is>
          <t>1人1行、横軸が1〜31日。▶入所　■連泊　◀退所　◆日帰り。白抜き（▷□◁◇）は仮予約・調整中です。</t>
        </is>
      </c>
    </row>
    <row r="3">
      <c r="A3" s="12" t="inlineStr">
        <is>
          <t>対象月</t>
        </is>
      </c>
      <c r="B3" s="14">
        <f>'02_カレンダー'!$B$4</f>
        <v/>
      </c>
      <c r="C3" s="2" t="inlineStr">
        <is>
          <t>02_カレンダー の対象月に連動します</t>
        </is>
      </c>
    </row>
    <row r="4" hidden="1">
      <c r="A4" s="24" t="inlineStr">
        <is>
          <t>日付</t>
        </is>
      </c>
      <c r="B4">
        <f>IF(MONTH('02_カレンダー'!$B$4+0)&lt;&gt;MONTH('02_カレンダー'!$B$4),"",'02_カレンダー'!$B$4+0)</f>
        <v/>
      </c>
      <c r="C4">
        <f>IF(MONTH('02_カレンダー'!$B$4+1)&lt;&gt;MONTH('02_カレンダー'!$B$4),"",'02_カレンダー'!$B$4+1)</f>
        <v/>
      </c>
      <c r="D4">
        <f>IF(MONTH('02_カレンダー'!$B$4+2)&lt;&gt;MONTH('02_カレンダー'!$B$4),"",'02_カレンダー'!$B$4+2)</f>
        <v/>
      </c>
      <c r="E4">
        <f>IF(MONTH('02_カレンダー'!$B$4+3)&lt;&gt;MONTH('02_カレンダー'!$B$4),"",'02_カレンダー'!$B$4+3)</f>
        <v/>
      </c>
      <c r="F4">
        <f>IF(MONTH('02_カレンダー'!$B$4+4)&lt;&gt;MONTH('02_カレンダー'!$B$4),"",'02_カレンダー'!$B$4+4)</f>
        <v/>
      </c>
      <c r="G4">
        <f>IF(MONTH('02_カレンダー'!$B$4+5)&lt;&gt;MONTH('02_カレンダー'!$B$4),"",'02_カレンダー'!$B$4+5)</f>
        <v/>
      </c>
      <c r="H4">
        <f>IF(MONTH('02_カレンダー'!$B$4+6)&lt;&gt;MONTH('02_カレンダー'!$B$4),"",'02_カレンダー'!$B$4+6)</f>
        <v/>
      </c>
      <c r="I4">
        <f>IF(MONTH('02_カレンダー'!$B$4+7)&lt;&gt;MONTH('02_カレンダー'!$B$4),"",'02_カレンダー'!$B$4+7)</f>
        <v/>
      </c>
      <c r="J4">
        <f>IF(MONTH('02_カレンダー'!$B$4+8)&lt;&gt;MONTH('02_カレンダー'!$B$4),"",'02_カレンダー'!$B$4+8)</f>
        <v/>
      </c>
      <c r="K4">
        <f>IF(MONTH('02_カレンダー'!$B$4+9)&lt;&gt;MONTH('02_カレンダー'!$B$4),"",'02_カレンダー'!$B$4+9)</f>
        <v/>
      </c>
      <c r="L4">
        <f>IF(MONTH('02_カレンダー'!$B$4+10)&lt;&gt;MONTH('02_カレンダー'!$B$4),"",'02_カレンダー'!$B$4+10)</f>
        <v/>
      </c>
      <c r="M4">
        <f>IF(MONTH('02_カレンダー'!$B$4+11)&lt;&gt;MONTH('02_カレンダー'!$B$4),"",'02_カレンダー'!$B$4+11)</f>
        <v/>
      </c>
      <c r="N4">
        <f>IF(MONTH('02_カレンダー'!$B$4+12)&lt;&gt;MONTH('02_カレンダー'!$B$4),"",'02_カレンダー'!$B$4+12)</f>
        <v/>
      </c>
      <c r="O4">
        <f>IF(MONTH('02_カレンダー'!$B$4+13)&lt;&gt;MONTH('02_カレンダー'!$B$4),"",'02_カレンダー'!$B$4+13)</f>
        <v/>
      </c>
      <c r="P4">
        <f>IF(MONTH('02_カレンダー'!$B$4+14)&lt;&gt;MONTH('02_カレンダー'!$B$4),"",'02_カレンダー'!$B$4+14)</f>
        <v/>
      </c>
      <c r="Q4">
        <f>IF(MONTH('02_カレンダー'!$B$4+15)&lt;&gt;MONTH('02_カレンダー'!$B$4),"",'02_カレンダー'!$B$4+15)</f>
        <v/>
      </c>
      <c r="R4">
        <f>IF(MONTH('02_カレンダー'!$B$4+16)&lt;&gt;MONTH('02_カレンダー'!$B$4),"",'02_カレンダー'!$B$4+16)</f>
        <v/>
      </c>
      <c r="S4">
        <f>IF(MONTH('02_カレンダー'!$B$4+17)&lt;&gt;MONTH('02_カレンダー'!$B$4),"",'02_カレンダー'!$B$4+17)</f>
        <v/>
      </c>
      <c r="T4">
        <f>IF(MONTH('02_カレンダー'!$B$4+18)&lt;&gt;MONTH('02_カレンダー'!$B$4),"",'02_カレンダー'!$B$4+18)</f>
        <v/>
      </c>
      <c r="U4">
        <f>IF(MONTH('02_カレンダー'!$B$4+19)&lt;&gt;MONTH('02_カレンダー'!$B$4),"",'02_カレンダー'!$B$4+19)</f>
        <v/>
      </c>
      <c r="V4">
        <f>IF(MONTH('02_カレンダー'!$B$4+20)&lt;&gt;MONTH('02_カレンダー'!$B$4),"",'02_カレンダー'!$B$4+20)</f>
        <v/>
      </c>
      <c r="W4">
        <f>IF(MONTH('02_カレンダー'!$B$4+21)&lt;&gt;MONTH('02_カレンダー'!$B$4),"",'02_カレンダー'!$B$4+21)</f>
        <v/>
      </c>
      <c r="X4">
        <f>IF(MONTH('02_カレンダー'!$B$4+22)&lt;&gt;MONTH('02_カレンダー'!$B$4),"",'02_カレンダー'!$B$4+22)</f>
        <v/>
      </c>
      <c r="Y4">
        <f>IF(MONTH('02_カレンダー'!$B$4+23)&lt;&gt;MONTH('02_カレンダー'!$B$4),"",'02_カレンダー'!$B$4+23)</f>
        <v/>
      </c>
      <c r="Z4">
        <f>IF(MONTH('02_カレンダー'!$B$4+24)&lt;&gt;MONTH('02_カレンダー'!$B$4),"",'02_カレンダー'!$B$4+24)</f>
        <v/>
      </c>
      <c r="AA4">
        <f>IF(MONTH('02_カレンダー'!$B$4+25)&lt;&gt;MONTH('02_カレンダー'!$B$4),"",'02_カレンダー'!$B$4+25)</f>
        <v/>
      </c>
      <c r="AB4">
        <f>IF(MONTH('02_カレンダー'!$B$4+26)&lt;&gt;MONTH('02_カレンダー'!$B$4),"",'02_カレンダー'!$B$4+26)</f>
        <v/>
      </c>
      <c r="AC4">
        <f>IF(MONTH('02_カレンダー'!$B$4+27)&lt;&gt;MONTH('02_カレンダー'!$B$4),"",'02_カレンダー'!$B$4+27)</f>
        <v/>
      </c>
      <c r="AD4">
        <f>IF(MONTH('02_カレンダー'!$B$4+28)&lt;&gt;MONTH('02_カレンダー'!$B$4),"",'02_カレンダー'!$B$4+28)</f>
        <v/>
      </c>
      <c r="AE4">
        <f>IF(MONTH('02_カレンダー'!$B$4+29)&lt;&gt;MONTH('02_カレンダー'!$B$4),"",'02_カレンダー'!$B$4+29)</f>
        <v/>
      </c>
      <c r="AF4">
        <f>IF(MONTH('02_カレンダー'!$B$4+30)&lt;&gt;MONTH('02_カレンダー'!$B$4),"",'02_カレンダー'!$B$4+30)</f>
        <v/>
      </c>
    </row>
    <row r="5">
      <c r="A5" s="24" t="inlineStr">
        <is>
          <t>日</t>
        </is>
      </c>
      <c r="B5" s="27">
        <f>IF(B4="","",DAY(B4))</f>
        <v/>
      </c>
      <c r="C5" s="27">
        <f>IF(C4="","",DAY(C4))</f>
        <v/>
      </c>
      <c r="D5" s="27">
        <f>IF(D4="","",DAY(D4))</f>
        <v/>
      </c>
      <c r="E5" s="27">
        <f>IF(E4="","",DAY(E4))</f>
        <v/>
      </c>
      <c r="F5" s="27">
        <f>IF(F4="","",DAY(F4))</f>
        <v/>
      </c>
      <c r="G5" s="27">
        <f>IF(G4="","",DAY(G4))</f>
        <v/>
      </c>
      <c r="H5" s="27">
        <f>IF(H4="","",DAY(H4))</f>
        <v/>
      </c>
      <c r="I5" s="27">
        <f>IF(I4="","",DAY(I4))</f>
        <v/>
      </c>
      <c r="J5" s="27">
        <f>IF(J4="","",DAY(J4))</f>
        <v/>
      </c>
      <c r="K5" s="27">
        <f>IF(K4="","",DAY(K4))</f>
        <v/>
      </c>
      <c r="L5" s="27">
        <f>IF(L4="","",DAY(L4))</f>
        <v/>
      </c>
      <c r="M5" s="27">
        <f>IF(M4="","",DAY(M4))</f>
        <v/>
      </c>
      <c r="N5" s="27">
        <f>IF(N4="","",DAY(N4))</f>
        <v/>
      </c>
      <c r="O5" s="27">
        <f>IF(O4="","",DAY(O4))</f>
        <v/>
      </c>
      <c r="P5" s="27">
        <f>IF(P4="","",DAY(P4))</f>
        <v/>
      </c>
      <c r="Q5" s="27">
        <f>IF(Q4="","",DAY(Q4))</f>
        <v/>
      </c>
      <c r="R5" s="27">
        <f>IF(R4="","",DAY(R4))</f>
        <v/>
      </c>
      <c r="S5" s="27">
        <f>IF(S4="","",DAY(S4))</f>
        <v/>
      </c>
      <c r="T5" s="27">
        <f>IF(T4="","",DAY(T4))</f>
        <v/>
      </c>
      <c r="U5" s="27">
        <f>IF(U4="","",DAY(U4))</f>
        <v/>
      </c>
      <c r="V5" s="27">
        <f>IF(V4="","",DAY(V4))</f>
        <v/>
      </c>
      <c r="W5" s="27">
        <f>IF(W4="","",DAY(W4))</f>
        <v/>
      </c>
      <c r="X5" s="27">
        <f>IF(X4="","",DAY(X4))</f>
        <v/>
      </c>
      <c r="Y5" s="27">
        <f>IF(Y4="","",DAY(Y4))</f>
        <v/>
      </c>
      <c r="Z5" s="27">
        <f>IF(Z4="","",DAY(Z4))</f>
        <v/>
      </c>
      <c r="AA5" s="27">
        <f>IF(AA4="","",DAY(AA4))</f>
        <v/>
      </c>
      <c r="AB5" s="27">
        <f>IF(AB4="","",DAY(AB4))</f>
        <v/>
      </c>
      <c r="AC5" s="27">
        <f>IF(AC4="","",DAY(AC4))</f>
        <v/>
      </c>
      <c r="AD5" s="27">
        <f>IF(AD4="","",DAY(AD4))</f>
        <v/>
      </c>
      <c r="AE5" s="27">
        <f>IF(AE4="","",DAY(AE4))</f>
        <v/>
      </c>
      <c r="AF5" s="27">
        <f>IF(AF4="","",DAY(AF4))</f>
        <v/>
      </c>
      <c r="AG5" s="24" t="inlineStr">
        <is>
          <t>当月</t>
        </is>
      </c>
    </row>
    <row r="6">
      <c r="A6" s="24" t="inlineStr">
        <is>
          <t>曜日</t>
        </is>
      </c>
      <c r="B6" s="28">
        <f>IF(B4="","",MID("日月火水木金土",WEEKDAY(B4),1))</f>
        <v/>
      </c>
      <c r="C6" s="28">
        <f>IF(C4="","",MID("日月火水木金土",WEEKDAY(C4),1))</f>
        <v/>
      </c>
      <c r="D6" s="28">
        <f>IF(D4="","",MID("日月火水木金土",WEEKDAY(D4),1))</f>
        <v/>
      </c>
      <c r="E6" s="28">
        <f>IF(E4="","",MID("日月火水木金土",WEEKDAY(E4),1))</f>
        <v/>
      </c>
      <c r="F6" s="28">
        <f>IF(F4="","",MID("日月火水木金土",WEEKDAY(F4),1))</f>
        <v/>
      </c>
      <c r="G6" s="28">
        <f>IF(G4="","",MID("日月火水木金土",WEEKDAY(G4),1))</f>
        <v/>
      </c>
      <c r="H6" s="28">
        <f>IF(H4="","",MID("日月火水木金土",WEEKDAY(H4),1))</f>
        <v/>
      </c>
      <c r="I6" s="28">
        <f>IF(I4="","",MID("日月火水木金土",WEEKDAY(I4),1))</f>
        <v/>
      </c>
      <c r="J6" s="28">
        <f>IF(J4="","",MID("日月火水木金土",WEEKDAY(J4),1))</f>
        <v/>
      </c>
      <c r="K6" s="28">
        <f>IF(K4="","",MID("日月火水木金土",WEEKDAY(K4),1))</f>
        <v/>
      </c>
      <c r="L6" s="28">
        <f>IF(L4="","",MID("日月火水木金土",WEEKDAY(L4),1))</f>
        <v/>
      </c>
      <c r="M6" s="28">
        <f>IF(M4="","",MID("日月火水木金土",WEEKDAY(M4),1))</f>
        <v/>
      </c>
      <c r="N6" s="28">
        <f>IF(N4="","",MID("日月火水木金土",WEEKDAY(N4),1))</f>
        <v/>
      </c>
      <c r="O6" s="28">
        <f>IF(O4="","",MID("日月火水木金土",WEEKDAY(O4),1))</f>
        <v/>
      </c>
      <c r="P6" s="28">
        <f>IF(P4="","",MID("日月火水木金土",WEEKDAY(P4),1))</f>
        <v/>
      </c>
      <c r="Q6" s="28">
        <f>IF(Q4="","",MID("日月火水木金土",WEEKDAY(Q4),1))</f>
        <v/>
      </c>
      <c r="R6" s="28">
        <f>IF(R4="","",MID("日月火水木金土",WEEKDAY(R4),1))</f>
        <v/>
      </c>
      <c r="S6" s="28">
        <f>IF(S4="","",MID("日月火水木金土",WEEKDAY(S4),1))</f>
        <v/>
      </c>
      <c r="T6" s="28">
        <f>IF(T4="","",MID("日月火水木金土",WEEKDAY(T4),1))</f>
        <v/>
      </c>
      <c r="U6" s="28">
        <f>IF(U4="","",MID("日月火水木金土",WEEKDAY(U4),1))</f>
        <v/>
      </c>
      <c r="V6" s="28">
        <f>IF(V4="","",MID("日月火水木金土",WEEKDAY(V4),1))</f>
        <v/>
      </c>
      <c r="W6" s="28">
        <f>IF(W4="","",MID("日月火水木金土",WEEKDAY(W4),1))</f>
        <v/>
      </c>
      <c r="X6" s="28">
        <f>IF(X4="","",MID("日月火水木金土",WEEKDAY(X4),1))</f>
        <v/>
      </c>
      <c r="Y6" s="28">
        <f>IF(Y4="","",MID("日月火水木金土",WEEKDAY(Y4),1))</f>
        <v/>
      </c>
      <c r="Z6" s="28">
        <f>IF(Z4="","",MID("日月火水木金土",WEEKDAY(Z4),1))</f>
        <v/>
      </c>
      <c r="AA6" s="28">
        <f>IF(AA4="","",MID("日月火水木金土",WEEKDAY(AA4),1))</f>
        <v/>
      </c>
      <c r="AB6" s="28">
        <f>IF(AB4="","",MID("日月火水木金土",WEEKDAY(AB4),1))</f>
        <v/>
      </c>
      <c r="AC6" s="28">
        <f>IF(AC4="","",MID("日月火水木金土",WEEKDAY(AC4),1))</f>
        <v/>
      </c>
      <c r="AD6" s="28">
        <f>IF(AD4="","",MID("日月火水木金土",WEEKDAY(AD4),1))</f>
        <v/>
      </c>
      <c r="AE6" s="28">
        <f>IF(AE4="","",MID("日月火水木金土",WEEKDAY(AE4),1))</f>
        <v/>
      </c>
      <c r="AF6" s="28">
        <f>IF(AF4="","",MID("日月火水木金土",WEEKDAY(AF4),1))</f>
        <v/>
      </c>
      <c r="AG6" s="24" t="inlineStr">
        <is>
          <t>利用日数</t>
        </is>
      </c>
    </row>
    <row r="7">
      <c r="A7" s="29">
        <f>IF(COUNTA('M_利用者'!$A$4:$A$60)&gt;=1,INDEX('M_利用者'!$A$4:$A$60,1),"")</f>
        <v/>
      </c>
      <c r="B7" s="30">
        <f>IF($AP7=0,"",IF(MOD($AP7,8)=7,IF($AP7&gt;=8,"◇","◆"),IF(MOD($AP7,8)=3,IF($AP7&gt;=8,"▷","▶"),IF(MOD($AP7,8)=5,IF($AP7&gt;=8,"◁","◀"),IF($AP7&gt;=8,"□","■")))))</f>
        <v/>
      </c>
      <c r="C7" s="30">
        <f>IF($AQ7=0,"",IF(MOD($AQ7,8)=7,IF($AQ7&gt;=8,"◇","◆"),IF(MOD($AQ7,8)=3,IF($AQ7&gt;=8,"▷","▶"),IF(MOD($AQ7,8)=5,IF($AQ7&gt;=8,"◁","◀"),IF($AQ7&gt;=8,"□","■")))))</f>
        <v/>
      </c>
      <c r="D7" s="30">
        <f>IF($AR7=0,"",IF(MOD($AR7,8)=7,IF($AR7&gt;=8,"◇","◆"),IF(MOD($AR7,8)=3,IF($AR7&gt;=8,"▷","▶"),IF(MOD($AR7,8)=5,IF($AR7&gt;=8,"◁","◀"),IF($AR7&gt;=8,"□","■")))))</f>
        <v/>
      </c>
      <c r="E7" s="30">
        <f>IF($AS7=0,"",IF(MOD($AS7,8)=7,IF($AS7&gt;=8,"◇","◆"),IF(MOD($AS7,8)=3,IF($AS7&gt;=8,"▷","▶"),IF(MOD($AS7,8)=5,IF($AS7&gt;=8,"◁","◀"),IF($AS7&gt;=8,"□","■")))))</f>
        <v/>
      </c>
      <c r="F7" s="30">
        <f>IF($AT7=0,"",IF(MOD($AT7,8)=7,IF($AT7&gt;=8,"◇","◆"),IF(MOD($AT7,8)=3,IF($AT7&gt;=8,"▷","▶"),IF(MOD($AT7,8)=5,IF($AT7&gt;=8,"◁","◀"),IF($AT7&gt;=8,"□","■")))))</f>
        <v/>
      </c>
      <c r="G7" s="30">
        <f>IF($AU7=0,"",IF(MOD($AU7,8)=7,IF($AU7&gt;=8,"◇","◆"),IF(MOD($AU7,8)=3,IF($AU7&gt;=8,"▷","▶"),IF(MOD($AU7,8)=5,IF($AU7&gt;=8,"◁","◀"),IF($AU7&gt;=8,"□","■")))))</f>
        <v/>
      </c>
      <c r="H7" s="30">
        <f>IF($AV7=0,"",IF(MOD($AV7,8)=7,IF($AV7&gt;=8,"◇","◆"),IF(MOD($AV7,8)=3,IF($AV7&gt;=8,"▷","▶"),IF(MOD($AV7,8)=5,IF($AV7&gt;=8,"◁","◀"),IF($AV7&gt;=8,"□","■")))))</f>
        <v/>
      </c>
      <c r="I7" s="30">
        <f>IF($AW7=0,"",IF(MOD($AW7,8)=7,IF($AW7&gt;=8,"◇","◆"),IF(MOD($AW7,8)=3,IF($AW7&gt;=8,"▷","▶"),IF(MOD($AW7,8)=5,IF($AW7&gt;=8,"◁","◀"),IF($AW7&gt;=8,"□","■")))))</f>
        <v/>
      </c>
      <c r="J7" s="30">
        <f>IF($AX7=0,"",IF(MOD($AX7,8)=7,IF($AX7&gt;=8,"◇","◆"),IF(MOD($AX7,8)=3,IF($AX7&gt;=8,"▷","▶"),IF(MOD($AX7,8)=5,IF($AX7&gt;=8,"◁","◀"),IF($AX7&gt;=8,"□","■")))))</f>
        <v/>
      </c>
      <c r="K7" s="30">
        <f>IF($AY7=0,"",IF(MOD($AY7,8)=7,IF($AY7&gt;=8,"◇","◆"),IF(MOD($AY7,8)=3,IF($AY7&gt;=8,"▷","▶"),IF(MOD($AY7,8)=5,IF($AY7&gt;=8,"◁","◀"),IF($AY7&gt;=8,"□","■")))))</f>
        <v/>
      </c>
      <c r="L7" s="30">
        <f>IF($AZ7=0,"",IF(MOD($AZ7,8)=7,IF($AZ7&gt;=8,"◇","◆"),IF(MOD($AZ7,8)=3,IF($AZ7&gt;=8,"▷","▶"),IF(MOD($AZ7,8)=5,IF($AZ7&gt;=8,"◁","◀"),IF($AZ7&gt;=8,"□","■")))))</f>
        <v/>
      </c>
      <c r="M7" s="30">
        <f>IF($BA7=0,"",IF(MOD($BA7,8)=7,IF($BA7&gt;=8,"◇","◆"),IF(MOD($BA7,8)=3,IF($BA7&gt;=8,"▷","▶"),IF(MOD($BA7,8)=5,IF($BA7&gt;=8,"◁","◀"),IF($BA7&gt;=8,"□","■")))))</f>
        <v/>
      </c>
      <c r="N7" s="30">
        <f>IF($BB7=0,"",IF(MOD($BB7,8)=7,IF($BB7&gt;=8,"◇","◆"),IF(MOD($BB7,8)=3,IF($BB7&gt;=8,"▷","▶"),IF(MOD($BB7,8)=5,IF($BB7&gt;=8,"◁","◀"),IF($BB7&gt;=8,"□","■")))))</f>
        <v/>
      </c>
      <c r="O7" s="30">
        <f>IF($BC7=0,"",IF(MOD($BC7,8)=7,IF($BC7&gt;=8,"◇","◆"),IF(MOD($BC7,8)=3,IF($BC7&gt;=8,"▷","▶"),IF(MOD($BC7,8)=5,IF($BC7&gt;=8,"◁","◀"),IF($BC7&gt;=8,"□","■")))))</f>
        <v/>
      </c>
      <c r="P7" s="30">
        <f>IF($BD7=0,"",IF(MOD($BD7,8)=7,IF($BD7&gt;=8,"◇","◆"),IF(MOD($BD7,8)=3,IF($BD7&gt;=8,"▷","▶"),IF(MOD($BD7,8)=5,IF($BD7&gt;=8,"◁","◀"),IF($BD7&gt;=8,"□","■")))))</f>
        <v/>
      </c>
      <c r="Q7" s="30">
        <f>IF($BE7=0,"",IF(MOD($BE7,8)=7,IF($BE7&gt;=8,"◇","◆"),IF(MOD($BE7,8)=3,IF($BE7&gt;=8,"▷","▶"),IF(MOD($BE7,8)=5,IF($BE7&gt;=8,"◁","◀"),IF($BE7&gt;=8,"□","■")))))</f>
        <v/>
      </c>
      <c r="R7" s="30">
        <f>IF($BF7=0,"",IF(MOD($BF7,8)=7,IF($BF7&gt;=8,"◇","◆"),IF(MOD($BF7,8)=3,IF($BF7&gt;=8,"▷","▶"),IF(MOD($BF7,8)=5,IF($BF7&gt;=8,"◁","◀"),IF($BF7&gt;=8,"□","■")))))</f>
        <v/>
      </c>
      <c r="S7" s="30">
        <f>IF($BG7=0,"",IF(MOD($BG7,8)=7,IF($BG7&gt;=8,"◇","◆"),IF(MOD($BG7,8)=3,IF($BG7&gt;=8,"▷","▶"),IF(MOD($BG7,8)=5,IF($BG7&gt;=8,"◁","◀"),IF($BG7&gt;=8,"□","■")))))</f>
        <v/>
      </c>
      <c r="T7" s="30">
        <f>IF($BH7=0,"",IF(MOD($BH7,8)=7,IF($BH7&gt;=8,"◇","◆"),IF(MOD($BH7,8)=3,IF($BH7&gt;=8,"▷","▶"),IF(MOD($BH7,8)=5,IF($BH7&gt;=8,"◁","◀"),IF($BH7&gt;=8,"□","■")))))</f>
        <v/>
      </c>
      <c r="U7" s="30">
        <f>IF($BI7=0,"",IF(MOD($BI7,8)=7,IF($BI7&gt;=8,"◇","◆"),IF(MOD($BI7,8)=3,IF($BI7&gt;=8,"▷","▶"),IF(MOD($BI7,8)=5,IF($BI7&gt;=8,"◁","◀"),IF($BI7&gt;=8,"□","■")))))</f>
        <v/>
      </c>
      <c r="V7" s="30">
        <f>IF($BJ7=0,"",IF(MOD($BJ7,8)=7,IF($BJ7&gt;=8,"◇","◆"),IF(MOD($BJ7,8)=3,IF($BJ7&gt;=8,"▷","▶"),IF(MOD($BJ7,8)=5,IF($BJ7&gt;=8,"◁","◀"),IF($BJ7&gt;=8,"□","■")))))</f>
        <v/>
      </c>
      <c r="W7" s="30">
        <f>IF($BK7=0,"",IF(MOD($BK7,8)=7,IF($BK7&gt;=8,"◇","◆"),IF(MOD($BK7,8)=3,IF($BK7&gt;=8,"▷","▶"),IF(MOD($BK7,8)=5,IF($BK7&gt;=8,"◁","◀"),IF($BK7&gt;=8,"□","■")))))</f>
        <v/>
      </c>
      <c r="X7" s="30">
        <f>IF($BL7=0,"",IF(MOD($BL7,8)=7,IF($BL7&gt;=8,"◇","◆"),IF(MOD($BL7,8)=3,IF($BL7&gt;=8,"▷","▶"),IF(MOD($BL7,8)=5,IF($BL7&gt;=8,"◁","◀"),IF($BL7&gt;=8,"□","■")))))</f>
        <v/>
      </c>
      <c r="Y7" s="30">
        <f>IF($BM7=0,"",IF(MOD($BM7,8)=7,IF($BM7&gt;=8,"◇","◆"),IF(MOD($BM7,8)=3,IF($BM7&gt;=8,"▷","▶"),IF(MOD($BM7,8)=5,IF($BM7&gt;=8,"◁","◀"),IF($BM7&gt;=8,"□","■")))))</f>
        <v/>
      </c>
      <c r="Z7" s="30">
        <f>IF($BN7=0,"",IF(MOD($BN7,8)=7,IF($BN7&gt;=8,"◇","◆"),IF(MOD($BN7,8)=3,IF($BN7&gt;=8,"▷","▶"),IF(MOD($BN7,8)=5,IF($BN7&gt;=8,"◁","◀"),IF($BN7&gt;=8,"□","■")))))</f>
        <v/>
      </c>
      <c r="AA7" s="30">
        <f>IF($BO7=0,"",IF(MOD($BO7,8)=7,IF($BO7&gt;=8,"◇","◆"),IF(MOD($BO7,8)=3,IF($BO7&gt;=8,"▷","▶"),IF(MOD($BO7,8)=5,IF($BO7&gt;=8,"◁","◀"),IF($BO7&gt;=8,"□","■")))))</f>
        <v/>
      </c>
      <c r="AB7" s="30">
        <f>IF($BP7=0,"",IF(MOD($BP7,8)=7,IF($BP7&gt;=8,"◇","◆"),IF(MOD($BP7,8)=3,IF($BP7&gt;=8,"▷","▶"),IF(MOD($BP7,8)=5,IF($BP7&gt;=8,"◁","◀"),IF($BP7&gt;=8,"□","■")))))</f>
        <v/>
      </c>
      <c r="AC7" s="30">
        <f>IF($BQ7=0,"",IF(MOD($BQ7,8)=7,IF($BQ7&gt;=8,"◇","◆"),IF(MOD($BQ7,8)=3,IF($BQ7&gt;=8,"▷","▶"),IF(MOD($BQ7,8)=5,IF($BQ7&gt;=8,"◁","◀"),IF($BQ7&gt;=8,"□","■")))))</f>
        <v/>
      </c>
      <c r="AD7" s="30">
        <f>IF($BR7=0,"",IF(MOD($BR7,8)=7,IF($BR7&gt;=8,"◇","◆"),IF(MOD($BR7,8)=3,IF($BR7&gt;=8,"▷","▶"),IF(MOD($BR7,8)=5,IF($BR7&gt;=8,"◁","◀"),IF($BR7&gt;=8,"□","■")))))</f>
        <v/>
      </c>
      <c r="AE7" s="30">
        <f>IF($BS7=0,"",IF(MOD($BS7,8)=7,IF($BS7&gt;=8,"◇","◆"),IF(MOD($BS7,8)=3,IF($BS7&gt;=8,"▷","▶"),IF(MOD($BS7,8)=5,IF($BS7&gt;=8,"◁","◀"),IF($BS7&gt;=8,"□","■")))))</f>
        <v/>
      </c>
      <c r="AF7" s="30">
        <f>IF($BT7=0,"",IF(MOD($BT7,8)=7,IF($BT7&gt;=8,"◇","◆"),IF(MOD($BT7,8)=3,IF($BT7&gt;=8,"▷","▶"),IF(MOD($BT7,8)=5,IF($BT7&gt;=8,"◁","◀"),IF($BT7&gt;=8,"□","■")))))</f>
        <v/>
      </c>
      <c r="AG7" s="31">
        <f>IF($A7="","",COUNTIF($AP7:$BT7,"&gt;0"))</f>
        <v/>
      </c>
      <c r="AP7">
        <f>IF(OR($A7="",B$4=""),0,SUMPRODUCT(('01_予約入力'!$E$5:$E$204&lt;&gt;"")*('01_予約入力'!$K$5:$K$204&lt;&gt;"キャンセル")*('01_予約入力'!$B$5:$B$204=$A7)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7">
        <f>IF(OR($A7="",C$4=""),0,SUMPRODUCT(('01_予約入力'!$E$5:$E$204&lt;&gt;"")*('01_予約入力'!$K$5:$K$204&lt;&gt;"キャンセル")*('01_予約入力'!$B$5:$B$204=$A7)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7">
        <f>IF(OR($A7="",D$4=""),0,SUMPRODUCT(('01_予約入力'!$E$5:$E$204&lt;&gt;"")*('01_予約入力'!$K$5:$K$204&lt;&gt;"キャンセル")*('01_予約入力'!$B$5:$B$204=$A7)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7">
        <f>IF(OR($A7="",E$4=""),0,SUMPRODUCT(('01_予約入力'!$E$5:$E$204&lt;&gt;"")*('01_予約入力'!$K$5:$K$204&lt;&gt;"キャンセル")*('01_予約入力'!$B$5:$B$204=$A7)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7">
        <f>IF(OR($A7="",F$4=""),0,SUMPRODUCT(('01_予約入力'!$E$5:$E$204&lt;&gt;"")*('01_予約入力'!$K$5:$K$204&lt;&gt;"キャンセル")*('01_予約入力'!$B$5:$B$204=$A7)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7">
        <f>IF(OR($A7="",G$4=""),0,SUMPRODUCT(('01_予約入力'!$E$5:$E$204&lt;&gt;"")*('01_予約入力'!$K$5:$K$204&lt;&gt;"キャンセル")*('01_予約入力'!$B$5:$B$204=$A7)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7">
        <f>IF(OR($A7="",H$4=""),0,SUMPRODUCT(('01_予約入力'!$E$5:$E$204&lt;&gt;"")*('01_予約入力'!$K$5:$K$204&lt;&gt;"キャンセル")*('01_予約入力'!$B$5:$B$204=$A7)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7">
        <f>IF(OR($A7="",I$4=""),0,SUMPRODUCT(('01_予約入力'!$E$5:$E$204&lt;&gt;"")*('01_予約入力'!$K$5:$K$204&lt;&gt;"キャンセル")*('01_予約入力'!$B$5:$B$204=$A7)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7">
        <f>IF(OR($A7="",J$4=""),0,SUMPRODUCT(('01_予約入力'!$E$5:$E$204&lt;&gt;"")*('01_予約入力'!$K$5:$K$204&lt;&gt;"キャンセル")*('01_予約入力'!$B$5:$B$204=$A7)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7">
        <f>IF(OR($A7="",K$4=""),0,SUMPRODUCT(('01_予約入力'!$E$5:$E$204&lt;&gt;"")*('01_予約入力'!$K$5:$K$204&lt;&gt;"キャンセル")*('01_予約入力'!$B$5:$B$204=$A7)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7">
        <f>IF(OR($A7="",L$4=""),0,SUMPRODUCT(('01_予約入力'!$E$5:$E$204&lt;&gt;"")*('01_予約入力'!$K$5:$K$204&lt;&gt;"キャンセル")*('01_予約入力'!$B$5:$B$204=$A7)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7">
        <f>IF(OR($A7="",M$4=""),0,SUMPRODUCT(('01_予約入力'!$E$5:$E$204&lt;&gt;"")*('01_予約入力'!$K$5:$K$204&lt;&gt;"キャンセル")*('01_予約入力'!$B$5:$B$204=$A7)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7">
        <f>IF(OR($A7="",N$4=""),0,SUMPRODUCT(('01_予約入力'!$E$5:$E$204&lt;&gt;"")*('01_予約入力'!$K$5:$K$204&lt;&gt;"キャンセル")*('01_予約入力'!$B$5:$B$204=$A7)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7">
        <f>IF(OR($A7="",O$4=""),0,SUMPRODUCT(('01_予約入力'!$E$5:$E$204&lt;&gt;"")*('01_予約入力'!$K$5:$K$204&lt;&gt;"キャンセル")*('01_予約入力'!$B$5:$B$204=$A7)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7">
        <f>IF(OR($A7="",P$4=""),0,SUMPRODUCT(('01_予約入力'!$E$5:$E$204&lt;&gt;"")*('01_予約入力'!$K$5:$K$204&lt;&gt;"キャンセル")*('01_予約入力'!$B$5:$B$204=$A7)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7">
        <f>IF(OR($A7="",Q$4=""),0,SUMPRODUCT(('01_予約入力'!$E$5:$E$204&lt;&gt;"")*('01_予約入力'!$K$5:$K$204&lt;&gt;"キャンセル")*('01_予約入力'!$B$5:$B$204=$A7)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7">
        <f>IF(OR($A7="",R$4=""),0,SUMPRODUCT(('01_予約入力'!$E$5:$E$204&lt;&gt;"")*('01_予約入力'!$K$5:$K$204&lt;&gt;"キャンセル")*('01_予約入力'!$B$5:$B$204=$A7)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7">
        <f>IF(OR($A7="",S$4=""),0,SUMPRODUCT(('01_予約入力'!$E$5:$E$204&lt;&gt;"")*('01_予約入力'!$K$5:$K$204&lt;&gt;"キャンセル")*('01_予約入力'!$B$5:$B$204=$A7)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7">
        <f>IF(OR($A7="",T$4=""),0,SUMPRODUCT(('01_予約入力'!$E$5:$E$204&lt;&gt;"")*('01_予約入力'!$K$5:$K$204&lt;&gt;"キャンセル")*('01_予約入力'!$B$5:$B$204=$A7)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7">
        <f>IF(OR($A7="",U$4=""),0,SUMPRODUCT(('01_予約入力'!$E$5:$E$204&lt;&gt;"")*('01_予約入力'!$K$5:$K$204&lt;&gt;"キャンセル")*('01_予約入力'!$B$5:$B$204=$A7)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7">
        <f>IF(OR($A7="",V$4=""),0,SUMPRODUCT(('01_予約入力'!$E$5:$E$204&lt;&gt;"")*('01_予約入力'!$K$5:$K$204&lt;&gt;"キャンセル")*('01_予約入力'!$B$5:$B$204=$A7)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7">
        <f>IF(OR($A7="",W$4=""),0,SUMPRODUCT(('01_予約入力'!$E$5:$E$204&lt;&gt;"")*('01_予約入力'!$K$5:$K$204&lt;&gt;"キャンセル")*('01_予約入力'!$B$5:$B$204=$A7)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7">
        <f>IF(OR($A7="",X$4=""),0,SUMPRODUCT(('01_予約入力'!$E$5:$E$204&lt;&gt;"")*('01_予約入力'!$K$5:$K$204&lt;&gt;"キャンセル")*('01_予約入力'!$B$5:$B$204=$A7)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7">
        <f>IF(OR($A7="",Y$4=""),0,SUMPRODUCT(('01_予約入力'!$E$5:$E$204&lt;&gt;"")*('01_予約入力'!$K$5:$K$204&lt;&gt;"キャンセル")*('01_予約入力'!$B$5:$B$204=$A7)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7">
        <f>IF(OR($A7="",Z$4=""),0,SUMPRODUCT(('01_予約入力'!$E$5:$E$204&lt;&gt;"")*('01_予約入力'!$K$5:$K$204&lt;&gt;"キャンセル")*('01_予約入力'!$B$5:$B$204=$A7)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7">
        <f>IF(OR($A7="",AA$4=""),0,SUMPRODUCT(('01_予約入力'!$E$5:$E$204&lt;&gt;"")*('01_予約入力'!$K$5:$K$204&lt;&gt;"キャンセル")*('01_予約入力'!$B$5:$B$204=$A7)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7">
        <f>IF(OR($A7="",AB$4=""),0,SUMPRODUCT(('01_予約入力'!$E$5:$E$204&lt;&gt;"")*('01_予約入力'!$K$5:$K$204&lt;&gt;"キャンセル")*('01_予約入力'!$B$5:$B$204=$A7)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7">
        <f>IF(OR($A7="",AC$4=""),0,SUMPRODUCT(('01_予約入力'!$E$5:$E$204&lt;&gt;"")*('01_予約入力'!$K$5:$K$204&lt;&gt;"キャンセル")*('01_予約入力'!$B$5:$B$204=$A7)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7">
        <f>IF(OR($A7="",AD$4=""),0,SUMPRODUCT(('01_予約入力'!$E$5:$E$204&lt;&gt;"")*('01_予約入力'!$K$5:$K$204&lt;&gt;"キャンセル")*('01_予約入力'!$B$5:$B$204=$A7)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7">
        <f>IF(OR($A7="",AE$4=""),0,SUMPRODUCT(('01_予約入力'!$E$5:$E$204&lt;&gt;"")*('01_予約入力'!$K$5:$K$204&lt;&gt;"キャンセル")*('01_予約入力'!$B$5:$B$204=$A7)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7">
        <f>IF(OR($A7="",AF$4=""),0,SUMPRODUCT(('01_予約入力'!$E$5:$E$204&lt;&gt;"")*('01_予約入力'!$K$5:$K$204&lt;&gt;"キャンセル")*('01_予約入力'!$B$5:$B$204=$A7)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8">
      <c r="A8" s="29">
        <f>IF(COUNTA('M_利用者'!$A$4:$A$60)&gt;=2,INDEX('M_利用者'!$A$4:$A$60,2),"")</f>
        <v/>
      </c>
      <c r="B8" s="30">
        <f>IF($AP8=0,"",IF(MOD($AP8,8)=7,IF($AP8&gt;=8,"◇","◆"),IF(MOD($AP8,8)=3,IF($AP8&gt;=8,"▷","▶"),IF(MOD($AP8,8)=5,IF($AP8&gt;=8,"◁","◀"),IF($AP8&gt;=8,"□","■")))))</f>
        <v/>
      </c>
      <c r="C8" s="30">
        <f>IF($AQ8=0,"",IF(MOD($AQ8,8)=7,IF($AQ8&gt;=8,"◇","◆"),IF(MOD($AQ8,8)=3,IF($AQ8&gt;=8,"▷","▶"),IF(MOD($AQ8,8)=5,IF($AQ8&gt;=8,"◁","◀"),IF($AQ8&gt;=8,"□","■")))))</f>
        <v/>
      </c>
      <c r="D8" s="30">
        <f>IF($AR8=0,"",IF(MOD($AR8,8)=7,IF($AR8&gt;=8,"◇","◆"),IF(MOD($AR8,8)=3,IF($AR8&gt;=8,"▷","▶"),IF(MOD($AR8,8)=5,IF($AR8&gt;=8,"◁","◀"),IF($AR8&gt;=8,"□","■")))))</f>
        <v/>
      </c>
      <c r="E8" s="30">
        <f>IF($AS8=0,"",IF(MOD($AS8,8)=7,IF($AS8&gt;=8,"◇","◆"),IF(MOD($AS8,8)=3,IF($AS8&gt;=8,"▷","▶"),IF(MOD($AS8,8)=5,IF($AS8&gt;=8,"◁","◀"),IF($AS8&gt;=8,"□","■")))))</f>
        <v/>
      </c>
      <c r="F8" s="30">
        <f>IF($AT8=0,"",IF(MOD($AT8,8)=7,IF($AT8&gt;=8,"◇","◆"),IF(MOD($AT8,8)=3,IF($AT8&gt;=8,"▷","▶"),IF(MOD($AT8,8)=5,IF($AT8&gt;=8,"◁","◀"),IF($AT8&gt;=8,"□","■")))))</f>
        <v/>
      </c>
      <c r="G8" s="30">
        <f>IF($AU8=0,"",IF(MOD($AU8,8)=7,IF($AU8&gt;=8,"◇","◆"),IF(MOD($AU8,8)=3,IF($AU8&gt;=8,"▷","▶"),IF(MOD($AU8,8)=5,IF($AU8&gt;=8,"◁","◀"),IF($AU8&gt;=8,"□","■")))))</f>
        <v/>
      </c>
      <c r="H8" s="30">
        <f>IF($AV8=0,"",IF(MOD($AV8,8)=7,IF($AV8&gt;=8,"◇","◆"),IF(MOD($AV8,8)=3,IF($AV8&gt;=8,"▷","▶"),IF(MOD($AV8,8)=5,IF($AV8&gt;=8,"◁","◀"),IF($AV8&gt;=8,"□","■")))))</f>
        <v/>
      </c>
      <c r="I8" s="30">
        <f>IF($AW8=0,"",IF(MOD($AW8,8)=7,IF($AW8&gt;=8,"◇","◆"),IF(MOD($AW8,8)=3,IF($AW8&gt;=8,"▷","▶"),IF(MOD($AW8,8)=5,IF($AW8&gt;=8,"◁","◀"),IF($AW8&gt;=8,"□","■")))))</f>
        <v/>
      </c>
      <c r="J8" s="30">
        <f>IF($AX8=0,"",IF(MOD($AX8,8)=7,IF($AX8&gt;=8,"◇","◆"),IF(MOD($AX8,8)=3,IF($AX8&gt;=8,"▷","▶"),IF(MOD($AX8,8)=5,IF($AX8&gt;=8,"◁","◀"),IF($AX8&gt;=8,"□","■")))))</f>
        <v/>
      </c>
      <c r="K8" s="30">
        <f>IF($AY8=0,"",IF(MOD($AY8,8)=7,IF($AY8&gt;=8,"◇","◆"),IF(MOD($AY8,8)=3,IF($AY8&gt;=8,"▷","▶"),IF(MOD($AY8,8)=5,IF($AY8&gt;=8,"◁","◀"),IF($AY8&gt;=8,"□","■")))))</f>
        <v/>
      </c>
      <c r="L8" s="30">
        <f>IF($AZ8=0,"",IF(MOD($AZ8,8)=7,IF($AZ8&gt;=8,"◇","◆"),IF(MOD($AZ8,8)=3,IF($AZ8&gt;=8,"▷","▶"),IF(MOD($AZ8,8)=5,IF($AZ8&gt;=8,"◁","◀"),IF($AZ8&gt;=8,"□","■")))))</f>
        <v/>
      </c>
      <c r="M8" s="30">
        <f>IF($BA8=0,"",IF(MOD($BA8,8)=7,IF($BA8&gt;=8,"◇","◆"),IF(MOD($BA8,8)=3,IF($BA8&gt;=8,"▷","▶"),IF(MOD($BA8,8)=5,IF($BA8&gt;=8,"◁","◀"),IF($BA8&gt;=8,"□","■")))))</f>
        <v/>
      </c>
      <c r="N8" s="30">
        <f>IF($BB8=0,"",IF(MOD($BB8,8)=7,IF($BB8&gt;=8,"◇","◆"),IF(MOD($BB8,8)=3,IF($BB8&gt;=8,"▷","▶"),IF(MOD($BB8,8)=5,IF($BB8&gt;=8,"◁","◀"),IF($BB8&gt;=8,"□","■")))))</f>
        <v/>
      </c>
      <c r="O8" s="30">
        <f>IF($BC8=0,"",IF(MOD($BC8,8)=7,IF($BC8&gt;=8,"◇","◆"),IF(MOD($BC8,8)=3,IF($BC8&gt;=8,"▷","▶"),IF(MOD($BC8,8)=5,IF($BC8&gt;=8,"◁","◀"),IF($BC8&gt;=8,"□","■")))))</f>
        <v/>
      </c>
      <c r="P8" s="30">
        <f>IF($BD8=0,"",IF(MOD($BD8,8)=7,IF($BD8&gt;=8,"◇","◆"),IF(MOD($BD8,8)=3,IF($BD8&gt;=8,"▷","▶"),IF(MOD($BD8,8)=5,IF($BD8&gt;=8,"◁","◀"),IF($BD8&gt;=8,"□","■")))))</f>
        <v/>
      </c>
      <c r="Q8" s="30">
        <f>IF($BE8=0,"",IF(MOD($BE8,8)=7,IF($BE8&gt;=8,"◇","◆"),IF(MOD($BE8,8)=3,IF($BE8&gt;=8,"▷","▶"),IF(MOD($BE8,8)=5,IF($BE8&gt;=8,"◁","◀"),IF($BE8&gt;=8,"□","■")))))</f>
        <v/>
      </c>
      <c r="R8" s="30">
        <f>IF($BF8=0,"",IF(MOD($BF8,8)=7,IF($BF8&gt;=8,"◇","◆"),IF(MOD($BF8,8)=3,IF($BF8&gt;=8,"▷","▶"),IF(MOD($BF8,8)=5,IF($BF8&gt;=8,"◁","◀"),IF($BF8&gt;=8,"□","■")))))</f>
        <v/>
      </c>
      <c r="S8" s="30">
        <f>IF($BG8=0,"",IF(MOD($BG8,8)=7,IF($BG8&gt;=8,"◇","◆"),IF(MOD($BG8,8)=3,IF($BG8&gt;=8,"▷","▶"),IF(MOD($BG8,8)=5,IF($BG8&gt;=8,"◁","◀"),IF($BG8&gt;=8,"□","■")))))</f>
        <v/>
      </c>
      <c r="T8" s="30">
        <f>IF($BH8=0,"",IF(MOD($BH8,8)=7,IF($BH8&gt;=8,"◇","◆"),IF(MOD($BH8,8)=3,IF($BH8&gt;=8,"▷","▶"),IF(MOD($BH8,8)=5,IF($BH8&gt;=8,"◁","◀"),IF($BH8&gt;=8,"□","■")))))</f>
        <v/>
      </c>
      <c r="U8" s="30">
        <f>IF($BI8=0,"",IF(MOD($BI8,8)=7,IF($BI8&gt;=8,"◇","◆"),IF(MOD($BI8,8)=3,IF($BI8&gt;=8,"▷","▶"),IF(MOD($BI8,8)=5,IF($BI8&gt;=8,"◁","◀"),IF($BI8&gt;=8,"□","■")))))</f>
        <v/>
      </c>
      <c r="V8" s="30">
        <f>IF($BJ8=0,"",IF(MOD($BJ8,8)=7,IF($BJ8&gt;=8,"◇","◆"),IF(MOD($BJ8,8)=3,IF($BJ8&gt;=8,"▷","▶"),IF(MOD($BJ8,8)=5,IF($BJ8&gt;=8,"◁","◀"),IF($BJ8&gt;=8,"□","■")))))</f>
        <v/>
      </c>
      <c r="W8" s="30">
        <f>IF($BK8=0,"",IF(MOD($BK8,8)=7,IF($BK8&gt;=8,"◇","◆"),IF(MOD($BK8,8)=3,IF($BK8&gt;=8,"▷","▶"),IF(MOD($BK8,8)=5,IF($BK8&gt;=8,"◁","◀"),IF($BK8&gt;=8,"□","■")))))</f>
        <v/>
      </c>
      <c r="X8" s="30">
        <f>IF($BL8=0,"",IF(MOD($BL8,8)=7,IF($BL8&gt;=8,"◇","◆"),IF(MOD($BL8,8)=3,IF($BL8&gt;=8,"▷","▶"),IF(MOD($BL8,8)=5,IF($BL8&gt;=8,"◁","◀"),IF($BL8&gt;=8,"□","■")))))</f>
        <v/>
      </c>
      <c r="Y8" s="30">
        <f>IF($BM8=0,"",IF(MOD($BM8,8)=7,IF($BM8&gt;=8,"◇","◆"),IF(MOD($BM8,8)=3,IF($BM8&gt;=8,"▷","▶"),IF(MOD($BM8,8)=5,IF($BM8&gt;=8,"◁","◀"),IF($BM8&gt;=8,"□","■")))))</f>
        <v/>
      </c>
      <c r="Z8" s="30">
        <f>IF($BN8=0,"",IF(MOD($BN8,8)=7,IF($BN8&gt;=8,"◇","◆"),IF(MOD($BN8,8)=3,IF($BN8&gt;=8,"▷","▶"),IF(MOD($BN8,8)=5,IF($BN8&gt;=8,"◁","◀"),IF($BN8&gt;=8,"□","■")))))</f>
        <v/>
      </c>
      <c r="AA8" s="30">
        <f>IF($BO8=0,"",IF(MOD($BO8,8)=7,IF($BO8&gt;=8,"◇","◆"),IF(MOD($BO8,8)=3,IF($BO8&gt;=8,"▷","▶"),IF(MOD($BO8,8)=5,IF($BO8&gt;=8,"◁","◀"),IF($BO8&gt;=8,"□","■")))))</f>
        <v/>
      </c>
      <c r="AB8" s="30">
        <f>IF($BP8=0,"",IF(MOD($BP8,8)=7,IF($BP8&gt;=8,"◇","◆"),IF(MOD($BP8,8)=3,IF($BP8&gt;=8,"▷","▶"),IF(MOD($BP8,8)=5,IF($BP8&gt;=8,"◁","◀"),IF($BP8&gt;=8,"□","■")))))</f>
        <v/>
      </c>
      <c r="AC8" s="30">
        <f>IF($BQ8=0,"",IF(MOD($BQ8,8)=7,IF($BQ8&gt;=8,"◇","◆"),IF(MOD($BQ8,8)=3,IF($BQ8&gt;=8,"▷","▶"),IF(MOD($BQ8,8)=5,IF($BQ8&gt;=8,"◁","◀"),IF($BQ8&gt;=8,"□","■")))))</f>
        <v/>
      </c>
      <c r="AD8" s="30">
        <f>IF($BR8=0,"",IF(MOD($BR8,8)=7,IF($BR8&gt;=8,"◇","◆"),IF(MOD($BR8,8)=3,IF($BR8&gt;=8,"▷","▶"),IF(MOD($BR8,8)=5,IF($BR8&gt;=8,"◁","◀"),IF($BR8&gt;=8,"□","■")))))</f>
        <v/>
      </c>
      <c r="AE8" s="30">
        <f>IF($BS8=0,"",IF(MOD($BS8,8)=7,IF($BS8&gt;=8,"◇","◆"),IF(MOD($BS8,8)=3,IF($BS8&gt;=8,"▷","▶"),IF(MOD($BS8,8)=5,IF($BS8&gt;=8,"◁","◀"),IF($BS8&gt;=8,"□","■")))))</f>
        <v/>
      </c>
      <c r="AF8" s="30">
        <f>IF($BT8=0,"",IF(MOD($BT8,8)=7,IF($BT8&gt;=8,"◇","◆"),IF(MOD($BT8,8)=3,IF($BT8&gt;=8,"▷","▶"),IF(MOD($BT8,8)=5,IF($BT8&gt;=8,"◁","◀"),IF($BT8&gt;=8,"□","■")))))</f>
        <v/>
      </c>
      <c r="AG8" s="31">
        <f>IF($A8="","",COUNTIF($AP8:$BT8,"&gt;0"))</f>
        <v/>
      </c>
      <c r="AP8">
        <f>IF(OR($A8="",B$4=""),0,SUMPRODUCT(('01_予約入力'!$E$5:$E$204&lt;&gt;"")*('01_予約入力'!$K$5:$K$204&lt;&gt;"キャンセル")*('01_予約入力'!$B$5:$B$204=$A8)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8">
        <f>IF(OR($A8="",C$4=""),0,SUMPRODUCT(('01_予約入力'!$E$5:$E$204&lt;&gt;"")*('01_予約入力'!$K$5:$K$204&lt;&gt;"キャンセル")*('01_予約入力'!$B$5:$B$204=$A8)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8">
        <f>IF(OR($A8="",D$4=""),0,SUMPRODUCT(('01_予約入力'!$E$5:$E$204&lt;&gt;"")*('01_予約入力'!$K$5:$K$204&lt;&gt;"キャンセル")*('01_予約入力'!$B$5:$B$204=$A8)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8">
        <f>IF(OR($A8="",E$4=""),0,SUMPRODUCT(('01_予約入力'!$E$5:$E$204&lt;&gt;"")*('01_予約入力'!$K$5:$K$204&lt;&gt;"キャンセル")*('01_予約入力'!$B$5:$B$204=$A8)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8">
        <f>IF(OR($A8="",F$4=""),0,SUMPRODUCT(('01_予約入力'!$E$5:$E$204&lt;&gt;"")*('01_予約入力'!$K$5:$K$204&lt;&gt;"キャンセル")*('01_予約入力'!$B$5:$B$204=$A8)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8">
        <f>IF(OR($A8="",G$4=""),0,SUMPRODUCT(('01_予約入力'!$E$5:$E$204&lt;&gt;"")*('01_予約入力'!$K$5:$K$204&lt;&gt;"キャンセル")*('01_予約入力'!$B$5:$B$204=$A8)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8">
        <f>IF(OR($A8="",H$4=""),0,SUMPRODUCT(('01_予約入力'!$E$5:$E$204&lt;&gt;"")*('01_予約入力'!$K$5:$K$204&lt;&gt;"キャンセル")*('01_予約入力'!$B$5:$B$204=$A8)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8">
        <f>IF(OR($A8="",I$4=""),0,SUMPRODUCT(('01_予約入力'!$E$5:$E$204&lt;&gt;"")*('01_予約入力'!$K$5:$K$204&lt;&gt;"キャンセル")*('01_予約入力'!$B$5:$B$204=$A8)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8">
        <f>IF(OR($A8="",J$4=""),0,SUMPRODUCT(('01_予約入力'!$E$5:$E$204&lt;&gt;"")*('01_予約入力'!$K$5:$K$204&lt;&gt;"キャンセル")*('01_予約入力'!$B$5:$B$204=$A8)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8">
        <f>IF(OR($A8="",K$4=""),0,SUMPRODUCT(('01_予約入力'!$E$5:$E$204&lt;&gt;"")*('01_予約入力'!$K$5:$K$204&lt;&gt;"キャンセル")*('01_予約入力'!$B$5:$B$204=$A8)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8">
        <f>IF(OR($A8="",L$4=""),0,SUMPRODUCT(('01_予約入力'!$E$5:$E$204&lt;&gt;"")*('01_予約入力'!$K$5:$K$204&lt;&gt;"キャンセル")*('01_予約入力'!$B$5:$B$204=$A8)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8">
        <f>IF(OR($A8="",M$4=""),0,SUMPRODUCT(('01_予約入力'!$E$5:$E$204&lt;&gt;"")*('01_予約入力'!$K$5:$K$204&lt;&gt;"キャンセル")*('01_予約入力'!$B$5:$B$204=$A8)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8">
        <f>IF(OR($A8="",N$4=""),0,SUMPRODUCT(('01_予約入力'!$E$5:$E$204&lt;&gt;"")*('01_予約入力'!$K$5:$K$204&lt;&gt;"キャンセル")*('01_予約入力'!$B$5:$B$204=$A8)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8">
        <f>IF(OR($A8="",O$4=""),0,SUMPRODUCT(('01_予約入力'!$E$5:$E$204&lt;&gt;"")*('01_予約入力'!$K$5:$K$204&lt;&gt;"キャンセル")*('01_予約入力'!$B$5:$B$204=$A8)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8">
        <f>IF(OR($A8="",P$4=""),0,SUMPRODUCT(('01_予約入力'!$E$5:$E$204&lt;&gt;"")*('01_予約入力'!$K$5:$K$204&lt;&gt;"キャンセル")*('01_予約入力'!$B$5:$B$204=$A8)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8">
        <f>IF(OR($A8="",Q$4=""),0,SUMPRODUCT(('01_予約入力'!$E$5:$E$204&lt;&gt;"")*('01_予約入力'!$K$5:$K$204&lt;&gt;"キャンセル")*('01_予約入力'!$B$5:$B$204=$A8)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8">
        <f>IF(OR($A8="",R$4=""),0,SUMPRODUCT(('01_予約入力'!$E$5:$E$204&lt;&gt;"")*('01_予約入力'!$K$5:$K$204&lt;&gt;"キャンセル")*('01_予約入力'!$B$5:$B$204=$A8)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8">
        <f>IF(OR($A8="",S$4=""),0,SUMPRODUCT(('01_予約入力'!$E$5:$E$204&lt;&gt;"")*('01_予約入力'!$K$5:$K$204&lt;&gt;"キャンセル")*('01_予約入力'!$B$5:$B$204=$A8)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8">
        <f>IF(OR($A8="",T$4=""),0,SUMPRODUCT(('01_予約入力'!$E$5:$E$204&lt;&gt;"")*('01_予約入力'!$K$5:$K$204&lt;&gt;"キャンセル")*('01_予約入力'!$B$5:$B$204=$A8)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8">
        <f>IF(OR($A8="",U$4=""),0,SUMPRODUCT(('01_予約入力'!$E$5:$E$204&lt;&gt;"")*('01_予約入力'!$K$5:$K$204&lt;&gt;"キャンセル")*('01_予約入力'!$B$5:$B$204=$A8)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8">
        <f>IF(OR($A8="",V$4=""),0,SUMPRODUCT(('01_予約入力'!$E$5:$E$204&lt;&gt;"")*('01_予約入力'!$K$5:$K$204&lt;&gt;"キャンセル")*('01_予約入力'!$B$5:$B$204=$A8)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8">
        <f>IF(OR($A8="",W$4=""),0,SUMPRODUCT(('01_予約入力'!$E$5:$E$204&lt;&gt;"")*('01_予約入力'!$K$5:$K$204&lt;&gt;"キャンセル")*('01_予約入力'!$B$5:$B$204=$A8)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8">
        <f>IF(OR($A8="",X$4=""),0,SUMPRODUCT(('01_予約入力'!$E$5:$E$204&lt;&gt;"")*('01_予約入力'!$K$5:$K$204&lt;&gt;"キャンセル")*('01_予約入力'!$B$5:$B$204=$A8)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8">
        <f>IF(OR($A8="",Y$4=""),0,SUMPRODUCT(('01_予約入力'!$E$5:$E$204&lt;&gt;"")*('01_予約入力'!$K$5:$K$204&lt;&gt;"キャンセル")*('01_予約入力'!$B$5:$B$204=$A8)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8">
        <f>IF(OR($A8="",Z$4=""),0,SUMPRODUCT(('01_予約入力'!$E$5:$E$204&lt;&gt;"")*('01_予約入力'!$K$5:$K$204&lt;&gt;"キャンセル")*('01_予約入力'!$B$5:$B$204=$A8)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8">
        <f>IF(OR($A8="",AA$4=""),0,SUMPRODUCT(('01_予約入力'!$E$5:$E$204&lt;&gt;"")*('01_予約入力'!$K$5:$K$204&lt;&gt;"キャンセル")*('01_予約入力'!$B$5:$B$204=$A8)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8">
        <f>IF(OR($A8="",AB$4=""),0,SUMPRODUCT(('01_予約入力'!$E$5:$E$204&lt;&gt;"")*('01_予約入力'!$K$5:$K$204&lt;&gt;"キャンセル")*('01_予約入力'!$B$5:$B$204=$A8)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8">
        <f>IF(OR($A8="",AC$4=""),0,SUMPRODUCT(('01_予約入力'!$E$5:$E$204&lt;&gt;"")*('01_予約入力'!$K$5:$K$204&lt;&gt;"キャンセル")*('01_予約入力'!$B$5:$B$204=$A8)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8">
        <f>IF(OR($A8="",AD$4=""),0,SUMPRODUCT(('01_予約入力'!$E$5:$E$204&lt;&gt;"")*('01_予約入力'!$K$5:$K$204&lt;&gt;"キャンセル")*('01_予約入力'!$B$5:$B$204=$A8)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8">
        <f>IF(OR($A8="",AE$4=""),0,SUMPRODUCT(('01_予約入力'!$E$5:$E$204&lt;&gt;"")*('01_予約入力'!$K$5:$K$204&lt;&gt;"キャンセル")*('01_予約入力'!$B$5:$B$204=$A8)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8">
        <f>IF(OR($A8="",AF$4=""),0,SUMPRODUCT(('01_予約入力'!$E$5:$E$204&lt;&gt;"")*('01_予約入力'!$K$5:$K$204&lt;&gt;"キャンセル")*('01_予約入力'!$B$5:$B$204=$A8)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9">
      <c r="A9" s="29">
        <f>IF(COUNTA('M_利用者'!$A$4:$A$60)&gt;=3,INDEX('M_利用者'!$A$4:$A$60,3),"")</f>
        <v/>
      </c>
      <c r="B9" s="30">
        <f>IF($AP9=0,"",IF(MOD($AP9,8)=7,IF($AP9&gt;=8,"◇","◆"),IF(MOD($AP9,8)=3,IF($AP9&gt;=8,"▷","▶"),IF(MOD($AP9,8)=5,IF($AP9&gt;=8,"◁","◀"),IF($AP9&gt;=8,"□","■")))))</f>
        <v/>
      </c>
      <c r="C9" s="30">
        <f>IF($AQ9=0,"",IF(MOD($AQ9,8)=7,IF($AQ9&gt;=8,"◇","◆"),IF(MOD($AQ9,8)=3,IF($AQ9&gt;=8,"▷","▶"),IF(MOD($AQ9,8)=5,IF($AQ9&gt;=8,"◁","◀"),IF($AQ9&gt;=8,"□","■")))))</f>
        <v/>
      </c>
      <c r="D9" s="30">
        <f>IF($AR9=0,"",IF(MOD($AR9,8)=7,IF($AR9&gt;=8,"◇","◆"),IF(MOD($AR9,8)=3,IF($AR9&gt;=8,"▷","▶"),IF(MOD($AR9,8)=5,IF($AR9&gt;=8,"◁","◀"),IF($AR9&gt;=8,"□","■")))))</f>
        <v/>
      </c>
      <c r="E9" s="30">
        <f>IF($AS9=0,"",IF(MOD($AS9,8)=7,IF($AS9&gt;=8,"◇","◆"),IF(MOD($AS9,8)=3,IF($AS9&gt;=8,"▷","▶"),IF(MOD($AS9,8)=5,IF($AS9&gt;=8,"◁","◀"),IF($AS9&gt;=8,"□","■")))))</f>
        <v/>
      </c>
      <c r="F9" s="30">
        <f>IF($AT9=0,"",IF(MOD($AT9,8)=7,IF($AT9&gt;=8,"◇","◆"),IF(MOD($AT9,8)=3,IF($AT9&gt;=8,"▷","▶"),IF(MOD($AT9,8)=5,IF($AT9&gt;=8,"◁","◀"),IF($AT9&gt;=8,"□","■")))))</f>
        <v/>
      </c>
      <c r="G9" s="30">
        <f>IF($AU9=0,"",IF(MOD($AU9,8)=7,IF($AU9&gt;=8,"◇","◆"),IF(MOD($AU9,8)=3,IF($AU9&gt;=8,"▷","▶"),IF(MOD($AU9,8)=5,IF($AU9&gt;=8,"◁","◀"),IF($AU9&gt;=8,"□","■")))))</f>
        <v/>
      </c>
      <c r="H9" s="30">
        <f>IF($AV9=0,"",IF(MOD($AV9,8)=7,IF($AV9&gt;=8,"◇","◆"),IF(MOD($AV9,8)=3,IF($AV9&gt;=8,"▷","▶"),IF(MOD($AV9,8)=5,IF($AV9&gt;=8,"◁","◀"),IF($AV9&gt;=8,"□","■")))))</f>
        <v/>
      </c>
      <c r="I9" s="30">
        <f>IF($AW9=0,"",IF(MOD($AW9,8)=7,IF($AW9&gt;=8,"◇","◆"),IF(MOD($AW9,8)=3,IF($AW9&gt;=8,"▷","▶"),IF(MOD($AW9,8)=5,IF($AW9&gt;=8,"◁","◀"),IF($AW9&gt;=8,"□","■")))))</f>
        <v/>
      </c>
      <c r="J9" s="30">
        <f>IF($AX9=0,"",IF(MOD($AX9,8)=7,IF($AX9&gt;=8,"◇","◆"),IF(MOD($AX9,8)=3,IF($AX9&gt;=8,"▷","▶"),IF(MOD($AX9,8)=5,IF($AX9&gt;=8,"◁","◀"),IF($AX9&gt;=8,"□","■")))))</f>
        <v/>
      </c>
      <c r="K9" s="30">
        <f>IF($AY9=0,"",IF(MOD($AY9,8)=7,IF($AY9&gt;=8,"◇","◆"),IF(MOD($AY9,8)=3,IF($AY9&gt;=8,"▷","▶"),IF(MOD($AY9,8)=5,IF($AY9&gt;=8,"◁","◀"),IF($AY9&gt;=8,"□","■")))))</f>
        <v/>
      </c>
      <c r="L9" s="30">
        <f>IF($AZ9=0,"",IF(MOD($AZ9,8)=7,IF($AZ9&gt;=8,"◇","◆"),IF(MOD($AZ9,8)=3,IF($AZ9&gt;=8,"▷","▶"),IF(MOD($AZ9,8)=5,IF($AZ9&gt;=8,"◁","◀"),IF($AZ9&gt;=8,"□","■")))))</f>
        <v/>
      </c>
      <c r="M9" s="30">
        <f>IF($BA9=0,"",IF(MOD($BA9,8)=7,IF($BA9&gt;=8,"◇","◆"),IF(MOD($BA9,8)=3,IF($BA9&gt;=8,"▷","▶"),IF(MOD($BA9,8)=5,IF($BA9&gt;=8,"◁","◀"),IF($BA9&gt;=8,"□","■")))))</f>
        <v/>
      </c>
      <c r="N9" s="30">
        <f>IF($BB9=0,"",IF(MOD($BB9,8)=7,IF($BB9&gt;=8,"◇","◆"),IF(MOD($BB9,8)=3,IF($BB9&gt;=8,"▷","▶"),IF(MOD($BB9,8)=5,IF($BB9&gt;=8,"◁","◀"),IF($BB9&gt;=8,"□","■")))))</f>
        <v/>
      </c>
      <c r="O9" s="30">
        <f>IF($BC9=0,"",IF(MOD($BC9,8)=7,IF($BC9&gt;=8,"◇","◆"),IF(MOD($BC9,8)=3,IF($BC9&gt;=8,"▷","▶"),IF(MOD($BC9,8)=5,IF($BC9&gt;=8,"◁","◀"),IF($BC9&gt;=8,"□","■")))))</f>
        <v/>
      </c>
      <c r="P9" s="30">
        <f>IF($BD9=0,"",IF(MOD($BD9,8)=7,IF($BD9&gt;=8,"◇","◆"),IF(MOD($BD9,8)=3,IF($BD9&gt;=8,"▷","▶"),IF(MOD($BD9,8)=5,IF($BD9&gt;=8,"◁","◀"),IF($BD9&gt;=8,"□","■")))))</f>
        <v/>
      </c>
      <c r="Q9" s="30">
        <f>IF($BE9=0,"",IF(MOD($BE9,8)=7,IF($BE9&gt;=8,"◇","◆"),IF(MOD($BE9,8)=3,IF($BE9&gt;=8,"▷","▶"),IF(MOD($BE9,8)=5,IF($BE9&gt;=8,"◁","◀"),IF($BE9&gt;=8,"□","■")))))</f>
        <v/>
      </c>
      <c r="R9" s="30">
        <f>IF($BF9=0,"",IF(MOD($BF9,8)=7,IF($BF9&gt;=8,"◇","◆"),IF(MOD($BF9,8)=3,IF($BF9&gt;=8,"▷","▶"),IF(MOD($BF9,8)=5,IF($BF9&gt;=8,"◁","◀"),IF($BF9&gt;=8,"□","■")))))</f>
        <v/>
      </c>
      <c r="S9" s="30">
        <f>IF($BG9=0,"",IF(MOD($BG9,8)=7,IF($BG9&gt;=8,"◇","◆"),IF(MOD($BG9,8)=3,IF($BG9&gt;=8,"▷","▶"),IF(MOD($BG9,8)=5,IF($BG9&gt;=8,"◁","◀"),IF($BG9&gt;=8,"□","■")))))</f>
        <v/>
      </c>
      <c r="T9" s="30">
        <f>IF($BH9=0,"",IF(MOD($BH9,8)=7,IF($BH9&gt;=8,"◇","◆"),IF(MOD($BH9,8)=3,IF($BH9&gt;=8,"▷","▶"),IF(MOD($BH9,8)=5,IF($BH9&gt;=8,"◁","◀"),IF($BH9&gt;=8,"□","■")))))</f>
        <v/>
      </c>
      <c r="U9" s="30">
        <f>IF($BI9=0,"",IF(MOD($BI9,8)=7,IF($BI9&gt;=8,"◇","◆"),IF(MOD($BI9,8)=3,IF($BI9&gt;=8,"▷","▶"),IF(MOD($BI9,8)=5,IF($BI9&gt;=8,"◁","◀"),IF($BI9&gt;=8,"□","■")))))</f>
        <v/>
      </c>
      <c r="V9" s="30">
        <f>IF($BJ9=0,"",IF(MOD($BJ9,8)=7,IF($BJ9&gt;=8,"◇","◆"),IF(MOD($BJ9,8)=3,IF($BJ9&gt;=8,"▷","▶"),IF(MOD($BJ9,8)=5,IF($BJ9&gt;=8,"◁","◀"),IF($BJ9&gt;=8,"□","■")))))</f>
        <v/>
      </c>
      <c r="W9" s="30">
        <f>IF($BK9=0,"",IF(MOD($BK9,8)=7,IF($BK9&gt;=8,"◇","◆"),IF(MOD($BK9,8)=3,IF($BK9&gt;=8,"▷","▶"),IF(MOD($BK9,8)=5,IF($BK9&gt;=8,"◁","◀"),IF($BK9&gt;=8,"□","■")))))</f>
        <v/>
      </c>
      <c r="X9" s="30">
        <f>IF($BL9=0,"",IF(MOD($BL9,8)=7,IF($BL9&gt;=8,"◇","◆"),IF(MOD($BL9,8)=3,IF($BL9&gt;=8,"▷","▶"),IF(MOD($BL9,8)=5,IF($BL9&gt;=8,"◁","◀"),IF($BL9&gt;=8,"□","■")))))</f>
        <v/>
      </c>
      <c r="Y9" s="30">
        <f>IF($BM9=0,"",IF(MOD($BM9,8)=7,IF($BM9&gt;=8,"◇","◆"),IF(MOD($BM9,8)=3,IF($BM9&gt;=8,"▷","▶"),IF(MOD($BM9,8)=5,IF($BM9&gt;=8,"◁","◀"),IF($BM9&gt;=8,"□","■")))))</f>
        <v/>
      </c>
      <c r="Z9" s="30">
        <f>IF($BN9=0,"",IF(MOD($BN9,8)=7,IF($BN9&gt;=8,"◇","◆"),IF(MOD($BN9,8)=3,IF($BN9&gt;=8,"▷","▶"),IF(MOD($BN9,8)=5,IF($BN9&gt;=8,"◁","◀"),IF($BN9&gt;=8,"□","■")))))</f>
        <v/>
      </c>
      <c r="AA9" s="30">
        <f>IF($BO9=0,"",IF(MOD($BO9,8)=7,IF($BO9&gt;=8,"◇","◆"),IF(MOD($BO9,8)=3,IF($BO9&gt;=8,"▷","▶"),IF(MOD($BO9,8)=5,IF($BO9&gt;=8,"◁","◀"),IF($BO9&gt;=8,"□","■")))))</f>
        <v/>
      </c>
      <c r="AB9" s="30">
        <f>IF($BP9=0,"",IF(MOD($BP9,8)=7,IF($BP9&gt;=8,"◇","◆"),IF(MOD($BP9,8)=3,IF($BP9&gt;=8,"▷","▶"),IF(MOD($BP9,8)=5,IF($BP9&gt;=8,"◁","◀"),IF($BP9&gt;=8,"□","■")))))</f>
        <v/>
      </c>
      <c r="AC9" s="30">
        <f>IF($BQ9=0,"",IF(MOD($BQ9,8)=7,IF($BQ9&gt;=8,"◇","◆"),IF(MOD($BQ9,8)=3,IF($BQ9&gt;=8,"▷","▶"),IF(MOD($BQ9,8)=5,IF($BQ9&gt;=8,"◁","◀"),IF($BQ9&gt;=8,"□","■")))))</f>
        <v/>
      </c>
      <c r="AD9" s="30">
        <f>IF($BR9=0,"",IF(MOD($BR9,8)=7,IF($BR9&gt;=8,"◇","◆"),IF(MOD($BR9,8)=3,IF($BR9&gt;=8,"▷","▶"),IF(MOD($BR9,8)=5,IF($BR9&gt;=8,"◁","◀"),IF($BR9&gt;=8,"□","■")))))</f>
        <v/>
      </c>
      <c r="AE9" s="30">
        <f>IF($BS9=0,"",IF(MOD($BS9,8)=7,IF($BS9&gt;=8,"◇","◆"),IF(MOD($BS9,8)=3,IF($BS9&gt;=8,"▷","▶"),IF(MOD($BS9,8)=5,IF($BS9&gt;=8,"◁","◀"),IF($BS9&gt;=8,"□","■")))))</f>
        <v/>
      </c>
      <c r="AF9" s="30">
        <f>IF($BT9=0,"",IF(MOD($BT9,8)=7,IF($BT9&gt;=8,"◇","◆"),IF(MOD($BT9,8)=3,IF($BT9&gt;=8,"▷","▶"),IF(MOD($BT9,8)=5,IF($BT9&gt;=8,"◁","◀"),IF($BT9&gt;=8,"□","■")))))</f>
        <v/>
      </c>
      <c r="AG9" s="31">
        <f>IF($A9="","",COUNTIF($AP9:$BT9,"&gt;0"))</f>
        <v/>
      </c>
      <c r="AP9">
        <f>IF(OR($A9="",B$4=""),0,SUMPRODUCT(('01_予約入力'!$E$5:$E$204&lt;&gt;"")*('01_予約入力'!$K$5:$K$204&lt;&gt;"キャンセル")*('01_予約入力'!$B$5:$B$204=$A9)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9">
        <f>IF(OR($A9="",C$4=""),0,SUMPRODUCT(('01_予約入力'!$E$5:$E$204&lt;&gt;"")*('01_予約入力'!$K$5:$K$204&lt;&gt;"キャンセル")*('01_予約入力'!$B$5:$B$204=$A9)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9">
        <f>IF(OR($A9="",D$4=""),0,SUMPRODUCT(('01_予約入力'!$E$5:$E$204&lt;&gt;"")*('01_予約入力'!$K$5:$K$204&lt;&gt;"キャンセル")*('01_予約入力'!$B$5:$B$204=$A9)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9">
        <f>IF(OR($A9="",E$4=""),0,SUMPRODUCT(('01_予約入力'!$E$5:$E$204&lt;&gt;"")*('01_予約入力'!$K$5:$K$204&lt;&gt;"キャンセル")*('01_予約入力'!$B$5:$B$204=$A9)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9">
        <f>IF(OR($A9="",F$4=""),0,SUMPRODUCT(('01_予約入力'!$E$5:$E$204&lt;&gt;"")*('01_予約入力'!$K$5:$K$204&lt;&gt;"キャンセル")*('01_予約入力'!$B$5:$B$204=$A9)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9">
        <f>IF(OR($A9="",G$4=""),0,SUMPRODUCT(('01_予約入力'!$E$5:$E$204&lt;&gt;"")*('01_予約入力'!$K$5:$K$204&lt;&gt;"キャンセル")*('01_予約入力'!$B$5:$B$204=$A9)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9">
        <f>IF(OR($A9="",H$4=""),0,SUMPRODUCT(('01_予約入力'!$E$5:$E$204&lt;&gt;"")*('01_予約入力'!$K$5:$K$204&lt;&gt;"キャンセル")*('01_予約入力'!$B$5:$B$204=$A9)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9">
        <f>IF(OR($A9="",I$4=""),0,SUMPRODUCT(('01_予約入力'!$E$5:$E$204&lt;&gt;"")*('01_予約入力'!$K$5:$K$204&lt;&gt;"キャンセル")*('01_予約入力'!$B$5:$B$204=$A9)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9">
        <f>IF(OR($A9="",J$4=""),0,SUMPRODUCT(('01_予約入力'!$E$5:$E$204&lt;&gt;"")*('01_予約入力'!$K$5:$K$204&lt;&gt;"キャンセル")*('01_予約入力'!$B$5:$B$204=$A9)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9">
        <f>IF(OR($A9="",K$4=""),0,SUMPRODUCT(('01_予約入力'!$E$5:$E$204&lt;&gt;"")*('01_予約入力'!$K$5:$K$204&lt;&gt;"キャンセル")*('01_予約入力'!$B$5:$B$204=$A9)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9">
        <f>IF(OR($A9="",L$4=""),0,SUMPRODUCT(('01_予約入力'!$E$5:$E$204&lt;&gt;"")*('01_予約入力'!$K$5:$K$204&lt;&gt;"キャンセル")*('01_予約入力'!$B$5:$B$204=$A9)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9">
        <f>IF(OR($A9="",M$4=""),0,SUMPRODUCT(('01_予約入力'!$E$5:$E$204&lt;&gt;"")*('01_予約入力'!$K$5:$K$204&lt;&gt;"キャンセル")*('01_予約入力'!$B$5:$B$204=$A9)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9">
        <f>IF(OR($A9="",N$4=""),0,SUMPRODUCT(('01_予約入力'!$E$5:$E$204&lt;&gt;"")*('01_予約入力'!$K$5:$K$204&lt;&gt;"キャンセル")*('01_予約入力'!$B$5:$B$204=$A9)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9">
        <f>IF(OR($A9="",O$4=""),0,SUMPRODUCT(('01_予約入力'!$E$5:$E$204&lt;&gt;"")*('01_予約入力'!$K$5:$K$204&lt;&gt;"キャンセル")*('01_予約入力'!$B$5:$B$204=$A9)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9">
        <f>IF(OR($A9="",P$4=""),0,SUMPRODUCT(('01_予約入力'!$E$5:$E$204&lt;&gt;"")*('01_予約入力'!$K$5:$K$204&lt;&gt;"キャンセル")*('01_予約入力'!$B$5:$B$204=$A9)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9">
        <f>IF(OR($A9="",Q$4=""),0,SUMPRODUCT(('01_予約入力'!$E$5:$E$204&lt;&gt;"")*('01_予約入力'!$K$5:$K$204&lt;&gt;"キャンセル")*('01_予約入力'!$B$5:$B$204=$A9)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9">
        <f>IF(OR($A9="",R$4=""),0,SUMPRODUCT(('01_予約入力'!$E$5:$E$204&lt;&gt;"")*('01_予約入力'!$K$5:$K$204&lt;&gt;"キャンセル")*('01_予約入力'!$B$5:$B$204=$A9)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9">
        <f>IF(OR($A9="",S$4=""),0,SUMPRODUCT(('01_予約入力'!$E$5:$E$204&lt;&gt;"")*('01_予約入力'!$K$5:$K$204&lt;&gt;"キャンセル")*('01_予約入力'!$B$5:$B$204=$A9)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9">
        <f>IF(OR($A9="",T$4=""),0,SUMPRODUCT(('01_予約入力'!$E$5:$E$204&lt;&gt;"")*('01_予約入力'!$K$5:$K$204&lt;&gt;"キャンセル")*('01_予約入力'!$B$5:$B$204=$A9)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9">
        <f>IF(OR($A9="",U$4=""),0,SUMPRODUCT(('01_予約入力'!$E$5:$E$204&lt;&gt;"")*('01_予約入力'!$K$5:$K$204&lt;&gt;"キャンセル")*('01_予約入力'!$B$5:$B$204=$A9)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9">
        <f>IF(OR($A9="",V$4=""),0,SUMPRODUCT(('01_予約入力'!$E$5:$E$204&lt;&gt;"")*('01_予約入力'!$K$5:$K$204&lt;&gt;"キャンセル")*('01_予約入力'!$B$5:$B$204=$A9)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9">
        <f>IF(OR($A9="",W$4=""),0,SUMPRODUCT(('01_予約入力'!$E$5:$E$204&lt;&gt;"")*('01_予約入力'!$K$5:$K$204&lt;&gt;"キャンセル")*('01_予約入力'!$B$5:$B$204=$A9)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9">
        <f>IF(OR($A9="",X$4=""),0,SUMPRODUCT(('01_予約入力'!$E$5:$E$204&lt;&gt;"")*('01_予約入力'!$K$5:$K$204&lt;&gt;"キャンセル")*('01_予約入力'!$B$5:$B$204=$A9)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9">
        <f>IF(OR($A9="",Y$4=""),0,SUMPRODUCT(('01_予約入力'!$E$5:$E$204&lt;&gt;"")*('01_予約入力'!$K$5:$K$204&lt;&gt;"キャンセル")*('01_予約入力'!$B$5:$B$204=$A9)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9">
        <f>IF(OR($A9="",Z$4=""),0,SUMPRODUCT(('01_予約入力'!$E$5:$E$204&lt;&gt;"")*('01_予約入力'!$K$5:$K$204&lt;&gt;"キャンセル")*('01_予約入力'!$B$5:$B$204=$A9)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9">
        <f>IF(OR($A9="",AA$4=""),0,SUMPRODUCT(('01_予約入力'!$E$5:$E$204&lt;&gt;"")*('01_予約入力'!$K$5:$K$204&lt;&gt;"キャンセル")*('01_予約入力'!$B$5:$B$204=$A9)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9">
        <f>IF(OR($A9="",AB$4=""),0,SUMPRODUCT(('01_予約入力'!$E$5:$E$204&lt;&gt;"")*('01_予約入力'!$K$5:$K$204&lt;&gt;"キャンセル")*('01_予約入力'!$B$5:$B$204=$A9)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9">
        <f>IF(OR($A9="",AC$4=""),0,SUMPRODUCT(('01_予約入力'!$E$5:$E$204&lt;&gt;"")*('01_予約入力'!$K$5:$K$204&lt;&gt;"キャンセル")*('01_予約入力'!$B$5:$B$204=$A9)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9">
        <f>IF(OR($A9="",AD$4=""),0,SUMPRODUCT(('01_予約入力'!$E$5:$E$204&lt;&gt;"")*('01_予約入力'!$K$5:$K$204&lt;&gt;"キャンセル")*('01_予約入力'!$B$5:$B$204=$A9)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9">
        <f>IF(OR($A9="",AE$4=""),0,SUMPRODUCT(('01_予約入力'!$E$5:$E$204&lt;&gt;"")*('01_予約入力'!$K$5:$K$204&lt;&gt;"キャンセル")*('01_予約入力'!$B$5:$B$204=$A9)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9">
        <f>IF(OR($A9="",AF$4=""),0,SUMPRODUCT(('01_予約入力'!$E$5:$E$204&lt;&gt;"")*('01_予約入力'!$K$5:$K$204&lt;&gt;"キャンセル")*('01_予約入力'!$B$5:$B$204=$A9)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0">
      <c r="A10" s="29">
        <f>IF(COUNTA('M_利用者'!$A$4:$A$60)&gt;=4,INDEX('M_利用者'!$A$4:$A$60,4),"")</f>
        <v/>
      </c>
      <c r="B10" s="30">
        <f>IF($AP10=0,"",IF(MOD($AP10,8)=7,IF($AP10&gt;=8,"◇","◆"),IF(MOD($AP10,8)=3,IF($AP10&gt;=8,"▷","▶"),IF(MOD($AP10,8)=5,IF($AP10&gt;=8,"◁","◀"),IF($AP10&gt;=8,"□","■")))))</f>
        <v/>
      </c>
      <c r="C10" s="30">
        <f>IF($AQ10=0,"",IF(MOD($AQ10,8)=7,IF($AQ10&gt;=8,"◇","◆"),IF(MOD($AQ10,8)=3,IF($AQ10&gt;=8,"▷","▶"),IF(MOD($AQ10,8)=5,IF($AQ10&gt;=8,"◁","◀"),IF($AQ10&gt;=8,"□","■")))))</f>
        <v/>
      </c>
      <c r="D10" s="30">
        <f>IF($AR10=0,"",IF(MOD($AR10,8)=7,IF($AR10&gt;=8,"◇","◆"),IF(MOD($AR10,8)=3,IF($AR10&gt;=8,"▷","▶"),IF(MOD($AR10,8)=5,IF($AR10&gt;=8,"◁","◀"),IF($AR10&gt;=8,"□","■")))))</f>
        <v/>
      </c>
      <c r="E10" s="30">
        <f>IF($AS10=0,"",IF(MOD($AS10,8)=7,IF($AS10&gt;=8,"◇","◆"),IF(MOD($AS10,8)=3,IF($AS10&gt;=8,"▷","▶"),IF(MOD($AS10,8)=5,IF($AS10&gt;=8,"◁","◀"),IF($AS10&gt;=8,"□","■")))))</f>
        <v/>
      </c>
      <c r="F10" s="30">
        <f>IF($AT10=0,"",IF(MOD($AT10,8)=7,IF($AT10&gt;=8,"◇","◆"),IF(MOD($AT10,8)=3,IF($AT10&gt;=8,"▷","▶"),IF(MOD($AT10,8)=5,IF($AT10&gt;=8,"◁","◀"),IF($AT10&gt;=8,"□","■")))))</f>
        <v/>
      </c>
      <c r="G10" s="30">
        <f>IF($AU10=0,"",IF(MOD($AU10,8)=7,IF($AU10&gt;=8,"◇","◆"),IF(MOD($AU10,8)=3,IF($AU10&gt;=8,"▷","▶"),IF(MOD($AU10,8)=5,IF($AU10&gt;=8,"◁","◀"),IF($AU10&gt;=8,"□","■")))))</f>
        <v/>
      </c>
      <c r="H10" s="30">
        <f>IF($AV10=0,"",IF(MOD($AV10,8)=7,IF($AV10&gt;=8,"◇","◆"),IF(MOD($AV10,8)=3,IF($AV10&gt;=8,"▷","▶"),IF(MOD($AV10,8)=5,IF($AV10&gt;=8,"◁","◀"),IF($AV10&gt;=8,"□","■")))))</f>
        <v/>
      </c>
      <c r="I10" s="30">
        <f>IF($AW10=0,"",IF(MOD($AW10,8)=7,IF($AW10&gt;=8,"◇","◆"),IF(MOD($AW10,8)=3,IF($AW10&gt;=8,"▷","▶"),IF(MOD($AW10,8)=5,IF($AW10&gt;=8,"◁","◀"),IF($AW10&gt;=8,"□","■")))))</f>
        <v/>
      </c>
      <c r="J10" s="30">
        <f>IF($AX10=0,"",IF(MOD($AX10,8)=7,IF($AX10&gt;=8,"◇","◆"),IF(MOD($AX10,8)=3,IF($AX10&gt;=8,"▷","▶"),IF(MOD($AX10,8)=5,IF($AX10&gt;=8,"◁","◀"),IF($AX10&gt;=8,"□","■")))))</f>
        <v/>
      </c>
      <c r="K10" s="30">
        <f>IF($AY10=0,"",IF(MOD($AY10,8)=7,IF($AY10&gt;=8,"◇","◆"),IF(MOD($AY10,8)=3,IF($AY10&gt;=8,"▷","▶"),IF(MOD($AY10,8)=5,IF($AY10&gt;=8,"◁","◀"),IF($AY10&gt;=8,"□","■")))))</f>
        <v/>
      </c>
      <c r="L10" s="30">
        <f>IF($AZ10=0,"",IF(MOD($AZ10,8)=7,IF($AZ10&gt;=8,"◇","◆"),IF(MOD($AZ10,8)=3,IF($AZ10&gt;=8,"▷","▶"),IF(MOD($AZ10,8)=5,IF($AZ10&gt;=8,"◁","◀"),IF($AZ10&gt;=8,"□","■")))))</f>
        <v/>
      </c>
      <c r="M10" s="30">
        <f>IF($BA10=0,"",IF(MOD($BA10,8)=7,IF($BA10&gt;=8,"◇","◆"),IF(MOD($BA10,8)=3,IF($BA10&gt;=8,"▷","▶"),IF(MOD($BA10,8)=5,IF($BA10&gt;=8,"◁","◀"),IF($BA10&gt;=8,"□","■")))))</f>
        <v/>
      </c>
      <c r="N10" s="30">
        <f>IF($BB10=0,"",IF(MOD($BB10,8)=7,IF($BB10&gt;=8,"◇","◆"),IF(MOD($BB10,8)=3,IF($BB10&gt;=8,"▷","▶"),IF(MOD($BB10,8)=5,IF($BB10&gt;=8,"◁","◀"),IF($BB10&gt;=8,"□","■")))))</f>
        <v/>
      </c>
      <c r="O10" s="30">
        <f>IF($BC10=0,"",IF(MOD($BC10,8)=7,IF($BC10&gt;=8,"◇","◆"),IF(MOD($BC10,8)=3,IF($BC10&gt;=8,"▷","▶"),IF(MOD($BC10,8)=5,IF($BC10&gt;=8,"◁","◀"),IF($BC10&gt;=8,"□","■")))))</f>
        <v/>
      </c>
      <c r="P10" s="30">
        <f>IF($BD10=0,"",IF(MOD($BD10,8)=7,IF($BD10&gt;=8,"◇","◆"),IF(MOD($BD10,8)=3,IF($BD10&gt;=8,"▷","▶"),IF(MOD($BD10,8)=5,IF($BD10&gt;=8,"◁","◀"),IF($BD10&gt;=8,"□","■")))))</f>
        <v/>
      </c>
      <c r="Q10" s="30">
        <f>IF($BE10=0,"",IF(MOD($BE10,8)=7,IF($BE10&gt;=8,"◇","◆"),IF(MOD($BE10,8)=3,IF($BE10&gt;=8,"▷","▶"),IF(MOD($BE10,8)=5,IF($BE10&gt;=8,"◁","◀"),IF($BE10&gt;=8,"□","■")))))</f>
        <v/>
      </c>
      <c r="R10" s="30">
        <f>IF($BF10=0,"",IF(MOD($BF10,8)=7,IF($BF10&gt;=8,"◇","◆"),IF(MOD($BF10,8)=3,IF($BF10&gt;=8,"▷","▶"),IF(MOD($BF10,8)=5,IF($BF10&gt;=8,"◁","◀"),IF($BF10&gt;=8,"□","■")))))</f>
        <v/>
      </c>
      <c r="S10" s="30">
        <f>IF($BG10=0,"",IF(MOD($BG10,8)=7,IF($BG10&gt;=8,"◇","◆"),IF(MOD($BG10,8)=3,IF($BG10&gt;=8,"▷","▶"),IF(MOD($BG10,8)=5,IF($BG10&gt;=8,"◁","◀"),IF($BG10&gt;=8,"□","■")))))</f>
        <v/>
      </c>
      <c r="T10" s="30">
        <f>IF($BH10=0,"",IF(MOD($BH10,8)=7,IF($BH10&gt;=8,"◇","◆"),IF(MOD($BH10,8)=3,IF($BH10&gt;=8,"▷","▶"),IF(MOD($BH10,8)=5,IF($BH10&gt;=8,"◁","◀"),IF($BH10&gt;=8,"□","■")))))</f>
        <v/>
      </c>
      <c r="U10" s="30">
        <f>IF($BI10=0,"",IF(MOD($BI10,8)=7,IF($BI10&gt;=8,"◇","◆"),IF(MOD($BI10,8)=3,IF($BI10&gt;=8,"▷","▶"),IF(MOD($BI10,8)=5,IF($BI10&gt;=8,"◁","◀"),IF($BI10&gt;=8,"□","■")))))</f>
        <v/>
      </c>
      <c r="V10" s="30">
        <f>IF($BJ10=0,"",IF(MOD($BJ10,8)=7,IF($BJ10&gt;=8,"◇","◆"),IF(MOD($BJ10,8)=3,IF($BJ10&gt;=8,"▷","▶"),IF(MOD($BJ10,8)=5,IF($BJ10&gt;=8,"◁","◀"),IF($BJ10&gt;=8,"□","■")))))</f>
        <v/>
      </c>
      <c r="W10" s="30">
        <f>IF($BK10=0,"",IF(MOD($BK10,8)=7,IF($BK10&gt;=8,"◇","◆"),IF(MOD($BK10,8)=3,IF($BK10&gt;=8,"▷","▶"),IF(MOD($BK10,8)=5,IF($BK10&gt;=8,"◁","◀"),IF($BK10&gt;=8,"□","■")))))</f>
        <v/>
      </c>
      <c r="X10" s="30">
        <f>IF($BL10=0,"",IF(MOD($BL10,8)=7,IF($BL10&gt;=8,"◇","◆"),IF(MOD($BL10,8)=3,IF($BL10&gt;=8,"▷","▶"),IF(MOD($BL10,8)=5,IF($BL10&gt;=8,"◁","◀"),IF($BL10&gt;=8,"□","■")))))</f>
        <v/>
      </c>
      <c r="Y10" s="30">
        <f>IF($BM10=0,"",IF(MOD($BM10,8)=7,IF($BM10&gt;=8,"◇","◆"),IF(MOD($BM10,8)=3,IF($BM10&gt;=8,"▷","▶"),IF(MOD($BM10,8)=5,IF($BM10&gt;=8,"◁","◀"),IF($BM10&gt;=8,"□","■")))))</f>
        <v/>
      </c>
      <c r="Z10" s="30">
        <f>IF($BN10=0,"",IF(MOD($BN10,8)=7,IF($BN10&gt;=8,"◇","◆"),IF(MOD($BN10,8)=3,IF($BN10&gt;=8,"▷","▶"),IF(MOD($BN10,8)=5,IF($BN10&gt;=8,"◁","◀"),IF($BN10&gt;=8,"□","■")))))</f>
        <v/>
      </c>
      <c r="AA10" s="30">
        <f>IF($BO10=0,"",IF(MOD($BO10,8)=7,IF($BO10&gt;=8,"◇","◆"),IF(MOD($BO10,8)=3,IF($BO10&gt;=8,"▷","▶"),IF(MOD($BO10,8)=5,IF($BO10&gt;=8,"◁","◀"),IF($BO10&gt;=8,"□","■")))))</f>
        <v/>
      </c>
      <c r="AB10" s="30">
        <f>IF($BP10=0,"",IF(MOD($BP10,8)=7,IF($BP10&gt;=8,"◇","◆"),IF(MOD($BP10,8)=3,IF($BP10&gt;=8,"▷","▶"),IF(MOD($BP10,8)=5,IF($BP10&gt;=8,"◁","◀"),IF($BP10&gt;=8,"□","■")))))</f>
        <v/>
      </c>
      <c r="AC10" s="30">
        <f>IF($BQ10=0,"",IF(MOD($BQ10,8)=7,IF($BQ10&gt;=8,"◇","◆"),IF(MOD($BQ10,8)=3,IF($BQ10&gt;=8,"▷","▶"),IF(MOD($BQ10,8)=5,IF($BQ10&gt;=8,"◁","◀"),IF($BQ10&gt;=8,"□","■")))))</f>
        <v/>
      </c>
      <c r="AD10" s="30">
        <f>IF($BR10=0,"",IF(MOD($BR10,8)=7,IF($BR10&gt;=8,"◇","◆"),IF(MOD($BR10,8)=3,IF($BR10&gt;=8,"▷","▶"),IF(MOD($BR10,8)=5,IF($BR10&gt;=8,"◁","◀"),IF($BR10&gt;=8,"□","■")))))</f>
        <v/>
      </c>
      <c r="AE10" s="30">
        <f>IF($BS10=0,"",IF(MOD($BS10,8)=7,IF($BS10&gt;=8,"◇","◆"),IF(MOD($BS10,8)=3,IF($BS10&gt;=8,"▷","▶"),IF(MOD($BS10,8)=5,IF($BS10&gt;=8,"◁","◀"),IF($BS10&gt;=8,"□","■")))))</f>
        <v/>
      </c>
      <c r="AF10" s="30">
        <f>IF($BT10=0,"",IF(MOD($BT10,8)=7,IF($BT10&gt;=8,"◇","◆"),IF(MOD($BT10,8)=3,IF($BT10&gt;=8,"▷","▶"),IF(MOD($BT10,8)=5,IF($BT10&gt;=8,"◁","◀"),IF($BT10&gt;=8,"□","■")))))</f>
        <v/>
      </c>
      <c r="AG10" s="31">
        <f>IF($A10="","",COUNTIF($AP10:$BT10,"&gt;0"))</f>
        <v/>
      </c>
      <c r="AP10">
        <f>IF(OR($A10="",B$4=""),0,SUMPRODUCT(('01_予約入力'!$E$5:$E$204&lt;&gt;"")*('01_予約入力'!$K$5:$K$204&lt;&gt;"キャンセル")*('01_予約入力'!$B$5:$B$204=$A10)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0">
        <f>IF(OR($A10="",C$4=""),0,SUMPRODUCT(('01_予約入力'!$E$5:$E$204&lt;&gt;"")*('01_予約入力'!$K$5:$K$204&lt;&gt;"キャンセル")*('01_予約入力'!$B$5:$B$204=$A10)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0">
        <f>IF(OR($A10="",D$4=""),0,SUMPRODUCT(('01_予約入力'!$E$5:$E$204&lt;&gt;"")*('01_予約入力'!$K$5:$K$204&lt;&gt;"キャンセル")*('01_予約入力'!$B$5:$B$204=$A10)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0">
        <f>IF(OR($A10="",E$4=""),0,SUMPRODUCT(('01_予約入力'!$E$5:$E$204&lt;&gt;"")*('01_予約入力'!$K$5:$K$204&lt;&gt;"キャンセル")*('01_予約入力'!$B$5:$B$204=$A10)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0">
        <f>IF(OR($A10="",F$4=""),0,SUMPRODUCT(('01_予約入力'!$E$5:$E$204&lt;&gt;"")*('01_予約入力'!$K$5:$K$204&lt;&gt;"キャンセル")*('01_予約入力'!$B$5:$B$204=$A10)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0">
        <f>IF(OR($A10="",G$4=""),0,SUMPRODUCT(('01_予約入力'!$E$5:$E$204&lt;&gt;"")*('01_予約入力'!$K$5:$K$204&lt;&gt;"キャンセル")*('01_予約入力'!$B$5:$B$204=$A10)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0">
        <f>IF(OR($A10="",H$4=""),0,SUMPRODUCT(('01_予約入力'!$E$5:$E$204&lt;&gt;"")*('01_予約入力'!$K$5:$K$204&lt;&gt;"キャンセル")*('01_予約入力'!$B$5:$B$204=$A10)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0">
        <f>IF(OR($A10="",I$4=""),0,SUMPRODUCT(('01_予約入力'!$E$5:$E$204&lt;&gt;"")*('01_予約入力'!$K$5:$K$204&lt;&gt;"キャンセル")*('01_予約入力'!$B$5:$B$204=$A10)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0">
        <f>IF(OR($A10="",J$4=""),0,SUMPRODUCT(('01_予約入力'!$E$5:$E$204&lt;&gt;"")*('01_予約入力'!$K$5:$K$204&lt;&gt;"キャンセル")*('01_予約入力'!$B$5:$B$204=$A10)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0">
        <f>IF(OR($A10="",K$4=""),0,SUMPRODUCT(('01_予約入力'!$E$5:$E$204&lt;&gt;"")*('01_予約入力'!$K$5:$K$204&lt;&gt;"キャンセル")*('01_予約入力'!$B$5:$B$204=$A10)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0">
        <f>IF(OR($A10="",L$4=""),0,SUMPRODUCT(('01_予約入力'!$E$5:$E$204&lt;&gt;"")*('01_予約入力'!$K$5:$K$204&lt;&gt;"キャンセル")*('01_予約入力'!$B$5:$B$204=$A10)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0">
        <f>IF(OR($A10="",M$4=""),0,SUMPRODUCT(('01_予約入力'!$E$5:$E$204&lt;&gt;"")*('01_予約入力'!$K$5:$K$204&lt;&gt;"キャンセル")*('01_予約入力'!$B$5:$B$204=$A10)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0">
        <f>IF(OR($A10="",N$4=""),0,SUMPRODUCT(('01_予約入力'!$E$5:$E$204&lt;&gt;"")*('01_予約入力'!$K$5:$K$204&lt;&gt;"キャンセル")*('01_予約入力'!$B$5:$B$204=$A10)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0">
        <f>IF(OR($A10="",O$4=""),0,SUMPRODUCT(('01_予約入力'!$E$5:$E$204&lt;&gt;"")*('01_予約入力'!$K$5:$K$204&lt;&gt;"キャンセル")*('01_予約入力'!$B$5:$B$204=$A10)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0">
        <f>IF(OR($A10="",P$4=""),0,SUMPRODUCT(('01_予約入力'!$E$5:$E$204&lt;&gt;"")*('01_予約入力'!$K$5:$K$204&lt;&gt;"キャンセル")*('01_予約入力'!$B$5:$B$204=$A10)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0">
        <f>IF(OR($A10="",Q$4=""),0,SUMPRODUCT(('01_予約入力'!$E$5:$E$204&lt;&gt;"")*('01_予約入力'!$K$5:$K$204&lt;&gt;"キャンセル")*('01_予約入力'!$B$5:$B$204=$A10)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0">
        <f>IF(OR($A10="",R$4=""),0,SUMPRODUCT(('01_予約入力'!$E$5:$E$204&lt;&gt;"")*('01_予約入力'!$K$5:$K$204&lt;&gt;"キャンセル")*('01_予約入力'!$B$5:$B$204=$A10)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0">
        <f>IF(OR($A10="",S$4=""),0,SUMPRODUCT(('01_予約入力'!$E$5:$E$204&lt;&gt;"")*('01_予約入力'!$K$5:$K$204&lt;&gt;"キャンセル")*('01_予約入力'!$B$5:$B$204=$A10)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0">
        <f>IF(OR($A10="",T$4=""),0,SUMPRODUCT(('01_予約入力'!$E$5:$E$204&lt;&gt;"")*('01_予約入力'!$K$5:$K$204&lt;&gt;"キャンセル")*('01_予約入力'!$B$5:$B$204=$A10)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0">
        <f>IF(OR($A10="",U$4=""),0,SUMPRODUCT(('01_予約入力'!$E$5:$E$204&lt;&gt;"")*('01_予約入力'!$K$5:$K$204&lt;&gt;"キャンセル")*('01_予約入力'!$B$5:$B$204=$A10)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0">
        <f>IF(OR($A10="",V$4=""),0,SUMPRODUCT(('01_予約入力'!$E$5:$E$204&lt;&gt;"")*('01_予約入力'!$K$5:$K$204&lt;&gt;"キャンセル")*('01_予約入力'!$B$5:$B$204=$A10)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0">
        <f>IF(OR($A10="",W$4=""),0,SUMPRODUCT(('01_予約入力'!$E$5:$E$204&lt;&gt;"")*('01_予約入力'!$K$5:$K$204&lt;&gt;"キャンセル")*('01_予約入力'!$B$5:$B$204=$A10)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0">
        <f>IF(OR($A10="",X$4=""),0,SUMPRODUCT(('01_予約入力'!$E$5:$E$204&lt;&gt;"")*('01_予約入力'!$K$5:$K$204&lt;&gt;"キャンセル")*('01_予約入力'!$B$5:$B$204=$A10)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0">
        <f>IF(OR($A10="",Y$4=""),0,SUMPRODUCT(('01_予約入力'!$E$5:$E$204&lt;&gt;"")*('01_予約入力'!$K$5:$K$204&lt;&gt;"キャンセル")*('01_予約入力'!$B$5:$B$204=$A10)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0">
        <f>IF(OR($A10="",Z$4=""),0,SUMPRODUCT(('01_予約入力'!$E$5:$E$204&lt;&gt;"")*('01_予約入力'!$K$5:$K$204&lt;&gt;"キャンセル")*('01_予約入力'!$B$5:$B$204=$A10)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0">
        <f>IF(OR($A10="",AA$4=""),0,SUMPRODUCT(('01_予約入力'!$E$5:$E$204&lt;&gt;"")*('01_予約入力'!$K$5:$K$204&lt;&gt;"キャンセル")*('01_予約入力'!$B$5:$B$204=$A10)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0">
        <f>IF(OR($A10="",AB$4=""),0,SUMPRODUCT(('01_予約入力'!$E$5:$E$204&lt;&gt;"")*('01_予約入力'!$K$5:$K$204&lt;&gt;"キャンセル")*('01_予約入力'!$B$5:$B$204=$A10)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0">
        <f>IF(OR($A10="",AC$4=""),0,SUMPRODUCT(('01_予約入力'!$E$5:$E$204&lt;&gt;"")*('01_予約入力'!$K$5:$K$204&lt;&gt;"キャンセル")*('01_予約入力'!$B$5:$B$204=$A10)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0">
        <f>IF(OR($A10="",AD$4=""),0,SUMPRODUCT(('01_予約入力'!$E$5:$E$204&lt;&gt;"")*('01_予約入力'!$K$5:$K$204&lt;&gt;"キャンセル")*('01_予約入力'!$B$5:$B$204=$A10)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0">
        <f>IF(OR($A10="",AE$4=""),0,SUMPRODUCT(('01_予約入力'!$E$5:$E$204&lt;&gt;"")*('01_予約入力'!$K$5:$K$204&lt;&gt;"キャンセル")*('01_予約入力'!$B$5:$B$204=$A10)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0">
        <f>IF(OR($A10="",AF$4=""),0,SUMPRODUCT(('01_予約入力'!$E$5:$E$204&lt;&gt;"")*('01_予約入力'!$K$5:$K$204&lt;&gt;"キャンセル")*('01_予約入力'!$B$5:$B$204=$A10)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1">
      <c r="A11" s="29">
        <f>IF(COUNTA('M_利用者'!$A$4:$A$60)&gt;=5,INDEX('M_利用者'!$A$4:$A$60,5),"")</f>
        <v/>
      </c>
      <c r="B11" s="30">
        <f>IF($AP11=0,"",IF(MOD($AP11,8)=7,IF($AP11&gt;=8,"◇","◆"),IF(MOD($AP11,8)=3,IF($AP11&gt;=8,"▷","▶"),IF(MOD($AP11,8)=5,IF($AP11&gt;=8,"◁","◀"),IF($AP11&gt;=8,"□","■")))))</f>
        <v/>
      </c>
      <c r="C11" s="30">
        <f>IF($AQ11=0,"",IF(MOD($AQ11,8)=7,IF($AQ11&gt;=8,"◇","◆"),IF(MOD($AQ11,8)=3,IF($AQ11&gt;=8,"▷","▶"),IF(MOD($AQ11,8)=5,IF($AQ11&gt;=8,"◁","◀"),IF($AQ11&gt;=8,"□","■")))))</f>
        <v/>
      </c>
      <c r="D11" s="30">
        <f>IF($AR11=0,"",IF(MOD($AR11,8)=7,IF($AR11&gt;=8,"◇","◆"),IF(MOD($AR11,8)=3,IF($AR11&gt;=8,"▷","▶"),IF(MOD($AR11,8)=5,IF($AR11&gt;=8,"◁","◀"),IF($AR11&gt;=8,"□","■")))))</f>
        <v/>
      </c>
      <c r="E11" s="30">
        <f>IF($AS11=0,"",IF(MOD($AS11,8)=7,IF($AS11&gt;=8,"◇","◆"),IF(MOD($AS11,8)=3,IF($AS11&gt;=8,"▷","▶"),IF(MOD($AS11,8)=5,IF($AS11&gt;=8,"◁","◀"),IF($AS11&gt;=8,"□","■")))))</f>
        <v/>
      </c>
      <c r="F11" s="30">
        <f>IF($AT11=0,"",IF(MOD($AT11,8)=7,IF($AT11&gt;=8,"◇","◆"),IF(MOD($AT11,8)=3,IF($AT11&gt;=8,"▷","▶"),IF(MOD($AT11,8)=5,IF($AT11&gt;=8,"◁","◀"),IF($AT11&gt;=8,"□","■")))))</f>
        <v/>
      </c>
      <c r="G11" s="30">
        <f>IF($AU11=0,"",IF(MOD($AU11,8)=7,IF($AU11&gt;=8,"◇","◆"),IF(MOD($AU11,8)=3,IF($AU11&gt;=8,"▷","▶"),IF(MOD($AU11,8)=5,IF($AU11&gt;=8,"◁","◀"),IF($AU11&gt;=8,"□","■")))))</f>
        <v/>
      </c>
      <c r="H11" s="30">
        <f>IF($AV11=0,"",IF(MOD($AV11,8)=7,IF($AV11&gt;=8,"◇","◆"),IF(MOD($AV11,8)=3,IF($AV11&gt;=8,"▷","▶"),IF(MOD($AV11,8)=5,IF($AV11&gt;=8,"◁","◀"),IF($AV11&gt;=8,"□","■")))))</f>
        <v/>
      </c>
      <c r="I11" s="30">
        <f>IF($AW11=0,"",IF(MOD($AW11,8)=7,IF($AW11&gt;=8,"◇","◆"),IF(MOD($AW11,8)=3,IF($AW11&gt;=8,"▷","▶"),IF(MOD($AW11,8)=5,IF($AW11&gt;=8,"◁","◀"),IF($AW11&gt;=8,"□","■")))))</f>
        <v/>
      </c>
      <c r="J11" s="30">
        <f>IF($AX11=0,"",IF(MOD($AX11,8)=7,IF($AX11&gt;=8,"◇","◆"),IF(MOD($AX11,8)=3,IF($AX11&gt;=8,"▷","▶"),IF(MOD($AX11,8)=5,IF($AX11&gt;=8,"◁","◀"),IF($AX11&gt;=8,"□","■")))))</f>
        <v/>
      </c>
      <c r="K11" s="30">
        <f>IF($AY11=0,"",IF(MOD($AY11,8)=7,IF($AY11&gt;=8,"◇","◆"),IF(MOD($AY11,8)=3,IF($AY11&gt;=8,"▷","▶"),IF(MOD($AY11,8)=5,IF($AY11&gt;=8,"◁","◀"),IF($AY11&gt;=8,"□","■")))))</f>
        <v/>
      </c>
      <c r="L11" s="30">
        <f>IF($AZ11=0,"",IF(MOD($AZ11,8)=7,IF($AZ11&gt;=8,"◇","◆"),IF(MOD($AZ11,8)=3,IF($AZ11&gt;=8,"▷","▶"),IF(MOD($AZ11,8)=5,IF($AZ11&gt;=8,"◁","◀"),IF($AZ11&gt;=8,"□","■")))))</f>
        <v/>
      </c>
      <c r="M11" s="30">
        <f>IF($BA11=0,"",IF(MOD($BA11,8)=7,IF($BA11&gt;=8,"◇","◆"),IF(MOD($BA11,8)=3,IF($BA11&gt;=8,"▷","▶"),IF(MOD($BA11,8)=5,IF($BA11&gt;=8,"◁","◀"),IF($BA11&gt;=8,"□","■")))))</f>
        <v/>
      </c>
      <c r="N11" s="30">
        <f>IF($BB11=0,"",IF(MOD($BB11,8)=7,IF($BB11&gt;=8,"◇","◆"),IF(MOD($BB11,8)=3,IF($BB11&gt;=8,"▷","▶"),IF(MOD($BB11,8)=5,IF($BB11&gt;=8,"◁","◀"),IF($BB11&gt;=8,"□","■")))))</f>
        <v/>
      </c>
      <c r="O11" s="30">
        <f>IF($BC11=0,"",IF(MOD($BC11,8)=7,IF($BC11&gt;=8,"◇","◆"),IF(MOD($BC11,8)=3,IF($BC11&gt;=8,"▷","▶"),IF(MOD($BC11,8)=5,IF($BC11&gt;=8,"◁","◀"),IF($BC11&gt;=8,"□","■")))))</f>
        <v/>
      </c>
      <c r="P11" s="30">
        <f>IF($BD11=0,"",IF(MOD($BD11,8)=7,IF($BD11&gt;=8,"◇","◆"),IF(MOD($BD11,8)=3,IF($BD11&gt;=8,"▷","▶"),IF(MOD($BD11,8)=5,IF($BD11&gt;=8,"◁","◀"),IF($BD11&gt;=8,"□","■")))))</f>
        <v/>
      </c>
      <c r="Q11" s="30">
        <f>IF($BE11=0,"",IF(MOD($BE11,8)=7,IF($BE11&gt;=8,"◇","◆"),IF(MOD($BE11,8)=3,IF($BE11&gt;=8,"▷","▶"),IF(MOD($BE11,8)=5,IF($BE11&gt;=8,"◁","◀"),IF($BE11&gt;=8,"□","■")))))</f>
        <v/>
      </c>
      <c r="R11" s="30">
        <f>IF($BF11=0,"",IF(MOD($BF11,8)=7,IF($BF11&gt;=8,"◇","◆"),IF(MOD($BF11,8)=3,IF($BF11&gt;=8,"▷","▶"),IF(MOD($BF11,8)=5,IF($BF11&gt;=8,"◁","◀"),IF($BF11&gt;=8,"□","■")))))</f>
        <v/>
      </c>
      <c r="S11" s="30">
        <f>IF($BG11=0,"",IF(MOD($BG11,8)=7,IF($BG11&gt;=8,"◇","◆"),IF(MOD($BG11,8)=3,IF($BG11&gt;=8,"▷","▶"),IF(MOD($BG11,8)=5,IF($BG11&gt;=8,"◁","◀"),IF($BG11&gt;=8,"□","■")))))</f>
        <v/>
      </c>
      <c r="T11" s="30">
        <f>IF($BH11=0,"",IF(MOD($BH11,8)=7,IF($BH11&gt;=8,"◇","◆"),IF(MOD($BH11,8)=3,IF($BH11&gt;=8,"▷","▶"),IF(MOD($BH11,8)=5,IF($BH11&gt;=8,"◁","◀"),IF($BH11&gt;=8,"□","■")))))</f>
        <v/>
      </c>
      <c r="U11" s="30">
        <f>IF($BI11=0,"",IF(MOD($BI11,8)=7,IF($BI11&gt;=8,"◇","◆"),IF(MOD($BI11,8)=3,IF($BI11&gt;=8,"▷","▶"),IF(MOD($BI11,8)=5,IF($BI11&gt;=8,"◁","◀"),IF($BI11&gt;=8,"□","■")))))</f>
        <v/>
      </c>
      <c r="V11" s="30">
        <f>IF($BJ11=0,"",IF(MOD($BJ11,8)=7,IF($BJ11&gt;=8,"◇","◆"),IF(MOD($BJ11,8)=3,IF($BJ11&gt;=8,"▷","▶"),IF(MOD($BJ11,8)=5,IF($BJ11&gt;=8,"◁","◀"),IF($BJ11&gt;=8,"□","■")))))</f>
        <v/>
      </c>
      <c r="W11" s="30">
        <f>IF($BK11=0,"",IF(MOD($BK11,8)=7,IF($BK11&gt;=8,"◇","◆"),IF(MOD($BK11,8)=3,IF($BK11&gt;=8,"▷","▶"),IF(MOD($BK11,8)=5,IF($BK11&gt;=8,"◁","◀"),IF($BK11&gt;=8,"□","■")))))</f>
        <v/>
      </c>
      <c r="X11" s="30">
        <f>IF($BL11=0,"",IF(MOD($BL11,8)=7,IF($BL11&gt;=8,"◇","◆"),IF(MOD($BL11,8)=3,IF($BL11&gt;=8,"▷","▶"),IF(MOD($BL11,8)=5,IF($BL11&gt;=8,"◁","◀"),IF($BL11&gt;=8,"□","■")))))</f>
        <v/>
      </c>
      <c r="Y11" s="30">
        <f>IF($BM11=0,"",IF(MOD($BM11,8)=7,IF($BM11&gt;=8,"◇","◆"),IF(MOD($BM11,8)=3,IF($BM11&gt;=8,"▷","▶"),IF(MOD($BM11,8)=5,IF($BM11&gt;=8,"◁","◀"),IF($BM11&gt;=8,"□","■")))))</f>
        <v/>
      </c>
      <c r="Z11" s="30">
        <f>IF($BN11=0,"",IF(MOD($BN11,8)=7,IF($BN11&gt;=8,"◇","◆"),IF(MOD($BN11,8)=3,IF($BN11&gt;=8,"▷","▶"),IF(MOD($BN11,8)=5,IF($BN11&gt;=8,"◁","◀"),IF($BN11&gt;=8,"□","■")))))</f>
        <v/>
      </c>
      <c r="AA11" s="30">
        <f>IF($BO11=0,"",IF(MOD($BO11,8)=7,IF($BO11&gt;=8,"◇","◆"),IF(MOD($BO11,8)=3,IF($BO11&gt;=8,"▷","▶"),IF(MOD($BO11,8)=5,IF($BO11&gt;=8,"◁","◀"),IF($BO11&gt;=8,"□","■")))))</f>
        <v/>
      </c>
      <c r="AB11" s="30">
        <f>IF($BP11=0,"",IF(MOD($BP11,8)=7,IF($BP11&gt;=8,"◇","◆"),IF(MOD($BP11,8)=3,IF($BP11&gt;=8,"▷","▶"),IF(MOD($BP11,8)=5,IF($BP11&gt;=8,"◁","◀"),IF($BP11&gt;=8,"□","■")))))</f>
        <v/>
      </c>
      <c r="AC11" s="30">
        <f>IF($BQ11=0,"",IF(MOD($BQ11,8)=7,IF($BQ11&gt;=8,"◇","◆"),IF(MOD($BQ11,8)=3,IF($BQ11&gt;=8,"▷","▶"),IF(MOD($BQ11,8)=5,IF($BQ11&gt;=8,"◁","◀"),IF($BQ11&gt;=8,"□","■")))))</f>
        <v/>
      </c>
      <c r="AD11" s="30">
        <f>IF($BR11=0,"",IF(MOD($BR11,8)=7,IF($BR11&gt;=8,"◇","◆"),IF(MOD($BR11,8)=3,IF($BR11&gt;=8,"▷","▶"),IF(MOD($BR11,8)=5,IF($BR11&gt;=8,"◁","◀"),IF($BR11&gt;=8,"□","■")))))</f>
        <v/>
      </c>
      <c r="AE11" s="30">
        <f>IF($BS11=0,"",IF(MOD($BS11,8)=7,IF($BS11&gt;=8,"◇","◆"),IF(MOD($BS11,8)=3,IF($BS11&gt;=8,"▷","▶"),IF(MOD($BS11,8)=5,IF($BS11&gt;=8,"◁","◀"),IF($BS11&gt;=8,"□","■")))))</f>
        <v/>
      </c>
      <c r="AF11" s="30">
        <f>IF($BT11=0,"",IF(MOD($BT11,8)=7,IF($BT11&gt;=8,"◇","◆"),IF(MOD($BT11,8)=3,IF($BT11&gt;=8,"▷","▶"),IF(MOD($BT11,8)=5,IF($BT11&gt;=8,"◁","◀"),IF($BT11&gt;=8,"□","■")))))</f>
        <v/>
      </c>
      <c r="AG11" s="31">
        <f>IF($A11="","",COUNTIF($AP11:$BT11,"&gt;0"))</f>
        <v/>
      </c>
      <c r="AP11">
        <f>IF(OR($A11="",B$4=""),0,SUMPRODUCT(('01_予約入力'!$E$5:$E$204&lt;&gt;"")*('01_予約入力'!$K$5:$K$204&lt;&gt;"キャンセル")*('01_予約入力'!$B$5:$B$204=$A11)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1">
        <f>IF(OR($A11="",C$4=""),0,SUMPRODUCT(('01_予約入力'!$E$5:$E$204&lt;&gt;"")*('01_予約入力'!$K$5:$K$204&lt;&gt;"キャンセル")*('01_予約入力'!$B$5:$B$204=$A11)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1">
        <f>IF(OR($A11="",D$4=""),0,SUMPRODUCT(('01_予約入力'!$E$5:$E$204&lt;&gt;"")*('01_予約入力'!$K$5:$K$204&lt;&gt;"キャンセル")*('01_予約入力'!$B$5:$B$204=$A11)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1">
        <f>IF(OR($A11="",E$4=""),0,SUMPRODUCT(('01_予約入力'!$E$5:$E$204&lt;&gt;"")*('01_予約入力'!$K$5:$K$204&lt;&gt;"キャンセル")*('01_予約入力'!$B$5:$B$204=$A11)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1">
        <f>IF(OR($A11="",F$4=""),0,SUMPRODUCT(('01_予約入力'!$E$5:$E$204&lt;&gt;"")*('01_予約入力'!$K$5:$K$204&lt;&gt;"キャンセル")*('01_予約入力'!$B$5:$B$204=$A11)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1">
        <f>IF(OR($A11="",G$4=""),0,SUMPRODUCT(('01_予約入力'!$E$5:$E$204&lt;&gt;"")*('01_予約入力'!$K$5:$K$204&lt;&gt;"キャンセル")*('01_予約入力'!$B$5:$B$204=$A11)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1">
        <f>IF(OR($A11="",H$4=""),0,SUMPRODUCT(('01_予約入力'!$E$5:$E$204&lt;&gt;"")*('01_予約入力'!$K$5:$K$204&lt;&gt;"キャンセル")*('01_予約入力'!$B$5:$B$204=$A11)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1">
        <f>IF(OR($A11="",I$4=""),0,SUMPRODUCT(('01_予約入力'!$E$5:$E$204&lt;&gt;"")*('01_予約入力'!$K$5:$K$204&lt;&gt;"キャンセル")*('01_予約入力'!$B$5:$B$204=$A11)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1">
        <f>IF(OR($A11="",J$4=""),0,SUMPRODUCT(('01_予約入力'!$E$5:$E$204&lt;&gt;"")*('01_予約入力'!$K$5:$K$204&lt;&gt;"キャンセル")*('01_予約入力'!$B$5:$B$204=$A11)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1">
        <f>IF(OR($A11="",K$4=""),0,SUMPRODUCT(('01_予約入力'!$E$5:$E$204&lt;&gt;"")*('01_予約入力'!$K$5:$K$204&lt;&gt;"キャンセル")*('01_予約入力'!$B$5:$B$204=$A11)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1">
        <f>IF(OR($A11="",L$4=""),0,SUMPRODUCT(('01_予約入力'!$E$5:$E$204&lt;&gt;"")*('01_予約入力'!$K$5:$K$204&lt;&gt;"キャンセル")*('01_予約入力'!$B$5:$B$204=$A11)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1">
        <f>IF(OR($A11="",M$4=""),0,SUMPRODUCT(('01_予約入力'!$E$5:$E$204&lt;&gt;"")*('01_予約入力'!$K$5:$K$204&lt;&gt;"キャンセル")*('01_予約入力'!$B$5:$B$204=$A11)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1">
        <f>IF(OR($A11="",N$4=""),0,SUMPRODUCT(('01_予約入力'!$E$5:$E$204&lt;&gt;"")*('01_予約入力'!$K$5:$K$204&lt;&gt;"キャンセル")*('01_予約入力'!$B$5:$B$204=$A11)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1">
        <f>IF(OR($A11="",O$4=""),0,SUMPRODUCT(('01_予約入力'!$E$5:$E$204&lt;&gt;"")*('01_予約入力'!$K$5:$K$204&lt;&gt;"キャンセル")*('01_予約入力'!$B$5:$B$204=$A11)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1">
        <f>IF(OR($A11="",P$4=""),0,SUMPRODUCT(('01_予約入力'!$E$5:$E$204&lt;&gt;"")*('01_予約入力'!$K$5:$K$204&lt;&gt;"キャンセル")*('01_予約入力'!$B$5:$B$204=$A11)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1">
        <f>IF(OR($A11="",Q$4=""),0,SUMPRODUCT(('01_予約入力'!$E$5:$E$204&lt;&gt;"")*('01_予約入力'!$K$5:$K$204&lt;&gt;"キャンセル")*('01_予約入力'!$B$5:$B$204=$A11)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1">
        <f>IF(OR($A11="",R$4=""),0,SUMPRODUCT(('01_予約入力'!$E$5:$E$204&lt;&gt;"")*('01_予約入力'!$K$5:$K$204&lt;&gt;"キャンセル")*('01_予約入力'!$B$5:$B$204=$A11)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1">
        <f>IF(OR($A11="",S$4=""),0,SUMPRODUCT(('01_予約入力'!$E$5:$E$204&lt;&gt;"")*('01_予約入力'!$K$5:$K$204&lt;&gt;"キャンセル")*('01_予約入力'!$B$5:$B$204=$A11)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1">
        <f>IF(OR($A11="",T$4=""),0,SUMPRODUCT(('01_予約入力'!$E$5:$E$204&lt;&gt;"")*('01_予約入力'!$K$5:$K$204&lt;&gt;"キャンセル")*('01_予約入力'!$B$5:$B$204=$A11)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1">
        <f>IF(OR($A11="",U$4=""),0,SUMPRODUCT(('01_予約入力'!$E$5:$E$204&lt;&gt;"")*('01_予約入力'!$K$5:$K$204&lt;&gt;"キャンセル")*('01_予約入力'!$B$5:$B$204=$A11)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1">
        <f>IF(OR($A11="",V$4=""),0,SUMPRODUCT(('01_予約入力'!$E$5:$E$204&lt;&gt;"")*('01_予約入力'!$K$5:$K$204&lt;&gt;"キャンセル")*('01_予約入力'!$B$5:$B$204=$A11)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1">
        <f>IF(OR($A11="",W$4=""),0,SUMPRODUCT(('01_予約入力'!$E$5:$E$204&lt;&gt;"")*('01_予約入力'!$K$5:$K$204&lt;&gt;"キャンセル")*('01_予約入力'!$B$5:$B$204=$A11)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1">
        <f>IF(OR($A11="",X$4=""),0,SUMPRODUCT(('01_予約入力'!$E$5:$E$204&lt;&gt;"")*('01_予約入力'!$K$5:$K$204&lt;&gt;"キャンセル")*('01_予約入力'!$B$5:$B$204=$A11)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1">
        <f>IF(OR($A11="",Y$4=""),0,SUMPRODUCT(('01_予約入力'!$E$5:$E$204&lt;&gt;"")*('01_予約入力'!$K$5:$K$204&lt;&gt;"キャンセル")*('01_予約入力'!$B$5:$B$204=$A11)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1">
        <f>IF(OR($A11="",Z$4=""),0,SUMPRODUCT(('01_予約入力'!$E$5:$E$204&lt;&gt;"")*('01_予約入力'!$K$5:$K$204&lt;&gt;"キャンセル")*('01_予約入力'!$B$5:$B$204=$A11)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1">
        <f>IF(OR($A11="",AA$4=""),0,SUMPRODUCT(('01_予約入力'!$E$5:$E$204&lt;&gt;"")*('01_予約入力'!$K$5:$K$204&lt;&gt;"キャンセル")*('01_予約入力'!$B$5:$B$204=$A11)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1">
        <f>IF(OR($A11="",AB$4=""),0,SUMPRODUCT(('01_予約入力'!$E$5:$E$204&lt;&gt;"")*('01_予約入力'!$K$5:$K$204&lt;&gt;"キャンセル")*('01_予約入力'!$B$5:$B$204=$A11)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1">
        <f>IF(OR($A11="",AC$4=""),0,SUMPRODUCT(('01_予約入力'!$E$5:$E$204&lt;&gt;"")*('01_予約入力'!$K$5:$K$204&lt;&gt;"キャンセル")*('01_予約入力'!$B$5:$B$204=$A11)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1">
        <f>IF(OR($A11="",AD$4=""),0,SUMPRODUCT(('01_予約入力'!$E$5:$E$204&lt;&gt;"")*('01_予約入力'!$K$5:$K$204&lt;&gt;"キャンセル")*('01_予約入力'!$B$5:$B$204=$A11)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1">
        <f>IF(OR($A11="",AE$4=""),0,SUMPRODUCT(('01_予約入力'!$E$5:$E$204&lt;&gt;"")*('01_予約入力'!$K$5:$K$204&lt;&gt;"キャンセル")*('01_予約入力'!$B$5:$B$204=$A11)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1">
        <f>IF(OR($A11="",AF$4=""),0,SUMPRODUCT(('01_予約入力'!$E$5:$E$204&lt;&gt;"")*('01_予約入力'!$K$5:$K$204&lt;&gt;"キャンセル")*('01_予約入力'!$B$5:$B$204=$A11)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2">
      <c r="A12" s="29">
        <f>IF(COUNTA('M_利用者'!$A$4:$A$60)&gt;=6,INDEX('M_利用者'!$A$4:$A$60,6),"")</f>
        <v/>
      </c>
      <c r="B12" s="30">
        <f>IF($AP12=0,"",IF(MOD($AP12,8)=7,IF($AP12&gt;=8,"◇","◆"),IF(MOD($AP12,8)=3,IF($AP12&gt;=8,"▷","▶"),IF(MOD($AP12,8)=5,IF($AP12&gt;=8,"◁","◀"),IF($AP12&gt;=8,"□","■")))))</f>
        <v/>
      </c>
      <c r="C12" s="30">
        <f>IF($AQ12=0,"",IF(MOD($AQ12,8)=7,IF($AQ12&gt;=8,"◇","◆"),IF(MOD($AQ12,8)=3,IF($AQ12&gt;=8,"▷","▶"),IF(MOD($AQ12,8)=5,IF($AQ12&gt;=8,"◁","◀"),IF($AQ12&gt;=8,"□","■")))))</f>
        <v/>
      </c>
      <c r="D12" s="30">
        <f>IF($AR12=0,"",IF(MOD($AR12,8)=7,IF($AR12&gt;=8,"◇","◆"),IF(MOD($AR12,8)=3,IF($AR12&gt;=8,"▷","▶"),IF(MOD($AR12,8)=5,IF($AR12&gt;=8,"◁","◀"),IF($AR12&gt;=8,"□","■")))))</f>
        <v/>
      </c>
      <c r="E12" s="30">
        <f>IF($AS12=0,"",IF(MOD($AS12,8)=7,IF($AS12&gt;=8,"◇","◆"),IF(MOD($AS12,8)=3,IF($AS12&gt;=8,"▷","▶"),IF(MOD($AS12,8)=5,IF($AS12&gt;=8,"◁","◀"),IF($AS12&gt;=8,"□","■")))))</f>
        <v/>
      </c>
      <c r="F12" s="30">
        <f>IF($AT12=0,"",IF(MOD($AT12,8)=7,IF($AT12&gt;=8,"◇","◆"),IF(MOD($AT12,8)=3,IF($AT12&gt;=8,"▷","▶"),IF(MOD($AT12,8)=5,IF($AT12&gt;=8,"◁","◀"),IF($AT12&gt;=8,"□","■")))))</f>
        <v/>
      </c>
      <c r="G12" s="30">
        <f>IF($AU12=0,"",IF(MOD($AU12,8)=7,IF($AU12&gt;=8,"◇","◆"),IF(MOD($AU12,8)=3,IF($AU12&gt;=8,"▷","▶"),IF(MOD($AU12,8)=5,IF($AU12&gt;=8,"◁","◀"),IF($AU12&gt;=8,"□","■")))))</f>
        <v/>
      </c>
      <c r="H12" s="30">
        <f>IF($AV12=0,"",IF(MOD($AV12,8)=7,IF($AV12&gt;=8,"◇","◆"),IF(MOD($AV12,8)=3,IF($AV12&gt;=8,"▷","▶"),IF(MOD($AV12,8)=5,IF($AV12&gt;=8,"◁","◀"),IF($AV12&gt;=8,"□","■")))))</f>
        <v/>
      </c>
      <c r="I12" s="30">
        <f>IF($AW12=0,"",IF(MOD($AW12,8)=7,IF($AW12&gt;=8,"◇","◆"),IF(MOD($AW12,8)=3,IF($AW12&gt;=8,"▷","▶"),IF(MOD($AW12,8)=5,IF($AW12&gt;=8,"◁","◀"),IF($AW12&gt;=8,"□","■")))))</f>
        <v/>
      </c>
      <c r="J12" s="30">
        <f>IF($AX12=0,"",IF(MOD($AX12,8)=7,IF($AX12&gt;=8,"◇","◆"),IF(MOD($AX12,8)=3,IF($AX12&gt;=8,"▷","▶"),IF(MOD($AX12,8)=5,IF($AX12&gt;=8,"◁","◀"),IF($AX12&gt;=8,"□","■")))))</f>
        <v/>
      </c>
      <c r="K12" s="30">
        <f>IF($AY12=0,"",IF(MOD($AY12,8)=7,IF($AY12&gt;=8,"◇","◆"),IF(MOD($AY12,8)=3,IF($AY12&gt;=8,"▷","▶"),IF(MOD($AY12,8)=5,IF($AY12&gt;=8,"◁","◀"),IF($AY12&gt;=8,"□","■")))))</f>
        <v/>
      </c>
      <c r="L12" s="30">
        <f>IF($AZ12=0,"",IF(MOD($AZ12,8)=7,IF($AZ12&gt;=8,"◇","◆"),IF(MOD($AZ12,8)=3,IF($AZ12&gt;=8,"▷","▶"),IF(MOD($AZ12,8)=5,IF($AZ12&gt;=8,"◁","◀"),IF($AZ12&gt;=8,"□","■")))))</f>
        <v/>
      </c>
      <c r="M12" s="30">
        <f>IF($BA12=0,"",IF(MOD($BA12,8)=7,IF($BA12&gt;=8,"◇","◆"),IF(MOD($BA12,8)=3,IF($BA12&gt;=8,"▷","▶"),IF(MOD($BA12,8)=5,IF($BA12&gt;=8,"◁","◀"),IF($BA12&gt;=8,"□","■")))))</f>
        <v/>
      </c>
      <c r="N12" s="30">
        <f>IF($BB12=0,"",IF(MOD($BB12,8)=7,IF($BB12&gt;=8,"◇","◆"),IF(MOD($BB12,8)=3,IF($BB12&gt;=8,"▷","▶"),IF(MOD($BB12,8)=5,IF($BB12&gt;=8,"◁","◀"),IF($BB12&gt;=8,"□","■")))))</f>
        <v/>
      </c>
      <c r="O12" s="30">
        <f>IF($BC12=0,"",IF(MOD($BC12,8)=7,IF($BC12&gt;=8,"◇","◆"),IF(MOD($BC12,8)=3,IF($BC12&gt;=8,"▷","▶"),IF(MOD($BC12,8)=5,IF($BC12&gt;=8,"◁","◀"),IF($BC12&gt;=8,"□","■")))))</f>
        <v/>
      </c>
      <c r="P12" s="30">
        <f>IF($BD12=0,"",IF(MOD($BD12,8)=7,IF($BD12&gt;=8,"◇","◆"),IF(MOD($BD12,8)=3,IF($BD12&gt;=8,"▷","▶"),IF(MOD($BD12,8)=5,IF($BD12&gt;=8,"◁","◀"),IF($BD12&gt;=8,"□","■")))))</f>
        <v/>
      </c>
      <c r="Q12" s="30">
        <f>IF($BE12=0,"",IF(MOD($BE12,8)=7,IF($BE12&gt;=8,"◇","◆"),IF(MOD($BE12,8)=3,IF($BE12&gt;=8,"▷","▶"),IF(MOD($BE12,8)=5,IF($BE12&gt;=8,"◁","◀"),IF($BE12&gt;=8,"□","■")))))</f>
        <v/>
      </c>
      <c r="R12" s="30">
        <f>IF($BF12=0,"",IF(MOD($BF12,8)=7,IF($BF12&gt;=8,"◇","◆"),IF(MOD($BF12,8)=3,IF($BF12&gt;=8,"▷","▶"),IF(MOD($BF12,8)=5,IF($BF12&gt;=8,"◁","◀"),IF($BF12&gt;=8,"□","■")))))</f>
        <v/>
      </c>
      <c r="S12" s="30">
        <f>IF($BG12=0,"",IF(MOD($BG12,8)=7,IF($BG12&gt;=8,"◇","◆"),IF(MOD($BG12,8)=3,IF($BG12&gt;=8,"▷","▶"),IF(MOD($BG12,8)=5,IF($BG12&gt;=8,"◁","◀"),IF($BG12&gt;=8,"□","■")))))</f>
        <v/>
      </c>
      <c r="T12" s="30">
        <f>IF($BH12=0,"",IF(MOD($BH12,8)=7,IF($BH12&gt;=8,"◇","◆"),IF(MOD($BH12,8)=3,IF($BH12&gt;=8,"▷","▶"),IF(MOD($BH12,8)=5,IF($BH12&gt;=8,"◁","◀"),IF($BH12&gt;=8,"□","■")))))</f>
        <v/>
      </c>
      <c r="U12" s="30">
        <f>IF($BI12=0,"",IF(MOD($BI12,8)=7,IF($BI12&gt;=8,"◇","◆"),IF(MOD($BI12,8)=3,IF($BI12&gt;=8,"▷","▶"),IF(MOD($BI12,8)=5,IF($BI12&gt;=8,"◁","◀"),IF($BI12&gt;=8,"□","■")))))</f>
        <v/>
      </c>
      <c r="V12" s="30">
        <f>IF($BJ12=0,"",IF(MOD($BJ12,8)=7,IF($BJ12&gt;=8,"◇","◆"),IF(MOD($BJ12,8)=3,IF($BJ12&gt;=8,"▷","▶"),IF(MOD($BJ12,8)=5,IF($BJ12&gt;=8,"◁","◀"),IF($BJ12&gt;=8,"□","■")))))</f>
        <v/>
      </c>
      <c r="W12" s="30">
        <f>IF($BK12=0,"",IF(MOD($BK12,8)=7,IF($BK12&gt;=8,"◇","◆"),IF(MOD($BK12,8)=3,IF($BK12&gt;=8,"▷","▶"),IF(MOD($BK12,8)=5,IF($BK12&gt;=8,"◁","◀"),IF($BK12&gt;=8,"□","■")))))</f>
        <v/>
      </c>
      <c r="X12" s="30">
        <f>IF($BL12=0,"",IF(MOD($BL12,8)=7,IF($BL12&gt;=8,"◇","◆"),IF(MOD($BL12,8)=3,IF($BL12&gt;=8,"▷","▶"),IF(MOD($BL12,8)=5,IF($BL12&gt;=8,"◁","◀"),IF($BL12&gt;=8,"□","■")))))</f>
        <v/>
      </c>
      <c r="Y12" s="30">
        <f>IF($BM12=0,"",IF(MOD($BM12,8)=7,IF($BM12&gt;=8,"◇","◆"),IF(MOD($BM12,8)=3,IF($BM12&gt;=8,"▷","▶"),IF(MOD($BM12,8)=5,IF($BM12&gt;=8,"◁","◀"),IF($BM12&gt;=8,"□","■")))))</f>
        <v/>
      </c>
      <c r="Z12" s="30">
        <f>IF($BN12=0,"",IF(MOD($BN12,8)=7,IF($BN12&gt;=8,"◇","◆"),IF(MOD($BN12,8)=3,IF($BN12&gt;=8,"▷","▶"),IF(MOD($BN12,8)=5,IF($BN12&gt;=8,"◁","◀"),IF($BN12&gt;=8,"□","■")))))</f>
        <v/>
      </c>
      <c r="AA12" s="30">
        <f>IF($BO12=0,"",IF(MOD($BO12,8)=7,IF($BO12&gt;=8,"◇","◆"),IF(MOD($BO12,8)=3,IF($BO12&gt;=8,"▷","▶"),IF(MOD($BO12,8)=5,IF($BO12&gt;=8,"◁","◀"),IF($BO12&gt;=8,"□","■")))))</f>
        <v/>
      </c>
      <c r="AB12" s="30">
        <f>IF($BP12=0,"",IF(MOD($BP12,8)=7,IF($BP12&gt;=8,"◇","◆"),IF(MOD($BP12,8)=3,IF($BP12&gt;=8,"▷","▶"),IF(MOD($BP12,8)=5,IF($BP12&gt;=8,"◁","◀"),IF($BP12&gt;=8,"□","■")))))</f>
        <v/>
      </c>
      <c r="AC12" s="30">
        <f>IF($BQ12=0,"",IF(MOD($BQ12,8)=7,IF($BQ12&gt;=8,"◇","◆"),IF(MOD($BQ12,8)=3,IF($BQ12&gt;=8,"▷","▶"),IF(MOD($BQ12,8)=5,IF($BQ12&gt;=8,"◁","◀"),IF($BQ12&gt;=8,"□","■")))))</f>
        <v/>
      </c>
      <c r="AD12" s="30">
        <f>IF($BR12=0,"",IF(MOD($BR12,8)=7,IF($BR12&gt;=8,"◇","◆"),IF(MOD($BR12,8)=3,IF($BR12&gt;=8,"▷","▶"),IF(MOD($BR12,8)=5,IF($BR12&gt;=8,"◁","◀"),IF($BR12&gt;=8,"□","■")))))</f>
        <v/>
      </c>
      <c r="AE12" s="30">
        <f>IF($BS12=0,"",IF(MOD($BS12,8)=7,IF($BS12&gt;=8,"◇","◆"),IF(MOD($BS12,8)=3,IF($BS12&gt;=8,"▷","▶"),IF(MOD($BS12,8)=5,IF($BS12&gt;=8,"◁","◀"),IF($BS12&gt;=8,"□","■")))))</f>
        <v/>
      </c>
      <c r="AF12" s="30">
        <f>IF($BT12=0,"",IF(MOD($BT12,8)=7,IF($BT12&gt;=8,"◇","◆"),IF(MOD($BT12,8)=3,IF($BT12&gt;=8,"▷","▶"),IF(MOD($BT12,8)=5,IF($BT12&gt;=8,"◁","◀"),IF($BT12&gt;=8,"□","■")))))</f>
        <v/>
      </c>
      <c r="AG12" s="31">
        <f>IF($A12="","",COUNTIF($AP12:$BT12,"&gt;0"))</f>
        <v/>
      </c>
      <c r="AP12">
        <f>IF(OR($A12="",B$4=""),0,SUMPRODUCT(('01_予約入力'!$E$5:$E$204&lt;&gt;"")*('01_予約入力'!$K$5:$K$204&lt;&gt;"キャンセル")*('01_予約入力'!$B$5:$B$204=$A12)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2">
        <f>IF(OR($A12="",C$4=""),0,SUMPRODUCT(('01_予約入力'!$E$5:$E$204&lt;&gt;"")*('01_予約入力'!$K$5:$K$204&lt;&gt;"キャンセル")*('01_予約入力'!$B$5:$B$204=$A12)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2">
        <f>IF(OR($A12="",D$4=""),0,SUMPRODUCT(('01_予約入力'!$E$5:$E$204&lt;&gt;"")*('01_予約入力'!$K$5:$K$204&lt;&gt;"キャンセル")*('01_予約入力'!$B$5:$B$204=$A12)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2">
        <f>IF(OR($A12="",E$4=""),0,SUMPRODUCT(('01_予約入力'!$E$5:$E$204&lt;&gt;"")*('01_予約入力'!$K$5:$K$204&lt;&gt;"キャンセル")*('01_予約入力'!$B$5:$B$204=$A12)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2">
        <f>IF(OR($A12="",F$4=""),0,SUMPRODUCT(('01_予約入力'!$E$5:$E$204&lt;&gt;"")*('01_予約入力'!$K$5:$K$204&lt;&gt;"キャンセル")*('01_予約入力'!$B$5:$B$204=$A12)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2">
        <f>IF(OR($A12="",G$4=""),0,SUMPRODUCT(('01_予約入力'!$E$5:$E$204&lt;&gt;"")*('01_予約入力'!$K$5:$K$204&lt;&gt;"キャンセル")*('01_予約入力'!$B$5:$B$204=$A12)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2">
        <f>IF(OR($A12="",H$4=""),0,SUMPRODUCT(('01_予約入力'!$E$5:$E$204&lt;&gt;"")*('01_予約入力'!$K$5:$K$204&lt;&gt;"キャンセル")*('01_予約入力'!$B$5:$B$204=$A12)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2">
        <f>IF(OR($A12="",I$4=""),0,SUMPRODUCT(('01_予約入力'!$E$5:$E$204&lt;&gt;"")*('01_予約入力'!$K$5:$K$204&lt;&gt;"キャンセル")*('01_予約入力'!$B$5:$B$204=$A12)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2">
        <f>IF(OR($A12="",J$4=""),0,SUMPRODUCT(('01_予約入力'!$E$5:$E$204&lt;&gt;"")*('01_予約入力'!$K$5:$K$204&lt;&gt;"キャンセル")*('01_予約入力'!$B$5:$B$204=$A12)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2">
        <f>IF(OR($A12="",K$4=""),0,SUMPRODUCT(('01_予約入力'!$E$5:$E$204&lt;&gt;"")*('01_予約入力'!$K$5:$K$204&lt;&gt;"キャンセル")*('01_予約入力'!$B$5:$B$204=$A12)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2">
        <f>IF(OR($A12="",L$4=""),0,SUMPRODUCT(('01_予約入力'!$E$5:$E$204&lt;&gt;"")*('01_予約入力'!$K$5:$K$204&lt;&gt;"キャンセル")*('01_予約入力'!$B$5:$B$204=$A12)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2">
        <f>IF(OR($A12="",M$4=""),0,SUMPRODUCT(('01_予約入力'!$E$5:$E$204&lt;&gt;"")*('01_予約入力'!$K$5:$K$204&lt;&gt;"キャンセル")*('01_予約入力'!$B$5:$B$204=$A12)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2">
        <f>IF(OR($A12="",N$4=""),0,SUMPRODUCT(('01_予約入力'!$E$5:$E$204&lt;&gt;"")*('01_予約入力'!$K$5:$K$204&lt;&gt;"キャンセル")*('01_予約入力'!$B$5:$B$204=$A12)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2">
        <f>IF(OR($A12="",O$4=""),0,SUMPRODUCT(('01_予約入力'!$E$5:$E$204&lt;&gt;"")*('01_予約入力'!$K$5:$K$204&lt;&gt;"キャンセル")*('01_予約入力'!$B$5:$B$204=$A12)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2">
        <f>IF(OR($A12="",P$4=""),0,SUMPRODUCT(('01_予約入力'!$E$5:$E$204&lt;&gt;"")*('01_予約入力'!$K$5:$K$204&lt;&gt;"キャンセル")*('01_予約入力'!$B$5:$B$204=$A12)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2">
        <f>IF(OR($A12="",Q$4=""),0,SUMPRODUCT(('01_予約入力'!$E$5:$E$204&lt;&gt;"")*('01_予約入力'!$K$5:$K$204&lt;&gt;"キャンセル")*('01_予約入力'!$B$5:$B$204=$A12)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2">
        <f>IF(OR($A12="",R$4=""),0,SUMPRODUCT(('01_予約入力'!$E$5:$E$204&lt;&gt;"")*('01_予約入力'!$K$5:$K$204&lt;&gt;"キャンセル")*('01_予約入力'!$B$5:$B$204=$A12)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2">
        <f>IF(OR($A12="",S$4=""),0,SUMPRODUCT(('01_予約入力'!$E$5:$E$204&lt;&gt;"")*('01_予約入力'!$K$5:$K$204&lt;&gt;"キャンセル")*('01_予約入力'!$B$5:$B$204=$A12)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2">
        <f>IF(OR($A12="",T$4=""),0,SUMPRODUCT(('01_予約入力'!$E$5:$E$204&lt;&gt;"")*('01_予約入力'!$K$5:$K$204&lt;&gt;"キャンセル")*('01_予約入力'!$B$5:$B$204=$A12)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2">
        <f>IF(OR($A12="",U$4=""),0,SUMPRODUCT(('01_予約入力'!$E$5:$E$204&lt;&gt;"")*('01_予約入力'!$K$5:$K$204&lt;&gt;"キャンセル")*('01_予約入力'!$B$5:$B$204=$A12)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2">
        <f>IF(OR($A12="",V$4=""),0,SUMPRODUCT(('01_予約入力'!$E$5:$E$204&lt;&gt;"")*('01_予約入力'!$K$5:$K$204&lt;&gt;"キャンセル")*('01_予約入力'!$B$5:$B$204=$A12)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2">
        <f>IF(OR($A12="",W$4=""),0,SUMPRODUCT(('01_予約入力'!$E$5:$E$204&lt;&gt;"")*('01_予約入力'!$K$5:$K$204&lt;&gt;"キャンセル")*('01_予約入力'!$B$5:$B$204=$A12)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2">
        <f>IF(OR($A12="",X$4=""),0,SUMPRODUCT(('01_予約入力'!$E$5:$E$204&lt;&gt;"")*('01_予約入力'!$K$5:$K$204&lt;&gt;"キャンセル")*('01_予約入力'!$B$5:$B$204=$A12)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2">
        <f>IF(OR($A12="",Y$4=""),0,SUMPRODUCT(('01_予約入力'!$E$5:$E$204&lt;&gt;"")*('01_予約入力'!$K$5:$K$204&lt;&gt;"キャンセル")*('01_予約入力'!$B$5:$B$204=$A12)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2">
        <f>IF(OR($A12="",Z$4=""),0,SUMPRODUCT(('01_予約入力'!$E$5:$E$204&lt;&gt;"")*('01_予約入力'!$K$5:$K$204&lt;&gt;"キャンセル")*('01_予約入力'!$B$5:$B$204=$A12)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2">
        <f>IF(OR($A12="",AA$4=""),0,SUMPRODUCT(('01_予約入力'!$E$5:$E$204&lt;&gt;"")*('01_予約入力'!$K$5:$K$204&lt;&gt;"キャンセル")*('01_予約入力'!$B$5:$B$204=$A12)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2">
        <f>IF(OR($A12="",AB$4=""),0,SUMPRODUCT(('01_予約入力'!$E$5:$E$204&lt;&gt;"")*('01_予約入力'!$K$5:$K$204&lt;&gt;"キャンセル")*('01_予約入力'!$B$5:$B$204=$A12)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2">
        <f>IF(OR($A12="",AC$4=""),0,SUMPRODUCT(('01_予約入力'!$E$5:$E$204&lt;&gt;"")*('01_予約入力'!$K$5:$K$204&lt;&gt;"キャンセル")*('01_予約入力'!$B$5:$B$204=$A12)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2">
        <f>IF(OR($A12="",AD$4=""),0,SUMPRODUCT(('01_予約入力'!$E$5:$E$204&lt;&gt;"")*('01_予約入力'!$K$5:$K$204&lt;&gt;"キャンセル")*('01_予約入力'!$B$5:$B$204=$A12)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2">
        <f>IF(OR($A12="",AE$4=""),0,SUMPRODUCT(('01_予約入力'!$E$5:$E$204&lt;&gt;"")*('01_予約入力'!$K$5:$K$204&lt;&gt;"キャンセル")*('01_予約入力'!$B$5:$B$204=$A12)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2">
        <f>IF(OR($A12="",AF$4=""),0,SUMPRODUCT(('01_予約入力'!$E$5:$E$204&lt;&gt;"")*('01_予約入力'!$K$5:$K$204&lt;&gt;"キャンセル")*('01_予約入力'!$B$5:$B$204=$A12)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3">
      <c r="A13" s="29">
        <f>IF(COUNTA('M_利用者'!$A$4:$A$60)&gt;=7,INDEX('M_利用者'!$A$4:$A$60,7),"")</f>
        <v/>
      </c>
      <c r="B13" s="30">
        <f>IF($AP13=0,"",IF(MOD($AP13,8)=7,IF($AP13&gt;=8,"◇","◆"),IF(MOD($AP13,8)=3,IF($AP13&gt;=8,"▷","▶"),IF(MOD($AP13,8)=5,IF($AP13&gt;=8,"◁","◀"),IF($AP13&gt;=8,"□","■")))))</f>
        <v/>
      </c>
      <c r="C13" s="30">
        <f>IF($AQ13=0,"",IF(MOD($AQ13,8)=7,IF($AQ13&gt;=8,"◇","◆"),IF(MOD($AQ13,8)=3,IF($AQ13&gt;=8,"▷","▶"),IF(MOD($AQ13,8)=5,IF($AQ13&gt;=8,"◁","◀"),IF($AQ13&gt;=8,"□","■")))))</f>
        <v/>
      </c>
      <c r="D13" s="30">
        <f>IF($AR13=0,"",IF(MOD($AR13,8)=7,IF($AR13&gt;=8,"◇","◆"),IF(MOD($AR13,8)=3,IF($AR13&gt;=8,"▷","▶"),IF(MOD($AR13,8)=5,IF($AR13&gt;=8,"◁","◀"),IF($AR13&gt;=8,"□","■")))))</f>
        <v/>
      </c>
      <c r="E13" s="30">
        <f>IF($AS13=0,"",IF(MOD($AS13,8)=7,IF($AS13&gt;=8,"◇","◆"),IF(MOD($AS13,8)=3,IF($AS13&gt;=8,"▷","▶"),IF(MOD($AS13,8)=5,IF($AS13&gt;=8,"◁","◀"),IF($AS13&gt;=8,"□","■")))))</f>
        <v/>
      </c>
      <c r="F13" s="30">
        <f>IF($AT13=0,"",IF(MOD($AT13,8)=7,IF($AT13&gt;=8,"◇","◆"),IF(MOD($AT13,8)=3,IF($AT13&gt;=8,"▷","▶"),IF(MOD($AT13,8)=5,IF($AT13&gt;=8,"◁","◀"),IF($AT13&gt;=8,"□","■")))))</f>
        <v/>
      </c>
      <c r="G13" s="30">
        <f>IF($AU13=0,"",IF(MOD($AU13,8)=7,IF($AU13&gt;=8,"◇","◆"),IF(MOD($AU13,8)=3,IF($AU13&gt;=8,"▷","▶"),IF(MOD($AU13,8)=5,IF($AU13&gt;=8,"◁","◀"),IF($AU13&gt;=8,"□","■")))))</f>
        <v/>
      </c>
      <c r="H13" s="30">
        <f>IF($AV13=0,"",IF(MOD($AV13,8)=7,IF($AV13&gt;=8,"◇","◆"),IF(MOD($AV13,8)=3,IF($AV13&gt;=8,"▷","▶"),IF(MOD($AV13,8)=5,IF($AV13&gt;=8,"◁","◀"),IF($AV13&gt;=8,"□","■")))))</f>
        <v/>
      </c>
      <c r="I13" s="30">
        <f>IF($AW13=0,"",IF(MOD($AW13,8)=7,IF($AW13&gt;=8,"◇","◆"),IF(MOD($AW13,8)=3,IF($AW13&gt;=8,"▷","▶"),IF(MOD($AW13,8)=5,IF($AW13&gt;=8,"◁","◀"),IF($AW13&gt;=8,"□","■")))))</f>
        <v/>
      </c>
      <c r="J13" s="30">
        <f>IF($AX13=0,"",IF(MOD($AX13,8)=7,IF($AX13&gt;=8,"◇","◆"),IF(MOD($AX13,8)=3,IF($AX13&gt;=8,"▷","▶"),IF(MOD($AX13,8)=5,IF($AX13&gt;=8,"◁","◀"),IF($AX13&gt;=8,"□","■")))))</f>
        <v/>
      </c>
      <c r="K13" s="30">
        <f>IF($AY13=0,"",IF(MOD($AY13,8)=7,IF($AY13&gt;=8,"◇","◆"),IF(MOD($AY13,8)=3,IF($AY13&gt;=8,"▷","▶"),IF(MOD($AY13,8)=5,IF($AY13&gt;=8,"◁","◀"),IF($AY13&gt;=8,"□","■")))))</f>
        <v/>
      </c>
      <c r="L13" s="30">
        <f>IF($AZ13=0,"",IF(MOD($AZ13,8)=7,IF($AZ13&gt;=8,"◇","◆"),IF(MOD($AZ13,8)=3,IF($AZ13&gt;=8,"▷","▶"),IF(MOD($AZ13,8)=5,IF($AZ13&gt;=8,"◁","◀"),IF($AZ13&gt;=8,"□","■")))))</f>
        <v/>
      </c>
      <c r="M13" s="30">
        <f>IF($BA13=0,"",IF(MOD($BA13,8)=7,IF($BA13&gt;=8,"◇","◆"),IF(MOD($BA13,8)=3,IF($BA13&gt;=8,"▷","▶"),IF(MOD($BA13,8)=5,IF($BA13&gt;=8,"◁","◀"),IF($BA13&gt;=8,"□","■")))))</f>
        <v/>
      </c>
      <c r="N13" s="30">
        <f>IF($BB13=0,"",IF(MOD($BB13,8)=7,IF($BB13&gt;=8,"◇","◆"),IF(MOD($BB13,8)=3,IF($BB13&gt;=8,"▷","▶"),IF(MOD($BB13,8)=5,IF($BB13&gt;=8,"◁","◀"),IF($BB13&gt;=8,"□","■")))))</f>
        <v/>
      </c>
      <c r="O13" s="30">
        <f>IF($BC13=0,"",IF(MOD($BC13,8)=7,IF($BC13&gt;=8,"◇","◆"),IF(MOD($BC13,8)=3,IF($BC13&gt;=8,"▷","▶"),IF(MOD($BC13,8)=5,IF($BC13&gt;=8,"◁","◀"),IF($BC13&gt;=8,"□","■")))))</f>
        <v/>
      </c>
      <c r="P13" s="30">
        <f>IF($BD13=0,"",IF(MOD($BD13,8)=7,IF($BD13&gt;=8,"◇","◆"),IF(MOD($BD13,8)=3,IF($BD13&gt;=8,"▷","▶"),IF(MOD($BD13,8)=5,IF($BD13&gt;=8,"◁","◀"),IF($BD13&gt;=8,"□","■")))))</f>
        <v/>
      </c>
      <c r="Q13" s="30">
        <f>IF($BE13=0,"",IF(MOD($BE13,8)=7,IF($BE13&gt;=8,"◇","◆"),IF(MOD($BE13,8)=3,IF($BE13&gt;=8,"▷","▶"),IF(MOD($BE13,8)=5,IF($BE13&gt;=8,"◁","◀"),IF($BE13&gt;=8,"□","■")))))</f>
        <v/>
      </c>
      <c r="R13" s="30">
        <f>IF($BF13=0,"",IF(MOD($BF13,8)=7,IF($BF13&gt;=8,"◇","◆"),IF(MOD($BF13,8)=3,IF($BF13&gt;=8,"▷","▶"),IF(MOD($BF13,8)=5,IF($BF13&gt;=8,"◁","◀"),IF($BF13&gt;=8,"□","■")))))</f>
        <v/>
      </c>
      <c r="S13" s="30">
        <f>IF($BG13=0,"",IF(MOD($BG13,8)=7,IF($BG13&gt;=8,"◇","◆"),IF(MOD($BG13,8)=3,IF($BG13&gt;=8,"▷","▶"),IF(MOD($BG13,8)=5,IF($BG13&gt;=8,"◁","◀"),IF($BG13&gt;=8,"□","■")))))</f>
        <v/>
      </c>
      <c r="T13" s="30">
        <f>IF($BH13=0,"",IF(MOD($BH13,8)=7,IF($BH13&gt;=8,"◇","◆"),IF(MOD($BH13,8)=3,IF($BH13&gt;=8,"▷","▶"),IF(MOD($BH13,8)=5,IF($BH13&gt;=8,"◁","◀"),IF($BH13&gt;=8,"□","■")))))</f>
        <v/>
      </c>
      <c r="U13" s="30">
        <f>IF($BI13=0,"",IF(MOD($BI13,8)=7,IF($BI13&gt;=8,"◇","◆"),IF(MOD($BI13,8)=3,IF($BI13&gt;=8,"▷","▶"),IF(MOD($BI13,8)=5,IF($BI13&gt;=8,"◁","◀"),IF($BI13&gt;=8,"□","■")))))</f>
        <v/>
      </c>
      <c r="V13" s="30">
        <f>IF($BJ13=0,"",IF(MOD($BJ13,8)=7,IF($BJ13&gt;=8,"◇","◆"),IF(MOD($BJ13,8)=3,IF($BJ13&gt;=8,"▷","▶"),IF(MOD($BJ13,8)=5,IF($BJ13&gt;=8,"◁","◀"),IF($BJ13&gt;=8,"□","■")))))</f>
        <v/>
      </c>
      <c r="W13" s="30">
        <f>IF($BK13=0,"",IF(MOD($BK13,8)=7,IF($BK13&gt;=8,"◇","◆"),IF(MOD($BK13,8)=3,IF($BK13&gt;=8,"▷","▶"),IF(MOD($BK13,8)=5,IF($BK13&gt;=8,"◁","◀"),IF($BK13&gt;=8,"□","■")))))</f>
        <v/>
      </c>
      <c r="X13" s="30">
        <f>IF($BL13=0,"",IF(MOD($BL13,8)=7,IF($BL13&gt;=8,"◇","◆"),IF(MOD($BL13,8)=3,IF($BL13&gt;=8,"▷","▶"),IF(MOD($BL13,8)=5,IF($BL13&gt;=8,"◁","◀"),IF($BL13&gt;=8,"□","■")))))</f>
        <v/>
      </c>
      <c r="Y13" s="30">
        <f>IF($BM13=0,"",IF(MOD($BM13,8)=7,IF($BM13&gt;=8,"◇","◆"),IF(MOD($BM13,8)=3,IF($BM13&gt;=8,"▷","▶"),IF(MOD($BM13,8)=5,IF($BM13&gt;=8,"◁","◀"),IF($BM13&gt;=8,"□","■")))))</f>
        <v/>
      </c>
      <c r="Z13" s="30">
        <f>IF($BN13=0,"",IF(MOD($BN13,8)=7,IF($BN13&gt;=8,"◇","◆"),IF(MOD($BN13,8)=3,IF($BN13&gt;=8,"▷","▶"),IF(MOD($BN13,8)=5,IF($BN13&gt;=8,"◁","◀"),IF($BN13&gt;=8,"□","■")))))</f>
        <v/>
      </c>
      <c r="AA13" s="30">
        <f>IF($BO13=0,"",IF(MOD($BO13,8)=7,IF($BO13&gt;=8,"◇","◆"),IF(MOD($BO13,8)=3,IF($BO13&gt;=8,"▷","▶"),IF(MOD($BO13,8)=5,IF($BO13&gt;=8,"◁","◀"),IF($BO13&gt;=8,"□","■")))))</f>
        <v/>
      </c>
      <c r="AB13" s="30">
        <f>IF($BP13=0,"",IF(MOD($BP13,8)=7,IF($BP13&gt;=8,"◇","◆"),IF(MOD($BP13,8)=3,IF($BP13&gt;=8,"▷","▶"),IF(MOD($BP13,8)=5,IF($BP13&gt;=8,"◁","◀"),IF($BP13&gt;=8,"□","■")))))</f>
        <v/>
      </c>
      <c r="AC13" s="30">
        <f>IF($BQ13=0,"",IF(MOD($BQ13,8)=7,IF($BQ13&gt;=8,"◇","◆"),IF(MOD($BQ13,8)=3,IF($BQ13&gt;=8,"▷","▶"),IF(MOD($BQ13,8)=5,IF($BQ13&gt;=8,"◁","◀"),IF($BQ13&gt;=8,"□","■")))))</f>
        <v/>
      </c>
      <c r="AD13" s="30">
        <f>IF($BR13=0,"",IF(MOD($BR13,8)=7,IF($BR13&gt;=8,"◇","◆"),IF(MOD($BR13,8)=3,IF($BR13&gt;=8,"▷","▶"),IF(MOD($BR13,8)=5,IF($BR13&gt;=8,"◁","◀"),IF($BR13&gt;=8,"□","■")))))</f>
        <v/>
      </c>
      <c r="AE13" s="30">
        <f>IF($BS13=0,"",IF(MOD($BS13,8)=7,IF($BS13&gt;=8,"◇","◆"),IF(MOD($BS13,8)=3,IF($BS13&gt;=8,"▷","▶"),IF(MOD($BS13,8)=5,IF($BS13&gt;=8,"◁","◀"),IF($BS13&gt;=8,"□","■")))))</f>
        <v/>
      </c>
      <c r="AF13" s="30">
        <f>IF($BT13=0,"",IF(MOD($BT13,8)=7,IF($BT13&gt;=8,"◇","◆"),IF(MOD($BT13,8)=3,IF($BT13&gt;=8,"▷","▶"),IF(MOD($BT13,8)=5,IF($BT13&gt;=8,"◁","◀"),IF($BT13&gt;=8,"□","■")))))</f>
        <v/>
      </c>
      <c r="AG13" s="31">
        <f>IF($A13="","",COUNTIF($AP13:$BT13,"&gt;0"))</f>
        <v/>
      </c>
      <c r="AP13">
        <f>IF(OR($A13="",B$4=""),0,SUMPRODUCT(('01_予約入力'!$E$5:$E$204&lt;&gt;"")*('01_予約入力'!$K$5:$K$204&lt;&gt;"キャンセル")*('01_予約入力'!$B$5:$B$204=$A13)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3">
        <f>IF(OR($A13="",C$4=""),0,SUMPRODUCT(('01_予約入力'!$E$5:$E$204&lt;&gt;"")*('01_予約入力'!$K$5:$K$204&lt;&gt;"キャンセル")*('01_予約入力'!$B$5:$B$204=$A13)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3">
        <f>IF(OR($A13="",D$4=""),0,SUMPRODUCT(('01_予約入力'!$E$5:$E$204&lt;&gt;"")*('01_予約入力'!$K$5:$K$204&lt;&gt;"キャンセル")*('01_予約入力'!$B$5:$B$204=$A13)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3">
        <f>IF(OR($A13="",E$4=""),0,SUMPRODUCT(('01_予約入力'!$E$5:$E$204&lt;&gt;"")*('01_予約入力'!$K$5:$K$204&lt;&gt;"キャンセル")*('01_予約入力'!$B$5:$B$204=$A13)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3">
        <f>IF(OR($A13="",F$4=""),0,SUMPRODUCT(('01_予約入力'!$E$5:$E$204&lt;&gt;"")*('01_予約入力'!$K$5:$K$204&lt;&gt;"キャンセル")*('01_予約入力'!$B$5:$B$204=$A13)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3">
        <f>IF(OR($A13="",G$4=""),0,SUMPRODUCT(('01_予約入力'!$E$5:$E$204&lt;&gt;"")*('01_予約入力'!$K$5:$K$204&lt;&gt;"キャンセル")*('01_予約入力'!$B$5:$B$204=$A13)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3">
        <f>IF(OR($A13="",H$4=""),0,SUMPRODUCT(('01_予約入力'!$E$5:$E$204&lt;&gt;"")*('01_予約入力'!$K$5:$K$204&lt;&gt;"キャンセル")*('01_予約入力'!$B$5:$B$204=$A13)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3">
        <f>IF(OR($A13="",I$4=""),0,SUMPRODUCT(('01_予約入力'!$E$5:$E$204&lt;&gt;"")*('01_予約入力'!$K$5:$K$204&lt;&gt;"キャンセル")*('01_予約入力'!$B$5:$B$204=$A13)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3">
        <f>IF(OR($A13="",J$4=""),0,SUMPRODUCT(('01_予約入力'!$E$5:$E$204&lt;&gt;"")*('01_予約入力'!$K$5:$K$204&lt;&gt;"キャンセル")*('01_予約入力'!$B$5:$B$204=$A13)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3">
        <f>IF(OR($A13="",K$4=""),0,SUMPRODUCT(('01_予約入力'!$E$5:$E$204&lt;&gt;"")*('01_予約入力'!$K$5:$K$204&lt;&gt;"キャンセル")*('01_予約入力'!$B$5:$B$204=$A13)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3">
        <f>IF(OR($A13="",L$4=""),0,SUMPRODUCT(('01_予約入力'!$E$5:$E$204&lt;&gt;"")*('01_予約入力'!$K$5:$K$204&lt;&gt;"キャンセル")*('01_予約入力'!$B$5:$B$204=$A13)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3">
        <f>IF(OR($A13="",M$4=""),0,SUMPRODUCT(('01_予約入力'!$E$5:$E$204&lt;&gt;"")*('01_予約入力'!$K$5:$K$204&lt;&gt;"キャンセル")*('01_予約入力'!$B$5:$B$204=$A13)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3">
        <f>IF(OR($A13="",N$4=""),0,SUMPRODUCT(('01_予約入力'!$E$5:$E$204&lt;&gt;"")*('01_予約入力'!$K$5:$K$204&lt;&gt;"キャンセル")*('01_予約入力'!$B$5:$B$204=$A13)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3">
        <f>IF(OR($A13="",O$4=""),0,SUMPRODUCT(('01_予約入力'!$E$5:$E$204&lt;&gt;"")*('01_予約入力'!$K$5:$K$204&lt;&gt;"キャンセル")*('01_予約入力'!$B$5:$B$204=$A13)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3">
        <f>IF(OR($A13="",P$4=""),0,SUMPRODUCT(('01_予約入力'!$E$5:$E$204&lt;&gt;"")*('01_予約入力'!$K$5:$K$204&lt;&gt;"キャンセル")*('01_予約入力'!$B$5:$B$204=$A13)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3">
        <f>IF(OR($A13="",Q$4=""),0,SUMPRODUCT(('01_予約入力'!$E$5:$E$204&lt;&gt;"")*('01_予約入力'!$K$5:$K$204&lt;&gt;"キャンセル")*('01_予約入力'!$B$5:$B$204=$A13)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3">
        <f>IF(OR($A13="",R$4=""),0,SUMPRODUCT(('01_予約入力'!$E$5:$E$204&lt;&gt;"")*('01_予約入力'!$K$5:$K$204&lt;&gt;"キャンセル")*('01_予約入力'!$B$5:$B$204=$A13)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3">
        <f>IF(OR($A13="",S$4=""),0,SUMPRODUCT(('01_予約入力'!$E$5:$E$204&lt;&gt;"")*('01_予約入力'!$K$5:$K$204&lt;&gt;"キャンセル")*('01_予約入力'!$B$5:$B$204=$A13)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3">
        <f>IF(OR($A13="",T$4=""),0,SUMPRODUCT(('01_予約入力'!$E$5:$E$204&lt;&gt;"")*('01_予約入力'!$K$5:$K$204&lt;&gt;"キャンセル")*('01_予約入力'!$B$5:$B$204=$A13)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3">
        <f>IF(OR($A13="",U$4=""),0,SUMPRODUCT(('01_予約入力'!$E$5:$E$204&lt;&gt;"")*('01_予約入力'!$K$5:$K$204&lt;&gt;"キャンセル")*('01_予約入力'!$B$5:$B$204=$A13)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3">
        <f>IF(OR($A13="",V$4=""),0,SUMPRODUCT(('01_予約入力'!$E$5:$E$204&lt;&gt;"")*('01_予約入力'!$K$5:$K$204&lt;&gt;"キャンセル")*('01_予約入力'!$B$5:$B$204=$A13)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3">
        <f>IF(OR($A13="",W$4=""),0,SUMPRODUCT(('01_予約入力'!$E$5:$E$204&lt;&gt;"")*('01_予約入力'!$K$5:$K$204&lt;&gt;"キャンセル")*('01_予約入力'!$B$5:$B$204=$A13)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3">
        <f>IF(OR($A13="",X$4=""),0,SUMPRODUCT(('01_予約入力'!$E$5:$E$204&lt;&gt;"")*('01_予約入力'!$K$5:$K$204&lt;&gt;"キャンセル")*('01_予約入力'!$B$5:$B$204=$A13)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3">
        <f>IF(OR($A13="",Y$4=""),0,SUMPRODUCT(('01_予約入力'!$E$5:$E$204&lt;&gt;"")*('01_予約入力'!$K$5:$K$204&lt;&gt;"キャンセル")*('01_予約入力'!$B$5:$B$204=$A13)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3">
        <f>IF(OR($A13="",Z$4=""),0,SUMPRODUCT(('01_予約入力'!$E$5:$E$204&lt;&gt;"")*('01_予約入力'!$K$5:$K$204&lt;&gt;"キャンセル")*('01_予約入力'!$B$5:$B$204=$A13)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3">
        <f>IF(OR($A13="",AA$4=""),0,SUMPRODUCT(('01_予約入力'!$E$5:$E$204&lt;&gt;"")*('01_予約入力'!$K$5:$K$204&lt;&gt;"キャンセル")*('01_予約入力'!$B$5:$B$204=$A13)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3">
        <f>IF(OR($A13="",AB$4=""),0,SUMPRODUCT(('01_予約入力'!$E$5:$E$204&lt;&gt;"")*('01_予約入力'!$K$5:$K$204&lt;&gt;"キャンセル")*('01_予約入力'!$B$5:$B$204=$A13)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3">
        <f>IF(OR($A13="",AC$4=""),0,SUMPRODUCT(('01_予約入力'!$E$5:$E$204&lt;&gt;"")*('01_予約入力'!$K$5:$K$204&lt;&gt;"キャンセル")*('01_予約入力'!$B$5:$B$204=$A13)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3">
        <f>IF(OR($A13="",AD$4=""),0,SUMPRODUCT(('01_予約入力'!$E$5:$E$204&lt;&gt;"")*('01_予約入力'!$K$5:$K$204&lt;&gt;"キャンセル")*('01_予約入力'!$B$5:$B$204=$A13)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3">
        <f>IF(OR($A13="",AE$4=""),0,SUMPRODUCT(('01_予約入力'!$E$5:$E$204&lt;&gt;"")*('01_予約入力'!$K$5:$K$204&lt;&gt;"キャンセル")*('01_予約入力'!$B$5:$B$204=$A13)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3">
        <f>IF(OR($A13="",AF$4=""),0,SUMPRODUCT(('01_予約入力'!$E$5:$E$204&lt;&gt;"")*('01_予約入力'!$K$5:$K$204&lt;&gt;"キャンセル")*('01_予約入力'!$B$5:$B$204=$A13)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4">
      <c r="A14" s="29">
        <f>IF(COUNTA('M_利用者'!$A$4:$A$60)&gt;=8,INDEX('M_利用者'!$A$4:$A$60,8),"")</f>
        <v/>
      </c>
      <c r="B14" s="30">
        <f>IF($AP14=0,"",IF(MOD($AP14,8)=7,IF($AP14&gt;=8,"◇","◆"),IF(MOD($AP14,8)=3,IF($AP14&gt;=8,"▷","▶"),IF(MOD($AP14,8)=5,IF($AP14&gt;=8,"◁","◀"),IF($AP14&gt;=8,"□","■")))))</f>
        <v/>
      </c>
      <c r="C14" s="30">
        <f>IF($AQ14=0,"",IF(MOD($AQ14,8)=7,IF($AQ14&gt;=8,"◇","◆"),IF(MOD($AQ14,8)=3,IF($AQ14&gt;=8,"▷","▶"),IF(MOD($AQ14,8)=5,IF($AQ14&gt;=8,"◁","◀"),IF($AQ14&gt;=8,"□","■")))))</f>
        <v/>
      </c>
      <c r="D14" s="30">
        <f>IF($AR14=0,"",IF(MOD($AR14,8)=7,IF($AR14&gt;=8,"◇","◆"),IF(MOD($AR14,8)=3,IF($AR14&gt;=8,"▷","▶"),IF(MOD($AR14,8)=5,IF($AR14&gt;=8,"◁","◀"),IF($AR14&gt;=8,"□","■")))))</f>
        <v/>
      </c>
      <c r="E14" s="30">
        <f>IF($AS14=0,"",IF(MOD($AS14,8)=7,IF($AS14&gt;=8,"◇","◆"),IF(MOD($AS14,8)=3,IF($AS14&gt;=8,"▷","▶"),IF(MOD($AS14,8)=5,IF($AS14&gt;=8,"◁","◀"),IF($AS14&gt;=8,"□","■")))))</f>
        <v/>
      </c>
      <c r="F14" s="30">
        <f>IF($AT14=0,"",IF(MOD($AT14,8)=7,IF($AT14&gt;=8,"◇","◆"),IF(MOD($AT14,8)=3,IF($AT14&gt;=8,"▷","▶"),IF(MOD($AT14,8)=5,IF($AT14&gt;=8,"◁","◀"),IF($AT14&gt;=8,"□","■")))))</f>
        <v/>
      </c>
      <c r="G14" s="30">
        <f>IF($AU14=0,"",IF(MOD($AU14,8)=7,IF($AU14&gt;=8,"◇","◆"),IF(MOD($AU14,8)=3,IF($AU14&gt;=8,"▷","▶"),IF(MOD($AU14,8)=5,IF($AU14&gt;=8,"◁","◀"),IF($AU14&gt;=8,"□","■")))))</f>
        <v/>
      </c>
      <c r="H14" s="30">
        <f>IF($AV14=0,"",IF(MOD($AV14,8)=7,IF($AV14&gt;=8,"◇","◆"),IF(MOD($AV14,8)=3,IF($AV14&gt;=8,"▷","▶"),IF(MOD($AV14,8)=5,IF($AV14&gt;=8,"◁","◀"),IF($AV14&gt;=8,"□","■")))))</f>
        <v/>
      </c>
      <c r="I14" s="30">
        <f>IF($AW14=0,"",IF(MOD($AW14,8)=7,IF($AW14&gt;=8,"◇","◆"),IF(MOD($AW14,8)=3,IF($AW14&gt;=8,"▷","▶"),IF(MOD($AW14,8)=5,IF($AW14&gt;=8,"◁","◀"),IF($AW14&gt;=8,"□","■")))))</f>
        <v/>
      </c>
      <c r="J14" s="30">
        <f>IF($AX14=0,"",IF(MOD($AX14,8)=7,IF($AX14&gt;=8,"◇","◆"),IF(MOD($AX14,8)=3,IF($AX14&gt;=8,"▷","▶"),IF(MOD($AX14,8)=5,IF($AX14&gt;=8,"◁","◀"),IF($AX14&gt;=8,"□","■")))))</f>
        <v/>
      </c>
      <c r="K14" s="30">
        <f>IF($AY14=0,"",IF(MOD($AY14,8)=7,IF($AY14&gt;=8,"◇","◆"),IF(MOD($AY14,8)=3,IF($AY14&gt;=8,"▷","▶"),IF(MOD($AY14,8)=5,IF($AY14&gt;=8,"◁","◀"),IF($AY14&gt;=8,"□","■")))))</f>
        <v/>
      </c>
      <c r="L14" s="30">
        <f>IF($AZ14=0,"",IF(MOD($AZ14,8)=7,IF($AZ14&gt;=8,"◇","◆"),IF(MOD($AZ14,8)=3,IF($AZ14&gt;=8,"▷","▶"),IF(MOD($AZ14,8)=5,IF($AZ14&gt;=8,"◁","◀"),IF($AZ14&gt;=8,"□","■")))))</f>
        <v/>
      </c>
      <c r="M14" s="30">
        <f>IF($BA14=0,"",IF(MOD($BA14,8)=7,IF($BA14&gt;=8,"◇","◆"),IF(MOD($BA14,8)=3,IF($BA14&gt;=8,"▷","▶"),IF(MOD($BA14,8)=5,IF($BA14&gt;=8,"◁","◀"),IF($BA14&gt;=8,"□","■")))))</f>
        <v/>
      </c>
      <c r="N14" s="30">
        <f>IF($BB14=0,"",IF(MOD($BB14,8)=7,IF($BB14&gt;=8,"◇","◆"),IF(MOD($BB14,8)=3,IF($BB14&gt;=8,"▷","▶"),IF(MOD($BB14,8)=5,IF($BB14&gt;=8,"◁","◀"),IF($BB14&gt;=8,"□","■")))))</f>
        <v/>
      </c>
      <c r="O14" s="30">
        <f>IF($BC14=0,"",IF(MOD($BC14,8)=7,IF($BC14&gt;=8,"◇","◆"),IF(MOD($BC14,8)=3,IF($BC14&gt;=8,"▷","▶"),IF(MOD($BC14,8)=5,IF($BC14&gt;=8,"◁","◀"),IF($BC14&gt;=8,"□","■")))))</f>
        <v/>
      </c>
      <c r="P14" s="30">
        <f>IF($BD14=0,"",IF(MOD($BD14,8)=7,IF($BD14&gt;=8,"◇","◆"),IF(MOD($BD14,8)=3,IF($BD14&gt;=8,"▷","▶"),IF(MOD($BD14,8)=5,IF($BD14&gt;=8,"◁","◀"),IF($BD14&gt;=8,"□","■")))))</f>
        <v/>
      </c>
      <c r="Q14" s="30">
        <f>IF($BE14=0,"",IF(MOD($BE14,8)=7,IF($BE14&gt;=8,"◇","◆"),IF(MOD($BE14,8)=3,IF($BE14&gt;=8,"▷","▶"),IF(MOD($BE14,8)=5,IF($BE14&gt;=8,"◁","◀"),IF($BE14&gt;=8,"□","■")))))</f>
        <v/>
      </c>
      <c r="R14" s="30">
        <f>IF($BF14=0,"",IF(MOD($BF14,8)=7,IF($BF14&gt;=8,"◇","◆"),IF(MOD($BF14,8)=3,IF($BF14&gt;=8,"▷","▶"),IF(MOD($BF14,8)=5,IF($BF14&gt;=8,"◁","◀"),IF($BF14&gt;=8,"□","■")))))</f>
        <v/>
      </c>
      <c r="S14" s="30">
        <f>IF($BG14=0,"",IF(MOD($BG14,8)=7,IF($BG14&gt;=8,"◇","◆"),IF(MOD($BG14,8)=3,IF($BG14&gt;=8,"▷","▶"),IF(MOD($BG14,8)=5,IF($BG14&gt;=8,"◁","◀"),IF($BG14&gt;=8,"□","■")))))</f>
        <v/>
      </c>
      <c r="T14" s="30">
        <f>IF($BH14=0,"",IF(MOD($BH14,8)=7,IF($BH14&gt;=8,"◇","◆"),IF(MOD($BH14,8)=3,IF($BH14&gt;=8,"▷","▶"),IF(MOD($BH14,8)=5,IF($BH14&gt;=8,"◁","◀"),IF($BH14&gt;=8,"□","■")))))</f>
        <v/>
      </c>
      <c r="U14" s="30">
        <f>IF($BI14=0,"",IF(MOD($BI14,8)=7,IF($BI14&gt;=8,"◇","◆"),IF(MOD($BI14,8)=3,IF($BI14&gt;=8,"▷","▶"),IF(MOD($BI14,8)=5,IF($BI14&gt;=8,"◁","◀"),IF($BI14&gt;=8,"□","■")))))</f>
        <v/>
      </c>
      <c r="V14" s="30">
        <f>IF($BJ14=0,"",IF(MOD($BJ14,8)=7,IF($BJ14&gt;=8,"◇","◆"),IF(MOD($BJ14,8)=3,IF($BJ14&gt;=8,"▷","▶"),IF(MOD($BJ14,8)=5,IF($BJ14&gt;=8,"◁","◀"),IF($BJ14&gt;=8,"□","■")))))</f>
        <v/>
      </c>
      <c r="W14" s="30">
        <f>IF($BK14=0,"",IF(MOD($BK14,8)=7,IF($BK14&gt;=8,"◇","◆"),IF(MOD($BK14,8)=3,IF($BK14&gt;=8,"▷","▶"),IF(MOD($BK14,8)=5,IF($BK14&gt;=8,"◁","◀"),IF($BK14&gt;=8,"□","■")))))</f>
        <v/>
      </c>
      <c r="X14" s="30">
        <f>IF($BL14=0,"",IF(MOD($BL14,8)=7,IF($BL14&gt;=8,"◇","◆"),IF(MOD($BL14,8)=3,IF($BL14&gt;=8,"▷","▶"),IF(MOD($BL14,8)=5,IF($BL14&gt;=8,"◁","◀"),IF($BL14&gt;=8,"□","■")))))</f>
        <v/>
      </c>
      <c r="Y14" s="30">
        <f>IF($BM14=0,"",IF(MOD($BM14,8)=7,IF($BM14&gt;=8,"◇","◆"),IF(MOD($BM14,8)=3,IF($BM14&gt;=8,"▷","▶"),IF(MOD($BM14,8)=5,IF($BM14&gt;=8,"◁","◀"),IF($BM14&gt;=8,"□","■")))))</f>
        <v/>
      </c>
      <c r="Z14" s="30">
        <f>IF($BN14=0,"",IF(MOD($BN14,8)=7,IF($BN14&gt;=8,"◇","◆"),IF(MOD($BN14,8)=3,IF($BN14&gt;=8,"▷","▶"),IF(MOD($BN14,8)=5,IF($BN14&gt;=8,"◁","◀"),IF($BN14&gt;=8,"□","■")))))</f>
        <v/>
      </c>
      <c r="AA14" s="30">
        <f>IF($BO14=0,"",IF(MOD($BO14,8)=7,IF($BO14&gt;=8,"◇","◆"),IF(MOD($BO14,8)=3,IF($BO14&gt;=8,"▷","▶"),IF(MOD($BO14,8)=5,IF($BO14&gt;=8,"◁","◀"),IF($BO14&gt;=8,"□","■")))))</f>
        <v/>
      </c>
      <c r="AB14" s="30">
        <f>IF($BP14=0,"",IF(MOD($BP14,8)=7,IF($BP14&gt;=8,"◇","◆"),IF(MOD($BP14,8)=3,IF($BP14&gt;=8,"▷","▶"),IF(MOD($BP14,8)=5,IF($BP14&gt;=8,"◁","◀"),IF($BP14&gt;=8,"□","■")))))</f>
        <v/>
      </c>
      <c r="AC14" s="30">
        <f>IF($BQ14=0,"",IF(MOD($BQ14,8)=7,IF($BQ14&gt;=8,"◇","◆"),IF(MOD($BQ14,8)=3,IF($BQ14&gt;=8,"▷","▶"),IF(MOD($BQ14,8)=5,IF($BQ14&gt;=8,"◁","◀"),IF($BQ14&gt;=8,"□","■")))))</f>
        <v/>
      </c>
      <c r="AD14" s="30">
        <f>IF($BR14=0,"",IF(MOD($BR14,8)=7,IF($BR14&gt;=8,"◇","◆"),IF(MOD($BR14,8)=3,IF($BR14&gt;=8,"▷","▶"),IF(MOD($BR14,8)=5,IF($BR14&gt;=8,"◁","◀"),IF($BR14&gt;=8,"□","■")))))</f>
        <v/>
      </c>
      <c r="AE14" s="30">
        <f>IF($BS14=0,"",IF(MOD($BS14,8)=7,IF($BS14&gt;=8,"◇","◆"),IF(MOD($BS14,8)=3,IF($BS14&gt;=8,"▷","▶"),IF(MOD($BS14,8)=5,IF($BS14&gt;=8,"◁","◀"),IF($BS14&gt;=8,"□","■")))))</f>
        <v/>
      </c>
      <c r="AF14" s="30">
        <f>IF($BT14=0,"",IF(MOD($BT14,8)=7,IF($BT14&gt;=8,"◇","◆"),IF(MOD($BT14,8)=3,IF($BT14&gt;=8,"▷","▶"),IF(MOD($BT14,8)=5,IF($BT14&gt;=8,"◁","◀"),IF($BT14&gt;=8,"□","■")))))</f>
        <v/>
      </c>
      <c r="AG14" s="31">
        <f>IF($A14="","",COUNTIF($AP14:$BT14,"&gt;0"))</f>
        <v/>
      </c>
      <c r="AP14">
        <f>IF(OR($A14="",B$4=""),0,SUMPRODUCT(('01_予約入力'!$E$5:$E$204&lt;&gt;"")*('01_予約入力'!$K$5:$K$204&lt;&gt;"キャンセル")*('01_予約入力'!$B$5:$B$204=$A14)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4">
        <f>IF(OR($A14="",C$4=""),0,SUMPRODUCT(('01_予約入力'!$E$5:$E$204&lt;&gt;"")*('01_予約入力'!$K$5:$K$204&lt;&gt;"キャンセル")*('01_予約入力'!$B$5:$B$204=$A14)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4">
        <f>IF(OR($A14="",D$4=""),0,SUMPRODUCT(('01_予約入力'!$E$5:$E$204&lt;&gt;"")*('01_予約入力'!$K$5:$K$204&lt;&gt;"キャンセル")*('01_予約入力'!$B$5:$B$204=$A14)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4">
        <f>IF(OR($A14="",E$4=""),0,SUMPRODUCT(('01_予約入力'!$E$5:$E$204&lt;&gt;"")*('01_予約入力'!$K$5:$K$204&lt;&gt;"キャンセル")*('01_予約入力'!$B$5:$B$204=$A14)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4">
        <f>IF(OR($A14="",F$4=""),0,SUMPRODUCT(('01_予約入力'!$E$5:$E$204&lt;&gt;"")*('01_予約入力'!$K$5:$K$204&lt;&gt;"キャンセル")*('01_予約入力'!$B$5:$B$204=$A14)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4">
        <f>IF(OR($A14="",G$4=""),0,SUMPRODUCT(('01_予約入力'!$E$5:$E$204&lt;&gt;"")*('01_予約入力'!$K$5:$K$204&lt;&gt;"キャンセル")*('01_予約入力'!$B$5:$B$204=$A14)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4">
        <f>IF(OR($A14="",H$4=""),0,SUMPRODUCT(('01_予約入力'!$E$5:$E$204&lt;&gt;"")*('01_予約入力'!$K$5:$K$204&lt;&gt;"キャンセル")*('01_予約入力'!$B$5:$B$204=$A14)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4">
        <f>IF(OR($A14="",I$4=""),0,SUMPRODUCT(('01_予約入力'!$E$5:$E$204&lt;&gt;"")*('01_予約入力'!$K$5:$K$204&lt;&gt;"キャンセル")*('01_予約入力'!$B$5:$B$204=$A14)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4">
        <f>IF(OR($A14="",J$4=""),0,SUMPRODUCT(('01_予約入力'!$E$5:$E$204&lt;&gt;"")*('01_予約入力'!$K$5:$K$204&lt;&gt;"キャンセル")*('01_予約入力'!$B$5:$B$204=$A14)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4">
        <f>IF(OR($A14="",K$4=""),0,SUMPRODUCT(('01_予約入力'!$E$5:$E$204&lt;&gt;"")*('01_予約入力'!$K$5:$K$204&lt;&gt;"キャンセル")*('01_予約入力'!$B$5:$B$204=$A14)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4">
        <f>IF(OR($A14="",L$4=""),0,SUMPRODUCT(('01_予約入力'!$E$5:$E$204&lt;&gt;"")*('01_予約入力'!$K$5:$K$204&lt;&gt;"キャンセル")*('01_予約入力'!$B$5:$B$204=$A14)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4">
        <f>IF(OR($A14="",M$4=""),0,SUMPRODUCT(('01_予約入力'!$E$5:$E$204&lt;&gt;"")*('01_予約入力'!$K$5:$K$204&lt;&gt;"キャンセル")*('01_予約入力'!$B$5:$B$204=$A14)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4">
        <f>IF(OR($A14="",N$4=""),0,SUMPRODUCT(('01_予約入力'!$E$5:$E$204&lt;&gt;"")*('01_予約入力'!$K$5:$K$204&lt;&gt;"キャンセル")*('01_予約入力'!$B$5:$B$204=$A14)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4">
        <f>IF(OR($A14="",O$4=""),0,SUMPRODUCT(('01_予約入力'!$E$5:$E$204&lt;&gt;"")*('01_予約入力'!$K$5:$K$204&lt;&gt;"キャンセル")*('01_予約入力'!$B$5:$B$204=$A14)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4">
        <f>IF(OR($A14="",P$4=""),0,SUMPRODUCT(('01_予約入力'!$E$5:$E$204&lt;&gt;"")*('01_予約入力'!$K$5:$K$204&lt;&gt;"キャンセル")*('01_予約入力'!$B$5:$B$204=$A14)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4">
        <f>IF(OR($A14="",Q$4=""),0,SUMPRODUCT(('01_予約入力'!$E$5:$E$204&lt;&gt;"")*('01_予約入力'!$K$5:$K$204&lt;&gt;"キャンセル")*('01_予約入力'!$B$5:$B$204=$A14)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4">
        <f>IF(OR($A14="",R$4=""),0,SUMPRODUCT(('01_予約入力'!$E$5:$E$204&lt;&gt;"")*('01_予約入力'!$K$5:$K$204&lt;&gt;"キャンセル")*('01_予約入力'!$B$5:$B$204=$A14)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4">
        <f>IF(OR($A14="",S$4=""),0,SUMPRODUCT(('01_予約入力'!$E$5:$E$204&lt;&gt;"")*('01_予約入力'!$K$5:$K$204&lt;&gt;"キャンセル")*('01_予約入力'!$B$5:$B$204=$A14)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4">
        <f>IF(OR($A14="",T$4=""),0,SUMPRODUCT(('01_予約入力'!$E$5:$E$204&lt;&gt;"")*('01_予約入力'!$K$5:$K$204&lt;&gt;"キャンセル")*('01_予約入力'!$B$5:$B$204=$A14)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4">
        <f>IF(OR($A14="",U$4=""),0,SUMPRODUCT(('01_予約入力'!$E$5:$E$204&lt;&gt;"")*('01_予約入力'!$K$5:$K$204&lt;&gt;"キャンセル")*('01_予約入力'!$B$5:$B$204=$A14)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4">
        <f>IF(OR($A14="",V$4=""),0,SUMPRODUCT(('01_予約入力'!$E$5:$E$204&lt;&gt;"")*('01_予約入力'!$K$5:$K$204&lt;&gt;"キャンセル")*('01_予約入力'!$B$5:$B$204=$A14)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4">
        <f>IF(OR($A14="",W$4=""),0,SUMPRODUCT(('01_予約入力'!$E$5:$E$204&lt;&gt;"")*('01_予約入力'!$K$5:$K$204&lt;&gt;"キャンセル")*('01_予約入力'!$B$5:$B$204=$A14)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4">
        <f>IF(OR($A14="",X$4=""),0,SUMPRODUCT(('01_予約入力'!$E$5:$E$204&lt;&gt;"")*('01_予約入力'!$K$5:$K$204&lt;&gt;"キャンセル")*('01_予約入力'!$B$5:$B$204=$A14)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4">
        <f>IF(OR($A14="",Y$4=""),0,SUMPRODUCT(('01_予約入力'!$E$5:$E$204&lt;&gt;"")*('01_予約入力'!$K$5:$K$204&lt;&gt;"キャンセル")*('01_予約入力'!$B$5:$B$204=$A14)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4">
        <f>IF(OR($A14="",Z$4=""),0,SUMPRODUCT(('01_予約入力'!$E$5:$E$204&lt;&gt;"")*('01_予約入力'!$K$5:$K$204&lt;&gt;"キャンセル")*('01_予約入力'!$B$5:$B$204=$A14)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4">
        <f>IF(OR($A14="",AA$4=""),0,SUMPRODUCT(('01_予約入力'!$E$5:$E$204&lt;&gt;"")*('01_予約入力'!$K$5:$K$204&lt;&gt;"キャンセル")*('01_予約入力'!$B$5:$B$204=$A14)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4">
        <f>IF(OR($A14="",AB$4=""),0,SUMPRODUCT(('01_予約入力'!$E$5:$E$204&lt;&gt;"")*('01_予約入力'!$K$5:$K$204&lt;&gt;"キャンセル")*('01_予約入力'!$B$5:$B$204=$A14)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4">
        <f>IF(OR($A14="",AC$4=""),0,SUMPRODUCT(('01_予約入力'!$E$5:$E$204&lt;&gt;"")*('01_予約入力'!$K$5:$K$204&lt;&gt;"キャンセル")*('01_予約入力'!$B$5:$B$204=$A14)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4">
        <f>IF(OR($A14="",AD$4=""),0,SUMPRODUCT(('01_予約入力'!$E$5:$E$204&lt;&gt;"")*('01_予約入力'!$K$5:$K$204&lt;&gt;"キャンセル")*('01_予約入力'!$B$5:$B$204=$A14)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4">
        <f>IF(OR($A14="",AE$4=""),0,SUMPRODUCT(('01_予約入力'!$E$5:$E$204&lt;&gt;"")*('01_予約入力'!$K$5:$K$204&lt;&gt;"キャンセル")*('01_予約入力'!$B$5:$B$204=$A14)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4">
        <f>IF(OR($A14="",AF$4=""),0,SUMPRODUCT(('01_予約入力'!$E$5:$E$204&lt;&gt;"")*('01_予約入力'!$K$5:$K$204&lt;&gt;"キャンセル")*('01_予約入力'!$B$5:$B$204=$A14)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5">
      <c r="A15" s="29">
        <f>IF(COUNTA('M_利用者'!$A$4:$A$60)&gt;=9,INDEX('M_利用者'!$A$4:$A$60,9),"")</f>
        <v/>
      </c>
      <c r="B15" s="30">
        <f>IF($AP15=0,"",IF(MOD($AP15,8)=7,IF($AP15&gt;=8,"◇","◆"),IF(MOD($AP15,8)=3,IF($AP15&gt;=8,"▷","▶"),IF(MOD($AP15,8)=5,IF($AP15&gt;=8,"◁","◀"),IF($AP15&gt;=8,"□","■")))))</f>
        <v/>
      </c>
      <c r="C15" s="30">
        <f>IF($AQ15=0,"",IF(MOD($AQ15,8)=7,IF($AQ15&gt;=8,"◇","◆"),IF(MOD($AQ15,8)=3,IF($AQ15&gt;=8,"▷","▶"),IF(MOD($AQ15,8)=5,IF($AQ15&gt;=8,"◁","◀"),IF($AQ15&gt;=8,"□","■")))))</f>
        <v/>
      </c>
      <c r="D15" s="30">
        <f>IF($AR15=0,"",IF(MOD($AR15,8)=7,IF($AR15&gt;=8,"◇","◆"),IF(MOD($AR15,8)=3,IF($AR15&gt;=8,"▷","▶"),IF(MOD($AR15,8)=5,IF($AR15&gt;=8,"◁","◀"),IF($AR15&gt;=8,"□","■")))))</f>
        <v/>
      </c>
      <c r="E15" s="30">
        <f>IF($AS15=0,"",IF(MOD($AS15,8)=7,IF($AS15&gt;=8,"◇","◆"),IF(MOD($AS15,8)=3,IF($AS15&gt;=8,"▷","▶"),IF(MOD($AS15,8)=5,IF($AS15&gt;=8,"◁","◀"),IF($AS15&gt;=8,"□","■")))))</f>
        <v/>
      </c>
      <c r="F15" s="30">
        <f>IF($AT15=0,"",IF(MOD($AT15,8)=7,IF($AT15&gt;=8,"◇","◆"),IF(MOD($AT15,8)=3,IF($AT15&gt;=8,"▷","▶"),IF(MOD($AT15,8)=5,IF($AT15&gt;=8,"◁","◀"),IF($AT15&gt;=8,"□","■")))))</f>
        <v/>
      </c>
      <c r="G15" s="30">
        <f>IF($AU15=0,"",IF(MOD($AU15,8)=7,IF($AU15&gt;=8,"◇","◆"),IF(MOD($AU15,8)=3,IF($AU15&gt;=8,"▷","▶"),IF(MOD($AU15,8)=5,IF($AU15&gt;=8,"◁","◀"),IF($AU15&gt;=8,"□","■")))))</f>
        <v/>
      </c>
      <c r="H15" s="30">
        <f>IF($AV15=0,"",IF(MOD($AV15,8)=7,IF($AV15&gt;=8,"◇","◆"),IF(MOD($AV15,8)=3,IF($AV15&gt;=8,"▷","▶"),IF(MOD($AV15,8)=5,IF($AV15&gt;=8,"◁","◀"),IF($AV15&gt;=8,"□","■")))))</f>
        <v/>
      </c>
      <c r="I15" s="30">
        <f>IF($AW15=0,"",IF(MOD($AW15,8)=7,IF($AW15&gt;=8,"◇","◆"),IF(MOD($AW15,8)=3,IF($AW15&gt;=8,"▷","▶"),IF(MOD($AW15,8)=5,IF($AW15&gt;=8,"◁","◀"),IF($AW15&gt;=8,"□","■")))))</f>
        <v/>
      </c>
      <c r="J15" s="30">
        <f>IF($AX15=0,"",IF(MOD($AX15,8)=7,IF($AX15&gt;=8,"◇","◆"),IF(MOD($AX15,8)=3,IF($AX15&gt;=8,"▷","▶"),IF(MOD($AX15,8)=5,IF($AX15&gt;=8,"◁","◀"),IF($AX15&gt;=8,"□","■")))))</f>
        <v/>
      </c>
      <c r="K15" s="30">
        <f>IF($AY15=0,"",IF(MOD($AY15,8)=7,IF($AY15&gt;=8,"◇","◆"),IF(MOD($AY15,8)=3,IF($AY15&gt;=8,"▷","▶"),IF(MOD($AY15,8)=5,IF($AY15&gt;=8,"◁","◀"),IF($AY15&gt;=8,"□","■")))))</f>
        <v/>
      </c>
      <c r="L15" s="30">
        <f>IF($AZ15=0,"",IF(MOD($AZ15,8)=7,IF($AZ15&gt;=8,"◇","◆"),IF(MOD($AZ15,8)=3,IF($AZ15&gt;=8,"▷","▶"),IF(MOD($AZ15,8)=5,IF($AZ15&gt;=8,"◁","◀"),IF($AZ15&gt;=8,"□","■")))))</f>
        <v/>
      </c>
      <c r="M15" s="30">
        <f>IF($BA15=0,"",IF(MOD($BA15,8)=7,IF($BA15&gt;=8,"◇","◆"),IF(MOD($BA15,8)=3,IF($BA15&gt;=8,"▷","▶"),IF(MOD($BA15,8)=5,IF($BA15&gt;=8,"◁","◀"),IF($BA15&gt;=8,"□","■")))))</f>
        <v/>
      </c>
      <c r="N15" s="30">
        <f>IF($BB15=0,"",IF(MOD($BB15,8)=7,IF($BB15&gt;=8,"◇","◆"),IF(MOD($BB15,8)=3,IF($BB15&gt;=8,"▷","▶"),IF(MOD($BB15,8)=5,IF($BB15&gt;=8,"◁","◀"),IF($BB15&gt;=8,"□","■")))))</f>
        <v/>
      </c>
      <c r="O15" s="30">
        <f>IF($BC15=0,"",IF(MOD($BC15,8)=7,IF($BC15&gt;=8,"◇","◆"),IF(MOD($BC15,8)=3,IF($BC15&gt;=8,"▷","▶"),IF(MOD($BC15,8)=5,IF($BC15&gt;=8,"◁","◀"),IF($BC15&gt;=8,"□","■")))))</f>
        <v/>
      </c>
      <c r="P15" s="30">
        <f>IF($BD15=0,"",IF(MOD($BD15,8)=7,IF($BD15&gt;=8,"◇","◆"),IF(MOD($BD15,8)=3,IF($BD15&gt;=8,"▷","▶"),IF(MOD($BD15,8)=5,IF($BD15&gt;=8,"◁","◀"),IF($BD15&gt;=8,"□","■")))))</f>
        <v/>
      </c>
      <c r="Q15" s="30">
        <f>IF($BE15=0,"",IF(MOD($BE15,8)=7,IF($BE15&gt;=8,"◇","◆"),IF(MOD($BE15,8)=3,IF($BE15&gt;=8,"▷","▶"),IF(MOD($BE15,8)=5,IF($BE15&gt;=8,"◁","◀"),IF($BE15&gt;=8,"□","■")))))</f>
        <v/>
      </c>
      <c r="R15" s="30">
        <f>IF($BF15=0,"",IF(MOD($BF15,8)=7,IF($BF15&gt;=8,"◇","◆"),IF(MOD($BF15,8)=3,IF($BF15&gt;=8,"▷","▶"),IF(MOD($BF15,8)=5,IF($BF15&gt;=8,"◁","◀"),IF($BF15&gt;=8,"□","■")))))</f>
        <v/>
      </c>
      <c r="S15" s="30">
        <f>IF($BG15=0,"",IF(MOD($BG15,8)=7,IF($BG15&gt;=8,"◇","◆"),IF(MOD($BG15,8)=3,IF($BG15&gt;=8,"▷","▶"),IF(MOD($BG15,8)=5,IF($BG15&gt;=8,"◁","◀"),IF($BG15&gt;=8,"□","■")))))</f>
        <v/>
      </c>
      <c r="T15" s="30">
        <f>IF($BH15=0,"",IF(MOD($BH15,8)=7,IF($BH15&gt;=8,"◇","◆"),IF(MOD($BH15,8)=3,IF($BH15&gt;=8,"▷","▶"),IF(MOD($BH15,8)=5,IF($BH15&gt;=8,"◁","◀"),IF($BH15&gt;=8,"□","■")))))</f>
        <v/>
      </c>
      <c r="U15" s="30">
        <f>IF($BI15=0,"",IF(MOD($BI15,8)=7,IF($BI15&gt;=8,"◇","◆"),IF(MOD($BI15,8)=3,IF($BI15&gt;=8,"▷","▶"),IF(MOD($BI15,8)=5,IF($BI15&gt;=8,"◁","◀"),IF($BI15&gt;=8,"□","■")))))</f>
        <v/>
      </c>
      <c r="V15" s="30">
        <f>IF($BJ15=0,"",IF(MOD($BJ15,8)=7,IF($BJ15&gt;=8,"◇","◆"),IF(MOD($BJ15,8)=3,IF($BJ15&gt;=8,"▷","▶"),IF(MOD($BJ15,8)=5,IF($BJ15&gt;=8,"◁","◀"),IF($BJ15&gt;=8,"□","■")))))</f>
        <v/>
      </c>
      <c r="W15" s="30">
        <f>IF($BK15=0,"",IF(MOD($BK15,8)=7,IF($BK15&gt;=8,"◇","◆"),IF(MOD($BK15,8)=3,IF($BK15&gt;=8,"▷","▶"),IF(MOD($BK15,8)=5,IF($BK15&gt;=8,"◁","◀"),IF($BK15&gt;=8,"□","■")))))</f>
        <v/>
      </c>
      <c r="X15" s="30">
        <f>IF($BL15=0,"",IF(MOD($BL15,8)=7,IF($BL15&gt;=8,"◇","◆"),IF(MOD($BL15,8)=3,IF($BL15&gt;=8,"▷","▶"),IF(MOD($BL15,8)=5,IF($BL15&gt;=8,"◁","◀"),IF($BL15&gt;=8,"□","■")))))</f>
        <v/>
      </c>
      <c r="Y15" s="30">
        <f>IF($BM15=0,"",IF(MOD($BM15,8)=7,IF($BM15&gt;=8,"◇","◆"),IF(MOD($BM15,8)=3,IF($BM15&gt;=8,"▷","▶"),IF(MOD($BM15,8)=5,IF($BM15&gt;=8,"◁","◀"),IF($BM15&gt;=8,"□","■")))))</f>
        <v/>
      </c>
      <c r="Z15" s="30">
        <f>IF($BN15=0,"",IF(MOD($BN15,8)=7,IF($BN15&gt;=8,"◇","◆"),IF(MOD($BN15,8)=3,IF($BN15&gt;=8,"▷","▶"),IF(MOD($BN15,8)=5,IF($BN15&gt;=8,"◁","◀"),IF($BN15&gt;=8,"□","■")))))</f>
        <v/>
      </c>
      <c r="AA15" s="30">
        <f>IF($BO15=0,"",IF(MOD($BO15,8)=7,IF($BO15&gt;=8,"◇","◆"),IF(MOD($BO15,8)=3,IF($BO15&gt;=8,"▷","▶"),IF(MOD($BO15,8)=5,IF($BO15&gt;=8,"◁","◀"),IF($BO15&gt;=8,"□","■")))))</f>
        <v/>
      </c>
      <c r="AB15" s="30">
        <f>IF($BP15=0,"",IF(MOD($BP15,8)=7,IF($BP15&gt;=8,"◇","◆"),IF(MOD($BP15,8)=3,IF($BP15&gt;=8,"▷","▶"),IF(MOD($BP15,8)=5,IF($BP15&gt;=8,"◁","◀"),IF($BP15&gt;=8,"□","■")))))</f>
        <v/>
      </c>
      <c r="AC15" s="30">
        <f>IF($BQ15=0,"",IF(MOD($BQ15,8)=7,IF($BQ15&gt;=8,"◇","◆"),IF(MOD($BQ15,8)=3,IF($BQ15&gt;=8,"▷","▶"),IF(MOD($BQ15,8)=5,IF($BQ15&gt;=8,"◁","◀"),IF($BQ15&gt;=8,"□","■")))))</f>
        <v/>
      </c>
      <c r="AD15" s="30">
        <f>IF($BR15=0,"",IF(MOD($BR15,8)=7,IF($BR15&gt;=8,"◇","◆"),IF(MOD($BR15,8)=3,IF($BR15&gt;=8,"▷","▶"),IF(MOD($BR15,8)=5,IF($BR15&gt;=8,"◁","◀"),IF($BR15&gt;=8,"□","■")))))</f>
        <v/>
      </c>
      <c r="AE15" s="30">
        <f>IF($BS15=0,"",IF(MOD($BS15,8)=7,IF($BS15&gt;=8,"◇","◆"),IF(MOD($BS15,8)=3,IF($BS15&gt;=8,"▷","▶"),IF(MOD($BS15,8)=5,IF($BS15&gt;=8,"◁","◀"),IF($BS15&gt;=8,"□","■")))))</f>
        <v/>
      </c>
      <c r="AF15" s="30">
        <f>IF($BT15=0,"",IF(MOD($BT15,8)=7,IF($BT15&gt;=8,"◇","◆"),IF(MOD($BT15,8)=3,IF($BT15&gt;=8,"▷","▶"),IF(MOD($BT15,8)=5,IF($BT15&gt;=8,"◁","◀"),IF($BT15&gt;=8,"□","■")))))</f>
        <v/>
      </c>
      <c r="AG15" s="31">
        <f>IF($A15="","",COUNTIF($AP15:$BT15,"&gt;0"))</f>
        <v/>
      </c>
      <c r="AP15">
        <f>IF(OR($A15="",B$4=""),0,SUMPRODUCT(('01_予約入力'!$E$5:$E$204&lt;&gt;"")*('01_予約入力'!$K$5:$K$204&lt;&gt;"キャンセル")*('01_予約入力'!$B$5:$B$204=$A15)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5">
        <f>IF(OR($A15="",C$4=""),0,SUMPRODUCT(('01_予約入力'!$E$5:$E$204&lt;&gt;"")*('01_予約入力'!$K$5:$K$204&lt;&gt;"キャンセル")*('01_予約入力'!$B$5:$B$204=$A15)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5">
        <f>IF(OR($A15="",D$4=""),0,SUMPRODUCT(('01_予約入力'!$E$5:$E$204&lt;&gt;"")*('01_予約入力'!$K$5:$K$204&lt;&gt;"キャンセル")*('01_予約入力'!$B$5:$B$204=$A15)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5">
        <f>IF(OR($A15="",E$4=""),0,SUMPRODUCT(('01_予約入力'!$E$5:$E$204&lt;&gt;"")*('01_予約入力'!$K$5:$K$204&lt;&gt;"キャンセル")*('01_予約入力'!$B$5:$B$204=$A15)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5">
        <f>IF(OR($A15="",F$4=""),0,SUMPRODUCT(('01_予約入力'!$E$5:$E$204&lt;&gt;"")*('01_予約入力'!$K$5:$K$204&lt;&gt;"キャンセル")*('01_予約入力'!$B$5:$B$204=$A15)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5">
        <f>IF(OR($A15="",G$4=""),0,SUMPRODUCT(('01_予約入力'!$E$5:$E$204&lt;&gt;"")*('01_予約入力'!$K$5:$K$204&lt;&gt;"キャンセル")*('01_予約入力'!$B$5:$B$204=$A15)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5">
        <f>IF(OR($A15="",H$4=""),0,SUMPRODUCT(('01_予約入力'!$E$5:$E$204&lt;&gt;"")*('01_予約入力'!$K$5:$K$204&lt;&gt;"キャンセル")*('01_予約入力'!$B$5:$B$204=$A15)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5">
        <f>IF(OR($A15="",I$4=""),0,SUMPRODUCT(('01_予約入力'!$E$5:$E$204&lt;&gt;"")*('01_予約入力'!$K$5:$K$204&lt;&gt;"キャンセル")*('01_予約入力'!$B$5:$B$204=$A15)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5">
        <f>IF(OR($A15="",J$4=""),0,SUMPRODUCT(('01_予約入力'!$E$5:$E$204&lt;&gt;"")*('01_予約入力'!$K$5:$K$204&lt;&gt;"キャンセル")*('01_予約入力'!$B$5:$B$204=$A15)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5">
        <f>IF(OR($A15="",K$4=""),0,SUMPRODUCT(('01_予約入力'!$E$5:$E$204&lt;&gt;"")*('01_予約入力'!$K$5:$K$204&lt;&gt;"キャンセル")*('01_予約入力'!$B$5:$B$204=$A15)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5">
        <f>IF(OR($A15="",L$4=""),0,SUMPRODUCT(('01_予約入力'!$E$5:$E$204&lt;&gt;"")*('01_予約入力'!$K$5:$K$204&lt;&gt;"キャンセル")*('01_予約入力'!$B$5:$B$204=$A15)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5">
        <f>IF(OR($A15="",M$4=""),0,SUMPRODUCT(('01_予約入力'!$E$5:$E$204&lt;&gt;"")*('01_予約入力'!$K$5:$K$204&lt;&gt;"キャンセル")*('01_予約入力'!$B$5:$B$204=$A15)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5">
        <f>IF(OR($A15="",N$4=""),0,SUMPRODUCT(('01_予約入力'!$E$5:$E$204&lt;&gt;"")*('01_予約入力'!$K$5:$K$204&lt;&gt;"キャンセル")*('01_予約入力'!$B$5:$B$204=$A15)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5">
        <f>IF(OR($A15="",O$4=""),0,SUMPRODUCT(('01_予約入力'!$E$5:$E$204&lt;&gt;"")*('01_予約入力'!$K$5:$K$204&lt;&gt;"キャンセル")*('01_予約入力'!$B$5:$B$204=$A15)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5">
        <f>IF(OR($A15="",P$4=""),0,SUMPRODUCT(('01_予約入力'!$E$5:$E$204&lt;&gt;"")*('01_予約入力'!$K$5:$K$204&lt;&gt;"キャンセル")*('01_予約入力'!$B$5:$B$204=$A15)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5">
        <f>IF(OR($A15="",Q$4=""),0,SUMPRODUCT(('01_予約入力'!$E$5:$E$204&lt;&gt;"")*('01_予約入力'!$K$5:$K$204&lt;&gt;"キャンセル")*('01_予約入力'!$B$5:$B$204=$A15)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5">
        <f>IF(OR($A15="",R$4=""),0,SUMPRODUCT(('01_予約入力'!$E$5:$E$204&lt;&gt;"")*('01_予約入力'!$K$5:$K$204&lt;&gt;"キャンセル")*('01_予約入力'!$B$5:$B$204=$A15)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5">
        <f>IF(OR($A15="",S$4=""),0,SUMPRODUCT(('01_予約入力'!$E$5:$E$204&lt;&gt;"")*('01_予約入力'!$K$5:$K$204&lt;&gt;"キャンセル")*('01_予約入力'!$B$5:$B$204=$A15)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5">
        <f>IF(OR($A15="",T$4=""),0,SUMPRODUCT(('01_予約入力'!$E$5:$E$204&lt;&gt;"")*('01_予約入力'!$K$5:$K$204&lt;&gt;"キャンセル")*('01_予約入力'!$B$5:$B$204=$A15)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5">
        <f>IF(OR($A15="",U$4=""),0,SUMPRODUCT(('01_予約入力'!$E$5:$E$204&lt;&gt;"")*('01_予約入力'!$K$5:$K$204&lt;&gt;"キャンセル")*('01_予約入力'!$B$5:$B$204=$A15)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5">
        <f>IF(OR($A15="",V$4=""),0,SUMPRODUCT(('01_予約入力'!$E$5:$E$204&lt;&gt;"")*('01_予約入力'!$K$5:$K$204&lt;&gt;"キャンセル")*('01_予約入力'!$B$5:$B$204=$A15)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5">
        <f>IF(OR($A15="",W$4=""),0,SUMPRODUCT(('01_予約入力'!$E$5:$E$204&lt;&gt;"")*('01_予約入力'!$K$5:$K$204&lt;&gt;"キャンセル")*('01_予約入力'!$B$5:$B$204=$A15)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5">
        <f>IF(OR($A15="",X$4=""),0,SUMPRODUCT(('01_予約入力'!$E$5:$E$204&lt;&gt;"")*('01_予約入力'!$K$5:$K$204&lt;&gt;"キャンセル")*('01_予約入力'!$B$5:$B$204=$A15)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5">
        <f>IF(OR($A15="",Y$4=""),0,SUMPRODUCT(('01_予約入力'!$E$5:$E$204&lt;&gt;"")*('01_予約入力'!$K$5:$K$204&lt;&gt;"キャンセル")*('01_予約入力'!$B$5:$B$204=$A15)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5">
        <f>IF(OR($A15="",Z$4=""),0,SUMPRODUCT(('01_予約入力'!$E$5:$E$204&lt;&gt;"")*('01_予約入力'!$K$5:$K$204&lt;&gt;"キャンセル")*('01_予約入力'!$B$5:$B$204=$A15)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5">
        <f>IF(OR($A15="",AA$4=""),0,SUMPRODUCT(('01_予約入力'!$E$5:$E$204&lt;&gt;"")*('01_予約入力'!$K$5:$K$204&lt;&gt;"キャンセル")*('01_予約入力'!$B$5:$B$204=$A15)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5">
        <f>IF(OR($A15="",AB$4=""),0,SUMPRODUCT(('01_予約入力'!$E$5:$E$204&lt;&gt;"")*('01_予約入力'!$K$5:$K$204&lt;&gt;"キャンセル")*('01_予約入力'!$B$5:$B$204=$A15)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5">
        <f>IF(OR($A15="",AC$4=""),0,SUMPRODUCT(('01_予約入力'!$E$5:$E$204&lt;&gt;"")*('01_予約入力'!$K$5:$K$204&lt;&gt;"キャンセル")*('01_予約入力'!$B$5:$B$204=$A15)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5">
        <f>IF(OR($A15="",AD$4=""),0,SUMPRODUCT(('01_予約入力'!$E$5:$E$204&lt;&gt;"")*('01_予約入力'!$K$5:$K$204&lt;&gt;"キャンセル")*('01_予約入力'!$B$5:$B$204=$A15)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5">
        <f>IF(OR($A15="",AE$4=""),0,SUMPRODUCT(('01_予約入力'!$E$5:$E$204&lt;&gt;"")*('01_予約入力'!$K$5:$K$204&lt;&gt;"キャンセル")*('01_予約入力'!$B$5:$B$204=$A15)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5">
        <f>IF(OR($A15="",AF$4=""),0,SUMPRODUCT(('01_予約入力'!$E$5:$E$204&lt;&gt;"")*('01_予約入力'!$K$5:$K$204&lt;&gt;"キャンセル")*('01_予約入力'!$B$5:$B$204=$A15)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6">
      <c r="A16" s="29">
        <f>IF(COUNTA('M_利用者'!$A$4:$A$60)&gt;=10,INDEX('M_利用者'!$A$4:$A$60,10),"")</f>
        <v/>
      </c>
      <c r="B16" s="30">
        <f>IF($AP16=0,"",IF(MOD($AP16,8)=7,IF($AP16&gt;=8,"◇","◆"),IF(MOD($AP16,8)=3,IF($AP16&gt;=8,"▷","▶"),IF(MOD($AP16,8)=5,IF($AP16&gt;=8,"◁","◀"),IF($AP16&gt;=8,"□","■")))))</f>
        <v/>
      </c>
      <c r="C16" s="30">
        <f>IF($AQ16=0,"",IF(MOD($AQ16,8)=7,IF($AQ16&gt;=8,"◇","◆"),IF(MOD($AQ16,8)=3,IF($AQ16&gt;=8,"▷","▶"),IF(MOD($AQ16,8)=5,IF($AQ16&gt;=8,"◁","◀"),IF($AQ16&gt;=8,"□","■")))))</f>
        <v/>
      </c>
      <c r="D16" s="30">
        <f>IF($AR16=0,"",IF(MOD($AR16,8)=7,IF($AR16&gt;=8,"◇","◆"),IF(MOD($AR16,8)=3,IF($AR16&gt;=8,"▷","▶"),IF(MOD($AR16,8)=5,IF($AR16&gt;=8,"◁","◀"),IF($AR16&gt;=8,"□","■")))))</f>
        <v/>
      </c>
      <c r="E16" s="30">
        <f>IF($AS16=0,"",IF(MOD($AS16,8)=7,IF($AS16&gt;=8,"◇","◆"),IF(MOD($AS16,8)=3,IF($AS16&gt;=8,"▷","▶"),IF(MOD($AS16,8)=5,IF($AS16&gt;=8,"◁","◀"),IF($AS16&gt;=8,"□","■")))))</f>
        <v/>
      </c>
      <c r="F16" s="30">
        <f>IF($AT16=0,"",IF(MOD($AT16,8)=7,IF($AT16&gt;=8,"◇","◆"),IF(MOD($AT16,8)=3,IF($AT16&gt;=8,"▷","▶"),IF(MOD($AT16,8)=5,IF($AT16&gt;=8,"◁","◀"),IF($AT16&gt;=8,"□","■")))))</f>
        <v/>
      </c>
      <c r="G16" s="30">
        <f>IF($AU16=0,"",IF(MOD($AU16,8)=7,IF($AU16&gt;=8,"◇","◆"),IF(MOD($AU16,8)=3,IF($AU16&gt;=8,"▷","▶"),IF(MOD($AU16,8)=5,IF($AU16&gt;=8,"◁","◀"),IF($AU16&gt;=8,"□","■")))))</f>
        <v/>
      </c>
      <c r="H16" s="30">
        <f>IF($AV16=0,"",IF(MOD($AV16,8)=7,IF($AV16&gt;=8,"◇","◆"),IF(MOD($AV16,8)=3,IF($AV16&gt;=8,"▷","▶"),IF(MOD($AV16,8)=5,IF($AV16&gt;=8,"◁","◀"),IF($AV16&gt;=8,"□","■")))))</f>
        <v/>
      </c>
      <c r="I16" s="30">
        <f>IF($AW16=0,"",IF(MOD($AW16,8)=7,IF($AW16&gt;=8,"◇","◆"),IF(MOD($AW16,8)=3,IF($AW16&gt;=8,"▷","▶"),IF(MOD($AW16,8)=5,IF($AW16&gt;=8,"◁","◀"),IF($AW16&gt;=8,"□","■")))))</f>
        <v/>
      </c>
      <c r="J16" s="30">
        <f>IF($AX16=0,"",IF(MOD($AX16,8)=7,IF($AX16&gt;=8,"◇","◆"),IF(MOD($AX16,8)=3,IF($AX16&gt;=8,"▷","▶"),IF(MOD($AX16,8)=5,IF($AX16&gt;=8,"◁","◀"),IF($AX16&gt;=8,"□","■")))))</f>
        <v/>
      </c>
      <c r="K16" s="30">
        <f>IF($AY16=0,"",IF(MOD($AY16,8)=7,IF($AY16&gt;=8,"◇","◆"),IF(MOD($AY16,8)=3,IF($AY16&gt;=8,"▷","▶"),IF(MOD($AY16,8)=5,IF($AY16&gt;=8,"◁","◀"),IF($AY16&gt;=8,"□","■")))))</f>
        <v/>
      </c>
      <c r="L16" s="30">
        <f>IF($AZ16=0,"",IF(MOD($AZ16,8)=7,IF($AZ16&gt;=8,"◇","◆"),IF(MOD($AZ16,8)=3,IF($AZ16&gt;=8,"▷","▶"),IF(MOD($AZ16,8)=5,IF($AZ16&gt;=8,"◁","◀"),IF($AZ16&gt;=8,"□","■")))))</f>
        <v/>
      </c>
      <c r="M16" s="30">
        <f>IF($BA16=0,"",IF(MOD($BA16,8)=7,IF($BA16&gt;=8,"◇","◆"),IF(MOD($BA16,8)=3,IF($BA16&gt;=8,"▷","▶"),IF(MOD($BA16,8)=5,IF($BA16&gt;=8,"◁","◀"),IF($BA16&gt;=8,"□","■")))))</f>
        <v/>
      </c>
      <c r="N16" s="30">
        <f>IF($BB16=0,"",IF(MOD($BB16,8)=7,IF($BB16&gt;=8,"◇","◆"),IF(MOD($BB16,8)=3,IF($BB16&gt;=8,"▷","▶"),IF(MOD($BB16,8)=5,IF($BB16&gt;=8,"◁","◀"),IF($BB16&gt;=8,"□","■")))))</f>
        <v/>
      </c>
      <c r="O16" s="30">
        <f>IF($BC16=0,"",IF(MOD($BC16,8)=7,IF($BC16&gt;=8,"◇","◆"),IF(MOD($BC16,8)=3,IF($BC16&gt;=8,"▷","▶"),IF(MOD($BC16,8)=5,IF($BC16&gt;=8,"◁","◀"),IF($BC16&gt;=8,"□","■")))))</f>
        <v/>
      </c>
      <c r="P16" s="30">
        <f>IF($BD16=0,"",IF(MOD($BD16,8)=7,IF($BD16&gt;=8,"◇","◆"),IF(MOD($BD16,8)=3,IF($BD16&gt;=8,"▷","▶"),IF(MOD($BD16,8)=5,IF($BD16&gt;=8,"◁","◀"),IF($BD16&gt;=8,"□","■")))))</f>
        <v/>
      </c>
      <c r="Q16" s="30">
        <f>IF($BE16=0,"",IF(MOD($BE16,8)=7,IF($BE16&gt;=8,"◇","◆"),IF(MOD($BE16,8)=3,IF($BE16&gt;=8,"▷","▶"),IF(MOD($BE16,8)=5,IF($BE16&gt;=8,"◁","◀"),IF($BE16&gt;=8,"□","■")))))</f>
        <v/>
      </c>
      <c r="R16" s="30">
        <f>IF($BF16=0,"",IF(MOD($BF16,8)=7,IF($BF16&gt;=8,"◇","◆"),IF(MOD($BF16,8)=3,IF($BF16&gt;=8,"▷","▶"),IF(MOD($BF16,8)=5,IF($BF16&gt;=8,"◁","◀"),IF($BF16&gt;=8,"□","■")))))</f>
        <v/>
      </c>
      <c r="S16" s="30">
        <f>IF($BG16=0,"",IF(MOD($BG16,8)=7,IF($BG16&gt;=8,"◇","◆"),IF(MOD($BG16,8)=3,IF($BG16&gt;=8,"▷","▶"),IF(MOD($BG16,8)=5,IF($BG16&gt;=8,"◁","◀"),IF($BG16&gt;=8,"□","■")))))</f>
        <v/>
      </c>
      <c r="T16" s="30">
        <f>IF($BH16=0,"",IF(MOD($BH16,8)=7,IF($BH16&gt;=8,"◇","◆"),IF(MOD($BH16,8)=3,IF($BH16&gt;=8,"▷","▶"),IF(MOD($BH16,8)=5,IF($BH16&gt;=8,"◁","◀"),IF($BH16&gt;=8,"□","■")))))</f>
        <v/>
      </c>
      <c r="U16" s="30">
        <f>IF($BI16=0,"",IF(MOD($BI16,8)=7,IF($BI16&gt;=8,"◇","◆"),IF(MOD($BI16,8)=3,IF($BI16&gt;=8,"▷","▶"),IF(MOD($BI16,8)=5,IF($BI16&gt;=8,"◁","◀"),IF($BI16&gt;=8,"□","■")))))</f>
        <v/>
      </c>
      <c r="V16" s="30">
        <f>IF($BJ16=0,"",IF(MOD($BJ16,8)=7,IF($BJ16&gt;=8,"◇","◆"),IF(MOD($BJ16,8)=3,IF($BJ16&gt;=8,"▷","▶"),IF(MOD($BJ16,8)=5,IF($BJ16&gt;=8,"◁","◀"),IF($BJ16&gt;=8,"□","■")))))</f>
        <v/>
      </c>
      <c r="W16" s="30">
        <f>IF($BK16=0,"",IF(MOD($BK16,8)=7,IF($BK16&gt;=8,"◇","◆"),IF(MOD($BK16,8)=3,IF($BK16&gt;=8,"▷","▶"),IF(MOD($BK16,8)=5,IF($BK16&gt;=8,"◁","◀"),IF($BK16&gt;=8,"□","■")))))</f>
        <v/>
      </c>
      <c r="X16" s="30">
        <f>IF($BL16=0,"",IF(MOD($BL16,8)=7,IF($BL16&gt;=8,"◇","◆"),IF(MOD($BL16,8)=3,IF($BL16&gt;=8,"▷","▶"),IF(MOD($BL16,8)=5,IF($BL16&gt;=8,"◁","◀"),IF($BL16&gt;=8,"□","■")))))</f>
        <v/>
      </c>
      <c r="Y16" s="30">
        <f>IF($BM16=0,"",IF(MOD($BM16,8)=7,IF($BM16&gt;=8,"◇","◆"),IF(MOD($BM16,8)=3,IF($BM16&gt;=8,"▷","▶"),IF(MOD($BM16,8)=5,IF($BM16&gt;=8,"◁","◀"),IF($BM16&gt;=8,"□","■")))))</f>
        <v/>
      </c>
      <c r="Z16" s="30">
        <f>IF($BN16=0,"",IF(MOD($BN16,8)=7,IF($BN16&gt;=8,"◇","◆"),IF(MOD($BN16,8)=3,IF($BN16&gt;=8,"▷","▶"),IF(MOD($BN16,8)=5,IF($BN16&gt;=8,"◁","◀"),IF($BN16&gt;=8,"□","■")))))</f>
        <v/>
      </c>
      <c r="AA16" s="30">
        <f>IF($BO16=0,"",IF(MOD($BO16,8)=7,IF($BO16&gt;=8,"◇","◆"),IF(MOD($BO16,8)=3,IF($BO16&gt;=8,"▷","▶"),IF(MOD($BO16,8)=5,IF($BO16&gt;=8,"◁","◀"),IF($BO16&gt;=8,"□","■")))))</f>
        <v/>
      </c>
      <c r="AB16" s="30">
        <f>IF($BP16=0,"",IF(MOD($BP16,8)=7,IF($BP16&gt;=8,"◇","◆"),IF(MOD($BP16,8)=3,IF($BP16&gt;=8,"▷","▶"),IF(MOD($BP16,8)=5,IF($BP16&gt;=8,"◁","◀"),IF($BP16&gt;=8,"□","■")))))</f>
        <v/>
      </c>
      <c r="AC16" s="30">
        <f>IF($BQ16=0,"",IF(MOD($BQ16,8)=7,IF($BQ16&gt;=8,"◇","◆"),IF(MOD($BQ16,8)=3,IF($BQ16&gt;=8,"▷","▶"),IF(MOD($BQ16,8)=5,IF($BQ16&gt;=8,"◁","◀"),IF($BQ16&gt;=8,"□","■")))))</f>
        <v/>
      </c>
      <c r="AD16" s="30">
        <f>IF($BR16=0,"",IF(MOD($BR16,8)=7,IF($BR16&gt;=8,"◇","◆"),IF(MOD($BR16,8)=3,IF($BR16&gt;=8,"▷","▶"),IF(MOD($BR16,8)=5,IF($BR16&gt;=8,"◁","◀"),IF($BR16&gt;=8,"□","■")))))</f>
        <v/>
      </c>
      <c r="AE16" s="30">
        <f>IF($BS16=0,"",IF(MOD($BS16,8)=7,IF($BS16&gt;=8,"◇","◆"),IF(MOD($BS16,8)=3,IF($BS16&gt;=8,"▷","▶"),IF(MOD($BS16,8)=5,IF($BS16&gt;=8,"◁","◀"),IF($BS16&gt;=8,"□","■")))))</f>
        <v/>
      </c>
      <c r="AF16" s="30">
        <f>IF($BT16=0,"",IF(MOD($BT16,8)=7,IF($BT16&gt;=8,"◇","◆"),IF(MOD($BT16,8)=3,IF($BT16&gt;=8,"▷","▶"),IF(MOD($BT16,8)=5,IF($BT16&gt;=8,"◁","◀"),IF($BT16&gt;=8,"□","■")))))</f>
        <v/>
      </c>
      <c r="AG16" s="31">
        <f>IF($A16="","",COUNTIF($AP16:$BT16,"&gt;0"))</f>
        <v/>
      </c>
      <c r="AP16">
        <f>IF(OR($A16="",B$4=""),0,SUMPRODUCT(('01_予約入力'!$E$5:$E$204&lt;&gt;"")*('01_予約入力'!$K$5:$K$204&lt;&gt;"キャンセル")*('01_予約入力'!$B$5:$B$204=$A16)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6">
        <f>IF(OR($A16="",C$4=""),0,SUMPRODUCT(('01_予約入力'!$E$5:$E$204&lt;&gt;"")*('01_予約入力'!$K$5:$K$204&lt;&gt;"キャンセル")*('01_予約入力'!$B$5:$B$204=$A16)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6">
        <f>IF(OR($A16="",D$4=""),0,SUMPRODUCT(('01_予約入力'!$E$5:$E$204&lt;&gt;"")*('01_予約入力'!$K$5:$K$204&lt;&gt;"キャンセル")*('01_予約入力'!$B$5:$B$204=$A16)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6">
        <f>IF(OR($A16="",E$4=""),0,SUMPRODUCT(('01_予約入力'!$E$5:$E$204&lt;&gt;"")*('01_予約入力'!$K$5:$K$204&lt;&gt;"キャンセル")*('01_予約入力'!$B$5:$B$204=$A16)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6">
        <f>IF(OR($A16="",F$4=""),0,SUMPRODUCT(('01_予約入力'!$E$5:$E$204&lt;&gt;"")*('01_予約入力'!$K$5:$K$204&lt;&gt;"キャンセル")*('01_予約入力'!$B$5:$B$204=$A16)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6">
        <f>IF(OR($A16="",G$4=""),0,SUMPRODUCT(('01_予約入力'!$E$5:$E$204&lt;&gt;"")*('01_予約入力'!$K$5:$K$204&lt;&gt;"キャンセル")*('01_予約入力'!$B$5:$B$204=$A16)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6">
        <f>IF(OR($A16="",H$4=""),0,SUMPRODUCT(('01_予約入力'!$E$5:$E$204&lt;&gt;"")*('01_予約入力'!$K$5:$K$204&lt;&gt;"キャンセル")*('01_予約入力'!$B$5:$B$204=$A16)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6">
        <f>IF(OR($A16="",I$4=""),0,SUMPRODUCT(('01_予約入力'!$E$5:$E$204&lt;&gt;"")*('01_予約入力'!$K$5:$K$204&lt;&gt;"キャンセル")*('01_予約入力'!$B$5:$B$204=$A16)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6">
        <f>IF(OR($A16="",J$4=""),0,SUMPRODUCT(('01_予約入力'!$E$5:$E$204&lt;&gt;"")*('01_予約入力'!$K$5:$K$204&lt;&gt;"キャンセル")*('01_予約入力'!$B$5:$B$204=$A16)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6">
        <f>IF(OR($A16="",K$4=""),0,SUMPRODUCT(('01_予約入力'!$E$5:$E$204&lt;&gt;"")*('01_予約入力'!$K$5:$K$204&lt;&gt;"キャンセル")*('01_予約入力'!$B$5:$B$204=$A16)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6">
        <f>IF(OR($A16="",L$4=""),0,SUMPRODUCT(('01_予約入力'!$E$5:$E$204&lt;&gt;"")*('01_予約入力'!$K$5:$K$204&lt;&gt;"キャンセル")*('01_予約入力'!$B$5:$B$204=$A16)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6">
        <f>IF(OR($A16="",M$4=""),0,SUMPRODUCT(('01_予約入力'!$E$5:$E$204&lt;&gt;"")*('01_予約入力'!$K$5:$K$204&lt;&gt;"キャンセル")*('01_予約入力'!$B$5:$B$204=$A16)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6">
        <f>IF(OR($A16="",N$4=""),0,SUMPRODUCT(('01_予約入力'!$E$5:$E$204&lt;&gt;"")*('01_予約入力'!$K$5:$K$204&lt;&gt;"キャンセル")*('01_予約入力'!$B$5:$B$204=$A16)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6">
        <f>IF(OR($A16="",O$4=""),0,SUMPRODUCT(('01_予約入力'!$E$5:$E$204&lt;&gt;"")*('01_予約入力'!$K$5:$K$204&lt;&gt;"キャンセル")*('01_予約入力'!$B$5:$B$204=$A16)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6">
        <f>IF(OR($A16="",P$4=""),0,SUMPRODUCT(('01_予約入力'!$E$5:$E$204&lt;&gt;"")*('01_予約入力'!$K$5:$K$204&lt;&gt;"キャンセル")*('01_予約入力'!$B$5:$B$204=$A16)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6">
        <f>IF(OR($A16="",Q$4=""),0,SUMPRODUCT(('01_予約入力'!$E$5:$E$204&lt;&gt;"")*('01_予約入力'!$K$5:$K$204&lt;&gt;"キャンセル")*('01_予約入力'!$B$5:$B$204=$A16)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6">
        <f>IF(OR($A16="",R$4=""),0,SUMPRODUCT(('01_予約入力'!$E$5:$E$204&lt;&gt;"")*('01_予約入力'!$K$5:$K$204&lt;&gt;"キャンセル")*('01_予約入力'!$B$5:$B$204=$A16)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6">
        <f>IF(OR($A16="",S$4=""),0,SUMPRODUCT(('01_予約入力'!$E$5:$E$204&lt;&gt;"")*('01_予約入力'!$K$5:$K$204&lt;&gt;"キャンセル")*('01_予約入力'!$B$5:$B$204=$A16)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6">
        <f>IF(OR($A16="",T$4=""),0,SUMPRODUCT(('01_予約入力'!$E$5:$E$204&lt;&gt;"")*('01_予約入力'!$K$5:$K$204&lt;&gt;"キャンセル")*('01_予約入力'!$B$5:$B$204=$A16)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6">
        <f>IF(OR($A16="",U$4=""),0,SUMPRODUCT(('01_予約入力'!$E$5:$E$204&lt;&gt;"")*('01_予約入力'!$K$5:$K$204&lt;&gt;"キャンセル")*('01_予約入力'!$B$5:$B$204=$A16)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6">
        <f>IF(OR($A16="",V$4=""),0,SUMPRODUCT(('01_予約入力'!$E$5:$E$204&lt;&gt;"")*('01_予約入力'!$K$5:$K$204&lt;&gt;"キャンセル")*('01_予約入力'!$B$5:$B$204=$A16)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6">
        <f>IF(OR($A16="",W$4=""),0,SUMPRODUCT(('01_予約入力'!$E$5:$E$204&lt;&gt;"")*('01_予約入力'!$K$5:$K$204&lt;&gt;"キャンセル")*('01_予約入力'!$B$5:$B$204=$A16)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6">
        <f>IF(OR($A16="",X$4=""),0,SUMPRODUCT(('01_予約入力'!$E$5:$E$204&lt;&gt;"")*('01_予約入力'!$K$5:$K$204&lt;&gt;"キャンセル")*('01_予約入力'!$B$5:$B$204=$A16)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6">
        <f>IF(OR($A16="",Y$4=""),0,SUMPRODUCT(('01_予約入力'!$E$5:$E$204&lt;&gt;"")*('01_予約入力'!$K$5:$K$204&lt;&gt;"キャンセル")*('01_予約入力'!$B$5:$B$204=$A16)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6">
        <f>IF(OR($A16="",Z$4=""),0,SUMPRODUCT(('01_予約入力'!$E$5:$E$204&lt;&gt;"")*('01_予約入力'!$K$5:$K$204&lt;&gt;"キャンセル")*('01_予約入力'!$B$5:$B$204=$A16)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6">
        <f>IF(OR($A16="",AA$4=""),0,SUMPRODUCT(('01_予約入力'!$E$5:$E$204&lt;&gt;"")*('01_予約入力'!$K$5:$K$204&lt;&gt;"キャンセル")*('01_予約入力'!$B$5:$B$204=$A16)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6">
        <f>IF(OR($A16="",AB$4=""),0,SUMPRODUCT(('01_予約入力'!$E$5:$E$204&lt;&gt;"")*('01_予約入力'!$K$5:$K$204&lt;&gt;"キャンセル")*('01_予約入力'!$B$5:$B$204=$A16)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6">
        <f>IF(OR($A16="",AC$4=""),0,SUMPRODUCT(('01_予約入力'!$E$5:$E$204&lt;&gt;"")*('01_予約入力'!$K$5:$K$204&lt;&gt;"キャンセル")*('01_予約入力'!$B$5:$B$204=$A16)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6">
        <f>IF(OR($A16="",AD$4=""),0,SUMPRODUCT(('01_予約入力'!$E$5:$E$204&lt;&gt;"")*('01_予約入力'!$K$5:$K$204&lt;&gt;"キャンセル")*('01_予約入力'!$B$5:$B$204=$A16)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6">
        <f>IF(OR($A16="",AE$4=""),0,SUMPRODUCT(('01_予約入力'!$E$5:$E$204&lt;&gt;"")*('01_予約入力'!$K$5:$K$204&lt;&gt;"キャンセル")*('01_予約入力'!$B$5:$B$204=$A16)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6">
        <f>IF(OR($A16="",AF$4=""),0,SUMPRODUCT(('01_予約入力'!$E$5:$E$204&lt;&gt;"")*('01_予約入力'!$K$5:$K$204&lt;&gt;"キャンセル")*('01_予約入力'!$B$5:$B$204=$A16)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7">
      <c r="A17" s="29">
        <f>IF(COUNTA('M_利用者'!$A$4:$A$60)&gt;=11,INDEX('M_利用者'!$A$4:$A$60,11),"")</f>
        <v/>
      </c>
      <c r="B17" s="30">
        <f>IF($AP17=0,"",IF(MOD($AP17,8)=7,IF($AP17&gt;=8,"◇","◆"),IF(MOD($AP17,8)=3,IF($AP17&gt;=8,"▷","▶"),IF(MOD($AP17,8)=5,IF($AP17&gt;=8,"◁","◀"),IF($AP17&gt;=8,"□","■")))))</f>
        <v/>
      </c>
      <c r="C17" s="30">
        <f>IF($AQ17=0,"",IF(MOD($AQ17,8)=7,IF($AQ17&gt;=8,"◇","◆"),IF(MOD($AQ17,8)=3,IF($AQ17&gt;=8,"▷","▶"),IF(MOD($AQ17,8)=5,IF($AQ17&gt;=8,"◁","◀"),IF($AQ17&gt;=8,"□","■")))))</f>
        <v/>
      </c>
      <c r="D17" s="30">
        <f>IF($AR17=0,"",IF(MOD($AR17,8)=7,IF($AR17&gt;=8,"◇","◆"),IF(MOD($AR17,8)=3,IF($AR17&gt;=8,"▷","▶"),IF(MOD($AR17,8)=5,IF($AR17&gt;=8,"◁","◀"),IF($AR17&gt;=8,"□","■")))))</f>
        <v/>
      </c>
      <c r="E17" s="30">
        <f>IF($AS17=0,"",IF(MOD($AS17,8)=7,IF($AS17&gt;=8,"◇","◆"),IF(MOD($AS17,8)=3,IF($AS17&gt;=8,"▷","▶"),IF(MOD($AS17,8)=5,IF($AS17&gt;=8,"◁","◀"),IF($AS17&gt;=8,"□","■")))))</f>
        <v/>
      </c>
      <c r="F17" s="30">
        <f>IF($AT17=0,"",IF(MOD($AT17,8)=7,IF($AT17&gt;=8,"◇","◆"),IF(MOD($AT17,8)=3,IF($AT17&gt;=8,"▷","▶"),IF(MOD($AT17,8)=5,IF($AT17&gt;=8,"◁","◀"),IF($AT17&gt;=8,"□","■")))))</f>
        <v/>
      </c>
      <c r="G17" s="30">
        <f>IF($AU17=0,"",IF(MOD($AU17,8)=7,IF($AU17&gt;=8,"◇","◆"),IF(MOD($AU17,8)=3,IF($AU17&gt;=8,"▷","▶"),IF(MOD($AU17,8)=5,IF($AU17&gt;=8,"◁","◀"),IF($AU17&gt;=8,"□","■")))))</f>
        <v/>
      </c>
      <c r="H17" s="30">
        <f>IF($AV17=0,"",IF(MOD($AV17,8)=7,IF($AV17&gt;=8,"◇","◆"),IF(MOD($AV17,8)=3,IF($AV17&gt;=8,"▷","▶"),IF(MOD($AV17,8)=5,IF($AV17&gt;=8,"◁","◀"),IF($AV17&gt;=8,"□","■")))))</f>
        <v/>
      </c>
      <c r="I17" s="30">
        <f>IF($AW17=0,"",IF(MOD($AW17,8)=7,IF($AW17&gt;=8,"◇","◆"),IF(MOD($AW17,8)=3,IF($AW17&gt;=8,"▷","▶"),IF(MOD($AW17,8)=5,IF($AW17&gt;=8,"◁","◀"),IF($AW17&gt;=8,"□","■")))))</f>
        <v/>
      </c>
      <c r="J17" s="30">
        <f>IF($AX17=0,"",IF(MOD($AX17,8)=7,IF($AX17&gt;=8,"◇","◆"),IF(MOD($AX17,8)=3,IF($AX17&gt;=8,"▷","▶"),IF(MOD($AX17,8)=5,IF($AX17&gt;=8,"◁","◀"),IF($AX17&gt;=8,"□","■")))))</f>
        <v/>
      </c>
      <c r="K17" s="30">
        <f>IF($AY17=0,"",IF(MOD($AY17,8)=7,IF($AY17&gt;=8,"◇","◆"),IF(MOD($AY17,8)=3,IF($AY17&gt;=8,"▷","▶"),IF(MOD($AY17,8)=5,IF($AY17&gt;=8,"◁","◀"),IF($AY17&gt;=8,"□","■")))))</f>
        <v/>
      </c>
      <c r="L17" s="30">
        <f>IF($AZ17=0,"",IF(MOD($AZ17,8)=7,IF($AZ17&gt;=8,"◇","◆"),IF(MOD($AZ17,8)=3,IF($AZ17&gt;=8,"▷","▶"),IF(MOD($AZ17,8)=5,IF($AZ17&gt;=8,"◁","◀"),IF($AZ17&gt;=8,"□","■")))))</f>
        <v/>
      </c>
      <c r="M17" s="30">
        <f>IF($BA17=0,"",IF(MOD($BA17,8)=7,IF($BA17&gt;=8,"◇","◆"),IF(MOD($BA17,8)=3,IF($BA17&gt;=8,"▷","▶"),IF(MOD($BA17,8)=5,IF($BA17&gt;=8,"◁","◀"),IF($BA17&gt;=8,"□","■")))))</f>
        <v/>
      </c>
      <c r="N17" s="30">
        <f>IF($BB17=0,"",IF(MOD($BB17,8)=7,IF($BB17&gt;=8,"◇","◆"),IF(MOD($BB17,8)=3,IF($BB17&gt;=8,"▷","▶"),IF(MOD($BB17,8)=5,IF($BB17&gt;=8,"◁","◀"),IF($BB17&gt;=8,"□","■")))))</f>
        <v/>
      </c>
      <c r="O17" s="30">
        <f>IF($BC17=0,"",IF(MOD($BC17,8)=7,IF($BC17&gt;=8,"◇","◆"),IF(MOD($BC17,8)=3,IF($BC17&gt;=8,"▷","▶"),IF(MOD($BC17,8)=5,IF($BC17&gt;=8,"◁","◀"),IF($BC17&gt;=8,"□","■")))))</f>
        <v/>
      </c>
      <c r="P17" s="30">
        <f>IF($BD17=0,"",IF(MOD($BD17,8)=7,IF($BD17&gt;=8,"◇","◆"),IF(MOD($BD17,8)=3,IF($BD17&gt;=8,"▷","▶"),IF(MOD($BD17,8)=5,IF($BD17&gt;=8,"◁","◀"),IF($BD17&gt;=8,"□","■")))))</f>
        <v/>
      </c>
      <c r="Q17" s="30">
        <f>IF($BE17=0,"",IF(MOD($BE17,8)=7,IF($BE17&gt;=8,"◇","◆"),IF(MOD($BE17,8)=3,IF($BE17&gt;=8,"▷","▶"),IF(MOD($BE17,8)=5,IF($BE17&gt;=8,"◁","◀"),IF($BE17&gt;=8,"□","■")))))</f>
        <v/>
      </c>
      <c r="R17" s="30">
        <f>IF($BF17=0,"",IF(MOD($BF17,8)=7,IF($BF17&gt;=8,"◇","◆"),IF(MOD($BF17,8)=3,IF($BF17&gt;=8,"▷","▶"),IF(MOD($BF17,8)=5,IF($BF17&gt;=8,"◁","◀"),IF($BF17&gt;=8,"□","■")))))</f>
        <v/>
      </c>
      <c r="S17" s="30">
        <f>IF($BG17=0,"",IF(MOD($BG17,8)=7,IF($BG17&gt;=8,"◇","◆"),IF(MOD($BG17,8)=3,IF($BG17&gt;=8,"▷","▶"),IF(MOD($BG17,8)=5,IF($BG17&gt;=8,"◁","◀"),IF($BG17&gt;=8,"□","■")))))</f>
        <v/>
      </c>
      <c r="T17" s="30">
        <f>IF($BH17=0,"",IF(MOD($BH17,8)=7,IF($BH17&gt;=8,"◇","◆"),IF(MOD($BH17,8)=3,IF($BH17&gt;=8,"▷","▶"),IF(MOD($BH17,8)=5,IF($BH17&gt;=8,"◁","◀"),IF($BH17&gt;=8,"□","■")))))</f>
        <v/>
      </c>
      <c r="U17" s="30">
        <f>IF($BI17=0,"",IF(MOD($BI17,8)=7,IF($BI17&gt;=8,"◇","◆"),IF(MOD($BI17,8)=3,IF($BI17&gt;=8,"▷","▶"),IF(MOD($BI17,8)=5,IF($BI17&gt;=8,"◁","◀"),IF($BI17&gt;=8,"□","■")))))</f>
        <v/>
      </c>
      <c r="V17" s="30">
        <f>IF($BJ17=0,"",IF(MOD($BJ17,8)=7,IF($BJ17&gt;=8,"◇","◆"),IF(MOD($BJ17,8)=3,IF($BJ17&gt;=8,"▷","▶"),IF(MOD($BJ17,8)=5,IF($BJ17&gt;=8,"◁","◀"),IF($BJ17&gt;=8,"□","■")))))</f>
        <v/>
      </c>
      <c r="W17" s="30">
        <f>IF($BK17=0,"",IF(MOD($BK17,8)=7,IF($BK17&gt;=8,"◇","◆"),IF(MOD($BK17,8)=3,IF($BK17&gt;=8,"▷","▶"),IF(MOD($BK17,8)=5,IF($BK17&gt;=8,"◁","◀"),IF($BK17&gt;=8,"□","■")))))</f>
        <v/>
      </c>
      <c r="X17" s="30">
        <f>IF($BL17=0,"",IF(MOD($BL17,8)=7,IF($BL17&gt;=8,"◇","◆"),IF(MOD($BL17,8)=3,IF($BL17&gt;=8,"▷","▶"),IF(MOD($BL17,8)=5,IF($BL17&gt;=8,"◁","◀"),IF($BL17&gt;=8,"□","■")))))</f>
        <v/>
      </c>
      <c r="Y17" s="30">
        <f>IF($BM17=0,"",IF(MOD($BM17,8)=7,IF($BM17&gt;=8,"◇","◆"),IF(MOD($BM17,8)=3,IF($BM17&gt;=8,"▷","▶"),IF(MOD($BM17,8)=5,IF($BM17&gt;=8,"◁","◀"),IF($BM17&gt;=8,"□","■")))))</f>
        <v/>
      </c>
      <c r="Z17" s="30">
        <f>IF($BN17=0,"",IF(MOD($BN17,8)=7,IF($BN17&gt;=8,"◇","◆"),IF(MOD($BN17,8)=3,IF($BN17&gt;=8,"▷","▶"),IF(MOD($BN17,8)=5,IF($BN17&gt;=8,"◁","◀"),IF($BN17&gt;=8,"□","■")))))</f>
        <v/>
      </c>
      <c r="AA17" s="30">
        <f>IF($BO17=0,"",IF(MOD($BO17,8)=7,IF($BO17&gt;=8,"◇","◆"),IF(MOD($BO17,8)=3,IF($BO17&gt;=8,"▷","▶"),IF(MOD($BO17,8)=5,IF($BO17&gt;=8,"◁","◀"),IF($BO17&gt;=8,"□","■")))))</f>
        <v/>
      </c>
      <c r="AB17" s="30">
        <f>IF($BP17=0,"",IF(MOD($BP17,8)=7,IF($BP17&gt;=8,"◇","◆"),IF(MOD($BP17,8)=3,IF($BP17&gt;=8,"▷","▶"),IF(MOD($BP17,8)=5,IF($BP17&gt;=8,"◁","◀"),IF($BP17&gt;=8,"□","■")))))</f>
        <v/>
      </c>
      <c r="AC17" s="30">
        <f>IF($BQ17=0,"",IF(MOD($BQ17,8)=7,IF($BQ17&gt;=8,"◇","◆"),IF(MOD($BQ17,8)=3,IF($BQ17&gt;=8,"▷","▶"),IF(MOD($BQ17,8)=5,IF($BQ17&gt;=8,"◁","◀"),IF($BQ17&gt;=8,"□","■")))))</f>
        <v/>
      </c>
      <c r="AD17" s="30">
        <f>IF($BR17=0,"",IF(MOD($BR17,8)=7,IF($BR17&gt;=8,"◇","◆"),IF(MOD($BR17,8)=3,IF($BR17&gt;=8,"▷","▶"),IF(MOD($BR17,8)=5,IF($BR17&gt;=8,"◁","◀"),IF($BR17&gt;=8,"□","■")))))</f>
        <v/>
      </c>
      <c r="AE17" s="30">
        <f>IF($BS17=0,"",IF(MOD($BS17,8)=7,IF($BS17&gt;=8,"◇","◆"),IF(MOD($BS17,8)=3,IF($BS17&gt;=8,"▷","▶"),IF(MOD($BS17,8)=5,IF($BS17&gt;=8,"◁","◀"),IF($BS17&gt;=8,"□","■")))))</f>
        <v/>
      </c>
      <c r="AF17" s="30">
        <f>IF($BT17=0,"",IF(MOD($BT17,8)=7,IF($BT17&gt;=8,"◇","◆"),IF(MOD($BT17,8)=3,IF($BT17&gt;=8,"▷","▶"),IF(MOD($BT17,8)=5,IF($BT17&gt;=8,"◁","◀"),IF($BT17&gt;=8,"□","■")))))</f>
        <v/>
      </c>
      <c r="AG17" s="31">
        <f>IF($A17="","",COUNTIF($AP17:$BT17,"&gt;0"))</f>
        <v/>
      </c>
      <c r="AP17">
        <f>IF(OR($A17="",B$4=""),0,SUMPRODUCT(('01_予約入力'!$E$5:$E$204&lt;&gt;"")*('01_予約入力'!$K$5:$K$204&lt;&gt;"キャンセル")*('01_予約入力'!$B$5:$B$204=$A17)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7">
        <f>IF(OR($A17="",C$4=""),0,SUMPRODUCT(('01_予約入力'!$E$5:$E$204&lt;&gt;"")*('01_予約入力'!$K$5:$K$204&lt;&gt;"キャンセル")*('01_予約入力'!$B$5:$B$204=$A17)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7">
        <f>IF(OR($A17="",D$4=""),0,SUMPRODUCT(('01_予約入力'!$E$5:$E$204&lt;&gt;"")*('01_予約入力'!$K$5:$K$204&lt;&gt;"キャンセル")*('01_予約入力'!$B$5:$B$204=$A17)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7">
        <f>IF(OR($A17="",E$4=""),0,SUMPRODUCT(('01_予約入力'!$E$5:$E$204&lt;&gt;"")*('01_予約入力'!$K$5:$K$204&lt;&gt;"キャンセル")*('01_予約入力'!$B$5:$B$204=$A17)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7">
        <f>IF(OR($A17="",F$4=""),0,SUMPRODUCT(('01_予約入力'!$E$5:$E$204&lt;&gt;"")*('01_予約入力'!$K$5:$K$204&lt;&gt;"キャンセル")*('01_予約入力'!$B$5:$B$204=$A17)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7">
        <f>IF(OR($A17="",G$4=""),0,SUMPRODUCT(('01_予約入力'!$E$5:$E$204&lt;&gt;"")*('01_予約入力'!$K$5:$K$204&lt;&gt;"キャンセル")*('01_予約入力'!$B$5:$B$204=$A17)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7">
        <f>IF(OR($A17="",H$4=""),0,SUMPRODUCT(('01_予約入力'!$E$5:$E$204&lt;&gt;"")*('01_予約入力'!$K$5:$K$204&lt;&gt;"キャンセル")*('01_予約入力'!$B$5:$B$204=$A17)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7">
        <f>IF(OR($A17="",I$4=""),0,SUMPRODUCT(('01_予約入力'!$E$5:$E$204&lt;&gt;"")*('01_予約入力'!$K$5:$K$204&lt;&gt;"キャンセル")*('01_予約入力'!$B$5:$B$204=$A17)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7">
        <f>IF(OR($A17="",J$4=""),0,SUMPRODUCT(('01_予約入力'!$E$5:$E$204&lt;&gt;"")*('01_予約入力'!$K$5:$K$204&lt;&gt;"キャンセル")*('01_予約入力'!$B$5:$B$204=$A17)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7">
        <f>IF(OR($A17="",K$4=""),0,SUMPRODUCT(('01_予約入力'!$E$5:$E$204&lt;&gt;"")*('01_予約入力'!$K$5:$K$204&lt;&gt;"キャンセル")*('01_予約入力'!$B$5:$B$204=$A17)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7">
        <f>IF(OR($A17="",L$4=""),0,SUMPRODUCT(('01_予約入力'!$E$5:$E$204&lt;&gt;"")*('01_予約入力'!$K$5:$K$204&lt;&gt;"キャンセル")*('01_予約入力'!$B$5:$B$204=$A17)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7">
        <f>IF(OR($A17="",M$4=""),0,SUMPRODUCT(('01_予約入力'!$E$5:$E$204&lt;&gt;"")*('01_予約入力'!$K$5:$K$204&lt;&gt;"キャンセル")*('01_予約入力'!$B$5:$B$204=$A17)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7">
        <f>IF(OR($A17="",N$4=""),0,SUMPRODUCT(('01_予約入力'!$E$5:$E$204&lt;&gt;"")*('01_予約入力'!$K$5:$K$204&lt;&gt;"キャンセル")*('01_予約入力'!$B$5:$B$204=$A17)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7">
        <f>IF(OR($A17="",O$4=""),0,SUMPRODUCT(('01_予約入力'!$E$5:$E$204&lt;&gt;"")*('01_予約入力'!$K$5:$K$204&lt;&gt;"キャンセル")*('01_予約入力'!$B$5:$B$204=$A17)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7">
        <f>IF(OR($A17="",P$4=""),0,SUMPRODUCT(('01_予約入力'!$E$5:$E$204&lt;&gt;"")*('01_予約入力'!$K$5:$K$204&lt;&gt;"キャンセル")*('01_予約入力'!$B$5:$B$204=$A17)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7">
        <f>IF(OR($A17="",Q$4=""),0,SUMPRODUCT(('01_予約入力'!$E$5:$E$204&lt;&gt;"")*('01_予約入力'!$K$5:$K$204&lt;&gt;"キャンセル")*('01_予約入力'!$B$5:$B$204=$A17)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7">
        <f>IF(OR($A17="",R$4=""),0,SUMPRODUCT(('01_予約入力'!$E$5:$E$204&lt;&gt;"")*('01_予約入力'!$K$5:$K$204&lt;&gt;"キャンセル")*('01_予約入力'!$B$5:$B$204=$A17)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7">
        <f>IF(OR($A17="",S$4=""),0,SUMPRODUCT(('01_予約入力'!$E$5:$E$204&lt;&gt;"")*('01_予約入力'!$K$5:$K$204&lt;&gt;"キャンセル")*('01_予約入力'!$B$5:$B$204=$A17)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7">
        <f>IF(OR($A17="",T$4=""),0,SUMPRODUCT(('01_予約入力'!$E$5:$E$204&lt;&gt;"")*('01_予約入力'!$K$5:$K$204&lt;&gt;"キャンセル")*('01_予約入力'!$B$5:$B$204=$A17)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7">
        <f>IF(OR($A17="",U$4=""),0,SUMPRODUCT(('01_予約入力'!$E$5:$E$204&lt;&gt;"")*('01_予約入力'!$K$5:$K$204&lt;&gt;"キャンセル")*('01_予約入力'!$B$5:$B$204=$A17)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7">
        <f>IF(OR($A17="",V$4=""),0,SUMPRODUCT(('01_予約入力'!$E$5:$E$204&lt;&gt;"")*('01_予約入力'!$K$5:$K$204&lt;&gt;"キャンセル")*('01_予約入力'!$B$5:$B$204=$A17)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7">
        <f>IF(OR($A17="",W$4=""),0,SUMPRODUCT(('01_予約入力'!$E$5:$E$204&lt;&gt;"")*('01_予約入力'!$K$5:$K$204&lt;&gt;"キャンセル")*('01_予約入力'!$B$5:$B$204=$A17)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7">
        <f>IF(OR($A17="",X$4=""),0,SUMPRODUCT(('01_予約入力'!$E$5:$E$204&lt;&gt;"")*('01_予約入力'!$K$5:$K$204&lt;&gt;"キャンセル")*('01_予約入力'!$B$5:$B$204=$A17)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7">
        <f>IF(OR($A17="",Y$4=""),0,SUMPRODUCT(('01_予約入力'!$E$5:$E$204&lt;&gt;"")*('01_予約入力'!$K$5:$K$204&lt;&gt;"キャンセル")*('01_予約入力'!$B$5:$B$204=$A17)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7">
        <f>IF(OR($A17="",Z$4=""),0,SUMPRODUCT(('01_予約入力'!$E$5:$E$204&lt;&gt;"")*('01_予約入力'!$K$5:$K$204&lt;&gt;"キャンセル")*('01_予約入力'!$B$5:$B$204=$A17)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7">
        <f>IF(OR($A17="",AA$4=""),0,SUMPRODUCT(('01_予約入力'!$E$5:$E$204&lt;&gt;"")*('01_予約入力'!$K$5:$K$204&lt;&gt;"キャンセル")*('01_予約入力'!$B$5:$B$204=$A17)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7">
        <f>IF(OR($A17="",AB$4=""),0,SUMPRODUCT(('01_予約入力'!$E$5:$E$204&lt;&gt;"")*('01_予約入力'!$K$5:$K$204&lt;&gt;"キャンセル")*('01_予約入力'!$B$5:$B$204=$A17)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7">
        <f>IF(OR($A17="",AC$4=""),0,SUMPRODUCT(('01_予約入力'!$E$5:$E$204&lt;&gt;"")*('01_予約入力'!$K$5:$K$204&lt;&gt;"キャンセル")*('01_予約入力'!$B$5:$B$204=$A17)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7">
        <f>IF(OR($A17="",AD$4=""),0,SUMPRODUCT(('01_予約入力'!$E$5:$E$204&lt;&gt;"")*('01_予約入力'!$K$5:$K$204&lt;&gt;"キャンセル")*('01_予約入力'!$B$5:$B$204=$A17)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7">
        <f>IF(OR($A17="",AE$4=""),0,SUMPRODUCT(('01_予約入力'!$E$5:$E$204&lt;&gt;"")*('01_予約入力'!$K$5:$K$204&lt;&gt;"キャンセル")*('01_予約入力'!$B$5:$B$204=$A17)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7">
        <f>IF(OR($A17="",AF$4=""),0,SUMPRODUCT(('01_予約入力'!$E$5:$E$204&lt;&gt;"")*('01_予約入力'!$K$5:$K$204&lt;&gt;"キャンセル")*('01_予約入力'!$B$5:$B$204=$A17)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8">
      <c r="A18" s="29">
        <f>IF(COUNTA('M_利用者'!$A$4:$A$60)&gt;=12,INDEX('M_利用者'!$A$4:$A$60,12),"")</f>
        <v/>
      </c>
      <c r="B18" s="30">
        <f>IF($AP18=0,"",IF(MOD($AP18,8)=7,IF($AP18&gt;=8,"◇","◆"),IF(MOD($AP18,8)=3,IF($AP18&gt;=8,"▷","▶"),IF(MOD($AP18,8)=5,IF($AP18&gt;=8,"◁","◀"),IF($AP18&gt;=8,"□","■")))))</f>
        <v/>
      </c>
      <c r="C18" s="30">
        <f>IF($AQ18=0,"",IF(MOD($AQ18,8)=7,IF($AQ18&gt;=8,"◇","◆"),IF(MOD($AQ18,8)=3,IF($AQ18&gt;=8,"▷","▶"),IF(MOD($AQ18,8)=5,IF($AQ18&gt;=8,"◁","◀"),IF($AQ18&gt;=8,"□","■")))))</f>
        <v/>
      </c>
      <c r="D18" s="30">
        <f>IF($AR18=0,"",IF(MOD($AR18,8)=7,IF($AR18&gt;=8,"◇","◆"),IF(MOD($AR18,8)=3,IF($AR18&gt;=8,"▷","▶"),IF(MOD($AR18,8)=5,IF($AR18&gt;=8,"◁","◀"),IF($AR18&gt;=8,"□","■")))))</f>
        <v/>
      </c>
      <c r="E18" s="30">
        <f>IF($AS18=0,"",IF(MOD($AS18,8)=7,IF($AS18&gt;=8,"◇","◆"),IF(MOD($AS18,8)=3,IF($AS18&gt;=8,"▷","▶"),IF(MOD($AS18,8)=5,IF($AS18&gt;=8,"◁","◀"),IF($AS18&gt;=8,"□","■")))))</f>
        <v/>
      </c>
      <c r="F18" s="30">
        <f>IF($AT18=0,"",IF(MOD($AT18,8)=7,IF($AT18&gt;=8,"◇","◆"),IF(MOD($AT18,8)=3,IF($AT18&gt;=8,"▷","▶"),IF(MOD($AT18,8)=5,IF($AT18&gt;=8,"◁","◀"),IF($AT18&gt;=8,"□","■")))))</f>
        <v/>
      </c>
      <c r="G18" s="30">
        <f>IF($AU18=0,"",IF(MOD($AU18,8)=7,IF($AU18&gt;=8,"◇","◆"),IF(MOD($AU18,8)=3,IF($AU18&gt;=8,"▷","▶"),IF(MOD($AU18,8)=5,IF($AU18&gt;=8,"◁","◀"),IF($AU18&gt;=8,"□","■")))))</f>
        <v/>
      </c>
      <c r="H18" s="30">
        <f>IF($AV18=0,"",IF(MOD($AV18,8)=7,IF($AV18&gt;=8,"◇","◆"),IF(MOD($AV18,8)=3,IF($AV18&gt;=8,"▷","▶"),IF(MOD($AV18,8)=5,IF($AV18&gt;=8,"◁","◀"),IF($AV18&gt;=8,"□","■")))))</f>
        <v/>
      </c>
      <c r="I18" s="30">
        <f>IF($AW18=0,"",IF(MOD($AW18,8)=7,IF($AW18&gt;=8,"◇","◆"),IF(MOD($AW18,8)=3,IF($AW18&gt;=8,"▷","▶"),IF(MOD($AW18,8)=5,IF($AW18&gt;=8,"◁","◀"),IF($AW18&gt;=8,"□","■")))))</f>
        <v/>
      </c>
      <c r="J18" s="30">
        <f>IF($AX18=0,"",IF(MOD($AX18,8)=7,IF($AX18&gt;=8,"◇","◆"),IF(MOD($AX18,8)=3,IF($AX18&gt;=8,"▷","▶"),IF(MOD($AX18,8)=5,IF($AX18&gt;=8,"◁","◀"),IF($AX18&gt;=8,"□","■")))))</f>
        <v/>
      </c>
      <c r="K18" s="30">
        <f>IF($AY18=0,"",IF(MOD($AY18,8)=7,IF($AY18&gt;=8,"◇","◆"),IF(MOD($AY18,8)=3,IF($AY18&gt;=8,"▷","▶"),IF(MOD($AY18,8)=5,IF($AY18&gt;=8,"◁","◀"),IF($AY18&gt;=8,"□","■")))))</f>
        <v/>
      </c>
      <c r="L18" s="30">
        <f>IF($AZ18=0,"",IF(MOD($AZ18,8)=7,IF($AZ18&gt;=8,"◇","◆"),IF(MOD($AZ18,8)=3,IF($AZ18&gt;=8,"▷","▶"),IF(MOD($AZ18,8)=5,IF($AZ18&gt;=8,"◁","◀"),IF($AZ18&gt;=8,"□","■")))))</f>
        <v/>
      </c>
      <c r="M18" s="30">
        <f>IF($BA18=0,"",IF(MOD($BA18,8)=7,IF($BA18&gt;=8,"◇","◆"),IF(MOD($BA18,8)=3,IF($BA18&gt;=8,"▷","▶"),IF(MOD($BA18,8)=5,IF($BA18&gt;=8,"◁","◀"),IF($BA18&gt;=8,"□","■")))))</f>
        <v/>
      </c>
      <c r="N18" s="30">
        <f>IF($BB18=0,"",IF(MOD($BB18,8)=7,IF($BB18&gt;=8,"◇","◆"),IF(MOD($BB18,8)=3,IF($BB18&gt;=8,"▷","▶"),IF(MOD($BB18,8)=5,IF($BB18&gt;=8,"◁","◀"),IF($BB18&gt;=8,"□","■")))))</f>
        <v/>
      </c>
      <c r="O18" s="30">
        <f>IF($BC18=0,"",IF(MOD($BC18,8)=7,IF($BC18&gt;=8,"◇","◆"),IF(MOD($BC18,8)=3,IF($BC18&gt;=8,"▷","▶"),IF(MOD($BC18,8)=5,IF($BC18&gt;=8,"◁","◀"),IF($BC18&gt;=8,"□","■")))))</f>
        <v/>
      </c>
      <c r="P18" s="30">
        <f>IF($BD18=0,"",IF(MOD($BD18,8)=7,IF($BD18&gt;=8,"◇","◆"),IF(MOD($BD18,8)=3,IF($BD18&gt;=8,"▷","▶"),IF(MOD($BD18,8)=5,IF($BD18&gt;=8,"◁","◀"),IF($BD18&gt;=8,"□","■")))))</f>
        <v/>
      </c>
      <c r="Q18" s="30">
        <f>IF($BE18=0,"",IF(MOD($BE18,8)=7,IF($BE18&gt;=8,"◇","◆"),IF(MOD($BE18,8)=3,IF($BE18&gt;=8,"▷","▶"),IF(MOD($BE18,8)=5,IF($BE18&gt;=8,"◁","◀"),IF($BE18&gt;=8,"□","■")))))</f>
        <v/>
      </c>
      <c r="R18" s="30">
        <f>IF($BF18=0,"",IF(MOD($BF18,8)=7,IF($BF18&gt;=8,"◇","◆"),IF(MOD($BF18,8)=3,IF($BF18&gt;=8,"▷","▶"),IF(MOD($BF18,8)=5,IF($BF18&gt;=8,"◁","◀"),IF($BF18&gt;=8,"□","■")))))</f>
        <v/>
      </c>
      <c r="S18" s="30">
        <f>IF($BG18=0,"",IF(MOD($BG18,8)=7,IF($BG18&gt;=8,"◇","◆"),IF(MOD($BG18,8)=3,IF($BG18&gt;=8,"▷","▶"),IF(MOD($BG18,8)=5,IF($BG18&gt;=8,"◁","◀"),IF($BG18&gt;=8,"□","■")))))</f>
        <v/>
      </c>
      <c r="T18" s="30">
        <f>IF($BH18=0,"",IF(MOD($BH18,8)=7,IF($BH18&gt;=8,"◇","◆"),IF(MOD($BH18,8)=3,IF($BH18&gt;=8,"▷","▶"),IF(MOD($BH18,8)=5,IF($BH18&gt;=8,"◁","◀"),IF($BH18&gt;=8,"□","■")))))</f>
        <v/>
      </c>
      <c r="U18" s="30">
        <f>IF($BI18=0,"",IF(MOD($BI18,8)=7,IF($BI18&gt;=8,"◇","◆"),IF(MOD($BI18,8)=3,IF($BI18&gt;=8,"▷","▶"),IF(MOD($BI18,8)=5,IF($BI18&gt;=8,"◁","◀"),IF($BI18&gt;=8,"□","■")))))</f>
        <v/>
      </c>
      <c r="V18" s="30">
        <f>IF($BJ18=0,"",IF(MOD($BJ18,8)=7,IF($BJ18&gt;=8,"◇","◆"),IF(MOD($BJ18,8)=3,IF($BJ18&gt;=8,"▷","▶"),IF(MOD($BJ18,8)=5,IF($BJ18&gt;=8,"◁","◀"),IF($BJ18&gt;=8,"□","■")))))</f>
        <v/>
      </c>
      <c r="W18" s="30">
        <f>IF($BK18=0,"",IF(MOD($BK18,8)=7,IF($BK18&gt;=8,"◇","◆"),IF(MOD($BK18,8)=3,IF($BK18&gt;=8,"▷","▶"),IF(MOD($BK18,8)=5,IF($BK18&gt;=8,"◁","◀"),IF($BK18&gt;=8,"□","■")))))</f>
        <v/>
      </c>
      <c r="X18" s="30">
        <f>IF($BL18=0,"",IF(MOD($BL18,8)=7,IF($BL18&gt;=8,"◇","◆"),IF(MOD($BL18,8)=3,IF($BL18&gt;=8,"▷","▶"),IF(MOD($BL18,8)=5,IF($BL18&gt;=8,"◁","◀"),IF($BL18&gt;=8,"□","■")))))</f>
        <v/>
      </c>
      <c r="Y18" s="30">
        <f>IF($BM18=0,"",IF(MOD($BM18,8)=7,IF($BM18&gt;=8,"◇","◆"),IF(MOD($BM18,8)=3,IF($BM18&gt;=8,"▷","▶"),IF(MOD($BM18,8)=5,IF($BM18&gt;=8,"◁","◀"),IF($BM18&gt;=8,"□","■")))))</f>
        <v/>
      </c>
      <c r="Z18" s="30">
        <f>IF($BN18=0,"",IF(MOD($BN18,8)=7,IF($BN18&gt;=8,"◇","◆"),IF(MOD($BN18,8)=3,IF($BN18&gt;=8,"▷","▶"),IF(MOD($BN18,8)=5,IF($BN18&gt;=8,"◁","◀"),IF($BN18&gt;=8,"□","■")))))</f>
        <v/>
      </c>
      <c r="AA18" s="30">
        <f>IF($BO18=0,"",IF(MOD($BO18,8)=7,IF($BO18&gt;=8,"◇","◆"),IF(MOD($BO18,8)=3,IF($BO18&gt;=8,"▷","▶"),IF(MOD($BO18,8)=5,IF($BO18&gt;=8,"◁","◀"),IF($BO18&gt;=8,"□","■")))))</f>
        <v/>
      </c>
      <c r="AB18" s="30">
        <f>IF($BP18=0,"",IF(MOD($BP18,8)=7,IF($BP18&gt;=8,"◇","◆"),IF(MOD($BP18,8)=3,IF($BP18&gt;=8,"▷","▶"),IF(MOD($BP18,8)=5,IF($BP18&gt;=8,"◁","◀"),IF($BP18&gt;=8,"□","■")))))</f>
        <v/>
      </c>
      <c r="AC18" s="30">
        <f>IF($BQ18=0,"",IF(MOD($BQ18,8)=7,IF($BQ18&gt;=8,"◇","◆"),IF(MOD($BQ18,8)=3,IF($BQ18&gt;=8,"▷","▶"),IF(MOD($BQ18,8)=5,IF($BQ18&gt;=8,"◁","◀"),IF($BQ18&gt;=8,"□","■")))))</f>
        <v/>
      </c>
      <c r="AD18" s="30">
        <f>IF($BR18=0,"",IF(MOD($BR18,8)=7,IF($BR18&gt;=8,"◇","◆"),IF(MOD($BR18,8)=3,IF($BR18&gt;=8,"▷","▶"),IF(MOD($BR18,8)=5,IF($BR18&gt;=8,"◁","◀"),IF($BR18&gt;=8,"□","■")))))</f>
        <v/>
      </c>
      <c r="AE18" s="30">
        <f>IF($BS18=0,"",IF(MOD($BS18,8)=7,IF($BS18&gt;=8,"◇","◆"),IF(MOD($BS18,8)=3,IF($BS18&gt;=8,"▷","▶"),IF(MOD($BS18,8)=5,IF($BS18&gt;=8,"◁","◀"),IF($BS18&gt;=8,"□","■")))))</f>
        <v/>
      </c>
      <c r="AF18" s="30">
        <f>IF($BT18=0,"",IF(MOD($BT18,8)=7,IF($BT18&gt;=8,"◇","◆"),IF(MOD($BT18,8)=3,IF($BT18&gt;=8,"▷","▶"),IF(MOD($BT18,8)=5,IF($BT18&gt;=8,"◁","◀"),IF($BT18&gt;=8,"□","■")))))</f>
        <v/>
      </c>
      <c r="AG18" s="31">
        <f>IF($A18="","",COUNTIF($AP18:$BT18,"&gt;0"))</f>
        <v/>
      </c>
      <c r="AP18">
        <f>IF(OR($A18="",B$4=""),0,SUMPRODUCT(('01_予約入力'!$E$5:$E$204&lt;&gt;"")*('01_予約入力'!$K$5:$K$204&lt;&gt;"キャンセル")*('01_予約入力'!$B$5:$B$204=$A18)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8">
        <f>IF(OR($A18="",C$4=""),0,SUMPRODUCT(('01_予約入力'!$E$5:$E$204&lt;&gt;"")*('01_予約入力'!$K$5:$K$204&lt;&gt;"キャンセル")*('01_予約入力'!$B$5:$B$204=$A18)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8">
        <f>IF(OR($A18="",D$4=""),0,SUMPRODUCT(('01_予約入力'!$E$5:$E$204&lt;&gt;"")*('01_予約入力'!$K$5:$K$204&lt;&gt;"キャンセル")*('01_予約入力'!$B$5:$B$204=$A18)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8">
        <f>IF(OR($A18="",E$4=""),0,SUMPRODUCT(('01_予約入力'!$E$5:$E$204&lt;&gt;"")*('01_予約入力'!$K$5:$K$204&lt;&gt;"キャンセル")*('01_予約入力'!$B$5:$B$204=$A18)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8">
        <f>IF(OR($A18="",F$4=""),0,SUMPRODUCT(('01_予約入力'!$E$5:$E$204&lt;&gt;"")*('01_予約入力'!$K$5:$K$204&lt;&gt;"キャンセル")*('01_予約入力'!$B$5:$B$204=$A18)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8">
        <f>IF(OR($A18="",G$4=""),0,SUMPRODUCT(('01_予約入力'!$E$5:$E$204&lt;&gt;"")*('01_予約入力'!$K$5:$K$204&lt;&gt;"キャンセル")*('01_予約入力'!$B$5:$B$204=$A18)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8">
        <f>IF(OR($A18="",H$4=""),0,SUMPRODUCT(('01_予約入力'!$E$5:$E$204&lt;&gt;"")*('01_予約入力'!$K$5:$K$204&lt;&gt;"キャンセル")*('01_予約入力'!$B$5:$B$204=$A18)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8">
        <f>IF(OR($A18="",I$4=""),0,SUMPRODUCT(('01_予約入力'!$E$5:$E$204&lt;&gt;"")*('01_予約入力'!$K$5:$K$204&lt;&gt;"キャンセル")*('01_予約入力'!$B$5:$B$204=$A18)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8">
        <f>IF(OR($A18="",J$4=""),0,SUMPRODUCT(('01_予約入力'!$E$5:$E$204&lt;&gt;"")*('01_予約入力'!$K$5:$K$204&lt;&gt;"キャンセル")*('01_予約入力'!$B$5:$B$204=$A18)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8">
        <f>IF(OR($A18="",K$4=""),0,SUMPRODUCT(('01_予約入力'!$E$5:$E$204&lt;&gt;"")*('01_予約入力'!$K$5:$K$204&lt;&gt;"キャンセル")*('01_予約入力'!$B$5:$B$204=$A18)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8">
        <f>IF(OR($A18="",L$4=""),0,SUMPRODUCT(('01_予約入力'!$E$5:$E$204&lt;&gt;"")*('01_予約入力'!$K$5:$K$204&lt;&gt;"キャンセル")*('01_予約入力'!$B$5:$B$204=$A18)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8">
        <f>IF(OR($A18="",M$4=""),0,SUMPRODUCT(('01_予約入力'!$E$5:$E$204&lt;&gt;"")*('01_予約入力'!$K$5:$K$204&lt;&gt;"キャンセル")*('01_予約入力'!$B$5:$B$204=$A18)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8">
        <f>IF(OR($A18="",N$4=""),0,SUMPRODUCT(('01_予約入力'!$E$5:$E$204&lt;&gt;"")*('01_予約入力'!$K$5:$K$204&lt;&gt;"キャンセル")*('01_予約入力'!$B$5:$B$204=$A18)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8">
        <f>IF(OR($A18="",O$4=""),0,SUMPRODUCT(('01_予約入力'!$E$5:$E$204&lt;&gt;"")*('01_予約入力'!$K$5:$K$204&lt;&gt;"キャンセル")*('01_予約入力'!$B$5:$B$204=$A18)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8">
        <f>IF(OR($A18="",P$4=""),0,SUMPRODUCT(('01_予約入力'!$E$5:$E$204&lt;&gt;"")*('01_予約入力'!$K$5:$K$204&lt;&gt;"キャンセル")*('01_予約入力'!$B$5:$B$204=$A18)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8">
        <f>IF(OR($A18="",Q$4=""),0,SUMPRODUCT(('01_予約入力'!$E$5:$E$204&lt;&gt;"")*('01_予約入力'!$K$5:$K$204&lt;&gt;"キャンセル")*('01_予約入力'!$B$5:$B$204=$A18)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8">
        <f>IF(OR($A18="",R$4=""),0,SUMPRODUCT(('01_予約入力'!$E$5:$E$204&lt;&gt;"")*('01_予約入力'!$K$5:$K$204&lt;&gt;"キャンセル")*('01_予約入力'!$B$5:$B$204=$A18)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8">
        <f>IF(OR($A18="",S$4=""),0,SUMPRODUCT(('01_予約入力'!$E$5:$E$204&lt;&gt;"")*('01_予約入力'!$K$5:$K$204&lt;&gt;"キャンセル")*('01_予約入力'!$B$5:$B$204=$A18)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8">
        <f>IF(OR($A18="",T$4=""),0,SUMPRODUCT(('01_予約入力'!$E$5:$E$204&lt;&gt;"")*('01_予約入力'!$K$5:$K$204&lt;&gt;"キャンセル")*('01_予約入力'!$B$5:$B$204=$A18)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8">
        <f>IF(OR($A18="",U$4=""),0,SUMPRODUCT(('01_予約入力'!$E$5:$E$204&lt;&gt;"")*('01_予約入力'!$K$5:$K$204&lt;&gt;"キャンセル")*('01_予約入力'!$B$5:$B$204=$A18)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8">
        <f>IF(OR($A18="",V$4=""),0,SUMPRODUCT(('01_予約入力'!$E$5:$E$204&lt;&gt;"")*('01_予約入力'!$K$5:$K$204&lt;&gt;"キャンセル")*('01_予約入力'!$B$5:$B$204=$A18)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8">
        <f>IF(OR($A18="",W$4=""),0,SUMPRODUCT(('01_予約入力'!$E$5:$E$204&lt;&gt;"")*('01_予約入力'!$K$5:$K$204&lt;&gt;"キャンセル")*('01_予約入力'!$B$5:$B$204=$A18)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8">
        <f>IF(OR($A18="",X$4=""),0,SUMPRODUCT(('01_予約入力'!$E$5:$E$204&lt;&gt;"")*('01_予約入力'!$K$5:$K$204&lt;&gt;"キャンセル")*('01_予約入力'!$B$5:$B$204=$A18)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8">
        <f>IF(OR($A18="",Y$4=""),0,SUMPRODUCT(('01_予約入力'!$E$5:$E$204&lt;&gt;"")*('01_予約入力'!$K$5:$K$204&lt;&gt;"キャンセル")*('01_予約入力'!$B$5:$B$204=$A18)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8">
        <f>IF(OR($A18="",Z$4=""),0,SUMPRODUCT(('01_予約入力'!$E$5:$E$204&lt;&gt;"")*('01_予約入力'!$K$5:$K$204&lt;&gt;"キャンセル")*('01_予約入力'!$B$5:$B$204=$A18)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8">
        <f>IF(OR($A18="",AA$4=""),0,SUMPRODUCT(('01_予約入力'!$E$5:$E$204&lt;&gt;"")*('01_予約入力'!$K$5:$K$204&lt;&gt;"キャンセル")*('01_予約入力'!$B$5:$B$204=$A18)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8">
        <f>IF(OR($A18="",AB$4=""),0,SUMPRODUCT(('01_予約入力'!$E$5:$E$204&lt;&gt;"")*('01_予約入力'!$K$5:$K$204&lt;&gt;"キャンセル")*('01_予約入力'!$B$5:$B$204=$A18)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8">
        <f>IF(OR($A18="",AC$4=""),0,SUMPRODUCT(('01_予約入力'!$E$5:$E$204&lt;&gt;"")*('01_予約入力'!$K$5:$K$204&lt;&gt;"キャンセル")*('01_予約入力'!$B$5:$B$204=$A18)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8">
        <f>IF(OR($A18="",AD$4=""),0,SUMPRODUCT(('01_予約入力'!$E$5:$E$204&lt;&gt;"")*('01_予約入力'!$K$5:$K$204&lt;&gt;"キャンセル")*('01_予約入力'!$B$5:$B$204=$A18)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8">
        <f>IF(OR($A18="",AE$4=""),0,SUMPRODUCT(('01_予約入力'!$E$5:$E$204&lt;&gt;"")*('01_予約入力'!$K$5:$K$204&lt;&gt;"キャンセル")*('01_予約入力'!$B$5:$B$204=$A18)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8">
        <f>IF(OR($A18="",AF$4=""),0,SUMPRODUCT(('01_予約入力'!$E$5:$E$204&lt;&gt;"")*('01_予約入力'!$K$5:$K$204&lt;&gt;"キャンセル")*('01_予約入力'!$B$5:$B$204=$A18)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19">
      <c r="A19" s="29">
        <f>IF(COUNTA('M_利用者'!$A$4:$A$60)&gt;=13,INDEX('M_利用者'!$A$4:$A$60,13),"")</f>
        <v/>
      </c>
      <c r="B19" s="30">
        <f>IF($AP19=0,"",IF(MOD($AP19,8)=7,IF($AP19&gt;=8,"◇","◆"),IF(MOD($AP19,8)=3,IF($AP19&gt;=8,"▷","▶"),IF(MOD($AP19,8)=5,IF($AP19&gt;=8,"◁","◀"),IF($AP19&gt;=8,"□","■")))))</f>
        <v/>
      </c>
      <c r="C19" s="30">
        <f>IF($AQ19=0,"",IF(MOD($AQ19,8)=7,IF($AQ19&gt;=8,"◇","◆"),IF(MOD($AQ19,8)=3,IF($AQ19&gt;=8,"▷","▶"),IF(MOD($AQ19,8)=5,IF($AQ19&gt;=8,"◁","◀"),IF($AQ19&gt;=8,"□","■")))))</f>
        <v/>
      </c>
      <c r="D19" s="30">
        <f>IF($AR19=0,"",IF(MOD($AR19,8)=7,IF($AR19&gt;=8,"◇","◆"),IF(MOD($AR19,8)=3,IF($AR19&gt;=8,"▷","▶"),IF(MOD($AR19,8)=5,IF($AR19&gt;=8,"◁","◀"),IF($AR19&gt;=8,"□","■")))))</f>
        <v/>
      </c>
      <c r="E19" s="30">
        <f>IF($AS19=0,"",IF(MOD($AS19,8)=7,IF($AS19&gt;=8,"◇","◆"),IF(MOD($AS19,8)=3,IF($AS19&gt;=8,"▷","▶"),IF(MOD($AS19,8)=5,IF($AS19&gt;=8,"◁","◀"),IF($AS19&gt;=8,"□","■")))))</f>
        <v/>
      </c>
      <c r="F19" s="30">
        <f>IF($AT19=0,"",IF(MOD($AT19,8)=7,IF($AT19&gt;=8,"◇","◆"),IF(MOD($AT19,8)=3,IF($AT19&gt;=8,"▷","▶"),IF(MOD($AT19,8)=5,IF($AT19&gt;=8,"◁","◀"),IF($AT19&gt;=8,"□","■")))))</f>
        <v/>
      </c>
      <c r="G19" s="30">
        <f>IF($AU19=0,"",IF(MOD($AU19,8)=7,IF($AU19&gt;=8,"◇","◆"),IF(MOD($AU19,8)=3,IF($AU19&gt;=8,"▷","▶"),IF(MOD($AU19,8)=5,IF($AU19&gt;=8,"◁","◀"),IF($AU19&gt;=8,"□","■")))))</f>
        <v/>
      </c>
      <c r="H19" s="30">
        <f>IF($AV19=0,"",IF(MOD($AV19,8)=7,IF($AV19&gt;=8,"◇","◆"),IF(MOD($AV19,8)=3,IF($AV19&gt;=8,"▷","▶"),IF(MOD($AV19,8)=5,IF($AV19&gt;=8,"◁","◀"),IF($AV19&gt;=8,"□","■")))))</f>
        <v/>
      </c>
      <c r="I19" s="30">
        <f>IF($AW19=0,"",IF(MOD($AW19,8)=7,IF($AW19&gt;=8,"◇","◆"),IF(MOD($AW19,8)=3,IF($AW19&gt;=8,"▷","▶"),IF(MOD($AW19,8)=5,IF($AW19&gt;=8,"◁","◀"),IF($AW19&gt;=8,"□","■")))))</f>
        <v/>
      </c>
      <c r="J19" s="30">
        <f>IF($AX19=0,"",IF(MOD($AX19,8)=7,IF($AX19&gt;=8,"◇","◆"),IF(MOD($AX19,8)=3,IF($AX19&gt;=8,"▷","▶"),IF(MOD($AX19,8)=5,IF($AX19&gt;=8,"◁","◀"),IF($AX19&gt;=8,"□","■")))))</f>
        <v/>
      </c>
      <c r="K19" s="30">
        <f>IF($AY19=0,"",IF(MOD($AY19,8)=7,IF($AY19&gt;=8,"◇","◆"),IF(MOD($AY19,8)=3,IF($AY19&gt;=8,"▷","▶"),IF(MOD($AY19,8)=5,IF($AY19&gt;=8,"◁","◀"),IF($AY19&gt;=8,"□","■")))))</f>
        <v/>
      </c>
      <c r="L19" s="30">
        <f>IF($AZ19=0,"",IF(MOD($AZ19,8)=7,IF($AZ19&gt;=8,"◇","◆"),IF(MOD($AZ19,8)=3,IF($AZ19&gt;=8,"▷","▶"),IF(MOD($AZ19,8)=5,IF($AZ19&gt;=8,"◁","◀"),IF($AZ19&gt;=8,"□","■")))))</f>
        <v/>
      </c>
      <c r="M19" s="30">
        <f>IF($BA19=0,"",IF(MOD($BA19,8)=7,IF($BA19&gt;=8,"◇","◆"),IF(MOD($BA19,8)=3,IF($BA19&gt;=8,"▷","▶"),IF(MOD($BA19,8)=5,IF($BA19&gt;=8,"◁","◀"),IF($BA19&gt;=8,"□","■")))))</f>
        <v/>
      </c>
      <c r="N19" s="30">
        <f>IF($BB19=0,"",IF(MOD($BB19,8)=7,IF($BB19&gt;=8,"◇","◆"),IF(MOD($BB19,8)=3,IF($BB19&gt;=8,"▷","▶"),IF(MOD($BB19,8)=5,IF($BB19&gt;=8,"◁","◀"),IF($BB19&gt;=8,"□","■")))))</f>
        <v/>
      </c>
      <c r="O19" s="30">
        <f>IF($BC19=0,"",IF(MOD($BC19,8)=7,IF($BC19&gt;=8,"◇","◆"),IF(MOD($BC19,8)=3,IF($BC19&gt;=8,"▷","▶"),IF(MOD($BC19,8)=5,IF($BC19&gt;=8,"◁","◀"),IF($BC19&gt;=8,"□","■")))))</f>
        <v/>
      </c>
      <c r="P19" s="30">
        <f>IF($BD19=0,"",IF(MOD($BD19,8)=7,IF($BD19&gt;=8,"◇","◆"),IF(MOD($BD19,8)=3,IF($BD19&gt;=8,"▷","▶"),IF(MOD($BD19,8)=5,IF($BD19&gt;=8,"◁","◀"),IF($BD19&gt;=8,"□","■")))))</f>
        <v/>
      </c>
      <c r="Q19" s="30">
        <f>IF($BE19=0,"",IF(MOD($BE19,8)=7,IF($BE19&gt;=8,"◇","◆"),IF(MOD($BE19,8)=3,IF($BE19&gt;=8,"▷","▶"),IF(MOD($BE19,8)=5,IF($BE19&gt;=8,"◁","◀"),IF($BE19&gt;=8,"□","■")))))</f>
        <v/>
      </c>
      <c r="R19" s="30">
        <f>IF($BF19=0,"",IF(MOD($BF19,8)=7,IF($BF19&gt;=8,"◇","◆"),IF(MOD($BF19,8)=3,IF($BF19&gt;=8,"▷","▶"),IF(MOD($BF19,8)=5,IF($BF19&gt;=8,"◁","◀"),IF($BF19&gt;=8,"□","■")))))</f>
        <v/>
      </c>
      <c r="S19" s="30">
        <f>IF($BG19=0,"",IF(MOD($BG19,8)=7,IF($BG19&gt;=8,"◇","◆"),IF(MOD($BG19,8)=3,IF($BG19&gt;=8,"▷","▶"),IF(MOD($BG19,8)=5,IF($BG19&gt;=8,"◁","◀"),IF($BG19&gt;=8,"□","■")))))</f>
        <v/>
      </c>
      <c r="T19" s="30">
        <f>IF($BH19=0,"",IF(MOD($BH19,8)=7,IF($BH19&gt;=8,"◇","◆"),IF(MOD($BH19,8)=3,IF($BH19&gt;=8,"▷","▶"),IF(MOD($BH19,8)=5,IF($BH19&gt;=8,"◁","◀"),IF($BH19&gt;=8,"□","■")))))</f>
        <v/>
      </c>
      <c r="U19" s="30">
        <f>IF($BI19=0,"",IF(MOD($BI19,8)=7,IF($BI19&gt;=8,"◇","◆"),IF(MOD($BI19,8)=3,IF($BI19&gt;=8,"▷","▶"),IF(MOD($BI19,8)=5,IF($BI19&gt;=8,"◁","◀"),IF($BI19&gt;=8,"□","■")))))</f>
        <v/>
      </c>
      <c r="V19" s="30">
        <f>IF($BJ19=0,"",IF(MOD($BJ19,8)=7,IF($BJ19&gt;=8,"◇","◆"),IF(MOD($BJ19,8)=3,IF($BJ19&gt;=8,"▷","▶"),IF(MOD($BJ19,8)=5,IF($BJ19&gt;=8,"◁","◀"),IF($BJ19&gt;=8,"□","■")))))</f>
        <v/>
      </c>
      <c r="W19" s="30">
        <f>IF($BK19=0,"",IF(MOD($BK19,8)=7,IF($BK19&gt;=8,"◇","◆"),IF(MOD($BK19,8)=3,IF($BK19&gt;=8,"▷","▶"),IF(MOD($BK19,8)=5,IF($BK19&gt;=8,"◁","◀"),IF($BK19&gt;=8,"□","■")))))</f>
        <v/>
      </c>
      <c r="X19" s="30">
        <f>IF($BL19=0,"",IF(MOD($BL19,8)=7,IF($BL19&gt;=8,"◇","◆"),IF(MOD($BL19,8)=3,IF($BL19&gt;=8,"▷","▶"),IF(MOD($BL19,8)=5,IF($BL19&gt;=8,"◁","◀"),IF($BL19&gt;=8,"□","■")))))</f>
        <v/>
      </c>
      <c r="Y19" s="30">
        <f>IF($BM19=0,"",IF(MOD($BM19,8)=7,IF($BM19&gt;=8,"◇","◆"),IF(MOD($BM19,8)=3,IF($BM19&gt;=8,"▷","▶"),IF(MOD($BM19,8)=5,IF($BM19&gt;=8,"◁","◀"),IF($BM19&gt;=8,"□","■")))))</f>
        <v/>
      </c>
      <c r="Z19" s="30">
        <f>IF($BN19=0,"",IF(MOD($BN19,8)=7,IF($BN19&gt;=8,"◇","◆"),IF(MOD($BN19,8)=3,IF($BN19&gt;=8,"▷","▶"),IF(MOD($BN19,8)=5,IF($BN19&gt;=8,"◁","◀"),IF($BN19&gt;=8,"□","■")))))</f>
        <v/>
      </c>
      <c r="AA19" s="30">
        <f>IF($BO19=0,"",IF(MOD($BO19,8)=7,IF($BO19&gt;=8,"◇","◆"),IF(MOD($BO19,8)=3,IF($BO19&gt;=8,"▷","▶"),IF(MOD($BO19,8)=5,IF($BO19&gt;=8,"◁","◀"),IF($BO19&gt;=8,"□","■")))))</f>
        <v/>
      </c>
      <c r="AB19" s="30">
        <f>IF($BP19=0,"",IF(MOD($BP19,8)=7,IF($BP19&gt;=8,"◇","◆"),IF(MOD($BP19,8)=3,IF($BP19&gt;=8,"▷","▶"),IF(MOD($BP19,8)=5,IF($BP19&gt;=8,"◁","◀"),IF($BP19&gt;=8,"□","■")))))</f>
        <v/>
      </c>
      <c r="AC19" s="30">
        <f>IF($BQ19=0,"",IF(MOD($BQ19,8)=7,IF($BQ19&gt;=8,"◇","◆"),IF(MOD($BQ19,8)=3,IF($BQ19&gt;=8,"▷","▶"),IF(MOD($BQ19,8)=5,IF($BQ19&gt;=8,"◁","◀"),IF($BQ19&gt;=8,"□","■")))))</f>
        <v/>
      </c>
      <c r="AD19" s="30">
        <f>IF($BR19=0,"",IF(MOD($BR19,8)=7,IF($BR19&gt;=8,"◇","◆"),IF(MOD($BR19,8)=3,IF($BR19&gt;=8,"▷","▶"),IF(MOD($BR19,8)=5,IF($BR19&gt;=8,"◁","◀"),IF($BR19&gt;=8,"□","■")))))</f>
        <v/>
      </c>
      <c r="AE19" s="30">
        <f>IF($BS19=0,"",IF(MOD($BS19,8)=7,IF($BS19&gt;=8,"◇","◆"),IF(MOD($BS19,8)=3,IF($BS19&gt;=8,"▷","▶"),IF(MOD($BS19,8)=5,IF($BS19&gt;=8,"◁","◀"),IF($BS19&gt;=8,"□","■")))))</f>
        <v/>
      </c>
      <c r="AF19" s="30">
        <f>IF($BT19=0,"",IF(MOD($BT19,8)=7,IF($BT19&gt;=8,"◇","◆"),IF(MOD($BT19,8)=3,IF($BT19&gt;=8,"▷","▶"),IF(MOD($BT19,8)=5,IF($BT19&gt;=8,"◁","◀"),IF($BT19&gt;=8,"□","■")))))</f>
        <v/>
      </c>
      <c r="AG19" s="31">
        <f>IF($A19="","",COUNTIF($AP19:$BT19,"&gt;0"))</f>
        <v/>
      </c>
      <c r="AP19">
        <f>IF(OR($A19="",B$4=""),0,SUMPRODUCT(('01_予約入力'!$E$5:$E$204&lt;&gt;"")*('01_予約入力'!$K$5:$K$204&lt;&gt;"キャンセル")*('01_予約入力'!$B$5:$B$204=$A19)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19">
        <f>IF(OR($A19="",C$4=""),0,SUMPRODUCT(('01_予約入力'!$E$5:$E$204&lt;&gt;"")*('01_予約入力'!$K$5:$K$204&lt;&gt;"キャンセル")*('01_予約入力'!$B$5:$B$204=$A19)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19">
        <f>IF(OR($A19="",D$4=""),0,SUMPRODUCT(('01_予約入力'!$E$5:$E$204&lt;&gt;"")*('01_予約入力'!$K$5:$K$204&lt;&gt;"キャンセル")*('01_予約入力'!$B$5:$B$204=$A19)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19">
        <f>IF(OR($A19="",E$4=""),0,SUMPRODUCT(('01_予約入力'!$E$5:$E$204&lt;&gt;"")*('01_予約入力'!$K$5:$K$204&lt;&gt;"キャンセル")*('01_予約入力'!$B$5:$B$204=$A19)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19">
        <f>IF(OR($A19="",F$4=""),0,SUMPRODUCT(('01_予約入力'!$E$5:$E$204&lt;&gt;"")*('01_予約入力'!$K$5:$K$204&lt;&gt;"キャンセル")*('01_予約入力'!$B$5:$B$204=$A19)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19">
        <f>IF(OR($A19="",G$4=""),0,SUMPRODUCT(('01_予約入力'!$E$5:$E$204&lt;&gt;"")*('01_予約入力'!$K$5:$K$204&lt;&gt;"キャンセル")*('01_予約入力'!$B$5:$B$204=$A19)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19">
        <f>IF(OR($A19="",H$4=""),0,SUMPRODUCT(('01_予約入力'!$E$5:$E$204&lt;&gt;"")*('01_予約入力'!$K$5:$K$204&lt;&gt;"キャンセル")*('01_予約入力'!$B$5:$B$204=$A19)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19">
        <f>IF(OR($A19="",I$4=""),0,SUMPRODUCT(('01_予約入力'!$E$5:$E$204&lt;&gt;"")*('01_予約入力'!$K$5:$K$204&lt;&gt;"キャンセル")*('01_予約入力'!$B$5:$B$204=$A19)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19">
        <f>IF(OR($A19="",J$4=""),0,SUMPRODUCT(('01_予約入力'!$E$5:$E$204&lt;&gt;"")*('01_予約入力'!$K$5:$K$204&lt;&gt;"キャンセル")*('01_予約入力'!$B$5:$B$204=$A19)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19">
        <f>IF(OR($A19="",K$4=""),0,SUMPRODUCT(('01_予約入力'!$E$5:$E$204&lt;&gt;"")*('01_予約入力'!$K$5:$K$204&lt;&gt;"キャンセル")*('01_予約入力'!$B$5:$B$204=$A19)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19">
        <f>IF(OR($A19="",L$4=""),0,SUMPRODUCT(('01_予約入力'!$E$5:$E$204&lt;&gt;"")*('01_予約入力'!$K$5:$K$204&lt;&gt;"キャンセル")*('01_予約入力'!$B$5:$B$204=$A19)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19">
        <f>IF(OR($A19="",M$4=""),0,SUMPRODUCT(('01_予約入力'!$E$5:$E$204&lt;&gt;"")*('01_予約入力'!$K$5:$K$204&lt;&gt;"キャンセル")*('01_予約入力'!$B$5:$B$204=$A19)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19">
        <f>IF(OR($A19="",N$4=""),0,SUMPRODUCT(('01_予約入力'!$E$5:$E$204&lt;&gt;"")*('01_予約入力'!$K$5:$K$204&lt;&gt;"キャンセル")*('01_予約入力'!$B$5:$B$204=$A19)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19">
        <f>IF(OR($A19="",O$4=""),0,SUMPRODUCT(('01_予約入力'!$E$5:$E$204&lt;&gt;"")*('01_予約入力'!$K$5:$K$204&lt;&gt;"キャンセル")*('01_予約入力'!$B$5:$B$204=$A19)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19">
        <f>IF(OR($A19="",P$4=""),0,SUMPRODUCT(('01_予約入力'!$E$5:$E$204&lt;&gt;"")*('01_予約入力'!$K$5:$K$204&lt;&gt;"キャンセル")*('01_予約入力'!$B$5:$B$204=$A19)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19">
        <f>IF(OR($A19="",Q$4=""),0,SUMPRODUCT(('01_予約入力'!$E$5:$E$204&lt;&gt;"")*('01_予約入力'!$K$5:$K$204&lt;&gt;"キャンセル")*('01_予約入力'!$B$5:$B$204=$A19)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19">
        <f>IF(OR($A19="",R$4=""),0,SUMPRODUCT(('01_予約入力'!$E$5:$E$204&lt;&gt;"")*('01_予約入力'!$K$5:$K$204&lt;&gt;"キャンセル")*('01_予約入力'!$B$5:$B$204=$A19)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19">
        <f>IF(OR($A19="",S$4=""),0,SUMPRODUCT(('01_予約入力'!$E$5:$E$204&lt;&gt;"")*('01_予約入力'!$K$5:$K$204&lt;&gt;"キャンセル")*('01_予約入力'!$B$5:$B$204=$A19)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19">
        <f>IF(OR($A19="",T$4=""),0,SUMPRODUCT(('01_予約入力'!$E$5:$E$204&lt;&gt;"")*('01_予約入力'!$K$5:$K$204&lt;&gt;"キャンセル")*('01_予約入力'!$B$5:$B$204=$A19)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19">
        <f>IF(OR($A19="",U$4=""),0,SUMPRODUCT(('01_予約入力'!$E$5:$E$204&lt;&gt;"")*('01_予約入力'!$K$5:$K$204&lt;&gt;"キャンセル")*('01_予約入力'!$B$5:$B$204=$A19)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19">
        <f>IF(OR($A19="",V$4=""),0,SUMPRODUCT(('01_予約入力'!$E$5:$E$204&lt;&gt;"")*('01_予約入力'!$K$5:$K$204&lt;&gt;"キャンセル")*('01_予約入力'!$B$5:$B$204=$A19)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19">
        <f>IF(OR($A19="",W$4=""),0,SUMPRODUCT(('01_予約入力'!$E$5:$E$204&lt;&gt;"")*('01_予約入力'!$K$5:$K$204&lt;&gt;"キャンセル")*('01_予約入力'!$B$5:$B$204=$A19)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19">
        <f>IF(OR($A19="",X$4=""),0,SUMPRODUCT(('01_予約入力'!$E$5:$E$204&lt;&gt;"")*('01_予約入力'!$K$5:$K$204&lt;&gt;"キャンセル")*('01_予約入力'!$B$5:$B$204=$A19)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19">
        <f>IF(OR($A19="",Y$4=""),0,SUMPRODUCT(('01_予約入力'!$E$5:$E$204&lt;&gt;"")*('01_予約入力'!$K$5:$K$204&lt;&gt;"キャンセル")*('01_予約入力'!$B$5:$B$204=$A19)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19">
        <f>IF(OR($A19="",Z$4=""),0,SUMPRODUCT(('01_予約入力'!$E$5:$E$204&lt;&gt;"")*('01_予約入力'!$K$5:$K$204&lt;&gt;"キャンセル")*('01_予約入力'!$B$5:$B$204=$A19)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19">
        <f>IF(OR($A19="",AA$4=""),0,SUMPRODUCT(('01_予約入力'!$E$5:$E$204&lt;&gt;"")*('01_予約入力'!$K$5:$K$204&lt;&gt;"キャンセル")*('01_予約入力'!$B$5:$B$204=$A19)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19">
        <f>IF(OR($A19="",AB$4=""),0,SUMPRODUCT(('01_予約入力'!$E$5:$E$204&lt;&gt;"")*('01_予約入力'!$K$5:$K$204&lt;&gt;"キャンセル")*('01_予約入力'!$B$5:$B$204=$A19)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19">
        <f>IF(OR($A19="",AC$4=""),0,SUMPRODUCT(('01_予約入力'!$E$5:$E$204&lt;&gt;"")*('01_予約入力'!$K$5:$K$204&lt;&gt;"キャンセル")*('01_予約入力'!$B$5:$B$204=$A19)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19">
        <f>IF(OR($A19="",AD$4=""),0,SUMPRODUCT(('01_予約入力'!$E$5:$E$204&lt;&gt;"")*('01_予約入力'!$K$5:$K$204&lt;&gt;"キャンセル")*('01_予約入力'!$B$5:$B$204=$A19)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19">
        <f>IF(OR($A19="",AE$4=""),0,SUMPRODUCT(('01_予約入力'!$E$5:$E$204&lt;&gt;"")*('01_予約入力'!$K$5:$K$204&lt;&gt;"キャンセル")*('01_予約入力'!$B$5:$B$204=$A19)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19">
        <f>IF(OR($A19="",AF$4=""),0,SUMPRODUCT(('01_予約入力'!$E$5:$E$204&lt;&gt;"")*('01_予約入力'!$K$5:$K$204&lt;&gt;"キャンセル")*('01_予約入力'!$B$5:$B$204=$A19)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0">
      <c r="A20" s="29">
        <f>IF(COUNTA('M_利用者'!$A$4:$A$60)&gt;=14,INDEX('M_利用者'!$A$4:$A$60,14),"")</f>
        <v/>
      </c>
      <c r="B20" s="30">
        <f>IF($AP20=0,"",IF(MOD($AP20,8)=7,IF($AP20&gt;=8,"◇","◆"),IF(MOD($AP20,8)=3,IF($AP20&gt;=8,"▷","▶"),IF(MOD($AP20,8)=5,IF($AP20&gt;=8,"◁","◀"),IF($AP20&gt;=8,"□","■")))))</f>
        <v/>
      </c>
      <c r="C20" s="30">
        <f>IF($AQ20=0,"",IF(MOD($AQ20,8)=7,IF($AQ20&gt;=8,"◇","◆"),IF(MOD($AQ20,8)=3,IF($AQ20&gt;=8,"▷","▶"),IF(MOD($AQ20,8)=5,IF($AQ20&gt;=8,"◁","◀"),IF($AQ20&gt;=8,"□","■")))))</f>
        <v/>
      </c>
      <c r="D20" s="30">
        <f>IF($AR20=0,"",IF(MOD($AR20,8)=7,IF($AR20&gt;=8,"◇","◆"),IF(MOD($AR20,8)=3,IF($AR20&gt;=8,"▷","▶"),IF(MOD($AR20,8)=5,IF($AR20&gt;=8,"◁","◀"),IF($AR20&gt;=8,"□","■")))))</f>
        <v/>
      </c>
      <c r="E20" s="30">
        <f>IF($AS20=0,"",IF(MOD($AS20,8)=7,IF($AS20&gt;=8,"◇","◆"),IF(MOD($AS20,8)=3,IF($AS20&gt;=8,"▷","▶"),IF(MOD($AS20,8)=5,IF($AS20&gt;=8,"◁","◀"),IF($AS20&gt;=8,"□","■")))))</f>
        <v/>
      </c>
      <c r="F20" s="30">
        <f>IF($AT20=0,"",IF(MOD($AT20,8)=7,IF($AT20&gt;=8,"◇","◆"),IF(MOD($AT20,8)=3,IF($AT20&gt;=8,"▷","▶"),IF(MOD($AT20,8)=5,IF($AT20&gt;=8,"◁","◀"),IF($AT20&gt;=8,"□","■")))))</f>
        <v/>
      </c>
      <c r="G20" s="30">
        <f>IF($AU20=0,"",IF(MOD($AU20,8)=7,IF($AU20&gt;=8,"◇","◆"),IF(MOD($AU20,8)=3,IF($AU20&gt;=8,"▷","▶"),IF(MOD($AU20,8)=5,IF($AU20&gt;=8,"◁","◀"),IF($AU20&gt;=8,"□","■")))))</f>
        <v/>
      </c>
      <c r="H20" s="30">
        <f>IF($AV20=0,"",IF(MOD($AV20,8)=7,IF($AV20&gt;=8,"◇","◆"),IF(MOD($AV20,8)=3,IF($AV20&gt;=8,"▷","▶"),IF(MOD($AV20,8)=5,IF($AV20&gt;=8,"◁","◀"),IF($AV20&gt;=8,"□","■")))))</f>
        <v/>
      </c>
      <c r="I20" s="30">
        <f>IF($AW20=0,"",IF(MOD($AW20,8)=7,IF($AW20&gt;=8,"◇","◆"),IF(MOD($AW20,8)=3,IF($AW20&gt;=8,"▷","▶"),IF(MOD($AW20,8)=5,IF($AW20&gt;=8,"◁","◀"),IF($AW20&gt;=8,"□","■")))))</f>
        <v/>
      </c>
      <c r="J20" s="30">
        <f>IF($AX20=0,"",IF(MOD($AX20,8)=7,IF($AX20&gt;=8,"◇","◆"),IF(MOD($AX20,8)=3,IF($AX20&gt;=8,"▷","▶"),IF(MOD($AX20,8)=5,IF($AX20&gt;=8,"◁","◀"),IF($AX20&gt;=8,"□","■")))))</f>
        <v/>
      </c>
      <c r="K20" s="30">
        <f>IF($AY20=0,"",IF(MOD($AY20,8)=7,IF($AY20&gt;=8,"◇","◆"),IF(MOD($AY20,8)=3,IF($AY20&gt;=8,"▷","▶"),IF(MOD($AY20,8)=5,IF($AY20&gt;=8,"◁","◀"),IF($AY20&gt;=8,"□","■")))))</f>
        <v/>
      </c>
      <c r="L20" s="30">
        <f>IF($AZ20=0,"",IF(MOD($AZ20,8)=7,IF($AZ20&gt;=8,"◇","◆"),IF(MOD($AZ20,8)=3,IF($AZ20&gt;=8,"▷","▶"),IF(MOD($AZ20,8)=5,IF($AZ20&gt;=8,"◁","◀"),IF($AZ20&gt;=8,"□","■")))))</f>
        <v/>
      </c>
      <c r="M20" s="30">
        <f>IF($BA20=0,"",IF(MOD($BA20,8)=7,IF($BA20&gt;=8,"◇","◆"),IF(MOD($BA20,8)=3,IF($BA20&gt;=8,"▷","▶"),IF(MOD($BA20,8)=5,IF($BA20&gt;=8,"◁","◀"),IF($BA20&gt;=8,"□","■")))))</f>
        <v/>
      </c>
      <c r="N20" s="30">
        <f>IF($BB20=0,"",IF(MOD($BB20,8)=7,IF($BB20&gt;=8,"◇","◆"),IF(MOD($BB20,8)=3,IF($BB20&gt;=8,"▷","▶"),IF(MOD($BB20,8)=5,IF($BB20&gt;=8,"◁","◀"),IF($BB20&gt;=8,"□","■")))))</f>
        <v/>
      </c>
      <c r="O20" s="30">
        <f>IF($BC20=0,"",IF(MOD($BC20,8)=7,IF($BC20&gt;=8,"◇","◆"),IF(MOD($BC20,8)=3,IF($BC20&gt;=8,"▷","▶"),IF(MOD($BC20,8)=5,IF($BC20&gt;=8,"◁","◀"),IF($BC20&gt;=8,"□","■")))))</f>
        <v/>
      </c>
      <c r="P20" s="30">
        <f>IF($BD20=0,"",IF(MOD($BD20,8)=7,IF($BD20&gt;=8,"◇","◆"),IF(MOD($BD20,8)=3,IF($BD20&gt;=8,"▷","▶"),IF(MOD($BD20,8)=5,IF($BD20&gt;=8,"◁","◀"),IF($BD20&gt;=8,"□","■")))))</f>
        <v/>
      </c>
      <c r="Q20" s="30">
        <f>IF($BE20=0,"",IF(MOD($BE20,8)=7,IF($BE20&gt;=8,"◇","◆"),IF(MOD($BE20,8)=3,IF($BE20&gt;=8,"▷","▶"),IF(MOD($BE20,8)=5,IF($BE20&gt;=8,"◁","◀"),IF($BE20&gt;=8,"□","■")))))</f>
        <v/>
      </c>
      <c r="R20" s="30">
        <f>IF($BF20=0,"",IF(MOD($BF20,8)=7,IF($BF20&gt;=8,"◇","◆"),IF(MOD($BF20,8)=3,IF($BF20&gt;=8,"▷","▶"),IF(MOD($BF20,8)=5,IF($BF20&gt;=8,"◁","◀"),IF($BF20&gt;=8,"□","■")))))</f>
        <v/>
      </c>
      <c r="S20" s="30">
        <f>IF($BG20=0,"",IF(MOD($BG20,8)=7,IF($BG20&gt;=8,"◇","◆"),IF(MOD($BG20,8)=3,IF($BG20&gt;=8,"▷","▶"),IF(MOD($BG20,8)=5,IF($BG20&gt;=8,"◁","◀"),IF($BG20&gt;=8,"□","■")))))</f>
        <v/>
      </c>
      <c r="T20" s="30">
        <f>IF($BH20=0,"",IF(MOD($BH20,8)=7,IF($BH20&gt;=8,"◇","◆"),IF(MOD($BH20,8)=3,IF($BH20&gt;=8,"▷","▶"),IF(MOD($BH20,8)=5,IF($BH20&gt;=8,"◁","◀"),IF($BH20&gt;=8,"□","■")))))</f>
        <v/>
      </c>
      <c r="U20" s="30">
        <f>IF($BI20=0,"",IF(MOD($BI20,8)=7,IF($BI20&gt;=8,"◇","◆"),IF(MOD($BI20,8)=3,IF($BI20&gt;=8,"▷","▶"),IF(MOD($BI20,8)=5,IF($BI20&gt;=8,"◁","◀"),IF($BI20&gt;=8,"□","■")))))</f>
        <v/>
      </c>
      <c r="V20" s="30">
        <f>IF($BJ20=0,"",IF(MOD($BJ20,8)=7,IF($BJ20&gt;=8,"◇","◆"),IF(MOD($BJ20,8)=3,IF($BJ20&gt;=8,"▷","▶"),IF(MOD($BJ20,8)=5,IF($BJ20&gt;=8,"◁","◀"),IF($BJ20&gt;=8,"□","■")))))</f>
        <v/>
      </c>
      <c r="W20" s="30">
        <f>IF($BK20=0,"",IF(MOD($BK20,8)=7,IF($BK20&gt;=8,"◇","◆"),IF(MOD($BK20,8)=3,IF($BK20&gt;=8,"▷","▶"),IF(MOD($BK20,8)=5,IF($BK20&gt;=8,"◁","◀"),IF($BK20&gt;=8,"□","■")))))</f>
        <v/>
      </c>
      <c r="X20" s="30">
        <f>IF($BL20=0,"",IF(MOD($BL20,8)=7,IF($BL20&gt;=8,"◇","◆"),IF(MOD($BL20,8)=3,IF($BL20&gt;=8,"▷","▶"),IF(MOD($BL20,8)=5,IF($BL20&gt;=8,"◁","◀"),IF($BL20&gt;=8,"□","■")))))</f>
        <v/>
      </c>
      <c r="Y20" s="30">
        <f>IF($BM20=0,"",IF(MOD($BM20,8)=7,IF($BM20&gt;=8,"◇","◆"),IF(MOD($BM20,8)=3,IF($BM20&gt;=8,"▷","▶"),IF(MOD($BM20,8)=5,IF($BM20&gt;=8,"◁","◀"),IF($BM20&gt;=8,"□","■")))))</f>
        <v/>
      </c>
      <c r="Z20" s="30">
        <f>IF($BN20=0,"",IF(MOD($BN20,8)=7,IF($BN20&gt;=8,"◇","◆"),IF(MOD($BN20,8)=3,IF($BN20&gt;=8,"▷","▶"),IF(MOD($BN20,8)=5,IF($BN20&gt;=8,"◁","◀"),IF($BN20&gt;=8,"□","■")))))</f>
        <v/>
      </c>
      <c r="AA20" s="30">
        <f>IF($BO20=0,"",IF(MOD($BO20,8)=7,IF($BO20&gt;=8,"◇","◆"),IF(MOD($BO20,8)=3,IF($BO20&gt;=8,"▷","▶"),IF(MOD($BO20,8)=5,IF($BO20&gt;=8,"◁","◀"),IF($BO20&gt;=8,"□","■")))))</f>
        <v/>
      </c>
      <c r="AB20" s="30">
        <f>IF($BP20=0,"",IF(MOD($BP20,8)=7,IF($BP20&gt;=8,"◇","◆"),IF(MOD($BP20,8)=3,IF($BP20&gt;=8,"▷","▶"),IF(MOD($BP20,8)=5,IF($BP20&gt;=8,"◁","◀"),IF($BP20&gt;=8,"□","■")))))</f>
        <v/>
      </c>
      <c r="AC20" s="30">
        <f>IF($BQ20=0,"",IF(MOD($BQ20,8)=7,IF($BQ20&gt;=8,"◇","◆"),IF(MOD($BQ20,8)=3,IF($BQ20&gt;=8,"▷","▶"),IF(MOD($BQ20,8)=5,IF($BQ20&gt;=8,"◁","◀"),IF($BQ20&gt;=8,"□","■")))))</f>
        <v/>
      </c>
      <c r="AD20" s="30">
        <f>IF($BR20=0,"",IF(MOD($BR20,8)=7,IF($BR20&gt;=8,"◇","◆"),IF(MOD($BR20,8)=3,IF($BR20&gt;=8,"▷","▶"),IF(MOD($BR20,8)=5,IF($BR20&gt;=8,"◁","◀"),IF($BR20&gt;=8,"□","■")))))</f>
        <v/>
      </c>
      <c r="AE20" s="30">
        <f>IF($BS20=0,"",IF(MOD($BS20,8)=7,IF($BS20&gt;=8,"◇","◆"),IF(MOD($BS20,8)=3,IF($BS20&gt;=8,"▷","▶"),IF(MOD($BS20,8)=5,IF($BS20&gt;=8,"◁","◀"),IF($BS20&gt;=8,"□","■")))))</f>
        <v/>
      </c>
      <c r="AF20" s="30">
        <f>IF($BT20=0,"",IF(MOD($BT20,8)=7,IF($BT20&gt;=8,"◇","◆"),IF(MOD($BT20,8)=3,IF($BT20&gt;=8,"▷","▶"),IF(MOD($BT20,8)=5,IF($BT20&gt;=8,"◁","◀"),IF($BT20&gt;=8,"□","■")))))</f>
        <v/>
      </c>
      <c r="AG20" s="31">
        <f>IF($A20="","",COUNTIF($AP20:$BT20,"&gt;0"))</f>
        <v/>
      </c>
      <c r="AP20">
        <f>IF(OR($A20="",B$4=""),0,SUMPRODUCT(('01_予約入力'!$E$5:$E$204&lt;&gt;"")*('01_予約入力'!$K$5:$K$204&lt;&gt;"キャンセル")*('01_予約入力'!$B$5:$B$204=$A20)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0">
        <f>IF(OR($A20="",C$4=""),0,SUMPRODUCT(('01_予約入力'!$E$5:$E$204&lt;&gt;"")*('01_予約入力'!$K$5:$K$204&lt;&gt;"キャンセル")*('01_予約入力'!$B$5:$B$204=$A20)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0">
        <f>IF(OR($A20="",D$4=""),0,SUMPRODUCT(('01_予約入力'!$E$5:$E$204&lt;&gt;"")*('01_予約入力'!$K$5:$K$204&lt;&gt;"キャンセル")*('01_予約入力'!$B$5:$B$204=$A20)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0">
        <f>IF(OR($A20="",E$4=""),0,SUMPRODUCT(('01_予約入力'!$E$5:$E$204&lt;&gt;"")*('01_予約入力'!$K$5:$K$204&lt;&gt;"キャンセル")*('01_予約入力'!$B$5:$B$204=$A20)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0">
        <f>IF(OR($A20="",F$4=""),0,SUMPRODUCT(('01_予約入力'!$E$5:$E$204&lt;&gt;"")*('01_予約入力'!$K$5:$K$204&lt;&gt;"キャンセル")*('01_予約入力'!$B$5:$B$204=$A20)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0">
        <f>IF(OR($A20="",G$4=""),0,SUMPRODUCT(('01_予約入力'!$E$5:$E$204&lt;&gt;"")*('01_予約入力'!$K$5:$K$204&lt;&gt;"キャンセル")*('01_予約入力'!$B$5:$B$204=$A20)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0">
        <f>IF(OR($A20="",H$4=""),0,SUMPRODUCT(('01_予約入力'!$E$5:$E$204&lt;&gt;"")*('01_予約入力'!$K$5:$K$204&lt;&gt;"キャンセル")*('01_予約入力'!$B$5:$B$204=$A20)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0">
        <f>IF(OR($A20="",I$4=""),0,SUMPRODUCT(('01_予約入力'!$E$5:$E$204&lt;&gt;"")*('01_予約入力'!$K$5:$K$204&lt;&gt;"キャンセル")*('01_予約入力'!$B$5:$B$204=$A20)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0">
        <f>IF(OR($A20="",J$4=""),0,SUMPRODUCT(('01_予約入力'!$E$5:$E$204&lt;&gt;"")*('01_予約入力'!$K$5:$K$204&lt;&gt;"キャンセル")*('01_予約入力'!$B$5:$B$204=$A20)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0">
        <f>IF(OR($A20="",K$4=""),0,SUMPRODUCT(('01_予約入力'!$E$5:$E$204&lt;&gt;"")*('01_予約入力'!$K$5:$K$204&lt;&gt;"キャンセル")*('01_予約入力'!$B$5:$B$204=$A20)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0">
        <f>IF(OR($A20="",L$4=""),0,SUMPRODUCT(('01_予約入力'!$E$5:$E$204&lt;&gt;"")*('01_予約入力'!$K$5:$K$204&lt;&gt;"キャンセル")*('01_予約入力'!$B$5:$B$204=$A20)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0">
        <f>IF(OR($A20="",M$4=""),0,SUMPRODUCT(('01_予約入力'!$E$5:$E$204&lt;&gt;"")*('01_予約入力'!$K$5:$K$204&lt;&gt;"キャンセル")*('01_予約入力'!$B$5:$B$204=$A20)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0">
        <f>IF(OR($A20="",N$4=""),0,SUMPRODUCT(('01_予約入力'!$E$5:$E$204&lt;&gt;"")*('01_予約入力'!$K$5:$K$204&lt;&gt;"キャンセル")*('01_予約入力'!$B$5:$B$204=$A20)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0">
        <f>IF(OR($A20="",O$4=""),0,SUMPRODUCT(('01_予約入力'!$E$5:$E$204&lt;&gt;"")*('01_予約入力'!$K$5:$K$204&lt;&gt;"キャンセル")*('01_予約入力'!$B$5:$B$204=$A20)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0">
        <f>IF(OR($A20="",P$4=""),0,SUMPRODUCT(('01_予約入力'!$E$5:$E$204&lt;&gt;"")*('01_予約入力'!$K$5:$K$204&lt;&gt;"キャンセル")*('01_予約入力'!$B$5:$B$204=$A20)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0">
        <f>IF(OR($A20="",Q$4=""),0,SUMPRODUCT(('01_予約入力'!$E$5:$E$204&lt;&gt;"")*('01_予約入力'!$K$5:$K$204&lt;&gt;"キャンセル")*('01_予約入力'!$B$5:$B$204=$A20)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0">
        <f>IF(OR($A20="",R$4=""),0,SUMPRODUCT(('01_予約入力'!$E$5:$E$204&lt;&gt;"")*('01_予約入力'!$K$5:$K$204&lt;&gt;"キャンセル")*('01_予約入力'!$B$5:$B$204=$A20)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0">
        <f>IF(OR($A20="",S$4=""),0,SUMPRODUCT(('01_予約入力'!$E$5:$E$204&lt;&gt;"")*('01_予約入力'!$K$5:$K$204&lt;&gt;"キャンセル")*('01_予約入力'!$B$5:$B$204=$A20)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0">
        <f>IF(OR($A20="",T$4=""),0,SUMPRODUCT(('01_予約入力'!$E$5:$E$204&lt;&gt;"")*('01_予約入力'!$K$5:$K$204&lt;&gt;"キャンセル")*('01_予約入力'!$B$5:$B$204=$A20)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0">
        <f>IF(OR($A20="",U$4=""),0,SUMPRODUCT(('01_予約入力'!$E$5:$E$204&lt;&gt;"")*('01_予約入力'!$K$5:$K$204&lt;&gt;"キャンセル")*('01_予約入力'!$B$5:$B$204=$A20)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0">
        <f>IF(OR($A20="",V$4=""),0,SUMPRODUCT(('01_予約入力'!$E$5:$E$204&lt;&gt;"")*('01_予約入力'!$K$5:$K$204&lt;&gt;"キャンセル")*('01_予約入力'!$B$5:$B$204=$A20)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0">
        <f>IF(OR($A20="",W$4=""),0,SUMPRODUCT(('01_予約入力'!$E$5:$E$204&lt;&gt;"")*('01_予約入力'!$K$5:$K$204&lt;&gt;"キャンセル")*('01_予約入力'!$B$5:$B$204=$A20)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0">
        <f>IF(OR($A20="",X$4=""),0,SUMPRODUCT(('01_予約入力'!$E$5:$E$204&lt;&gt;"")*('01_予約入力'!$K$5:$K$204&lt;&gt;"キャンセル")*('01_予約入力'!$B$5:$B$204=$A20)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0">
        <f>IF(OR($A20="",Y$4=""),0,SUMPRODUCT(('01_予約入力'!$E$5:$E$204&lt;&gt;"")*('01_予約入力'!$K$5:$K$204&lt;&gt;"キャンセル")*('01_予約入力'!$B$5:$B$204=$A20)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0">
        <f>IF(OR($A20="",Z$4=""),0,SUMPRODUCT(('01_予約入力'!$E$5:$E$204&lt;&gt;"")*('01_予約入力'!$K$5:$K$204&lt;&gt;"キャンセル")*('01_予約入力'!$B$5:$B$204=$A20)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0">
        <f>IF(OR($A20="",AA$4=""),0,SUMPRODUCT(('01_予約入力'!$E$5:$E$204&lt;&gt;"")*('01_予約入力'!$K$5:$K$204&lt;&gt;"キャンセル")*('01_予約入力'!$B$5:$B$204=$A20)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0">
        <f>IF(OR($A20="",AB$4=""),0,SUMPRODUCT(('01_予約入力'!$E$5:$E$204&lt;&gt;"")*('01_予約入力'!$K$5:$K$204&lt;&gt;"キャンセル")*('01_予約入力'!$B$5:$B$204=$A20)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0">
        <f>IF(OR($A20="",AC$4=""),0,SUMPRODUCT(('01_予約入力'!$E$5:$E$204&lt;&gt;"")*('01_予約入力'!$K$5:$K$204&lt;&gt;"キャンセル")*('01_予約入力'!$B$5:$B$204=$A20)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0">
        <f>IF(OR($A20="",AD$4=""),0,SUMPRODUCT(('01_予約入力'!$E$5:$E$204&lt;&gt;"")*('01_予約入力'!$K$5:$K$204&lt;&gt;"キャンセル")*('01_予約入力'!$B$5:$B$204=$A20)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0">
        <f>IF(OR($A20="",AE$4=""),0,SUMPRODUCT(('01_予約入力'!$E$5:$E$204&lt;&gt;"")*('01_予約入力'!$K$5:$K$204&lt;&gt;"キャンセル")*('01_予約入力'!$B$5:$B$204=$A20)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0">
        <f>IF(OR($A20="",AF$4=""),0,SUMPRODUCT(('01_予約入力'!$E$5:$E$204&lt;&gt;"")*('01_予約入力'!$K$5:$K$204&lt;&gt;"キャンセル")*('01_予約入力'!$B$5:$B$204=$A20)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1">
      <c r="A21" s="29">
        <f>IF(COUNTA('M_利用者'!$A$4:$A$60)&gt;=15,INDEX('M_利用者'!$A$4:$A$60,15),"")</f>
        <v/>
      </c>
      <c r="B21" s="30">
        <f>IF($AP21=0,"",IF(MOD($AP21,8)=7,IF($AP21&gt;=8,"◇","◆"),IF(MOD($AP21,8)=3,IF($AP21&gt;=8,"▷","▶"),IF(MOD($AP21,8)=5,IF($AP21&gt;=8,"◁","◀"),IF($AP21&gt;=8,"□","■")))))</f>
        <v/>
      </c>
      <c r="C21" s="30">
        <f>IF($AQ21=0,"",IF(MOD($AQ21,8)=7,IF($AQ21&gt;=8,"◇","◆"),IF(MOD($AQ21,8)=3,IF($AQ21&gt;=8,"▷","▶"),IF(MOD($AQ21,8)=5,IF($AQ21&gt;=8,"◁","◀"),IF($AQ21&gt;=8,"□","■")))))</f>
        <v/>
      </c>
      <c r="D21" s="30">
        <f>IF($AR21=0,"",IF(MOD($AR21,8)=7,IF($AR21&gt;=8,"◇","◆"),IF(MOD($AR21,8)=3,IF($AR21&gt;=8,"▷","▶"),IF(MOD($AR21,8)=5,IF($AR21&gt;=8,"◁","◀"),IF($AR21&gt;=8,"□","■")))))</f>
        <v/>
      </c>
      <c r="E21" s="30">
        <f>IF($AS21=0,"",IF(MOD($AS21,8)=7,IF($AS21&gt;=8,"◇","◆"),IF(MOD($AS21,8)=3,IF($AS21&gt;=8,"▷","▶"),IF(MOD($AS21,8)=5,IF($AS21&gt;=8,"◁","◀"),IF($AS21&gt;=8,"□","■")))))</f>
        <v/>
      </c>
      <c r="F21" s="30">
        <f>IF($AT21=0,"",IF(MOD($AT21,8)=7,IF($AT21&gt;=8,"◇","◆"),IF(MOD($AT21,8)=3,IF($AT21&gt;=8,"▷","▶"),IF(MOD($AT21,8)=5,IF($AT21&gt;=8,"◁","◀"),IF($AT21&gt;=8,"□","■")))))</f>
        <v/>
      </c>
      <c r="G21" s="30">
        <f>IF($AU21=0,"",IF(MOD($AU21,8)=7,IF($AU21&gt;=8,"◇","◆"),IF(MOD($AU21,8)=3,IF($AU21&gt;=8,"▷","▶"),IF(MOD($AU21,8)=5,IF($AU21&gt;=8,"◁","◀"),IF($AU21&gt;=8,"□","■")))))</f>
        <v/>
      </c>
      <c r="H21" s="30">
        <f>IF($AV21=0,"",IF(MOD($AV21,8)=7,IF($AV21&gt;=8,"◇","◆"),IF(MOD($AV21,8)=3,IF($AV21&gt;=8,"▷","▶"),IF(MOD($AV21,8)=5,IF($AV21&gt;=8,"◁","◀"),IF($AV21&gt;=8,"□","■")))))</f>
        <v/>
      </c>
      <c r="I21" s="30">
        <f>IF($AW21=0,"",IF(MOD($AW21,8)=7,IF($AW21&gt;=8,"◇","◆"),IF(MOD($AW21,8)=3,IF($AW21&gt;=8,"▷","▶"),IF(MOD($AW21,8)=5,IF($AW21&gt;=8,"◁","◀"),IF($AW21&gt;=8,"□","■")))))</f>
        <v/>
      </c>
      <c r="J21" s="30">
        <f>IF($AX21=0,"",IF(MOD($AX21,8)=7,IF($AX21&gt;=8,"◇","◆"),IF(MOD($AX21,8)=3,IF($AX21&gt;=8,"▷","▶"),IF(MOD($AX21,8)=5,IF($AX21&gt;=8,"◁","◀"),IF($AX21&gt;=8,"□","■")))))</f>
        <v/>
      </c>
      <c r="K21" s="30">
        <f>IF($AY21=0,"",IF(MOD($AY21,8)=7,IF($AY21&gt;=8,"◇","◆"),IF(MOD($AY21,8)=3,IF($AY21&gt;=8,"▷","▶"),IF(MOD($AY21,8)=5,IF($AY21&gt;=8,"◁","◀"),IF($AY21&gt;=8,"□","■")))))</f>
        <v/>
      </c>
      <c r="L21" s="30">
        <f>IF($AZ21=0,"",IF(MOD($AZ21,8)=7,IF($AZ21&gt;=8,"◇","◆"),IF(MOD($AZ21,8)=3,IF($AZ21&gt;=8,"▷","▶"),IF(MOD($AZ21,8)=5,IF($AZ21&gt;=8,"◁","◀"),IF($AZ21&gt;=8,"□","■")))))</f>
        <v/>
      </c>
      <c r="M21" s="30">
        <f>IF($BA21=0,"",IF(MOD($BA21,8)=7,IF($BA21&gt;=8,"◇","◆"),IF(MOD($BA21,8)=3,IF($BA21&gt;=8,"▷","▶"),IF(MOD($BA21,8)=5,IF($BA21&gt;=8,"◁","◀"),IF($BA21&gt;=8,"□","■")))))</f>
        <v/>
      </c>
      <c r="N21" s="30">
        <f>IF($BB21=0,"",IF(MOD($BB21,8)=7,IF($BB21&gt;=8,"◇","◆"),IF(MOD($BB21,8)=3,IF($BB21&gt;=8,"▷","▶"),IF(MOD($BB21,8)=5,IF($BB21&gt;=8,"◁","◀"),IF($BB21&gt;=8,"□","■")))))</f>
        <v/>
      </c>
      <c r="O21" s="30">
        <f>IF($BC21=0,"",IF(MOD($BC21,8)=7,IF($BC21&gt;=8,"◇","◆"),IF(MOD($BC21,8)=3,IF($BC21&gt;=8,"▷","▶"),IF(MOD($BC21,8)=5,IF($BC21&gt;=8,"◁","◀"),IF($BC21&gt;=8,"□","■")))))</f>
        <v/>
      </c>
      <c r="P21" s="30">
        <f>IF($BD21=0,"",IF(MOD($BD21,8)=7,IF($BD21&gt;=8,"◇","◆"),IF(MOD($BD21,8)=3,IF($BD21&gt;=8,"▷","▶"),IF(MOD($BD21,8)=5,IF($BD21&gt;=8,"◁","◀"),IF($BD21&gt;=8,"□","■")))))</f>
        <v/>
      </c>
      <c r="Q21" s="30">
        <f>IF($BE21=0,"",IF(MOD($BE21,8)=7,IF($BE21&gt;=8,"◇","◆"),IF(MOD($BE21,8)=3,IF($BE21&gt;=8,"▷","▶"),IF(MOD($BE21,8)=5,IF($BE21&gt;=8,"◁","◀"),IF($BE21&gt;=8,"□","■")))))</f>
        <v/>
      </c>
      <c r="R21" s="30">
        <f>IF($BF21=0,"",IF(MOD($BF21,8)=7,IF($BF21&gt;=8,"◇","◆"),IF(MOD($BF21,8)=3,IF($BF21&gt;=8,"▷","▶"),IF(MOD($BF21,8)=5,IF($BF21&gt;=8,"◁","◀"),IF($BF21&gt;=8,"□","■")))))</f>
        <v/>
      </c>
      <c r="S21" s="30">
        <f>IF($BG21=0,"",IF(MOD($BG21,8)=7,IF($BG21&gt;=8,"◇","◆"),IF(MOD($BG21,8)=3,IF($BG21&gt;=8,"▷","▶"),IF(MOD($BG21,8)=5,IF($BG21&gt;=8,"◁","◀"),IF($BG21&gt;=8,"□","■")))))</f>
        <v/>
      </c>
      <c r="T21" s="30">
        <f>IF($BH21=0,"",IF(MOD($BH21,8)=7,IF($BH21&gt;=8,"◇","◆"),IF(MOD($BH21,8)=3,IF($BH21&gt;=8,"▷","▶"),IF(MOD($BH21,8)=5,IF($BH21&gt;=8,"◁","◀"),IF($BH21&gt;=8,"□","■")))))</f>
        <v/>
      </c>
      <c r="U21" s="30">
        <f>IF($BI21=0,"",IF(MOD($BI21,8)=7,IF($BI21&gt;=8,"◇","◆"),IF(MOD($BI21,8)=3,IF($BI21&gt;=8,"▷","▶"),IF(MOD($BI21,8)=5,IF($BI21&gt;=8,"◁","◀"),IF($BI21&gt;=8,"□","■")))))</f>
        <v/>
      </c>
      <c r="V21" s="30">
        <f>IF($BJ21=0,"",IF(MOD($BJ21,8)=7,IF($BJ21&gt;=8,"◇","◆"),IF(MOD($BJ21,8)=3,IF($BJ21&gt;=8,"▷","▶"),IF(MOD($BJ21,8)=5,IF($BJ21&gt;=8,"◁","◀"),IF($BJ21&gt;=8,"□","■")))))</f>
        <v/>
      </c>
      <c r="W21" s="30">
        <f>IF($BK21=0,"",IF(MOD($BK21,8)=7,IF($BK21&gt;=8,"◇","◆"),IF(MOD($BK21,8)=3,IF($BK21&gt;=8,"▷","▶"),IF(MOD($BK21,8)=5,IF($BK21&gt;=8,"◁","◀"),IF($BK21&gt;=8,"□","■")))))</f>
        <v/>
      </c>
      <c r="X21" s="30">
        <f>IF($BL21=0,"",IF(MOD($BL21,8)=7,IF($BL21&gt;=8,"◇","◆"),IF(MOD($BL21,8)=3,IF($BL21&gt;=8,"▷","▶"),IF(MOD($BL21,8)=5,IF($BL21&gt;=8,"◁","◀"),IF($BL21&gt;=8,"□","■")))))</f>
        <v/>
      </c>
      <c r="Y21" s="30">
        <f>IF($BM21=0,"",IF(MOD($BM21,8)=7,IF($BM21&gt;=8,"◇","◆"),IF(MOD($BM21,8)=3,IF($BM21&gt;=8,"▷","▶"),IF(MOD($BM21,8)=5,IF($BM21&gt;=8,"◁","◀"),IF($BM21&gt;=8,"□","■")))))</f>
        <v/>
      </c>
      <c r="Z21" s="30">
        <f>IF($BN21=0,"",IF(MOD($BN21,8)=7,IF($BN21&gt;=8,"◇","◆"),IF(MOD($BN21,8)=3,IF($BN21&gt;=8,"▷","▶"),IF(MOD($BN21,8)=5,IF($BN21&gt;=8,"◁","◀"),IF($BN21&gt;=8,"□","■")))))</f>
        <v/>
      </c>
      <c r="AA21" s="30">
        <f>IF($BO21=0,"",IF(MOD($BO21,8)=7,IF($BO21&gt;=8,"◇","◆"),IF(MOD($BO21,8)=3,IF($BO21&gt;=8,"▷","▶"),IF(MOD($BO21,8)=5,IF($BO21&gt;=8,"◁","◀"),IF($BO21&gt;=8,"□","■")))))</f>
        <v/>
      </c>
      <c r="AB21" s="30">
        <f>IF($BP21=0,"",IF(MOD($BP21,8)=7,IF($BP21&gt;=8,"◇","◆"),IF(MOD($BP21,8)=3,IF($BP21&gt;=8,"▷","▶"),IF(MOD($BP21,8)=5,IF($BP21&gt;=8,"◁","◀"),IF($BP21&gt;=8,"□","■")))))</f>
        <v/>
      </c>
      <c r="AC21" s="30">
        <f>IF($BQ21=0,"",IF(MOD($BQ21,8)=7,IF($BQ21&gt;=8,"◇","◆"),IF(MOD($BQ21,8)=3,IF($BQ21&gt;=8,"▷","▶"),IF(MOD($BQ21,8)=5,IF($BQ21&gt;=8,"◁","◀"),IF($BQ21&gt;=8,"□","■")))))</f>
        <v/>
      </c>
      <c r="AD21" s="30">
        <f>IF($BR21=0,"",IF(MOD($BR21,8)=7,IF($BR21&gt;=8,"◇","◆"),IF(MOD($BR21,8)=3,IF($BR21&gt;=8,"▷","▶"),IF(MOD($BR21,8)=5,IF($BR21&gt;=8,"◁","◀"),IF($BR21&gt;=8,"□","■")))))</f>
        <v/>
      </c>
      <c r="AE21" s="30">
        <f>IF($BS21=0,"",IF(MOD($BS21,8)=7,IF($BS21&gt;=8,"◇","◆"),IF(MOD($BS21,8)=3,IF($BS21&gt;=8,"▷","▶"),IF(MOD($BS21,8)=5,IF($BS21&gt;=8,"◁","◀"),IF($BS21&gt;=8,"□","■")))))</f>
        <v/>
      </c>
      <c r="AF21" s="30">
        <f>IF($BT21=0,"",IF(MOD($BT21,8)=7,IF($BT21&gt;=8,"◇","◆"),IF(MOD($BT21,8)=3,IF($BT21&gt;=8,"▷","▶"),IF(MOD($BT21,8)=5,IF($BT21&gt;=8,"◁","◀"),IF($BT21&gt;=8,"□","■")))))</f>
        <v/>
      </c>
      <c r="AG21" s="31">
        <f>IF($A21="","",COUNTIF($AP21:$BT21,"&gt;0"))</f>
        <v/>
      </c>
      <c r="AP21">
        <f>IF(OR($A21="",B$4=""),0,SUMPRODUCT(('01_予約入力'!$E$5:$E$204&lt;&gt;"")*('01_予約入力'!$K$5:$K$204&lt;&gt;"キャンセル")*('01_予約入力'!$B$5:$B$204=$A21)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1">
        <f>IF(OR($A21="",C$4=""),0,SUMPRODUCT(('01_予約入力'!$E$5:$E$204&lt;&gt;"")*('01_予約入力'!$K$5:$K$204&lt;&gt;"キャンセル")*('01_予約入力'!$B$5:$B$204=$A21)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1">
        <f>IF(OR($A21="",D$4=""),0,SUMPRODUCT(('01_予約入力'!$E$5:$E$204&lt;&gt;"")*('01_予約入力'!$K$5:$K$204&lt;&gt;"キャンセル")*('01_予約入力'!$B$5:$B$204=$A21)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1">
        <f>IF(OR($A21="",E$4=""),0,SUMPRODUCT(('01_予約入力'!$E$5:$E$204&lt;&gt;"")*('01_予約入力'!$K$5:$K$204&lt;&gt;"キャンセル")*('01_予約入力'!$B$5:$B$204=$A21)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1">
        <f>IF(OR($A21="",F$4=""),0,SUMPRODUCT(('01_予約入力'!$E$5:$E$204&lt;&gt;"")*('01_予約入力'!$K$5:$K$204&lt;&gt;"キャンセル")*('01_予約入力'!$B$5:$B$204=$A21)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1">
        <f>IF(OR($A21="",G$4=""),0,SUMPRODUCT(('01_予約入力'!$E$5:$E$204&lt;&gt;"")*('01_予約入力'!$K$5:$K$204&lt;&gt;"キャンセル")*('01_予約入力'!$B$5:$B$204=$A21)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1">
        <f>IF(OR($A21="",H$4=""),0,SUMPRODUCT(('01_予約入力'!$E$5:$E$204&lt;&gt;"")*('01_予約入力'!$K$5:$K$204&lt;&gt;"キャンセル")*('01_予約入力'!$B$5:$B$204=$A21)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1">
        <f>IF(OR($A21="",I$4=""),0,SUMPRODUCT(('01_予約入力'!$E$5:$E$204&lt;&gt;"")*('01_予約入力'!$K$5:$K$204&lt;&gt;"キャンセル")*('01_予約入力'!$B$5:$B$204=$A21)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1">
        <f>IF(OR($A21="",J$4=""),0,SUMPRODUCT(('01_予約入力'!$E$5:$E$204&lt;&gt;"")*('01_予約入力'!$K$5:$K$204&lt;&gt;"キャンセル")*('01_予約入力'!$B$5:$B$204=$A21)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1">
        <f>IF(OR($A21="",K$4=""),0,SUMPRODUCT(('01_予約入力'!$E$5:$E$204&lt;&gt;"")*('01_予約入力'!$K$5:$K$204&lt;&gt;"キャンセル")*('01_予約入力'!$B$5:$B$204=$A21)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1">
        <f>IF(OR($A21="",L$4=""),0,SUMPRODUCT(('01_予約入力'!$E$5:$E$204&lt;&gt;"")*('01_予約入力'!$K$5:$K$204&lt;&gt;"キャンセル")*('01_予約入力'!$B$5:$B$204=$A21)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1">
        <f>IF(OR($A21="",M$4=""),0,SUMPRODUCT(('01_予約入力'!$E$5:$E$204&lt;&gt;"")*('01_予約入力'!$K$5:$K$204&lt;&gt;"キャンセル")*('01_予約入力'!$B$5:$B$204=$A21)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1">
        <f>IF(OR($A21="",N$4=""),0,SUMPRODUCT(('01_予約入力'!$E$5:$E$204&lt;&gt;"")*('01_予約入力'!$K$5:$K$204&lt;&gt;"キャンセル")*('01_予約入力'!$B$5:$B$204=$A21)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1">
        <f>IF(OR($A21="",O$4=""),0,SUMPRODUCT(('01_予約入力'!$E$5:$E$204&lt;&gt;"")*('01_予約入力'!$K$5:$K$204&lt;&gt;"キャンセル")*('01_予約入力'!$B$5:$B$204=$A21)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1">
        <f>IF(OR($A21="",P$4=""),0,SUMPRODUCT(('01_予約入力'!$E$5:$E$204&lt;&gt;"")*('01_予約入力'!$K$5:$K$204&lt;&gt;"キャンセル")*('01_予約入力'!$B$5:$B$204=$A21)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1">
        <f>IF(OR($A21="",Q$4=""),0,SUMPRODUCT(('01_予約入力'!$E$5:$E$204&lt;&gt;"")*('01_予約入力'!$K$5:$K$204&lt;&gt;"キャンセル")*('01_予約入力'!$B$5:$B$204=$A21)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1">
        <f>IF(OR($A21="",R$4=""),0,SUMPRODUCT(('01_予約入力'!$E$5:$E$204&lt;&gt;"")*('01_予約入力'!$K$5:$K$204&lt;&gt;"キャンセル")*('01_予約入力'!$B$5:$B$204=$A21)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1">
        <f>IF(OR($A21="",S$4=""),0,SUMPRODUCT(('01_予約入力'!$E$5:$E$204&lt;&gt;"")*('01_予約入力'!$K$5:$K$204&lt;&gt;"キャンセル")*('01_予約入力'!$B$5:$B$204=$A21)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1">
        <f>IF(OR($A21="",T$4=""),0,SUMPRODUCT(('01_予約入力'!$E$5:$E$204&lt;&gt;"")*('01_予約入力'!$K$5:$K$204&lt;&gt;"キャンセル")*('01_予約入力'!$B$5:$B$204=$A21)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1">
        <f>IF(OR($A21="",U$4=""),0,SUMPRODUCT(('01_予約入力'!$E$5:$E$204&lt;&gt;"")*('01_予約入力'!$K$5:$K$204&lt;&gt;"キャンセル")*('01_予約入力'!$B$5:$B$204=$A21)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1">
        <f>IF(OR($A21="",V$4=""),0,SUMPRODUCT(('01_予約入力'!$E$5:$E$204&lt;&gt;"")*('01_予約入力'!$K$5:$K$204&lt;&gt;"キャンセル")*('01_予約入力'!$B$5:$B$204=$A21)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1">
        <f>IF(OR($A21="",W$4=""),0,SUMPRODUCT(('01_予約入力'!$E$5:$E$204&lt;&gt;"")*('01_予約入力'!$K$5:$K$204&lt;&gt;"キャンセル")*('01_予約入力'!$B$5:$B$204=$A21)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1">
        <f>IF(OR($A21="",X$4=""),0,SUMPRODUCT(('01_予約入力'!$E$5:$E$204&lt;&gt;"")*('01_予約入力'!$K$5:$K$204&lt;&gt;"キャンセル")*('01_予約入力'!$B$5:$B$204=$A21)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1">
        <f>IF(OR($A21="",Y$4=""),0,SUMPRODUCT(('01_予約入力'!$E$5:$E$204&lt;&gt;"")*('01_予約入力'!$K$5:$K$204&lt;&gt;"キャンセル")*('01_予約入力'!$B$5:$B$204=$A21)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1">
        <f>IF(OR($A21="",Z$4=""),0,SUMPRODUCT(('01_予約入力'!$E$5:$E$204&lt;&gt;"")*('01_予約入力'!$K$5:$K$204&lt;&gt;"キャンセル")*('01_予約入力'!$B$5:$B$204=$A21)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1">
        <f>IF(OR($A21="",AA$4=""),0,SUMPRODUCT(('01_予約入力'!$E$5:$E$204&lt;&gt;"")*('01_予約入力'!$K$5:$K$204&lt;&gt;"キャンセル")*('01_予約入力'!$B$5:$B$204=$A21)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1">
        <f>IF(OR($A21="",AB$4=""),0,SUMPRODUCT(('01_予約入力'!$E$5:$E$204&lt;&gt;"")*('01_予約入力'!$K$5:$K$204&lt;&gt;"キャンセル")*('01_予約入力'!$B$5:$B$204=$A21)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1">
        <f>IF(OR($A21="",AC$4=""),0,SUMPRODUCT(('01_予約入力'!$E$5:$E$204&lt;&gt;"")*('01_予約入力'!$K$5:$K$204&lt;&gt;"キャンセル")*('01_予約入力'!$B$5:$B$204=$A21)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1">
        <f>IF(OR($A21="",AD$4=""),0,SUMPRODUCT(('01_予約入力'!$E$5:$E$204&lt;&gt;"")*('01_予約入力'!$K$5:$K$204&lt;&gt;"キャンセル")*('01_予約入力'!$B$5:$B$204=$A21)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1">
        <f>IF(OR($A21="",AE$4=""),0,SUMPRODUCT(('01_予約入力'!$E$5:$E$204&lt;&gt;"")*('01_予約入力'!$K$5:$K$204&lt;&gt;"キャンセル")*('01_予約入力'!$B$5:$B$204=$A21)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1">
        <f>IF(OR($A21="",AF$4=""),0,SUMPRODUCT(('01_予約入力'!$E$5:$E$204&lt;&gt;"")*('01_予約入力'!$K$5:$K$204&lt;&gt;"キャンセル")*('01_予約入力'!$B$5:$B$204=$A21)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2">
      <c r="A22" s="29">
        <f>IF(COUNTA('M_利用者'!$A$4:$A$60)&gt;=16,INDEX('M_利用者'!$A$4:$A$60,16),"")</f>
        <v/>
      </c>
      <c r="B22" s="30">
        <f>IF($AP22=0,"",IF(MOD($AP22,8)=7,IF($AP22&gt;=8,"◇","◆"),IF(MOD($AP22,8)=3,IF($AP22&gt;=8,"▷","▶"),IF(MOD($AP22,8)=5,IF($AP22&gt;=8,"◁","◀"),IF($AP22&gt;=8,"□","■")))))</f>
        <v/>
      </c>
      <c r="C22" s="30">
        <f>IF($AQ22=0,"",IF(MOD($AQ22,8)=7,IF($AQ22&gt;=8,"◇","◆"),IF(MOD($AQ22,8)=3,IF($AQ22&gt;=8,"▷","▶"),IF(MOD($AQ22,8)=5,IF($AQ22&gt;=8,"◁","◀"),IF($AQ22&gt;=8,"□","■")))))</f>
        <v/>
      </c>
      <c r="D22" s="30">
        <f>IF($AR22=0,"",IF(MOD($AR22,8)=7,IF($AR22&gt;=8,"◇","◆"),IF(MOD($AR22,8)=3,IF($AR22&gt;=8,"▷","▶"),IF(MOD($AR22,8)=5,IF($AR22&gt;=8,"◁","◀"),IF($AR22&gt;=8,"□","■")))))</f>
        <v/>
      </c>
      <c r="E22" s="30">
        <f>IF($AS22=0,"",IF(MOD($AS22,8)=7,IF($AS22&gt;=8,"◇","◆"),IF(MOD($AS22,8)=3,IF($AS22&gt;=8,"▷","▶"),IF(MOD($AS22,8)=5,IF($AS22&gt;=8,"◁","◀"),IF($AS22&gt;=8,"□","■")))))</f>
        <v/>
      </c>
      <c r="F22" s="30">
        <f>IF($AT22=0,"",IF(MOD($AT22,8)=7,IF($AT22&gt;=8,"◇","◆"),IF(MOD($AT22,8)=3,IF($AT22&gt;=8,"▷","▶"),IF(MOD($AT22,8)=5,IF($AT22&gt;=8,"◁","◀"),IF($AT22&gt;=8,"□","■")))))</f>
        <v/>
      </c>
      <c r="G22" s="30">
        <f>IF($AU22=0,"",IF(MOD($AU22,8)=7,IF($AU22&gt;=8,"◇","◆"),IF(MOD($AU22,8)=3,IF($AU22&gt;=8,"▷","▶"),IF(MOD($AU22,8)=5,IF($AU22&gt;=8,"◁","◀"),IF($AU22&gt;=8,"□","■")))))</f>
        <v/>
      </c>
      <c r="H22" s="30">
        <f>IF($AV22=0,"",IF(MOD($AV22,8)=7,IF($AV22&gt;=8,"◇","◆"),IF(MOD($AV22,8)=3,IF($AV22&gt;=8,"▷","▶"),IF(MOD($AV22,8)=5,IF($AV22&gt;=8,"◁","◀"),IF($AV22&gt;=8,"□","■")))))</f>
        <v/>
      </c>
      <c r="I22" s="30">
        <f>IF($AW22=0,"",IF(MOD($AW22,8)=7,IF($AW22&gt;=8,"◇","◆"),IF(MOD($AW22,8)=3,IF($AW22&gt;=8,"▷","▶"),IF(MOD($AW22,8)=5,IF($AW22&gt;=8,"◁","◀"),IF($AW22&gt;=8,"□","■")))))</f>
        <v/>
      </c>
      <c r="J22" s="30">
        <f>IF($AX22=0,"",IF(MOD($AX22,8)=7,IF($AX22&gt;=8,"◇","◆"),IF(MOD($AX22,8)=3,IF($AX22&gt;=8,"▷","▶"),IF(MOD($AX22,8)=5,IF($AX22&gt;=8,"◁","◀"),IF($AX22&gt;=8,"□","■")))))</f>
        <v/>
      </c>
      <c r="K22" s="30">
        <f>IF($AY22=0,"",IF(MOD($AY22,8)=7,IF($AY22&gt;=8,"◇","◆"),IF(MOD($AY22,8)=3,IF($AY22&gt;=8,"▷","▶"),IF(MOD($AY22,8)=5,IF($AY22&gt;=8,"◁","◀"),IF($AY22&gt;=8,"□","■")))))</f>
        <v/>
      </c>
      <c r="L22" s="30">
        <f>IF($AZ22=0,"",IF(MOD($AZ22,8)=7,IF($AZ22&gt;=8,"◇","◆"),IF(MOD($AZ22,8)=3,IF($AZ22&gt;=8,"▷","▶"),IF(MOD($AZ22,8)=5,IF($AZ22&gt;=8,"◁","◀"),IF($AZ22&gt;=8,"□","■")))))</f>
        <v/>
      </c>
      <c r="M22" s="30">
        <f>IF($BA22=0,"",IF(MOD($BA22,8)=7,IF($BA22&gt;=8,"◇","◆"),IF(MOD($BA22,8)=3,IF($BA22&gt;=8,"▷","▶"),IF(MOD($BA22,8)=5,IF($BA22&gt;=8,"◁","◀"),IF($BA22&gt;=8,"□","■")))))</f>
        <v/>
      </c>
      <c r="N22" s="30">
        <f>IF($BB22=0,"",IF(MOD($BB22,8)=7,IF($BB22&gt;=8,"◇","◆"),IF(MOD($BB22,8)=3,IF($BB22&gt;=8,"▷","▶"),IF(MOD($BB22,8)=5,IF($BB22&gt;=8,"◁","◀"),IF($BB22&gt;=8,"□","■")))))</f>
        <v/>
      </c>
      <c r="O22" s="30">
        <f>IF($BC22=0,"",IF(MOD($BC22,8)=7,IF($BC22&gt;=8,"◇","◆"),IF(MOD($BC22,8)=3,IF($BC22&gt;=8,"▷","▶"),IF(MOD($BC22,8)=5,IF($BC22&gt;=8,"◁","◀"),IF($BC22&gt;=8,"□","■")))))</f>
        <v/>
      </c>
      <c r="P22" s="30">
        <f>IF($BD22=0,"",IF(MOD($BD22,8)=7,IF($BD22&gt;=8,"◇","◆"),IF(MOD($BD22,8)=3,IF($BD22&gt;=8,"▷","▶"),IF(MOD($BD22,8)=5,IF($BD22&gt;=8,"◁","◀"),IF($BD22&gt;=8,"□","■")))))</f>
        <v/>
      </c>
      <c r="Q22" s="30">
        <f>IF($BE22=0,"",IF(MOD($BE22,8)=7,IF($BE22&gt;=8,"◇","◆"),IF(MOD($BE22,8)=3,IF($BE22&gt;=8,"▷","▶"),IF(MOD($BE22,8)=5,IF($BE22&gt;=8,"◁","◀"),IF($BE22&gt;=8,"□","■")))))</f>
        <v/>
      </c>
      <c r="R22" s="30">
        <f>IF($BF22=0,"",IF(MOD($BF22,8)=7,IF($BF22&gt;=8,"◇","◆"),IF(MOD($BF22,8)=3,IF($BF22&gt;=8,"▷","▶"),IF(MOD($BF22,8)=5,IF($BF22&gt;=8,"◁","◀"),IF($BF22&gt;=8,"□","■")))))</f>
        <v/>
      </c>
      <c r="S22" s="30">
        <f>IF($BG22=0,"",IF(MOD($BG22,8)=7,IF($BG22&gt;=8,"◇","◆"),IF(MOD($BG22,8)=3,IF($BG22&gt;=8,"▷","▶"),IF(MOD($BG22,8)=5,IF($BG22&gt;=8,"◁","◀"),IF($BG22&gt;=8,"□","■")))))</f>
        <v/>
      </c>
      <c r="T22" s="30">
        <f>IF($BH22=0,"",IF(MOD($BH22,8)=7,IF($BH22&gt;=8,"◇","◆"),IF(MOD($BH22,8)=3,IF($BH22&gt;=8,"▷","▶"),IF(MOD($BH22,8)=5,IF($BH22&gt;=8,"◁","◀"),IF($BH22&gt;=8,"□","■")))))</f>
        <v/>
      </c>
      <c r="U22" s="30">
        <f>IF($BI22=0,"",IF(MOD($BI22,8)=7,IF($BI22&gt;=8,"◇","◆"),IF(MOD($BI22,8)=3,IF($BI22&gt;=8,"▷","▶"),IF(MOD($BI22,8)=5,IF($BI22&gt;=8,"◁","◀"),IF($BI22&gt;=8,"□","■")))))</f>
        <v/>
      </c>
      <c r="V22" s="30">
        <f>IF($BJ22=0,"",IF(MOD($BJ22,8)=7,IF($BJ22&gt;=8,"◇","◆"),IF(MOD($BJ22,8)=3,IF($BJ22&gt;=8,"▷","▶"),IF(MOD($BJ22,8)=5,IF($BJ22&gt;=8,"◁","◀"),IF($BJ22&gt;=8,"□","■")))))</f>
        <v/>
      </c>
      <c r="W22" s="30">
        <f>IF($BK22=0,"",IF(MOD($BK22,8)=7,IF($BK22&gt;=8,"◇","◆"),IF(MOD($BK22,8)=3,IF($BK22&gt;=8,"▷","▶"),IF(MOD($BK22,8)=5,IF($BK22&gt;=8,"◁","◀"),IF($BK22&gt;=8,"□","■")))))</f>
        <v/>
      </c>
      <c r="X22" s="30">
        <f>IF($BL22=0,"",IF(MOD($BL22,8)=7,IF($BL22&gt;=8,"◇","◆"),IF(MOD($BL22,8)=3,IF($BL22&gt;=8,"▷","▶"),IF(MOD($BL22,8)=5,IF($BL22&gt;=8,"◁","◀"),IF($BL22&gt;=8,"□","■")))))</f>
        <v/>
      </c>
      <c r="Y22" s="30">
        <f>IF($BM22=0,"",IF(MOD($BM22,8)=7,IF($BM22&gt;=8,"◇","◆"),IF(MOD($BM22,8)=3,IF($BM22&gt;=8,"▷","▶"),IF(MOD($BM22,8)=5,IF($BM22&gt;=8,"◁","◀"),IF($BM22&gt;=8,"□","■")))))</f>
        <v/>
      </c>
      <c r="Z22" s="30">
        <f>IF($BN22=0,"",IF(MOD($BN22,8)=7,IF($BN22&gt;=8,"◇","◆"),IF(MOD($BN22,8)=3,IF($BN22&gt;=8,"▷","▶"),IF(MOD($BN22,8)=5,IF($BN22&gt;=8,"◁","◀"),IF($BN22&gt;=8,"□","■")))))</f>
        <v/>
      </c>
      <c r="AA22" s="30">
        <f>IF($BO22=0,"",IF(MOD($BO22,8)=7,IF($BO22&gt;=8,"◇","◆"),IF(MOD($BO22,8)=3,IF($BO22&gt;=8,"▷","▶"),IF(MOD($BO22,8)=5,IF($BO22&gt;=8,"◁","◀"),IF($BO22&gt;=8,"□","■")))))</f>
        <v/>
      </c>
      <c r="AB22" s="30">
        <f>IF($BP22=0,"",IF(MOD($BP22,8)=7,IF($BP22&gt;=8,"◇","◆"),IF(MOD($BP22,8)=3,IF($BP22&gt;=8,"▷","▶"),IF(MOD($BP22,8)=5,IF($BP22&gt;=8,"◁","◀"),IF($BP22&gt;=8,"□","■")))))</f>
        <v/>
      </c>
      <c r="AC22" s="30">
        <f>IF($BQ22=0,"",IF(MOD($BQ22,8)=7,IF($BQ22&gt;=8,"◇","◆"),IF(MOD($BQ22,8)=3,IF($BQ22&gt;=8,"▷","▶"),IF(MOD($BQ22,8)=5,IF($BQ22&gt;=8,"◁","◀"),IF($BQ22&gt;=8,"□","■")))))</f>
        <v/>
      </c>
      <c r="AD22" s="30">
        <f>IF($BR22=0,"",IF(MOD($BR22,8)=7,IF($BR22&gt;=8,"◇","◆"),IF(MOD($BR22,8)=3,IF($BR22&gt;=8,"▷","▶"),IF(MOD($BR22,8)=5,IF($BR22&gt;=8,"◁","◀"),IF($BR22&gt;=8,"□","■")))))</f>
        <v/>
      </c>
      <c r="AE22" s="30">
        <f>IF($BS22=0,"",IF(MOD($BS22,8)=7,IF($BS22&gt;=8,"◇","◆"),IF(MOD($BS22,8)=3,IF($BS22&gt;=8,"▷","▶"),IF(MOD($BS22,8)=5,IF($BS22&gt;=8,"◁","◀"),IF($BS22&gt;=8,"□","■")))))</f>
        <v/>
      </c>
      <c r="AF22" s="30">
        <f>IF($BT22=0,"",IF(MOD($BT22,8)=7,IF($BT22&gt;=8,"◇","◆"),IF(MOD($BT22,8)=3,IF($BT22&gt;=8,"▷","▶"),IF(MOD($BT22,8)=5,IF($BT22&gt;=8,"◁","◀"),IF($BT22&gt;=8,"□","■")))))</f>
        <v/>
      </c>
      <c r="AG22" s="31">
        <f>IF($A22="","",COUNTIF($AP22:$BT22,"&gt;0"))</f>
        <v/>
      </c>
      <c r="AP22">
        <f>IF(OR($A22="",B$4=""),0,SUMPRODUCT(('01_予約入力'!$E$5:$E$204&lt;&gt;"")*('01_予約入力'!$K$5:$K$204&lt;&gt;"キャンセル")*('01_予約入力'!$B$5:$B$204=$A22)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2">
        <f>IF(OR($A22="",C$4=""),0,SUMPRODUCT(('01_予約入力'!$E$5:$E$204&lt;&gt;"")*('01_予約入力'!$K$5:$K$204&lt;&gt;"キャンセル")*('01_予約入力'!$B$5:$B$204=$A22)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2">
        <f>IF(OR($A22="",D$4=""),0,SUMPRODUCT(('01_予約入力'!$E$5:$E$204&lt;&gt;"")*('01_予約入力'!$K$5:$K$204&lt;&gt;"キャンセル")*('01_予約入力'!$B$5:$B$204=$A22)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2">
        <f>IF(OR($A22="",E$4=""),0,SUMPRODUCT(('01_予約入力'!$E$5:$E$204&lt;&gt;"")*('01_予約入力'!$K$5:$K$204&lt;&gt;"キャンセル")*('01_予約入力'!$B$5:$B$204=$A22)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2">
        <f>IF(OR($A22="",F$4=""),0,SUMPRODUCT(('01_予約入力'!$E$5:$E$204&lt;&gt;"")*('01_予約入力'!$K$5:$K$204&lt;&gt;"キャンセル")*('01_予約入力'!$B$5:$B$204=$A22)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2">
        <f>IF(OR($A22="",G$4=""),0,SUMPRODUCT(('01_予約入力'!$E$5:$E$204&lt;&gt;"")*('01_予約入力'!$K$5:$K$204&lt;&gt;"キャンセル")*('01_予約入力'!$B$5:$B$204=$A22)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2">
        <f>IF(OR($A22="",H$4=""),0,SUMPRODUCT(('01_予約入力'!$E$5:$E$204&lt;&gt;"")*('01_予約入力'!$K$5:$K$204&lt;&gt;"キャンセル")*('01_予約入力'!$B$5:$B$204=$A22)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2">
        <f>IF(OR($A22="",I$4=""),0,SUMPRODUCT(('01_予約入力'!$E$5:$E$204&lt;&gt;"")*('01_予約入力'!$K$5:$K$204&lt;&gt;"キャンセル")*('01_予約入力'!$B$5:$B$204=$A22)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2">
        <f>IF(OR($A22="",J$4=""),0,SUMPRODUCT(('01_予約入力'!$E$5:$E$204&lt;&gt;"")*('01_予約入力'!$K$5:$K$204&lt;&gt;"キャンセル")*('01_予約入力'!$B$5:$B$204=$A22)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2">
        <f>IF(OR($A22="",K$4=""),0,SUMPRODUCT(('01_予約入力'!$E$5:$E$204&lt;&gt;"")*('01_予約入力'!$K$5:$K$204&lt;&gt;"キャンセル")*('01_予約入力'!$B$5:$B$204=$A22)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2">
        <f>IF(OR($A22="",L$4=""),0,SUMPRODUCT(('01_予約入力'!$E$5:$E$204&lt;&gt;"")*('01_予約入力'!$K$5:$K$204&lt;&gt;"キャンセル")*('01_予約入力'!$B$5:$B$204=$A22)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2">
        <f>IF(OR($A22="",M$4=""),0,SUMPRODUCT(('01_予約入力'!$E$5:$E$204&lt;&gt;"")*('01_予約入力'!$K$5:$K$204&lt;&gt;"キャンセル")*('01_予約入力'!$B$5:$B$204=$A22)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2">
        <f>IF(OR($A22="",N$4=""),0,SUMPRODUCT(('01_予約入力'!$E$5:$E$204&lt;&gt;"")*('01_予約入力'!$K$5:$K$204&lt;&gt;"キャンセル")*('01_予約入力'!$B$5:$B$204=$A22)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2">
        <f>IF(OR($A22="",O$4=""),0,SUMPRODUCT(('01_予約入力'!$E$5:$E$204&lt;&gt;"")*('01_予約入力'!$K$5:$K$204&lt;&gt;"キャンセル")*('01_予約入力'!$B$5:$B$204=$A22)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2">
        <f>IF(OR($A22="",P$4=""),0,SUMPRODUCT(('01_予約入力'!$E$5:$E$204&lt;&gt;"")*('01_予約入力'!$K$5:$K$204&lt;&gt;"キャンセル")*('01_予約入力'!$B$5:$B$204=$A22)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2">
        <f>IF(OR($A22="",Q$4=""),0,SUMPRODUCT(('01_予約入力'!$E$5:$E$204&lt;&gt;"")*('01_予約入力'!$K$5:$K$204&lt;&gt;"キャンセル")*('01_予約入力'!$B$5:$B$204=$A22)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2">
        <f>IF(OR($A22="",R$4=""),0,SUMPRODUCT(('01_予約入力'!$E$5:$E$204&lt;&gt;"")*('01_予約入力'!$K$5:$K$204&lt;&gt;"キャンセル")*('01_予約入力'!$B$5:$B$204=$A22)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2">
        <f>IF(OR($A22="",S$4=""),0,SUMPRODUCT(('01_予約入力'!$E$5:$E$204&lt;&gt;"")*('01_予約入力'!$K$5:$K$204&lt;&gt;"キャンセル")*('01_予約入力'!$B$5:$B$204=$A22)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2">
        <f>IF(OR($A22="",T$4=""),0,SUMPRODUCT(('01_予約入力'!$E$5:$E$204&lt;&gt;"")*('01_予約入力'!$K$5:$K$204&lt;&gt;"キャンセル")*('01_予約入力'!$B$5:$B$204=$A22)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2">
        <f>IF(OR($A22="",U$4=""),0,SUMPRODUCT(('01_予約入力'!$E$5:$E$204&lt;&gt;"")*('01_予約入力'!$K$5:$K$204&lt;&gt;"キャンセル")*('01_予約入力'!$B$5:$B$204=$A22)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2">
        <f>IF(OR($A22="",V$4=""),0,SUMPRODUCT(('01_予約入力'!$E$5:$E$204&lt;&gt;"")*('01_予約入力'!$K$5:$K$204&lt;&gt;"キャンセル")*('01_予約入力'!$B$5:$B$204=$A22)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2">
        <f>IF(OR($A22="",W$4=""),0,SUMPRODUCT(('01_予約入力'!$E$5:$E$204&lt;&gt;"")*('01_予約入力'!$K$5:$K$204&lt;&gt;"キャンセル")*('01_予約入力'!$B$5:$B$204=$A22)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2">
        <f>IF(OR($A22="",X$4=""),0,SUMPRODUCT(('01_予約入力'!$E$5:$E$204&lt;&gt;"")*('01_予約入力'!$K$5:$K$204&lt;&gt;"キャンセル")*('01_予約入力'!$B$5:$B$204=$A22)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2">
        <f>IF(OR($A22="",Y$4=""),0,SUMPRODUCT(('01_予約入力'!$E$5:$E$204&lt;&gt;"")*('01_予約入力'!$K$5:$K$204&lt;&gt;"キャンセル")*('01_予約入力'!$B$5:$B$204=$A22)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2">
        <f>IF(OR($A22="",Z$4=""),0,SUMPRODUCT(('01_予約入力'!$E$5:$E$204&lt;&gt;"")*('01_予約入力'!$K$5:$K$204&lt;&gt;"キャンセル")*('01_予約入力'!$B$5:$B$204=$A22)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2">
        <f>IF(OR($A22="",AA$4=""),0,SUMPRODUCT(('01_予約入力'!$E$5:$E$204&lt;&gt;"")*('01_予約入力'!$K$5:$K$204&lt;&gt;"キャンセル")*('01_予約入力'!$B$5:$B$204=$A22)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2">
        <f>IF(OR($A22="",AB$4=""),0,SUMPRODUCT(('01_予約入力'!$E$5:$E$204&lt;&gt;"")*('01_予約入力'!$K$5:$K$204&lt;&gt;"キャンセル")*('01_予約入力'!$B$5:$B$204=$A22)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2">
        <f>IF(OR($A22="",AC$4=""),0,SUMPRODUCT(('01_予約入力'!$E$5:$E$204&lt;&gt;"")*('01_予約入力'!$K$5:$K$204&lt;&gt;"キャンセル")*('01_予約入力'!$B$5:$B$204=$A22)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2">
        <f>IF(OR($A22="",AD$4=""),0,SUMPRODUCT(('01_予約入力'!$E$5:$E$204&lt;&gt;"")*('01_予約入力'!$K$5:$K$204&lt;&gt;"キャンセル")*('01_予約入力'!$B$5:$B$204=$A22)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2">
        <f>IF(OR($A22="",AE$4=""),0,SUMPRODUCT(('01_予約入力'!$E$5:$E$204&lt;&gt;"")*('01_予約入力'!$K$5:$K$204&lt;&gt;"キャンセル")*('01_予約入力'!$B$5:$B$204=$A22)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2">
        <f>IF(OR($A22="",AF$4=""),0,SUMPRODUCT(('01_予約入力'!$E$5:$E$204&lt;&gt;"")*('01_予約入力'!$K$5:$K$204&lt;&gt;"キャンセル")*('01_予約入力'!$B$5:$B$204=$A22)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3">
      <c r="A23" s="29">
        <f>IF(COUNTA('M_利用者'!$A$4:$A$60)&gt;=17,INDEX('M_利用者'!$A$4:$A$60,17),"")</f>
        <v/>
      </c>
      <c r="B23" s="30">
        <f>IF($AP23=0,"",IF(MOD($AP23,8)=7,IF($AP23&gt;=8,"◇","◆"),IF(MOD($AP23,8)=3,IF($AP23&gt;=8,"▷","▶"),IF(MOD($AP23,8)=5,IF($AP23&gt;=8,"◁","◀"),IF($AP23&gt;=8,"□","■")))))</f>
        <v/>
      </c>
      <c r="C23" s="30">
        <f>IF($AQ23=0,"",IF(MOD($AQ23,8)=7,IF($AQ23&gt;=8,"◇","◆"),IF(MOD($AQ23,8)=3,IF($AQ23&gt;=8,"▷","▶"),IF(MOD($AQ23,8)=5,IF($AQ23&gt;=8,"◁","◀"),IF($AQ23&gt;=8,"□","■")))))</f>
        <v/>
      </c>
      <c r="D23" s="30">
        <f>IF($AR23=0,"",IF(MOD($AR23,8)=7,IF($AR23&gt;=8,"◇","◆"),IF(MOD($AR23,8)=3,IF($AR23&gt;=8,"▷","▶"),IF(MOD($AR23,8)=5,IF($AR23&gt;=8,"◁","◀"),IF($AR23&gt;=8,"□","■")))))</f>
        <v/>
      </c>
      <c r="E23" s="30">
        <f>IF($AS23=0,"",IF(MOD($AS23,8)=7,IF($AS23&gt;=8,"◇","◆"),IF(MOD($AS23,8)=3,IF($AS23&gt;=8,"▷","▶"),IF(MOD($AS23,8)=5,IF($AS23&gt;=8,"◁","◀"),IF($AS23&gt;=8,"□","■")))))</f>
        <v/>
      </c>
      <c r="F23" s="30">
        <f>IF($AT23=0,"",IF(MOD($AT23,8)=7,IF($AT23&gt;=8,"◇","◆"),IF(MOD($AT23,8)=3,IF($AT23&gt;=8,"▷","▶"),IF(MOD($AT23,8)=5,IF($AT23&gt;=8,"◁","◀"),IF($AT23&gt;=8,"□","■")))))</f>
        <v/>
      </c>
      <c r="G23" s="30">
        <f>IF($AU23=0,"",IF(MOD($AU23,8)=7,IF($AU23&gt;=8,"◇","◆"),IF(MOD($AU23,8)=3,IF($AU23&gt;=8,"▷","▶"),IF(MOD($AU23,8)=5,IF($AU23&gt;=8,"◁","◀"),IF($AU23&gt;=8,"□","■")))))</f>
        <v/>
      </c>
      <c r="H23" s="30">
        <f>IF($AV23=0,"",IF(MOD($AV23,8)=7,IF($AV23&gt;=8,"◇","◆"),IF(MOD($AV23,8)=3,IF($AV23&gt;=8,"▷","▶"),IF(MOD($AV23,8)=5,IF($AV23&gt;=8,"◁","◀"),IF($AV23&gt;=8,"□","■")))))</f>
        <v/>
      </c>
      <c r="I23" s="30">
        <f>IF($AW23=0,"",IF(MOD($AW23,8)=7,IF($AW23&gt;=8,"◇","◆"),IF(MOD($AW23,8)=3,IF($AW23&gt;=8,"▷","▶"),IF(MOD($AW23,8)=5,IF($AW23&gt;=8,"◁","◀"),IF($AW23&gt;=8,"□","■")))))</f>
        <v/>
      </c>
      <c r="J23" s="30">
        <f>IF($AX23=0,"",IF(MOD($AX23,8)=7,IF($AX23&gt;=8,"◇","◆"),IF(MOD($AX23,8)=3,IF($AX23&gt;=8,"▷","▶"),IF(MOD($AX23,8)=5,IF($AX23&gt;=8,"◁","◀"),IF($AX23&gt;=8,"□","■")))))</f>
        <v/>
      </c>
      <c r="K23" s="30">
        <f>IF($AY23=0,"",IF(MOD($AY23,8)=7,IF($AY23&gt;=8,"◇","◆"),IF(MOD($AY23,8)=3,IF($AY23&gt;=8,"▷","▶"),IF(MOD($AY23,8)=5,IF($AY23&gt;=8,"◁","◀"),IF($AY23&gt;=8,"□","■")))))</f>
        <v/>
      </c>
      <c r="L23" s="30">
        <f>IF($AZ23=0,"",IF(MOD($AZ23,8)=7,IF($AZ23&gt;=8,"◇","◆"),IF(MOD($AZ23,8)=3,IF($AZ23&gt;=8,"▷","▶"),IF(MOD($AZ23,8)=5,IF($AZ23&gt;=8,"◁","◀"),IF($AZ23&gt;=8,"□","■")))))</f>
        <v/>
      </c>
      <c r="M23" s="30">
        <f>IF($BA23=0,"",IF(MOD($BA23,8)=7,IF($BA23&gt;=8,"◇","◆"),IF(MOD($BA23,8)=3,IF($BA23&gt;=8,"▷","▶"),IF(MOD($BA23,8)=5,IF($BA23&gt;=8,"◁","◀"),IF($BA23&gt;=8,"□","■")))))</f>
        <v/>
      </c>
      <c r="N23" s="30">
        <f>IF($BB23=0,"",IF(MOD($BB23,8)=7,IF($BB23&gt;=8,"◇","◆"),IF(MOD($BB23,8)=3,IF($BB23&gt;=8,"▷","▶"),IF(MOD($BB23,8)=5,IF($BB23&gt;=8,"◁","◀"),IF($BB23&gt;=8,"□","■")))))</f>
        <v/>
      </c>
      <c r="O23" s="30">
        <f>IF($BC23=0,"",IF(MOD($BC23,8)=7,IF($BC23&gt;=8,"◇","◆"),IF(MOD($BC23,8)=3,IF($BC23&gt;=8,"▷","▶"),IF(MOD($BC23,8)=5,IF($BC23&gt;=8,"◁","◀"),IF($BC23&gt;=8,"□","■")))))</f>
        <v/>
      </c>
      <c r="P23" s="30">
        <f>IF($BD23=0,"",IF(MOD($BD23,8)=7,IF($BD23&gt;=8,"◇","◆"),IF(MOD($BD23,8)=3,IF($BD23&gt;=8,"▷","▶"),IF(MOD($BD23,8)=5,IF($BD23&gt;=8,"◁","◀"),IF($BD23&gt;=8,"□","■")))))</f>
        <v/>
      </c>
      <c r="Q23" s="30">
        <f>IF($BE23=0,"",IF(MOD($BE23,8)=7,IF($BE23&gt;=8,"◇","◆"),IF(MOD($BE23,8)=3,IF($BE23&gt;=8,"▷","▶"),IF(MOD($BE23,8)=5,IF($BE23&gt;=8,"◁","◀"),IF($BE23&gt;=8,"□","■")))))</f>
        <v/>
      </c>
      <c r="R23" s="30">
        <f>IF($BF23=0,"",IF(MOD($BF23,8)=7,IF($BF23&gt;=8,"◇","◆"),IF(MOD($BF23,8)=3,IF($BF23&gt;=8,"▷","▶"),IF(MOD($BF23,8)=5,IF($BF23&gt;=8,"◁","◀"),IF($BF23&gt;=8,"□","■")))))</f>
        <v/>
      </c>
      <c r="S23" s="30">
        <f>IF($BG23=0,"",IF(MOD($BG23,8)=7,IF($BG23&gt;=8,"◇","◆"),IF(MOD($BG23,8)=3,IF($BG23&gt;=8,"▷","▶"),IF(MOD($BG23,8)=5,IF($BG23&gt;=8,"◁","◀"),IF($BG23&gt;=8,"□","■")))))</f>
        <v/>
      </c>
      <c r="T23" s="30">
        <f>IF($BH23=0,"",IF(MOD($BH23,8)=7,IF($BH23&gt;=8,"◇","◆"),IF(MOD($BH23,8)=3,IF($BH23&gt;=8,"▷","▶"),IF(MOD($BH23,8)=5,IF($BH23&gt;=8,"◁","◀"),IF($BH23&gt;=8,"□","■")))))</f>
        <v/>
      </c>
      <c r="U23" s="30">
        <f>IF($BI23=0,"",IF(MOD($BI23,8)=7,IF($BI23&gt;=8,"◇","◆"),IF(MOD($BI23,8)=3,IF($BI23&gt;=8,"▷","▶"),IF(MOD($BI23,8)=5,IF($BI23&gt;=8,"◁","◀"),IF($BI23&gt;=8,"□","■")))))</f>
        <v/>
      </c>
      <c r="V23" s="30">
        <f>IF($BJ23=0,"",IF(MOD($BJ23,8)=7,IF($BJ23&gt;=8,"◇","◆"),IF(MOD($BJ23,8)=3,IF($BJ23&gt;=8,"▷","▶"),IF(MOD($BJ23,8)=5,IF($BJ23&gt;=8,"◁","◀"),IF($BJ23&gt;=8,"□","■")))))</f>
        <v/>
      </c>
      <c r="W23" s="30">
        <f>IF($BK23=0,"",IF(MOD($BK23,8)=7,IF($BK23&gt;=8,"◇","◆"),IF(MOD($BK23,8)=3,IF($BK23&gt;=8,"▷","▶"),IF(MOD($BK23,8)=5,IF($BK23&gt;=8,"◁","◀"),IF($BK23&gt;=8,"□","■")))))</f>
        <v/>
      </c>
      <c r="X23" s="30">
        <f>IF($BL23=0,"",IF(MOD($BL23,8)=7,IF($BL23&gt;=8,"◇","◆"),IF(MOD($BL23,8)=3,IF($BL23&gt;=8,"▷","▶"),IF(MOD($BL23,8)=5,IF($BL23&gt;=8,"◁","◀"),IF($BL23&gt;=8,"□","■")))))</f>
        <v/>
      </c>
      <c r="Y23" s="30">
        <f>IF($BM23=0,"",IF(MOD($BM23,8)=7,IF($BM23&gt;=8,"◇","◆"),IF(MOD($BM23,8)=3,IF($BM23&gt;=8,"▷","▶"),IF(MOD($BM23,8)=5,IF($BM23&gt;=8,"◁","◀"),IF($BM23&gt;=8,"□","■")))))</f>
        <v/>
      </c>
      <c r="Z23" s="30">
        <f>IF($BN23=0,"",IF(MOD($BN23,8)=7,IF($BN23&gt;=8,"◇","◆"),IF(MOD($BN23,8)=3,IF($BN23&gt;=8,"▷","▶"),IF(MOD($BN23,8)=5,IF($BN23&gt;=8,"◁","◀"),IF($BN23&gt;=8,"□","■")))))</f>
        <v/>
      </c>
      <c r="AA23" s="30">
        <f>IF($BO23=0,"",IF(MOD($BO23,8)=7,IF($BO23&gt;=8,"◇","◆"),IF(MOD($BO23,8)=3,IF($BO23&gt;=8,"▷","▶"),IF(MOD($BO23,8)=5,IF($BO23&gt;=8,"◁","◀"),IF($BO23&gt;=8,"□","■")))))</f>
        <v/>
      </c>
      <c r="AB23" s="30">
        <f>IF($BP23=0,"",IF(MOD($BP23,8)=7,IF($BP23&gt;=8,"◇","◆"),IF(MOD($BP23,8)=3,IF($BP23&gt;=8,"▷","▶"),IF(MOD($BP23,8)=5,IF($BP23&gt;=8,"◁","◀"),IF($BP23&gt;=8,"□","■")))))</f>
        <v/>
      </c>
      <c r="AC23" s="30">
        <f>IF($BQ23=0,"",IF(MOD($BQ23,8)=7,IF($BQ23&gt;=8,"◇","◆"),IF(MOD($BQ23,8)=3,IF($BQ23&gt;=8,"▷","▶"),IF(MOD($BQ23,8)=5,IF($BQ23&gt;=8,"◁","◀"),IF($BQ23&gt;=8,"□","■")))))</f>
        <v/>
      </c>
      <c r="AD23" s="30">
        <f>IF($BR23=0,"",IF(MOD($BR23,8)=7,IF($BR23&gt;=8,"◇","◆"),IF(MOD($BR23,8)=3,IF($BR23&gt;=8,"▷","▶"),IF(MOD($BR23,8)=5,IF($BR23&gt;=8,"◁","◀"),IF($BR23&gt;=8,"□","■")))))</f>
        <v/>
      </c>
      <c r="AE23" s="30">
        <f>IF($BS23=0,"",IF(MOD($BS23,8)=7,IF($BS23&gt;=8,"◇","◆"),IF(MOD($BS23,8)=3,IF($BS23&gt;=8,"▷","▶"),IF(MOD($BS23,8)=5,IF($BS23&gt;=8,"◁","◀"),IF($BS23&gt;=8,"□","■")))))</f>
        <v/>
      </c>
      <c r="AF23" s="30">
        <f>IF($BT23=0,"",IF(MOD($BT23,8)=7,IF($BT23&gt;=8,"◇","◆"),IF(MOD($BT23,8)=3,IF($BT23&gt;=8,"▷","▶"),IF(MOD($BT23,8)=5,IF($BT23&gt;=8,"◁","◀"),IF($BT23&gt;=8,"□","■")))))</f>
        <v/>
      </c>
      <c r="AG23" s="31">
        <f>IF($A23="","",COUNTIF($AP23:$BT23,"&gt;0"))</f>
        <v/>
      </c>
      <c r="AP23">
        <f>IF(OR($A23="",B$4=""),0,SUMPRODUCT(('01_予約入力'!$E$5:$E$204&lt;&gt;"")*('01_予約入力'!$K$5:$K$204&lt;&gt;"キャンセル")*('01_予約入力'!$B$5:$B$204=$A23)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3">
        <f>IF(OR($A23="",C$4=""),0,SUMPRODUCT(('01_予約入力'!$E$5:$E$204&lt;&gt;"")*('01_予約入力'!$K$5:$K$204&lt;&gt;"キャンセル")*('01_予約入力'!$B$5:$B$204=$A23)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3">
        <f>IF(OR($A23="",D$4=""),0,SUMPRODUCT(('01_予約入力'!$E$5:$E$204&lt;&gt;"")*('01_予約入力'!$K$5:$K$204&lt;&gt;"キャンセル")*('01_予約入力'!$B$5:$B$204=$A23)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3">
        <f>IF(OR($A23="",E$4=""),0,SUMPRODUCT(('01_予約入力'!$E$5:$E$204&lt;&gt;"")*('01_予約入力'!$K$5:$K$204&lt;&gt;"キャンセル")*('01_予約入力'!$B$5:$B$204=$A23)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3">
        <f>IF(OR($A23="",F$4=""),0,SUMPRODUCT(('01_予約入力'!$E$5:$E$204&lt;&gt;"")*('01_予約入力'!$K$5:$K$204&lt;&gt;"キャンセル")*('01_予約入力'!$B$5:$B$204=$A23)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3">
        <f>IF(OR($A23="",G$4=""),0,SUMPRODUCT(('01_予約入力'!$E$5:$E$204&lt;&gt;"")*('01_予約入力'!$K$5:$K$204&lt;&gt;"キャンセル")*('01_予約入力'!$B$5:$B$204=$A23)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3">
        <f>IF(OR($A23="",H$4=""),0,SUMPRODUCT(('01_予約入力'!$E$5:$E$204&lt;&gt;"")*('01_予約入力'!$K$5:$K$204&lt;&gt;"キャンセル")*('01_予約入力'!$B$5:$B$204=$A23)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3">
        <f>IF(OR($A23="",I$4=""),0,SUMPRODUCT(('01_予約入力'!$E$5:$E$204&lt;&gt;"")*('01_予約入力'!$K$5:$K$204&lt;&gt;"キャンセル")*('01_予約入力'!$B$5:$B$204=$A23)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3">
        <f>IF(OR($A23="",J$4=""),0,SUMPRODUCT(('01_予約入力'!$E$5:$E$204&lt;&gt;"")*('01_予約入力'!$K$5:$K$204&lt;&gt;"キャンセル")*('01_予約入力'!$B$5:$B$204=$A23)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3">
        <f>IF(OR($A23="",K$4=""),0,SUMPRODUCT(('01_予約入力'!$E$5:$E$204&lt;&gt;"")*('01_予約入力'!$K$5:$K$204&lt;&gt;"キャンセル")*('01_予約入力'!$B$5:$B$204=$A23)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3">
        <f>IF(OR($A23="",L$4=""),0,SUMPRODUCT(('01_予約入力'!$E$5:$E$204&lt;&gt;"")*('01_予約入力'!$K$5:$K$204&lt;&gt;"キャンセル")*('01_予約入力'!$B$5:$B$204=$A23)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3">
        <f>IF(OR($A23="",M$4=""),0,SUMPRODUCT(('01_予約入力'!$E$5:$E$204&lt;&gt;"")*('01_予約入力'!$K$5:$K$204&lt;&gt;"キャンセル")*('01_予約入力'!$B$5:$B$204=$A23)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3">
        <f>IF(OR($A23="",N$4=""),0,SUMPRODUCT(('01_予約入力'!$E$5:$E$204&lt;&gt;"")*('01_予約入力'!$K$5:$K$204&lt;&gt;"キャンセル")*('01_予約入力'!$B$5:$B$204=$A23)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3">
        <f>IF(OR($A23="",O$4=""),0,SUMPRODUCT(('01_予約入力'!$E$5:$E$204&lt;&gt;"")*('01_予約入力'!$K$5:$K$204&lt;&gt;"キャンセル")*('01_予約入力'!$B$5:$B$204=$A23)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3">
        <f>IF(OR($A23="",P$4=""),0,SUMPRODUCT(('01_予約入力'!$E$5:$E$204&lt;&gt;"")*('01_予約入力'!$K$5:$K$204&lt;&gt;"キャンセル")*('01_予約入力'!$B$5:$B$204=$A23)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3">
        <f>IF(OR($A23="",Q$4=""),0,SUMPRODUCT(('01_予約入力'!$E$5:$E$204&lt;&gt;"")*('01_予約入力'!$K$5:$K$204&lt;&gt;"キャンセル")*('01_予約入力'!$B$5:$B$204=$A23)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3">
        <f>IF(OR($A23="",R$4=""),0,SUMPRODUCT(('01_予約入力'!$E$5:$E$204&lt;&gt;"")*('01_予約入力'!$K$5:$K$204&lt;&gt;"キャンセル")*('01_予約入力'!$B$5:$B$204=$A23)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3">
        <f>IF(OR($A23="",S$4=""),0,SUMPRODUCT(('01_予約入力'!$E$5:$E$204&lt;&gt;"")*('01_予約入力'!$K$5:$K$204&lt;&gt;"キャンセル")*('01_予約入力'!$B$5:$B$204=$A23)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3">
        <f>IF(OR($A23="",T$4=""),0,SUMPRODUCT(('01_予約入力'!$E$5:$E$204&lt;&gt;"")*('01_予約入力'!$K$5:$K$204&lt;&gt;"キャンセル")*('01_予約入力'!$B$5:$B$204=$A23)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3">
        <f>IF(OR($A23="",U$4=""),0,SUMPRODUCT(('01_予約入力'!$E$5:$E$204&lt;&gt;"")*('01_予約入力'!$K$5:$K$204&lt;&gt;"キャンセル")*('01_予約入力'!$B$5:$B$204=$A23)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3">
        <f>IF(OR($A23="",V$4=""),0,SUMPRODUCT(('01_予約入力'!$E$5:$E$204&lt;&gt;"")*('01_予約入力'!$K$5:$K$204&lt;&gt;"キャンセル")*('01_予約入力'!$B$5:$B$204=$A23)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3">
        <f>IF(OR($A23="",W$4=""),0,SUMPRODUCT(('01_予約入力'!$E$5:$E$204&lt;&gt;"")*('01_予約入力'!$K$5:$K$204&lt;&gt;"キャンセル")*('01_予約入力'!$B$5:$B$204=$A23)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3">
        <f>IF(OR($A23="",X$4=""),0,SUMPRODUCT(('01_予約入力'!$E$5:$E$204&lt;&gt;"")*('01_予約入力'!$K$5:$K$204&lt;&gt;"キャンセル")*('01_予約入力'!$B$5:$B$204=$A23)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3">
        <f>IF(OR($A23="",Y$4=""),0,SUMPRODUCT(('01_予約入力'!$E$5:$E$204&lt;&gt;"")*('01_予約入力'!$K$5:$K$204&lt;&gt;"キャンセル")*('01_予約入力'!$B$5:$B$204=$A23)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3">
        <f>IF(OR($A23="",Z$4=""),0,SUMPRODUCT(('01_予約入力'!$E$5:$E$204&lt;&gt;"")*('01_予約入力'!$K$5:$K$204&lt;&gt;"キャンセル")*('01_予約入力'!$B$5:$B$204=$A23)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3">
        <f>IF(OR($A23="",AA$4=""),0,SUMPRODUCT(('01_予約入力'!$E$5:$E$204&lt;&gt;"")*('01_予約入力'!$K$5:$K$204&lt;&gt;"キャンセル")*('01_予約入力'!$B$5:$B$204=$A23)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3">
        <f>IF(OR($A23="",AB$4=""),0,SUMPRODUCT(('01_予約入力'!$E$5:$E$204&lt;&gt;"")*('01_予約入力'!$K$5:$K$204&lt;&gt;"キャンセル")*('01_予約入力'!$B$5:$B$204=$A23)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3">
        <f>IF(OR($A23="",AC$4=""),0,SUMPRODUCT(('01_予約入力'!$E$5:$E$204&lt;&gt;"")*('01_予約入力'!$K$5:$K$204&lt;&gt;"キャンセル")*('01_予約入力'!$B$5:$B$204=$A23)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3">
        <f>IF(OR($A23="",AD$4=""),0,SUMPRODUCT(('01_予約入力'!$E$5:$E$204&lt;&gt;"")*('01_予約入力'!$K$5:$K$204&lt;&gt;"キャンセル")*('01_予約入力'!$B$5:$B$204=$A23)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3">
        <f>IF(OR($A23="",AE$4=""),0,SUMPRODUCT(('01_予約入力'!$E$5:$E$204&lt;&gt;"")*('01_予約入力'!$K$5:$K$204&lt;&gt;"キャンセル")*('01_予約入力'!$B$5:$B$204=$A23)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3">
        <f>IF(OR($A23="",AF$4=""),0,SUMPRODUCT(('01_予約入力'!$E$5:$E$204&lt;&gt;"")*('01_予約入力'!$K$5:$K$204&lt;&gt;"キャンセル")*('01_予約入力'!$B$5:$B$204=$A23)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4">
      <c r="A24" s="29">
        <f>IF(COUNTA('M_利用者'!$A$4:$A$60)&gt;=18,INDEX('M_利用者'!$A$4:$A$60,18),"")</f>
        <v/>
      </c>
      <c r="B24" s="30">
        <f>IF($AP24=0,"",IF(MOD($AP24,8)=7,IF($AP24&gt;=8,"◇","◆"),IF(MOD($AP24,8)=3,IF($AP24&gt;=8,"▷","▶"),IF(MOD($AP24,8)=5,IF($AP24&gt;=8,"◁","◀"),IF($AP24&gt;=8,"□","■")))))</f>
        <v/>
      </c>
      <c r="C24" s="30">
        <f>IF($AQ24=0,"",IF(MOD($AQ24,8)=7,IF($AQ24&gt;=8,"◇","◆"),IF(MOD($AQ24,8)=3,IF($AQ24&gt;=8,"▷","▶"),IF(MOD($AQ24,8)=5,IF($AQ24&gt;=8,"◁","◀"),IF($AQ24&gt;=8,"□","■")))))</f>
        <v/>
      </c>
      <c r="D24" s="30">
        <f>IF($AR24=0,"",IF(MOD($AR24,8)=7,IF($AR24&gt;=8,"◇","◆"),IF(MOD($AR24,8)=3,IF($AR24&gt;=8,"▷","▶"),IF(MOD($AR24,8)=5,IF($AR24&gt;=8,"◁","◀"),IF($AR24&gt;=8,"□","■")))))</f>
        <v/>
      </c>
      <c r="E24" s="30">
        <f>IF($AS24=0,"",IF(MOD($AS24,8)=7,IF($AS24&gt;=8,"◇","◆"),IF(MOD($AS24,8)=3,IF($AS24&gt;=8,"▷","▶"),IF(MOD($AS24,8)=5,IF($AS24&gt;=8,"◁","◀"),IF($AS24&gt;=8,"□","■")))))</f>
        <v/>
      </c>
      <c r="F24" s="30">
        <f>IF($AT24=0,"",IF(MOD($AT24,8)=7,IF($AT24&gt;=8,"◇","◆"),IF(MOD($AT24,8)=3,IF($AT24&gt;=8,"▷","▶"),IF(MOD($AT24,8)=5,IF($AT24&gt;=8,"◁","◀"),IF($AT24&gt;=8,"□","■")))))</f>
        <v/>
      </c>
      <c r="G24" s="30">
        <f>IF($AU24=0,"",IF(MOD($AU24,8)=7,IF($AU24&gt;=8,"◇","◆"),IF(MOD($AU24,8)=3,IF($AU24&gt;=8,"▷","▶"),IF(MOD($AU24,8)=5,IF($AU24&gt;=8,"◁","◀"),IF($AU24&gt;=8,"□","■")))))</f>
        <v/>
      </c>
      <c r="H24" s="30">
        <f>IF($AV24=0,"",IF(MOD($AV24,8)=7,IF($AV24&gt;=8,"◇","◆"),IF(MOD($AV24,8)=3,IF($AV24&gt;=8,"▷","▶"),IF(MOD($AV24,8)=5,IF($AV24&gt;=8,"◁","◀"),IF($AV24&gt;=8,"□","■")))))</f>
        <v/>
      </c>
      <c r="I24" s="30">
        <f>IF($AW24=0,"",IF(MOD($AW24,8)=7,IF($AW24&gt;=8,"◇","◆"),IF(MOD($AW24,8)=3,IF($AW24&gt;=8,"▷","▶"),IF(MOD($AW24,8)=5,IF($AW24&gt;=8,"◁","◀"),IF($AW24&gt;=8,"□","■")))))</f>
        <v/>
      </c>
      <c r="J24" s="30">
        <f>IF($AX24=0,"",IF(MOD($AX24,8)=7,IF($AX24&gt;=8,"◇","◆"),IF(MOD($AX24,8)=3,IF($AX24&gt;=8,"▷","▶"),IF(MOD($AX24,8)=5,IF($AX24&gt;=8,"◁","◀"),IF($AX24&gt;=8,"□","■")))))</f>
        <v/>
      </c>
      <c r="K24" s="30">
        <f>IF($AY24=0,"",IF(MOD($AY24,8)=7,IF($AY24&gt;=8,"◇","◆"),IF(MOD($AY24,8)=3,IF($AY24&gt;=8,"▷","▶"),IF(MOD($AY24,8)=5,IF($AY24&gt;=8,"◁","◀"),IF($AY24&gt;=8,"□","■")))))</f>
        <v/>
      </c>
      <c r="L24" s="30">
        <f>IF($AZ24=0,"",IF(MOD($AZ24,8)=7,IF($AZ24&gt;=8,"◇","◆"),IF(MOD($AZ24,8)=3,IF($AZ24&gt;=8,"▷","▶"),IF(MOD($AZ24,8)=5,IF($AZ24&gt;=8,"◁","◀"),IF($AZ24&gt;=8,"□","■")))))</f>
        <v/>
      </c>
      <c r="M24" s="30">
        <f>IF($BA24=0,"",IF(MOD($BA24,8)=7,IF($BA24&gt;=8,"◇","◆"),IF(MOD($BA24,8)=3,IF($BA24&gt;=8,"▷","▶"),IF(MOD($BA24,8)=5,IF($BA24&gt;=8,"◁","◀"),IF($BA24&gt;=8,"□","■")))))</f>
        <v/>
      </c>
      <c r="N24" s="30">
        <f>IF($BB24=0,"",IF(MOD($BB24,8)=7,IF($BB24&gt;=8,"◇","◆"),IF(MOD($BB24,8)=3,IF($BB24&gt;=8,"▷","▶"),IF(MOD($BB24,8)=5,IF($BB24&gt;=8,"◁","◀"),IF($BB24&gt;=8,"□","■")))))</f>
        <v/>
      </c>
      <c r="O24" s="30">
        <f>IF($BC24=0,"",IF(MOD($BC24,8)=7,IF($BC24&gt;=8,"◇","◆"),IF(MOD($BC24,8)=3,IF($BC24&gt;=8,"▷","▶"),IF(MOD($BC24,8)=5,IF($BC24&gt;=8,"◁","◀"),IF($BC24&gt;=8,"□","■")))))</f>
        <v/>
      </c>
      <c r="P24" s="30">
        <f>IF($BD24=0,"",IF(MOD($BD24,8)=7,IF($BD24&gt;=8,"◇","◆"),IF(MOD($BD24,8)=3,IF($BD24&gt;=8,"▷","▶"),IF(MOD($BD24,8)=5,IF($BD24&gt;=8,"◁","◀"),IF($BD24&gt;=8,"□","■")))))</f>
        <v/>
      </c>
      <c r="Q24" s="30">
        <f>IF($BE24=0,"",IF(MOD($BE24,8)=7,IF($BE24&gt;=8,"◇","◆"),IF(MOD($BE24,8)=3,IF($BE24&gt;=8,"▷","▶"),IF(MOD($BE24,8)=5,IF($BE24&gt;=8,"◁","◀"),IF($BE24&gt;=8,"□","■")))))</f>
        <v/>
      </c>
      <c r="R24" s="30">
        <f>IF($BF24=0,"",IF(MOD($BF24,8)=7,IF($BF24&gt;=8,"◇","◆"),IF(MOD($BF24,8)=3,IF($BF24&gt;=8,"▷","▶"),IF(MOD($BF24,8)=5,IF($BF24&gt;=8,"◁","◀"),IF($BF24&gt;=8,"□","■")))))</f>
        <v/>
      </c>
      <c r="S24" s="30">
        <f>IF($BG24=0,"",IF(MOD($BG24,8)=7,IF($BG24&gt;=8,"◇","◆"),IF(MOD($BG24,8)=3,IF($BG24&gt;=8,"▷","▶"),IF(MOD($BG24,8)=5,IF($BG24&gt;=8,"◁","◀"),IF($BG24&gt;=8,"□","■")))))</f>
        <v/>
      </c>
      <c r="T24" s="30">
        <f>IF($BH24=0,"",IF(MOD($BH24,8)=7,IF($BH24&gt;=8,"◇","◆"),IF(MOD($BH24,8)=3,IF($BH24&gt;=8,"▷","▶"),IF(MOD($BH24,8)=5,IF($BH24&gt;=8,"◁","◀"),IF($BH24&gt;=8,"□","■")))))</f>
        <v/>
      </c>
      <c r="U24" s="30">
        <f>IF($BI24=0,"",IF(MOD($BI24,8)=7,IF($BI24&gt;=8,"◇","◆"),IF(MOD($BI24,8)=3,IF($BI24&gt;=8,"▷","▶"),IF(MOD($BI24,8)=5,IF($BI24&gt;=8,"◁","◀"),IF($BI24&gt;=8,"□","■")))))</f>
        <v/>
      </c>
      <c r="V24" s="30">
        <f>IF($BJ24=0,"",IF(MOD($BJ24,8)=7,IF($BJ24&gt;=8,"◇","◆"),IF(MOD($BJ24,8)=3,IF($BJ24&gt;=8,"▷","▶"),IF(MOD($BJ24,8)=5,IF($BJ24&gt;=8,"◁","◀"),IF($BJ24&gt;=8,"□","■")))))</f>
        <v/>
      </c>
      <c r="W24" s="30">
        <f>IF($BK24=0,"",IF(MOD($BK24,8)=7,IF($BK24&gt;=8,"◇","◆"),IF(MOD($BK24,8)=3,IF($BK24&gt;=8,"▷","▶"),IF(MOD($BK24,8)=5,IF($BK24&gt;=8,"◁","◀"),IF($BK24&gt;=8,"□","■")))))</f>
        <v/>
      </c>
      <c r="X24" s="30">
        <f>IF($BL24=0,"",IF(MOD($BL24,8)=7,IF($BL24&gt;=8,"◇","◆"),IF(MOD($BL24,8)=3,IF($BL24&gt;=8,"▷","▶"),IF(MOD($BL24,8)=5,IF($BL24&gt;=8,"◁","◀"),IF($BL24&gt;=8,"□","■")))))</f>
        <v/>
      </c>
      <c r="Y24" s="30">
        <f>IF($BM24=0,"",IF(MOD($BM24,8)=7,IF($BM24&gt;=8,"◇","◆"),IF(MOD($BM24,8)=3,IF($BM24&gt;=8,"▷","▶"),IF(MOD($BM24,8)=5,IF($BM24&gt;=8,"◁","◀"),IF($BM24&gt;=8,"□","■")))))</f>
        <v/>
      </c>
      <c r="Z24" s="30">
        <f>IF($BN24=0,"",IF(MOD($BN24,8)=7,IF($BN24&gt;=8,"◇","◆"),IF(MOD($BN24,8)=3,IF($BN24&gt;=8,"▷","▶"),IF(MOD($BN24,8)=5,IF($BN24&gt;=8,"◁","◀"),IF($BN24&gt;=8,"□","■")))))</f>
        <v/>
      </c>
      <c r="AA24" s="30">
        <f>IF($BO24=0,"",IF(MOD($BO24,8)=7,IF($BO24&gt;=8,"◇","◆"),IF(MOD($BO24,8)=3,IF($BO24&gt;=8,"▷","▶"),IF(MOD($BO24,8)=5,IF($BO24&gt;=8,"◁","◀"),IF($BO24&gt;=8,"□","■")))))</f>
        <v/>
      </c>
      <c r="AB24" s="30">
        <f>IF($BP24=0,"",IF(MOD($BP24,8)=7,IF($BP24&gt;=8,"◇","◆"),IF(MOD($BP24,8)=3,IF($BP24&gt;=8,"▷","▶"),IF(MOD($BP24,8)=5,IF($BP24&gt;=8,"◁","◀"),IF($BP24&gt;=8,"□","■")))))</f>
        <v/>
      </c>
      <c r="AC24" s="30">
        <f>IF($BQ24=0,"",IF(MOD($BQ24,8)=7,IF($BQ24&gt;=8,"◇","◆"),IF(MOD($BQ24,8)=3,IF($BQ24&gt;=8,"▷","▶"),IF(MOD($BQ24,8)=5,IF($BQ24&gt;=8,"◁","◀"),IF($BQ24&gt;=8,"□","■")))))</f>
        <v/>
      </c>
      <c r="AD24" s="30">
        <f>IF($BR24=0,"",IF(MOD($BR24,8)=7,IF($BR24&gt;=8,"◇","◆"),IF(MOD($BR24,8)=3,IF($BR24&gt;=8,"▷","▶"),IF(MOD($BR24,8)=5,IF($BR24&gt;=8,"◁","◀"),IF($BR24&gt;=8,"□","■")))))</f>
        <v/>
      </c>
      <c r="AE24" s="30">
        <f>IF($BS24=0,"",IF(MOD($BS24,8)=7,IF($BS24&gt;=8,"◇","◆"),IF(MOD($BS24,8)=3,IF($BS24&gt;=8,"▷","▶"),IF(MOD($BS24,8)=5,IF($BS24&gt;=8,"◁","◀"),IF($BS24&gt;=8,"□","■")))))</f>
        <v/>
      </c>
      <c r="AF24" s="30">
        <f>IF($BT24=0,"",IF(MOD($BT24,8)=7,IF($BT24&gt;=8,"◇","◆"),IF(MOD($BT24,8)=3,IF($BT24&gt;=8,"▷","▶"),IF(MOD($BT24,8)=5,IF($BT24&gt;=8,"◁","◀"),IF($BT24&gt;=8,"□","■")))))</f>
        <v/>
      </c>
      <c r="AG24" s="31">
        <f>IF($A24="","",COUNTIF($AP24:$BT24,"&gt;0"))</f>
        <v/>
      </c>
      <c r="AP24">
        <f>IF(OR($A24="",B$4=""),0,SUMPRODUCT(('01_予約入力'!$E$5:$E$204&lt;&gt;"")*('01_予約入力'!$K$5:$K$204&lt;&gt;"キャンセル")*('01_予約入力'!$B$5:$B$204=$A24)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4">
        <f>IF(OR($A24="",C$4=""),0,SUMPRODUCT(('01_予約入力'!$E$5:$E$204&lt;&gt;"")*('01_予約入力'!$K$5:$K$204&lt;&gt;"キャンセル")*('01_予約入力'!$B$5:$B$204=$A24)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4">
        <f>IF(OR($A24="",D$4=""),0,SUMPRODUCT(('01_予約入力'!$E$5:$E$204&lt;&gt;"")*('01_予約入力'!$K$5:$K$204&lt;&gt;"キャンセル")*('01_予約入力'!$B$5:$B$204=$A24)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4">
        <f>IF(OR($A24="",E$4=""),0,SUMPRODUCT(('01_予約入力'!$E$5:$E$204&lt;&gt;"")*('01_予約入力'!$K$5:$K$204&lt;&gt;"キャンセル")*('01_予約入力'!$B$5:$B$204=$A24)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4">
        <f>IF(OR($A24="",F$4=""),0,SUMPRODUCT(('01_予約入力'!$E$5:$E$204&lt;&gt;"")*('01_予約入力'!$K$5:$K$204&lt;&gt;"キャンセル")*('01_予約入力'!$B$5:$B$204=$A24)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4">
        <f>IF(OR($A24="",G$4=""),0,SUMPRODUCT(('01_予約入力'!$E$5:$E$204&lt;&gt;"")*('01_予約入力'!$K$5:$K$204&lt;&gt;"キャンセル")*('01_予約入力'!$B$5:$B$204=$A24)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4">
        <f>IF(OR($A24="",H$4=""),0,SUMPRODUCT(('01_予約入力'!$E$5:$E$204&lt;&gt;"")*('01_予約入力'!$K$5:$K$204&lt;&gt;"キャンセル")*('01_予約入力'!$B$5:$B$204=$A24)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4">
        <f>IF(OR($A24="",I$4=""),0,SUMPRODUCT(('01_予約入力'!$E$5:$E$204&lt;&gt;"")*('01_予約入力'!$K$5:$K$204&lt;&gt;"キャンセル")*('01_予約入力'!$B$5:$B$204=$A24)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4">
        <f>IF(OR($A24="",J$4=""),0,SUMPRODUCT(('01_予約入力'!$E$5:$E$204&lt;&gt;"")*('01_予約入力'!$K$5:$K$204&lt;&gt;"キャンセル")*('01_予約入力'!$B$5:$B$204=$A24)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4">
        <f>IF(OR($A24="",K$4=""),0,SUMPRODUCT(('01_予約入力'!$E$5:$E$204&lt;&gt;"")*('01_予約入力'!$K$5:$K$204&lt;&gt;"キャンセル")*('01_予約入力'!$B$5:$B$204=$A24)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4">
        <f>IF(OR($A24="",L$4=""),0,SUMPRODUCT(('01_予約入力'!$E$5:$E$204&lt;&gt;"")*('01_予約入力'!$K$5:$K$204&lt;&gt;"キャンセル")*('01_予約入力'!$B$5:$B$204=$A24)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4">
        <f>IF(OR($A24="",M$4=""),0,SUMPRODUCT(('01_予約入力'!$E$5:$E$204&lt;&gt;"")*('01_予約入力'!$K$5:$K$204&lt;&gt;"キャンセル")*('01_予約入力'!$B$5:$B$204=$A24)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4">
        <f>IF(OR($A24="",N$4=""),0,SUMPRODUCT(('01_予約入力'!$E$5:$E$204&lt;&gt;"")*('01_予約入力'!$K$5:$K$204&lt;&gt;"キャンセル")*('01_予約入力'!$B$5:$B$204=$A24)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4">
        <f>IF(OR($A24="",O$4=""),0,SUMPRODUCT(('01_予約入力'!$E$5:$E$204&lt;&gt;"")*('01_予約入力'!$K$5:$K$204&lt;&gt;"キャンセル")*('01_予約入力'!$B$5:$B$204=$A24)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4">
        <f>IF(OR($A24="",P$4=""),0,SUMPRODUCT(('01_予約入力'!$E$5:$E$204&lt;&gt;"")*('01_予約入力'!$K$5:$K$204&lt;&gt;"キャンセル")*('01_予約入力'!$B$5:$B$204=$A24)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4">
        <f>IF(OR($A24="",Q$4=""),0,SUMPRODUCT(('01_予約入力'!$E$5:$E$204&lt;&gt;"")*('01_予約入力'!$K$5:$K$204&lt;&gt;"キャンセル")*('01_予約入力'!$B$5:$B$204=$A24)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4">
        <f>IF(OR($A24="",R$4=""),0,SUMPRODUCT(('01_予約入力'!$E$5:$E$204&lt;&gt;"")*('01_予約入力'!$K$5:$K$204&lt;&gt;"キャンセル")*('01_予約入力'!$B$5:$B$204=$A24)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4">
        <f>IF(OR($A24="",S$4=""),0,SUMPRODUCT(('01_予約入力'!$E$5:$E$204&lt;&gt;"")*('01_予約入力'!$K$5:$K$204&lt;&gt;"キャンセル")*('01_予約入力'!$B$5:$B$204=$A24)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4">
        <f>IF(OR($A24="",T$4=""),0,SUMPRODUCT(('01_予約入力'!$E$5:$E$204&lt;&gt;"")*('01_予約入力'!$K$5:$K$204&lt;&gt;"キャンセル")*('01_予約入力'!$B$5:$B$204=$A24)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4">
        <f>IF(OR($A24="",U$4=""),0,SUMPRODUCT(('01_予約入力'!$E$5:$E$204&lt;&gt;"")*('01_予約入力'!$K$5:$K$204&lt;&gt;"キャンセル")*('01_予約入力'!$B$5:$B$204=$A24)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4">
        <f>IF(OR($A24="",V$4=""),0,SUMPRODUCT(('01_予約入力'!$E$5:$E$204&lt;&gt;"")*('01_予約入力'!$K$5:$K$204&lt;&gt;"キャンセル")*('01_予約入力'!$B$5:$B$204=$A24)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4">
        <f>IF(OR($A24="",W$4=""),0,SUMPRODUCT(('01_予約入力'!$E$5:$E$204&lt;&gt;"")*('01_予約入力'!$K$5:$K$204&lt;&gt;"キャンセル")*('01_予約入力'!$B$5:$B$204=$A24)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4">
        <f>IF(OR($A24="",X$4=""),0,SUMPRODUCT(('01_予約入力'!$E$5:$E$204&lt;&gt;"")*('01_予約入力'!$K$5:$K$204&lt;&gt;"キャンセル")*('01_予約入力'!$B$5:$B$204=$A24)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4">
        <f>IF(OR($A24="",Y$4=""),0,SUMPRODUCT(('01_予約入力'!$E$5:$E$204&lt;&gt;"")*('01_予約入力'!$K$5:$K$204&lt;&gt;"キャンセル")*('01_予約入力'!$B$5:$B$204=$A24)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4">
        <f>IF(OR($A24="",Z$4=""),0,SUMPRODUCT(('01_予約入力'!$E$5:$E$204&lt;&gt;"")*('01_予約入力'!$K$5:$K$204&lt;&gt;"キャンセル")*('01_予約入力'!$B$5:$B$204=$A24)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4">
        <f>IF(OR($A24="",AA$4=""),0,SUMPRODUCT(('01_予約入力'!$E$5:$E$204&lt;&gt;"")*('01_予約入力'!$K$5:$K$204&lt;&gt;"キャンセル")*('01_予約入力'!$B$5:$B$204=$A24)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4">
        <f>IF(OR($A24="",AB$4=""),0,SUMPRODUCT(('01_予約入力'!$E$5:$E$204&lt;&gt;"")*('01_予約入力'!$K$5:$K$204&lt;&gt;"キャンセル")*('01_予約入力'!$B$5:$B$204=$A24)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4">
        <f>IF(OR($A24="",AC$4=""),0,SUMPRODUCT(('01_予約入力'!$E$5:$E$204&lt;&gt;"")*('01_予約入力'!$K$5:$K$204&lt;&gt;"キャンセル")*('01_予約入力'!$B$5:$B$204=$A24)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4">
        <f>IF(OR($A24="",AD$4=""),0,SUMPRODUCT(('01_予約入力'!$E$5:$E$204&lt;&gt;"")*('01_予約入力'!$K$5:$K$204&lt;&gt;"キャンセル")*('01_予約入力'!$B$5:$B$204=$A24)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4">
        <f>IF(OR($A24="",AE$4=""),0,SUMPRODUCT(('01_予約入力'!$E$5:$E$204&lt;&gt;"")*('01_予約入力'!$K$5:$K$204&lt;&gt;"キャンセル")*('01_予約入力'!$B$5:$B$204=$A24)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4">
        <f>IF(OR($A24="",AF$4=""),0,SUMPRODUCT(('01_予約入力'!$E$5:$E$204&lt;&gt;"")*('01_予約入力'!$K$5:$K$204&lt;&gt;"キャンセル")*('01_予約入力'!$B$5:$B$204=$A24)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5">
      <c r="A25" s="29">
        <f>IF(COUNTA('M_利用者'!$A$4:$A$60)&gt;=19,INDEX('M_利用者'!$A$4:$A$60,19),"")</f>
        <v/>
      </c>
      <c r="B25" s="30">
        <f>IF($AP25=0,"",IF(MOD($AP25,8)=7,IF($AP25&gt;=8,"◇","◆"),IF(MOD($AP25,8)=3,IF($AP25&gt;=8,"▷","▶"),IF(MOD($AP25,8)=5,IF($AP25&gt;=8,"◁","◀"),IF($AP25&gt;=8,"□","■")))))</f>
        <v/>
      </c>
      <c r="C25" s="30">
        <f>IF($AQ25=0,"",IF(MOD($AQ25,8)=7,IF($AQ25&gt;=8,"◇","◆"),IF(MOD($AQ25,8)=3,IF($AQ25&gt;=8,"▷","▶"),IF(MOD($AQ25,8)=5,IF($AQ25&gt;=8,"◁","◀"),IF($AQ25&gt;=8,"□","■")))))</f>
        <v/>
      </c>
      <c r="D25" s="30">
        <f>IF($AR25=0,"",IF(MOD($AR25,8)=7,IF($AR25&gt;=8,"◇","◆"),IF(MOD($AR25,8)=3,IF($AR25&gt;=8,"▷","▶"),IF(MOD($AR25,8)=5,IF($AR25&gt;=8,"◁","◀"),IF($AR25&gt;=8,"□","■")))))</f>
        <v/>
      </c>
      <c r="E25" s="30">
        <f>IF($AS25=0,"",IF(MOD($AS25,8)=7,IF($AS25&gt;=8,"◇","◆"),IF(MOD($AS25,8)=3,IF($AS25&gt;=8,"▷","▶"),IF(MOD($AS25,8)=5,IF($AS25&gt;=8,"◁","◀"),IF($AS25&gt;=8,"□","■")))))</f>
        <v/>
      </c>
      <c r="F25" s="30">
        <f>IF($AT25=0,"",IF(MOD($AT25,8)=7,IF($AT25&gt;=8,"◇","◆"),IF(MOD($AT25,8)=3,IF($AT25&gt;=8,"▷","▶"),IF(MOD($AT25,8)=5,IF($AT25&gt;=8,"◁","◀"),IF($AT25&gt;=8,"□","■")))))</f>
        <v/>
      </c>
      <c r="G25" s="30">
        <f>IF($AU25=0,"",IF(MOD($AU25,8)=7,IF($AU25&gt;=8,"◇","◆"),IF(MOD($AU25,8)=3,IF($AU25&gt;=8,"▷","▶"),IF(MOD($AU25,8)=5,IF($AU25&gt;=8,"◁","◀"),IF($AU25&gt;=8,"□","■")))))</f>
        <v/>
      </c>
      <c r="H25" s="30">
        <f>IF($AV25=0,"",IF(MOD($AV25,8)=7,IF($AV25&gt;=8,"◇","◆"),IF(MOD($AV25,8)=3,IF($AV25&gt;=8,"▷","▶"),IF(MOD($AV25,8)=5,IF($AV25&gt;=8,"◁","◀"),IF($AV25&gt;=8,"□","■")))))</f>
        <v/>
      </c>
      <c r="I25" s="30">
        <f>IF($AW25=0,"",IF(MOD($AW25,8)=7,IF($AW25&gt;=8,"◇","◆"),IF(MOD($AW25,8)=3,IF($AW25&gt;=8,"▷","▶"),IF(MOD($AW25,8)=5,IF($AW25&gt;=8,"◁","◀"),IF($AW25&gt;=8,"□","■")))))</f>
        <v/>
      </c>
      <c r="J25" s="30">
        <f>IF($AX25=0,"",IF(MOD($AX25,8)=7,IF($AX25&gt;=8,"◇","◆"),IF(MOD($AX25,8)=3,IF($AX25&gt;=8,"▷","▶"),IF(MOD($AX25,8)=5,IF($AX25&gt;=8,"◁","◀"),IF($AX25&gt;=8,"□","■")))))</f>
        <v/>
      </c>
      <c r="K25" s="30">
        <f>IF($AY25=0,"",IF(MOD($AY25,8)=7,IF($AY25&gt;=8,"◇","◆"),IF(MOD($AY25,8)=3,IF($AY25&gt;=8,"▷","▶"),IF(MOD($AY25,8)=5,IF($AY25&gt;=8,"◁","◀"),IF($AY25&gt;=8,"□","■")))))</f>
        <v/>
      </c>
      <c r="L25" s="30">
        <f>IF($AZ25=0,"",IF(MOD($AZ25,8)=7,IF($AZ25&gt;=8,"◇","◆"),IF(MOD($AZ25,8)=3,IF($AZ25&gt;=8,"▷","▶"),IF(MOD($AZ25,8)=5,IF($AZ25&gt;=8,"◁","◀"),IF($AZ25&gt;=8,"□","■")))))</f>
        <v/>
      </c>
      <c r="M25" s="30">
        <f>IF($BA25=0,"",IF(MOD($BA25,8)=7,IF($BA25&gt;=8,"◇","◆"),IF(MOD($BA25,8)=3,IF($BA25&gt;=8,"▷","▶"),IF(MOD($BA25,8)=5,IF($BA25&gt;=8,"◁","◀"),IF($BA25&gt;=8,"□","■")))))</f>
        <v/>
      </c>
      <c r="N25" s="30">
        <f>IF($BB25=0,"",IF(MOD($BB25,8)=7,IF($BB25&gt;=8,"◇","◆"),IF(MOD($BB25,8)=3,IF($BB25&gt;=8,"▷","▶"),IF(MOD($BB25,8)=5,IF($BB25&gt;=8,"◁","◀"),IF($BB25&gt;=8,"□","■")))))</f>
        <v/>
      </c>
      <c r="O25" s="30">
        <f>IF($BC25=0,"",IF(MOD($BC25,8)=7,IF($BC25&gt;=8,"◇","◆"),IF(MOD($BC25,8)=3,IF($BC25&gt;=8,"▷","▶"),IF(MOD($BC25,8)=5,IF($BC25&gt;=8,"◁","◀"),IF($BC25&gt;=8,"□","■")))))</f>
        <v/>
      </c>
      <c r="P25" s="30">
        <f>IF($BD25=0,"",IF(MOD($BD25,8)=7,IF($BD25&gt;=8,"◇","◆"),IF(MOD($BD25,8)=3,IF($BD25&gt;=8,"▷","▶"),IF(MOD($BD25,8)=5,IF($BD25&gt;=8,"◁","◀"),IF($BD25&gt;=8,"□","■")))))</f>
        <v/>
      </c>
      <c r="Q25" s="30">
        <f>IF($BE25=0,"",IF(MOD($BE25,8)=7,IF($BE25&gt;=8,"◇","◆"),IF(MOD($BE25,8)=3,IF($BE25&gt;=8,"▷","▶"),IF(MOD($BE25,8)=5,IF($BE25&gt;=8,"◁","◀"),IF($BE25&gt;=8,"□","■")))))</f>
        <v/>
      </c>
      <c r="R25" s="30">
        <f>IF($BF25=0,"",IF(MOD($BF25,8)=7,IF($BF25&gt;=8,"◇","◆"),IF(MOD($BF25,8)=3,IF($BF25&gt;=8,"▷","▶"),IF(MOD($BF25,8)=5,IF($BF25&gt;=8,"◁","◀"),IF($BF25&gt;=8,"□","■")))))</f>
        <v/>
      </c>
      <c r="S25" s="30">
        <f>IF($BG25=0,"",IF(MOD($BG25,8)=7,IF($BG25&gt;=8,"◇","◆"),IF(MOD($BG25,8)=3,IF($BG25&gt;=8,"▷","▶"),IF(MOD($BG25,8)=5,IF($BG25&gt;=8,"◁","◀"),IF($BG25&gt;=8,"□","■")))))</f>
        <v/>
      </c>
      <c r="T25" s="30">
        <f>IF($BH25=0,"",IF(MOD($BH25,8)=7,IF($BH25&gt;=8,"◇","◆"),IF(MOD($BH25,8)=3,IF($BH25&gt;=8,"▷","▶"),IF(MOD($BH25,8)=5,IF($BH25&gt;=8,"◁","◀"),IF($BH25&gt;=8,"□","■")))))</f>
        <v/>
      </c>
      <c r="U25" s="30">
        <f>IF($BI25=0,"",IF(MOD($BI25,8)=7,IF($BI25&gt;=8,"◇","◆"),IF(MOD($BI25,8)=3,IF($BI25&gt;=8,"▷","▶"),IF(MOD($BI25,8)=5,IF($BI25&gt;=8,"◁","◀"),IF($BI25&gt;=8,"□","■")))))</f>
        <v/>
      </c>
      <c r="V25" s="30">
        <f>IF($BJ25=0,"",IF(MOD($BJ25,8)=7,IF($BJ25&gt;=8,"◇","◆"),IF(MOD($BJ25,8)=3,IF($BJ25&gt;=8,"▷","▶"),IF(MOD($BJ25,8)=5,IF($BJ25&gt;=8,"◁","◀"),IF($BJ25&gt;=8,"□","■")))))</f>
        <v/>
      </c>
      <c r="W25" s="30">
        <f>IF($BK25=0,"",IF(MOD($BK25,8)=7,IF($BK25&gt;=8,"◇","◆"),IF(MOD($BK25,8)=3,IF($BK25&gt;=8,"▷","▶"),IF(MOD($BK25,8)=5,IF($BK25&gt;=8,"◁","◀"),IF($BK25&gt;=8,"□","■")))))</f>
        <v/>
      </c>
      <c r="X25" s="30">
        <f>IF($BL25=0,"",IF(MOD($BL25,8)=7,IF($BL25&gt;=8,"◇","◆"),IF(MOD($BL25,8)=3,IF($BL25&gt;=8,"▷","▶"),IF(MOD($BL25,8)=5,IF($BL25&gt;=8,"◁","◀"),IF($BL25&gt;=8,"□","■")))))</f>
        <v/>
      </c>
      <c r="Y25" s="30">
        <f>IF($BM25=0,"",IF(MOD($BM25,8)=7,IF($BM25&gt;=8,"◇","◆"),IF(MOD($BM25,8)=3,IF($BM25&gt;=8,"▷","▶"),IF(MOD($BM25,8)=5,IF($BM25&gt;=8,"◁","◀"),IF($BM25&gt;=8,"□","■")))))</f>
        <v/>
      </c>
      <c r="Z25" s="30">
        <f>IF($BN25=0,"",IF(MOD($BN25,8)=7,IF($BN25&gt;=8,"◇","◆"),IF(MOD($BN25,8)=3,IF($BN25&gt;=8,"▷","▶"),IF(MOD($BN25,8)=5,IF($BN25&gt;=8,"◁","◀"),IF($BN25&gt;=8,"□","■")))))</f>
        <v/>
      </c>
      <c r="AA25" s="30">
        <f>IF($BO25=0,"",IF(MOD($BO25,8)=7,IF($BO25&gt;=8,"◇","◆"),IF(MOD($BO25,8)=3,IF($BO25&gt;=8,"▷","▶"),IF(MOD($BO25,8)=5,IF($BO25&gt;=8,"◁","◀"),IF($BO25&gt;=8,"□","■")))))</f>
        <v/>
      </c>
      <c r="AB25" s="30">
        <f>IF($BP25=0,"",IF(MOD($BP25,8)=7,IF($BP25&gt;=8,"◇","◆"),IF(MOD($BP25,8)=3,IF($BP25&gt;=8,"▷","▶"),IF(MOD($BP25,8)=5,IF($BP25&gt;=8,"◁","◀"),IF($BP25&gt;=8,"□","■")))))</f>
        <v/>
      </c>
      <c r="AC25" s="30">
        <f>IF($BQ25=0,"",IF(MOD($BQ25,8)=7,IF($BQ25&gt;=8,"◇","◆"),IF(MOD($BQ25,8)=3,IF($BQ25&gt;=8,"▷","▶"),IF(MOD($BQ25,8)=5,IF($BQ25&gt;=8,"◁","◀"),IF($BQ25&gt;=8,"□","■")))))</f>
        <v/>
      </c>
      <c r="AD25" s="30">
        <f>IF($BR25=0,"",IF(MOD($BR25,8)=7,IF($BR25&gt;=8,"◇","◆"),IF(MOD($BR25,8)=3,IF($BR25&gt;=8,"▷","▶"),IF(MOD($BR25,8)=5,IF($BR25&gt;=8,"◁","◀"),IF($BR25&gt;=8,"□","■")))))</f>
        <v/>
      </c>
      <c r="AE25" s="30">
        <f>IF($BS25=0,"",IF(MOD($BS25,8)=7,IF($BS25&gt;=8,"◇","◆"),IF(MOD($BS25,8)=3,IF($BS25&gt;=8,"▷","▶"),IF(MOD($BS25,8)=5,IF($BS25&gt;=8,"◁","◀"),IF($BS25&gt;=8,"□","■")))))</f>
        <v/>
      </c>
      <c r="AF25" s="30">
        <f>IF($BT25=0,"",IF(MOD($BT25,8)=7,IF($BT25&gt;=8,"◇","◆"),IF(MOD($BT25,8)=3,IF($BT25&gt;=8,"▷","▶"),IF(MOD($BT25,8)=5,IF($BT25&gt;=8,"◁","◀"),IF($BT25&gt;=8,"□","■")))))</f>
        <v/>
      </c>
      <c r="AG25" s="31">
        <f>IF($A25="","",COUNTIF($AP25:$BT25,"&gt;0"))</f>
        <v/>
      </c>
      <c r="AP25">
        <f>IF(OR($A25="",B$4=""),0,SUMPRODUCT(('01_予約入力'!$E$5:$E$204&lt;&gt;"")*('01_予約入力'!$K$5:$K$204&lt;&gt;"キャンセル")*('01_予約入力'!$B$5:$B$204=$A25)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5">
        <f>IF(OR($A25="",C$4=""),0,SUMPRODUCT(('01_予約入力'!$E$5:$E$204&lt;&gt;"")*('01_予約入力'!$K$5:$K$204&lt;&gt;"キャンセル")*('01_予約入力'!$B$5:$B$204=$A25)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5">
        <f>IF(OR($A25="",D$4=""),0,SUMPRODUCT(('01_予約入力'!$E$5:$E$204&lt;&gt;"")*('01_予約入力'!$K$5:$K$204&lt;&gt;"キャンセル")*('01_予約入力'!$B$5:$B$204=$A25)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5">
        <f>IF(OR($A25="",E$4=""),0,SUMPRODUCT(('01_予約入力'!$E$5:$E$204&lt;&gt;"")*('01_予約入力'!$K$5:$K$204&lt;&gt;"キャンセル")*('01_予約入力'!$B$5:$B$204=$A25)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5">
        <f>IF(OR($A25="",F$4=""),0,SUMPRODUCT(('01_予約入力'!$E$5:$E$204&lt;&gt;"")*('01_予約入力'!$K$5:$K$204&lt;&gt;"キャンセル")*('01_予約入力'!$B$5:$B$204=$A25)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5">
        <f>IF(OR($A25="",G$4=""),0,SUMPRODUCT(('01_予約入力'!$E$5:$E$204&lt;&gt;"")*('01_予約入力'!$K$5:$K$204&lt;&gt;"キャンセル")*('01_予約入力'!$B$5:$B$204=$A25)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5">
        <f>IF(OR($A25="",H$4=""),0,SUMPRODUCT(('01_予約入力'!$E$5:$E$204&lt;&gt;"")*('01_予約入力'!$K$5:$K$204&lt;&gt;"キャンセル")*('01_予約入力'!$B$5:$B$204=$A25)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5">
        <f>IF(OR($A25="",I$4=""),0,SUMPRODUCT(('01_予約入力'!$E$5:$E$204&lt;&gt;"")*('01_予約入力'!$K$5:$K$204&lt;&gt;"キャンセル")*('01_予約入力'!$B$5:$B$204=$A25)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5">
        <f>IF(OR($A25="",J$4=""),0,SUMPRODUCT(('01_予約入力'!$E$5:$E$204&lt;&gt;"")*('01_予約入力'!$K$5:$K$204&lt;&gt;"キャンセル")*('01_予約入力'!$B$5:$B$204=$A25)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5">
        <f>IF(OR($A25="",K$4=""),0,SUMPRODUCT(('01_予約入力'!$E$5:$E$204&lt;&gt;"")*('01_予約入力'!$K$5:$K$204&lt;&gt;"キャンセル")*('01_予約入力'!$B$5:$B$204=$A25)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5">
        <f>IF(OR($A25="",L$4=""),0,SUMPRODUCT(('01_予約入力'!$E$5:$E$204&lt;&gt;"")*('01_予約入力'!$K$5:$K$204&lt;&gt;"キャンセル")*('01_予約入力'!$B$5:$B$204=$A25)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5">
        <f>IF(OR($A25="",M$4=""),0,SUMPRODUCT(('01_予約入力'!$E$5:$E$204&lt;&gt;"")*('01_予約入力'!$K$5:$K$204&lt;&gt;"キャンセル")*('01_予約入力'!$B$5:$B$204=$A25)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5">
        <f>IF(OR($A25="",N$4=""),0,SUMPRODUCT(('01_予約入力'!$E$5:$E$204&lt;&gt;"")*('01_予約入力'!$K$5:$K$204&lt;&gt;"キャンセル")*('01_予約入力'!$B$5:$B$204=$A25)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5">
        <f>IF(OR($A25="",O$4=""),0,SUMPRODUCT(('01_予約入力'!$E$5:$E$204&lt;&gt;"")*('01_予約入力'!$K$5:$K$204&lt;&gt;"キャンセル")*('01_予約入力'!$B$5:$B$204=$A25)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5">
        <f>IF(OR($A25="",P$4=""),0,SUMPRODUCT(('01_予約入力'!$E$5:$E$204&lt;&gt;"")*('01_予約入力'!$K$5:$K$204&lt;&gt;"キャンセル")*('01_予約入力'!$B$5:$B$204=$A25)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5">
        <f>IF(OR($A25="",Q$4=""),0,SUMPRODUCT(('01_予約入力'!$E$5:$E$204&lt;&gt;"")*('01_予約入力'!$K$5:$K$204&lt;&gt;"キャンセル")*('01_予約入力'!$B$5:$B$204=$A25)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5">
        <f>IF(OR($A25="",R$4=""),0,SUMPRODUCT(('01_予約入力'!$E$5:$E$204&lt;&gt;"")*('01_予約入力'!$K$5:$K$204&lt;&gt;"キャンセル")*('01_予約入力'!$B$5:$B$204=$A25)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5">
        <f>IF(OR($A25="",S$4=""),0,SUMPRODUCT(('01_予約入力'!$E$5:$E$204&lt;&gt;"")*('01_予約入力'!$K$5:$K$204&lt;&gt;"キャンセル")*('01_予約入力'!$B$5:$B$204=$A25)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5">
        <f>IF(OR($A25="",T$4=""),0,SUMPRODUCT(('01_予約入力'!$E$5:$E$204&lt;&gt;"")*('01_予約入力'!$K$5:$K$204&lt;&gt;"キャンセル")*('01_予約入力'!$B$5:$B$204=$A25)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5">
        <f>IF(OR($A25="",U$4=""),0,SUMPRODUCT(('01_予約入力'!$E$5:$E$204&lt;&gt;"")*('01_予約入力'!$K$5:$K$204&lt;&gt;"キャンセル")*('01_予約入力'!$B$5:$B$204=$A25)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5">
        <f>IF(OR($A25="",V$4=""),0,SUMPRODUCT(('01_予約入力'!$E$5:$E$204&lt;&gt;"")*('01_予約入力'!$K$5:$K$204&lt;&gt;"キャンセル")*('01_予約入力'!$B$5:$B$204=$A25)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5">
        <f>IF(OR($A25="",W$4=""),0,SUMPRODUCT(('01_予約入力'!$E$5:$E$204&lt;&gt;"")*('01_予約入力'!$K$5:$K$204&lt;&gt;"キャンセル")*('01_予約入力'!$B$5:$B$204=$A25)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5">
        <f>IF(OR($A25="",X$4=""),0,SUMPRODUCT(('01_予約入力'!$E$5:$E$204&lt;&gt;"")*('01_予約入力'!$K$5:$K$204&lt;&gt;"キャンセル")*('01_予約入力'!$B$5:$B$204=$A25)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5">
        <f>IF(OR($A25="",Y$4=""),0,SUMPRODUCT(('01_予約入力'!$E$5:$E$204&lt;&gt;"")*('01_予約入力'!$K$5:$K$204&lt;&gt;"キャンセル")*('01_予約入力'!$B$5:$B$204=$A25)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5">
        <f>IF(OR($A25="",Z$4=""),0,SUMPRODUCT(('01_予約入力'!$E$5:$E$204&lt;&gt;"")*('01_予約入力'!$K$5:$K$204&lt;&gt;"キャンセル")*('01_予約入力'!$B$5:$B$204=$A25)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5">
        <f>IF(OR($A25="",AA$4=""),0,SUMPRODUCT(('01_予約入力'!$E$5:$E$204&lt;&gt;"")*('01_予約入力'!$K$5:$K$204&lt;&gt;"キャンセル")*('01_予約入力'!$B$5:$B$204=$A25)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5">
        <f>IF(OR($A25="",AB$4=""),0,SUMPRODUCT(('01_予約入力'!$E$5:$E$204&lt;&gt;"")*('01_予約入力'!$K$5:$K$204&lt;&gt;"キャンセル")*('01_予約入力'!$B$5:$B$204=$A25)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5">
        <f>IF(OR($A25="",AC$4=""),0,SUMPRODUCT(('01_予約入力'!$E$5:$E$204&lt;&gt;"")*('01_予約入力'!$K$5:$K$204&lt;&gt;"キャンセル")*('01_予約入力'!$B$5:$B$204=$A25)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5">
        <f>IF(OR($A25="",AD$4=""),0,SUMPRODUCT(('01_予約入力'!$E$5:$E$204&lt;&gt;"")*('01_予約入力'!$K$5:$K$204&lt;&gt;"キャンセル")*('01_予約入力'!$B$5:$B$204=$A25)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5">
        <f>IF(OR($A25="",AE$4=""),0,SUMPRODUCT(('01_予約入力'!$E$5:$E$204&lt;&gt;"")*('01_予約入力'!$K$5:$K$204&lt;&gt;"キャンセル")*('01_予約入力'!$B$5:$B$204=$A25)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5">
        <f>IF(OR($A25="",AF$4=""),0,SUMPRODUCT(('01_予約入力'!$E$5:$E$204&lt;&gt;"")*('01_予約入力'!$K$5:$K$204&lt;&gt;"キャンセル")*('01_予約入力'!$B$5:$B$204=$A25)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6">
      <c r="A26" s="29">
        <f>IF(COUNTA('M_利用者'!$A$4:$A$60)&gt;=20,INDEX('M_利用者'!$A$4:$A$60,20),"")</f>
        <v/>
      </c>
      <c r="B26" s="30">
        <f>IF($AP26=0,"",IF(MOD($AP26,8)=7,IF($AP26&gt;=8,"◇","◆"),IF(MOD($AP26,8)=3,IF($AP26&gt;=8,"▷","▶"),IF(MOD($AP26,8)=5,IF($AP26&gt;=8,"◁","◀"),IF($AP26&gt;=8,"□","■")))))</f>
        <v/>
      </c>
      <c r="C26" s="30">
        <f>IF($AQ26=0,"",IF(MOD($AQ26,8)=7,IF($AQ26&gt;=8,"◇","◆"),IF(MOD($AQ26,8)=3,IF($AQ26&gt;=8,"▷","▶"),IF(MOD($AQ26,8)=5,IF($AQ26&gt;=8,"◁","◀"),IF($AQ26&gt;=8,"□","■")))))</f>
        <v/>
      </c>
      <c r="D26" s="30">
        <f>IF($AR26=0,"",IF(MOD($AR26,8)=7,IF($AR26&gt;=8,"◇","◆"),IF(MOD($AR26,8)=3,IF($AR26&gt;=8,"▷","▶"),IF(MOD($AR26,8)=5,IF($AR26&gt;=8,"◁","◀"),IF($AR26&gt;=8,"□","■")))))</f>
        <v/>
      </c>
      <c r="E26" s="30">
        <f>IF($AS26=0,"",IF(MOD($AS26,8)=7,IF($AS26&gt;=8,"◇","◆"),IF(MOD($AS26,8)=3,IF($AS26&gt;=8,"▷","▶"),IF(MOD($AS26,8)=5,IF($AS26&gt;=8,"◁","◀"),IF($AS26&gt;=8,"□","■")))))</f>
        <v/>
      </c>
      <c r="F26" s="30">
        <f>IF($AT26=0,"",IF(MOD($AT26,8)=7,IF($AT26&gt;=8,"◇","◆"),IF(MOD($AT26,8)=3,IF($AT26&gt;=8,"▷","▶"),IF(MOD($AT26,8)=5,IF($AT26&gt;=8,"◁","◀"),IF($AT26&gt;=8,"□","■")))))</f>
        <v/>
      </c>
      <c r="G26" s="30">
        <f>IF($AU26=0,"",IF(MOD($AU26,8)=7,IF($AU26&gt;=8,"◇","◆"),IF(MOD($AU26,8)=3,IF($AU26&gt;=8,"▷","▶"),IF(MOD($AU26,8)=5,IF($AU26&gt;=8,"◁","◀"),IF($AU26&gt;=8,"□","■")))))</f>
        <v/>
      </c>
      <c r="H26" s="30">
        <f>IF($AV26=0,"",IF(MOD($AV26,8)=7,IF($AV26&gt;=8,"◇","◆"),IF(MOD($AV26,8)=3,IF($AV26&gt;=8,"▷","▶"),IF(MOD($AV26,8)=5,IF($AV26&gt;=8,"◁","◀"),IF($AV26&gt;=8,"□","■")))))</f>
        <v/>
      </c>
      <c r="I26" s="30">
        <f>IF($AW26=0,"",IF(MOD($AW26,8)=7,IF($AW26&gt;=8,"◇","◆"),IF(MOD($AW26,8)=3,IF($AW26&gt;=8,"▷","▶"),IF(MOD($AW26,8)=5,IF($AW26&gt;=8,"◁","◀"),IF($AW26&gt;=8,"□","■")))))</f>
        <v/>
      </c>
      <c r="J26" s="30">
        <f>IF($AX26=0,"",IF(MOD($AX26,8)=7,IF($AX26&gt;=8,"◇","◆"),IF(MOD($AX26,8)=3,IF($AX26&gt;=8,"▷","▶"),IF(MOD($AX26,8)=5,IF($AX26&gt;=8,"◁","◀"),IF($AX26&gt;=8,"□","■")))))</f>
        <v/>
      </c>
      <c r="K26" s="30">
        <f>IF($AY26=0,"",IF(MOD($AY26,8)=7,IF($AY26&gt;=8,"◇","◆"),IF(MOD($AY26,8)=3,IF($AY26&gt;=8,"▷","▶"),IF(MOD($AY26,8)=5,IF($AY26&gt;=8,"◁","◀"),IF($AY26&gt;=8,"□","■")))))</f>
        <v/>
      </c>
      <c r="L26" s="30">
        <f>IF($AZ26=0,"",IF(MOD($AZ26,8)=7,IF($AZ26&gt;=8,"◇","◆"),IF(MOD($AZ26,8)=3,IF($AZ26&gt;=8,"▷","▶"),IF(MOD($AZ26,8)=5,IF($AZ26&gt;=8,"◁","◀"),IF($AZ26&gt;=8,"□","■")))))</f>
        <v/>
      </c>
      <c r="M26" s="30">
        <f>IF($BA26=0,"",IF(MOD($BA26,8)=7,IF($BA26&gt;=8,"◇","◆"),IF(MOD($BA26,8)=3,IF($BA26&gt;=8,"▷","▶"),IF(MOD($BA26,8)=5,IF($BA26&gt;=8,"◁","◀"),IF($BA26&gt;=8,"□","■")))))</f>
        <v/>
      </c>
      <c r="N26" s="30">
        <f>IF($BB26=0,"",IF(MOD($BB26,8)=7,IF($BB26&gt;=8,"◇","◆"),IF(MOD($BB26,8)=3,IF($BB26&gt;=8,"▷","▶"),IF(MOD($BB26,8)=5,IF($BB26&gt;=8,"◁","◀"),IF($BB26&gt;=8,"□","■")))))</f>
        <v/>
      </c>
      <c r="O26" s="30">
        <f>IF($BC26=0,"",IF(MOD($BC26,8)=7,IF($BC26&gt;=8,"◇","◆"),IF(MOD($BC26,8)=3,IF($BC26&gt;=8,"▷","▶"),IF(MOD($BC26,8)=5,IF($BC26&gt;=8,"◁","◀"),IF($BC26&gt;=8,"□","■")))))</f>
        <v/>
      </c>
      <c r="P26" s="30">
        <f>IF($BD26=0,"",IF(MOD($BD26,8)=7,IF($BD26&gt;=8,"◇","◆"),IF(MOD($BD26,8)=3,IF($BD26&gt;=8,"▷","▶"),IF(MOD($BD26,8)=5,IF($BD26&gt;=8,"◁","◀"),IF($BD26&gt;=8,"□","■")))))</f>
        <v/>
      </c>
      <c r="Q26" s="30">
        <f>IF($BE26=0,"",IF(MOD($BE26,8)=7,IF($BE26&gt;=8,"◇","◆"),IF(MOD($BE26,8)=3,IF($BE26&gt;=8,"▷","▶"),IF(MOD($BE26,8)=5,IF($BE26&gt;=8,"◁","◀"),IF($BE26&gt;=8,"□","■")))))</f>
        <v/>
      </c>
      <c r="R26" s="30">
        <f>IF($BF26=0,"",IF(MOD($BF26,8)=7,IF($BF26&gt;=8,"◇","◆"),IF(MOD($BF26,8)=3,IF($BF26&gt;=8,"▷","▶"),IF(MOD($BF26,8)=5,IF($BF26&gt;=8,"◁","◀"),IF($BF26&gt;=8,"□","■")))))</f>
        <v/>
      </c>
      <c r="S26" s="30">
        <f>IF($BG26=0,"",IF(MOD($BG26,8)=7,IF($BG26&gt;=8,"◇","◆"),IF(MOD($BG26,8)=3,IF($BG26&gt;=8,"▷","▶"),IF(MOD($BG26,8)=5,IF($BG26&gt;=8,"◁","◀"),IF($BG26&gt;=8,"□","■")))))</f>
        <v/>
      </c>
      <c r="T26" s="30">
        <f>IF($BH26=0,"",IF(MOD($BH26,8)=7,IF($BH26&gt;=8,"◇","◆"),IF(MOD($BH26,8)=3,IF($BH26&gt;=8,"▷","▶"),IF(MOD($BH26,8)=5,IF($BH26&gt;=8,"◁","◀"),IF($BH26&gt;=8,"□","■")))))</f>
        <v/>
      </c>
      <c r="U26" s="30">
        <f>IF($BI26=0,"",IF(MOD($BI26,8)=7,IF($BI26&gt;=8,"◇","◆"),IF(MOD($BI26,8)=3,IF($BI26&gt;=8,"▷","▶"),IF(MOD($BI26,8)=5,IF($BI26&gt;=8,"◁","◀"),IF($BI26&gt;=8,"□","■")))))</f>
        <v/>
      </c>
      <c r="V26" s="30">
        <f>IF($BJ26=0,"",IF(MOD($BJ26,8)=7,IF($BJ26&gt;=8,"◇","◆"),IF(MOD($BJ26,8)=3,IF($BJ26&gt;=8,"▷","▶"),IF(MOD($BJ26,8)=5,IF($BJ26&gt;=8,"◁","◀"),IF($BJ26&gt;=8,"□","■")))))</f>
        <v/>
      </c>
      <c r="W26" s="30">
        <f>IF($BK26=0,"",IF(MOD($BK26,8)=7,IF($BK26&gt;=8,"◇","◆"),IF(MOD($BK26,8)=3,IF($BK26&gt;=8,"▷","▶"),IF(MOD($BK26,8)=5,IF($BK26&gt;=8,"◁","◀"),IF($BK26&gt;=8,"□","■")))))</f>
        <v/>
      </c>
      <c r="X26" s="30">
        <f>IF($BL26=0,"",IF(MOD($BL26,8)=7,IF($BL26&gt;=8,"◇","◆"),IF(MOD($BL26,8)=3,IF($BL26&gt;=8,"▷","▶"),IF(MOD($BL26,8)=5,IF($BL26&gt;=8,"◁","◀"),IF($BL26&gt;=8,"□","■")))))</f>
        <v/>
      </c>
      <c r="Y26" s="30">
        <f>IF($BM26=0,"",IF(MOD($BM26,8)=7,IF($BM26&gt;=8,"◇","◆"),IF(MOD($BM26,8)=3,IF($BM26&gt;=8,"▷","▶"),IF(MOD($BM26,8)=5,IF($BM26&gt;=8,"◁","◀"),IF($BM26&gt;=8,"□","■")))))</f>
        <v/>
      </c>
      <c r="Z26" s="30">
        <f>IF($BN26=0,"",IF(MOD($BN26,8)=7,IF($BN26&gt;=8,"◇","◆"),IF(MOD($BN26,8)=3,IF($BN26&gt;=8,"▷","▶"),IF(MOD($BN26,8)=5,IF($BN26&gt;=8,"◁","◀"),IF($BN26&gt;=8,"□","■")))))</f>
        <v/>
      </c>
      <c r="AA26" s="30">
        <f>IF($BO26=0,"",IF(MOD($BO26,8)=7,IF($BO26&gt;=8,"◇","◆"),IF(MOD($BO26,8)=3,IF($BO26&gt;=8,"▷","▶"),IF(MOD($BO26,8)=5,IF($BO26&gt;=8,"◁","◀"),IF($BO26&gt;=8,"□","■")))))</f>
        <v/>
      </c>
      <c r="AB26" s="30">
        <f>IF($BP26=0,"",IF(MOD($BP26,8)=7,IF($BP26&gt;=8,"◇","◆"),IF(MOD($BP26,8)=3,IF($BP26&gt;=8,"▷","▶"),IF(MOD($BP26,8)=5,IF($BP26&gt;=8,"◁","◀"),IF($BP26&gt;=8,"□","■")))))</f>
        <v/>
      </c>
      <c r="AC26" s="30">
        <f>IF($BQ26=0,"",IF(MOD($BQ26,8)=7,IF($BQ26&gt;=8,"◇","◆"),IF(MOD($BQ26,8)=3,IF($BQ26&gt;=8,"▷","▶"),IF(MOD($BQ26,8)=5,IF($BQ26&gt;=8,"◁","◀"),IF($BQ26&gt;=8,"□","■")))))</f>
        <v/>
      </c>
      <c r="AD26" s="30">
        <f>IF($BR26=0,"",IF(MOD($BR26,8)=7,IF($BR26&gt;=8,"◇","◆"),IF(MOD($BR26,8)=3,IF($BR26&gt;=8,"▷","▶"),IF(MOD($BR26,8)=5,IF($BR26&gt;=8,"◁","◀"),IF($BR26&gt;=8,"□","■")))))</f>
        <v/>
      </c>
      <c r="AE26" s="30">
        <f>IF($BS26=0,"",IF(MOD($BS26,8)=7,IF($BS26&gt;=8,"◇","◆"),IF(MOD($BS26,8)=3,IF($BS26&gt;=8,"▷","▶"),IF(MOD($BS26,8)=5,IF($BS26&gt;=8,"◁","◀"),IF($BS26&gt;=8,"□","■")))))</f>
        <v/>
      </c>
      <c r="AF26" s="30">
        <f>IF($BT26=0,"",IF(MOD($BT26,8)=7,IF($BT26&gt;=8,"◇","◆"),IF(MOD($BT26,8)=3,IF($BT26&gt;=8,"▷","▶"),IF(MOD($BT26,8)=5,IF($BT26&gt;=8,"◁","◀"),IF($BT26&gt;=8,"□","■")))))</f>
        <v/>
      </c>
      <c r="AG26" s="31">
        <f>IF($A26="","",COUNTIF($AP26:$BT26,"&gt;0"))</f>
        <v/>
      </c>
      <c r="AP26">
        <f>IF(OR($A26="",B$4=""),0,SUMPRODUCT(('01_予約入力'!$E$5:$E$204&lt;&gt;"")*('01_予約入力'!$K$5:$K$204&lt;&gt;"キャンセル")*('01_予約入力'!$B$5:$B$204=$A26)*('01_予約入力'!$E$5:$E$204&lt;=B$4)*('01_予約入力'!$G$5:$G$204&gt;=B$4)*(1+2*('01_予約入力'!$E$5:$E$204=B$4)+4*('01_予約入力'!$G$5:$G$204=B$4)+8*(('01_予約入力'!$K$5:$K$204="仮予約")+('01_予約入力'!$K$5:$K$204="調整中")))))</f>
        <v/>
      </c>
      <c r="AQ26">
        <f>IF(OR($A26="",C$4=""),0,SUMPRODUCT(('01_予約入力'!$E$5:$E$204&lt;&gt;"")*('01_予約入力'!$K$5:$K$204&lt;&gt;"キャンセル")*('01_予約入力'!$B$5:$B$204=$A26)*('01_予約入力'!$E$5:$E$204&lt;=C$4)*('01_予約入力'!$G$5:$G$204&gt;=C$4)*(1+2*('01_予約入力'!$E$5:$E$204=C$4)+4*('01_予約入力'!$G$5:$G$204=C$4)+8*(('01_予約入力'!$K$5:$K$204="仮予約")+('01_予約入力'!$K$5:$K$204="調整中")))))</f>
        <v/>
      </c>
      <c r="AR26">
        <f>IF(OR($A26="",D$4=""),0,SUMPRODUCT(('01_予約入力'!$E$5:$E$204&lt;&gt;"")*('01_予約入力'!$K$5:$K$204&lt;&gt;"キャンセル")*('01_予約入力'!$B$5:$B$204=$A26)*('01_予約入力'!$E$5:$E$204&lt;=D$4)*('01_予約入力'!$G$5:$G$204&gt;=D$4)*(1+2*('01_予約入力'!$E$5:$E$204=D$4)+4*('01_予約入力'!$G$5:$G$204=D$4)+8*(('01_予約入力'!$K$5:$K$204="仮予約")+('01_予約入力'!$K$5:$K$204="調整中")))))</f>
        <v/>
      </c>
      <c r="AS26">
        <f>IF(OR($A26="",E$4=""),0,SUMPRODUCT(('01_予約入力'!$E$5:$E$204&lt;&gt;"")*('01_予約入力'!$K$5:$K$204&lt;&gt;"キャンセル")*('01_予約入力'!$B$5:$B$204=$A26)*('01_予約入力'!$E$5:$E$204&lt;=E$4)*('01_予約入力'!$G$5:$G$204&gt;=E$4)*(1+2*('01_予約入力'!$E$5:$E$204=E$4)+4*('01_予約入力'!$G$5:$G$204=E$4)+8*(('01_予約入力'!$K$5:$K$204="仮予約")+('01_予約入力'!$K$5:$K$204="調整中")))))</f>
        <v/>
      </c>
      <c r="AT26">
        <f>IF(OR($A26="",F$4=""),0,SUMPRODUCT(('01_予約入力'!$E$5:$E$204&lt;&gt;"")*('01_予約入力'!$K$5:$K$204&lt;&gt;"キャンセル")*('01_予約入力'!$B$5:$B$204=$A26)*('01_予約入力'!$E$5:$E$204&lt;=F$4)*('01_予約入力'!$G$5:$G$204&gt;=F$4)*(1+2*('01_予約入力'!$E$5:$E$204=F$4)+4*('01_予約入力'!$G$5:$G$204=F$4)+8*(('01_予約入力'!$K$5:$K$204="仮予約")+('01_予約入力'!$K$5:$K$204="調整中")))))</f>
        <v/>
      </c>
      <c r="AU26">
        <f>IF(OR($A26="",G$4=""),0,SUMPRODUCT(('01_予約入力'!$E$5:$E$204&lt;&gt;"")*('01_予約入力'!$K$5:$K$204&lt;&gt;"キャンセル")*('01_予約入力'!$B$5:$B$204=$A26)*('01_予約入力'!$E$5:$E$204&lt;=G$4)*('01_予約入力'!$G$5:$G$204&gt;=G$4)*(1+2*('01_予約入力'!$E$5:$E$204=G$4)+4*('01_予約入力'!$G$5:$G$204=G$4)+8*(('01_予約入力'!$K$5:$K$204="仮予約")+('01_予約入力'!$K$5:$K$204="調整中")))))</f>
        <v/>
      </c>
      <c r="AV26">
        <f>IF(OR($A26="",H$4=""),0,SUMPRODUCT(('01_予約入力'!$E$5:$E$204&lt;&gt;"")*('01_予約入力'!$K$5:$K$204&lt;&gt;"キャンセル")*('01_予約入力'!$B$5:$B$204=$A26)*('01_予約入力'!$E$5:$E$204&lt;=H$4)*('01_予約入力'!$G$5:$G$204&gt;=H$4)*(1+2*('01_予約入力'!$E$5:$E$204=H$4)+4*('01_予約入力'!$G$5:$G$204=H$4)+8*(('01_予約入力'!$K$5:$K$204="仮予約")+('01_予約入力'!$K$5:$K$204="調整中")))))</f>
        <v/>
      </c>
      <c r="AW26">
        <f>IF(OR($A26="",I$4=""),0,SUMPRODUCT(('01_予約入力'!$E$5:$E$204&lt;&gt;"")*('01_予約入力'!$K$5:$K$204&lt;&gt;"キャンセル")*('01_予約入力'!$B$5:$B$204=$A26)*('01_予約入力'!$E$5:$E$204&lt;=I$4)*('01_予約入力'!$G$5:$G$204&gt;=I$4)*(1+2*('01_予約入力'!$E$5:$E$204=I$4)+4*('01_予約入力'!$G$5:$G$204=I$4)+8*(('01_予約入力'!$K$5:$K$204="仮予約")+('01_予約入力'!$K$5:$K$204="調整中")))))</f>
        <v/>
      </c>
      <c r="AX26">
        <f>IF(OR($A26="",J$4=""),0,SUMPRODUCT(('01_予約入力'!$E$5:$E$204&lt;&gt;"")*('01_予約入力'!$K$5:$K$204&lt;&gt;"キャンセル")*('01_予約入力'!$B$5:$B$204=$A26)*('01_予約入力'!$E$5:$E$204&lt;=J$4)*('01_予約入力'!$G$5:$G$204&gt;=J$4)*(1+2*('01_予約入力'!$E$5:$E$204=J$4)+4*('01_予約入力'!$G$5:$G$204=J$4)+8*(('01_予約入力'!$K$5:$K$204="仮予約")+('01_予約入力'!$K$5:$K$204="調整中")))))</f>
        <v/>
      </c>
      <c r="AY26">
        <f>IF(OR($A26="",K$4=""),0,SUMPRODUCT(('01_予約入力'!$E$5:$E$204&lt;&gt;"")*('01_予約入力'!$K$5:$K$204&lt;&gt;"キャンセル")*('01_予約入力'!$B$5:$B$204=$A26)*('01_予約入力'!$E$5:$E$204&lt;=K$4)*('01_予約入力'!$G$5:$G$204&gt;=K$4)*(1+2*('01_予約入力'!$E$5:$E$204=K$4)+4*('01_予約入力'!$G$5:$G$204=K$4)+8*(('01_予約入力'!$K$5:$K$204="仮予約")+('01_予約入力'!$K$5:$K$204="調整中")))))</f>
        <v/>
      </c>
      <c r="AZ26">
        <f>IF(OR($A26="",L$4=""),0,SUMPRODUCT(('01_予約入力'!$E$5:$E$204&lt;&gt;"")*('01_予約入力'!$K$5:$K$204&lt;&gt;"キャンセル")*('01_予約入力'!$B$5:$B$204=$A26)*('01_予約入力'!$E$5:$E$204&lt;=L$4)*('01_予約入力'!$G$5:$G$204&gt;=L$4)*(1+2*('01_予約入力'!$E$5:$E$204=L$4)+4*('01_予約入力'!$G$5:$G$204=L$4)+8*(('01_予約入力'!$K$5:$K$204="仮予約")+('01_予約入力'!$K$5:$K$204="調整中")))))</f>
        <v/>
      </c>
      <c r="BA26">
        <f>IF(OR($A26="",M$4=""),0,SUMPRODUCT(('01_予約入力'!$E$5:$E$204&lt;&gt;"")*('01_予約入力'!$K$5:$K$204&lt;&gt;"キャンセル")*('01_予約入力'!$B$5:$B$204=$A26)*('01_予約入力'!$E$5:$E$204&lt;=M$4)*('01_予約入力'!$G$5:$G$204&gt;=M$4)*(1+2*('01_予約入力'!$E$5:$E$204=M$4)+4*('01_予約入力'!$G$5:$G$204=M$4)+8*(('01_予約入力'!$K$5:$K$204="仮予約")+('01_予約入力'!$K$5:$K$204="調整中")))))</f>
        <v/>
      </c>
      <c r="BB26">
        <f>IF(OR($A26="",N$4=""),0,SUMPRODUCT(('01_予約入力'!$E$5:$E$204&lt;&gt;"")*('01_予約入力'!$K$5:$K$204&lt;&gt;"キャンセル")*('01_予約入力'!$B$5:$B$204=$A26)*('01_予約入力'!$E$5:$E$204&lt;=N$4)*('01_予約入力'!$G$5:$G$204&gt;=N$4)*(1+2*('01_予約入力'!$E$5:$E$204=N$4)+4*('01_予約入力'!$G$5:$G$204=N$4)+8*(('01_予約入力'!$K$5:$K$204="仮予約")+('01_予約入力'!$K$5:$K$204="調整中")))))</f>
        <v/>
      </c>
      <c r="BC26">
        <f>IF(OR($A26="",O$4=""),0,SUMPRODUCT(('01_予約入力'!$E$5:$E$204&lt;&gt;"")*('01_予約入力'!$K$5:$K$204&lt;&gt;"キャンセル")*('01_予約入力'!$B$5:$B$204=$A26)*('01_予約入力'!$E$5:$E$204&lt;=O$4)*('01_予約入力'!$G$5:$G$204&gt;=O$4)*(1+2*('01_予約入力'!$E$5:$E$204=O$4)+4*('01_予約入力'!$G$5:$G$204=O$4)+8*(('01_予約入力'!$K$5:$K$204="仮予約")+('01_予約入力'!$K$5:$K$204="調整中")))))</f>
        <v/>
      </c>
      <c r="BD26">
        <f>IF(OR($A26="",P$4=""),0,SUMPRODUCT(('01_予約入力'!$E$5:$E$204&lt;&gt;"")*('01_予約入力'!$K$5:$K$204&lt;&gt;"キャンセル")*('01_予約入力'!$B$5:$B$204=$A26)*('01_予約入力'!$E$5:$E$204&lt;=P$4)*('01_予約入力'!$G$5:$G$204&gt;=P$4)*(1+2*('01_予約入力'!$E$5:$E$204=P$4)+4*('01_予約入力'!$G$5:$G$204=P$4)+8*(('01_予約入力'!$K$5:$K$204="仮予約")+('01_予約入力'!$K$5:$K$204="調整中")))))</f>
        <v/>
      </c>
      <c r="BE26">
        <f>IF(OR($A26="",Q$4=""),0,SUMPRODUCT(('01_予約入力'!$E$5:$E$204&lt;&gt;"")*('01_予約入力'!$K$5:$K$204&lt;&gt;"キャンセル")*('01_予約入力'!$B$5:$B$204=$A26)*('01_予約入力'!$E$5:$E$204&lt;=Q$4)*('01_予約入力'!$G$5:$G$204&gt;=Q$4)*(1+2*('01_予約入力'!$E$5:$E$204=Q$4)+4*('01_予約入力'!$G$5:$G$204=Q$4)+8*(('01_予約入力'!$K$5:$K$204="仮予約")+('01_予約入力'!$K$5:$K$204="調整中")))))</f>
        <v/>
      </c>
      <c r="BF26">
        <f>IF(OR($A26="",R$4=""),0,SUMPRODUCT(('01_予約入力'!$E$5:$E$204&lt;&gt;"")*('01_予約入力'!$K$5:$K$204&lt;&gt;"キャンセル")*('01_予約入力'!$B$5:$B$204=$A26)*('01_予約入力'!$E$5:$E$204&lt;=R$4)*('01_予約入力'!$G$5:$G$204&gt;=R$4)*(1+2*('01_予約入力'!$E$5:$E$204=R$4)+4*('01_予約入力'!$G$5:$G$204=R$4)+8*(('01_予約入力'!$K$5:$K$204="仮予約")+('01_予約入力'!$K$5:$K$204="調整中")))))</f>
        <v/>
      </c>
      <c r="BG26">
        <f>IF(OR($A26="",S$4=""),0,SUMPRODUCT(('01_予約入力'!$E$5:$E$204&lt;&gt;"")*('01_予約入力'!$K$5:$K$204&lt;&gt;"キャンセル")*('01_予約入力'!$B$5:$B$204=$A26)*('01_予約入力'!$E$5:$E$204&lt;=S$4)*('01_予約入力'!$G$5:$G$204&gt;=S$4)*(1+2*('01_予約入力'!$E$5:$E$204=S$4)+4*('01_予約入力'!$G$5:$G$204=S$4)+8*(('01_予約入力'!$K$5:$K$204="仮予約")+('01_予約入力'!$K$5:$K$204="調整中")))))</f>
        <v/>
      </c>
      <c r="BH26">
        <f>IF(OR($A26="",T$4=""),0,SUMPRODUCT(('01_予約入力'!$E$5:$E$204&lt;&gt;"")*('01_予約入力'!$K$5:$K$204&lt;&gt;"キャンセル")*('01_予約入力'!$B$5:$B$204=$A26)*('01_予約入力'!$E$5:$E$204&lt;=T$4)*('01_予約入力'!$G$5:$G$204&gt;=T$4)*(1+2*('01_予約入力'!$E$5:$E$204=T$4)+4*('01_予約入力'!$G$5:$G$204=T$4)+8*(('01_予約入力'!$K$5:$K$204="仮予約")+('01_予約入力'!$K$5:$K$204="調整中")))))</f>
        <v/>
      </c>
      <c r="BI26">
        <f>IF(OR($A26="",U$4=""),0,SUMPRODUCT(('01_予約入力'!$E$5:$E$204&lt;&gt;"")*('01_予約入力'!$K$5:$K$204&lt;&gt;"キャンセル")*('01_予約入力'!$B$5:$B$204=$A26)*('01_予約入力'!$E$5:$E$204&lt;=U$4)*('01_予約入力'!$G$5:$G$204&gt;=U$4)*(1+2*('01_予約入力'!$E$5:$E$204=U$4)+4*('01_予約入力'!$G$5:$G$204=U$4)+8*(('01_予約入力'!$K$5:$K$204="仮予約")+('01_予約入力'!$K$5:$K$204="調整中")))))</f>
        <v/>
      </c>
      <c r="BJ26">
        <f>IF(OR($A26="",V$4=""),0,SUMPRODUCT(('01_予約入力'!$E$5:$E$204&lt;&gt;"")*('01_予約入力'!$K$5:$K$204&lt;&gt;"キャンセル")*('01_予約入力'!$B$5:$B$204=$A26)*('01_予約入力'!$E$5:$E$204&lt;=V$4)*('01_予約入力'!$G$5:$G$204&gt;=V$4)*(1+2*('01_予約入力'!$E$5:$E$204=V$4)+4*('01_予約入力'!$G$5:$G$204=V$4)+8*(('01_予約入力'!$K$5:$K$204="仮予約")+('01_予約入力'!$K$5:$K$204="調整中")))))</f>
        <v/>
      </c>
      <c r="BK26">
        <f>IF(OR($A26="",W$4=""),0,SUMPRODUCT(('01_予約入力'!$E$5:$E$204&lt;&gt;"")*('01_予約入力'!$K$5:$K$204&lt;&gt;"キャンセル")*('01_予約入力'!$B$5:$B$204=$A26)*('01_予約入力'!$E$5:$E$204&lt;=W$4)*('01_予約入力'!$G$5:$G$204&gt;=W$4)*(1+2*('01_予約入力'!$E$5:$E$204=W$4)+4*('01_予約入力'!$G$5:$G$204=W$4)+8*(('01_予約入力'!$K$5:$K$204="仮予約")+('01_予約入力'!$K$5:$K$204="調整中")))))</f>
        <v/>
      </c>
      <c r="BL26">
        <f>IF(OR($A26="",X$4=""),0,SUMPRODUCT(('01_予約入力'!$E$5:$E$204&lt;&gt;"")*('01_予約入力'!$K$5:$K$204&lt;&gt;"キャンセル")*('01_予約入力'!$B$5:$B$204=$A26)*('01_予約入力'!$E$5:$E$204&lt;=X$4)*('01_予約入力'!$G$5:$G$204&gt;=X$4)*(1+2*('01_予約入力'!$E$5:$E$204=X$4)+4*('01_予約入力'!$G$5:$G$204=X$4)+8*(('01_予約入力'!$K$5:$K$204="仮予約")+('01_予約入力'!$K$5:$K$204="調整中")))))</f>
        <v/>
      </c>
      <c r="BM26">
        <f>IF(OR($A26="",Y$4=""),0,SUMPRODUCT(('01_予約入力'!$E$5:$E$204&lt;&gt;"")*('01_予約入力'!$K$5:$K$204&lt;&gt;"キャンセル")*('01_予約入力'!$B$5:$B$204=$A26)*('01_予約入力'!$E$5:$E$204&lt;=Y$4)*('01_予約入力'!$G$5:$G$204&gt;=Y$4)*(1+2*('01_予約入力'!$E$5:$E$204=Y$4)+4*('01_予約入力'!$G$5:$G$204=Y$4)+8*(('01_予約入力'!$K$5:$K$204="仮予約")+('01_予約入力'!$K$5:$K$204="調整中")))))</f>
        <v/>
      </c>
      <c r="BN26">
        <f>IF(OR($A26="",Z$4=""),0,SUMPRODUCT(('01_予約入力'!$E$5:$E$204&lt;&gt;"")*('01_予約入力'!$K$5:$K$204&lt;&gt;"キャンセル")*('01_予約入力'!$B$5:$B$204=$A26)*('01_予約入力'!$E$5:$E$204&lt;=Z$4)*('01_予約入力'!$G$5:$G$204&gt;=Z$4)*(1+2*('01_予約入力'!$E$5:$E$204=Z$4)+4*('01_予約入力'!$G$5:$G$204=Z$4)+8*(('01_予約入力'!$K$5:$K$204="仮予約")+('01_予約入力'!$K$5:$K$204="調整中")))))</f>
        <v/>
      </c>
      <c r="BO26">
        <f>IF(OR($A26="",AA$4=""),0,SUMPRODUCT(('01_予約入力'!$E$5:$E$204&lt;&gt;"")*('01_予約入力'!$K$5:$K$204&lt;&gt;"キャンセル")*('01_予約入力'!$B$5:$B$204=$A26)*('01_予約入力'!$E$5:$E$204&lt;=AA$4)*('01_予約入力'!$G$5:$G$204&gt;=AA$4)*(1+2*('01_予約入力'!$E$5:$E$204=AA$4)+4*('01_予約入力'!$G$5:$G$204=AA$4)+8*(('01_予約入力'!$K$5:$K$204="仮予約")+('01_予約入力'!$K$5:$K$204="調整中")))))</f>
        <v/>
      </c>
      <c r="BP26">
        <f>IF(OR($A26="",AB$4=""),0,SUMPRODUCT(('01_予約入力'!$E$5:$E$204&lt;&gt;"")*('01_予約入力'!$K$5:$K$204&lt;&gt;"キャンセル")*('01_予約入力'!$B$5:$B$204=$A26)*('01_予約入力'!$E$5:$E$204&lt;=AB$4)*('01_予約入力'!$G$5:$G$204&gt;=AB$4)*(1+2*('01_予約入力'!$E$5:$E$204=AB$4)+4*('01_予約入力'!$G$5:$G$204=AB$4)+8*(('01_予約入力'!$K$5:$K$204="仮予約")+('01_予約入力'!$K$5:$K$204="調整中")))))</f>
        <v/>
      </c>
      <c r="BQ26">
        <f>IF(OR($A26="",AC$4=""),0,SUMPRODUCT(('01_予約入力'!$E$5:$E$204&lt;&gt;"")*('01_予約入力'!$K$5:$K$204&lt;&gt;"キャンセル")*('01_予約入力'!$B$5:$B$204=$A26)*('01_予約入力'!$E$5:$E$204&lt;=AC$4)*('01_予約入力'!$G$5:$G$204&gt;=AC$4)*(1+2*('01_予約入力'!$E$5:$E$204=AC$4)+4*('01_予約入力'!$G$5:$G$204=AC$4)+8*(('01_予約入力'!$K$5:$K$204="仮予約")+('01_予約入力'!$K$5:$K$204="調整中")))))</f>
        <v/>
      </c>
      <c r="BR26">
        <f>IF(OR($A26="",AD$4=""),0,SUMPRODUCT(('01_予約入力'!$E$5:$E$204&lt;&gt;"")*('01_予約入力'!$K$5:$K$204&lt;&gt;"キャンセル")*('01_予約入力'!$B$5:$B$204=$A26)*('01_予約入力'!$E$5:$E$204&lt;=AD$4)*('01_予約入力'!$G$5:$G$204&gt;=AD$4)*(1+2*('01_予約入力'!$E$5:$E$204=AD$4)+4*('01_予約入力'!$G$5:$G$204=AD$4)+8*(('01_予約入力'!$K$5:$K$204="仮予約")+('01_予約入力'!$K$5:$K$204="調整中")))))</f>
        <v/>
      </c>
      <c r="BS26">
        <f>IF(OR($A26="",AE$4=""),0,SUMPRODUCT(('01_予約入力'!$E$5:$E$204&lt;&gt;"")*('01_予約入力'!$K$5:$K$204&lt;&gt;"キャンセル")*('01_予約入力'!$B$5:$B$204=$A26)*('01_予約入力'!$E$5:$E$204&lt;=AE$4)*('01_予約入力'!$G$5:$G$204&gt;=AE$4)*(1+2*('01_予約入力'!$E$5:$E$204=AE$4)+4*('01_予約入力'!$G$5:$G$204=AE$4)+8*(('01_予約入力'!$K$5:$K$204="仮予約")+('01_予約入力'!$K$5:$K$204="調整中")))))</f>
        <v/>
      </c>
      <c r="BT26">
        <f>IF(OR($A26="",AF$4=""),0,SUMPRODUCT(('01_予約入力'!$E$5:$E$204&lt;&gt;"")*('01_予約入力'!$K$5:$K$204&lt;&gt;"キャンセル")*('01_予約入力'!$B$5:$B$204=$A26)*('01_予約入力'!$E$5:$E$204&lt;=AF$4)*('01_予約入力'!$G$5:$G$204&gt;=AF$4)*(1+2*('01_予約入力'!$E$5:$E$204=AF$4)+4*('01_予約入力'!$G$5:$G$204=AF$4)+8*(('01_予約入力'!$K$5:$K$204="仮予約")+('01_予約入力'!$K$5:$K$204="調整中")))))</f>
        <v/>
      </c>
    </row>
    <row r="28">
      <c r="A28" s="2" t="inlineStr">
        <is>
          <t>※ M_利用者 の上から20名を表示します。並び順を変えたいときは M_利用者 の行を入れ替えてください。</t>
        </is>
      </c>
    </row>
    <row r="29">
      <c r="A29" s="2" t="inlineStr">
        <is>
          <t>※ 「当月利用日数」は入所日〜退所日を数えた日数です。支給量の残は 08_支給量管理 で確認してください。</t>
        </is>
      </c>
    </row>
    <row r="30">
      <c r="A30" s="2" t="inlineStr">
        <is>
          <t>※ AP列より右は色分け用の隠し列です。編集しないでください。</t>
        </is>
      </c>
    </row>
  </sheetData>
  <conditionalFormatting sqref="B7:AF26">
    <cfRule type="expression" priority="1" dxfId="10" stopIfTrue="1">
      <formula>AND(B7&lt;&gt;"",AP7&gt;=8)</formula>
    </cfRule>
    <cfRule type="expression" priority="2" dxfId="11" stopIfTrue="1">
      <formula>AND(B7&lt;&gt;"",AP7&gt;0)</formula>
    </cfRule>
    <cfRule type="expression" priority="3" dxfId="12">
      <formula>OR(B$6="土",B$6="日")</formula>
    </cfRule>
  </conditionalFormatting>
  <conditionalFormatting sqref="B5:AF6">
    <cfRule type="expression" priority="4" dxfId="12">
      <formula>OR(B$6="土",B$6="日")</formula>
    </cfRule>
  </conditionalFormatting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A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24" customWidth="1" min="3" max="3"/>
    <col width="24" customWidth="1" min="4" max="4"/>
    <col width="24" customWidth="1" min="5" max="5"/>
    <col width="24" customWidth="1" min="6" max="6"/>
    <col width="9" customWidth="1" min="7" max="7"/>
    <col width="9" customWidth="1" min="8" max="8"/>
    <col width="9" customWidth="1" min="9" max="9"/>
    <col width="11" customWidth="1" min="10" max="10"/>
    <col width="9" customWidth="1" min="11" max="11"/>
    <col hidden="1" width="8" customWidth="1" min="12" max="12"/>
    <col hidden="1" width="8" customWidth="1" min="13" max="13"/>
    <col hidden="1" width="8" customWidth="1" min="14" max="14"/>
    <col hidden="1" width="8" customWidth="1" min="15" max="15"/>
    <col hidden="1" width="8" customWidth="1" min="16" max="16"/>
    <col hidden="1" width="8" customWidth="1" min="17" max="17"/>
    <col hidden="1" width="8" customWidth="1" min="18" max="18"/>
    <col hidden="1" width="8" customWidth="1" min="19" max="19"/>
    <col hidden="1" width="8" customWidth="1" min="20" max="20"/>
    <col hidden="1" width="8" customWidth="1" min="21" max="21"/>
    <col hidden="1" width="8" customWidth="1" min="22" max="22"/>
    <col hidden="1" width="8" customWidth="1" min="23" max="23"/>
    <col hidden="1" width="8" customWidth="1" min="24" max="24"/>
    <col hidden="1" width="8" customWidth="1" min="25" max="25"/>
    <col hidden="1" width="8" customWidth="1" min="26" max="26"/>
    <col hidden="1" width="8" customWidth="1" min="27" max="27"/>
  </cols>
  <sheetData>
    <row r="1">
      <c r="A1" s="1" t="inlineStr">
        <is>
          <t>月間表（日別の一覧・自動計算）</t>
        </is>
      </c>
    </row>
    <row r="2">
      <c r="A2" s="2" t="inlineStr">
        <is>
          <t>★対象月の変更は 02_カレンダー で行います。L列より右は計算用の作業列です（非表示にしてあります）。</t>
        </is>
      </c>
    </row>
    <row r="3">
      <c r="A3" s="12" t="inlineStr">
        <is>
          <t>対象月</t>
        </is>
      </c>
      <c r="B3" s="14">
        <f>'02_カレンダー'!$B$4</f>
        <v/>
      </c>
      <c r="C3" s="2" t="inlineStr">
        <is>
          <t>02_カレンダー の対象月に連動します</t>
        </is>
      </c>
    </row>
    <row r="6" ht="30" customHeight="1">
      <c r="A6" s="7" t="inlineStr">
        <is>
          <t>日付</t>
        </is>
      </c>
      <c r="B6" s="7" t="inlineStr">
        <is>
          <t>曜日</t>
        </is>
      </c>
      <c r="C6" s="7">
        <f>IF(COUNTA('M_部屋'!$A$4:$A$20)&gt;=1,INDEX('M_部屋'!$A$4:$A$20,1),"")</f>
        <v/>
      </c>
      <c r="D6" s="7">
        <f>IF(COUNTA('M_部屋'!$A$4:$A$20)&gt;=2,INDEX('M_部屋'!$A$4:$A$20,2),"")</f>
        <v/>
      </c>
      <c r="E6" s="7">
        <f>IF(COUNTA('M_部屋'!$A$4:$A$20)&gt;=3,INDEX('M_部屋'!$A$4:$A$20,3),"")</f>
        <v/>
      </c>
      <c r="F6" s="7">
        <f>IF(COUNTA('M_部屋'!$A$4:$A$20)&gt;=4,INDEX('M_部屋'!$A$4:$A$20,4),"")</f>
        <v/>
      </c>
      <c r="G6" s="7" t="inlineStr">
        <is>
          <t>使用室数</t>
        </is>
      </c>
      <c r="H6" s="7" t="inlineStr">
        <is>
          <t>空室数</t>
        </is>
      </c>
      <c r="I6" s="7" t="inlineStr">
        <is>
          <t>仮予約</t>
        </is>
      </c>
      <c r="J6" s="7" t="inlineStr">
        <is>
          <t>空き記号</t>
        </is>
      </c>
      <c r="K6" s="7" t="inlineStr">
        <is>
          <t>日帰り</t>
        </is>
      </c>
      <c r="L6" s="32" t="inlineStr">
        <is>
          <t>作業1退所</t>
        </is>
      </c>
      <c r="M6" s="32" t="inlineStr">
        <is>
          <t>作業1宿泊</t>
        </is>
      </c>
      <c r="N6" s="32" t="inlineStr">
        <is>
          <t>作業1日帰</t>
        </is>
      </c>
      <c r="O6" s="32" t="inlineStr">
        <is>
          <t>作業2退所</t>
        </is>
      </c>
      <c r="P6" s="32" t="inlineStr">
        <is>
          <t>作業2宿泊</t>
        </is>
      </c>
      <c r="Q6" s="32" t="inlineStr">
        <is>
          <t>作業2日帰</t>
        </is>
      </c>
      <c r="R6" s="32" t="inlineStr">
        <is>
          <t>作業3退所</t>
        </is>
      </c>
      <c r="S6" s="32" t="inlineStr">
        <is>
          <t>作業3宿泊</t>
        </is>
      </c>
      <c r="T6" s="32" t="inlineStr">
        <is>
          <t>作業3日帰</t>
        </is>
      </c>
      <c r="U6" s="32" t="inlineStr">
        <is>
          <t>作業4退所</t>
        </is>
      </c>
      <c r="V6" s="32" t="inlineStr">
        <is>
          <t>作業4宿泊</t>
        </is>
      </c>
      <c r="W6" s="32" t="inlineStr">
        <is>
          <t>作業4日帰</t>
        </is>
      </c>
      <c r="X6" s="32" t="inlineStr">
        <is>
          <t>色1</t>
        </is>
      </c>
      <c r="Y6" s="32" t="inlineStr">
        <is>
          <t>色2</t>
        </is>
      </c>
      <c r="Z6" s="32" t="inlineStr">
        <is>
          <t>色3</t>
        </is>
      </c>
      <c r="AA6" s="32" t="inlineStr">
        <is>
          <t>色4</t>
        </is>
      </c>
    </row>
    <row r="7">
      <c r="A7" s="33">
        <f>IF(MONTH('02_カレンダー'!$B$4+0)&lt;&gt;MONTH('02_カレンダー'!$B$4),"",'02_カレンダー'!$B$4+0)</f>
        <v/>
      </c>
      <c r="B7" s="31">
        <f>IF($A7="","",MID("日月火水木金土",WEEKDAY($A7),1))</f>
        <v/>
      </c>
      <c r="C7" s="34">
        <f>IF(OR($A7="",C$6=""),"",IF($L7=0,"",INDEX('01_予約入力'!$B$5:$B$204,$L7)&amp;" ◀")&amp;IF(AND($L7&gt;0,OR($M7&gt;0,$N7&gt;0)),"  ","")&amp;IF($M7=0,"",IF(INDEX('01_予約入力'!$E$5:$E$204,$M7)=$A7,"▶ ","")&amp;INDEX('01_予約入力'!$B$5:$B$204,$M7))&amp;IF(AND($M7&gt;0,$N7&gt;0),"  ","")&amp;IF($N7=0,"","◆ "&amp;INDEX('01_予約入力'!$B$5:$B$204,$N7)))</f>
        <v/>
      </c>
      <c r="D7" s="34">
        <f>IF(OR($A7="",D$6=""),"",IF($O7=0,"",INDEX('01_予約入力'!$B$5:$B$204,$O7)&amp;" ◀")&amp;IF(AND($O7&gt;0,OR($P7&gt;0,$Q7&gt;0)),"  ","")&amp;IF($P7=0,"",IF(INDEX('01_予約入力'!$E$5:$E$204,$P7)=$A7,"▶ ","")&amp;INDEX('01_予約入力'!$B$5:$B$204,$P7))&amp;IF(AND($P7&gt;0,$Q7&gt;0),"  ","")&amp;IF($Q7=0,"","◆ "&amp;INDEX('01_予約入力'!$B$5:$B$204,$Q7)))</f>
        <v/>
      </c>
      <c r="E7" s="34">
        <f>IF(OR($A7="",E$6=""),"",IF($R7=0,"",INDEX('01_予約入力'!$B$5:$B$204,$R7)&amp;" ◀")&amp;IF(AND($R7&gt;0,OR($S7&gt;0,$T7&gt;0)),"  ","")&amp;IF($S7=0,"",IF(INDEX('01_予約入力'!$E$5:$E$204,$S7)=$A7,"▶ ","")&amp;INDEX('01_予約入力'!$B$5:$B$204,$S7))&amp;IF(AND($S7&gt;0,$T7&gt;0),"  ","")&amp;IF($T7=0,"","◆ "&amp;INDEX('01_予約入力'!$B$5:$B$204,$T7)))</f>
        <v/>
      </c>
      <c r="F7" s="34">
        <f>IF(OR($A7="",F$6=""),"",IF($U7=0,"",INDEX('01_予約入力'!$B$5:$B$204,$U7)&amp;" ◀")&amp;IF(AND($U7&gt;0,OR($V7&gt;0,$W7&gt;0)),"  ","")&amp;IF($V7=0,"",IF(INDEX('01_予約入力'!$E$5:$E$204,$V7)=$A7,"▶ ","")&amp;INDEX('01_予約入力'!$B$5:$B$204,$V7))&amp;IF(AND($V7&gt;0,$W7&gt;0),"  ","")&amp;IF($W7=0,"","◆ "&amp;INDEX('01_予約入力'!$B$5:$B$204,$W7)))</f>
        <v/>
      </c>
      <c r="G7" s="31">
        <f>IF($A7="","",SUMPRODUCT(('01_予約入力'!$E$5:$E$204&lt;&gt;"")*('01_予約入力'!$K$5:$K$204&lt;&gt;"キャンセル")*('01_予約入力'!$E$5:$E$204&lt;=$A7)*('01_予約入力'!$G$5:$G$204&gt;$A7)))</f>
        <v/>
      </c>
      <c r="H7" s="31">
        <f>IF($A7="","",'M_施設設定'!$B$6-$G7)</f>
        <v/>
      </c>
      <c r="I7" s="31">
        <f>IF($A7="","",SUMPRODUCT((('01_予約入力'!$K$5:$K$204="仮予約")+('01_予約入力'!$K$5:$K$204="調整中"))*('01_予約入力'!$E$5:$E$204&lt;&gt;"")*('01_予約入力'!$E$5:$E$204&lt;=$A7)*('01_予約入力'!$G$5:$G$204&gt;$A7)))</f>
        <v/>
      </c>
      <c r="J7" s="31">
        <f>IF($A7="","",IF($I7&gt;0,"仮",IF($H7&lt;=0,"×",IF($H7&lt;'M_施設設定'!$B$6,"△","○"))))</f>
        <v/>
      </c>
      <c r="K7" s="31">
        <f>IF($A7="","",SUMPRODUCT(('01_予約入力'!$E$5:$E$204&lt;&gt;"")*('01_予約入力'!$K$5:$K$204&lt;&gt;"キャンセル")*('01_予約入力'!$E$5:$E$204=$A7)*('01_予約入力'!$G$5:$G$204=$A7)))</f>
        <v/>
      </c>
      <c r="L7" s="31">
        <f>IF(OR($A7="",C$6=""),0,SUMPRODUCT(MAX(('01_予約入力'!$D$5:$D$204=C$6)*('01_予約入力'!$K$5:$K$204&lt;&gt;"キャンセル")*('01_予約入力'!$E$5:$E$204&lt;&gt;"")*('01_予約入力'!$G$5:$G$204=$A7)*('01_予約入力'!$E$5:$E$204&lt;$A7)*(ROW('01_予約入力'!$E$5:$E$204)-4))))</f>
        <v/>
      </c>
      <c r="M7" s="31">
        <f>IF(OR($A7="",C$6=""),0,SUMPRODUCT(MAX(('01_予約入力'!$D$5:$D$204=C$6)*('01_予約入力'!$K$5:$K$204&lt;&gt;"キャンセル")*('01_予約入力'!$E$5:$E$204&lt;&gt;"")*('01_予約入力'!$E$5:$E$204&lt;=$A7)*('01_予約入力'!$G$5:$G$204&gt;$A7)*(ROW('01_予約入力'!$E$5:$E$204)-4))))</f>
        <v/>
      </c>
      <c r="N7" s="31">
        <f>IF(OR($A7="",C$6=""),0,SUMPRODUCT(MAX(('01_予約入力'!$D$5:$D$204=C$6)*('01_予約入力'!$K$5:$K$204&lt;&gt;"キャンセル")*('01_予約入力'!$E$5:$E$204&lt;&gt;"")*('01_予約入力'!$E$5:$E$204=$A7)*('01_予約入力'!$G$5:$G$204=$A7)*(ROW('01_予約入力'!$E$5:$E$204)-4))))</f>
        <v/>
      </c>
      <c r="O7" s="31">
        <f>IF(OR($A7="",D$6=""),0,SUMPRODUCT(MAX(('01_予約入力'!$D$5:$D$204=D$6)*('01_予約入力'!$K$5:$K$204&lt;&gt;"キャンセル")*('01_予約入力'!$E$5:$E$204&lt;&gt;"")*('01_予約入力'!$G$5:$G$204=$A7)*('01_予約入力'!$E$5:$E$204&lt;$A7)*(ROW('01_予約入力'!$E$5:$E$204)-4))))</f>
        <v/>
      </c>
      <c r="P7" s="31">
        <f>IF(OR($A7="",D$6=""),0,SUMPRODUCT(MAX(('01_予約入力'!$D$5:$D$204=D$6)*('01_予約入力'!$K$5:$K$204&lt;&gt;"キャンセル")*('01_予約入力'!$E$5:$E$204&lt;&gt;"")*('01_予約入力'!$E$5:$E$204&lt;=$A7)*('01_予約入力'!$G$5:$G$204&gt;$A7)*(ROW('01_予約入力'!$E$5:$E$204)-4))))</f>
        <v/>
      </c>
      <c r="Q7" s="31">
        <f>IF(OR($A7="",D$6=""),0,SUMPRODUCT(MAX(('01_予約入力'!$D$5:$D$204=D$6)*('01_予約入力'!$K$5:$K$204&lt;&gt;"キャンセル")*('01_予約入力'!$E$5:$E$204&lt;&gt;"")*('01_予約入力'!$E$5:$E$204=$A7)*('01_予約入力'!$G$5:$G$204=$A7)*(ROW('01_予約入力'!$E$5:$E$204)-4))))</f>
        <v/>
      </c>
      <c r="R7" s="31">
        <f>IF(OR($A7="",E$6=""),0,SUMPRODUCT(MAX(('01_予約入力'!$D$5:$D$204=E$6)*('01_予約入力'!$K$5:$K$204&lt;&gt;"キャンセル")*('01_予約入力'!$E$5:$E$204&lt;&gt;"")*('01_予約入力'!$G$5:$G$204=$A7)*('01_予約入力'!$E$5:$E$204&lt;$A7)*(ROW('01_予約入力'!$E$5:$E$204)-4))))</f>
        <v/>
      </c>
      <c r="S7" s="31">
        <f>IF(OR($A7="",E$6=""),0,SUMPRODUCT(MAX(('01_予約入力'!$D$5:$D$204=E$6)*('01_予約入力'!$K$5:$K$204&lt;&gt;"キャンセル")*('01_予約入力'!$E$5:$E$204&lt;&gt;"")*('01_予約入力'!$E$5:$E$204&lt;=$A7)*('01_予約入力'!$G$5:$G$204&gt;$A7)*(ROW('01_予約入力'!$E$5:$E$204)-4))))</f>
        <v/>
      </c>
      <c r="T7" s="31">
        <f>IF(OR($A7="",E$6=""),0,SUMPRODUCT(MAX(('01_予約入力'!$D$5:$D$204=E$6)*('01_予約入力'!$K$5:$K$204&lt;&gt;"キャンセル")*('01_予約入力'!$E$5:$E$204&lt;&gt;"")*('01_予約入力'!$E$5:$E$204=$A7)*('01_予約入力'!$G$5:$G$204=$A7)*(ROW('01_予約入力'!$E$5:$E$204)-4))))</f>
        <v/>
      </c>
      <c r="U7" s="31">
        <f>IF(OR($A7="",F$6=""),0,SUMPRODUCT(MAX(('01_予約入力'!$D$5:$D$204=F$6)*('01_予約入力'!$K$5:$K$204&lt;&gt;"キャンセル")*('01_予約入力'!$E$5:$E$204&lt;&gt;"")*('01_予約入力'!$G$5:$G$204=$A7)*('01_予約入力'!$E$5:$E$204&lt;$A7)*(ROW('01_予約入力'!$E$5:$E$204)-4))))</f>
        <v/>
      </c>
      <c r="V7" s="31">
        <f>IF(OR($A7="",F$6=""),0,SUMPRODUCT(MAX(('01_予約入力'!$D$5:$D$204=F$6)*('01_予約入力'!$K$5:$K$204&lt;&gt;"キャンセル")*('01_予約入力'!$E$5:$E$204&lt;&gt;"")*('01_予約入力'!$E$5:$E$204&lt;=$A7)*('01_予約入力'!$G$5:$G$204&gt;$A7)*(ROW('01_予約入力'!$E$5:$E$204)-4))))</f>
        <v/>
      </c>
      <c r="W7" s="31">
        <f>IF(OR($A7="",F$6=""),0,SUMPRODUCT(MAX(('01_予約入力'!$D$5:$D$204=F$6)*('01_予約入力'!$K$5:$K$204&lt;&gt;"キャンセル")*('01_予約入力'!$E$5:$E$204&lt;&gt;"")*('01_予約入力'!$E$5:$E$204=$A7)*('01_予約入力'!$G$5:$G$204=$A7)*(ROW('01_予約入力'!$E$5:$E$204)-4))))</f>
        <v/>
      </c>
      <c r="X7" s="31">
        <f>IF($A7="","",IF($M7&gt;0,IF(OR(INDEX('01_予約入力'!$K$5:$K$204,$M7)="仮予約",INDEX('01_予約入力'!$K$5:$K$204,$M7)="調整中"),"仮",INDEX('01_予約入力'!$C$5:$C$204,$M7)),IF($N7&gt;0,IF(OR(INDEX('01_予約入力'!$K$5:$K$204,$N7)="仮予約",INDEX('01_予約入力'!$K$5:$K$204,$N7)="調整中"),"仮",INDEX('01_予約入力'!$C$5:$C$204,$N7)),IF($L7&gt;0,IF(OR(INDEX('01_予約入力'!$K$5:$K$204,$L7)="仮予約",INDEX('01_予約入力'!$K$5:$K$204,$L7)="調整中"),"仮",INDEX('01_予約入力'!$C$5:$C$204,$L7)),""))))</f>
        <v/>
      </c>
      <c r="Y7" s="31">
        <f>IF($A7="","",IF($P7&gt;0,IF(OR(INDEX('01_予約入力'!$K$5:$K$204,$P7)="仮予約",INDEX('01_予約入力'!$K$5:$K$204,$P7)="調整中"),"仮",INDEX('01_予約入力'!$C$5:$C$204,$P7)),IF($Q7&gt;0,IF(OR(INDEX('01_予約入力'!$K$5:$K$204,$Q7)="仮予約",INDEX('01_予約入力'!$K$5:$K$204,$Q7)="調整中"),"仮",INDEX('01_予約入力'!$C$5:$C$204,$Q7)),IF($O7&gt;0,IF(OR(INDEX('01_予約入力'!$K$5:$K$204,$O7)="仮予約",INDEX('01_予約入力'!$K$5:$K$204,$O7)="調整中"),"仮",INDEX('01_予約入力'!$C$5:$C$204,$O7)),""))))</f>
        <v/>
      </c>
      <c r="Z7" s="31">
        <f>IF($A7="","",IF($S7&gt;0,IF(OR(INDEX('01_予約入力'!$K$5:$K$204,$S7)="仮予約",INDEX('01_予約入力'!$K$5:$K$204,$S7)="調整中"),"仮",INDEX('01_予約入力'!$C$5:$C$204,$S7)),IF($T7&gt;0,IF(OR(INDEX('01_予約入力'!$K$5:$K$204,$T7)="仮予約",INDEX('01_予約入力'!$K$5:$K$204,$T7)="調整中"),"仮",INDEX('01_予約入力'!$C$5:$C$204,$T7)),IF($R7&gt;0,IF(OR(INDEX('01_予約入力'!$K$5:$K$204,$R7)="仮予約",INDEX('01_予約入力'!$K$5:$K$204,$R7)="調整中"),"仮",INDEX('01_予約入力'!$C$5:$C$204,$R7)),""))))</f>
        <v/>
      </c>
      <c r="AA7" s="31">
        <f>IF($A7="","",IF($V7&gt;0,IF(OR(INDEX('01_予約入力'!$K$5:$K$204,$V7)="仮予約",INDEX('01_予約入力'!$K$5:$K$204,$V7)="調整中"),"仮",INDEX('01_予約入力'!$C$5:$C$204,$V7)),IF($W7&gt;0,IF(OR(INDEX('01_予約入力'!$K$5:$K$204,$W7)="仮予約",INDEX('01_予約入力'!$K$5:$K$204,$W7)="調整中"),"仮",INDEX('01_予約入力'!$C$5:$C$204,$W7)),IF($U7&gt;0,IF(OR(INDEX('01_予約入力'!$K$5:$K$204,$U7)="仮予約",INDEX('01_予約入力'!$K$5:$K$204,$U7)="調整中"),"仮",INDEX('01_予約入力'!$C$5:$C$204,$U7)),""))))</f>
        <v/>
      </c>
    </row>
    <row r="8">
      <c r="A8" s="33">
        <f>IF(MONTH('02_カレンダー'!$B$4+1)&lt;&gt;MONTH('02_カレンダー'!$B$4),"",'02_カレンダー'!$B$4+1)</f>
        <v/>
      </c>
      <c r="B8" s="31">
        <f>IF($A8="","",MID("日月火水木金土",WEEKDAY($A8),1))</f>
        <v/>
      </c>
      <c r="C8" s="34">
        <f>IF(OR($A8="",C$6=""),"",IF($L8=0,"",INDEX('01_予約入力'!$B$5:$B$204,$L8)&amp;" ◀")&amp;IF(AND($L8&gt;0,OR($M8&gt;0,$N8&gt;0)),"  ","")&amp;IF($M8=0,"",IF(INDEX('01_予約入力'!$E$5:$E$204,$M8)=$A8,"▶ ","")&amp;INDEX('01_予約入力'!$B$5:$B$204,$M8))&amp;IF(AND($M8&gt;0,$N8&gt;0),"  ","")&amp;IF($N8=0,"","◆ "&amp;INDEX('01_予約入力'!$B$5:$B$204,$N8)))</f>
        <v/>
      </c>
      <c r="D8" s="34">
        <f>IF(OR($A8="",D$6=""),"",IF($O8=0,"",INDEX('01_予約入力'!$B$5:$B$204,$O8)&amp;" ◀")&amp;IF(AND($O8&gt;0,OR($P8&gt;0,$Q8&gt;0)),"  ","")&amp;IF($P8=0,"",IF(INDEX('01_予約入力'!$E$5:$E$204,$P8)=$A8,"▶ ","")&amp;INDEX('01_予約入力'!$B$5:$B$204,$P8))&amp;IF(AND($P8&gt;0,$Q8&gt;0),"  ","")&amp;IF($Q8=0,"","◆ "&amp;INDEX('01_予約入力'!$B$5:$B$204,$Q8)))</f>
        <v/>
      </c>
      <c r="E8" s="34">
        <f>IF(OR($A8="",E$6=""),"",IF($R8=0,"",INDEX('01_予約入力'!$B$5:$B$204,$R8)&amp;" ◀")&amp;IF(AND($R8&gt;0,OR($S8&gt;0,$T8&gt;0)),"  ","")&amp;IF($S8=0,"",IF(INDEX('01_予約入力'!$E$5:$E$204,$S8)=$A8,"▶ ","")&amp;INDEX('01_予約入力'!$B$5:$B$204,$S8))&amp;IF(AND($S8&gt;0,$T8&gt;0),"  ","")&amp;IF($T8=0,"","◆ "&amp;INDEX('01_予約入力'!$B$5:$B$204,$T8)))</f>
        <v/>
      </c>
      <c r="F8" s="34">
        <f>IF(OR($A8="",F$6=""),"",IF($U8=0,"",INDEX('01_予約入力'!$B$5:$B$204,$U8)&amp;" ◀")&amp;IF(AND($U8&gt;0,OR($V8&gt;0,$W8&gt;0)),"  ","")&amp;IF($V8=0,"",IF(INDEX('01_予約入力'!$E$5:$E$204,$V8)=$A8,"▶ ","")&amp;INDEX('01_予約入力'!$B$5:$B$204,$V8))&amp;IF(AND($V8&gt;0,$W8&gt;0),"  ","")&amp;IF($W8=0,"","◆ "&amp;INDEX('01_予約入力'!$B$5:$B$204,$W8)))</f>
        <v/>
      </c>
      <c r="G8" s="31">
        <f>IF($A8="","",SUMPRODUCT(('01_予約入力'!$E$5:$E$204&lt;&gt;"")*('01_予約入力'!$K$5:$K$204&lt;&gt;"キャンセル")*('01_予約入力'!$E$5:$E$204&lt;=$A8)*('01_予約入力'!$G$5:$G$204&gt;$A8)))</f>
        <v/>
      </c>
      <c r="H8" s="31">
        <f>IF($A8="","",'M_施設設定'!$B$6-$G8)</f>
        <v/>
      </c>
      <c r="I8" s="31">
        <f>IF($A8="","",SUMPRODUCT((('01_予約入力'!$K$5:$K$204="仮予約")+('01_予約入力'!$K$5:$K$204="調整中"))*('01_予約入力'!$E$5:$E$204&lt;&gt;"")*('01_予約入力'!$E$5:$E$204&lt;=$A8)*('01_予約入力'!$G$5:$G$204&gt;$A8)))</f>
        <v/>
      </c>
      <c r="J8" s="31">
        <f>IF($A8="","",IF($I8&gt;0,"仮",IF($H8&lt;=0,"×",IF($H8&lt;'M_施設設定'!$B$6,"△","○"))))</f>
        <v/>
      </c>
      <c r="K8" s="31">
        <f>IF($A8="","",SUMPRODUCT(('01_予約入力'!$E$5:$E$204&lt;&gt;"")*('01_予約入力'!$K$5:$K$204&lt;&gt;"キャンセル")*('01_予約入力'!$E$5:$E$204=$A8)*('01_予約入力'!$G$5:$G$204=$A8)))</f>
        <v/>
      </c>
      <c r="L8" s="31">
        <f>IF(OR($A8="",C$6=""),0,SUMPRODUCT(MAX(('01_予約入力'!$D$5:$D$204=C$6)*('01_予約入力'!$K$5:$K$204&lt;&gt;"キャンセル")*('01_予約入力'!$E$5:$E$204&lt;&gt;"")*('01_予約入力'!$G$5:$G$204=$A8)*('01_予約入力'!$E$5:$E$204&lt;$A8)*(ROW('01_予約入力'!$E$5:$E$204)-4))))</f>
        <v/>
      </c>
      <c r="M8" s="31">
        <f>IF(OR($A8="",C$6=""),0,SUMPRODUCT(MAX(('01_予約入力'!$D$5:$D$204=C$6)*('01_予約入力'!$K$5:$K$204&lt;&gt;"キャンセル")*('01_予約入力'!$E$5:$E$204&lt;&gt;"")*('01_予約入力'!$E$5:$E$204&lt;=$A8)*('01_予約入力'!$G$5:$G$204&gt;$A8)*(ROW('01_予約入力'!$E$5:$E$204)-4))))</f>
        <v/>
      </c>
      <c r="N8" s="31">
        <f>IF(OR($A8="",C$6=""),0,SUMPRODUCT(MAX(('01_予約入力'!$D$5:$D$204=C$6)*('01_予約入力'!$K$5:$K$204&lt;&gt;"キャンセル")*('01_予約入力'!$E$5:$E$204&lt;&gt;"")*('01_予約入力'!$E$5:$E$204=$A8)*('01_予約入力'!$G$5:$G$204=$A8)*(ROW('01_予約入力'!$E$5:$E$204)-4))))</f>
        <v/>
      </c>
      <c r="O8" s="31">
        <f>IF(OR($A8="",D$6=""),0,SUMPRODUCT(MAX(('01_予約入力'!$D$5:$D$204=D$6)*('01_予約入力'!$K$5:$K$204&lt;&gt;"キャンセル")*('01_予約入力'!$E$5:$E$204&lt;&gt;"")*('01_予約入力'!$G$5:$G$204=$A8)*('01_予約入力'!$E$5:$E$204&lt;$A8)*(ROW('01_予約入力'!$E$5:$E$204)-4))))</f>
        <v/>
      </c>
      <c r="P8" s="31">
        <f>IF(OR($A8="",D$6=""),0,SUMPRODUCT(MAX(('01_予約入力'!$D$5:$D$204=D$6)*('01_予約入力'!$K$5:$K$204&lt;&gt;"キャンセル")*('01_予約入力'!$E$5:$E$204&lt;&gt;"")*('01_予約入力'!$E$5:$E$204&lt;=$A8)*('01_予約入力'!$G$5:$G$204&gt;$A8)*(ROW('01_予約入力'!$E$5:$E$204)-4))))</f>
        <v/>
      </c>
      <c r="Q8" s="31">
        <f>IF(OR($A8="",D$6=""),0,SUMPRODUCT(MAX(('01_予約入力'!$D$5:$D$204=D$6)*('01_予約入力'!$K$5:$K$204&lt;&gt;"キャンセル")*('01_予約入力'!$E$5:$E$204&lt;&gt;"")*('01_予約入力'!$E$5:$E$204=$A8)*('01_予約入力'!$G$5:$G$204=$A8)*(ROW('01_予約入力'!$E$5:$E$204)-4))))</f>
        <v/>
      </c>
      <c r="R8" s="31">
        <f>IF(OR($A8="",E$6=""),0,SUMPRODUCT(MAX(('01_予約入力'!$D$5:$D$204=E$6)*('01_予約入力'!$K$5:$K$204&lt;&gt;"キャンセル")*('01_予約入力'!$E$5:$E$204&lt;&gt;"")*('01_予約入力'!$G$5:$G$204=$A8)*('01_予約入力'!$E$5:$E$204&lt;$A8)*(ROW('01_予約入力'!$E$5:$E$204)-4))))</f>
        <v/>
      </c>
      <c r="S8" s="31">
        <f>IF(OR($A8="",E$6=""),0,SUMPRODUCT(MAX(('01_予約入力'!$D$5:$D$204=E$6)*('01_予約入力'!$K$5:$K$204&lt;&gt;"キャンセル")*('01_予約入力'!$E$5:$E$204&lt;&gt;"")*('01_予約入力'!$E$5:$E$204&lt;=$A8)*('01_予約入力'!$G$5:$G$204&gt;$A8)*(ROW('01_予約入力'!$E$5:$E$204)-4))))</f>
        <v/>
      </c>
      <c r="T8" s="31">
        <f>IF(OR($A8="",E$6=""),0,SUMPRODUCT(MAX(('01_予約入力'!$D$5:$D$204=E$6)*('01_予約入力'!$K$5:$K$204&lt;&gt;"キャンセル")*('01_予約入力'!$E$5:$E$204&lt;&gt;"")*('01_予約入力'!$E$5:$E$204=$A8)*('01_予約入力'!$G$5:$G$204=$A8)*(ROW('01_予約入力'!$E$5:$E$204)-4))))</f>
        <v/>
      </c>
      <c r="U8" s="31">
        <f>IF(OR($A8="",F$6=""),0,SUMPRODUCT(MAX(('01_予約入力'!$D$5:$D$204=F$6)*('01_予約入力'!$K$5:$K$204&lt;&gt;"キャンセル")*('01_予約入力'!$E$5:$E$204&lt;&gt;"")*('01_予約入力'!$G$5:$G$204=$A8)*('01_予約入力'!$E$5:$E$204&lt;$A8)*(ROW('01_予約入力'!$E$5:$E$204)-4))))</f>
        <v/>
      </c>
      <c r="V8" s="31">
        <f>IF(OR($A8="",F$6=""),0,SUMPRODUCT(MAX(('01_予約入力'!$D$5:$D$204=F$6)*('01_予約入力'!$K$5:$K$204&lt;&gt;"キャンセル")*('01_予約入力'!$E$5:$E$204&lt;&gt;"")*('01_予約入力'!$E$5:$E$204&lt;=$A8)*('01_予約入力'!$G$5:$G$204&gt;$A8)*(ROW('01_予約入力'!$E$5:$E$204)-4))))</f>
        <v/>
      </c>
      <c r="W8" s="31">
        <f>IF(OR($A8="",F$6=""),0,SUMPRODUCT(MAX(('01_予約入力'!$D$5:$D$204=F$6)*('01_予約入力'!$K$5:$K$204&lt;&gt;"キャンセル")*('01_予約入力'!$E$5:$E$204&lt;&gt;"")*('01_予約入力'!$E$5:$E$204=$A8)*('01_予約入力'!$G$5:$G$204=$A8)*(ROW('01_予約入力'!$E$5:$E$204)-4))))</f>
        <v/>
      </c>
      <c r="X8" s="31">
        <f>IF($A8="","",IF($M8&gt;0,IF(OR(INDEX('01_予約入力'!$K$5:$K$204,$M8)="仮予約",INDEX('01_予約入力'!$K$5:$K$204,$M8)="調整中"),"仮",INDEX('01_予約入力'!$C$5:$C$204,$M8)),IF($N8&gt;0,IF(OR(INDEX('01_予約入力'!$K$5:$K$204,$N8)="仮予約",INDEX('01_予約入力'!$K$5:$K$204,$N8)="調整中"),"仮",INDEX('01_予約入力'!$C$5:$C$204,$N8)),IF($L8&gt;0,IF(OR(INDEX('01_予約入力'!$K$5:$K$204,$L8)="仮予約",INDEX('01_予約入力'!$K$5:$K$204,$L8)="調整中"),"仮",INDEX('01_予約入力'!$C$5:$C$204,$L8)),""))))</f>
        <v/>
      </c>
      <c r="Y8" s="31">
        <f>IF($A8="","",IF($P8&gt;0,IF(OR(INDEX('01_予約入力'!$K$5:$K$204,$P8)="仮予約",INDEX('01_予約入力'!$K$5:$K$204,$P8)="調整中"),"仮",INDEX('01_予約入力'!$C$5:$C$204,$P8)),IF($Q8&gt;0,IF(OR(INDEX('01_予約入力'!$K$5:$K$204,$Q8)="仮予約",INDEX('01_予約入力'!$K$5:$K$204,$Q8)="調整中"),"仮",INDEX('01_予約入力'!$C$5:$C$204,$Q8)),IF($O8&gt;0,IF(OR(INDEX('01_予約入力'!$K$5:$K$204,$O8)="仮予約",INDEX('01_予約入力'!$K$5:$K$204,$O8)="調整中"),"仮",INDEX('01_予約入力'!$C$5:$C$204,$O8)),""))))</f>
        <v/>
      </c>
      <c r="Z8" s="31">
        <f>IF($A8="","",IF($S8&gt;0,IF(OR(INDEX('01_予約入力'!$K$5:$K$204,$S8)="仮予約",INDEX('01_予約入力'!$K$5:$K$204,$S8)="調整中"),"仮",INDEX('01_予約入力'!$C$5:$C$204,$S8)),IF($T8&gt;0,IF(OR(INDEX('01_予約入力'!$K$5:$K$204,$T8)="仮予約",INDEX('01_予約入力'!$K$5:$K$204,$T8)="調整中"),"仮",INDEX('01_予約入力'!$C$5:$C$204,$T8)),IF($R8&gt;0,IF(OR(INDEX('01_予約入力'!$K$5:$K$204,$R8)="仮予約",INDEX('01_予約入力'!$K$5:$K$204,$R8)="調整中"),"仮",INDEX('01_予約入力'!$C$5:$C$204,$R8)),""))))</f>
        <v/>
      </c>
      <c r="AA8" s="31">
        <f>IF($A8="","",IF($V8&gt;0,IF(OR(INDEX('01_予約入力'!$K$5:$K$204,$V8)="仮予約",INDEX('01_予約入力'!$K$5:$K$204,$V8)="調整中"),"仮",INDEX('01_予約入力'!$C$5:$C$204,$V8)),IF($W8&gt;0,IF(OR(INDEX('01_予約入力'!$K$5:$K$204,$W8)="仮予約",INDEX('01_予約入力'!$K$5:$K$204,$W8)="調整中"),"仮",INDEX('01_予約入力'!$C$5:$C$204,$W8)),IF($U8&gt;0,IF(OR(INDEX('01_予約入力'!$K$5:$K$204,$U8)="仮予約",INDEX('01_予約入力'!$K$5:$K$204,$U8)="調整中"),"仮",INDEX('01_予約入力'!$C$5:$C$204,$U8)),""))))</f>
        <v/>
      </c>
    </row>
    <row r="9">
      <c r="A9" s="33">
        <f>IF(MONTH('02_カレンダー'!$B$4+2)&lt;&gt;MONTH('02_カレンダー'!$B$4),"",'02_カレンダー'!$B$4+2)</f>
        <v/>
      </c>
      <c r="B9" s="31">
        <f>IF($A9="","",MID("日月火水木金土",WEEKDAY($A9),1))</f>
        <v/>
      </c>
      <c r="C9" s="34">
        <f>IF(OR($A9="",C$6=""),"",IF($L9=0,"",INDEX('01_予約入力'!$B$5:$B$204,$L9)&amp;" ◀")&amp;IF(AND($L9&gt;0,OR($M9&gt;0,$N9&gt;0)),"  ","")&amp;IF($M9=0,"",IF(INDEX('01_予約入力'!$E$5:$E$204,$M9)=$A9,"▶ ","")&amp;INDEX('01_予約入力'!$B$5:$B$204,$M9))&amp;IF(AND($M9&gt;0,$N9&gt;0),"  ","")&amp;IF($N9=0,"","◆ "&amp;INDEX('01_予約入力'!$B$5:$B$204,$N9)))</f>
        <v/>
      </c>
      <c r="D9" s="34">
        <f>IF(OR($A9="",D$6=""),"",IF($O9=0,"",INDEX('01_予約入力'!$B$5:$B$204,$O9)&amp;" ◀")&amp;IF(AND($O9&gt;0,OR($P9&gt;0,$Q9&gt;0)),"  ","")&amp;IF($P9=0,"",IF(INDEX('01_予約入力'!$E$5:$E$204,$P9)=$A9,"▶ ","")&amp;INDEX('01_予約入力'!$B$5:$B$204,$P9))&amp;IF(AND($P9&gt;0,$Q9&gt;0),"  ","")&amp;IF($Q9=0,"","◆ "&amp;INDEX('01_予約入力'!$B$5:$B$204,$Q9)))</f>
        <v/>
      </c>
      <c r="E9" s="34">
        <f>IF(OR($A9="",E$6=""),"",IF($R9=0,"",INDEX('01_予約入力'!$B$5:$B$204,$R9)&amp;" ◀")&amp;IF(AND($R9&gt;0,OR($S9&gt;0,$T9&gt;0)),"  ","")&amp;IF($S9=0,"",IF(INDEX('01_予約入力'!$E$5:$E$204,$S9)=$A9,"▶ ","")&amp;INDEX('01_予約入力'!$B$5:$B$204,$S9))&amp;IF(AND($S9&gt;0,$T9&gt;0),"  ","")&amp;IF($T9=0,"","◆ "&amp;INDEX('01_予約入力'!$B$5:$B$204,$T9)))</f>
        <v/>
      </c>
      <c r="F9" s="34">
        <f>IF(OR($A9="",F$6=""),"",IF($U9=0,"",INDEX('01_予約入力'!$B$5:$B$204,$U9)&amp;" ◀")&amp;IF(AND($U9&gt;0,OR($V9&gt;0,$W9&gt;0)),"  ","")&amp;IF($V9=0,"",IF(INDEX('01_予約入力'!$E$5:$E$204,$V9)=$A9,"▶ ","")&amp;INDEX('01_予約入力'!$B$5:$B$204,$V9))&amp;IF(AND($V9&gt;0,$W9&gt;0),"  ","")&amp;IF($W9=0,"","◆ "&amp;INDEX('01_予約入力'!$B$5:$B$204,$W9)))</f>
        <v/>
      </c>
      <c r="G9" s="31">
        <f>IF($A9="","",SUMPRODUCT(('01_予約入力'!$E$5:$E$204&lt;&gt;"")*('01_予約入力'!$K$5:$K$204&lt;&gt;"キャンセル")*('01_予約入力'!$E$5:$E$204&lt;=$A9)*('01_予約入力'!$G$5:$G$204&gt;$A9)))</f>
        <v/>
      </c>
      <c r="H9" s="31">
        <f>IF($A9="","",'M_施設設定'!$B$6-$G9)</f>
        <v/>
      </c>
      <c r="I9" s="31">
        <f>IF($A9="","",SUMPRODUCT((('01_予約入力'!$K$5:$K$204="仮予約")+('01_予約入力'!$K$5:$K$204="調整中"))*('01_予約入力'!$E$5:$E$204&lt;&gt;"")*('01_予約入力'!$E$5:$E$204&lt;=$A9)*('01_予約入力'!$G$5:$G$204&gt;$A9)))</f>
        <v/>
      </c>
      <c r="J9" s="31">
        <f>IF($A9="","",IF($I9&gt;0,"仮",IF($H9&lt;=0,"×",IF($H9&lt;'M_施設設定'!$B$6,"△","○"))))</f>
        <v/>
      </c>
      <c r="K9" s="31">
        <f>IF($A9="","",SUMPRODUCT(('01_予約入力'!$E$5:$E$204&lt;&gt;"")*('01_予約入力'!$K$5:$K$204&lt;&gt;"キャンセル")*('01_予約入力'!$E$5:$E$204=$A9)*('01_予約入力'!$G$5:$G$204=$A9)))</f>
        <v/>
      </c>
      <c r="L9" s="31">
        <f>IF(OR($A9="",C$6=""),0,SUMPRODUCT(MAX(('01_予約入力'!$D$5:$D$204=C$6)*('01_予約入力'!$K$5:$K$204&lt;&gt;"キャンセル")*('01_予約入力'!$E$5:$E$204&lt;&gt;"")*('01_予約入力'!$G$5:$G$204=$A9)*('01_予約入力'!$E$5:$E$204&lt;$A9)*(ROW('01_予約入力'!$E$5:$E$204)-4))))</f>
        <v/>
      </c>
      <c r="M9" s="31">
        <f>IF(OR($A9="",C$6=""),0,SUMPRODUCT(MAX(('01_予約入力'!$D$5:$D$204=C$6)*('01_予約入力'!$K$5:$K$204&lt;&gt;"キャンセル")*('01_予約入力'!$E$5:$E$204&lt;&gt;"")*('01_予約入力'!$E$5:$E$204&lt;=$A9)*('01_予約入力'!$G$5:$G$204&gt;$A9)*(ROW('01_予約入力'!$E$5:$E$204)-4))))</f>
        <v/>
      </c>
      <c r="N9" s="31">
        <f>IF(OR($A9="",C$6=""),0,SUMPRODUCT(MAX(('01_予約入力'!$D$5:$D$204=C$6)*('01_予約入力'!$K$5:$K$204&lt;&gt;"キャンセル")*('01_予約入力'!$E$5:$E$204&lt;&gt;"")*('01_予約入力'!$E$5:$E$204=$A9)*('01_予約入力'!$G$5:$G$204=$A9)*(ROW('01_予約入力'!$E$5:$E$204)-4))))</f>
        <v/>
      </c>
      <c r="O9" s="31">
        <f>IF(OR($A9="",D$6=""),0,SUMPRODUCT(MAX(('01_予約入力'!$D$5:$D$204=D$6)*('01_予約入力'!$K$5:$K$204&lt;&gt;"キャンセル")*('01_予約入力'!$E$5:$E$204&lt;&gt;"")*('01_予約入力'!$G$5:$G$204=$A9)*('01_予約入力'!$E$5:$E$204&lt;$A9)*(ROW('01_予約入力'!$E$5:$E$204)-4))))</f>
        <v/>
      </c>
      <c r="P9" s="31">
        <f>IF(OR($A9="",D$6=""),0,SUMPRODUCT(MAX(('01_予約入力'!$D$5:$D$204=D$6)*('01_予約入力'!$K$5:$K$204&lt;&gt;"キャンセル")*('01_予約入力'!$E$5:$E$204&lt;&gt;"")*('01_予約入力'!$E$5:$E$204&lt;=$A9)*('01_予約入力'!$G$5:$G$204&gt;$A9)*(ROW('01_予約入力'!$E$5:$E$204)-4))))</f>
        <v/>
      </c>
      <c r="Q9" s="31">
        <f>IF(OR($A9="",D$6=""),0,SUMPRODUCT(MAX(('01_予約入力'!$D$5:$D$204=D$6)*('01_予約入力'!$K$5:$K$204&lt;&gt;"キャンセル")*('01_予約入力'!$E$5:$E$204&lt;&gt;"")*('01_予約入力'!$E$5:$E$204=$A9)*('01_予約入力'!$G$5:$G$204=$A9)*(ROW('01_予約入力'!$E$5:$E$204)-4))))</f>
        <v/>
      </c>
      <c r="R9" s="31">
        <f>IF(OR($A9="",E$6=""),0,SUMPRODUCT(MAX(('01_予約入力'!$D$5:$D$204=E$6)*('01_予約入力'!$K$5:$K$204&lt;&gt;"キャンセル")*('01_予約入力'!$E$5:$E$204&lt;&gt;"")*('01_予約入力'!$G$5:$G$204=$A9)*('01_予約入力'!$E$5:$E$204&lt;$A9)*(ROW('01_予約入力'!$E$5:$E$204)-4))))</f>
        <v/>
      </c>
      <c r="S9" s="31">
        <f>IF(OR($A9="",E$6=""),0,SUMPRODUCT(MAX(('01_予約入力'!$D$5:$D$204=E$6)*('01_予約入力'!$K$5:$K$204&lt;&gt;"キャンセル")*('01_予約入力'!$E$5:$E$204&lt;&gt;"")*('01_予約入力'!$E$5:$E$204&lt;=$A9)*('01_予約入力'!$G$5:$G$204&gt;$A9)*(ROW('01_予約入力'!$E$5:$E$204)-4))))</f>
        <v/>
      </c>
      <c r="T9" s="31">
        <f>IF(OR($A9="",E$6=""),0,SUMPRODUCT(MAX(('01_予約入力'!$D$5:$D$204=E$6)*('01_予約入力'!$K$5:$K$204&lt;&gt;"キャンセル")*('01_予約入力'!$E$5:$E$204&lt;&gt;"")*('01_予約入力'!$E$5:$E$204=$A9)*('01_予約入力'!$G$5:$G$204=$A9)*(ROW('01_予約入力'!$E$5:$E$204)-4))))</f>
        <v/>
      </c>
      <c r="U9" s="31">
        <f>IF(OR($A9="",F$6=""),0,SUMPRODUCT(MAX(('01_予約入力'!$D$5:$D$204=F$6)*('01_予約入力'!$K$5:$K$204&lt;&gt;"キャンセル")*('01_予約入力'!$E$5:$E$204&lt;&gt;"")*('01_予約入力'!$G$5:$G$204=$A9)*('01_予約入力'!$E$5:$E$204&lt;$A9)*(ROW('01_予約入力'!$E$5:$E$204)-4))))</f>
        <v/>
      </c>
      <c r="V9" s="31">
        <f>IF(OR($A9="",F$6=""),0,SUMPRODUCT(MAX(('01_予約入力'!$D$5:$D$204=F$6)*('01_予約入力'!$K$5:$K$204&lt;&gt;"キャンセル")*('01_予約入力'!$E$5:$E$204&lt;&gt;"")*('01_予約入力'!$E$5:$E$204&lt;=$A9)*('01_予約入力'!$G$5:$G$204&gt;$A9)*(ROW('01_予約入力'!$E$5:$E$204)-4))))</f>
        <v/>
      </c>
      <c r="W9" s="31">
        <f>IF(OR($A9="",F$6=""),0,SUMPRODUCT(MAX(('01_予約入力'!$D$5:$D$204=F$6)*('01_予約入力'!$K$5:$K$204&lt;&gt;"キャンセル")*('01_予約入力'!$E$5:$E$204&lt;&gt;"")*('01_予約入力'!$E$5:$E$204=$A9)*('01_予約入力'!$G$5:$G$204=$A9)*(ROW('01_予約入力'!$E$5:$E$204)-4))))</f>
        <v/>
      </c>
      <c r="X9" s="31">
        <f>IF($A9="","",IF($M9&gt;0,IF(OR(INDEX('01_予約入力'!$K$5:$K$204,$M9)="仮予約",INDEX('01_予約入力'!$K$5:$K$204,$M9)="調整中"),"仮",INDEX('01_予約入力'!$C$5:$C$204,$M9)),IF($N9&gt;0,IF(OR(INDEX('01_予約入力'!$K$5:$K$204,$N9)="仮予約",INDEX('01_予約入力'!$K$5:$K$204,$N9)="調整中"),"仮",INDEX('01_予約入力'!$C$5:$C$204,$N9)),IF($L9&gt;0,IF(OR(INDEX('01_予約入力'!$K$5:$K$204,$L9)="仮予約",INDEX('01_予約入力'!$K$5:$K$204,$L9)="調整中"),"仮",INDEX('01_予約入力'!$C$5:$C$204,$L9)),""))))</f>
        <v/>
      </c>
      <c r="Y9" s="31">
        <f>IF($A9="","",IF($P9&gt;0,IF(OR(INDEX('01_予約入力'!$K$5:$K$204,$P9)="仮予約",INDEX('01_予約入力'!$K$5:$K$204,$P9)="調整中"),"仮",INDEX('01_予約入力'!$C$5:$C$204,$P9)),IF($Q9&gt;0,IF(OR(INDEX('01_予約入力'!$K$5:$K$204,$Q9)="仮予約",INDEX('01_予約入力'!$K$5:$K$204,$Q9)="調整中"),"仮",INDEX('01_予約入力'!$C$5:$C$204,$Q9)),IF($O9&gt;0,IF(OR(INDEX('01_予約入力'!$K$5:$K$204,$O9)="仮予約",INDEX('01_予約入力'!$K$5:$K$204,$O9)="調整中"),"仮",INDEX('01_予約入力'!$C$5:$C$204,$O9)),""))))</f>
        <v/>
      </c>
      <c r="Z9" s="31">
        <f>IF($A9="","",IF($S9&gt;0,IF(OR(INDEX('01_予約入力'!$K$5:$K$204,$S9)="仮予約",INDEX('01_予約入力'!$K$5:$K$204,$S9)="調整中"),"仮",INDEX('01_予約入力'!$C$5:$C$204,$S9)),IF($T9&gt;0,IF(OR(INDEX('01_予約入力'!$K$5:$K$204,$T9)="仮予約",INDEX('01_予約入力'!$K$5:$K$204,$T9)="調整中"),"仮",INDEX('01_予約入力'!$C$5:$C$204,$T9)),IF($R9&gt;0,IF(OR(INDEX('01_予約入力'!$K$5:$K$204,$R9)="仮予約",INDEX('01_予約入力'!$K$5:$K$204,$R9)="調整中"),"仮",INDEX('01_予約入力'!$C$5:$C$204,$R9)),""))))</f>
        <v/>
      </c>
      <c r="AA9" s="31">
        <f>IF($A9="","",IF($V9&gt;0,IF(OR(INDEX('01_予約入力'!$K$5:$K$204,$V9)="仮予約",INDEX('01_予約入力'!$K$5:$K$204,$V9)="調整中"),"仮",INDEX('01_予約入力'!$C$5:$C$204,$V9)),IF($W9&gt;0,IF(OR(INDEX('01_予約入力'!$K$5:$K$204,$W9)="仮予約",INDEX('01_予約入力'!$K$5:$K$204,$W9)="調整中"),"仮",INDEX('01_予約入力'!$C$5:$C$204,$W9)),IF($U9&gt;0,IF(OR(INDEX('01_予約入力'!$K$5:$K$204,$U9)="仮予約",INDEX('01_予約入力'!$K$5:$K$204,$U9)="調整中"),"仮",INDEX('01_予約入力'!$C$5:$C$204,$U9)),""))))</f>
        <v/>
      </c>
    </row>
    <row r="10">
      <c r="A10" s="33">
        <f>IF(MONTH('02_カレンダー'!$B$4+3)&lt;&gt;MONTH('02_カレンダー'!$B$4),"",'02_カレンダー'!$B$4+3)</f>
        <v/>
      </c>
      <c r="B10" s="31">
        <f>IF($A10="","",MID("日月火水木金土",WEEKDAY($A10),1))</f>
        <v/>
      </c>
      <c r="C10" s="34">
        <f>IF(OR($A10="",C$6=""),"",IF($L10=0,"",INDEX('01_予約入力'!$B$5:$B$204,$L10)&amp;" ◀")&amp;IF(AND($L10&gt;0,OR($M10&gt;0,$N10&gt;0)),"  ","")&amp;IF($M10=0,"",IF(INDEX('01_予約入力'!$E$5:$E$204,$M10)=$A10,"▶ ","")&amp;INDEX('01_予約入力'!$B$5:$B$204,$M10))&amp;IF(AND($M10&gt;0,$N10&gt;0),"  ","")&amp;IF($N10=0,"","◆ "&amp;INDEX('01_予約入力'!$B$5:$B$204,$N10)))</f>
        <v/>
      </c>
      <c r="D10" s="34">
        <f>IF(OR($A10="",D$6=""),"",IF($O10=0,"",INDEX('01_予約入力'!$B$5:$B$204,$O10)&amp;" ◀")&amp;IF(AND($O10&gt;0,OR($P10&gt;0,$Q10&gt;0)),"  ","")&amp;IF($P10=0,"",IF(INDEX('01_予約入力'!$E$5:$E$204,$P10)=$A10,"▶ ","")&amp;INDEX('01_予約入力'!$B$5:$B$204,$P10))&amp;IF(AND($P10&gt;0,$Q10&gt;0),"  ","")&amp;IF($Q10=0,"","◆ "&amp;INDEX('01_予約入力'!$B$5:$B$204,$Q10)))</f>
        <v/>
      </c>
      <c r="E10" s="34">
        <f>IF(OR($A10="",E$6=""),"",IF($R10=0,"",INDEX('01_予約入力'!$B$5:$B$204,$R10)&amp;" ◀")&amp;IF(AND($R10&gt;0,OR($S10&gt;0,$T10&gt;0)),"  ","")&amp;IF($S10=0,"",IF(INDEX('01_予約入力'!$E$5:$E$204,$S10)=$A10,"▶ ","")&amp;INDEX('01_予約入力'!$B$5:$B$204,$S10))&amp;IF(AND($S10&gt;0,$T10&gt;0),"  ","")&amp;IF($T10=0,"","◆ "&amp;INDEX('01_予約入力'!$B$5:$B$204,$T10)))</f>
        <v/>
      </c>
      <c r="F10" s="34">
        <f>IF(OR($A10="",F$6=""),"",IF($U10=0,"",INDEX('01_予約入力'!$B$5:$B$204,$U10)&amp;" ◀")&amp;IF(AND($U10&gt;0,OR($V10&gt;0,$W10&gt;0)),"  ","")&amp;IF($V10=0,"",IF(INDEX('01_予約入力'!$E$5:$E$204,$V10)=$A10,"▶ ","")&amp;INDEX('01_予約入力'!$B$5:$B$204,$V10))&amp;IF(AND($V10&gt;0,$W10&gt;0),"  ","")&amp;IF($W10=0,"","◆ "&amp;INDEX('01_予約入力'!$B$5:$B$204,$W10)))</f>
        <v/>
      </c>
      <c r="G10" s="31">
        <f>IF($A10="","",SUMPRODUCT(('01_予約入力'!$E$5:$E$204&lt;&gt;"")*('01_予約入力'!$K$5:$K$204&lt;&gt;"キャンセル")*('01_予約入力'!$E$5:$E$204&lt;=$A10)*('01_予約入力'!$G$5:$G$204&gt;$A10)))</f>
        <v/>
      </c>
      <c r="H10" s="31">
        <f>IF($A10="","",'M_施設設定'!$B$6-$G10)</f>
        <v/>
      </c>
      <c r="I10" s="31">
        <f>IF($A10="","",SUMPRODUCT((('01_予約入力'!$K$5:$K$204="仮予約")+('01_予約入力'!$K$5:$K$204="調整中"))*('01_予約入力'!$E$5:$E$204&lt;&gt;"")*('01_予約入力'!$E$5:$E$204&lt;=$A10)*('01_予約入力'!$G$5:$G$204&gt;$A10)))</f>
        <v/>
      </c>
      <c r="J10" s="31">
        <f>IF($A10="","",IF($I10&gt;0,"仮",IF($H10&lt;=0,"×",IF($H10&lt;'M_施設設定'!$B$6,"△","○"))))</f>
        <v/>
      </c>
      <c r="K10" s="31">
        <f>IF($A10="","",SUMPRODUCT(('01_予約入力'!$E$5:$E$204&lt;&gt;"")*('01_予約入力'!$K$5:$K$204&lt;&gt;"キャンセル")*('01_予約入力'!$E$5:$E$204=$A10)*('01_予約入力'!$G$5:$G$204=$A10)))</f>
        <v/>
      </c>
      <c r="L10" s="31">
        <f>IF(OR($A10="",C$6=""),0,SUMPRODUCT(MAX(('01_予約入力'!$D$5:$D$204=C$6)*('01_予約入力'!$K$5:$K$204&lt;&gt;"キャンセル")*('01_予約入力'!$E$5:$E$204&lt;&gt;"")*('01_予約入力'!$G$5:$G$204=$A10)*('01_予約入力'!$E$5:$E$204&lt;$A10)*(ROW('01_予約入力'!$E$5:$E$204)-4))))</f>
        <v/>
      </c>
      <c r="M10" s="31">
        <f>IF(OR($A10="",C$6=""),0,SUMPRODUCT(MAX(('01_予約入力'!$D$5:$D$204=C$6)*('01_予約入力'!$K$5:$K$204&lt;&gt;"キャンセル")*('01_予約入力'!$E$5:$E$204&lt;&gt;"")*('01_予約入力'!$E$5:$E$204&lt;=$A10)*('01_予約入力'!$G$5:$G$204&gt;$A10)*(ROW('01_予約入力'!$E$5:$E$204)-4))))</f>
        <v/>
      </c>
      <c r="N10" s="31">
        <f>IF(OR($A10="",C$6=""),0,SUMPRODUCT(MAX(('01_予約入力'!$D$5:$D$204=C$6)*('01_予約入力'!$K$5:$K$204&lt;&gt;"キャンセル")*('01_予約入力'!$E$5:$E$204&lt;&gt;"")*('01_予約入力'!$E$5:$E$204=$A10)*('01_予約入力'!$G$5:$G$204=$A10)*(ROW('01_予約入力'!$E$5:$E$204)-4))))</f>
        <v/>
      </c>
      <c r="O10" s="31">
        <f>IF(OR($A10="",D$6=""),0,SUMPRODUCT(MAX(('01_予約入力'!$D$5:$D$204=D$6)*('01_予約入力'!$K$5:$K$204&lt;&gt;"キャンセル")*('01_予約入力'!$E$5:$E$204&lt;&gt;"")*('01_予約入力'!$G$5:$G$204=$A10)*('01_予約入力'!$E$5:$E$204&lt;$A10)*(ROW('01_予約入力'!$E$5:$E$204)-4))))</f>
        <v/>
      </c>
      <c r="P10" s="31">
        <f>IF(OR($A10="",D$6=""),0,SUMPRODUCT(MAX(('01_予約入力'!$D$5:$D$204=D$6)*('01_予約入力'!$K$5:$K$204&lt;&gt;"キャンセル")*('01_予約入力'!$E$5:$E$204&lt;&gt;"")*('01_予約入力'!$E$5:$E$204&lt;=$A10)*('01_予約入力'!$G$5:$G$204&gt;$A10)*(ROW('01_予約入力'!$E$5:$E$204)-4))))</f>
        <v/>
      </c>
      <c r="Q10" s="31">
        <f>IF(OR($A10="",D$6=""),0,SUMPRODUCT(MAX(('01_予約入力'!$D$5:$D$204=D$6)*('01_予約入力'!$K$5:$K$204&lt;&gt;"キャンセル")*('01_予約入力'!$E$5:$E$204&lt;&gt;"")*('01_予約入力'!$E$5:$E$204=$A10)*('01_予約入力'!$G$5:$G$204=$A10)*(ROW('01_予約入力'!$E$5:$E$204)-4))))</f>
        <v/>
      </c>
      <c r="R10" s="31">
        <f>IF(OR($A10="",E$6=""),0,SUMPRODUCT(MAX(('01_予約入力'!$D$5:$D$204=E$6)*('01_予約入力'!$K$5:$K$204&lt;&gt;"キャンセル")*('01_予約入力'!$E$5:$E$204&lt;&gt;"")*('01_予約入力'!$G$5:$G$204=$A10)*('01_予約入力'!$E$5:$E$204&lt;$A10)*(ROW('01_予約入力'!$E$5:$E$204)-4))))</f>
        <v/>
      </c>
      <c r="S10" s="31">
        <f>IF(OR($A10="",E$6=""),0,SUMPRODUCT(MAX(('01_予約入力'!$D$5:$D$204=E$6)*('01_予約入力'!$K$5:$K$204&lt;&gt;"キャンセル")*('01_予約入力'!$E$5:$E$204&lt;&gt;"")*('01_予約入力'!$E$5:$E$204&lt;=$A10)*('01_予約入力'!$G$5:$G$204&gt;$A10)*(ROW('01_予約入力'!$E$5:$E$204)-4))))</f>
        <v/>
      </c>
      <c r="T10" s="31">
        <f>IF(OR($A10="",E$6=""),0,SUMPRODUCT(MAX(('01_予約入力'!$D$5:$D$204=E$6)*('01_予約入力'!$K$5:$K$204&lt;&gt;"キャンセル")*('01_予約入力'!$E$5:$E$204&lt;&gt;"")*('01_予約入力'!$E$5:$E$204=$A10)*('01_予約入力'!$G$5:$G$204=$A10)*(ROW('01_予約入力'!$E$5:$E$204)-4))))</f>
        <v/>
      </c>
      <c r="U10" s="31">
        <f>IF(OR($A10="",F$6=""),0,SUMPRODUCT(MAX(('01_予約入力'!$D$5:$D$204=F$6)*('01_予約入力'!$K$5:$K$204&lt;&gt;"キャンセル")*('01_予約入力'!$E$5:$E$204&lt;&gt;"")*('01_予約入力'!$G$5:$G$204=$A10)*('01_予約入力'!$E$5:$E$204&lt;$A10)*(ROW('01_予約入力'!$E$5:$E$204)-4))))</f>
        <v/>
      </c>
      <c r="V10" s="31">
        <f>IF(OR($A10="",F$6=""),0,SUMPRODUCT(MAX(('01_予約入力'!$D$5:$D$204=F$6)*('01_予約入力'!$K$5:$K$204&lt;&gt;"キャンセル")*('01_予約入力'!$E$5:$E$204&lt;&gt;"")*('01_予約入力'!$E$5:$E$204&lt;=$A10)*('01_予約入力'!$G$5:$G$204&gt;$A10)*(ROW('01_予約入力'!$E$5:$E$204)-4))))</f>
        <v/>
      </c>
      <c r="W10" s="31">
        <f>IF(OR($A10="",F$6=""),0,SUMPRODUCT(MAX(('01_予約入力'!$D$5:$D$204=F$6)*('01_予約入力'!$K$5:$K$204&lt;&gt;"キャンセル")*('01_予約入力'!$E$5:$E$204&lt;&gt;"")*('01_予約入力'!$E$5:$E$204=$A10)*('01_予約入力'!$G$5:$G$204=$A10)*(ROW('01_予約入力'!$E$5:$E$204)-4))))</f>
        <v/>
      </c>
      <c r="X10" s="31">
        <f>IF($A10="","",IF($M10&gt;0,IF(OR(INDEX('01_予約入力'!$K$5:$K$204,$M10)="仮予約",INDEX('01_予約入力'!$K$5:$K$204,$M10)="調整中"),"仮",INDEX('01_予約入力'!$C$5:$C$204,$M10)),IF($N10&gt;0,IF(OR(INDEX('01_予約入力'!$K$5:$K$204,$N10)="仮予約",INDEX('01_予約入力'!$K$5:$K$204,$N10)="調整中"),"仮",INDEX('01_予約入力'!$C$5:$C$204,$N10)),IF($L10&gt;0,IF(OR(INDEX('01_予約入力'!$K$5:$K$204,$L10)="仮予約",INDEX('01_予約入力'!$K$5:$K$204,$L10)="調整中"),"仮",INDEX('01_予約入力'!$C$5:$C$204,$L10)),""))))</f>
        <v/>
      </c>
      <c r="Y10" s="31">
        <f>IF($A10="","",IF($P10&gt;0,IF(OR(INDEX('01_予約入力'!$K$5:$K$204,$P10)="仮予約",INDEX('01_予約入力'!$K$5:$K$204,$P10)="調整中"),"仮",INDEX('01_予約入力'!$C$5:$C$204,$P10)),IF($Q10&gt;0,IF(OR(INDEX('01_予約入力'!$K$5:$K$204,$Q10)="仮予約",INDEX('01_予約入力'!$K$5:$K$204,$Q10)="調整中"),"仮",INDEX('01_予約入力'!$C$5:$C$204,$Q10)),IF($O10&gt;0,IF(OR(INDEX('01_予約入力'!$K$5:$K$204,$O10)="仮予約",INDEX('01_予約入力'!$K$5:$K$204,$O10)="調整中"),"仮",INDEX('01_予約入力'!$C$5:$C$204,$O10)),""))))</f>
        <v/>
      </c>
      <c r="Z10" s="31">
        <f>IF($A10="","",IF($S10&gt;0,IF(OR(INDEX('01_予約入力'!$K$5:$K$204,$S10)="仮予約",INDEX('01_予約入力'!$K$5:$K$204,$S10)="調整中"),"仮",INDEX('01_予約入力'!$C$5:$C$204,$S10)),IF($T10&gt;0,IF(OR(INDEX('01_予約入力'!$K$5:$K$204,$T10)="仮予約",INDEX('01_予約入力'!$K$5:$K$204,$T10)="調整中"),"仮",INDEX('01_予約入力'!$C$5:$C$204,$T10)),IF($R10&gt;0,IF(OR(INDEX('01_予約入力'!$K$5:$K$204,$R10)="仮予約",INDEX('01_予約入力'!$K$5:$K$204,$R10)="調整中"),"仮",INDEX('01_予約入力'!$C$5:$C$204,$R10)),""))))</f>
        <v/>
      </c>
      <c r="AA10" s="31">
        <f>IF($A10="","",IF($V10&gt;0,IF(OR(INDEX('01_予約入力'!$K$5:$K$204,$V10)="仮予約",INDEX('01_予約入力'!$K$5:$K$204,$V10)="調整中"),"仮",INDEX('01_予約入力'!$C$5:$C$204,$V10)),IF($W10&gt;0,IF(OR(INDEX('01_予約入力'!$K$5:$K$204,$W10)="仮予約",INDEX('01_予約入力'!$K$5:$K$204,$W10)="調整中"),"仮",INDEX('01_予約入力'!$C$5:$C$204,$W10)),IF($U10&gt;0,IF(OR(INDEX('01_予約入力'!$K$5:$K$204,$U10)="仮予約",INDEX('01_予約入力'!$K$5:$K$204,$U10)="調整中"),"仮",INDEX('01_予約入力'!$C$5:$C$204,$U10)),""))))</f>
        <v/>
      </c>
    </row>
    <row r="11">
      <c r="A11" s="33">
        <f>IF(MONTH('02_カレンダー'!$B$4+4)&lt;&gt;MONTH('02_カレンダー'!$B$4),"",'02_カレンダー'!$B$4+4)</f>
        <v/>
      </c>
      <c r="B11" s="31">
        <f>IF($A11="","",MID("日月火水木金土",WEEKDAY($A11),1))</f>
        <v/>
      </c>
      <c r="C11" s="34">
        <f>IF(OR($A11="",C$6=""),"",IF($L11=0,"",INDEX('01_予約入力'!$B$5:$B$204,$L11)&amp;" ◀")&amp;IF(AND($L11&gt;0,OR($M11&gt;0,$N11&gt;0)),"  ","")&amp;IF($M11=0,"",IF(INDEX('01_予約入力'!$E$5:$E$204,$M11)=$A11,"▶ ","")&amp;INDEX('01_予約入力'!$B$5:$B$204,$M11))&amp;IF(AND($M11&gt;0,$N11&gt;0),"  ","")&amp;IF($N11=0,"","◆ "&amp;INDEX('01_予約入力'!$B$5:$B$204,$N11)))</f>
        <v/>
      </c>
      <c r="D11" s="34">
        <f>IF(OR($A11="",D$6=""),"",IF($O11=0,"",INDEX('01_予約入力'!$B$5:$B$204,$O11)&amp;" ◀")&amp;IF(AND($O11&gt;0,OR($P11&gt;0,$Q11&gt;0)),"  ","")&amp;IF($P11=0,"",IF(INDEX('01_予約入力'!$E$5:$E$204,$P11)=$A11,"▶ ","")&amp;INDEX('01_予約入力'!$B$5:$B$204,$P11))&amp;IF(AND($P11&gt;0,$Q11&gt;0),"  ","")&amp;IF($Q11=0,"","◆ "&amp;INDEX('01_予約入力'!$B$5:$B$204,$Q11)))</f>
        <v/>
      </c>
      <c r="E11" s="34">
        <f>IF(OR($A11="",E$6=""),"",IF($R11=0,"",INDEX('01_予約入力'!$B$5:$B$204,$R11)&amp;" ◀")&amp;IF(AND($R11&gt;0,OR($S11&gt;0,$T11&gt;0)),"  ","")&amp;IF($S11=0,"",IF(INDEX('01_予約入力'!$E$5:$E$204,$S11)=$A11,"▶ ","")&amp;INDEX('01_予約入力'!$B$5:$B$204,$S11))&amp;IF(AND($S11&gt;0,$T11&gt;0),"  ","")&amp;IF($T11=0,"","◆ "&amp;INDEX('01_予約入力'!$B$5:$B$204,$T11)))</f>
        <v/>
      </c>
      <c r="F11" s="34">
        <f>IF(OR($A11="",F$6=""),"",IF($U11=0,"",INDEX('01_予約入力'!$B$5:$B$204,$U11)&amp;" ◀")&amp;IF(AND($U11&gt;0,OR($V11&gt;0,$W11&gt;0)),"  ","")&amp;IF($V11=0,"",IF(INDEX('01_予約入力'!$E$5:$E$204,$V11)=$A11,"▶ ","")&amp;INDEX('01_予約入力'!$B$5:$B$204,$V11))&amp;IF(AND($V11&gt;0,$W11&gt;0),"  ","")&amp;IF($W11=0,"","◆ "&amp;INDEX('01_予約入力'!$B$5:$B$204,$W11)))</f>
        <v/>
      </c>
      <c r="G11" s="31">
        <f>IF($A11="","",SUMPRODUCT(('01_予約入力'!$E$5:$E$204&lt;&gt;"")*('01_予約入力'!$K$5:$K$204&lt;&gt;"キャンセル")*('01_予約入力'!$E$5:$E$204&lt;=$A11)*('01_予約入力'!$G$5:$G$204&gt;$A11)))</f>
        <v/>
      </c>
      <c r="H11" s="31">
        <f>IF($A11="","",'M_施設設定'!$B$6-$G11)</f>
        <v/>
      </c>
      <c r="I11" s="31">
        <f>IF($A11="","",SUMPRODUCT((('01_予約入力'!$K$5:$K$204="仮予約")+('01_予約入力'!$K$5:$K$204="調整中"))*('01_予約入力'!$E$5:$E$204&lt;&gt;"")*('01_予約入力'!$E$5:$E$204&lt;=$A11)*('01_予約入力'!$G$5:$G$204&gt;$A11)))</f>
        <v/>
      </c>
      <c r="J11" s="31">
        <f>IF($A11="","",IF($I11&gt;0,"仮",IF($H11&lt;=0,"×",IF($H11&lt;'M_施設設定'!$B$6,"△","○"))))</f>
        <v/>
      </c>
      <c r="K11" s="31">
        <f>IF($A11="","",SUMPRODUCT(('01_予約入力'!$E$5:$E$204&lt;&gt;"")*('01_予約入力'!$K$5:$K$204&lt;&gt;"キャンセル")*('01_予約入力'!$E$5:$E$204=$A11)*('01_予約入力'!$G$5:$G$204=$A11)))</f>
        <v/>
      </c>
      <c r="L11" s="31">
        <f>IF(OR($A11="",C$6=""),0,SUMPRODUCT(MAX(('01_予約入力'!$D$5:$D$204=C$6)*('01_予約入力'!$K$5:$K$204&lt;&gt;"キャンセル")*('01_予約入力'!$E$5:$E$204&lt;&gt;"")*('01_予約入力'!$G$5:$G$204=$A11)*('01_予約入力'!$E$5:$E$204&lt;$A11)*(ROW('01_予約入力'!$E$5:$E$204)-4))))</f>
        <v/>
      </c>
      <c r="M11" s="31">
        <f>IF(OR($A11="",C$6=""),0,SUMPRODUCT(MAX(('01_予約入力'!$D$5:$D$204=C$6)*('01_予約入力'!$K$5:$K$204&lt;&gt;"キャンセル")*('01_予約入力'!$E$5:$E$204&lt;&gt;"")*('01_予約入力'!$E$5:$E$204&lt;=$A11)*('01_予約入力'!$G$5:$G$204&gt;$A11)*(ROW('01_予約入力'!$E$5:$E$204)-4))))</f>
        <v/>
      </c>
      <c r="N11" s="31">
        <f>IF(OR($A11="",C$6=""),0,SUMPRODUCT(MAX(('01_予約入力'!$D$5:$D$204=C$6)*('01_予約入力'!$K$5:$K$204&lt;&gt;"キャンセル")*('01_予約入力'!$E$5:$E$204&lt;&gt;"")*('01_予約入力'!$E$5:$E$204=$A11)*('01_予約入力'!$G$5:$G$204=$A11)*(ROW('01_予約入力'!$E$5:$E$204)-4))))</f>
        <v/>
      </c>
      <c r="O11" s="31">
        <f>IF(OR($A11="",D$6=""),0,SUMPRODUCT(MAX(('01_予約入力'!$D$5:$D$204=D$6)*('01_予約入力'!$K$5:$K$204&lt;&gt;"キャンセル")*('01_予約入力'!$E$5:$E$204&lt;&gt;"")*('01_予約入力'!$G$5:$G$204=$A11)*('01_予約入力'!$E$5:$E$204&lt;$A11)*(ROW('01_予約入力'!$E$5:$E$204)-4))))</f>
        <v/>
      </c>
      <c r="P11" s="31">
        <f>IF(OR($A11="",D$6=""),0,SUMPRODUCT(MAX(('01_予約入力'!$D$5:$D$204=D$6)*('01_予約入力'!$K$5:$K$204&lt;&gt;"キャンセル")*('01_予約入力'!$E$5:$E$204&lt;&gt;"")*('01_予約入力'!$E$5:$E$204&lt;=$A11)*('01_予約入力'!$G$5:$G$204&gt;$A11)*(ROW('01_予約入力'!$E$5:$E$204)-4))))</f>
        <v/>
      </c>
      <c r="Q11" s="31">
        <f>IF(OR($A11="",D$6=""),0,SUMPRODUCT(MAX(('01_予約入力'!$D$5:$D$204=D$6)*('01_予約入力'!$K$5:$K$204&lt;&gt;"キャンセル")*('01_予約入力'!$E$5:$E$204&lt;&gt;"")*('01_予約入力'!$E$5:$E$204=$A11)*('01_予約入力'!$G$5:$G$204=$A11)*(ROW('01_予約入力'!$E$5:$E$204)-4))))</f>
        <v/>
      </c>
      <c r="R11" s="31">
        <f>IF(OR($A11="",E$6=""),0,SUMPRODUCT(MAX(('01_予約入力'!$D$5:$D$204=E$6)*('01_予約入力'!$K$5:$K$204&lt;&gt;"キャンセル")*('01_予約入力'!$E$5:$E$204&lt;&gt;"")*('01_予約入力'!$G$5:$G$204=$A11)*('01_予約入力'!$E$5:$E$204&lt;$A11)*(ROW('01_予約入力'!$E$5:$E$204)-4))))</f>
        <v/>
      </c>
      <c r="S11" s="31">
        <f>IF(OR($A11="",E$6=""),0,SUMPRODUCT(MAX(('01_予約入力'!$D$5:$D$204=E$6)*('01_予約入力'!$K$5:$K$204&lt;&gt;"キャンセル")*('01_予約入力'!$E$5:$E$204&lt;&gt;"")*('01_予約入力'!$E$5:$E$204&lt;=$A11)*('01_予約入力'!$G$5:$G$204&gt;$A11)*(ROW('01_予約入力'!$E$5:$E$204)-4))))</f>
        <v/>
      </c>
      <c r="T11" s="31">
        <f>IF(OR($A11="",E$6=""),0,SUMPRODUCT(MAX(('01_予約入力'!$D$5:$D$204=E$6)*('01_予約入力'!$K$5:$K$204&lt;&gt;"キャンセル")*('01_予約入力'!$E$5:$E$204&lt;&gt;"")*('01_予約入力'!$E$5:$E$204=$A11)*('01_予約入力'!$G$5:$G$204=$A11)*(ROW('01_予約入力'!$E$5:$E$204)-4))))</f>
        <v/>
      </c>
      <c r="U11" s="31">
        <f>IF(OR($A11="",F$6=""),0,SUMPRODUCT(MAX(('01_予約入力'!$D$5:$D$204=F$6)*('01_予約入力'!$K$5:$K$204&lt;&gt;"キャンセル")*('01_予約入力'!$E$5:$E$204&lt;&gt;"")*('01_予約入力'!$G$5:$G$204=$A11)*('01_予約入力'!$E$5:$E$204&lt;$A11)*(ROW('01_予約入力'!$E$5:$E$204)-4))))</f>
        <v/>
      </c>
      <c r="V11" s="31">
        <f>IF(OR($A11="",F$6=""),0,SUMPRODUCT(MAX(('01_予約入力'!$D$5:$D$204=F$6)*('01_予約入力'!$K$5:$K$204&lt;&gt;"キャンセル")*('01_予約入力'!$E$5:$E$204&lt;&gt;"")*('01_予約入力'!$E$5:$E$204&lt;=$A11)*('01_予約入力'!$G$5:$G$204&gt;$A11)*(ROW('01_予約入力'!$E$5:$E$204)-4))))</f>
        <v/>
      </c>
      <c r="W11" s="31">
        <f>IF(OR($A11="",F$6=""),0,SUMPRODUCT(MAX(('01_予約入力'!$D$5:$D$204=F$6)*('01_予約入力'!$K$5:$K$204&lt;&gt;"キャンセル")*('01_予約入力'!$E$5:$E$204&lt;&gt;"")*('01_予約入力'!$E$5:$E$204=$A11)*('01_予約入力'!$G$5:$G$204=$A11)*(ROW('01_予約入力'!$E$5:$E$204)-4))))</f>
        <v/>
      </c>
      <c r="X11" s="31">
        <f>IF($A11="","",IF($M11&gt;0,IF(OR(INDEX('01_予約入力'!$K$5:$K$204,$M11)="仮予約",INDEX('01_予約入力'!$K$5:$K$204,$M11)="調整中"),"仮",INDEX('01_予約入力'!$C$5:$C$204,$M11)),IF($N11&gt;0,IF(OR(INDEX('01_予約入力'!$K$5:$K$204,$N11)="仮予約",INDEX('01_予約入力'!$K$5:$K$204,$N11)="調整中"),"仮",INDEX('01_予約入力'!$C$5:$C$204,$N11)),IF($L11&gt;0,IF(OR(INDEX('01_予約入力'!$K$5:$K$204,$L11)="仮予約",INDEX('01_予約入力'!$K$5:$K$204,$L11)="調整中"),"仮",INDEX('01_予約入力'!$C$5:$C$204,$L11)),""))))</f>
        <v/>
      </c>
      <c r="Y11" s="31">
        <f>IF($A11="","",IF($P11&gt;0,IF(OR(INDEX('01_予約入力'!$K$5:$K$204,$P11)="仮予約",INDEX('01_予約入力'!$K$5:$K$204,$P11)="調整中"),"仮",INDEX('01_予約入力'!$C$5:$C$204,$P11)),IF($Q11&gt;0,IF(OR(INDEX('01_予約入力'!$K$5:$K$204,$Q11)="仮予約",INDEX('01_予約入力'!$K$5:$K$204,$Q11)="調整中"),"仮",INDEX('01_予約入力'!$C$5:$C$204,$Q11)),IF($O11&gt;0,IF(OR(INDEX('01_予約入力'!$K$5:$K$204,$O11)="仮予約",INDEX('01_予約入力'!$K$5:$K$204,$O11)="調整中"),"仮",INDEX('01_予約入力'!$C$5:$C$204,$O11)),""))))</f>
        <v/>
      </c>
      <c r="Z11" s="31">
        <f>IF($A11="","",IF($S11&gt;0,IF(OR(INDEX('01_予約入力'!$K$5:$K$204,$S11)="仮予約",INDEX('01_予約入力'!$K$5:$K$204,$S11)="調整中"),"仮",INDEX('01_予約入力'!$C$5:$C$204,$S11)),IF($T11&gt;0,IF(OR(INDEX('01_予約入力'!$K$5:$K$204,$T11)="仮予約",INDEX('01_予約入力'!$K$5:$K$204,$T11)="調整中"),"仮",INDEX('01_予約入力'!$C$5:$C$204,$T11)),IF($R11&gt;0,IF(OR(INDEX('01_予約入力'!$K$5:$K$204,$R11)="仮予約",INDEX('01_予約入力'!$K$5:$K$204,$R11)="調整中"),"仮",INDEX('01_予約入力'!$C$5:$C$204,$R11)),""))))</f>
        <v/>
      </c>
      <c r="AA11" s="31">
        <f>IF($A11="","",IF($V11&gt;0,IF(OR(INDEX('01_予約入力'!$K$5:$K$204,$V11)="仮予約",INDEX('01_予約入力'!$K$5:$K$204,$V11)="調整中"),"仮",INDEX('01_予約入力'!$C$5:$C$204,$V11)),IF($W11&gt;0,IF(OR(INDEX('01_予約入力'!$K$5:$K$204,$W11)="仮予約",INDEX('01_予約入力'!$K$5:$K$204,$W11)="調整中"),"仮",INDEX('01_予約入力'!$C$5:$C$204,$W11)),IF($U11&gt;0,IF(OR(INDEX('01_予約入力'!$K$5:$K$204,$U11)="仮予約",INDEX('01_予約入力'!$K$5:$K$204,$U11)="調整中"),"仮",INDEX('01_予約入力'!$C$5:$C$204,$U11)),""))))</f>
        <v/>
      </c>
    </row>
    <row r="12">
      <c r="A12" s="33">
        <f>IF(MONTH('02_カレンダー'!$B$4+5)&lt;&gt;MONTH('02_カレンダー'!$B$4),"",'02_カレンダー'!$B$4+5)</f>
        <v/>
      </c>
      <c r="B12" s="31">
        <f>IF($A12="","",MID("日月火水木金土",WEEKDAY($A12),1))</f>
        <v/>
      </c>
      <c r="C12" s="34">
        <f>IF(OR($A12="",C$6=""),"",IF($L12=0,"",INDEX('01_予約入力'!$B$5:$B$204,$L12)&amp;" ◀")&amp;IF(AND($L12&gt;0,OR($M12&gt;0,$N12&gt;0)),"  ","")&amp;IF($M12=0,"",IF(INDEX('01_予約入力'!$E$5:$E$204,$M12)=$A12,"▶ ","")&amp;INDEX('01_予約入力'!$B$5:$B$204,$M12))&amp;IF(AND($M12&gt;0,$N12&gt;0),"  ","")&amp;IF($N12=0,"","◆ "&amp;INDEX('01_予約入力'!$B$5:$B$204,$N12)))</f>
        <v/>
      </c>
      <c r="D12" s="34">
        <f>IF(OR($A12="",D$6=""),"",IF($O12=0,"",INDEX('01_予約入力'!$B$5:$B$204,$O12)&amp;" ◀")&amp;IF(AND($O12&gt;0,OR($P12&gt;0,$Q12&gt;0)),"  ","")&amp;IF($P12=0,"",IF(INDEX('01_予約入力'!$E$5:$E$204,$P12)=$A12,"▶ ","")&amp;INDEX('01_予約入力'!$B$5:$B$204,$P12))&amp;IF(AND($P12&gt;0,$Q12&gt;0),"  ","")&amp;IF($Q12=0,"","◆ "&amp;INDEX('01_予約入力'!$B$5:$B$204,$Q12)))</f>
        <v/>
      </c>
      <c r="E12" s="34">
        <f>IF(OR($A12="",E$6=""),"",IF($R12=0,"",INDEX('01_予約入力'!$B$5:$B$204,$R12)&amp;" ◀")&amp;IF(AND($R12&gt;0,OR($S12&gt;0,$T12&gt;0)),"  ","")&amp;IF($S12=0,"",IF(INDEX('01_予約入力'!$E$5:$E$204,$S12)=$A12,"▶ ","")&amp;INDEX('01_予約入力'!$B$5:$B$204,$S12))&amp;IF(AND($S12&gt;0,$T12&gt;0),"  ","")&amp;IF($T12=0,"","◆ "&amp;INDEX('01_予約入力'!$B$5:$B$204,$T12)))</f>
        <v/>
      </c>
      <c r="F12" s="34">
        <f>IF(OR($A12="",F$6=""),"",IF($U12=0,"",INDEX('01_予約入力'!$B$5:$B$204,$U12)&amp;" ◀")&amp;IF(AND($U12&gt;0,OR($V12&gt;0,$W12&gt;0)),"  ","")&amp;IF($V12=0,"",IF(INDEX('01_予約入力'!$E$5:$E$204,$V12)=$A12,"▶ ","")&amp;INDEX('01_予約入力'!$B$5:$B$204,$V12))&amp;IF(AND($V12&gt;0,$W12&gt;0),"  ","")&amp;IF($W12=0,"","◆ "&amp;INDEX('01_予約入力'!$B$5:$B$204,$W12)))</f>
        <v/>
      </c>
      <c r="G12" s="31">
        <f>IF($A12="","",SUMPRODUCT(('01_予約入力'!$E$5:$E$204&lt;&gt;"")*('01_予約入力'!$K$5:$K$204&lt;&gt;"キャンセル")*('01_予約入力'!$E$5:$E$204&lt;=$A12)*('01_予約入力'!$G$5:$G$204&gt;$A12)))</f>
        <v/>
      </c>
      <c r="H12" s="31">
        <f>IF($A12="","",'M_施設設定'!$B$6-$G12)</f>
        <v/>
      </c>
      <c r="I12" s="31">
        <f>IF($A12="","",SUMPRODUCT((('01_予約入力'!$K$5:$K$204="仮予約")+('01_予約入力'!$K$5:$K$204="調整中"))*('01_予約入力'!$E$5:$E$204&lt;&gt;"")*('01_予約入力'!$E$5:$E$204&lt;=$A12)*('01_予約入力'!$G$5:$G$204&gt;$A12)))</f>
        <v/>
      </c>
      <c r="J12" s="31">
        <f>IF($A12="","",IF($I12&gt;0,"仮",IF($H12&lt;=0,"×",IF($H12&lt;'M_施設設定'!$B$6,"△","○"))))</f>
        <v/>
      </c>
      <c r="K12" s="31">
        <f>IF($A12="","",SUMPRODUCT(('01_予約入力'!$E$5:$E$204&lt;&gt;"")*('01_予約入力'!$K$5:$K$204&lt;&gt;"キャンセル")*('01_予約入力'!$E$5:$E$204=$A12)*('01_予約入力'!$G$5:$G$204=$A12)))</f>
        <v/>
      </c>
      <c r="L12" s="31">
        <f>IF(OR($A12="",C$6=""),0,SUMPRODUCT(MAX(('01_予約入力'!$D$5:$D$204=C$6)*('01_予約入力'!$K$5:$K$204&lt;&gt;"キャンセル")*('01_予約入力'!$E$5:$E$204&lt;&gt;"")*('01_予約入力'!$G$5:$G$204=$A12)*('01_予約入力'!$E$5:$E$204&lt;$A12)*(ROW('01_予約入力'!$E$5:$E$204)-4))))</f>
        <v/>
      </c>
      <c r="M12" s="31">
        <f>IF(OR($A12="",C$6=""),0,SUMPRODUCT(MAX(('01_予約入力'!$D$5:$D$204=C$6)*('01_予約入力'!$K$5:$K$204&lt;&gt;"キャンセル")*('01_予約入力'!$E$5:$E$204&lt;&gt;"")*('01_予約入力'!$E$5:$E$204&lt;=$A12)*('01_予約入力'!$G$5:$G$204&gt;$A12)*(ROW('01_予約入力'!$E$5:$E$204)-4))))</f>
        <v/>
      </c>
      <c r="N12" s="31">
        <f>IF(OR($A12="",C$6=""),0,SUMPRODUCT(MAX(('01_予約入力'!$D$5:$D$204=C$6)*('01_予約入力'!$K$5:$K$204&lt;&gt;"キャンセル")*('01_予約入力'!$E$5:$E$204&lt;&gt;"")*('01_予約入力'!$E$5:$E$204=$A12)*('01_予約入力'!$G$5:$G$204=$A12)*(ROW('01_予約入力'!$E$5:$E$204)-4))))</f>
        <v/>
      </c>
      <c r="O12" s="31">
        <f>IF(OR($A12="",D$6=""),0,SUMPRODUCT(MAX(('01_予約入力'!$D$5:$D$204=D$6)*('01_予約入力'!$K$5:$K$204&lt;&gt;"キャンセル")*('01_予約入力'!$E$5:$E$204&lt;&gt;"")*('01_予約入力'!$G$5:$G$204=$A12)*('01_予約入力'!$E$5:$E$204&lt;$A12)*(ROW('01_予約入力'!$E$5:$E$204)-4))))</f>
        <v/>
      </c>
      <c r="P12" s="31">
        <f>IF(OR($A12="",D$6=""),0,SUMPRODUCT(MAX(('01_予約入力'!$D$5:$D$204=D$6)*('01_予約入力'!$K$5:$K$204&lt;&gt;"キャンセル")*('01_予約入力'!$E$5:$E$204&lt;&gt;"")*('01_予約入力'!$E$5:$E$204&lt;=$A12)*('01_予約入力'!$G$5:$G$204&gt;$A12)*(ROW('01_予約入力'!$E$5:$E$204)-4))))</f>
        <v/>
      </c>
      <c r="Q12" s="31">
        <f>IF(OR($A12="",D$6=""),0,SUMPRODUCT(MAX(('01_予約入力'!$D$5:$D$204=D$6)*('01_予約入力'!$K$5:$K$204&lt;&gt;"キャンセル")*('01_予約入力'!$E$5:$E$204&lt;&gt;"")*('01_予約入力'!$E$5:$E$204=$A12)*('01_予約入力'!$G$5:$G$204=$A12)*(ROW('01_予約入力'!$E$5:$E$204)-4))))</f>
        <v/>
      </c>
      <c r="R12" s="31">
        <f>IF(OR($A12="",E$6=""),0,SUMPRODUCT(MAX(('01_予約入力'!$D$5:$D$204=E$6)*('01_予約入力'!$K$5:$K$204&lt;&gt;"キャンセル")*('01_予約入力'!$E$5:$E$204&lt;&gt;"")*('01_予約入力'!$G$5:$G$204=$A12)*('01_予約入力'!$E$5:$E$204&lt;$A12)*(ROW('01_予約入力'!$E$5:$E$204)-4))))</f>
        <v/>
      </c>
      <c r="S12" s="31">
        <f>IF(OR($A12="",E$6=""),0,SUMPRODUCT(MAX(('01_予約入力'!$D$5:$D$204=E$6)*('01_予約入力'!$K$5:$K$204&lt;&gt;"キャンセル")*('01_予約入力'!$E$5:$E$204&lt;&gt;"")*('01_予約入力'!$E$5:$E$204&lt;=$A12)*('01_予約入力'!$G$5:$G$204&gt;$A12)*(ROW('01_予約入力'!$E$5:$E$204)-4))))</f>
        <v/>
      </c>
      <c r="T12" s="31">
        <f>IF(OR($A12="",E$6=""),0,SUMPRODUCT(MAX(('01_予約入力'!$D$5:$D$204=E$6)*('01_予約入力'!$K$5:$K$204&lt;&gt;"キャンセル")*('01_予約入力'!$E$5:$E$204&lt;&gt;"")*('01_予約入力'!$E$5:$E$204=$A12)*('01_予約入力'!$G$5:$G$204=$A12)*(ROW('01_予約入力'!$E$5:$E$204)-4))))</f>
        <v/>
      </c>
      <c r="U12" s="31">
        <f>IF(OR($A12="",F$6=""),0,SUMPRODUCT(MAX(('01_予約入力'!$D$5:$D$204=F$6)*('01_予約入力'!$K$5:$K$204&lt;&gt;"キャンセル")*('01_予約入力'!$E$5:$E$204&lt;&gt;"")*('01_予約入力'!$G$5:$G$204=$A12)*('01_予約入力'!$E$5:$E$204&lt;$A12)*(ROW('01_予約入力'!$E$5:$E$204)-4))))</f>
        <v/>
      </c>
      <c r="V12" s="31">
        <f>IF(OR($A12="",F$6=""),0,SUMPRODUCT(MAX(('01_予約入力'!$D$5:$D$204=F$6)*('01_予約入力'!$K$5:$K$204&lt;&gt;"キャンセル")*('01_予約入力'!$E$5:$E$204&lt;&gt;"")*('01_予約入力'!$E$5:$E$204&lt;=$A12)*('01_予約入力'!$G$5:$G$204&gt;$A12)*(ROW('01_予約入力'!$E$5:$E$204)-4))))</f>
        <v/>
      </c>
      <c r="W12" s="31">
        <f>IF(OR($A12="",F$6=""),0,SUMPRODUCT(MAX(('01_予約入力'!$D$5:$D$204=F$6)*('01_予約入力'!$K$5:$K$204&lt;&gt;"キャンセル")*('01_予約入力'!$E$5:$E$204&lt;&gt;"")*('01_予約入力'!$E$5:$E$204=$A12)*('01_予約入力'!$G$5:$G$204=$A12)*(ROW('01_予約入力'!$E$5:$E$204)-4))))</f>
        <v/>
      </c>
      <c r="X12" s="31">
        <f>IF($A12="","",IF($M12&gt;0,IF(OR(INDEX('01_予約入力'!$K$5:$K$204,$M12)="仮予約",INDEX('01_予約入力'!$K$5:$K$204,$M12)="調整中"),"仮",INDEX('01_予約入力'!$C$5:$C$204,$M12)),IF($N12&gt;0,IF(OR(INDEX('01_予約入力'!$K$5:$K$204,$N12)="仮予約",INDEX('01_予約入力'!$K$5:$K$204,$N12)="調整中"),"仮",INDEX('01_予約入力'!$C$5:$C$204,$N12)),IF($L12&gt;0,IF(OR(INDEX('01_予約入力'!$K$5:$K$204,$L12)="仮予約",INDEX('01_予約入力'!$K$5:$K$204,$L12)="調整中"),"仮",INDEX('01_予約入力'!$C$5:$C$204,$L12)),""))))</f>
        <v/>
      </c>
      <c r="Y12" s="31">
        <f>IF($A12="","",IF($P12&gt;0,IF(OR(INDEX('01_予約入力'!$K$5:$K$204,$P12)="仮予約",INDEX('01_予約入力'!$K$5:$K$204,$P12)="調整中"),"仮",INDEX('01_予約入力'!$C$5:$C$204,$P12)),IF($Q12&gt;0,IF(OR(INDEX('01_予約入力'!$K$5:$K$204,$Q12)="仮予約",INDEX('01_予約入力'!$K$5:$K$204,$Q12)="調整中"),"仮",INDEX('01_予約入力'!$C$5:$C$204,$Q12)),IF($O12&gt;0,IF(OR(INDEX('01_予約入力'!$K$5:$K$204,$O12)="仮予約",INDEX('01_予約入力'!$K$5:$K$204,$O12)="調整中"),"仮",INDEX('01_予約入力'!$C$5:$C$204,$O12)),""))))</f>
        <v/>
      </c>
      <c r="Z12" s="31">
        <f>IF($A12="","",IF($S12&gt;0,IF(OR(INDEX('01_予約入力'!$K$5:$K$204,$S12)="仮予約",INDEX('01_予約入力'!$K$5:$K$204,$S12)="調整中"),"仮",INDEX('01_予約入力'!$C$5:$C$204,$S12)),IF($T12&gt;0,IF(OR(INDEX('01_予約入力'!$K$5:$K$204,$T12)="仮予約",INDEX('01_予約入力'!$K$5:$K$204,$T12)="調整中"),"仮",INDEX('01_予約入力'!$C$5:$C$204,$T12)),IF($R12&gt;0,IF(OR(INDEX('01_予約入力'!$K$5:$K$204,$R12)="仮予約",INDEX('01_予約入力'!$K$5:$K$204,$R12)="調整中"),"仮",INDEX('01_予約入力'!$C$5:$C$204,$R12)),""))))</f>
        <v/>
      </c>
      <c r="AA12" s="31">
        <f>IF($A12="","",IF($V12&gt;0,IF(OR(INDEX('01_予約入力'!$K$5:$K$204,$V12)="仮予約",INDEX('01_予約入力'!$K$5:$K$204,$V12)="調整中"),"仮",INDEX('01_予約入力'!$C$5:$C$204,$V12)),IF($W12&gt;0,IF(OR(INDEX('01_予約入力'!$K$5:$K$204,$W12)="仮予約",INDEX('01_予約入力'!$K$5:$K$204,$W12)="調整中"),"仮",INDEX('01_予約入力'!$C$5:$C$204,$W12)),IF($U12&gt;0,IF(OR(INDEX('01_予約入力'!$K$5:$K$204,$U12)="仮予約",INDEX('01_予約入力'!$K$5:$K$204,$U12)="調整中"),"仮",INDEX('01_予約入力'!$C$5:$C$204,$U12)),""))))</f>
        <v/>
      </c>
    </row>
    <row r="13">
      <c r="A13" s="33">
        <f>IF(MONTH('02_カレンダー'!$B$4+6)&lt;&gt;MONTH('02_カレンダー'!$B$4),"",'02_カレンダー'!$B$4+6)</f>
        <v/>
      </c>
      <c r="B13" s="31">
        <f>IF($A13="","",MID("日月火水木金土",WEEKDAY($A13),1))</f>
        <v/>
      </c>
      <c r="C13" s="34">
        <f>IF(OR($A13="",C$6=""),"",IF($L13=0,"",INDEX('01_予約入力'!$B$5:$B$204,$L13)&amp;" ◀")&amp;IF(AND($L13&gt;0,OR($M13&gt;0,$N13&gt;0)),"  ","")&amp;IF($M13=0,"",IF(INDEX('01_予約入力'!$E$5:$E$204,$M13)=$A13,"▶ ","")&amp;INDEX('01_予約入力'!$B$5:$B$204,$M13))&amp;IF(AND($M13&gt;0,$N13&gt;0),"  ","")&amp;IF($N13=0,"","◆ "&amp;INDEX('01_予約入力'!$B$5:$B$204,$N13)))</f>
        <v/>
      </c>
      <c r="D13" s="34">
        <f>IF(OR($A13="",D$6=""),"",IF($O13=0,"",INDEX('01_予約入力'!$B$5:$B$204,$O13)&amp;" ◀")&amp;IF(AND($O13&gt;0,OR($P13&gt;0,$Q13&gt;0)),"  ","")&amp;IF($P13=0,"",IF(INDEX('01_予約入力'!$E$5:$E$204,$P13)=$A13,"▶ ","")&amp;INDEX('01_予約入力'!$B$5:$B$204,$P13))&amp;IF(AND($P13&gt;0,$Q13&gt;0),"  ","")&amp;IF($Q13=0,"","◆ "&amp;INDEX('01_予約入力'!$B$5:$B$204,$Q13)))</f>
        <v/>
      </c>
      <c r="E13" s="34">
        <f>IF(OR($A13="",E$6=""),"",IF($R13=0,"",INDEX('01_予約入力'!$B$5:$B$204,$R13)&amp;" ◀")&amp;IF(AND($R13&gt;0,OR($S13&gt;0,$T13&gt;0)),"  ","")&amp;IF($S13=0,"",IF(INDEX('01_予約入力'!$E$5:$E$204,$S13)=$A13,"▶ ","")&amp;INDEX('01_予約入力'!$B$5:$B$204,$S13))&amp;IF(AND($S13&gt;0,$T13&gt;0),"  ","")&amp;IF($T13=0,"","◆ "&amp;INDEX('01_予約入力'!$B$5:$B$204,$T13)))</f>
        <v/>
      </c>
      <c r="F13" s="34">
        <f>IF(OR($A13="",F$6=""),"",IF($U13=0,"",INDEX('01_予約入力'!$B$5:$B$204,$U13)&amp;" ◀")&amp;IF(AND($U13&gt;0,OR($V13&gt;0,$W13&gt;0)),"  ","")&amp;IF($V13=0,"",IF(INDEX('01_予約入力'!$E$5:$E$204,$V13)=$A13,"▶ ","")&amp;INDEX('01_予約入力'!$B$5:$B$204,$V13))&amp;IF(AND($V13&gt;0,$W13&gt;0),"  ","")&amp;IF($W13=0,"","◆ "&amp;INDEX('01_予約入力'!$B$5:$B$204,$W13)))</f>
        <v/>
      </c>
      <c r="G13" s="31">
        <f>IF($A13="","",SUMPRODUCT(('01_予約入力'!$E$5:$E$204&lt;&gt;"")*('01_予約入力'!$K$5:$K$204&lt;&gt;"キャンセル")*('01_予約入力'!$E$5:$E$204&lt;=$A13)*('01_予約入力'!$G$5:$G$204&gt;$A13)))</f>
        <v/>
      </c>
      <c r="H13" s="31">
        <f>IF($A13="","",'M_施設設定'!$B$6-$G13)</f>
        <v/>
      </c>
      <c r="I13" s="31">
        <f>IF($A13="","",SUMPRODUCT((('01_予約入力'!$K$5:$K$204="仮予約")+('01_予約入力'!$K$5:$K$204="調整中"))*('01_予約入力'!$E$5:$E$204&lt;&gt;"")*('01_予約入力'!$E$5:$E$204&lt;=$A13)*('01_予約入力'!$G$5:$G$204&gt;$A13)))</f>
        <v/>
      </c>
      <c r="J13" s="31">
        <f>IF($A13="","",IF($I13&gt;0,"仮",IF($H13&lt;=0,"×",IF($H13&lt;'M_施設設定'!$B$6,"△","○"))))</f>
        <v/>
      </c>
      <c r="K13" s="31">
        <f>IF($A13="","",SUMPRODUCT(('01_予約入力'!$E$5:$E$204&lt;&gt;"")*('01_予約入力'!$K$5:$K$204&lt;&gt;"キャンセル")*('01_予約入力'!$E$5:$E$204=$A13)*('01_予約入力'!$G$5:$G$204=$A13)))</f>
        <v/>
      </c>
      <c r="L13" s="31">
        <f>IF(OR($A13="",C$6=""),0,SUMPRODUCT(MAX(('01_予約入力'!$D$5:$D$204=C$6)*('01_予約入力'!$K$5:$K$204&lt;&gt;"キャンセル")*('01_予約入力'!$E$5:$E$204&lt;&gt;"")*('01_予約入力'!$G$5:$G$204=$A13)*('01_予約入力'!$E$5:$E$204&lt;$A13)*(ROW('01_予約入力'!$E$5:$E$204)-4))))</f>
        <v/>
      </c>
      <c r="M13" s="31">
        <f>IF(OR($A13="",C$6=""),0,SUMPRODUCT(MAX(('01_予約入力'!$D$5:$D$204=C$6)*('01_予約入力'!$K$5:$K$204&lt;&gt;"キャンセル")*('01_予約入力'!$E$5:$E$204&lt;&gt;"")*('01_予約入力'!$E$5:$E$204&lt;=$A13)*('01_予約入力'!$G$5:$G$204&gt;$A13)*(ROW('01_予約入力'!$E$5:$E$204)-4))))</f>
        <v/>
      </c>
      <c r="N13" s="31">
        <f>IF(OR($A13="",C$6=""),0,SUMPRODUCT(MAX(('01_予約入力'!$D$5:$D$204=C$6)*('01_予約入力'!$K$5:$K$204&lt;&gt;"キャンセル")*('01_予約入力'!$E$5:$E$204&lt;&gt;"")*('01_予約入力'!$E$5:$E$204=$A13)*('01_予約入力'!$G$5:$G$204=$A13)*(ROW('01_予約入力'!$E$5:$E$204)-4))))</f>
        <v/>
      </c>
      <c r="O13" s="31">
        <f>IF(OR($A13="",D$6=""),0,SUMPRODUCT(MAX(('01_予約入力'!$D$5:$D$204=D$6)*('01_予約入力'!$K$5:$K$204&lt;&gt;"キャンセル")*('01_予約入力'!$E$5:$E$204&lt;&gt;"")*('01_予約入力'!$G$5:$G$204=$A13)*('01_予約入力'!$E$5:$E$204&lt;$A13)*(ROW('01_予約入力'!$E$5:$E$204)-4))))</f>
        <v/>
      </c>
      <c r="P13" s="31">
        <f>IF(OR($A13="",D$6=""),0,SUMPRODUCT(MAX(('01_予約入力'!$D$5:$D$204=D$6)*('01_予約入力'!$K$5:$K$204&lt;&gt;"キャンセル")*('01_予約入力'!$E$5:$E$204&lt;&gt;"")*('01_予約入力'!$E$5:$E$204&lt;=$A13)*('01_予約入力'!$G$5:$G$204&gt;$A13)*(ROW('01_予約入力'!$E$5:$E$204)-4))))</f>
        <v/>
      </c>
      <c r="Q13" s="31">
        <f>IF(OR($A13="",D$6=""),0,SUMPRODUCT(MAX(('01_予約入力'!$D$5:$D$204=D$6)*('01_予約入力'!$K$5:$K$204&lt;&gt;"キャンセル")*('01_予約入力'!$E$5:$E$204&lt;&gt;"")*('01_予約入力'!$E$5:$E$204=$A13)*('01_予約入力'!$G$5:$G$204=$A13)*(ROW('01_予約入力'!$E$5:$E$204)-4))))</f>
        <v/>
      </c>
      <c r="R13" s="31">
        <f>IF(OR($A13="",E$6=""),0,SUMPRODUCT(MAX(('01_予約入力'!$D$5:$D$204=E$6)*('01_予約入力'!$K$5:$K$204&lt;&gt;"キャンセル")*('01_予約入力'!$E$5:$E$204&lt;&gt;"")*('01_予約入力'!$G$5:$G$204=$A13)*('01_予約入力'!$E$5:$E$204&lt;$A13)*(ROW('01_予約入力'!$E$5:$E$204)-4))))</f>
        <v/>
      </c>
      <c r="S13" s="31">
        <f>IF(OR($A13="",E$6=""),0,SUMPRODUCT(MAX(('01_予約入力'!$D$5:$D$204=E$6)*('01_予約入力'!$K$5:$K$204&lt;&gt;"キャンセル")*('01_予約入力'!$E$5:$E$204&lt;&gt;"")*('01_予約入力'!$E$5:$E$204&lt;=$A13)*('01_予約入力'!$G$5:$G$204&gt;$A13)*(ROW('01_予約入力'!$E$5:$E$204)-4))))</f>
        <v/>
      </c>
      <c r="T13" s="31">
        <f>IF(OR($A13="",E$6=""),0,SUMPRODUCT(MAX(('01_予約入力'!$D$5:$D$204=E$6)*('01_予約入力'!$K$5:$K$204&lt;&gt;"キャンセル")*('01_予約入力'!$E$5:$E$204&lt;&gt;"")*('01_予約入力'!$E$5:$E$204=$A13)*('01_予約入力'!$G$5:$G$204=$A13)*(ROW('01_予約入力'!$E$5:$E$204)-4))))</f>
        <v/>
      </c>
      <c r="U13" s="31">
        <f>IF(OR($A13="",F$6=""),0,SUMPRODUCT(MAX(('01_予約入力'!$D$5:$D$204=F$6)*('01_予約入力'!$K$5:$K$204&lt;&gt;"キャンセル")*('01_予約入力'!$E$5:$E$204&lt;&gt;"")*('01_予約入力'!$G$5:$G$204=$A13)*('01_予約入力'!$E$5:$E$204&lt;$A13)*(ROW('01_予約入力'!$E$5:$E$204)-4))))</f>
        <v/>
      </c>
      <c r="V13" s="31">
        <f>IF(OR($A13="",F$6=""),0,SUMPRODUCT(MAX(('01_予約入力'!$D$5:$D$204=F$6)*('01_予約入力'!$K$5:$K$204&lt;&gt;"キャンセル")*('01_予約入力'!$E$5:$E$204&lt;&gt;"")*('01_予約入力'!$E$5:$E$204&lt;=$A13)*('01_予約入力'!$G$5:$G$204&gt;$A13)*(ROW('01_予約入力'!$E$5:$E$204)-4))))</f>
        <v/>
      </c>
      <c r="W13" s="31">
        <f>IF(OR($A13="",F$6=""),0,SUMPRODUCT(MAX(('01_予約入力'!$D$5:$D$204=F$6)*('01_予約入力'!$K$5:$K$204&lt;&gt;"キャンセル")*('01_予約入力'!$E$5:$E$204&lt;&gt;"")*('01_予約入力'!$E$5:$E$204=$A13)*('01_予約入力'!$G$5:$G$204=$A13)*(ROW('01_予約入力'!$E$5:$E$204)-4))))</f>
        <v/>
      </c>
      <c r="X13" s="31">
        <f>IF($A13="","",IF($M13&gt;0,IF(OR(INDEX('01_予約入力'!$K$5:$K$204,$M13)="仮予約",INDEX('01_予約入力'!$K$5:$K$204,$M13)="調整中"),"仮",INDEX('01_予約入力'!$C$5:$C$204,$M13)),IF($N13&gt;0,IF(OR(INDEX('01_予約入力'!$K$5:$K$204,$N13)="仮予約",INDEX('01_予約入力'!$K$5:$K$204,$N13)="調整中"),"仮",INDEX('01_予約入力'!$C$5:$C$204,$N13)),IF($L13&gt;0,IF(OR(INDEX('01_予約入力'!$K$5:$K$204,$L13)="仮予約",INDEX('01_予約入力'!$K$5:$K$204,$L13)="調整中"),"仮",INDEX('01_予約入力'!$C$5:$C$204,$L13)),""))))</f>
        <v/>
      </c>
      <c r="Y13" s="31">
        <f>IF($A13="","",IF($P13&gt;0,IF(OR(INDEX('01_予約入力'!$K$5:$K$204,$P13)="仮予約",INDEX('01_予約入力'!$K$5:$K$204,$P13)="調整中"),"仮",INDEX('01_予約入力'!$C$5:$C$204,$P13)),IF($Q13&gt;0,IF(OR(INDEX('01_予約入力'!$K$5:$K$204,$Q13)="仮予約",INDEX('01_予約入力'!$K$5:$K$204,$Q13)="調整中"),"仮",INDEX('01_予約入力'!$C$5:$C$204,$Q13)),IF($O13&gt;0,IF(OR(INDEX('01_予約入力'!$K$5:$K$204,$O13)="仮予約",INDEX('01_予約入力'!$K$5:$K$204,$O13)="調整中"),"仮",INDEX('01_予約入力'!$C$5:$C$204,$O13)),""))))</f>
        <v/>
      </c>
      <c r="Z13" s="31">
        <f>IF($A13="","",IF($S13&gt;0,IF(OR(INDEX('01_予約入力'!$K$5:$K$204,$S13)="仮予約",INDEX('01_予約入力'!$K$5:$K$204,$S13)="調整中"),"仮",INDEX('01_予約入力'!$C$5:$C$204,$S13)),IF($T13&gt;0,IF(OR(INDEX('01_予約入力'!$K$5:$K$204,$T13)="仮予約",INDEX('01_予約入力'!$K$5:$K$204,$T13)="調整中"),"仮",INDEX('01_予約入力'!$C$5:$C$204,$T13)),IF($R13&gt;0,IF(OR(INDEX('01_予約入力'!$K$5:$K$204,$R13)="仮予約",INDEX('01_予約入力'!$K$5:$K$204,$R13)="調整中"),"仮",INDEX('01_予約入力'!$C$5:$C$204,$R13)),""))))</f>
        <v/>
      </c>
      <c r="AA13" s="31">
        <f>IF($A13="","",IF($V13&gt;0,IF(OR(INDEX('01_予約入力'!$K$5:$K$204,$V13)="仮予約",INDEX('01_予約入力'!$K$5:$K$204,$V13)="調整中"),"仮",INDEX('01_予約入力'!$C$5:$C$204,$V13)),IF($W13&gt;0,IF(OR(INDEX('01_予約入力'!$K$5:$K$204,$W13)="仮予約",INDEX('01_予約入力'!$K$5:$K$204,$W13)="調整中"),"仮",INDEX('01_予約入力'!$C$5:$C$204,$W13)),IF($U13&gt;0,IF(OR(INDEX('01_予約入力'!$K$5:$K$204,$U13)="仮予約",INDEX('01_予約入力'!$K$5:$K$204,$U13)="調整中"),"仮",INDEX('01_予約入力'!$C$5:$C$204,$U13)),""))))</f>
        <v/>
      </c>
    </row>
    <row r="14">
      <c r="A14" s="33">
        <f>IF(MONTH('02_カレンダー'!$B$4+7)&lt;&gt;MONTH('02_カレンダー'!$B$4),"",'02_カレンダー'!$B$4+7)</f>
        <v/>
      </c>
      <c r="B14" s="31">
        <f>IF($A14="","",MID("日月火水木金土",WEEKDAY($A14),1))</f>
        <v/>
      </c>
      <c r="C14" s="34">
        <f>IF(OR($A14="",C$6=""),"",IF($L14=0,"",INDEX('01_予約入力'!$B$5:$B$204,$L14)&amp;" ◀")&amp;IF(AND($L14&gt;0,OR($M14&gt;0,$N14&gt;0)),"  ","")&amp;IF($M14=0,"",IF(INDEX('01_予約入力'!$E$5:$E$204,$M14)=$A14,"▶ ","")&amp;INDEX('01_予約入力'!$B$5:$B$204,$M14))&amp;IF(AND($M14&gt;0,$N14&gt;0),"  ","")&amp;IF($N14=0,"","◆ "&amp;INDEX('01_予約入力'!$B$5:$B$204,$N14)))</f>
        <v/>
      </c>
      <c r="D14" s="34">
        <f>IF(OR($A14="",D$6=""),"",IF($O14=0,"",INDEX('01_予約入力'!$B$5:$B$204,$O14)&amp;" ◀")&amp;IF(AND($O14&gt;0,OR($P14&gt;0,$Q14&gt;0)),"  ","")&amp;IF($P14=0,"",IF(INDEX('01_予約入力'!$E$5:$E$204,$P14)=$A14,"▶ ","")&amp;INDEX('01_予約入力'!$B$5:$B$204,$P14))&amp;IF(AND($P14&gt;0,$Q14&gt;0),"  ","")&amp;IF($Q14=0,"","◆ "&amp;INDEX('01_予約入力'!$B$5:$B$204,$Q14)))</f>
        <v/>
      </c>
      <c r="E14" s="34">
        <f>IF(OR($A14="",E$6=""),"",IF($R14=0,"",INDEX('01_予約入力'!$B$5:$B$204,$R14)&amp;" ◀")&amp;IF(AND($R14&gt;0,OR($S14&gt;0,$T14&gt;0)),"  ","")&amp;IF($S14=0,"",IF(INDEX('01_予約入力'!$E$5:$E$204,$S14)=$A14,"▶ ","")&amp;INDEX('01_予約入力'!$B$5:$B$204,$S14))&amp;IF(AND($S14&gt;0,$T14&gt;0),"  ","")&amp;IF($T14=0,"","◆ "&amp;INDEX('01_予約入力'!$B$5:$B$204,$T14)))</f>
        <v/>
      </c>
      <c r="F14" s="34">
        <f>IF(OR($A14="",F$6=""),"",IF($U14=0,"",INDEX('01_予約入力'!$B$5:$B$204,$U14)&amp;" ◀")&amp;IF(AND($U14&gt;0,OR($V14&gt;0,$W14&gt;0)),"  ","")&amp;IF($V14=0,"",IF(INDEX('01_予約入力'!$E$5:$E$204,$V14)=$A14,"▶ ","")&amp;INDEX('01_予約入力'!$B$5:$B$204,$V14))&amp;IF(AND($V14&gt;0,$W14&gt;0),"  ","")&amp;IF($W14=0,"","◆ "&amp;INDEX('01_予約入力'!$B$5:$B$204,$W14)))</f>
        <v/>
      </c>
      <c r="G14" s="31">
        <f>IF($A14="","",SUMPRODUCT(('01_予約入力'!$E$5:$E$204&lt;&gt;"")*('01_予約入力'!$K$5:$K$204&lt;&gt;"キャンセル")*('01_予約入力'!$E$5:$E$204&lt;=$A14)*('01_予約入力'!$G$5:$G$204&gt;$A14)))</f>
        <v/>
      </c>
      <c r="H14" s="31">
        <f>IF($A14="","",'M_施設設定'!$B$6-$G14)</f>
        <v/>
      </c>
      <c r="I14" s="31">
        <f>IF($A14="","",SUMPRODUCT((('01_予約入力'!$K$5:$K$204="仮予約")+('01_予約入力'!$K$5:$K$204="調整中"))*('01_予約入力'!$E$5:$E$204&lt;&gt;"")*('01_予約入力'!$E$5:$E$204&lt;=$A14)*('01_予約入力'!$G$5:$G$204&gt;$A14)))</f>
        <v/>
      </c>
      <c r="J14" s="31">
        <f>IF($A14="","",IF($I14&gt;0,"仮",IF($H14&lt;=0,"×",IF($H14&lt;'M_施設設定'!$B$6,"△","○"))))</f>
        <v/>
      </c>
      <c r="K14" s="31">
        <f>IF($A14="","",SUMPRODUCT(('01_予約入力'!$E$5:$E$204&lt;&gt;"")*('01_予約入力'!$K$5:$K$204&lt;&gt;"キャンセル")*('01_予約入力'!$E$5:$E$204=$A14)*('01_予約入力'!$G$5:$G$204=$A14)))</f>
        <v/>
      </c>
      <c r="L14" s="31">
        <f>IF(OR($A14="",C$6=""),0,SUMPRODUCT(MAX(('01_予約入力'!$D$5:$D$204=C$6)*('01_予約入力'!$K$5:$K$204&lt;&gt;"キャンセル")*('01_予約入力'!$E$5:$E$204&lt;&gt;"")*('01_予約入力'!$G$5:$G$204=$A14)*('01_予約入力'!$E$5:$E$204&lt;$A14)*(ROW('01_予約入力'!$E$5:$E$204)-4))))</f>
        <v/>
      </c>
      <c r="M14" s="31">
        <f>IF(OR($A14="",C$6=""),0,SUMPRODUCT(MAX(('01_予約入力'!$D$5:$D$204=C$6)*('01_予約入力'!$K$5:$K$204&lt;&gt;"キャンセル")*('01_予約入力'!$E$5:$E$204&lt;&gt;"")*('01_予約入力'!$E$5:$E$204&lt;=$A14)*('01_予約入力'!$G$5:$G$204&gt;$A14)*(ROW('01_予約入力'!$E$5:$E$204)-4))))</f>
        <v/>
      </c>
      <c r="N14" s="31">
        <f>IF(OR($A14="",C$6=""),0,SUMPRODUCT(MAX(('01_予約入力'!$D$5:$D$204=C$6)*('01_予約入力'!$K$5:$K$204&lt;&gt;"キャンセル")*('01_予約入力'!$E$5:$E$204&lt;&gt;"")*('01_予約入力'!$E$5:$E$204=$A14)*('01_予約入力'!$G$5:$G$204=$A14)*(ROW('01_予約入力'!$E$5:$E$204)-4))))</f>
        <v/>
      </c>
      <c r="O14" s="31">
        <f>IF(OR($A14="",D$6=""),0,SUMPRODUCT(MAX(('01_予約入力'!$D$5:$D$204=D$6)*('01_予約入力'!$K$5:$K$204&lt;&gt;"キャンセル")*('01_予約入力'!$E$5:$E$204&lt;&gt;"")*('01_予約入力'!$G$5:$G$204=$A14)*('01_予約入力'!$E$5:$E$204&lt;$A14)*(ROW('01_予約入力'!$E$5:$E$204)-4))))</f>
        <v/>
      </c>
      <c r="P14" s="31">
        <f>IF(OR($A14="",D$6=""),0,SUMPRODUCT(MAX(('01_予約入力'!$D$5:$D$204=D$6)*('01_予約入力'!$K$5:$K$204&lt;&gt;"キャンセル")*('01_予約入力'!$E$5:$E$204&lt;&gt;"")*('01_予約入力'!$E$5:$E$204&lt;=$A14)*('01_予約入力'!$G$5:$G$204&gt;$A14)*(ROW('01_予約入力'!$E$5:$E$204)-4))))</f>
        <v/>
      </c>
      <c r="Q14" s="31">
        <f>IF(OR($A14="",D$6=""),0,SUMPRODUCT(MAX(('01_予約入力'!$D$5:$D$204=D$6)*('01_予約入力'!$K$5:$K$204&lt;&gt;"キャンセル")*('01_予約入力'!$E$5:$E$204&lt;&gt;"")*('01_予約入力'!$E$5:$E$204=$A14)*('01_予約入力'!$G$5:$G$204=$A14)*(ROW('01_予約入力'!$E$5:$E$204)-4))))</f>
        <v/>
      </c>
      <c r="R14" s="31">
        <f>IF(OR($A14="",E$6=""),0,SUMPRODUCT(MAX(('01_予約入力'!$D$5:$D$204=E$6)*('01_予約入力'!$K$5:$K$204&lt;&gt;"キャンセル")*('01_予約入力'!$E$5:$E$204&lt;&gt;"")*('01_予約入力'!$G$5:$G$204=$A14)*('01_予約入力'!$E$5:$E$204&lt;$A14)*(ROW('01_予約入力'!$E$5:$E$204)-4))))</f>
        <v/>
      </c>
      <c r="S14" s="31">
        <f>IF(OR($A14="",E$6=""),0,SUMPRODUCT(MAX(('01_予約入力'!$D$5:$D$204=E$6)*('01_予約入力'!$K$5:$K$204&lt;&gt;"キャンセル")*('01_予約入力'!$E$5:$E$204&lt;&gt;"")*('01_予約入力'!$E$5:$E$204&lt;=$A14)*('01_予約入力'!$G$5:$G$204&gt;$A14)*(ROW('01_予約入力'!$E$5:$E$204)-4))))</f>
        <v/>
      </c>
      <c r="T14" s="31">
        <f>IF(OR($A14="",E$6=""),0,SUMPRODUCT(MAX(('01_予約入力'!$D$5:$D$204=E$6)*('01_予約入力'!$K$5:$K$204&lt;&gt;"キャンセル")*('01_予約入力'!$E$5:$E$204&lt;&gt;"")*('01_予約入力'!$E$5:$E$204=$A14)*('01_予約入力'!$G$5:$G$204=$A14)*(ROW('01_予約入力'!$E$5:$E$204)-4))))</f>
        <v/>
      </c>
      <c r="U14" s="31">
        <f>IF(OR($A14="",F$6=""),0,SUMPRODUCT(MAX(('01_予約入力'!$D$5:$D$204=F$6)*('01_予約入力'!$K$5:$K$204&lt;&gt;"キャンセル")*('01_予約入力'!$E$5:$E$204&lt;&gt;"")*('01_予約入力'!$G$5:$G$204=$A14)*('01_予約入力'!$E$5:$E$204&lt;$A14)*(ROW('01_予約入力'!$E$5:$E$204)-4))))</f>
        <v/>
      </c>
      <c r="V14" s="31">
        <f>IF(OR($A14="",F$6=""),0,SUMPRODUCT(MAX(('01_予約入力'!$D$5:$D$204=F$6)*('01_予約入力'!$K$5:$K$204&lt;&gt;"キャンセル")*('01_予約入力'!$E$5:$E$204&lt;&gt;"")*('01_予約入力'!$E$5:$E$204&lt;=$A14)*('01_予約入力'!$G$5:$G$204&gt;$A14)*(ROW('01_予約入力'!$E$5:$E$204)-4))))</f>
        <v/>
      </c>
      <c r="W14" s="31">
        <f>IF(OR($A14="",F$6=""),0,SUMPRODUCT(MAX(('01_予約入力'!$D$5:$D$204=F$6)*('01_予約入力'!$K$5:$K$204&lt;&gt;"キャンセル")*('01_予約入力'!$E$5:$E$204&lt;&gt;"")*('01_予約入力'!$E$5:$E$204=$A14)*('01_予約入力'!$G$5:$G$204=$A14)*(ROW('01_予約入力'!$E$5:$E$204)-4))))</f>
        <v/>
      </c>
      <c r="X14" s="31">
        <f>IF($A14="","",IF($M14&gt;0,IF(OR(INDEX('01_予約入力'!$K$5:$K$204,$M14)="仮予約",INDEX('01_予約入力'!$K$5:$K$204,$M14)="調整中"),"仮",INDEX('01_予約入力'!$C$5:$C$204,$M14)),IF($N14&gt;0,IF(OR(INDEX('01_予約入力'!$K$5:$K$204,$N14)="仮予約",INDEX('01_予約入力'!$K$5:$K$204,$N14)="調整中"),"仮",INDEX('01_予約入力'!$C$5:$C$204,$N14)),IF($L14&gt;0,IF(OR(INDEX('01_予約入力'!$K$5:$K$204,$L14)="仮予約",INDEX('01_予約入力'!$K$5:$K$204,$L14)="調整中"),"仮",INDEX('01_予約入力'!$C$5:$C$204,$L14)),""))))</f>
        <v/>
      </c>
      <c r="Y14" s="31">
        <f>IF($A14="","",IF($P14&gt;0,IF(OR(INDEX('01_予約入力'!$K$5:$K$204,$P14)="仮予約",INDEX('01_予約入力'!$K$5:$K$204,$P14)="調整中"),"仮",INDEX('01_予約入力'!$C$5:$C$204,$P14)),IF($Q14&gt;0,IF(OR(INDEX('01_予約入力'!$K$5:$K$204,$Q14)="仮予約",INDEX('01_予約入力'!$K$5:$K$204,$Q14)="調整中"),"仮",INDEX('01_予約入力'!$C$5:$C$204,$Q14)),IF($O14&gt;0,IF(OR(INDEX('01_予約入力'!$K$5:$K$204,$O14)="仮予約",INDEX('01_予約入力'!$K$5:$K$204,$O14)="調整中"),"仮",INDEX('01_予約入力'!$C$5:$C$204,$O14)),""))))</f>
        <v/>
      </c>
      <c r="Z14" s="31">
        <f>IF($A14="","",IF($S14&gt;0,IF(OR(INDEX('01_予約入力'!$K$5:$K$204,$S14)="仮予約",INDEX('01_予約入力'!$K$5:$K$204,$S14)="調整中"),"仮",INDEX('01_予約入力'!$C$5:$C$204,$S14)),IF($T14&gt;0,IF(OR(INDEX('01_予約入力'!$K$5:$K$204,$T14)="仮予約",INDEX('01_予約入力'!$K$5:$K$204,$T14)="調整中"),"仮",INDEX('01_予約入力'!$C$5:$C$204,$T14)),IF($R14&gt;0,IF(OR(INDEX('01_予約入力'!$K$5:$K$204,$R14)="仮予約",INDEX('01_予約入力'!$K$5:$K$204,$R14)="調整中"),"仮",INDEX('01_予約入力'!$C$5:$C$204,$R14)),""))))</f>
        <v/>
      </c>
      <c r="AA14" s="31">
        <f>IF($A14="","",IF($V14&gt;0,IF(OR(INDEX('01_予約入力'!$K$5:$K$204,$V14)="仮予約",INDEX('01_予約入力'!$K$5:$K$204,$V14)="調整中"),"仮",INDEX('01_予約入力'!$C$5:$C$204,$V14)),IF($W14&gt;0,IF(OR(INDEX('01_予約入力'!$K$5:$K$204,$W14)="仮予約",INDEX('01_予約入力'!$K$5:$K$204,$W14)="調整中"),"仮",INDEX('01_予約入力'!$C$5:$C$204,$W14)),IF($U14&gt;0,IF(OR(INDEX('01_予約入力'!$K$5:$K$204,$U14)="仮予約",INDEX('01_予約入力'!$K$5:$K$204,$U14)="調整中"),"仮",INDEX('01_予約入力'!$C$5:$C$204,$U14)),""))))</f>
        <v/>
      </c>
    </row>
    <row r="15">
      <c r="A15" s="33">
        <f>IF(MONTH('02_カレンダー'!$B$4+8)&lt;&gt;MONTH('02_カレンダー'!$B$4),"",'02_カレンダー'!$B$4+8)</f>
        <v/>
      </c>
      <c r="B15" s="31">
        <f>IF($A15="","",MID("日月火水木金土",WEEKDAY($A15),1))</f>
        <v/>
      </c>
      <c r="C15" s="34">
        <f>IF(OR($A15="",C$6=""),"",IF($L15=0,"",INDEX('01_予約入力'!$B$5:$B$204,$L15)&amp;" ◀")&amp;IF(AND($L15&gt;0,OR($M15&gt;0,$N15&gt;0)),"  ","")&amp;IF($M15=0,"",IF(INDEX('01_予約入力'!$E$5:$E$204,$M15)=$A15,"▶ ","")&amp;INDEX('01_予約入力'!$B$5:$B$204,$M15))&amp;IF(AND($M15&gt;0,$N15&gt;0),"  ","")&amp;IF($N15=0,"","◆ "&amp;INDEX('01_予約入力'!$B$5:$B$204,$N15)))</f>
        <v/>
      </c>
      <c r="D15" s="34">
        <f>IF(OR($A15="",D$6=""),"",IF($O15=0,"",INDEX('01_予約入力'!$B$5:$B$204,$O15)&amp;" ◀")&amp;IF(AND($O15&gt;0,OR($P15&gt;0,$Q15&gt;0)),"  ","")&amp;IF($P15=0,"",IF(INDEX('01_予約入力'!$E$5:$E$204,$P15)=$A15,"▶ ","")&amp;INDEX('01_予約入力'!$B$5:$B$204,$P15))&amp;IF(AND($P15&gt;0,$Q15&gt;0),"  ","")&amp;IF($Q15=0,"","◆ "&amp;INDEX('01_予約入力'!$B$5:$B$204,$Q15)))</f>
        <v/>
      </c>
      <c r="E15" s="34">
        <f>IF(OR($A15="",E$6=""),"",IF($R15=0,"",INDEX('01_予約入力'!$B$5:$B$204,$R15)&amp;" ◀")&amp;IF(AND($R15&gt;0,OR($S15&gt;0,$T15&gt;0)),"  ","")&amp;IF($S15=0,"",IF(INDEX('01_予約入力'!$E$5:$E$204,$S15)=$A15,"▶ ","")&amp;INDEX('01_予約入力'!$B$5:$B$204,$S15))&amp;IF(AND($S15&gt;0,$T15&gt;0),"  ","")&amp;IF($T15=0,"","◆ "&amp;INDEX('01_予約入力'!$B$5:$B$204,$T15)))</f>
        <v/>
      </c>
      <c r="F15" s="34">
        <f>IF(OR($A15="",F$6=""),"",IF($U15=0,"",INDEX('01_予約入力'!$B$5:$B$204,$U15)&amp;" ◀")&amp;IF(AND($U15&gt;0,OR($V15&gt;0,$W15&gt;0)),"  ","")&amp;IF($V15=0,"",IF(INDEX('01_予約入力'!$E$5:$E$204,$V15)=$A15,"▶ ","")&amp;INDEX('01_予約入力'!$B$5:$B$204,$V15))&amp;IF(AND($V15&gt;0,$W15&gt;0),"  ","")&amp;IF($W15=0,"","◆ "&amp;INDEX('01_予約入力'!$B$5:$B$204,$W15)))</f>
        <v/>
      </c>
      <c r="G15" s="31">
        <f>IF($A15="","",SUMPRODUCT(('01_予約入力'!$E$5:$E$204&lt;&gt;"")*('01_予約入力'!$K$5:$K$204&lt;&gt;"キャンセル")*('01_予約入力'!$E$5:$E$204&lt;=$A15)*('01_予約入力'!$G$5:$G$204&gt;$A15)))</f>
        <v/>
      </c>
      <c r="H15" s="31">
        <f>IF($A15="","",'M_施設設定'!$B$6-$G15)</f>
        <v/>
      </c>
      <c r="I15" s="31">
        <f>IF($A15="","",SUMPRODUCT((('01_予約入力'!$K$5:$K$204="仮予約")+('01_予約入力'!$K$5:$K$204="調整中"))*('01_予約入力'!$E$5:$E$204&lt;&gt;"")*('01_予約入力'!$E$5:$E$204&lt;=$A15)*('01_予約入力'!$G$5:$G$204&gt;$A15)))</f>
        <v/>
      </c>
      <c r="J15" s="31">
        <f>IF($A15="","",IF($I15&gt;0,"仮",IF($H15&lt;=0,"×",IF($H15&lt;'M_施設設定'!$B$6,"△","○"))))</f>
        <v/>
      </c>
      <c r="K15" s="31">
        <f>IF($A15="","",SUMPRODUCT(('01_予約入力'!$E$5:$E$204&lt;&gt;"")*('01_予約入力'!$K$5:$K$204&lt;&gt;"キャンセル")*('01_予約入力'!$E$5:$E$204=$A15)*('01_予約入力'!$G$5:$G$204=$A15)))</f>
        <v/>
      </c>
      <c r="L15" s="31">
        <f>IF(OR($A15="",C$6=""),0,SUMPRODUCT(MAX(('01_予約入力'!$D$5:$D$204=C$6)*('01_予約入力'!$K$5:$K$204&lt;&gt;"キャンセル")*('01_予約入力'!$E$5:$E$204&lt;&gt;"")*('01_予約入力'!$G$5:$G$204=$A15)*('01_予約入力'!$E$5:$E$204&lt;$A15)*(ROW('01_予約入力'!$E$5:$E$204)-4))))</f>
        <v/>
      </c>
      <c r="M15" s="31">
        <f>IF(OR($A15="",C$6=""),0,SUMPRODUCT(MAX(('01_予約入力'!$D$5:$D$204=C$6)*('01_予約入力'!$K$5:$K$204&lt;&gt;"キャンセル")*('01_予約入力'!$E$5:$E$204&lt;&gt;"")*('01_予約入力'!$E$5:$E$204&lt;=$A15)*('01_予約入力'!$G$5:$G$204&gt;$A15)*(ROW('01_予約入力'!$E$5:$E$204)-4))))</f>
        <v/>
      </c>
      <c r="N15" s="31">
        <f>IF(OR($A15="",C$6=""),0,SUMPRODUCT(MAX(('01_予約入力'!$D$5:$D$204=C$6)*('01_予約入力'!$K$5:$K$204&lt;&gt;"キャンセル")*('01_予約入力'!$E$5:$E$204&lt;&gt;"")*('01_予約入力'!$E$5:$E$204=$A15)*('01_予約入力'!$G$5:$G$204=$A15)*(ROW('01_予約入力'!$E$5:$E$204)-4))))</f>
        <v/>
      </c>
      <c r="O15" s="31">
        <f>IF(OR($A15="",D$6=""),0,SUMPRODUCT(MAX(('01_予約入力'!$D$5:$D$204=D$6)*('01_予約入力'!$K$5:$K$204&lt;&gt;"キャンセル")*('01_予約入力'!$E$5:$E$204&lt;&gt;"")*('01_予約入力'!$G$5:$G$204=$A15)*('01_予約入力'!$E$5:$E$204&lt;$A15)*(ROW('01_予約入力'!$E$5:$E$204)-4))))</f>
        <v/>
      </c>
      <c r="P15" s="31">
        <f>IF(OR($A15="",D$6=""),0,SUMPRODUCT(MAX(('01_予約入力'!$D$5:$D$204=D$6)*('01_予約入力'!$K$5:$K$204&lt;&gt;"キャンセル")*('01_予約入力'!$E$5:$E$204&lt;&gt;"")*('01_予約入力'!$E$5:$E$204&lt;=$A15)*('01_予約入力'!$G$5:$G$204&gt;$A15)*(ROW('01_予約入力'!$E$5:$E$204)-4))))</f>
        <v/>
      </c>
      <c r="Q15" s="31">
        <f>IF(OR($A15="",D$6=""),0,SUMPRODUCT(MAX(('01_予約入力'!$D$5:$D$204=D$6)*('01_予約入力'!$K$5:$K$204&lt;&gt;"キャンセル")*('01_予約入力'!$E$5:$E$204&lt;&gt;"")*('01_予約入力'!$E$5:$E$204=$A15)*('01_予約入力'!$G$5:$G$204=$A15)*(ROW('01_予約入力'!$E$5:$E$204)-4))))</f>
        <v/>
      </c>
      <c r="R15" s="31">
        <f>IF(OR($A15="",E$6=""),0,SUMPRODUCT(MAX(('01_予約入力'!$D$5:$D$204=E$6)*('01_予約入力'!$K$5:$K$204&lt;&gt;"キャンセル")*('01_予約入力'!$E$5:$E$204&lt;&gt;"")*('01_予約入力'!$G$5:$G$204=$A15)*('01_予約入力'!$E$5:$E$204&lt;$A15)*(ROW('01_予約入力'!$E$5:$E$204)-4))))</f>
        <v/>
      </c>
      <c r="S15" s="31">
        <f>IF(OR($A15="",E$6=""),0,SUMPRODUCT(MAX(('01_予約入力'!$D$5:$D$204=E$6)*('01_予約入力'!$K$5:$K$204&lt;&gt;"キャンセル")*('01_予約入力'!$E$5:$E$204&lt;&gt;"")*('01_予約入力'!$E$5:$E$204&lt;=$A15)*('01_予約入力'!$G$5:$G$204&gt;$A15)*(ROW('01_予約入力'!$E$5:$E$204)-4))))</f>
        <v/>
      </c>
      <c r="T15" s="31">
        <f>IF(OR($A15="",E$6=""),0,SUMPRODUCT(MAX(('01_予約入力'!$D$5:$D$204=E$6)*('01_予約入力'!$K$5:$K$204&lt;&gt;"キャンセル")*('01_予約入力'!$E$5:$E$204&lt;&gt;"")*('01_予約入力'!$E$5:$E$204=$A15)*('01_予約入力'!$G$5:$G$204=$A15)*(ROW('01_予約入力'!$E$5:$E$204)-4))))</f>
        <v/>
      </c>
      <c r="U15" s="31">
        <f>IF(OR($A15="",F$6=""),0,SUMPRODUCT(MAX(('01_予約入力'!$D$5:$D$204=F$6)*('01_予約入力'!$K$5:$K$204&lt;&gt;"キャンセル")*('01_予約入力'!$E$5:$E$204&lt;&gt;"")*('01_予約入力'!$G$5:$G$204=$A15)*('01_予約入力'!$E$5:$E$204&lt;$A15)*(ROW('01_予約入力'!$E$5:$E$204)-4))))</f>
        <v/>
      </c>
      <c r="V15" s="31">
        <f>IF(OR($A15="",F$6=""),0,SUMPRODUCT(MAX(('01_予約入力'!$D$5:$D$204=F$6)*('01_予約入力'!$K$5:$K$204&lt;&gt;"キャンセル")*('01_予約入力'!$E$5:$E$204&lt;&gt;"")*('01_予約入力'!$E$5:$E$204&lt;=$A15)*('01_予約入力'!$G$5:$G$204&gt;$A15)*(ROW('01_予約入力'!$E$5:$E$204)-4))))</f>
        <v/>
      </c>
      <c r="W15" s="31">
        <f>IF(OR($A15="",F$6=""),0,SUMPRODUCT(MAX(('01_予約入力'!$D$5:$D$204=F$6)*('01_予約入力'!$K$5:$K$204&lt;&gt;"キャンセル")*('01_予約入力'!$E$5:$E$204&lt;&gt;"")*('01_予約入力'!$E$5:$E$204=$A15)*('01_予約入力'!$G$5:$G$204=$A15)*(ROW('01_予約入力'!$E$5:$E$204)-4))))</f>
        <v/>
      </c>
      <c r="X15" s="31">
        <f>IF($A15="","",IF($M15&gt;0,IF(OR(INDEX('01_予約入力'!$K$5:$K$204,$M15)="仮予約",INDEX('01_予約入力'!$K$5:$K$204,$M15)="調整中"),"仮",INDEX('01_予約入力'!$C$5:$C$204,$M15)),IF($N15&gt;0,IF(OR(INDEX('01_予約入力'!$K$5:$K$204,$N15)="仮予約",INDEX('01_予約入力'!$K$5:$K$204,$N15)="調整中"),"仮",INDEX('01_予約入力'!$C$5:$C$204,$N15)),IF($L15&gt;0,IF(OR(INDEX('01_予約入力'!$K$5:$K$204,$L15)="仮予約",INDEX('01_予約入力'!$K$5:$K$204,$L15)="調整中"),"仮",INDEX('01_予約入力'!$C$5:$C$204,$L15)),""))))</f>
        <v/>
      </c>
      <c r="Y15" s="31">
        <f>IF($A15="","",IF($P15&gt;0,IF(OR(INDEX('01_予約入力'!$K$5:$K$204,$P15)="仮予約",INDEX('01_予約入力'!$K$5:$K$204,$P15)="調整中"),"仮",INDEX('01_予約入力'!$C$5:$C$204,$P15)),IF($Q15&gt;0,IF(OR(INDEX('01_予約入力'!$K$5:$K$204,$Q15)="仮予約",INDEX('01_予約入力'!$K$5:$K$204,$Q15)="調整中"),"仮",INDEX('01_予約入力'!$C$5:$C$204,$Q15)),IF($O15&gt;0,IF(OR(INDEX('01_予約入力'!$K$5:$K$204,$O15)="仮予約",INDEX('01_予約入力'!$K$5:$K$204,$O15)="調整中"),"仮",INDEX('01_予約入力'!$C$5:$C$204,$O15)),""))))</f>
        <v/>
      </c>
      <c r="Z15" s="31">
        <f>IF($A15="","",IF($S15&gt;0,IF(OR(INDEX('01_予約入力'!$K$5:$K$204,$S15)="仮予約",INDEX('01_予約入力'!$K$5:$K$204,$S15)="調整中"),"仮",INDEX('01_予約入力'!$C$5:$C$204,$S15)),IF($T15&gt;0,IF(OR(INDEX('01_予約入力'!$K$5:$K$204,$T15)="仮予約",INDEX('01_予約入力'!$K$5:$K$204,$T15)="調整中"),"仮",INDEX('01_予約入力'!$C$5:$C$204,$T15)),IF($R15&gt;0,IF(OR(INDEX('01_予約入力'!$K$5:$K$204,$R15)="仮予約",INDEX('01_予約入力'!$K$5:$K$204,$R15)="調整中"),"仮",INDEX('01_予約入力'!$C$5:$C$204,$R15)),""))))</f>
        <v/>
      </c>
      <c r="AA15" s="31">
        <f>IF($A15="","",IF($V15&gt;0,IF(OR(INDEX('01_予約入力'!$K$5:$K$204,$V15)="仮予約",INDEX('01_予約入力'!$K$5:$K$204,$V15)="調整中"),"仮",INDEX('01_予約入力'!$C$5:$C$204,$V15)),IF($W15&gt;0,IF(OR(INDEX('01_予約入力'!$K$5:$K$204,$W15)="仮予約",INDEX('01_予約入力'!$K$5:$K$204,$W15)="調整中"),"仮",INDEX('01_予約入力'!$C$5:$C$204,$W15)),IF($U15&gt;0,IF(OR(INDEX('01_予約入力'!$K$5:$K$204,$U15)="仮予約",INDEX('01_予約入力'!$K$5:$K$204,$U15)="調整中"),"仮",INDEX('01_予約入力'!$C$5:$C$204,$U15)),""))))</f>
        <v/>
      </c>
    </row>
    <row r="16">
      <c r="A16" s="33">
        <f>IF(MONTH('02_カレンダー'!$B$4+9)&lt;&gt;MONTH('02_カレンダー'!$B$4),"",'02_カレンダー'!$B$4+9)</f>
        <v/>
      </c>
      <c r="B16" s="31">
        <f>IF($A16="","",MID("日月火水木金土",WEEKDAY($A16),1))</f>
        <v/>
      </c>
      <c r="C16" s="34">
        <f>IF(OR($A16="",C$6=""),"",IF($L16=0,"",INDEX('01_予約入力'!$B$5:$B$204,$L16)&amp;" ◀")&amp;IF(AND($L16&gt;0,OR($M16&gt;0,$N16&gt;0)),"  ","")&amp;IF($M16=0,"",IF(INDEX('01_予約入力'!$E$5:$E$204,$M16)=$A16,"▶ ","")&amp;INDEX('01_予約入力'!$B$5:$B$204,$M16))&amp;IF(AND($M16&gt;0,$N16&gt;0),"  ","")&amp;IF($N16=0,"","◆ "&amp;INDEX('01_予約入力'!$B$5:$B$204,$N16)))</f>
        <v/>
      </c>
      <c r="D16" s="34">
        <f>IF(OR($A16="",D$6=""),"",IF($O16=0,"",INDEX('01_予約入力'!$B$5:$B$204,$O16)&amp;" ◀")&amp;IF(AND($O16&gt;0,OR($P16&gt;0,$Q16&gt;0)),"  ","")&amp;IF($P16=0,"",IF(INDEX('01_予約入力'!$E$5:$E$204,$P16)=$A16,"▶ ","")&amp;INDEX('01_予約入力'!$B$5:$B$204,$P16))&amp;IF(AND($P16&gt;0,$Q16&gt;0),"  ","")&amp;IF($Q16=0,"","◆ "&amp;INDEX('01_予約入力'!$B$5:$B$204,$Q16)))</f>
        <v/>
      </c>
      <c r="E16" s="34">
        <f>IF(OR($A16="",E$6=""),"",IF($R16=0,"",INDEX('01_予約入力'!$B$5:$B$204,$R16)&amp;" ◀")&amp;IF(AND($R16&gt;0,OR($S16&gt;0,$T16&gt;0)),"  ","")&amp;IF($S16=0,"",IF(INDEX('01_予約入力'!$E$5:$E$204,$S16)=$A16,"▶ ","")&amp;INDEX('01_予約入力'!$B$5:$B$204,$S16))&amp;IF(AND($S16&gt;0,$T16&gt;0),"  ","")&amp;IF($T16=0,"","◆ "&amp;INDEX('01_予約入力'!$B$5:$B$204,$T16)))</f>
        <v/>
      </c>
      <c r="F16" s="34">
        <f>IF(OR($A16="",F$6=""),"",IF($U16=0,"",INDEX('01_予約入力'!$B$5:$B$204,$U16)&amp;" ◀")&amp;IF(AND($U16&gt;0,OR($V16&gt;0,$W16&gt;0)),"  ","")&amp;IF($V16=0,"",IF(INDEX('01_予約入力'!$E$5:$E$204,$V16)=$A16,"▶ ","")&amp;INDEX('01_予約入力'!$B$5:$B$204,$V16))&amp;IF(AND($V16&gt;0,$W16&gt;0),"  ","")&amp;IF($W16=0,"","◆ "&amp;INDEX('01_予約入力'!$B$5:$B$204,$W16)))</f>
        <v/>
      </c>
      <c r="G16" s="31">
        <f>IF($A16="","",SUMPRODUCT(('01_予約入力'!$E$5:$E$204&lt;&gt;"")*('01_予約入力'!$K$5:$K$204&lt;&gt;"キャンセル")*('01_予約入力'!$E$5:$E$204&lt;=$A16)*('01_予約入力'!$G$5:$G$204&gt;$A16)))</f>
        <v/>
      </c>
      <c r="H16" s="31">
        <f>IF($A16="","",'M_施設設定'!$B$6-$G16)</f>
        <v/>
      </c>
      <c r="I16" s="31">
        <f>IF($A16="","",SUMPRODUCT((('01_予約入力'!$K$5:$K$204="仮予約")+('01_予約入力'!$K$5:$K$204="調整中"))*('01_予約入力'!$E$5:$E$204&lt;&gt;"")*('01_予約入力'!$E$5:$E$204&lt;=$A16)*('01_予約入力'!$G$5:$G$204&gt;$A16)))</f>
        <v/>
      </c>
      <c r="J16" s="31">
        <f>IF($A16="","",IF($I16&gt;0,"仮",IF($H16&lt;=0,"×",IF($H16&lt;'M_施設設定'!$B$6,"△","○"))))</f>
        <v/>
      </c>
      <c r="K16" s="31">
        <f>IF($A16="","",SUMPRODUCT(('01_予約入力'!$E$5:$E$204&lt;&gt;"")*('01_予約入力'!$K$5:$K$204&lt;&gt;"キャンセル")*('01_予約入力'!$E$5:$E$204=$A16)*('01_予約入力'!$G$5:$G$204=$A16)))</f>
        <v/>
      </c>
      <c r="L16" s="31">
        <f>IF(OR($A16="",C$6=""),0,SUMPRODUCT(MAX(('01_予約入力'!$D$5:$D$204=C$6)*('01_予約入力'!$K$5:$K$204&lt;&gt;"キャンセル")*('01_予約入力'!$E$5:$E$204&lt;&gt;"")*('01_予約入力'!$G$5:$G$204=$A16)*('01_予約入力'!$E$5:$E$204&lt;$A16)*(ROW('01_予約入力'!$E$5:$E$204)-4))))</f>
        <v/>
      </c>
      <c r="M16" s="31">
        <f>IF(OR($A16="",C$6=""),0,SUMPRODUCT(MAX(('01_予約入力'!$D$5:$D$204=C$6)*('01_予約入力'!$K$5:$K$204&lt;&gt;"キャンセル")*('01_予約入力'!$E$5:$E$204&lt;&gt;"")*('01_予約入力'!$E$5:$E$204&lt;=$A16)*('01_予約入力'!$G$5:$G$204&gt;$A16)*(ROW('01_予約入力'!$E$5:$E$204)-4))))</f>
        <v/>
      </c>
      <c r="N16" s="31">
        <f>IF(OR($A16="",C$6=""),0,SUMPRODUCT(MAX(('01_予約入力'!$D$5:$D$204=C$6)*('01_予約入力'!$K$5:$K$204&lt;&gt;"キャンセル")*('01_予約入力'!$E$5:$E$204&lt;&gt;"")*('01_予約入力'!$E$5:$E$204=$A16)*('01_予約入力'!$G$5:$G$204=$A16)*(ROW('01_予約入力'!$E$5:$E$204)-4))))</f>
        <v/>
      </c>
      <c r="O16" s="31">
        <f>IF(OR($A16="",D$6=""),0,SUMPRODUCT(MAX(('01_予約入力'!$D$5:$D$204=D$6)*('01_予約入力'!$K$5:$K$204&lt;&gt;"キャンセル")*('01_予約入力'!$E$5:$E$204&lt;&gt;"")*('01_予約入力'!$G$5:$G$204=$A16)*('01_予約入力'!$E$5:$E$204&lt;$A16)*(ROW('01_予約入力'!$E$5:$E$204)-4))))</f>
        <v/>
      </c>
      <c r="P16" s="31">
        <f>IF(OR($A16="",D$6=""),0,SUMPRODUCT(MAX(('01_予約入力'!$D$5:$D$204=D$6)*('01_予約入力'!$K$5:$K$204&lt;&gt;"キャンセル")*('01_予約入力'!$E$5:$E$204&lt;&gt;"")*('01_予約入力'!$E$5:$E$204&lt;=$A16)*('01_予約入力'!$G$5:$G$204&gt;$A16)*(ROW('01_予約入力'!$E$5:$E$204)-4))))</f>
        <v/>
      </c>
      <c r="Q16" s="31">
        <f>IF(OR($A16="",D$6=""),0,SUMPRODUCT(MAX(('01_予約入力'!$D$5:$D$204=D$6)*('01_予約入力'!$K$5:$K$204&lt;&gt;"キャンセル")*('01_予約入力'!$E$5:$E$204&lt;&gt;"")*('01_予約入力'!$E$5:$E$204=$A16)*('01_予約入力'!$G$5:$G$204=$A16)*(ROW('01_予約入力'!$E$5:$E$204)-4))))</f>
        <v/>
      </c>
      <c r="R16" s="31">
        <f>IF(OR($A16="",E$6=""),0,SUMPRODUCT(MAX(('01_予約入力'!$D$5:$D$204=E$6)*('01_予約入力'!$K$5:$K$204&lt;&gt;"キャンセル")*('01_予約入力'!$E$5:$E$204&lt;&gt;"")*('01_予約入力'!$G$5:$G$204=$A16)*('01_予約入力'!$E$5:$E$204&lt;$A16)*(ROW('01_予約入力'!$E$5:$E$204)-4))))</f>
        <v/>
      </c>
      <c r="S16" s="31">
        <f>IF(OR($A16="",E$6=""),0,SUMPRODUCT(MAX(('01_予約入力'!$D$5:$D$204=E$6)*('01_予約入力'!$K$5:$K$204&lt;&gt;"キャンセル")*('01_予約入力'!$E$5:$E$204&lt;&gt;"")*('01_予約入力'!$E$5:$E$204&lt;=$A16)*('01_予約入力'!$G$5:$G$204&gt;$A16)*(ROW('01_予約入力'!$E$5:$E$204)-4))))</f>
        <v/>
      </c>
      <c r="T16" s="31">
        <f>IF(OR($A16="",E$6=""),0,SUMPRODUCT(MAX(('01_予約入力'!$D$5:$D$204=E$6)*('01_予約入力'!$K$5:$K$204&lt;&gt;"キャンセル")*('01_予約入力'!$E$5:$E$204&lt;&gt;"")*('01_予約入力'!$E$5:$E$204=$A16)*('01_予約入力'!$G$5:$G$204=$A16)*(ROW('01_予約入力'!$E$5:$E$204)-4))))</f>
        <v/>
      </c>
      <c r="U16" s="31">
        <f>IF(OR($A16="",F$6=""),0,SUMPRODUCT(MAX(('01_予約入力'!$D$5:$D$204=F$6)*('01_予約入力'!$K$5:$K$204&lt;&gt;"キャンセル")*('01_予約入力'!$E$5:$E$204&lt;&gt;"")*('01_予約入力'!$G$5:$G$204=$A16)*('01_予約入力'!$E$5:$E$204&lt;$A16)*(ROW('01_予約入力'!$E$5:$E$204)-4))))</f>
        <v/>
      </c>
      <c r="V16" s="31">
        <f>IF(OR($A16="",F$6=""),0,SUMPRODUCT(MAX(('01_予約入力'!$D$5:$D$204=F$6)*('01_予約入力'!$K$5:$K$204&lt;&gt;"キャンセル")*('01_予約入力'!$E$5:$E$204&lt;&gt;"")*('01_予約入力'!$E$5:$E$204&lt;=$A16)*('01_予約入力'!$G$5:$G$204&gt;$A16)*(ROW('01_予約入力'!$E$5:$E$204)-4))))</f>
        <v/>
      </c>
      <c r="W16" s="31">
        <f>IF(OR($A16="",F$6=""),0,SUMPRODUCT(MAX(('01_予約入力'!$D$5:$D$204=F$6)*('01_予約入力'!$K$5:$K$204&lt;&gt;"キャンセル")*('01_予約入力'!$E$5:$E$204&lt;&gt;"")*('01_予約入力'!$E$5:$E$204=$A16)*('01_予約入力'!$G$5:$G$204=$A16)*(ROW('01_予約入力'!$E$5:$E$204)-4))))</f>
        <v/>
      </c>
      <c r="X16" s="31">
        <f>IF($A16="","",IF($M16&gt;0,IF(OR(INDEX('01_予約入力'!$K$5:$K$204,$M16)="仮予約",INDEX('01_予約入力'!$K$5:$K$204,$M16)="調整中"),"仮",INDEX('01_予約入力'!$C$5:$C$204,$M16)),IF($N16&gt;0,IF(OR(INDEX('01_予約入力'!$K$5:$K$204,$N16)="仮予約",INDEX('01_予約入力'!$K$5:$K$204,$N16)="調整中"),"仮",INDEX('01_予約入力'!$C$5:$C$204,$N16)),IF($L16&gt;0,IF(OR(INDEX('01_予約入力'!$K$5:$K$204,$L16)="仮予約",INDEX('01_予約入力'!$K$5:$K$204,$L16)="調整中"),"仮",INDEX('01_予約入力'!$C$5:$C$204,$L16)),""))))</f>
        <v/>
      </c>
      <c r="Y16" s="31">
        <f>IF($A16="","",IF($P16&gt;0,IF(OR(INDEX('01_予約入力'!$K$5:$K$204,$P16)="仮予約",INDEX('01_予約入力'!$K$5:$K$204,$P16)="調整中"),"仮",INDEX('01_予約入力'!$C$5:$C$204,$P16)),IF($Q16&gt;0,IF(OR(INDEX('01_予約入力'!$K$5:$K$204,$Q16)="仮予約",INDEX('01_予約入力'!$K$5:$K$204,$Q16)="調整中"),"仮",INDEX('01_予約入力'!$C$5:$C$204,$Q16)),IF($O16&gt;0,IF(OR(INDEX('01_予約入力'!$K$5:$K$204,$O16)="仮予約",INDEX('01_予約入力'!$K$5:$K$204,$O16)="調整中"),"仮",INDEX('01_予約入力'!$C$5:$C$204,$O16)),""))))</f>
        <v/>
      </c>
      <c r="Z16" s="31">
        <f>IF($A16="","",IF($S16&gt;0,IF(OR(INDEX('01_予約入力'!$K$5:$K$204,$S16)="仮予約",INDEX('01_予約入力'!$K$5:$K$204,$S16)="調整中"),"仮",INDEX('01_予約入力'!$C$5:$C$204,$S16)),IF($T16&gt;0,IF(OR(INDEX('01_予約入力'!$K$5:$K$204,$T16)="仮予約",INDEX('01_予約入力'!$K$5:$K$204,$T16)="調整中"),"仮",INDEX('01_予約入力'!$C$5:$C$204,$T16)),IF($R16&gt;0,IF(OR(INDEX('01_予約入力'!$K$5:$K$204,$R16)="仮予約",INDEX('01_予約入力'!$K$5:$K$204,$R16)="調整中"),"仮",INDEX('01_予約入力'!$C$5:$C$204,$R16)),""))))</f>
        <v/>
      </c>
      <c r="AA16" s="31">
        <f>IF($A16="","",IF($V16&gt;0,IF(OR(INDEX('01_予約入力'!$K$5:$K$204,$V16)="仮予約",INDEX('01_予約入力'!$K$5:$K$204,$V16)="調整中"),"仮",INDEX('01_予約入力'!$C$5:$C$204,$V16)),IF($W16&gt;0,IF(OR(INDEX('01_予約入力'!$K$5:$K$204,$W16)="仮予約",INDEX('01_予約入力'!$K$5:$K$204,$W16)="調整中"),"仮",INDEX('01_予約入力'!$C$5:$C$204,$W16)),IF($U16&gt;0,IF(OR(INDEX('01_予約入力'!$K$5:$K$204,$U16)="仮予約",INDEX('01_予約入力'!$K$5:$K$204,$U16)="調整中"),"仮",INDEX('01_予約入力'!$C$5:$C$204,$U16)),""))))</f>
        <v/>
      </c>
    </row>
    <row r="17">
      <c r="A17" s="33">
        <f>IF(MONTH('02_カレンダー'!$B$4+10)&lt;&gt;MONTH('02_カレンダー'!$B$4),"",'02_カレンダー'!$B$4+10)</f>
        <v/>
      </c>
      <c r="B17" s="31">
        <f>IF($A17="","",MID("日月火水木金土",WEEKDAY($A17),1))</f>
        <v/>
      </c>
      <c r="C17" s="34">
        <f>IF(OR($A17="",C$6=""),"",IF($L17=0,"",INDEX('01_予約入力'!$B$5:$B$204,$L17)&amp;" ◀")&amp;IF(AND($L17&gt;0,OR($M17&gt;0,$N17&gt;0)),"  ","")&amp;IF($M17=0,"",IF(INDEX('01_予約入力'!$E$5:$E$204,$M17)=$A17,"▶ ","")&amp;INDEX('01_予約入力'!$B$5:$B$204,$M17))&amp;IF(AND($M17&gt;0,$N17&gt;0),"  ","")&amp;IF($N17=0,"","◆ "&amp;INDEX('01_予約入力'!$B$5:$B$204,$N17)))</f>
        <v/>
      </c>
      <c r="D17" s="34">
        <f>IF(OR($A17="",D$6=""),"",IF($O17=0,"",INDEX('01_予約入力'!$B$5:$B$204,$O17)&amp;" ◀")&amp;IF(AND($O17&gt;0,OR($P17&gt;0,$Q17&gt;0)),"  ","")&amp;IF($P17=0,"",IF(INDEX('01_予約入力'!$E$5:$E$204,$P17)=$A17,"▶ ","")&amp;INDEX('01_予約入力'!$B$5:$B$204,$P17))&amp;IF(AND($P17&gt;0,$Q17&gt;0),"  ","")&amp;IF($Q17=0,"","◆ "&amp;INDEX('01_予約入力'!$B$5:$B$204,$Q17)))</f>
        <v/>
      </c>
      <c r="E17" s="34">
        <f>IF(OR($A17="",E$6=""),"",IF($R17=0,"",INDEX('01_予約入力'!$B$5:$B$204,$R17)&amp;" ◀")&amp;IF(AND($R17&gt;0,OR($S17&gt;0,$T17&gt;0)),"  ","")&amp;IF($S17=0,"",IF(INDEX('01_予約入力'!$E$5:$E$204,$S17)=$A17,"▶ ","")&amp;INDEX('01_予約入力'!$B$5:$B$204,$S17))&amp;IF(AND($S17&gt;0,$T17&gt;0),"  ","")&amp;IF($T17=0,"","◆ "&amp;INDEX('01_予約入力'!$B$5:$B$204,$T17)))</f>
        <v/>
      </c>
      <c r="F17" s="34">
        <f>IF(OR($A17="",F$6=""),"",IF($U17=0,"",INDEX('01_予約入力'!$B$5:$B$204,$U17)&amp;" ◀")&amp;IF(AND($U17&gt;0,OR($V17&gt;0,$W17&gt;0)),"  ","")&amp;IF($V17=0,"",IF(INDEX('01_予約入力'!$E$5:$E$204,$V17)=$A17,"▶ ","")&amp;INDEX('01_予約入力'!$B$5:$B$204,$V17))&amp;IF(AND($V17&gt;0,$W17&gt;0),"  ","")&amp;IF($W17=0,"","◆ "&amp;INDEX('01_予約入力'!$B$5:$B$204,$W17)))</f>
        <v/>
      </c>
      <c r="G17" s="31">
        <f>IF($A17="","",SUMPRODUCT(('01_予約入力'!$E$5:$E$204&lt;&gt;"")*('01_予約入力'!$K$5:$K$204&lt;&gt;"キャンセル")*('01_予約入力'!$E$5:$E$204&lt;=$A17)*('01_予約入力'!$G$5:$G$204&gt;$A17)))</f>
        <v/>
      </c>
      <c r="H17" s="31">
        <f>IF($A17="","",'M_施設設定'!$B$6-$G17)</f>
        <v/>
      </c>
      <c r="I17" s="31">
        <f>IF($A17="","",SUMPRODUCT((('01_予約入力'!$K$5:$K$204="仮予約")+('01_予約入力'!$K$5:$K$204="調整中"))*('01_予約入力'!$E$5:$E$204&lt;&gt;"")*('01_予約入力'!$E$5:$E$204&lt;=$A17)*('01_予約入力'!$G$5:$G$204&gt;$A17)))</f>
        <v/>
      </c>
      <c r="J17" s="31">
        <f>IF($A17="","",IF($I17&gt;0,"仮",IF($H17&lt;=0,"×",IF($H17&lt;'M_施設設定'!$B$6,"△","○"))))</f>
        <v/>
      </c>
      <c r="K17" s="31">
        <f>IF($A17="","",SUMPRODUCT(('01_予約入力'!$E$5:$E$204&lt;&gt;"")*('01_予約入力'!$K$5:$K$204&lt;&gt;"キャンセル")*('01_予約入力'!$E$5:$E$204=$A17)*('01_予約入力'!$G$5:$G$204=$A17)))</f>
        <v/>
      </c>
      <c r="L17" s="31">
        <f>IF(OR($A17="",C$6=""),0,SUMPRODUCT(MAX(('01_予約入力'!$D$5:$D$204=C$6)*('01_予約入力'!$K$5:$K$204&lt;&gt;"キャンセル")*('01_予約入力'!$E$5:$E$204&lt;&gt;"")*('01_予約入力'!$G$5:$G$204=$A17)*('01_予約入力'!$E$5:$E$204&lt;$A17)*(ROW('01_予約入力'!$E$5:$E$204)-4))))</f>
        <v/>
      </c>
      <c r="M17" s="31">
        <f>IF(OR($A17="",C$6=""),0,SUMPRODUCT(MAX(('01_予約入力'!$D$5:$D$204=C$6)*('01_予約入力'!$K$5:$K$204&lt;&gt;"キャンセル")*('01_予約入力'!$E$5:$E$204&lt;&gt;"")*('01_予約入力'!$E$5:$E$204&lt;=$A17)*('01_予約入力'!$G$5:$G$204&gt;$A17)*(ROW('01_予約入力'!$E$5:$E$204)-4))))</f>
        <v/>
      </c>
      <c r="N17" s="31">
        <f>IF(OR($A17="",C$6=""),0,SUMPRODUCT(MAX(('01_予約入力'!$D$5:$D$204=C$6)*('01_予約入力'!$K$5:$K$204&lt;&gt;"キャンセル")*('01_予約入力'!$E$5:$E$204&lt;&gt;"")*('01_予約入力'!$E$5:$E$204=$A17)*('01_予約入力'!$G$5:$G$204=$A17)*(ROW('01_予約入力'!$E$5:$E$204)-4))))</f>
        <v/>
      </c>
      <c r="O17" s="31">
        <f>IF(OR($A17="",D$6=""),0,SUMPRODUCT(MAX(('01_予約入力'!$D$5:$D$204=D$6)*('01_予約入力'!$K$5:$K$204&lt;&gt;"キャンセル")*('01_予約入力'!$E$5:$E$204&lt;&gt;"")*('01_予約入力'!$G$5:$G$204=$A17)*('01_予約入力'!$E$5:$E$204&lt;$A17)*(ROW('01_予約入力'!$E$5:$E$204)-4))))</f>
        <v/>
      </c>
      <c r="P17" s="31">
        <f>IF(OR($A17="",D$6=""),0,SUMPRODUCT(MAX(('01_予約入力'!$D$5:$D$204=D$6)*('01_予約入力'!$K$5:$K$204&lt;&gt;"キャンセル")*('01_予約入力'!$E$5:$E$204&lt;&gt;"")*('01_予約入力'!$E$5:$E$204&lt;=$A17)*('01_予約入力'!$G$5:$G$204&gt;$A17)*(ROW('01_予約入力'!$E$5:$E$204)-4))))</f>
        <v/>
      </c>
      <c r="Q17" s="31">
        <f>IF(OR($A17="",D$6=""),0,SUMPRODUCT(MAX(('01_予約入力'!$D$5:$D$204=D$6)*('01_予約入力'!$K$5:$K$204&lt;&gt;"キャンセル")*('01_予約入力'!$E$5:$E$204&lt;&gt;"")*('01_予約入力'!$E$5:$E$204=$A17)*('01_予約入力'!$G$5:$G$204=$A17)*(ROW('01_予約入力'!$E$5:$E$204)-4))))</f>
        <v/>
      </c>
      <c r="R17" s="31">
        <f>IF(OR($A17="",E$6=""),0,SUMPRODUCT(MAX(('01_予約入力'!$D$5:$D$204=E$6)*('01_予約入力'!$K$5:$K$204&lt;&gt;"キャンセル")*('01_予約入力'!$E$5:$E$204&lt;&gt;"")*('01_予約入力'!$G$5:$G$204=$A17)*('01_予約入力'!$E$5:$E$204&lt;$A17)*(ROW('01_予約入力'!$E$5:$E$204)-4))))</f>
        <v/>
      </c>
      <c r="S17" s="31">
        <f>IF(OR($A17="",E$6=""),0,SUMPRODUCT(MAX(('01_予約入力'!$D$5:$D$204=E$6)*('01_予約入力'!$K$5:$K$204&lt;&gt;"キャンセル")*('01_予約入力'!$E$5:$E$204&lt;&gt;"")*('01_予約入力'!$E$5:$E$204&lt;=$A17)*('01_予約入力'!$G$5:$G$204&gt;$A17)*(ROW('01_予約入力'!$E$5:$E$204)-4))))</f>
        <v/>
      </c>
      <c r="T17" s="31">
        <f>IF(OR($A17="",E$6=""),0,SUMPRODUCT(MAX(('01_予約入力'!$D$5:$D$204=E$6)*('01_予約入力'!$K$5:$K$204&lt;&gt;"キャンセル")*('01_予約入力'!$E$5:$E$204&lt;&gt;"")*('01_予約入力'!$E$5:$E$204=$A17)*('01_予約入力'!$G$5:$G$204=$A17)*(ROW('01_予約入力'!$E$5:$E$204)-4))))</f>
        <v/>
      </c>
      <c r="U17" s="31">
        <f>IF(OR($A17="",F$6=""),0,SUMPRODUCT(MAX(('01_予約入力'!$D$5:$D$204=F$6)*('01_予約入力'!$K$5:$K$204&lt;&gt;"キャンセル")*('01_予約入力'!$E$5:$E$204&lt;&gt;"")*('01_予約入力'!$G$5:$G$204=$A17)*('01_予約入力'!$E$5:$E$204&lt;$A17)*(ROW('01_予約入力'!$E$5:$E$204)-4))))</f>
        <v/>
      </c>
      <c r="V17" s="31">
        <f>IF(OR($A17="",F$6=""),0,SUMPRODUCT(MAX(('01_予約入力'!$D$5:$D$204=F$6)*('01_予約入力'!$K$5:$K$204&lt;&gt;"キャンセル")*('01_予約入力'!$E$5:$E$204&lt;&gt;"")*('01_予約入力'!$E$5:$E$204&lt;=$A17)*('01_予約入力'!$G$5:$G$204&gt;$A17)*(ROW('01_予約入力'!$E$5:$E$204)-4))))</f>
        <v/>
      </c>
      <c r="W17" s="31">
        <f>IF(OR($A17="",F$6=""),0,SUMPRODUCT(MAX(('01_予約入力'!$D$5:$D$204=F$6)*('01_予約入力'!$K$5:$K$204&lt;&gt;"キャンセル")*('01_予約入力'!$E$5:$E$204&lt;&gt;"")*('01_予約入力'!$E$5:$E$204=$A17)*('01_予約入力'!$G$5:$G$204=$A17)*(ROW('01_予約入力'!$E$5:$E$204)-4))))</f>
        <v/>
      </c>
      <c r="X17" s="31">
        <f>IF($A17="","",IF($M17&gt;0,IF(OR(INDEX('01_予約入力'!$K$5:$K$204,$M17)="仮予約",INDEX('01_予約入力'!$K$5:$K$204,$M17)="調整中"),"仮",INDEX('01_予約入力'!$C$5:$C$204,$M17)),IF($N17&gt;0,IF(OR(INDEX('01_予約入力'!$K$5:$K$204,$N17)="仮予約",INDEX('01_予約入力'!$K$5:$K$204,$N17)="調整中"),"仮",INDEX('01_予約入力'!$C$5:$C$204,$N17)),IF($L17&gt;0,IF(OR(INDEX('01_予約入力'!$K$5:$K$204,$L17)="仮予約",INDEX('01_予約入力'!$K$5:$K$204,$L17)="調整中"),"仮",INDEX('01_予約入力'!$C$5:$C$204,$L17)),""))))</f>
        <v/>
      </c>
      <c r="Y17" s="31">
        <f>IF($A17="","",IF($P17&gt;0,IF(OR(INDEX('01_予約入力'!$K$5:$K$204,$P17)="仮予約",INDEX('01_予約入力'!$K$5:$K$204,$P17)="調整中"),"仮",INDEX('01_予約入力'!$C$5:$C$204,$P17)),IF($Q17&gt;0,IF(OR(INDEX('01_予約入力'!$K$5:$K$204,$Q17)="仮予約",INDEX('01_予約入力'!$K$5:$K$204,$Q17)="調整中"),"仮",INDEX('01_予約入力'!$C$5:$C$204,$Q17)),IF($O17&gt;0,IF(OR(INDEX('01_予約入力'!$K$5:$K$204,$O17)="仮予約",INDEX('01_予約入力'!$K$5:$K$204,$O17)="調整中"),"仮",INDEX('01_予約入力'!$C$5:$C$204,$O17)),""))))</f>
        <v/>
      </c>
      <c r="Z17" s="31">
        <f>IF($A17="","",IF($S17&gt;0,IF(OR(INDEX('01_予約入力'!$K$5:$K$204,$S17)="仮予約",INDEX('01_予約入力'!$K$5:$K$204,$S17)="調整中"),"仮",INDEX('01_予約入力'!$C$5:$C$204,$S17)),IF($T17&gt;0,IF(OR(INDEX('01_予約入力'!$K$5:$K$204,$T17)="仮予約",INDEX('01_予約入力'!$K$5:$K$204,$T17)="調整中"),"仮",INDEX('01_予約入力'!$C$5:$C$204,$T17)),IF($R17&gt;0,IF(OR(INDEX('01_予約入力'!$K$5:$K$204,$R17)="仮予約",INDEX('01_予約入力'!$K$5:$K$204,$R17)="調整中"),"仮",INDEX('01_予約入力'!$C$5:$C$204,$R17)),""))))</f>
        <v/>
      </c>
      <c r="AA17" s="31">
        <f>IF($A17="","",IF($V17&gt;0,IF(OR(INDEX('01_予約入力'!$K$5:$K$204,$V17)="仮予約",INDEX('01_予約入力'!$K$5:$K$204,$V17)="調整中"),"仮",INDEX('01_予約入力'!$C$5:$C$204,$V17)),IF($W17&gt;0,IF(OR(INDEX('01_予約入力'!$K$5:$K$204,$W17)="仮予約",INDEX('01_予約入力'!$K$5:$K$204,$W17)="調整中"),"仮",INDEX('01_予約入力'!$C$5:$C$204,$W17)),IF($U17&gt;0,IF(OR(INDEX('01_予約入力'!$K$5:$K$204,$U17)="仮予約",INDEX('01_予約入力'!$K$5:$K$204,$U17)="調整中"),"仮",INDEX('01_予約入力'!$C$5:$C$204,$U17)),""))))</f>
        <v/>
      </c>
    </row>
    <row r="18">
      <c r="A18" s="33">
        <f>IF(MONTH('02_カレンダー'!$B$4+11)&lt;&gt;MONTH('02_カレンダー'!$B$4),"",'02_カレンダー'!$B$4+11)</f>
        <v/>
      </c>
      <c r="B18" s="31">
        <f>IF($A18="","",MID("日月火水木金土",WEEKDAY($A18),1))</f>
        <v/>
      </c>
      <c r="C18" s="34">
        <f>IF(OR($A18="",C$6=""),"",IF($L18=0,"",INDEX('01_予約入力'!$B$5:$B$204,$L18)&amp;" ◀")&amp;IF(AND($L18&gt;0,OR($M18&gt;0,$N18&gt;0)),"  ","")&amp;IF($M18=0,"",IF(INDEX('01_予約入力'!$E$5:$E$204,$M18)=$A18,"▶ ","")&amp;INDEX('01_予約入力'!$B$5:$B$204,$M18))&amp;IF(AND($M18&gt;0,$N18&gt;0),"  ","")&amp;IF($N18=0,"","◆ "&amp;INDEX('01_予約入力'!$B$5:$B$204,$N18)))</f>
        <v/>
      </c>
      <c r="D18" s="34">
        <f>IF(OR($A18="",D$6=""),"",IF($O18=0,"",INDEX('01_予約入力'!$B$5:$B$204,$O18)&amp;" ◀")&amp;IF(AND($O18&gt;0,OR($P18&gt;0,$Q18&gt;0)),"  ","")&amp;IF($P18=0,"",IF(INDEX('01_予約入力'!$E$5:$E$204,$P18)=$A18,"▶ ","")&amp;INDEX('01_予約入力'!$B$5:$B$204,$P18))&amp;IF(AND($P18&gt;0,$Q18&gt;0),"  ","")&amp;IF($Q18=0,"","◆ "&amp;INDEX('01_予約入力'!$B$5:$B$204,$Q18)))</f>
        <v/>
      </c>
      <c r="E18" s="34">
        <f>IF(OR($A18="",E$6=""),"",IF($R18=0,"",INDEX('01_予約入力'!$B$5:$B$204,$R18)&amp;" ◀")&amp;IF(AND($R18&gt;0,OR($S18&gt;0,$T18&gt;0)),"  ","")&amp;IF($S18=0,"",IF(INDEX('01_予約入力'!$E$5:$E$204,$S18)=$A18,"▶ ","")&amp;INDEX('01_予約入力'!$B$5:$B$204,$S18))&amp;IF(AND($S18&gt;0,$T18&gt;0),"  ","")&amp;IF($T18=0,"","◆ "&amp;INDEX('01_予約入力'!$B$5:$B$204,$T18)))</f>
        <v/>
      </c>
      <c r="F18" s="34">
        <f>IF(OR($A18="",F$6=""),"",IF($U18=0,"",INDEX('01_予約入力'!$B$5:$B$204,$U18)&amp;" ◀")&amp;IF(AND($U18&gt;0,OR($V18&gt;0,$W18&gt;0)),"  ","")&amp;IF($V18=0,"",IF(INDEX('01_予約入力'!$E$5:$E$204,$V18)=$A18,"▶ ","")&amp;INDEX('01_予約入力'!$B$5:$B$204,$V18))&amp;IF(AND($V18&gt;0,$W18&gt;0),"  ","")&amp;IF($W18=0,"","◆ "&amp;INDEX('01_予約入力'!$B$5:$B$204,$W18)))</f>
        <v/>
      </c>
      <c r="G18" s="31">
        <f>IF($A18="","",SUMPRODUCT(('01_予約入力'!$E$5:$E$204&lt;&gt;"")*('01_予約入力'!$K$5:$K$204&lt;&gt;"キャンセル")*('01_予約入力'!$E$5:$E$204&lt;=$A18)*('01_予約入力'!$G$5:$G$204&gt;$A18)))</f>
        <v/>
      </c>
      <c r="H18" s="31">
        <f>IF($A18="","",'M_施設設定'!$B$6-$G18)</f>
        <v/>
      </c>
      <c r="I18" s="31">
        <f>IF($A18="","",SUMPRODUCT((('01_予約入力'!$K$5:$K$204="仮予約")+('01_予約入力'!$K$5:$K$204="調整中"))*('01_予約入力'!$E$5:$E$204&lt;&gt;"")*('01_予約入力'!$E$5:$E$204&lt;=$A18)*('01_予約入力'!$G$5:$G$204&gt;$A18)))</f>
        <v/>
      </c>
      <c r="J18" s="31">
        <f>IF($A18="","",IF($I18&gt;0,"仮",IF($H18&lt;=0,"×",IF($H18&lt;'M_施設設定'!$B$6,"△","○"))))</f>
        <v/>
      </c>
      <c r="K18" s="31">
        <f>IF($A18="","",SUMPRODUCT(('01_予約入力'!$E$5:$E$204&lt;&gt;"")*('01_予約入力'!$K$5:$K$204&lt;&gt;"キャンセル")*('01_予約入力'!$E$5:$E$204=$A18)*('01_予約入力'!$G$5:$G$204=$A18)))</f>
        <v/>
      </c>
      <c r="L18" s="31">
        <f>IF(OR($A18="",C$6=""),0,SUMPRODUCT(MAX(('01_予約入力'!$D$5:$D$204=C$6)*('01_予約入力'!$K$5:$K$204&lt;&gt;"キャンセル")*('01_予約入力'!$E$5:$E$204&lt;&gt;"")*('01_予約入力'!$G$5:$G$204=$A18)*('01_予約入力'!$E$5:$E$204&lt;$A18)*(ROW('01_予約入力'!$E$5:$E$204)-4))))</f>
        <v/>
      </c>
      <c r="M18" s="31">
        <f>IF(OR($A18="",C$6=""),0,SUMPRODUCT(MAX(('01_予約入力'!$D$5:$D$204=C$6)*('01_予約入力'!$K$5:$K$204&lt;&gt;"キャンセル")*('01_予約入力'!$E$5:$E$204&lt;&gt;"")*('01_予約入力'!$E$5:$E$204&lt;=$A18)*('01_予約入力'!$G$5:$G$204&gt;$A18)*(ROW('01_予約入力'!$E$5:$E$204)-4))))</f>
        <v/>
      </c>
      <c r="N18" s="31">
        <f>IF(OR($A18="",C$6=""),0,SUMPRODUCT(MAX(('01_予約入力'!$D$5:$D$204=C$6)*('01_予約入力'!$K$5:$K$204&lt;&gt;"キャンセル")*('01_予約入力'!$E$5:$E$204&lt;&gt;"")*('01_予約入力'!$E$5:$E$204=$A18)*('01_予約入力'!$G$5:$G$204=$A18)*(ROW('01_予約入力'!$E$5:$E$204)-4))))</f>
        <v/>
      </c>
      <c r="O18" s="31">
        <f>IF(OR($A18="",D$6=""),0,SUMPRODUCT(MAX(('01_予約入力'!$D$5:$D$204=D$6)*('01_予約入力'!$K$5:$K$204&lt;&gt;"キャンセル")*('01_予約入力'!$E$5:$E$204&lt;&gt;"")*('01_予約入力'!$G$5:$G$204=$A18)*('01_予約入力'!$E$5:$E$204&lt;$A18)*(ROW('01_予約入力'!$E$5:$E$204)-4))))</f>
        <v/>
      </c>
      <c r="P18" s="31">
        <f>IF(OR($A18="",D$6=""),0,SUMPRODUCT(MAX(('01_予約入力'!$D$5:$D$204=D$6)*('01_予約入力'!$K$5:$K$204&lt;&gt;"キャンセル")*('01_予約入力'!$E$5:$E$204&lt;&gt;"")*('01_予約入力'!$E$5:$E$204&lt;=$A18)*('01_予約入力'!$G$5:$G$204&gt;$A18)*(ROW('01_予約入力'!$E$5:$E$204)-4))))</f>
        <v/>
      </c>
      <c r="Q18" s="31">
        <f>IF(OR($A18="",D$6=""),0,SUMPRODUCT(MAX(('01_予約入力'!$D$5:$D$204=D$6)*('01_予約入力'!$K$5:$K$204&lt;&gt;"キャンセル")*('01_予約入力'!$E$5:$E$204&lt;&gt;"")*('01_予約入力'!$E$5:$E$204=$A18)*('01_予約入力'!$G$5:$G$204=$A18)*(ROW('01_予約入力'!$E$5:$E$204)-4))))</f>
        <v/>
      </c>
      <c r="R18" s="31">
        <f>IF(OR($A18="",E$6=""),0,SUMPRODUCT(MAX(('01_予約入力'!$D$5:$D$204=E$6)*('01_予約入力'!$K$5:$K$204&lt;&gt;"キャンセル")*('01_予約入力'!$E$5:$E$204&lt;&gt;"")*('01_予約入力'!$G$5:$G$204=$A18)*('01_予約入力'!$E$5:$E$204&lt;$A18)*(ROW('01_予約入力'!$E$5:$E$204)-4))))</f>
        <v/>
      </c>
      <c r="S18" s="31">
        <f>IF(OR($A18="",E$6=""),0,SUMPRODUCT(MAX(('01_予約入力'!$D$5:$D$204=E$6)*('01_予約入力'!$K$5:$K$204&lt;&gt;"キャンセル")*('01_予約入力'!$E$5:$E$204&lt;&gt;"")*('01_予約入力'!$E$5:$E$204&lt;=$A18)*('01_予約入力'!$G$5:$G$204&gt;$A18)*(ROW('01_予約入力'!$E$5:$E$204)-4))))</f>
        <v/>
      </c>
      <c r="T18" s="31">
        <f>IF(OR($A18="",E$6=""),0,SUMPRODUCT(MAX(('01_予約入力'!$D$5:$D$204=E$6)*('01_予約入力'!$K$5:$K$204&lt;&gt;"キャンセル")*('01_予約入力'!$E$5:$E$204&lt;&gt;"")*('01_予約入力'!$E$5:$E$204=$A18)*('01_予約入力'!$G$5:$G$204=$A18)*(ROW('01_予約入力'!$E$5:$E$204)-4))))</f>
        <v/>
      </c>
      <c r="U18" s="31">
        <f>IF(OR($A18="",F$6=""),0,SUMPRODUCT(MAX(('01_予約入力'!$D$5:$D$204=F$6)*('01_予約入力'!$K$5:$K$204&lt;&gt;"キャンセル")*('01_予約入力'!$E$5:$E$204&lt;&gt;"")*('01_予約入力'!$G$5:$G$204=$A18)*('01_予約入力'!$E$5:$E$204&lt;$A18)*(ROW('01_予約入力'!$E$5:$E$204)-4))))</f>
        <v/>
      </c>
      <c r="V18" s="31">
        <f>IF(OR($A18="",F$6=""),0,SUMPRODUCT(MAX(('01_予約入力'!$D$5:$D$204=F$6)*('01_予約入力'!$K$5:$K$204&lt;&gt;"キャンセル")*('01_予約入力'!$E$5:$E$204&lt;&gt;"")*('01_予約入力'!$E$5:$E$204&lt;=$A18)*('01_予約入力'!$G$5:$G$204&gt;$A18)*(ROW('01_予約入力'!$E$5:$E$204)-4))))</f>
        <v/>
      </c>
      <c r="W18" s="31">
        <f>IF(OR($A18="",F$6=""),0,SUMPRODUCT(MAX(('01_予約入力'!$D$5:$D$204=F$6)*('01_予約入力'!$K$5:$K$204&lt;&gt;"キャンセル")*('01_予約入力'!$E$5:$E$204&lt;&gt;"")*('01_予約入力'!$E$5:$E$204=$A18)*('01_予約入力'!$G$5:$G$204=$A18)*(ROW('01_予約入力'!$E$5:$E$204)-4))))</f>
        <v/>
      </c>
      <c r="X18" s="31">
        <f>IF($A18="","",IF($M18&gt;0,IF(OR(INDEX('01_予約入力'!$K$5:$K$204,$M18)="仮予約",INDEX('01_予約入力'!$K$5:$K$204,$M18)="調整中"),"仮",INDEX('01_予約入力'!$C$5:$C$204,$M18)),IF($N18&gt;0,IF(OR(INDEX('01_予約入力'!$K$5:$K$204,$N18)="仮予約",INDEX('01_予約入力'!$K$5:$K$204,$N18)="調整中"),"仮",INDEX('01_予約入力'!$C$5:$C$204,$N18)),IF($L18&gt;0,IF(OR(INDEX('01_予約入力'!$K$5:$K$204,$L18)="仮予約",INDEX('01_予約入力'!$K$5:$K$204,$L18)="調整中"),"仮",INDEX('01_予約入力'!$C$5:$C$204,$L18)),""))))</f>
        <v/>
      </c>
      <c r="Y18" s="31">
        <f>IF($A18="","",IF($P18&gt;0,IF(OR(INDEX('01_予約入力'!$K$5:$K$204,$P18)="仮予約",INDEX('01_予約入力'!$K$5:$K$204,$P18)="調整中"),"仮",INDEX('01_予約入力'!$C$5:$C$204,$P18)),IF($Q18&gt;0,IF(OR(INDEX('01_予約入力'!$K$5:$K$204,$Q18)="仮予約",INDEX('01_予約入力'!$K$5:$K$204,$Q18)="調整中"),"仮",INDEX('01_予約入力'!$C$5:$C$204,$Q18)),IF($O18&gt;0,IF(OR(INDEX('01_予約入力'!$K$5:$K$204,$O18)="仮予約",INDEX('01_予約入力'!$K$5:$K$204,$O18)="調整中"),"仮",INDEX('01_予約入力'!$C$5:$C$204,$O18)),""))))</f>
        <v/>
      </c>
      <c r="Z18" s="31">
        <f>IF($A18="","",IF($S18&gt;0,IF(OR(INDEX('01_予約入力'!$K$5:$K$204,$S18)="仮予約",INDEX('01_予約入力'!$K$5:$K$204,$S18)="調整中"),"仮",INDEX('01_予約入力'!$C$5:$C$204,$S18)),IF($T18&gt;0,IF(OR(INDEX('01_予約入力'!$K$5:$K$204,$T18)="仮予約",INDEX('01_予約入力'!$K$5:$K$204,$T18)="調整中"),"仮",INDEX('01_予約入力'!$C$5:$C$204,$T18)),IF($R18&gt;0,IF(OR(INDEX('01_予約入力'!$K$5:$K$204,$R18)="仮予約",INDEX('01_予約入力'!$K$5:$K$204,$R18)="調整中"),"仮",INDEX('01_予約入力'!$C$5:$C$204,$R18)),""))))</f>
        <v/>
      </c>
      <c r="AA18" s="31">
        <f>IF($A18="","",IF($V18&gt;0,IF(OR(INDEX('01_予約入力'!$K$5:$K$204,$V18)="仮予約",INDEX('01_予約入力'!$K$5:$K$204,$V18)="調整中"),"仮",INDEX('01_予約入力'!$C$5:$C$204,$V18)),IF($W18&gt;0,IF(OR(INDEX('01_予約入力'!$K$5:$K$204,$W18)="仮予約",INDEX('01_予約入力'!$K$5:$K$204,$W18)="調整中"),"仮",INDEX('01_予約入力'!$C$5:$C$204,$W18)),IF($U18&gt;0,IF(OR(INDEX('01_予約入力'!$K$5:$K$204,$U18)="仮予約",INDEX('01_予約入力'!$K$5:$K$204,$U18)="調整中"),"仮",INDEX('01_予約入力'!$C$5:$C$204,$U18)),""))))</f>
        <v/>
      </c>
    </row>
    <row r="19">
      <c r="A19" s="33">
        <f>IF(MONTH('02_カレンダー'!$B$4+12)&lt;&gt;MONTH('02_カレンダー'!$B$4),"",'02_カレンダー'!$B$4+12)</f>
        <v/>
      </c>
      <c r="B19" s="31">
        <f>IF($A19="","",MID("日月火水木金土",WEEKDAY($A19),1))</f>
        <v/>
      </c>
      <c r="C19" s="34">
        <f>IF(OR($A19="",C$6=""),"",IF($L19=0,"",INDEX('01_予約入力'!$B$5:$B$204,$L19)&amp;" ◀")&amp;IF(AND($L19&gt;0,OR($M19&gt;0,$N19&gt;0)),"  ","")&amp;IF($M19=0,"",IF(INDEX('01_予約入力'!$E$5:$E$204,$M19)=$A19,"▶ ","")&amp;INDEX('01_予約入力'!$B$5:$B$204,$M19))&amp;IF(AND($M19&gt;0,$N19&gt;0),"  ","")&amp;IF($N19=0,"","◆ "&amp;INDEX('01_予約入力'!$B$5:$B$204,$N19)))</f>
        <v/>
      </c>
      <c r="D19" s="34">
        <f>IF(OR($A19="",D$6=""),"",IF($O19=0,"",INDEX('01_予約入力'!$B$5:$B$204,$O19)&amp;" ◀")&amp;IF(AND($O19&gt;0,OR($P19&gt;0,$Q19&gt;0)),"  ","")&amp;IF($P19=0,"",IF(INDEX('01_予約入力'!$E$5:$E$204,$P19)=$A19,"▶ ","")&amp;INDEX('01_予約入力'!$B$5:$B$204,$P19))&amp;IF(AND($P19&gt;0,$Q19&gt;0),"  ","")&amp;IF($Q19=0,"","◆ "&amp;INDEX('01_予約入力'!$B$5:$B$204,$Q19)))</f>
        <v/>
      </c>
      <c r="E19" s="34">
        <f>IF(OR($A19="",E$6=""),"",IF($R19=0,"",INDEX('01_予約入力'!$B$5:$B$204,$R19)&amp;" ◀")&amp;IF(AND($R19&gt;0,OR($S19&gt;0,$T19&gt;0)),"  ","")&amp;IF($S19=0,"",IF(INDEX('01_予約入力'!$E$5:$E$204,$S19)=$A19,"▶ ","")&amp;INDEX('01_予約入力'!$B$5:$B$204,$S19))&amp;IF(AND($S19&gt;0,$T19&gt;0),"  ","")&amp;IF($T19=0,"","◆ "&amp;INDEX('01_予約入力'!$B$5:$B$204,$T19)))</f>
        <v/>
      </c>
      <c r="F19" s="34">
        <f>IF(OR($A19="",F$6=""),"",IF($U19=0,"",INDEX('01_予約入力'!$B$5:$B$204,$U19)&amp;" ◀")&amp;IF(AND($U19&gt;0,OR($V19&gt;0,$W19&gt;0)),"  ","")&amp;IF($V19=0,"",IF(INDEX('01_予約入力'!$E$5:$E$204,$V19)=$A19,"▶ ","")&amp;INDEX('01_予約入力'!$B$5:$B$204,$V19))&amp;IF(AND($V19&gt;0,$W19&gt;0),"  ","")&amp;IF($W19=0,"","◆ "&amp;INDEX('01_予約入力'!$B$5:$B$204,$W19)))</f>
        <v/>
      </c>
      <c r="G19" s="31">
        <f>IF($A19="","",SUMPRODUCT(('01_予約入力'!$E$5:$E$204&lt;&gt;"")*('01_予約入力'!$K$5:$K$204&lt;&gt;"キャンセル")*('01_予約入力'!$E$5:$E$204&lt;=$A19)*('01_予約入力'!$G$5:$G$204&gt;$A19)))</f>
        <v/>
      </c>
      <c r="H19" s="31">
        <f>IF($A19="","",'M_施設設定'!$B$6-$G19)</f>
        <v/>
      </c>
      <c r="I19" s="31">
        <f>IF($A19="","",SUMPRODUCT((('01_予約入力'!$K$5:$K$204="仮予約")+('01_予約入力'!$K$5:$K$204="調整中"))*('01_予約入力'!$E$5:$E$204&lt;&gt;"")*('01_予約入力'!$E$5:$E$204&lt;=$A19)*('01_予約入力'!$G$5:$G$204&gt;$A19)))</f>
        <v/>
      </c>
      <c r="J19" s="31">
        <f>IF($A19="","",IF($I19&gt;0,"仮",IF($H19&lt;=0,"×",IF($H19&lt;'M_施設設定'!$B$6,"△","○"))))</f>
        <v/>
      </c>
      <c r="K19" s="31">
        <f>IF($A19="","",SUMPRODUCT(('01_予約入力'!$E$5:$E$204&lt;&gt;"")*('01_予約入力'!$K$5:$K$204&lt;&gt;"キャンセル")*('01_予約入力'!$E$5:$E$204=$A19)*('01_予約入力'!$G$5:$G$204=$A19)))</f>
        <v/>
      </c>
      <c r="L19" s="31">
        <f>IF(OR($A19="",C$6=""),0,SUMPRODUCT(MAX(('01_予約入力'!$D$5:$D$204=C$6)*('01_予約入力'!$K$5:$K$204&lt;&gt;"キャンセル")*('01_予約入力'!$E$5:$E$204&lt;&gt;"")*('01_予約入力'!$G$5:$G$204=$A19)*('01_予約入力'!$E$5:$E$204&lt;$A19)*(ROW('01_予約入力'!$E$5:$E$204)-4))))</f>
        <v/>
      </c>
      <c r="M19" s="31">
        <f>IF(OR($A19="",C$6=""),0,SUMPRODUCT(MAX(('01_予約入力'!$D$5:$D$204=C$6)*('01_予約入力'!$K$5:$K$204&lt;&gt;"キャンセル")*('01_予約入力'!$E$5:$E$204&lt;&gt;"")*('01_予約入力'!$E$5:$E$204&lt;=$A19)*('01_予約入力'!$G$5:$G$204&gt;$A19)*(ROW('01_予約入力'!$E$5:$E$204)-4))))</f>
        <v/>
      </c>
      <c r="N19" s="31">
        <f>IF(OR($A19="",C$6=""),0,SUMPRODUCT(MAX(('01_予約入力'!$D$5:$D$204=C$6)*('01_予約入力'!$K$5:$K$204&lt;&gt;"キャンセル")*('01_予約入力'!$E$5:$E$204&lt;&gt;"")*('01_予約入力'!$E$5:$E$204=$A19)*('01_予約入力'!$G$5:$G$204=$A19)*(ROW('01_予約入力'!$E$5:$E$204)-4))))</f>
        <v/>
      </c>
      <c r="O19" s="31">
        <f>IF(OR($A19="",D$6=""),0,SUMPRODUCT(MAX(('01_予約入力'!$D$5:$D$204=D$6)*('01_予約入力'!$K$5:$K$204&lt;&gt;"キャンセル")*('01_予約入力'!$E$5:$E$204&lt;&gt;"")*('01_予約入力'!$G$5:$G$204=$A19)*('01_予約入力'!$E$5:$E$204&lt;$A19)*(ROW('01_予約入力'!$E$5:$E$204)-4))))</f>
        <v/>
      </c>
      <c r="P19" s="31">
        <f>IF(OR($A19="",D$6=""),0,SUMPRODUCT(MAX(('01_予約入力'!$D$5:$D$204=D$6)*('01_予約入力'!$K$5:$K$204&lt;&gt;"キャンセル")*('01_予約入力'!$E$5:$E$204&lt;&gt;"")*('01_予約入力'!$E$5:$E$204&lt;=$A19)*('01_予約入力'!$G$5:$G$204&gt;$A19)*(ROW('01_予約入力'!$E$5:$E$204)-4))))</f>
        <v/>
      </c>
      <c r="Q19" s="31">
        <f>IF(OR($A19="",D$6=""),0,SUMPRODUCT(MAX(('01_予約入力'!$D$5:$D$204=D$6)*('01_予約入力'!$K$5:$K$204&lt;&gt;"キャンセル")*('01_予約入力'!$E$5:$E$204&lt;&gt;"")*('01_予約入力'!$E$5:$E$204=$A19)*('01_予約入力'!$G$5:$G$204=$A19)*(ROW('01_予約入力'!$E$5:$E$204)-4))))</f>
        <v/>
      </c>
      <c r="R19" s="31">
        <f>IF(OR($A19="",E$6=""),0,SUMPRODUCT(MAX(('01_予約入力'!$D$5:$D$204=E$6)*('01_予約入力'!$K$5:$K$204&lt;&gt;"キャンセル")*('01_予約入力'!$E$5:$E$204&lt;&gt;"")*('01_予約入力'!$G$5:$G$204=$A19)*('01_予約入力'!$E$5:$E$204&lt;$A19)*(ROW('01_予約入力'!$E$5:$E$204)-4))))</f>
        <v/>
      </c>
      <c r="S19" s="31">
        <f>IF(OR($A19="",E$6=""),0,SUMPRODUCT(MAX(('01_予約入力'!$D$5:$D$204=E$6)*('01_予約入力'!$K$5:$K$204&lt;&gt;"キャンセル")*('01_予約入力'!$E$5:$E$204&lt;&gt;"")*('01_予約入力'!$E$5:$E$204&lt;=$A19)*('01_予約入力'!$G$5:$G$204&gt;$A19)*(ROW('01_予約入力'!$E$5:$E$204)-4))))</f>
        <v/>
      </c>
      <c r="T19" s="31">
        <f>IF(OR($A19="",E$6=""),0,SUMPRODUCT(MAX(('01_予約入力'!$D$5:$D$204=E$6)*('01_予約入力'!$K$5:$K$204&lt;&gt;"キャンセル")*('01_予約入力'!$E$5:$E$204&lt;&gt;"")*('01_予約入力'!$E$5:$E$204=$A19)*('01_予約入力'!$G$5:$G$204=$A19)*(ROW('01_予約入力'!$E$5:$E$204)-4))))</f>
        <v/>
      </c>
      <c r="U19" s="31">
        <f>IF(OR($A19="",F$6=""),0,SUMPRODUCT(MAX(('01_予約入力'!$D$5:$D$204=F$6)*('01_予約入力'!$K$5:$K$204&lt;&gt;"キャンセル")*('01_予約入力'!$E$5:$E$204&lt;&gt;"")*('01_予約入力'!$G$5:$G$204=$A19)*('01_予約入力'!$E$5:$E$204&lt;$A19)*(ROW('01_予約入力'!$E$5:$E$204)-4))))</f>
        <v/>
      </c>
      <c r="V19" s="31">
        <f>IF(OR($A19="",F$6=""),0,SUMPRODUCT(MAX(('01_予約入力'!$D$5:$D$204=F$6)*('01_予約入力'!$K$5:$K$204&lt;&gt;"キャンセル")*('01_予約入力'!$E$5:$E$204&lt;&gt;"")*('01_予約入力'!$E$5:$E$204&lt;=$A19)*('01_予約入力'!$G$5:$G$204&gt;$A19)*(ROW('01_予約入力'!$E$5:$E$204)-4))))</f>
        <v/>
      </c>
      <c r="W19" s="31">
        <f>IF(OR($A19="",F$6=""),0,SUMPRODUCT(MAX(('01_予約入力'!$D$5:$D$204=F$6)*('01_予約入力'!$K$5:$K$204&lt;&gt;"キャンセル")*('01_予約入力'!$E$5:$E$204&lt;&gt;"")*('01_予約入力'!$E$5:$E$204=$A19)*('01_予約入力'!$G$5:$G$204=$A19)*(ROW('01_予約入力'!$E$5:$E$204)-4))))</f>
        <v/>
      </c>
      <c r="X19" s="31">
        <f>IF($A19="","",IF($M19&gt;0,IF(OR(INDEX('01_予約入力'!$K$5:$K$204,$M19)="仮予約",INDEX('01_予約入力'!$K$5:$K$204,$M19)="調整中"),"仮",INDEX('01_予約入力'!$C$5:$C$204,$M19)),IF($N19&gt;0,IF(OR(INDEX('01_予約入力'!$K$5:$K$204,$N19)="仮予約",INDEX('01_予約入力'!$K$5:$K$204,$N19)="調整中"),"仮",INDEX('01_予約入力'!$C$5:$C$204,$N19)),IF($L19&gt;0,IF(OR(INDEX('01_予約入力'!$K$5:$K$204,$L19)="仮予約",INDEX('01_予約入力'!$K$5:$K$204,$L19)="調整中"),"仮",INDEX('01_予約入力'!$C$5:$C$204,$L19)),""))))</f>
        <v/>
      </c>
      <c r="Y19" s="31">
        <f>IF($A19="","",IF($P19&gt;0,IF(OR(INDEX('01_予約入力'!$K$5:$K$204,$P19)="仮予約",INDEX('01_予約入力'!$K$5:$K$204,$P19)="調整中"),"仮",INDEX('01_予約入力'!$C$5:$C$204,$P19)),IF($Q19&gt;0,IF(OR(INDEX('01_予約入力'!$K$5:$K$204,$Q19)="仮予約",INDEX('01_予約入力'!$K$5:$K$204,$Q19)="調整中"),"仮",INDEX('01_予約入力'!$C$5:$C$204,$Q19)),IF($O19&gt;0,IF(OR(INDEX('01_予約入力'!$K$5:$K$204,$O19)="仮予約",INDEX('01_予約入力'!$K$5:$K$204,$O19)="調整中"),"仮",INDEX('01_予約入力'!$C$5:$C$204,$O19)),""))))</f>
        <v/>
      </c>
      <c r="Z19" s="31">
        <f>IF($A19="","",IF($S19&gt;0,IF(OR(INDEX('01_予約入力'!$K$5:$K$204,$S19)="仮予約",INDEX('01_予約入力'!$K$5:$K$204,$S19)="調整中"),"仮",INDEX('01_予約入力'!$C$5:$C$204,$S19)),IF($T19&gt;0,IF(OR(INDEX('01_予約入力'!$K$5:$K$204,$T19)="仮予約",INDEX('01_予約入力'!$K$5:$K$204,$T19)="調整中"),"仮",INDEX('01_予約入力'!$C$5:$C$204,$T19)),IF($R19&gt;0,IF(OR(INDEX('01_予約入力'!$K$5:$K$204,$R19)="仮予約",INDEX('01_予約入力'!$K$5:$K$204,$R19)="調整中"),"仮",INDEX('01_予約入力'!$C$5:$C$204,$R19)),""))))</f>
        <v/>
      </c>
      <c r="AA19" s="31">
        <f>IF($A19="","",IF($V19&gt;0,IF(OR(INDEX('01_予約入力'!$K$5:$K$204,$V19)="仮予約",INDEX('01_予約入力'!$K$5:$K$204,$V19)="調整中"),"仮",INDEX('01_予約入力'!$C$5:$C$204,$V19)),IF($W19&gt;0,IF(OR(INDEX('01_予約入力'!$K$5:$K$204,$W19)="仮予約",INDEX('01_予約入力'!$K$5:$K$204,$W19)="調整中"),"仮",INDEX('01_予約入力'!$C$5:$C$204,$W19)),IF($U19&gt;0,IF(OR(INDEX('01_予約入力'!$K$5:$K$204,$U19)="仮予約",INDEX('01_予約入力'!$K$5:$K$204,$U19)="調整中"),"仮",INDEX('01_予約入力'!$C$5:$C$204,$U19)),""))))</f>
        <v/>
      </c>
    </row>
    <row r="20">
      <c r="A20" s="33">
        <f>IF(MONTH('02_カレンダー'!$B$4+13)&lt;&gt;MONTH('02_カレンダー'!$B$4),"",'02_カレンダー'!$B$4+13)</f>
        <v/>
      </c>
      <c r="B20" s="31">
        <f>IF($A20="","",MID("日月火水木金土",WEEKDAY($A20),1))</f>
        <v/>
      </c>
      <c r="C20" s="34">
        <f>IF(OR($A20="",C$6=""),"",IF($L20=0,"",INDEX('01_予約入力'!$B$5:$B$204,$L20)&amp;" ◀")&amp;IF(AND($L20&gt;0,OR($M20&gt;0,$N20&gt;0)),"  ","")&amp;IF($M20=0,"",IF(INDEX('01_予約入力'!$E$5:$E$204,$M20)=$A20,"▶ ","")&amp;INDEX('01_予約入力'!$B$5:$B$204,$M20))&amp;IF(AND($M20&gt;0,$N20&gt;0),"  ","")&amp;IF($N20=0,"","◆ "&amp;INDEX('01_予約入力'!$B$5:$B$204,$N20)))</f>
        <v/>
      </c>
      <c r="D20" s="34">
        <f>IF(OR($A20="",D$6=""),"",IF($O20=0,"",INDEX('01_予約入力'!$B$5:$B$204,$O20)&amp;" ◀")&amp;IF(AND($O20&gt;0,OR($P20&gt;0,$Q20&gt;0)),"  ","")&amp;IF($P20=0,"",IF(INDEX('01_予約入力'!$E$5:$E$204,$P20)=$A20,"▶ ","")&amp;INDEX('01_予約入力'!$B$5:$B$204,$P20))&amp;IF(AND($P20&gt;0,$Q20&gt;0),"  ","")&amp;IF($Q20=0,"","◆ "&amp;INDEX('01_予約入力'!$B$5:$B$204,$Q20)))</f>
        <v/>
      </c>
      <c r="E20" s="34">
        <f>IF(OR($A20="",E$6=""),"",IF($R20=0,"",INDEX('01_予約入力'!$B$5:$B$204,$R20)&amp;" ◀")&amp;IF(AND($R20&gt;0,OR($S20&gt;0,$T20&gt;0)),"  ","")&amp;IF($S20=0,"",IF(INDEX('01_予約入力'!$E$5:$E$204,$S20)=$A20,"▶ ","")&amp;INDEX('01_予約入力'!$B$5:$B$204,$S20))&amp;IF(AND($S20&gt;0,$T20&gt;0),"  ","")&amp;IF($T20=0,"","◆ "&amp;INDEX('01_予約入力'!$B$5:$B$204,$T20)))</f>
        <v/>
      </c>
      <c r="F20" s="34">
        <f>IF(OR($A20="",F$6=""),"",IF($U20=0,"",INDEX('01_予約入力'!$B$5:$B$204,$U20)&amp;" ◀")&amp;IF(AND($U20&gt;0,OR($V20&gt;0,$W20&gt;0)),"  ","")&amp;IF($V20=0,"",IF(INDEX('01_予約入力'!$E$5:$E$204,$V20)=$A20,"▶ ","")&amp;INDEX('01_予約入力'!$B$5:$B$204,$V20))&amp;IF(AND($V20&gt;0,$W20&gt;0),"  ","")&amp;IF($W20=0,"","◆ "&amp;INDEX('01_予約入力'!$B$5:$B$204,$W20)))</f>
        <v/>
      </c>
      <c r="G20" s="31">
        <f>IF($A20="","",SUMPRODUCT(('01_予約入力'!$E$5:$E$204&lt;&gt;"")*('01_予約入力'!$K$5:$K$204&lt;&gt;"キャンセル")*('01_予約入力'!$E$5:$E$204&lt;=$A20)*('01_予約入力'!$G$5:$G$204&gt;$A20)))</f>
        <v/>
      </c>
      <c r="H20" s="31">
        <f>IF($A20="","",'M_施設設定'!$B$6-$G20)</f>
        <v/>
      </c>
      <c r="I20" s="31">
        <f>IF($A20="","",SUMPRODUCT((('01_予約入力'!$K$5:$K$204="仮予約")+('01_予約入力'!$K$5:$K$204="調整中"))*('01_予約入力'!$E$5:$E$204&lt;&gt;"")*('01_予約入力'!$E$5:$E$204&lt;=$A20)*('01_予約入力'!$G$5:$G$204&gt;$A20)))</f>
        <v/>
      </c>
      <c r="J20" s="31">
        <f>IF($A20="","",IF($I20&gt;0,"仮",IF($H20&lt;=0,"×",IF($H20&lt;'M_施設設定'!$B$6,"△","○"))))</f>
        <v/>
      </c>
      <c r="K20" s="31">
        <f>IF($A20="","",SUMPRODUCT(('01_予約入力'!$E$5:$E$204&lt;&gt;"")*('01_予約入力'!$K$5:$K$204&lt;&gt;"キャンセル")*('01_予約入力'!$E$5:$E$204=$A20)*('01_予約入力'!$G$5:$G$204=$A20)))</f>
        <v/>
      </c>
      <c r="L20" s="31">
        <f>IF(OR($A20="",C$6=""),0,SUMPRODUCT(MAX(('01_予約入力'!$D$5:$D$204=C$6)*('01_予約入力'!$K$5:$K$204&lt;&gt;"キャンセル")*('01_予約入力'!$E$5:$E$204&lt;&gt;"")*('01_予約入力'!$G$5:$G$204=$A20)*('01_予約入力'!$E$5:$E$204&lt;$A20)*(ROW('01_予約入力'!$E$5:$E$204)-4))))</f>
        <v/>
      </c>
      <c r="M20" s="31">
        <f>IF(OR($A20="",C$6=""),0,SUMPRODUCT(MAX(('01_予約入力'!$D$5:$D$204=C$6)*('01_予約入力'!$K$5:$K$204&lt;&gt;"キャンセル")*('01_予約入力'!$E$5:$E$204&lt;&gt;"")*('01_予約入力'!$E$5:$E$204&lt;=$A20)*('01_予約入力'!$G$5:$G$204&gt;$A20)*(ROW('01_予約入力'!$E$5:$E$204)-4))))</f>
        <v/>
      </c>
      <c r="N20" s="31">
        <f>IF(OR($A20="",C$6=""),0,SUMPRODUCT(MAX(('01_予約入力'!$D$5:$D$204=C$6)*('01_予約入力'!$K$5:$K$204&lt;&gt;"キャンセル")*('01_予約入力'!$E$5:$E$204&lt;&gt;"")*('01_予約入力'!$E$5:$E$204=$A20)*('01_予約入力'!$G$5:$G$204=$A20)*(ROW('01_予約入力'!$E$5:$E$204)-4))))</f>
        <v/>
      </c>
      <c r="O20" s="31">
        <f>IF(OR($A20="",D$6=""),0,SUMPRODUCT(MAX(('01_予約入力'!$D$5:$D$204=D$6)*('01_予約入力'!$K$5:$K$204&lt;&gt;"キャンセル")*('01_予約入力'!$E$5:$E$204&lt;&gt;"")*('01_予約入力'!$G$5:$G$204=$A20)*('01_予約入力'!$E$5:$E$204&lt;$A20)*(ROW('01_予約入力'!$E$5:$E$204)-4))))</f>
        <v/>
      </c>
      <c r="P20" s="31">
        <f>IF(OR($A20="",D$6=""),0,SUMPRODUCT(MAX(('01_予約入力'!$D$5:$D$204=D$6)*('01_予約入力'!$K$5:$K$204&lt;&gt;"キャンセル")*('01_予約入力'!$E$5:$E$204&lt;&gt;"")*('01_予約入力'!$E$5:$E$204&lt;=$A20)*('01_予約入力'!$G$5:$G$204&gt;$A20)*(ROW('01_予約入力'!$E$5:$E$204)-4))))</f>
        <v/>
      </c>
      <c r="Q20" s="31">
        <f>IF(OR($A20="",D$6=""),0,SUMPRODUCT(MAX(('01_予約入力'!$D$5:$D$204=D$6)*('01_予約入力'!$K$5:$K$204&lt;&gt;"キャンセル")*('01_予約入力'!$E$5:$E$204&lt;&gt;"")*('01_予約入力'!$E$5:$E$204=$A20)*('01_予約入力'!$G$5:$G$204=$A20)*(ROW('01_予約入力'!$E$5:$E$204)-4))))</f>
        <v/>
      </c>
      <c r="R20" s="31">
        <f>IF(OR($A20="",E$6=""),0,SUMPRODUCT(MAX(('01_予約入力'!$D$5:$D$204=E$6)*('01_予約入力'!$K$5:$K$204&lt;&gt;"キャンセル")*('01_予約入力'!$E$5:$E$204&lt;&gt;"")*('01_予約入力'!$G$5:$G$204=$A20)*('01_予約入力'!$E$5:$E$204&lt;$A20)*(ROW('01_予約入力'!$E$5:$E$204)-4))))</f>
        <v/>
      </c>
      <c r="S20" s="31">
        <f>IF(OR($A20="",E$6=""),0,SUMPRODUCT(MAX(('01_予約入力'!$D$5:$D$204=E$6)*('01_予約入力'!$K$5:$K$204&lt;&gt;"キャンセル")*('01_予約入力'!$E$5:$E$204&lt;&gt;"")*('01_予約入力'!$E$5:$E$204&lt;=$A20)*('01_予約入力'!$G$5:$G$204&gt;$A20)*(ROW('01_予約入力'!$E$5:$E$204)-4))))</f>
        <v/>
      </c>
      <c r="T20" s="31">
        <f>IF(OR($A20="",E$6=""),0,SUMPRODUCT(MAX(('01_予約入力'!$D$5:$D$204=E$6)*('01_予約入力'!$K$5:$K$204&lt;&gt;"キャンセル")*('01_予約入力'!$E$5:$E$204&lt;&gt;"")*('01_予約入力'!$E$5:$E$204=$A20)*('01_予約入力'!$G$5:$G$204=$A20)*(ROW('01_予約入力'!$E$5:$E$204)-4))))</f>
        <v/>
      </c>
      <c r="U20" s="31">
        <f>IF(OR($A20="",F$6=""),0,SUMPRODUCT(MAX(('01_予約入力'!$D$5:$D$204=F$6)*('01_予約入力'!$K$5:$K$204&lt;&gt;"キャンセル")*('01_予約入力'!$E$5:$E$204&lt;&gt;"")*('01_予約入力'!$G$5:$G$204=$A20)*('01_予約入力'!$E$5:$E$204&lt;$A20)*(ROW('01_予約入力'!$E$5:$E$204)-4))))</f>
        <v/>
      </c>
      <c r="V20" s="31">
        <f>IF(OR($A20="",F$6=""),0,SUMPRODUCT(MAX(('01_予約入力'!$D$5:$D$204=F$6)*('01_予約入力'!$K$5:$K$204&lt;&gt;"キャンセル")*('01_予約入力'!$E$5:$E$204&lt;&gt;"")*('01_予約入力'!$E$5:$E$204&lt;=$A20)*('01_予約入力'!$G$5:$G$204&gt;$A20)*(ROW('01_予約入力'!$E$5:$E$204)-4))))</f>
        <v/>
      </c>
      <c r="W20" s="31">
        <f>IF(OR($A20="",F$6=""),0,SUMPRODUCT(MAX(('01_予約入力'!$D$5:$D$204=F$6)*('01_予約入力'!$K$5:$K$204&lt;&gt;"キャンセル")*('01_予約入力'!$E$5:$E$204&lt;&gt;"")*('01_予約入力'!$E$5:$E$204=$A20)*('01_予約入力'!$G$5:$G$204=$A20)*(ROW('01_予約入力'!$E$5:$E$204)-4))))</f>
        <v/>
      </c>
      <c r="X20" s="31">
        <f>IF($A20="","",IF($M20&gt;0,IF(OR(INDEX('01_予約入力'!$K$5:$K$204,$M20)="仮予約",INDEX('01_予約入力'!$K$5:$K$204,$M20)="調整中"),"仮",INDEX('01_予約入力'!$C$5:$C$204,$M20)),IF($N20&gt;0,IF(OR(INDEX('01_予約入力'!$K$5:$K$204,$N20)="仮予約",INDEX('01_予約入力'!$K$5:$K$204,$N20)="調整中"),"仮",INDEX('01_予約入力'!$C$5:$C$204,$N20)),IF($L20&gt;0,IF(OR(INDEX('01_予約入力'!$K$5:$K$204,$L20)="仮予約",INDEX('01_予約入力'!$K$5:$K$204,$L20)="調整中"),"仮",INDEX('01_予約入力'!$C$5:$C$204,$L20)),""))))</f>
        <v/>
      </c>
      <c r="Y20" s="31">
        <f>IF($A20="","",IF($P20&gt;0,IF(OR(INDEX('01_予約入力'!$K$5:$K$204,$P20)="仮予約",INDEX('01_予約入力'!$K$5:$K$204,$P20)="調整中"),"仮",INDEX('01_予約入力'!$C$5:$C$204,$P20)),IF($Q20&gt;0,IF(OR(INDEX('01_予約入力'!$K$5:$K$204,$Q20)="仮予約",INDEX('01_予約入力'!$K$5:$K$204,$Q20)="調整中"),"仮",INDEX('01_予約入力'!$C$5:$C$204,$Q20)),IF($O20&gt;0,IF(OR(INDEX('01_予約入力'!$K$5:$K$204,$O20)="仮予約",INDEX('01_予約入力'!$K$5:$K$204,$O20)="調整中"),"仮",INDEX('01_予約入力'!$C$5:$C$204,$O20)),""))))</f>
        <v/>
      </c>
      <c r="Z20" s="31">
        <f>IF($A20="","",IF($S20&gt;0,IF(OR(INDEX('01_予約入力'!$K$5:$K$204,$S20)="仮予約",INDEX('01_予約入力'!$K$5:$K$204,$S20)="調整中"),"仮",INDEX('01_予約入力'!$C$5:$C$204,$S20)),IF($T20&gt;0,IF(OR(INDEX('01_予約入力'!$K$5:$K$204,$T20)="仮予約",INDEX('01_予約入力'!$K$5:$K$204,$T20)="調整中"),"仮",INDEX('01_予約入力'!$C$5:$C$204,$T20)),IF($R20&gt;0,IF(OR(INDEX('01_予約入力'!$K$5:$K$204,$R20)="仮予約",INDEX('01_予約入力'!$K$5:$K$204,$R20)="調整中"),"仮",INDEX('01_予約入力'!$C$5:$C$204,$R20)),""))))</f>
        <v/>
      </c>
      <c r="AA20" s="31">
        <f>IF($A20="","",IF($V20&gt;0,IF(OR(INDEX('01_予約入力'!$K$5:$K$204,$V20)="仮予約",INDEX('01_予約入力'!$K$5:$K$204,$V20)="調整中"),"仮",INDEX('01_予約入力'!$C$5:$C$204,$V20)),IF($W20&gt;0,IF(OR(INDEX('01_予約入力'!$K$5:$K$204,$W20)="仮予約",INDEX('01_予約入力'!$K$5:$K$204,$W20)="調整中"),"仮",INDEX('01_予約入力'!$C$5:$C$204,$W20)),IF($U20&gt;0,IF(OR(INDEX('01_予約入力'!$K$5:$K$204,$U20)="仮予約",INDEX('01_予約入力'!$K$5:$K$204,$U20)="調整中"),"仮",INDEX('01_予約入力'!$C$5:$C$204,$U20)),""))))</f>
        <v/>
      </c>
    </row>
    <row r="21">
      <c r="A21" s="33">
        <f>IF(MONTH('02_カレンダー'!$B$4+14)&lt;&gt;MONTH('02_カレンダー'!$B$4),"",'02_カレンダー'!$B$4+14)</f>
        <v/>
      </c>
      <c r="B21" s="31">
        <f>IF($A21="","",MID("日月火水木金土",WEEKDAY($A21),1))</f>
        <v/>
      </c>
      <c r="C21" s="34">
        <f>IF(OR($A21="",C$6=""),"",IF($L21=0,"",INDEX('01_予約入力'!$B$5:$B$204,$L21)&amp;" ◀")&amp;IF(AND($L21&gt;0,OR($M21&gt;0,$N21&gt;0)),"  ","")&amp;IF($M21=0,"",IF(INDEX('01_予約入力'!$E$5:$E$204,$M21)=$A21,"▶ ","")&amp;INDEX('01_予約入力'!$B$5:$B$204,$M21))&amp;IF(AND($M21&gt;0,$N21&gt;0),"  ","")&amp;IF($N21=0,"","◆ "&amp;INDEX('01_予約入力'!$B$5:$B$204,$N21)))</f>
        <v/>
      </c>
      <c r="D21" s="34">
        <f>IF(OR($A21="",D$6=""),"",IF($O21=0,"",INDEX('01_予約入力'!$B$5:$B$204,$O21)&amp;" ◀")&amp;IF(AND($O21&gt;0,OR($P21&gt;0,$Q21&gt;0)),"  ","")&amp;IF($P21=0,"",IF(INDEX('01_予約入力'!$E$5:$E$204,$P21)=$A21,"▶ ","")&amp;INDEX('01_予約入力'!$B$5:$B$204,$P21))&amp;IF(AND($P21&gt;0,$Q21&gt;0),"  ","")&amp;IF($Q21=0,"","◆ "&amp;INDEX('01_予約入力'!$B$5:$B$204,$Q21)))</f>
        <v/>
      </c>
      <c r="E21" s="34">
        <f>IF(OR($A21="",E$6=""),"",IF($R21=0,"",INDEX('01_予約入力'!$B$5:$B$204,$R21)&amp;" ◀")&amp;IF(AND($R21&gt;0,OR($S21&gt;0,$T21&gt;0)),"  ","")&amp;IF($S21=0,"",IF(INDEX('01_予約入力'!$E$5:$E$204,$S21)=$A21,"▶ ","")&amp;INDEX('01_予約入力'!$B$5:$B$204,$S21))&amp;IF(AND($S21&gt;0,$T21&gt;0),"  ","")&amp;IF($T21=0,"","◆ "&amp;INDEX('01_予約入力'!$B$5:$B$204,$T21)))</f>
        <v/>
      </c>
      <c r="F21" s="34">
        <f>IF(OR($A21="",F$6=""),"",IF($U21=0,"",INDEX('01_予約入力'!$B$5:$B$204,$U21)&amp;" ◀")&amp;IF(AND($U21&gt;0,OR($V21&gt;0,$W21&gt;0)),"  ","")&amp;IF($V21=0,"",IF(INDEX('01_予約入力'!$E$5:$E$204,$V21)=$A21,"▶ ","")&amp;INDEX('01_予約入力'!$B$5:$B$204,$V21))&amp;IF(AND($V21&gt;0,$W21&gt;0),"  ","")&amp;IF($W21=0,"","◆ "&amp;INDEX('01_予約入力'!$B$5:$B$204,$W21)))</f>
        <v/>
      </c>
      <c r="G21" s="31">
        <f>IF($A21="","",SUMPRODUCT(('01_予約入力'!$E$5:$E$204&lt;&gt;"")*('01_予約入力'!$K$5:$K$204&lt;&gt;"キャンセル")*('01_予約入力'!$E$5:$E$204&lt;=$A21)*('01_予約入力'!$G$5:$G$204&gt;$A21)))</f>
        <v/>
      </c>
      <c r="H21" s="31">
        <f>IF($A21="","",'M_施設設定'!$B$6-$G21)</f>
        <v/>
      </c>
      <c r="I21" s="31">
        <f>IF($A21="","",SUMPRODUCT((('01_予約入力'!$K$5:$K$204="仮予約")+('01_予約入力'!$K$5:$K$204="調整中"))*('01_予約入力'!$E$5:$E$204&lt;&gt;"")*('01_予約入力'!$E$5:$E$204&lt;=$A21)*('01_予約入力'!$G$5:$G$204&gt;$A21)))</f>
        <v/>
      </c>
      <c r="J21" s="31">
        <f>IF($A21="","",IF($I21&gt;0,"仮",IF($H21&lt;=0,"×",IF($H21&lt;'M_施設設定'!$B$6,"△","○"))))</f>
        <v/>
      </c>
      <c r="K21" s="31">
        <f>IF($A21="","",SUMPRODUCT(('01_予約入力'!$E$5:$E$204&lt;&gt;"")*('01_予約入力'!$K$5:$K$204&lt;&gt;"キャンセル")*('01_予約入力'!$E$5:$E$204=$A21)*('01_予約入力'!$G$5:$G$204=$A21)))</f>
        <v/>
      </c>
      <c r="L21" s="31">
        <f>IF(OR($A21="",C$6=""),0,SUMPRODUCT(MAX(('01_予約入力'!$D$5:$D$204=C$6)*('01_予約入力'!$K$5:$K$204&lt;&gt;"キャンセル")*('01_予約入力'!$E$5:$E$204&lt;&gt;"")*('01_予約入力'!$G$5:$G$204=$A21)*('01_予約入力'!$E$5:$E$204&lt;$A21)*(ROW('01_予約入力'!$E$5:$E$204)-4))))</f>
        <v/>
      </c>
      <c r="M21" s="31">
        <f>IF(OR($A21="",C$6=""),0,SUMPRODUCT(MAX(('01_予約入力'!$D$5:$D$204=C$6)*('01_予約入力'!$K$5:$K$204&lt;&gt;"キャンセル")*('01_予約入力'!$E$5:$E$204&lt;&gt;"")*('01_予約入力'!$E$5:$E$204&lt;=$A21)*('01_予約入力'!$G$5:$G$204&gt;$A21)*(ROW('01_予約入力'!$E$5:$E$204)-4))))</f>
        <v/>
      </c>
      <c r="N21" s="31">
        <f>IF(OR($A21="",C$6=""),0,SUMPRODUCT(MAX(('01_予約入力'!$D$5:$D$204=C$6)*('01_予約入力'!$K$5:$K$204&lt;&gt;"キャンセル")*('01_予約入力'!$E$5:$E$204&lt;&gt;"")*('01_予約入力'!$E$5:$E$204=$A21)*('01_予約入力'!$G$5:$G$204=$A21)*(ROW('01_予約入力'!$E$5:$E$204)-4))))</f>
        <v/>
      </c>
      <c r="O21" s="31">
        <f>IF(OR($A21="",D$6=""),0,SUMPRODUCT(MAX(('01_予約入力'!$D$5:$D$204=D$6)*('01_予約入力'!$K$5:$K$204&lt;&gt;"キャンセル")*('01_予約入力'!$E$5:$E$204&lt;&gt;"")*('01_予約入力'!$G$5:$G$204=$A21)*('01_予約入力'!$E$5:$E$204&lt;$A21)*(ROW('01_予約入力'!$E$5:$E$204)-4))))</f>
        <v/>
      </c>
      <c r="P21" s="31">
        <f>IF(OR($A21="",D$6=""),0,SUMPRODUCT(MAX(('01_予約入力'!$D$5:$D$204=D$6)*('01_予約入力'!$K$5:$K$204&lt;&gt;"キャンセル")*('01_予約入力'!$E$5:$E$204&lt;&gt;"")*('01_予約入力'!$E$5:$E$204&lt;=$A21)*('01_予約入力'!$G$5:$G$204&gt;$A21)*(ROW('01_予約入力'!$E$5:$E$204)-4))))</f>
        <v/>
      </c>
      <c r="Q21" s="31">
        <f>IF(OR($A21="",D$6=""),0,SUMPRODUCT(MAX(('01_予約入力'!$D$5:$D$204=D$6)*('01_予約入力'!$K$5:$K$204&lt;&gt;"キャンセル")*('01_予約入力'!$E$5:$E$204&lt;&gt;"")*('01_予約入力'!$E$5:$E$204=$A21)*('01_予約入力'!$G$5:$G$204=$A21)*(ROW('01_予約入力'!$E$5:$E$204)-4))))</f>
        <v/>
      </c>
      <c r="R21" s="31">
        <f>IF(OR($A21="",E$6=""),0,SUMPRODUCT(MAX(('01_予約入力'!$D$5:$D$204=E$6)*('01_予約入力'!$K$5:$K$204&lt;&gt;"キャンセル")*('01_予約入力'!$E$5:$E$204&lt;&gt;"")*('01_予約入力'!$G$5:$G$204=$A21)*('01_予約入力'!$E$5:$E$204&lt;$A21)*(ROW('01_予約入力'!$E$5:$E$204)-4))))</f>
        <v/>
      </c>
      <c r="S21" s="31">
        <f>IF(OR($A21="",E$6=""),0,SUMPRODUCT(MAX(('01_予約入力'!$D$5:$D$204=E$6)*('01_予約入力'!$K$5:$K$204&lt;&gt;"キャンセル")*('01_予約入力'!$E$5:$E$204&lt;&gt;"")*('01_予約入力'!$E$5:$E$204&lt;=$A21)*('01_予約入力'!$G$5:$G$204&gt;$A21)*(ROW('01_予約入力'!$E$5:$E$204)-4))))</f>
        <v/>
      </c>
      <c r="T21" s="31">
        <f>IF(OR($A21="",E$6=""),0,SUMPRODUCT(MAX(('01_予約入力'!$D$5:$D$204=E$6)*('01_予約入力'!$K$5:$K$204&lt;&gt;"キャンセル")*('01_予約入力'!$E$5:$E$204&lt;&gt;"")*('01_予約入力'!$E$5:$E$204=$A21)*('01_予約入力'!$G$5:$G$204=$A21)*(ROW('01_予約入力'!$E$5:$E$204)-4))))</f>
        <v/>
      </c>
      <c r="U21" s="31">
        <f>IF(OR($A21="",F$6=""),0,SUMPRODUCT(MAX(('01_予約入力'!$D$5:$D$204=F$6)*('01_予約入力'!$K$5:$K$204&lt;&gt;"キャンセル")*('01_予約入力'!$E$5:$E$204&lt;&gt;"")*('01_予約入力'!$G$5:$G$204=$A21)*('01_予約入力'!$E$5:$E$204&lt;$A21)*(ROW('01_予約入力'!$E$5:$E$204)-4))))</f>
        <v/>
      </c>
      <c r="V21" s="31">
        <f>IF(OR($A21="",F$6=""),0,SUMPRODUCT(MAX(('01_予約入力'!$D$5:$D$204=F$6)*('01_予約入力'!$K$5:$K$204&lt;&gt;"キャンセル")*('01_予約入力'!$E$5:$E$204&lt;&gt;"")*('01_予約入力'!$E$5:$E$204&lt;=$A21)*('01_予約入力'!$G$5:$G$204&gt;$A21)*(ROW('01_予約入力'!$E$5:$E$204)-4))))</f>
        <v/>
      </c>
      <c r="W21" s="31">
        <f>IF(OR($A21="",F$6=""),0,SUMPRODUCT(MAX(('01_予約入力'!$D$5:$D$204=F$6)*('01_予約入力'!$K$5:$K$204&lt;&gt;"キャンセル")*('01_予約入力'!$E$5:$E$204&lt;&gt;"")*('01_予約入力'!$E$5:$E$204=$A21)*('01_予約入力'!$G$5:$G$204=$A21)*(ROW('01_予約入力'!$E$5:$E$204)-4))))</f>
        <v/>
      </c>
      <c r="X21" s="31">
        <f>IF($A21="","",IF($M21&gt;0,IF(OR(INDEX('01_予約入力'!$K$5:$K$204,$M21)="仮予約",INDEX('01_予約入力'!$K$5:$K$204,$M21)="調整中"),"仮",INDEX('01_予約入力'!$C$5:$C$204,$M21)),IF($N21&gt;0,IF(OR(INDEX('01_予約入力'!$K$5:$K$204,$N21)="仮予約",INDEX('01_予約入力'!$K$5:$K$204,$N21)="調整中"),"仮",INDEX('01_予約入力'!$C$5:$C$204,$N21)),IF($L21&gt;0,IF(OR(INDEX('01_予約入力'!$K$5:$K$204,$L21)="仮予約",INDEX('01_予約入力'!$K$5:$K$204,$L21)="調整中"),"仮",INDEX('01_予約入力'!$C$5:$C$204,$L21)),""))))</f>
        <v/>
      </c>
      <c r="Y21" s="31">
        <f>IF($A21="","",IF($P21&gt;0,IF(OR(INDEX('01_予約入力'!$K$5:$K$204,$P21)="仮予約",INDEX('01_予約入力'!$K$5:$K$204,$P21)="調整中"),"仮",INDEX('01_予約入力'!$C$5:$C$204,$P21)),IF($Q21&gt;0,IF(OR(INDEX('01_予約入力'!$K$5:$K$204,$Q21)="仮予約",INDEX('01_予約入力'!$K$5:$K$204,$Q21)="調整中"),"仮",INDEX('01_予約入力'!$C$5:$C$204,$Q21)),IF($O21&gt;0,IF(OR(INDEX('01_予約入力'!$K$5:$K$204,$O21)="仮予約",INDEX('01_予約入力'!$K$5:$K$204,$O21)="調整中"),"仮",INDEX('01_予約入力'!$C$5:$C$204,$O21)),""))))</f>
        <v/>
      </c>
      <c r="Z21" s="31">
        <f>IF($A21="","",IF($S21&gt;0,IF(OR(INDEX('01_予約入力'!$K$5:$K$204,$S21)="仮予約",INDEX('01_予約入力'!$K$5:$K$204,$S21)="調整中"),"仮",INDEX('01_予約入力'!$C$5:$C$204,$S21)),IF($T21&gt;0,IF(OR(INDEX('01_予約入力'!$K$5:$K$204,$T21)="仮予約",INDEX('01_予約入力'!$K$5:$K$204,$T21)="調整中"),"仮",INDEX('01_予約入力'!$C$5:$C$204,$T21)),IF($R21&gt;0,IF(OR(INDEX('01_予約入力'!$K$5:$K$204,$R21)="仮予約",INDEX('01_予約入力'!$K$5:$K$204,$R21)="調整中"),"仮",INDEX('01_予約入力'!$C$5:$C$204,$R21)),""))))</f>
        <v/>
      </c>
      <c r="AA21" s="31">
        <f>IF($A21="","",IF($V21&gt;0,IF(OR(INDEX('01_予約入力'!$K$5:$K$204,$V21)="仮予約",INDEX('01_予約入力'!$K$5:$K$204,$V21)="調整中"),"仮",INDEX('01_予約入力'!$C$5:$C$204,$V21)),IF($W21&gt;0,IF(OR(INDEX('01_予約入力'!$K$5:$K$204,$W21)="仮予約",INDEX('01_予約入力'!$K$5:$K$204,$W21)="調整中"),"仮",INDEX('01_予約入力'!$C$5:$C$204,$W21)),IF($U21&gt;0,IF(OR(INDEX('01_予約入力'!$K$5:$K$204,$U21)="仮予約",INDEX('01_予約入力'!$K$5:$K$204,$U21)="調整中"),"仮",INDEX('01_予約入力'!$C$5:$C$204,$U21)),""))))</f>
        <v/>
      </c>
    </row>
    <row r="22">
      <c r="A22" s="33">
        <f>IF(MONTH('02_カレンダー'!$B$4+15)&lt;&gt;MONTH('02_カレンダー'!$B$4),"",'02_カレンダー'!$B$4+15)</f>
        <v/>
      </c>
      <c r="B22" s="31">
        <f>IF($A22="","",MID("日月火水木金土",WEEKDAY($A22),1))</f>
        <v/>
      </c>
      <c r="C22" s="34">
        <f>IF(OR($A22="",C$6=""),"",IF($L22=0,"",INDEX('01_予約入力'!$B$5:$B$204,$L22)&amp;" ◀")&amp;IF(AND($L22&gt;0,OR($M22&gt;0,$N22&gt;0)),"  ","")&amp;IF($M22=0,"",IF(INDEX('01_予約入力'!$E$5:$E$204,$M22)=$A22,"▶ ","")&amp;INDEX('01_予約入力'!$B$5:$B$204,$M22))&amp;IF(AND($M22&gt;0,$N22&gt;0),"  ","")&amp;IF($N22=0,"","◆ "&amp;INDEX('01_予約入力'!$B$5:$B$204,$N22)))</f>
        <v/>
      </c>
      <c r="D22" s="34">
        <f>IF(OR($A22="",D$6=""),"",IF($O22=0,"",INDEX('01_予約入力'!$B$5:$B$204,$O22)&amp;" ◀")&amp;IF(AND($O22&gt;0,OR($P22&gt;0,$Q22&gt;0)),"  ","")&amp;IF($P22=0,"",IF(INDEX('01_予約入力'!$E$5:$E$204,$P22)=$A22,"▶ ","")&amp;INDEX('01_予約入力'!$B$5:$B$204,$P22))&amp;IF(AND($P22&gt;0,$Q22&gt;0),"  ","")&amp;IF($Q22=0,"","◆ "&amp;INDEX('01_予約入力'!$B$5:$B$204,$Q22)))</f>
        <v/>
      </c>
      <c r="E22" s="34">
        <f>IF(OR($A22="",E$6=""),"",IF($R22=0,"",INDEX('01_予約入力'!$B$5:$B$204,$R22)&amp;" ◀")&amp;IF(AND($R22&gt;0,OR($S22&gt;0,$T22&gt;0)),"  ","")&amp;IF($S22=0,"",IF(INDEX('01_予約入力'!$E$5:$E$204,$S22)=$A22,"▶ ","")&amp;INDEX('01_予約入力'!$B$5:$B$204,$S22))&amp;IF(AND($S22&gt;0,$T22&gt;0),"  ","")&amp;IF($T22=0,"","◆ "&amp;INDEX('01_予約入力'!$B$5:$B$204,$T22)))</f>
        <v/>
      </c>
      <c r="F22" s="34">
        <f>IF(OR($A22="",F$6=""),"",IF($U22=0,"",INDEX('01_予約入力'!$B$5:$B$204,$U22)&amp;" ◀")&amp;IF(AND($U22&gt;0,OR($V22&gt;0,$W22&gt;0)),"  ","")&amp;IF($V22=0,"",IF(INDEX('01_予約入力'!$E$5:$E$204,$V22)=$A22,"▶ ","")&amp;INDEX('01_予約入力'!$B$5:$B$204,$V22))&amp;IF(AND($V22&gt;0,$W22&gt;0),"  ","")&amp;IF($W22=0,"","◆ "&amp;INDEX('01_予約入力'!$B$5:$B$204,$W22)))</f>
        <v/>
      </c>
      <c r="G22" s="31">
        <f>IF($A22="","",SUMPRODUCT(('01_予約入力'!$E$5:$E$204&lt;&gt;"")*('01_予約入力'!$K$5:$K$204&lt;&gt;"キャンセル")*('01_予約入力'!$E$5:$E$204&lt;=$A22)*('01_予約入力'!$G$5:$G$204&gt;$A22)))</f>
        <v/>
      </c>
      <c r="H22" s="31">
        <f>IF($A22="","",'M_施設設定'!$B$6-$G22)</f>
        <v/>
      </c>
      <c r="I22" s="31">
        <f>IF($A22="","",SUMPRODUCT((('01_予約入力'!$K$5:$K$204="仮予約")+('01_予約入力'!$K$5:$K$204="調整中"))*('01_予約入力'!$E$5:$E$204&lt;&gt;"")*('01_予約入力'!$E$5:$E$204&lt;=$A22)*('01_予約入力'!$G$5:$G$204&gt;$A22)))</f>
        <v/>
      </c>
      <c r="J22" s="31">
        <f>IF($A22="","",IF($I22&gt;0,"仮",IF($H22&lt;=0,"×",IF($H22&lt;'M_施設設定'!$B$6,"△","○"))))</f>
        <v/>
      </c>
      <c r="K22" s="31">
        <f>IF($A22="","",SUMPRODUCT(('01_予約入力'!$E$5:$E$204&lt;&gt;"")*('01_予約入力'!$K$5:$K$204&lt;&gt;"キャンセル")*('01_予約入力'!$E$5:$E$204=$A22)*('01_予約入力'!$G$5:$G$204=$A22)))</f>
        <v/>
      </c>
      <c r="L22" s="31">
        <f>IF(OR($A22="",C$6=""),0,SUMPRODUCT(MAX(('01_予約入力'!$D$5:$D$204=C$6)*('01_予約入力'!$K$5:$K$204&lt;&gt;"キャンセル")*('01_予約入力'!$E$5:$E$204&lt;&gt;"")*('01_予約入力'!$G$5:$G$204=$A22)*('01_予約入力'!$E$5:$E$204&lt;$A22)*(ROW('01_予約入力'!$E$5:$E$204)-4))))</f>
        <v/>
      </c>
      <c r="M22" s="31">
        <f>IF(OR($A22="",C$6=""),0,SUMPRODUCT(MAX(('01_予約入力'!$D$5:$D$204=C$6)*('01_予約入力'!$K$5:$K$204&lt;&gt;"キャンセル")*('01_予約入力'!$E$5:$E$204&lt;&gt;"")*('01_予約入力'!$E$5:$E$204&lt;=$A22)*('01_予約入力'!$G$5:$G$204&gt;$A22)*(ROW('01_予約入力'!$E$5:$E$204)-4))))</f>
        <v/>
      </c>
      <c r="N22" s="31">
        <f>IF(OR($A22="",C$6=""),0,SUMPRODUCT(MAX(('01_予約入力'!$D$5:$D$204=C$6)*('01_予約入力'!$K$5:$K$204&lt;&gt;"キャンセル")*('01_予約入力'!$E$5:$E$204&lt;&gt;"")*('01_予約入力'!$E$5:$E$204=$A22)*('01_予約入力'!$G$5:$G$204=$A22)*(ROW('01_予約入力'!$E$5:$E$204)-4))))</f>
        <v/>
      </c>
      <c r="O22" s="31">
        <f>IF(OR($A22="",D$6=""),0,SUMPRODUCT(MAX(('01_予約入力'!$D$5:$D$204=D$6)*('01_予約入力'!$K$5:$K$204&lt;&gt;"キャンセル")*('01_予約入力'!$E$5:$E$204&lt;&gt;"")*('01_予約入力'!$G$5:$G$204=$A22)*('01_予約入力'!$E$5:$E$204&lt;$A22)*(ROW('01_予約入力'!$E$5:$E$204)-4))))</f>
        <v/>
      </c>
      <c r="P22" s="31">
        <f>IF(OR($A22="",D$6=""),0,SUMPRODUCT(MAX(('01_予約入力'!$D$5:$D$204=D$6)*('01_予約入力'!$K$5:$K$204&lt;&gt;"キャンセル")*('01_予約入力'!$E$5:$E$204&lt;&gt;"")*('01_予約入力'!$E$5:$E$204&lt;=$A22)*('01_予約入力'!$G$5:$G$204&gt;$A22)*(ROW('01_予約入力'!$E$5:$E$204)-4))))</f>
        <v/>
      </c>
      <c r="Q22" s="31">
        <f>IF(OR($A22="",D$6=""),0,SUMPRODUCT(MAX(('01_予約入力'!$D$5:$D$204=D$6)*('01_予約入力'!$K$5:$K$204&lt;&gt;"キャンセル")*('01_予約入力'!$E$5:$E$204&lt;&gt;"")*('01_予約入力'!$E$5:$E$204=$A22)*('01_予約入力'!$G$5:$G$204=$A22)*(ROW('01_予約入力'!$E$5:$E$204)-4))))</f>
        <v/>
      </c>
      <c r="R22" s="31">
        <f>IF(OR($A22="",E$6=""),0,SUMPRODUCT(MAX(('01_予約入力'!$D$5:$D$204=E$6)*('01_予約入力'!$K$5:$K$204&lt;&gt;"キャンセル")*('01_予約入力'!$E$5:$E$204&lt;&gt;"")*('01_予約入力'!$G$5:$G$204=$A22)*('01_予約入力'!$E$5:$E$204&lt;$A22)*(ROW('01_予約入力'!$E$5:$E$204)-4))))</f>
        <v/>
      </c>
      <c r="S22" s="31">
        <f>IF(OR($A22="",E$6=""),0,SUMPRODUCT(MAX(('01_予約入力'!$D$5:$D$204=E$6)*('01_予約入力'!$K$5:$K$204&lt;&gt;"キャンセル")*('01_予約入力'!$E$5:$E$204&lt;&gt;"")*('01_予約入力'!$E$5:$E$204&lt;=$A22)*('01_予約入力'!$G$5:$G$204&gt;$A22)*(ROW('01_予約入力'!$E$5:$E$204)-4))))</f>
        <v/>
      </c>
      <c r="T22" s="31">
        <f>IF(OR($A22="",E$6=""),0,SUMPRODUCT(MAX(('01_予約入力'!$D$5:$D$204=E$6)*('01_予約入力'!$K$5:$K$204&lt;&gt;"キャンセル")*('01_予約入力'!$E$5:$E$204&lt;&gt;"")*('01_予約入力'!$E$5:$E$204=$A22)*('01_予約入力'!$G$5:$G$204=$A22)*(ROW('01_予約入力'!$E$5:$E$204)-4))))</f>
        <v/>
      </c>
      <c r="U22" s="31">
        <f>IF(OR($A22="",F$6=""),0,SUMPRODUCT(MAX(('01_予約入力'!$D$5:$D$204=F$6)*('01_予約入力'!$K$5:$K$204&lt;&gt;"キャンセル")*('01_予約入力'!$E$5:$E$204&lt;&gt;"")*('01_予約入力'!$G$5:$G$204=$A22)*('01_予約入力'!$E$5:$E$204&lt;$A22)*(ROW('01_予約入力'!$E$5:$E$204)-4))))</f>
        <v/>
      </c>
      <c r="V22" s="31">
        <f>IF(OR($A22="",F$6=""),0,SUMPRODUCT(MAX(('01_予約入力'!$D$5:$D$204=F$6)*('01_予約入力'!$K$5:$K$204&lt;&gt;"キャンセル")*('01_予約入力'!$E$5:$E$204&lt;&gt;"")*('01_予約入力'!$E$5:$E$204&lt;=$A22)*('01_予約入力'!$G$5:$G$204&gt;$A22)*(ROW('01_予約入力'!$E$5:$E$204)-4))))</f>
        <v/>
      </c>
      <c r="W22" s="31">
        <f>IF(OR($A22="",F$6=""),0,SUMPRODUCT(MAX(('01_予約入力'!$D$5:$D$204=F$6)*('01_予約入力'!$K$5:$K$204&lt;&gt;"キャンセル")*('01_予約入力'!$E$5:$E$204&lt;&gt;"")*('01_予約入力'!$E$5:$E$204=$A22)*('01_予約入力'!$G$5:$G$204=$A22)*(ROW('01_予約入力'!$E$5:$E$204)-4))))</f>
        <v/>
      </c>
      <c r="X22" s="31">
        <f>IF($A22="","",IF($M22&gt;0,IF(OR(INDEX('01_予約入力'!$K$5:$K$204,$M22)="仮予約",INDEX('01_予約入力'!$K$5:$K$204,$M22)="調整中"),"仮",INDEX('01_予約入力'!$C$5:$C$204,$M22)),IF($N22&gt;0,IF(OR(INDEX('01_予約入力'!$K$5:$K$204,$N22)="仮予約",INDEX('01_予約入力'!$K$5:$K$204,$N22)="調整中"),"仮",INDEX('01_予約入力'!$C$5:$C$204,$N22)),IF($L22&gt;0,IF(OR(INDEX('01_予約入力'!$K$5:$K$204,$L22)="仮予約",INDEX('01_予約入力'!$K$5:$K$204,$L22)="調整中"),"仮",INDEX('01_予約入力'!$C$5:$C$204,$L22)),""))))</f>
        <v/>
      </c>
      <c r="Y22" s="31">
        <f>IF($A22="","",IF($P22&gt;0,IF(OR(INDEX('01_予約入力'!$K$5:$K$204,$P22)="仮予約",INDEX('01_予約入力'!$K$5:$K$204,$P22)="調整中"),"仮",INDEX('01_予約入力'!$C$5:$C$204,$P22)),IF($Q22&gt;0,IF(OR(INDEX('01_予約入力'!$K$5:$K$204,$Q22)="仮予約",INDEX('01_予約入力'!$K$5:$K$204,$Q22)="調整中"),"仮",INDEX('01_予約入力'!$C$5:$C$204,$Q22)),IF($O22&gt;0,IF(OR(INDEX('01_予約入力'!$K$5:$K$204,$O22)="仮予約",INDEX('01_予約入力'!$K$5:$K$204,$O22)="調整中"),"仮",INDEX('01_予約入力'!$C$5:$C$204,$O22)),""))))</f>
        <v/>
      </c>
      <c r="Z22" s="31">
        <f>IF($A22="","",IF($S22&gt;0,IF(OR(INDEX('01_予約入力'!$K$5:$K$204,$S22)="仮予約",INDEX('01_予約入力'!$K$5:$K$204,$S22)="調整中"),"仮",INDEX('01_予約入力'!$C$5:$C$204,$S22)),IF($T22&gt;0,IF(OR(INDEX('01_予約入力'!$K$5:$K$204,$T22)="仮予約",INDEX('01_予約入力'!$K$5:$K$204,$T22)="調整中"),"仮",INDEX('01_予約入力'!$C$5:$C$204,$T22)),IF($R22&gt;0,IF(OR(INDEX('01_予約入力'!$K$5:$K$204,$R22)="仮予約",INDEX('01_予約入力'!$K$5:$K$204,$R22)="調整中"),"仮",INDEX('01_予約入力'!$C$5:$C$204,$R22)),""))))</f>
        <v/>
      </c>
      <c r="AA22" s="31">
        <f>IF($A22="","",IF($V22&gt;0,IF(OR(INDEX('01_予約入力'!$K$5:$K$204,$V22)="仮予約",INDEX('01_予約入力'!$K$5:$K$204,$V22)="調整中"),"仮",INDEX('01_予約入力'!$C$5:$C$204,$V22)),IF($W22&gt;0,IF(OR(INDEX('01_予約入力'!$K$5:$K$204,$W22)="仮予約",INDEX('01_予約入力'!$K$5:$K$204,$W22)="調整中"),"仮",INDEX('01_予約入力'!$C$5:$C$204,$W22)),IF($U22&gt;0,IF(OR(INDEX('01_予約入力'!$K$5:$K$204,$U22)="仮予約",INDEX('01_予約入力'!$K$5:$K$204,$U22)="調整中"),"仮",INDEX('01_予約入力'!$C$5:$C$204,$U22)),""))))</f>
        <v/>
      </c>
    </row>
    <row r="23">
      <c r="A23" s="33">
        <f>IF(MONTH('02_カレンダー'!$B$4+16)&lt;&gt;MONTH('02_カレンダー'!$B$4),"",'02_カレンダー'!$B$4+16)</f>
        <v/>
      </c>
      <c r="B23" s="31">
        <f>IF($A23="","",MID("日月火水木金土",WEEKDAY($A23),1))</f>
        <v/>
      </c>
      <c r="C23" s="34">
        <f>IF(OR($A23="",C$6=""),"",IF($L23=0,"",INDEX('01_予約入力'!$B$5:$B$204,$L23)&amp;" ◀")&amp;IF(AND($L23&gt;0,OR($M23&gt;0,$N23&gt;0)),"  ","")&amp;IF($M23=0,"",IF(INDEX('01_予約入力'!$E$5:$E$204,$M23)=$A23,"▶ ","")&amp;INDEX('01_予約入力'!$B$5:$B$204,$M23))&amp;IF(AND($M23&gt;0,$N23&gt;0),"  ","")&amp;IF($N23=0,"","◆ "&amp;INDEX('01_予約入力'!$B$5:$B$204,$N23)))</f>
        <v/>
      </c>
      <c r="D23" s="34">
        <f>IF(OR($A23="",D$6=""),"",IF($O23=0,"",INDEX('01_予約入力'!$B$5:$B$204,$O23)&amp;" ◀")&amp;IF(AND($O23&gt;0,OR($P23&gt;0,$Q23&gt;0)),"  ","")&amp;IF($P23=0,"",IF(INDEX('01_予約入力'!$E$5:$E$204,$P23)=$A23,"▶ ","")&amp;INDEX('01_予約入力'!$B$5:$B$204,$P23))&amp;IF(AND($P23&gt;0,$Q23&gt;0),"  ","")&amp;IF($Q23=0,"","◆ "&amp;INDEX('01_予約入力'!$B$5:$B$204,$Q23)))</f>
        <v/>
      </c>
      <c r="E23" s="34">
        <f>IF(OR($A23="",E$6=""),"",IF($R23=0,"",INDEX('01_予約入力'!$B$5:$B$204,$R23)&amp;" ◀")&amp;IF(AND($R23&gt;0,OR($S23&gt;0,$T23&gt;0)),"  ","")&amp;IF($S23=0,"",IF(INDEX('01_予約入力'!$E$5:$E$204,$S23)=$A23,"▶ ","")&amp;INDEX('01_予約入力'!$B$5:$B$204,$S23))&amp;IF(AND($S23&gt;0,$T23&gt;0),"  ","")&amp;IF($T23=0,"","◆ "&amp;INDEX('01_予約入力'!$B$5:$B$204,$T23)))</f>
        <v/>
      </c>
      <c r="F23" s="34">
        <f>IF(OR($A23="",F$6=""),"",IF($U23=0,"",INDEX('01_予約入力'!$B$5:$B$204,$U23)&amp;" ◀")&amp;IF(AND($U23&gt;0,OR($V23&gt;0,$W23&gt;0)),"  ","")&amp;IF($V23=0,"",IF(INDEX('01_予約入力'!$E$5:$E$204,$V23)=$A23,"▶ ","")&amp;INDEX('01_予約入力'!$B$5:$B$204,$V23))&amp;IF(AND($V23&gt;0,$W23&gt;0),"  ","")&amp;IF($W23=0,"","◆ "&amp;INDEX('01_予約入力'!$B$5:$B$204,$W23)))</f>
        <v/>
      </c>
      <c r="G23" s="31">
        <f>IF($A23="","",SUMPRODUCT(('01_予約入力'!$E$5:$E$204&lt;&gt;"")*('01_予約入力'!$K$5:$K$204&lt;&gt;"キャンセル")*('01_予約入力'!$E$5:$E$204&lt;=$A23)*('01_予約入力'!$G$5:$G$204&gt;$A23)))</f>
        <v/>
      </c>
      <c r="H23" s="31">
        <f>IF($A23="","",'M_施設設定'!$B$6-$G23)</f>
        <v/>
      </c>
      <c r="I23" s="31">
        <f>IF($A23="","",SUMPRODUCT((('01_予約入力'!$K$5:$K$204="仮予約")+('01_予約入力'!$K$5:$K$204="調整中"))*('01_予約入力'!$E$5:$E$204&lt;&gt;"")*('01_予約入力'!$E$5:$E$204&lt;=$A23)*('01_予約入力'!$G$5:$G$204&gt;$A23)))</f>
        <v/>
      </c>
      <c r="J23" s="31">
        <f>IF($A23="","",IF($I23&gt;0,"仮",IF($H23&lt;=0,"×",IF($H23&lt;'M_施設設定'!$B$6,"△","○"))))</f>
        <v/>
      </c>
      <c r="K23" s="31">
        <f>IF($A23="","",SUMPRODUCT(('01_予約入力'!$E$5:$E$204&lt;&gt;"")*('01_予約入力'!$K$5:$K$204&lt;&gt;"キャンセル")*('01_予約入力'!$E$5:$E$204=$A23)*('01_予約入力'!$G$5:$G$204=$A23)))</f>
        <v/>
      </c>
      <c r="L23" s="31">
        <f>IF(OR($A23="",C$6=""),0,SUMPRODUCT(MAX(('01_予約入力'!$D$5:$D$204=C$6)*('01_予約入力'!$K$5:$K$204&lt;&gt;"キャンセル")*('01_予約入力'!$E$5:$E$204&lt;&gt;"")*('01_予約入力'!$G$5:$G$204=$A23)*('01_予約入力'!$E$5:$E$204&lt;$A23)*(ROW('01_予約入力'!$E$5:$E$204)-4))))</f>
        <v/>
      </c>
      <c r="M23" s="31">
        <f>IF(OR($A23="",C$6=""),0,SUMPRODUCT(MAX(('01_予約入力'!$D$5:$D$204=C$6)*('01_予約入力'!$K$5:$K$204&lt;&gt;"キャンセル")*('01_予約入力'!$E$5:$E$204&lt;&gt;"")*('01_予約入力'!$E$5:$E$204&lt;=$A23)*('01_予約入力'!$G$5:$G$204&gt;$A23)*(ROW('01_予約入力'!$E$5:$E$204)-4))))</f>
        <v/>
      </c>
      <c r="N23" s="31">
        <f>IF(OR($A23="",C$6=""),0,SUMPRODUCT(MAX(('01_予約入力'!$D$5:$D$204=C$6)*('01_予約入力'!$K$5:$K$204&lt;&gt;"キャンセル")*('01_予約入力'!$E$5:$E$204&lt;&gt;"")*('01_予約入力'!$E$5:$E$204=$A23)*('01_予約入力'!$G$5:$G$204=$A23)*(ROW('01_予約入力'!$E$5:$E$204)-4))))</f>
        <v/>
      </c>
      <c r="O23" s="31">
        <f>IF(OR($A23="",D$6=""),0,SUMPRODUCT(MAX(('01_予約入力'!$D$5:$D$204=D$6)*('01_予約入力'!$K$5:$K$204&lt;&gt;"キャンセル")*('01_予約入力'!$E$5:$E$204&lt;&gt;"")*('01_予約入力'!$G$5:$G$204=$A23)*('01_予約入力'!$E$5:$E$204&lt;$A23)*(ROW('01_予約入力'!$E$5:$E$204)-4))))</f>
        <v/>
      </c>
      <c r="P23" s="31">
        <f>IF(OR($A23="",D$6=""),0,SUMPRODUCT(MAX(('01_予約入力'!$D$5:$D$204=D$6)*('01_予約入力'!$K$5:$K$204&lt;&gt;"キャンセル")*('01_予約入力'!$E$5:$E$204&lt;&gt;"")*('01_予約入力'!$E$5:$E$204&lt;=$A23)*('01_予約入力'!$G$5:$G$204&gt;$A23)*(ROW('01_予約入力'!$E$5:$E$204)-4))))</f>
        <v/>
      </c>
      <c r="Q23" s="31">
        <f>IF(OR($A23="",D$6=""),0,SUMPRODUCT(MAX(('01_予約入力'!$D$5:$D$204=D$6)*('01_予約入力'!$K$5:$K$204&lt;&gt;"キャンセル")*('01_予約入力'!$E$5:$E$204&lt;&gt;"")*('01_予約入力'!$E$5:$E$204=$A23)*('01_予約入力'!$G$5:$G$204=$A23)*(ROW('01_予約入力'!$E$5:$E$204)-4))))</f>
        <v/>
      </c>
      <c r="R23" s="31">
        <f>IF(OR($A23="",E$6=""),0,SUMPRODUCT(MAX(('01_予約入力'!$D$5:$D$204=E$6)*('01_予約入力'!$K$5:$K$204&lt;&gt;"キャンセル")*('01_予約入力'!$E$5:$E$204&lt;&gt;"")*('01_予約入力'!$G$5:$G$204=$A23)*('01_予約入力'!$E$5:$E$204&lt;$A23)*(ROW('01_予約入力'!$E$5:$E$204)-4))))</f>
        <v/>
      </c>
      <c r="S23" s="31">
        <f>IF(OR($A23="",E$6=""),0,SUMPRODUCT(MAX(('01_予約入力'!$D$5:$D$204=E$6)*('01_予約入力'!$K$5:$K$204&lt;&gt;"キャンセル")*('01_予約入力'!$E$5:$E$204&lt;&gt;"")*('01_予約入力'!$E$5:$E$204&lt;=$A23)*('01_予約入力'!$G$5:$G$204&gt;$A23)*(ROW('01_予約入力'!$E$5:$E$204)-4))))</f>
        <v/>
      </c>
      <c r="T23" s="31">
        <f>IF(OR($A23="",E$6=""),0,SUMPRODUCT(MAX(('01_予約入力'!$D$5:$D$204=E$6)*('01_予約入力'!$K$5:$K$204&lt;&gt;"キャンセル")*('01_予約入力'!$E$5:$E$204&lt;&gt;"")*('01_予約入力'!$E$5:$E$204=$A23)*('01_予約入力'!$G$5:$G$204=$A23)*(ROW('01_予約入力'!$E$5:$E$204)-4))))</f>
        <v/>
      </c>
      <c r="U23" s="31">
        <f>IF(OR($A23="",F$6=""),0,SUMPRODUCT(MAX(('01_予約入力'!$D$5:$D$204=F$6)*('01_予約入力'!$K$5:$K$204&lt;&gt;"キャンセル")*('01_予約入力'!$E$5:$E$204&lt;&gt;"")*('01_予約入力'!$G$5:$G$204=$A23)*('01_予約入力'!$E$5:$E$204&lt;$A23)*(ROW('01_予約入力'!$E$5:$E$204)-4))))</f>
        <v/>
      </c>
      <c r="V23" s="31">
        <f>IF(OR($A23="",F$6=""),0,SUMPRODUCT(MAX(('01_予約入力'!$D$5:$D$204=F$6)*('01_予約入力'!$K$5:$K$204&lt;&gt;"キャンセル")*('01_予約入力'!$E$5:$E$204&lt;&gt;"")*('01_予約入力'!$E$5:$E$204&lt;=$A23)*('01_予約入力'!$G$5:$G$204&gt;$A23)*(ROW('01_予約入力'!$E$5:$E$204)-4))))</f>
        <v/>
      </c>
      <c r="W23" s="31">
        <f>IF(OR($A23="",F$6=""),0,SUMPRODUCT(MAX(('01_予約入力'!$D$5:$D$204=F$6)*('01_予約入力'!$K$5:$K$204&lt;&gt;"キャンセル")*('01_予約入力'!$E$5:$E$204&lt;&gt;"")*('01_予約入力'!$E$5:$E$204=$A23)*('01_予約入力'!$G$5:$G$204=$A23)*(ROW('01_予約入力'!$E$5:$E$204)-4))))</f>
        <v/>
      </c>
      <c r="X23" s="31">
        <f>IF($A23="","",IF($M23&gt;0,IF(OR(INDEX('01_予約入力'!$K$5:$K$204,$M23)="仮予約",INDEX('01_予約入力'!$K$5:$K$204,$M23)="調整中"),"仮",INDEX('01_予約入力'!$C$5:$C$204,$M23)),IF($N23&gt;0,IF(OR(INDEX('01_予約入力'!$K$5:$K$204,$N23)="仮予約",INDEX('01_予約入力'!$K$5:$K$204,$N23)="調整中"),"仮",INDEX('01_予約入力'!$C$5:$C$204,$N23)),IF($L23&gt;0,IF(OR(INDEX('01_予約入力'!$K$5:$K$204,$L23)="仮予約",INDEX('01_予約入力'!$K$5:$K$204,$L23)="調整中"),"仮",INDEX('01_予約入力'!$C$5:$C$204,$L23)),""))))</f>
        <v/>
      </c>
      <c r="Y23" s="31">
        <f>IF($A23="","",IF($P23&gt;0,IF(OR(INDEX('01_予約入力'!$K$5:$K$204,$P23)="仮予約",INDEX('01_予約入力'!$K$5:$K$204,$P23)="調整中"),"仮",INDEX('01_予約入力'!$C$5:$C$204,$P23)),IF($Q23&gt;0,IF(OR(INDEX('01_予約入力'!$K$5:$K$204,$Q23)="仮予約",INDEX('01_予約入力'!$K$5:$K$204,$Q23)="調整中"),"仮",INDEX('01_予約入力'!$C$5:$C$204,$Q23)),IF($O23&gt;0,IF(OR(INDEX('01_予約入力'!$K$5:$K$204,$O23)="仮予約",INDEX('01_予約入力'!$K$5:$K$204,$O23)="調整中"),"仮",INDEX('01_予約入力'!$C$5:$C$204,$O23)),""))))</f>
        <v/>
      </c>
      <c r="Z23" s="31">
        <f>IF($A23="","",IF($S23&gt;0,IF(OR(INDEX('01_予約入力'!$K$5:$K$204,$S23)="仮予約",INDEX('01_予約入力'!$K$5:$K$204,$S23)="調整中"),"仮",INDEX('01_予約入力'!$C$5:$C$204,$S23)),IF($T23&gt;0,IF(OR(INDEX('01_予約入力'!$K$5:$K$204,$T23)="仮予約",INDEX('01_予約入力'!$K$5:$K$204,$T23)="調整中"),"仮",INDEX('01_予約入力'!$C$5:$C$204,$T23)),IF($R23&gt;0,IF(OR(INDEX('01_予約入力'!$K$5:$K$204,$R23)="仮予約",INDEX('01_予約入力'!$K$5:$K$204,$R23)="調整中"),"仮",INDEX('01_予約入力'!$C$5:$C$204,$R23)),""))))</f>
        <v/>
      </c>
      <c r="AA23" s="31">
        <f>IF($A23="","",IF($V23&gt;0,IF(OR(INDEX('01_予約入力'!$K$5:$K$204,$V23)="仮予約",INDEX('01_予約入力'!$K$5:$K$204,$V23)="調整中"),"仮",INDEX('01_予約入力'!$C$5:$C$204,$V23)),IF($W23&gt;0,IF(OR(INDEX('01_予約入力'!$K$5:$K$204,$W23)="仮予約",INDEX('01_予約入力'!$K$5:$K$204,$W23)="調整中"),"仮",INDEX('01_予約入力'!$C$5:$C$204,$W23)),IF($U23&gt;0,IF(OR(INDEX('01_予約入力'!$K$5:$K$204,$U23)="仮予約",INDEX('01_予約入力'!$K$5:$K$204,$U23)="調整中"),"仮",INDEX('01_予約入力'!$C$5:$C$204,$U23)),""))))</f>
        <v/>
      </c>
    </row>
    <row r="24">
      <c r="A24" s="33">
        <f>IF(MONTH('02_カレンダー'!$B$4+17)&lt;&gt;MONTH('02_カレンダー'!$B$4),"",'02_カレンダー'!$B$4+17)</f>
        <v/>
      </c>
      <c r="B24" s="31">
        <f>IF($A24="","",MID("日月火水木金土",WEEKDAY($A24),1))</f>
        <v/>
      </c>
      <c r="C24" s="34">
        <f>IF(OR($A24="",C$6=""),"",IF($L24=0,"",INDEX('01_予約入力'!$B$5:$B$204,$L24)&amp;" ◀")&amp;IF(AND($L24&gt;0,OR($M24&gt;0,$N24&gt;0)),"  ","")&amp;IF($M24=0,"",IF(INDEX('01_予約入力'!$E$5:$E$204,$M24)=$A24,"▶ ","")&amp;INDEX('01_予約入力'!$B$5:$B$204,$M24))&amp;IF(AND($M24&gt;0,$N24&gt;0),"  ","")&amp;IF($N24=0,"","◆ "&amp;INDEX('01_予約入力'!$B$5:$B$204,$N24)))</f>
        <v/>
      </c>
      <c r="D24" s="34">
        <f>IF(OR($A24="",D$6=""),"",IF($O24=0,"",INDEX('01_予約入力'!$B$5:$B$204,$O24)&amp;" ◀")&amp;IF(AND($O24&gt;0,OR($P24&gt;0,$Q24&gt;0)),"  ","")&amp;IF($P24=0,"",IF(INDEX('01_予約入力'!$E$5:$E$204,$P24)=$A24,"▶ ","")&amp;INDEX('01_予約入力'!$B$5:$B$204,$P24))&amp;IF(AND($P24&gt;0,$Q24&gt;0),"  ","")&amp;IF($Q24=0,"","◆ "&amp;INDEX('01_予約入力'!$B$5:$B$204,$Q24)))</f>
        <v/>
      </c>
      <c r="E24" s="34">
        <f>IF(OR($A24="",E$6=""),"",IF($R24=0,"",INDEX('01_予約入力'!$B$5:$B$204,$R24)&amp;" ◀")&amp;IF(AND($R24&gt;0,OR($S24&gt;0,$T24&gt;0)),"  ","")&amp;IF($S24=0,"",IF(INDEX('01_予約入力'!$E$5:$E$204,$S24)=$A24,"▶ ","")&amp;INDEX('01_予約入力'!$B$5:$B$204,$S24))&amp;IF(AND($S24&gt;0,$T24&gt;0),"  ","")&amp;IF($T24=0,"","◆ "&amp;INDEX('01_予約入力'!$B$5:$B$204,$T24)))</f>
        <v/>
      </c>
      <c r="F24" s="34">
        <f>IF(OR($A24="",F$6=""),"",IF($U24=0,"",INDEX('01_予約入力'!$B$5:$B$204,$U24)&amp;" ◀")&amp;IF(AND($U24&gt;0,OR($V24&gt;0,$W24&gt;0)),"  ","")&amp;IF($V24=0,"",IF(INDEX('01_予約入力'!$E$5:$E$204,$V24)=$A24,"▶ ","")&amp;INDEX('01_予約入力'!$B$5:$B$204,$V24))&amp;IF(AND($V24&gt;0,$W24&gt;0),"  ","")&amp;IF($W24=0,"","◆ "&amp;INDEX('01_予約入力'!$B$5:$B$204,$W24)))</f>
        <v/>
      </c>
      <c r="G24" s="31">
        <f>IF($A24="","",SUMPRODUCT(('01_予約入力'!$E$5:$E$204&lt;&gt;"")*('01_予約入力'!$K$5:$K$204&lt;&gt;"キャンセル")*('01_予約入力'!$E$5:$E$204&lt;=$A24)*('01_予約入力'!$G$5:$G$204&gt;$A24)))</f>
        <v/>
      </c>
      <c r="H24" s="31">
        <f>IF($A24="","",'M_施設設定'!$B$6-$G24)</f>
        <v/>
      </c>
      <c r="I24" s="31">
        <f>IF($A24="","",SUMPRODUCT((('01_予約入力'!$K$5:$K$204="仮予約")+('01_予約入力'!$K$5:$K$204="調整中"))*('01_予約入力'!$E$5:$E$204&lt;&gt;"")*('01_予約入力'!$E$5:$E$204&lt;=$A24)*('01_予約入力'!$G$5:$G$204&gt;$A24)))</f>
        <v/>
      </c>
      <c r="J24" s="31">
        <f>IF($A24="","",IF($I24&gt;0,"仮",IF($H24&lt;=0,"×",IF($H24&lt;'M_施設設定'!$B$6,"△","○"))))</f>
        <v/>
      </c>
      <c r="K24" s="31">
        <f>IF($A24="","",SUMPRODUCT(('01_予約入力'!$E$5:$E$204&lt;&gt;"")*('01_予約入力'!$K$5:$K$204&lt;&gt;"キャンセル")*('01_予約入力'!$E$5:$E$204=$A24)*('01_予約入力'!$G$5:$G$204=$A24)))</f>
        <v/>
      </c>
      <c r="L24" s="31">
        <f>IF(OR($A24="",C$6=""),0,SUMPRODUCT(MAX(('01_予約入力'!$D$5:$D$204=C$6)*('01_予約入力'!$K$5:$K$204&lt;&gt;"キャンセル")*('01_予約入力'!$E$5:$E$204&lt;&gt;"")*('01_予約入力'!$G$5:$G$204=$A24)*('01_予約入力'!$E$5:$E$204&lt;$A24)*(ROW('01_予約入力'!$E$5:$E$204)-4))))</f>
        <v/>
      </c>
      <c r="M24" s="31">
        <f>IF(OR($A24="",C$6=""),0,SUMPRODUCT(MAX(('01_予約入力'!$D$5:$D$204=C$6)*('01_予約入力'!$K$5:$K$204&lt;&gt;"キャンセル")*('01_予約入力'!$E$5:$E$204&lt;&gt;"")*('01_予約入力'!$E$5:$E$204&lt;=$A24)*('01_予約入力'!$G$5:$G$204&gt;$A24)*(ROW('01_予約入力'!$E$5:$E$204)-4))))</f>
        <v/>
      </c>
      <c r="N24" s="31">
        <f>IF(OR($A24="",C$6=""),0,SUMPRODUCT(MAX(('01_予約入力'!$D$5:$D$204=C$6)*('01_予約入力'!$K$5:$K$204&lt;&gt;"キャンセル")*('01_予約入力'!$E$5:$E$204&lt;&gt;"")*('01_予約入力'!$E$5:$E$204=$A24)*('01_予約入力'!$G$5:$G$204=$A24)*(ROW('01_予約入力'!$E$5:$E$204)-4))))</f>
        <v/>
      </c>
      <c r="O24" s="31">
        <f>IF(OR($A24="",D$6=""),0,SUMPRODUCT(MAX(('01_予約入力'!$D$5:$D$204=D$6)*('01_予約入力'!$K$5:$K$204&lt;&gt;"キャンセル")*('01_予約入力'!$E$5:$E$204&lt;&gt;"")*('01_予約入力'!$G$5:$G$204=$A24)*('01_予約入力'!$E$5:$E$204&lt;$A24)*(ROW('01_予約入力'!$E$5:$E$204)-4))))</f>
        <v/>
      </c>
      <c r="P24" s="31">
        <f>IF(OR($A24="",D$6=""),0,SUMPRODUCT(MAX(('01_予約入力'!$D$5:$D$204=D$6)*('01_予約入力'!$K$5:$K$204&lt;&gt;"キャンセル")*('01_予約入力'!$E$5:$E$204&lt;&gt;"")*('01_予約入力'!$E$5:$E$204&lt;=$A24)*('01_予約入力'!$G$5:$G$204&gt;$A24)*(ROW('01_予約入力'!$E$5:$E$204)-4))))</f>
        <v/>
      </c>
      <c r="Q24" s="31">
        <f>IF(OR($A24="",D$6=""),0,SUMPRODUCT(MAX(('01_予約入力'!$D$5:$D$204=D$6)*('01_予約入力'!$K$5:$K$204&lt;&gt;"キャンセル")*('01_予約入力'!$E$5:$E$204&lt;&gt;"")*('01_予約入力'!$E$5:$E$204=$A24)*('01_予約入力'!$G$5:$G$204=$A24)*(ROW('01_予約入力'!$E$5:$E$204)-4))))</f>
        <v/>
      </c>
      <c r="R24" s="31">
        <f>IF(OR($A24="",E$6=""),0,SUMPRODUCT(MAX(('01_予約入力'!$D$5:$D$204=E$6)*('01_予約入力'!$K$5:$K$204&lt;&gt;"キャンセル")*('01_予約入力'!$E$5:$E$204&lt;&gt;"")*('01_予約入力'!$G$5:$G$204=$A24)*('01_予約入力'!$E$5:$E$204&lt;$A24)*(ROW('01_予約入力'!$E$5:$E$204)-4))))</f>
        <v/>
      </c>
      <c r="S24" s="31">
        <f>IF(OR($A24="",E$6=""),0,SUMPRODUCT(MAX(('01_予約入力'!$D$5:$D$204=E$6)*('01_予約入力'!$K$5:$K$204&lt;&gt;"キャンセル")*('01_予約入力'!$E$5:$E$204&lt;&gt;"")*('01_予約入力'!$E$5:$E$204&lt;=$A24)*('01_予約入力'!$G$5:$G$204&gt;$A24)*(ROW('01_予約入力'!$E$5:$E$204)-4))))</f>
        <v/>
      </c>
      <c r="T24" s="31">
        <f>IF(OR($A24="",E$6=""),0,SUMPRODUCT(MAX(('01_予約入力'!$D$5:$D$204=E$6)*('01_予約入力'!$K$5:$K$204&lt;&gt;"キャンセル")*('01_予約入力'!$E$5:$E$204&lt;&gt;"")*('01_予約入力'!$E$5:$E$204=$A24)*('01_予約入力'!$G$5:$G$204=$A24)*(ROW('01_予約入力'!$E$5:$E$204)-4))))</f>
        <v/>
      </c>
      <c r="U24" s="31">
        <f>IF(OR($A24="",F$6=""),0,SUMPRODUCT(MAX(('01_予約入力'!$D$5:$D$204=F$6)*('01_予約入力'!$K$5:$K$204&lt;&gt;"キャンセル")*('01_予約入力'!$E$5:$E$204&lt;&gt;"")*('01_予約入力'!$G$5:$G$204=$A24)*('01_予約入力'!$E$5:$E$204&lt;$A24)*(ROW('01_予約入力'!$E$5:$E$204)-4))))</f>
        <v/>
      </c>
      <c r="V24" s="31">
        <f>IF(OR($A24="",F$6=""),0,SUMPRODUCT(MAX(('01_予約入力'!$D$5:$D$204=F$6)*('01_予約入力'!$K$5:$K$204&lt;&gt;"キャンセル")*('01_予約入力'!$E$5:$E$204&lt;&gt;"")*('01_予約入力'!$E$5:$E$204&lt;=$A24)*('01_予約入力'!$G$5:$G$204&gt;$A24)*(ROW('01_予約入力'!$E$5:$E$204)-4))))</f>
        <v/>
      </c>
      <c r="W24" s="31">
        <f>IF(OR($A24="",F$6=""),0,SUMPRODUCT(MAX(('01_予約入力'!$D$5:$D$204=F$6)*('01_予約入力'!$K$5:$K$204&lt;&gt;"キャンセル")*('01_予約入力'!$E$5:$E$204&lt;&gt;"")*('01_予約入力'!$E$5:$E$204=$A24)*('01_予約入力'!$G$5:$G$204=$A24)*(ROW('01_予約入力'!$E$5:$E$204)-4))))</f>
        <v/>
      </c>
      <c r="X24" s="31">
        <f>IF($A24="","",IF($M24&gt;0,IF(OR(INDEX('01_予約入力'!$K$5:$K$204,$M24)="仮予約",INDEX('01_予約入力'!$K$5:$K$204,$M24)="調整中"),"仮",INDEX('01_予約入力'!$C$5:$C$204,$M24)),IF($N24&gt;0,IF(OR(INDEX('01_予約入力'!$K$5:$K$204,$N24)="仮予約",INDEX('01_予約入力'!$K$5:$K$204,$N24)="調整中"),"仮",INDEX('01_予約入力'!$C$5:$C$204,$N24)),IF($L24&gt;0,IF(OR(INDEX('01_予約入力'!$K$5:$K$204,$L24)="仮予約",INDEX('01_予約入力'!$K$5:$K$204,$L24)="調整中"),"仮",INDEX('01_予約入力'!$C$5:$C$204,$L24)),""))))</f>
        <v/>
      </c>
      <c r="Y24" s="31">
        <f>IF($A24="","",IF($P24&gt;0,IF(OR(INDEX('01_予約入力'!$K$5:$K$204,$P24)="仮予約",INDEX('01_予約入力'!$K$5:$K$204,$P24)="調整中"),"仮",INDEX('01_予約入力'!$C$5:$C$204,$P24)),IF($Q24&gt;0,IF(OR(INDEX('01_予約入力'!$K$5:$K$204,$Q24)="仮予約",INDEX('01_予約入力'!$K$5:$K$204,$Q24)="調整中"),"仮",INDEX('01_予約入力'!$C$5:$C$204,$Q24)),IF($O24&gt;0,IF(OR(INDEX('01_予約入力'!$K$5:$K$204,$O24)="仮予約",INDEX('01_予約入力'!$K$5:$K$204,$O24)="調整中"),"仮",INDEX('01_予約入力'!$C$5:$C$204,$O24)),""))))</f>
        <v/>
      </c>
      <c r="Z24" s="31">
        <f>IF($A24="","",IF($S24&gt;0,IF(OR(INDEX('01_予約入力'!$K$5:$K$204,$S24)="仮予約",INDEX('01_予約入力'!$K$5:$K$204,$S24)="調整中"),"仮",INDEX('01_予約入力'!$C$5:$C$204,$S24)),IF($T24&gt;0,IF(OR(INDEX('01_予約入力'!$K$5:$K$204,$T24)="仮予約",INDEX('01_予約入力'!$K$5:$K$204,$T24)="調整中"),"仮",INDEX('01_予約入力'!$C$5:$C$204,$T24)),IF($R24&gt;0,IF(OR(INDEX('01_予約入力'!$K$5:$K$204,$R24)="仮予約",INDEX('01_予約入力'!$K$5:$K$204,$R24)="調整中"),"仮",INDEX('01_予約入力'!$C$5:$C$204,$R24)),""))))</f>
        <v/>
      </c>
      <c r="AA24" s="31">
        <f>IF($A24="","",IF($V24&gt;0,IF(OR(INDEX('01_予約入力'!$K$5:$K$204,$V24)="仮予約",INDEX('01_予約入力'!$K$5:$K$204,$V24)="調整中"),"仮",INDEX('01_予約入力'!$C$5:$C$204,$V24)),IF($W24&gt;0,IF(OR(INDEX('01_予約入力'!$K$5:$K$204,$W24)="仮予約",INDEX('01_予約入力'!$K$5:$K$204,$W24)="調整中"),"仮",INDEX('01_予約入力'!$C$5:$C$204,$W24)),IF($U24&gt;0,IF(OR(INDEX('01_予約入力'!$K$5:$K$204,$U24)="仮予約",INDEX('01_予約入力'!$K$5:$K$204,$U24)="調整中"),"仮",INDEX('01_予約入力'!$C$5:$C$204,$U24)),""))))</f>
        <v/>
      </c>
    </row>
    <row r="25">
      <c r="A25" s="33">
        <f>IF(MONTH('02_カレンダー'!$B$4+18)&lt;&gt;MONTH('02_カレンダー'!$B$4),"",'02_カレンダー'!$B$4+18)</f>
        <v/>
      </c>
      <c r="B25" s="31">
        <f>IF($A25="","",MID("日月火水木金土",WEEKDAY($A25),1))</f>
        <v/>
      </c>
      <c r="C25" s="34">
        <f>IF(OR($A25="",C$6=""),"",IF($L25=0,"",INDEX('01_予約入力'!$B$5:$B$204,$L25)&amp;" ◀")&amp;IF(AND($L25&gt;0,OR($M25&gt;0,$N25&gt;0)),"  ","")&amp;IF($M25=0,"",IF(INDEX('01_予約入力'!$E$5:$E$204,$M25)=$A25,"▶ ","")&amp;INDEX('01_予約入力'!$B$5:$B$204,$M25))&amp;IF(AND($M25&gt;0,$N25&gt;0),"  ","")&amp;IF($N25=0,"","◆ "&amp;INDEX('01_予約入力'!$B$5:$B$204,$N25)))</f>
        <v/>
      </c>
      <c r="D25" s="34">
        <f>IF(OR($A25="",D$6=""),"",IF($O25=0,"",INDEX('01_予約入力'!$B$5:$B$204,$O25)&amp;" ◀")&amp;IF(AND($O25&gt;0,OR($P25&gt;0,$Q25&gt;0)),"  ","")&amp;IF($P25=0,"",IF(INDEX('01_予約入力'!$E$5:$E$204,$P25)=$A25,"▶ ","")&amp;INDEX('01_予約入力'!$B$5:$B$204,$P25))&amp;IF(AND($P25&gt;0,$Q25&gt;0),"  ","")&amp;IF($Q25=0,"","◆ "&amp;INDEX('01_予約入力'!$B$5:$B$204,$Q25)))</f>
        <v/>
      </c>
      <c r="E25" s="34">
        <f>IF(OR($A25="",E$6=""),"",IF($R25=0,"",INDEX('01_予約入力'!$B$5:$B$204,$R25)&amp;" ◀")&amp;IF(AND($R25&gt;0,OR($S25&gt;0,$T25&gt;0)),"  ","")&amp;IF($S25=0,"",IF(INDEX('01_予約入力'!$E$5:$E$204,$S25)=$A25,"▶ ","")&amp;INDEX('01_予約入力'!$B$5:$B$204,$S25))&amp;IF(AND($S25&gt;0,$T25&gt;0),"  ","")&amp;IF($T25=0,"","◆ "&amp;INDEX('01_予約入力'!$B$5:$B$204,$T25)))</f>
        <v/>
      </c>
      <c r="F25" s="34">
        <f>IF(OR($A25="",F$6=""),"",IF($U25=0,"",INDEX('01_予約入力'!$B$5:$B$204,$U25)&amp;" ◀")&amp;IF(AND($U25&gt;0,OR($V25&gt;0,$W25&gt;0)),"  ","")&amp;IF($V25=0,"",IF(INDEX('01_予約入力'!$E$5:$E$204,$V25)=$A25,"▶ ","")&amp;INDEX('01_予約入力'!$B$5:$B$204,$V25))&amp;IF(AND($V25&gt;0,$W25&gt;0),"  ","")&amp;IF($W25=0,"","◆ "&amp;INDEX('01_予約入力'!$B$5:$B$204,$W25)))</f>
        <v/>
      </c>
      <c r="G25" s="31">
        <f>IF($A25="","",SUMPRODUCT(('01_予約入力'!$E$5:$E$204&lt;&gt;"")*('01_予約入力'!$K$5:$K$204&lt;&gt;"キャンセル")*('01_予約入力'!$E$5:$E$204&lt;=$A25)*('01_予約入力'!$G$5:$G$204&gt;$A25)))</f>
        <v/>
      </c>
      <c r="H25" s="31">
        <f>IF($A25="","",'M_施設設定'!$B$6-$G25)</f>
        <v/>
      </c>
      <c r="I25" s="31">
        <f>IF($A25="","",SUMPRODUCT((('01_予約入力'!$K$5:$K$204="仮予約")+('01_予約入力'!$K$5:$K$204="調整中"))*('01_予約入力'!$E$5:$E$204&lt;&gt;"")*('01_予約入力'!$E$5:$E$204&lt;=$A25)*('01_予約入力'!$G$5:$G$204&gt;$A25)))</f>
        <v/>
      </c>
      <c r="J25" s="31">
        <f>IF($A25="","",IF($I25&gt;0,"仮",IF($H25&lt;=0,"×",IF($H25&lt;'M_施設設定'!$B$6,"△","○"))))</f>
        <v/>
      </c>
      <c r="K25" s="31">
        <f>IF($A25="","",SUMPRODUCT(('01_予約入力'!$E$5:$E$204&lt;&gt;"")*('01_予約入力'!$K$5:$K$204&lt;&gt;"キャンセル")*('01_予約入力'!$E$5:$E$204=$A25)*('01_予約入力'!$G$5:$G$204=$A25)))</f>
        <v/>
      </c>
      <c r="L25" s="31">
        <f>IF(OR($A25="",C$6=""),0,SUMPRODUCT(MAX(('01_予約入力'!$D$5:$D$204=C$6)*('01_予約入力'!$K$5:$K$204&lt;&gt;"キャンセル")*('01_予約入力'!$E$5:$E$204&lt;&gt;"")*('01_予約入力'!$G$5:$G$204=$A25)*('01_予約入力'!$E$5:$E$204&lt;$A25)*(ROW('01_予約入力'!$E$5:$E$204)-4))))</f>
        <v/>
      </c>
      <c r="M25" s="31">
        <f>IF(OR($A25="",C$6=""),0,SUMPRODUCT(MAX(('01_予約入力'!$D$5:$D$204=C$6)*('01_予約入力'!$K$5:$K$204&lt;&gt;"キャンセル")*('01_予約入力'!$E$5:$E$204&lt;&gt;"")*('01_予約入力'!$E$5:$E$204&lt;=$A25)*('01_予約入力'!$G$5:$G$204&gt;$A25)*(ROW('01_予約入力'!$E$5:$E$204)-4))))</f>
        <v/>
      </c>
      <c r="N25" s="31">
        <f>IF(OR($A25="",C$6=""),0,SUMPRODUCT(MAX(('01_予約入力'!$D$5:$D$204=C$6)*('01_予約入力'!$K$5:$K$204&lt;&gt;"キャンセル")*('01_予約入力'!$E$5:$E$204&lt;&gt;"")*('01_予約入力'!$E$5:$E$204=$A25)*('01_予約入力'!$G$5:$G$204=$A25)*(ROW('01_予約入力'!$E$5:$E$204)-4))))</f>
        <v/>
      </c>
      <c r="O25" s="31">
        <f>IF(OR($A25="",D$6=""),0,SUMPRODUCT(MAX(('01_予約入力'!$D$5:$D$204=D$6)*('01_予約入力'!$K$5:$K$204&lt;&gt;"キャンセル")*('01_予約入力'!$E$5:$E$204&lt;&gt;"")*('01_予約入力'!$G$5:$G$204=$A25)*('01_予約入力'!$E$5:$E$204&lt;$A25)*(ROW('01_予約入力'!$E$5:$E$204)-4))))</f>
        <v/>
      </c>
      <c r="P25" s="31">
        <f>IF(OR($A25="",D$6=""),0,SUMPRODUCT(MAX(('01_予約入力'!$D$5:$D$204=D$6)*('01_予約入力'!$K$5:$K$204&lt;&gt;"キャンセル")*('01_予約入力'!$E$5:$E$204&lt;&gt;"")*('01_予約入力'!$E$5:$E$204&lt;=$A25)*('01_予約入力'!$G$5:$G$204&gt;$A25)*(ROW('01_予約入力'!$E$5:$E$204)-4))))</f>
        <v/>
      </c>
      <c r="Q25" s="31">
        <f>IF(OR($A25="",D$6=""),0,SUMPRODUCT(MAX(('01_予約入力'!$D$5:$D$204=D$6)*('01_予約入力'!$K$5:$K$204&lt;&gt;"キャンセル")*('01_予約入力'!$E$5:$E$204&lt;&gt;"")*('01_予約入力'!$E$5:$E$204=$A25)*('01_予約入力'!$G$5:$G$204=$A25)*(ROW('01_予約入力'!$E$5:$E$204)-4))))</f>
        <v/>
      </c>
      <c r="R25" s="31">
        <f>IF(OR($A25="",E$6=""),0,SUMPRODUCT(MAX(('01_予約入力'!$D$5:$D$204=E$6)*('01_予約入力'!$K$5:$K$204&lt;&gt;"キャンセル")*('01_予約入力'!$E$5:$E$204&lt;&gt;"")*('01_予約入力'!$G$5:$G$204=$A25)*('01_予約入力'!$E$5:$E$204&lt;$A25)*(ROW('01_予約入力'!$E$5:$E$204)-4))))</f>
        <v/>
      </c>
      <c r="S25" s="31">
        <f>IF(OR($A25="",E$6=""),0,SUMPRODUCT(MAX(('01_予約入力'!$D$5:$D$204=E$6)*('01_予約入力'!$K$5:$K$204&lt;&gt;"キャンセル")*('01_予約入力'!$E$5:$E$204&lt;&gt;"")*('01_予約入力'!$E$5:$E$204&lt;=$A25)*('01_予約入力'!$G$5:$G$204&gt;$A25)*(ROW('01_予約入力'!$E$5:$E$204)-4))))</f>
        <v/>
      </c>
      <c r="T25" s="31">
        <f>IF(OR($A25="",E$6=""),0,SUMPRODUCT(MAX(('01_予約入力'!$D$5:$D$204=E$6)*('01_予約入力'!$K$5:$K$204&lt;&gt;"キャンセル")*('01_予約入力'!$E$5:$E$204&lt;&gt;"")*('01_予約入力'!$E$5:$E$204=$A25)*('01_予約入力'!$G$5:$G$204=$A25)*(ROW('01_予約入力'!$E$5:$E$204)-4))))</f>
        <v/>
      </c>
      <c r="U25" s="31">
        <f>IF(OR($A25="",F$6=""),0,SUMPRODUCT(MAX(('01_予約入力'!$D$5:$D$204=F$6)*('01_予約入力'!$K$5:$K$204&lt;&gt;"キャンセル")*('01_予約入力'!$E$5:$E$204&lt;&gt;"")*('01_予約入力'!$G$5:$G$204=$A25)*('01_予約入力'!$E$5:$E$204&lt;$A25)*(ROW('01_予約入力'!$E$5:$E$204)-4))))</f>
        <v/>
      </c>
      <c r="V25" s="31">
        <f>IF(OR($A25="",F$6=""),0,SUMPRODUCT(MAX(('01_予約入力'!$D$5:$D$204=F$6)*('01_予約入力'!$K$5:$K$204&lt;&gt;"キャンセル")*('01_予約入力'!$E$5:$E$204&lt;&gt;"")*('01_予約入力'!$E$5:$E$204&lt;=$A25)*('01_予約入力'!$G$5:$G$204&gt;$A25)*(ROW('01_予約入力'!$E$5:$E$204)-4))))</f>
        <v/>
      </c>
      <c r="W25" s="31">
        <f>IF(OR($A25="",F$6=""),0,SUMPRODUCT(MAX(('01_予約入力'!$D$5:$D$204=F$6)*('01_予約入力'!$K$5:$K$204&lt;&gt;"キャンセル")*('01_予約入力'!$E$5:$E$204&lt;&gt;"")*('01_予約入力'!$E$5:$E$204=$A25)*('01_予約入力'!$G$5:$G$204=$A25)*(ROW('01_予約入力'!$E$5:$E$204)-4))))</f>
        <v/>
      </c>
      <c r="X25" s="31">
        <f>IF($A25="","",IF($M25&gt;0,IF(OR(INDEX('01_予約入力'!$K$5:$K$204,$M25)="仮予約",INDEX('01_予約入力'!$K$5:$K$204,$M25)="調整中"),"仮",INDEX('01_予約入力'!$C$5:$C$204,$M25)),IF($N25&gt;0,IF(OR(INDEX('01_予約入力'!$K$5:$K$204,$N25)="仮予約",INDEX('01_予約入力'!$K$5:$K$204,$N25)="調整中"),"仮",INDEX('01_予約入力'!$C$5:$C$204,$N25)),IF($L25&gt;0,IF(OR(INDEX('01_予約入力'!$K$5:$K$204,$L25)="仮予約",INDEX('01_予約入力'!$K$5:$K$204,$L25)="調整中"),"仮",INDEX('01_予約入力'!$C$5:$C$204,$L25)),""))))</f>
        <v/>
      </c>
      <c r="Y25" s="31">
        <f>IF($A25="","",IF($P25&gt;0,IF(OR(INDEX('01_予約入力'!$K$5:$K$204,$P25)="仮予約",INDEX('01_予約入力'!$K$5:$K$204,$P25)="調整中"),"仮",INDEX('01_予約入力'!$C$5:$C$204,$P25)),IF($Q25&gt;0,IF(OR(INDEX('01_予約入力'!$K$5:$K$204,$Q25)="仮予約",INDEX('01_予約入力'!$K$5:$K$204,$Q25)="調整中"),"仮",INDEX('01_予約入力'!$C$5:$C$204,$Q25)),IF($O25&gt;0,IF(OR(INDEX('01_予約入力'!$K$5:$K$204,$O25)="仮予約",INDEX('01_予約入力'!$K$5:$K$204,$O25)="調整中"),"仮",INDEX('01_予約入力'!$C$5:$C$204,$O25)),""))))</f>
        <v/>
      </c>
      <c r="Z25" s="31">
        <f>IF($A25="","",IF($S25&gt;0,IF(OR(INDEX('01_予約入力'!$K$5:$K$204,$S25)="仮予約",INDEX('01_予約入力'!$K$5:$K$204,$S25)="調整中"),"仮",INDEX('01_予約入力'!$C$5:$C$204,$S25)),IF($T25&gt;0,IF(OR(INDEX('01_予約入力'!$K$5:$K$204,$T25)="仮予約",INDEX('01_予約入力'!$K$5:$K$204,$T25)="調整中"),"仮",INDEX('01_予約入力'!$C$5:$C$204,$T25)),IF($R25&gt;0,IF(OR(INDEX('01_予約入力'!$K$5:$K$204,$R25)="仮予約",INDEX('01_予約入力'!$K$5:$K$204,$R25)="調整中"),"仮",INDEX('01_予約入力'!$C$5:$C$204,$R25)),""))))</f>
        <v/>
      </c>
      <c r="AA25" s="31">
        <f>IF($A25="","",IF($V25&gt;0,IF(OR(INDEX('01_予約入力'!$K$5:$K$204,$V25)="仮予約",INDEX('01_予約入力'!$K$5:$K$204,$V25)="調整中"),"仮",INDEX('01_予約入力'!$C$5:$C$204,$V25)),IF($W25&gt;0,IF(OR(INDEX('01_予約入力'!$K$5:$K$204,$W25)="仮予約",INDEX('01_予約入力'!$K$5:$K$204,$W25)="調整中"),"仮",INDEX('01_予約入力'!$C$5:$C$204,$W25)),IF($U25&gt;0,IF(OR(INDEX('01_予約入力'!$K$5:$K$204,$U25)="仮予約",INDEX('01_予約入力'!$K$5:$K$204,$U25)="調整中"),"仮",INDEX('01_予約入力'!$C$5:$C$204,$U25)),""))))</f>
        <v/>
      </c>
    </row>
    <row r="26">
      <c r="A26" s="33">
        <f>IF(MONTH('02_カレンダー'!$B$4+19)&lt;&gt;MONTH('02_カレンダー'!$B$4),"",'02_カレンダー'!$B$4+19)</f>
        <v/>
      </c>
      <c r="B26" s="31">
        <f>IF($A26="","",MID("日月火水木金土",WEEKDAY($A26),1))</f>
        <v/>
      </c>
      <c r="C26" s="34">
        <f>IF(OR($A26="",C$6=""),"",IF($L26=0,"",INDEX('01_予約入力'!$B$5:$B$204,$L26)&amp;" ◀")&amp;IF(AND($L26&gt;0,OR($M26&gt;0,$N26&gt;0)),"  ","")&amp;IF($M26=0,"",IF(INDEX('01_予約入力'!$E$5:$E$204,$M26)=$A26,"▶ ","")&amp;INDEX('01_予約入力'!$B$5:$B$204,$M26))&amp;IF(AND($M26&gt;0,$N26&gt;0),"  ","")&amp;IF($N26=0,"","◆ "&amp;INDEX('01_予約入力'!$B$5:$B$204,$N26)))</f>
        <v/>
      </c>
      <c r="D26" s="34">
        <f>IF(OR($A26="",D$6=""),"",IF($O26=0,"",INDEX('01_予約入力'!$B$5:$B$204,$O26)&amp;" ◀")&amp;IF(AND($O26&gt;0,OR($P26&gt;0,$Q26&gt;0)),"  ","")&amp;IF($P26=0,"",IF(INDEX('01_予約入力'!$E$5:$E$204,$P26)=$A26,"▶ ","")&amp;INDEX('01_予約入力'!$B$5:$B$204,$P26))&amp;IF(AND($P26&gt;0,$Q26&gt;0),"  ","")&amp;IF($Q26=0,"","◆ "&amp;INDEX('01_予約入力'!$B$5:$B$204,$Q26)))</f>
        <v/>
      </c>
      <c r="E26" s="34">
        <f>IF(OR($A26="",E$6=""),"",IF($R26=0,"",INDEX('01_予約入力'!$B$5:$B$204,$R26)&amp;" ◀")&amp;IF(AND($R26&gt;0,OR($S26&gt;0,$T26&gt;0)),"  ","")&amp;IF($S26=0,"",IF(INDEX('01_予約入力'!$E$5:$E$204,$S26)=$A26,"▶ ","")&amp;INDEX('01_予約入力'!$B$5:$B$204,$S26))&amp;IF(AND($S26&gt;0,$T26&gt;0),"  ","")&amp;IF($T26=0,"","◆ "&amp;INDEX('01_予約入力'!$B$5:$B$204,$T26)))</f>
        <v/>
      </c>
      <c r="F26" s="34">
        <f>IF(OR($A26="",F$6=""),"",IF($U26=0,"",INDEX('01_予約入力'!$B$5:$B$204,$U26)&amp;" ◀")&amp;IF(AND($U26&gt;0,OR($V26&gt;0,$W26&gt;0)),"  ","")&amp;IF($V26=0,"",IF(INDEX('01_予約入力'!$E$5:$E$204,$V26)=$A26,"▶ ","")&amp;INDEX('01_予約入力'!$B$5:$B$204,$V26))&amp;IF(AND($V26&gt;0,$W26&gt;0),"  ","")&amp;IF($W26=0,"","◆ "&amp;INDEX('01_予約入力'!$B$5:$B$204,$W26)))</f>
        <v/>
      </c>
      <c r="G26" s="31">
        <f>IF($A26="","",SUMPRODUCT(('01_予約入力'!$E$5:$E$204&lt;&gt;"")*('01_予約入力'!$K$5:$K$204&lt;&gt;"キャンセル")*('01_予約入力'!$E$5:$E$204&lt;=$A26)*('01_予約入力'!$G$5:$G$204&gt;$A26)))</f>
        <v/>
      </c>
      <c r="H26" s="31">
        <f>IF($A26="","",'M_施設設定'!$B$6-$G26)</f>
        <v/>
      </c>
      <c r="I26" s="31">
        <f>IF($A26="","",SUMPRODUCT((('01_予約入力'!$K$5:$K$204="仮予約")+('01_予約入力'!$K$5:$K$204="調整中"))*('01_予約入力'!$E$5:$E$204&lt;&gt;"")*('01_予約入力'!$E$5:$E$204&lt;=$A26)*('01_予約入力'!$G$5:$G$204&gt;$A26)))</f>
        <v/>
      </c>
      <c r="J26" s="31">
        <f>IF($A26="","",IF($I26&gt;0,"仮",IF($H26&lt;=0,"×",IF($H26&lt;'M_施設設定'!$B$6,"△","○"))))</f>
        <v/>
      </c>
      <c r="K26" s="31">
        <f>IF($A26="","",SUMPRODUCT(('01_予約入力'!$E$5:$E$204&lt;&gt;"")*('01_予約入力'!$K$5:$K$204&lt;&gt;"キャンセル")*('01_予約入力'!$E$5:$E$204=$A26)*('01_予約入力'!$G$5:$G$204=$A26)))</f>
        <v/>
      </c>
      <c r="L26" s="31">
        <f>IF(OR($A26="",C$6=""),0,SUMPRODUCT(MAX(('01_予約入力'!$D$5:$D$204=C$6)*('01_予約入力'!$K$5:$K$204&lt;&gt;"キャンセル")*('01_予約入力'!$E$5:$E$204&lt;&gt;"")*('01_予約入力'!$G$5:$G$204=$A26)*('01_予約入力'!$E$5:$E$204&lt;$A26)*(ROW('01_予約入力'!$E$5:$E$204)-4))))</f>
        <v/>
      </c>
      <c r="M26" s="31">
        <f>IF(OR($A26="",C$6=""),0,SUMPRODUCT(MAX(('01_予約入力'!$D$5:$D$204=C$6)*('01_予約入力'!$K$5:$K$204&lt;&gt;"キャンセル")*('01_予約入力'!$E$5:$E$204&lt;&gt;"")*('01_予約入力'!$E$5:$E$204&lt;=$A26)*('01_予約入力'!$G$5:$G$204&gt;$A26)*(ROW('01_予約入力'!$E$5:$E$204)-4))))</f>
        <v/>
      </c>
      <c r="N26" s="31">
        <f>IF(OR($A26="",C$6=""),0,SUMPRODUCT(MAX(('01_予約入力'!$D$5:$D$204=C$6)*('01_予約入力'!$K$5:$K$204&lt;&gt;"キャンセル")*('01_予約入力'!$E$5:$E$204&lt;&gt;"")*('01_予約入力'!$E$5:$E$204=$A26)*('01_予約入力'!$G$5:$G$204=$A26)*(ROW('01_予約入力'!$E$5:$E$204)-4))))</f>
        <v/>
      </c>
      <c r="O26" s="31">
        <f>IF(OR($A26="",D$6=""),0,SUMPRODUCT(MAX(('01_予約入力'!$D$5:$D$204=D$6)*('01_予約入力'!$K$5:$K$204&lt;&gt;"キャンセル")*('01_予約入力'!$E$5:$E$204&lt;&gt;"")*('01_予約入力'!$G$5:$G$204=$A26)*('01_予約入力'!$E$5:$E$204&lt;$A26)*(ROW('01_予約入力'!$E$5:$E$204)-4))))</f>
        <v/>
      </c>
      <c r="P26" s="31">
        <f>IF(OR($A26="",D$6=""),0,SUMPRODUCT(MAX(('01_予約入力'!$D$5:$D$204=D$6)*('01_予約入力'!$K$5:$K$204&lt;&gt;"キャンセル")*('01_予約入力'!$E$5:$E$204&lt;&gt;"")*('01_予約入力'!$E$5:$E$204&lt;=$A26)*('01_予約入力'!$G$5:$G$204&gt;$A26)*(ROW('01_予約入力'!$E$5:$E$204)-4))))</f>
        <v/>
      </c>
      <c r="Q26" s="31">
        <f>IF(OR($A26="",D$6=""),0,SUMPRODUCT(MAX(('01_予約入力'!$D$5:$D$204=D$6)*('01_予約入力'!$K$5:$K$204&lt;&gt;"キャンセル")*('01_予約入力'!$E$5:$E$204&lt;&gt;"")*('01_予約入力'!$E$5:$E$204=$A26)*('01_予約入力'!$G$5:$G$204=$A26)*(ROW('01_予約入力'!$E$5:$E$204)-4))))</f>
        <v/>
      </c>
      <c r="R26" s="31">
        <f>IF(OR($A26="",E$6=""),0,SUMPRODUCT(MAX(('01_予約入力'!$D$5:$D$204=E$6)*('01_予約入力'!$K$5:$K$204&lt;&gt;"キャンセル")*('01_予約入力'!$E$5:$E$204&lt;&gt;"")*('01_予約入力'!$G$5:$G$204=$A26)*('01_予約入力'!$E$5:$E$204&lt;$A26)*(ROW('01_予約入力'!$E$5:$E$204)-4))))</f>
        <v/>
      </c>
      <c r="S26" s="31">
        <f>IF(OR($A26="",E$6=""),0,SUMPRODUCT(MAX(('01_予約入力'!$D$5:$D$204=E$6)*('01_予約入力'!$K$5:$K$204&lt;&gt;"キャンセル")*('01_予約入力'!$E$5:$E$204&lt;&gt;"")*('01_予約入力'!$E$5:$E$204&lt;=$A26)*('01_予約入力'!$G$5:$G$204&gt;$A26)*(ROW('01_予約入力'!$E$5:$E$204)-4))))</f>
        <v/>
      </c>
      <c r="T26" s="31">
        <f>IF(OR($A26="",E$6=""),0,SUMPRODUCT(MAX(('01_予約入力'!$D$5:$D$204=E$6)*('01_予約入力'!$K$5:$K$204&lt;&gt;"キャンセル")*('01_予約入力'!$E$5:$E$204&lt;&gt;"")*('01_予約入力'!$E$5:$E$204=$A26)*('01_予約入力'!$G$5:$G$204=$A26)*(ROW('01_予約入力'!$E$5:$E$204)-4))))</f>
        <v/>
      </c>
      <c r="U26" s="31">
        <f>IF(OR($A26="",F$6=""),0,SUMPRODUCT(MAX(('01_予約入力'!$D$5:$D$204=F$6)*('01_予約入力'!$K$5:$K$204&lt;&gt;"キャンセル")*('01_予約入力'!$E$5:$E$204&lt;&gt;"")*('01_予約入力'!$G$5:$G$204=$A26)*('01_予約入力'!$E$5:$E$204&lt;$A26)*(ROW('01_予約入力'!$E$5:$E$204)-4))))</f>
        <v/>
      </c>
      <c r="V26" s="31">
        <f>IF(OR($A26="",F$6=""),0,SUMPRODUCT(MAX(('01_予約入力'!$D$5:$D$204=F$6)*('01_予約入力'!$K$5:$K$204&lt;&gt;"キャンセル")*('01_予約入力'!$E$5:$E$204&lt;&gt;"")*('01_予約入力'!$E$5:$E$204&lt;=$A26)*('01_予約入力'!$G$5:$G$204&gt;$A26)*(ROW('01_予約入力'!$E$5:$E$204)-4))))</f>
        <v/>
      </c>
      <c r="W26" s="31">
        <f>IF(OR($A26="",F$6=""),0,SUMPRODUCT(MAX(('01_予約入力'!$D$5:$D$204=F$6)*('01_予約入力'!$K$5:$K$204&lt;&gt;"キャンセル")*('01_予約入力'!$E$5:$E$204&lt;&gt;"")*('01_予約入力'!$E$5:$E$204=$A26)*('01_予約入力'!$G$5:$G$204=$A26)*(ROW('01_予約入力'!$E$5:$E$204)-4))))</f>
        <v/>
      </c>
      <c r="X26" s="31">
        <f>IF($A26="","",IF($M26&gt;0,IF(OR(INDEX('01_予約入力'!$K$5:$K$204,$M26)="仮予約",INDEX('01_予約入力'!$K$5:$K$204,$M26)="調整中"),"仮",INDEX('01_予約入力'!$C$5:$C$204,$M26)),IF($N26&gt;0,IF(OR(INDEX('01_予約入力'!$K$5:$K$204,$N26)="仮予約",INDEX('01_予約入力'!$K$5:$K$204,$N26)="調整中"),"仮",INDEX('01_予約入力'!$C$5:$C$204,$N26)),IF($L26&gt;0,IF(OR(INDEX('01_予約入力'!$K$5:$K$204,$L26)="仮予約",INDEX('01_予約入力'!$K$5:$K$204,$L26)="調整中"),"仮",INDEX('01_予約入力'!$C$5:$C$204,$L26)),""))))</f>
        <v/>
      </c>
      <c r="Y26" s="31">
        <f>IF($A26="","",IF($P26&gt;0,IF(OR(INDEX('01_予約入力'!$K$5:$K$204,$P26)="仮予約",INDEX('01_予約入力'!$K$5:$K$204,$P26)="調整中"),"仮",INDEX('01_予約入力'!$C$5:$C$204,$P26)),IF($Q26&gt;0,IF(OR(INDEX('01_予約入力'!$K$5:$K$204,$Q26)="仮予約",INDEX('01_予約入力'!$K$5:$K$204,$Q26)="調整中"),"仮",INDEX('01_予約入力'!$C$5:$C$204,$Q26)),IF($O26&gt;0,IF(OR(INDEX('01_予約入力'!$K$5:$K$204,$O26)="仮予約",INDEX('01_予約入力'!$K$5:$K$204,$O26)="調整中"),"仮",INDEX('01_予約入力'!$C$5:$C$204,$O26)),""))))</f>
        <v/>
      </c>
      <c r="Z26" s="31">
        <f>IF($A26="","",IF($S26&gt;0,IF(OR(INDEX('01_予約入力'!$K$5:$K$204,$S26)="仮予約",INDEX('01_予約入力'!$K$5:$K$204,$S26)="調整中"),"仮",INDEX('01_予約入力'!$C$5:$C$204,$S26)),IF($T26&gt;0,IF(OR(INDEX('01_予約入力'!$K$5:$K$204,$T26)="仮予約",INDEX('01_予約入力'!$K$5:$K$204,$T26)="調整中"),"仮",INDEX('01_予約入力'!$C$5:$C$204,$T26)),IF($R26&gt;0,IF(OR(INDEX('01_予約入力'!$K$5:$K$204,$R26)="仮予約",INDEX('01_予約入力'!$K$5:$K$204,$R26)="調整中"),"仮",INDEX('01_予約入力'!$C$5:$C$204,$R26)),""))))</f>
        <v/>
      </c>
      <c r="AA26" s="31">
        <f>IF($A26="","",IF($V26&gt;0,IF(OR(INDEX('01_予約入力'!$K$5:$K$204,$V26)="仮予約",INDEX('01_予約入力'!$K$5:$K$204,$V26)="調整中"),"仮",INDEX('01_予約入力'!$C$5:$C$204,$V26)),IF($W26&gt;0,IF(OR(INDEX('01_予約入力'!$K$5:$K$204,$W26)="仮予約",INDEX('01_予約入力'!$K$5:$K$204,$W26)="調整中"),"仮",INDEX('01_予約入力'!$C$5:$C$204,$W26)),IF($U26&gt;0,IF(OR(INDEX('01_予約入力'!$K$5:$K$204,$U26)="仮予約",INDEX('01_予約入力'!$K$5:$K$204,$U26)="調整中"),"仮",INDEX('01_予約入力'!$C$5:$C$204,$U26)),""))))</f>
        <v/>
      </c>
    </row>
    <row r="27">
      <c r="A27" s="33">
        <f>IF(MONTH('02_カレンダー'!$B$4+20)&lt;&gt;MONTH('02_カレンダー'!$B$4),"",'02_カレンダー'!$B$4+20)</f>
        <v/>
      </c>
      <c r="B27" s="31">
        <f>IF($A27="","",MID("日月火水木金土",WEEKDAY($A27),1))</f>
        <v/>
      </c>
      <c r="C27" s="34">
        <f>IF(OR($A27="",C$6=""),"",IF($L27=0,"",INDEX('01_予約入力'!$B$5:$B$204,$L27)&amp;" ◀")&amp;IF(AND($L27&gt;0,OR($M27&gt;0,$N27&gt;0)),"  ","")&amp;IF($M27=0,"",IF(INDEX('01_予約入力'!$E$5:$E$204,$M27)=$A27,"▶ ","")&amp;INDEX('01_予約入力'!$B$5:$B$204,$M27))&amp;IF(AND($M27&gt;0,$N27&gt;0),"  ","")&amp;IF($N27=0,"","◆ "&amp;INDEX('01_予約入力'!$B$5:$B$204,$N27)))</f>
        <v/>
      </c>
      <c r="D27" s="34">
        <f>IF(OR($A27="",D$6=""),"",IF($O27=0,"",INDEX('01_予約入力'!$B$5:$B$204,$O27)&amp;" ◀")&amp;IF(AND($O27&gt;0,OR($P27&gt;0,$Q27&gt;0)),"  ","")&amp;IF($P27=0,"",IF(INDEX('01_予約入力'!$E$5:$E$204,$P27)=$A27,"▶ ","")&amp;INDEX('01_予約入力'!$B$5:$B$204,$P27))&amp;IF(AND($P27&gt;0,$Q27&gt;0),"  ","")&amp;IF($Q27=0,"","◆ "&amp;INDEX('01_予約入力'!$B$5:$B$204,$Q27)))</f>
        <v/>
      </c>
      <c r="E27" s="34">
        <f>IF(OR($A27="",E$6=""),"",IF($R27=0,"",INDEX('01_予約入力'!$B$5:$B$204,$R27)&amp;" ◀")&amp;IF(AND($R27&gt;0,OR($S27&gt;0,$T27&gt;0)),"  ","")&amp;IF($S27=0,"",IF(INDEX('01_予約入力'!$E$5:$E$204,$S27)=$A27,"▶ ","")&amp;INDEX('01_予約入力'!$B$5:$B$204,$S27))&amp;IF(AND($S27&gt;0,$T27&gt;0),"  ","")&amp;IF($T27=0,"","◆ "&amp;INDEX('01_予約入力'!$B$5:$B$204,$T27)))</f>
        <v/>
      </c>
      <c r="F27" s="34">
        <f>IF(OR($A27="",F$6=""),"",IF($U27=0,"",INDEX('01_予約入力'!$B$5:$B$204,$U27)&amp;" ◀")&amp;IF(AND($U27&gt;0,OR($V27&gt;0,$W27&gt;0)),"  ","")&amp;IF($V27=0,"",IF(INDEX('01_予約入力'!$E$5:$E$204,$V27)=$A27,"▶ ","")&amp;INDEX('01_予約入力'!$B$5:$B$204,$V27))&amp;IF(AND($V27&gt;0,$W27&gt;0),"  ","")&amp;IF($W27=0,"","◆ "&amp;INDEX('01_予約入力'!$B$5:$B$204,$W27)))</f>
        <v/>
      </c>
      <c r="G27" s="31">
        <f>IF($A27="","",SUMPRODUCT(('01_予約入力'!$E$5:$E$204&lt;&gt;"")*('01_予約入力'!$K$5:$K$204&lt;&gt;"キャンセル")*('01_予約入力'!$E$5:$E$204&lt;=$A27)*('01_予約入力'!$G$5:$G$204&gt;$A27)))</f>
        <v/>
      </c>
      <c r="H27" s="31">
        <f>IF($A27="","",'M_施設設定'!$B$6-$G27)</f>
        <v/>
      </c>
      <c r="I27" s="31">
        <f>IF($A27="","",SUMPRODUCT((('01_予約入力'!$K$5:$K$204="仮予約")+('01_予約入力'!$K$5:$K$204="調整中"))*('01_予約入力'!$E$5:$E$204&lt;&gt;"")*('01_予約入力'!$E$5:$E$204&lt;=$A27)*('01_予約入力'!$G$5:$G$204&gt;$A27)))</f>
        <v/>
      </c>
      <c r="J27" s="31">
        <f>IF($A27="","",IF($I27&gt;0,"仮",IF($H27&lt;=0,"×",IF($H27&lt;'M_施設設定'!$B$6,"△","○"))))</f>
        <v/>
      </c>
      <c r="K27" s="31">
        <f>IF($A27="","",SUMPRODUCT(('01_予約入力'!$E$5:$E$204&lt;&gt;"")*('01_予約入力'!$K$5:$K$204&lt;&gt;"キャンセル")*('01_予約入力'!$E$5:$E$204=$A27)*('01_予約入力'!$G$5:$G$204=$A27)))</f>
        <v/>
      </c>
      <c r="L27" s="31">
        <f>IF(OR($A27="",C$6=""),0,SUMPRODUCT(MAX(('01_予約入力'!$D$5:$D$204=C$6)*('01_予約入力'!$K$5:$K$204&lt;&gt;"キャンセル")*('01_予約入力'!$E$5:$E$204&lt;&gt;"")*('01_予約入力'!$G$5:$G$204=$A27)*('01_予約入力'!$E$5:$E$204&lt;$A27)*(ROW('01_予約入力'!$E$5:$E$204)-4))))</f>
        <v/>
      </c>
      <c r="M27" s="31">
        <f>IF(OR($A27="",C$6=""),0,SUMPRODUCT(MAX(('01_予約入力'!$D$5:$D$204=C$6)*('01_予約入力'!$K$5:$K$204&lt;&gt;"キャンセル")*('01_予約入力'!$E$5:$E$204&lt;&gt;"")*('01_予約入力'!$E$5:$E$204&lt;=$A27)*('01_予約入力'!$G$5:$G$204&gt;$A27)*(ROW('01_予約入力'!$E$5:$E$204)-4))))</f>
        <v/>
      </c>
      <c r="N27" s="31">
        <f>IF(OR($A27="",C$6=""),0,SUMPRODUCT(MAX(('01_予約入力'!$D$5:$D$204=C$6)*('01_予約入力'!$K$5:$K$204&lt;&gt;"キャンセル")*('01_予約入力'!$E$5:$E$204&lt;&gt;"")*('01_予約入力'!$E$5:$E$204=$A27)*('01_予約入力'!$G$5:$G$204=$A27)*(ROW('01_予約入力'!$E$5:$E$204)-4))))</f>
        <v/>
      </c>
      <c r="O27" s="31">
        <f>IF(OR($A27="",D$6=""),0,SUMPRODUCT(MAX(('01_予約入力'!$D$5:$D$204=D$6)*('01_予約入力'!$K$5:$K$204&lt;&gt;"キャンセル")*('01_予約入力'!$E$5:$E$204&lt;&gt;"")*('01_予約入力'!$G$5:$G$204=$A27)*('01_予約入力'!$E$5:$E$204&lt;$A27)*(ROW('01_予約入力'!$E$5:$E$204)-4))))</f>
        <v/>
      </c>
      <c r="P27" s="31">
        <f>IF(OR($A27="",D$6=""),0,SUMPRODUCT(MAX(('01_予約入力'!$D$5:$D$204=D$6)*('01_予約入力'!$K$5:$K$204&lt;&gt;"キャンセル")*('01_予約入力'!$E$5:$E$204&lt;&gt;"")*('01_予約入力'!$E$5:$E$204&lt;=$A27)*('01_予約入力'!$G$5:$G$204&gt;$A27)*(ROW('01_予約入力'!$E$5:$E$204)-4))))</f>
        <v/>
      </c>
      <c r="Q27" s="31">
        <f>IF(OR($A27="",D$6=""),0,SUMPRODUCT(MAX(('01_予約入力'!$D$5:$D$204=D$6)*('01_予約入力'!$K$5:$K$204&lt;&gt;"キャンセル")*('01_予約入力'!$E$5:$E$204&lt;&gt;"")*('01_予約入力'!$E$5:$E$204=$A27)*('01_予約入力'!$G$5:$G$204=$A27)*(ROW('01_予約入力'!$E$5:$E$204)-4))))</f>
        <v/>
      </c>
      <c r="R27" s="31">
        <f>IF(OR($A27="",E$6=""),0,SUMPRODUCT(MAX(('01_予約入力'!$D$5:$D$204=E$6)*('01_予約入力'!$K$5:$K$204&lt;&gt;"キャンセル")*('01_予約入力'!$E$5:$E$204&lt;&gt;"")*('01_予約入力'!$G$5:$G$204=$A27)*('01_予約入力'!$E$5:$E$204&lt;$A27)*(ROW('01_予約入力'!$E$5:$E$204)-4))))</f>
        <v/>
      </c>
      <c r="S27" s="31">
        <f>IF(OR($A27="",E$6=""),0,SUMPRODUCT(MAX(('01_予約入力'!$D$5:$D$204=E$6)*('01_予約入力'!$K$5:$K$204&lt;&gt;"キャンセル")*('01_予約入力'!$E$5:$E$204&lt;&gt;"")*('01_予約入力'!$E$5:$E$204&lt;=$A27)*('01_予約入力'!$G$5:$G$204&gt;$A27)*(ROW('01_予約入力'!$E$5:$E$204)-4))))</f>
        <v/>
      </c>
      <c r="T27" s="31">
        <f>IF(OR($A27="",E$6=""),0,SUMPRODUCT(MAX(('01_予約入力'!$D$5:$D$204=E$6)*('01_予約入力'!$K$5:$K$204&lt;&gt;"キャンセル")*('01_予約入力'!$E$5:$E$204&lt;&gt;"")*('01_予約入力'!$E$5:$E$204=$A27)*('01_予約入力'!$G$5:$G$204=$A27)*(ROW('01_予約入力'!$E$5:$E$204)-4))))</f>
        <v/>
      </c>
      <c r="U27" s="31">
        <f>IF(OR($A27="",F$6=""),0,SUMPRODUCT(MAX(('01_予約入力'!$D$5:$D$204=F$6)*('01_予約入力'!$K$5:$K$204&lt;&gt;"キャンセル")*('01_予約入力'!$E$5:$E$204&lt;&gt;"")*('01_予約入力'!$G$5:$G$204=$A27)*('01_予約入力'!$E$5:$E$204&lt;$A27)*(ROW('01_予約入力'!$E$5:$E$204)-4))))</f>
        <v/>
      </c>
      <c r="V27" s="31">
        <f>IF(OR($A27="",F$6=""),0,SUMPRODUCT(MAX(('01_予約入力'!$D$5:$D$204=F$6)*('01_予約入力'!$K$5:$K$204&lt;&gt;"キャンセル")*('01_予約入力'!$E$5:$E$204&lt;&gt;"")*('01_予約入力'!$E$5:$E$204&lt;=$A27)*('01_予約入力'!$G$5:$G$204&gt;$A27)*(ROW('01_予約入力'!$E$5:$E$204)-4))))</f>
        <v/>
      </c>
      <c r="W27" s="31">
        <f>IF(OR($A27="",F$6=""),0,SUMPRODUCT(MAX(('01_予約入力'!$D$5:$D$204=F$6)*('01_予約入力'!$K$5:$K$204&lt;&gt;"キャンセル")*('01_予約入力'!$E$5:$E$204&lt;&gt;"")*('01_予約入力'!$E$5:$E$204=$A27)*('01_予約入力'!$G$5:$G$204=$A27)*(ROW('01_予約入力'!$E$5:$E$204)-4))))</f>
        <v/>
      </c>
      <c r="X27" s="31">
        <f>IF($A27="","",IF($M27&gt;0,IF(OR(INDEX('01_予約入力'!$K$5:$K$204,$M27)="仮予約",INDEX('01_予約入力'!$K$5:$K$204,$M27)="調整中"),"仮",INDEX('01_予約入力'!$C$5:$C$204,$M27)),IF($N27&gt;0,IF(OR(INDEX('01_予約入力'!$K$5:$K$204,$N27)="仮予約",INDEX('01_予約入力'!$K$5:$K$204,$N27)="調整中"),"仮",INDEX('01_予約入力'!$C$5:$C$204,$N27)),IF($L27&gt;0,IF(OR(INDEX('01_予約入力'!$K$5:$K$204,$L27)="仮予約",INDEX('01_予約入力'!$K$5:$K$204,$L27)="調整中"),"仮",INDEX('01_予約入力'!$C$5:$C$204,$L27)),""))))</f>
        <v/>
      </c>
      <c r="Y27" s="31">
        <f>IF($A27="","",IF($P27&gt;0,IF(OR(INDEX('01_予約入力'!$K$5:$K$204,$P27)="仮予約",INDEX('01_予約入力'!$K$5:$K$204,$P27)="調整中"),"仮",INDEX('01_予約入力'!$C$5:$C$204,$P27)),IF($Q27&gt;0,IF(OR(INDEX('01_予約入力'!$K$5:$K$204,$Q27)="仮予約",INDEX('01_予約入力'!$K$5:$K$204,$Q27)="調整中"),"仮",INDEX('01_予約入力'!$C$5:$C$204,$Q27)),IF($O27&gt;0,IF(OR(INDEX('01_予約入力'!$K$5:$K$204,$O27)="仮予約",INDEX('01_予約入力'!$K$5:$K$204,$O27)="調整中"),"仮",INDEX('01_予約入力'!$C$5:$C$204,$O27)),""))))</f>
        <v/>
      </c>
      <c r="Z27" s="31">
        <f>IF($A27="","",IF($S27&gt;0,IF(OR(INDEX('01_予約入力'!$K$5:$K$204,$S27)="仮予約",INDEX('01_予約入力'!$K$5:$K$204,$S27)="調整中"),"仮",INDEX('01_予約入力'!$C$5:$C$204,$S27)),IF($T27&gt;0,IF(OR(INDEX('01_予約入力'!$K$5:$K$204,$T27)="仮予約",INDEX('01_予約入力'!$K$5:$K$204,$T27)="調整中"),"仮",INDEX('01_予約入力'!$C$5:$C$204,$T27)),IF($R27&gt;0,IF(OR(INDEX('01_予約入力'!$K$5:$K$204,$R27)="仮予約",INDEX('01_予約入力'!$K$5:$K$204,$R27)="調整中"),"仮",INDEX('01_予約入力'!$C$5:$C$204,$R27)),""))))</f>
        <v/>
      </c>
      <c r="AA27" s="31">
        <f>IF($A27="","",IF($V27&gt;0,IF(OR(INDEX('01_予約入力'!$K$5:$K$204,$V27)="仮予約",INDEX('01_予約入力'!$K$5:$K$204,$V27)="調整中"),"仮",INDEX('01_予約入力'!$C$5:$C$204,$V27)),IF($W27&gt;0,IF(OR(INDEX('01_予約入力'!$K$5:$K$204,$W27)="仮予約",INDEX('01_予約入力'!$K$5:$K$204,$W27)="調整中"),"仮",INDEX('01_予約入力'!$C$5:$C$204,$W27)),IF($U27&gt;0,IF(OR(INDEX('01_予約入力'!$K$5:$K$204,$U27)="仮予約",INDEX('01_予約入力'!$K$5:$K$204,$U27)="調整中"),"仮",INDEX('01_予約入力'!$C$5:$C$204,$U27)),""))))</f>
        <v/>
      </c>
    </row>
    <row r="28">
      <c r="A28" s="33">
        <f>IF(MONTH('02_カレンダー'!$B$4+21)&lt;&gt;MONTH('02_カレンダー'!$B$4),"",'02_カレンダー'!$B$4+21)</f>
        <v/>
      </c>
      <c r="B28" s="31">
        <f>IF($A28="","",MID("日月火水木金土",WEEKDAY($A28),1))</f>
        <v/>
      </c>
      <c r="C28" s="34">
        <f>IF(OR($A28="",C$6=""),"",IF($L28=0,"",INDEX('01_予約入力'!$B$5:$B$204,$L28)&amp;" ◀")&amp;IF(AND($L28&gt;0,OR($M28&gt;0,$N28&gt;0)),"  ","")&amp;IF($M28=0,"",IF(INDEX('01_予約入力'!$E$5:$E$204,$M28)=$A28,"▶ ","")&amp;INDEX('01_予約入力'!$B$5:$B$204,$M28))&amp;IF(AND($M28&gt;0,$N28&gt;0),"  ","")&amp;IF($N28=0,"","◆ "&amp;INDEX('01_予約入力'!$B$5:$B$204,$N28)))</f>
        <v/>
      </c>
      <c r="D28" s="34">
        <f>IF(OR($A28="",D$6=""),"",IF($O28=0,"",INDEX('01_予約入力'!$B$5:$B$204,$O28)&amp;" ◀")&amp;IF(AND($O28&gt;0,OR($P28&gt;0,$Q28&gt;0)),"  ","")&amp;IF($P28=0,"",IF(INDEX('01_予約入力'!$E$5:$E$204,$P28)=$A28,"▶ ","")&amp;INDEX('01_予約入力'!$B$5:$B$204,$P28))&amp;IF(AND($P28&gt;0,$Q28&gt;0),"  ","")&amp;IF($Q28=0,"","◆ "&amp;INDEX('01_予約入力'!$B$5:$B$204,$Q28)))</f>
        <v/>
      </c>
      <c r="E28" s="34">
        <f>IF(OR($A28="",E$6=""),"",IF($R28=0,"",INDEX('01_予約入力'!$B$5:$B$204,$R28)&amp;" ◀")&amp;IF(AND($R28&gt;0,OR($S28&gt;0,$T28&gt;0)),"  ","")&amp;IF($S28=0,"",IF(INDEX('01_予約入力'!$E$5:$E$204,$S28)=$A28,"▶ ","")&amp;INDEX('01_予約入力'!$B$5:$B$204,$S28))&amp;IF(AND($S28&gt;0,$T28&gt;0),"  ","")&amp;IF($T28=0,"","◆ "&amp;INDEX('01_予約入力'!$B$5:$B$204,$T28)))</f>
        <v/>
      </c>
      <c r="F28" s="34">
        <f>IF(OR($A28="",F$6=""),"",IF($U28=0,"",INDEX('01_予約入力'!$B$5:$B$204,$U28)&amp;" ◀")&amp;IF(AND($U28&gt;0,OR($V28&gt;0,$W28&gt;0)),"  ","")&amp;IF($V28=0,"",IF(INDEX('01_予約入力'!$E$5:$E$204,$V28)=$A28,"▶ ","")&amp;INDEX('01_予約入力'!$B$5:$B$204,$V28))&amp;IF(AND($V28&gt;0,$W28&gt;0),"  ","")&amp;IF($W28=0,"","◆ "&amp;INDEX('01_予約入力'!$B$5:$B$204,$W28)))</f>
        <v/>
      </c>
      <c r="G28" s="31">
        <f>IF($A28="","",SUMPRODUCT(('01_予約入力'!$E$5:$E$204&lt;&gt;"")*('01_予約入力'!$K$5:$K$204&lt;&gt;"キャンセル")*('01_予約入力'!$E$5:$E$204&lt;=$A28)*('01_予約入力'!$G$5:$G$204&gt;$A28)))</f>
        <v/>
      </c>
      <c r="H28" s="31">
        <f>IF($A28="","",'M_施設設定'!$B$6-$G28)</f>
        <v/>
      </c>
      <c r="I28" s="31">
        <f>IF($A28="","",SUMPRODUCT((('01_予約入力'!$K$5:$K$204="仮予約")+('01_予約入力'!$K$5:$K$204="調整中"))*('01_予約入力'!$E$5:$E$204&lt;&gt;"")*('01_予約入力'!$E$5:$E$204&lt;=$A28)*('01_予約入力'!$G$5:$G$204&gt;$A28)))</f>
        <v/>
      </c>
      <c r="J28" s="31">
        <f>IF($A28="","",IF($I28&gt;0,"仮",IF($H28&lt;=0,"×",IF($H28&lt;'M_施設設定'!$B$6,"△","○"))))</f>
        <v/>
      </c>
      <c r="K28" s="31">
        <f>IF($A28="","",SUMPRODUCT(('01_予約入力'!$E$5:$E$204&lt;&gt;"")*('01_予約入力'!$K$5:$K$204&lt;&gt;"キャンセル")*('01_予約入力'!$E$5:$E$204=$A28)*('01_予約入力'!$G$5:$G$204=$A28)))</f>
        <v/>
      </c>
      <c r="L28" s="31">
        <f>IF(OR($A28="",C$6=""),0,SUMPRODUCT(MAX(('01_予約入力'!$D$5:$D$204=C$6)*('01_予約入力'!$K$5:$K$204&lt;&gt;"キャンセル")*('01_予約入力'!$E$5:$E$204&lt;&gt;"")*('01_予約入力'!$G$5:$G$204=$A28)*('01_予約入力'!$E$5:$E$204&lt;$A28)*(ROW('01_予約入力'!$E$5:$E$204)-4))))</f>
        <v/>
      </c>
      <c r="M28" s="31">
        <f>IF(OR($A28="",C$6=""),0,SUMPRODUCT(MAX(('01_予約入力'!$D$5:$D$204=C$6)*('01_予約入力'!$K$5:$K$204&lt;&gt;"キャンセル")*('01_予約入力'!$E$5:$E$204&lt;&gt;"")*('01_予約入力'!$E$5:$E$204&lt;=$A28)*('01_予約入力'!$G$5:$G$204&gt;$A28)*(ROW('01_予約入力'!$E$5:$E$204)-4))))</f>
        <v/>
      </c>
      <c r="N28" s="31">
        <f>IF(OR($A28="",C$6=""),0,SUMPRODUCT(MAX(('01_予約入力'!$D$5:$D$204=C$6)*('01_予約入力'!$K$5:$K$204&lt;&gt;"キャンセル")*('01_予約入力'!$E$5:$E$204&lt;&gt;"")*('01_予約入力'!$E$5:$E$204=$A28)*('01_予約入力'!$G$5:$G$204=$A28)*(ROW('01_予約入力'!$E$5:$E$204)-4))))</f>
        <v/>
      </c>
      <c r="O28" s="31">
        <f>IF(OR($A28="",D$6=""),0,SUMPRODUCT(MAX(('01_予約入力'!$D$5:$D$204=D$6)*('01_予約入力'!$K$5:$K$204&lt;&gt;"キャンセル")*('01_予約入力'!$E$5:$E$204&lt;&gt;"")*('01_予約入力'!$G$5:$G$204=$A28)*('01_予約入力'!$E$5:$E$204&lt;$A28)*(ROW('01_予約入力'!$E$5:$E$204)-4))))</f>
        <v/>
      </c>
      <c r="P28" s="31">
        <f>IF(OR($A28="",D$6=""),0,SUMPRODUCT(MAX(('01_予約入力'!$D$5:$D$204=D$6)*('01_予約入力'!$K$5:$K$204&lt;&gt;"キャンセル")*('01_予約入力'!$E$5:$E$204&lt;&gt;"")*('01_予約入力'!$E$5:$E$204&lt;=$A28)*('01_予約入力'!$G$5:$G$204&gt;$A28)*(ROW('01_予約入力'!$E$5:$E$204)-4))))</f>
        <v/>
      </c>
      <c r="Q28" s="31">
        <f>IF(OR($A28="",D$6=""),0,SUMPRODUCT(MAX(('01_予約入力'!$D$5:$D$204=D$6)*('01_予約入力'!$K$5:$K$204&lt;&gt;"キャンセル")*('01_予約入力'!$E$5:$E$204&lt;&gt;"")*('01_予約入力'!$E$5:$E$204=$A28)*('01_予約入力'!$G$5:$G$204=$A28)*(ROW('01_予約入力'!$E$5:$E$204)-4))))</f>
        <v/>
      </c>
      <c r="R28" s="31">
        <f>IF(OR($A28="",E$6=""),0,SUMPRODUCT(MAX(('01_予約入力'!$D$5:$D$204=E$6)*('01_予約入力'!$K$5:$K$204&lt;&gt;"キャンセル")*('01_予約入力'!$E$5:$E$204&lt;&gt;"")*('01_予約入力'!$G$5:$G$204=$A28)*('01_予約入力'!$E$5:$E$204&lt;$A28)*(ROW('01_予約入力'!$E$5:$E$204)-4))))</f>
        <v/>
      </c>
      <c r="S28" s="31">
        <f>IF(OR($A28="",E$6=""),0,SUMPRODUCT(MAX(('01_予約入力'!$D$5:$D$204=E$6)*('01_予約入力'!$K$5:$K$204&lt;&gt;"キャンセル")*('01_予約入力'!$E$5:$E$204&lt;&gt;"")*('01_予約入力'!$E$5:$E$204&lt;=$A28)*('01_予約入力'!$G$5:$G$204&gt;$A28)*(ROW('01_予約入力'!$E$5:$E$204)-4))))</f>
        <v/>
      </c>
      <c r="T28" s="31">
        <f>IF(OR($A28="",E$6=""),0,SUMPRODUCT(MAX(('01_予約入力'!$D$5:$D$204=E$6)*('01_予約入力'!$K$5:$K$204&lt;&gt;"キャンセル")*('01_予約入力'!$E$5:$E$204&lt;&gt;"")*('01_予約入力'!$E$5:$E$204=$A28)*('01_予約入力'!$G$5:$G$204=$A28)*(ROW('01_予約入力'!$E$5:$E$204)-4))))</f>
        <v/>
      </c>
      <c r="U28" s="31">
        <f>IF(OR($A28="",F$6=""),0,SUMPRODUCT(MAX(('01_予約入力'!$D$5:$D$204=F$6)*('01_予約入力'!$K$5:$K$204&lt;&gt;"キャンセル")*('01_予約入力'!$E$5:$E$204&lt;&gt;"")*('01_予約入力'!$G$5:$G$204=$A28)*('01_予約入力'!$E$5:$E$204&lt;$A28)*(ROW('01_予約入力'!$E$5:$E$204)-4))))</f>
        <v/>
      </c>
      <c r="V28" s="31">
        <f>IF(OR($A28="",F$6=""),0,SUMPRODUCT(MAX(('01_予約入力'!$D$5:$D$204=F$6)*('01_予約入力'!$K$5:$K$204&lt;&gt;"キャンセル")*('01_予約入力'!$E$5:$E$204&lt;&gt;"")*('01_予約入力'!$E$5:$E$204&lt;=$A28)*('01_予約入力'!$G$5:$G$204&gt;$A28)*(ROW('01_予約入力'!$E$5:$E$204)-4))))</f>
        <v/>
      </c>
      <c r="W28" s="31">
        <f>IF(OR($A28="",F$6=""),0,SUMPRODUCT(MAX(('01_予約入力'!$D$5:$D$204=F$6)*('01_予約入力'!$K$5:$K$204&lt;&gt;"キャンセル")*('01_予約入力'!$E$5:$E$204&lt;&gt;"")*('01_予約入力'!$E$5:$E$204=$A28)*('01_予約入力'!$G$5:$G$204=$A28)*(ROW('01_予約入力'!$E$5:$E$204)-4))))</f>
        <v/>
      </c>
      <c r="X28" s="31">
        <f>IF($A28="","",IF($M28&gt;0,IF(OR(INDEX('01_予約入力'!$K$5:$K$204,$M28)="仮予約",INDEX('01_予約入力'!$K$5:$K$204,$M28)="調整中"),"仮",INDEX('01_予約入力'!$C$5:$C$204,$M28)),IF($N28&gt;0,IF(OR(INDEX('01_予約入力'!$K$5:$K$204,$N28)="仮予約",INDEX('01_予約入力'!$K$5:$K$204,$N28)="調整中"),"仮",INDEX('01_予約入力'!$C$5:$C$204,$N28)),IF($L28&gt;0,IF(OR(INDEX('01_予約入力'!$K$5:$K$204,$L28)="仮予約",INDEX('01_予約入力'!$K$5:$K$204,$L28)="調整中"),"仮",INDEX('01_予約入力'!$C$5:$C$204,$L28)),""))))</f>
        <v/>
      </c>
      <c r="Y28" s="31">
        <f>IF($A28="","",IF($P28&gt;0,IF(OR(INDEX('01_予約入力'!$K$5:$K$204,$P28)="仮予約",INDEX('01_予約入力'!$K$5:$K$204,$P28)="調整中"),"仮",INDEX('01_予約入力'!$C$5:$C$204,$P28)),IF($Q28&gt;0,IF(OR(INDEX('01_予約入力'!$K$5:$K$204,$Q28)="仮予約",INDEX('01_予約入力'!$K$5:$K$204,$Q28)="調整中"),"仮",INDEX('01_予約入力'!$C$5:$C$204,$Q28)),IF($O28&gt;0,IF(OR(INDEX('01_予約入力'!$K$5:$K$204,$O28)="仮予約",INDEX('01_予約入力'!$K$5:$K$204,$O28)="調整中"),"仮",INDEX('01_予約入力'!$C$5:$C$204,$O28)),""))))</f>
        <v/>
      </c>
      <c r="Z28" s="31">
        <f>IF($A28="","",IF($S28&gt;0,IF(OR(INDEX('01_予約入力'!$K$5:$K$204,$S28)="仮予約",INDEX('01_予約入力'!$K$5:$K$204,$S28)="調整中"),"仮",INDEX('01_予約入力'!$C$5:$C$204,$S28)),IF($T28&gt;0,IF(OR(INDEX('01_予約入力'!$K$5:$K$204,$T28)="仮予約",INDEX('01_予約入力'!$K$5:$K$204,$T28)="調整中"),"仮",INDEX('01_予約入力'!$C$5:$C$204,$T28)),IF($R28&gt;0,IF(OR(INDEX('01_予約入力'!$K$5:$K$204,$R28)="仮予約",INDEX('01_予約入力'!$K$5:$K$204,$R28)="調整中"),"仮",INDEX('01_予約入力'!$C$5:$C$204,$R28)),""))))</f>
        <v/>
      </c>
      <c r="AA28" s="31">
        <f>IF($A28="","",IF($V28&gt;0,IF(OR(INDEX('01_予約入力'!$K$5:$K$204,$V28)="仮予約",INDEX('01_予約入力'!$K$5:$K$204,$V28)="調整中"),"仮",INDEX('01_予約入力'!$C$5:$C$204,$V28)),IF($W28&gt;0,IF(OR(INDEX('01_予約入力'!$K$5:$K$204,$W28)="仮予約",INDEX('01_予約入力'!$K$5:$K$204,$W28)="調整中"),"仮",INDEX('01_予約入力'!$C$5:$C$204,$W28)),IF($U28&gt;0,IF(OR(INDEX('01_予約入力'!$K$5:$K$204,$U28)="仮予約",INDEX('01_予約入力'!$K$5:$K$204,$U28)="調整中"),"仮",INDEX('01_予約入力'!$C$5:$C$204,$U28)),""))))</f>
        <v/>
      </c>
    </row>
    <row r="29">
      <c r="A29" s="33">
        <f>IF(MONTH('02_カレンダー'!$B$4+22)&lt;&gt;MONTH('02_カレンダー'!$B$4),"",'02_カレンダー'!$B$4+22)</f>
        <v/>
      </c>
      <c r="B29" s="31">
        <f>IF($A29="","",MID("日月火水木金土",WEEKDAY($A29),1))</f>
        <v/>
      </c>
      <c r="C29" s="34">
        <f>IF(OR($A29="",C$6=""),"",IF($L29=0,"",INDEX('01_予約入力'!$B$5:$B$204,$L29)&amp;" ◀")&amp;IF(AND($L29&gt;0,OR($M29&gt;0,$N29&gt;0)),"  ","")&amp;IF($M29=0,"",IF(INDEX('01_予約入力'!$E$5:$E$204,$M29)=$A29,"▶ ","")&amp;INDEX('01_予約入力'!$B$5:$B$204,$M29))&amp;IF(AND($M29&gt;0,$N29&gt;0),"  ","")&amp;IF($N29=0,"","◆ "&amp;INDEX('01_予約入力'!$B$5:$B$204,$N29)))</f>
        <v/>
      </c>
      <c r="D29" s="34">
        <f>IF(OR($A29="",D$6=""),"",IF($O29=0,"",INDEX('01_予約入力'!$B$5:$B$204,$O29)&amp;" ◀")&amp;IF(AND($O29&gt;0,OR($P29&gt;0,$Q29&gt;0)),"  ","")&amp;IF($P29=0,"",IF(INDEX('01_予約入力'!$E$5:$E$204,$P29)=$A29,"▶ ","")&amp;INDEX('01_予約入力'!$B$5:$B$204,$P29))&amp;IF(AND($P29&gt;0,$Q29&gt;0),"  ","")&amp;IF($Q29=0,"","◆ "&amp;INDEX('01_予約入力'!$B$5:$B$204,$Q29)))</f>
        <v/>
      </c>
      <c r="E29" s="34">
        <f>IF(OR($A29="",E$6=""),"",IF($R29=0,"",INDEX('01_予約入力'!$B$5:$B$204,$R29)&amp;" ◀")&amp;IF(AND($R29&gt;0,OR($S29&gt;0,$T29&gt;0)),"  ","")&amp;IF($S29=0,"",IF(INDEX('01_予約入力'!$E$5:$E$204,$S29)=$A29,"▶ ","")&amp;INDEX('01_予約入力'!$B$5:$B$204,$S29))&amp;IF(AND($S29&gt;0,$T29&gt;0),"  ","")&amp;IF($T29=0,"","◆ "&amp;INDEX('01_予約入力'!$B$5:$B$204,$T29)))</f>
        <v/>
      </c>
      <c r="F29" s="34">
        <f>IF(OR($A29="",F$6=""),"",IF($U29=0,"",INDEX('01_予約入力'!$B$5:$B$204,$U29)&amp;" ◀")&amp;IF(AND($U29&gt;0,OR($V29&gt;0,$W29&gt;0)),"  ","")&amp;IF($V29=0,"",IF(INDEX('01_予約入力'!$E$5:$E$204,$V29)=$A29,"▶ ","")&amp;INDEX('01_予約入力'!$B$5:$B$204,$V29))&amp;IF(AND($V29&gt;0,$W29&gt;0),"  ","")&amp;IF($W29=0,"","◆ "&amp;INDEX('01_予約入力'!$B$5:$B$204,$W29)))</f>
        <v/>
      </c>
      <c r="G29" s="31">
        <f>IF($A29="","",SUMPRODUCT(('01_予約入力'!$E$5:$E$204&lt;&gt;"")*('01_予約入力'!$K$5:$K$204&lt;&gt;"キャンセル")*('01_予約入力'!$E$5:$E$204&lt;=$A29)*('01_予約入力'!$G$5:$G$204&gt;$A29)))</f>
        <v/>
      </c>
      <c r="H29" s="31">
        <f>IF($A29="","",'M_施設設定'!$B$6-$G29)</f>
        <v/>
      </c>
      <c r="I29" s="31">
        <f>IF($A29="","",SUMPRODUCT((('01_予約入力'!$K$5:$K$204="仮予約")+('01_予約入力'!$K$5:$K$204="調整中"))*('01_予約入力'!$E$5:$E$204&lt;&gt;"")*('01_予約入力'!$E$5:$E$204&lt;=$A29)*('01_予約入力'!$G$5:$G$204&gt;$A29)))</f>
        <v/>
      </c>
      <c r="J29" s="31">
        <f>IF($A29="","",IF($I29&gt;0,"仮",IF($H29&lt;=0,"×",IF($H29&lt;'M_施設設定'!$B$6,"△","○"))))</f>
        <v/>
      </c>
      <c r="K29" s="31">
        <f>IF($A29="","",SUMPRODUCT(('01_予約入力'!$E$5:$E$204&lt;&gt;"")*('01_予約入力'!$K$5:$K$204&lt;&gt;"キャンセル")*('01_予約入力'!$E$5:$E$204=$A29)*('01_予約入力'!$G$5:$G$204=$A29)))</f>
        <v/>
      </c>
      <c r="L29" s="31">
        <f>IF(OR($A29="",C$6=""),0,SUMPRODUCT(MAX(('01_予約入力'!$D$5:$D$204=C$6)*('01_予約入力'!$K$5:$K$204&lt;&gt;"キャンセル")*('01_予約入力'!$E$5:$E$204&lt;&gt;"")*('01_予約入力'!$G$5:$G$204=$A29)*('01_予約入力'!$E$5:$E$204&lt;$A29)*(ROW('01_予約入力'!$E$5:$E$204)-4))))</f>
        <v/>
      </c>
      <c r="M29" s="31">
        <f>IF(OR($A29="",C$6=""),0,SUMPRODUCT(MAX(('01_予約入力'!$D$5:$D$204=C$6)*('01_予約入力'!$K$5:$K$204&lt;&gt;"キャンセル")*('01_予約入力'!$E$5:$E$204&lt;&gt;"")*('01_予約入力'!$E$5:$E$204&lt;=$A29)*('01_予約入力'!$G$5:$G$204&gt;$A29)*(ROW('01_予約入力'!$E$5:$E$204)-4))))</f>
        <v/>
      </c>
      <c r="N29" s="31">
        <f>IF(OR($A29="",C$6=""),0,SUMPRODUCT(MAX(('01_予約入力'!$D$5:$D$204=C$6)*('01_予約入力'!$K$5:$K$204&lt;&gt;"キャンセル")*('01_予約入力'!$E$5:$E$204&lt;&gt;"")*('01_予約入力'!$E$5:$E$204=$A29)*('01_予約入力'!$G$5:$G$204=$A29)*(ROW('01_予約入力'!$E$5:$E$204)-4))))</f>
        <v/>
      </c>
      <c r="O29" s="31">
        <f>IF(OR($A29="",D$6=""),0,SUMPRODUCT(MAX(('01_予約入力'!$D$5:$D$204=D$6)*('01_予約入力'!$K$5:$K$204&lt;&gt;"キャンセル")*('01_予約入力'!$E$5:$E$204&lt;&gt;"")*('01_予約入力'!$G$5:$G$204=$A29)*('01_予約入力'!$E$5:$E$204&lt;$A29)*(ROW('01_予約入力'!$E$5:$E$204)-4))))</f>
        <v/>
      </c>
      <c r="P29" s="31">
        <f>IF(OR($A29="",D$6=""),0,SUMPRODUCT(MAX(('01_予約入力'!$D$5:$D$204=D$6)*('01_予約入力'!$K$5:$K$204&lt;&gt;"キャンセル")*('01_予約入力'!$E$5:$E$204&lt;&gt;"")*('01_予約入力'!$E$5:$E$204&lt;=$A29)*('01_予約入力'!$G$5:$G$204&gt;$A29)*(ROW('01_予約入力'!$E$5:$E$204)-4))))</f>
        <v/>
      </c>
      <c r="Q29" s="31">
        <f>IF(OR($A29="",D$6=""),0,SUMPRODUCT(MAX(('01_予約入力'!$D$5:$D$204=D$6)*('01_予約入力'!$K$5:$K$204&lt;&gt;"キャンセル")*('01_予約入力'!$E$5:$E$204&lt;&gt;"")*('01_予約入力'!$E$5:$E$204=$A29)*('01_予約入力'!$G$5:$G$204=$A29)*(ROW('01_予約入力'!$E$5:$E$204)-4))))</f>
        <v/>
      </c>
      <c r="R29" s="31">
        <f>IF(OR($A29="",E$6=""),0,SUMPRODUCT(MAX(('01_予約入力'!$D$5:$D$204=E$6)*('01_予約入力'!$K$5:$K$204&lt;&gt;"キャンセル")*('01_予約入力'!$E$5:$E$204&lt;&gt;"")*('01_予約入力'!$G$5:$G$204=$A29)*('01_予約入力'!$E$5:$E$204&lt;$A29)*(ROW('01_予約入力'!$E$5:$E$204)-4))))</f>
        <v/>
      </c>
      <c r="S29" s="31">
        <f>IF(OR($A29="",E$6=""),0,SUMPRODUCT(MAX(('01_予約入力'!$D$5:$D$204=E$6)*('01_予約入力'!$K$5:$K$204&lt;&gt;"キャンセル")*('01_予約入力'!$E$5:$E$204&lt;&gt;"")*('01_予約入力'!$E$5:$E$204&lt;=$A29)*('01_予約入力'!$G$5:$G$204&gt;$A29)*(ROW('01_予約入力'!$E$5:$E$204)-4))))</f>
        <v/>
      </c>
      <c r="T29" s="31">
        <f>IF(OR($A29="",E$6=""),0,SUMPRODUCT(MAX(('01_予約入力'!$D$5:$D$204=E$6)*('01_予約入力'!$K$5:$K$204&lt;&gt;"キャンセル")*('01_予約入力'!$E$5:$E$204&lt;&gt;"")*('01_予約入力'!$E$5:$E$204=$A29)*('01_予約入力'!$G$5:$G$204=$A29)*(ROW('01_予約入力'!$E$5:$E$204)-4))))</f>
        <v/>
      </c>
      <c r="U29" s="31">
        <f>IF(OR($A29="",F$6=""),0,SUMPRODUCT(MAX(('01_予約入力'!$D$5:$D$204=F$6)*('01_予約入力'!$K$5:$K$204&lt;&gt;"キャンセル")*('01_予約入力'!$E$5:$E$204&lt;&gt;"")*('01_予約入力'!$G$5:$G$204=$A29)*('01_予約入力'!$E$5:$E$204&lt;$A29)*(ROW('01_予約入力'!$E$5:$E$204)-4))))</f>
        <v/>
      </c>
      <c r="V29" s="31">
        <f>IF(OR($A29="",F$6=""),0,SUMPRODUCT(MAX(('01_予約入力'!$D$5:$D$204=F$6)*('01_予約入力'!$K$5:$K$204&lt;&gt;"キャンセル")*('01_予約入力'!$E$5:$E$204&lt;&gt;"")*('01_予約入力'!$E$5:$E$204&lt;=$A29)*('01_予約入力'!$G$5:$G$204&gt;$A29)*(ROW('01_予約入力'!$E$5:$E$204)-4))))</f>
        <v/>
      </c>
      <c r="W29" s="31">
        <f>IF(OR($A29="",F$6=""),0,SUMPRODUCT(MAX(('01_予約入力'!$D$5:$D$204=F$6)*('01_予約入力'!$K$5:$K$204&lt;&gt;"キャンセル")*('01_予約入力'!$E$5:$E$204&lt;&gt;"")*('01_予約入力'!$E$5:$E$204=$A29)*('01_予約入力'!$G$5:$G$204=$A29)*(ROW('01_予約入力'!$E$5:$E$204)-4))))</f>
        <v/>
      </c>
      <c r="X29" s="31">
        <f>IF($A29="","",IF($M29&gt;0,IF(OR(INDEX('01_予約入力'!$K$5:$K$204,$M29)="仮予約",INDEX('01_予約入力'!$K$5:$K$204,$M29)="調整中"),"仮",INDEX('01_予約入力'!$C$5:$C$204,$M29)),IF($N29&gt;0,IF(OR(INDEX('01_予約入力'!$K$5:$K$204,$N29)="仮予約",INDEX('01_予約入力'!$K$5:$K$204,$N29)="調整中"),"仮",INDEX('01_予約入力'!$C$5:$C$204,$N29)),IF($L29&gt;0,IF(OR(INDEX('01_予約入力'!$K$5:$K$204,$L29)="仮予約",INDEX('01_予約入力'!$K$5:$K$204,$L29)="調整中"),"仮",INDEX('01_予約入力'!$C$5:$C$204,$L29)),""))))</f>
        <v/>
      </c>
      <c r="Y29" s="31">
        <f>IF($A29="","",IF($P29&gt;0,IF(OR(INDEX('01_予約入力'!$K$5:$K$204,$P29)="仮予約",INDEX('01_予約入力'!$K$5:$K$204,$P29)="調整中"),"仮",INDEX('01_予約入力'!$C$5:$C$204,$P29)),IF($Q29&gt;0,IF(OR(INDEX('01_予約入力'!$K$5:$K$204,$Q29)="仮予約",INDEX('01_予約入力'!$K$5:$K$204,$Q29)="調整中"),"仮",INDEX('01_予約入力'!$C$5:$C$204,$Q29)),IF($O29&gt;0,IF(OR(INDEX('01_予約入力'!$K$5:$K$204,$O29)="仮予約",INDEX('01_予約入力'!$K$5:$K$204,$O29)="調整中"),"仮",INDEX('01_予約入力'!$C$5:$C$204,$O29)),""))))</f>
        <v/>
      </c>
      <c r="Z29" s="31">
        <f>IF($A29="","",IF($S29&gt;0,IF(OR(INDEX('01_予約入力'!$K$5:$K$204,$S29)="仮予約",INDEX('01_予約入力'!$K$5:$K$204,$S29)="調整中"),"仮",INDEX('01_予約入力'!$C$5:$C$204,$S29)),IF($T29&gt;0,IF(OR(INDEX('01_予約入力'!$K$5:$K$204,$T29)="仮予約",INDEX('01_予約入力'!$K$5:$K$204,$T29)="調整中"),"仮",INDEX('01_予約入力'!$C$5:$C$204,$T29)),IF($R29&gt;0,IF(OR(INDEX('01_予約入力'!$K$5:$K$204,$R29)="仮予約",INDEX('01_予約入力'!$K$5:$K$204,$R29)="調整中"),"仮",INDEX('01_予約入力'!$C$5:$C$204,$R29)),""))))</f>
        <v/>
      </c>
      <c r="AA29" s="31">
        <f>IF($A29="","",IF($V29&gt;0,IF(OR(INDEX('01_予約入力'!$K$5:$K$204,$V29)="仮予約",INDEX('01_予約入力'!$K$5:$K$204,$V29)="調整中"),"仮",INDEX('01_予約入力'!$C$5:$C$204,$V29)),IF($W29&gt;0,IF(OR(INDEX('01_予約入力'!$K$5:$K$204,$W29)="仮予約",INDEX('01_予約入力'!$K$5:$K$204,$W29)="調整中"),"仮",INDEX('01_予約入力'!$C$5:$C$204,$W29)),IF($U29&gt;0,IF(OR(INDEX('01_予約入力'!$K$5:$K$204,$U29)="仮予約",INDEX('01_予約入力'!$K$5:$K$204,$U29)="調整中"),"仮",INDEX('01_予約入力'!$C$5:$C$204,$U29)),""))))</f>
        <v/>
      </c>
    </row>
    <row r="30">
      <c r="A30" s="33">
        <f>IF(MONTH('02_カレンダー'!$B$4+23)&lt;&gt;MONTH('02_カレンダー'!$B$4),"",'02_カレンダー'!$B$4+23)</f>
        <v/>
      </c>
      <c r="B30" s="31">
        <f>IF($A30="","",MID("日月火水木金土",WEEKDAY($A30),1))</f>
        <v/>
      </c>
      <c r="C30" s="34">
        <f>IF(OR($A30="",C$6=""),"",IF($L30=0,"",INDEX('01_予約入力'!$B$5:$B$204,$L30)&amp;" ◀")&amp;IF(AND($L30&gt;0,OR($M30&gt;0,$N30&gt;0)),"  ","")&amp;IF($M30=0,"",IF(INDEX('01_予約入力'!$E$5:$E$204,$M30)=$A30,"▶ ","")&amp;INDEX('01_予約入力'!$B$5:$B$204,$M30))&amp;IF(AND($M30&gt;0,$N30&gt;0),"  ","")&amp;IF($N30=0,"","◆ "&amp;INDEX('01_予約入力'!$B$5:$B$204,$N30)))</f>
        <v/>
      </c>
      <c r="D30" s="34">
        <f>IF(OR($A30="",D$6=""),"",IF($O30=0,"",INDEX('01_予約入力'!$B$5:$B$204,$O30)&amp;" ◀")&amp;IF(AND($O30&gt;0,OR($P30&gt;0,$Q30&gt;0)),"  ","")&amp;IF($P30=0,"",IF(INDEX('01_予約入力'!$E$5:$E$204,$P30)=$A30,"▶ ","")&amp;INDEX('01_予約入力'!$B$5:$B$204,$P30))&amp;IF(AND($P30&gt;0,$Q30&gt;0),"  ","")&amp;IF($Q30=0,"","◆ "&amp;INDEX('01_予約入力'!$B$5:$B$204,$Q30)))</f>
        <v/>
      </c>
      <c r="E30" s="34">
        <f>IF(OR($A30="",E$6=""),"",IF($R30=0,"",INDEX('01_予約入力'!$B$5:$B$204,$R30)&amp;" ◀")&amp;IF(AND($R30&gt;0,OR($S30&gt;0,$T30&gt;0)),"  ","")&amp;IF($S30=0,"",IF(INDEX('01_予約入力'!$E$5:$E$204,$S30)=$A30,"▶ ","")&amp;INDEX('01_予約入力'!$B$5:$B$204,$S30))&amp;IF(AND($S30&gt;0,$T30&gt;0),"  ","")&amp;IF($T30=0,"","◆ "&amp;INDEX('01_予約入力'!$B$5:$B$204,$T30)))</f>
        <v/>
      </c>
      <c r="F30" s="34">
        <f>IF(OR($A30="",F$6=""),"",IF($U30=0,"",INDEX('01_予約入力'!$B$5:$B$204,$U30)&amp;" ◀")&amp;IF(AND($U30&gt;0,OR($V30&gt;0,$W30&gt;0)),"  ","")&amp;IF($V30=0,"",IF(INDEX('01_予約入力'!$E$5:$E$204,$V30)=$A30,"▶ ","")&amp;INDEX('01_予約入力'!$B$5:$B$204,$V30))&amp;IF(AND($V30&gt;0,$W30&gt;0),"  ","")&amp;IF($W30=0,"","◆ "&amp;INDEX('01_予約入力'!$B$5:$B$204,$W30)))</f>
        <v/>
      </c>
      <c r="G30" s="31">
        <f>IF($A30="","",SUMPRODUCT(('01_予約入力'!$E$5:$E$204&lt;&gt;"")*('01_予約入力'!$K$5:$K$204&lt;&gt;"キャンセル")*('01_予約入力'!$E$5:$E$204&lt;=$A30)*('01_予約入力'!$G$5:$G$204&gt;$A30)))</f>
        <v/>
      </c>
      <c r="H30" s="31">
        <f>IF($A30="","",'M_施設設定'!$B$6-$G30)</f>
        <v/>
      </c>
      <c r="I30" s="31">
        <f>IF($A30="","",SUMPRODUCT((('01_予約入力'!$K$5:$K$204="仮予約")+('01_予約入力'!$K$5:$K$204="調整中"))*('01_予約入力'!$E$5:$E$204&lt;&gt;"")*('01_予約入力'!$E$5:$E$204&lt;=$A30)*('01_予約入力'!$G$5:$G$204&gt;$A30)))</f>
        <v/>
      </c>
      <c r="J30" s="31">
        <f>IF($A30="","",IF($I30&gt;0,"仮",IF($H30&lt;=0,"×",IF($H30&lt;'M_施設設定'!$B$6,"△","○"))))</f>
        <v/>
      </c>
      <c r="K30" s="31">
        <f>IF($A30="","",SUMPRODUCT(('01_予約入力'!$E$5:$E$204&lt;&gt;"")*('01_予約入力'!$K$5:$K$204&lt;&gt;"キャンセル")*('01_予約入力'!$E$5:$E$204=$A30)*('01_予約入力'!$G$5:$G$204=$A30)))</f>
        <v/>
      </c>
      <c r="L30" s="31">
        <f>IF(OR($A30="",C$6=""),0,SUMPRODUCT(MAX(('01_予約入力'!$D$5:$D$204=C$6)*('01_予約入力'!$K$5:$K$204&lt;&gt;"キャンセル")*('01_予約入力'!$E$5:$E$204&lt;&gt;"")*('01_予約入力'!$G$5:$G$204=$A30)*('01_予約入力'!$E$5:$E$204&lt;$A30)*(ROW('01_予約入力'!$E$5:$E$204)-4))))</f>
        <v/>
      </c>
      <c r="M30" s="31">
        <f>IF(OR($A30="",C$6=""),0,SUMPRODUCT(MAX(('01_予約入力'!$D$5:$D$204=C$6)*('01_予約入力'!$K$5:$K$204&lt;&gt;"キャンセル")*('01_予約入力'!$E$5:$E$204&lt;&gt;"")*('01_予約入力'!$E$5:$E$204&lt;=$A30)*('01_予約入力'!$G$5:$G$204&gt;$A30)*(ROW('01_予約入力'!$E$5:$E$204)-4))))</f>
        <v/>
      </c>
      <c r="N30" s="31">
        <f>IF(OR($A30="",C$6=""),0,SUMPRODUCT(MAX(('01_予約入力'!$D$5:$D$204=C$6)*('01_予約入力'!$K$5:$K$204&lt;&gt;"キャンセル")*('01_予約入力'!$E$5:$E$204&lt;&gt;"")*('01_予約入力'!$E$5:$E$204=$A30)*('01_予約入力'!$G$5:$G$204=$A30)*(ROW('01_予約入力'!$E$5:$E$204)-4))))</f>
        <v/>
      </c>
      <c r="O30" s="31">
        <f>IF(OR($A30="",D$6=""),0,SUMPRODUCT(MAX(('01_予約入力'!$D$5:$D$204=D$6)*('01_予約入力'!$K$5:$K$204&lt;&gt;"キャンセル")*('01_予約入力'!$E$5:$E$204&lt;&gt;"")*('01_予約入力'!$G$5:$G$204=$A30)*('01_予約入力'!$E$5:$E$204&lt;$A30)*(ROW('01_予約入力'!$E$5:$E$204)-4))))</f>
        <v/>
      </c>
      <c r="P30" s="31">
        <f>IF(OR($A30="",D$6=""),0,SUMPRODUCT(MAX(('01_予約入力'!$D$5:$D$204=D$6)*('01_予約入力'!$K$5:$K$204&lt;&gt;"キャンセル")*('01_予約入力'!$E$5:$E$204&lt;&gt;"")*('01_予約入力'!$E$5:$E$204&lt;=$A30)*('01_予約入力'!$G$5:$G$204&gt;$A30)*(ROW('01_予約入力'!$E$5:$E$204)-4))))</f>
        <v/>
      </c>
      <c r="Q30" s="31">
        <f>IF(OR($A30="",D$6=""),0,SUMPRODUCT(MAX(('01_予約入力'!$D$5:$D$204=D$6)*('01_予約入力'!$K$5:$K$204&lt;&gt;"キャンセル")*('01_予約入力'!$E$5:$E$204&lt;&gt;"")*('01_予約入力'!$E$5:$E$204=$A30)*('01_予約入力'!$G$5:$G$204=$A30)*(ROW('01_予約入力'!$E$5:$E$204)-4))))</f>
        <v/>
      </c>
      <c r="R30" s="31">
        <f>IF(OR($A30="",E$6=""),0,SUMPRODUCT(MAX(('01_予約入力'!$D$5:$D$204=E$6)*('01_予約入力'!$K$5:$K$204&lt;&gt;"キャンセル")*('01_予約入力'!$E$5:$E$204&lt;&gt;"")*('01_予約入力'!$G$5:$G$204=$A30)*('01_予約入力'!$E$5:$E$204&lt;$A30)*(ROW('01_予約入力'!$E$5:$E$204)-4))))</f>
        <v/>
      </c>
      <c r="S30" s="31">
        <f>IF(OR($A30="",E$6=""),0,SUMPRODUCT(MAX(('01_予約入力'!$D$5:$D$204=E$6)*('01_予約入力'!$K$5:$K$204&lt;&gt;"キャンセル")*('01_予約入力'!$E$5:$E$204&lt;&gt;"")*('01_予約入力'!$E$5:$E$204&lt;=$A30)*('01_予約入力'!$G$5:$G$204&gt;$A30)*(ROW('01_予約入力'!$E$5:$E$204)-4))))</f>
        <v/>
      </c>
      <c r="T30" s="31">
        <f>IF(OR($A30="",E$6=""),0,SUMPRODUCT(MAX(('01_予約入力'!$D$5:$D$204=E$6)*('01_予約入力'!$K$5:$K$204&lt;&gt;"キャンセル")*('01_予約入力'!$E$5:$E$204&lt;&gt;"")*('01_予約入力'!$E$5:$E$204=$A30)*('01_予約入力'!$G$5:$G$204=$A30)*(ROW('01_予約入力'!$E$5:$E$204)-4))))</f>
        <v/>
      </c>
      <c r="U30" s="31">
        <f>IF(OR($A30="",F$6=""),0,SUMPRODUCT(MAX(('01_予約入力'!$D$5:$D$204=F$6)*('01_予約入力'!$K$5:$K$204&lt;&gt;"キャンセル")*('01_予約入力'!$E$5:$E$204&lt;&gt;"")*('01_予約入力'!$G$5:$G$204=$A30)*('01_予約入力'!$E$5:$E$204&lt;$A30)*(ROW('01_予約入力'!$E$5:$E$204)-4))))</f>
        <v/>
      </c>
      <c r="V30" s="31">
        <f>IF(OR($A30="",F$6=""),0,SUMPRODUCT(MAX(('01_予約入力'!$D$5:$D$204=F$6)*('01_予約入力'!$K$5:$K$204&lt;&gt;"キャンセル")*('01_予約入力'!$E$5:$E$204&lt;&gt;"")*('01_予約入力'!$E$5:$E$204&lt;=$A30)*('01_予約入力'!$G$5:$G$204&gt;$A30)*(ROW('01_予約入力'!$E$5:$E$204)-4))))</f>
        <v/>
      </c>
      <c r="W30" s="31">
        <f>IF(OR($A30="",F$6=""),0,SUMPRODUCT(MAX(('01_予約入力'!$D$5:$D$204=F$6)*('01_予約入力'!$K$5:$K$204&lt;&gt;"キャンセル")*('01_予約入力'!$E$5:$E$204&lt;&gt;"")*('01_予約入力'!$E$5:$E$204=$A30)*('01_予約入力'!$G$5:$G$204=$A30)*(ROW('01_予約入力'!$E$5:$E$204)-4))))</f>
        <v/>
      </c>
      <c r="X30" s="31">
        <f>IF($A30="","",IF($M30&gt;0,IF(OR(INDEX('01_予約入力'!$K$5:$K$204,$M30)="仮予約",INDEX('01_予約入力'!$K$5:$K$204,$M30)="調整中"),"仮",INDEX('01_予約入力'!$C$5:$C$204,$M30)),IF($N30&gt;0,IF(OR(INDEX('01_予約入力'!$K$5:$K$204,$N30)="仮予約",INDEX('01_予約入力'!$K$5:$K$204,$N30)="調整中"),"仮",INDEX('01_予約入力'!$C$5:$C$204,$N30)),IF($L30&gt;0,IF(OR(INDEX('01_予約入力'!$K$5:$K$204,$L30)="仮予約",INDEX('01_予約入力'!$K$5:$K$204,$L30)="調整中"),"仮",INDEX('01_予約入力'!$C$5:$C$204,$L30)),""))))</f>
        <v/>
      </c>
      <c r="Y30" s="31">
        <f>IF($A30="","",IF($P30&gt;0,IF(OR(INDEX('01_予約入力'!$K$5:$K$204,$P30)="仮予約",INDEX('01_予約入力'!$K$5:$K$204,$P30)="調整中"),"仮",INDEX('01_予約入力'!$C$5:$C$204,$P30)),IF($Q30&gt;0,IF(OR(INDEX('01_予約入力'!$K$5:$K$204,$Q30)="仮予約",INDEX('01_予約入力'!$K$5:$K$204,$Q30)="調整中"),"仮",INDEX('01_予約入力'!$C$5:$C$204,$Q30)),IF($O30&gt;0,IF(OR(INDEX('01_予約入力'!$K$5:$K$204,$O30)="仮予約",INDEX('01_予約入力'!$K$5:$K$204,$O30)="調整中"),"仮",INDEX('01_予約入力'!$C$5:$C$204,$O30)),""))))</f>
        <v/>
      </c>
      <c r="Z30" s="31">
        <f>IF($A30="","",IF($S30&gt;0,IF(OR(INDEX('01_予約入力'!$K$5:$K$204,$S30)="仮予約",INDEX('01_予約入力'!$K$5:$K$204,$S30)="調整中"),"仮",INDEX('01_予約入力'!$C$5:$C$204,$S30)),IF($T30&gt;0,IF(OR(INDEX('01_予約入力'!$K$5:$K$204,$T30)="仮予約",INDEX('01_予約入力'!$K$5:$K$204,$T30)="調整中"),"仮",INDEX('01_予約入力'!$C$5:$C$204,$T30)),IF($R30&gt;0,IF(OR(INDEX('01_予約入力'!$K$5:$K$204,$R30)="仮予約",INDEX('01_予約入力'!$K$5:$K$204,$R30)="調整中"),"仮",INDEX('01_予約入力'!$C$5:$C$204,$R30)),""))))</f>
        <v/>
      </c>
      <c r="AA30" s="31">
        <f>IF($A30="","",IF($V30&gt;0,IF(OR(INDEX('01_予約入力'!$K$5:$K$204,$V30)="仮予約",INDEX('01_予約入力'!$K$5:$K$204,$V30)="調整中"),"仮",INDEX('01_予約入力'!$C$5:$C$204,$V30)),IF($W30&gt;0,IF(OR(INDEX('01_予約入力'!$K$5:$K$204,$W30)="仮予約",INDEX('01_予約入力'!$K$5:$K$204,$W30)="調整中"),"仮",INDEX('01_予約入力'!$C$5:$C$204,$W30)),IF($U30&gt;0,IF(OR(INDEX('01_予約入力'!$K$5:$K$204,$U30)="仮予約",INDEX('01_予約入力'!$K$5:$K$204,$U30)="調整中"),"仮",INDEX('01_予約入力'!$C$5:$C$204,$U30)),""))))</f>
        <v/>
      </c>
    </row>
    <row r="31">
      <c r="A31" s="33">
        <f>IF(MONTH('02_カレンダー'!$B$4+24)&lt;&gt;MONTH('02_カレンダー'!$B$4),"",'02_カレンダー'!$B$4+24)</f>
        <v/>
      </c>
      <c r="B31" s="31">
        <f>IF($A31="","",MID("日月火水木金土",WEEKDAY($A31),1))</f>
        <v/>
      </c>
      <c r="C31" s="34">
        <f>IF(OR($A31="",C$6=""),"",IF($L31=0,"",INDEX('01_予約入力'!$B$5:$B$204,$L31)&amp;" ◀")&amp;IF(AND($L31&gt;0,OR($M31&gt;0,$N31&gt;0)),"  ","")&amp;IF($M31=0,"",IF(INDEX('01_予約入力'!$E$5:$E$204,$M31)=$A31,"▶ ","")&amp;INDEX('01_予約入力'!$B$5:$B$204,$M31))&amp;IF(AND($M31&gt;0,$N31&gt;0),"  ","")&amp;IF($N31=0,"","◆ "&amp;INDEX('01_予約入力'!$B$5:$B$204,$N31)))</f>
        <v/>
      </c>
      <c r="D31" s="34">
        <f>IF(OR($A31="",D$6=""),"",IF($O31=0,"",INDEX('01_予約入力'!$B$5:$B$204,$O31)&amp;" ◀")&amp;IF(AND($O31&gt;0,OR($P31&gt;0,$Q31&gt;0)),"  ","")&amp;IF($P31=0,"",IF(INDEX('01_予約入力'!$E$5:$E$204,$P31)=$A31,"▶ ","")&amp;INDEX('01_予約入力'!$B$5:$B$204,$P31))&amp;IF(AND($P31&gt;0,$Q31&gt;0),"  ","")&amp;IF($Q31=0,"","◆ "&amp;INDEX('01_予約入力'!$B$5:$B$204,$Q31)))</f>
        <v/>
      </c>
      <c r="E31" s="34">
        <f>IF(OR($A31="",E$6=""),"",IF($R31=0,"",INDEX('01_予約入力'!$B$5:$B$204,$R31)&amp;" ◀")&amp;IF(AND($R31&gt;0,OR($S31&gt;0,$T31&gt;0)),"  ","")&amp;IF($S31=0,"",IF(INDEX('01_予約入力'!$E$5:$E$204,$S31)=$A31,"▶ ","")&amp;INDEX('01_予約入力'!$B$5:$B$204,$S31))&amp;IF(AND($S31&gt;0,$T31&gt;0),"  ","")&amp;IF($T31=0,"","◆ "&amp;INDEX('01_予約入力'!$B$5:$B$204,$T31)))</f>
        <v/>
      </c>
      <c r="F31" s="34">
        <f>IF(OR($A31="",F$6=""),"",IF($U31=0,"",INDEX('01_予約入力'!$B$5:$B$204,$U31)&amp;" ◀")&amp;IF(AND($U31&gt;0,OR($V31&gt;0,$W31&gt;0)),"  ","")&amp;IF($V31=0,"",IF(INDEX('01_予約入力'!$E$5:$E$204,$V31)=$A31,"▶ ","")&amp;INDEX('01_予約入力'!$B$5:$B$204,$V31))&amp;IF(AND($V31&gt;0,$W31&gt;0),"  ","")&amp;IF($W31=0,"","◆ "&amp;INDEX('01_予約入力'!$B$5:$B$204,$W31)))</f>
        <v/>
      </c>
      <c r="G31" s="31">
        <f>IF($A31="","",SUMPRODUCT(('01_予約入力'!$E$5:$E$204&lt;&gt;"")*('01_予約入力'!$K$5:$K$204&lt;&gt;"キャンセル")*('01_予約入力'!$E$5:$E$204&lt;=$A31)*('01_予約入力'!$G$5:$G$204&gt;$A31)))</f>
        <v/>
      </c>
      <c r="H31" s="31">
        <f>IF($A31="","",'M_施設設定'!$B$6-$G31)</f>
        <v/>
      </c>
      <c r="I31" s="31">
        <f>IF($A31="","",SUMPRODUCT((('01_予約入力'!$K$5:$K$204="仮予約")+('01_予約入力'!$K$5:$K$204="調整中"))*('01_予約入力'!$E$5:$E$204&lt;&gt;"")*('01_予約入力'!$E$5:$E$204&lt;=$A31)*('01_予約入力'!$G$5:$G$204&gt;$A31)))</f>
        <v/>
      </c>
      <c r="J31" s="31">
        <f>IF($A31="","",IF($I31&gt;0,"仮",IF($H31&lt;=0,"×",IF($H31&lt;'M_施設設定'!$B$6,"△","○"))))</f>
        <v/>
      </c>
      <c r="K31" s="31">
        <f>IF($A31="","",SUMPRODUCT(('01_予約入力'!$E$5:$E$204&lt;&gt;"")*('01_予約入力'!$K$5:$K$204&lt;&gt;"キャンセル")*('01_予約入力'!$E$5:$E$204=$A31)*('01_予約入力'!$G$5:$G$204=$A31)))</f>
        <v/>
      </c>
      <c r="L31" s="31">
        <f>IF(OR($A31="",C$6=""),0,SUMPRODUCT(MAX(('01_予約入力'!$D$5:$D$204=C$6)*('01_予約入力'!$K$5:$K$204&lt;&gt;"キャンセル")*('01_予約入力'!$E$5:$E$204&lt;&gt;"")*('01_予約入力'!$G$5:$G$204=$A31)*('01_予約入力'!$E$5:$E$204&lt;$A31)*(ROW('01_予約入力'!$E$5:$E$204)-4))))</f>
        <v/>
      </c>
      <c r="M31" s="31">
        <f>IF(OR($A31="",C$6=""),0,SUMPRODUCT(MAX(('01_予約入力'!$D$5:$D$204=C$6)*('01_予約入力'!$K$5:$K$204&lt;&gt;"キャンセル")*('01_予約入力'!$E$5:$E$204&lt;&gt;"")*('01_予約入力'!$E$5:$E$204&lt;=$A31)*('01_予約入力'!$G$5:$G$204&gt;$A31)*(ROW('01_予約入力'!$E$5:$E$204)-4))))</f>
        <v/>
      </c>
      <c r="N31" s="31">
        <f>IF(OR($A31="",C$6=""),0,SUMPRODUCT(MAX(('01_予約入力'!$D$5:$D$204=C$6)*('01_予約入力'!$K$5:$K$204&lt;&gt;"キャンセル")*('01_予約入力'!$E$5:$E$204&lt;&gt;"")*('01_予約入力'!$E$5:$E$204=$A31)*('01_予約入力'!$G$5:$G$204=$A31)*(ROW('01_予約入力'!$E$5:$E$204)-4))))</f>
        <v/>
      </c>
      <c r="O31" s="31">
        <f>IF(OR($A31="",D$6=""),0,SUMPRODUCT(MAX(('01_予約入力'!$D$5:$D$204=D$6)*('01_予約入力'!$K$5:$K$204&lt;&gt;"キャンセル")*('01_予約入力'!$E$5:$E$204&lt;&gt;"")*('01_予約入力'!$G$5:$G$204=$A31)*('01_予約入力'!$E$5:$E$204&lt;$A31)*(ROW('01_予約入力'!$E$5:$E$204)-4))))</f>
        <v/>
      </c>
      <c r="P31" s="31">
        <f>IF(OR($A31="",D$6=""),0,SUMPRODUCT(MAX(('01_予約入力'!$D$5:$D$204=D$6)*('01_予約入力'!$K$5:$K$204&lt;&gt;"キャンセル")*('01_予約入力'!$E$5:$E$204&lt;&gt;"")*('01_予約入力'!$E$5:$E$204&lt;=$A31)*('01_予約入力'!$G$5:$G$204&gt;$A31)*(ROW('01_予約入力'!$E$5:$E$204)-4))))</f>
        <v/>
      </c>
      <c r="Q31" s="31">
        <f>IF(OR($A31="",D$6=""),0,SUMPRODUCT(MAX(('01_予約入力'!$D$5:$D$204=D$6)*('01_予約入力'!$K$5:$K$204&lt;&gt;"キャンセル")*('01_予約入力'!$E$5:$E$204&lt;&gt;"")*('01_予約入力'!$E$5:$E$204=$A31)*('01_予約入力'!$G$5:$G$204=$A31)*(ROW('01_予約入力'!$E$5:$E$204)-4))))</f>
        <v/>
      </c>
      <c r="R31" s="31">
        <f>IF(OR($A31="",E$6=""),0,SUMPRODUCT(MAX(('01_予約入力'!$D$5:$D$204=E$6)*('01_予約入力'!$K$5:$K$204&lt;&gt;"キャンセル")*('01_予約入力'!$E$5:$E$204&lt;&gt;"")*('01_予約入力'!$G$5:$G$204=$A31)*('01_予約入力'!$E$5:$E$204&lt;$A31)*(ROW('01_予約入力'!$E$5:$E$204)-4))))</f>
        <v/>
      </c>
      <c r="S31" s="31">
        <f>IF(OR($A31="",E$6=""),0,SUMPRODUCT(MAX(('01_予約入力'!$D$5:$D$204=E$6)*('01_予約入力'!$K$5:$K$204&lt;&gt;"キャンセル")*('01_予約入力'!$E$5:$E$204&lt;&gt;"")*('01_予約入力'!$E$5:$E$204&lt;=$A31)*('01_予約入力'!$G$5:$G$204&gt;$A31)*(ROW('01_予約入力'!$E$5:$E$204)-4))))</f>
        <v/>
      </c>
      <c r="T31" s="31">
        <f>IF(OR($A31="",E$6=""),0,SUMPRODUCT(MAX(('01_予約入力'!$D$5:$D$204=E$6)*('01_予約入力'!$K$5:$K$204&lt;&gt;"キャンセル")*('01_予約入力'!$E$5:$E$204&lt;&gt;"")*('01_予約入力'!$E$5:$E$204=$A31)*('01_予約入力'!$G$5:$G$204=$A31)*(ROW('01_予約入力'!$E$5:$E$204)-4))))</f>
        <v/>
      </c>
      <c r="U31" s="31">
        <f>IF(OR($A31="",F$6=""),0,SUMPRODUCT(MAX(('01_予約入力'!$D$5:$D$204=F$6)*('01_予約入力'!$K$5:$K$204&lt;&gt;"キャンセル")*('01_予約入力'!$E$5:$E$204&lt;&gt;"")*('01_予約入力'!$G$5:$G$204=$A31)*('01_予約入力'!$E$5:$E$204&lt;$A31)*(ROW('01_予約入力'!$E$5:$E$204)-4))))</f>
        <v/>
      </c>
      <c r="V31" s="31">
        <f>IF(OR($A31="",F$6=""),0,SUMPRODUCT(MAX(('01_予約入力'!$D$5:$D$204=F$6)*('01_予約入力'!$K$5:$K$204&lt;&gt;"キャンセル")*('01_予約入力'!$E$5:$E$204&lt;&gt;"")*('01_予約入力'!$E$5:$E$204&lt;=$A31)*('01_予約入力'!$G$5:$G$204&gt;$A31)*(ROW('01_予約入力'!$E$5:$E$204)-4))))</f>
        <v/>
      </c>
      <c r="W31" s="31">
        <f>IF(OR($A31="",F$6=""),0,SUMPRODUCT(MAX(('01_予約入力'!$D$5:$D$204=F$6)*('01_予約入力'!$K$5:$K$204&lt;&gt;"キャンセル")*('01_予約入力'!$E$5:$E$204&lt;&gt;"")*('01_予約入力'!$E$5:$E$204=$A31)*('01_予約入力'!$G$5:$G$204=$A31)*(ROW('01_予約入力'!$E$5:$E$204)-4))))</f>
        <v/>
      </c>
      <c r="X31" s="31">
        <f>IF($A31="","",IF($M31&gt;0,IF(OR(INDEX('01_予約入力'!$K$5:$K$204,$M31)="仮予約",INDEX('01_予約入力'!$K$5:$K$204,$M31)="調整中"),"仮",INDEX('01_予約入力'!$C$5:$C$204,$M31)),IF($N31&gt;0,IF(OR(INDEX('01_予約入力'!$K$5:$K$204,$N31)="仮予約",INDEX('01_予約入力'!$K$5:$K$204,$N31)="調整中"),"仮",INDEX('01_予約入力'!$C$5:$C$204,$N31)),IF($L31&gt;0,IF(OR(INDEX('01_予約入力'!$K$5:$K$204,$L31)="仮予約",INDEX('01_予約入力'!$K$5:$K$204,$L31)="調整中"),"仮",INDEX('01_予約入力'!$C$5:$C$204,$L31)),""))))</f>
        <v/>
      </c>
      <c r="Y31" s="31">
        <f>IF($A31="","",IF($P31&gt;0,IF(OR(INDEX('01_予約入力'!$K$5:$K$204,$P31)="仮予約",INDEX('01_予約入力'!$K$5:$K$204,$P31)="調整中"),"仮",INDEX('01_予約入力'!$C$5:$C$204,$P31)),IF($Q31&gt;0,IF(OR(INDEX('01_予約入力'!$K$5:$K$204,$Q31)="仮予約",INDEX('01_予約入力'!$K$5:$K$204,$Q31)="調整中"),"仮",INDEX('01_予約入力'!$C$5:$C$204,$Q31)),IF($O31&gt;0,IF(OR(INDEX('01_予約入力'!$K$5:$K$204,$O31)="仮予約",INDEX('01_予約入力'!$K$5:$K$204,$O31)="調整中"),"仮",INDEX('01_予約入力'!$C$5:$C$204,$O31)),""))))</f>
        <v/>
      </c>
      <c r="Z31" s="31">
        <f>IF($A31="","",IF($S31&gt;0,IF(OR(INDEX('01_予約入力'!$K$5:$K$204,$S31)="仮予約",INDEX('01_予約入力'!$K$5:$K$204,$S31)="調整中"),"仮",INDEX('01_予約入力'!$C$5:$C$204,$S31)),IF($T31&gt;0,IF(OR(INDEX('01_予約入力'!$K$5:$K$204,$T31)="仮予約",INDEX('01_予約入力'!$K$5:$K$204,$T31)="調整中"),"仮",INDEX('01_予約入力'!$C$5:$C$204,$T31)),IF($R31&gt;0,IF(OR(INDEX('01_予約入力'!$K$5:$K$204,$R31)="仮予約",INDEX('01_予約入力'!$K$5:$K$204,$R31)="調整中"),"仮",INDEX('01_予約入力'!$C$5:$C$204,$R31)),""))))</f>
        <v/>
      </c>
      <c r="AA31" s="31">
        <f>IF($A31="","",IF($V31&gt;0,IF(OR(INDEX('01_予約入力'!$K$5:$K$204,$V31)="仮予約",INDEX('01_予約入力'!$K$5:$K$204,$V31)="調整中"),"仮",INDEX('01_予約入力'!$C$5:$C$204,$V31)),IF($W31&gt;0,IF(OR(INDEX('01_予約入力'!$K$5:$K$204,$W31)="仮予約",INDEX('01_予約入力'!$K$5:$K$204,$W31)="調整中"),"仮",INDEX('01_予約入力'!$C$5:$C$204,$W31)),IF($U31&gt;0,IF(OR(INDEX('01_予約入力'!$K$5:$K$204,$U31)="仮予約",INDEX('01_予約入力'!$K$5:$K$204,$U31)="調整中"),"仮",INDEX('01_予約入力'!$C$5:$C$204,$U31)),""))))</f>
        <v/>
      </c>
    </row>
    <row r="32">
      <c r="A32" s="33">
        <f>IF(MONTH('02_カレンダー'!$B$4+25)&lt;&gt;MONTH('02_カレンダー'!$B$4),"",'02_カレンダー'!$B$4+25)</f>
        <v/>
      </c>
      <c r="B32" s="31">
        <f>IF($A32="","",MID("日月火水木金土",WEEKDAY($A32),1))</f>
        <v/>
      </c>
      <c r="C32" s="34">
        <f>IF(OR($A32="",C$6=""),"",IF($L32=0,"",INDEX('01_予約入力'!$B$5:$B$204,$L32)&amp;" ◀")&amp;IF(AND($L32&gt;0,OR($M32&gt;0,$N32&gt;0)),"  ","")&amp;IF($M32=0,"",IF(INDEX('01_予約入力'!$E$5:$E$204,$M32)=$A32,"▶ ","")&amp;INDEX('01_予約入力'!$B$5:$B$204,$M32))&amp;IF(AND($M32&gt;0,$N32&gt;0),"  ","")&amp;IF($N32=0,"","◆ "&amp;INDEX('01_予約入力'!$B$5:$B$204,$N32)))</f>
        <v/>
      </c>
      <c r="D32" s="34">
        <f>IF(OR($A32="",D$6=""),"",IF($O32=0,"",INDEX('01_予約入力'!$B$5:$B$204,$O32)&amp;" ◀")&amp;IF(AND($O32&gt;0,OR($P32&gt;0,$Q32&gt;0)),"  ","")&amp;IF($P32=0,"",IF(INDEX('01_予約入力'!$E$5:$E$204,$P32)=$A32,"▶ ","")&amp;INDEX('01_予約入力'!$B$5:$B$204,$P32))&amp;IF(AND($P32&gt;0,$Q32&gt;0),"  ","")&amp;IF($Q32=0,"","◆ "&amp;INDEX('01_予約入力'!$B$5:$B$204,$Q32)))</f>
        <v/>
      </c>
      <c r="E32" s="34">
        <f>IF(OR($A32="",E$6=""),"",IF($R32=0,"",INDEX('01_予約入力'!$B$5:$B$204,$R32)&amp;" ◀")&amp;IF(AND($R32&gt;0,OR($S32&gt;0,$T32&gt;0)),"  ","")&amp;IF($S32=0,"",IF(INDEX('01_予約入力'!$E$5:$E$204,$S32)=$A32,"▶ ","")&amp;INDEX('01_予約入力'!$B$5:$B$204,$S32))&amp;IF(AND($S32&gt;0,$T32&gt;0),"  ","")&amp;IF($T32=0,"","◆ "&amp;INDEX('01_予約入力'!$B$5:$B$204,$T32)))</f>
        <v/>
      </c>
      <c r="F32" s="34">
        <f>IF(OR($A32="",F$6=""),"",IF($U32=0,"",INDEX('01_予約入力'!$B$5:$B$204,$U32)&amp;" ◀")&amp;IF(AND($U32&gt;0,OR($V32&gt;0,$W32&gt;0)),"  ","")&amp;IF($V32=0,"",IF(INDEX('01_予約入力'!$E$5:$E$204,$V32)=$A32,"▶ ","")&amp;INDEX('01_予約入力'!$B$5:$B$204,$V32))&amp;IF(AND($V32&gt;0,$W32&gt;0),"  ","")&amp;IF($W32=0,"","◆ "&amp;INDEX('01_予約入力'!$B$5:$B$204,$W32)))</f>
        <v/>
      </c>
      <c r="G32" s="31">
        <f>IF($A32="","",SUMPRODUCT(('01_予約入力'!$E$5:$E$204&lt;&gt;"")*('01_予約入力'!$K$5:$K$204&lt;&gt;"キャンセル")*('01_予約入力'!$E$5:$E$204&lt;=$A32)*('01_予約入力'!$G$5:$G$204&gt;$A32)))</f>
        <v/>
      </c>
      <c r="H32" s="31">
        <f>IF($A32="","",'M_施設設定'!$B$6-$G32)</f>
        <v/>
      </c>
      <c r="I32" s="31">
        <f>IF($A32="","",SUMPRODUCT((('01_予約入力'!$K$5:$K$204="仮予約")+('01_予約入力'!$K$5:$K$204="調整中"))*('01_予約入力'!$E$5:$E$204&lt;&gt;"")*('01_予約入力'!$E$5:$E$204&lt;=$A32)*('01_予約入力'!$G$5:$G$204&gt;$A32)))</f>
        <v/>
      </c>
      <c r="J32" s="31">
        <f>IF($A32="","",IF($I32&gt;0,"仮",IF($H32&lt;=0,"×",IF($H32&lt;'M_施設設定'!$B$6,"△","○"))))</f>
        <v/>
      </c>
      <c r="K32" s="31">
        <f>IF($A32="","",SUMPRODUCT(('01_予約入力'!$E$5:$E$204&lt;&gt;"")*('01_予約入力'!$K$5:$K$204&lt;&gt;"キャンセル")*('01_予約入力'!$E$5:$E$204=$A32)*('01_予約入力'!$G$5:$G$204=$A32)))</f>
        <v/>
      </c>
      <c r="L32" s="31">
        <f>IF(OR($A32="",C$6=""),0,SUMPRODUCT(MAX(('01_予約入力'!$D$5:$D$204=C$6)*('01_予約入力'!$K$5:$K$204&lt;&gt;"キャンセル")*('01_予約入力'!$E$5:$E$204&lt;&gt;"")*('01_予約入力'!$G$5:$G$204=$A32)*('01_予約入力'!$E$5:$E$204&lt;$A32)*(ROW('01_予約入力'!$E$5:$E$204)-4))))</f>
        <v/>
      </c>
      <c r="M32" s="31">
        <f>IF(OR($A32="",C$6=""),0,SUMPRODUCT(MAX(('01_予約入力'!$D$5:$D$204=C$6)*('01_予約入力'!$K$5:$K$204&lt;&gt;"キャンセル")*('01_予約入力'!$E$5:$E$204&lt;&gt;"")*('01_予約入力'!$E$5:$E$204&lt;=$A32)*('01_予約入力'!$G$5:$G$204&gt;$A32)*(ROW('01_予約入力'!$E$5:$E$204)-4))))</f>
        <v/>
      </c>
      <c r="N32" s="31">
        <f>IF(OR($A32="",C$6=""),0,SUMPRODUCT(MAX(('01_予約入力'!$D$5:$D$204=C$6)*('01_予約入力'!$K$5:$K$204&lt;&gt;"キャンセル")*('01_予約入力'!$E$5:$E$204&lt;&gt;"")*('01_予約入力'!$E$5:$E$204=$A32)*('01_予約入力'!$G$5:$G$204=$A32)*(ROW('01_予約入力'!$E$5:$E$204)-4))))</f>
        <v/>
      </c>
      <c r="O32" s="31">
        <f>IF(OR($A32="",D$6=""),0,SUMPRODUCT(MAX(('01_予約入力'!$D$5:$D$204=D$6)*('01_予約入力'!$K$5:$K$204&lt;&gt;"キャンセル")*('01_予約入力'!$E$5:$E$204&lt;&gt;"")*('01_予約入力'!$G$5:$G$204=$A32)*('01_予約入力'!$E$5:$E$204&lt;$A32)*(ROW('01_予約入力'!$E$5:$E$204)-4))))</f>
        <v/>
      </c>
      <c r="P32" s="31">
        <f>IF(OR($A32="",D$6=""),0,SUMPRODUCT(MAX(('01_予約入力'!$D$5:$D$204=D$6)*('01_予約入力'!$K$5:$K$204&lt;&gt;"キャンセル")*('01_予約入力'!$E$5:$E$204&lt;&gt;"")*('01_予約入力'!$E$5:$E$204&lt;=$A32)*('01_予約入力'!$G$5:$G$204&gt;$A32)*(ROW('01_予約入力'!$E$5:$E$204)-4))))</f>
        <v/>
      </c>
      <c r="Q32" s="31">
        <f>IF(OR($A32="",D$6=""),0,SUMPRODUCT(MAX(('01_予約入力'!$D$5:$D$204=D$6)*('01_予約入力'!$K$5:$K$204&lt;&gt;"キャンセル")*('01_予約入力'!$E$5:$E$204&lt;&gt;"")*('01_予約入力'!$E$5:$E$204=$A32)*('01_予約入力'!$G$5:$G$204=$A32)*(ROW('01_予約入力'!$E$5:$E$204)-4))))</f>
        <v/>
      </c>
      <c r="R32" s="31">
        <f>IF(OR($A32="",E$6=""),0,SUMPRODUCT(MAX(('01_予約入力'!$D$5:$D$204=E$6)*('01_予約入力'!$K$5:$K$204&lt;&gt;"キャンセル")*('01_予約入力'!$E$5:$E$204&lt;&gt;"")*('01_予約入力'!$G$5:$G$204=$A32)*('01_予約入力'!$E$5:$E$204&lt;$A32)*(ROW('01_予約入力'!$E$5:$E$204)-4))))</f>
        <v/>
      </c>
      <c r="S32" s="31">
        <f>IF(OR($A32="",E$6=""),0,SUMPRODUCT(MAX(('01_予約入力'!$D$5:$D$204=E$6)*('01_予約入力'!$K$5:$K$204&lt;&gt;"キャンセル")*('01_予約入力'!$E$5:$E$204&lt;&gt;"")*('01_予約入力'!$E$5:$E$204&lt;=$A32)*('01_予約入力'!$G$5:$G$204&gt;$A32)*(ROW('01_予約入力'!$E$5:$E$204)-4))))</f>
        <v/>
      </c>
      <c r="T32" s="31">
        <f>IF(OR($A32="",E$6=""),0,SUMPRODUCT(MAX(('01_予約入力'!$D$5:$D$204=E$6)*('01_予約入力'!$K$5:$K$204&lt;&gt;"キャンセル")*('01_予約入力'!$E$5:$E$204&lt;&gt;"")*('01_予約入力'!$E$5:$E$204=$A32)*('01_予約入力'!$G$5:$G$204=$A32)*(ROW('01_予約入力'!$E$5:$E$204)-4))))</f>
        <v/>
      </c>
      <c r="U32" s="31">
        <f>IF(OR($A32="",F$6=""),0,SUMPRODUCT(MAX(('01_予約入力'!$D$5:$D$204=F$6)*('01_予約入力'!$K$5:$K$204&lt;&gt;"キャンセル")*('01_予約入力'!$E$5:$E$204&lt;&gt;"")*('01_予約入力'!$G$5:$G$204=$A32)*('01_予約入力'!$E$5:$E$204&lt;$A32)*(ROW('01_予約入力'!$E$5:$E$204)-4))))</f>
        <v/>
      </c>
      <c r="V32" s="31">
        <f>IF(OR($A32="",F$6=""),0,SUMPRODUCT(MAX(('01_予約入力'!$D$5:$D$204=F$6)*('01_予約入力'!$K$5:$K$204&lt;&gt;"キャンセル")*('01_予約入力'!$E$5:$E$204&lt;&gt;"")*('01_予約入力'!$E$5:$E$204&lt;=$A32)*('01_予約入力'!$G$5:$G$204&gt;$A32)*(ROW('01_予約入力'!$E$5:$E$204)-4))))</f>
        <v/>
      </c>
      <c r="W32" s="31">
        <f>IF(OR($A32="",F$6=""),0,SUMPRODUCT(MAX(('01_予約入力'!$D$5:$D$204=F$6)*('01_予約入力'!$K$5:$K$204&lt;&gt;"キャンセル")*('01_予約入力'!$E$5:$E$204&lt;&gt;"")*('01_予約入力'!$E$5:$E$204=$A32)*('01_予約入力'!$G$5:$G$204=$A32)*(ROW('01_予約入力'!$E$5:$E$204)-4))))</f>
        <v/>
      </c>
      <c r="X32" s="31">
        <f>IF($A32="","",IF($M32&gt;0,IF(OR(INDEX('01_予約入力'!$K$5:$K$204,$M32)="仮予約",INDEX('01_予約入力'!$K$5:$K$204,$M32)="調整中"),"仮",INDEX('01_予約入力'!$C$5:$C$204,$M32)),IF($N32&gt;0,IF(OR(INDEX('01_予約入力'!$K$5:$K$204,$N32)="仮予約",INDEX('01_予約入力'!$K$5:$K$204,$N32)="調整中"),"仮",INDEX('01_予約入力'!$C$5:$C$204,$N32)),IF($L32&gt;0,IF(OR(INDEX('01_予約入力'!$K$5:$K$204,$L32)="仮予約",INDEX('01_予約入力'!$K$5:$K$204,$L32)="調整中"),"仮",INDEX('01_予約入力'!$C$5:$C$204,$L32)),""))))</f>
        <v/>
      </c>
      <c r="Y32" s="31">
        <f>IF($A32="","",IF($P32&gt;0,IF(OR(INDEX('01_予約入力'!$K$5:$K$204,$P32)="仮予約",INDEX('01_予約入力'!$K$5:$K$204,$P32)="調整中"),"仮",INDEX('01_予約入力'!$C$5:$C$204,$P32)),IF($Q32&gt;0,IF(OR(INDEX('01_予約入力'!$K$5:$K$204,$Q32)="仮予約",INDEX('01_予約入力'!$K$5:$K$204,$Q32)="調整中"),"仮",INDEX('01_予約入力'!$C$5:$C$204,$Q32)),IF($O32&gt;0,IF(OR(INDEX('01_予約入力'!$K$5:$K$204,$O32)="仮予約",INDEX('01_予約入力'!$K$5:$K$204,$O32)="調整中"),"仮",INDEX('01_予約入力'!$C$5:$C$204,$O32)),""))))</f>
        <v/>
      </c>
      <c r="Z32" s="31">
        <f>IF($A32="","",IF($S32&gt;0,IF(OR(INDEX('01_予約入力'!$K$5:$K$204,$S32)="仮予約",INDEX('01_予約入力'!$K$5:$K$204,$S32)="調整中"),"仮",INDEX('01_予約入力'!$C$5:$C$204,$S32)),IF($T32&gt;0,IF(OR(INDEX('01_予約入力'!$K$5:$K$204,$T32)="仮予約",INDEX('01_予約入力'!$K$5:$K$204,$T32)="調整中"),"仮",INDEX('01_予約入力'!$C$5:$C$204,$T32)),IF($R32&gt;0,IF(OR(INDEX('01_予約入力'!$K$5:$K$204,$R32)="仮予約",INDEX('01_予約入力'!$K$5:$K$204,$R32)="調整中"),"仮",INDEX('01_予約入力'!$C$5:$C$204,$R32)),""))))</f>
        <v/>
      </c>
      <c r="AA32" s="31">
        <f>IF($A32="","",IF($V32&gt;0,IF(OR(INDEX('01_予約入力'!$K$5:$K$204,$V32)="仮予約",INDEX('01_予約入力'!$K$5:$K$204,$V32)="調整中"),"仮",INDEX('01_予約入力'!$C$5:$C$204,$V32)),IF($W32&gt;0,IF(OR(INDEX('01_予約入力'!$K$5:$K$204,$W32)="仮予約",INDEX('01_予約入力'!$K$5:$K$204,$W32)="調整中"),"仮",INDEX('01_予約入力'!$C$5:$C$204,$W32)),IF($U32&gt;0,IF(OR(INDEX('01_予約入力'!$K$5:$K$204,$U32)="仮予約",INDEX('01_予約入力'!$K$5:$K$204,$U32)="調整中"),"仮",INDEX('01_予約入力'!$C$5:$C$204,$U32)),""))))</f>
        <v/>
      </c>
    </row>
    <row r="33">
      <c r="A33" s="33">
        <f>IF(MONTH('02_カレンダー'!$B$4+26)&lt;&gt;MONTH('02_カレンダー'!$B$4),"",'02_カレンダー'!$B$4+26)</f>
        <v/>
      </c>
      <c r="B33" s="31">
        <f>IF($A33="","",MID("日月火水木金土",WEEKDAY($A33),1))</f>
        <v/>
      </c>
      <c r="C33" s="34">
        <f>IF(OR($A33="",C$6=""),"",IF($L33=0,"",INDEX('01_予約入力'!$B$5:$B$204,$L33)&amp;" ◀")&amp;IF(AND($L33&gt;0,OR($M33&gt;0,$N33&gt;0)),"  ","")&amp;IF($M33=0,"",IF(INDEX('01_予約入力'!$E$5:$E$204,$M33)=$A33,"▶ ","")&amp;INDEX('01_予約入力'!$B$5:$B$204,$M33))&amp;IF(AND($M33&gt;0,$N33&gt;0),"  ","")&amp;IF($N33=0,"","◆ "&amp;INDEX('01_予約入力'!$B$5:$B$204,$N33)))</f>
        <v/>
      </c>
      <c r="D33" s="34">
        <f>IF(OR($A33="",D$6=""),"",IF($O33=0,"",INDEX('01_予約入力'!$B$5:$B$204,$O33)&amp;" ◀")&amp;IF(AND($O33&gt;0,OR($P33&gt;0,$Q33&gt;0)),"  ","")&amp;IF($P33=0,"",IF(INDEX('01_予約入力'!$E$5:$E$204,$P33)=$A33,"▶ ","")&amp;INDEX('01_予約入力'!$B$5:$B$204,$P33))&amp;IF(AND($P33&gt;0,$Q33&gt;0),"  ","")&amp;IF($Q33=0,"","◆ "&amp;INDEX('01_予約入力'!$B$5:$B$204,$Q33)))</f>
        <v/>
      </c>
      <c r="E33" s="34">
        <f>IF(OR($A33="",E$6=""),"",IF($R33=0,"",INDEX('01_予約入力'!$B$5:$B$204,$R33)&amp;" ◀")&amp;IF(AND($R33&gt;0,OR($S33&gt;0,$T33&gt;0)),"  ","")&amp;IF($S33=0,"",IF(INDEX('01_予約入力'!$E$5:$E$204,$S33)=$A33,"▶ ","")&amp;INDEX('01_予約入力'!$B$5:$B$204,$S33))&amp;IF(AND($S33&gt;0,$T33&gt;0),"  ","")&amp;IF($T33=0,"","◆ "&amp;INDEX('01_予約入力'!$B$5:$B$204,$T33)))</f>
        <v/>
      </c>
      <c r="F33" s="34">
        <f>IF(OR($A33="",F$6=""),"",IF($U33=0,"",INDEX('01_予約入力'!$B$5:$B$204,$U33)&amp;" ◀")&amp;IF(AND($U33&gt;0,OR($V33&gt;0,$W33&gt;0)),"  ","")&amp;IF($V33=0,"",IF(INDEX('01_予約入力'!$E$5:$E$204,$V33)=$A33,"▶ ","")&amp;INDEX('01_予約入力'!$B$5:$B$204,$V33))&amp;IF(AND($V33&gt;0,$W33&gt;0),"  ","")&amp;IF($W33=0,"","◆ "&amp;INDEX('01_予約入力'!$B$5:$B$204,$W33)))</f>
        <v/>
      </c>
      <c r="G33" s="31">
        <f>IF($A33="","",SUMPRODUCT(('01_予約入力'!$E$5:$E$204&lt;&gt;"")*('01_予約入力'!$K$5:$K$204&lt;&gt;"キャンセル")*('01_予約入力'!$E$5:$E$204&lt;=$A33)*('01_予約入力'!$G$5:$G$204&gt;$A33)))</f>
        <v/>
      </c>
      <c r="H33" s="31">
        <f>IF($A33="","",'M_施設設定'!$B$6-$G33)</f>
        <v/>
      </c>
      <c r="I33" s="31">
        <f>IF($A33="","",SUMPRODUCT((('01_予約入力'!$K$5:$K$204="仮予約")+('01_予約入力'!$K$5:$K$204="調整中"))*('01_予約入力'!$E$5:$E$204&lt;&gt;"")*('01_予約入力'!$E$5:$E$204&lt;=$A33)*('01_予約入力'!$G$5:$G$204&gt;$A33)))</f>
        <v/>
      </c>
      <c r="J33" s="31">
        <f>IF($A33="","",IF($I33&gt;0,"仮",IF($H33&lt;=0,"×",IF($H33&lt;'M_施設設定'!$B$6,"△","○"))))</f>
        <v/>
      </c>
      <c r="K33" s="31">
        <f>IF($A33="","",SUMPRODUCT(('01_予約入力'!$E$5:$E$204&lt;&gt;"")*('01_予約入力'!$K$5:$K$204&lt;&gt;"キャンセル")*('01_予約入力'!$E$5:$E$204=$A33)*('01_予約入力'!$G$5:$G$204=$A33)))</f>
        <v/>
      </c>
      <c r="L33" s="31">
        <f>IF(OR($A33="",C$6=""),0,SUMPRODUCT(MAX(('01_予約入力'!$D$5:$D$204=C$6)*('01_予約入力'!$K$5:$K$204&lt;&gt;"キャンセル")*('01_予約入力'!$E$5:$E$204&lt;&gt;"")*('01_予約入力'!$G$5:$G$204=$A33)*('01_予約入力'!$E$5:$E$204&lt;$A33)*(ROW('01_予約入力'!$E$5:$E$204)-4))))</f>
        <v/>
      </c>
      <c r="M33" s="31">
        <f>IF(OR($A33="",C$6=""),0,SUMPRODUCT(MAX(('01_予約入力'!$D$5:$D$204=C$6)*('01_予約入力'!$K$5:$K$204&lt;&gt;"キャンセル")*('01_予約入力'!$E$5:$E$204&lt;&gt;"")*('01_予約入力'!$E$5:$E$204&lt;=$A33)*('01_予約入力'!$G$5:$G$204&gt;$A33)*(ROW('01_予約入力'!$E$5:$E$204)-4))))</f>
        <v/>
      </c>
      <c r="N33" s="31">
        <f>IF(OR($A33="",C$6=""),0,SUMPRODUCT(MAX(('01_予約入力'!$D$5:$D$204=C$6)*('01_予約入力'!$K$5:$K$204&lt;&gt;"キャンセル")*('01_予約入力'!$E$5:$E$204&lt;&gt;"")*('01_予約入力'!$E$5:$E$204=$A33)*('01_予約入力'!$G$5:$G$204=$A33)*(ROW('01_予約入力'!$E$5:$E$204)-4))))</f>
        <v/>
      </c>
      <c r="O33" s="31">
        <f>IF(OR($A33="",D$6=""),0,SUMPRODUCT(MAX(('01_予約入力'!$D$5:$D$204=D$6)*('01_予約入力'!$K$5:$K$204&lt;&gt;"キャンセル")*('01_予約入力'!$E$5:$E$204&lt;&gt;"")*('01_予約入力'!$G$5:$G$204=$A33)*('01_予約入力'!$E$5:$E$204&lt;$A33)*(ROW('01_予約入力'!$E$5:$E$204)-4))))</f>
        <v/>
      </c>
      <c r="P33" s="31">
        <f>IF(OR($A33="",D$6=""),0,SUMPRODUCT(MAX(('01_予約入力'!$D$5:$D$204=D$6)*('01_予約入力'!$K$5:$K$204&lt;&gt;"キャンセル")*('01_予約入力'!$E$5:$E$204&lt;&gt;"")*('01_予約入力'!$E$5:$E$204&lt;=$A33)*('01_予約入力'!$G$5:$G$204&gt;$A33)*(ROW('01_予約入力'!$E$5:$E$204)-4))))</f>
        <v/>
      </c>
      <c r="Q33" s="31">
        <f>IF(OR($A33="",D$6=""),0,SUMPRODUCT(MAX(('01_予約入力'!$D$5:$D$204=D$6)*('01_予約入力'!$K$5:$K$204&lt;&gt;"キャンセル")*('01_予約入力'!$E$5:$E$204&lt;&gt;"")*('01_予約入力'!$E$5:$E$204=$A33)*('01_予約入力'!$G$5:$G$204=$A33)*(ROW('01_予約入力'!$E$5:$E$204)-4))))</f>
        <v/>
      </c>
      <c r="R33" s="31">
        <f>IF(OR($A33="",E$6=""),0,SUMPRODUCT(MAX(('01_予約入力'!$D$5:$D$204=E$6)*('01_予約入力'!$K$5:$K$204&lt;&gt;"キャンセル")*('01_予約入力'!$E$5:$E$204&lt;&gt;"")*('01_予約入力'!$G$5:$G$204=$A33)*('01_予約入力'!$E$5:$E$204&lt;$A33)*(ROW('01_予約入力'!$E$5:$E$204)-4))))</f>
        <v/>
      </c>
      <c r="S33" s="31">
        <f>IF(OR($A33="",E$6=""),0,SUMPRODUCT(MAX(('01_予約入力'!$D$5:$D$204=E$6)*('01_予約入力'!$K$5:$K$204&lt;&gt;"キャンセル")*('01_予約入力'!$E$5:$E$204&lt;&gt;"")*('01_予約入力'!$E$5:$E$204&lt;=$A33)*('01_予約入力'!$G$5:$G$204&gt;$A33)*(ROW('01_予約入力'!$E$5:$E$204)-4))))</f>
        <v/>
      </c>
      <c r="T33" s="31">
        <f>IF(OR($A33="",E$6=""),0,SUMPRODUCT(MAX(('01_予約入力'!$D$5:$D$204=E$6)*('01_予約入力'!$K$5:$K$204&lt;&gt;"キャンセル")*('01_予約入力'!$E$5:$E$204&lt;&gt;"")*('01_予約入力'!$E$5:$E$204=$A33)*('01_予約入力'!$G$5:$G$204=$A33)*(ROW('01_予約入力'!$E$5:$E$204)-4))))</f>
        <v/>
      </c>
      <c r="U33" s="31">
        <f>IF(OR($A33="",F$6=""),0,SUMPRODUCT(MAX(('01_予約入力'!$D$5:$D$204=F$6)*('01_予約入力'!$K$5:$K$204&lt;&gt;"キャンセル")*('01_予約入力'!$E$5:$E$204&lt;&gt;"")*('01_予約入力'!$G$5:$G$204=$A33)*('01_予約入力'!$E$5:$E$204&lt;$A33)*(ROW('01_予約入力'!$E$5:$E$204)-4))))</f>
        <v/>
      </c>
      <c r="V33" s="31">
        <f>IF(OR($A33="",F$6=""),0,SUMPRODUCT(MAX(('01_予約入力'!$D$5:$D$204=F$6)*('01_予約入力'!$K$5:$K$204&lt;&gt;"キャンセル")*('01_予約入力'!$E$5:$E$204&lt;&gt;"")*('01_予約入力'!$E$5:$E$204&lt;=$A33)*('01_予約入力'!$G$5:$G$204&gt;$A33)*(ROW('01_予約入力'!$E$5:$E$204)-4))))</f>
        <v/>
      </c>
      <c r="W33" s="31">
        <f>IF(OR($A33="",F$6=""),0,SUMPRODUCT(MAX(('01_予約入力'!$D$5:$D$204=F$6)*('01_予約入力'!$K$5:$K$204&lt;&gt;"キャンセル")*('01_予約入力'!$E$5:$E$204&lt;&gt;"")*('01_予約入力'!$E$5:$E$204=$A33)*('01_予約入力'!$G$5:$G$204=$A33)*(ROW('01_予約入力'!$E$5:$E$204)-4))))</f>
        <v/>
      </c>
      <c r="X33" s="31">
        <f>IF($A33="","",IF($M33&gt;0,IF(OR(INDEX('01_予約入力'!$K$5:$K$204,$M33)="仮予約",INDEX('01_予約入力'!$K$5:$K$204,$M33)="調整中"),"仮",INDEX('01_予約入力'!$C$5:$C$204,$M33)),IF($N33&gt;0,IF(OR(INDEX('01_予約入力'!$K$5:$K$204,$N33)="仮予約",INDEX('01_予約入力'!$K$5:$K$204,$N33)="調整中"),"仮",INDEX('01_予約入力'!$C$5:$C$204,$N33)),IF($L33&gt;0,IF(OR(INDEX('01_予約入力'!$K$5:$K$204,$L33)="仮予約",INDEX('01_予約入力'!$K$5:$K$204,$L33)="調整中"),"仮",INDEX('01_予約入力'!$C$5:$C$204,$L33)),""))))</f>
        <v/>
      </c>
      <c r="Y33" s="31">
        <f>IF($A33="","",IF($P33&gt;0,IF(OR(INDEX('01_予約入力'!$K$5:$K$204,$P33)="仮予約",INDEX('01_予約入力'!$K$5:$K$204,$P33)="調整中"),"仮",INDEX('01_予約入力'!$C$5:$C$204,$P33)),IF($Q33&gt;0,IF(OR(INDEX('01_予約入力'!$K$5:$K$204,$Q33)="仮予約",INDEX('01_予約入力'!$K$5:$K$204,$Q33)="調整中"),"仮",INDEX('01_予約入力'!$C$5:$C$204,$Q33)),IF($O33&gt;0,IF(OR(INDEX('01_予約入力'!$K$5:$K$204,$O33)="仮予約",INDEX('01_予約入力'!$K$5:$K$204,$O33)="調整中"),"仮",INDEX('01_予約入力'!$C$5:$C$204,$O33)),""))))</f>
        <v/>
      </c>
      <c r="Z33" s="31">
        <f>IF($A33="","",IF($S33&gt;0,IF(OR(INDEX('01_予約入力'!$K$5:$K$204,$S33)="仮予約",INDEX('01_予約入力'!$K$5:$K$204,$S33)="調整中"),"仮",INDEX('01_予約入力'!$C$5:$C$204,$S33)),IF($T33&gt;0,IF(OR(INDEX('01_予約入力'!$K$5:$K$204,$T33)="仮予約",INDEX('01_予約入力'!$K$5:$K$204,$T33)="調整中"),"仮",INDEX('01_予約入力'!$C$5:$C$204,$T33)),IF($R33&gt;0,IF(OR(INDEX('01_予約入力'!$K$5:$K$204,$R33)="仮予約",INDEX('01_予約入力'!$K$5:$K$204,$R33)="調整中"),"仮",INDEX('01_予約入力'!$C$5:$C$204,$R33)),""))))</f>
        <v/>
      </c>
      <c r="AA33" s="31">
        <f>IF($A33="","",IF($V33&gt;0,IF(OR(INDEX('01_予約入力'!$K$5:$K$204,$V33)="仮予約",INDEX('01_予約入力'!$K$5:$K$204,$V33)="調整中"),"仮",INDEX('01_予約入力'!$C$5:$C$204,$V33)),IF($W33&gt;0,IF(OR(INDEX('01_予約入力'!$K$5:$K$204,$W33)="仮予約",INDEX('01_予約入力'!$K$5:$K$204,$W33)="調整中"),"仮",INDEX('01_予約入力'!$C$5:$C$204,$W33)),IF($U33&gt;0,IF(OR(INDEX('01_予約入力'!$K$5:$K$204,$U33)="仮予約",INDEX('01_予約入力'!$K$5:$K$204,$U33)="調整中"),"仮",INDEX('01_予約入力'!$C$5:$C$204,$U33)),""))))</f>
        <v/>
      </c>
    </row>
    <row r="34">
      <c r="A34" s="33">
        <f>IF(MONTH('02_カレンダー'!$B$4+27)&lt;&gt;MONTH('02_カレンダー'!$B$4),"",'02_カレンダー'!$B$4+27)</f>
        <v/>
      </c>
      <c r="B34" s="31">
        <f>IF($A34="","",MID("日月火水木金土",WEEKDAY($A34),1))</f>
        <v/>
      </c>
      <c r="C34" s="34">
        <f>IF(OR($A34="",C$6=""),"",IF($L34=0,"",INDEX('01_予約入力'!$B$5:$B$204,$L34)&amp;" ◀")&amp;IF(AND($L34&gt;0,OR($M34&gt;0,$N34&gt;0)),"  ","")&amp;IF($M34=0,"",IF(INDEX('01_予約入力'!$E$5:$E$204,$M34)=$A34,"▶ ","")&amp;INDEX('01_予約入力'!$B$5:$B$204,$M34))&amp;IF(AND($M34&gt;0,$N34&gt;0),"  ","")&amp;IF($N34=0,"","◆ "&amp;INDEX('01_予約入力'!$B$5:$B$204,$N34)))</f>
        <v/>
      </c>
      <c r="D34" s="34">
        <f>IF(OR($A34="",D$6=""),"",IF($O34=0,"",INDEX('01_予約入力'!$B$5:$B$204,$O34)&amp;" ◀")&amp;IF(AND($O34&gt;0,OR($P34&gt;0,$Q34&gt;0)),"  ","")&amp;IF($P34=0,"",IF(INDEX('01_予約入力'!$E$5:$E$204,$P34)=$A34,"▶ ","")&amp;INDEX('01_予約入力'!$B$5:$B$204,$P34))&amp;IF(AND($P34&gt;0,$Q34&gt;0),"  ","")&amp;IF($Q34=0,"","◆ "&amp;INDEX('01_予約入力'!$B$5:$B$204,$Q34)))</f>
        <v/>
      </c>
      <c r="E34" s="34">
        <f>IF(OR($A34="",E$6=""),"",IF($R34=0,"",INDEX('01_予約入力'!$B$5:$B$204,$R34)&amp;" ◀")&amp;IF(AND($R34&gt;0,OR($S34&gt;0,$T34&gt;0)),"  ","")&amp;IF($S34=0,"",IF(INDEX('01_予約入力'!$E$5:$E$204,$S34)=$A34,"▶ ","")&amp;INDEX('01_予約入力'!$B$5:$B$204,$S34))&amp;IF(AND($S34&gt;0,$T34&gt;0),"  ","")&amp;IF($T34=0,"","◆ "&amp;INDEX('01_予約入力'!$B$5:$B$204,$T34)))</f>
        <v/>
      </c>
      <c r="F34" s="34">
        <f>IF(OR($A34="",F$6=""),"",IF($U34=0,"",INDEX('01_予約入力'!$B$5:$B$204,$U34)&amp;" ◀")&amp;IF(AND($U34&gt;0,OR($V34&gt;0,$W34&gt;0)),"  ","")&amp;IF($V34=0,"",IF(INDEX('01_予約入力'!$E$5:$E$204,$V34)=$A34,"▶ ","")&amp;INDEX('01_予約入力'!$B$5:$B$204,$V34))&amp;IF(AND($V34&gt;0,$W34&gt;0),"  ","")&amp;IF($W34=0,"","◆ "&amp;INDEX('01_予約入力'!$B$5:$B$204,$W34)))</f>
        <v/>
      </c>
      <c r="G34" s="31">
        <f>IF($A34="","",SUMPRODUCT(('01_予約入力'!$E$5:$E$204&lt;&gt;"")*('01_予約入力'!$K$5:$K$204&lt;&gt;"キャンセル")*('01_予約入力'!$E$5:$E$204&lt;=$A34)*('01_予約入力'!$G$5:$G$204&gt;$A34)))</f>
        <v/>
      </c>
      <c r="H34" s="31">
        <f>IF($A34="","",'M_施設設定'!$B$6-$G34)</f>
        <v/>
      </c>
      <c r="I34" s="31">
        <f>IF($A34="","",SUMPRODUCT((('01_予約入力'!$K$5:$K$204="仮予約")+('01_予約入力'!$K$5:$K$204="調整中"))*('01_予約入力'!$E$5:$E$204&lt;&gt;"")*('01_予約入力'!$E$5:$E$204&lt;=$A34)*('01_予約入力'!$G$5:$G$204&gt;$A34)))</f>
        <v/>
      </c>
      <c r="J34" s="31">
        <f>IF($A34="","",IF($I34&gt;0,"仮",IF($H34&lt;=0,"×",IF($H34&lt;'M_施設設定'!$B$6,"△","○"))))</f>
        <v/>
      </c>
      <c r="K34" s="31">
        <f>IF($A34="","",SUMPRODUCT(('01_予約入力'!$E$5:$E$204&lt;&gt;"")*('01_予約入力'!$K$5:$K$204&lt;&gt;"キャンセル")*('01_予約入力'!$E$5:$E$204=$A34)*('01_予約入力'!$G$5:$G$204=$A34)))</f>
        <v/>
      </c>
      <c r="L34" s="31">
        <f>IF(OR($A34="",C$6=""),0,SUMPRODUCT(MAX(('01_予約入力'!$D$5:$D$204=C$6)*('01_予約入力'!$K$5:$K$204&lt;&gt;"キャンセル")*('01_予約入力'!$E$5:$E$204&lt;&gt;"")*('01_予約入力'!$G$5:$G$204=$A34)*('01_予約入力'!$E$5:$E$204&lt;$A34)*(ROW('01_予約入力'!$E$5:$E$204)-4))))</f>
        <v/>
      </c>
      <c r="M34" s="31">
        <f>IF(OR($A34="",C$6=""),0,SUMPRODUCT(MAX(('01_予約入力'!$D$5:$D$204=C$6)*('01_予約入力'!$K$5:$K$204&lt;&gt;"キャンセル")*('01_予約入力'!$E$5:$E$204&lt;&gt;"")*('01_予約入力'!$E$5:$E$204&lt;=$A34)*('01_予約入力'!$G$5:$G$204&gt;$A34)*(ROW('01_予約入力'!$E$5:$E$204)-4))))</f>
        <v/>
      </c>
      <c r="N34" s="31">
        <f>IF(OR($A34="",C$6=""),0,SUMPRODUCT(MAX(('01_予約入力'!$D$5:$D$204=C$6)*('01_予約入力'!$K$5:$K$204&lt;&gt;"キャンセル")*('01_予約入力'!$E$5:$E$204&lt;&gt;"")*('01_予約入力'!$E$5:$E$204=$A34)*('01_予約入力'!$G$5:$G$204=$A34)*(ROW('01_予約入力'!$E$5:$E$204)-4))))</f>
        <v/>
      </c>
      <c r="O34" s="31">
        <f>IF(OR($A34="",D$6=""),0,SUMPRODUCT(MAX(('01_予約入力'!$D$5:$D$204=D$6)*('01_予約入力'!$K$5:$K$204&lt;&gt;"キャンセル")*('01_予約入力'!$E$5:$E$204&lt;&gt;"")*('01_予約入力'!$G$5:$G$204=$A34)*('01_予約入力'!$E$5:$E$204&lt;$A34)*(ROW('01_予約入力'!$E$5:$E$204)-4))))</f>
        <v/>
      </c>
      <c r="P34" s="31">
        <f>IF(OR($A34="",D$6=""),0,SUMPRODUCT(MAX(('01_予約入力'!$D$5:$D$204=D$6)*('01_予約入力'!$K$5:$K$204&lt;&gt;"キャンセル")*('01_予約入力'!$E$5:$E$204&lt;&gt;"")*('01_予約入力'!$E$5:$E$204&lt;=$A34)*('01_予約入力'!$G$5:$G$204&gt;$A34)*(ROW('01_予約入力'!$E$5:$E$204)-4))))</f>
        <v/>
      </c>
      <c r="Q34" s="31">
        <f>IF(OR($A34="",D$6=""),0,SUMPRODUCT(MAX(('01_予約入力'!$D$5:$D$204=D$6)*('01_予約入力'!$K$5:$K$204&lt;&gt;"キャンセル")*('01_予約入力'!$E$5:$E$204&lt;&gt;"")*('01_予約入力'!$E$5:$E$204=$A34)*('01_予約入力'!$G$5:$G$204=$A34)*(ROW('01_予約入力'!$E$5:$E$204)-4))))</f>
        <v/>
      </c>
      <c r="R34" s="31">
        <f>IF(OR($A34="",E$6=""),0,SUMPRODUCT(MAX(('01_予約入力'!$D$5:$D$204=E$6)*('01_予約入力'!$K$5:$K$204&lt;&gt;"キャンセル")*('01_予約入力'!$E$5:$E$204&lt;&gt;"")*('01_予約入力'!$G$5:$G$204=$A34)*('01_予約入力'!$E$5:$E$204&lt;$A34)*(ROW('01_予約入力'!$E$5:$E$204)-4))))</f>
        <v/>
      </c>
      <c r="S34" s="31">
        <f>IF(OR($A34="",E$6=""),0,SUMPRODUCT(MAX(('01_予約入力'!$D$5:$D$204=E$6)*('01_予約入力'!$K$5:$K$204&lt;&gt;"キャンセル")*('01_予約入力'!$E$5:$E$204&lt;&gt;"")*('01_予約入力'!$E$5:$E$204&lt;=$A34)*('01_予約入力'!$G$5:$G$204&gt;$A34)*(ROW('01_予約入力'!$E$5:$E$204)-4))))</f>
        <v/>
      </c>
      <c r="T34" s="31">
        <f>IF(OR($A34="",E$6=""),0,SUMPRODUCT(MAX(('01_予約入力'!$D$5:$D$204=E$6)*('01_予約入力'!$K$5:$K$204&lt;&gt;"キャンセル")*('01_予約入力'!$E$5:$E$204&lt;&gt;"")*('01_予約入力'!$E$5:$E$204=$A34)*('01_予約入力'!$G$5:$G$204=$A34)*(ROW('01_予約入力'!$E$5:$E$204)-4))))</f>
        <v/>
      </c>
      <c r="U34" s="31">
        <f>IF(OR($A34="",F$6=""),0,SUMPRODUCT(MAX(('01_予約入力'!$D$5:$D$204=F$6)*('01_予約入力'!$K$5:$K$204&lt;&gt;"キャンセル")*('01_予約入力'!$E$5:$E$204&lt;&gt;"")*('01_予約入力'!$G$5:$G$204=$A34)*('01_予約入力'!$E$5:$E$204&lt;$A34)*(ROW('01_予約入力'!$E$5:$E$204)-4))))</f>
        <v/>
      </c>
      <c r="V34" s="31">
        <f>IF(OR($A34="",F$6=""),0,SUMPRODUCT(MAX(('01_予約入力'!$D$5:$D$204=F$6)*('01_予約入力'!$K$5:$K$204&lt;&gt;"キャンセル")*('01_予約入力'!$E$5:$E$204&lt;&gt;"")*('01_予約入力'!$E$5:$E$204&lt;=$A34)*('01_予約入力'!$G$5:$G$204&gt;$A34)*(ROW('01_予約入力'!$E$5:$E$204)-4))))</f>
        <v/>
      </c>
      <c r="W34" s="31">
        <f>IF(OR($A34="",F$6=""),0,SUMPRODUCT(MAX(('01_予約入力'!$D$5:$D$204=F$6)*('01_予約入力'!$K$5:$K$204&lt;&gt;"キャンセル")*('01_予約入力'!$E$5:$E$204&lt;&gt;"")*('01_予約入力'!$E$5:$E$204=$A34)*('01_予約入力'!$G$5:$G$204=$A34)*(ROW('01_予約入力'!$E$5:$E$204)-4))))</f>
        <v/>
      </c>
      <c r="X34" s="31">
        <f>IF($A34="","",IF($M34&gt;0,IF(OR(INDEX('01_予約入力'!$K$5:$K$204,$M34)="仮予約",INDEX('01_予約入力'!$K$5:$K$204,$M34)="調整中"),"仮",INDEX('01_予約入力'!$C$5:$C$204,$M34)),IF($N34&gt;0,IF(OR(INDEX('01_予約入力'!$K$5:$K$204,$N34)="仮予約",INDEX('01_予約入力'!$K$5:$K$204,$N34)="調整中"),"仮",INDEX('01_予約入力'!$C$5:$C$204,$N34)),IF($L34&gt;0,IF(OR(INDEX('01_予約入力'!$K$5:$K$204,$L34)="仮予約",INDEX('01_予約入力'!$K$5:$K$204,$L34)="調整中"),"仮",INDEX('01_予約入力'!$C$5:$C$204,$L34)),""))))</f>
        <v/>
      </c>
      <c r="Y34" s="31">
        <f>IF($A34="","",IF($P34&gt;0,IF(OR(INDEX('01_予約入力'!$K$5:$K$204,$P34)="仮予約",INDEX('01_予約入力'!$K$5:$K$204,$P34)="調整中"),"仮",INDEX('01_予約入力'!$C$5:$C$204,$P34)),IF($Q34&gt;0,IF(OR(INDEX('01_予約入力'!$K$5:$K$204,$Q34)="仮予約",INDEX('01_予約入力'!$K$5:$K$204,$Q34)="調整中"),"仮",INDEX('01_予約入力'!$C$5:$C$204,$Q34)),IF($O34&gt;0,IF(OR(INDEX('01_予約入力'!$K$5:$K$204,$O34)="仮予約",INDEX('01_予約入力'!$K$5:$K$204,$O34)="調整中"),"仮",INDEX('01_予約入力'!$C$5:$C$204,$O34)),""))))</f>
        <v/>
      </c>
      <c r="Z34" s="31">
        <f>IF($A34="","",IF($S34&gt;0,IF(OR(INDEX('01_予約入力'!$K$5:$K$204,$S34)="仮予約",INDEX('01_予約入力'!$K$5:$K$204,$S34)="調整中"),"仮",INDEX('01_予約入力'!$C$5:$C$204,$S34)),IF($T34&gt;0,IF(OR(INDEX('01_予約入力'!$K$5:$K$204,$T34)="仮予約",INDEX('01_予約入力'!$K$5:$K$204,$T34)="調整中"),"仮",INDEX('01_予約入力'!$C$5:$C$204,$T34)),IF($R34&gt;0,IF(OR(INDEX('01_予約入力'!$K$5:$K$204,$R34)="仮予約",INDEX('01_予約入力'!$K$5:$K$204,$R34)="調整中"),"仮",INDEX('01_予約入力'!$C$5:$C$204,$R34)),""))))</f>
        <v/>
      </c>
      <c r="AA34" s="31">
        <f>IF($A34="","",IF($V34&gt;0,IF(OR(INDEX('01_予約入力'!$K$5:$K$204,$V34)="仮予約",INDEX('01_予約入力'!$K$5:$K$204,$V34)="調整中"),"仮",INDEX('01_予約入力'!$C$5:$C$204,$V34)),IF($W34&gt;0,IF(OR(INDEX('01_予約入力'!$K$5:$K$204,$W34)="仮予約",INDEX('01_予約入力'!$K$5:$K$204,$W34)="調整中"),"仮",INDEX('01_予約入力'!$C$5:$C$204,$W34)),IF($U34&gt;0,IF(OR(INDEX('01_予約入力'!$K$5:$K$204,$U34)="仮予約",INDEX('01_予約入力'!$K$5:$K$204,$U34)="調整中"),"仮",INDEX('01_予約入力'!$C$5:$C$204,$U34)),""))))</f>
        <v/>
      </c>
    </row>
    <row r="35">
      <c r="A35" s="33">
        <f>IF(MONTH('02_カレンダー'!$B$4+28)&lt;&gt;MONTH('02_カレンダー'!$B$4),"",'02_カレンダー'!$B$4+28)</f>
        <v/>
      </c>
      <c r="B35" s="31">
        <f>IF($A35="","",MID("日月火水木金土",WEEKDAY($A35),1))</f>
        <v/>
      </c>
      <c r="C35" s="34">
        <f>IF(OR($A35="",C$6=""),"",IF($L35=0,"",INDEX('01_予約入力'!$B$5:$B$204,$L35)&amp;" ◀")&amp;IF(AND($L35&gt;0,OR($M35&gt;0,$N35&gt;0)),"  ","")&amp;IF($M35=0,"",IF(INDEX('01_予約入力'!$E$5:$E$204,$M35)=$A35,"▶ ","")&amp;INDEX('01_予約入力'!$B$5:$B$204,$M35))&amp;IF(AND($M35&gt;0,$N35&gt;0),"  ","")&amp;IF($N35=0,"","◆ "&amp;INDEX('01_予約入力'!$B$5:$B$204,$N35)))</f>
        <v/>
      </c>
      <c r="D35" s="34">
        <f>IF(OR($A35="",D$6=""),"",IF($O35=0,"",INDEX('01_予約入力'!$B$5:$B$204,$O35)&amp;" ◀")&amp;IF(AND($O35&gt;0,OR($P35&gt;0,$Q35&gt;0)),"  ","")&amp;IF($P35=0,"",IF(INDEX('01_予約入力'!$E$5:$E$204,$P35)=$A35,"▶ ","")&amp;INDEX('01_予約入力'!$B$5:$B$204,$P35))&amp;IF(AND($P35&gt;0,$Q35&gt;0),"  ","")&amp;IF($Q35=0,"","◆ "&amp;INDEX('01_予約入力'!$B$5:$B$204,$Q35)))</f>
        <v/>
      </c>
      <c r="E35" s="34">
        <f>IF(OR($A35="",E$6=""),"",IF($R35=0,"",INDEX('01_予約入力'!$B$5:$B$204,$R35)&amp;" ◀")&amp;IF(AND($R35&gt;0,OR($S35&gt;0,$T35&gt;0)),"  ","")&amp;IF($S35=0,"",IF(INDEX('01_予約入力'!$E$5:$E$204,$S35)=$A35,"▶ ","")&amp;INDEX('01_予約入力'!$B$5:$B$204,$S35))&amp;IF(AND($S35&gt;0,$T35&gt;0),"  ","")&amp;IF($T35=0,"","◆ "&amp;INDEX('01_予約入力'!$B$5:$B$204,$T35)))</f>
        <v/>
      </c>
      <c r="F35" s="34">
        <f>IF(OR($A35="",F$6=""),"",IF($U35=0,"",INDEX('01_予約入力'!$B$5:$B$204,$U35)&amp;" ◀")&amp;IF(AND($U35&gt;0,OR($V35&gt;0,$W35&gt;0)),"  ","")&amp;IF($V35=0,"",IF(INDEX('01_予約入力'!$E$5:$E$204,$V35)=$A35,"▶ ","")&amp;INDEX('01_予約入力'!$B$5:$B$204,$V35))&amp;IF(AND($V35&gt;0,$W35&gt;0),"  ","")&amp;IF($W35=0,"","◆ "&amp;INDEX('01_予約入力'!$B$5:$B$204,$W35)))</f>
        <v/>
      </c>
      <c r="G35" s="31">
        <f>IF($A35="","",SUMPRODUCT(('01_予約入力'!$E$5:$E$204&lt;&gt;"")*('01_予約入力'!$K$5:$K$204&lt;&gt;"キャンセル")*('01_予約入力'!$E$5:$E$204&lt;=$A35)*('01_予約入力'!$G$5:$G$204&gt;$A35)))</f>
        <v/>
      </c>
      <c r="H35" s="31">
        <f>IF($A35="","",'M_施設設定'!$B$6-$G35)</f>
        <v/>
      </c>
      <c r="I35" s="31">
        <f>IF($A35="","",SUMPRODUCT((('01_予約入力'!$K$5:$K$204="仮予約")+('01_予約入力'!$K$5:$K$204="調整中"))*('01_予約入力'!$E$5:$E$204&lt;&gt;"")*('01_予約入力'!$E$5:$E$204&lt;=$A35)*('01_予約入力'!$G$5:$G$204&gt;$A35)))</f>
        <v/>
      </c>
      <c r="J35" s="31">
        <f>IF($A35="","",IF($I35&gt;0,"仮",IF($H35&lt;=0,"×",IF($H35&lt;'M_施設設定'!$B$6,"△","○"))))</f>
        <v/>
      </c>
      <c r="K35" s="31">
        <f>IF($A35="","",SUMPRODUCT(('01_予約入力'!$E$5:$E$204&lt;&gt;"")*('01_予約入力'!$K$5:$K$204&lt;&gt;"キャンセル")*('01_予約入力'!$E$5:$E$204=$A35)*('01_予約入力'!$G$5:$G$204=$A35)))</f>
        <v/>
      </c>
      <c r="L35" s="31">
        <f>IF(OR($A35="",C$6=""),0,SUMPRODUCT(MAX(('01_予約入力'!$D$5:$D$204=C$6)*('01_予約入力'!$K$5:$K$204&lt;&gt;"キャンセル")*('01_予約入力'!$E$5:$E$204&lt;&gt;"")*('01_予約入力'!$G$5:$G$204=$A35)*('01_予約入力'!$E$5:$E$204&lt;$A35)*(ROW('01_予約入力'!$E$5:$E$204)-4))))</f>
        <v/>
      </c>
      <c r="M35" s="31">
        <f>IF(OR($A35="",C$6=""),0,SUMPRODUCT(MAX(('01_予約入力'!$D$5:$D$204=C$6)*('01_予約入力'!$K$5:$K$204&lt;&gt;"キャンセル")*('01_予約入力'!$E$5:$E$204&lt;&gt;"")*('01_予約入力'!$E$5:$E$204&lt;=$A35)*('01_予約入力'!$G$5:$G$204&gt;$A35)*(ROW('01_予約入力'!$E$5:$E$204)-4))))</f>
        <v/>
      </c>
      <c r="N35" s="31">
        <f>IF(OR($A35="",C$6=""),0,SUMPRODUCT(MAX(('01_予約入力'!$D$5:$D$204=C$6)*('01_予約入力'!$K$5:$K$204&lt;&gt;"キャンセル")*('01_予約入力'!$E$5:$E$204&lt;&gt;"")*('01_予約入力'!$E$5:$E$204=$A35)*('01_予約入力'!$G$5:$G$204=$A35)*(ROW('01_予約入力'!$E$5:$E$204)-4))))</f>
        <v/>
      </c>
      <c r="O35" s="31">
        <f>IF(OR($A35="",D$6=""),0,SUMPRODUCT(MAX(('01_予約入力'!$D$5:$D$204=D$6)*('01_予約入力'!$K$5:$K$204&lt;&gt;"キャンセル")*('01_予約入力'!$E$5:$E$204&lt;&gt;"")*('01_予約入力'!$G$5:$G$204=$A35)*('01_予約入力'!$E$5:$E$204&lt;$A35)*(ROW('01_予約入力'!$E$5:$E$204)-4))))</f>
        <v/>
      </c>
      <c r="P35" s="31">
        <f>IF(OR($A35="",D$6=""),0,SUMPRODUCT(MAX(('01_予約入力'!$D$5:$D$204=D$6)*('01_予約入力'!$K$5:$K$204&lt;&gt;"キャンセル")*('01_予約入力'!$E$5:$E$204&lt;&gt;"")*('01_予約入力'!$E$5:$E$204&lt;=$A35)*('01_予約入力'!$G$5:$G$204&gt;$A35)*(ROW('01_予約入力'!$E$5:$E$204)-4))))</f>
        <v/>
      </c>
      <c r="Q35" s="31">
        <f>IF(OR($A35="",D$6=""),0,SUMPRODUCT(MAX(('01_予約入力'!$D$5:$D$204=D$6)*('01_予約入力'!$K$5:$K$204&lt;&gt;"キャンセル")*('01_予約入力'!$E$5:$E$204&lt;&gt;"")*('01_予約入力'!$E$5:$E$204=$A35)*('01_予約入力'!$G$5:$G$204=$A35)*(ROW('01_予約入力'!$E$5:$E$204)-4))))</f>
        <v/>
      </c>
      <c r="R35" s="31">
        <f>IF(OR($A35="",E$6=""),0,SUMPRODUCT(MAX(('01_予約入力'!$D$5:$D$204=E$6)*('01_予約入力'!$K$5:$K$204&lt;&gt;"キャンセル")*('01_予約入力'!$E$5:$E$204&lt;&gt;"")*('01_予約入力'!$G$5:$G$204=$A35)*('01_予約入力'!$E$5:$E$204&lt;$A35)*(ROW('01_予約入力'!$E$5:$E$204)-4))))</f>
        <v/>
      </c>
      <c r="S35" s="31">
        <f>IF(OR($A35="",E$6=""),0,SUMPRODUCT(MAX(('01_予約入力'!$D$5:$D$204=E$6)*('01_予約入力'!$K$5:$K$204&lt;&gt;"キャンセル")*('01_予約入力'!$E$5:$E$204&lt;&gt;"")*('01_予約入力'!$E$5:$E$204&lt;=$A35)*('01_予約入力'!$G$5:$G$204&gt;$A35)*(ROW('01_予約入力'!$E$5:$E$204)-4))))</f>
        <v/>
      </c>
      <c r="T35" s="31">
        <f>IF(OR($A35="",E$6=""),0,SUMPRODUCT(MAX(('01_予約入力'!$D$5:$D$204=E$6)*('01_予約入力'!$K$5:$K$204&lt;&gt;"キャンセル")*('01_予約入力'!$E$5:$E$204&lt;&gt;"")*('01_予約入力'!$E$5:$E$204=$A35)*('01_予約入力'!$G$5:$G$204=$A35)*(ROW('01_予約入力'!$E$5:$E$204)-4))))</f>
        <v/>
      </c>
      <c r="U35" s="31">
        <f>IF(OR($A35="",F$6=""),0,SUMPRODUCT(MAX(('01_予約入力'!$D$5:$D$204=F$6)*('01_予約入力'!$K$5:$K$204&lt;&gt;"キャンセル")*('01_予約入力'!$E$5:$E$204&lt;&gt;"")*('01_予約入力'!$G$5:$G$204=$A35)*('01_予約入力'!$E$5:$E$204&lt;$A35)*(ROW('01_予約入力'!$E$5:$E$204)-4))))</f>
        <v/>
      </c>
      <c r="V35" s="31">
        <f>IF(OR($A35="",F$6=""),0,SUMPRODUCT(MAX(('01_予約入力'!$D$5:$D$204=F$6)*('01_予約入力'!$K$5:$K$204&lt;&gt;"キャンセル")*('01_予約入力'!$E$5:$E$204&lt;&gt;"")*('01_予約入力'!$E$5:$E$204&lt;=$A35)*('01_予約入力'!$G$5:$G$204&gt;$A35)*(ROW('01_予約入力'!$E$5:$E$204)-4))))</f>
        <v/>
      </c>
      <c r="W35" s="31">
        <f>IF(OR($A35="",F$6=""),0,SUMPRODUCT(MAX(('01_予約入力'!$D$5:$D$204=F$6)*('01_予約入力'!$K$5:$K$204&lt;&gt;"キャンセル")*('01_予約入力'!$E$5:$E$204&lt;&gt;"")*('01_予約入力'!$E$5:$E$204=$A35)*('01_予約入力'!$G$5:$G$204=$A35)*(ROW('01_予約入力'!$E$5:$E$204)-4))))</f>
        <v/>
      </c>
      <c r="X35" s="31">
        <f>IF($A35="","",IF($M35&gt;0,IF(OR(INDEX('01_予約入力'!$K$5:$K$204,$M35)="仮予約",INDEX('01_予約入力'!$K$5:$K$204,$M35)="調整中"),"仮",INDEX('01_予約入力'!$C$5:$C$204,$M35)),IF($N35&gt;0,IF(OR(INDEX('01_予約入力'!$K$5:$K$204,$N35)="仮予約",INDEX('01_予約入力'!$K$5:$K$204,$N35)="調整中"),"仮",INDEX('01_予約入力'!$C$5:$C$204,$N35)),IF($L35&gt;0,IF(OR(INDEX('01_予約入力'!$K$5:$K$204,$L35)="仮予約",INDEX('01_予約入力'!$K$5:$K$204,$L35)="調整中"),"仮",INDEX('01_予約入力'!$C$5:$C$204,$L35)),""))))</f>
        <v/>
      </c>
      <c r="Y35" s="31">
        <f>IF($A35="","",IF($P35&gt;0,IF(OR(INDEX('01_予約入力'!$K$5:$K$204,$P35)="仮予約",INDEX('01_予約入力'!$K$5:$K$204,$P35)="調整中"),"仮",INDEX('01_予約入力'!$C$5:$C$204,$P35)),IF($Q35&gt;0,IF(OR(INDEX('01_予約入力'!$K$5:$K$204,$Q35)="仮予約",INDEX('01_予約入力'!$K$5:$K$204,$Q35)="調整中"),"仮",INDEX('01_予約入力'!$C$5:$C$204,$Q35)),IF($O35&gt;0,IF(OR(INDEX('01_予約入力'!$K$5:$K$204,$O35)="仮予約",INDEX('01_予約入力'!$K$5:$K$204,$O35)="調整中"),"仮",INDEX('01_予約入力'!$C$5:$C$204,$O35)),""))))</f>
        <v/>
      </c>
      <c r="Z35" s="31">
        <f>IF($A35="","",IF($S35&gt;0,IF(OR(INDEX('01_予約入力'!$K$5:$K$204,$S35)="仮予約",INDEX('01_予約入力'!$K$5:$K$204,$S35)="調整中"),"仮",INDEX('01_予約入力'!$C$5:$C$204,$S35)),IF($T35&gt;0,IF(OR(INDEX('01_予約入力'!$K$5:$K$204,$T35)="仮予約",INDEX('01_予約入力'!$K$5:$K$204,$T35)="調整中"),"仮",INDEX('01_予約入力'!$C$5:$C$204,$T35)),IF($R35&gt;0,IF(OR(INDEX('01_予約入力'!$K$5:$K$204,$R35)="仮予約",INDEX('01_予約入力'!$K$5:$K$204,$R35)="調整中"),"仮",INDEX('01_予約入力'!$C$5:$C$204,$R35)),""))))</f>
        <v/>
      </c>
      <c r="AA35" s="31">
        <f>IF($A35="","",IF($V35&gt;0,IF(OR(INDEX('01_予約入力'!$K$5:$K$204,$V35)="仮予約",INDEX('01_予約入力'!$K$5:$K$204,$V35)="調整中"),"仮",INDEX('01_予約入力'!$C$5:$C$204,$V35)),IF($W35&gt;0,IF(OR(INDEX('01_予約入力'!$K$5:$K$204,$W35)="仮予約",INDEX('01_予約入力'!$K$5:$K$204,$W35)="調整中"),"仮",INDEX('01_予約入力'!$C$5:$C$204,$W35)),IF($U35&gt;0,IF(OR(INDEX('01_予約入力'!$K$5:$K$204,$U35)="仮予約",INDEX('01_予約入力'!$K$5:$K$204,$U35)="調整中"),"仮",INDEX('01_予約入力'!$C$5:$C$204,$U35)),""))))</f>
        <v/>
      </c>
    </row>
    <row r="36">
      <c r="A36" s="33">
        <f>IF(MONTH('02_カレンダー'!$B$4+29)&lt;&gt;MONTH('02_カレンダー'!$B$4),"",'02_カレンダー'!$B$4+29)</f>
        <v/>
      </c>
      <c r="B36" s="31">
        <f>IF($A36="","",MID("日月火水木金土",WEEKDAY($A36),1))</f>
        <v/>
      </c>
      <c r="C36" s="34">
        <f>IF(OR($A36="",C$6=""),"",IF($L36=0,"",INDEX('01_予約入力'!$B$5:$B$204,$L36)&amp;" ◀")&amp;IF(AND($L36&gt;0,OR($M36&gt;0,$N36&gt;0)),"  ","")&amp;IF($M36=0,"",IF(INDEX('01_予約入力'!$E$5:$E$204,$M36)=$A36,"▶ ","")&amp;INDEX('01_予約入力'!$B$5:$B$204,$M36))&amp;IF(AND($M36&gt;0,$N36&gt;0),"  ","")&amp;IF($N36=0,"","◆ "&amp;INDEX('01_予約入力'!$B$5:$B$204,$N36)))</f>
        <v/>
      </c>
      <c r="D36" s="34">
        <f>IF(OR($A36="",D$6=""),"",IF($O36=0,"",INDEX('01_予約入力'!$B$5:$B$204,$O36)&amp;" ◀")&amp;IF(AND($O36&gt;0,OR($P36&gt;0,$Q36&gt;0)),"  ","")&amp;IF($P36=0,"",IF(INDEX('01_予約入力'!$E$5:$E$204,$P36)=$A36,"▶ ","")&amp;INDEX('01_予約入力'!$B$5:$B$204,$P36))&amp;IF(AND($P36&gt;0,$Q36&gt;0),"  ","")&amp;IF($Q36=0,"","◆ "&amp;INDEX('01_予約入力'!$B$5:$B$204,$Q36)))</f>
        <v/>
      </c>
      <c r="E36" s="34">
        <f>IF(OR($A36="",E$6=""),"",IF($R36=0,"",INDEX('01_予約入力'!$B$5:$B$204,$R36)&amp;" ◀")&amp;IF(AND($R36&gt;0,OR($S36&gt;0,$T36&gt;0)),"  ","")&amp;IF($S36=0,"",IF(INDEX('01_予約入力'!$E$5:$E$204,$S36)=$A36,"▶ ","")&amp;INDEX('01_予約入力'!$B$5:$B$204,$S36))&amp;IF(AND($S36&gt;0,$T36&gt;0),"  ","")&amp;IF($T36=0,"","◆ "&amp;INDEX('01_予約入力'!$B$5:$B$204,$T36)))</f>
        <v/>
      </c>
      <c r="F36" s="34">
        <f>IF(OR($A36="",F$6=""),"",IF($U36=0,"",INDEX('01_予約入力'!$B$5:$B$204,$U36)&amp;" ◀")&amp;IF(AND($U36&gt;0,OR($V36&gt;0,$W36&gt;0)),"  ","")&amp;IF($V36=0,"",IF(INDEX('01_予約入力'!$E$5:$E$204,$V36)=$A36,"▶ ","")&amp;INDEX('01_予約入力'!$B$5:$B$204,$V36))&amp;IF(AND($V36&gt;0,$W36&gt;0),"  ","")&amp;IF($W36=0,"","◆ "&amp;INDEX('01_予約入力'!$B$5:$B$204,$W36)))</f>
        <v/>
      </c>
      <c r="G36" s="31">
        <f>IF($A36="","",SUMPRODUCT(('01_予約入力'!$E$5:$E$204&lt;&gt;"")*('01_予約入力'!$K$5:$K$204&lt;&gt;"キャンセル")*('01_予約入力'!$E$5:$E$204&lt;=$A36)*('01_予約入力'!$G$5:$G$204&gt;$A36)))</f>
        <v/>
      </c>
      <c r="H36" s="31">
        <f>IF($A36="","",'M_施設設定'!$B$6-$G36)</f>
        <v/>
      </c>
      <c r="I36" s="31">
        <f>IF($A36="","",SUMPRODUCT((('01_予約入力'!$K$5:$K$204="仮予約")+('01_予約入力'!$K$5:$K$204="調整中"))*('01_予約入力'!$E$5:$E$204&lt;&gt;"")*('01_予約入力'!$E$5:$E$204&lt;=$A36)*('01_予約入力'!$G$5:$G$204&gt;$A36)))</f>
        <v/>
      </c>
      <c r="J36" s="31">
        <f>IF($A36="","",IF($I36&gt;0,"仮",IF($H36&lt;=0,"×",IF($H36&lt;'M_施設設定'!$B$6,"△","○"))))</f>
        <v/>
      </c>
      <c r="K36" s="31">
        <f>IF($A36="","",SUMPRODUCT(('01_予約入力'!$E$5:$E$204&lt;&gt;"")*('01_予約入力'!$K$5:$K$204&lt;&gt;"キャンセル")*('01_予約入力'!$E$5:$E$204=$A36)*('01_予約入力'!$G$5:$G$204=$A36)))</f>
        <v/>
      </c>
      <c r="L36" s="31">
        <f>IF(OR($A36="",C$6=""),0,SUMPRODUCT(MAX(('01_予約入力'!$D$5:$D$204=C$6)*('01_予約入力'!$K$5:$K$204&lt;&gt;"キャンセル")*('01_予約入力'!$E$5:$E$204&lt;&gt;"")*('01_予約入力'!$G$5:$G$204=$A36)*('01_予約入力'!$E$5:$E$204&lt;$A36)*(ROW('01_予約入力'!$E$5:$E$204)-4))))</f>
        <v/>
      </c>
      <c r="M36" s="31">
        <f>IF(OR($A36="",C$6=""),0,SUMPRODUCT(MAX(('01_予約入力'!$D$5:$D$204=C$6)*('01_予約入力'!$K$5:$K$204&lt;&gt;"キャンセル")*('01_予約入力'!$E$5:$E$204&lt;&gt;"")*('01_予約入力'!$E$5:$E$204&lt;=$A36)*('01_予約入力'!$G$5:$G$204&gt;$A36)*(ROW('01_予約入力'!$E$5:$E$204)-4))))</f>
        <v/>
      </c>
      <c r="N36" s="31">
        <f>IF(OR($A36="",C$6=""),0,SUMPRODUCT(MAX(('01_予約入力'!$D$5:$D$204=C$6)*('01_予約入力'!$K$5:$K$204&lt;&gt;"キャンセル")*('01_予約入力'!$E$5:$E$204&lt;&gt;"")*('01_予約入力'!$E$5:$E$204=$A36)*('01_予約入力'!$G$5:$G$204=$A36)*(ROW('01_予約入力'!$E$5:$E$204)-4))))</f>
        <v/>
      </c>
      <c r="O36" s="31">
        <f>IF(OR($A36="",D$6=""),0,SUMPRODUCT(MAX(('01_予約入力'!$D$5:$D$204=D$6)*('01_予約入力'!$K$5:$K$204&lt;&gt;"キャンセル")*('01_予約入力'!$E$5:$E$204&lt;&gt;"")*('01_予約入力'!$G$5:$G$204=$A36)*('01_予約入力'!$E$5:$E$204&lt;$A36)*(ROW('01_予約入力'!$E$5:$E$204)-4))))</f>
        <v/>
      </c>
      <c r="P36" s="31">
        <f>IF(OR($A36="",D$6=""),0,SUMPRODUCT(MAX(('01_予約入力'!$D$5:$D$204=D$6)*('01_予約入力'!$K$5:$K$204&lt;&gt;"キャンセル")*('01_予約入力'!$E$5:$E$204&lt;&gt;"")*('01_予約入力'!$E$5:$E$204&lt;=$A36)*('01_予約入力'!$G$5:$G$204&gt;$A36)*(ROW('01_予約入力'!$E$5:$E$204)-4))))</f>
        <v/>
      </c>
      <c r="Q36" s="31">
        <f>IF(OR($A36="",D$6=""),0,SUMPRODUCT(MAX(('01_予約入力'!$D$5:$D$204=D$6)*('01_予約入力'!$K$5:$K$204&lt;&gt;"キャンセル")*('01_予約入力'!$E$5:$E$204&lt;&gt;"")*('01_予約入力'!$E$5:$E$204=$A36)*('01_予約入力'!$G$5:$G$204=$A36)*(ROW('01_予約入力'!$E$5:$E$204)-4))))</f>
        <v/>
      </c>
      <c r="R36" s="31">
        <f>IF(OR($A36="",E$6=""),0,SUMPRODUCT(MAX(('01_予約入力'!$D$5:$D$204=E$6)*('01_予約入力'!$K$5:$K$204&lt;&gt;"キャンセル")*('01_予約入力'!$E$5:$E$204&lt;&gt;"")*('01_予約入力'!$G$5:$G$204=$A36)*('01_予約入力'!$E$5:$E$204&lt;$A36)*(ROW('01_予約入力'!$E$5:$E$204)-4))))</f>
        <v/>
      </c>
      <c r="S36" s="31">
        <f>IF(OR($A36="",E$6=""),0,SUMPRODUCT(MAX(('01_予約入力'!$D$5:$D$204=E$6)*('01_予約入力'!$K$5:$K$204&lt;&gt;"キャンセル")*('01_予約入力'!$E$5:$E$204&lt;&gt;"")*('01_予約入力'!$E$5:$E$204&lt;=$A36)*('01_予約入力'!$G$5:$G$204&gt;$A36)*(ROW('01_予約入力'!$E$5:$E$204)-4))))</f>
        <v/>
      </c>
      <c r="T36" s="31">
        <f>IF(OR($A36="",E$6=""),0,SUMPRODUCT(MAX(('01_予約入力'!$D$5:$D$204=E$6)*('01_予約入力'!$K$5:$K$204&lt;&gt;"キャンセル")*('01_予約入力'!$E$5:$E$204&lt;&gt;"")*('01_予約入力'!$E$5:$E$204=$A36)*('01_予約入力'!$G$5:$G$204=$A36)*(ROW('01_予約入力'!$E$5:$E$204)-4))))</f>
        <v/>
      </c>
      <c r="U36" s="31">
        <f>IF(OR($A36="",F$6=""),0,SUMPRODUCT(MAX(('01_予約入力'!$D$5:$D$204=F$6)*('01_予約入力'!$K$5:$K$204&lt;&gt;"キャンセル")*('01_予約入力'!$E$5:$E$204&lt;&gt;"")*('01_予約入力'!$G$5:$G$204=$A36)*('01_予約入力'!$E$5:$E$204&lt;$A36)*(ROW('01_予約入力'!$E$5:$E$204)-4))))</f>
        <v/>
      </c>
      <c r="V36" s="31">
        <f>IF(OR($A36="",F$6=""),0,SUMPRODUCT(MAX(('01_予約入力'!$D$5:$D$204=F$6)*('01_予約入力'!$K$5:$K$204&lt;&gt;"キャンセル")*('01_予約入力'!$E$5:$E$204&lt;&gt;"")*('01_予約入力'!$E$5:$E$204&lt;=$A36)*('01_予約入力'!$G$5:$G$204&gt;$A36)*(ROW('01_予約入力'!$E$5:$E$204)-4))))</f>
        <v/>
      </c>
      <c r="W36" s="31">
        <f>IF(OR($A36="",F$6=""),0,SUMPRODUCT(MAX(('01_予約入力'!$D$5:$D$204=F$6)*('01_予約入力'!$K$5:$K$204&lt;&gt;"キャンセル")*('01_予約入力'!$E$5:$E$204&lt;&gt;"")*('01_予約入力'!$E$5:$E$204=$A36)*('01_予約入力'!$G$5:$G$204=$A36)*(ROW('01_予約入力'!$E$5:$E$204)-4))))</f>
        <v/>
      </c>
      <c r="X36" s="31">
        <f>IF($A36="","",IF($M36&gt;0,IF(OR(INDEX('01_予約入力'!$K$5:$K$204,$M36)="仮予約",INDEX('01_予約入力'!$K$5:$K$204,$M36)="調整中"),"仮",INDEX('01_予約入力'!$C$5:$C$204,$M36)),IF($N36&gt;0,IF(OR(INDEX('01_予約入力'!$K$5:$K$204,$N36)="仮予約",INDEX('01_予約入力'!$K$5:$K$204,$N36)="調整中"),"仮",INDEX('01_予約入力'!$C$5:$C$204,$N36)),IF($L36&gt;0,IF(OR(INDEX('01_予約入力'!$K$5:$K$204,$L36)="仮予約",INDEX('01_予約入力'!$K$5:$K$204,$L36)="調整中"),"仮",INDEX('01_予約入力'!$C$5:$C$204,$L36)),""))))</f>
        <v/>
      </c>
      <c r="Y36" s="31">
        <f>IF($A36="","",IF($P36&gt;0,IF(OR(INDEX('01_予約入力'!$K$5:$K$204,$P36)="仮予約",INDEX('01_予約入力'!$K$5:$K$204,$P36)="調整中"),"仮",INDEX('01_予約入力'!$C$5:$C$204,$P36)),IF($Q36&gt;0,IF(OR(INDEX('01_予約入力'!$K$5:$K$204,$Q36)="仮予約",INDEX('01_予約入力'!$K$5:$K$204,$Q36)="調整中"),"仮",INDEX('01_予約入力'!$C$5:$C$204,$Q36)),IF($O36&gt;0,IF(OR(INDEX('01_予約入力'!$K$5:$K$204,$O36)="仮予約",INDEX('01_予約入力'!$K$5:$K$204,$O36)="調整中"),"仮",INDEX('01_予約入力'!$C$5:$C$204,$O36)),""))))</f>
        <v/>
      </c>
      <c r="Z36" s="31">
        <f>IF($A36="","",IF($S36&gt;0,IF(OR(INDEX('01_予約入力'!$K$5:$K$204,$S36)="仮予約",INDEX('01_予約入力'!$K$5:$K$204,$S36)="調整中"),"仮",INDEX('01_予約入力'!$C$5:$C$204,$S36)),IF($T36&gt;0,IF(OR(INDEX('01_予約入力'!$K$5:$K$204,$T36)="仮予約",INDEX('01_予約入力'!$K$5:$K$204,$T36)="調整中"),"仮",INDEX('01_予約入力'!$C$5:$C$204,$T36)),IF($R36&gt;0,IF(OR(INDEX('01_予約入力'!$K$5:$K$204,$R36)="仮予約",INDEX('01_予約入力'!$K$5:$K$204,$R36)="調整中"),"仮",INDEX('01_予約入力'!$C$5:$C$204,$R36)),""))))</f>
        <v/>
      </c>
      <c r="AA36" s="31">
        <f>IF($A36="","",IF($V36&gt;0,IF(OR(INDEX('01_予約入力'!$K$5:$K$204,$V36)="仮予約",INDEX('01_予約入力'!$K$5:$K$204,$V36)="調整中"),"仮",INDEX('01_予約入力'!$C$5:$C$204,$V36)),IF($W36&gt;0,IF(OR(INDEX('01_予約入力'!$K$5:$K$204,$W36)="仮予約",INDEX('01_予約入力'!$K$5:$K$204,$W36)="調整中"),"仮",INDEX('01_予約入力'!$C$5:$C$204,$W36)),IF($U36&gt;0,IF(OR(INDEX('01_予約入力'!$K$5:$K$204,$U36)="仮予約",INDEX('01_予約入力'!$K$5:$K$204,$U36)="調整中"),"仮",INDEX('01_予約入力'!$C$5:$C$204,$U36)),""))))</f>
        <v/>
      </c>
    </row>
    <row r="37">
      <c r="A37" s="33">
        <f>IF(MONTH('02_カレンダー'!$B$4+30)&lt;&gt;MONTH('02_カレンダー'!$B$4),"",'02_カレンダー'!$B$4+30)</f>
        <v/>
      </c>
      <c r="B37" s="31">
        <f>IF($A37="","",MID("日月火水木金土",WEEKDAY($A37),1))</f>
        <v/>
      </c>
      <c r="C37" s="34">
        <f>IF(OR($A37="",C$6=""),"",IF($L37=0,"",INDEX('01_予約入力'!$B$5:$B$204,$L37)&amp;" ◀")&amp;IF(AND($L37&gt;0,OR($M37&gt;0,$N37&gt;0)),"  ","")&amp;IF($M37=0,"",IF(INDEX('01_予約入力'!$E$5:$E$204,$M37)=$A37,"▶ ","")&amp;INDEX('01_予約入力'!$B$5:$B$204,$M37))&amp;IF(AND($M37&gt;0,$N37&gt;0),"  ","")&amp;IF($N37=0,"","◆ "&amp;INDEX('01_予約入力'!$B$5:$B$204,$N37)))</f>
        <v/>
      </c>
      <c r="D37" s="34">
        <f>IF(OR($A37="",D$6=""),"",IF($O37=0,"",INDEX('01_予約入力'!$B$5:$B$204,$O37)&amp;" ◀")&amp;IF(AND($O37&gt;0,OR($P37&gt;0,$Q37&gt;0)),"  ","")&amp;IF($P37=0,"",IF(INDEX('01_予約入力'!$E$5:$E$204,$P37)=$A37,"▶ ","")&amp;INDEX('01_予約入力'!$B$5:$B$204,$P37))&amp;IF(AND($P37&gt;0,$Q37&gt;0),"  ","")&amp;IF($Q37=0,"","◆ "&amp;INDEX('01_予約入力'!$B$5:$B$204,$Q37)))</f>
        <v/>
      </c>
      <c r="E37" s="34">
        <f>IF(OR($A37="",E$6=""),"",IF($R37=0,"",INDEX('01_予約入力'!$B$5:$B$204,$R37)&amp;" ◀")&amp;IF(AND($R37&gt;0,OR($S37&gt;0,$T37&gt;0)),"  ","")&amp;IF($S37=0,"",IF(INDEX('01_予約入力'!$E$5:$E$204,$S37)=$A37,"▶ ","")&amp;INDEX('01_予約入力'!$B$5:$B$204,$S37))&amp;IF(AND($S37&gt;0,$T37&gt;0),"  ","")&amp;IF($T37=0,"","◆ "&amp;INDEX('01_予約入力'!$B$5:$B$204,$T37)))</f>
        <v/>
      </c>
      <c r="F37" s="34">
        <f>IF(OR($A37="",F$6=""),"",IF($U37=0,"",INDEX('01_予約入力'!$B$5:$B$204,$U37)&amp;" ◀")&amp;IF(AND($U37&gt;0,OR($V37&gt;0,$W37&gt;0)),"  ","")&amp;IF($V37=0,"",IF(INDEX('01_予約入力'!$E$5:$E$204,$V37)=$A37,"▶ ","")&amp;INDEX('01_予約入力'!$B$5:$B$204,$V37))&amp;IF(AND($V37&gt;0,$W37&gt;0),"  ","")&amp;IF($W37=0,"","◆ "&amp;INDEX('01_予約入力'!$B$5:$B$204,$W37)))</f>
        <v/>
      </c>
      <c r="G37" s="31">
        <f>IF($A37="","",SUMPRODUCT(('01_予約入力'!$E$5:$E$204&lt;&gt;"")*('01_予約入力'!$K$5:$K$204&lt;&gt;"キャンセル")*('01_予約入力'!$E$5:$E$204&lt;=$A37)*('01_予約入力'!$G$5:$G$204&gt;$A37)))</f>
        <v/>
      </c>
      <c r="H37" s="31">
        <f>IF($A37="","",'M_施設設定'!$B$6-$G37)</f>
        <v/>
      </c>
      <c r="I37" s="31">
        <f>IF($A37="","",SUMPRODUCT((('01_予約入力'!$K$5:$K$204="仮予約")+('01_予約入力'!$K$5:$K$204="調整中"))*('01_予約入力'!$E$5:$E$204&lt;&gt;"")*('01_予約入力'!$E$5:$E$204&lt;=$A37)*('01_予約入力'!$G$5:$G$204&gt;$A37)))</f>
        <v/>
      </c>
      <c r="J37" s="31">
        <f>IF($A37="","",IF($I37&gt;0,"仮",IF($H37&lt;=0,"×",IF($H37&lt;'M_施設設定'!$B$6,"△","○"))))</f>
        <v/>
      </c>
      <c r="K37" s="31">
        <f>IF($A37="","",SUMPRODUCT(('01_予約入力'!$E$5:$E$204&lt;&gt;"")*('01_予約入力'!$K$5:$K$204&lt;&gt;"キャンセル")*('01_予約入力'!$E$5:$E$204=$A37)*('01_予約入力'!$G$5:$G$204=$A37)))</f>
        <v/>
      </c>
      <c r="L37" s="31">
        <f>IF(OR($A37="",C$6=""),0,SUMPRODUCT(MAX(('01_予約入力'!$D$5:$D$204=C$6)*('01_予約入力'!$K$5:$K$204&lt;&gt;"キャンセル")*('01_予約入力'!$E$5:$E$204&lt;&gt;"")*('01_予約入力'!$G$5:$G$204=$A37)*('01_予約入力'!$E$5:$E$204&lt;$A37)*(ROW('01_予約入力'!$E$5:$E$204)-4))))</f>
        <v/>
      </c>
      <c r="M37" s="31">
        <f>IF(OR($A37="",C$6=""),0,SUMPRODUCT(MAX(('01_予約入力'!$D$5:$D$204=C$6)*('01_予約入力'!$K$5:$K$204&lt;&gt;"キャンセル")*('01_予約入力'!$E$5:$E$204&lt;&gt;"")*('01_予約入力'!$E$5:$E$204&lt;=$A37)*('01_予約入力'!$G$5:$G$204&gt;$A37)*(ROW('01_予約入力'!$E$5:$E$204)-4))))</f>
        <v/>
      </c>
      <c r="N37" s="31">
        <f>IF(OR($A37="",C$6=""),0,SUMPRODUCT(MAX(('01_予約入力'!$D$5:$D$204=C$6)*('01_予約入力'!$K$5:$K$204&lt;&gt;"キャンセル")*('01_予約入力'!$E$5:$E$204&lt;&gt;"")*('01_予約入力'!$E$5:$E$204=$A37)*('01_予約入力'!$G$5:$G$204=$A37)*(ROW('01_予約入力'!$E$5:$E$204)-4))))</f>
        <v/>
      </c>
      <c r="O37" s="31">
        <f>IF(OR($A37="",D$6=""),0,SUMPRODUCT(MAX(('01_予約入力'!$D$5:$D$204=D$6)*('01_予約入力'!$K$5:$K$204&lt;&gt;"キャンセル")*('01_予約入力'!$E$5:$E$204&lt;&gt;"")*('01_予約入力'!$G$5:$G$204=$A37)*('01_予約入力'!$E$5:$E$204&lt;$A37)*(ROW('01_予約入力'!$E$5:$E$204)-4))))</f>
        <v/>
      </c>
      <c r="P37" s="31">
        <f>IF(OR($A37="",D$6=""),0,SUMPRODUCT(MAX(('01_予約入力'!$D$5:$D$204=D$6)*('01_予約入力'!$K$5:$K$204&lt;&gt;"キャンセル")*('01_予約入力'!$E$5:$E$204&lt;&gt;"")*('01_予約入力'!$E$5:$E$204&lt;=$A37)*('01_予約入力'!$G$5:$G$204&gt;$A37)*(ROW('01_予約入力'!$E$5:$E$204)-4))))</f>
        <v/>
      </c>
      <c r="Q37" s="31">
        <f>IF(OR($A37="",D$6=""),0,SUMPRODUCT(MAX(('01_予約入力'!$D$5:$D$204=D$6)*('01_予約入力'!$K$5:$K$204&lt;&gt;"キャンセル")*('01_予約入力'!$E$5:$E$204&lt;&gt;"")*('01_予約入力'!$E$5:$E$204=$A37)*('01_予約入力'!$G$5:$G$204=$A37)*(ROW('01_予約入力'!$E$5:$E$204)-4))))</f>
        <v/>
      </c>
      <c r="R37" s="31">
        <f>IF(OR($A37="",E$6=""),0,SUMPRODUCT(MAX(('01_予約入力'!$D$5:$D$204=E$6)*('01_予約入力'!$K$5:$K$204&lt;&gt;"キャンセル")*('01_予約入力'!$E$5:$E$204&lt;&gt;"")*('01_予約入力'!$G$5:$G$204=$A37)*('01_予約入力'!$E$5:$E$204&lt;$A37)*(ROW('01_予約入力'!$E$5:$E$204)-4))))</f>
        <v/>
      </c>
      <c r="S37" s="31">
        <f>IF(OR($A37="",E$6=""),0,SUMPRODUCT(MAX(('01_予約入力'!$D$5:$D$204=E$6)*('01_予約入力'!$K$5:$K$204&lt;&gt;"キャンセル")*('01_予約入力'!$E$5:$E$204&lt;&gt;"")*('01_予約入力'!$E$5:$E$204&lt;=$A37)*('01_予約入力'!$G$5:$G$204&gt;$A37)*(ROW('01_予約入力'!$E$5:$E$204)-4))))</f>
        <v/>
      </c>
      <c r="T37" s="31">
        <f>IF(OR($A37="",E$6=""),0,SUMPRODUCT(MAX(('01_予約入力'!$D$5:$D$204=E$6)*('01_予約入力'!$K$5:$K$204&lt;&gt;"キャンセル")*('01_予約入力'!$E$5:$E$204&lt;&gt;"")*('01_予約入力'!$E$5:$E$204=$A37)*('01_予約入力'!$G$5:$G$204=$A37)*(ROW('01_予約入力'!$E$5:$E$204)-4))))</f>
        <v/>
      </c>
      <c r="U37" s="31">
        <f>IF(OR($A37="",F$6=""),0,SUMPRODUCT(MAX(('01_予約入力'!$D$5:$D$204=F$6)*('01_予約入力'!$K$5:$K$204&lt;&gt;"キャンセル")*('01_予約入力'!$E$5:$E$204&lt;&gt;"")*('01_予約入力'!$G$5:$G$204=$A37)*('01_予約入力'!$E$5:$E$204&lt;$A37)*(ROW('01_予約入力'!$E$5:$E$204)-4))))</f>
        <v/>
      </c>
      <c r="V37" s="31">
        <f>IF(OR($A37="",F$6=""),0,SUMPRODUCT(MAX(('01_予約入力'!$D$5:$D$204=F$6)*('01_予約入力'!$K$5:$K$204&lt;&gt;"キャンセル")*('01_予約入力'!$E$5:$E$204&lt;&gt;"")*('01_予約入力'!$E$5:$E$204&lt;=$A37)*('01_予約入力'!$G$5:$G$204&gt;$A37)*(ROW('01_予約入力'!$E$5:$E$204)-4))))</f>
        <v/>
      </c>
      <c r="W37" s="31">
        <f>IF(OR($A37="",F$6=""),0,SUMPRODUCT(MAX(('01_予約入力'!$D$5:$D$204=F$6)*('01_予約入力'!$K$5:$K$204&lt;&gt;"キャンセル")*('01_予約入力'!$E$5:$E$204&lt;&gt;"")*('01_予約入力'!$E$5:$E$204=$A37)*('01_予約入力'!$G$5:$G$204=$A37)*(ROW('01_予約入力'!$E$5:$E$204)-4))))</f>
        <v/>
      </c>
      <c r="X37" s="31">
        <f>IF($A37="","",IF($M37&gt;0,IF(OR(INDEX('01_予約入力'!$K$5:$K$204,$M37)="仮予約",INDEX('01_予約入力'!$K$5:$K$204,$M37)="調整中"),"仮",INDEX('01_予約入力'!$C$5:$C$204,$M37)),IF($N37&gt;0,IF(OR(INDEX('01_予約入力'!$K$5:$K$204,$N37)="仮予約",INDEX('01_予約入力'!$K$5:$K$204,$N37)="調整中"),"仮",INDEX('01_予約入力'!$C$5:$C$204,$N37)),IF($L37&gt;0,IF(OR(INDEX('01_予約入力'!$K$5:$K$204,$L37)="仮予約",INDEX('01_予約入力'!$K$5:$K$204,$L37)="調整中"),"仮",INDEX('01_予約入力'!$C$5:$C$204,$L37)),""))))</f>
        <v/>
      </c>
      <c r="Y37" s="31">
        <f>IF($A37="","",IF($P37&gt;0,IF(OR(INDEX('01_予約入力'!$K$5:$K$204,$P37)="仮予約",INDEX('01_予約入力'!$K$5:$K$204,$P37)="調整中"),"仮",INDEX('01_予約入力'!$C$5:$C$204,$P37)),IF($Q37&gt;0,IF(OR(INDEX('01_予約入力'!$K$5:$K$204,$Q37)="仮予約",INDEX('01_予約入力'!$K$5:$K$204,$Q37)="調整中"),"仮",INDEX('01_予約入力'!$C$5:$C$204,$Q37)),IF($O37&gt;0,IF(OR(INDEX('01_予約入力'!$K$5:$K$204,$O37)="仮予約",INDEX('01_予約入力'!$K$5:$K$204,$O37)="調整中"),"仮",INDEX('01_予約入力'!$C$5:$C$204,$O37)),""))))</f>
        <v/>
      </c>
      <c r="Z37" s="31">
        <f>IF($A37="","",IF($S37&gt;0,IF(OR(INDEX('01_予約入力'!$K$5:$K$204,$S37)="仮予約",INDEX('01_予約入力'!$K$5:$K$204,$S37)="調整中"),"仮",INDEX('01_予約入力'!$C$5:$C$204,$S37)),IF($T37&gt;0,IF(OR(INDEX('01_予約入力'!$K$5:$K$204,$T37)="仮予約",INDEX('01_予約入力'!$K$5:$K$204,$T37)="調整中"),"仮",INDEX('01_予約入力'!$C$5:$C$204,$T37)),IF($R37&gt;0,IF(OR(INDEX('01_予約入力'!$K$5:$K$204,$R37)="仮予約",INDEX('01_予約入力'!$K$5:$K$204,$R37)="調整中"),"仮",INDEX('01_予約入力'!$C$5:$C$204,$R37)),""))))</f>
        <v/>
      </c>
      <c r="AA37" s="31">
        <f>IF($A37="","",IF($V37&gt;0,IF(OR(INDEX('01_予約入力'!$K$5:$K$204,$V37)="仮予約",INDEX('01_予約入力'!$K$5:$K$204,$V37)="調整中"),"仮",INDEX('01_予約入力'!$C$5:$C$204,$V37)),IF($W37&gt;0,IF(OR(INDEX('01_予約入力'!$K$5:$K$204,$W37)="仮予約",INDEX('01_予約入力'!$K$5:$K$204,$W37)="調整中"),"仮",INDEX('01_予約入力'!$C$5:$C$204,$W37)),IF($U37&gt;0,IF(OR(INDEX('01_予約入力'!$K$5:$K$204,$U37)="仮予約",INDEX('01_予約入力'!$K$5:$K$204,$U37)="調整中"),"仮",INDEX('01_予約入力'!$C$5:$C$204,$U37)),""))))</f>
        <v/>
      </c>
    </row>
    <row r="39">
      <c r="A39" s="2" t="inlineStr">
        <is>
          <t>※ 「使用室数／空室数／空き記号」はその日の夜の宿泊で数えます。退所日の夜は空きです。部屋の欄に出る「◀」は朝に退所することを示します。</t>
        </is>
      </c>
    </row>
    <row r="40">
      <c r="A40" s="2" t="inlineStr">
        <is>
          <t>※ L列より右は計算用の作業列です。非表示にしてあります（表示しても構いませんが、編集しないでください）。</t>
        </is>
      </c>
    </row>
  </sheetData>
  <conditionalFormatting sqref="J7:J37">
    <cfRule type="expression" priority="1" dxfId="1">
      <formula>J7="×"</formula>
    </cfRule>
    <cfRule type="expression" priority="2" dxfId="2">
      <formula>J7="△"</formula>
    </cfRule>
    <cfRule type="expression" priority="3" dxfId="3">
      <formula>J7="仮"</formula>
    </cfRule>
    <cfRule type="expression" priority="4" dxfId="9">
      <formula>J7="○"</formula>
    </cfRule>
  </conditionalFormatting>
  <conditionalFormatting sqref="A7:B37">
    <cfRule type="expression" priority="5" dxfId="12">
      <formula>AND($A7&lt;&gt;"",WEEKDAY($A7,2)&gt;=6)</formula>
    </cfRule>
  </conditionalFormatting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0" customWidth="1" min="4" max="4"/>
  </cols>
  <sheetData>
    <row r="1">
      <c r="A1" s="1" t="inlineStr">
        <is>
          <t>空室照会 ―「この期間空いていますか」に即答する</t>
        </is>
      </c>
    </row>
    <row r="2">
      <c r="A2" s="2" t="inlineStr">
        <is>
          <t>日付を2つ入れるだけです。対象月の指定は要りません。</t>
        </is>
      </c>
    </row>
    <row r="3">
      <c r="A3" s="12" t="inlineStr">
        <is>
          <t>開始日（入所日）</t>
        </is>
      </c>
      <c r="B3" s="13" t="n">
        <v>46118</v>
      </c>
    </row>
    <row r="4">
      <c r="A4" s="12" t="inlineStr">
        <is>
          <t>終了日（退所予定日）</t>
        </is>
      </c>
      <c r="B4" s="13" t="n">
        <v>46121</v>
      </c>
      <c r="C4" s="2" t="inlineStr">
        <is>
          <t>★退所日の夜は数えません（その夜は次の方が入れるため）</t>
        </is>
      </c>
    </row>
    <row r="5">
      <c r="A5" s="12" t="inlineStr">
        <is>
          <t>泊数</t>
        </is>
      </c>
      <c r="B5" s="35">
        <f>IF(OR($B$3="",$B$4=""),"",MAX(0,$B$4-$B$3))</f>
        <v/>
      </c>
      <c r="C5" s="2" t="inlineStr">
        <is>
          <t>0泊（同日）なら日帰り・体験利用です</t>
        </is>
      </c>
    </row>
    <row r="7" ht="30" customHeight="1">
      <c r="A7" s="7" t="inlineStr">
        <is>
          <t>部屋</t>
        </is>
      </c>
      <c r="B7" s="7" t="inlineStr">
        <is>
          <t>空いている夜数</t>
        </is>
      </c>
      <c r="C7" s="7" t="inlineStr">
        <is>
          <t>ふさがっている夜数</t>
        </is>
      </c>
      <c r="D7" s="7" t="inlineStr">
        <is>
          <t>判定</t>
        </is>
      </c>
    </row>
    <row r="8">
      <c r="A8" s="34">
        <f>IF(COUNTA('M_部屋'!$A$4:$A$20)&gt;=1,INDEX('M_部屋'!$A$4:$A$20,1),"")</f>
        <v/>
      </c>
      <c r="B8" s="31">
        <f>IF($C8="","",MAX(0,$B$4-$B$3-$C8))</f>
        <v/>
      </c>
      <c r="C8" s="31">
        <f>IF(OR($A8="",$B$4&lt;=$B$3),"",SUMPRODUCT(('01_予約入力'!$E$5:$E$204&lt;&gt;"")*('01_予約入力'!$K$5:$K$204&lt;&gt;"キャンセル")*('01_予約入力'!$D$5:$D$204=$A8)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8" s="34">
        <f>IF($A8="","",IF($B$4&lt;=$B$3,"日付を確認してください",IF($B8=$B$4-$B$3,"○ 全日空き",IF($B8=0,"× 空きなし","△ 一部空き"))))</f>
        <v/>
      </c>
    </row>
    <row r="9">
      <c r="A9" s="34">
        <f>IF(COUNTA('M_部屋'!$A$4:$A$20)&gt;=2,INDEX('M_部屋'!$A$4:$A$20,2),"")</f>
        <v/>
      </c>
      <c r="B9" s="31">
        <f>IF($C9="","",MAX(0,$B$4-$B$3-$C9))</f>
        <v/>
      </c>
      <c r="C9" s="31">
        <f>IF(OR($A9="",$B$4&lt;=$B$3),"",SUMPRODUCT(('01_予約入力'!$E$5:$E$204&lt;&gt;"")*('01_予約入力'!$K$5:$K$204&lt;&gt;"キャンセル")*('01_予約入力'!$D$5:$D$204=$A9)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9" s="34">
        <f>IF($A9="","",IF($B$4&lt;=$B$3,"日付を確認してください",IF($B9=$B$4-$B$3,"○ 全日空き",IF($B9=0,"× 空きなし","△ 一部空き"))))</f>
        <v/>
      </c>
    </row>
    <row r="10">
      <c r="A10" s="34">
        <f>IF(COUNTA('M_部屋'!$A$4:$A$20)&gt;=3,INDEX('M_部屋'!$A$4:$A$20,3),"")</f>
        <v/>
      </c>
      <c r="B10" s="31">
        <f>IF($C10="","",MAX(0,$B$4-$B$3-$C10))</f>
        <v/>
      </c>
      <c r="C10" s="31">
        <f>IF(OR($A10="",$B$4&lt;=$B$3),"",SUMPRODUCT(('01_予約入力'!$E$5:$E$204&lt;&gt;"")*('01_予約入力'!$K$5:$K$204&lt;&gt;"キャンセル")*('01_予約入力'!$D$5:$D$204=$A10)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10" s="34">
        <f>IF($A10="","",IF($B$4&lt;=$B$3,"日付を確認してください",IF($B10=$B$4-$B$3,"○ 全日空き",IF($B10=0,"× 空きなし","△ 一部空き"))))</f>
        <v/>
      </c>
    </row>
    <row r="11">
      <c r="A11" s="34">
        <f>IF(COUNTA('M_部屋'!$A$4:$A$20)&gt;=4,INDEX('M_部屋'!$A$4:$A$20,4),"")</f>
        <v/>
      </c>
      <c r="B11" s="31">
        <f>IF($C11="","",MAX(0,$B$4-$B$3-$C11))</f>
        <v/>
      </c>
      <c r="C11" s="31">
        <f>IF(OR($A11="",$B$4&lt;=$B$3),"",SUMPRODUCT(('01_予約入力'!$E$5:$E$204&lt;&gt;"")*('01_予約入力'!$K$5:$K$204&lt;&gt;"キャンセル")*('01_予約入力'!$D$5:$D$204=$A11)*(((('01_予約入力'!$G$5:$G$204&lt;=$B$4)*'01_予約入力'!$G$5:$G$204+('01_予約入力'!$G$5:$G$204&gt;$B$4)*$B$4)-(('01_予約入力'!$E$5:$E$204&gt;=$B$3)*'01_予約入力'!$E$5:$E$204+('01_予約入力'!$E$5:$E$204&lt;$B$3)*$B$3))&gt;0)*((('01_予約入力'!$G$5:$G$204&lt;=$B$4)*'01_予約入力'!$G$5:$G$204+('01_予約入力'!$G$5:$G$204&gt;$B$4)*$B$4)-(('01_予約入力'!$E$5:$E$204&gt;=$B$3)*'01_予約入力'!$E$5:$E$204+('01_予約入力'!$E$5:$E$204&lt;$B$3)*$B$3))))</f>
        <v/>
      </c>
      <c r="D11" s="34">
        <f>IF($A11="","",IF($B$4&lt;=$B$3,"日付を確認してください",IF($B11=$B$4-$B$3,"○ 全日空き",IF($B11=0,"× 空きなし","△ 一部空き"))))</f>
        <v/>
      </c>
    </row>
    <row r="13">
      <c r="A13" s="2" t="inlineStr">
        <is>
          <t>※ 仮予約・調整中も「ふさがっている」として数えます。</t>
        </is>
      </c>
    </row>
    <row r="14">
      <c r="A14" s="2" t="inlineStr">
        <is>
          <t>※ 日帰り（0泊）は夜をふさがないため、この照会には出ません。02_カレンダー の ◆ で確認してください。</t>
        </is>
      </c>
    </row>
    <row r="15">
      <c r="A15" s="2" t="inlineStr">
        <is>
          <t>※ 「一部空き」のときは 02_カレンダー を開けば、どの日が埋まっているかが一目で分かります。</t>
        </is>
      </c>
    </row>
  </sheetData>
  <conditionalFormatting sqref="D8:D11">
    <cfRule type="expression" priority="1" dxfId="9">
      <formula>LEFT($D8,1)="○"</formula>
    </cfRule>
    <cfRule type="expression" priority="2" dxfId="2">
      <formula>LEFT($D8,1)="△"</formula>
    </cfRule>
    <cfRule type="expression" priority="3" dxfId="1">
      <formula>LEFT($D8,1)="×"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1" t="inlineStr">
        <is>
          <t>食数表（厨房用）</t>
        </is>
      </c>
    </row>
    <row r="2">
      <c r="A2" s="2" t="inlineStr">
        <is>
          <t>既定は 日帰り=昼のみ／初日=夕／中日=朝昼夕／最終日=朝。例外だけ「調整」列に実数を入れると、そちらが優先されます。</t>
        </is>
      </c>
    </row>
    <row r="3">
      <c r="A3" s="12" t="inlineStr">
        <is>
          <t>対象月</t>
        </is>
      </c>
      <c r="B3" s="14">
        <f>'02_カレンダー'!$B$4</f>
        <v/>
      </c>
      <c r="C3" s="2" t="inlineStr">
        <is>
          <t>★月の変更は 02_カレンダー で行ってください</t>
        </is>
      </c>
    </row>
    <row r="5" ht="30" customHeight="1">
      <c r="A5" s="7" t="inlineStr">
        <is>
          <t>日付</t>
        </is>
      </c>
      <c r="B5" s="7" t="inlineStr">
        <is>
          <t>曜日</t>
        </is>
      </c>
      <c r="C5" s="7" t="inlineStr">
        <is>
          <t>朝(自動)</t>
        </is>
      </c>
      <c r="D5" s="7" t="inlineStr">
        <is>
          <t>昼(自動)</t>
        </is>
      </c>
      <c r="E5" s="7" t="inlineStr">
        <is>
          <t>夕(自動)</t>
        </is>
      </c>
      <c r="F5" s="7" t="inlineStr">
        <is>
          <t>朝 調整</t>
        </is>
      </c>
      <c r="G5" s="7" t="inlineStr">
        <is>
          <t>昼 調整</t>
        </is>
      </c>
      <c r="H5" s="7" t="inlineStr">
        <is>
          <t>夕 調整</t>
        </is>
      </c>
      <c r="I5" s="7" t="inlineStr">
        <is>
          <t>朝 確定</t>
        </is>
      </c>
      <c r="J5" s="7" t="inlineStr">
        <is>
          <t>昼 確定</t>
        </is>
      </c>
      <c r="K5" s="7" t="inlineStr">
        <is>
          <t>夕 確定</t>
        </is>
      </c>
      <c r="L5" s="7">
        <f>'04_月間表'!C$6</f>
        <v/>
      </c>
      <c r="M5" s="7">
        <f>'04_月間表'!D$6</f>
        <v/>
      </c>
      <c r="N5" s="7">
        <f>'04_月間表'!E$6</f>
        <v/>
      </c>
      <c r="O5" s="7">
        <f>'04_月間表'!F$6</f>
        <v/>
      </c>
    </row>
    <row r="6">
      <c r="A6" s="33">
        <f>IF('04_月間表'!$A7="","",'04_月間表'!$A7)</f>
        <v/>
      </c>
      <c r="B6" s="31">
        <f>IF($A6="","",MID("日月火水木金土",WEEKDAY($A6),1))</f>
        <v/>
      </c>
      <c r="C6" s="31">
        <f>IF($A6="","",SUMPRODUCT(('01_予約入力'!$E$5:$E$204&lt;&gt;"")*('01_予約入力'!$K$5:$K$204&lt;&gt;"キャンセル")*('01_予約入力'!$E$5:$E$204&lt;$A6)*('01_予約入力'!$G$5:$G$204&gt;=$A6)))</f>
        <v/>
      </c>
      <c r="D6" s="31">
        <f>IF($A6="","",SUMPRODUCT(('01_予約入力'!$E$5:$E$204&lt;&gt;"")*('01_予約入力'!$K$5:$K$204&lt;&gt;"キャンセル")*((('01_予約入力'!$E$5:$E$204&lt;$A6)*('01_予約入力'!$G$5:$G$204&gt;$A6))+(('01_予約入力'!$E$5:$E$204=$A6)*('01_予約入力'!$G$5:$G$204=$A6)))))</f>
        <v/>
      </c>
      <c r="E6" s="31">
        <f>IF($A6="","",SUMPRODUCT(('01_予約入力'!$E$5:$E$204&lt;&gt;"")*('01_予約入力'!$K$5:$K$204&lt;&gt;"キャンセル")*('01_予約入力'!$E$5:$E$204&lt;=$A6)*('01_予約入力'!$G$5:$G$204&gt;$A6)))</f>
        <v/>
      </c>
      <c r="F6" s="36" t="n"/>
      <c r="G6" s="36" t="n"/>
      <c r="H6" s="36" t="n"/>
      <c r="I6" s="31">
        <f>IF($A6="","",IF($F6="",$C6,$F6))</f>
        <v/>
      </c>
      <c r="J6" s="31">
        <f>IF($A6="","",IF($G6="",$D6,$G6))</f>
        <v/>
      </c>
      <c r="K6" s="31">
        <f>IF($A6="","",IF($H6="",$E6,$H6))</f>
        <v/>
      </c>
      <c r="L6" s="37">
        <f>IF($A6="","",'04_月間表'!C7)</f>
        <v/>
      </c>
      <c r="M6" s="37">
        <f>IF($A6="","",'04_月間表'!D7)</f>
        <v/>
      </c>
      <c r="N6" s="37">
        <f>IF($A6="","",'04_月間表'!E7)</f>
        <v/>
      </c>
      <c r="O6" s="37">
        <f>IF($A6="","",'04_月間表'!F7)</f>
        <v/>
      </c>
    </row>
    <row r="7">
      <c r="A7" s="33">
        <f>IF('04_月間表'!$A8="","",'04_月間表'!$A8)</f>
        <v/>
      </c>
      <c r="B7" s="31">
        <f>IF($A7="","",MID("日月火水木金土",WEEKDAY($A7),1))</f>
        <v/>
      </c>
      <c r="C7" s="31">
        <f>IF($A7="","",SUMPRODUCT(('01_予約入力'!$E$5:$E$204&lt;&gt;"")*('01_予約入力'!$K$5:$K$204&lt;&gt;"キャンセル")*('01_予約入力'!$E$5:$E$204&lt;$A7)*('01_予約入力'!$G$5:$G$204&gt;=$A7)))</f>
        <v/>
      </c>
      <c r="D7" s="31">
        <f>IF($A7="","",SUMPRODUCT(('01_予約入力'!$E$5:$E$204&lt;&gt;"")*('01_予約入力'!$K$5:$K$204&lt;&gt;"キャンセル")*((('01_予約入力'!$E$5:$E$204&lt;$A7)*('01_予約入力'!$G$5:$G$204&gt;$A7))+(('01_予約入力'!$E$5:$E$204=$A7)*('01_予約入力'!$G$5:$G$204=$A7)))))</f>
        <v/>
      </c>
      <c r="E7" s="31">
        <f>IF($A7="","",SUMPRODUCT(('01_予約入力'!$E$5:$E$204&lt;&gt;"")*('01_予約入力'!$K$5:$K$204&lt;&gt;"キャンセル")*('01_予約入力'!$E$5:$E$204&lt;=$A7)*('01_予約入力'!$G$5:$G$204&gt;$A7)))</f>
        <v/>
      </c>
      <c r="F7" s="36" t="n"/>
      <c r="G7" s="36" t="n"/>
      <c r="H7" s="36" t="n"/>
      <c r="I7" s="31">
        <f>IF($A7="","",IF($F7="",$C7,$F7))</f>
        <v/>
      </c>
      <c r="J7" s="31">
        <f>IF($A7="","",IF($G7="",$D7,$G7))</f>
        <v/>
      </c>
      <c r="K7" s="31">
        <f>IF($A7="","",IF($H7="",$E7,$H7))</f>
        <v/>
      </c>
      <c r="L7" s="37">
        <f>IF($A7="","",'04_月間表'!C8)</f>
        <v/>
      </c>
      <c r="M7" s="37">
        <f>IF($A7="","",'04_月間表'!D8)</f>
        <v/>
      </c>
      <c r="N7" s="37">
        <f>IF($A7="","",'04_月間表'!E8)</f>
        <v/>
      </c>
      <c r="O7" s="37">
        <f>IF($A7="","",'04_月間表'!F8)</f>
        <v/>
      </c>
    </row>
    <row r="8">
      <c r="A8" s="33">
        <f>IF('04_月間表'!$A9="","",'04_月間表'!$A9)</f>
        <v/>
      </c>
      <c r="B8" s="31">
        <f>IF($A8="","",MID("日月火水木金土",WEEKDAY($A8),1))</f>
        <v/>
      </c>
      <c r="C8" s="31">
        <f>IF($A8="","",SUMPRODUCT(('01_予約入力'!$E$5:$E$204&lt;&gt;"")*('01_予約入力'!$K$5:$K$204&lt;&gt;"キャンセル")*('01_予約入力'!$E$5:$E$204&lt;$A8)*('01_予約入力'!$G$5:$G$204&gt;=$A8)))</f>
        <v/>
      </c>
      <c r="D8" s="31">
        <f>IF($A8="","",SUMPRODUCT(('01_予約入力'!$E$5:$E$204&lt;&gt;"")*('01_予約入力'!$K$5:$K$204&lt;&gt;"キャンセル")*((('01_予約入力'!$E$5:$E$204&lt;$A8)*('01_予約入力'!$G$5:$G$204&gt;$A8))+(('01_予約入力'!$E$5:$E$204=$A8)*('01_予約入力'!$G$5:$G$204=$A8)))))</f>
        <v/>
      </c>
      <c r="E8" s="31">
        <f>IF($A8="","",SUMPRODUCT(('01_予約入力'!$E$5:$E$204&lt;&gt;"")*('01_予約入力'!$K$5:$K$204&lt;&gt;"キャンセル")*('01_予約入力'!$E$5:$E$204&lt;=$A8)*('01_予約入力'!$G$5:$G$204&gt;$A8)))</f>
        <v/>
      </c>
      <c r="F8" s="36" t="n"/>
      <c r="G8" s="36" t="n"/>
      <c r="H8" s="36" t="n"/>
      <c r="I8" s="31">
        <f>IF($A8="","",IF($F8="",$C8,$F8))</f>
        <v/>
      </c>
      <c r="J8" s="31">
        <f>IF($A8="","",IF($G8="",$D8,$G8))</f>
        <v/>
      </c>
      <c r="K8" s="31">
        <f>IF($A8="","",IF($H8="",$E8,$H8))</f>
        <v/>
      </c>
      <c r="L8" s="37">
        <f>IF($A8="","",'04_月間表'!C9)</f>
        <v/>
      </c>
      <c r="M8" s="37">
        <f>IF($A8="","",'04_月間表'!D9)</f>
        <v/>
      </c>
      <c r="N8" s="37">
        <f>IF($A8="","",'04_月間表'!E9)</f>
        <v/>
      </c>
      <c r="O8" s="37">
        <f>IF($A8="","",'04_月間表'!F9)</f>
        <v/>
      </c>
    </row>
    <row r="9">
      <c r="A9" s="33">
        <f>IF('04_月間表'!$A10="","",'04_月間表'!$A10)</f>
        <v/>
      </c>
      <c r="B9" s="31">
        <f>IF($A9="","",MID("日月火水木金土",WEEKDAY($A9),1))</f>
        <v/>
      </c>
      <c r="C9" s="31">
        <f>IF($A9="","",SUMPRODUCT(('01_予約入力'!$E$5:$E$204&lt;&gt;"")*('01_予約入力'!$K$5:$K$204&lt;&gt;"キャンセル")*('01_予約入力'!$E$5:$E$204&lt;$A9)*('01_予約入力'!$G$5:$G$204&gt;=$A9)))</f>
        <v/>
      </c>
      <c r="D9" s="31">
        <f>IF($A9="","",SUMPRODUCT(('01_予約入力'!$E$5:$E$204&lt;&gt;"")*('01_予約入力'!$K$5:$K$204&lt;&gt;"キャンセル")*((('01_予約入力'!$E$5:$E$204&lt;$A9)*('01_予約入力'!$G$5:$G$204&gt;$A9))+(('01_予約入力'!$E$5:$E$204=$A9)*('01_予約入力'!$G$5:$G$204=$A9)))))</f>
        <v/>
      </c>
      <c r="E9" s="31">
        <f>IF($A9="","",SUMPRODUCT(('01_予約入力'!$E$5:$E$204&lt;&gt;"")*('01_予約入力'!$K$5:$K$204&lt;&gt;"キャンセル")*('01_予約入力'!$E$5:$E$204&lt;=$A9)*('01_予約入力'!$G$5:$G$204&gt;$A9)))</f>
        <v/>
      </c>
      <c r="F9" s="36" t="n"/>
      <c r="G9" s="36" t="n"/>
      <c r="H9" s="36" t="n"/>
      <c r="I9" s="31">
        <f>IF($A9="","",IF($F9="",$C9,$F9))</f>
        <v/>
      </c>
      <c r="J9" s="31">
        <f>IF($A9="","",IF($G9="",$D9,$G9))</f>
        <v/>
      </c>
      <c r="K9" s="31">
        <f>IF($A9="","",IF($H9="",$E9,$H9))</f>
        <v/>
      </c>
      <c r="L9" s="37">
        <f>IF($A9="","",'04_月間表'!C10)</f>
        <v/>
      </c>
      <c r="M9" s="37">
        <f>IF($A9="","",'04_月間表'!D10)</f>
        <v/>
      </c>
      <c r="N9" s="37">
        <f>IF($A9="","",'04_月間表'!E10)</f>
        <v/>
      </c>
      <c r="O9" s="37">
        <f>IF($A9="","",'04_月間表'!F10)</f>
        <v/>
      </c>
    </row>
    <row r="10">
      <c r="A10" s="33">
        <f>IF('04_月間表'!$A11="","",'04_月間表'!$A11)</f>
        <v/>
      </c>
      <c r="B10" s="31">
        <f>IF($A10="","",MID("日月火水木金土",WEEKDAY($A10),1))</f>
        <v/>
      </c>
      <c r="C10" s="31">
        <f>IF($A10="","",SUMPRODUCT(('01_予約入力'!$E$5:$E$204&lt;&gt;"")*('01_予約入力'!$K$5:$K$204&lt;&gt;"キャンセル")*('01_予約入力'!$E$5:$E$204&lt;$A10)*('01_予約入力'!$G$5:$G$204&gt;=$A10)))</f>
        <v/>
      </c>
      <c r="D10" s="31">
        <f>IF($A10="","",SUMPRODUCT(('01_予約入力'!$E$5:$E$204&lt;&gt;"")*('01_予約入力'!$K$5:$K$204&lt;&gt;"キャンセル")*((('01_予約入力'!$E$5:$E$204&lt;$A10)*('01_予約入力'!$G$5:$G$204&gt;$A10))+(('01_予約入力'!$E$5:$E$204=$A10)*('01_予約入力'!$G$5:$G$204=$A10)))))</f>
        <v/>
      </c>
      <c r="E10" s="31">
        <f>IF($A10="","",SUMPRODUCT(('01_予約入力'!$E$5:$E$204&lt;&gt;"")*('01_予約入力'!$K$5:$K$204&lt;&gt;"キャンセル")*('01_予約入力'!$E$5:$E$204&lt;=$A10)*('01_予約入力'!$G$5:$G$204&gt;$A10)))</f>
        <v/>
      </c>
      <c r="F10" s="36" t="n"/>
      <c r="G10" s="36" t="n"/>
      <c r="H10" s="36" t="n"/>
      <c r="I10" s="31">
        <f>IF($A10="","",IF($F10="",$C10,$F10))</f>
        <v/>
      </c>
      <c r="J10" s="31">
        <f>IF($A10="","",IF($G10="",$D10,$G10))</f>
        <v/>
      </c>
      <c r="K10" s="31">
        <f>IF($A10="","",IF($H10="",$E10,$H10))</f>
        <v/>
      </c>
      <c r="L10" s="37">
        <f>IF($A10="","",'04_月間表'!C11)</f>
        <v/>
      </c>
      <c r="M10" s="37">
        <f>IF($A10="","",'04_月間表'!D11)</f>
        <v/>
      </c>
      <c r="N10" s="37">
        <f>IF($A10="","",'04_月間表'!E11)</f>
        <v/>
      </c>
      <c r="O10" s="37">
        <f>IF($A10="","",'04_月間表'!F11)</f>
        <v/>
      </c>
    </row>
    <row r="11">
      <c r="A11" s="33">
        <f>IF('04_月間表'!$A12="","",'04_月間表'!$A12)</f>
        <v/>
      </c>
      <c r="B11" s="31">
        <f>IF($A11="","",MID("日月火水木金土",WEEKDAY($A11),1))</f>
        <v/>
      </c>
      <c r="C11" s="31">
        <f>IF($A11="","",SUMPRODUCT(('01_予約入力'!$E$5:$E$204&lt;&gt;"")*('01_予約入力'!$K$5:$K$204&lt;&gt;"キャンセル")*('01_予約入力'!$E$5:$E$204&lt;$A11)*('01_予約入力'!$G$5:$G$204&gt;=$A11)))</f>
        <v/>
      </c>
      <c r="D11" s="31">
        <f>IF($A11="","",SUMPRODUCT(('01_予約入力'!$E$5:$E$204&lt;&gt;"")*('01_予約入力'!$K$5:$K$204&lt;&gt;"キャンセル")*((('01_予約入力'!$E$5:$E$204&lt;$A11)*('01_予約入力'!$G$5:$G$204&gt;$A11))+(('01_予約入力'!$E$5:$E$204=$A11)*('01_予約入力'!$G$5:$G$204=$A11)))))</f>
        <v/>
      </c>
      <c r="E11" s="31">
        <f>IF($A11="","",SUMPRODUCT(('01_予約入力'!$E$5:$E$204&lt;&gt;"")*('01_予約入力'!$K$5:$K$204&lt;&gt;"キャンセル")*('01_予約入力'!$E$5:$E$204&lt;=$A11)*('01_予約入力'!$G$5:$G$204&gt;$A11)))</f>
        <v/>
      </c>
      <c r="F11" s="36" t="n"/>
      <c r="G11" s="36" t="n"/>
      <c r="H11" s="36" t="n"/>
      <c r="I11" s="31">
        <f>IF($A11="","",IF($F11="",$C11,$F11))</f>
        <v/>
      </c>
      <c r="J11" s="31">
        <f>IF($A11="","",IF($G11="",$D11,$G11))</f>
        <v/>
      </c>
      <c r="K11" s="31">
        <f>IF($A11="","",IF($H11="",$E11,$H11))</f>
        <v/>
      </c>
      <c r="L11" s="37">
        <f>IF($A11="","",'04_月間表'!C12)</f>
        <v/>
      </c>
      <c r="M11" s="37">
        <f>IF($A11="","",'04_月間表'!D12)</f>
        <v/>
      </c>
      <c r="N11" s="37">
        <f>IF($A11="","",'04_月間表'!E12)</f>
        <v/>
      </c>
      <c r="O11" s="37">
        <f>IF($A11="","",'04_月間表'!F12)</f>
        <v/>
      </c>
    </row>
    <row r="12">
      <c r="A12" s="33">
        <f>IF('04_月間表'!$A13="","",'04_月間表'!$A13)</f>
        <v/>
      </c>
      <c r="B12" s="31">
        <f>IF($A12="","",MID("日月火水木金土",WEEKDAY($A12),1))</f>
        <v/>
      </c>
      <c r="C12" s="31">
        <f>IF($A12="","",SUMPRODUCT(('01_予約入力'!$E$5:$E$204&lt;&gt;"")*('01_予約入力'!$K$5:$K$204&lt;&gt;"キャンセル")*('01_予約入力'!$E$5:$E$204&lt;$A12)*('01_予約入力'!$G$5:$G$204&gt;=$A12)))</f>
        <v/>
      </c>
      <c r="D12" s="31">
        <f>IF($A12="","",SUMPRODUCT(('01_予約入力'!$E$5:$E$204&lt;&gt;"")*('01_予約入力'!$K$5:$K$204&lt;&gt;"キャンセル")*((('01_予約入力'!$E$5:$E$204&lt;$A12)*('01_予約入力'!$G$5:$G$204&gt;$A12))+(('01_予約入力'!$E$5:$E$204=$A12)*('01_予約入力'!$G$5:$G$204=$A12)))))</f>
        <v/>
      </c>
      <c r="E12" s="31">
        <f>IF($A12="","",SUMPRODUCT(('01_予約入力'!$E$5:$E$204&lt;&gt;"")*('01_予約入力'!$K$5:$K$204&lt;&gt;"キャンセル")*('01_予約入力'!$E$5:$E$204&lt;=$A12)*('01_予約入力'!$G$5:$G$204&gt;$A12)))</f>
        <v/>
      </c>
      <c r="F12" s="36" t="n"/>
      <c r="G12" s="36" t="n"/>
      <c r="H12" s="36" t="n"/>
      <c r="I12" s="31">
        <f>IF($A12="","",IF($F12="",$C12,$F12))</f>
        <v/>
      </c>
      <c r="J12" s="31">
        <f>IF($A12="","",IF($G12="",$D12,$G12))</f>
        <v/>
      </c>
      <c r="K12" s="31">
        <f>IF($A12="","",IF($H12="",$E12,$H12))</f>
        <v/>
      </c>
      <c r="L12" s="37">
        <f>IF($A12="","",'04_月間表'!C13)</f>
        <v/>
      </c>
      <c r="M12" s="37">
        <f>IF($A12="","",'04_月間表'!D13)</f>
        <v/>
      </c>
      <c r="N12" s="37">
        <f>IF($A12="","",'04_月間表'!E13)</f>
        <v/>
      </c>
      <c r="O12" s="37">
        <f>IF($A12="","",'04_月間表'!F13)</f>
        <v/>
      </c>
    </row>
    <row r="13">
      <c r="A13" s="33">
        <f>IF('04_月間表'!$A14="","",'04_月間表'!$A14)</f>
        <v/>
      </c>
      <c r="B13" s="31">
        <f>IF($A13="","",MID("日月火水木金土",WEEKDAY($A13),1))</f>
        <v/>
      </c>
      <c r="C13" s="31">
        <f>IF($A13="","",SUMPRODUCT(('01_予約入力'!$E$5:$E$204&lt;&gt;"")*('01_予約入力'!$K$5:$K$204&lt;&gt;"キャンセル")*('01_予約入力'!$E$5:$E$204&lt;$A13)*('01_予約入力'!$G$5:$G$204&gt;=$A13)))</f>
        <v/>
      </c>
      <c r="D13" s="31">
        <f>IF($A13="","",SUMPRODUCT(('01_予約入力'!$E$5:$E$204&lt;&gt;"")*('01_予約入力'!$K$5:$K$204&lt;&gt;"キャンセル")*((('01_予約入力'!$E$5:$E$204&lt;$A13)*('01_予約入力'!$G$5:$G$204&gt;$A13))+(('01_予約入力'!$E$5:$E$204=$A13)*('01_予約入力'!$G$5:$G$204=$A13)))))</f>
        <v/>
      </c>
      <c r="E13" s="31">
        <f>IF($A13="","",SUMPRODUCT(('01_予約入力'!$E$5:$E$204&lt;&gt;"")*('01_予約入力'!$K$5:$K$204&lt;&gt;"キャンセル")*('01_予約入力'!$E$5:$E$204&lt;=$A13)*('01_予約入力'!$G$5:$G$204&gt;$A13)))</f>
        <v/>
      </c>
      <c r="F13" s="36" t="n"/>
      <c r="G13" s="36" t="n"/>
      <c r="H13" s="36" t="n"/>
      <c r="I13" s="31">
        <f>IF($A13="","",IF($F13="",$C13,$F13))</f>
        <v/>
      </c>
      <c r="J13" s="31">
        <f>IF($A13="","",IF($G13="",$D13,$G13))</f>
        <v/>
      </c>
      <c r="K13" s="31">
        <f>IF($A13="","",IF($H13="",$E13,$H13))</f>
        <v/>
      </c>
      <c r="L13" s="37">
        <f>IF($A13="","",'04_月間表'!C14)</f>
        <v/>
      </c>
      <c r="M13" s="37">
        <f>IF($A13="","",'04_月間表'!D14)</f>
        <v/>
      </c>
      <c r="N13" s="37">
        <f>IF($A13="","",'04_月間表'!E14)</f>
        <v/>
      </c>
      <c r="O13" s="37">
        <f>IF($A13="","",'04_月間表'!F14)</f>
        <v/>
      </c>
    </row>
    <row r="14">
      <c r="A14" s="33">
        <f>IF('04_月間表'!$A15="","",'04_月間表'!$A15)</f>
        <v/>
      </c>
      <c r="B14" s="31">
        <f>IF($A14="","",MID("日月火水木金土",WEEKDAY($A14),1))</f>
        <v/>
      </c>
      <c r="C14" s="31">
        <f>IF($A14="","",SUMPRODUCT(('01_予約入力'!$E$5:$E$204&lt;&gt;"")*('01_予約入力'!$K$5:$K$204&lt;&gt;"キャンセル")*('01_予約入力'!$E$5:$E$204&lt;$A14)*('01_予約入力'!$G$5:$G$204&gt;=$A14)))</f>
        <v/>
      </c>
      <c r="D14" s="31">
        <f>IF($A14="","",SUMPRODUCT(('01_予約入力'!$E$5:$E$204&lt;&gt;"")*('01_予約入力'!$K$5:$K$204&lt;&gt;"キャンセル")*((('01_予約入力'!$E$5:$E$204&lt;$A14)*('01_予約入力'!$G$5:$G$204&gt;$A14))+(('01_予約入力'!$E$5:$E$204=$A14)*('01_予約入力'!$G$5:$G$204=$A14)))))</f>
        <v/>
      </c>
      <c r="E14" s="31">
        <f>IF($A14="","",SUMPRODUCT(('01_予約入力'!$E$5:$E$204&lt;&gt;"")*('01_予約入力'!$K$5:$K$204&lt;&gt;"キャンセル")*('01_予約入力'!$E$5:$E$204&lt;=$A14)*('01_予約入力'!$G$5:$G$204&gt;$A14)))</f>
        <v/>
      </c>
      <c r="F14" s="36" t="n"/>
      <c r="G14" s="36" t="n"/>
      <c r="H14" s="36" t="n"/>
      <c r="I14" s="31">
        <f>IF($A14="","",IF($F14="",$C14,$F14))</f>
        <v/>
      </c>
      <c r="J14" s="31">
        <f>IF($A14="","",IF($G14="",$D14,$G14))</f>
        <v/>
      </c>
      <c r="K14" s="31">
        <f>IF($A14="","",IF($H14="",$E14,$H14))</f>
        <v/>
      </c>
      <c r="L14" s="37">
        <f>IF($A14="","",'04_月間表'!C15)</f>
        <v/>
      </c>
      <c r="M14" s="37">
        <f>IF($A14="","",'04_月間表'!D15)</f>
        <v/>
      </c>
      <c r="N14" s="37">
        <f>IF($A14="","",'04_月間表'!E15)</f>
        <v/>
      </c>
      <c r="O14" s="37">
        <f>IF($A14="","",'04_月間表'!F15)</f>
        <v/>
      </c>
    </row>
    <row r="15">
      <c r="A15" s="33">
        <f>IF('04_月間表'!$A16="","",'04_月間表'!$A16)</f>
        <v/>
      </c>
      <c r="B15" s="31">
        <f>IF($A15="","",MID("日月火水木金土",WEEKDAY($A15),1))</f>
        <v/>
      </c>
      <c r="C15" s="31">
        <f>IF($A15="","",SUMPRODUCT(('01_予約入力'!$E$5:$E$204&lt;&gt;"")*('01_予約入力'!$K$5:$K$204&lt;&gt;"キャンセル")*('01_予約入力'!$E$5:$E$204&lt;$A15)*('01_予約入力'!$G$5:$G$204&gt;=$A15)))</f>
        <v/>
      </c>
      <c r="D15" s="31">
        <f>IF($A15="","",SUMPRODUCT(('01_予約入力'!$E$5:$E$204&lt;&gt;"")*('01_予約入力'!$K$5:$K$204&lt;&gt;"キャンセル")*((('01_予約入力'!$E$5:$E$204&lt;$A15)*('01_予約入力'!$G$5:$G$204&gt;$A15))+(('01_予約入力'!$E$5:$E$204=$A15)*('01_予約入力'!$G$5:$G$204=$A15)))))</f>
        <v/>
      </c>
      <c r="E15" s="31">
        <f>IF($A15="","",SUMPRODUCT(('01_予約入力'!$E$5:$E$204&lt;&gt;"")*('01_予約入力'!$K$5:$K$204&lt;&gt;"キャンセル")*('01_予約入力'!$E$5:$E$204&lt;=$A15)*('01_予約入力'!$G$5:$G$204&gt;$A15)))</f>
        <v/>
      </c>
      <c r="F15" s="36" t="n"/>
      <c r="G15" s="36" t="n"/>
      <c r="H15" s="36" t="n"/>
      <c r="I15" s="31">
        <f>IF($A15="","",IF($F15="",$C15,$F15))</f>
        <v/>
      </c>
      <c r="J15" s="31">
        <f>IF($A15="","",IF($G15="",$D15,$G15))</f>
        <v/>
      </c>
      <c r="K15" s="31">
        <f>IF($A15="","",IF($H15="",$E15,$H15))</f>
        <v/>
      </c>
      <c r="L15" s="37">
        <f>IF($A15="","",'04_月間表'!C16)</f>
        <v/>
      </c>
      <c r="M15" s="37">
        <f>IF($A15="","",'04_月間表'!D16)</f>
        <v/>
      </c>
      <c r="N15" s="37">
        <f>IF($A15="","",'04_月間表'!E16)</f>
        <v/>
      </c>
      <c r="O15" s="37">
        <f>IF($A15="","",'04_月間表'!F16)</f>
        <v/>
      </c>
    </row>
    <row r="16">
      <c r="A16" s="33">
        <f>IF('04_月間表'!$A17="","",'04_月間表'!$A17)</f>
        <v/>
      </c>
      <c r="B16" s="31">
        <f>IF($A16="","",MID("日月火水木金土",WEEKDAY($A16),1))</f>
        <v/>
      </c>
      <c r="C16" s="31">
        <f>IF($A16="","",SUMPRODUCT(('01_予約入力'!$E$5:$E$204&lt;&gt;"")*('01_予約入力'!$K$5:$K$204&lt;&gt;"キャンセル")*('01_予約入力'!$E$5:$E$204&lt;$A16)*('01_予約入力'!$G$5:$G$204&gt;=$A16)))</f>
        <v/>
      </c>
      <c r="D16" s="31">
        <f>IF($A16="","",SUMPRODUCT(('01_予約入力'!$E$5:$E$204&lt;&gt;"")*('01_予約入力'!$K$5:$K$204&lt;&gt;"キャンセル")*((('01_予約入力'!$E$5:$E$204&lt;$A16)*('01_予約入力'!$G$5:$G$204&gt;$A16))+(('01_予約入力'!$E$5:$E$204=$A16)*('01_予約入力'!$G$5:$G$204=$A16)))))</f>
        <v/>
      </c>
      <c r="E16" s="31">
        <f>IF($A16="","",SUMPRODUCT(('01_予約入力'!$E$5:$E$204&lt;&gt;"")*('01_予約入力'!$K$5:$K$204&lt;&gt;"キャンセル")*('01_予約入力'!$E$5:$E$204&lt;=$A16)*('01_予約入力'!$G$5:$G$204&gt;$A16)))</f>
        <v/>
      </c>
      <c r="F16" s="36" t="n"/>
      <c r="G16" s="36" t="n"/>
      <c r="H16" s="36" t="n"/>
      <c r="I16" s="31">
        <f>IF($A16="","",IF($F16="",$C16,$F16))</f>
        <v/>
      </c>
      <c r="J16" s="31">
        <f>IF($A16="","",IF($G16="",$D16,$G16))</f>
        <v/>
      </c>
      <c r="K16" s="31">
        <f>IF($A16="","",IF($H16="",$E16,$H16))</f>
        <v/>
      </c>
      <c r="L16" s="37">
        <f>IF($A16="","",'04_月間表'!C17)</f>
        <v/>
      </c>
      <c r="M16" s="37">
        <f>IF($A16="","",'04_月間表'!D17)</f>
        <v/>
      </c>
      <c r="N16" s="37">
        <f>IF($A16="","",'04_月間表'!E17)</f>
        <v/>
      </c>
      <c r="O16" s="37">
        <f>IF($A16="","",'04_月間表'!F17)</f>
        <v/>
      </c>
    </row>
    <row r="17">
      <c r="A17" s="33">
        <f>IF('04_月間表'!$A18="","",'04_月間表'!$A18)</f>
        <v/>
      </c>
      <c r="B17" s="31">
        <f>IF($A17="","",MID("日月火水木金土",WEEKDAY($A17),1))</f>
        <v/>
      </c>
      <c r="C17" s="31">
        <f>IF($A17="","",SUMPRODUCT(('01_予約入力'!$E$5:$E$204&lt;&gt;"")*('01_予約入力'!$K$5:$K$204&lt;&gt;"キャンセル")*('01_予約入力'!$E$5:$E$204&lt;$A17)*('01_予約入力'!$G$5:$G$204&gt;=$A17)))</f>
        <v/>
      </c>
      <c r="D17" s="31">
        <f>IF($A17="","",SUMPRODUCT(('01_予約入力'!$E$5:$E$204&lt;&gt;"")*('01_予約入力'!$K$5:$K$204&lt;&gt;"キャンセル")*((('01_予約入力'!$E$5:$E$204&lt;$A17)*('01_予約入力'!$G$5:$G$204&gt;$A17))+(('01_予約入力'!$E$5:$E$204=$A17)*('01_予約入力'!$G$5:$G$204=$A17)))))</f>
        <v/>
      </c>
      <c r="E17" s="31">
        <f>IF($A17="","",SUMPRODUCT(('01_予約入力'!$E$5:$E$204&lt;&gt;"")*('01_予約入力'!$K$5:$K$204&lt;&gt;"キャンセル")*('01_予約入力'!$E$5:$E$204&lt;=$A17)*('01_予約入力'!$G$5:$G$204&gt;$A17)))</f>
        <v/>
      </c>
      <c r="F17" s="36" t="n"/>
      <c r="G17" s="36" t="n"/>
      <c r="H17" s="36" t="n"/>
      <c r="I17" s="31">
        <f>IF($A17="","",IF($F17="",$C17,$F17))</f>
        <v/>
      </c>
      <c r="J17" s="31">
        <f>IF($A17="","",IF($G17="",$D17,$G17))</f>
        <v/>
      </c>
      <c r="K17" s="31">
        <f>IF($A17="","",IF($H17="",$E17,$H17))</f>
        <v/>
      </c>
      <c r="L17" s="37">
        <f>IF($A17="","",'04_月間表'!C18)</f>
        <v/>
      </c>
      <c r="M17" s="37">
        <f>IF($A17="","",'04_月間表'!D18)</f>
        <v/>
      </c>
      <c r="N17" s="37">
        <f>IF($A17="","",'04_月間表'!E18)</f>
        <v/>
      </c>
      <c r="O17" s="37">
        <f>IF($A17="","",'04_月間表'!F18)</f>
        <v/>
      </c>
    </row>
    <row r="18">
      <c r="A18" s="33">
        <f>IF('04_月間表'!$A19="","",'04_月間表'!$A19)</f>
        <v/>
      </c>
      <c r="B18" s="31">
        <f>IF($A18="","",MID("日月火水木金土",WEEKDAY($A18),1))</f>
        <v/>
      </c>
      <c r="C18" s="31">
        <f>IF($A18="","",SUMPRODUCT(('01_予約入力'!$E$5:$E$204&lt;&gt;"")*('01_予約入力'!$K$5:$K$204&lt;&gt;"キャンセル")*('01_予約入力'!$E$5:$E$204&lt;$A18)*('01_予約入力'!$G$5:$G$204&gt;=$A18)))</f>
        <v/>
      </c>
      <c r="D18" s="31">
        <f>IF($A18="","",SUMPRODUCT(('01_予約入力'!$E$5:$E$204&lt;&gt;"")*('01_予約入力'!$K$5:$K$204&lt;&gt;"キャンセル")*((('01_予約入力'!$E$5:$E$204&lt;$A18)*('01_予約入力'!$G$5:$G$204&gt;$A18))+(('01_予約入力'!$E$5:$E$204=$A18)*('01_予約入力'!$G$5:$G$204=$A18)))))</f>
        <v/>
      </c>
      <c r="E18" s="31">
        <f>IF($A18="","",SUMPRODUCT(('01_予約入力'!$E$5:$E$204&lt;&gt;"")*('01_予約入力'!$K$5:$K$204&lt;&gt;"キャンセル")*('01_予約入力'!$E$5:$E$204&lt;=$A18)*('01_予約入力'!$G$5:$G$204&gt;$A18)))</f>
        <v/>
      </c>
      <c r="F18" s="36" t="n"/>
      <c r="G18" s="36" t="n"/>
      <c r="H18" s="36" t="n"/>
      <c r="I18" s="31">
        <f>IF($A18="","",IF($F18="",$C18,$F18))</f>
        <v/>
      </c>
      <c r="J18" s="31">
        <f>IF($A18="","",IF($G18="",$D18,$G18))</f>
        <v/>
      </c>
      <c r="K18" s="31">
        <f>IF($A18="","",IF($H18="",$E18,$H18))</f>
        <v/>
      </c>
      <c r="L18" s="37">
        <f>IF($A18="","",'04_月間表'!C19)</f>
        <v/>
      </c>
      <c r="M18" s="37">
        <f>IF($A18="","",'04_月間表'!D19)</f>
        <v/>
      </c>
      <c r="N18" s="37">
        <f>IF($A18="","",'04_月間表'!E19)</f>
        <v/>
      </c>
      <c r="O18" s="37">
        <f>IF($A18="","",'04_月間表'!F19)</f>
        <v/>
      </c>
    </row>
    <row r="19">
      <c r="A19" s="33">
        <f>IF('04_月間表'!$A20="","",'04_月間表'!$A20)</f>
        <v/>
      </c>
      <c r="B19" s="31">
        <f>IF($A19="","",MID("日月火水木金土",WEEKDAY($A19),1))</f>
        <v/>
      </c>
      <c r="C19" s="31">
        <f>IF($A19="","",SUMPRODUCT(('01_予約入力'!$E$5:$E$204&lt;&gt;"")*('01_予約入力'!$K$5:$K$204&lt;&gt;"キャンセル")*('01_予約入力'!$E$5:$E$204&lt;$A19)*('01_予約入力'!$G$5:$G$204&gt;=$A19)))</f>
        <v/>
      </c>
      <c r="D19" s="31">
        <f>IF($A19="","",SUMPRODUCT(('01_予約入力'!$E$5:$E$204&lt;&gt;"")*('01_予約入力'!$K$5:$K$204&lt;&gt;"キャンセル")*((('01_予約入力'!$E$5:$E$204&lt;$A19)*('01_予約入力'!$G$5:$G$204&gt;$A19))+(('01_予約入力'!$E$5:$E$204=$A19)*('01_予約入力'!$G$5:$G$204=$A19)))))</f>
        <v/>
      </c>
      <c r="E19" s="31">
        <f>IF($A19="","",SUMPRODUCT(('01_予約入力'!$E$5:$E$204&lt;&gt;"")*('01_予約入力'!$K$5:$K$204&lt;&gt;"キャンセル")*('01_予約入力'!$E$5:$E$204&lt;=$A19)*('01_予約入力'!$G$5:$G$204&gt;$A19)))</f>
        <v/>
      </c>
      <c r="F19" s="36" t="n"/>
      <c r="G19" s="36" t="n"/>
      <c r="H19" s="36" t="n"/>
      <c r="I19" s="31">
        <f>IF($A19="","",IF($F19="",$C19,$F19))</f>
        <v/>
      </c>
      <c r="J19" s="31">
        <f>IF($A19="","",IF($G19="",$D19,$G19))</f>
        <v/>
      </c>
      <c r="K19" s="31">
        <f>IF($A19="","",IF($H19="",$E19,$H19))</f>
        <v/>
      </c>
      <c r="L19" s="37">
        <f>IF($A19="","",'04_月間表'!C20)</f>
        <v/>
      </c>
      <c r="M19" s="37">
        <f>IF($A19="","",'04_月間表'!D20)</f>
        <v/>
      </c>
      <c r="N19" s="37">
        <f>IF($A19="","",'04_月間表'!E20)</f>
        <v/>
      </c>
      <c r="O19" s="37">
        <f>IF($A19="","",'04_月間表'!F20)</f>
        <v/>
      </c>
    </row>
    <row r="20">
      <c r="A20" s="33">
        <f>IF('04_月間表'!$A21="","",'04_月間表'!$A21)</f>
        <v/>
      </c>
      <c r="B20" s="31">
        <f>IF($A20="","",MID("日月火水木金土",WEEKDAY($A20),1))</f>
        <v/>
      </c>
      <c r="C20" s="31">
        <f>IF($A20="","",SUMPRODUCT(('01_予約入力'!$E$5:$E$204&lt;&gt;"")*('01_予約入力'!$K$5:$K$204&lt;&gt;"キャンセル")*('01_予約入力'!$E$5:$E$204&lt;$A20)*('01_予約入力'!$G$5:$G$204&gt;=$A20)))</f>
        <v/>
      </c>
      <c r="D20" s="31">
        <f>IF($A20="","",SUMPRODUCT(('01_予約入力'!$E$5:$E$204&lt;&gt;"")*('01_予約入力'!$K$5:$K$204&lt;&gt;"キャンセル")*((('01_予約入力'!$E$5:$E$204&lt;$A20)*('01_予約入力'!$G$5:$G$204&gt;$A20))+(('01_予約入力'!$E$5:$E$204=$A20)*('01_予約入力'!$G$5:$G$204=$A20)))))</f>
        <v/>
      </c>
      <c r="E20" s="31">
        <f>IF($A20="","",SUMPRODUCT(('01_予約入力'!$E$5:$E$204&lt;&gt;"")*('01_予約入力'!$K$5:$K$204&lt;&gt;"キャンセル")*('01_予約入力'!$E$5:$E$204&lt;=$A20)*('01_予約入力'!$G$5:$G$204&gt;$A20)))</f>
        <v/>
      </c>
      <c r="F20" s="36" t="n"/>
      <c r="G20" s="36" t="n"/>
      <c r="H20" s="36" t="n"/>
      <c r="I20" s="31">
        <f>IF($A20="","",IF($F20="",$C20,$F20))</f>
        <v/>
      </c>
      <c r="J20" s="31">
        <f>IF($A20="","",IF($G20="",$D20,$G20))</f>
        <v/>
      </c>
      <c r="K20" s="31">
        <f>IF($A20="","",IF($H20="",$E20,$H20))</f>
        <v/>
      </c>
      <c r="L20" s="37">
        <f>IF($A20="","",'04_月間表'!C21)</f>
        <v/>
      </c>
      <c r="M20" s="37">
        <f>IF($A20="","",'04_月間表'!D21)</f>
        <v/>
      </c>
      <c r="N20" s="37">
        <f>IF($A20="","",'04_月間表'!E21)</f>
        <v/>
      </c>
      <c r="O20" s="37">
        <f>IF($A20="","",'04_月間表'!F21)</f>
        <v/>
      </c>
    </row>
    <row r="21">
      <c r="A21" s="33">
        <f>IF('04_月間表'!$A22="","",'04_月間表'!$A22)</f>
        <v/>
      </c>
      <c r="B21" s="31">
        <f>IF($A21="","",MID("日月火水木金土",WEEKDAY($A21),1))</f>
        <v/>
      </c>
      <c r="C21" s="31">
        <f>IF($A21="","",SUMPRODUCT(('01_予約入力'!$E$5:$E$204&lt;&gt;"")*('01_予約入力'!$K$5:$K$204&lt;&gt;"キャンセル")*('01_予約入力'!$E$5:$E$204&lt;$A21)*('01_予約入力'!$G$5:$G$204&gt;=$A21)))</f>
        <v/>
      </c>
      <c r="D21" s="31">
        <f>IF($A21="","",SUMPRODUCT(('01_予約入力'!$E$5:$E$204&lt;&gt;"")*('01_予約入力'!$K$5:$K$204&lt;&gt;"キャンセル")*((('01_予約入力'!$E$5:$E$204&lt;$A21)*('01_予約入力'!$G$5:$G$204&gt;$A21))+(('01_予約入力'!$E$5:$E$204=$A21)*('01_予約入力'!$G$5:$G$204=$A21)))))</f>
        <v/>
      </c>
      <c r="E21" s="31">
        <f>IF($A21="","",SUMPRODUCT(('01_予約入力'!$E$5:$E$204&lt;&gt;"")*('01_予約入力'!$K$5:$K$204&lt;&gt;"キャンセル")*('01_予約入力'!$E$5:$E$204&lt;=$A21)*('01_予約入力'!$G$5:$G$204&gt;$A21)))</f>
        <v/>
      </c>
      <c r="F21" s="36" t="n"/>
      <c r="G21" s="36" t="n"/>
      <c r="H21" s="36" t="n"/>
      <c r="I21" s="31">
        <f>IF($A21="","",IF($F21="",$C21,$F21))</f>
        <v/>
      </c>
      <c r="J21" s="31">
        <f>IF($A21="","",IF($G21="",$D21,$G21))</f>
        <v/>
      </c>
      <c r="K21" s="31">
        <f>IF($A21="","",IF($H21="",$E21,$H21))</f>
        <v/>
      </c>
      <c r="L21" s="37">
        <f>IF($A21="","",'04_月間表'!C22)</f>
        <v/>
      </c>
      <c r="M21" s="37">
        <f>IF($A21="","",'04_月間表'!D22)</f>
        <v/>
      </c>
      <c r="N21" s="37">
        <f>IF($A21="","",'04_月間表'!E22)</f>
        <v/>
      </c>
      <c r="O21" s="37">
        <f>IF($A21="","",'04_月間表'!F22)</f>
        <v/>
      </c>
    </row>
    <row r="22">
      <c r="A22" s="33">
        <f>IF('04_月間表'!$A23="","",'04_月間表'!$A23)</f>
        <v/>
      </c>
      <c r="B22" s="31">
        <f>IF($A22="","",MID("日月火水木金土",WEEKDAY($A22),1))</f>
        <v/>
      </c>
      <c r="C22" s="31">
        <f>IF($A22="","",SUMPRODUCT(('01_予約入力'!$E$5:$E$204&lt;&gt;"")*('01_予約入力'!$K$5:$K$204&lt;&gt;"キャンセル")*('01_予約入力'!$E$5:$E$204&lt;$A22)*('01_予約入力'!$G$5:$G$204&gt;=$A22)))</f>
        <v/>
      </c>
      <c r="D22" s="31">
        <f>IF($A22="","",SUMPRODUCT(('01_予約入力'!$E$5:$E$204&lt;&gt;"")*('01_予約入力'!$K$5:$K$204&lt;&gt;"キャンセル")*((('01_予約入力'!$E$5:$E$204&lt;$A22)*('01_予約入力'!$G$5:$G$204&gt;$A22))+(('01_予約入力'!$E$5:$E$204=$A22)*('01_予約入力'!$G$5:$G$204=$A22)))))</f>
        <v/>
      </c>
      <c r="E22" s="31">
        <f>IF($A22="","",SUMPRODUCT(('01_予約入力'!$E$5:$E$204&lt;&gt;"")*('01_予約入力'!$K$5:$K$204&lt;&gt;"キャンセル")*('01_予約入力'!$E$5:$E$204&lt;=$A22)*('01_予約入力'!$G$5:$G$204&gt;$A22)))</f>
        <v/>
      </c>
      <c r="F22" s="36" t="n"/>
      <c r="G22" s="36" t="n"/>
      <c r="H22" s="36" t="n"/>
      <c r="I22" s="31">
        <f>IF($A22="","",IF($F22="",$C22,$F22))</f>
        <v/>
      </c>
      <c r="J22" s="31">
        <f>IF($A22="","",IF($G22="",$D22,$G22))</f>
        <v/>
      </c>
      <c r="K22" s="31">
        <f>IF($A22="","",IF($H22="",$E22,$H22))</f>
        <v/>
      </c>
      <c r="L22" s="37">
        <f>IF($A22="","",'04_月間表'!C23)</f>
        <v/>
      </c>
      <c r="M22" s="37">
        <f>IF($A22="","",'04_月間表'!D23)</f>
        <v/>
      </c>
      <c r="N22" s="37">
        <f>IF($A22="","",'04_月間表'!E23)</f>
        <v/>
      </c>
      <c r="O22" s="37">
        <f>IF($A22="","",'04_月間表'!F23)</f>
        <v/>
      </c>
    </row>
    <row r="23">
      <c r="A23" s="33">
        <f>IF('04_月間表'!$A24="","",'04_月間表'!$A24)</f>
        <v/>
      </c>
      <c r="B23" s="31">
        <f>IF($A23="","",MID("日月火水木金土",WEEKDAY($A23),1))</f>
        <v/>
      </c>
      <c r="C23" s="31">
        <f>IF($A23="","",SUMPRODUCT(('01_予約入力'!$E$5:$E$204&lt;&gt;"")*('01_予約入力'!$K$5:$K$204&lt;&gt;"キャンセル")*('01_予約入力'!$E$5:$E$204&lt;$A23)*('01_予約入力'!$G$5:$G$204&gt;=$A23)))</f>
        <v/>
      </c>
      <c r="D23" s="31">
        <f>IF($A23="","",SUMPRODUCT(('01_予約入力'!$E$5:$E$204&lt;&gt;"")*('01_予約入力'!$K$5:$K$204&lt;&gt;"キャンセル")*((('01_予約入力'!$E$5:$E$204&lt;$A23)*('01_予約入力'!$G$5:$G$204&gt;$A23))+(('01_予約入力'!$E$5:$E$204=$A23)*('01_予約入力'!$G$5:$G$204=$A23)))))</f>
        <v/>
      </c>
      <c r="E23" s="31">
        <f>IF($A23="","",SUMPRODUCT(('01_予約入力'!$E$5:$E$204&lt;&gt;"")*('01_予約入力'!$K$5:$K$204&lt;&gt;"キャンセル")*('01_予約入力'!$E$5:$E$204&lt;=$A23)*('01_予約入力'!$G$5:$G$204&gt;$A23)))</f>
        <v/>
      </c>
      <c r="F23" s="36" t="n"/>
      <c r="G23" s="36" t="n"/>
      <c r="H23" s="36" t="n"/>
      <c r="I23" s="31">
        <f>IF($A23="","",IF($F23="",$C23,$F23))</f>
        <v/>
      </c>
      <c r="J23" s="31">
        <f>IF($A23="","",IF($G23="",$D23,$G23))</f>
        <v/>
      </c>
      <c r="K23" s="31">
        <f>IF($A23="","",IF($H23="",$E23,$H23))</f>
        <v/>
      </c>
      <c r="L23" s="37">
        <f>IF($A23="","",'04_月間表'!C24)</f>
        <v/>
      </c>
      <c r="M23" s="37">
        <f>IF($A23="","",'04_月間表'!D24)</f>
        <v/>
      </c>
      <c r="N23" s="37">
        <f>IF($A23="","",'04_月間表'!E24)</f>
        <v/>
      </c>
      <c r="O23" s="37">
        <f>IF($A23="","",'04_月間表'!F24)</f>
        <v/>
      </c>
    </row>
    <row r="24">
      <c r="A24" s="33">
        <f>IF('04_月間表'!$A25="","",'04_月間表'!$A25)</f>
        <v/>
      </c>
      <c r="B24" s="31">
        <f>IF($A24="","",MID("日月火水木金土",WEEKDAY($A24),1))</f>
        <v/>
      </c>
      <c r="C24" s="31">
        <f>IF($A24="","",SUMPRODUCT(('01_予約入力'!$E$5:$E$204&lt;&gt;"")*('01_予約入力'!$K$5:$K$204&lt;&gt;"キャンセル")*('01_予約入力'!$E$5:$E$204&lt;$A24)*('01_予約入力'!$G$5:$G$204&gt;=$A24)))</f>
        <v/>
      </c>
      <c r="D24" s="31">
        <f>IF($A24="","",SUMPRODUCT(('01_予約入力'!$E$5:$E$204&lt;&gt;"")*('01_予約入力'!$K$5:$K$204&lt;&gt;"キャンセル")*((('01_予約入力'!$E$5:$E$204&lt;$A24)*('01_予約入力'!$G$5:$G$204&gt;$A24))+(('01_予約入力'!$E$5:$E$204=$A24)*('01_予約入力'!$G$5:$G$204=$A24)))))</f>
        <v/>
      </c>
      <c r="E24" s="31">
        <f>IF($A24="","",SUMPRODUCT(('01_予約入力'!$E$5:$E$204&lt;&gt;"")*('01_予約入力'!$K$5:$K$204&lt;&gt;"キャンセル")*('01_予約入力'!$E$5:$E$204&lt;=$A24)*('01_予約入力'!$G$5:$G$204&gt;$A24)))</f>
        <v/>
      </c>
      <c r="F24" s="36" t="n"/>
      <c r="G24" s="36" t="n"/>
      <c r="H24" s="36" t="n"/>
      <c r="I24" s="31">
        <f>IF($A24="","",IF($F24="",$C24,$F24))</f>
        <v/>
      </c>
      <c r="J24" s="31">
        <f>IF($A24="","",IF($G24="",$D24,$G24))</f>
        <v/>
      </c>
      <c r="K24" s="31">
        <f>IF($A24="","",IF($H24="",$E24,$H24))</f>
        <v/>
      </c>
      <c r="L24" s="37">
        <f>IF($A24="","",'04_月間表'!C25)</f>
        <v/>
      </c>
      <c r="M24" s="37">
        <f>IF($A24="","",'04_月間表'!D25)</f>
        <v/>
      </c>
      <c r="N24" s="37">
        <f>IF($A24="","",'04_月間表'!E25)</f>
        <v/>
      </c>
      <c r="O24" s="37">
        <f>IF($A24="","",'04_月間表'!F25)</f>
        <v/>
      </c>
    </row>
    <row r="25">
      <c r="A25" s="33">
        <f>IF('04_月間表'!$A26="","",'04_月間表'!$A26)</f>
        <v/>
      </c>
      <c r="B25" s="31">
        <f>IF($A25="","",MID("日月火水木金土",WEEKDAY($A25),1))</f>
        <v/>
      </c>
      <c r="C25" s="31">
        <f>IF($A25="","",SUMPRODUCT(('01_予約入力'!$E$5:$E$204&lt;&gt;"")*('01_予約入力'!$K$5:$K$204&lt;&gt;"キャンセル")*('01_予約入力'!$E$5:$E$204&lt;$A25)*('01_予約入力'!$G$5:$G$204&gt;=$A25)))</f>
        <v/>
      </c>
      <c r="D25" s="31">
        <f>IF($A25="","",SUMPRODUCT(('01_予約入力'!$E$5:$E$204&lt;&gt;"")*('01_予約入力'!$K$5:$K$204&lt;&gt;"キャンセル")*((('01_予約入力'!$E$5:$E$204&lt;$A25)*('01_予約入力'!$G$5:$G$204&gt;$A25))+(('01_予約入力'!$E$5:$E$204=$A25)*('01_予約入力'!$G$5:$G$204=$A25)))))</f>
        <v/>
      </c>
      <c r="E25" s="31">
        <f>IF($A25="","",SUMPRODUCT(('01_予約入力'!$E$5:$E$204&lt;&gt;"")*('01_予約入力'!$K$5:$K$204&lt;&gt;"キャンセル")*('01_予約入力'!$E$5:$E$204&lt;=$A25)*('01_予約入力'!$G$5:$G$204&gt;$A25)))</f>
        <v/>
      </c>
      <c r="F25" s="36" t="n"/>
      <c r="G25" s="36" t="n"/>
      <c r="H25" s="36" t="n"/>
      <c r="I25" s="31">
        <f>IF($A25="","",IF($F25="",$C25,$F25))</f>
        <v/>
      </c>
      <c r="J25" s="31">
        <f>IF($A25="","",IF($G25="",$D25,$G25))</f>
        <v/>
      </c>
      <c r="K25" s="31">
        <f>IF($A25="","",IF($H25="",$E25,$H25))</f>
        <v/>
      </c>
      <c r="L25" s="37">
        <f>IF($A25="","",'04_月間表'!C26)</f>
        <v/>
      </c>
      <c r="M25" s="37">
        <f>IF($A25="","",'04_月間表'!D26)</f>
        <v/>
      </c>
      <c r="N25" s="37">
        <f>IF($A25="","",'04_月間表'!E26)</f>
        <v/>
      </c>
      <c r="O25" s="37">
        <f>IF($A25="","",'04_月間表'!F26)</f>
        <v/>
      </c>
    </row>
    <row r="26">
      <c r="A26" s="33">
        <f>IF('04_月間表'!$A27="","",'04_月間表'!$A27)</f>
        <v/>
      </c>
      <c r="B26" s="31">
        <f>IF($A26="","",MID("日月火水木金土",WEEKDAY($A26),1))</f>
        <v/>
      </c>
      <c r="C26" s="31">
        <f>IF($A26="","",SUMPRODUCT(('01_予約入力'!$E$5:$E$204&lt;&gt;"")*('01_予約入力'!$K$5:$K$204&lt;&gt;"キャンセル")*('01_予約入力'!$E$5:$E$204&lt;$A26)*('01_予約入力'!$G$5:$G$204&gt;=$A26)))</f>
        <v/>
      </c>
      <c r="D26" s="31">
        <f>IF($A26="","",SUMPRODUCT(('01_予約入力'!$E$5:$E$204&lt;&gt;"")*('01_予約入力'!$K$5:$K$204&lt;&gt;"キャンセル")*((('01_予約入力'!$E$5:$E$204&lt;$A26)*('01_予約入力'!$G$5:$G$204&gt;$A26))+(('01_予約入力'!$E$5:$E$204=$A26)*('01_予約入力'!$G$5:$G$204=$A26)))))</f>
        <v/>
      </c>
      <c r="E26" s="31">
        <f>IF($A26="","",SUMPRODUCT(('01_予約入力'!$E$5:$E$204&lt;&gt;"")*('01_予約入力'!$K$5:$K$204&lt;&gt;"キャンセル")*('01_予約入力'!$E$5:$E$204&lt;=$A26)*('01_予約入力'!$G$5:$G$204&gt;$A26)))</f>
        <v/>
      </c>
      <c r="F26" s="36" t="n"/>
      <c r="G26" s="36" t="n"/>
      <c r="H26" s="36" t="n"/>
      <c r="I26" s="31">
        <f>IF($A26="","",IF($F26="",$C26,$F26))</f>
        <v/>
      </c>
      <c r="J26" s="31">
        <f>IF($A26="","",IF($G26="",$D26,$G26))</f>
        <v/>
      </c>
      <c r="K26" s="31">
        <f>IF($A26="","",IF($H26="",$E26,$H26))</f>
        <v/>
      </c>
      <c r="L26" s="37">
        <f>IF($A26="","",'04_月間表'!C27)</f>
        <v/>
      </c>
      <c r="M26" s="37">
        <f>IF($A26="","",'04_月間表'!D27)</f>
        <v/>
      </c>
      <c r="N26" s="37">
        <f>IF($A26="","",'04_月間表'!E27)</f>
        <v/>
      </c>
      <c r="O26" s="37">
        <f>IF($A26="","",'04_月間表'!F27)</f>
        <v/>
      </c>
    </row>
    <row r="27">
      <c r="A27" s="33">
        <f>IF('04_月間表'!$A28="","",'04_月間表'!$A28)</f>
        <v/>
      </c>
      <c r="B27" s="31">
        <f>IF($A27="","",MID("日月火水木金土",WEEKDAY($A27),1))</f>
        <v/>
      </c>
      <c r="C27" s="31">
        <f>IF($A27="","",SUMPRODUCT(('01_予約入力'!$E$5:$E$204&lt;&gt;"")*('01_予約入力'!$K$5:$K$204&lt;&gt;"キャンセル")*('01_予約入力'!$E$5:$E$204&lt;$A27)*('01_予約入力'!$G$5:$G$204&gt;=$A27)))</f>
        <v/>
      </c>
      <c r="D27" s="31">
        <f>IF($A27="","",SUMPRODUCT(('01_予約入力'!$E$5:$E$204&lt;&gt;"")*('01_予約入力'!$K$5:$K$204&lt;&gt;"キャンセル")*((('01_予約入力'!$E$5:$E$204&lt;$A27)*('01_予約入力'!$G$5:$G$204&gt;$A27))+(('01_予約入力'!$E$5:$E$204=$A27)*('01_予約入力'!$G$5:$G$204=$A27)))))</f>
        <v/>
      </c>
      <c r="E27" s="31">
        <f>IF($A27="","",SUMPRODUCT(('01_予約入力'!$E$5:$E$204&lt;&gt;"")*('01_予約入力'!$K$5:$K$204&lt;&gt;"キャンセル")*('01_予約入力'!$E$5:$E$204&lt;=$A27)*('01_予約入力'!$G$5:$G$204&gt;$A27)))</f>
        <v/>
      </c>
      <c r="F27" s="36" t="n"/>
      <c r="G27" s="36" t="n"/>
      <c r="H27" s="36" t="n"/>
      <c r="I27" s="31">
        <f>IF($A27="","",IF($F27="",$C27,$F27))</f>
        <v/>
      </c>
      <c r="J27" s="31">
        <f>IF($A27="","",IF($G27="",$D27,$G27))</f>
        <v/>
      </c>
      <c r="K27" s="31">
        <f>IF($A27="","",IF($H27="",$E27,$H27))</f>
        <v/>
      </c>
      <c r="L27" s="37">
        <f>IF($A27="","",'04_月間表'!C28)</f>
        <v/>
      </c>
      <c r="M27" s="37">
        <f>IF($A27="","",'04_月間表'!D28)</f>
        <v/>
      </c>
      <c r="N27" s="37">
        <f>IF($A27="","",'04_月間表'!E28)</f>
        <v/>
      </c>
      <c r="O27" s="37">
        <f>IF($A27="","",'04_月間表'!F28)</f>
        <v/>
      </c>
    </row>
    <row r="28">
      <c r="A28" s="33">
        <f>IF('04_月間表'!$A29="","",'04_月間表'!$A29)</f>
        <v/>
      </c>
      <c r="B28" s="31">
        <f>IF($A28="","",MID("日月火水木金土",WEEKDAY($A28),1))</f>
        <v/>
      </c>
      <c r="C28" s="31">
        <f>IF($A28="","",SUMPRODUCT(('01_予約入力'!$E$5:$E$204&lt;&gt;"")*('01_予約入力'!$K$5:$K$204&lt;&gt;"キャンセル")*('01_予約入力'!$E$5:$E$204&lt;$A28)*('01_予約入力'!$G$5:$G$204&gt;=$A28)))</f>
        <v/>
      </c>
      <c r="D28" s="31">
        <f>IF($A28="","",SUMPRODUCT(('01_予約入力'!$E$5:$E$204&lt;&gt;"")*('01_予約入力'!$K$5:$K$204&lt;&gt;"キャンセル")*((('01_予約入力'!$E$5:$E$204&lt;$A28)*('01_予約入力'!$G$5:$G$204&gt;$A28))+(('01_予約入力'!$E$5:$E$204=$A28)*('01_予約入力'!$G$5:$G$204=$A28)))))</f>
        <v/>
      </c>
      <c r="E28" s="31">
        <f>IF($A28="","",SUMPRODUCT(('01_予約入力'!$E$5:$E$204&lt;&gt;"")*('01_予約入力'!$K$5:$K$204&lt;&gt;"キャンセル")*('01_予約入力'!$E$5:$E$204&lt;=$A28)*('01_予約入力'!$G$5:$G$204&gt;$A28)))</f>
        <v/>
      </c>
      <c r="F28" s="36" t="n"/>
      <c r="G28" s="36" t="n"/>
      <c r="H28" s="36" t="n"/>
      <c r="I28" s="31">
        <f>IF($A28="","",IF($F28="",$C28,$F28))</f>
        <v/>
      </c>
      <c r="J28" s="31">
        <f>IF($A28="","",IF($G28="",$D28,$G28))</f>
        <v/>
      </c>
      <c r="K28" s="31">
        <f>IF($A28="","",IF($H28="",$E28,$H28))</f>
        <v/>
      </c>
      <c r="L28" s="37">
        <f>IF($A28="","",'04_月間表'!C29)</f>
        <v/>
      </c>
      <c r="M28" s="37">
        <f>IF($A28="","",'04_月間表'!D29)</f>
        <v/>
      </c>
      <c r="N28" s="37">
        <f>IF($A28="","",'04_月間表'!E29)</f>
        <v/>
      </c>
      <c r="O28" s="37">
        <f>IF($A28="","",'04_月間表'!F29)</f>
        <v/>
      </c>
    </row>
    <row r="29">
      <c r="A29" s="33">
        <f>IF('04_月間表'!$A30="","",'04_月間表'!$A30)</f>
        <v/>
      </c>
      <c r="B29" s="31">
        <f>IF($A29="","",MID("日月火水木金土",WEEKDAY($A29),1))</f>
        <v/>
      </c>
      <c r="C29" s="31">
        <f>IF($A29="","",SUMPRODUCT(('01_予約入力'!$E$5:$E$204&lt;&gt;"")*('01_予約入力'!$K$5:$K$204&lt;&gt;"キャンセル")*('01_予約入力'!$E$5:$E$204&lt;$A29)*('01_予約入力'!$G$5:$G$204&gt;=$A29)))</f>
        <v/>
      </c>
      <c r="D29" s="31">
        <f>IF($A29="","",SUMPRODUCT(('01_予約入力'!$E$5:$E$204&lt;&gt;"")*('01_予約入力'!$K$5:$K$204&lt;&gt;"キャンセル")*((('01_予約入力'!$E$5:$E$204&lt;$A29)*('01_予約入力'!$G$5:$G$204&gt;$A29))+(('01_予約入力'!$E$5:$E$204=$A29)*('01_予約入力'!$G$5:$G$204=$A29)))))</f>
        <v/>
      </c>
      <c r="E29" s="31">
        <f>IF($A29="","",SUMPRODUCT(('01_予約入力'!$E$5:$E$204&lt;&gt;"")*('01_予約入力'!$K$5:$K$204&lt;&gt;"キャンセル")*('01_予約入力'!$E$5:$E$204&lt;=$A29)*('01_予約入力'!$G$5:$G$204&gt;$A29)))</f>
        <v/>
      </c>
      <c r="F29" s="36" t="n"/>
      <c r="G29" s="36" t="n"/>
      <c r="H29" s="36" t="n"/>
      <c r="I29" s="31">
        <f>IF($A29="","",IF($F29="",$C29,$F29))</f>
        <v/>
      </c>
      <c r="J29" s="31">
        <f>IF($A29="","",IF($G29="",$D29,$G29))</f>
        <v/>
      </c>
      <c r="K29" s="31">
        <f>IF($A29="","",IF($H29="",$E29,$H29))</f>
        <v/>
      </c>
      <c r="L29" s="37">
        <f>IF($A29="","",'04_月間表'!C30)</f>
        <v/>
      </c>
      <c r="M29" s="37">
        <f>IF($A29="","",'04_月間表'!D30)</f>
        <v/>
      </c>
      <c r="N29" s="37">
        <f>IF($A29="","",'04_月間表'!E30)</f>
        <v/>
      </c>
      <c r="O29" s="37">
        <f>IF($A29="","",'04_月間表'!F30)</f>
        <v/>
      </c>
    </row>
    <row r="30">
      <c r="A30" s="33">
        <f>IF('04_月間表'!$A31="","",'04_月間表'!$A31)</f>
        <v/>
      </c>
      <c r="B30" s="31">
        <f>IF($A30="","",MID("日月火水木金土",WEEKDAY($A30),1))</f>
        <v/>
      </c>
      <c r="C30" s="31">
        <f>IF($A30="","",SUMPRODUCT(('01_予約入力'!$E$5:$E$204&lt;&gt;"")*('01_予約入力'!$K$5:$K$204&lt;&gt;"キャンセル")*('01_予約入力'!$E$5:$E$204&lt;$A30)*('01_予約入力'!$G$5:$G$204&gt;=$A30)))</f>
        <v/>
      </c>
      <c r="D30" s="31">
        <f>IF($A30="","",SUMPRODUCT(('01_予約入力'!$E$5:$E$204&lt;&gt;"")*('01_予約入力'!$K$5:$K$204&lt;&gt;"キャンセル")*((('01_予約入力'!$E$5:$E$204&lt;$A30)*('01_予約入力'!$G$5:$G$204&gt;$A30))+(('01_予約入力'!$E$5:$E$204=$A30)*('01_予約入力'!$G$5:$G$204=$A30)))))</f>
        <v/>
      </c>
      <c r="E30" s="31">
        <f>IF($A30="","",SUMPRODUCT(('01_予約入力'!$E$5:$E$204&lt;&gt;"")*('01_予約入力'!$K$5:$K$204&lt;&gt;"キャンセル")*('01_予約入力'!$E$5:$E$204&lt;=$A30)*('01_予約入力'!$G$5:$G$204&gt;$A30)))</f>
        <v/>
      </c>
      <c r="F30" s="36" t="n"/>
      <c r="G30" s="36" t="n"/>
      <c r="H30" s="36" t="n"/>
      <c r="I30" s="31">
        <f>IF($A30="","",IF($F30="",$C30,$F30))</f>
        <v/>
      </c>
      <c r="J30" s="31">
        <f>IF($A30="","",IF($G30="",$D30,$G30))</f>
        <v/>
      </c>
      <c r="K30" s="31">
        <f>IF($A30="","",IF($H30="",$E30,$H30))</f>
        <v/>
      </c>
      <c r="L30" s="37">
        <f>IF($A30="","",'04_月間表'!C31)</f>
        <v/>
      </c>
      <c r="M30" s="37">
        <f>IF($A30="","",'04_月間表'!D31)</f>
        <v/>
      </c>
      <c r="N30" s="37">
        <f>IF($A30="","",'04_月間表'!E31)</f>
        <v/>
      </c>
      <c r="O30" s="37">
        <f>IF($A30="","",'04_月間表'!F31)</f>
        <v/>
      </c>
    </row>
    <row r="31">
      <c r="A31" s="33">
        <f>IF('04_月間表'!$A32="","",'04_月間表'!$A32)</f>
        <v/>
      </c>
      <c r="B31" s="31">
        <f>IF($A31="","",MID("日月火水木金土",WEEKDAY($A31),1))</f>
        <v/>
      </c>
      <c r="C31" s="31">
        <f>IF($A31="","",SUMPRODUCT(('01_予約入力'!$E$5:$E$204&lt;&gt;"")*('01_予約入力'!$K$5:$K$204&lt;&gt;"キャンセル")*('01_予約入力'!$E$5:$E$204&lt;$A31)*('01_予約入力'!$G$5:$G$204&gt;=$A31)))</f>
        <v/>
      </c>
      <c r="D31" s="31">
        <f>IF($A31="","",SUMPRODUCT(('01_予約入力'!$E$5:$E$204&lt;&gt;"")*('01_予約入力'!$K$5:$K$204&lt;&gt;"キャンセル")*((('01_予約入力'!$E$5:$E$204&lt;$A31)*('01_予約入力'!$G$5:$G$204&gt;$A31))+(('01_予約入力'!$E$5:$E$204=$A31)*('01_予約入力'!$G$5:$G$204=$A31)))))</f>
        <v/>
      </c>
      <c r="E31" s="31">
        <f>IF($A31="","",SUMPRODUCT(('01_予約入力'!$E$5:$E$204&lt;&gt;"")*('01_予約入力'!$K$5:$K$204&lt;&gt;"キャンセル")*('01_予約入力'!$E$5:$E$204&lt;=$A31)*('01_予約入力'!$G$5:$G$204&gt;$A31)))</f>
        <v/>
      </c>
      <c r="F31" s="36" t="n"/>
      <c r="G31" s="36" t="n"/>
      <c r="H31" s="36" t="n"/>
      <c r="I31" s="31">
        <f>IF($A31="","",IF($F31="",$C31,$F31))</f>
        <v/>
      </c>
      <c r="J31" s="31">
        <f>IF($A31="","",IF($G31="",$D31,$G31))</f>
        <v/>
      </c>
      <c r="K31" s="31">
        <f>IF($A31="","",IF($H31="",$E31,$H31))</f>
        <v/>
      </c>
      <c r="L31" s="37">
        <f>IF($A31="","",'04_月間表'!C32)</f>
        <v/>
      </c>
      <c r="M31" s="37">
        <f>IF($A31="","",'04_月間表'!D32)</f>
        <v/>
      </c>
      <c r="N31" s="37">
        <f>IF($A31="","",'04_月間表'!E32)</f>
        <v/>
      </c>
      <c r="O31" s="37">
        <f>IF($A31="","",'04_月間表'!F32)</f>
        <v/>
      </c>
    </row>
    <row r="32">
      <c r="A32" s="33">
        <f>IF('04_月間表'!$A33="","",'04_月間表'!$A33)</f>
        <v/>
      </c>
      <c r="B32" s="31">
        <f>IF($A32="","",MID("日月火水木金土",WEEKDAY($A32),1))</f>
        <v/>
      </c>
      <c r="C32" s="31">
        <f>IF($A32="","",SUMPRODUCT(('01_予約入力'!$E$5:$E$204&lt;&gt;"")*('01_予約入力'!$K$5:$K$204&lt;&gt;"キャンセル")*('01_予約入力'!$E$5:$E$204&lt;$A32)*('01_予約入力'!$G$5:$G$204&gt;=$A32)))</f>
        <v/>
      </c>
      <c r="D32" s="31">
        <f>IF($A32="","",SUMPRODUCT(('01_予約入力'!$E$5:$E$204&lt;&gt;"")*('01_予約入力'!$K$5:$K$204&lt;&gt;"キャンセル")*((('01_予約入力'!$E$5:$E$204&lt;$A32)*('01_予約入力'!$G$5:$G$204&gt;$A32))+(('01_予約入力'!$E$5:$E$204=$A32)*('01_予約入力'!$G$5:$G$204=$A32)))))</f>
        <v/>
      </c>
      <c r="E32" s="31">
        <f>IF($A32="","",SUMPRODUCT(('01_予約入力'!$E$5:$E$204&lt;&gt;"")*('01_予約入力'!$K$5:$K$204&lt;&gt;"キャンセル")*('01_予約入力'!$E$5:$E$204&lt;=$A32)*('01_予約入力'!$G$5:$G$204&gt;$A32)))</f>
        <v/>
      </c>
      <c r="F32" s="36" t="n"/>
      <c r="G32" s="36" t="n"/>
      <c r="H32" s="36" t="n"/>
      <c r="I32" s="31">
        <f>IF($A32="","",IF($F32="",$C32,$F32))</f>
        <v/>
      </c>
      <c r="J32" s="31">
        <f>IF($A32="","",IF($G32="",$D32,$G32))</f>
        <v/>
      </c>
      <c r="K32" s="31">
        <f>IF($A32="","",IF($H32="",$E32,$H32))</f>
        <v/>
      </c>
      <c r="L32" s="37">
        <f>IF($A32="","",'04_月間表'!C33)</f>
        <v/>
      </c>
      <c r="M32" s="37">
        <f>IF($A32="","",'04_月間表'!D33)</f>
        <v/>
      </c>
      <c r="N32" s="37">
        <f>IF($A32="","",'04_月間表'!E33)</f>
        <v/>
      </c>
      <c r="O32" s="37">
        <f>IF($A32="","",'04_月間表'!F33)</f>
        <v/>
      </c>
    </row>
    <row r="33">
      <c r="A33" s="33">
        <f>IF('04_月間表'!$A34="","",'04_月間表'!$A34)</f>
        <v/>
      </c>
      <c r="B33" s="31">
        <f>IF($A33="","",MID("日月火水木金土",WEEKDAY($A33),1))</f>
        <v/>
      </c>
      <c r="C33" s="31">
        <f>IF($A33="","",SUMPRODUCT(('01_予約入力'!$E$5:$E$204&lt;&gt;"")*('01_予約入力'!$K$5:$K$204&lt;&gt;"キャンセル")*('01_予約入力'!$E$5:$E$204&lt;$A33)*('01_予約入力'!$G$5:$G$204&gt;=$A33)))</f>
        <v/>
      </c>
      <c r="D33" s="31">
        <f>IF($A33="","",SUMPRODUCT(('01_予約入力'!$E$5:$E$204&lt;&gt;"")*('01_予約入力'!$K$5:$K$204&lt;&gt;"キャンセル")*((('01_予約入力'!$E$5:$E$204&lt;$A33)*('01_予約入力'!$G$5:$G$204&gt;$A33))+(('01_予約入力'!$E$5:$E$204=$A33)*('01_予約入力'!$G$5:$G$204=$A33)))))</f>
        <v/>
      </c>
      <c r="E33" s="31">
        <f>IF($A33="","",SUMPRODUCT(('01_予約入力'!$E$5:$E$204&lt;&gt;"")*('01_予約入力'!$K$5:$K$204&lt;&gt;"キャンセル")*('01_予約入力'!$E$5:$E$204&lt;=$A33)*('01_予約入力'!$G$5:$G$204&gt;$A33)))</f>
        <v/>
      </c>
      <c r="F33" s="36" t="n"/>
      <c r="G33" s="36" t="n"/>
      <c r="H33" s="36" t="n"/>
      <c r="I33" s="31">
        <f>IF($A33="","",IF($F33="",$C33,$F33))</f>
        <v/>
      </c>
      <c r="J33" s="31">
        <f>IF($A33="","",IF($G33="",$D33,$G33))</f>
        <v/>
      </c>
      <c r="K33" s="31">
        <f>IF($A33="","",IF($H33="",$E33,$H33))</f>
        <v/>
      </c>
      <c r="L33" s="37">
        <f>IF($A33="","",'04_月間表'!C34)</f>
        <v/>
      </c>
      <c r="M33" s="37">
        <f>IF($A33="","",'04_月間表'!D34)</f>
        <v/>
      </c>
      <c r="N33" s="37">
        <f>IF($A33="","",'04_月間表'!E34)</f>
        <v/>
      </c>
      <c r="O33" s="37">
        <f>IF($A33="","",'04_月間表'!F34)</f>
        <v/>
      </c>
    </row>
    <row r="34">
      <c r="A34" s="33">
        <f>IF('04_月間表'!$A35="","",'04_月間表'!$A35)</f>
        <v/>
      </c>
      <c r="B34" s="31">
        <f>IF($A34="","",MID("日月火水木金土",WEEKDAY($A34),1))</f>
        <v/>
      </c>
      <c r="C34" s="31">
        <f>IF($A34="","",SUMPRODUCT(('01_予約入力'!$E$5:$E$204&lt;&gt;"")*('01_予約入力'!$K$5:$K$204&lt;&gt;"キャンセル")*('01_予約入力'!$E$5:$E$204&lt;$A34)*('01_予約入力'!$G$5:$G$204&gt;=$A34)))</f>
        <v/>
      </c>
      <c r="D34" s="31">
        <f>IF($A34="","",SUMPRODUCT(('01_予約入力'!$E$5:$E$204&lt;&gt;"")*('01_予約入力'!$K$5:$K$204&lt;&gt;"キャンセル")*((('01_予約入力'!$E$5:$E$204&lt;$A34)*('01_予約入力'!$G$5:$G$204&gt;$A34))+(('01_予約入力'!$E$5:$E$204=$A34)*('01_予約入力'!$G$5:$G$204=$A34)))))</f>
        <v/>
      </c>
      <c r="E34" s="31">
        <f>IF($A34="","",SUMPRODUCT(('01_予約入力'!$E$5:$E$204&lt;&gt;"")*('01_予約入力'!$K$5:$K$204&lt;&gt;"キャンセル")*('01_予約入力'!$E$5:$E$204&lt;=$A34)*('01_予約入力'!$G$5:$G$204&gt;$A34)))</f>
        <v/>
      </c>
      <c r="F34" s="36" t="n"/>
      <c r="G34" s="36" t="n"/>
      <c r="H34" s="36" t="n"/>
      <c r="I34" s="31">
        <f>IF($A34="","",IF($F34="",$C34,$F34))</f>
        <v/>
      </c>
      <c r="J34" s="31">
        <f>IF($A34="","",IF($G34="",$D34,$G34))</f>
        <v/>
      </c>
      <c r="K34" s="31">
        <f>IF($A34="","",IF($H34="",$E34,$H34))</f>
        <v/>
      </c>
      <c r="L34" s="37">
        <f>IF($A34="","",'04_月間表'!C35)</f>
        <v/>
      </c>
      <c r="M34" s="37">
        <f>IF($A34="","",'04_月間表'!D35)</f>
        <v/>
      </c>
      <c r="N34" s="37">
        <f>IF($A34="","",'04_月間表'!E35)</f>
        <v/>
      </c>
      <c r="O34" s="37">
        <f>IF($A34="","",'04_月間表'!F35)</f>
        <v/>
      </c>
    </row>
    <row r="35">
      <c r="A35" s="33">
        <f>IF('04_月間表'!$A36="","",'04_月間表'!$A36)</f>
        <v/>
      </c>
      <c r="B35" s="31">
        <f>IF($A35="","",MID("日月火水木金土",WEEKDAY($A35),1))</f>
        <v/>
      </c>
      <c r="C35" s="31">
        <f>IF($A35="","",SUMPRODUCT(('01_予約入力'!$E$5:$E$204&lt;&gt;"")*('01_予約入力'!$K$5:$K$204&lt;&gt;"キャンセル")*('01_予約入力'!$E$5:$E$204&lt;$A35)*('01_予約入力'!$G$5:$G$204&gt;=$A35)))</f>
        <v/>
      </c>
      <c r="D35" s="31">
        <f>IF($A35="","",SUMPRODUCT(('01_予約入力'!$E$5:$E$204&lt;&gt;"")*('01_予約入力'!$K$5:$K$204&lt;&gt;"キャンセル")*((('01_予約入力'!$E$5:$E$204&lt;$A35)*('01_予約入力'!$G$5:$G$204&gt;$A35))+(('01_予約入力'!$E$5:$E$204=$A35)*('01_予約入力'!$G$5:$G$204=$A35)))))</f>
        <v/>
      </c>
      <c r="E35" s="31">
        <f>IF($A35="","",SUMPRODUCT(('01_予約入力'!$E$5:$E$204&lt;&gt;"")*('01_予約入力'!$K$5:$K$204&lt;&gt;"キャンセル")*('01_予約入力'!$E$5:$E$204&lt;=$A35)*('01_予約入力'!$G$5:$G$204&gt;$A35)))</f>
        <v/>
      </c>
      <c r="F35" s="36" t="n"/>
      <c r="G35" s="36" t="n"/>
      <c r="H35" s="36" t="n"/>
      <c r="I35" s="31">
        <f>IF($A35="","",IF($F35="",$C35,$F35))</f>
        <v/>
      </c>
      <c r="J35" s="31">
        <f>IF($A35="","",IF($G35="",$D35,$G35))</f>
        <v/>
      </c>
      <c r="K35" s="31">
        <f>IF($A35="","",IF($H35="",$E35,$H35))</f>
        <v/>
      </c>
      <c r="L35" s="37">
        <f>IF($A35="","",'04_月間表'!C36)</f>
        <v/>
      </c>
      <c r="M35" s="37">
        <f>IF($A35="","",'04_月間表'!D36)</f>
        <v/>
      </c>
      <c r="N35" s="37">
        <f>IF($A35="","",'04_月間表'!E36)</f>
        <v/>
      </c>
      <c r="O35" s="37">
        <f>IF($A35="","",'04_月間表'!F36)</f>
        <v/>
      </c>
    </row>
    <row r="36">
      <c r="A36" s="33">
        <f>IF('04_月間表'!$A37="","",'04_月間表'!$A37)</f>
        <v/>
      </c>
      <c r="B36" s="31">
        <f>IF($A36="","",MID("日月火水木金土",WEEKDAY($A36),1))</f>
        <v/>
      </c>
      <c r="C36" s="31">
        <f>IF($A36="","",SUMPRODUCT(('01_予約入力'!$E$5:$E$204&lt;&gt;"")*('01_予約入力'!$K$5:$K$204&lt;&gt;"キャンセル")*('01_予約入力'!$E$5:$E$204&lt;$A36)*('01_予約入力'!$G$5:$G$204&gt;=$A36)))</f>
        <v/>
      </c>
      <c r="D36" s="31">
        <f>IF($A36="","",SUMPRODUCT(('01_予約入力'!$E$5:$E$204&lt;&gt;"")*('01_予約入力'!$K$5:$K$204&lt;&gt;"キャンセル")*((('01_予約入力'!$E$5:$E$204&lt;$A36)*('01_予約入力'!$G$5:$G$204&gt;$A36))+(('01_予約入力'!$E$5:$E$204=$A36)*('01_予約入力'!$G$5:$G$204=$A36)))))</f>
        <v/>
      </c>
      <c r="E36" s="31">
        <f>IF($A36="","",SUMPRODUCT(('01_予約入力'!$E$5:$E$204&lt;&gt;"")*('01_予約入力'!$K$5:$K$204&lt;&gt;"キャンセル")*('01_予約入力'!$E$5:$E$204&lt;=$A36)*('01_予約入力'!$G$5:$G$204&gt;$A36)))</f>
        <v/>
      </c>
      <c r="F36" s="36" t="n"/>
      <c r="G36" s="36" t="n"/>
      <c r="H36" s="36" t="n"/>
      <c r="I36" s="31">
        <f>IF($A36="","",IF($F36="",$C36,$F36))</f>
        <v/>
      </c>
      <c r="J36" s="31">
        <f>IF($A36="","",IF($G36="",$D36,$G36))</f>
        <v/>
      </c>
      <c r="K36" s="31">
        <f>IF($A36="","",IF($H36="",$E36,$H36))</f>
        <v/>
      </c>
      <c r="L36" s="37">
        <f>IF($A36="","",'04_月間表'!C37)</f>
        <v/>
      </c>
      <c r="M36" s="37">
        <f>IF($A36="","",'04_月間表'!D37)</f>
        <v/>
      </c>
      <c r="N36" s="37">
        <f>IF($A36="","",'04_月間表'!E37)</f>
        <v/>
      </c>
      <c r="O36" s="37">
        <f>IF($A36="","",'04_月間表'!F37)</f>
        <v/>
      </c>
    </row>
    <row r="38">
      <c r="A38" s="12" t="inlineStr">
        <is>
          <t>月合計</t>
        </is>
      </c>
      <c r="I38" s="38">
        <f>SUM(I6:I36)</f>
        <v/>
      </c>
      <c r="J38" s="38">
        <f>SUM(J6:J36)</f>
        <v/>
      </c>
      <c r="K38" s="38">
        <f>SUM(K6:K36)</f>
        <v/>
      </c>
      <c r="L38" s="2" t="inlineStr">
        <is>
          <t>厨房へはこの「確定」列（I〜K）を渡してください</t>
        </is>
      </c>
    </row>
  </sheetData>
  <conditionalFormatting sqref="A6:B36">
    <cfRule type="expression" priority="1" dxfId="12">
      <formula>AND($A6&lt;&gt;"",WEEKDAY($A6,2)&gt;=6)</formula>
    </cfRule>
  </conditionalFormatting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6" customWidth="1" min="4" max="4"/>
    <col width="14" customWidth="1" min="5" max="5"/>
  </cols>
  <sheetData>
    <row r="1">
      <c r="A1" s="1" t="inlineStr">
        <is>
          <t>期間集計（上司報告・請求突合用）</t>
        </is>
      </c>
    </row>
    <row r="2">
      <c r="A2" s="2" t="inlineStr">
        <is>
          <t>期間を入れると区分別・利用者別が出ます。キャンセルは除外。期間にかかった滞在は、期間内に重なる日数だけ数えます。</t>
        </is>
      </c>
    </row>
    <row r="3">
      <c r="A3" s="12" t="inlineStr">
        <is>
          <t>開始日</t>
        </is>
      </c>
      <c r="B3" s="13" t="n">
        <v>46113</v>
      </c>
    </row>
    <row r="4">
      <c r="A4" s="12" t="inlineStr">
        <is>
          <t>終了日</t>
        </is>
      </c>
      <c r="B4" s="13" t="n">
        <v>46142</v>
      </c>
    </row>
    <row r="6">
      <c r="A6" s="15" t="inlineStr">
        <is>
          <t>■ 区分別</t>
        </is>
      </c>
    </row>
    <row r="7" ht="30" customHeight="1">
      <c r="A7" s="7" t="inlineStr">
        <is>
          <t>区分</t>
        </is>
      </c>
      <c r="B7" s="7" t="inlineStr">
        <is>
          <t>利用者数</t>
        </is>
      </c>
      <c r="C7" s="7" t="inlineStr">
        <is>
          <t>利用回数</t>
        </is>
      </c>
      <c r="D7" s="7" t="inlineStr">
        <is>
          <t>延べ利用日数</t>
        </is>
      </c>
      <c r="E7" s="7" t="inlineStr">
        <is>
          <t>延べ宿泊数</t>
        </is>
      </c>
    </row>
    <row r="8">
      <c r="A8" s="34">
        <f>IF(COUNTA('M_区分'!$A$4:$A$20)&gt;=1,INDEX('M_区分'!$A$4:$A$20,1),"")</f>
        <v/>
      </c>
      <c r="B8" s="31">
        <f>IF($A8="","",SUMPRODUCT(--(COUNTIFS('01_予約入力'!$B$5:$B$204,'M_利用者'!$A$4:$A$60,'01_予約入力'!$C$5:$C$204,$A8,'01_予約入力'!$E$5:$E$204,"&lt;="&amp;$B$4,'01_予約入力'!$G$5:$G$204,"&gt;="&amp;$B$3,'01_予約入力'!$K$5:$K$204,"&lt;&gt;キャンセル")&gt;0)*('M_利用者'!$A$4:$A$60&lt;&gt;"")))</f>
        <v/>
      </c>
      <c r="C8" s="31">
        <f>IF($A8="","",COUNTIFS('01_予約入力'!$C$5:$C$204,$A8,'01_予約入力'!$E$5:$E$204,"&lt;="&amp;$B$4,'01_予約入力'!$G$5:$G$204,"&gt;="&amp;$B$3,'01_予約入力'!$K$5:$K$204,"&lt;&gt;キャンセル"))</f>
        <v/>
      </c>
      <c r="D8" s="31">
        <f>IF($A8="","",SUMPRODUCT(('01_予約入力'!$E$5:$E$204&lt;&gt;"")*('01_予約入力'!$K$5:$K$204&lt;&gt;"キャンセル")*('01_予約入力'!$C$5:$C$204=$A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8" s="31">
        <f>IF($A8="","",SUMPRODUCT(('01_予約入力'!$E$5:$E$204&lt;&gt;"")*('01_予約入力'!$K$5:$K$204&lt;&gt;"キャンセル")*('01_予約入力'!$C$5:$C$204=$A8)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9">
      <c r="A9" s="34">
        <f>IF(COUNTA('M_区分'!$A$4:$A$20)&gt;=2,INDEX('M_区分'!$A$4:$A$20,2),"")</f>
        <v/>
      </c>
      <c r="B9" s="31">
        <f>IF($A9="","",SUMPRODUCT(--(COUNTIFS('01_予約入力'!$B$5:$B$204,'M_利用者'!$A$4:$A$60,'01_予約入力'!$C$5:$C$204,$A9,'01_予約入力'!$E$5:$E$204,"&lt;="&amp;$B$4,'01_予約入力'!$G$5:$G$204,"&gt;="&amp;$B$3,'01_予約入力'!$K$5:$K$204,"&lt;&gt;キャンセル")&gt;0)*('M_利用者'!$A$4:$A$60&lt;&gt;"")))</f>
        <v/>
      </c>
      <c r="C9" s="31">
        <f>IF($A9="","",COUNTIFS('01_予約入力'!$C$5:$C$204,$A9,'01_予約入力'!$E$5:$E$204,"&lt;="&amp;$B$4,'01_予約入力'!$G$5:$G$204,"&gt;="&amp;$B$3,'01_予約入力'!$K$5:$K$204,"&lt;&gt;キャンセル"))</f>
        <v/>
      </c>
      <c r="D9" s="31">
        <f>IF($A9="","",SUMPRODUCT(('01_予約入力'!$E$5:$E$204&lt;&gt;"")*('01_予約入力'!$K$5:$K$204&lt;&gt;"キャンセル")*('01_予約入力'!$C$5:$C$204=$A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9" s="31">
        <f>IF($A9="","",SUMPRODUCT(('01_予約入力'!$E$5:$E$204&lt;&gt;"")*('01_予約入力'!$K$5:$K$204&lt;&gt;"キャンセル")*('01_予約入力'!$C$5:$C$204=$A9)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0">
      <c r="A10" s="34">
        <f>IF(COUNTA('M_区分'!$A$4:$A$20)&gt;=3,INDEX('M_区分'!$A$4:$A$20,3),"")</f>
        <v/>
      </c>
      <c r="B10" s="31">
        <f>IF($A10="","",SUMPRODUCT(--(COUNTIFS('01_予約入力'!$B$5:$B$204,'M_利用者'!$A$4:$A$60,'01_予約入力'!$C$5:$C$204,$A10,'01_予約入力'!$E$5:$E$204,"&lt;="&amp;$B$4,'01_予約入力'!$G$5:$G$204,"&gt;="&amp;$B$3,'01_予約入力'!$K$5:$K$204,"&lt;&gt;キャンセル")&gt;0)*('M_利用者'!$A$4:$A$60&lt;&gt;"")))</f>
        <v/>
      </c>
      <c r="C10" s="31">
        <f>IF($A10="","",COUNTIFS('01_予約入力'!$C$5:$C$204,$A10,'01_予約入力'!$E$5:$E$204,"&lt;="&amp;$B$4,'01_予約入力'!$G$5:$G$204,"&gt;="&amp;$B$3,'01_予約入力'!$K$5:$K$204,"&lt;&gt;キャンセル"))</f>
        <v/>
      </c>
      <c r="D10" s="31">
        <f>IF($A10="","",SUMPRODUCT(('01_予約入力'!$E$5:$E$204&lt;&gt;"")*('01_予約入力'!$K$5:$K$204&lt;&gt;"キャンセル")*('01_予約入力'!$C$5:$C$204=$A10)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0" s="31">
        <f>IF($A10="","",SUMPRODUCT(('01_予約入力'!$E$5:$E$204&lt;&gt;"")*('01_予約入力'!$K$5:$K$204&lt;&gt;"キャンセル")*('01_予約入力'!$C$5:$C$204=$A10)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1">
      <c r="A11" s="34">
        <f>IF(COUNTA('M_区分'!$A$4:$A$20)&gt;=4,INDEX('M_区分'!$A$4:$A$20,4),"")</f>
        <v/>
      </c>
      <c r="B11" s="31">
        <f>IF($A11="","",SUMPRODUCT(--(COUNTIFS('01_予約入力'!$B$5:$B$204,'M_利用者'!$A$4:$A$60,'01_予約入力'!$C$5:$C$204,$A11,'01_予約入力'!$E$5:$E$204,"&lt;="&amp;$B$4,'01_予約入力'!$G$5:$G$204,"&gt;="&amp;$B$3,'01_予約入力'!$K$5:$K$204,"&lt;&gt;キャンセル")&gt;0)*('M_利用者'!$A$4:$A$60&lt;&gt;"")))</f>
        <v/>
      </c>
      <c r="C11" s="31">
        <f>IF($A11="","",COUNTIFS('01_予約入力'!$C$5:$C$204,$A11,'01_予約入力'!$E$5:$E$204,"&lt;="&amp;$B$4,'01_予約入力'!$G$5:$G$204,"&gt;="&amp;$B$3,'01_予約入力'!$K$5:$K$204,"&lt;&gt;キャンセル"))</f>
        <v/>
      </c>
      <c r="D11" s="31">
        <f>IF($A11="","",SUMPRODUCT(('01_予約入力'!$E$5:$E$204&lt;&gt;"")*('01_予約入力'!$K$5:$K$204&lt;&gt;"キャンセル")*('01_予約入力'!$C$5:$C$204=$A11)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1" s="31">
        <f>IF($A11="","",SUMPRODUCT(('01_予約入力'!$E$5:$E$204&lt;&gt;"")*('01_予約入力'!$K$5:$K$204&lt;&gt;"キャンセル")*('01_予約入力'!$C$5:$C$204=$A11)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2">
      <c r="A12" s="34">
        <f>IF(COUNTA('M_区分'!$A$4:$A$20)&gt;=5,INDEX('M_区分'!$A$4:$A$20,5),"")</f>
        <v/>
      </c>
      <c r="B12" s="31">
        <f>IF($A12="","",SUMPRODUCT(--(COUNTIFS('01_予約入力'!$B$5:$B$204,'M_利用者'!$A$4:$A$60,'01_予約入力'!$C$5:$C$204,$A12,'01_予約入力'!$E$5:$E$204,"&lt;="&amp;$B$4,'01_予約入力'!$G$5:$G$204,"&gt;="&amp;$B$3,'01_予約入力'!$K$5:$K$204,"&lt;&gt;キャンセル")&gt;0)*('M_利用者'!$A$4:$A$60&lt;&gt;"")))</f>
        <v/>
      </c>
      <c r="C12" s="31">
        <f>IF($A12="","",COUNTIFS('01_予約入力'!$C$5:$C$204,$A12,'01_予約入力'!$E$5:$E$204,"&lt;="&amp;$B$4,'01_予約入力'!$G$5:$G$204,"&gt;="&amp;$B$3,'01_予約入力'!$K$5:$K$204,"&lt;&gt;キャンセル"))</f>
        <v/>
      </c>
      <c r="D12" s="31">
        <f>IF($A12="","",SUMPRODUCT(('01_予約入力'!$E$5:$E$204&lt;&gt;"")*('01_予約入力'!$K$5:$K$204&lt;&gt;"キャンセル")*('01_予約入力'!$C$5:$C$204=$A12)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2" s="31">
        <f>IF($A12="","",SUMPRODUCT(('01_予約入力'!$E$5:$E$204&lt;&gt;"")*('01_予約入力'!$K$5:$K$204&lt;&gt;"キャンセル")*('01_予約入力'!$C$5:$C$204=$A12)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3">
      <c r="A13" s="34">
        <f>IF(COUNTA('M_区分'!$A$4:$A$20)&gt;=6,INDEX('M_区分'!$A$4:$A$20,6),"")</f>
        <v/>
      </c>
      <c r="B13" s="31">
        <f>IF($A13="","",SUMPRODUCT(--(COUNTIFS('01_予約入力'!$B$5:$B$204,'M_利用者'!$A$4:$A$60,'01_予約入力'!$C$5:$C$204,$A13,'01_予約入力'!$E$5:$E$204,"&lt;="&amp;$B$4,'01_予約入力'!$G$5:$G$204,"&gt;="&amp;$B$3,'01_予約入力'!$K$5:$K$204,"&lt;&gt;キャンセル")&gt;0)*('M_利用者'!$A$4:$A$60&lt;&gt;"")))</f>
        <v/>
      </c>
      <c r="C13" s="31">
        <f>IF($A13="","",COUNTIFS('01_予約入力'!$C$5:$C$204,$A13,'01_予約入力'!$E$5:$E$204,"&lt;="&amp;$B$4,'01_予約入力'!$G$5:$G$204,"&gt;="&amp;$B$3,'01_予約入力'!$K$5:$K$204,"&lt;&gt;キャンセル"))</f>
        <v/>
      </c>
      <c r="D13" s="31">
        <f>IF($A13="","",SUMPRODUCT(('01_予約入力'!$E$5:$E$204&lt;&gt;"")*('01_予約入力'!$K$5:$K$204&lt;&gt;"キャンセル")*('01_予約入力'!$C$5:$C$204=$A13)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3" s="31">
        <f>IF($A13="","",SUMPRODUCT(('01_予約入力'!$E$5:$E$204&lt;&gt;"")*('01_予約入力'!$K$5:$K$204&lt;&gt;"キャンセル")*('01_予約入力'!$C$5:$C$204=$A13)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4">
      <c r="A14" s="34">
        <f>IF(COUNTA('M_区分'!$A$4:$A$20)&gt;=7,INDEX('M_区分'!$A$4:$A$20,7),"")</f>
        <v/>
      </c>
      <c r="B14" s="31">
        <f>IF($A14="","",SUMPRODUCT(--(COUNTIFS('01_予約入力'!$B$5:$B$204,'M_利用者'!$A$4:$A$60,'01_予約入力'!$C$5:$C$204,$A14,'01_予約入力'!$E$5:$E$204,"&lt;="&amp;$B$4,'01_予約入力'!$G$5:$G$204,"&gt;="&amp;$B$3,'01_予約入力'!$K$5:$K$204,"&lt;&gt;キャンセル")&gt;0)*('M_利用者'!$A$4:$A$60&lt;&gt;"")))</f>
        <v/>
      </c>
      <c r="C14" s="31">
        <f>IF($A14="","",COUNTIFS('01_予約入力'!$C$5:$C$204,$A14,'01_予約入力'!$E$5:$E$204,"&lt;="&amp;$B$4,'01_予約入力'!$G$5:$G$204,"&gt;="&amp;$B$3,'01_予約入力'!$K$5:$K$204,"&lt;&gt;キャンセル"))</f>
        <v/>
      </c>
      <c r="D14" s="31">
        <f>IF($A14="","",SUMPRODUCT(('01_予約入力'!$E$5:$E$204&lt;&gt;"")*('01_予約入力'!$K$5:$K$204&lt;&gt;"キャンセル")*('01_予約入力'!$C$5:$C$204=$A14)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4" s="31">
        <f>IF($A14="","",SUMPRODUCT(('01_予約入力'!$E$5:$E$204&lt;&gt;"")*('01_予約入力'!$K$5:$K$204&lt;&gt;"キャンセル")*('01_予約入力'!$C$5:$C$204=$A14)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5">
      <c r="A15" s="34">
        <f>IF(COUNTA('M_区分'!$A$4:$A$20)&gt;=8,INDEX('M_区分'!$A$4:$A$20,8),"")</f>
        <v/>
      </c>
      <c r="B15" s="31">
        <f>IF($A15="","",SUMPRODUCT(--(COUNTIFS('01_予約入力'!$B$5:$B$204,'M_利用者'!$A$4:$A$60,'01_予約入力'!$C$5:$C$204,$A15,'01_予約入力'!$E$5:$E$204,"&lt;="&amp;$B$4,'01_予約入力'!$G$5:$G$204,"&gt;="&amp;$B$3,'01_予約入力'!$K$5:$K$204,"&lt;&gt;キャンセル")&gt;0)*('M_利用者'!$A$4:$A$60&lt;&gt;"")))</f>
        <v/>
      </c>
      <c r="C15" s="31">
        <f>IF($A15="","",COUNTIFS('01_予約入力'!$C$5:$C$204,$A15,'01_予約入力'!$E$5:$E$204,"&lt;="&amp;$B$4,'01_予約入力'!$G$5:$G$204,"&gt;="&amp;$B$3,'01_予約入力'!$K$5:$K$204,"&lt;&gt;キャンセル"))</f>
        <v/>
      </c>
      <c r="D15" s="31">
        <f>IF($A15="","",SUMPRODUCT(('01_予約入力'!$E$5:$E$204&lt;&gt;"")*('01_予約入力'!$K$5:$K$204&lt;&gt;"キャンセル")*('01_予約入力'!$C$5:$C$204=$A15)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5" s="31">
        <f>IF($A15="","",SUMPRODUCT(('01_予約入力'!$E$5:$E$204&lt;&gt;"")*('01_予約入力'!$K$5:$K$204&lt;&gt;"キャンセル")*('01_予約入力'!$C$5:$C$204=$A15)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6">
      <c r="A16" s="34">
        <f>IF(COUNTA('M_区分'!$A$4:$A$20)&gt;=9,INDEX('M_区分'!$A$4:$A$20,9),"")</f>
        <v/>
      </c>
      <c r="B16" s="31">
        <f>IF($A16="","",SUMPRODUCT(--(COUNTIFS('01_予約入力'!$B$5:$B$204,'M_利用者'!$A$4:$A$60,'01_予約入力'!$C$5:$C$204,$A16,'01_予約入力'!$E$5:$E$204,"&lt;="&amp;$B$4,'01_予約入力'!$G$5:$G$204,"&gt;="&amp;$B$3,'01_予約入力'!$K$5:$K$204,"&lt;&gt;キャンセル")&gt;0)*('M_利用者'!$A$4:$A$60&lt;&gt;"")))</f>
        <v/>
      </c>
      <c r="C16" s="31">
        <f>IF($A16="","",COUNTIFS('01_予約入力'!$C$5:$C$204,$A16,'01_予約入力'!$E$5:$E$204,"&lt;="&amp;$B$4,'01_予約入力'!$G$5:$G$204,"&gt;="&amp;$B$3,'01_予約入力'!$K$5:$K$204,"&lt;&gt;キャンセル"))</f>
        <v/>
      </c>
      <c r="D16" s="31">
        <f>IF($A16="","",SUMPRODUCT(('01_予約入力'!$E$5:$E$204&lt;&gt;"")*('01_予約入力'!$K$5:$K$204&lt;&gt;"キャンセル")*('01_予約入力'!$C$5:$C$204=$A16)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6" s="31">
        <f>IF($A16="","",SUMPRODUCT(('01_予約入力'!$E$5:$E$204&lt;&gt;"")*('01_予約入力'!$K$5:$K$204&lt;&gt;"キャンセル")*('01_予約入力'!$C$5:$C$204=$A16)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7">
      <c r="A17" s="34">
        <f>IF(COUNTA('M_区分'!$A$4:$A$20)&gt;=10,INDEX('M_区分'!$A$4:$A$20,10),"")</f>
        <v/>
      </c>
      <c r="B17" s="31">
        <f>IF($A17="","",SUMPRODUCT(--(COUNTIFS('01_予約入力'!$B$5:$B$204,'M_利用者'!$A$4:$A$60,'01_予約入力'!$C$5:$C$204,$A17,'01_予約入力'!$E$5:$E$204,"&lt;="&amp;$B$4,'01_予約入力'!$G$5:$G$204,"&gt;="&amp;$B$3,'01_予約入力'!$K$5:$K$204,"&lt;&gt;キャンセル")&gt;0)*('M_利用者'!$A$4:$A$60&lt;&gt;"")))</f>
        <v/>
      </c>
      <c r="C17" s="31">
        <f>IF($A17="","",COUNTIFS('01_予約入力'!$C$5:$C$204,$A17,'01_予約入力'!$E$5:$E$204,"&lt;="&amp;$B$4,'01_予約入力'!$G$5:$G$204,"&gt;="&amp;$B$3,'01_予約入力'!$K$5:$K$204,"&lt;&gt;キャンセル"))</f>
        <v/>
      </c>
      <c r="D17" s="31">
        <f>IF($A17="","",SUMPRODUCT(('01_予約入力'!$E$5:$E$204&lt;&gt;"")*('01_予約入力'!$K$5:$K$204&lt;&gt;"キャンセル")*('01_予約入力'!$C$5:$C$204=$A17)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E17" s="31">
        <f>IF($A17="","",SUMPRODUCT(('01_予約入力'!$E$5:$E$204&lt;&gt;"")*('01_予約入力'!$K$5:$K$204&lt;&gt;"キャンセル")*('01_予約入力'!$C$5:$C$204=$A17)*('01_予約入力'!$E$5:$E$204&lt;=$B$4)*('01_予約入力'!$G$5:$G$204&gt;$B$3)*(((('01_予約入力'!$G$5:$G$204&lt;=$B$4+1)*'01_予約入力'!$G$5:$G$204+('01_予約入力'!$G$5:$G$204&gt;$B$4+1)*($B$4+1))-(('01_予約入力'!$E$5:$E$204&gt;=$B$3)*'01_予約入力'!$E$5:$E$204+('01_予約入力'!$E$5:$E$204&lt;$B$3)*$B$3))&gt;0)*((('01_予約入力'!$G$5:$G$204&lt;=$B$4+1)*'01_予約入力'!$G$5:$G$204+('01_予約入力'!$G$5:$G$204&gt;$B$4+1)*($B$4+1))-(('01_予約入力'!$E$5:$E$204&gt;=$B$3)*'01_予約入力'!$E$5:$E$204+('01_予約入力'!$E$5:$E$204&lt;$B$3)*$B$3))))</f>
        <v/>
      </c>
    </row>
    <row r="18">
      <c r="A18" s="39" t="inlineStr">
        <is>
          <t>合計</t>
        </is>
      </c>
      <c r="B18" s="39">
        <f>SUMPRODUCT(--(COUNTIFS('01_予約入力'!$B$5:$B$204,'M_利用者'!$A$4:$A$60,'01_予約入力'!$E$5:$E$204,"&lt;="&amp;$B$4,'01_予約入力'!$G$5:$G$204,"&gt;="&amp;$B$3,'01_予約入力'!$K$5:$K$204,"&lt;&gt;キャンセル")&gt;0)*('M_利用者'!$A$4:$A$60&lt;&gt;""))</f>
        <v/>
      </c>
      <c r="C18" s="39">
        <f>SUM(C8:C17)</f>
        <v/>
      </c>
      <c r="D18" s="39">
        <f>SUM(D8:D17)</f>
        <v/>
      </c>
      <c r="E18" s="39">
        <f>SUM(E8:E17)</f>
        <v/>
      </c>
    </row>
    <row r="19">
      <c r="A19" s="2" t="inlineStr">
        <is>
          <t>※ 「利用者数」は実人数（同じ方が何回利用しても1人）。区分をまたぐ方がいる場合、区分別の合計と合計行は一致しません。</t>
        </is>
      </c>
    </row>
    <row r="21">
      <c r="A21" s="15" t="inlineStr">
        <is>
          <t>■ 利用者別</t>
        </is>
      </c>
    </row>
    <row r="22" ht="30" customHeight="1">
      <c r="A22" s="7" t="inlineStr">
        <is>
          <t>氏名</t>
        </is>
      </c>
      <c r="B22" s="7" t="inlineStr">
        <is>
          <t>利用回数</t>
        </is>
      </c>
      <c r="C22" s="7" t="inlineStr">
        <is>
          <t>延べ利用日数</t>
        </is>
      </c>
      <c r="D22" s="7" t="inlineStr">
        <is>
          <t>支給量対象日数（滞在全体）</t>
        </is>
      </c>
    </row>
    <row r="23">
      <c r="A23" s="34">
        <f>IF(COUNTA('M_利用者'!$A$4:$A$60)&gt;=1,INDEX('M_利用者'!$A$4:$A$60,1),"")</f>
        <v/>
      </c>
      <c r="B23" s="31">
        <f>IF($A23="","",COUNTIFS('01_予約入力'!$B$5:$B$204,$A23,'01_予約入力'!$E$5:$E$204,"&lt;="&amp;$B$4,'01_予約入力'!$G$5:$G$204,"&gt;="&amp;$B$3,'01_予約入力'!$K$5:$K$204,"&lt;&gt;キャンセル"))</f>
        <v/>
      </c>
      <c r="C23" s="31">
        <f>IF($A23="","",SUMPRODUCT(('01_予約入力'!$E$5:$E$204&lt;&gt;"")*('01_予約入力'!$K$5:$K$204&lt;&gt;"キャンセル")*('01_予約入力'!$B$5:$B$204=$A23)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3" s="31">
        <f>IF($A23="","",SUMIFS('01_予約入力'!$U$5:$U$204,'01_予約入力'!$B$5:$B$204,$A23,'01_予約入力'!$E$5:$E$204,"&gt;="&amp;$B$3,'01_予約入力'!$E$5:$E$204,"&lt;="&amp;$B$4))</f>
        <v/>
      </c>
    </row>
    <row r="24">
      <c r="A24" s="34">
        <f>IF(COUNTA('M_利用者'!$A$4:$A$60)&gt;=2,INDEX('M_利用者'!$A$4:$A$60,2),"")</f>
        <v/>
      </c>
      <c r="B24" s="31">
        <f>IF($A24="","",COUNTIFS('01_予約入力'!$B$5:$B$204,$A24,'01_予約入力'!$E$5:$E$204,"&lt;="&amp;$B$4,'01_予約入力'!$G$5:$G$204,"&gt;="&amp;$B$3,'01_予約入力'!$K$5:$K$204,"&lt;&gt;キャンセル"))</f>
        <v/>
      </c>
      <c r="C24" s="31">
        <f>IF($A24="","",SUMPRODUCT(('01_予約入力'!$E$5:$E$204&lt;&gt;"")*('01_予約入力'!$K$5:$K$204&lt;&gt;"キャンセル")*('01_予約入力'!$B$5:$B$204=$A24)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4" s="31">
        <f>IF($A24="","",SUMIFS('01_予約入力'!$U$5:$U$204,'01_予約入力'!$B$5:$B$204,$A24,'01_予約入力'!$E$5:$E$204,"&gt;="&amp;$B$3,'01_予約入力'!$E$5:$E$204,"&lt;="&amp;$B$4))</f>
        <v/>
      </c>
    </row>
    <row r="25">
      <c r="A25" s="34">
        <f>IF(COUNTA('M_利用者'!$A$4:$A$60)&gt;=3,INDEX('M_利用者'!$A$4:$A$60,3),"")</f>
        <v/>
      </c>
      <c r="B25" s="31">
        <f>IF($A25="","",COUNTIFS('01_予約入力'!$B$5:$B$204,$A25,'01_予約入力'!$E$5:$E$204,"&lt;="&amp;$B$4,'01_予約入力'!$G$5:$G$204,"&gt;="&amp;$B$3,'01_予約入力'!$K$5:$K$204,"&lt;&gt;キャンセル"))</f>
        <v/>
      </c>
      <c r="C25" s="31">
        <f>IF($A25="","",SUMPRODUCT(('01_予約入力'!$E$5:$E$204&lt;&gt;"")*('01_予約入力'!$K$5:$K$204&lt;&gt;"キャンセル")*('01_予約入力'!$B$5:$B$204=$A25)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5" s="31">
        <f>IF($A25="","",SUMIFS('01_予約入力'!$U$5:$U$204,'01_予約入力'!$B$5:$B$204,$A25,'01_予約入力'!$E$5:$E$204,"&gt;="&amp;$B$3,'01_予約入力'!$E$5:$E$204,"&lt;="&amp;$B$4))</f>
        <v/>
      </c>
    </row>
    <row r="26">
      <c r="A26" s="34">
        <f>IF(COUNTA('M_利用者'!$A$4:$A$60)&gt;=4,INDEX('M_利用者'!$A$4:$A$60,4),"")</f>
        <v/>
      </c>
      <c r="B26" s="31">
        <f>IF($A26="","",COUNTIFS('01_予約入力'!$B$5:$B$204,$A26,'01_予約入力'!$E$5:$E$204,"&lt;="&amp;$B$4,'01_予約入力'!$G$5:$G$204,"&gt;="&amp;$B$3,'01_予約入力'!$K$5:$K$204,"&lt;&gt;キャンセル"))</f>
        <v/>
      </c>
      <c r="C26" s="31">
        <f>IF($A26="","",SUMPRODUCT(('01_予約入力'!$E$5:$E$204&lt;&gt;"")*('01_予約入力'!$K$5:$K$204&lt;&gt;"キャンセル")*('01_予約入力'!$B$5:$B$204=$A26)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6" s="31">
        <f>IF($A26="","",SUMIFS('01_予約入力'!$U$5:$U$204,'01_予約入力'!$B$5:$B$204,$A26,'01_予約入力'!$E$5:$E$204,"&gt;="&amp;$B$3,'01_予約入力'!$E$5:$E$204,"&lt;="&amp;$B$4))</f>
        <v/>
      </c>
    </row>
    <row r="27">
      <c r="A27" s="34">
        <f>IF(COUNTA('M_利用者'!$A$4:$A$60)&gt;=5,INDEX('M_利用者'!$A$4:$A$60,5),"")</f>
        <v/>
      </c>
      <c r="B27" s="31">
        <f>IF($A27="","",COUNTIFS('01_予約入力'!$B$5:$B$204,$A27,'01_予約入力'!$E$5:$E$204,"&lt;="&amp;$B$4,'01_予約入力'!$G$5:$G$204,"&gt;="&amp;$B$3,'01_予約入力'!$K$5:$K$204,"&lt;&gt;キャンセル"))</f>
        <v/>
      </c>
      <c r="C27" s="31">
        <f>IF($A27="","",SUMPRODUCT(('01_予約入力'!$E$5:$E$204&lt;&gt;"")*('01_予約入力'!$K$5:$K$204&lt;&gt;"キャンセル")*('01_予約入力'!$B$5:$B$204=$A27)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7" s="31">
        <f>IF($A27="","",SUMIFS('01_予約入力'!$U$5:$U$204,'01_予約入力'!$B$5:$B$204,$A27,'01_予約入力'!$E$5:$E$204,"&gt;="&amp;$B$3,'01_予約入力'!$E$5:$E$204,"&lt;="&amp;$B$4))</f>
        <v/>
      </c>
    </row>
    <row r="28">
      <c r="A28" s="34">
        <f>IF(COUNTA('M_利用者'!$A$4:$A$60)&gt;=6,INDEX('M_利用者'!$A$4:$A$60,6),"")</f>
        <v/>
      </c>
      <c r="B28" s="31">
        <f>IF($A28="","",COUNTIFS('01_予約入力'!$B$5:$B$204,$A28,'01_予約入力'!$E$5:$E$204,"&lt;="&amp;$B$4,'01_予約入力'!$G$5:$G$204,"&gt;="&amp;$B$3,'01_予約入力'!$K$5:$K$204,"&lt;&gt;キャンセル"))</f>
        <v/>
      </c>
      <c r="C28" s="31">
        <f>IF($A28="","",SUMPRODUCT(('01_予約入力'!$E$5:$E$204&lt;&gt;"")*('01_予約入力'!$K$5:$K$204&lt;&gt;"キャンセル")*('01_予約入力'!$B$5:$B$204=$A28)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8" s="31">
        <f>IF($A28="","",SUMIFS('01_予約入力'!$U$5:$U$204,'01_予約入力'!$B$5:$B$204,$A28,'01_予約入力'!$E$5:$E$204,"&gt;="&amp;$B$3,'01_予約入力'!$E$5:$E$204,"&lt;="&amp;$B$4))</f>
        <v/>
      </c>
    </row>
    <row r="29">
      <c r="A29" s="34">
        <f>IF(COUNTA('M_利用者'!$A$4:$A$60)&gt;=7,INDEX('M_利用者'!$A$4:$A$60,7),"")</f>
        <v/>
      </c>
      <c r="B29" s="31">
        <f>IF($A29="","",COUNTIFS('01_予約入力'!$B$5:$B$204,$A29,'01_予約入力'!$E$5:$E$204,"&lt;="&amp;$B$4,'01_予約入力'!$G$5:$G$204,"&gt;="&amp;$B$3,'01_予約入力'!$K$5:$K$204,"&lt;&gt;キャンセル"))</f>
        <v/>
      </c>
      <c r="C29" s="31">
        <f>IF($A29="","",SUMPRODUCT(('01_予約入力'!$E$5:$E$204&lt;&gt;"")*('01_予約入力'!$K$5:$K$204&lt;&gt;"キャンセル")*('01_予約入力'!$B$5:$B$204=$A29)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29" s="31">
        <f>IF($A29="","",SUMIFS('01_予約入力'!$U$5:$U$204,'01_予約入力'!$B$5:$B$204,$A29,'01_予約入力'!$E$5:$E$204,"&gt;="&amp;$B$3,'01_予約入力'!$E$5:$E$204,"&lt;="&amp;$B$4))</f>
        <v/>
      </c>
    </row>
    <row r="30">
      <c r="A30" s="34">
        <f>IF(COUNTA('M_利用者'!$A$4:$A$60)&gt;=8,INDEX('M_利用者'!$A$4:$A$60,8),"")</f>
        <v/>
      </c>
      <c r="B30" s="31">
        <f>IF($A30="","",COUNTIFS('01_予約入力'!$B$5:$B$204,$A30,'01_予約入力'!$E$5:$E$204,"&lt;="&amp;$B$4,'01_予約入力'!$G$5:$G$204,"&gt;="&amp;$B$3,'01_予約入力'!$K$5:$K$204,"&lt;&gt;キャンセル"))</f>
        <v/>
      </c>
      <c r="C30" s="31">
        <f>IF($A30="","",SUMPRODUCT(('01_予約入力'!$E$5:$E$204&lt;&gt;"")*('01_予約入力'!$K$5:$K$204&lt;&gt;"キャンセル")*('01_予約入力'!$B$5:$B$204=$A30)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0" s="31">
        <f>IF($A30="","",SUMIFS('01_予約入力'!$U$5:$U$204,'01_予約入力'!$B$5:$B$204,$A30,'01_予約入力'!$E$5:$E$204,"&gt;="&amp;$B$3,'01_予約入力'!$E$5:$E$204,"&lt;="&amp;$B$4))</f>
        <v/>
      </c>
    </row>
    <row r="31">
      <c r="A31" s="34">
        <f>IF(COUNTA('M_利用者'!$A$4:$A$60)&gt;=9,INDEX('M_利用者'!$A$4:$A$60,9),"")</f>
        <v/>
      </c>
      <c r="B31" s="31">
        <f>IF($A31="","",COUNTIFS('01_予約入力'!$B$5:$B$204,$A31,'01_予約入力'!$E$5:$E$204,"&lt;="&amp;$B$4,'01_予約入力'!$G$5:$G$204,"&gt;="&amp;$B$3,'01_予約入力'!$K$5:$K$204,"&lt;&gt;キャンセル"))</f>
        <v/>
      </c>
      <c r="C31" s="31">
        <f>IF($A31="","",SUMPRODUCT(('01_予約入力'!$E$5:$E$204&lt;&gt;"")*('01_予約入力'!$K$5:$K$204&lt;&gt;"キャンセル")*('01_予約入力'!$B$5:$B$204=$A31)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1" s="31">
        <f>IF($A31="","",SUMIFS('01_予約入力'!$U$5:$U$204,'01_予約入力'!$B$5:$B$204,$A31,'01_予約入力'!$E$5:$E$204,"&gt;="&amp;$B$3,'01_予約入力'!$E$5:$E$204,"&lt;="&amp;$B$4))</f>
        <v/>
      </c>
    </row>
    <row r="32">
      <c r="A32" s="34">
        <f>IF(COUNTA('M_利用者'!$A$4:$A$60)&gt;=10,INDEX('M_利用者'!$A$4:$A$60,10),"")</f>
        <v/>
      </c>
      <c r="B32" s="31">
        <f>IF($A32="","",COUNTIFS('01_予約入力'!$B$5:$B$204,$A32,'01_予約入力'!$E$5:$E$204,"&lt;="&amp;$B$4,'01_予約入力'!$G$5:$G$204,"&gt;="&amp;$B$3,'01_予約入力'!$K$5:$K$204,"&lt;&gt;キャンセル"))</f>
        <v/>
      </c>
      <c r="C32" s="31">
        <f>IF($A32="","",SUMPRODUCT(('01_予約入力'!$E$5:$E$204&lt;&gt;"")*('01_予約入力'!$K$5:$K$204&lt;&gt;"キャンセル")*('01_予約入力'!$B$5:$B$204=$A32)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2" s="31">
        <f>IF($A32="","",SUMIFS('01_予約入力'!$U$5:$U$204,'01_予約入力'!$B$5:$B$204,$A32,'01_予約入力'!$E$5:$E$204,"&gt;="&amp;$B$3,'01_予約入力'!$E$5:$E$204,"&lt;="&amp;$B$4))</f>
        <v/>
      </c>
    </row>
    <row r="33">
      <c r="A33" s="34">
        <f>IF(COUNTA('M_利用者'!$A$4:$A$60)&gt;=11,INDEX('M_利用者'!$A$4:$A$60,11),"")</f>
        <v/>
      </c>
      <c r="B33" s="31">
        <f>IF($A33="","",COUNTIFS('01_予約入力'!$B$5:$B$204,$A33,'01_予約入力'!$E$5:$E$204,"&lt;="&amp;$B$4,'01_予約入力'!$G$5:$G$204,"&gt;="&amp;$B$3,'01_予約入力'!$K$5:$K$204,"&lt;&gt;キャンセル"))</f>
        <v/>
      </c>
      <c r="C33" s="31">
        <f>IF($A33="","",SUMPRODUCT(('01_予約入力'!$E$5:$E$204&lt;&gt;"")*('01_予約入力'!$K$5:$K$204&lt;&gt;"キャンセル")*('01_予約入力'!$B$5:$B$204=$A33)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3" s="31">
        <f>IF($A33="","",SUMIFS('01_予約入力'!$U$5:$U$204,'01_予約入力'!$B$5:$B$204,$A33,'01_予約入力'!$E$5:$E$204,"&gt;="&amp;$B$3,'01_予約入力'!$E$5:$E$204,"&lt;="&amp;$B$4))</f>
        <v/>
      </c>
    </row>
    <row r="34">
      <c r="A34" s="34">
        <f>IF(COUNTA('M_利用者'!$A$4:$A$60)&gt;=12,INDEX('M_利用者'!$A$4:$A$60,12),"")</f>
        <v/>
      </c>
      <c r="B34" s="31">
        <f>IF($A34="","",COUNTIFS('01_予約入力'!$B$5:$B$204,$A34,'01_予約入力'!$E$5:$E$204,"&lt;="&amp;$B$4,'01_予約入力'!$G$5:$G$204,"&gt;="&amp;$B$3,'01_予約入力'!$K$5:$K$204,"&lt;&gt;キャンセル"))</f>
        <v/>
      </c>
      <c r="C34" s="31">
        <f>IF($A34="","",SUMPRODUCT(('01_予約入力'!$E$5:$E$204&lt;&gt;"")*('01_予約入力'!$K$5:$K$204&lt;&gt;"キャンセル")*('01_予約入力'!$B$5:$B$204=$A34)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4" s="31">
        <f>IF($A34="","",SUMIFS('01_予約入力'!$U$5:$U$204,'01_予約入力'!$B$5:$B$204,$A34,'01_予約入力'!$E$5:$E$204,"&gt;="&amp;$B$3,'01_予約入力'!$E$5:$E$204,"&lt;="&amp;$B$4))</f>
        <v/>
      </c>
    </row>
    <row r="35">
      <c r="A35" s="34">
        <f>IF(COUNTA('M_利用者'!$A$4:$A$60)&gt;=13,INDEX('M_利用者'!$A$4:$A$60,13),"")</f>
        <v/>
      </c>
      <c r="B35" s="31">
        <f>IF($A35="","",COUNTIFS('01_予約入力'!$B$5:$B$204,$A35,'01_予約入力'!$E$5:$E$204,"&lt;="&amp;$B$4,'01_予約入力'!$G$5:$G$204,"&gt;="&amp;$B$3,'01_予約入力'!$K$5:$K$204,"&lt;&gt;キャンセル"))</f>
        <v/>
      </c>
      <c r="C35" s="31">
        <f>IF($A35="","",SUMPRODUCT(('01_予約入力'!$E$5:$E$204&lt;&gt;"")*('01_予約入力'!$K$5:$K$204&lt;&gt;"キャンセル")*('01_予約入力'!$B$5:$B$204=$A35)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5" s="31">
        <f>IF($A35="","",SUMIFS('01_予約入力'!$U$5:$U$204,'01_予約入力'!$B$5:$B$204,$A35,'01_予約入力'!$E$5:$E$204,"&gt;="&amp;$B$3,'01_予約入力'!$E$5:$E$204,"&lt;="&amp;$B$4))</f>
        <v/>
      </c>
    </row>
    <row r="36">
      <c r="A36" s="34">
        <f>IF(COUNTA('M_利用者'!$A$4:$A$60)&gt;=14,INDEX('M_利用者'!$A$4:$A$60,14),"")</f>
        <v/>
      </c>
      <c r="B36" s="31">
        <f>IF($A36="","",COUNTIFS('01_予約入力'!$B$5:$B$204,$A36,'01_予約入力'!$E$5:$E$204,"&lt;="&amp;$B$4,'01_予約入力'!$G$5:$G$204,"&gt;="&amp;$B$3,'01_予約入力'!$K$5:$K$204,"&lt;&gt;キャンセル"))</f>
        <v/>
      </c>
      <c r="C36" s="31">
        <f>IF($A36="","",SUMPRODUCT(('01_予約入力'!$E$5:$E$204&lt;&gt;"")*('01_予約入力'!$K$5:$K$204&lt;&gt;"キャンセル")*('01_予約入力'!$B$5:$B$204=$A36)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6" s="31">
        <f>IF($A36="","",SUMIFS('01_予約入力'!$U$5:$U$204,'01_予約入力'!$B$5:$B$204,$A36,'01_予約入力'!$E$5:$E$204,"&gt;="&amp;$B$3,'01_予約入力'!$E$5:$E$204,"&lt;="&amp;$B$4))</f>
        <v/>
      </c>
    </row>
    <row r="37">
      <c r="A37" s="34">
        <f>IF(COUNTA('M_利用者'!$A$4:$A$60)&gt;=15,INDEX('M_利用者'!$A$4:$A$60,15),"")</f>
        <v/>
      </c>
      <c r="B37" s="31">
        <f>IF($A37="","",COUNTIFS('01_予約入力'!$B$5:$B$204,$A37,'01_予約入力'!$E$5:$E$204,"&lt;="&amp;$B$4,'01_予約入力'!$G$5:$G$204,"&gt;="&amp;$B$3,'01_予約入力'!$K$5:$K$204,"&lt;&gt;キャンセル"))</f>
        <v/>
      </c>
      <c r="C37" s="31">
        <f>IF($A37="","",SUMPRODUCT(('01_予約入力'!$E$5:$E$204&lt;&gt;"")*('01_予約入力'!$K$5:$K$204&lt;&gt;"キャンセル")*('01_予約入力'!$B$5:$B$204=$A37)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7" s="31">
        <f>IF($A37="","",SUMIFS('01_予約入力'!$U$5:$U$204,'01_予約入力'!$B$5:$B$204,$A37,'01_予約入力'!$E$5:$E$204,"&gt;="&amp;$B$3,'01_予約入力'!$E$5:$E$204,"&lt;="&amp;$B$4))</f>
        <v/>
      </c>
    </row>
    <row r="38">
      <c r="A38" s="34">
        <f>IF(COUNTA('M_利用者'!$A$4:$A$60)&gt;=16,INDEX('M_利用者'!$A$4:$A$60,16),"")</f>
        <v/>
      </c>
      <c r="B38" s="31">
        <f>IF($A38="","",COUNTIFS('01_予約入力'!$B$5:$B$204,$A38,'01_予約入力'!$E$5:$E$204,"&lt;="&amp;$B$4,'01_予約入力'!$G$5:$G$204,"&gt;="&amp;$B$3,'01_予約入力'!$K$5:$K$204,"&lt;&gt;キャンセル"))</f>
        <v/>
      </c>
      <c r="C38" s="31">
        <f>IF($A38="","",SUMPRODUCT(('01_予約入力'!$E$5:$E$204&lt;&gt;"")*('01_予約入力'!$K$5:$K$204&lt;&gt;"キャンセル")*('01_予約入力'!$B$5:$B$204=$A38)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8" s="31">
        <f>IF($A38="","",SUMIFS('01_予約入力'!$U$5:$U$204,'01_予約入力'!$B$5:$B$204,$A38,'01_予約入力'!$E$5:$E$204,"&gt;="&amp;$B$3,'01_予約入力'!$E$5:$E$204,"&lt;="&amp;$B$4))</f>
        <v/>
      </c>
    </row>
    <row r="39">
      <c r="A39" s="34">
        <f>IF(COUNTA('M_利用者'!$A$4:$A$60)&gt;=17,INDEX('M_利用者'!$A$4:$A$60,17),"")</f>
        <v/>
      </c>
      <c r="B39" s="31">
        <f>IF($A39="","",COUNTIFS('01_予約入力'!$B$5:$B$204,$A39,'01_予約入力'!$E$5:$E$204,"&lt;="&amp;$B$4,'01_予約入力'!$G$5:$G$204,"&gt;="&amp;$B$3,'01_予約入力'!$K$5:$K$204,"&lt;&gt;キャンセル"))</f>
        <v/>
      </c>
      <c r="C39" s="31">
        <f>IF($A39="","",SUMPRODUCT(('01_予約入力'!$E$5:$E$204&lt;&gt;"")*('01_予約入力'!$K$5:$K$204&lt;&gt;"キャンセル")*('01_予約入力'!$B$5:$B$204=$A39)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39" s="31">
        <f>IF($A39="","",SUMIFS('01_予約入力'!$U$5:$U$204,'01_予約入力'!$B$5:$B$204,$A39,'01_予約入力'!$E$5:$E$204,"&gt;="&amp;$B$3,'01_予約入力'!$E$5:$E$204,"&lt;="&amp;$B$4))</f>
        <v/>
      </c>
    </row>
    <row r="40">
      <c r="A40" s="34">
        <f>IF(COUNTA('M_利用者'!$A$4:$A$60)&gt;=18,INDEX('M_利用者'!$A$4:$A$60,18),"")</f>
        <v/>
      </c>
      <c r="B40" s="31">
        <f>IF($A40="","",COUNTIFS('01_予約入力'!$B$5:$B$204,$A40,'01_予約入力'!$E$5:$E$204,"&lt;="&amp;$B$4,'01_予約入力'!$G$5:$G$204,"&gt;="&amp;$B$3,'01_予約入力'!$K$5:$K$204,"&lt;&gt;キャンセル"))</f>
        <v/>
      </c>
      <c r="C40" s="31">
        <f>IF($A40="","",SUMPRODUCT(('01_予約入力'!$E$5:$E$204&lt;&gt;"")*('01_予約入力'!$K$5:$K$204&lt;&gt;"キャンセル")*('01_予約入力'!$B$5:$B$204=$A40)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0" s="31">
        <f>IF($A40="","",SUMIFS('01_予約入力'!$U$5:$U$204,'01_予約入力'!$B$5:$B$204,$A40,'01_予約入力'!$E$5:$E$204,"&gt;="&amp;$B$3,'01_予約入力'!$E$5:$E$204,"&lt;="&amp;$B$4))</f>
        <v/>
      </c>
    </row>
    <row r="41">
      <c r="A41" s="34">
        <f>IF(COUNTA('M_利用者'!$A$4:$A$60)&gt;=19,INDEX('M_利用者'!$A$4:$A$60,19),"")</f>
        <v/>
      </c>
      <c r="B41" s="31">
        <f>IF($A41="","",COUNTIFS('01_予約入力'!$B$5:$B$204,$A41,'01_予約入力'!$E$5:$E$204,"&lt;="&amp;$B$4,'01_予約入力'!$G$5:$G$204,"&gt;="&amp;$B$3,'01_予約入力'!$K$5:$K$204,"&lt;&gt;キャンセル"))</f>
        <v/>
      </c>
      <c r="C41" s="31">
        <f>IF($A41="","",SUMPRODUCT(('01_予約入力'!$E$5:$E$204&lt;&gt;"")*('01_予約入力'!$K$5:$K$204&lt;&gt;"キャンセル")*('01_予約入力'!$B$5:$B$204=$A41)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1" s="31">
        <f>IF($A41="","",SUMIFS('01_予約入力'!$U$5:$U$204,'01_予約入力'!$B$5:$B$204,$A41,'01_予約入力'!$E$5:$E$204,"&gt;="&amp;$B$3,'01_予約入力'!$E$5:$E$204,"&lt;="&amp;$B$4))</f>
        <v/>
      </c>
    </row>
    <row r="42">
      <c r="A42" s="34">
        <f>IF(COUNTA('M_利用者'!$A$4:$A$60)&gt;=20,INDEX('M_利用者'!$A$4:$A$60,20),"")</f>
        <v/>
      </c>
      <c r="B42" s="31">
        <f>IF($A42="","",COUNTIFS('01_予約入力'!$B$5:$B$204,$A42,'01_予約入力'!$E$5:$E$204,"&lt;="&amp;$B$4,'01_予約入力'!$G$5:$G$204,"&gt;="&amp;$B$3,'01_予約入力'!$K$5:$K$204,"&lt;&gt;キャンセル"))</f>
        <v/>
      </c>
      <c r="C42" s="31">
        <f>IF($A42="","",SUMPRODUCT(('01_予約入力'!$E$5:$E$204&lt;&gt;"")*('01_予約入力'!$K$5:$K$204&lt;&gt;"キャンセル")*('01_予約入力'!$B$5:$B$204=$A42)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2" s="31">
        <f>IF($A42="","",SUMIFS('01_予約入力'!$U$5:$U$204,'01_予約入力'!$B$5:$B$204,$A42,'01_予約入力'!$E$5:$E$204,"&gt;="&amp;$B$3,'01_予約入力'!$E$5:$E$204,"&lt;="&amp;$B$4))</f>
        <v/>
      </c>
    </row>
    <row r="43">
      <c r="A43" s="34">
        <f>IF(COUNTA('M_利用者'!$A$4:$A$60)&gt;=21,INDEX('M_利用者'!$A$4:$A$60,21),"")</f>
        <v/>
      </c>
      <c r="B43" s="31">
        <f>IF($A43="","",COUNTIFS('01_予約入力'!$B$5:$B$204,$A43,'01_予約入力'!$E$5:$E$204,"&lt;="&amp;$B$4,'01_予約入力'!$G$5:$G$204,"&gt;="&amp;$B$3,'01_予約入力'!$K$5:$K$204,"&lt;&gt;キャンセル"))</f>
        <v/>
      </c>
      <c r="C43" s="31">
        <f>IF($A43="","",SUMPRODUCT(('01_予約入力'!$E$5:$E$204&lt;&gt;"")*('01_予約入力'!$K$5:$K$204&lt;&gt;"キャンセル")*('01_予約入力'!$B$5:$B$204=$A43)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3" s="31">
        <f>IF($A43="","",SUMIFS('01_予約入力'!$U$5:$U$204,'01_予約入力'!$B$5:$B$204,$A43,'01_予約入力'!$E$5:$E$204,"&gt;="&amp;$B$3,'01_予約入力'!$E$5:$E$204,"&lt;="&amp;$B$4))</f>
        <v/>
      </c>
    </row>
    <row r="44">
      <c r="A44" s="34">
        <f>IF(COUNTA('M_利用者'!$A$4:$A$60)&gt;=22,INDEX('M_利用者'!$A$4:$A$60,22),"")</f>
        <v/>
      </c>
      <c r="B44" s="31">
        <f>IF($A44="","",COUNTIFS('01_予約入力'!$B$5:$B$204,$A44,'01_予約入力'!$E$5:$E$204,"&lt;="&amp;$B$4,'01_予約入力'!$G$5:$G$204,"&gt;="&amp;$B$3,'01_予約入力'!$K$5:$K$204,"&lt;&gt;キャンセル"))</f>
        <v/>
      </c>
      <c r="C44" s="31">
        <f>IF($A44="","",SUMPRODUCT(('01_予約入力'!$E$5:$E$204&lt;&gt;"")*('01_予約入力'!$K$5:$K$204&lt;&gt;"キャンセル")*('01_予約入力'!$B$5:$B$204=$A44)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4" s="31">
        <f>IF($A44="","",SUMIFS('01_予約入力'!$U$5:$U$204,'01_予約入力'!$B$5:$B$204,$A44,'01_予約入力'!$E$5:$E$204,"&gt;="&amp;$B$3,'01_予約入力'!$E$5:$E$204,"&lt;="&amp;$B$4))</f>
        <v/>
      </c>
    </row>
    <row r="45">
      <c r="A45" s="34">
        <f>IF(COUNTA('M_利用者'!$A$4:$A$60)&gt;=23,INDEX('M_利用者'!$A$4:$A$60,23),"")</f>
        <v/>
      </c>
      <c r="B45" s="31">
        <f>IF($A45="","",COUNTIFS('01_予約入力'!$B$5:$B$204,$A45,'01_予約入力'!$E$5:$E$204,"&lt;="&amp;$B$4,'01_予約入力'!$G$5:$G$204,"&gt;="&amp;$B$3,'01_予約入力'!$K$5:$K$204,"&lt;&gt;キャンセル"))</f>
        <v/>
      </c>
      <c r="C45" s="31">
        <f>IF($A45="","",SUMPRODUCT(('01_予約入力'!$E$5:$E$204&lt;&gt;"")*('01_予約入力'!$K$5:$K$204&lt;&gt;"キャンセル")*('01_予約入力'!$B$5:$B$204=$A45)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5" s="31">
        <f>IF($A45="","",SUMIFS('01_予約入力'!$U$5:$U$204,'01_予約入力'!$B$5:$B$204,$A45,'01_予約入力'!$E$5:$E$204,"&gt;="&amp;$B$3,'01_予約入力'!$E$5:$E$204,"&lt;="&amp;$B$4))</f>
        <v/>
      </c>
    </row>
    <row r="46">
      <c r="A46" s="34">
        <f>IF(COUNTA('M_利用者'!$A$4:$A$60)&gt;=24,INDEX('M_利用者'!$A$4:$A$60,24),"")</f>
        <v/>
      </c>
      <c r="B46" s="31">
        <f>IF($A46="","",COUNTIFS('01_予約入力'!$B$5:$B$204,$A46,'01_予約入力'!$E$5:$E$204,"&lt;="&amp;$B$4,'01_予約入力'!$G$5:$G$204,"&gt;="&amp;$B$3,'01_予約入力'!$K$5:$K$204,"&lt;&gt;キャンセル"))</f>
        <v/>
      </c>
      <c r="C46" s="31">
        <f>IF($A46="","",SUMPRODUCT(('01_予約入力'!$E$5:$E$204&lt;&gt;"")*('01_予約入力'!$K$5:$K$204&lt;&gt;"キャンセル")*('01_予約入力'!$B$5:$B$204=$A46)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6" s="31">
        <f>IF($A46="","",SUMIFS('01_予約入力'!$U$5:$U$204,'01_予約入力'!$B$5:$B$204,$A46,'01_予約入力'!$E$5:$E$204,"&gt;="&amp;$B$3,'01_予約入力'!$E$5:$E$204,"&lt;="&amp;$B$4))</f>
        <v/>
      </c>
    </row>
    <row r="47">
      <c r="A47" s="34">
        <f>IF(COUNTA('M_利用者'!$A$4:$A$60)&gt;=25,INDEX('M_利用者'!$A$4:$A$60,25),"")</f>
        <v/>
      </c>
      <c r="B47" s="31">
        <f>IF($A47="","",COUNTIFS('01_予約入力'!$B$5:$B$204,$A47,'01_予約入力'!$E$5:$E$204,"&lt;="&amp;$B$4,'01_予約入力'!$G$5:$G$204,"&gt;="&amp;$B$3,'01_予約入力'!$K$5:$K$204,"&lt;&gt;キャンセル"))</f>
        <v/>
      </c>
      <c r="C47" s="31">
        <f>IF($A47="","",SUMPRODUCT(('01_予約入力'!$E$5:$E$204&lt;&gt;"")*('01_予約入力'!$K$5:$K$204&lt;&gt;"キャンセル")*('01_予約入力'!$B$5:$B$204=$A47)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7" s="31">
        <f>IF($A47="","",SUMIFS('01_予約入力'!$U$5:$U$204,'01_予約入力'!$B$5:$B$204,$A47,'01_予約入力'!$E$5:$E$204,"&gt;="&amp;$B$3,'01_予約入力'!$E$5:$E$204,"&lt;="&amp;$B$4))</f>
        <v/>
      </c>
    </row>
    <row r="48">
      <c r="A48" s="34">
        <f>IF(COUNTA('M_利用者'!$A$4:$A$60)&gt;=26,INDEX('M_利用者'!$A$4:$A$60,26),"")</f>
        <v/>
      </c>
      <c r="B48" s="31">
        <f>IF($A48="","",COUNTIFS('01_予約入力'!$B$5:$B$204,$A48,'01_予約入力'!$E$5:$E$204,"&lt;="&amp;$B$4,'01_予約入力'!$G$5:$G$204,"&gt;="&amp;$B$3,'01_予約入力'!$K$5:$K$204,"&lt;&gt;キャンセル"))</f>
        <v/>
      </c>
      <c r="C48" s="31">
        <f>IF($A48="","",SUMPRODUCT(('01_予約入力'!$E$5:$E$204&lt;&gt;"")*('01_予約入力'!$K$5:$K$204&lt;&gt;"キャンセル")*('01_予約入力'!$B$5:$B$204=$A48)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8" s="31">
        <f>IF($A48="","",SUMIFS('01_予約入力'!$U$5:$U$204,'01_予約入力'!$B$5:$B$204,$A48,'01_予約入力'!$E$5:$E$204,"&gt;="&amp;$B$3,'01_予約入力'!$E$5:$E$204,"&lt;="&amp;$B$4))</f>
        <v/>
      </c>
    </row>
    <row r="49">
      <c r="A49" s="34">
        <f>IF(COUNTA('M_利用者'!$A$4:$A$60)&gt;=27,INDEX('M_利用者'!$A$4:$A$60,27),"")</f>
        <v/>
      </c>
      <c r="B49" s="31">
        <f>IF($A49="","",COUNTIFS('01_予約入力'!$B$5:$B$204,$A49,'01_予約入力'!$E$5:$E$204,"&lt;="&amp;$B$4,'01_予約入力'!$G$5:$G$204,"&gt;="&amp;$B$3,'01_予約入力'!$K$5:$K$204,"&lt;&gt;キャンセル"))</f>
        <v/>
      </c>
      <c r="C49" s="31">
        <f>IF($A49="","",SUMPRODUCT(('01_予約入力'!$E$5:$E$204&lt;&gt;"")*('01_予約入力'!$K$5:$K$204&lt;&gt;"キャンセル")*('01_予約入力'!$B$5:$B$204=$A49)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49" s="31">
        <f>IF($A49="","",SUMIFS('01_予約入力'!$U$5:$U$204,'01_予約入力'!$B$5:$B$204,$A49,'01_予約入力'!$E$5:$E$204,"&gt;="&amp;$B$3,'01_予約入力'!$E$5:$E$204,"&lt;="&amp;$B$4))</f>
        <v/>
      </c>
    </row>
    <row r="50">
      <c r="A50" s="34">
        <f>IF(COUNTA('M_利用者'!$A$4:$A$60)&gt;=28,INDEX('M_利用者'!$A$4:$A$60,28),"")</f>
        <v/>
      </c>
      <c r="B50" s="31">
        <f>IF($A50="","",COUNTIFS('01_予約入力'!$B$5:$B$204,$A50,'01_予約入力'!$E$5:$E$204,"&lt;="&amp;$B$4,'01_予約入力'!$G$5:$G$204,"&gt;="&amp;$B$3,'01_予約入力'!$K$5:$K$204,"&lt;&gt;キャンセル"))</f>
        <v/>
      </c>
      <c r="C50" s="31">
        <f>IF($A50="","",SUMPRODUCT(('01_予約入力'!$E$5:$E$204&lt;&gt;"")*('01_予約入力'!$K$5:$K$204&lt;&gt;"キャンセル")*('01_予約入力'!$B$5:$B$204=$A50)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50" s="31">
        <f>IF($A50="","",SUMIFS('01_予約入力'!$U$5:$U$204,'01_予約入力'!$B$5:$B$204,$A50,'01_予約入力'!$E$5:$E$204,"&gt;="&amp;$B$3,'01_予約入力'!$E$5:$E$204,"&lt;="&amp;$B$4))</f>
        <v/>
      </c>
    </row>
    <row r="51">
      <c r="A51" s="34">
        <f>IF(COUNTA('M_利用者'!$A$4:$A$60)&gt;=29,INDEX('M_利用者'!$A$4:$A$60,29),"")</f>
        <v/>
      </c>
      <c r="B51" s="31">
        <f>IF($A51="","",COUNTIFS('01_予約入力'!$B$5:$B$204,$A51,'01_予約入力'!$E$5:$E$204,"&lt;="&amp;$B$4,'01_予約入力'!$G$5:$G$204,"&gt;="&amp;$B$3,'01_予約入力'!$K$5:$K$204,"&lt;&gt;キャンセル"))</f>
        <v/>
      </c>
      <c r="C51" s="31">
        <f>IF($A51="","",SUMPRODUCT(('01_予約入力'!$E$5:$E$204&lt;&gt;"")*('01_予約入力'!$K$5:$K$204&lt;&gt;"キャンセル")*('01_予約入力'!$B$5:$B$204=$A51)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51" s="31">
        <f>IF($A51="","",SUMIFS('01_予約入力'!$U$5:$U$204,'01_予約入力'!$B$5:$B$204,$A51,'01_予約入力'!$E$5:$E$204,"&gt;="&amp;$B$3,'01_予約入力'!$E$5:$E$204,"&lt;="&amp;$B$4))</f>
        <v/>
      </c>
    </row>
    <row r="52">
      <c r="A52" s="34">
        <f>IF(COUNTA('M_利用者'!$A$4:$A$60)&gt;=30,INDEX('M_利用者'!$A$4:$A$60,30),"")</f>
        <v/>
      </c>
      <c r="B52" s="31">
        <f>IF($A52="","",COUNTIFS('01_予約入力'!$B$5:$B$204,$A52,'01_予約入力'!$E$5:$E$204,"&lt;="&amp;$B$4,'01_予約入力'!$G$5:$G$204,"&gt;="&amp;$B$3,'01_予約入力'!$K$5:$K$204,"&lt;&gt;キャンセル"))</f>
        <v/>
      </c>
      <c r="C52" s="31">
        <f>IF($A52="","",SUMPRODUCT(('01_予約入力'!$E$5:$E$204&lt;&gt;"")*('01_予約入力'!$K$5:$K$204&lt;&gt;"キャンセル")*('01_予約入力'!$B$5:$B$204=$A52)*('01_予約入力'!$E$5:$E$204&lt;=$B$4)*('01_予約入力'!$G$5:$G$204&gt;=$B$3)*((('01_予約入力'!$G$5:$G$204&lt;=$B$4)*'01_予約入力'!$G$5:$G$204+('01_予約入力'!$G$5:$G$204&gt;$B$4)*$B$4)-(('01_予約入力'!$E$5:$E$204&gt;=$B$3)*'01_予約入力'!$E$5:$E$204+('01_予約入力'!$E$5:$E$204&lt;$B$3)*$B$3)+1)))</f>
        <v/>
      </c>
      <c r="D52" s="31">
        <f>IF($A52="","",SUMIFS('01_予約入力'!$U$5:$U$204,'01_予約入力'!$B$5:$B$204,$A52,'01_予約入力'!$E$5:$E$204,"&gt;="&amp;$B$3,'01_予約入力'!$E$5:$E$204,"&lt;="&amp;$B$4))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8" customWidth="1" min="5" max="5"/>
  </cols>
  <sheetData>
    <row r="1">
      <c r="A1" s="1" t="inlineStr">
        <is>
          <t>支給量の残日数（受給者証の月あたり上限）</t>
        </is>
      </c>
    </row>
    <row r="2">
      <c r="A2" s="2" t="inlineStr">
        <is>
          <t>入所日の属する月で集計します。M_区分 で「○」を付けた区分だけを数えます。</t>
        </is>
      </c>
    </row>
    <row r="3">
      <c r="A3" s="12" t="inlineStr">
        <is>
          <t>対象月</t>
        </is>
      </c>
      <c r="B3" s="13" t="n">
        <v>46113</v>
      </c>
      <c r="C3" s="2" t="inlineStr">
        <is>
          <t>その月の日付ならどれでも可（02_カレンダー とは独立です）</t>
        </is>
      </c>
    </row>
    <row r="5" ht="30" customHeight="1">
      <c r="A5" s="7" t="inlineStr">
        <is>
          <t>氏名</t>
        </is>
      </c>
      <c r="B5" s="7" t="inlineStr">
        <is>
          <t>支給量（日／月）</t>
        </is>
      </c>
      <c r="C5" s="7" t="inlineStr">
        <is>
          <t>当月の対象日数</t>
        </is>
      </c>
      <c r="D5" s="7" t="inlineStr">
        <is>
          <t>残り</t>
        </is>
      </c>
      <c r="E5" s="7" t="inlineStr">
        <is>
          <t>状態</t>
        </is>
      </c>
    </row>
    <row r="6">
      <c r="A6" s="34">
        <f>IF(COUNTA('M_利用者'!$A$4:$A$60)&gt;=1,INDEX('M_利用者'!$A$4:$A$60,1),"")</f>
        <v/>
      </c>
      <c r="B6" s="31">
        <f>IF($A6="","",IF(SUMPRODUCT(('M_利用者'!$A$4:$A$60=$A6)*('M_利用者'!$B$4:$B$60&lt;&gt;""))=0,"",SUMIFS('M_利用者'!$B$4:$B$60,'M_利用者'!$A$4:$A$60,$A6)))</f>
        <v/>
      </c>
      <c r="C6" s="31">
        <f>IF($A6="","",SUMIFS('01_予約入力'!$U$5:$U$204,'01_予約入力'!$B$5:$B$204,$A6,'01_予約入力'!$E$5:$E$204,"&gt;="&amp;DATE(YEAR($B$3),MONTH($B$3),1),'01_予約入力'!$E$5:$E$204,"&lt;="&amp;EOMONTH($B$3,0)))</f>
        <v/>
      </c>
      <c r="D6" s="31">
        <f>IF(OR($A6="",$B6=""),"",$B6-$C6)</f>
        <v/>
      </c>
      <c r="E6" s="31">
        <f>IF($A6="","",IF($B6="","（管理しない）",IF($D6&lt;0,"⚠ 超過",IF($D6=0,"上限ちょうど",IF($D6&lt;=1,"残りわずか","OK")))))</f>
        <v/>
      </c>
    </row>
    <row r="7">
      <c r="A7" s="34">
        <f>IF(COUNTA('M_利用者'!$A$4:$A$60)&gt;=2,INDEX('M_利用者'!$A$4:$A$60,2),"")</f>
        <v/>
      </c>
      <c r="B7" s="31">
        <f>IF($A7="","",IF(SUMPRODUCT(('M_利用者'!$A$4:$A$60=$A7)*('M_利用者'!$B$4:$B$60&lt;&gt;""))=0,"",SUMIFS('M_利用者'!$B$4:$B$60,'M_利用者'!$A$4:$A$60,$A7)))</f>
        <v/>
      </c>
      <c r="C7" s="31">
        <f>IF($A7="","",SUMIFS('01_予約入力'!$U$5:$U$204,'01_予約入力'!$B$5:$B$204,$A7,'01_予約入力'!$E$5:$E$204,"&gt;="&amp;DATE(YEAR($B$3),MONTH($B$3),1),'01_予約入力'!$E$5:$E$204,"&lt;="&amp;EOMONTH($B$3,0)))</f>
        <v/>
      </c>
      <c r="D7" s="31">
        <f>IF(OR($A7="",$B7=""),"",$B7-$C7)</f>
        <v/>
      </c>
      <c r="E7" s="31">
        <f>IF($A7="","",IF($B7="","（管理しない）",IF($D7&lt;0,"⚠ 超過",IF($D7=0,"上限ちょうど",IF($D7&lt;=1,"残りわずか","OK")))))</f>
        <v/>
      </c>
    </row>
    <row r="8">
      <c r="A8" s="34">
        <f>IF(COUNTA('M_利用者'!$A$4:$A$60)&gt;=3,INDEX('M_利用者'!$A$4:$A$60,3),"")</f>
        <v/>
      </c>
      <c r="B8" s="31">
        <f>IF($A8="","",IF(SUMPRODUCT(('M_利用者'!$A$4:$A$60=$A8)*('M_利用者'!$B$4:$B$60&lt;&gt;""))=0,"",SUMIFS('M_利用者'!$B$4:$B$60,'M_利用者'!$A$4:$A$60,$A8)))</f>
        <v/>
      </c>
      <c r="C8" s="31">
        <f>IF($A8="","",SUMIFS('01_予約入力'!$U$5:$U$204,'01_予約入力'!$B$5:$B$204,$A8,'01_予約入力'!$E$5:$E$204,"&gt;="&amp;DATE(YEAR($B$3),MONTH($B$3),1),'01_予約入力'!$E$5:$E$204,"&lt;="&amp;EOMONTH($B$3,0)))</f>
        <v/>
      </c>
      <c r="D8" s="31">
        <f>IF(OR($A8="",$B8=""),"",$B8-$C8)</f>
        <v/>
      </c>
      <c r="E8" s="31">
        <f>IF($A8="","",IF($B8="","（管理しない）",IF($D8&lt;0,"⚠ 超過",IF($D8=0,"上限ちょうど",IF($D8&lt;=1,"残りわずか","OK")))))</f>
        <v/>
      </c>
    </row>
    <row r="9">
      <c r="A9" s="34">
        <f>IF(COUNTA('M_利用者'!$A$4:$A$60)&gt;=4,INDEX('M_利用者'!$A$4:$A$60,4),"")</f>
        <v/>
      </c>
      <c r="B9" s="31">
        <f>IF($A9="","",IF(SUMPRODUCT(('M_利用者'!$A$4:$A$60=$A9)*('M_利用者'!$B$4:$B$60&lt;&gt;""))=0,"",SUMIFS('M_利用者'!$B$4:$B$60,'M_利用者'!$A$4:$A$60,$A9)))</f>
        <v/>
      </c>
      <c r="C9" s="31">
        <f>IF($A9="","",SUMIFS('01_予約入力'!$U$5:$U$204,'01_予約入力'!$B$5:$B$204,$A9,'01_予約入力'!$E$5:$E$204,"&gt;="&amp;DATE(YEAR($B$3),MONTH($B$3),1),'01_予約入力'!$E$5:$E$204,"&lt;="&amp;EOMONTH($B$3,0)))</f>
        <v/>
      </c>
      <c r="D9" s="31">
        <f>IF(OR($A9="",$B9=""),"",$B9-$C9)</f>
        <v/>
      </c>
      <c r="E9" s="31">
        <f>IF($A9="","",IF($B9="","（管理しない）",IF($D9&lt;0,"⚠ 超過",IF($D9=0,"上限ちょうど",IF($D9&lt;=1,"残りわずか","OK")))))</f>
        <v/>
      </c>
    </row>
    <row r="10">
      <c r="A10" s="34">
        <f>IF(COUNTA('M_利用者'!$A$4:$A$60)&gt;=5,INDEX('M_利用者'!$A$4:$A$60,5),"")</f>
        <v/>
      </c>
      <c r="B10" s="31">
        <f>IF($A10="","",IF(SUMPRODUCT(('M_利用者'!$A$4:$A$60=$A10)*('M_利用者'!$B$4:$B$60&lt;&gt;""))=0,"",SUMIFS('M_利用者'!$B$4:$B$60,'M_利用者'!$A$4:$A$60,$A10)))</f>
        <v/>
      </c>
      <c r="C10" s="31">
        <f>IF($A10="","",SUMIFS('01_予約入力'!$U$5:$U$204,'01_予約入力'!$B$5:$B$204,$A10,'01_予約入力'!$E$5:$E$204,"&gt;="&amp;DATE(YEAR($B$3),MONTH($B$3),1),'01_予約入力'!$E$5:$E$204,"&lt;="&amp;EOMONTH($B$3,0)))</f>
        <v/>
      </c>
      <c r="D10" s="31">
        <f>IF(OR($A10="",$B10=""),"",$B10-$C10)</f>
        <v/>
      </c>
      <c r="E10" s="31">
        <f>IF($A10="","",IF($B10="","（管理しない）",IF($D10&lt;0,"⚠ 超過",IF($D10=0,"上限ちょうど",IF($D10&lt;=1,"残りわずか","OK")))))</f>
        <v/>
      </c>
    </row>
    <row r="11">
      <c r="A11" s="34">
        <f>IF(COUNTA('M_利用者'!$A$4:$A$60)&gt;=6,INDEX('M_利用者'!$A$4:$A$60,6),"")</f>
        <v/>
      </c>
      <c r="B11" s="31">
        <f>IF($A11="","",IF(SUMPRODUCT(('M_利用者'!$A$4:$A$60=$A11)*('M_利用者'!$B$4:$B$60&lt;&gt;""))=0,"",SUMIFS('M_利用者'!$B$4:$B$60,'M_利用者'!$A$4:$A$60,$A11)))</f>
        <v/>
      </c>
      <c r="C11" s="31">
        <f>IF($A11="","",SUMIFS('01_予約入力'!$U$5:$U$204,'01_予約入力'!$B$5:$B$204,$A11,'01_予約入力'!$E$5:$E$204,"&gt;="&amp;DATE(YEAR($B$3),MONTH($B$3),1),'01_予約入力'!$E$5:$E$204,"&lt;="&amp;EOMONTH($B$3,0)))</f>
        <v/>
      </c>
      <c r="D11" s="31">
        <f>IF(OR($A11="",$B11=""),"",$B11-$C11)</f>
        <v/>
      </c>
      <c r="E11" s="31">
        <f>IF($A11="","",IF($B11="","（管理しない）",IF($D11&lt;0,"⚠ 超過",IF($D11=0,"上限ちょうど",IF($D11&lt;=1,"残りわずか","OK")))))</f>
        <v/>
      </c>
    </row>
    <row r="12">
      <c r="A12" s="34">
        <f>IF(COUNTA('M_利用者'!$A$4:$A$60)&gt;=7,INDEX('M_利用者'!$A$4:$A$60,7),"")</f>
        <v/>
      </c>
      <c r="B12" s="31">
        <f>IF($A12="","",IF(SUMPRODUCT(('M_利用者'!$A$4:$A$60=$A12)*('M_利用者'!$B$4:$B$60&lt;&gt;""))=0,"",SUMIFS('M_利用者'!$B$4:$B$60,'M_利用者'!$A$4:$A$60,$A12)))</f>
        <v/>
      </c>
      <c r="C12" s="31">
        <f>IF($A12="","",SUMIFS('01_予約入力'!$U$5:$U$204,'01_予約入力'!$B$5:$B$204,$A12,'01_予約入力'!$E$5:$E$204,"&gt;="&amp;DATE(YEAR($B$3),MONTH($B$3),1),'01_予約入力'!$E$5:$E$204,"&lt;="&amp;EOMONTH($B$3,0)))</f>
        <v/>
      </c>
      <c r="D12" s="31">
        <f>IF(OR($A12="",$B12=""),"",$B12-$C12)</f>
        <v/>
      </c>
      <c r="E12" s="31">
        <f>IF($A12="","",IF($B12="","（管理しない）",IF($D12&lt;0,"⚠ 超過",IF($D12=0,"上限ちょうど",IF($D12&lt;=1,"残りわずか","OK")))))</f>
        <v/>
      </c>
    </row>
    <row r="13">
      <c r="A13" s="34">
        <f>IF(COUNTA('M_利用者'!$A$4:$A$60)&gt;=8,INDEX('M_利用者'!$A$4:$A$60,8),"")</f>
        <v/>
      </c>
      <c r="B13" s="31">
        <f>IF($A13="","",IF(SUMPRODUCT(('M_利用者'!$A$4:$A$60=$A13)*('M_利用者'!$B$4:$B$60&lt;&gt;""))=0,"",SUMIFS('M_利用者'!$B$4:$B$60,'M_利用者'!$A$4:$A$60,$A13)))</f>
        <v/>
      </c>
      <c r="C13" s="31">
        <f>IF($A13="","",SUMIFS('01_予約入力'!$U$5:$U$204,'01_予約入力'!$B$5:$B$204,$A13,'01_予約入力'!$E$5:$E$204,"&gt;="&amp;DATE(YEAR($B$3),MONTH($B$3),1),'01_予約入力'!$E$5:$E$204,"&lt;="&amp;EOMONTH($B$3,0)))</f>
        <v/>
      </c>
      <c r="D13" s="31">
        <f>IF(OR($A13="",$B13=""),"",$B13-$C13)</f>
        <v/>
      </c>
      <c r="E13" s="31">
        <f>IF($A13="","",IF($B13="","（管理しない）",IF($D13&lt;0,"⚠ 超過",IF($D13=0,"上限ちょうど",IF($D13&lt;=1,"残りわずか","OK")))))</f>
        <v/>
      </c>
    </row>
    <row r="14">
      <c r="A14" s="34">
        <f>IF(COUNTA('M_利用者'!$A$4:$A$60)&gt;=9,INDEX('M_利用者'!$A$4:$A$60,9),"")</f>
        <v/>
      </c>
      <c r="B14" s="31">
        <f>IF($A14="","",IF(SUMPRODUCT(('M_利用者'!$A$4:$A$60=$A14)*('M_利用者'!$B$4:$B$60&lt;&gt;""))=0,"",SUMIFS('M_利用者'!$B$4:$B$60,'M_利用者'!$A$4:$A$60,$A14)))</f>
        <v/>
      </c>
      <c r="C14" s="31">
        <f>IF($A14="","",SUMIFS('01_予約入力'!$U$5:$U$204,'01_予約入力'!$B$5:$B$204,$A14,'01_予約入力'!$E$5:$E$204,"&gt;="&amp;DATE(YEAR($B$3),MONTH($B$3),1),'01_予約入力'!$E$5:$E$204,"&lt;="&amp;EOMONTH($B$3,0)))</f>
        <v/>
      </c>
      <c r="D14" s="31">
        <f>IF(OR($A14="",$B14=""),"",$B14-$C14)</f>
        <v/>
      </c>
      <c r="E14" s="31">
        <f>IF($A14="","",IF($B14="","（管理しない）",IF($D14&lt;0,"⚠ 超過",IF($D14=0,"上限ちょうど",IF($D14&lt;=1,"残りわずか","OK")))))</f>
        <v/>
      </c>
    </row>
    <row r="15">
      <c r="A15" s="34">
        <f>IF(COUNTA('M_利用者'!$A$4:$A$60)&gt;=10,INDEX('M_利用者'!$A$4:$A$60,10),"")</f>
        <v/>
      </c>
      <c r="B15" s="31">
        <f>IF($A15="","",IF(SUMPRODUCT(('M_利用者'!$A$4:$A$60=$A15)*('M_利用者'!$B$4:$B$60&lt;&gt;""))=0,"",SUMIFS('M_利用者'!$B$4:$B$60,'M_利用者'!$A$4:$A$60,$A15)))</f>
        <v/>
      </c>
      <c r="C15" s="31">
        <f>IF($A15="","",SUMIFS('01_予約入力'!$U$5:$U$204,'01_予約入力'!$B$5:$B$204,$A15,'01_予約入力'!$E$5:$E$204,"&gt;="&amp;DATE(YEAR($B$3),MONTH($B$3),1),'01_予約入力'!$E$5:$E$204,"&lt;="&amp;EOMONTH($B$3,0)))</f>
        <v/>
      </c>
      <c r="D15" s="31">
        <f>IF(OR($A15="",$B15=""),"",$B15-$C15)</f>
        <v/>
      </c>
      <c r="E15" s="31">
        <f>IF($A15="","",IF($B15="","（管理しない）",IF($D15&lt;0,"⚠ 超過",IF($D15=0,"上限ちょうど",IF($D15&lt;=1,"残りわずか","OK")))))</f>
        <v/>
      </c>
    </row>
    <row r="16">
      <c r="A16" s="34">
        <f>IF(COUNTA('M_利用者'!$A$4:$A$60)&gt;=11,INDEX('M_利用者'!$A$4:$A$60,11),"")</f>
        <v/>
      </c>
      <c r="B16" s="31">
        <f>IF($A16="","",IF(SUMPRODUCT(('M_利用者'!$A$4:$A$60=$A16)*('M_利用者'!$B$4:$B$60&lt;&gt;""))=0,"",SUMIFS('M_利用者'!$B$4:$B$60,'M_利用者'!$A$4:$A$60,$A16)))</f>
        <v/>
      </c>
      <c r="C16" s="31">
        <f>IF($A16="","",SUMIFS('01_予約入力'!$U$5:$U$204,'01_予約入力'!$B$5:$B$204,$A16,'01_予約入力'!$E$5:$E$204,"&gt;="&amp;DATE(YEAR($B$3),MONTH($B$3),1),'01_予約入力'!$E$5:$E$204,"&lt;="&amp;EOMONTH($B$3,0)))</f>
        <v/>
      </c>
      <c r="D16" s="31">
        <f>IF(OR($A16="",$B16=""),"",$B16-$C16)</f>
        <v/>
      </c>
      <c r="E16" s="31">
        <f>IF($A16="","",IF($B16="","（管理しない）",IF($D16&lt;0,"⚠ 超過",IF($D16=0,"上限ちょうど",IF($D16&lt;=1,"残りわずか","OK")))))</f>
        <v/>
      </c>
    </row>
    <row r="17">
      <c r="A17" s="34">
        <f>IF(COUNTA('M_利用者'!$A$4:$A$60)&gt;=12,INDEX('M_利用者'!$A$4:$A$60,12),"")</f>
        <v/>
      </c>
      <c r="B17" s="31">
        <f>IF($A17="","",IF(SUMPRODUCT(('M_利用者'!$A$4:$A$60=$A17)*('M_利用者'!$B$4:$B$60&lt;&gt;""))=0,"",SUMIFS('M_利用者'!$B$4:$B$60,'M_利用者'!$A$4:$A$60,$A17)))</f>
        <v/>
      </c>
      <c r="C17" s="31">
        <f>IF($A17="","",SUMIFS('01_予約入力'!$U$5:$U$204,'01_予約入力'!$B$5:$B$204,$A17,'01_予約入力'!$E$5:$E$204,"&gt;="&amp;DATE(YEAR($B$3),MONTH($B$3),1),'01_予約入力'!$E$5:$E$204,"&lt;="&amp;EOMONTH($B$3,0)))</f>
        <v/>
      </c>
      <c r="D17" s="31">
        <f>IF(OR($A17="",$B17=""),"",$B17-$C17)</f>
        <v/>
      </c>
      <c r="E17" s="31">
        <f>IF($A17="","",IF($B17="","（管理しない）",IF($D17&lt;0,"⚠ 超過",IF($D17=0,"上限ちょうど",IF($D17&lt;=1,"残りわずか","OK")))))</f>
        <v/>
      </c>
    </row>
    <row r="18">
      <c r="A18" s="34">
        <f>IF(COUNTA('M_利用者'!$A$4:$A$60)&gt;=13,INDEX('M_利用者'!$A$4:$A$60,13),"")</f>
        <v/>
      </c>
      <c r="B18" s="31">
        <f>IF($A18="","",IF(SUMPRODUCT(('M_利用者'!$A$4:$A$60=$A18)*('M_利用者'!$B$4:$B$60&lt;&gt;""))=0,"",SUMIFS('M_利用者'!$B$4:$B$60,'M_利用者'!$A$4:$A$60,$A18)))</f>
        <v/>
      </c>
      <c r="C18" s="31">
        <f>IF($A18="","",SUMIFS('01_予約入力'!$U$5:$U$204,'01_予約入力'!$B$5:$B$204,$A18,'01_予約入力'!$E$5:$E$204,"&gt;="&amp;DATE(YEAR($B$3),MONTH($B$3),1),'01_予約入力'!$E$5:$E$204,"&lt;="&amp;EOMONTH($B$3,0)))</f>
        <v/>
      </c>
      <c r="D18" s="31">
        <f>IF(OR($A18="",$B18=""),"",$B18-$C18)</f>
        <v/>
      </c>
      <c r="E18" s="31">
        <f>IF($A18="","",IF($B18="","（管理しない）",IF($D18&lt;0,"⚠ 超過",IF($D18=0,"上限ちょうど",IF($D18&lt;=1,"残りわずか","OK")))))</f>
        <v/>
      </c>
    </row>
    <row r="19">
      <c r="A19" s="34">
        <f>IF(COUNTA('M_利用者'!$A$4:$A$60)&gt;=14,INDEX('M_利用者'!$A$4:$A$60,14),"")</f>
        <v/>
      </c>
      <c r="B19" s="31">
        <f>IF($A19="","",IF(SUMPRODUCT(('M_利用者'!$A$4:$A$60=$A19)*('M_利用者'!$B$4:$B$60&lt;&gt;""))=0,"",SUMIFS('M_利用者'!$B$4:$B$60,'M_利用者'!$A$4:$A$60,$A19)))</f>
        <v/>
      </c>
      <c r="C19" s="31">
        <f>IF($A19="","",SUMIFS('01_予約入力'!$U$5:$U$204,'01_予約入力'!$B$5:$B$204,$A19,'01_予約入力'!$E$5:$E$204,"&gt;="&amp;DATE(YEAR($B$3),MONTH($B$3),1),'01_予約入力'!$E$5:$E$204,"&lt;="&amp;EOMONTH($B$3,0)))</f>
        <v/>
      </c>
      <c r="D19" s="31">
        <f>IF(OR($A19="",$B19=""),"",$B19-$C19)</f>
        <v/>
      </c>
      <c r="E19" s="31">
        <f>IF($A19="","",IF($B19="","（管理しない）",IF($D19&lt;0,"⚠ 超過",IF($D19=0,"上限ちょうど",IF($D19&lt;=1,"残りわずか","OK")))))</f>
        <v/>
      </c>
    </row>
    <row r="20">
      <c r="A20" s="34">
        <f>IF(COUNTA('M_利用者'!$A$4:$A$60)&gt;=15,INDEX('M_利用者'!$A$4:$A$60,15),"")</f>
        <v/>
      </c>
      <c r="B20" s="31">
        <f>IF($A20="","",IF(SUMPRODUCT(('M_利用者'!$A$4:$A$60=$A20)*('M_利用者'!$B$4:$B$60&lt;&gt;""))=0,"",SUMIFS('M_利用者'!$B$4:$B$60,'M_利用者'!$A$4:$A$60,$A20)))</f>
        <v/>
      </c>
      <c r="C20" s="31">
        <f>IF($A20="","",SUMIFS('01_予約入力'!$U$5:$U$204,'01_予約入力'!$B$5:$B$204,$A20,'01_予約入力'!$E$5:$E$204,"&gt;="&amp;DATE(YEAR($B$3),MONTH($B$3),1),'01_予約入力'!$E$5:$E$204,"&lt;="&amp;EOMONTH($B$3,0)))</f>
        <v/>
      </c>
      <c r="D20" s="31">
        <f>IF(OR($A20="",$B20=""),"",$B20-$C20)</f>
        <v/>
      </c>
      <c r="E20" s="31">
        <f>IF($A20="","",IF($B20="","（管理しない）",IF($D20&lt;0,"⚠ 超過",IF($D20=0,"上限ちょうど",IF($D20&lt;=1,"残りわずか","OK")))))</f>
        <v/>
      </c>
    </row>
    <row r="21">
      <c r="A21" s="34">
        <f>IF(COUNTA('M_利用者'!$A$4:$A$60)&gt;=16,INDEX('M_利用者'!$A$4:$A$60,16),"")</f>
        <v/>
      </c>
      <c r="B21" s="31">
        <f>IF($A21="","",IF(SUMPRODUCT(('M_利用者'!$A$4:$A$60=$A21)*('M_利用者'!$B$4:$B$60&lt;&gt;""))=0,"",SUMIFS('M_利用者'!$B$4:$B$60,'M_利用者'!$A$4:$A$60,$A21)))</f>
        <v/>
      </c>
      <c r="C21" s="31">
        <f>IF($A21="","",SUMIFS('01_予約入力'!$U$5:$U$204,'01_予約入力'!$B$5:$B$204,$A21,'01_予約入力'!$E$5:$E$204,"&gt;="&amp;DATE(YEAR($B$3),MONTH($B$3),1),'01_予約入力'!$E$5:$E$204,"&lt;="&amp;EOMONTH($B$3,0)))</f>
        <v/>
      </c>
      <c r="D21" s="31">
        <f>IF(OR($A21="",$B21=""),"",$B21-$C21)</f>
        <v/>
      </c>
      <c r="E21" s="31">
        <f>IF($A21="","",IF($B21="","（管理しない）",IF($D21&lt;0,"⚠ 超過",IF($D21=0,"上限ちょうど",IF($D21&lt;=1,"残りわずか","OK")))))</f>
        <v/>
      </c>
    </row>
    <row r="22">
      <c r="A22" s="34">
        <f>IF(COUNTA('M_利用者'!$A$4:$A$60)&gt;=17,INDEX('M_利用者'!$A$4:$A$60,17),"")</f>
        <v/>
      </c>
      <c r="B22" s="31">
        <f>IF($A22="","",IF(SUMPRODUCT(('M_利用者'!$A$4:$A$60=$A22)*('M_利用者'!$B$4:$B$60&lt;&gt;""))=0,"",SUMIFS('M_利用者'!$B$4:$B$60,'M_利用者'!$A$4:$A$60,$A22)))</f>
        <v/>
      </c>
      <c r="C22" s="31">
        <f>IF($A22="","",SUMIFS('01_予約入力'!$U$5:$U$204,'01_予約入力'!$B$5:$B$204,$A22,'01_予約入力'!$E$5:$E$204,"&gt;="&amp;DATE(YEAR($B$3),MONTH($B$3),1),'01_予約入力'!$E$5:$E$204,"&lt;="&amp;EOMONTH($B$3,0)))</f>
        <v/>
      </c>
      <c r="D22" s="31">
        <f>IF(OR($A22="",$B22=""),"",$B22-$C22)</f>
        <v/>
      </c>
      <c r="E22" s="31">
        <f>IF($A22="","",IF($B22="","（管理しない）",IF($D22&lt;0,"⚠ 超過",IF($D22=0,"上限ちょうど",IF($D22&lt;=1,"残りわずか","OK")))))</f>
        <v/>
      </c>
    </row>
    <row r="23">
      <c r="A23" s="34">
        <f>IF(COUNTA('M_利用者'!$A$4:$A$60)&gt;=18,INDEX('M_利用者'!$A$4:$A$60,18),"")</f>
        <v/>
      </c>
      <c r="B23" s="31">
        <f>IF($A23="","",IF(SUMPRODUCT(('M_利用者'!$A$4:$A$60=$A23)*('M_利用者'!$B$4:$B$60&lt;&gt;""))=0,"",SUMIFS('M_利用者'!$B$4:$B$60,'M_利用者'!$A$4:$A$60,$A23)))</f>
        <v/>
      </c>
      <c r="C23" s="31">
        <f>IF($A23="","",SUMIFS('01_予約入力'!$U$5:$U$204,'01_予約入力'!$B$5:$B$204,$A23,'01_予約入力'!$E$5:$E$204,"&gt;="&amp;DATE(YEAR($B$3),MONTH($B$3),1),'01_予約入力'!$E$5:$E$204,"&lt;="&amp;EOMONTH($B$3,0)))</f>
        <v/>
      </c>
      <c r="D23" s="31">
        <f>IF(OR($A23="",$B23=""),"",$B23-$C23)</f>
        <v/>
      </c>
      <c r="E23" s="31">
        <f>IF($A23="","",IF($B23="","（管理しない）",IF($D23&lt;0,"⚠ 超過",IF($D23=0,"上限ちょうど",IF($D23&lt;=1,"残りわずか","OK")))))</f>
        <v/>
      </c>
    </row>
    <row r="24">
      <c r="A24" s="34">
        <f>IF(COUNTA('M_利用者'!$A$4:$A$60)&gt;=19,INDEX('M_利用者'!$A$4:$A$60,19),"")</f>
        <v/>
      </c>
      <c r="B24" s="31">
        <f>IF($A24="","",IF(SUMPRODUCT(('M_利用者'!$A$4:$A$60=$A24)*('M_利用者'!$B$4:$B$60&lt;&gt;""))=0,"",SUMIFS('M_利用者'!$B$4:$B$60,'M_利用者'!$A$4:$A$60,$A24)))</f>
        <v/>
      </c>
      <c r="C24" s="31">
        <f>IF($A24="","",SUMIFS('01_予約入力'!$U$5:$U$204,'01_予約入力'!$B$5:$B$204,$A24,'01_予約入力'!$E$5:$E$204,"&gt;="&amp;DATE(YEAR($B$3),MONTH($B$3),1),'01_予約入力'!$E$5:$E$204,"&lt;="&amp;EOMONTH($B$3,0)))</f>
        <v/>
      </c>
      <c r="D24" s="31">
        <f>IF(OR($A24="",$B24=""),"",$B24-$C24)</f>
        <v/>
      </c>
      <c r="E24" s="31">
        <f>IF($A24="","",IF($B24="","（管理しない）",IF($D24&lt;0,"⚠ 超過",IF($D24=0,"上限ちょうど",IF($D24&lt;=1,"残りわずか","OK")))))</f>
        <v/>
      </c>
    </row>
    <row r="25">
      <c r="A25" s="34">
        <f>IF(COUNTA('M_利用者'!$A$4:$A$60)&gt;=20,INDEX('M_利用者'!$A$4:$A$60,20),"")</f>
        <v/>
      </c>
      <c r="B25" s="31">
        <f>IF($A25="","",IF(SUMPRODUCT(('M_利用者'!$A$4:$A$60=$A25)*('M_利用者'!$B$4:$B$60&lt;&gt;""))=0,"",SUMIFS('M_利用者'!$B$4:$B$60,'M_利用者'!$A$4:$A$60,$A25)))</f>
        <v/>
      </c>
      <c r="C25" s="31">
        <f>IF($A25="","",SUMIFS('01_予約入力'!$U$5:$U$204,'01_予約入力'!$B$5:$B$204,$A25,'01_予約入力'!$E$5:$E$204,"&gt;="&amp;DATE(YEAR($B$3),MONTH($B$3),1),'01_予約入力'!$E$5:$E$204,"&lt;="&amp;EOMONTH($B$3,0)))</f>
        <v/>
      </c>
      <c r="D25" s="31">
        <f>IF(OR($A25="",$B25=""),"",$B25-$C25)</f>
        <v/>
      </c>
      <c r="E25" s="31">
        <f>IF($A25="","",IF($B25="","（管理しない）",IF($D25&lt;0,"⚠ 超過",IF($D25=0,"上限ちょうど",IF($D25&lt;=1,"残りわずか","OK")))))</f>
        <v/>
      </c>
    </row>
    <row r="26">
      <c r="A26" s="34">
        <f>IF(COUNTA('M_利用者'!$A$4:$A$60)&gt;=21,INDEX('M_利用者'!$A$4:$A$60,21),"")</f>
        <v/>
      </c>
      <c r="B26" s="31">
        <f>IF($A26="","",IF(SUMPRODUCT(('M_利用者'!$A$4:$A$60=$A26)*('M_利用者'!$B$4:$B$60&lt;&gt;""))=0,"",SUMIFS('M_利用者'!$B$4:$B$60,'M_利用者'!$A$4:$A$60,$A26)))</f>
        <v/>
      </c>
      <c r="C26" s="31">
        <f>IF($A26="","",SUMIFS('01_予約入力'!$U$5:$U$204,'01_予約入力'!$B$5:$B$204,$A26,'01_予約入力'!$E$5:$E$204,"&gt;="&amp;DATE(YEAR($B$3),MONTH($B$3),1),'01_予約入力'!$E$5:$E$204,"&lt;="&amp;EOMONTH($B$3,0)))</f>
        <v/>
      </c>
      <c r="D26" s="31">
        <f>IF(OR($A26="",$B26=""),"",$B26-$C26)</f>
        <v/>
      </c>
      <c r="E26" s="31">
        <f>IF($A26="","",IF($B26="","（管理しない）",IF($D26&lt;0,"⚠ 超過",IF($D26=0,"上限ちょうど",IF($D26&lt;=1,"残りわずか","OK")))))</f>
        <v/>
      </c>
    </row>
    <row r="27">
      <c r="A27" s="34">
        <f>IF(COUNTA('M_利用者'!$A$4:$A$60)&gt;=22,INDEX('M_利用者'!$A$4:$A$60,22),"")</f>
        <v/>
      </c>
      <c r="B27" s="31">
        <f>IF($A27="","",IF(SUMPRODUCT(('M_利用者'!$A$4:$A$60=$A27)*('M_利用者'!$B$4:$B$60&lt;&gt;""))=0,"",SUMIFS('M_利用者'!$B$4:$B$60,'M_利用者'!$A$4:$A$60,$A27)))</f>
        <v/>
      </c>
      <c r="C27" s="31">
        <f>IF($A27="","",SUMIFS('01_予約入力'!$U$5:$U$204,'01_予約入力'!$B$5:$B$204,$A27,'01_予約入力'!$E$5:$E$204,"&gt;="&amp;DATE(YEAR($B$3),MONTH($B$3),1),'01_予約入力'!$E$5:$E$204,"&lt;="&amp;EOMONTH($B$3,0)))</f>
        <v/>
      </c>
      <c r="D27" s="31">
        <f>IF(OR($A27="",$B27=""),"",$B27-$C27)</f>
        <v/>
      </c>
      <c r="E27" s="31">
        <f>IF($A27="","",IF($B27="","（管理しない）",IF($D27&lt;0,"⚠ 超過",IF($D27=0,"上限ちょうど",IF($D27&lt;=1,"残りわずか","OK")))))</f>
        <v/>
      </c>
    </row>
    <row r="28">
      <c r="A28" s="34">
        <f>IF(COUNTA('M_利用者'!$A$4:$A$60)&gt;=23,INDEX('M_利用者'!$A$4:$A$60,23),"")</f>
        <v/>
      </c>
      <c r="B28" s="31">
        <f>IF($A28="","",IF(SUMPRODUCT(('M_利用者'!$A$4:$A$60=$A28)*('M_利用者'!$B$4:$B$60&lt;&gt;""))=0,"",SUMIFS('M_利用者'!$B$4:$B$60,'M_利用者'!$A$4:$A$60,$A28)))</f>
        <v/>
      </c>
      <c r="C28" s="31">
        <f>IF($A28="","",SUMIFS('01_予約入力'!$U$5:$U$204,'01_予約入力'!$B$5:$B$204,$A28,'01_予約入力'!$E$5:$E$204,"&gt;="&amp;DATE(YEAR($B$3),MONTH($B$3),1),'01_予約入力'!$E$5:$E$204,"&lt;="&amp;EOMONTH($B$3,0)))</f>
        <v/>
      </c>
      <c r="D28" s="31">
        <f>IF(OR($A28="",$B28=""),"",$B28-$C28)</f>
        <v/>
      </c>
      <c r="E28" s="31">
        <f>IF($A28="","",IF($B28="","（管理しない）",IF($D28&lt;0,"⚠ 超過",IF($D28=0,"上限ちょうど",IF($D28&lt;=1,"残りわずか","OK")))))</f>
        <v/>
      </c>
    </row>
    <row r="29">
      <c r="A29" s="34">
        <f>IF(COUNTA('M_利用者'!$A$4:$A$60)&gt;=24,INDEX('M_利用者'!$A$4:$A$60,24),"")</f>
        <v/>
      </c>
      <c r="B29" s="31">
        <f>IF($A29="","",IF(SUMPRODUCT(('M_利用者'!$A$4:$A$60=$A29)*('M_利用者'!$B$4:$B$60&lt;&gt;""))=0,"",SUMIFS('M_利用者'!$B$4:$B$60,'M_利用者'!$A$4:$A$60,$A29)))</f>
        <v/>
      </c>
      <c r="C29" s="31">
        <f>IF($A29="","",SUMIFS('01_予約入力'!$U$5:$U$204,'01_予約入力'!$B$5:$B$204,$A29,'01_予約入力'!$E$5:$E$204,"&gt;="&amp;DATE(YEAR($B$3),MONTH($B$3),1),'01_予約入力'!$E$5:$E$204,"&lt;="&amp;EOMONTH($B$3,0)))</f>
        <v/>
      </c>
      <c r="D29" s="31">
        <f>IF(OR($A29="",$B29=""),"",$B29-$C29)</f>
        <v/>
      </c>
      <c r="E29" s="31">
        <f>IF($A29="","",IF($B29="","（管理しない）",IF($D29&lt;0,"⚠ 超過",IF($D29=0,"上限ちょうど",IF($D29&lt;=1,"残りわずか","OK")))))</f>
        <v/>
      </c>
    </row>
    <row r="30">
      <c r="A30" s="34">
        <f>IF(COUNTA('M_利用者'!$A$4:$A$60)&gt;=25,INDEX('M_利用者'!$A$4:$A$60,25),"")</f>
        <v/>
      </c>
      <c r="B30" s="31">
        <f>IF($A30="","",IF(SUMPRODUCT(('M_利用者'!$A$4:$A$60=$A30)*('M_利用者'!$B$4:$B$60&lt;&gt;""))=0,"",SUMIFS('M_利用者'!$B$4:$B$60,'M_利用者'!$A$4:$A$60,$A30)))</f>
        <v/>
      </c>
      <c r="C30" s="31">
        <f>IF($A30="","",SUMIFS('01_予約入力'!$U$5:$U$204,'01_予約入力'!$B$5:$B$204,$A30,'01_予約入力'!$E$5:$E$204,"&gt;="&amp;DATE(YEAR($B$3),MONTH($B$3),1),'01_予約入力'!$E$5:$E$204,"&lt;="&amp;EOMONTH($B$3,0)))</f>
        <v/>
      </c>
      <c r="D30" s="31">
        <f>IF(OR($A30="",$B30=""),"",$B30-$C30)</f>
        <v/>
      </c>
      <c r="E30" s="31">
        <f>IF($A30="","",IF($B30="","（管理しない）",IF($D30&lt;0,"⚠ 超過",IF($D30=0,"上限ちょうど",IF($D30&lt;=1,"残りわずか","OK")))))</f>
        <v/>
      </c>
    </row>
    <row r="31">
      <c r="A31" s="34">
        <f>IF(COUNTA('M_利用者'!$A$4:$A$60)&gt;=26,INDEX('M_利用者'!$A$4:$A$60,26),"")</f>
        <v/>
      </c>
      <c r="B31" s="31">
        <f>IF($A31="","",IF(SUMPRODUCT(('M_利用者'!$A$4:$A$60=$A31)*('M_利用者'!$B$4:$B$60&lt;&gt;""))=0,"",SUMIFS('M_利用者'!$B$4:$B$60,'M_利用者'!$A$4:$A$60,$A31)))</f>
        <v/>
      </c>
      <c r="C31" s="31">
        <f>IF($A31="","",SUMIFS('01_予約入力'!$U$5:$U$204,'01_予約入力'!$B$5:$B$204,$A31,'01_予約入力'!$E$5:$E$204,"&gt;="&amp;DATE(YEAR($B$3),MONTH($B$3),1),'01_予約入力'!$E$5:$E$204,"&lt;="&amp;EOMONTH($B$3,0)))</f>
        <v/>
      </c>
      <c r="D31" s="31">
        <f>IF(OR($A31="",$B31=""),"",$B31-$C31)</f>
        <v/>
      </c>
      <c r="E31" s="31">
        <f>IF($A31="","",IF($B31="","（管理しない）",IF($D31&lt;0,"⚠ 超過",IF($D31=0,"上限ちょうど",IF($D31&lt;=1,"残りわずか","OK")))))</f>
        <v/>
      </c>
    </row>
    <row r="32">
      <c r="A32" s="34">
        <f>IF(COUNTA('M_利用者'!$A$4:$A$60)&gt;=27,INDEX('M_利用者'!$A$4:$A$60,27),"")</f>
        <v/>
      </c>
      <c r="B32" s="31">
        <f>IF($A32="","",IF(SUMPRODUCT(('M_利用者'!$A$4:$A$60=$A32)*('M_利用者'!$B$4:$B$60&lt;&gt;""))=0,"",SUMIFS('M_利用者'!$B$4:$B$60,'M_利用者'!$A$4:$A$60,$A32)))</f>
        <v/>
      </c>
      <c r="C32" s="31">
        <f>IF($A32="","",SUMIFS('01_予約入力'!$U$5:$U$204,'01_予約入力'!$B$5:$B$204,$A32,'01_予約入力'!$E$5:$E$204,"&gt;="&amp;DATE(YEAR($B$3),MONTH($B$3),1),'01_予約入力'!$E$5:$E$204,"&lt;="&amp;EOMONTH($B$3,0)))</f>
        <v/>
      </c>
      <c r="D32" s="31">
        <f>IF(OR($A32="",$B32=""),"",$B32-$C32)</f>
        <v/>
      </c>
      <c r="E32" s="31">
        <f>IF($A32="","",IF($B32="","（管理しない）",IF($D32&lt;0,"⚠ 超過",IF($D32=0,"上限ちょうど",IF($D32&lt;=1,"残りわずか","OK")))))</f>
        <v/>
      </c>
    </row>
    <row r="33">
      <c r="A33" s="34">
        <f>IF(COUNTA('M_利用者'!$A$4:$A$60)&gt;=28,INDEX('M_利用者'!$A$4:$A$60,28),"")</f>
        <v/>
      </c>
      <c r="B33" s="31">
        <f>IF($A33="","",IF(SUMPRODUCT(('M_利用者'!$A$4:$A$60=$A33)*('M_利用者'!$B$4:$B$60&lt;&gt;""))=0,"",SUMIFS('M_利用者'!$B$4:$B$60,'M_利用者'!$A$4:$A$60,$A33)))</f>
        <v/>
      </c>
      <c r="C33" s="31">
        <f>IF($A33="","",SUMIFS('01_予約入力'!$U$5:$U$204,'01_予約入力'!$B$5:$B$204,$A33,'01_予約入力'!$E$5:$E$204,"&gt;="&amp;DATE(YEAR($B$3),MONTH($B$3),1),'01_予約入力'!$E$5:$E$204,"&lt;="&amp;EOMONTH($B$3,0)))</f>
        <v/>
      </c>
      <c r="D33" s="31">
        <f>IF(OR($A33="",$B33=""),"",$B33-$C33)</f>
        <v/>
      </c>
      <c r="E33" s="31">
        <f>IF($A33="","",IF($B33="","（管理しない）",IF($D33&lt;0,"⚠ 超過",IF($D33=0,"上限ちょうど",IF($D33&lt;=1,"残りわずか","OK")))))</f>
        <v/>
      </c>
    </row>
    <row r="34">
      <c r="A34" s="34">
        <f>IF(COUNTA('M_利用者'!$A$4:$A$60)&gt;=29,INDEX('M_利用者'!$A$4:$A$60,29),"")</f>
        <v/>
      </c>
      <c r="B34" s="31">
        <f>IF($A34="","",IF(SUMPRODUCT(('M_利用者'!$A$4:$A$60=$A34)*('M_利用者'!$B$4:$B$60&lt;&gt;""))=0,"",SUMIFS('M_利用者'!$B$4:$B$60,'M_利用者'!$A$4:$A$60,$A34)))</f>
        <v/>
      </c>
      <c r="C34" s="31">
        <f>IF($A34="","",SUMIFS('01_予約入力'!$U$5:$U$204,'01_予約入力'!$B$5:$B$204,$A34,'01_予約入力'!$E$5:$E$204,"&gt;="&amp;DATE(YEAR($B$3),MONTH($B$3),1),'01_予約入力'!$E$5:$E$204,"&lt;="&amp;EOMONTH($B$3,0)))</f>
        <v/>
      </c>
      <c r="D34" s="31">
        <f>IF(OR($A34="",$B34=""),"",$B34-$C34)</f>
        <v/>
      </c>
      <c r="E34" s="31">
        <f>IF($A34="","",IF($B34="","（管理しない）",IF($D34&lt;0,"⚠ 超過",IF($D34=0,"上限ちょうど",IF($D34&lt;=1,"残りわずか","OK")))))</f>
        <v/>
      </c>
    </row>
    <row r="35">
      <c r="A35" s="34">
        <f>IF(COUNTA('M_利用者'!$A$4:$A$60)&gt;=30,INDEX('M_利用者'!$A$4:$A$60,30),"")</f>
        <v/>
      </c>
      <c r="B35" s="31">
        <f>IF($A35="","",IF(SUMPRODUCT(('M_利用者'!$A$4:$A$60=$A35)*('M_利用者'!$B$4:$B$60&lt;&gt;""))=0,"",SUMIFS('M_利用者'!$B$4:$B$60,'M_利用者'!$A$4:$A$60,$A35)))</f>
        <v/>
      </c>
      <c r="C35" s="31">
        <f>IF($A35="","",SUMIFS('01_予約入力'!$U$5:$U$204,'01_予約入力'!$B$5:$B$204,$A35,'01_予約入力'!$E$5:$E$204,"&gt;="&amp;DATE(YEAR($B$3),MONTH($B$3),1),'01_予約入力'!$E$5:$E$204,"&lt;="&amp;EOMONTH($B$3,0)))</f>
        <v/>
      </c>
      <c r="D35" s="31">
        <f>IF(OR($A35="",$B35=""),"",$B35-$C35)</f>
        <v/>
      </c>
      <c r="E35" s="31">
        <f>IF($A35="","",IF($B35="","（管理しない）",IF($D35&lt;0,"⚠ 超過",IF($D35=0,"上限ちょうど",IF($D35&lt;=1,"残りわずか","OK")))))</f>
        <v/>
      </c>
    </row>
    <row r="37">
      <c r="A37" s="2" t="inlineStr">
        <is>
          <t>※ 月をまたぐ滞在は、入所日の属する月にまとめて計上します。月割りが必要な場合は 07_月次集計 を使ってください。</t>
        </is>
      </c>
    </row>
  </sheetData>
  <conditionalFormatting sqref="A6:E35">
    <cfRule type="expression" priority="1" dxfId="1">
      <formula>$E6="⚠ 超過"</formula>
    </cfRule>
    <cfRule type="expression" priority="2" dxfId="2">
      <formula>$E6="残りわずか"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.8" customWidth="1" min="2" max="2"/>
    <col width="3.8" customWidth="1" min="3" max="3"/>
    <col width="3.8" customWidth="1" min="4" max="4"/>
    <col width="3.8" customWidth="1" min="5" max="5"/>
    <col width="3.8" customWidth="1" min="6" max="6"/>
    <col width="3.8" customWidth="1" min="7" max="7"/>
    <col width="3.8" customWidth="1" min="8" max="8"/>
    <col width="3.8" customWidth="1" min="9" max="9"/>
    <col width="3.8" customWidth="1" min="10" max="10"/>
    <col width="3.8" customWidth="1" min="11" max="11"/>
    <col width="3.8" customWidth="1" min="12" max="12"/>
    <col width="3.8" customWidth="1" min="13" max="13"/>
    <col width="3.8" customWidth="1" min="14" max="14"/>
    <col width="3.8" customWidth="1" min="15" max="15"/>
    <col width="3.8" customWidth="1" min="16" max="16"/>
    <col width="3.8" customWidth="1" min="17" max="17"/>
    <col width="3.8" customWidth="1" min="18" max="18"/>
    <col width="3.8" customWidth="1" min="19" max="19"/>
    <col width="3.8" customWidth="1" min="20" max="20"/>
    <col width="3.8" customWidth="1" min="21" max="21"/>
    <col width="3.8" customWidth="1" min="22" max="22"/>
    <col width="3.8" customWidth="1" min="23" max="23"/>
    <col width="3.8" customWidth="1" min="24" max="24"/>
    <col width="3.8" customWidth="1" min="25" max="25"/>
    <col width="3.8" customWidth="1" min="26" max="26"/>
    <col width="3.8" customWidth="1" min="27" max="27"/>
    <col width="3.8" customWidth="1" min="28" max="28"/>
    <col width="3.8" customWidth="1" min="29" max="29"/>
    <col width="3.8" customWidth="1" min="30" max="30"/>
    <col width="3.8" customWidth="1" min="31" max="31"/>
    <col width="3.8" customWidth="1" min="32" max="32"/>
  </cols>
  <sheetData>
    <row r="1">
      <c r="A1" s="1">
        <f>'M_施設設定'!$B$4&amp;"　"&amp;'M_施設設定'!$B$5</f>
        <v/>
      </c>
    </row>
    <row r="2">
      <c r="A2" s="40">
        <f>TEXT('02_カレンダー'!$B$4,"yyyy年m月")&amp;"　短期入所 空き状況"</f>
        <v/>
      </c>
    </row>
    <row r="3">
      <c r="A3" s="2">
        <f>'M_施設設定'!$B$11&amp;"　TEL "&amp;'M_施設設定'!$B$12&amp;"　FAX "&amp;'M_施設設定'!$B$13</f>
        <v/>
      </c>
    </row>
    <row r="4">
      <c r="A4" s="2">
        <f>"作成日："&amp;TEXT(TODAY(),"yyyy年m月d日")&amp;"　／　対象月は 02_カレンダー で変更します"</f>
        <v/>
      </c>
    </row>
    <row r="6">
      <c r="A6" s="24" t="inlineStr">
        <is>
          <t>日</t>
        </is>
      </c>
      <c r="B6" s="41">
        <f>IF('04_月間表'!$A7="","",DAY('04_月間表'!$A7))</f>
        <v/>
      </c>
      <c r="C6" s="41">
        <f>IF('04_月間表'!$A8="","",DAY('04_月間表'!$A8))</f>
        <v/>
      </c>
      <c r="D6" s="41">
        <f>IF('04_月間表'!$A9="","",DAY('04_月間表'!$A9))</f>
        <v/>
      </c>
      <c r="E6" s="41">
        <f>IF('04_月間表'!$A10="","",DAY('04_月間表'!$A10))</f>
        <v/>
      </c>
      <c r="F6" s="41">
        <f>IF('04_月間表'!$A11="","",DAY('04_月間表'!$A11))</f>
        <v/>
      </c>
      <c r="G6" s="41">
        <f>IF('04_月間表'!$A12="","",DAY('04_月間表'!$A12))</f>
        <v/>
      </c>
      <c r="H6" s="41">
        <f>IF('04_月間表'!$A13="","",DAY('04_月間表'!$A13))</f>
        <v/>
      </c>
      <c r="I6" s="41">
        <f>IF('04_月間表'!$A14="","",DAY('04_月間表'!$A14))</f>
        <v/>
      </c>
      <c r="J6" s="41">
        <f>IF('04_月間表'!$A15="","",DAY('04_月間表'!$A15))</f>
        <v/>
      </c>
      <c r="K6" s="41">
        <f>IF('04_月間表'!$A16="","",DAY('04_月間表'!$A16))</f>
        <v/>
      </c>
      <c r="L6" s="41">
        <f>IF('04_月間表'!$A17="","",DAY('04_月間表'!$A17))</f>
        <v/>
      </c>
      <c r="M6" s="41">
        <f>IF('04_月間表'!$A18="","",DAY('04_月間表'!$A18))</f>
        <v/>
      </c>
      <c r="N6" s="41">
        <f>IF('04_月間表'!$A19="","",DAY('04_月間表'!$A19))</f>
        <v/>
      </c>
      <c r="O6" s="41">
        <f>IF('04_月間表'!$A20="","",DAY('04_月間表'!$A20))</f>
        <v/>
      </c>
      <c r="P6" s="41">
        <f>IF('04_月間表'!$A21="","",DAY('04_月間表'!$A21))</f>
        <v/>
      </c>
      <c r="Q6" s="41">
        <f>IF('04_月間表'!$A22="","",DAY('04_月間表'!$A22))</f>
        <v/>
      </c>
      <c r="R6" s="41">
        <f>IF('04_月間表'!$A23="","",DAY('04_月間表'!$A23))</f>
        <v/>
      </c>
      <c r="S6" s="41">
        <f>IF('04_月間表'!$A24="","",DAY('04_月間表'!$A24))</f>
        <v/>
      </c>
      <c r="T6" s="41">
        <f>IF('04_月間表'!$A25="","",DAY('04_月間表'!$A25))</f>
        <v/>
      </c>
      <c r="U6" s="41">
        <f>IF('04_月間表'!$A26="","",DAY('04_月間表'!$A26))</f>
        <v/>
      </c>
      <c r="V6" s="41">
        <f>IF('04_月間表'!$A27="","",DAY('04_月間表'!$A27))</f>
        <v/>
      </c>
      <c r="W6" s="41">
        <f>IF('04_月間表'!$A28="","",DAY('04_月間表'!$A28))</f>
        <v/>
      </c>
      <c r="X6" s="41">
        <f>IF('04_月間表'!$A29="","",DAY('04_月間表'!$A29))</f>
        <v/>
      </c>
      <c r="Y6" s="41">
        <f>IF('04_月間表'!$A30="","",DAY('04_月間表'!$A30))</f>
        <v/>
      </c>
      <c r="Z6" s="41">
        <f>IF('04_月間表'!$A31="","",DAY('04_月間表'!$A31))</f>
        <v/>
      </c>
      <c r="AA6" s="41">
        <f>IF('04_月間表'!$A32="","",DAY('04_月間表'!$A32))</f>
        <v/>
      </c>
      <c r="AB6" s="41">
        <f>IF('04_月間表'!$A33="","",DAY('04_月間表'!$A33))</f>
        <v/>
      </c>
      <c r="AC6" s="41">
        <f>IF('04_月間表'!$A34="","",DAY('04_月間表'!$A34))</f>
        <v/>
      </c>
      <c r="AD6" s="41">
        <f>IF('04_月間表'!$A35="","",DAY('04_月間表'!$A35))</f>
        <v/>
      </c>
      <c r="AE6" s="41">
        <f>IF('04_月間表'!$A36="","",DAY('04_月間表'!$A36))</f>
        <v/>
      </c>
      <c r="AF6" s="41">
        <f>IF('04_月間表'!$A37="","",DAY('04_月間表'!$A37))</f>
        <v/>
      </c>
    </row>
    <row r="7">
      <c r="A7" s="24" t="inlineStr">
        <is>
          <t>曜日</t>
        </is>
      </c>
      <c r="B7" s="41">
        <f>IF('04_月間表'!$A7="","",'04_月間表'!$B7)</f>
        <v/>
      </c>
      <c r="C7" s="41">
        <f>IF('04_月間表'!$A8="","",'04_月間表'!$B8)</f>
        <v/>
      </c>
      <c r="D7" s="41">
        <f>IF('04_月間表'!$A9="","",'04_月間表'!$B9)</f>
        <v/>
      </c>
      <c r="E7" s="41">
        <f>IF('04_月間表'!$A10="","",'04_月間表'!$B10)</f>
        <v/>
      </c>
      <c r="F7" s="41">
        <f>IF('04_月間表'!$A11="","",'04_月間表'!$B11)</f>
        <v/>
      </c>
      <c r="G7" s="41">
        <f>IF('04_月間表'!$A12="","",'04_月間表'!$B12)</f>
        <v/>
      </c>
      <c r="H7" s="41">
        <f>IF('04_月間表'!$A13="","",'04_月間表'!$B13)</f>
        <v/>
      </c>
      <c r="I7" s="41">
        <f>IF('04_月間表'!$A14="","",'04_月間表'!$B14)</f>
        <v/>
      </c>
      <c r="J7" s="41">
        <f>IF('04_月間表'!$A15="","",'04_月間表'!$B15)</f>
        <v/>
      </c>
      <c r="K7" s="41">
        <f>IF('04_月間表'!$A16="","",'04_月間表'!$B16)</f>
        <v/>
      </c>
      <c r="L7" s="41">
        <f>IF('04_月間表'!$A17="","",'04_月間表'!$B17)</f>
        <v/>
      </c>
      <c r="M7" s="41">
        <f>IF('04_月間表'!$A18="","",'04_月間表'!$B18)</f>
        <v/>
      </c>
      <c r="N7" s="41">
        <f>IF('04_月間表'!$A19="","",'04_月間表'!$B19)</f>
        <v/>
      </c>
      <c r="O7" s="41">
        <f>IF('04_月間表'!$A20="","",'04_月間表'!$B20)</f>
        <v/>
      </c>
      <c r="P7" s="41">
        <f>IF('04_月間表'!$A21="","",'04_月間表'!$B21)</f>
        <v/>
      </c>
      <c r="Q7" s="41">
        <f>IF('04_月間表'!$A22="","",'04_月間表'!$B22)</f>
        <v/>
      </c>
      <c r="R7" s="41">
        <f>IF('04_月間表'!$A23="","",'04_月間表'!$B23)</f>
        <v/>
      </c>
      <c r="S7" s="41">
        <f>IF('04_月間表'!$A24="","",'04_月間表'!$B24)</f>
        <v/>
      </c>
      <c r="T7" s="41">
        <f>IF('04_月間表'!$A25="","",'04_月間表'!$B25)</f>
        <v/>
      </c>
      <c r="U7" s="41">
        <f>IF('04_月間表'!$A26="","",'04_月間表'!$B26)</f>
        <v/>
      </c>
      <c r="V7" s="41">
        <f>IF('04_月間表'!$A27="","",'04_月間表'!$B27)</f>
        <v/>
      </c>
      <c r="W7" s="41">
        <f>IF('04_月間表'!$A28="","",'04_月間表'!$B28)</f>
        <v/>
      </c>
      <c r="X7" s="41">
        <f>IF('04_月間表'!$A29="","",'04_月間表'!$B29)</f>
        <v/>
      </c>
      <c r="Y7" s="41">
        <f>IF('04_月間表'!$A30="","",'04_月間表'!$B30)</f>
        <v/>
      </c>
      <c r="Z7" s="41">
        <f>IF('04_月間表'!$A31="","",'04_月間表'!$B31)</f>
        <v/>
      </c>
      <c r="AA7" s="41">
        <f>IF('04_月間表'!$A32="","",'04_月間表'!$B32)</f>
        <v/>
      </c>
      <c r="AB7" s="41">
        <f>IF('04_月間表'!$A33="","",'04_月間表'!$B33)</f>
        <v/>
      </c>
      <c r="AC7" s="41">
        <f>IF('04_月間表'!$A34="","",'04_月間表'!$B34)</f>
        <v/>
      </c>
      <c r="AD7" s="41">
        <f>IF('04_月間表'!$A35="","",'04_月間表'!$B35)</f>
        <v/>
      </c>
      <c r="AE7" s="41">
        <f>IF('04_月間表'!$A36="","",'04_月間表'!$B36)</f>
        <v/>
      </c>
      <c r="AF7" s="41">
        <f>IF('04_月間表'!$A37="","",'04_月間表'!$B37)</f>
        <v/>
      </c>
    </row>
    <row r="8">
      <c r="A8" s="24" t="inlineStr">
        <is>
          <t>空き状況</t>
        </is>
      </c>
      <c r="B8" s="26">
        <f>IF('04_月間表'!$A7="","",'04_月間表'!$J7)</f>
        <v/>
      </c>
      <c r="C8" s="26">
        <f>IF('04_月間表'!$A8="","",'04_月間表'!$J8)</f>
        <v/>
      </c>
      <c r="D8" s="26">
        <f>IF('04_月間表'!$A9="","",'04_月間表'!$J9)</f>
        <v/>
      </c>
      <c r="E8" s="26">
        <f>IF('04_月間表'!$A10="","",'04_月間表'!$J10)</f>
        <v/>
      </c>
      <c r="F8" s="26">
        <f>IF('04_月間表'!$A11="","",'04_月間表'!$J11)</f>
        <v/>
      </c>
      <c r="G8" s="26">
        <f>IF('04_月間表'!$A12="","",'04_月間表'!$J12)</f>
        <v/>
      </c>
      <c r="H8" s="26">
        <f>IF('04_月間表'!$A13="","",'04_月間表'!$J13)</f>
        <v/>
      </c>
      <c r="I8" s="26">
        <f>IF('04_月間表'!$A14="","",'04_月間表'!$J14)</f>
        <v/>
      </c>
      <c r="J8" s="26">
        <f>IF('04_月間表'!$A15="","",'04_月間表'!$J15)</f>
        <v/>
      </c>
      <c r="K8" s="26">
        <f>IF('04_月間表'!$A16="","",'04_月間表'!$J16)</f>
        <v/>
      </c>
      <c r="L8" s="26">
        <f>IF('04_月間表'!$A17="","",'04_月間表'!$J17)</f>
        <v/>
      </c>
      <c r="M8" s="26">
        <f>IF('04_月間表'!$A18="","",'04_月間表'!$J18)</f>
        <v/>
      </c>
      <c r="N8" s="26">
        <f>IF('04_月間表'!$A19="","",'04_月間表'!$J19)</f>
        <v/>
      </c>
      <c r="O8" s="26">
        <f>IF('04_月間表'!$A20="","",'04_月間表'!$J20)</f>
        <v/>
      </c>
      <c r="P8" s="26">
        <f>IF('04_月間表'!$A21="","",'04_月間表'!$J21)</f>
        <v/>
      </c>
      <c r="Q8" s="26">
        <f>IF('04_月間表'!$A22="","",'04_月間表'!$J22)</f>
        <v/>
      </c>
      <c r="R8" s="26">
        <f>IF('04_月間表'!$A23="","",'04_月間表'!$J23)</f>
        <v/>
      </c>
      <c r="S8" s="26">
        <f>IF('04_月間表'!$A24="","",'04_月間表'!$J24)</f>
        <v/>
      </c>
      <c r="T8" s="26">
        <f>IF('04_月間表'!$A25="","",'04_月間表'!$J25)</f>
        <v/>
      </c>
      <c r="U8" s="26">
        <f>IF('04_月間表'!$A26="","",'04_月間表'!$J26)</f>
        <v/>
      </c>
      <c r="V8" s="26">
        <f>IF('04_月間表'!$A27="","",'04_月間表'!$J27)</f>
        <v/>
      </c>
      <c r="W8" s="26">
        <f>IF('04_月間表'!$A28="","",'04_月間表'!$J28)</f>
        <v/>
      </c>
      <c r="X8" s="26">
        <f>IF('04_月間表'!$A29="","",'04_月間表'!$J29)</f>
        <v/>
      </c>
      <c r="Y8" s="26">
        <f>IF('04_月間表'!$A30="","",'04_月間表'!$J30)</f>
        <v/>
      </c>
      <c r="Z8" s="26">
        <f>IF('04_月間表'!$A31="","",'04_月間表'!$J31)</f>
        <v/>
      </c>
      <c r="AA8" s="26">
        <f>IF('04_月間表'!$A32="","",'04_月間表'!$J32)</f>
        <v/>
      </c>
      <c r="AB8" s="26">
        <f>IF('04_月間表'!$A33="","",'04_月間表'!$J33)</f>
        <v/>
      </c>
      <c r="AC8" s="26">
        <f>IF('04_月間表'!$A34="","",'04_月間表'!$J34)</f>
        <v/>
      </c>
      <c r="AD8" s="26">
        <f>IF('04_月間表'!$A35="","",'04_月間表'!$J35)</f>
        <v/>
      </c>
      <c r="AE8" s="26">
        <f>IF('04_月間表'!$A36="","",'04_月間表'!$J36)</f>
        <v/>
      </c>
      <c r="AF8" s="26">
        <f>IF('04_月間表'!$A37="","",'04_月間表'!$J37)</f>
        <v/>
      </c>
    </row>
    <row r="10">
      <c r="A10" s="15" t="inlineStr">
        <is>
          <t>凡例</t>
        </is>
      </c>
    </row>
    <row r="11">
      <c r="B11" s="42" t="inlineStr">
        <is>
          <t>○</t>
        </is>
      </c>
      <c r="C11" s="2" t="inlineStr">
        <is>
          <t>空室あり</t>
        </is>
      </c>
      <c r="F11" s="42" t="inlineStr">
        <is>
          <t>△</t>
        </is>
      </c>
      <c r="G11" s="2" t="inlineStr">
        <is>
          <t>残りわずか</t>
        </is>
      </c>
      <c r="J11" s="42" t="inlineStr">
        <is>
          <t>仮</t>
        </is>
      </c>
      <c r="K11" s="2" t="inlineStr">
        <is>
          <t>仮予約で調整中</t>
        </is>
      </c>
      <c r="N11" s="42" t="inlineStr">
        <is>
          <t>×</t>
        </is>
      </c>
      <c r="O11" s="2" t="inlineStr">
        <is>
          <t>満室</t>
        </is>
      </c>
    </row>
    <row r="13">
      <c r="A13" s="2" t="inlineStr">
        <is>
          <t>・各日の欄は「その日の夜（宿泊）」の空き状況です。退所日の当日は、次の方がご利用いただけます。</t>
        </is>
      </c>
    </row>
    <row r="14">
      <c r="A14" s="2" t="inlineStr">
        <is>
          <t>・空き状況は日々変動します。ご予約前に必ずお電話でご確認ください。</t>
        </is>
      </c>
    </row>
    <row r="15">
      <c r="A15" s="2">
        <f>"・全"&amp;'M_施設設定'!$B$6&amp;"室。この用紙に利用者様のお名前は記載しておりません。"</f>
        <v/>
      </c>
    </row>
    <row r="17">
      <c r="A17" s="15" t="inlineStr">
        <is>
          <t>月内集計</t>
        </is>
      </c>
    </row>
    <row r="18">
      <c r="B18" s="43">
        <f>COUNTIF($B$8:$AF$8,"○")&amp;"日"</f>
        <v/>
      </c>
      <c r="C18" s="2" t="inlineStr">
        <is>
          <t>空室あり</t>
        </is>
      </c>
      <c r="F18" s="43">
        <f>COUNTIF($B$8:$AF$8,"△")&amp;"日"</f>
        <v/>
      </c>
      <c r="G18" s="2" t="inlineStr">
        <is>
          <t>残りわずか</t>
        </is>
      </c>
      <c r="J18" s="43">
        <f>COUNTIF($B$8:$AF$8,"仮")&amp;"日"</f>
        <v/>
      </c>
      <c r="K18" s="2" t="inlineStr">
        <is>
          <t>仮予約</t>
        </is>
      </c>
      <c r="N18" s="43">
        <f>COUNTIF($B$8:$AF$8,"×")&amp;"日"</f>
        <v/>
      </c>
      <c r="O18" s="2" t="inlineStr">
        <is>
          <t>満室</t>
        </is>
      </c>
    </row>
  </sheetData>
  <conditionalFormatting sqref="B8:AF8">
    <cfRule type="expression" priority="1" dxfId="1">
      <formula>B8="×"</formula>
    </cfRule>
    <cfRule type="expression" priority="2" dxfId="2">
      <formula>B8="△"</formula>
    </cfRule>
    <cfRule type="expression" priority="3" dxfId="3">
      <formula>B8="仮"</formula>
    </cfRule>
    <cfRule type="expression" priority="4" dxfId="9">
      <formula>B8="○"</formula>
    </cfRule>
  </conditionalFormatting>
  <conditionalFormatting sqref="B7:AF7">
    <cfRule type="expression" priority="5" dxfId="12">
      <formula>OR(B$7="土",B$7="日")</formula>
    </cfRule>
  </conditionalFormatting>
  <pageMargins left="0.75" right="0.75" top="1" bottom="1" header="0.5" footer="0.5"/>
  <pageSetup orientation="landscape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62" customWidth="1" min="3" max="3"/>
  </cols>
  <sheetData>
    <row r="1">
      <c r="A1" s="1" t="inlineStr">
        <is>
          <t>施設設定</t>
        </is>
      </c>
    </row>
    <row r="2">
      <c r="A2" s="2" t="inlineStr">
        <is>
          <t>黄色のセルを施設に合わせて書き換えてください。</t>
        </is>
      </c>
    </row>
    <row r="4">
      <c r="A4" s="12" t="inlineStr">
        <is>
          <t>施設名</t>
        </is>
      </c>
      <c r="B4" s="44" t="inlineStr">
        <is>
          <t>○○事業所</t>
        </is>
      </c>
      <c r="C4" s="2" t="inlineStr">
        <is>
          <t>帳票の見出しに使います</t>
        </is>
      </c>
    </row>
    <row r="5">
      <c r="A5" s="12" t="inlineStr">
        <is>
          <t>棟・フロア</t>
        </is>
      </c>
      <c r="B5" s="44" t="inlineStr">
        <is>
          <t>本棟 1F</t>
        </is>
      </c>
    </row>
    <row r="6">
      <c r="A6" s="12" t="inlineStr">
        <is>
          <t>部屋数（定員）</t>
        </is>
      </c>
      <c r="B6" s="35">
        <f>COUNTA('M_部屋'!$A$4:$A$20)</f>
        <v/>
      </c>
      <c r="C6" s="2" t="inlineStr">
        <is>
          <t>自動。M_部屋 の行数がそのまま定員になります（1部屋につき1名）</t>
        </is>
      </c>
    </row>
    <row r="7">
      <c r="A7" s="12" t="inlineStr">
        <is>
          <t>標準の入所時刻</t>
        </is>
      </c>
      <c r="B7" s="44" t="inlineStr">
        <is>
          <t>16:00</t>
        </is>
      </c>
      <c r="C7" s="2" t="inlineStr">
        <is>
          <t>予約入力の目安。実際の時刻は予約ごとに入れます</t>
        </is>
      </c>
    </row>
    <row r="8">
      <c r="A8" s="12" t="inlineStr">
        <is>
          <t>標準の退所時刻</t>
        </is>
      </c>
      <c r="B8" s="44" t="inlineStr">
        <is>
          <t>09:00</t>
        </is>
      </c>
    </row>
    <row r="9">
      <c r="A9" s="12" t="inlineStr">
        <is>
          <t>入力者名</t>
        </is>
      </c>
      <c r="B9" s="44" t="inlineStr"/>
      <c r="C9" s="2" t="inlineStr">
        <is>
          <t>更新履歴に残す名前</t>
        </is>
      </c>
    </row>
    <row r="10">
      <c r="A10" s="12" t="inlineStr">
        <is>
          <t>郵便番号</t>
        </is>
      </c>
      <c r="B10" s="44" t="inlineStr"/>
    </row>
    <row r="11">
      <c r="A11" s="12" t="inlineStr">
        <is>
          <t>住所</t>
        </is>
      </c>
      <c r="B11" s="44" t="inlineStr"/>
      <c r="C11" s="2" t="inlineStr">
        <is>
          <t>FAX帳票の送信元として印字されます</t>
        </is>
      </c>
    </row>
    <row r="12">
      <c r="A12" s="12" t="inlineStr">
        <is>
          <t>電話番号</t>
        </is>
      </c>
      <c r="B12" s="44" t="inlineStr"/>
    </row>
    <row r="13">
      <c r="A13" s="12" t="inlineStr">
        <is>
          <t>FAX番号</t>
        </is>
      </c>
      <c r="B13" s="44" t="inlineStr"/>
    </row>
    <row r="14">
      <c r="A14" s="12" t="inlineStr">
        <is>
          <t>担当者名</t>
        </is>
      </c>
      <c r="B14" s="44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部屋マスタ</t>
        </is>
      </c>
    </row>
    <row r="2">
      <c r="A2" s="2" t="inlineStr">
        <is>
          <t>1行 = 1室。★ここの行数が定員になります。1室の施設は1行だけ、2室の施設は2行だけ残してください。</t>
        </is>
      </c>
    </row>
    <row r="3" ht="30" customHeight="1">
      <c r="A3" s="7" t="inlineStr">
        <is>
          <t>部屋名</t>
        </is>
      </c>
      <c r="B3" s="7" t="inlineStr">
        <is>
          <t>備考</t>
        </is>
      </c>
    </row>
    <row r="4">
      <c r="A4" s="44" t="inlineStr">
        <is>
          <t>部屋1</t>
        </is>
      </c>
      <c r="B4" s="45" t="n"/>
    </row>
    <row r="5">
      <c r="A5" s="44" t="inlineStr">
        <is>
          <t>部屋2</t>
        </is>
      </c>
      <c r="B5" s="46" t="inlineStr">
        <is>
          <t>1室のみの施設では、この行を削除してください</t>
        </is>
      </c>
    </row>
    <row r="6">
      <c r="A6" s="44" t="n"/>
      <c r="B6" s="45" t="n"/>
    </row>
    <row r="7">
      <c r="A7" s="44" t="n"/>
      <c r="B7" s="45" t="n"/>
    </row>
    <row r="8">
      <c r="A8" s="44" t="n"/>
      <c r="B8" s="45" t="n"/>
    </row>
    <row r="9">
      <c r="A9" s="44" t="n"/>
      <c r="B9" s="45" t="n"/>
    </row>
    <row r="10">
      <c r="A10" s="44" t="n"/>
      <c r="B10" s="45" t="n"/>
    </row>
    <row r="11">
      <c r="A11" s="44" t="n"/>
      <c r="B11" s="45" t="n"/>
    </row>
    <row r="12">
      <c r="A12" s="44" t="n"/>
      <c r="B12" s="45" t="n"/>
    </row>
    <row r="13">
      <c r="A13" s="44" t="n"/>
      <c r="B13" s="45" t="n"/>
    </row>
    <row r="14">
      <c r="A14" s="44" t="n"/>
      <c r="B14" s="45" t="n"/>
    </row>
    <row r="15">
      <c r="A15" s="44" t="n"/>
      <c r="B15" s="45" t="n"/>
    </row>
    <row r="16">
      <c r="A16" s="44" t="n"/>
      <c r="B16" s="45" t="n"/>
    </row>
    <row r="17">
      <c r="A17" s="44" t="n"/>
      <c r="B17" s="45" t="n"/>
    </row>
    <row r="18">
      <c r="A18" s="44" t="n"/>
      <c r="B18" s="45" t="n"/>
    </row>
    <row r="19">
      <c r="A19" s="44" t="n"/>
      <c r="B19" s="45" t="n"/>
    </row>
    <row r="20">
      <c r="A20" s="44" t="n"/>
      <c r="B20" s="4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2" customWidth="1" min="3" max="3"/>
  </cols>
  <sheetData>
    <row r="1">
      <c r="A1" s="1" t="inlineStr">
        <is>
          <t>利用者マスタ</t>
        </is>
      </c>
    </row>
    <row r="2">
      <c r="A2" s="2" t="inlineStr">
        <is>
          <t>支給量＝受給者証の月あたり上限日数。空欄ならその方の残日数は管理しません。</t>
        </is>
      </c>
    </row>
    <row r="3" ht="30" customHeight="1">
      <c r="A3" s="7" t="inlineStr">
        <is>
          <t>氏名</t>
        </is>
      </c>
      <c r="B3" s="7" t="inlineStr">
        <is>
          <t>支給量（日／月）</t>
        </is>
      </c>
      <c r="C3" s="7" t="inlineStr">
        <is>
          <t>備考</t>
        </is>
      </c>
    </row>
    <row r="4">
      <c r="A4" s="44" t="inlineStr">
        <is>
          <t>利用者A</t>
        </is>
      </c>
      <c r="B4" s="44" t="n">
        <v>7</v>
      </c>
      <c r="C4" s="46" t="inlineStr">
        <is>
          <t>サンプルです。実際の氏名に書き換えてください</t>
        </is>
      </c>
    </row>
    <row r="5">
      <c r="A5" s="44" t="inlineStr">
        <is>
          <t>利用者B</t>
        </is>
      </c>
      <c r="B5" s="44" t="n">
        <v>5</v>
      </c>
      <c r="C5" s="46" t="inlineStr"/>
    </row>
    <row r="6">
      <c r="A6" s="44" t="inlineStr">
        <is>
          <t>利用者C</t>
        </is>
      </c>
      <c r="B6" s="44" t="n"/>
      <c r="C6" s="46" t="inlineStr">
        <is>
          <t>支給量を管理しない例</t>
        </is>
      </c>
    </row>
    <row r="7">
      <c r="A7" s="44" t="n"/>
      <c r="B7" s="44" t="n"/>
      <c r="C7" s="45" t="n"/>
    </row>
    <row r="8">
      <c r="A8" s="44" t="n"/>
      <c r="B8" s="44" t="n"/>
      <c r="C8" s="45" t="n"/>
    </row>
    <row r="9">
      <c r="A9" s="44" t="n"/>
      <c r="B9" s="44" t="n"/>
      <c r="C9" s="45" t="n"/>
    </row>
    <row r="10">
      <c r="A10" s="44" t="n"/>
      <c r="B10" s="44" t="n"/>
      <c r="C10" s="45" t="n"/>
    </row>
    <row r="11">
      <c r="A11" s="44" t="n"/>
      <c r="B11" s="44" t="n"/>
      <c r="C11" s="45" t="n"/>
    </row>
    <row r="12">
      <c r="A12" s="44" t="n"/>
      <c r="B12" s="44" t="n"/>
      <c r="C12" s="45" t="n"/>
    </row>
    <row r="13">
      <c r="A13" s="44" t="n"/>
      <c r="B13" s="44" t="n"/>
      <c r="C13" s="45" t="n"/>
    </row>
    <row r="14">
      <c r="A14" s="44" t="n"/>
      <c r="B14" s="44" t="n"/>
      <c r="C14" s="45" t="n"/>
    </row>
    <row r="15">
      <c r="A15" s="44" t="n"/>
      <c r="B15" s="44" t="n"/>
      <c r="C15" s="45" t="n"/>
    </row>
    <row r="16">
      <c r="A16" s="44" t="n"/>
      <c r="B16" s="44" t="n"/>
      <c r="C16" s="45" t="n"/>
    </row>
    <row r="17">
      <c r="A17" s="44" t="n"/>
      <c r="B17" s="44" t="n"/>
      <c r="C17" s="45" t="n"/>
    </row>
    <row r="18">
      <c r="A18" s="44" t="n"/>
      <c r="B18" s="44" t="n"/>
      <c r="C18" s="45" t="n"/>
    </row>
    <row r="19">
      <c r="A19" s="44" t="n"/>
      <c r="B19" s="44" t="n"/>
      <c r="C19" s="45" t="n"/>
    </row>
    <row r="20">
      <c r="A20" s="44" t="n"/>
      <c r="B20" s="44" t="n"/>
      <c r="C20" s="45" t="n"/>
    </row>
    <row r="21">
      <c r="A21" s="44" t="n"/>
      <c r="B21" s="44" t="n"/>
      <c r="C21" s="45" t="n"/>
    </row>
    <row r="22">
      <c r="A22" s="44" t="n"/>
      <c r="B22" s="44" t="n"/>
      <c r="C22" s="45" t="n"/>
    </row>
    <row r="23">
      <c r="A23" s="44" t="n"/>
      <c r="B23" s="44" t="n"/>
      <c r="C23" s="45" t="n"/>
    </row>
    <row r="24">
      <c r="A24" s="44" t="n"/>
      <c r="B24" s="44" t="n"/>
      <c r="C24" s="45" t="n"/>
    </row>
    <row r="25">
      <c r="A25" s="44" t="n"/>
      <c r="B25" s="44" t="n"/>
      <c r="C25" s="45" t="n"/>
    </row>
    <row r="26">
      <c r="A26" s="44" t="n"/>
      <c r="B26" s="44" t="n"/>
      <c r="C26" s="45" t="n"/>
    </row>
    <row r="27">
      <c r="A27" s="44" t="n"/>
      <c r="B27" s="44" t="n"/>
      <c r="C27" s="45" t="n"/>
    </row>
    <row r="28">
      <c r="A28" s="44" t="n"/>
      <c r="B28" s="44" t="n"/>
      <c r="C28" s="45" t="n"/>
    </row>
    <row r="29">
      <c r="A29" s="44" t="n"/>
      <c r="B29" s="44" t="n"/>
      <c r="C29" s="45" t="n"/>
    </row>
    <row r="30">
      <c r="A30" s="44" t="n"/>
      <c r="B30" s="44" t="n"/>
      <c r="C30" s="45" t="n"/>
    </row>
    <row r="31">
      <c r="A31" s="44" t="n"/>
      <c r="B31" s="44" t="n"/>
      <c r="C31" s="45" t="n"/>
    </row>
    <row r="32">
      <c r="A32" s="44" t="n"/>
      <c r="B32" s="44" t="n"/>
      <c r="C32" s="45" t="n"/>
    </row>
    <row r="33">
      <c r="A33" s="44" t="n"/>
      <c r="B33" s="44" t="n"/>
      <c r="C33" s="45" t="n"/>
    </row>
    <row r="34">
      <c r="A34" s="44" t="n"/>
      <c r="B34" s="44" t="n"/>
      <c r="C34" s="45" t="n"/>
    </row>
    <row r="35">
      <c r="A35" s="44" t="n"/>
      <c r="B35" s="44" t="n"/>
      <c r="C35" s="45" t="n"/>
    </row>
    <row r="36">
      <c r="A36" s="44" t="n"/>
      <c r="B36" s="44" t="n"/>
      <c r="C36" s="45" t="n"/>
    </row>
    <row r="37">
      <c r="A37" s="44" t="n"/>
      <c r="B37" s="44" t="n"/>
      <c r="C37" s="45" t="n"/>
    </row>
    <row r="38">
      <c r="A38" s="44" t="n"/>
      <c r="B38" s="44" t="n"/>
      <c r="C38" s="45" t="n"/>
    </row>
    <row r="39">
      <c r="A39" s="44" t="n"/>
      <c r="B39" s="44" t="n"/>
      <c r="C39" s="45" t="n"/>
    </row>
    <row r="40">
      <c r="A40" s="44" t="n"/>
      <c r="B40" s="44" t="n"/>
      <c r="C40" s="45" t="n"/>
    </row>
    <row r="41">
      <c r="A41" s="44" t="n"/>
      <c r="B41" s="44" t="n"/>
      <c r="C41" s="45" t="n"/>
    </row>
    <row r="42">
      <c r="A42" s="44" t="n"/>
      <c r="B42" s="44" t="n"/>
      <c r="C42" s="45" t="n"/>
    </row>
    <row r="43">
      <c r="A43" s="44" t="n"/>
      <c r="B43" s="44" t="n"/>
      <c r="C43" s="45" t="n"/>
    </row>
    <row r="44">
      <c r="A44" s="44" t="n"/>
      <c r="B44" s="44" t="n"/>
      <c r="C44" s="45" t="n"/>
    </row>
    <row r="45">
      <c r="A45" s="44" t="n"/>
      <c r="B45" s="44" t="n"/>
      <c r="C45" s="45" t="n"/>
    </row>
    <row r="46">
      <c r="A46" s="44" t="n"/>
      <c r="B46" s="44" t="n"/>
      <c r="C46" s="45" t="n"/>
    </row>
    <row r="47">
      <c r="A47" s="44" t="n"/>
      <c r="B47" s="44" t="n"/>
      <c r="C47" s="45" t="n"/>
    </row>
    <row r="48">
      <c r="A48" s="44" t="n"/>
      <c r="B48" s="44" t="n"/>
      <c r="C48" s="45" t="n"/>
    </row>
    <row r="49">
      <c r="A49" s="44" t="n"/>
      <c r="B49" s="44" t="n"/>
      <c r="C49" s="45" t="n"/>
    </row>
    <row r="50">
      <c r="A50" s="44" t="n"/>
      <c r="B50" s="44" t="n"/>
      <c r="C50" s="45" t="n"/>
    </row>
    <row r="51">
      <c r="A51" s="44" t="n"/>
      <c r="B51" s="44" t="n"/>
      <c r="C51" s="45" t="n"/>
    </row>
    <row r="52">
      <c r="A52" s="44" t="n"/>
      <c r="B52" s="44" t="n"/>
      <c r="C52" s="45" t="n"/>
    </row>
    <row r="53">
      <c r="A53" s="44" t="n"/>
      <c r="B53" s="44" t="n"/>
      <c r="C53" s="45" t="n"/>
    </row>
    <row r="54">
      <c r="A54" s="44" t="n"/>
      <c r="B54" s="44" t="n"/>
      <c r="C54" s="45" t="n"/>
    </row>
    <row r="55">
      <c r="A55" s="44" t="n"/>
      <c r="B55" s="44" t="n"/>
      <c r="C55" s="45" t="n"/>
    </row>
    <row r="56">
      <c r="A56" s="44" t="n"/>
      <c r="B56" s="44" t="n"/>
      <c r="C56" s="45" t="n"/>
    </row>
    <row r="57">
      <c r="A57" s="44" t="n"/>
      <c r="B57" s="44" t="n"/>
      <c r="C57" s="45" t="n"/>
    </row>
    <row r="58">
      <c r="A58" s="44" t="n"/>
      <c r="B58" s="44" t="n"/>
      <c r="C58" s="45" t="n"/>
    </row>
    <row r="59">
      <c r="A59" s="44" t="n"/>
      <c r="B59" s="44" t="n"/>
      <c r="C59" s="45" t="n"/>
    </row>
    <row r="60">
      <c r="A60" s="44" t="n"/>
      <c r="B60" s="44" t="n"/>
      <c r="C60" s="45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0" customWidth="1" min="4" max="4"/>
  </cols>
  <sheetData>
    <row r="1">
      <c r="A1" s="1" t="inlineStr">
        <is>
          <t>区分マスタ</t>
        </is>
      </c>
    </row>
    <row r="2">
      <c r="A2" s="2" t="inlineStr">
        <is>
          <t>「支給量に含める」に ○ を入れた区分だけ 08_支給量管理 の日数に数えます。★上から4つがカレンダーの色に対応します。</t>
        </is>
      </c>
    </row>
    <row r="3" ht="30" customHeight="1">
      <c r="A3" s="7" t="inlineStr">
        <is>
          <t>区分</t>
        </is>
      </c>
      <c r="B3" s="7" t="inlineStr">
        <is>
          <t>支給量に含める（○／空欄）</t>
        </is>
      </c>
      <c r="C3" s="7" t="inlineStr">
        <is>
          <t>カレンダーの色</t>
        </is>
      </c>
      <c r="D3" s="7" t="inlineStr">
        <is>
          <t>備考</t>
        </is>
      </c>
    </row>
    <row r="4">
      <c r="A4" s="44" t="inlineStr">
        <is>
          <t>SS</t>
        </is>
      </c>
      <c r="B4" s="44" t="inlineStr">
        <is>
          <t>○</t>
        </is>
      </c>
      <c r="C4" s="47" t="inlineStr">
        <is>
          <t>青</t>
        </is>
      </c>
      <c r="D4" s="45" t="n"/>
    </row>
    <row r="5">
      <c r="A5" s="44" t="inlineStr">
        <is>
          <t>無料</t>
        </is>
      </c>
      <c r="B5" s="44" t="inlineStr">
        <is>
          <t>○</t>
        </is>
      </c>
      <c r="C5" s="48" t="inlineStr">
        <is>
          <t>緑</t>
        </is>
      </c>
      <c r="D5" s="45" t="n"/>
    </row>
    <row r="6">
      <c r="A6" s="44" t="inlineStr">
        <is>
          <t>契約</t>
        </is>
      </c>
      <c r="B6" s="44" t="inlineStr">
        <is>
          <t>○</t>
        </is>
      </c>
      <c r="C6" s="49" t="inlineStr">
        <is>
          <t>紫</t>
        </is>
      </c>
      <c r="D6" s="45" t="n"/>
    </row>
    <row r="7">
      <c r="A7" s="44" t="n"/>
      <c r="B7" s="44" t="n"/>
      <c r="C7" s="50" t="inlineStr">
        <is>
          <t>橙</t>
        </is>
      </c>
      <c r="D7" s="45" t="n"/>
    </row>
    <row r="8">
      <c r="A8" s="44" t="n"/>
      <c r="B8" s="44" t="n"/>
      <c r="C8" s="45" t="n"/>
      <c r="D8" s="46" t="inlineStr">
        <is>
          <t>5つめ以降の区分は色が付きません（白のまま）</t>
        </is>
      </c>
    </row>
    <row r="9">
      <c r="A9" s="44" t="n"/>
      <c r="B9" s="44" t="n"/>
      <c r="C9" s="45" t="n"/>
      <c r="D9" s="45" t="n"/>
    </row>
    <row r="10">
      <c r="A10" s="44" t="n"/>
      <c r="B10" s="44" t="n"/>
      <c r="C10" s="45" t="n"/>
      <c r="D10" s="45" t="n"/>
    </row>
    <row r="11">
      <c r="A11" s="44" t="n"/>
      <c r="B11" s="44" t="n"/>
      <c r="C11" s="45" t="n"/>
      <c r="D11" s="45" t="n"/>
    </row>
    <row r="12">
      <c r="A12" s="44" t="n"/>
      <c r="B12" s="44" t="n"/>
      <c r="C12" s="45" t="n"/>
      <c r="D12" s="45" t="n"/>
    </row>
    <row r="13">
      <c r="A13" s="44" t="n"/>
      <c r="B13" s="44" t="n"/>
      <c r="C13" s="45" t="n"/>
      <c r="D13" s="45" t="n"/>
    </row>
    <row r="14">
      <c r="A14" s="44" t="n"/>
      <c r="B14" s="44" t="n"/>
      <c r="C14" s="45" t="n"/>
      <c r="D14" s="45" t="n"/>
    </row>
    <row r="15">
      <c r="A15" s="44" t="n"/>
      <c r="B15" s="44" t="n"/>
      <c r="C15" s="45" t="n"/>
      <c r="D15" s="45" t="n"/>
    </row>
    <row r="16">
      <c r="A16" s="44" t="n"/>
      <c r="B16" s="44" t="n"/>
      <c r="C16" s="45" t="n"/>
      <c r="D16" s="45" t="n"/>
    </row>
    <row r="17">
      <c r="A17" s="44" t="n"/>
      <c r="B17" s="44" t="n"/>
      <c r="C17" s="45" t="n"/>
      <c r="D17" s="45" t="n"/>
    </row>
    <row r="18">
      <c r="A18" s="44" t="n"/>
      <c r="B18" s="44" t="n"/>
      <c r="C18" s="45" t="n"/>
      <c r="D18" s="45" t="n"/>
    </row>
    <row r="19">
      <c r="A19" s="44" t="n"/>
      <c r="B19" s="44" t="n"/>
      <c r="C19" s="45" t="n"/>
      <c r="D19" s="45" t="n"/>
    </row>
    <row r="20">
      <c r="A20" s="44" t="n"/>
      <c r="B20" s="44" t="n"/>
      <c r="C20" s="45" t="n"/>
      <c r="D20" s="45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2" customWidth="1" min="2" max="2"/>
  </cols>
  <sheetData>
    <row r="1">
      <c r="A1" s="1" t="inlineStr">
        <is>
          <t>送迎ステータス マスタ</t>
        </is>
      </c>
    </row>
    <row r="3" ht="30" customHeight="1">
      <c r="A3" s="7" t="inlineStr">
        <is>
          <t>送迎区分</t>
        </is>
      </c>
      <c r="B3" s="7" t="inlineStr">
        <is>
          <t>備考</t>
        </is>
      </c>
    </row>
    <row r="4">
      <c r="A4" s="44" t="inlineStr">
        <is>
          <t>あり</t>
        </is>
      </c>
      <c r="B4" s="45" t="n"/>
    </row>
    <row r="5">
      <c r="A5" s="44" t="inlineStr">
        <is>
          <t>なし</t>
        </is>
      </c>
      <c r="B5" s="45" t="n"/>
    </row>
    <row r="6">
      <c r="A6" s="44" t="inlineStr">
        <is>
          <t>調整中</t>
        </is>
      </c>
      <c r="B6" s="45" t="n"/>
    </row>
    <row r="7">
      <c r="A7" s="44" t="n"/>
      <c r="B7" s="45" t="n"/>
    </row>
    <row r="8">
      <c r="A8" s="44" t="n"/>
      <c r="B8" s="45" t="n"/>
    </row>
    <row r="9">
      <c r="A9" s="44" t="n"/>
      <c r="B9" s="45" t="n"/>
    </row>
    <row r="10">
      <c r="A10" s="44" t="n"/>
      <c r="B10" s="45" t="n"/>
    </row>
    <row r="11">
      <c r="A11" s="44" t="n"/>
      <c r="B11" s="45" t="n"/>
    </row>
    <row r="12">
      <c r="A12" s="44" t="n"/>
      <c r="B12" s="45" t="n"/>
    </row>
    <row r="13">
      <c r="A13" s="44" t="n"/>
      <c r="B13" s="45" t="n"/>
    </row>
    <row r="14">
      <c r="A14" s="44" t="n"/>
      <c r="B14" s="45" t="n"/>
    </row>
    <row r="15">
      <c r="A15" s="44" t="n"/>
      <c r="B15" s="4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1" t="inlineStr">
        <is>
          <t>予約状態マスタ</t>
        </is>
      </c>
    </row>
    <row r="2">
      <c r="A2" s="2" t="inlineStr">
        <is>
          <t>★「キャンセル」「仮予約」「調整中」の文字は集計と表示が参照しています。変更しないでください。</t>
        </is>
      </c>
    </row>
    <row r="3" ht="30" customHeight="1">
      <c r="A3" s="7" t="inlineStr">
        <is>
          <t>予約状態</t>
        </is>
      </c>
      <c r="B3" s="7" t="inlineStr">
        <is>
          <t>意味</t>
        </is>
      </c>
    </row>
    <row r="4">
      <c r="A4" s="45" t="inlineStr">
        <is>
          <t>確定</t>
        </is>
      </c>
      <c r="B4" s="46" t="inlineStr">
        <is>
          <t>集計・稼働に入り、カレンダーでは区分の色で表示します</t>
        </is>
      </c>
    </row>
    <row r="5">
      <c r="A5" s="45" t="inlineStr">
        <is>
          <t>仮予約</t>
        </is>
      </c>
      <c r="B5" s="46" t="inlineStr">
        <is>
          <t>集計には入りますが、カレンダーではグレーの斜体、帯表では白抜き、FAX表では「仮」</t>
        </is>
      </c>
    </row>
    <row r="6">
      <c r="A6" s="45" t="inlineStr">
        <is>
          <t>調整中</t>
        </is>
      </c>
      <c r="B6" s="46" t="inlineStr">
        <is>
          <t>仮予約と同じ扱いです</t>
        </is>
      </c>
    </row>
    <row r="7">
      <c r="A7" s="45" t="inlineStr">
        <is>
          <t>利用済み</t>
        </is>
      </c>
      <c r="B7" s="46" t="inlineStr">
        <is>
          <t>実績。確定と同じ扱いです</t>
        </is>
      </c>
    </row>
    <row r="8">
      <c r="A8" s="45" t="inlineStr">
        <is>
          <t>キャンセル</t>
        </is>
      </c>
      <c r="B8" s="46" t="inlineStr">
        <is>
          <t>記録として残しますが、全ての集計・表示・重複判定から外れます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34" customWidth="1" min="5" max="5"/>
  </cols>
  <sheetData>
    <row r="1">
      <c r="A1" s="1" t="inlineStr">
        <is>
          <t>FAX送付先マスタ</t>
        </is>
      </c>
    </row>
    <row r="2">
      <c r="A2" s="2" t="inlineStr">
        <is>
          <t>番号を都度手入力せず一覧から選ぶことで、誤送信を防ぎます。</t>
        </is>
      </c>
    </row>
    <row r="3" ht="30" customHeight="1">
      <c r="A3" s="7" t="inlineStr">
        <is>
          <t>事業所名</t>
        </is>
      </c>
      <c r="B3" s="7" t="inlineStr">
        <is>
          <t>担当者</t>
        </is>
      </c>
      <c r="C3" s="7" t="inlineStr">
        <is>
          <t>FAX番号</t>
        </is>
      </c>
      <c r="D3" s="7" t="inlineStr">
        <is>
          <t>電話番号</t>
        </is>
      </c>
      <c r="E3" s="7" t="inlineStr">
        <is>
          <t>備考</t>
        </is>
      </c>
    </row>
    <row r="4">
      <c r="A4" s="44" t="n"/>
      <c r="B4" s="44" t="n"/>
      <c r="C4" s="44" t="n"/>
      <c r="D4" s="44" t="n"/>
      <c r="E4" s="44" t="n"/>
    </row>
    <row r="5">
      <c r="A5" s="44" t="n"/>
      <c r="B5" s="44" t="n"/>
      <c r="C5" s="44" t="n"/>
      <c r="D5" s="44" t="n"/>
      <c r="E5" s="44" t="n"/>
    </row>
    <row r="6">
      <c r="A6" s="44" t="n"/>
      <c r="B6" s="44" t="n"/>
      <c r="C6" s="44" t="n"/>
      <c r="D6" s="44" t="n"/>
      <c r="E6" s="44" t="n"/>
    </row>
    <row r="7">
      <c r="A7" s="44" t="n"/>
      <c r="B7" s="44" t="n"/>
      <c r="C7" s="44" t="n"/>
      <c r="D7" s="44" t="n"/>
      <c r="E7" s="44" t="n"/>
    </row>
    <row r="8">
      <c r="A8" s="44" t="n"/>
      <c r="B8" s="44" t="n"/>
      <c r="C8" s="44" t="n"/>
      <c r="D8" s="44" t="n"/>
      <c r="E8" s="44" t="n"/>
    </row>
    <row r="9">
      <c r="A9" s="44" t="n"/>
      <c r="B9" s="44" t="n"/>
      <c r="C9" s="44" t="n"/>
      <c r="D9" s="44" t="n"/>
      <c r="E9" s="44" t="n"/>
    </row>
    <row r="10">
      <c r="A10" s="44" t="n"/>
      <c r="B10" s="44" t="n"/>
      <c r="C10" s="44" t="n"/>
      <c r="D10" s="44" t="n"/>
      <c r="E10" s="44" t="n"/>
    </row>
    <row r="11">
      <c r="A11" s="44" t="n"/>
      <c r="B11" s="44" t="n"/>
      <c r="C11" s="44" t="n"/>
      <c r="D11" s="44" t="n"/>
      <c r="E11" s="44" t="n"/>
    </row>
    <row r="12">
      <c r="A12" s="44" t="n"/>
      <c r="B12" s="44" t="n"/>
      <c r="C12" s="44" t="n"/>
      <c r="D12" s="44" t="n"/>
      <c r="E12" s="44" t="n"/>
    </row>
    <row r="13">
      <c r="A13" s="44" t="n"/>
      <c r="B13" s="44" t="n"/>
      <c r="C13" s="44" t="n"/>
      <c r="D13" s="44" t="n"/>
      <c r="E13" s="44" t="n"/>
    </row>
    <row r="14">
      <c r="A14" s="44" t="n"/>
      <c r="B14" s="44" t="n"/>
      <c r="C14" s="44" t="n"/>
      <c r="D14" s="44" t="n"/>
      <c r="E14" s="44" t="n"/>
    </row>
    <row r="15">
      <c r="A15" s="44" t="n"/>
      <c r="B15" s="44" t="n"/>
      <c r="C15" s="44" t="n"/>
      <c r="D15" s="44" t="n"/>
      <c r="E15" s="44" t="n"/>
    </row>
    <row r="16">
      <c r="A16" s="44" t="n"/>
      <c r="B16" s="44" t="n"/>
      <c r="C16" s="44" t="n"/>
      <c r="D16" s="44" t="n"/>
      <c r="E16" s="44" t="n"/>
    </row>
    <row r="17">
      <c r="A17" s="44" t="n"/>
      <c r="B17" s="44" t="n"/>
      <c r="C17" s="44" t="n"/>
      <c r="D17" s="44" t="n"/>
      <c r="E17" s="44" t="n"/>
    </row>
    <row r="18">
      <c r="A18" s="44" t="n"/>
      <c r="B18" s="44" t="n"/>
      <c r="C18" s="44" t="n"/>
      <c r="D18" s="44" t="n"/>
      <c r="E18" s="44" t="n"/>
    </row>
    <row r="19">
      <c r="A19" s="44" t="n"/>
      <c r="B19" s="44" t="n"/>
      <c r="C19" s="44" t="n"/>
      <c r="D19" s="44" t="n"/>
      <c r="E19" s="44" t="n"/>
    </row>
    <row r="20">
      <c r="A20" s="44" t="n"/>
      <c r="B20" s="44" t="n"/>
      <c r="C20" s="44" t="n"/>
      <c r="D20" s="44" t="n"/>
      <c r="E20" s="44" t="n"/>
    </row>
    <row r="21">
      <c r="A21" s="44" t="n"/>
      <c r="B21" s="44" t="n"/>
      <c r="C21" s="44" t="n"/>
      <c r="D21" s="44" t="n"/>
      <c r="E21" s="44" t="n"/>
    </row>
    <row r="22">
      <c r="A22" s="44" t="n"/>
      <c r="B22" s="44" t="n"/>
      <c r="C22" s="44" t="n"/>
      <c r="D22" s="44" t="n"/>
      <c r="E22" s="44" t="n"/>
    </row>
    <row r="23">
      <c r="A23" s="44" t="n"/>
      <c r="B23" s="44" t="n"/>
      <c r="C23" s="44" t="n"/>
      <c r="D23" s="44" t="n"/>
      <c r="E23" s="44" t="n"/>
    </row>
    <row r="24">
      <c r="A24" s="44" t="n"/>
      <c r="B24" s="44" t="n"/>
      <c r="C24" s="44" t="n"/>
      <c r="D24" s="44" t="n"/>
      <c r="E24" s="4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2026-08-19T12:07:00Z</dcterms:created>
  <dcterms:modified xsi:type="dcterms:W3CDTF">2026-08-19T12:07:01Z</dcterms:modified>
</cp:coreProperties>
</file>