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使い方" sheetId="1" state="visible" r:id="rId1"/>
    <sheet name="01_予約入力" sheetId="2" state="visible" r:id="rId2"/>
    <sheet name="02_月間表" sheetId="3" state="visible" r:id="rId3"/>
    <sheet name="03_空室照会" sheetId="4" state="visible" r:id="rId4"/>
    <sheet name="04_食数表" sheetId="5" state="visible" r:id="rId5"/>
    <sheet name="05_月次集計" sheetId="6" state="visible" r:id="rId6"/>
    <sheet name="06_支給量管理" sheetId="7" state="visible" r:id="rId7"/>
    <sheet name="07_FAX空き表" sheetId="8" state="visible" r:id="rId8"/>
    <sheet name="M_施設設定" sheetId="9" state="visible" r:id="rId9"/>
    <sheet name="M_部屋" sheetId="10" state="visible" r:id="rId10"/>
    <sheet name="M_利用者" sheetId="11" state="visible" r:id="rId11"/>
    <sheet name="M_区分" sheetId="12" state="visible" r:id="rId12"/>
    <sheet name="M_送迎" sheetId="13" state="visible" r:id="rId13"/>
    <sheet name="M_状態" sheetId="14" state="visible" r:id="rId14"/>
    <sheet name="M_FAX送付先" sheetId="15" state="visible" r:id="rId15"/>
  </sheets>
  <definedNames>
    <definedName name="氏名一覧">OFFSET('M_利用者'!$A$4,0,0,MAX(1,COUNTA('M_利用者'!$A$4:$A$60)),1)</definedName>
    <definedName name="部屋一覧">OFFSET('M_部屋'!$A$4,0,0,MAX(1,COUNTA('M_部屋'!$A$4:$A$20)),1)</definedName>
    <definedName name="区分一覧">OFFSET('M_区分'!$A$4,0,0,MAX(1,COUNTA('M_区分'!$A$4:$A$20)),1)</definedName>
    <definedName name="送迎一覧">OFFSET('M_送迎'!$A$4,0,0,MAX(1,COUNTA('M_送迎'!$A$4:$A$15)),1)</definedName>
    <definedName name="状態一覧">'M_状態'!$A$4:$A$8</definedName>
    <definedName name="_xlnm._FilterDatabase" localSheetId="1" hidden="1">'01_予約入力'!$A$4:$U$204</definedName>
    <definedName name="_xlnm.Print_Area" localSheetId="2">'02_月間表'!$A$1:$K$37</definedName>
    <definedName name="_xlnm.Print_Area" localSheetId="4">'04_食数表'!$A$1:$K$38</definedName>
    <definedName name="_xlnm.Print_Area" localSheetId="7">'07_FAX空き表'!$A$1:$AF$18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hh:mm"/>
    <numFmt numFmtId="166" formatCode="yyyy-mm-dd"/>
  </numFmts>
  <fonts count="9">
    <font>
      <name val="Calibri"/>
      <family val="2"/>
      <color theme="1"/>
      <sz val="11"/>
      <scheme val="minor"/>
    </font>
    <font>
      <name val="Meiryo"/>
      <b val="1"/>
      <color rgb="001F3B52"/>
      <sz val="13"/>
    </font>
    <font>
      <name val="Meiryo"/>
      <color rgb="00666666"/>
      <sz val="9"/>
    </font>
    <font>
      <name val="Meiryo"/>
      <b val="1"/>
      <color rgb="001F3B52"/>
      <sz val="10"/>
    </font>
    <font>
      <name val="Meiryo"/>
      <b val="1"/>
      <sz val="10"/>
    </font>
    <font>
      <name val="Meiryo"/>
      <sz val="10"/>
    </font>
    <font>
      <name val="Meiryo"/>
      <i val="1"/>
      <color rgb="00666666"/>
      <sz val="10"/>
    </font>
    <font>
      <name val="Meiryo"/>
      <b val="1"/>
      <color rgb="00FFFFFF"/>
      <sz val="10"/>
    </font>
    <font>
      <name val="Meiryo"/>
      <b val="1"/>
      <sz val="11"/>
    </font>
  </fonts>
  <fills count="6">
    <fill>
      <patternFill/>
    </fill>
    <fill>
      <patternFill patternType="gray125"/>
    </fill>
    <fill>
      <patternFill patternType="solid">
        <fgColor rgb="00DCE6EF"/>
      </patternFill>
    </fill>
    <fill>
      <patternFill patternType="solid">
        <fgColor rgb="00FFF7DD"/>
      </patternFill>
    </fill>
    <fill>
      <patternFill patternType="solid">
        <fgColor rgb="00F2F2F2"/>
      </patternFill>
    </fill>
    <fill>
      <patternFill patternType="solid">
        <fgColor rgb="002F669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164" fontId="5" fillId="3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0" fontId="3" fillId="2" borderId="1" pivotButton="0" quotePrefix="0" xfId="0"/>
    <xf numFmtId="164" fontId="5" fillId="3" borderId="1" pivotButton="0" quotePrefix="0" xfId="0"/>
    <xf numFmtId="164" fontId="6" fillId="4" borderId="1" pivotButton="0" quotePrefix="0" xfId="0"/>
    <xf numFmtId="164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pivotButton="0" quotePrefix="0" xfId="0"/>
    <xf numFmtId="0" fontId="5" fillId="3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8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3" borderId="1" pivotButton="0" quotePrefix="0" xfId="0"/>
    <xf numFmtId="0" fontId="5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dxfs count="6">
    <dxf>
      <font>
        <name val="Meiryo"/>
        <strike val="1"/>
        <color rgb="00999999"/>
        <sz val="10"/>
      </font>
      <fill>
        <patternFill patternType="solid">
          <fgColor rgb="00EFEFEF"/>
        </patternFill>
      </fill>
    </dxf>
    <dxf>
      <fill>
        <patternFill patternType="solid">
          <fgColor rgb="00FBD3D3"/>
        </patternFill>
      </fill>
    </dxf>
    <dxf>
      <fill>
        <patternFill patternType="solid">
          <fgColor rgb="00FCE4C8"/>
        </patternFill>
      </fill>
    </dxf>
    <dxf>
      <fill>
        <patternFill patternType="solid">
          <fgColor rgb="00EDE3F5"/>
        </patternFill>
      </fill>
    </dxf>
    <dxf>
      <fill>
        <patternFill patternType="solid">
          <fgColor rgb="00D9EDDC"/>
        </patternFill>
      </fill>
    </dxf>
    <dxf>
      <fill>
        <patternFill patternType="solid">
          <fgColor rgb="00E8EE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設計メモ</author>
  </authors>
  <commentList>
    <comment ref="S4" authorId="0" shapeId="0">
      <text>
        <t>同じ部屋・同じ夜に2件以上入っていると「⚠重複」が出ます。
退所日の夜は空き扱いなので、前の方の退所日＝次の方の入所日は重複になりません。
M_部屋 に無い部屋名が入っていると「⚠部屋が未登録」が出ます。
（2室→1室に変更したのに、古い予約が部屋2のまま残っている場合など）</t>
      </text>
    </comment>
    <comment ref="T4" authorId="0" shapeId="0">
      <text>
        <t>M_利用者 に支給量が入っている方だけ判定します。
入所日の属する月で合計し、M_区分 で「○」の区分だけを数えます。</t>
      </text>
    </comment>
  </commentList>
</comments>
</file>

<file path=xl/comments/comment2.xml><?xml version="1.0" encoding="utf-8"?>
<comments xmlns="http://schemas.openxmlformats.org/spreadsheetml/2006/main">
  <authors>
    <author>設計メモ</author>
  </authors>
  <commentList>
    <comment ref="A3" authorId="0" shapeId="0">
      <text>
        <t>氏名を書き換えると、01_予約入力 のプルダウンにも反映されます。
ただし既に入力済みの予約の氏名は自動では変わりません。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ショートステイ・体験利用 管理台帳</t>
        </is>
      </c>
    </row>
    <row r="2">
      <c r="A2" s="2" t="inlineStr">
        <is>
          <t>入力するのは 01_予約入力 と、M_ で始まるマスタだけです。02〜07 は全て自動計算です。</t>
        </is>
      </c>
    </row>
    <row r="4">
      <c r="A4" s="3" t="inlineStr">
        <is>
          <t>はじめに設定すること</t>
        </is>
      </c>
      <c r="B4" s="4" t="n"/>
    </row>
    <row r="5" ht="32" customHeight="1">
      <c r="A5" s="5" t="inlineStr">
        <is>
          <t>① M_施設設定</t>
        </is>
      </c>
      <c r="B5" s="6" t="inlineStr">
        <is>
          <t>施設名・棟・標準の入所/退所時刻・住所・TEL/FAX を入れます。</t>
        </is>
      </c>
    </row>
    <row r="6" ht="32" customHeight="1">
      <c r="A6" s="5" t="inlineStr">
        <is>
          <t>② M_部屋</t>
        </is>
      </c>
      <c r="B6" s="6" t="inlineStr">
        <is>
          <t>部屋名を1行1室で登録します。★ここの行数が、そのまま定員（部屋数）になります。</t>
        </is>
      </c>
    </row>
    <row r="7" ht="32" customHeight="1">
      <c r="A7" s="5" t="inlineStr">
        <is>
          <t>③ M_利用者</t>
        </is>
      </c>
      <c r="B7" s="6" t="inlineStr">
        <is>
          <t>氏名と支給量（受給者証の月あたり上限日数）。支給量が空欄の方は残日数を管理しません。</t>
        </is>
      </c>
    </row>
    <row r="8" ht="32" customHeight="1">
      <c r="A8" s="5" t="inlineStr">
        <is>
          <t>④ M_区分・M_送迎</t>
        </is>
      </c>
      <c r="B8" s="6" t="inlineStr">
        <is>
          <t>区分（SS・無料・契約など）と、その区分を支給量に数えるかどうか。</t>
        </is>
      </c>
    </row>
    <row r="9">
      <c r="A9" s="3" t="inlineStr">
        <is>
          <t>★ 部屋数が施設ごとに違う場合（1室の施設と2室の施設）</t>
        </is>
      </c>
      <c r="B9" s="4" t="n"/>
    </row>
    <row r="10" ht="32" customHeight="1">
      <c r="A10" s="5" t="inlineStr">
        <is>
          <t>同じファイルで使えます</t>
        </is>
      </c>
      <c r="B10" s="6" t="inlineStr">
        <is>
          <t>1室の施設は M_部屋 に1行だけ、2室の施設は2行だけ登録してください。定員・空室数・空き記号（○△×）は全て M_部屋 の行数から計算しているので、シートも数式も一切変えずに両方に対応します。最大4室まで。</t>
        </is>
      </c>
    </row>
    <row r="11" ht="32" customHeight="1">
      <c r="A11" s="5" t="inlineStr">
        <is>
          <t>部屋を減らしたとき</t>
        </is>
      </c>
      <c r="B11" s="6" t="inlineStr">
        <is>
          <t>2室から1室に変更したのに、古い予約が「部屋2」のまま残っていると、01_予約入力 のS列に「⚠部屋が未登録」と赤で出ます。その予約の部屋を選び直してください。</t>
        </is>
      </c>
    </row>
    <row r="12" ht="32" customHeight="1">
      <c r="A12" s="5" t="inlineStr">
        <is>
          <t>1室のときの表示</t>
        </is>
      </c>
      <c r="B12" s="6" t="inlineStr">
        <is>
          <t>1室の施設では「△（残りわずか）」は構造上発生せず、必ず ○ か × になります。使わない「部屋2〜4」の列は、右クリック→非表示 にしてください（削除は不要です）。</t>
        </is>
      </c>
    </row>
    <row r="13" ht="32" customHeight="1">
      <c r="A13" s="5" t="inlineStr">
        <is>
          <t>★ファイルは施設ごとに分ける</t>
        </is>
      </c>
      <c r="B13" s="6" t="inlineStr">
        <is>
          <t>このファイルを施設の数だけコピーして「施設A_管理台帳.xlsx」「施設B_管理台帳.xlsx」のように分けてください。1つのファイルに複数施設を混ぜると、定員が施設ごとに違うため空き判定が成立せず、全ての集計に施設の絞り込みが必要になって必ず崩れます。</t>
        </is>
      </c>
    </row>
    <row r="14">
      <c r="A14" s="3" t="inlineStr">
        <is>
          <t>数え方の定義（全シート共通のルール）</t>
        </is>
      </c>
      <c r="B14" s="4" t="n"/>
    </row>
    <row r="15" ht="32" customHeight="1">
      <c r="A15" s="5" t="inlineStr">
        <is>
          <t>利用日数</t>
        </is>
      </c>
      <c r="B15" s="6" t="inlineStr">
        <is>
          <t>入所日から退所日までの暦日数。両端を含みます（4/1入所・4/3退所 = 3日）。</t>
        </is>
      </c>
    </row>
    <row r="16" ht="32" customHeight="1">
      <c r="A16" s="5" t="inlineStr">
        <is>
          <t>宿泊数</t>
        </is>
      </c>
      <c r="B16" s="6" t="inlineStr">
        <is>
          <t>退所日 − 入所日（4/1入所・4/3退所 = 2泊）。</t>
        </is>
      </c>
    </row>
    <row r="17" ht="32" customHeight="1">
      <c r="A17" s="5" t="inlineStr">
        <is>
          <t>日帰り（体験利用）</t>
        </is>
      </c>
      <c r="B17" s="6" t="inlineStr">
        <is>
          <t>入所日 = 退所日。1利用日・0泊。食事は昼のみが既定です。</t>
        </is>
      </c>
    </row>
    <row r="18" ht="32" customHeight="1">
      <c r="A18" s="5" t="inlineStr">
        <is>
          <t>空室の判定</t>
        </is>
      </c>
      <c r="B18" s="6" t="inlineStr">
        <is>
          <t>「その日の夜に泊まるか」で見ます。★退所日の当日の夜は空き扱いです（次の方が入れます）。</t>
        </is>
      </c>
    </row>
    <row r="19" ht="32" customHeight="1">
      <c r="A19" s="5" t="inlineStr">
        <is>
          <t>集計に入る予約</t>
        </is>
      </c>
      <c r="B19" s="6" t="inlineStr">
        <is>
          <t>確定・利用済み・仮予約・調整中は集計に入り、キャンセルだけが除外されます。キャンセルは行を削除せず、状態を「キャンセル」に変えて記録として残してください。</t>
        </is>
      </c>
    </row>
    <row r="20" ht="32" customHeight="1">
      <c r="A20" s="5" t="inlineStr">
        <is>
          <t>食事の既定</t>
        </is>
      </c>
      <c r="B20" s="6" t="inlineStr">
        <is>
          <t>日帰り=昼のみ ／ 初日=夕 ／ 中日=朝昼夕 ／ 最終日=朝。例外だけ 04_食数表 の「調整」列に実数を入れると、そちらが優先されます。</t>
        </is>
      </c>
    </row>
    <row r="21">
      <c r="A21" s="3" t="inlineStr">
        <is>
          <t>セルの色の意味</t>
        </is>
      </c>
      <c r="B21" s="4" t="n"/>
    </row>
    <row r="22" ht="32" customHeight="1">
      <c r="A22" s="5" t="inlineStr">
        <is>
          <t>うすい黄色</t>
        </is>
      </c>
      <c r="B22" s="6" t="inlineStr">
        <is>
          <t>手で入力するセルです。</t>
        </is>
      </c>
    </row>
    <row r="23" ht="32" customHeight="1">
      <c r="A23" s="5" t="inlineStr">
        <is>
          <t>うすい灰色（斜体）</t>
        </is>
      </c>
      <c r="B23" s="6" t="inlineStr">
        <is>
          <t>自動計算です。上書きすると壊れます。触らないでください。</t>
        </is>
      </c>
    </row>
    <row r="24" ht="32" customHeight="1">
      <c r="A24" s="5" t="inlineStr">
        <is>
          <t>赤・オレンジ</t>
        </is>
      </c>
      <c r="B24" s="6" t="inlineStr">
        <is>
          <t>警告です。ダブルブッキング（⚠重複）と支給量オーバー（⚠支給量超過）を知らせます。</t>
        </is>
      </c>
    </row>
    <row r="25">
      <c r="A25" s="3" t="inlineStr">
        <is>
          <t>毎日の使い方</t>
        </is>
      </c>
      <c r="B25" s="4" t="n"/>
    </row>
    <row r="26" ht="32" customHeight="1">
      <c r="A26" s="5" t="inlineStr">
        <is>
          <t>予約が入ったら</t>
        </is>
      </c>
      <c r="B26" s="6" t="inlineStr">
        <is>
          <t>01_予約入力 の空いている行に、1滞在=1行で入れます。S列・T列が赤くならないことだけ確認してください。</t>
        </is>
      </c>
    </row>
    <row r="27" ht="32" customHeight="1">
      <c r="A27" s="5" t="inlineStr">
        <is>
          <t>「空いてますか」と聞かれたら</t>
        </is>
      </c>
      <c r="B27" s="6" t="inlineStr">
        <is>
          <t>03_空室照会 に日付を2つ入れるだけです。</t>
        </is>
      </c>
    </row>
    <row r="28" ht="32" customHeight="1">
      <c r="A28" s="5" t="inlineStr">
        <is>
          <t>月の予定を見る</t>
        </is>
      </c>
      <c r="B28" s="6" t="inlineStr">
        <is>
          <t>02_月間表 の「対象月」を変えます。★この1か所を変えると、04_食数表 と 07_FAX空き表 の月も一緒に変わります。</t>
        </is>
      </c>
    </row>
    <row r="29" ht="32" customHeight="1">
      <c r="A29" s="5" t="inlineStr">
        <is>
          <t>厨房へ食数を渡す</t>
        </is>
      </c>
      <c r="B29" s="6" t="inlineStr">
        <is>
          <t>04_食数表 の「確定」列（I〜K）を印刷して渡します。</t>
        </is>
      </c>
    </row>
    <row r="30" ht="32" customHeight="1">
      <c r="A30" s="5" t="inlineStr">
        <is>
          <t>月末の報告・請求突合</t>
        </is>
      </c>
      <c r="B30" s="6" t="inlineStr">
        <is>
          <t>05_月次集計 に期間を入れると、区分別・利用者別が出ます。</t>
        </is>
      </c>
    </row>
    <row r="31" ht="32" customHeight="1">
      <c r="A31" s="5" t="inlineStr">
        <is>
          <t>支給量の確認</t>
        </is>
      </c>
      <c r="B31" s="6" t="inlineStr">
        <is>
          <t>06_支給量管理 で残日数を確認してから予約を受けます。</t>
        </is>
      </c>
    </row>
    <row r="32" ht="32" customHeight="1">
      <c r="A32" s="5" t="inlineStr">
        <is>
          <t>FAXで空き状況を送る</t>
        </is>
      </c>
      <c r="B32" s="6" t="inlineStr">
        <is>
          <t>07_FAX空き表 を印刷します。利用者名は載りません。</t>
        </is>
      </c>
    </row>
    <row r="33">
      <c r="A33" s="3" t="inlineStr">
        <is>
          <t>バックアップ</t>
        </is>
      </c>
      <c r="B33" s="4" t="n"/>
    </row>
    <row r="34" ht="32" customHeight="1">
      <c r="A34" s="5" t="inlineStr">
        <is>
          <t>月に一度はコピーを</t>
        </is>
      </c>
      <c r="B34" s="6" t="inlineStr">
        <is>
          <t>このファイル自体が台帳です。月初に「YYYYMM_管理台帳.xlsx」の名前でコピーを別フォルダに残してください。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9" customWidth="1" min="9" max="9"/>
    <col width="8" customWidth="1" min="10" max="10"/>
    <col width="11" customWidth="1" min="11" max="11"/>
    <col width="9" customWidth="1" min="12" max="12"/>
    <col width="16" customWidth="1" min="13" max="13"/>
    <col width="20" customWidth="1" min="14" max="14"/>
    <col width="16" customWidth="1" min="15" max="15"/>
    <col width="30" customWidth="1" min="16" max="16"/>
    <col width="12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予約入力（1滞在 = 1行）</t>
        </is>
      </c>
    </row>
    <row r="2">
      <c r="A2" s="2" t="inlineStr">
        <is>
          <t>黄色の列だけ入力します。灰色は自動計算。S列・T列が赤くなったら、その行を直してください。</t>
        </is>
      </c>
    </row>
    <row r="4" ht="30" customHeight="1">
      <c r="A4" s="7" t="inlineStr">
        <is>
          <t>予約ID</t>
        </is>
      </c>
      <c r="B4" s="7" t="inlineStr">
        <is>
          <t>氏名</t>
        </is>
      </c>
      <c r="C4" s="7" t="inlineStr">
        <is>
          <t>区分</t>
        </is>
      </c>
      <c r="D4" s="7" t="inlineStr">
        <is>
          <t>部屋</t>
        </is>
      </c>
      <c r="E4" s="7" t="inlineStr">
        <is>
          <t>入所日</t>
        </is>
      </c>
      <c r="F4" s="7" t="inlineStr">
        <is>
          <t>入所時刻</t>
        </is>
      </c>
      <c r="G4" s="7" t="inlineStr">
        <is>
          <t>退所予定日</t>
        </is>
      </c>
      <c r="H4" s="7" t="inlineStr">
        <is>
          <t>退所時刻</t>
        </is>
      </c>
      <c r="I4" s="7" t="inlineStr">
        <is>
          <t>利用日数</t>
        </is>
      </c>
      <c r="J4" s="7" t="inlineStr">
        <is>
          <t>宿泊数</t>
        </is>
      </c>
      <c r="K4" s="7" t="inlineStr">
        <is>
          <t>予約状態</t>
        </is>
      </c>
      <c r="L4" s="7" t="inlineStr">
        <is>
          <t>送迎</t>
        </is>
      </c>
      <c r="M4" s="7" t="inlineStr">
        <is>
          <t>送迎方法</t>
        </is>
      </c>
      <c r="N4" s="7" t="inlineStr">
        <is>
          <t>送迎場所・時間帯</t>
        </is>
      </c>
      <c r="O4" s="7" t="inlineStr">
        <is>
          <t>外部サービス</t>
        </is>
      </c>
      <c r="P4" s="7" t="inlineStr">
        <is>
          <t>備考</t>
        </is>
      </c>
      <c r="Q4" s="7" t="inlineStr">
        <is>
          <t>更新日</t>
        </is>
      </c>
      <c r="R4" s="7" t="inlineStr">
        <is>
          <t>更新者</t>
        </is>
      </c>
      <c r="S4" s="7" t="inlineStr">
        <is>
          <t>⚠重複・部屋チェック</t>
        </is>
      </c>
      <c r="T4" s="7" t="inlineStr">
        <is>
          <t>⚠支給量チェック</t>
        </is>
      </c>
      <c r="U4" s="7" t="inlineStr">
        <is>
          <t>支給量対象日数</t>
        </is>
      </c>
    </row>
    <row r="5">
      <c r="A5" s="8">
        <f>IF($E5="","","SS-"&amp;TEXT(ROW()-4,"0000"))</f>
        <v/>
      </c>
      <c r="B5" s="9" t="inlineStr">
        <is>
          <t>利用者A</t>
        </is>
      </c>
      <c r="C5" s="9" t="inlineStr">
        <is>
          <t>SS</t>
        </is>
      </c>
      <c r="D5" s="9" t="inlineStr">
        <is>
          <t>部屋1</t>
        </is>
      </c>
      <c r="E5" s="10" t="n">
        <v>46118</v>
      </c>
      <c r="F5" s="11" t="inlineStr">
        <is>
          <t>16:00</t>
        </is>
      </c>
      <c r="G5" s="10" t="n">
        <v>46120</v>
      </c>
      <c r="H5" s="11" t="inlineStr">
        <is>
          <t>09:00</t>
        </is>
      </c>
      <c r="I5" s="8">
        <f>IF(OR($E5="",$G5=""),"",$G5-$E5+1)</f>
        <v/>
      </c>
      <c r="J5" s="8">
        <f>IF(OR($E5="",$G5=""),"",$G5-$E5)</f>
        <v/>
      </c>
      <c r="K5" s="9" t="inlineStr">
        <is>
          <t>確定</t>
        </is>
      </c>
      <c r="L5" s="9" t="inlineStr">
        <is>
          <t>あり</t>
        </is>
      </c>
      <c r="M5" s="9" t="inlineStr">
        <is>
          <t>施設車</t>
        </is>
      </c>
      <c r="N5" s="9" t="inlineStr">
        <is>
          <t>自宅前 16:00</t>
        </is>
      </c>
      <c r="O5" s="9" t="inlineStr"/>
      <c r="P5" s="9" t="inlineStr">
        <is>
          <t>サンプル行です。削除してお使いください</t>
        </is>
      </c>
      <c r="Q5" s="10" t="n"/>
      <c r="R5" s="9" t="n"/>
      <c r="S5" s="8">
        <f>IF($D5="","",IF(COUNTIF('M_部屋'!$A$4:$A$20,$D5)=0,"⚠部屋が未登録",IF(OR($E5="",$G5="",$K5="キャンセル"),"",IF(SUMPRODUCT(($D$5:$D$204=$D5)*($E$5:$E$204&lt;&gt;"")*($G$5:$G$204&lt;&gt;"")*($K$5:$K$204&lt;&gt;"キャンセル")*($E$5:$E$204&lt;$G5)*($G$5:$G$204&gt;$E5))&gt;1,"⚠重複",""))))</f>
        <v/>
      </c>
      <c r="T5" s="8">
        <f>IF(OR($B5="",$E5=""),"",IF(SUMPRODUCT(('M_利用者'!$A$4:$A$60=$B5)*('M_利用者'!$B$4:$B$60&lt;&gt;""))=0,"",IF(SUMIFS($U$5:$U$204,$B$5:$B$204,$B5,$E$5:$E$204,"&gt;="&amp;DATE(YEAR($E5),MONTH($E5),1),$E$5:$E$204,"&lt;="&amp;EOMONTH($E5,0))&gt;SUMIFS('M_利用者'!$B$4:$B$60,'M_利用者'!$A$4:$A$60,$B5),"⚠支給量超過","")))</f>
        <v/>
      </c>
      <c r="U5" s="8">
        <f>IF(OR($E5="",$G5="",$K5="キャンセル"),0,IF(IFERROR(INDEX('M_区分'!$B$4:$B$20,MATCH($C5,'M_区分'!$A$4:$A$20,0)),"○")="○",$G5-$E5+1,0))</f>
        <v/>
      </c>
    </row>
    <row r="6">
      <c r="A6" s="8">
        <f>IF($E6="","","SS-"&amp;TEXT(ROW()-4,"0000"))</f>
        <v/>
      </c>
      <c r="B6" s="9" t="inlineStr">
        <is>
          <t>利用者B</t>
        </is>
      </c>
      <c r="C6" s="9" t="inlineStr">
        <is>
          <t>契約</t>
        </is>
      </c>
      <c r="D6" s="9" t="inlineStr">
        <is>
          <t>部屋2</t>
        </is>
      </c>
      <c r="E6" s="10" t="n">
        <v>46118</v>
      </c>
      <c r="F6" s="11" t="inlineStr">
        <is>
          <t>16:30</t>
        </is>
      </c>
      <c r="G6" s="10" t="n">
        <v>46119</v>
      </c>
      <c r="H6" s="11" t="inlineStr">
        <is>
          <t>09:00</t>
        </is>
      </c>
      <c r="I6" s="8">
        <f>IF(OR($E6="",$G6=""),"",$G6-$E6+1)</f>
        <v/>
      </c>
      <c r="J6" s="8">
        <f>IF(OR($E6="",$G6=""),"",$G6-$E6)</f>
        <v/>
      </c>
      <c r="K6" s="9" t="inlineStr">
        <is>
          <t>確定</t>
        </is>
      </c>
      <c r="L6" s="9" t="inlineStr">
        <is>
          <t>なし</t>
        </is>
      </c>
      <c r="M6" s="9" t="inlineStr"/>
      <c r="N6" s="9" t="inlineStr"/>
      <c r="O6" s="9" t="inlineStr"/>
      <c r="P6" s="9" t="inlineStr"/>
      <c r="Q6" s="10" t="n"/>
      <c r="R6" s="9" t="n"/>
      <c r="S6" s="8">
        <f>IF($D6="","",IF(COUNTIF('M_部屋'!$A$4:$A$20,$D6)=0,"⚠部屋が未登録",IF(OR($E6="",$G6="",$K6="キャンセル"),"",IF(SUMPRODUCT(($D$5:$D$204=$D6)*($E$5:$E$204&lt;&gt;"")*($G$5:$G$204&lt;&gt;"")*($K$5:$K$204&lt;&gt;"キャンセル")*($E$5:$E$204&lt;$G6)*($G$5:$G$204&gt;$E6))&gt;1,"⚠重複",""))))</f>
        <v/>
      </c>
      <c r="T6" s="8">
        <f>IF(OR($B6="",$E6=""),"",IF(SUMPRODUCT(('M_利用者'!$A$4:$A$60=$B6)*('M_利用者'!$B$4:$B$60&lt;&gt;""))=0,"",IF(SUMIFS($U$5:$U$204,$B$5:$B$204,$B6,$E$5:$E$204,"&gt;="&amp;DATE(YEAR($E6),MONTH($E6),1),$E$5:$E$204,"&lt;="&amp;EOMONTH($E6,0))&gt;SUMIFS('M_利用者'!$B$4:$B$60,'M_利用者'!$A$4:$A$60,$B6),"⚠支給量超過","")))</f>
        <v/>
      </c>
      <c r="U6" s="8">
        <f>IF(OR($E6="",$G6="",$K6="キャンセル"),0,IF(IFERROR(INDEX('M_区分'!$B$4:$B$20,MATCH($C6,'M_区分'!$A$4:$A$20,0)),"○")="○",$G6-$E6+1,0))</f>
        <v/>
      </c>
    </row>
    <row r="7">
      <c r="A7" s="8">
        <f>IF($E7="","","SS-"&amp;TEXT(ROW()-4,"0000"))</f>
        <v/>
      </c>
      <c r="B7" s="9" t="inlineStr">
        <is>
          <t>利用者C</t>
        </is>
      </c>
      <c r="C7" s="9" t="inlineStr">
        <is>
          <t>無料</t>
        </is>
      </c>
      <c r="D7" s="9" t="inlineStr">
        <is>
          <t>部屋1</t>
        </is>
      </c>
      <c r="E7" s="10" t="n">
        <v>46123</v>
      </c>
      <c r="F7" s="11" t="inlineStr">
        <is>
          <t>10:00</t>
        </is>
      </c>
      <c r="G7" s="10" t="n">
        <v>46123</v>
      </c>
      <c r="H7" s="11" t="inlineStr">
        <is>
          <t>16:00</t>
        </is>
      </c>
      <c r="I7" s="8">
        <f>IF(OR($E7="",$G7=""),"",$G7-$E7+1)</f>
        <v/>
      </c>
      <c r="J7" s="8">
        <f>IF(OR($E7="",$G7=""),"",$G7-$E7)</f>
        <v/>
      </c>
      <c r="K7" s="9" t="inlineStr">
        <is>
          <t>確定</t>
        </is>
      </c>
      <c r="L7" s="9" t="inlineStr">
        <is>
          <t>あり</t>
        </is>
      </c>
      <c r="M7" s="9" t="inlineStr">
        <is>
          <t>家族送迎</t>
        </is>
      </c>
      <c r="N7" s="9" t="inlineStr"/>
      <c r="O7" s="9" t="inlineStr"/>
      <c r="P7" s="9" t="inlineStr">
        <is>
          <t>日帰り（体験利用）の例：入所日と退所日が同じ</t>
        </is>
      </c>
      <c r="Q7" s="10" t="n"/>
      <c r="R7" s="9" t="n"/>
      <c r="S7" s="8">
        <f>IF($D7="","",IF(COUNTIF('M_部屋'!$A$4:$A$20,$D7)=0,"⚠部屋が未登録",IF(OR($E7="",$G7="",$K7="キャンセル"),"",IF(SUMPRODUCT(($D$5:$D$204=$D7)*($E$5:$E$204&lt;&gt;"")*($G$5:$G$204&lt;&gt;"")*($K$5:$K$204&lt;&gt;"キャンセル")*($E$5:$E$204&lt;$G7)*($G$5:$G$204&gt;$E7))&gt;1,"⚠重複",""))))</f>
        <v/>
      </c>
      <c r="T7" s="8">
        <f>IF(OR($B7="",$E7=""),"",IF(SUMPRODUCT(('M_利用者'!$A$4:$A$60=$B7)*('M_利用者'!$B$4:$B$60&lt;&gt;""))=0,"",IF(SUMIFS($U$5:$U$204,$B$5:$B$204,$B7,$E$5:$E$204,"&gt;="&amp;DATE(YEAR($E7),MONTH($E7),1),$E$5:$E$204,"&lt;="&amp;EOMONTH($E7,0))&gt;SUMIFS('M_利用者'!$B$4:$B$60,'M_利用者'!$A$4:$A$60,$B7),"⚠支給量超過","")))</f>
        <v/>
      </c>
      <c r="U7" s="8">
        <f>IF(OR($E7="",$G7="",$K7="キャンセル"),0,IF(IFERROR(INDEX('M_区分'!$B$4:$B$20,MATCH($C7,'M_区分'!$A$4:$A$20,0)),"○")="○",$G7-$E7+1,0))</f>
        <v/>
      </c>
    </row>
    <row r="8">
      <c r="A8" s="8">
        <f>IF($E8="","","SS-"&amp;TEXT(ROW()-4,"0000"))</f>
        <v/>
      </c>
      <c r="B8" s="9" t="inlineStr">
        <is>
          <t>利用者A</t>
        </is>
      </c>
      <c r="C8" s="9" t="inlineStr">
        <is>
          <t>SS</t>
        </is>
      </c>
      <c r="D8" s="9" t="inlineStr">
        <is>
          <t>部屋1</t>
        </is>
      </c>
      <c r="E8" s="10" t="n">
        <v>46132</v>
      </c>
      <c r="F8" s="11" t="inlineStr">
        <is>
          <t>16:00</t>
        </is>
      </c>
      <c r="G8" s="10" t="n">
        <v>46136</v>
      </c>
      <c r="H8" s="11" t="inlineStr">
        <is>
          <t>09:00</t>
        </is>
      </c>
      <c r="I8" s="8">
        <f>IF(OR($E8="",$G8=""),"",$G8-$E8+1)</f>
        <v/>
      </c>
      <c r="J8" s="8">
        <f>IF(OR($E8="",$G8=""),"",$G8-$E8)</f>
        <v/>
      </c>
      <c r="K8" s="9" t="inlineStr">
        <is>
          <t>仮予約</t>
        </is>
      </c>
      <c r="L8" s="9" t="inlineStr">
        <is>
          <t>調整中</t>
        </is>
      </c>
      <c r="M8" s="9" t="inlineStr"/>
      <c r="N8" s="9" t="inlineStr"/>
      <c r="O8" s="9" t="inlineStr"/>
      <c r="P8" s="9" t="inlineStr">
        <is>
          <t>仮予約の例</t>
        </is>
      </c>
      <c r="Q8" s="10" t="n"/>
      <c r="R8" s="9" t="n"/>
      <c r="S8" s="8">
        <f>IF($D8="","",IF(COUNTIF('M_部屋'!$A$4:$A$20,$D8)=0,"⚠部屋が未登録",IF(OR($E8="",$G8="",$K8="キャンセル"),"",IF(SUMPRODUCT(($D$5:$D$204=$D8)*($E$5:$E$204&lt;&gt;"")*($G$5:$G$204&lt;&gt;"")*($K$5:$K$204&lt;&gt;"キャンセル")*($E$5:$E$204&lt;$G8)*($G$5:$G$204&gt;$E8))&gt;1,"⚠重複",""))))</f>
        <v/>
      </c>
      <c r="T8" s="8">
        <f>IF(OR($B8="",$E8=""),"",IF(SUMPRODUCT(('M_利用者'!$A$4:$A$60=$B8)*('M_利用者'!$B$4:$B$60&lt;&gt;""))=0,"",IF(SUMIFS($U$5:$U$204,$B$5:$B$204,$B8,$E$5:$E$204,"&gt;="&amp;DATE(YEAR($E8),MONTH($E8),1),$E$5:$E$204,"&lt;="&amp;EOMONTH($E8,0))&gt;SUMIFS('M_利用者'!$B$4:$B$60,'M_利用者'!$A$4:$A$60,$B8),"⚠支給量超過","")))</f>
        <v/>
      </c>
      <c r="U8" s="8">
        <f>IF(OR($E8="",$G8="",$K8="キャンセル"),0,IF(IFERROR(INDEX('M_区分'!$B$4:$B$20,MATCH($C8,'M_区分'!$A$4:$A$20,0)),"○")="○",$G8-$E8+1,0))</f>
        <v/>
      </c>
    </row>
    <row r="9">
      <c r="A9" s="8">
        <f>IF($E9="","","SS-"&amp;TEXT(ROW()-4,"0000"))</f>
        <v/>
      </c>
      <c r="B9" s="9" t="n"/>
      <c r="C9" s="9" t="n"/>
      <c r="D9" s="9" t="n"/>
      <c r="E9" s="10" t="n"/>
      <c r="F9" s="11" t="n"/>
      <c r="G9" s="10" t="n"/>
      <c r="H9" s="11" t="n"/>
      <c r="I9" s="8">
        <f>IF(OR($E9="",$G9=""),"",$G9-$E9+1)</f>
        <v/>
      </c>
      <c r="J9" s="8">
        <f>IF(OR($E9="",$G9=""),"",$G9-$E9)</f>
        <v/>
      </c>
      <c r="K9" s="9" t="n"/>
      <c r="L9" s="9" t="n"/>
      <c r="M9" s="9" t="n"/>
      <c r="N9" s="9" t="n"/>
      <c r="O9" s="9" t="n"/>
      <c r="P9" s="9" t="n"/>
      <c r="Q9" s="10" t="n"/>
      <c r="R9" s="9" t="n"/>
      <c r="S9" s="8">
        <f>IF($D9="","",IF(COUNTIF('M_部屋'!$A$4:$A$20,$D9)=0,"⚠部屋が未登録",IF(OR($E9="",$G9="",$K9="キャンセル"),"",IF(SUMPRODUCT(($D$5:$D$204=$D9)*($E$5:$E$204&lt;&gt;"")*($G$5:$G$204&lt;&gt;"")*($K$5:$K$204&lt;&gt;"キャンセル")*($E$5:$E$204&lt;$G9)*($G$5:$G$204&gt;$E9))&gt;1,"⚠重複",""))))</f>
        <v/>
      </c>
      <c r="T9" s="8">
        <f>IF(OR($B9="",$E9=""),"",IF(SUMPRODUCT(('M_利用者'!$A$4:$A$60=$B9)*('M_利用者'!$B$4:$B$60&lt;&gt;""))=0,"",IF(SUMIFS($U$5:$U$204,$B$5:$B$204,$B9,$E$5:$E$204,"&gt;="&amp;DATE(YEAR($E9),MONTH($E9),1),$E$5:$E$204,"&lt;="&amp;EOMONTH($E9,0))&gt;SUMIFS('M_利用者'!$B$4:$B$60,'M_利用者'!$A$4:$A$60,$B9),"⚠支給量超過","")))</f>
        <v/>
      </c>
      <c r="U9" s="8">
        <f>IF(OR($E9="",$G9="",$K9="キャンセル"),0,IF(IFERROR(INDEX('M_区分'!$B$4:$B$20,MATCH($C9,'M_区分'!$A$4:$A$20,0)),"○")="○",$G9-$E9+1,0))</f>
        <v/>
      </c>
    </row>
    <row r="10">
      <c r="A10" s="8">
        <f>IF($E10="","","SS-"&amp;TEXT(ROW()-4,"0000"))</f>
        <v/>
      </c>
      <c r="B10" s="9" t="n"/>
      <c r="C10" s="9" t="n"/>
      <c r="D10" s="9" t="n"/>
      <c r="E10" s="10" t="n"/>
      <c r="F10" s="11" t="n"/>
      <c r="G10" s="10" t="n"/>
      <c r="H10" s="11" t="n"/>
      <c r="I10" s="8">
        <f>IF(OR($E10="",$G10=""),"",$G10-$E10+1)</f>
        <v/>
      </c>
      <c r="J10" s="8">
        <f>IF(OR($E10="",$G10=""),"",$G10-$E10)</f>
        <v/>
      </c>
      <c r="K10" s="9" t="n"/>
      <c r="L10" s="9" t="n"/>
      <c r="M10" s="9" t="n"/>
      <c r="N10" s="9" t="n"/>
      <c r="O10" s="9" t="n"/>
      <c r="P10" s="9" t="n"/>
      <c r="Q10" s="10" t="n"/>
      <c r="R10" s="9" t="n"/>
      <c r="S10" s="8">
        <f>IF($D10="","",IF(COUNTIF('M_部屋'!$A$4:$A$20,$D10)=0,"⚠部屋が未登録",IF(OR($E10="",$G10="",$K10="キャンセル"),"",IF(SUMPRODUCT(($D$5:$D$204=$D10)*($E$5:$E$204&lt;&gt;"")*($G$5:$G$204&lt;&gt;"")*($K$5:$K$204&lt;&gt;"キャンセル")*($E$5:$E$204&lt;$G10)*($G$5:$G$204&gt;$E10))&gt;1,"⚠重複",""))))</f>
        <v/>
      </c>
      <c r="T10" s="8">
        <f>IF(OR($B10="",$E10=""),"",IF(SUMPRODUCT(('M_利用者'!$A$4:$A$60=$B10)*('M_利用者'!$B$4:$B$60&lt;&gt;""))=0,"",IF(SUMIFS($U$5:$U$204,$B$5:$B$204,$B10,$E$5:$E$204,"&gt;="&amp;DATE(YEAR($E10),MONTH($E10),1),$E$5:$E$204,"&lt;="&amp;EOMONTH($E10,0))&gt;SUMIFS('M_利用者'!$B$4:$B$60,'M_利用者'!$A$4:$A$60,$B10),"⚠支給量超過","")))</f>
        <v/>
      </c>
      <c r="U10" s="8">
        <f>IF(OR($E10="",$G10="",$K10="キャンセル"),0,IF(IFERROR(INDEX('M_区分'!$B$4:$B$20,MATCH($C10,'M_区分'!$A$4:$A$20,0)),"○")="○",$G10-$E10+1,0))</f>
        <v/>
      </c>
    </row>
    <row r="11">
      <c r="A11" s="8">
        <f>IF($E11="","","SS-"&amp;TEXT(ROW()-4,"0000"))</f>
        <v/>
      </c>
      <c r="B11" s="9" t="n"/>
      <c r="C11" s="9" t="n"/>
      <c r="D11" s="9" t="n"/>
      <c r="E11" s="10" t="n"/>
      <c r="F11" s="11" t="n"/>
      <c r="G11" s="10" t="n"/>
      <c r="H11" s="11" t="n"/>
      <c r="I11" s="8">
        <f>IF(OR($E11="",$G11=""),"",$G11-$E11+1)</f>
        <v/>
      </c>
      <c r="J11" s="8">
        <f>IF(OR($E11="",$G11=""),"",$G11-$E11)</f>
        <v/>
      </c>
      <c r="K11" s="9" t="n"/>
      <c r="L11" s="9" t="n"/>
      <c r="M11" s="9" t="n"/>
      <c r="N11" s="9" t="n"/>
      <c r="O11" s="9" t="n"/>
      <c r="P11" s="9" t="n"/>
      <c r="Q11" s="10" t="n"/>
      <c r="R11" s="9" t="n"/>
      <c r="S11" s="8">
        <f>IF($D11="","",IF(COUNTIF('M_部屋'!$A$4:$A$20,$D11)=0,"⚠部屋が未登録",IF(OR($E11="",$G11="",$K11="キャンセル"),"",IF(SUMPRODUCT(($D$5:$D$204=$D11)*($E$5:$E$204&lt;&gt;"")*($G$5:$G$204&lt;&gt;"")*($K$5:$K$204&lt;&gt;"キャンセル")*($E$5:$E$204&lt;$G11)*($G$5:$G$204&gt;$E11))&gt;1,"⚠重複",""))))</f>
        <v/>
      </c>
      <c r="T11" s="8">
        <f>IF(OR($B11="",$E11=""),"",IF(SUMPRODUCT(('M_利用者'!$A$4:$A$60=$B11)*('M_利用者'!$B$4:$B$60&lt;&gt;""))=0,"",IF(SUMIFS($U$5:$U$204,$B$5:$B$204,$B11,$E$5:$E$204,"&gt;="&amp;DATE(YEAR($E11),MONTH($E11),1),$E$5:$E$204,"&lt;="&amp;EOMONTH($E11,0))&gt;SUMIFS('M_利用者'!$B$4:$B$60,'M_利用者'!$A$4:$A$60,$B11),"⚠支給量超過","")))</f>
        <v/>
      </c>
      <c r="U11" s="8">
        <f>IF(OR($E11="",$G11="",$K11="キャンセル"),0,IF(IFERROR(INDEX('M_区分'!$B$4:$B$20,MATCH($C11,'M_区分'!$A$4:$A$20,0)),"○")="○",$G11-$E11+1,0))</f>
        <v/>
      </c>
    </row>
    <row r="12">
      <c r="A12" s="8">
        <f>IF($E12="","","SS-"&amp;TEXT(ROW()-4,"0000"))</f>
        <v/>
      </c>
      <c r="B12" s="9" t="n"/>
      <c r="C12" s="9" t="n"/>
      <c r="D12" s="9" t="n"/>
      <c r="E12" s="10" t="n"/>
      <c r="F12" s="11" t="n"/>
      <c r="G12" s="10" t="n"/>
      <c r="H12" s="11" t="n"/>
      <c r="I12" s="8">
        <f>IF(OR($E12="",$G12=""),"",$G12-$E12+1)</f>
        <v/>
      </c>
      <c r="J12" s="8">
        <f>IF(OR($E12="",$G12=""),"",$G12-$E12)</f>
        <v/>
      </c>
      <c r="K12" s="9" t="n"/>
      <c r="L12" s="9" t="n"/>
      <c r="M12" s="9" t="n"/>
      <c r="N12" s="9" t="n"/>
      <c r="O12" s="9" t="n"/>
      <c r="P12" s="9" t="n"/>
      <c r="Q12" s="10" t="n"/>
      <c r="R12" s="9" t="n"/>
      <c r="S12" s="8">
        <f>IF($D12="","",IF(COUNTIF('M_部屋'!$A$4:$A$20,$D12)=0,"⚠部屋が未登録",IF(OR($E12="",$G12="",$K12="キャンセル"),"",IF(SUMPRODUCT(($D$5:$D$204=$D12)*($E$5:$E$204&lt;&gt;"")*($G$5:$G$204&lt;&gt;"")*($K$5:$K$204&lt;&gt;"キャンセル")*($E$5:$E$204&lt;$G12)*($G$5:$G$204&gt;$E12))&gt;1,"⚠重複",""))))</f>
        <v/>
      </c>
      <c r="T12" s="8">
        <f>IF(OR($B12="",$E12=""),"",IF(SUMPRODUCT(('M_利用者'!$A$4:$A$60=$B12)*('M_利用者'!$B$4:$B$60&lt;&gt;""))=0,"",IF(SUMIFS($U$5:$U$204,$B$5:$B$204,$B12,$E$5:$E$204,"&gt;="&amp;DATE(YEAR($E12),MONTH($E12),1),$E$5:$E$204,"&lt;="&amp;EOMONTH($E12,0))&gt;SUMIFS('M_利用者'!$B$4:$B$60,'M_利用者'!$A$4:$A$60,$B12),"⚠支給量超過","")))</f>
        <v/>
      </c>
      <c r="U12" s="8">
        <f>IF(OR($E12="",$G12="",$K12="キャンセル"),0,IF(IFERROR(INDEX('M_区分'!$B$4:$B$20,MATCH($C12,'M_区分'!$A$4:$A$20,0)),"○")="○",$G12-$E12+1,0))</f>
        <v/>
      </c>
    </row>
    <row r="13">
      <c r="A13" s="8">
        <f>IF($E13="","","SS-"&amp;TEXT(ROW()-4,"0000"))</f>
        <v/>
      </c>
      <c r="B13" s="9" t="n"/>
      <c r="C13" s="9" t="n"/>
      <c r="D13" s="9" t="n"/>
      <c r="E13" s="10" t="n"/>
      <c r="F13" s="11" t="n"/>
      <c r="G13" s="10" t="n"/>
      <c r="H13" s="11" t="n"/>
      <c r="I13" s="8">
        <f>IF(OR($E13="",$G13=""),"",$G13-$E13+1)</f>
        <v/>
      </c>
      <c r="J13" s="8">
        <f>IF(OR($E13="",$G13=""),"",$G13-$E13)</f>
        <v/>
      </c>
      <c r="K13" s="9" t="n"/>
      <c r="L13" s="9" t="n"/>
      <c r="M13" s="9" t="n"/>
      <c r="N13" s="9" t="n"/>
      <c r="O13" s="9" t="n"/>
      <c r="P13" s="9" t="n"/>
      <c r="Q13" s="10" t="n"/>
      <c r="R13" s="9" t="n"/>
      <c r="S13" s="8">
        <f>IF($D13="","",IF(COUNTIF('M_部屋'!$A$4:$A$20,$D13)=0,"⚠部屋が未登録",IF(OR($E13="",$G13="",$K13="キャンセル"),"",IF(SUMPRODUCT(($D$5:$D$204=$D13)*($E$5:$E$204&lt;&gt;"")*($G$5:$G$204&lt;&gt;"")*($K$5:$K$204&lt;&gt;"キャンセル")*($E$5:$E$204&lt;$G13)*($G$5:$G$204&gt;$E13))&gt;1,"⚠重複",""))))</f>
        <v/>
      </c>
      <c r="T13" s="8">
        <f>IF(OR($B13="",$E13=""),"",IF(SUMPRODUCT(('M_利用者'!$A$4:$A$60=$B13)*('M_利用者'!$B$4:$B$60&lt;&gt;""))=0,"",IF(SUMIFS($U$5:$U$204,$B$5:$B$204,$B13,$E$5:$E$204,"&gt;="&amp;DATE(YEAR($E13),MONTH($E13),1),$E$5:$E$204,"&lt;="&amp;EOMONTH($E13,0))&gt;SUMIFS('M_利用者'!$B$4:$B$60,'M_利用者'!$A$4:$A$60,$B13),"⚠支給量超過","")))</f>
        <v/>
      </c>
      <c r="U13" s="8">
        <f>IF(OR($E13="",$G13="",$K13="キャンセル"),0,IF(IFERROR(INDEX('M_区分'!$B$4:$B$20,MATCH($C13,'M_区分'!$A$4:$A$20,0)),"○")="○",$G13-$E13+1,0))</f>
        <v/>
      </c>
    </row>
    <row r="14">
      <c r="A14" s="8">
        <f>IF($E14="","","SS-"&amp;TEXT(ROW()-4,"0000"))</f>
        <v/>
      </c>
      <c r="B14" s="9" t="n"/>
      <c r="C14" s="9" t="n"/>
      <c r="D14" s="9" t="n"/>
      <c r="E14" s="10" t="n"/>
      <c r="F14" s="11" t="n"/>
      <c r="G14" s="10" t="n"/>
      <c r="H14" s="11" t="n"/>
      <c r="I14" s="8">
        <f>IF(OR($E14="",$G14=""),"",$G14-$E14+1)</f>
        <v/>
      </c>
      <c r="J14" s="8">
        <f>IF(OR($E14="",$G14=""),"",$G14-$E14)</f>
        <v/>
      </c>
      <c r="K14" s="9" t="n"/>
      <c r="L14" s="9" t="n"/>
      <c r="M14" s="9" t="n"/>
      <c r="N14" s="9" t="n"/>
      <c r="O14" s="9" t="n"/>
      <c r="P14" s="9" t="n"/>
      <c r="Q14" s="10" t="n"/>
      <c r="R14" s="9" t="n"/>
      <c r="S14" s="8">
        <f>IF($D14="","",IF(COUNTIF('M_部屋'!$A$4:$A$20,$D14)=0,"⚠部屋が未登録",IF(OR($E14="",$G14="",$K14="キャンセル"),"",IF(SUMPRODUCT(($D$5:$D$204=$D14)*($E$5:$E$204&lt;&gt;"")*($G$5:$G$204&lt;&gt;"")*($K$5:$K$204&lt;&gt;"キャンセル")*($E$5:$E$204&lt;$G14)*($G$5:$G$204&gt;$E14))&gt;1,"⚠重複",""))))</f>
        <v/>
      </c>
      <c r="T14" s="8">
        <f>IF(OR($B14="",$E14=""),"",IF(SUMPRODUCT(('M_利用者'!$A$4:$A$60=$B14)*('M_利用者'!$B$4:$B$60&lt;&gt;""))=0,"",IF(SUMIFS($U$5:$U$204,$B$5:$B$204,$B14,$E$5:$E$204,"&gt;="&amp;DATE(YEAR($E14),MONTH($E14),1),$E$5:$E$204,"&lt;="&amp;EOMONTH($E14,0))&gt;SUMIFS('M_利用者'!$B$4:$B$60,'M_利用者'!$A$4:$A$60,$B14),"⚠支給量超過","")))</f>
        <v/>
      </c>
      <c r="U14" s="8">
        <f>IF(OR($E14="",$G14="",$K14="キャンセル"),0,IF(IFERROR(INDEX('M_区分'!$B$4:$B$20,MATCH($C14,'M_区分'!$A$4:$A$20,0)),"○")="○",$G14-$E14+1,0))</f>
        <v/>
      </c>
    </row>
    <row r="15">
      <c r="A15" s="8">
        <f>IF($E15="","","SS-"&amp;TEXT(ROW()-4,"0000"))</f>
        <v/>
      </c>
      <c r="B15" s="9" t="n"/>
      <c r="C15" s="9" t="n"/>
      <c r="D15" s="9" t="n"/>
      <c r="E15" s="10" t="n"/>
      <c r="F15" s="11" t="n"/>
      <c r="G15" s="10" t="n"/>
      <c r="H15" s="11" t="n"/>
      <c r="I15" s="8">
        <f>IF(OR($E15="",$G15=""),"",$G15-$E15+1)</f>
        <v/>
      </c>
      <c r="J15" s="8">
        <f>IF(OR($E15="",$G15=""),"",$G15-$E15)</f>
        <v/>
      </c>
      <c r="K15" s="9" t="n"/>
      <c r="L15" s="9" t="n"/>
      <c r="M15" s="9" t="n"/>
      <c r="N15" s="9" t="n"/>
      <c r="O15" s="9" t="n"/>
      <c r="P15" s="9" t="n"/>
      <c r="Q15" s="10" t="n"/>
      <c r="R15" s="9" t="n"/>
      <c r="S15" s="8">
        <f>IF($D15="","",IF(COUNTIF('M_部屋'!$A$4:$A$20,$D15)=0,"⚠部屋が未登録",IF(OR($E15="",$G15="",$K15="キャンセル"),"",IF(SUMPRODUCT(($D$5:$D$204=$D15)*($E$5:$E$204&lt;&gt;"")*($G$5:$G$204&lt;&gt;"")*($K$5:$K$204&lt;&gt;"キャンセル")*($E$5:$E$204&lt;$G15)*($G$5:$G$204&gt;$E15))&gt;1,"⚠重複",""))))</f>
        <v/>
      </c>
      <c r="T15" s="8">
        <f>IF(OR($B15="",$E15=""),"",IF(SUMPRODUCT(('M_利用者'!$A$4:$A$60=$B15)*('M_利用者'!$B$4:$B$60&lt;&gt;""))=0,"",IF(SUMIFS($U$5:$U$204,$B$5:$B$204,$B15,$E$5:$E$204,"&gt;="&amp;DATE(YEAR($E15),MONTH($E15),1),$E$5:$E$204,"&lt;="&amp;EOMONTH($E15,0))&gt;SUMIFS('M_利用者'!$B$4:$B$60,'M_利用者'!$A$4:$A$60,$B15),"⚠支給量超過","")))</f>
        <v/>
      </c>
      <c r="U15" s="8">
        <f>IF(OR($E15="",$G15="",$K15="キャンセル"),0,IF(IFERROR(INDEX('M_区分'!$B$4:$B$20,MATCH($C15,'M_区分'!$A$4:$A$20,0)),"○")="○",$G15-$E15+1,0))</f>
        <v/>
      </c>
    </row>
    <row r="16">
      <c r="A16" s="8">
        <f>IF($E16="","","SS-"&amp;TEXT(ROW()-4,"0000"))</f>
        <v/>
      </c>
      <c r="B16" s="9" t="n"/>
      <c r="C16" s="9" t="n"/>
      <c r="D16" s="9" t="n"/>
      <c r="E16" s="10" t="n"/>
      <c r="F16" s="11" t="n"/>
      <c r="G16" s="10" t="n"/>
      <c r="H16" s="11" t="n"/>
      <c r="I16" s="8">
        <f>IF(OR($E16="",$G16=""),"",$G16-$E16+1)</f>
        <v/>
      </c>
      <c r="J16" s="8">
        <f>IF(OR($E16="",$G16=""),"",$G16-$E16)</f>
        <v/>
      </c>
      <c r="K16" s="9" t="n"/>
      <c r="L16" s="9" t="n"/>
      <c r="M16" s="9" t="n"/>
      <c r="N16" s="9" t="n"/>
      <c r="O16" s="9" t="n"/>
      <c r="P16" s="9" t="n"/>
      <c r="Q16" s="10" t="n"/>
      <c r="R16" s="9" t="n"/>
      <c r="S16" s="8">
        <f>IF($D16="","",IF(COUNTIF('M_部屋'!$A$4:$A$20,$D16)=0,"⚠部屋が未登録",IF(OR($E16="",$G16="",$K16="キャンセル"),"",IF(SUMPRODUCT(($D$5:$D$204=$D16)*($E$5:$E$204&lt;&gt;"")*($G$5:$G$204&lt;&gt;"")*($K$5:$K$204&lt;&gt;"キャンセル")*($E$5:$E$204&lt;$G16)*($G$5:$G$204&gt;$E16))&gt;1,"⚠重複",""))))</f>
        <v/>
      </c>
      <c r="T16" s="8">
        <f>IF(OR($B16="",$E16=""),"",IF(SUMPRODUCT(('M_利用者'!$A$4:$A$60=$B16)*('M_利用者'!$B$4:$B$60&lt;&gt;""))=0,"",IF(SUMIFS($U$5:$U$204,$B$5:$B$204,$B16,$E$5:$E$204,"&gt;="&amp;DATE(YEAR($E16),MONTH($E16),1),$E$5:$E$204,"&lt;="&amp;EOMONTH($E16,0))&gt;SUMIFS('M_利用者'!$B$4:$B$60,'M_利用者'!$A$4:$A$60,$B16),"⚠支給量超過","")))</f>
        <v/>
      </c>
      <c r="U16" s="8">
        <f>IF(OR($E16="",$G16="",$K16="キャンセル"),0,IF(IFERROR(INDEX('M_区分'!$B$4:$B$20,MATCH($C16,'M_区分'!$A$4:$A$20,0)),"○")="○",$G16-$E16+1,0))</f>
        <v/>
      </c>
    </row>
    <row r="17">
      <c r="A17" s="8">
        <f>IF($E17="","","SS-"&amp;TEXT(ROW()-4,"0000"))</f>
        <v/>
      </c>
      <c r="B17" s="9" t="n"/>
      <c r="C17" s="9" t="n"/>
      <c r="D17" s="9" t="n"/>
      <c r="E17" s="10" t="n"/>
      <c r="F17" s="11" t="n"/>
      <c r="G17" s="10" t="n"/>
      <c r="H17" s="11" t="n"/>
      <c r="I17" s="8">
        <f>IF(OR($E17="",$G17=""),"",$G17-$E17+1)</f>
        <v/>
      </c>
      <c r="J17" s="8">
        <f>IF(OR($E17="",$G17=""),"",$G17-$E17)</f>
        <v/>
      </c>
      <c r="K17" s="9" t="n"/>
      <c r="L17" s="9" t="n"/>
      <c r="M17" s="9" t="n"/>
      <c r="N17" s="9" t="n"/>
      <c r="O17" s="9" t="n"/>
      <c r="P17" s="9" t="n"/>
      <c r="Q17" s="10" t="n"/>
      <c r="R17" s="9" t="n"/>
      <c r="S17" s="8">
        <f>IF($D17="","",IF(COUNTIF('M_部屋'!$A$4:$A$20,$D17)=0,"⚠部屋が未登録",IF(OR($E17="",$G17="",$K17="キャンセル"),"",IF(SUMPRODUCT(($D$5:$D$204=$D17)*($E$5:$E$204&lt;&gt;"")*($G$5:$G$204&lt;&gt;"")*($K$5:$K$204&lt;&gt;"キャンセル")*($E$5:$E$204&lt;$G17)*($G$5:$G$204&gt;$E17))&gt;1,"⚠重複",""))))</f>
        <v/>
      </c>
      <c r="T17" s="8">
        <f>IF(OR($B17="",$E17=""),"",IF(SUMPRODUCT(('M_利用者'!$A$4:$A$60=$B17)*('M_利用者'!$B$4:$B$60&lt;&gt;""))=0,"",IF(SUMIFS($U$5:$U$204,$B$5:$B$204,$B17,$E$5:$E$204,"&gt;="&amp;DATE(YEAR($E17),MONTH($E17),1),$E$5:$E$204,"&lt;="&amp;EOMONTH($E17,0))&gt;SUMIFS('M_利用者'!$B$4:$B$60,'M_利用者'!$A$4:$A$60,$B17),"⚠支給量超過","")))</f>
        <v/>
      </c>
      <c r="U17" s="8">
        <f>IF(OR($E17="",$G17="",$K17="キャンセル"),0,IF(IFERROR(INDEX('M_区分'!$B$4:$B$20,MATCH($C17,'M_区分'!$A$4:$A$20,0)),"○")="○",$G17-$E17+1,0))</f>
        <v/>
      </c>
    </row>
    <row r="18">
      <c r="A18" s="8">
        <f>IF($E18="","","SS-"&amp;TEXT(ROW()-4,"0000"))</f>
        <v/>
      </c>
      <c r="B18" s="9" t="n"/>
      <c r="C18" s="9" t="n"/>
      <c r="D18" s="9" t="n"/>
      <c r="E18" s="10" t="n"/>
      <c r="F18" s="11" t="n"/>
      <c r="G18" s="10" t="n"/>
      <c r="H18" s="11" t="n"/>
      <c r="I18" s="8">
        <f>IF(OR($E18="",$G18=""),"",$G18-$E18+1)</f>
        <v/>
      </c>
      <c r="J18" s="8">
        <f>IF(OR($E18="",$G18=""),"",$G18-$E18)</f>
        <v/>
      </c>
      <c r="K18" s="9" t="n"/>
      <c r="L18" s="9" t="n"/>
      <c r="M18" s="9" t="n"/>
      <c r="N18" s="9" t="n"/>
      <c r="O18" s="9" t="n"/>
      <c r="P18" s="9" t="n"/>
      <c r="Q18" s="10" t="n"/>
      <c r="R18" s="9" t="n"/>
      <c r="S18" s="8">
        <f>IF($D18="","",IF(COUNTIF('M_部屋'!$A$4:$A$20,$D18)=0,"⚠部屋が未登録",IF(OR($E18="",$G18="",$K18="キャンセル"),"",IF(SUMPRODUCT(($D$5:$D$204=$D18)*($E$5:$E$204&lt;&gt;"")*($G$5:$G$204&lt;&gt;"")*($K$5:$K$204&lt;&gt;"キャンセル")*($E$5:$E$204&lt;$G18)*($G$5:$G$204&gt;$E18))&gt;1,"⚠重複",""))))</f>
        <v/>
      </c>
      <c r="T18" s="8">
        <f>IF(OR($B18="",$E18=""),"",IF(SUMPRODUCT(('M_利用者'!$A$4:$A$60=$B18)*('M_利用者'!$B$4:$B$60&lt;&gt;""))=0,"",IF(SUMIFS($U$5:$U$204,$B$5:$B$204,$B18,$E$5:$E$204,"&gt;="&amp;DATE(YEAR($E18),MONTH($E18),1),$E$5:$E$204,"&lt;="&amp;EOMONTH($E18,0))&gt;SUMIFS('M_利用者'!$B$4:$B$60,'M_利用者'!$A$4:$A$60,$B18),"⚠支給量超過","")))</f>
        <v/>
      </c>
      <c r="U18" s="8">
        <f>IF(OR($E18="",$G18="",$K18="キャンセル"),0,IF(IFERROR(INDEX('M_区分'!$B$4:$B$20,MATCH($C18,'M_区分'!$A$4:$A$20,0)),"○")="○",$G18-$E18+1,0))</f>
        <v/>
      </c>
    </row>
    <row r="19">
      <c r="A19" s="8">
        <f>IF($E19="","","SS-"&amp;TEXT(ROW()-4,"0000"))</f>
        <v/>
      </c>
      <c r="B19" s="9" t="n"/>
      <c r="C19" s="9" t="n"/>
      <c r="D19" s="9" t="n"/>
      <c r="E19" s="10" t="n"/>
      <c r="F19" s="11" t="n"/>
      <c r="G19" s="10" t="n"/>
      <c r="H19" s="11" t="n"/>
      <c r="I19" s="8">
        <f>IF(OR($E19="",$G19=""),"",$G19-$E19+1)</f>
        <v/>
      </c>
      <c r="J19" s="8">
        <f>IF(OR($E19="",$G19=""),"",$G19-$E19)</f>
        <v/>
      </c>
      <c r="K19" s="9" t="n"/>
      <c r="L19" s="9" t="n"/>
      <c r="M19" s="9" t="n"/>
      <c r="N19" s="9" t="n"/>
      <c r="O19" s="9" t="n"/>
      <c r="P19" s="9" t="n"/>
      <c r="Q19" s="10" t="n"/>
      <c r="R19" s="9" t="n"/>
      <c r="S19" s="8">
        <f>IF($D19="","",IF(COUNTIF('M_部屋'!$A$4:$A$20,$D19)=0,"⚠部屋が未登録",IF(OR($E19="",$G19="",$K19="キャンセル"),"",IF(SUMPRODUCT(($D$5:$D$204=$D19)*($E$5:$E$204&lt;&gt;"")*($G$5:$G$204&lt;&gt;"")*($K$5:$K$204&lt;&gt;"キャンセル")*($E$5:$E$204&lt;$G19)*($G$5:$G$204&gt;$E19))&gt;1,"⚠重複",""))))</f>
        <v/>
      </c>
      <c r="T19" s="8">
        <f>IF(OR($B19="",$E19=""),"",IF(SUMPRODUCT(('M_利用者'!$A$4:$A$60=$B19)*('M_利用者'!$B$4:$B$60&lt;&gt;""))=0,"",IF(SUMIFS($U$5:$U$204,$B$5:$B$204,$B19,$E$5:$E$204,"&gt;="&amp;DATE(YEAR($E19),MONTH($E19),1),$E$5:$E$204,"&lt;="&amp;EOMONTH($E19,0))&gt;SUMIFS('M_利用者'!$B$4:$B$60,'M_利用者'!$A$4:$A$60,$B19),"⚠支給量超過","")))</f>
        <v/>
      </c>
      <c r="U19" s="8">
        <f>IF(OR($E19="",$G19="",$K19="キャンセル"),0,IF(IFERROR(INDEX('M_区分'!$B$4:$B$20,MATCH($C19,'M_区分'!$A$4:$A$20,0)),"○")="○",$G19-$E19+1,0))</f>
        <v/>
      </c>
    </row>
    <row r="20">
      <c r="A20" s="8">
        <f>IF($E20="","","SS-"&amp;TEXT(ROW()-4,"0000"))</f>
        <v/>
      </c>
      <c r="B20" s="9" t="n"/>
      <c r="C20" s="9" t="n"/>
      <c r="D20" s="9" t="n"/>
      <c r="E20" s="10" t="n"/>
      <c r="F20" s="11" t="n"/>
      <c r="G20" s="10" t="n"/>
      <c r="H20" s="11" t="n"/>
      <c r="I20" s="8">
        <f>IF(OR($E20="",$G20=""),"",$G20-$E20+1)</f>
        <v/>
      </c>
      <c r="J20" s="8">
        <f>IF(OR($E20="",$G20=""),"",$G20-$E20)</f>
        <v/>
      </c>
      <c r="K20" s="9" t="n"/>
      <c r="L20" s="9" t="n"/>
      <c r="M20" s="9" t="n"/>
      <c r="N20" s="9" t="n"/>
      <c r="O20" s="9" t="n"/>
      <c r="P20" s="9" t="n"/>
      <c r="Q20" s="10" t="n"/>
      <c r="R20" s="9" t="n"/>
      <c r="S20" s="8">
        <f>IF($D20="","",IF(COUNTIF('M_部屋'!$A$4:$A$20,$D20)=0,"⚠部屋が未登録",IF(OR($E20="",$G20="",$K20="キャンセル"),"",IF(SUMPRODUCT(($D$5:$D$204=$D20)*($E$5:$E$204&lt;&gt;"")*($G$5:$G$204&lt;&gt;"")*($K$5:$K$204&lt;&gt;"キャンセル")*($E$5:$E$204&lt;$G20)*($G$5:$G$204&gt;$E20))&gt;1,"⚠重複",""))))</f>
        <v/>
      </c>
      <c r="T20" s="8">
        <f>IF(OR($B20="",$E20=""),"",IF(SUMPRODUCT(('M_利用者'!$A$4:$A$60=$B20)*('M_利用者'!$B$4:$B$60&lt;&gt;""))=0,"",IF(SUMIFS($U$5:$U$204,$B$5:$B$204,$B20,$E$5:$E$204,"&gt;="&amp;DATE(YEAR($E20),MONTH($E20),1),$E$5:$E$204,"&lt;="&amp;EOMONTH($E20,0))&gt;SUMIFS('M_利用者'!$B$4:$B$60,'M_利用者'!$A$4:$A$60,$B20),"⚠支給量超過","")))</f>
        <v/>
      </c>
      <c r="U20" s="8">
        <f>IF(OR($E20="",$G20="",$K20="キャンセル"),0,IF(IFERROR(INDEX('M_区分'!$B$4:$B$20,MATCH($C20,'M_区分'!$A$4:$A$20,0)),"○")="○",$G20-$E20+1,0))</f>
        <v/>
      </c>
    </row>
    <row r="21">
      <c r="A21" s="8">
        <f>IF($E21="","","SS-"&amp;TEXT(ROW()-4,"0000"))</f>
        <v/>
      </c>
      <c r="B21" s="9" t="n"/>
      <c r="C21" s="9" t="n"/>
      <c r="D21" s="9" t="n"/>
      <c r="E21" s="10" t="n"/>
      <c r="F21" s="11" t="n"/>
      <c r="G21" s="10" t="n"/>
      <c r="H21" s="11" t="n"/>
      <c r="I21" s="8">
        <f>IF(OR($E21="",$G21=""),"",$G21-$E21+1)</f>
        <v/>
      </c>
      <c r="J21" s="8">
        <f>IF(OR($E21="",$G21=""),"",$G21-$E21)</f>
        <v/>
      </c>
      <c r="K21" s="9" t="n"/>
      <c r="L21" s="9" t="n"/>
      <c r="M21" s="9" t="n"/>
      <c r="N21" s="9" t="n"/>
      <c r="O21" s="9" t="n"/>
      <c r="P21" s="9" t="n"/>
      <c r="Q21" s="10" t="n"/>
      <c r="R21" s="9" t="n"/>
      <c r="S21" s="8">
        <f>IF($D21="","",IF(COUNTIF('M_部屋'!$A$4:$A$20,$D21)=0,"⚠部屋が未登録",IF(OR($E21="",$G21="",$K21="キャンセル"),"",IF(SUMPRODUCT(($D$5:$D$204=$D21)*($E$5:$E$204&lt;&gt;"")*($G$5:$G$204&lt;&gt;"")*($K$5:$K$204&lt;&gt;"キャンセル")*($E$5:$E$204&lt;$G21)*($G$5:$G$204&gt;$E21))&gt;1,"⚠重複",""))))</f>
        <v/>
      </c>
      <c r="T21" s="8">
        <f>IF(OR($B21="",$E21=""),"",IF(SUMPRODUCT(('M_利用者'!$A$4:$A$60=$B21)*('M_利用者'!$B$4:$B$60&lt;&gt;""))=0,"",IF(SUMIFS($U$5:$U$204,$B$5:$B$204,$B21,$E$5:$E$204,"&gt;="&amp;DATE(YEAR($E21),MONTH($E21),1),$E$5:$E$204,"&lt;="&amp;EOMONTH($E21,0))&gt;SUMIFS('M_利用者'!$B$4:$B$60,'M_利用者'!$A$4:$A$60,$B21),"⚠支給量超過","")))</f>
        <v/>
      </c>
      <c r="U21" s="8">
        <f>IF(OR($E21="",$G21="",$K21="キャンセル"),0,IF(IFERROR(INDEX('M_区分'!$B$4:$B$20,MATCH($C21,'M_区分'!$A$4:$A$20,0)),"○")="○",$G21-$E21+1,0))</f>
        <v/>
      </c>
    </row>
    <row r="22">
      <c r="A22" s="8">
        <f>IF($E22="","","SS-"&amp;TEXT(ROW()-4,"0000"))</f>
        <v/>
      </c>
      <c r="B22" s="9" t="n"/>
      <c r="C22" s="9" t="n"/>
      <c r="D22" s="9" t="n"/>
      <c r="E22" s="10" t="n"/>
      <c r="F22" s="11" t="n"/>
      <c r="G22" s="10" t="n"/>
      <c r="H22" s="11" t="n"/>
      <c r="I22" s="8">
        <f>IF(OR($E22="",$G22=""),"",$G22-$E22+1)</f>
        <v/>
      </c>
      <c r="J22" s="8">
        <f>IF(OR($E22="",$G22=""),"",$G22-$E22)</f>
        <v/>
      </c>
      <c r="K22" s="9" t="n"/>
      <c r="L22" s="9" t="n"/>
      <c r="M22" s="9" t="n"/>
      <c r="N22" s="9" t="n"/>
      <c r="O22" s="9" t="n"/>
      <c r="P22" s="9" t="n"/>
      <c r="Q22" s="10" t="n"/>
      <c r="R22" s="9" t="n"/>
      <c r="S22" s="8">
        <f>IF($D22="","",IF(COUNTIF('M_部屋'!$A$4:$A$20,$D22)=0,"⚠部屋が未登録",IF(OR($E22="",$G22="",$K22="キャンセル"),"",IF(SUMPRODUCT(($D$5:$D$204=$D22)*($E$5:$E$204&lt;&gt;"")*($G$5:$G$204&lt;&gt;"")*($K$5:$K$204&lt;&gt;"キャンセル")*($E$5:$E$204&lt;$G22)*($G$5:$G$204&gt;$E22))&gt;1,"⚠重複",""))))</f>
        <v/>
      </c>
      <c r="T22" s="8">
        <f>IF(OR($B22="",$E22=""),"",IF(SUMPRODUCT(('M_利用者'!$A$4:$A$60=$B22)*('M_利用者'!$B$4:$B$60&lt;&gt;""))=0,"",IF(SUMIFS($U$5:$U$204,$B$5:$B$204,$B22,$E$5:$E$204,"&gt;="&amp;DATE(YEAR($E22),MONTH($E22),1),$E$5:$E$204,"&lt;="&amp;EOMONTH($E22,0))&gt;SUMIFS('M_利用者'!$B$4:$B$60,'M_利用者'!$A$4:$A$60,$B22),"⚠支給量超過","")))</f>
        <v/>
      </c>
      <c r="U22" s="8">
        <f>IF(OR($E22="",$G22="",$K22="キャンセル"),0,IF(IFERROR(INDEX('M_区分'!$B$4:$B$20,MATCH($C22,'M_区分'!$A$4:$A$20,0)),"○")="○",$G22-$E22+1,0))</f>
        <v/>
      </c>
    </row>
    <row r="23">
      <c r="A23" s="8">
        <f>IF($E23="","","SS-"&amp;TEXT(ROW()-4,"0000"))</f>
        <v/>
      </c>
      <c r="B23" s="9" t="n"/>
      <c r="C23" s="9" t="n"/>
      <c r="D23" s="9" t="n"/>
      <c r="E23" s="10" t="n"/>
      <c r="F23" s="11" t="n"/>
      <c r="G23" s="10" t="n"/>
      <c r="H23" s="11" t="n"/>
      <c r="I23" s="8">
        <f>IF(OR($E23="",$G23=""),"",$G23-$E23+1)</f>
        <v/>
      </c>
      <c r="J23" s="8">
        <f>IF(OR($E23="",$G23=""),"",$G23-$E23)</f>
        <v/>
      </c>
      <c r="K23" s="9" t="n"/>
      <c r="L23" s="9" t="n"/>
      <c r="M23" s="9" t="n"/>
      <c r="N23" s="9" t="n"/>
      <c r="O23" s="9" t="n"/>
      <c r="P23" s="9" t="n"/>
      <c r="Q23" s="10" t="n"/>
      <c r="R23" s="9" t="n"/>
      <c r="S23" s="8">
        <f>IF($D23="","",IF(COUNTIF('M_部屋'!$A$4:$A$20,$D23)=0,"⚠部屋が未登録",IF(OR($E23="",$G23="",$K23="キャンセル"),"",IF(SUMPRODUCT(($D$5:$D$204=$D23)*($E$5:$E$204&lt;&gt;"")*($G$5:$G$204&lt;&gt;"")*($K$5:$K$204&lt;&gt;"キャンセル")*($E$5:$E$204&lt;$G23)*($G$5:$G$204&gt;$E23))&gt;1,"⚠重複",""))))</f>
        <v/>
      </c>
      <c r="T23" s="8">
        <f>IF(OR($B23="",$E23=""),"",IF(SUMPRODUCT(('M_利用者'!$A$4:$A$60=$B23)*('M_利用者'!$B$4:$B$60&lt;&gt;""))=0,"",IF(SUMIFS($U$5:$U$204,$B$5:$B$204,$B23,$E$5:$E$204,"&gt;="&amp;DATE(YEAR($E23),MONTH($E23),1),$E$5:$E$204,"&lt;="&amp;EOMONTH($E23,0))&gt;SUMIFS('M_利用者'!$B$4:$B$60,'M_利用者'!$A$4:$A$60,$B23),"⚠支給量超過","")))</f>
        <v/>
      </c>
      <c r="U23" s="8">
        <f>IF(OR($E23="",$G23="",$K23="キャンセル"),0,IF(IFERROR(INDEX('M_区分'!$B$4:$B$20,MATCH($C23,'M_区分'!$A$4:$A$20,0)),"○")="○",$G23-$E23+1,0))</f>
        <v/>
      </c>
    </row>
    <row r="24">
      <c r="A24" s="8">
        <f>IF($E24="","","SS-"&amp;TEXT(ROW()-4,"0000"))</f>
        <v/>
      </c>
      <c r="B24" s="9" t="n"/>
      <c r="C24" s="9" t="n"/>
      <c r="D24" s="9" t="n"/>
      <c r="E24" s="10" t="n"/>
      <c r="F24" s="11" t="n"/>
      <c r="G24" s="10" t="n"/>
      <c r="H24" s="11" t="n"/>
      <c r="I24" s="8">
        <f>IF(OR($E24="",$G24=""),"",$G24-$E24+1)</f>
        <v/>
      </c>
      <c r="J24" s="8">
        <f>IF(OR($E24="",$G24=""),"",$G24-$E24)</f>
        <v/>
      </c>
      <c r="K24" s="9" t="n"/>
      <c r="L24" s="9" t="n"/>
      <c r="M24" s="9" t="n"/>
      <c r="N24" s="9" t="n"/>
      <c r="O24" s="9" t="n"/>
      <c r="P24" s="9" t="n"/>
      <c r="Q24" s="10" t="n"/>
      <c r="R24" s="9" t="n"/>
      <c r="S24" s="8">
        <f>IF($D24="","",IF(COUNTIF('M_部屋'!$A$4:$A$20,$D24)=0,"⚠部屋が未登録",IF(OR($E24="",$G24="",$K24="キャンセル"),"",IF(SUMPRODUCT(($D$5:$D$204=$D24)*($E$5:$E$204&lt;&gt;"")*($G$5:$G$204&lt;&gt;"")*($K$5:$K$204&lt;&gt;"キャンセル")*($E$5:$E$204&lt;$G24)*($G$5:$G$204&gt;$E24))&gt;1,"⚠重複",""))))</f>
        <v/>
      </c>
      <c r="T24" s="8">
        <f>IF(OR($B24="",$E24=""),"",IF(SUMPRODUCT(('M_利用者'!$A$4:$A$60=$B24)*('M_利用者'!$B$4:$B$60&lt;&gt;""))=0,"",IF(SUMIFS($U$5:$U$204,$B$5:$B$204,$B24,$E$5:$E$204,"&gt;="&amp;DATE(YEAR($E24),MONTH($E24),1),$E$5:$E$204,"&lt;="&amp;EOMONTH($E24,0))&gt;SUMIFS('M_利用者'!$B$4:$B$60,'M_利用者'!$A$4:$A$60,$B24),"⚠支給量超過","")))</f>
        <v/>
      </c>
      <c r="U24" s="8">
        <f>IF(OR($E24="",$G24="",$K24="キャンセル"),0,IF(IFERROR(INDEX('M_区分'!$B$4:$B$20,MATCH($C24,'M_区分'!$A$4:$A$20,0)),"○")="○",$G24-$E24+1,0))</f>
        <v/>
      </c>
    </row>
    <row r="25">
      <c r="A25" s="8">
        <f>IF($E25="","","SS-"&amp;TEXT(ROW()-4,"0000"))</f>
        <v/>
      </c>
      <c r="B25" s="9" t="n"/>
      <c r="C25" s="9" t="n"/>
      <c r="D25" s="9" t="n"/>
      <c r="E25" s="10" t="n"/>
      <c r="F25" s="11" t="n"/>
      <c r="G25" s="10" t="n"/>
      <c r="H25" s="11" t="n"/>
      <c r="I25" s="8">
        <f>IF(OR($E25="",$G25=""),"",$G25-$E25+1)</f>
        <v/>
      </c>
      <c r="J25" s="8">
        <f>IF(OR($E25="",$G25=""),"",$G25-$E25)</f>
        <v/>
      </c>
      <c r="K25" s="9" t="n"/>
      <c r="L25" s="9" t="n"/>
      <c r="M25" s="9" t="n"/>
      <c r="N25" s="9" t="n"/>
      <c r="O25" s="9" t="n"/>
      <c r="P25" s="9" t="n"/>
      <c r="Q25" s="10" t="n"/>
      <c r="R25" s="9" t="n"/>
      <c r="S25" s="8">
        <f>IF($D25="","",IF(COUNTIF('M_部屋'!$A$4:$A$20,$D25)=0,"⚠部屋が未登録",IF(OR($E25="",$G25="",$K25="キャンセル"),"",IF(SUMPRODUCT(($D$5:$D$204=$D25)*($E$5:$E$204&lt;&gt;"")*($G$5:$G$204&lt;&gt;"")*($K$5:$K$204&lt;&gt;"キャンセル")*($E$5:$E$204&lt;$G25)*($G$5:$G$204&gt;$E25))&gt;1,"⚠重複",""))))</f>
        <v/>
      </c>
      <c r="T25" s="8">
        <f>IF(OR($B25="",$E25=""),"",IF(SUMPRODUCT(('M_利用者'!$A$4:$A$60=$B25)*('M_利用者'!$B$4:$B$60&lt;&gt;""))=0,"",IF(SUMIFS($U$5:$U$204,$B$5:$B$204,$B25,$E$5:$E$204,"&gt;="&amp;DATE(YEAR($E25),MONTH($E25),1),$E$5:$E$204,"&lt;="&amp;EOMONTH($E25,0))&gt;SUMIFS('M_利用者'!$B$4:$B$60,'M_利用者'!$A$4:$A$60,$B25),"⚠支給量超過","")))</f>
        <v/>
      </c>
      <c r="U25" s="8">
        <f>IF(OR($E25="",$G25="",$K25="キャンセル"),0,IF(IFERROR(INDEX('M_区分'!$B$4:$B$20,MATCH($C25,'M_区分'!$A$4:$A$20,0)),"○")="○",$G25-$E25+1,0))</f>
        <v/>
      </c>
    </row>
    <row r="26">
      <c r="A26" s="8">
        <f>IF($E26="","","SS-"&amp;TEXT(ROW()-4,"0000"))</f>
        <v/>
      </c>
      <c r="B26" s="9" t="n"/>
      <c r="C26" s="9" t="n"/>
      <c r="D26" s="9" t="n"/>
      <c r="E26" s="10" t="n"/>
      <c r="F26" s="11" t="n"/>
      <c r="G26" s="10" t="n"/>
      <c r="H26" s="11" t="n"/>
      <c r="I26" s="8">
        <f>IF(OR($E26="",$G26=""),"",$G26-$E26+1)</f>
        <v/>
      </c>
      <c r="J26" s="8">
        <f>IF(OR($E26="",$G26=""),"",$G26-$E26)</f>
        <v/>
      </c>
      <c r="K26" s="9" t="n"/>
      <c r="L26" s="9" t="n"/>
      <c r="M26" s="9" t="n"/>
      <c r="N26" s="9" t="n"/>
      <c r="O26" s="9" t="n"/>
      <c r="P26" s="9" t="n"/>
      <c r="Q26" s="10" t="n"/>
      <c r="R26" s="9" t="n"/>
      <c r="S26" s="8">
        <f>IF($D26="","",IF(COUNTIF('M_部屋'!$A$4:$A$20,$D26)=0,"⚠部屋が未登録",IF(OR($E26="",$G26="",$K26="キャンセル"),"",IF(SUMPRODUCT(($D$5:$D$204=$D26)*($E$5:$E$204&lt;&gt;"")*($G$5:$G$204&lt;&gt;"")*($K$5:$K$204&lt;&gt;"キャンセル")*($E$5:$E$204&lt;$G26)*($G$5:$G$204&gt;$E26))&gt;1,"⚠重複",""))))</f>
        <v/>
      </c>
      <c r="T26" s="8">
        <f>IF(OR($B26="",$E26=""),"",IF(SUMPRODUCT(('M_利用者'!$A$4:$A$60=$B26)*('M_利用者'!$B$4:$B$60&lt;&gt;""))=0,"",IF(SUMIFS($U$5:$U$204,$B$5:$B$204,$B26,$E$5:$E$204,"&gt;="&amp;DATE(YEAR($E26),MONTH($E26),1),$E$5:$E$204,"&lt;="&amp;EOMONTH($E26,0))&gt;SUMIFS('M_利用者'!$B$4:$B$60,'M_利用者'!$A$4:$A$60,$B26),"⚠支給量超過","")))</f>
        <v/>
      </c>
      <c r="U26" s="8">
        <f>IF(OR($E26="",$G26="",$K26="キャンセル"),0,IF(IFERROR(INDEX('M_区分'!$B$4:$B$20,MATCH($C26,'M_区分'!$A$4:$A$20,0)),"○")="○",$G26-$E26+1,0))</f>
        <v/>
      </c>
    </row>
    <row r="27">
      <c r="A27" s="8">
        <f>IF($E27="","","SS-"&amp;TEXT(ROW()-4,"0000"))</f>
        <v/>
      </c>
      <c r="B27" s="9" t="n"/>
      <c r="C27" s="9" t="n"/>
      <c r="D27" s="9" t="n"/>
      <c r="E27" s="10" t="n"/>
      <c r="F27" s="11" t="n"/>
      <c r="G27" s="10" t="n"/>
      <c r="H27" s="11" t="n"/>
      <c r="I27" s="8">
        <f>IF(OR($E27="",$G27=""),"",$G27-$E27+1)</f>
        <v/>
      </c>
      <c r="J27" s="8">
        <f>IF(OR($E27="",$G27=""),"",$G27-$E27)</f>
        <v/>
      </c>
      <c r="K27" s="9" t="n"/>
      <c r="L27" s="9" t="n"/>
      <c r="M27" s="9" t="n"/>
      <c r="N27" s="9" t="n"/>
      <c r="O27" s="9" t="n"/>
      <c r="P27" s="9" t="n"/>
      <c r="Q27" s="10" t="n"/>
      <c r="R27" s="9" t="n"/>
      <c r="S27" s="8">
        <f>IF($D27="","",IF(COUNTIF('M_部屋'!$A$4:$A$20,$D27)=0,"⚠部屋が未登録",IF(OR($E27="",$G27="",$K27="キャンセル"),"",IF(SUMPRODUCT(($D$5:$D$204=$D27)*($E$5:$E$204&lt;&gt;"")*($G$5:$G$204&lt;&gt;"")*($K$5:$K$204&lt;&gt;"キャンセル")*($E$5:$E$204&lt;$G27)*($G$5:$G$204&gt;$E27))&gt;1,"⚠重複",""))))</f>
        <v/>
      </c>
      <c r="T27" s="8">
        <f>IF(OR($B27="",$E27=""),"",IF(SUMPRODUCT(('M_利用者'!$A$4:$A$60=$B27)*('M_利用者'!$B$4:$B$60&lt;&gt;""))=0,"",IF(SUMIFS($U$5:$U$204,$B$5:$B$204,$B27,$E$5:$E$204,"&gt;="&amp;DATE(YEAR($E27),MONTH($E27),1),$E$5:$E$204,"&lt;="&amp;EOMONTH($E27,0))&gt;SUMIFS('M_利用者'!$B$4:$B$60,'M_利用者'!$A$4:$A$60,$B27),"⚠支給量超過","")))</f>
        <v/>
      </c>
      <c r="U27" s="8">
        <f>IF(OR($E27="",$G27="",$K27="キャンセル"),0,IF(IFERROR(INDEX('M_区分'!$B$4:$B$20,MATCH($C27,'M_区分'!$A$4:$A$20,0)),"○")="○",$G27-$E27+1,0))</f>
        <v/>
      </c>
    </row>
    <row r="28">
      <c r="A28" s="8">
        <f>IF($E28="","","SS-"&amp;TEXT(ROW()-4,"0000"))</f>
        <v/>
      </c>
      <c r="B28" s="9" t="n"/>
      <c r="C28" s="9" t="n"/>
      <c r="D28" s="9" t="n"/>
      <c r="E28" s="10" t="n"/>
      <c r="F28" s="11" t="n"/>
      <c r="G28" s="10" t="n"/>
      <c r="H28" s="11" t="n"/>
      <c r="I28" s="8">
        <f>IF(OR($E28="",$G28=""),"",$G28-$E28+1)</f>
        <v/>
      </c>
      <c r="J28" s="8">
        <f>IF(OR($E28="",$G28=""),"",$G28-$E28)</f>
        <v/>
      </c>
      <c r="K28" s="9" t="n"/>
      <c r="L28" s="9" t="n"/>
      <c r="M28" s="9" t="n"/>
      <c r="N28" s="9" t="n"/>
      <c r="O28" s="9" t="n"/>
      <c r="P28" s="9" t="n"/>
      <c r="Q28" s="10" t="n"/>
      <c r="R28" s="9" t="n"/>
      <c r="S28" s="8">
        <f>IF($D28="","",IF(COUNTIF('M_部屋'!$A$4:$A$20,$D28)=0,"⚠部屋が未登録",IF(OR($E28="",$G28="",$K28="キャンセル"),"",IF(SUMPRODUCT(($D$5:$D$204=$D28)*($E$5:$E$204&lt;&gt;"")*($G$5:$G$204&lt;&gt;"")*($K$5:$K$204&lt;&gt;"キャンセル")*($E$5:$E$204&lt;$G28)*($G$5:$G$204&gt;$E28))&gt;1,"⚠重複",""))))</f>
        <v/>
      </c>
      <c r="T28" s="8">
        <f>IF(OR($B28="",$E28=""),"",IF(SUMPRODUCT(('M_利用者'!$A$4:$A$60=$B28)*('M_利用者'!$B$4:$B$60&lt;&gt;""))=0,"",IF(SUMIFS($U$5:$U$204,$B$5:$B$204,$B28,$E$5:$E$204,"&gt;="&amp;DATE(YEAR($E28),MONTH($E28),1),$E$5:$E$204,"&lt;="&amp;EOMONTH($E28,0))&gt;SUMIFS('M_利用者'!$B$4:$B$60,'M_利用者'!$A$4:$A$60,$B28),"⚠支給量超過","")))</f>
        <v/>
      </c>
      <c r="U28" s="8">
        <f>IF(OR($E28="",$G28="",$K28="キャンセル"),0,IF(IFERROR(INDEX('M_区分'!$B$4:$B$20,MATCH($C28,'M_区分'!$A$4:$A$20,0)),"○")="○",$G28-$E28+1,0))</f>
        <v/>
      </c>
    </row>
    <row r="29">
      <c r="A29" s="8">
        <f>IF($E29="","","SS-"&amp;TEXT(ROW()-4,"0000"))</f>
        <v/>
      </c>
      <c r="B29" s="9" t="n"/>
      <c r="C29" s="9" t="n"/>
      <c r="D29" s="9" t="n"/>
      <c r="E29" s="10" t="n"/>
      <c r="F29" s="11" t="n"/>
      <c r="G29" s="10" t="n"/>
      <c r="H29" s="11" t="n"/>
      <c r="I29" s="8">
        <f>IF(OR($E29="",$G29=""),"",$G29-$E29+1)</f>
        <v/>
      </c>
      <c r="J29" s="8">
        <f>IF(OR($E29="",$G29=""),"",$G29-$E29)</f>
        <v/>
      </c>
      <c r="K29" s="9" t="n"/>
      <c r="L29" s="9" t="n"/>
      <c r="M29" s="9" t="n"/>
      <c r="N29" s="9" t="n"/>
      <c r="O29" s="9" t="n"/>
      <c r="P29" s="9" t="n"/>
      <c r="Q29" s="10" t="n"/>
      <c r="R29" s="9" t="n"/>
      <c r="S29" s="8">
        <f>IF($D29="","",IF(COUNTIF('M_部屋'!$A$4:$A$20,$D29)=0,"⚠部屋が未登録",IF(OR($E29="",$G29="",$K29="キャンセル"),"",IF(SUMPRODUCT(($D$5:$D$204=$D29)*($E$5:$E$204&lt;&gt;"")*($G$5:$G$204&lt;&gt;"")*($K$5:$K$204&lt;&gt;"キャンセル")*($E$5:$E$204&lt;$G29)*($G$5:$G$204&gt;$E29))&gt;1,"⚠重複",""))))</f>
        <v/>
      </c>
      <c r="T29" s="8">
        <f>IF(OR($B29="",$E29=""),"",IF(SUMPRODUCT(('M_利用者'!$A$4:$A$60=$B29)*('M_利用者'!$B$4:$B$60&lt;&gt;""))=0,"",IF(SUMIFS($U$5:$U$204,$B$5:$B$204,$B29,$E$5:$E$204,"&gt;="&amp;DATE(YEAR($E29),MONTH($E29),1),$E$5:$E$204,"&lt;="&amp;EOMONTH($E29,0))&gt;SUMIFS('M_利用者'!$B$4:$B$60,'M_利用者'!$A$4:$A$60,$B29),"⚠支給量超過","")))</f>
        <v/>
      </c>
      <c r="U29" s="8">
        <f>IF(OR($E29="",$G29="",$K29="キャンセル"),0,IF(IFERROR(INDEX('M_区分'!$B$4:$B$20,MATCH($C29,'M_区分'!$A$4:$A$20,0)),"○")="○",$G29-$E29+1,0))</f>
        <v/>
      </c>
    </row>
    <row r="30">
      <c r="A30" s="8">
        <f>IF($E30="","","SS-"&amp;TEXT(ROW()-4,"0000"))</f>
        <v/>
      </c>
      <c r="B30" s="9" t="n"/>
      <c r="C30" s="9" t="n"/>
      <c r="D30" s="9" t="n"/>
      <c r="E30" s="10" t="n"/>
      <c r="F30" s="11" t="n"/>
      <c r="G30" s="10" t="n"/>
      <c r="H30" s="11" t="n"/>
      <c r="I30" s="8">
        <f>IF(OR($E30="",$G30=""),"",$G30-$E30+1)</f>
        <v/>
      </c>
      <c r="J30" s="8">
        <f>IF(OR($E30="",$G30=""),"",$G30-$E30)</f>
        <v/>
      </c>
      <c r="K30" s="9" t="n"/>
      <c r="L30" s="9" t="n"/>
      <c r="M30" s="9" t="n"/>
      <c r="N30" s="9" t="n"/>
      <c r="O30" s="9" t="n"/>
      <c r="P30" s="9" t="n"/>
      <c r="Q30" s="10" t="n"/>
      <c r="R30" s="9" t="n"/>
      <c r="S30" s="8">
        <f>IF($D30="","",IF(COUNTIF('M_部屋'!$A$4:$A$20,$D30)=0,"⚠部屋が未登録",IF(OR($E30="",$G30="",$K30="キャンセル"),"",IF(SUMPRODUCT(($D$5:$D$204=$D30)*($E$5:$E$204&lt;&gt;"")*($G$5:$G$204&lt;&gt;"")*($K$5:$K$204&lt;&gt;"キャンセル")*($E$5:$E$204&lt;$G30)*($G$5:$G$204&gt;$E30))&gt;1,"⚠重複",""))))</f>
        <v/>
      </c>
      <c r="T30" s="8">
        <f>IF(OR($B30="",$E30=""),"",IF(SUMPRODUCT(('M_利用者'!$A$4:$A$60=$B30)*('M_利用者'!$B$4:$B$60&lt;&gt;""))=0,"",IF(SUMIFS($U$5:$U$204,$B$5:$B$204,$B30,$E$5:$E$204,"&gt;="&amp;DATE(YEAR($E30),MONTH($E30),1),$E$5:$E$204,"&lt;="&amp;EOMONTH($E30,0))&gt;SUMIFS('M_利用者'!$B$4:$B$60,'M_利用者'!$A$4:$A$60,$B30),"⚠支給量超過","")))</f>
        <v/>
      </c>
      <c r="U30" s="8">
        <f>IF(OR($E30="",$G30="",$K30="キャンセル"),0,IF(IFERROR(INDEX('M_区分'!$B$4:$B$20,MATCH($C30,'M_区分'!$A$4:$A$20,0)),"○")="○",$G30-$E30+1,0))</f>
        <v/>
      </c>
    </row>
    <row r="31">
      <c r="A31" s="8">
        <f>IF($E31="","","SS-"&amp;TEXT(ROW()-4,"0000"))</f>
        <v/>
      </c>
      <c r="B31" s="9" t="n"/>
      <c r="C31" s="9" t="n"/>
      <c r="D31" s="9" t="n"/>
      <c r="E31" s="10" t="n"/>
      <c r="F31" s="11" t="n"/>
      <c r="G31" s="10" t="n"/>
      <c r="H31" s="11" t="n"/>
      <c r="I31" s="8">
        <f>IF(OR($E31="",$G31=""),"",$G31-$E31+1)</f>
        <v/>
      </c>
      <c r="J31" s="8">
        <f>IF(OR($E31="",$G31=""),"",$G31-$E31)</f>
        <v/>
      </c>
      <c r="K31" s="9" t="n"/>
      <c r="L31" s="9" t="n"/>
      <c r="M31" s="9" t="n"/>
      <c r="N31" s="9" t="n"/>
      <c r="O31" s="9" t="n"/>
      <c r="P31" s="9" t="n"/>
      <c r="Q31" s="10" t="n"/>
      <c r="R31" s="9" t="n"/>
      <c r="S31" s="8">
        <f>IF($D31="","",IF(COUNTIF('M_部屋'!$A$4:$A$20,$D31)=0,"⚠部屋が未登録",IF(OR($E31="",$G31="",$K31="キャンセル"),"",IF(SUMPRODUCT(($D$5:$D$204=$D31)*($E$5:$E$204&lt;&gt;"")*($G$5:$G$204&lt;&gt;"")*($K$5:$K$204&lt;&gt;"キャンセル")*($E$5:$E$204&lt;$G31)*($G$5:$G$204&gt;$E31))&gt;1,"⚠重複",""))))</f>
        <v/>
      </c>
      <c r="T31" s="8">
        <f>IF(OR($B31="",$E31=""),"",IF(SUMPRODUCT(('M_利用者'!$A$4:$A$60=$B31)*('M_利用者'!$B$4:$B$60&lt;&gt;""))=0,"",IF(SUMIFS($U$5:$U$204,$B$5:$B$204,$B31,$E$5:$E$204,"&gt;="&amp;DATE(YEAR($E31),MONTH($E31),1),$E$5:$E$204,"&lt;="&amp;EOMONTH($E31,0))&gt;SUMIFS('M_利用者'!$B$4:$B$60,'M_利用者'!$A$4:$A$60,$B31),"⚠支給量超過","")))</f>
        <v/>
      </c>
      <c r="U31" s="8">
        <f>IF(OR($E31="",$G31="",$K31="キャンセル"),0,IF(IFERROR(INDEX('M_区分'!$B$4:$B$20,MATCH($C31,'M_区分'!$A$4:$A$20,0)),"○")="○",$G31-$E31+1,0))</f>
        <v/>
      </c>
    </row>
    <row r="32">
      <c r="A32" s="8">
        <f>IF($E32="","","SS-"&amp;TEXT(ROW()-4,"0000"))</f>
        <v/>
      </c>
      <c r="B32" s="9" t="n"/>
      <c r="C32" s="9" t="n"/>
      <c r="D32" s="9" t="n"/>
      <c r="E32" s="10" t="n"/>
      <c r="F32" s="11" t="n"/>
      <c r="G32" s="10" t="n"/>
      <c r="H32" s="11" t="n"/>
      <c r="I32" s="8">
        <f>IF(OR($E32="",$G32=""),"",$G32-$E32+1)</f>
        <v/>
      </c>
      <c r="J32" s="8">
        <f>IF(OR($E32="",$G32=""),"",$G32-$E32)</f>
        <v/>
      </c>
      <c r="K32" s="9" t="n"/>
      <c r="L32" s="9" t="n"/>
      <c r="M32" s="9" t="n"/>
      <c r="N32" s="9" t="n"/>
      <c r="O32" s="9" t="n"/>
      <c r="P32" s="9" t="n"/>
      <c r="Q32" s="10" t="n"/>
      <c r="R32" s="9" t="n"/>
      <c r="S32" s="8">
        <f>IF($D32="","",IF(COUNTIF('M_部屋'!$A$4:$A$20,$D32)=0,"⚠部屋が未登録",IF(OR($E32="",$G32="",$K32="キャンセル"),"",IF(SUMPRODUCT(($D$5:$D$204=$D32)*($E$5:$E$204&lt;&gt;"")*($G$5:$G$204&lt;&gt;"")*($K$5:$K$204&lt;&gt;"キャンセル")*($E$5:$E$204&lt;$G32)*($G$5:$G$204&gt;$E32))&gt;1,"⚠重複",""))))</f>
        <v/>
      </c>
      <c r="T32" s="8">
        <f>IF(OR($B32="",$E32=""),"",IF(SUMPRODUCT(('M_利用者'!$A$4:$A$60=$B32)*('M_利用者'!$B$4:$B$60&lt;&gt;""))=0,"",IF(SUMIFS($U$5:$U$204,$B$5:$B$204,$B32,$E$5:$E$204,"&gt;="&amp;DATE(YEAR($E32),MONTH($E32),1),$E$5:$E$204,"&lt;="&amp;EOMONTH($E32,0))&gt;SUMIFS('M_利用者'!$B$4:$B$60,'M_利用者'!$A$4:$A$60,$B32),"⚠支給量超過","")))</f>
        <v/>
      </c>
      <c r="U32" s="8">
        <f>IF(OR($E32="",$G32="",$K32="キャンセル"),0,IF(IFERROR(INDEX('M_区分'!$B$4:$B$20,MATCH($C32,'M_区分'!$A$4:$A$20,0)),"○")="○",$G32-$E32+1,0))</f>
        <v/>
      </c>
    </row>
    <row r="33">
      <c r="A33" s="8">
        <f>IF($E33="","","SS-"&amp;TEXT(ROW()-4,"0000"))</f>
        <v/>
      </c>
      <c r="B33" s="9" t="n"/>
      <c r="C33" s="9" t="n"/>
      <c r="D33" s="9" t="n"/>
      <c r="E33" s="10" t="n"/>
      <c r="F33" s="11" t="n"/>
      <c r="G33" s="10" t="n"/>
      <c r="H33" s="11" t="n"/>
      <c r="I33" s="8">
        <f>IF(OR($E33="",$G33=""),"",$G33-$E33+1)</f>
        <v/>
      </c>
      <c r="J33" s="8">
        <f>IF(OR($E33="",$G33=""),"",$G33-$E33)</f>
        <v/>
      </c>
      <c r="K33" s="9" t="n"/>
      <c r="L33" s="9" t="n"/>
      <c r="M33" s="9" t="n"/>
      <c r="N33" s="9" t="n"/>
      <c r="O33" s="9" t="n"/>
      <c r="P33" s="9" t="n"/>
      <c r="Q33" s="10" t="n"/>
      <c r="R33" s="9" t="n"/>
      <c r="S33" s="8">
        <f>IF($D33="","",IF(COUNTIF('M_部屋'!$A$4:$A$20,$D33)=0,"⚠部屋が未登録",IF(OR($E33="",$G33="",$K33="キャンセル"),"",IF(SUMPRODUCT(($D$5:$D$204=$D33)*($E$5:$E$204&lt;&gt;"")*($G$5:$G$204&lt;&gt;"")*($K$5:$K$204&lt;&gt;"キャンセル")*($E$5:$E$204&lt;$G33)*($G$5:$G$204&gt;$E33))&gt;1,"⚠重複",""))))</f>
        <v/>
      </c>
      <c r="T33" s="8">
        <f>IF(OR($B33="",$E33=""),"",IF(SUMPRODUCT(('M_利用者'!$A$4:$A$60=$B33)*('M_利用者'!$B$4:$B$60&lt;&gt;""))=0,"",IF(SUMIFS($U$5:$U$204,$B$5:$B$204,$B33,$E$5:$E$204,"&gt;="&amp;DATE(YEAR($E33),MONTH($E33),1),$E$5:$E$204,"&lt;="&amp;EOMONTH($E33,0))&gt;SUMIFS('M_利用者'!$B$4:$B$60,'M_利用者'!$A$4:$A$60,$B33),"⚠支給量超過","")))</f>
        <v/>
      </c>
      <c r="U33" s="8">
        <f>IF(OR($E33="",$G33="",$K33="キャンセル"),0,IF(IFERROR(INDEX('M_区分'!$B$4:$B$20,MATCH($C33,'M_区分'!$A$4:$A$20,0)),"○")="○",$G33-$E33+1,0))</f>
        <v/>
      </c>
    </row>
    <row r="34">
      <c r="A34" s="8">
        <f>IF($E34="","","SS-"&amp;TEXT(ROW()-4,"0000"))</f>
        <v/>
      </c>
      <c r="B34" s="9" t="n"/>
      <c r="C34" s="9" t="n"/>
      <c r="D34" s="9" t="n"/>
      <c r="E34" s="10" t="n"/>
      <c r="F34" s="11" t="n"/>
      <c r="G34" s="10" t="n"/>
      <c r="H34" s="11" t="n"/>
      <c r="I34" s="8">
        <f>IF(OR($E34="",$G34=""),"",$G34-$E34+1)</f>
        <v/>
      </c>
      <c r="J34" s="8">
        <f>IF(OR($E34="",$G34=""),"",$G34-$E34)</f>
        <v/>
      </c>
      <c r="K34" s="9" t="n"/>
      <c r="L34" s="9" t="n"/>
      <c r="M34" s="9" t="n"/>
      <c r="N34" s="9" t="n"/>
      <c r="O34" s="9" t="n"/>
      <c r="P34" s="9" t="n"/>
      <c r="Q34" s="10" t="n"/>
      <c r="R34" s="9" t="n"/>
      <c r="S34" s="8">
        <f>IF($D34="","",IF(COUNTIF('M_部屋'!$A$4:$A$20,$D34)=0,"⚠部屋が未登録",IF(OR($E34="",$G34="",$K34="キャンセル"),"",IF(SUMPRODUCT(($D$5:$D$204=$D34)*($E$5:$E$204&lt;&gt;"")*($G$5:$G$204&lt;&gt;"")*($K$5:$K$204&lt;&gt;"キャンセル")*($E$5:$E$204&lt;$G34)*($G$5:$G$204&gt;$E34))&gt;1,"⚠重複",""))))</f>
        <v/>
      </c>
      <c r="T34" s="8">
        <f>IF(OR($B34="",$E34=""),"",IF(SUMPRODUCT(('M_利用者'!$A$4:$A$60=$B34)*('M_利用者'!$B$4:$B$60&lt;&gt;""))=0,"",IF(SUMIFS($U$5:$U$204,$B$5:$B$204,$B34,$E$5:$E$204,"&gt;="&amp;DATE(YEAR($E34),MONTH($E34),1),$E$5:$E$204,"&lt;="&amp;EOMONTH($E34,0))&gt;SUMIFS('M_利用者'!$B$4:$B$60,'M_利用者'!$A$4:$A$60,$B34),"⚠支給量超過","")))</f>
        <v/>
      </c>
      <c r="U34" s="8">
        <f>IF(OR($E34="",$G34="",$K34="キャンセル"),0,IF(IFERROR(INDEX('M_区分'!$B$4:$B$20,MATCH($C34,'M_区分'!$A$4:$A$20,0)),"○")="○",$G34-$E34+1,0))</f>
        <v/>
      </c>
    </row>
    <row r="35">
      <c r="A35" s="8">
        <f>IF($E35="","","SS-"&amp;TEXT(ROW()-4,"0000"))</f>
        <v/>
      </c>
      <c r="B35" s="9" t="n"/>
      <c r="C35" s="9" t="n"/>
      <c r="D35" s="9" t="n"/>
      <c r="E35" s="10" t="n"/>
      <c r="F35" s="11" t="n"/>
      <c r="G35" s="10" t="n"/>
      <c r="H35" s="11" t="n"/>
      <c r="I35" s="8">
        <f>IF(OR($E35="",$G35=""),"",$G35-$E35+1)</f>
        <v/>
      </c>
      <c r="J35" s="8">
        <f>IF(OR($E35="",$G35=""),"",$G35-$E35)</f>
        <v/>
      </c>
      <c r="K35" s="9" t="n"/>
      <c r="L35" s="9" t="n"/>
      <c r="M35" s="9" t="n"/>
      <c r="N35" s="9" t="n"/>
      <c r="O35" s="9" t="n"/>
      <c r="P35" s="9" t="n"/>
      <c r="Q35" s="10" t="n"/>
      <c r="R35" s="9" t="n"/>
      <c r="S35" s="8">
        <f>IF($D35="","",IF(COUNTIF('M_部屋'!$A$4:$A$20,$D35)=0,"⚠部屋が未登録",IF(OR($E35="",$G35="",$K35="キャンセル"),"",IF(SUMPRODUCT(($D$5:$D$204=$D35)*($E$5:$E$204&lt;&gt;"")*($G$5:$G$204&lt;&gt;"")*($K$5:$K$204&lt;&gt;"キャンセル")*($E$5:$E$204&lt;$G35)*($G$5:$G$204&gt;$E35))&gt;1,"⚠重複",""))))</f>
        <v/>
      </c>
      <c r="T35" s="8">
        <f>IF(OR($B35="",$E35=""),"",IF(SUMPRODUCT(('M_利用者'!$A$4:$A$60=$B35)*('M_利用者'!$B$4:$B$60&lt;&gt;""))=0,"",IF(SUMIFS($U$5:$U$204,$B$5:$B$204,$B35,$E$5:$E$204,"&gt;="&amp;DATE(YEAR($E35),MONTH($E35),1),$E$5:$E$204,"&lt;="&amp;EOMONTH($E35,0))&gt;SUMIFS('M_利用者'!$B$4:$B$60,'M_利用者'!$A$4:$A$60,$B35),"⚠支給量超過","")))</f>
        <v/>
      </c>
      <c r="U35" s="8">
        <f>IF(OR($E35="",$G35="",$K35="キャンセル"),0,IF(IFERROR(INDEX('M_区分'!$B$4:$B$20,MATCH($C35,'M_区分'!$A$4:$A$20,0)),"○")="○",$G35-$E35+1,0))</f>
        <v/>
      </c>
    </row>
    <row r="36">
      <c r="A36" s="8">
        <f>IF($E36="","","SS-"&amp;TEXT(ROW()-4,"0000"))</f>
        <v/>
      </c>
      <c r="B36" s="9" t="n"/>
      <c r="C36" s="9" t="n"/>
      <c r="D36" s="9" t="n"/>
      <c r="E36" s="10" t="n"/>
      <c r="F36" s="11" t="n"/>
      <c r="G36" s="10" t="n"/>
      <c r="H36" s="11" t="n"/>
      <c r="I36" s="8">
        <f>IF(OR($E36="",$G36=""),"",$G36-$E36+1)</f>
        <v/>
      </c>
      <c r="J36" s="8">
        <f>IF(OR($E36="",$G36=""),"",$G36-$E36)</f>
        <v/>
      </c>
      <c r="K36" s="9" t="n"/>
      <c r="L36" s="9" t="n"/>
      <c r="M36" s="9" t="n"/>
      <c r="N36" s="9" t="n"/>
      <c r="O36" s="9" t="n"/>
      <c r="P36" s="9" t="n"/>
      <c r="Q36" s="10" t="n"/>
      <c r="R36" s="9" t="n"/>
      <c r="S36" s="8">
        <f>IF($D36="","",IF(COUNTIF('M_部屋'!$A$4:$A$20,$D36)=0,"⚠部屋が未登録",IF(OR($E36="",$G36="",$K36="キャンセル"),"",IF(SUMPRODUCT(($D$5:$D$204=$D36)*($E$5:$E$204&lt;&gt;"")*($G$5:$G$204&lt;&gt;"")*($K$5:$K$204&lt;&gt;"キャンセル")*($E$5:$E$204&lt;$G36)*($G$5:$G$204&gt;$E36))&gt;1,"⚠重複",""))))</f>
        <v/>
      </c>
      <c r="T36" s="8">
        <f>IF(OR($B36="",$E36=""),"",IF(SUMPRODUCT(('M_利用者'!$A$4:$A$60=$B36)*('M_利用者'!$B$4:$B$60&lt;&gt;""))=0,"",IF(SUMIFS($U$5:$U$204,$B$5:$B$204,$B36,$E$5:$E$204,"&gt;="&amp;DATE(YEAR($E36),MONTH($E36),1),$E$5:$E$204,"&lt;="&amp;EOMONTH($E36,0))&gt;SUMIFS('M_利用者'!$B$4:$B$60,'M_利用者'!$A$4:$A$60,$B36),"⚠支給量超過","")))</f>
        <v/>
      </c>
      <c r="U36" s="8">
        <f>IF(OR($E36="",$G36="",$K36="キャンセル"),0,IF(IFERROR(INDEX('M_区分'!$B$4:$B$20,MATCH($C36,'M_区分'!$A$4:$A$20,0)),"○")="○",$G36-$E36+1,0))</f>
        <v/>
      </c>
    </row>
    <row r="37">
      <c r="A37" s="8">
        <f>IF($E37="","","SS-"&amp;TEXT(ROW()-4,"0000"))</f>
        <v/>
      </c>
      <c r="B37" s="9" t="n"/>
      <c r="C37" s="9" t="n"/>
      <c r="D37" s="9" t="n"/>
      <c r="E37" s="10" t="n"/>
      <c r="F37" s="11" t="n"/>
      <c r="G37" s="10" t="n"/>
      <c r="H37" s="11" t="n"/>
      <c r="I37" s="8">
        <f>IF(OR($E37="",$G37=""),"",$G37-$E37+1)</f>
        <v/>
      </c>
      <c r="J37" s="8">
        <f>IF(OR($E37="",$G37=""),"",$G37-$E37)</f>
        <v/>
      </c>
      <c r="K37" s="9" t="n"/>
      <c r="L37" s="9" t="n"/>
      <c r="M37" s="9" t="n"/>
      <c r="N37" s="9" t="n"/>
      <c r="O37" s="9" t="n"/>
      <c r="P37" s="9" t="n"/>
      <c r="Q37" s="10" t="n"/>
      <c r="R37" s="9" t="n"/>
      <c r="S37" s="8">
        <f>IF($D37="","",IF(COUNTIF('M_部屋'!$A$4:$A$20,$D37)=0,"⚠部屋が未登録",IF(OR($E37="",$G37="",$K37="キャンセル"),"",IF(SUMPRODUCT(($D$5:$D$204=$D37)*($E$5:$E$204&lt;&gt;"")*($G$5:$G$204&lt;&gt;"")*($K$5:$K$204&lt;&gt;"キャンセル")*($E$5:$E$204&lt;$G37)*($G$5:$G$204&gt;$E37))&gt;1,"⚠重複",""))))</f>
        <v/>
      </c>
      <c r="T37" s="8">
        <f>IF(OR($B37="",$E37=""),"",IF(SUMPRODUCT(('M_利用者'!$A$4:$A$60=$B37)*('M_利用者'!$B$4:$B$60&lt;&gt;""))=0,"",IF(SUMIFS($U$5:$U$204,$B$5:$B$204,$B37,$E$5:$E$204,"&gt;="&amp;DATE(YEAR($E37),MONTH($E37),1),$E$5:$E$204,"&lt;="&amp;EOMONTH($E37,0))&gt;SUMIFS('M_利用者'!$B$4:$B$60,'M_利用者'!$A$4:$A$60,$B37),"⚠支給量超過","")))</f>
        <v/>
      </c>
      <c r="U37" s="8">
        <f>IF(OR($E37="",$G37="",$K37="キャンセル"),0,IF(IFERROR(INDEX('M_区分'!$B$4:$B$20,MATCH($C37,'M_区分'!$A$4:$A$20,0)),"○")="○",$G37-$E37+1,0))</f>
        <v/>
      </c>
    </row>
    <row r="38">
      <c r="A38" s="8">
        <f>IF($E38="","","SS-"&amp;TEXT(ROW()-4,"0000"))</f>
        <v/>
      </c>
      <c r="B38" s="9" t="n"/>
      <c r="C38" s="9" t="n"/>
      <c r="D38" s="9" t="n"/>
      <c r="E38" s="10" t="n"/>
      <c r="F38" s="11" t="n"/>
      <c r="G38" s="10" t="n"/>
      <c r="H38" s="11" t="n"/>
      <c r="I38" s="8">
        <f>IF(OR($E38="",$G38=""),"",$G38-$E38+1)</f>
        <v/>
      </c>
      <c r="J38" s="8">
        <f>IF(OR($E38="",$G38=""),"",$G38-$E38)</f>
        <v/>
      </c>
      <c r="K38" s="9" t="n"/>
      <c r="L38" s="9" t="n"/>
      <c r="M38" s="9" t="n"/>
      <c r="N38" s="9" t="n"/>
      <c r="O38" s="9" t="n"/>
      <c r="P38" s="9" t="n"/>
      <c r="Q38" s="10" t="n"/>
      <c r="R38" s="9" t="n"/>
      <c r="S38" s="8">
        <f>IF($D38="","",IF(COUNTIF('M_部屋'!$A$4:$A$20,$D38)=0,"⚠部屋が未登録",IF(OR($E38="",$G38="",$K38="キャンセル"),"",IF(SUMPRODUCT(($D$5:$D$204=$D38)*($E$5:$E$204&lt;&gt;"")*($G$5:$G$204&lt;&gt;"")*($K$5:$K$204&lt;&gt;"キャンセル")*($E$5:$E$204&lt;$G38)*($G$5:$G$204&gt;$E38))&gt;1,"⚠重複",""))))</f>
        <v/>
      </c>
      <c r="T38" s="8">
        <f>IF(OR($B38="",$E38=""),"",IF(SUMPRODUCT(('M_利用者'!$A$4:$A$60=$B38)*('M_利用者'!$B$4:$B$60&lt;&gt;""))=0,"",IF(SUMIFS($U$5:$U$204,$B$5:$B$204,$B38,$E$5:$E$204,"&gt;="&amp;DATE(YEAR($E38),MONTH($E38),1),$E$5:$E$204,"&lt;="&amp;EOMONTH($E38,0))&gt;SUMIFS('M_利用者'!$B$4:$B$60,'M_利用者'!$A$4:$A$60,$B38),"⚠支給量超過","")))</f>
        <v/>
      </c>
      <c r="U38" s="8">
        <f>IF(OR($E38="",$G38="",$K38="キャンセル"),0,IF(IFERROR(INDEX('M_区分'!$B$4:$B$20,MATCH($C38,'M_区分'!$A$4:$A$20,0)),"○")="○",$G38-$E38+1,0))</f>
        <v/>
      </c>
    </row>
    <row r="39">
      <c r="A39" s="8">
        <f>IF($E39="","","SS-"&amp;TEXT(ROW()-4,"0000"))</f>
        <v/>
      </c>
      <c r="B39" s="9" t="n"/>
      <c r="C39" s="9" t="n"/>
      <c r="D39" s="9" t="n"/>
      <c r="E39" s="10" t="n"/>
      <c r="F39" s="11" t="n"/>
      <c r="G39" s="10" t="n"/>
      <c r="H39" s="11" t="n"/>
      <c r="I39" s="8">
        <f>IF(OR($E39="",$G39=""),"",$G39-$E39+1)</f>
        <v/>
      </c>
      <c r="J39" s="8">
        <f>IF(OR($E39="",$G39=""),"",$G39-$E39)</f>
        <v/>
      </c>
      <c r="K39" s="9" t="n"/>
      <c r="L39" s="9" t="n"/>
      <c r="M39" s="9" t="n"/>
      <c r="N39" s="9" t="n"/>
      <c r="O39" s="9" t="n"/>
      <c r="P39" s="9" t="n"/>
      <c r="Q39" s="10" t="n"/>
      <c r="R39" s="9" t="n"/>
      <c r="S39" s="8">
        <f>IF($D39="","",IF(COUNTIF('M_部屋'!$A$4:$A$20,$D39)=0,"⚠部屋が未登録",IF(OR($E39="",$G39="",$K39="キャンセル"),"",IF(SUMPRODUCT(($D$5:$D$204=$D39)*($E$5:$E$204&lt;&gt;"")*($G$5:$G$204&lt;&gt;"")*($K$5:$K$204&lt;&gt;"キャンセル")*($E$5:$E$204&lt;$G39)*($G$5:$G$204&gt;$E39))&gt;1,"⚠重複",""))))</f>
        <v/>
      </c>
      <c r="T39" s="8">
        <f>IF(OR($B39="",$E39=""),"",IF(SUMPRODUCT(('M_利用者'!$A$4:$A$60=$B39)*('M_利用者'!$B$4:$B$60&lt;&gt;""))=0,"",IF(SUMIFS($U$5:$U$204,$B$5:$B$204,$B39,$E$5:$E$204,"&gt;="&amp;DATE(YEAR($E39),MONTH($E39),1),$E$5:$E$204,"&lt;="&amp;EOMONTH($E39,0))&gt;SUMIFS('M_利用者'!$B$4:$B$60,'M_利用者'!$A$4:$A$60,$B39),"⚠支給量超過","")))</f>
        <v/>
      </c>
      <c r="U39" s="8">
        <f>IF(OR($E39="",$G39="",$K39="キャンセル"),0,IF(IFERROR(INDEX('M_区分'!$B$4:$B$20,MATCH($C39,'M_区分'!$A$4:$A$20,0)),"○")="○",$G39-$E39+1,0))</f>
        <v/>
      </c>
    </row>
    <row r="40">
      <c r="A40" s="8">
        <f>IF($E40="","","SS-"&amp;TEXT(ROW()-4,"0000"))</f>
        <v/>
      </c>
      <c r="B40" s="9" t="n"/>
      <c r="C40" s="9" t="n"/>
      <c r="D40" s="9" t="n"/>
      <c r="E40" s="10" t="n"/>
      <c r="F40" s="11" t="n"/>
      <c r="G40" s="10" t="n"/>
      <c r="H40" s="11" t="n"/>
      <c r="I40" s="8">
        <f>IF(OR($E40="",$G40=""),"",$G40-$E40+1)</f>
        <v/>
      </c>
      <c r="J40" s="8">
        <f>IF(OR($E40="",$G40=""),"",$G40-$E40)</f>
        <v/>
      </c>
      <c r="K40" s="9" t="n"/>
      <c r="L40" s="9" t="n"/>
      <c r="M40" s="9" t="n"/>
      <c r="N40" s="9" t="n"/>
      <c r="O40" s="9" t="n"/>
      <c r="P40" s="9" t="n"/>
      <c r="Q40" s="10" t="n"/>
      <c r="R40" s="9" t="n"/>
      <c r="S40" s="8">
        <f>IF($D40="","",IF(COUNTIF('M_部屋'!$A$4:$A$20,$D40)=0,"⚠部屋が未登録",IF(OR($E40="",$G40="",$K40="キャンセル"),"",IF(SUMPRODUCT(($D$5:$D$204=$D40)*($E$5:$E$204&lt;&gt;"")*($G$5:$G$204&lt;&gt;"")*($K$5:$K$204&lt;&gt;"キャンセル")*($E$5:$E$204&lt;$G40)*($G$5:$G$204&gt;$E40))&gt;1,"⚠重複",""))))</f>
        <v/>
      </c>
      <c r="T40" s="8">
        <f>IF(OR($B40="",$E40=""),"",IF(SUMPRODUCT(('M_利用者'!$A$4:$A$60=$B40)*('M_利用者'!$B$4:$B$60&lt;&gt;""))=0,"",IF(SUMIFS($U$5:$U$204,$B$5:$B$204,$B40,$E$5:$E$204,"&gt;="&amp;DATE(YEAR($E40),MONTH($E40),1),$E$5:$E$204,"&lt;="&amp;EOMONTH($E40,0))&gt;SUMIFS('M_利用者'!$B$4:$B$60,'M_利用者'!$A$4:$A$60,$B40),"⚠支給量超過","")))</f>
        <v/>
      </c>
      <c r="U40" s="8">
        <f>IF(OR($E40="",$G40="",$K40="キャンセル"),0,IF(IFERROR(INDEX('M_区分'!$B$4:$B$20,MATCH($C40,'M_区分'!$A$4:$A$20,0)),"○")="○",$G40-$E40+1,0))</f>
        <v/>
      </c>
    </row>
    <row r="41">
      <c r="A41" s="8">
        <f>IF($E41="","","SS-"&amp;TEXT(ROW()-4,"0000"))</f>
        <v/>
      </c>
      <c r="B41" s="9" t="n"/>
      <c r="C41" s="9" t="n"/>
      <c r="D41" s="9" t="n"/>
      <c r="E41" s="10" t="n"/>
      <c r="F41" s="11" t="n"/>
      <c r="G41" s="10" t="n"/>
      <c r="H41" s="11" t="n"/>
      <c r="I41" s="8">
        <f>IF(OR($E41="",$G41=""),"",$G41-$E41+1)</f>
        <v/>
      </c>
      <c r="J41" s="8">
        <f>IF(OR($E41="",$G41=""),"",$G41-$E41)</f>
        <v/>
      </c>
      <c r="K41" s="9" t="n"/>
      <c r="L41" s="9" t="n"/>
      <c r="M41" s="9" t="n"/>
      <c r="N41" s="9" t="n"/>
      <c r="O41" s="9" t="n"/>
      <c r="P41" s="9" t="n"/>
      <c r="Q41" s="10" t="n"/>
      <c r="R41" s="9" t="n"/>
      <c r="S41" s="8">
        <f>IF($D41="","",IF(COUNTIF('M_部屋'!$A$4:$A$20,$D41)=0,"⚠部屋が未登録",IF(OR($E41="",$G41="",$K41="キャンセル"),"",IF(SUMPRODUCT(($D$5:$D$204=$D41)*($E$5:$E$204&lt;&gt;"")*($G$5:$G$204&lt;&gt;"")*($K$5:$K$204&lt;&gt;"キャンセル")*($E$5:$E$204&lt;$G41)*($G$5:$G$204&gt;$E41))&gt;1,"⚠重複",""))))</f>
        <v/>
      </c>
      <c r="T41" s="8">
        <f>IF(OR($B41="",$E41=""),"",IF(SUMPRODUCT(('M_利用者'!$A$4:$A$60=$B41)*('M_利用者'!$B$4:$B$60&lt;&gt;""))=0,"",IF(SUMIFS($U$5:$U$204,$B$5:$B$204,$B41,$E$5:$E$204,"&gt;="&amp;DATE(YEAR($E41),MONTH($E41),1),$E$5:$E$204,"&lt;="&amp;EOMONTH($E41,0))&gt;SUMIFS('M_利用者'!$B$4:$B$60,'M_利用者'!$A$4:$A$60,$B41),"⚠支給量超過","")))</f>
        <v/>
      </c>
      <c r="U41" s="8">
        <f>IF(OR($E41="",$G41="",$K41="キャンセル"),0,IF(IFERROR(INDEX('M_区分'!$B$4:$B$20,MATCH($C41,'M_区分'!$A$4:$A$20,0)),"○")="○",$G41-$E41+1,0))</f>
        <v/>
      </c>
    </row>
    <row r="42">
      <c r="A42" s="8">
        <f>IF($E42="","","SS-"&amp;TEXT(ROW()-4,"0000"))</f>
        <v/>
      </c>
      <c r="B42" s="9" t="n"/>
      <c r="C42" s="9" t="n"/>
      <c r="D42" s="9" t="n"/>
      <c r="E42" s="10" t="n"/>
      <c r="F42" s="11" t="n"/>
      <c r="G42" s="10" t="n"/>
      <c r="H42" s="11" t="n"/>
      <c r="I42" s="8">
        <f>IF(OR($E42="",$G42=""),"",$G42-$E42+1)</f>
        <v/>
      </c>
      <c r="J42" s="8">
        <f>IF(OR($E42="",$G42=""),"",$G42-$E42)</f>
        <v/>
      </c>
      <c r="K42" s="9" t="n"/>
      <c r="L42" s="9" t="n"/>
      <c r="M42" s="9" t="n"/>
      <c r="N42" s="9" t="n"/>
      <c r="O42" s="9" t="n"/>
      <c r="P42" s="9" t="n"/>
      <c r="Q42" s="10" t="n"/>
      <c r="R42" s="9" t="n"/>
      <c r="S42" s="8">
        <f>IF($D42="","",IF(COUNTIF('M_部屋'!$A$4:$A$20,$D42)=0,"⚠部屋が未登録",IF(OR($E42="",$G42="",$K42="キャンセル"),"",IF(SUMPRODUCT(($D$5:$D$204=$D42)*($E$5:$E$204&lt;&gt;"")*($G$5:$G$204&lt;&gt;"")*($K$5:$K$204&lt;&gt;"キャンセル")*($E$5:$E$204&lt;$G42)*($G$5:$G$204&gt;$E42))&gt;1,"⚠重複",""))))</f>
        <v/>
      </c>
      <c r="T42" s="8">
        <f>IF(OR($B42="",$E42=""),"",IF(SUMPRODUCT(('M_利用者'!$A$4:$A$60=$B42)*('M_利用者'!$B$4:$B$60&lt;&gt;""))=0,"",IF(SUMIFS($U$5:$U$204,$B$5:$B$204,$B42,$E$5:$E$204,"&gt;="&amp;DATE(YEAR($E42),MONTH($E42),1),$E$5:$E$204,"&lt;="&amp;EOMONTH($E42,0))&gt;SUMIFS('M_利用者'!$B$4:$B$60,'M_利用者'!$A$4:$A$60,$B42),"⚠支給量超過","")))</f>
        <v/>
      </c>
      <c r="U42" s="8">
        <f>IF(OR($E42="",$G42="",$K42="キャンセル"),0,IF(IFERROR(INDEX('M_区分'!$B$4:$B$20,MATCH($C42,'M_区分'!$A$4:$A$20,0)),"○")="○",$G42-$E42+1,0))</f>
        <v/>
      </c>
    </row>
    <row r="43">
      <c r="A43" s="8">
        <f>IF($E43="","","SS-"&amp;TEXT(ROW()-4,"0000"))</f>
        <v/>
      </c>
      <c r="B43" s="9" t="n"/>
      <c r="C43" s="9" t="n"/>
      <c r="D43" s="9" t="n"/>
      <c r="E43" s="10" t="n"/>
      <c r="F43" s="11" t="n"/>
      <c r="G43" s="10" t="n"/>
      <c r="H43" s="11" t="n"/>
      <c r="I43" s="8">
        <f>IF(OR($E43="",$G43=""),"",$G43-$E43+1)</f>
        <v/>
      </c>
      <c r="J43" s="8">
        <f>IF(OR($E43="",$G43=""),"",$G43-$E43)</f>
        <v/>
      </c>
      <c r="K43" s="9" t="n"/>
      <c r="L43" s="9" t="n"/>
      <c r="M43" s="9" t="n"/>
      <c r="N43" s="9" t="n"/>
      <c r="O43" s="9" t="n"/>
      <c r="P43" s="9" t="n"/>
      <c r="Q43" s="10" t="n"/>
      <c r="R43" s="9" t="n"/>
      <c r="S43" s="8">
        <f>IF($D43="","",IF(COUNTIF('M_部屋'!$A$4:$A$20,$D43)=0,"⚠部屋が未登録",IF(OR($E43="",$G43="",$K43="キャンセル"),"",IF(SUMPRODUCT(($D$5:$D$204=$D43)*($E$5:$E$204&lt;&gt;"")*($G$5:$G$204&lt;&gt;"")*($K$5:$K$204&lt;&gt;"キャンセル")*($E$5:$E$204&lt;$G43)*($G$5:$G$204&gt;$E43))&gt;1,"⚠重複",""))))</f>
        <v/>
      </c>
      <c r="T43" s="8">
        <f>IF(OR($B43="",$E43=""),"",IF(SUMPRODUCT(('M_利用者'!$A$4:$A$60=$B43)*('M_利用者'!$B$4:$B$60&lt;&gt;""))=0,"",IF(SUMIFS($U$5:$U$204,$B$5:$B$204,$B43,$E$5:$E$204,"&gt;="&amp;DATE(YEAR($E43),MONTH($E43),1),$E$5:$E$204,"&lt;="&amp;EOMONTH($E43,0))&gt;SUMIFS('M_利用者'!$B$4:$B$60,'M_利用者'!$A$4:$A$60,$B43),"⚠支給量超過","")))</f>
        <v/>
      </c>
      <c r="U43" s="8">
        <f>IF(OR($E43="",$G43="",$K43="キャンセル"),0,IF(IFERROR(INDEX('M_区分'!$B$4:$B$20,MATCH($C43,'M_区分'!$A$4:$A$20,0)),"○")="○",$G43-$E43+1,0))</f>
        <v/>
      </c>
    </row>
    <row r="44">
      <c r="A44" s="8">
        <f>IF($E44="","","SS-"&amp;TEXT(ROW()-4,"0000"))</f>
        <v/>
      </c>
      <c r="B44" s="9" t="n"/>
      <c r="C44" s="9" t="n"/>
      <c r="D44" s="9" t="n"/>
      <c r="E44" s="10" t="n"/>
      <c r="F44" s="11" t="n"/>
      <c r="G44" s="10" t="n"/>
      <c r="H44" s="11" t="n"/>
      <c r="I44" s="8">
        <f>IF(OR($E44="",$G44=""),"",$G44-$E44+1)</f>
        <v/>
      </c>
      <c r="J44" s="8">
        <f>IF(OR($E44="",$G44=""),"",$G44-$E44)</f>
        <v/>
      </c>
      <c r="K44" s="9" t="n"/>
      <c r="L44" s="9" t="n"/>
      <c r="M44" s="9" t="n"/>
      <c r="N44" s="9" t="n"/>
      <c r="O44" s="9" t="n"/>
      <c r="P44" s="9" t="n"/>
      <c r="Q44" s="10" t="n"/>
      <c r="R44" s="9" t="n"/>
      <c r="S44" s="8">
        <f>IF($D44="","",IF(COUNTIF('M_部屋'!$A$4:$A$20,$D44)=0,"⚠部屋が未登録",IF(OR($E44="",$G44="",$K44="キャンセル"),"",IF(SUMPRODUCT(($D$5:$D$204=$D44)*($E$5:$E$204&lt;&gt;"")*($G$5:$G$204&lt;&gt;"")*($K$5:$K$204&lt;&gt;"キャンセル")*($E$5:$E$204&lt;$G44)*($G$5:$G$204&gt;$E44))&gt;1,"⚠重複",""))))</f>
        <v/>
      </c>
      <c r="T44" s="8">
        <f>IF(OR($B44="",$E44=""),"",IF(SUMPRODUCT(('M_利用者'!$A$4:$A$60=$B44)*('M_利用者'!$B$4:$B$60&lt;&gt;""))=0,"",IF(SUMIFS($U$5:$U$204,$B$5:$B$204,$B44,$E$5:$E$204,"&gt;="&amp;DATE(YEAR($E44),MONTH($E44),1),$E$5:$E$204,"&lt;="&amp;EOMONTH($E44,0))&gt;SUMIFS('M_利用者'!$B$4:$B$60,'M_利用者'!$A$4:$A$60,$B44),"⚠支給量超過","")))</f>
        <v/>
      </c>
      <c r="U44" s="8">
        <f>IF(OR($E44="",$G44="",$K44="キャンセル"),0,IF(IFERROR(INDEX('M_区分'!$B$4:$B$20,MATCH($C44,'M_区分'!$A$4:$A$20,0)),"○")="○",$G44-$E44+1,0))</f>
        <v/>
      </c>
    </row>
    <row r="45">
      <c r="A45" s="8">
        <f>IF($E45="","","SS-"&amp;TEXT(ROW()-4,"0000"))</f>
        <v/>
      </c>
      <c r="B45" s="9" t="n"/>
      <c r="C45" s="9" t="n"/>
      <c r="D45" s="9" t="n"/>
      <c r="E45" s="10" t="n"/>
      <c r="F45" s="11" t="n"/>
      <c r="G45" s="10" t="n"/>
      <c r="H45" s="11" t="n"/>
      <c r="I45" s="8">
        <f>IF(OR($E45="",$G45=""),"",$G45-$E45+1)</f>
        <v/>
      </c>
      <c r="J45" s="8">
        <f>IF(OR($E45="",$G45=""),"",$G45-$E45)</f>
        <v/>
      </c>
      <c r="K45" s="9" t="n"/>
      <c r="L45" s="9" t="n"/>
      <c r="M45" s="9" t="n"/>
      <c r="N45" s="9" t="n"/>
      <c r="O45" s="9" t="n"/>
      <c r="P45" s="9" t="n"/>
      <c r="Q45" s="10" t="n"/>
      <c r="R45" s="9" t="n"/>
      <c r="S45" s="8">
        <f>IF($D45="","",IF(COUNTIF('M_部屋'!$A$4:$A$20,$D45)=0,"⚠部屋が未登録",IF(OR($E45="",$G45="",$K45="キャンセル"),"",IF(SUMPRODUCT(($D$5:$D$204=$D45)*($E$5:$E$204&lt;&gt;"")*($G$5:$G$204&lt;&gt;"")*($K$5:$K$204&lt;&gt;"キャンセル")*($E$5:$E$204&lt;$G45)*($G$5:$G$204&gt;$E45))&gt;1,"⚠重複",""))))</f>
        <v/>
      </c>
      <c r="T45" s="8">
        <f>IF(OR($B45="",$E45=""),"",IF(SUMPRODUCT(('M_利用者'!$A$4:$A$60=$B45)*('M_利用者'!$B$4:$B$60&lt;&gt;""))=0,"",IF(SUMIFS($U$5:$U$204,$B$5:$B$204,$B45,$E$5:$E$204,"&gt;="&amp;DATE(YEAR($E45),MONTH($E45),1),$E$5:$E$204,"&lt;="&amp;EOMONTH($E45,0))&gt;SUMIFS('M_利用者'!$B$4:$B$60,'M_利用者'!$A$4:$A$60,$B45),"⚠支給量超過","")))</f>
        <v/>
      </c>
      <c r="U45" s="8">
        <f>IF(OR($E45="",$G45="",$K45="キャンセル"),0,IF(IFERROR(INDEX('M_区分'!$B$4:$B$20,MATCH($C45,'M_区分'!$A$4:$A$20,0)),"○")="○",$G45-$E45+1,0))</f>
        <v/>
      </c>
    </row>
    <row r="46">
      <c r="A46" s="8">
        <f>IF($E46="","","SS-"&amp;TEXT(ROW()-4,"0000"))</f>
        <v/>
      </c>
      <c r="B46" s="9" t="n"/>
      <c r="C46" s="9" t="n"/>
      <c r="D46" s="9" t="n"/>
      <c r="E46" s="10" t="n"/>
      <c r="F46" s="11" t="n"/>
      <c r="G46" s="10" t="n"/>
      <c r="H46" s="11" t="n"/>
      <c r="I46" s="8">
        <f>IF(OR($E46="",$G46=""),"",$G46-$E46+1)</f>
        <v/>
      </c>
      <c r="J46" s="8">
        <f>IF(OR($E46="",$G46=""),"",$G46-$E46)</f>
        <v/>
      </c>
      <c r="K46" s="9" t="n"/>
      <c r="L46" s="9" t="n"/>
      <c r="M46" s="9" t="n"/>
      <c r="N46" s="9" t="n"/>
      <c r="O46" s="9" t="n"/>
      <c r="P46" s="9" t="n"/>
      <c r="Q46" s="10" t="n"/>
      <c r="R46" s="9" t="n"/>
      <c r="S46" s="8">
        <f>IF($D46="","",IF(COUNTIF('M_部屋'!$A$4:$A$20,$D46)=0,"⚠部屋が未登録",IF(OR($E46="",$G46="",$K46="キャンセル"),"",IF(SUMPRODUCT(($D$5:$D$204=$D46)*($E$5:$E$204&lt;&gt;"")*($G$5:$G$204&lt;&gt;"")*($K$5:$K$204&lt;&gt;"キャンセル")*($E$5:$E$204&lt;$G46)*($G$5:$G$204&gt;$E46))&gt;1,"⚠重複",""))))</f>
        <v/>
      </c>
      <c r="T46" s="8">
        <f>IF(OR($B46="",$E46=""),"",IF(SUMPRODUCT(('M_利用者'!$A$4:$A$60=$B46)*('M_利用者'!$B$4:$B$60&lt;&gt;""))=0,"",IF(SUMIFS($U$5:$U$204,$B$5:$B$204,$B46,$E$5:$E$204,"&gt;="&amp;DATE(YEAR($E46),MONTH($E46),1),$E$5:$E$204,"&lt;="&amp;EOMONTH($E46,0))&gt;SUMIFS('M_利用者'!$B$4:$B$60,'M_利用者'!$A$4:$A$60,$B46),"⚠支給量超過","")))</f>
        <v/>
      </c>
      <c r="U46" s="8">
        <f>IF(OR($E46="",$G46="",$K46="キャンセル"),0,IF(IFERROR(INDEX('M_区分'!$B$4:$B$20,MATCH($C46,'M_区分'!$A$4:$A$20,0)),"○")="○",$G46-$E46+1,0))</f>
        <v/>
      </c>
    </row>
    <row r="47">
      <c r="A47" s="8">
        <f>IF($E47="","","SS-"&amp;TEXT(ROW()-4,"0000"))</f>
        <v/>
      </c>
      <c r="B47" s="9" t="n"/>
      <c r="C47" s="9" t="n"/>
      <c r="D47" s="9" t="n"/>
      <c r="E47" s="10" t="n"/>
      <c r="F47" s="11" t="n"/>
      <c r="G47" s="10" t="n"/>
      <c r="H47" s="11" t="n"/>
      <c r="I47" s="8">
        <f>IF(OR($E47="",$G47=""),"",$G47-$E47+1)</f>
        <v/>
      </c>
      <c r="J47" s="8">
        <f>IF(OR($E47="",$G47=""),"",$G47-$E47)</f>
        <v/>
      </c>
      <c r="K47" s="9" t="n"/>
      <c r="L47" s="9" t="n"/>
      <c r="M47" s="9" t="n"/>
      <c r="N47" s="9" t="n"/>
      <c r="O47" s="9" t="n"/>
      <c r="P47" s="9" t="n"/>
      <c r="Q47" s="10" t="n"/>
      <c r="R47" s="9" t="n"/>
      <c r="S47" s="8">
        <f>IF($D47="","",IF(COUNTIF('M_部屋'!$A$4:$A$20,$D47)=0,"⚠部屋が未登録",IF(OR($E47="",$G47="",$K47="キャンセル"),"",IF(SUMPRODUCT(($D$5:$D$204=$D47)*($E$5:$E$204&lt;&gt;"")*($G$5:$G$204&lt;&gt;"")*($K$5:$K$204&lt;&gt;"キャンセル")*($E$5:$E$204&lt;$G47)*($G$5:$G$204&gt;$E47))&gt;1,"⚠重複",""))))</f>
        <v/>
      </c>
      <c r="T47" s="8">
        <f>IF(OR($B47="",$E47=""),"",IF(SUMPRODUCT(('M_利用者'!$A$4:$A$60=$B47)*('M_利用者'!$B$4:$B$60&lt;&gt;""))=0,"",IF(SUMIFS($U$5:$U$204,$B$5:$B$204,$B47,$E$5:$E$204,"&gt;="&amp;DATE(YEAR($E47),MONTH($E47),1),$E$5:$E$204,"&lt;="&amp;EOMONTH($E47,0))&gt;SUMIFS('M_利用者'!$B$4:$B$60,'M_利用者'!$A$4:$A$60,$B47),"⚠支給量超過","")))</f>
        <v/>
      </c>
      <c r="U47" s="8">
        <f>IF(OR($E47="",$G47="",$K47="キャンセル"),0,IF(IFERROR(INDEX('M_区分'!$B$4:$B$20,MATCH($C47,'M_区分'!$A$4:$A$20,0)),"○")="○",$G47-$E47+1,0))</f>
        <v/>
      </c>
    </row>
    <row r="48">
      <c r="A48" s="8">
        <f>IF($E48="","","SS-"&amp;TEXT(ROW()-4,"0000"))</f>
        <v/>
      </c>
      <c r="B48" s="9" t="n"/>
      <c r="C48" s="9" t="n"/>
      <c r="D48" s="9" t="n"/>
      <c r="E48" s="10" t="n"/>
      <c r="F48" s="11" t="n"/>
      <c r="G48" s="10" t="n"/>
      <c r="H48" s="11" t="n"/>
      <c r="I48" s="8">
        <f>IF(OR($E48="",$G48=""),"",$G48-$E48+1)</f>
        <v/>
      </c>
      <c r="J48" s="8">
        <f>IF(OR($E48="",$G48=""),"",$G48-$E48)</f>
        <v/>
      </c>
      <c r="K48" s="9" t="n"/>
      <c r="L48" s="9" t="n"/>
      <c r="M48" s="9" t="n"/>
      <c r="N48" s="9" t="n"/>
      <c r="O48" s="9" t="n"/>
      <c r="P48" s="9" t="n"/>
      <c r="Q48" s="10" t="n"/>
      <c r="R48" s="9" t="n"/>
      <c r="S48" s="8">
        <f>IF($D48="","",IF(COUNTIF('M_部屋'!$A$4:$A$20,$D48)=0,"⚠部屋が未登録",IF(OR($E48="",$G48="",$K48="キャンセル"),"",IF(SUMPRODUCT(($D$5:$D$204=$D48)*($E$5:$E$204&lt;&gt;"")*($G$5:$G$204&lt;&gt;"")*($K$5:$K$204&lt;&gt;"キャンセル")*($E$5:$E$204&lt;$G48)*($G$5:$G$204&gt;$E48))&gt;1,"⚠重複",""))))</f>
        <v/>
      </c>
      <c r="T48" s="8">
        <f>IF(OR($B48="",$E48=""),"",IF(SUMPRODUCT(('M_利用者'!$A$4:$A$60=$B48)*('M_利用者'!$B$4:$B$60&lt;&gt;""))=0,"",IF(SUMIFS($U$5:$U$204,$B$5:$B$204,$B48,$E$5:$E$204,"&gt;="&amp;DATE(YEAR($E48),MONTH($E48),1),$E$5:$E$204,"&lt;="&amp;EOMONTH($E48,0))&gt;SUMIFS('M_利用者'!$B$4:$B$60,'M_利用者'!$A$4:$A$60,$B48),"⚠支給量超過","")))</f>
        <v/>
      </c>
      <c r="U48" s="8">
        <f>IF(OR($E48="",$G48="",$K48="キャンセル"),0,IF(IFERROR(INDEX('M_区分'!$B$4:$B$20,MATCH($C48,'M_区分'!$A$4:$A$20,0)),"○")="○",$G48-$E48+1,0))</f>
        <v/>
      </c>
    </row>
    <row r="49">
      <c r="A49" s="8">
        <f>IF($E49="","","SS-"&amp;TEXT(ROW()-4,"0000"))</f>
        <v/>
      </c>
      <c r="B49" s="9" t="n"/>
      <c r="C49" s="9" t="n"/>
      <c r="D49" s="9" t="n"/>
      <c r="E49" s="10" t="n"/>
      <c r="F49" s="11" t="n"/>
      <c r="G49" s="10" t="n"/>
      <c r="H49" s="11" t="n"/>
      <c r="I49" s="8">
        <f>IF(OR($E49="",$G49=""),"",$G49-$E49+1)</f>
        <v/>
      </c>
      <c r="J49" s="8">
        <f>IF(OR($E49="",$G49=""),"",$G49-$E49)</f>
        <v/>
      </c>
      <c r="K49" s="9" t="n"/>
      <c r="L49" s="9" t="n"/>
      <c r="M49" s="9" t="n"/>
      <c r="N49" s="9" t="n"/>
      <c r="O49" s="9" t="n"/>
      <c r="P49" s="9" t="n"/>
      <c r="Q49" s="10" t="n"/>
      <c r="R49" s="9" t="n"/>
      <c r="S49" s="8">
        <f>IF($D49="","",IF(COUNTIF('M_部屋'!$A$4:$A$20,$D49)=0,"⚠部屋が未登録",IF(OR($E49="",$G49="",$K49="キャンセル"),"",IF(SUMPRODUCT(($D$5:$D$204=$D49)*($E$5:$E$204&lt;&gt;"")*($G$5:$G$204&lt;&gt;"")*($K$5:$K$204&lt;&gt;"キャンセル")*($E$5:$E$204&lt;$G49)*($G$5:$G$204&gt;$E49))&gt;1,"⚠重複",""))))</f>
        <v/>
      </c>
      <c r="T49" s="8">
        <f>IF(OR($B49="",$E49=""),"",IF(SUMPRODUCT(('M_利用者'!$A$4:$A$60=$B49)*('M_利用者'!$B$4:$B$60&lt;&gt;""))=0,"",IF(SUMIFS($U$5:$U$204,$B$5:$B$204,$B49,$E$5:$E$204,"&gt;="&amp;DATE(YEAR($E49),MONTH($E49),1),$E$5:$E$204,"&lt;="&amp;EOMONTH($E49,0))&gt;SUMIFS('M_利用者'!$B$4:$B$60,'M_利用者'!$A$4:$A$60,$B49),"⚠支給量超過","")))</f>
        <v/>
      </c>
      <c r="U49" s="8">
        <f>IF(OR($E49="",$G49="",$K49="キャンセル"),0,IF(IFERROR(INDEX('M_区分'!$B$4:$B$20,MATCH($C49,'M_区分'!$A$4:$A$20,0)),"○")="○",$G49-$E49+1,0))</f>
        <v/>
      </c>
    </row>
    <row r="50">
      <c r="A50" s="8">
        <f>IF($E50="","","SS-"&amp;TEXT(ROW()-4,"0000"))</f>
        <v/>
      </c>
      <c r="B50" s="9" t="n"/>
      <c r="C50" s="9" t="n"/>
      <c r="D50" s="9" t="n"/>
      <c r="E50" s="10" t="n"/>
      <c r="F50" s="11" t="n"/>
      <c r="G50" s="10" t="n"/>
      <c r="H50" s="11" t="n"/>
      <c r="I50" s="8">
        <f>IF(OR($E50="",$G50=""),"",$G50-$E50+1)</f>
        <v/>
      </c>
      <c r="J50" s="8">
        <f>IF(OR($E50="",$G50=""),"",$G50-$E50)</f>
        <v/>
      </c>
      <c r="K50" s="9" t="n"/>
      <c r="L50" s="9" t="n"/>
      <c r="M50" s="9" t="n"/>
      <c r="N50" s="9" t="n"/>
      <c r="O50" s="9" t="n"/>
      <c r="P50" s="9" t="n"/>
      <c r="Q50" s="10" t="n"/>
      <c r="R50" s="9" t="n"/>
      <c r="S50" s="8">
        <f>IF($D50="","",IF(COUNTIF('M_部屋'!$A$4:$A$20,$D50)=0,"⚠部屋が未登録",IF(OR($E50="",$G50="",$K50="キャンセル"),"",IF(SUMPRODUCT(($D$5:$D$204=$D50)*($E$5:$E$204&lt;&gt;"")*($G$5:$G$204&lt;&gt;"")*($K$5:$K$204&lt;&gt;"キャンセル")*($E$5:$E$204&lt;$G50)*($G$5:$G$204&gt;$E50))&gt;1,"⚠重複",""))))</f>
        <v/>
      </c>
      <c r="T50" s="8">
        <f>IF(OR($B50="",$E50=""),"",IF(SUMPRODUCT(('M_利用者'!$A$4:$A$60=$B50)*('M_利用者'!$B$4:$B$60&lt;&gt;""))=0,"",IF(SUMIFS($U$5:$U$204,$B$5:$B$204,$B50,$E$5:$E$204,"&gt;="&amp;DATE(YEAR($E50),MONTH($E50),1),$E$5:$E$204,"&lt;="&amp;EOMONTH($E50,0))&gt;SUMIFS('M_利用者'!$B$4:$B$60,'M_利用者'!$A$4:$A$60,$B50),"⚠支給量超過","")))</f>
        <v/>
      </c>
      <c r="U50" s="8">
        <f>IF(OR($E50="",$G50="",$K50="キャンセル"),0,IF(IFERROR(INDEX('M_区分'!$B$4:$B$20,MATCH($C50,'M_区分'!$A$4:$A$20,0)),"○")="○",$G50-$E50+1,0))</f>
        <v/>
      </c>
    </row>
    <row r="51">
      <c r="A51" s="8">
        <f>IF($E51="","","SS-"&amp;TEXT(ROW()-4,"0000"))</f>
        <v/>
      </c>
      <c r="B51" s="9" t="n"/>
      <c r="C51" s="9" t="n"/>
      <c r="D51" s="9" t="n"/>
      <c r="E51" s="10" t="n"/>
      <c r="F51" s="11" t="n"/>
      <c r="G51" s="10" t="n"/>
      <c r="H51" s="11" t="n"/>
      <c r="I51" s="8">
        <f>IF(OR($E51="",$G51=""),"",$G51-$E51+1)</f>
        <v/>
      </c>
      <c r="J51" s="8">
        <f>IF(OR($E51="",$G51=""),"",$G51-$E51)</f>
        <v/>
      </c>
      <c r="K51" s="9" t="n"/>
      <c r="L51" s="9" t="n"/>
      <c r="M51" s="9" t="n"/>
      <c r="N51" s="9" t="n"/>
      <c r="O51" s="9" t="n"/>
      <c r="P51" s="9" t="n"/>
      <c r="Q51" s="10" t="n"/>
      <c r="R51" s="9" t="n"/>
      <c r="S51" s="8">
        <f>IF($D51="","",IF(COUNTIF('M_部屋'!$A$4:$A$20,$D51)=0,"⚠部屋が未登録",IF(OR($E51="",$G51="",$K51="キャンセル"),"",IF(SUMPRODUCT(($D$5:$D$204=$D51)*($E$5:$E$204&lt;&gt;"")*($G$5:$G$204&lt;&gt;"")*($K$5:$K$204&lt;&gt;"キャンセル")*($E$5:$E$204&lt;$G51)*($G$5:$G$204&gt;$E51))&gt;1,"⚠重複",""))))</f>
        <v/>
      </c>
      <c r="T51" s="8">
        <f>IF(OR($B51="",$E51=""),"",IF(SUMPRODUCT(('M_利用者'!$A$4:$A$60=$B51)*('M_利用者'!$B$4:$B$60&lt;&gt;""))=0,"",IF(SUMIFS($U$5:$U$204,$B$5:$B$204,$B51,$E$5:$E$204,"&gt;="&amp;DATE(YEAR($E51),MONTH($E51),1),$E$5:$E$204,"&lt;="&amp;EOMONTH($E51,0))&gt;SUMIFS('M_利用者'!$B$4:$B$60,'M_利用者'!$A$4:$A$60,$B51),"⚠支給量超過","")))</f>
        <v/>
      </c>
      <c r="U51" s="8">
        <f>IF(OR($E51="",$G51="",$K51="キャンセル"),0,IF(IFERROR(INDEX('M_区分'!$B$4:$B$20,MATCH($C51,'M_区分'!$A$4:$A$20,0)),"○")="○",$G51-$E51+1,0))</f>
        <v/>
      </c>
    </row>
    <row r="52">
      <c r="A52" s="8">
        <f>IF($E52="","","SS-"&amp;TEXT(ROW()-4,"0000"))</f>
        <v/>
      </c>
      <c r="B52" s="9" t="n"/>
      <c r="C52" s="9" t="n"/>
      <c r="D52" s="9" t="n"/>
      <c r="E52" s="10" t="n"/>
      <c r="F52" s="11" t="n"/>
      <c r="G52" s="10" t="n"/>
      <c r="H52" s="11" t="n"/>
      <c r="I52" s="8">
        <f>IF(OR($E52="",$G52=""),"",$G52-$E52+1)</f>
        <v/>
      </c>
      <c r="J52" s="8">
        <f>IF(OR($E52="",$G52=""),"",$G52-$E52)</f>
        <v/>
      </c>
      <c r="K52" s="9" t="n"/>
      <c r="L52" s="9" t="n"/>
      <c r="M52" s="9" t="n"/>
      <c r="N52" s="9" t="n"/>
      <c r="O52" s="9" t="n"/>
      <c r="P52" s="9" t="n"/>
      <c r="Q52" s="10" t="n"/>
      <c r="R52" s="9" t="n"/>
      <c r="S52" s="8">
        <f>IF($D52="","",IF(COUNTIF('M_部屋'!$A$4:$A$20,$D52)=0,"⚠部屋が未登録",IF(OR($E52="",$G52="",$K52="キャンセル"),"",IF(SUMPRODUCT(($D$5:$D$204=$D52)*($E$5:$E$204&lt;&gt;"")*($G$5:$G$204&lt;&gt;"")*($K$5:$K$204&lt;&gt;"キャンセル")*($E$5:$E$204&lt;$G52)*($G$5:$G$204&gt;$E52))&gt;1,"⚠重複",""))))</f>
        <v/>
      </c>
      <c r="T52" s="8">
        <f>IF(OR($B52="",$E52=""),"",IF(SUMPRODUCT(('M_利用者'!$A$4:$A$60=$B52)*('M_利用者'!$B$4:$B$60&lt;&gt;""))=0,"",IF(SUMIFS($U$5:$U$204,$B$5:$B$204,$B52,$E$5:$E$204,"&gt;="&amp;DATE(YEAR($E52),MONTH($E52),1),$E$5:$E$204,"&lt;="&amp;EOMONTH($E52,0))&gt;SUMIFS('M_利用者'!$B$4:$B$60,'M_利用者'!$A$4:$A$60,$B52),"⚠支給量超過","")))</f>
        <v/>
      </c>
      <c r="U52" s="8">
        <f>IF(OR($E52="",$G52="",$K52="キャンセル"),0,IF(IFERROR(INDEX('M_区分'!$B$4:$B$20,MATCH($C52,'M_区分'!$A$4:$A$20,0)),"○")="○",$G52-$E52+1,0))</f>
        <v/>
      </c>
    </row>
    <row r="53">
      <c r="A53" s="8">
        <f>IF($E53="","","SS-"&amp;TEXT(ROW()-4,"0000"))</f>
        <v/>
      </c>
      <c r="B53" s="9" t="n"/>
      <c r="C53" s="9" t="n"/>
      <c r="D53" s="9" t="n"/>
      <c r="E53" s="10" t="n"/>
      <c r="F53" s="11" t="n"/>
      <c r="G53" s="10" t="n"/>
      <c r="H53" s="11" t="n"/>
      <c r="I53" s="8">
        <f>IF(OR($E53="",$G53=""),"",$G53-$E53+1)</f>
        <v/>
      </c>
      <c r="J53" s="8">
        <f>IF(OR($E53="",$G53=""),"",$G53-$E53)</f>
        <v/>
      </c>
      <c r="K53" s="9" t="n"/>
      <c r="L53" s="9" t="n"/>
      <c r="M53" s="9" t="n"/>
      <c r="N53" s="9" t="n"/>
      <c r="O53" s="9" t="n"/>
      <c r="P53" s="9" t="n"/>
      <c r="Q53" s="10" t="n"/>
      <c r="R53" s="9" t="n"/>
      <c r="S53" s="8">
        <f>IF($D53="","",IF(COUNTIF('M_部屋'!$A$4:$A$20,$D53)=0,"⚠部屋が未登録",IF(OR($E53="",$G53="",$K53="キャンセル"),"",IF(SUMPRODUCT(($D$5:$D$204=$D53)*($E$5:$E$204&lt;&gt;"")*($G$5:$G$204&lt;&gt;"")*($K$5:$K$204&lt;&gt;"キャンセル")*($E$5:$E$204&lt;$G53)*($G$5:$G$204&gt;$E53))&gt;1,"⚠重複",""))))</f>
        <v/>
      </c>
      <c r="T53" s="8">
        <f>IF(OR($B53="",$E53=""),"",IF(SUMPRODUCT(('M_利用者'!$A$4:$A$60=$B53)*('M_利用者'!$B$4:$B$60&lt;&gt;""))=0,"",IF(SUMIFS($U$5:$U$204,$B$5:$B$204,$B53,$E$5:$E$204,"&gt;="&amp;DATE(YEAR($E53),MONTH($E53),1),$E$5:$E$204,"&lt;="&amp;EOMONTH($E53,0))&gt;SUMIFS('M_利用者'!$B$4:$B$60,'M_利用者'!$A$4:$A$60,$B53),"⚠支給量超過","")))</f>
        <v/>
      </c>
      <c r="U53" s="8">
        <f>IF(OR($E53="",$G53="",$K53="キャンセル"),0,IF(IFERROR(INDEX('M_区分'!$B$4:$B$20,MATCH($C53,'M_区分'!$A$4:$A$20,0)),"○")="○",$G53-$E53+1,0))</f>
        <v/>
      </c>
    </row>
    <row r="54">
      <c r="A54" s="8">
        <f>IF($E54="","","SS-"&amp;TEXT(ROW()-4,"0000"))</f>
        <v/>
      </c>
      <c r="B54" s="9" t="n"/>
      <c r="C54" s="9" t="n"/>
      <c r="D54" s="9" t="n"/>
      <c r="E54" s="10" t="n"/>
      <c r="F54" s="11" t="n"/>
      <c r="G54" s="10" t="n"/>
      <c r="H54" s="11" t="n"/>
      <c r="I54" s="8">
        <f>IF(OR($E54="",$G54=""),"",$G54-$E54+1)</f>
        <v/>
      </c>
      <c r="J54" s="8">
        <f>IF(OR($E54="",$G54=""),"",$G54-$E54)</f>
        <v/>
      </c>
      <c r="K54" s="9" t="n"/>
      <c r="L54" s="9" t="n"/>
      <c r="M54" s="9" t="n"/>
      <c r="N54" s="9" t="n"/>
      <c r="O54" s="9" t="n"/>
      <c r="P54" s="9" t="n"/>
      <c r="Q54" s="10" t="n"/>
      <c r="R54" s="9" t="n"/>
      <c r="S54" s="8">
        <f>IF($D54="","",IF(COUNTIF('M_部屋'!$A$4:$A$20,$D54)=0,"⚠部屋が未登録",IF(OR($E54="",$G54="",$K54="キャンセル"),"",IF(SUMPRODUCT(($D$5:$D$204=$D54)*($E$5:$E$204&lt;&gt;"")*($G$5:$G$204&lt;&gt;"")*($K$5:$K$204&lt;&gt;"キャンセル")*($E$5:$E$204&lt;$G54)*($G$5:$G$204&gt;$E54))&gt;1,"⚠重複",""))))</f>
        <v/>
      </c>
      <c r="T54" s="8">
        <f>IF(OR($B54="",$E54=""),"",IF(SUMPRODUCT(('M_利用者'!$A$4:$A$60=$B54)*('M_利用者'!$B$4:$B$60&lt;&gt;""))=0,"",IF(SUMIFS($U$5:$U$204,$B$5:$B$204,$B54,$E$5:$E$204,"&gt;="&amp;DATE(YEAR($E54),MONTH($E54),1),$E$5:$E$204,"&lt;="&amp;EOMONTH($E54,0))&gt;SUMIFS('M_利用者'!$B$4:$B$60,'M_利用者'!$A$4:$A$60,$B54),"⚠支給量超過","")))</f>
        <v/>
      </c>
      <c r="U54" s="8">
        <f>IF(OR($E54="",$G54="",$K54="キャンセル"),0,IF(IFERROR(INDEX('M_区分'!$B$4:$B$20,MATCH($C54,'M_区分'!$A$4:$A$20,0)),"○")="○",$G54-$E54+1,0))</f>
        <v/>
      </c>
    </row>
    <row r="55">
      <c r="A55" s="8">
        <f>IF($E55="","","SS-"&amp;TEXT(ROW()-4,"0000"))</f>
        <v/>
      </c>
      <c r="B55" s="9" t="n"/>
      <c r="C55" s="9" t="n"/>
      <c r="D55" s="9" t="n"/>
      <c r="E55" s="10" t="n"/>
      <c r="F55" s="11" t="n"/>
      <c r="G55" s="10" t="n"/>
      <c r="H55" s="11" t="n"/>
      <c r="I55" s="8">
        <f>IF(OR($E55="",$G55=""),"",$G55-$E55+1)</f>
        <v/>
      </c>
      <c r="J55" s="8">
        <f>IF(OR($E55="",$G55=""),"",$G55-$E55)</f>
        <v/>
      </c>
      <c r="K55" s="9" t="n"/>
      <c r="L55" s="9" t="n"/>
      <c r="M55" s="9" t="n"/>
      <c r="N55" s="9" t="n"/>
      <c r="O55" s="9" t="n"/>
      <c r="P55" s="9" t="n"/>
      <c r="Q55" s="10" t="n"/>
      <c r="R55" s="9" t="n"/>
      <c r="S55" s="8">
        <f>IF($D55="","",IF(COUNTIF('M_部屋'!$A$4:$A$20,$D55)=0,"⚠部屋が未登録",IF(OR($E55="",$G55="",$K55="キャンセル"),"",IF(SUMPRODUCT(($D$5:$D$204=$D55)*($E$5:$E$204&lt;&gt;"")*($G$5:$G$204&lt;&gt;"")*($K$5:$K$204&lt;&gt;"キャンセル")*($E$5:$E$204&lt;$G55)*($G$5:$G$204&gt;$E55))&gt;1,"⚠重複",""))))</f>
        <v/>
      </c>
      <c r="T55" s="8">
        <f>IF(OR($B55="",$E55=""),"",IF(SUMPRODUCT(('M_利用者'!$A$4:$A$60=$B55)*('M_利用者'!$B$4:$B$60&lt;&gt;""))=0,"",IF(SUMIFS($U$5:$U$204,$B$5:$B$204,$B55,$E$5:$E$204,"&gt;="&amp;DATE(YEAR($E55),MONTH($E55),1),$E$5:$E$204,"&lt;="&amp;EOMONTH($E55,0))&gt;SUMIFS('M_利用者'!$B$4:$B$60,'M_利用者'!$A$4:$A$60,$B55),"⚠支給量超過","")))</f>
        <v/>
      </c>
      <c r="U55" s="8">
        <f>IF(OR($E55="",$G55="",$K55="キャンセル"),0,IF(IFERROR(INDEX('M_区分'!$B$4:$B$20,MATCH($C55,'M_区分'!$A$4:$A$20,0)),"○")="○",$G55-$E55+1,0))</f>
        <v/>
      </c>
    </row>
    <row r="56">
      <c r="A56" s="8">
        <f>IF($E56="","","SS-"&amp;TEXT(ROW()-4,"0000"))</f>
        <v/>
      </c>
      <c r="B56" s="9" t="n"/>
      <c r="C56" s="9" t="n"/>
      <c r="D56" s="9" t="n"/>
      <c r="E56" s="10" t="n"/>
      <c r="F56" s="11" t="n"/>
      <c r="G56" s="10" t="n"/>
      <c r="H56" s="11" t="n"/>
      <c r="I56" s="8">
        <f>IF(OR($E56="",$G56=""),"",$G56-$E56+1)</f>
        <v/>
      </c>
      <c r="J56" s="8">
        <f>IF(OR($E56="",$G56=""),"",$G56-$E56)</f>
        <v/>
      </c>
      <c r="K56" s="9" t="n"/>
      <c r="L56" s="9" t="n"/>
      <c r="M56" s="9" t="n"/>
      <c r="N56" s="9" t="n"/>
      <c r="O56" s="9" t="n"/>
      <c r="P56" s="9" t="n"/>
      <c r="Q56" s="10" t="n"/>
      <c r="R56" s="9" t="n"/>
      <c r="S56" s="8">
        <f>IF($D56="","",IF(COUNTIF('M_部屋'!$A$4:$A$20,$D56)=0,"⚠部屋が未登録",IF(OR($E56="",$G56="",$K56="キャンセル"),"",IF(SUMPRODUCT(($D$5:$D$204=$D56)*($E$5:$E$204&lt;&gt;"")*($G$5:$G$204&lt;&gt;"")*($K$5:$K$204&lt;&gt;"キャンセル")*($E$5:$E$204&lt;$G56)*($G$5:$G$204&gt;$E56))&gt;1,"⚠重複",""))))</f>
        <v/>
      </c>
      <c r="T56" s="8">
        <f>IF(OR($B56="",$E56=""),"",IF(SUMPRODUCT(('M_利用者'!$A$4:$A$60=$B56)*('M_利用者'!$B$4:$B$60&lt;&gt;""))=0,"",IF(SUMIFS($U$5:$U$204,$B$5:$B$204,$B56,$E$5:$E$204,"&gt;="&amp;DATE(YEAR($E56),MONTH($E56),1),$E$5:$E$204,"&lt;="&amp;EOMONTH($E56,0))&gt;SUMIFS('M_利用者'!$B$4:$B$60,'M_利用者'!$A$4:$A$60,$B56),"⚠支給量超過","")))</f>
        <v/>
      </c>
      <c r="U56" s="8">
        <f>IF(OR($E56="",$G56="",$K56="キャンセル"),0,IF(IFERROR(INDEX('M_区分'!$B$4:$B$20,MATCH($C56,'M_区分'!$A$4:$A$20,0)),"○")="○",$G56-$E56+1,0))</f>
        <v/>
      </c>
    </row>
    <row r="57">
      <c r="A57" s="8">
        <f>IF($E57="","","SS-"&amp;TEXT(ROW()-4,"0000"))</f>
        <v/>
      </c>
      <c r="B57" s="9" t="n"/>
      <c r="C57" s="9" t="n"/>
      <c r="D57" s="9" t="n"/>
      <c r="E57" s="10" t="n"/>
      <c r="F57" s="11" t="n"/>
      <c r="G57" s="10" t="n"/>
      <c r="H57" s="11" t="n"/>
      <c r="I57" s="8">
        <f>IF(OR($E57="",$G57=""),"",$G57-$E57+1)</f>
        <v/>
      </c>
      <c r="J57" s="8">
        <f>IF(OR($E57="",$G57=""),"",$G57-$E57)</f>
        <v/>
      </c>
      <c r="K57" s="9" t="n"/>
      <c r="L57" s="9" t="n"/>
      <c r="M57" s="9" t="n"/>
      <c r="N57" s="9" t="n"/>
      <c r="O57" s="9" t="n"/>
      <c r="P57" s="9" t="n"/>
      <c r="Q57" s="10" t="n"/>
      <c r="R57" s="9" t="n"/>
      <c r="S57" s="8">
        <f>IF($D57="","",IF(COUNTIF('M_部屋'!$A$4:$A$20,$D57)=0,"⚠部屋が未登録",IF(OR($E57="",$G57="",$K57="キャンセル"),"",IF(SUMPRODUCT(($D$5:$D$204=$D57)*($E$5:$E$204&lt;&gt;"")*($G$5:$G$204&lt;&gt;"")*($K$5:$K$204&lt;&gt;"キャンセル")*($E$5:$E$204&lt;$G57)*($G$5:$G$204&gt;$E57))&gt;1,"⚠重複",""))))</f>
        <v/>
      </c>
      <c r="T57" s="8">
        <f>IF(OR($B57="",$E57=""),"",IF(SUMPRODUCT(('M_利用者'!$A$4:$A$60=$B57)*('M_利用者'!$B$4:$B$60&lt;&gt;""))=0,"",IF(SUMIFS($U$5:$U$204,$B$5:$B$204,$B57,$E$5:$E$204,"&gt;="&amp;DATE(YEAR($E57),MONTH($E57),1),$E$5:$E$204,"&lt;="&amp;EOMONTH($E57,0))&gt;SUMIFS('M_利用者'!$B$4:$B$60,'M_利用者'!$A$4:$A$60,$B57),"⚠支給量超過","")))</f>
        <v/>
      </c>
      <c r="U57" s="8">
        <f>IF(OR($E57="",$G57="",$K57="キャンセル"),0,IF(IFERROR(INDEX('M_区分'!$B$4:$B$20,MATCH($C57,'M_区分'!$A$4:$A$20,0)),"○")="○",$G57-$E57+1,0))</f>
        <v/>
      </c>
    </row>
    <row r="58">
      <c r="A58" s="8">
        <f>IF($E58="","","SS-"&amp;TEXT(ROW()-4,"0000"))</f>
        <v/>
      </c>
      <c r="B58" s="9" t="n"/>
      <c r="C58" s="9" t="n"/>
      <c r="D58" s="9" t="n"/>
      <c r="E58" s="10" t="n"/>
      <c r="F58" s="11" t="n"/>
      <c r="G58" s="10" t="n"/>
      <c r="H58" s="11" t="n"/>
      <c r="I58" s="8">
        <f>IF(OR($E58="",$G58=""),"",$G58-$E58+1)</f>
        <v/>
      </c>
      <c r="J58" s="8">
        <f>IF(OR($E58="",$G58=""),"",$G58-$E58)</f>
        <v/>
      </c>
      <c r="K58" s="9" t="n"/>
      <c r="L58" s="9" t="n"/>
      <c r="M58" s="9" t="n"/>
      <c r="N58" s="9" t="n"/>
      <c r="O58" s="9" t="n"/>
      <c r="P58" s="9" t="n"/>
      <c r="Q58" s="10" t="n"/>
      <c r="R58" s="9" t="n"/>
      <c r="S58" s="8">
        <f>IF($D58="","",IF(COUNTIF('M_部屋'!$A$4:$A$20,$D58)=0,"⚠部屋が未登録",IF(OR($E58="",$G58="",$K58="キャンセル"),"",IF(SUMPRODUCT(($D$5:$D$204=$D58)*($E$5:$E$204&lt;&gt;"")*($G$5:$G$204&lt;&gt;"")*($K$5:$K$204&lt;&gt;"キャンセル")*($E$5:$E$204&lt;$G58)*($G$5:$G$204&gt;$E58))&gt;1,"⚠重複",""))))</f>
        <v/>
      </c>
      <c r="T58" s="8">
        <f>IF(OR($B58="",$E58=""),"",IF(SUMPRODUCT(('M_利用者'!$A$4:$A$60=$B58)*('M_利用者'!$B$4:$B$60&lt;&gt;""))=0,"",IF(SUMIFS($U$5:$U$204,$B$5:$B$204,$B58,$E$5:$E$204,"&gt;="&amp;DATE(YEAR($E58),MONTH($E58),1),$E$5:$E$204,"&lt;="&amp;EOMONTH($E58,0))&gt;SUMIFS('M_利用者'!$B$4:$B$60,'M_利用者'!$A$4:$A$60,$B58),"⚠支給量超過","")))</f>
        <v/>
      </c>
      <c r="U58" s="8">
        <f>IF(OR($E58="",$G58="",$K58="キャンセル"),0,IF(IFERROR(INDEX('M_区分'!$B$4:$B$20,MATCH($C58,'M_区分'!$A$4:$A$20,0)),"○")="○",$G58-$E58+1,0))</f>
        <v/>
      </c>
    </row>
    <row r="59">
      <c r="A59" s="8">
        <f>IF($E59="","","SS-"&amp;TEXT(ROW()-4,"0000"))</f>
        <v/>
      </c>
      <c r="B59" s="9" t="n"/>
      <c r="C59" s="9" t="n"/>
      <c r="D59" s="9" t="n"/>
      <c r="E59" s="10" t="n"/>
      <c r="F59" s="11" t="n"/>
      <c r="G59" s="10" t="n"/>
      <c r="H59" s="11" t="n"/>
      <c r="I59" s="8">
        <f>IF(OR($E59="",$G59=""),"",$G59-$E59+1)</f>
        <v/>
      </c>
      <c r="J59" s="8">
        <f>IF(OR($E59="",$G59=""),"",$G59-$E59)</f>
        <v/>
      </c>
      <c r="K59" s="9" t="n"/>
      <c r="L59" s="9" t="n"/>
      <c r="M59" s="9" t="n"/>
      <c r="N59" s="9" t="n"/>
      <c r="O59" s="9" t="n"/>
      <c r="P59" s="9" t="n"/>
      <c r="Q59" s="10" t="n"/>
      <c r="R59" s="9" t="n"/>
      <c r="S59" s="8">
        <f>IF($D59="","",IF(COUNTIF('M_部屋'!$A$4:$A$20,$D59)=0,"⚠部屋が未登録",IF(OR($E59="",$G59="",$K59="キャンセル"),"",IF(SUMPRODUCT(($D$5:$D$204=$D59)*($E$5:$E$204&lt;&gt;"")*($G$5:$G$204&lt;&gt;"")*($K$5:$K$204&lt;&gt;"キャンセル")*($E$5:$E$204&lt;$G59)*($G$5:$G$204&gt;$E59))&gt;1,"⚠重複",""))))</f>
        <v/>
      </c>
      <c r="T59" s="8">
        <f>IF(OR($B59="",$E59=""),"",IF(SUMPRODUCT(('M_利用者'!$A$4:$A$60=$B59)*('M_利用者'!$B$4:$B$60&lt;&gt;""))=0,"",IF(SUMIFS($U$5:$U$204,$B$5:$B$204,$B59,$E$5:$E$204,"&gt;="&amp;DATE(YEAR($E59),MONTH($E59),1),$E$5:$E$204,"&lt;="&amp;EOMONTH($E59,0))&gt;SUMIFS('M_利用者'!$B$4:$B$60,'M_利用者'!$A$4:$A$60,$B59),"⚠支給量超過","")))</f>
        <v/>
      </c>
      <c r="U59" s="8">
        <f>IF(OR($E59="",$G59="",$K59="キャンセル"),0,IF(IFERROR(INDEX('M_区分'!$B$4:$B$20,MATCH($C59,'M_区分'!$A$4:$A$20,0)),"○")="○",$G59-$E59+1,0))</f>
        <v/>
      </c>
    </row>
    <row r="60">
      <c r="A60" s="8">
        <f>IF($E60="","","SS-"&amp;TEXT(ROW()-4,"0000"))</f>
        <v/>
      </c>
      <c r="B60" s="9" t="n"/>
      <c r="C60" s="9" t="n"/>
      <c r="D60" s="9" t="n"/>
      <c r="E60" s="10" t="n"/>
      <c r="F60" s="11" t="n"/>
      <c r="G60" s="10" t="n"/>
      <c r="H60" s="11" t="n"/>
      <c r="I60" s="8">
        <f>IF(OR($E60="",$G60=""),"",$G60-$E60+1)</f>
        <v/>
      </c>
      <c r="J60" s="8">
        <f>IF(OR($E60="",$G60=""),"",$G60-$E60)</f>
        <v/>
      </c>
      <c r="K60" s="9" t="n"/>
      <c r="L60" s="9" t="n"/>
      <c r="M60" s="9" t="n"/>
      <c r="N60" s="9" t="n"/>
      <c r="O60" s="9" t="n"/>
      <c r="P60" s="9" t="n"/>
      <c r="Q60" s="10" t="n"/>
      <c r="R60" s="9" t="n"/>
      <c r="S60" s="8">
        <f>IF($D60="","",IF(COUNTIF('M_部屋'!$A$4:$A$20,$D60)=0,"⚠部屋が未登録",IF(OR($E60="",$G60="",$K60="キャンセル"),"",IF(SUMPRODUCT(($D$5:$D$204=$D60)*($E$5:$E$204&lt;&gt;"")*($G$5:$G$204&lt;&gt;"")*($K$5:$K$204&lt;&gt;"キャンセル")*($E$5:$E$204&lt;$G60)*($G$5:$G$204&gt;$E60))&gt;1,"⚠重複",""))))</f>
        <v/>
      </c>
      <c r="T60" s="8">
        <f>IF(OR($B60="",$E60=""),"",IF(SUMPRODUCT(('M_利用者'!$A$4:$A$60=$B60)*('M_利用者'!$B$4:$B$60&lt;&gt;""))=0,"",IF(SUMIFS($U$5:$U$204,$B$5:$B$204,$B60,$E$5:$E$204,"&gt;="&amp;DATE(YEAR($E60),MONTH($E60),1),$E$5:$E$204,"&lt;="&amp;EOMONTH($E60,0))&gt;SUMIFS('M_利用者'!$B$4:$B$60,'M_利用者'!$A$4:$A$60,$B60),"⚠支給量超過","")))</f>
        <v/>
      </c>
      <c r="U60" s="8">
        <f>IF(OR($E60="",$G60="",$K60="キャンセル"),0,IF(IFERROR(INDEX('M_区分'!$B$4:$B$20,MATCH($C60,'M_区分'!$A$4:$A$20,0)),"○")="○",$G60-$E60+1,0))</f>
        <v/>
      </c>
    </row>
    <row r="61">
      <c r="A61" s="8">
        <f>IF($E61="","","SS-"&amp;TEXT(ROW()-4,"0000"))</f>
        <v/>
      </c>
      <c r="B61" s="9" t="n"/>
      <c r="C61" s="9" t="n"/>
      <c r="D61" s="9" t="n"/>
      <c r="E61" s="10" t="n"/>
      <c r="F61" s="11" t="n"/>
      <c r="G61" s="10" t="n"/>
      <c r="H61" s="11" t="n"/>
      <c r="I61" s="8">
        <f>IF(OR($E61="",$G61=""),"",$G61-$E61+1)</f>
        <v/>
      </c>
      <c r="J61" s="8">
        <f>IF(OR($E61="",$G61=""),"",$G61-$E61)</f>
        <v/>
      </c>
      <c r="K61" s="9" t="n"/>
      <c r="L61" s="9" t="n"/>
      <c r="M61" s="9" t="n"/>
      <c r="N61" s="9" t="n"/>
      <c r="O61" s="9" t="n"/>
      <c r="P61" s="9" t="n"/>
      <c r="Q61" s="10" t="n"/>
      <c r="R61" s="9" t="n"/>
      <c r="S61" s="8">
        <f>IF($D61="","",IF(COUNTIF('M_部屋'!$A$4:$A$20,$D61)=0,"⚠部屋が未登録",IF(OR($E61="",$G61="",$K61="キャンセル"),"",IF(SUMPRODUCT(($D$5:$D$204=$D61)*($E$5:$E$204&lt;&gt;"")*($G$5:$G$204&lt;&gt;"")*($K$5:$K$204&lt;&gt;"キャンセル")*($E$5:$E$204&lt;$G61)*($G$5:$G$204&gt;$E61))&gt;1,"⚠重複",""))))</f>
        <v/>
      </c>
      <c r="T61" s="8">
        <f>IF(OR($B61="",$E61=""),"",IF(SUMPRODUCT(('M_利用者'!$A$4:$A$60=$B61)*('M_利用者'!$B$4:$B$60&lt;&gt;""))=0,"",IF(SUMIFS($U$5:$U$204,$B$5:$B$204,$B61,$E$5:$E$204,"&gt;="&amp;DATE(YEAR($E61),MONTH($E61),1),$E$5:$E$204,"&lt;="&amp;EOMONTH($E61,0))&gt;SUMIFS('M_利用者'!$B$4:$B$60,'M_利用者'!$A$4:$A$60,$B61),"⚠支給量超過","")))</f>
        <v/>
      </c>
      <c r="U61" s="8">
        <f>IF(OR($E61="",$G61="",$K61="キャンセル"),0,IF(IFERROR(INDEX('M_区分'!$B$4:$B$20,MATCH($C61,'M_区分'!$A$4:$A$20,0)),"○")="○",$G61-$E61+1,0))</f>
        <v/>
      </c>
    </row>
    <row r="62">
      <c r="A62" s="8">
        <f>IF($E62="","","SS-"&amp;TEXT(ROW()-4,"0000"))</f>
        <v/>
      </c>
      <c r="B62" s="9" t="n"/>
      <c r="C62" s="9" t="n"/>
      <c r="D62" s="9" t="n"/>
      <c r="E62" s="10" t="n"/>
      <c r="F62" s="11" t="n"/>
      <c r="G62" s="10" t="n"/>
      <c r="H62" s="11" t="n"/>
      <c r="I62" s="8">
        <f>IF(OR($E62="",$G62=""),"",$G62-$E62+1)</f>
        <v/>
      </c>
      <c r="J62" s="8">
        <f>IF(OR($E62="",$G62=""),"",$G62-$E62)</f>
        <v/>
      </c>
      <c r="K62" s="9" t="n"/>
      <c r="L62" s="9" t="n"/>
      <c r="M62" s="9" t="n"/>
      <c r="N62" s="9" t="n"/>
      <c r="O62" s="9" t="n"/>
      <c r="P62" s="9" t="n"/>
      <c r="Q62" s="10" t="n"/>
      <c r="R62" s="9" t="n"/>
      <c r="S62" s="8">
        <f>IF($D62="","",IF(COUNTIF('M_部屋'!$A$4:$A$20,$D62)=0,"⚠部屋が未登録",IF(OR($E62="",$G62="",$K62="キャンセル"),"",IF(SUMPRODUCT(($D$5:$D$204=$D62)*($E$5:$E$204&lt;&gt;"")*($G$5:$G$204&lt;&gt;"")*($K$5:$K$204&lt;&gt;"キャンセル")*($E$5:$E$204&lt;$G62)*($G$5:$G$204&gt;$E62))&gt;1,"⚠重複",""))))</f>
        <v/>
      </c>
      <c r="T62" s="8">
        <f>IF(OR($B62="",$E62=""),"",IF(SUMPRODUCT(('M_利用者'!$A$4:$A$60=$B62)*('M_利用者'!$B$4:$B$60&lt;&gt;""))=0,"",IF(SUMIFS($U$5:$U$204,$B$5:$B$204,$B62,$E$5:$E$204,"&gt;="&amp;DATE(YEAR($E62),MONTH($E62),1),$E$5:$E$204,"&lt;="&amp;EOMONTH($E62,0))&gt;SUMIFS('M_利用者'!$B$4:$B$60,'M_利用者'!$A$4:$A$60,$B62),"⚠支給量超過","")))</f>
        <v/>
      </c>
      <c r="U62" s="8">
        <f>IF(OR($E62="",$G62="",$K62="キャンセル"),0,IF(IFERROR(INDEX('M_区分'!$B$4:$B$20,MATCH($C62,'M_区分'!$A$4:$A$20,0)),"○")="○",$G62-$E62+1,0))</f>
        <v/>
      </c>
    </row>
    <row r="63">
      <c r="A63" s="8">
        <f>IF($E63="","","SS-"&amp;TEXT(ROW()-4,"0000"))</f>
        <v/>
      </c>
      <c r="B63" s="9" t="n"/>
      <c r="C63" s="9" t="n"/>
      <c r="D63" s="9" t="n"/>
      <c r="E63" s="10" t="n"/>
      <c r="F63" s="11" t="n"/>
      <c r="G63" s="10" t="n"/>
      <c r="H63" s="11" t="n"/>
      <c r="I63" s="8">
        <f>IF(OR($E63="",$G63=""),"",$G63-$E63+1)</f>
        <v/>
      </c>
      <c r="J63" s="8">
        <f>IF(OR($E63="",$G63=""),"",$G63-$E63)</f>
        <v/>
      </c>
      <c r="K63" s="9" t="n"/>
      <c r="L63" s="9" t="n"/>
      <c r="M63" s="9" t="n"/>
      <c r="N63" s="9" t="n"/>
      <c r="O63" s="9" t="n"/>
      <c r="P63" s="9" t="n"/>
      <c r="Q63" s="10" t="n"/>
      <c r="R63" s="9" t="n"/>
      <c r="S63" s="8">
        <f>IF($D63="","",IF(COUNTIF('M_部屋'!$A$4:$A$20,$D63)=0,"⚠部屋が未登録",IF(OR($E63="",$G63="",$K63="キャンセル"),"",IF(SUMPRODUCT(($D$5:$D$204=$D63)*($E$5:$E$204&lt;&gt;"")*($G$5:$G$204&lt;&gt;"")*($K$5:$K$204&lt;&gt;"キャンセル")*($E$5:$E$204&lt;$G63)*($G$5:$G$204&gt;$E63))&gt;1,"⚠重複",""))))</f>
        <v/>
      </c>
      <c r="T63" s="8">
        <f>IF(OR($B63="",$E63=""),"",IF(SUMPRODUCT(('M_利用者'!$A$4:$A$60=$B63)*('M_利用者'!$B$4:$B$60&lt;&gt;""))=0,"",IF(SUMIFS($U$5:$U$204,$B$5:$B$204,$B63,$E$5:$E$204,"&gt;="&amp;DATE(YEAR($E63),MONTH($E63),1),$E$5:$E$204,"&lt;="&amp;EOMONTH($E63,0))&gt;SUMIFS('M_利用者'!$B$4:$B$60,'M_利用者'!$A$4:$A$60,$B63),"⚠支給量超過","")))</f>
        <v/>
      </c>
      <c r="U63" s="8">
        <f>IF(OR($E63="",$G63="",$K63="キャンセル"),0,IF(IFERROR(INDEX('M_区分'!$B$4:$B$20,MATCH($C63,'M_区分'!$A$4:$A$20,0)),"○")="○",$G63-$E63+1,0))</f>
        <v/>
      </c>
    </row>
    <row r="64">
      <c r="A64" s="8">
        <f>IF($E64="","","SS-"&amp;TEXT(ROW()-4,"0000"))</f>
        <v/>
      </c>
      <c r="B64" s="9" t="n"/>
      <c r="C64" s="9" t="n"/>
      <c r="D64" s="9" t="n"/>
      <c r="E64" s="10" t="n"/>
      <c r="F64" s="11" t="n"/>
      <c r="G64" s="10" t="n"/>
      <c r="H64" s="11" t="n"/>
      <c r="I64" s="8">
        <f>IF(OR($E64="",$G64=""),"",$G64-$E64+1)</f>
        <v/>
      </c>
      <c r="J64" s="8">
        <f>IF(OR($E64="",$G64=""),"",$G64-$E64)</f>
        <v/>
      </c>
      <c r="K64" s="9" t="n"/>
      <c r="L64" s="9" t="n"/>
      <c r="M64" s="9" t="n"/>
      <c r="N64" s="9" t="n"/>
      <c r="O64" s="9" t="n"/>
      <c r="P64" s="9" t="n"/>
      <c r="Q64" s="10" t="n"/>
      <c r="R64" s="9" t="n"/>
      <c r="S64" s="8">
        <f>IF($D64="","",IF(COUNTIF('M_部屋'!$A$4:$A$20,$D64)=0,"⚠部屋が未登録",IF(OR($E64="",$G64="",$K64="キャンセル"),"",IF(SUMPRODUCT(($D$5:$D$204=$D64)*($E$5:$E$204&lt;&gt;"")*($G$5:$G$204&lt;&gt;"")*($K$5:$K$204&lt;&gt;"キャンセル")*($E$5:$E$204&lt;$G64)*($G$5:$G$204&gt;$E64))&gt;1,"⚠重複",""))))</f>
        <v/>
      </c>
      <c r="T64" s="8">
        <f>IF(OR($B64="",$E64=""),"",IF(SUMPRODUCT(('M_利用者'!$A$4:$A$60=$B64)*('M_利用者'!$B$4:$B$60&lt;&gt;""))=0,"",IF(SUMIFS($U$5:$U$204,$B$5:$B$204,$B64,$E$5:$E$204,"&gt;="&amp;DATE(YEAR($E64),MONTH($E64),1),$E$5:$E$204,"&lt;="&amp;EOMONTH($E64,0))&gt;SUMIFS('M_利用者'!$B$4:$B$60,'M_利用者'!$A$4:$A$60,$B64),"⚠支給量超過","")))</f>
        <v/>
      </c>
      <c r="U64" s="8">
        <f>IF(OR($E64="",$G64="",$K64="キャンセル"),0,IF(IFERROR(INDEX('M_区分'!$B$4:$B$20,MATCH($C64,'M_区分'!$A$4:$A$20,0)),"○")="○",$G64-$E64+1,0))</f>
        <v/>
      </c>
    </row>
    <row r="65">
      <c r="A65" s="8">
        <f>IF($E65="","","SS-"&amp;TEXT(ROW()-4,"0000"))</f>
        <v/>
      </c>
      <c r="B65" s="9" t="n"/>
      <c r="C65" s="9" t="n"/>
      <c r="D65" s="9" t="n"/>
      <c r="E65" s="10" t="n"/>
      <c r="F65" s="11" t="n"/>
      <c r="G65" s="10" t="n"/>
      <c r="H65" s="11" t="n"/>
      <c r="I65" s="8">
        <f>IF(OR($E65="",$G65=""),"",$G65-$E65+1)</f>
        <v/>
      </c>
      <c r="J65" s="8">
        <f>IF(OR($E65="",$G65=""),"",$G65-$E65)</f>
        <v/>
      </c>
      <c r="K65" s="9" t="n"/>
      <c r="L65" s="9" t="n"/>
      <c r="M65" s="9" t="n"/>
      <c r="N65" s="9" t="n"/>
      <c r="O65" s="9" t="n"/>
      <c r="P65" s="9" t="n"/>
      <c r="Q65" s="10" t="n"/>
      <c r="R65" s="9" t="n"/>
      <c r="S65" s="8">
        <f>IF($D65="","",IF(COUNTIF('M_部屋'!$A$4:$A$20,$D65)=0,"⚠部屋が未登録",IF(OR($E65="",$G65="",$K65="キャンセル"),"",IF(SUMPRODUCT(($D$5:$D$204=$D65)*($E$5:$E$204&lt;&gt;"")*($G$5:$G$204&lt;&gt;"")*($K$5:$K$204&lt;&gt;"キャンセル")*($E$5:$E$204&lt;$G65)*($G$5:$G$204&gt;$E65))&gt;1,"⚠重複",""))))</f>
        <v/>
      </c>
      <c r="T65" s="8">
        <f>IF(OR($B65="",$E65=""),"",IF(SUMPRODUCT(('M_利用者'!$A$4:$A$60=$B65)*('M_利用者'!$B$4:$B$60&lt;&gt;""))=0,"",IF(SUMIFS($U$5:$U$204,$B$5:$B$204,$B65,$E$5:$E$204,"&gt;="&amp;DATE(YEAR($E65),MONTH($E65),1),$E$5:$E$204,"&lt;="&amp;EOMONTH($E65,0))&gt;SUMIFS('M_利用者'!$B$4:$B$60,'M_利用者'!$A$4:$A$60,$B65),"⚠支給量超過","")))</f>
        <v/>
      </c>
      <c r="U65" s="8">
        <f>IF(OR($E65="",$G65="",$K65="キャンセル"),0,IF(IFERROR(INDEX('M_区分'!$B$4:$B$20,MATCH($C65,'M_区分'!$A$4:$A$20,0)),"○")="○",$G65-$E65+1,0))</f>
        <v/>
      </c>
    </row>
    <row r="66">
      <c r="A66" s="8">
        <f>IF($E66="","","SS-"&amp;TEXT(ROW()-4,"0000"))</f>
        <v/>
      </c>
      <c r="B66" s="9" t="n"/>
      <c r="C66" s="9" t="n"/>
      <c r="D66" s="9" t="n"/>
      <c r="E66" s="10" t="n"/>
      <c r="F66" s="11" t="n"/>
      <c r="G66" s="10" t="n"/>
      <c r="H66" s="11" t="n"/>
      <c r="I66" s="8">
        <f>IF(OR($E66="",$G66=""),"",$G66-$E66+1)</f>
        <v/>
      </c>
      <c r="J66" s="8">
        <f>IF(OR($E66="",$G66=""),"",$G66-$E66)</f>
        <v/>
      </c>
      <c r="K66" s="9" t="n"/>
      <c r="L66" s="9" t="n"/>
      <c r="M66" s="9" t="n"/>
      <c r="N66" s="9" t="n"/>
      <c r="O66" s="9" t="n"/>
      <c r="P66" s="9" t="n"/>
      <c r="Q66" s="10" t="n"/>
      <c r="R66" s="9" t="n"/>
      <c r="S66" s="8">
        <f>IF($D66="","",IF(COUNTIF('M_部屋'!$A$4:$A$20,$D66)=0,"⚠部屋が未登録",IF(OR($E66="",$G66="",$K66="キャンセル"),"",IF(SUMPRODUCT(($D$5:$D$204=$D66)*($E$5:$E$204&lt;&gt;"")*($G$5:$G$204&lt;&gt;"")*($K$5:$K$204&lt;&gt;"キャンセル")*($E$5:$E$204&lt;$G66)*($G$5:$G$204&gt;$E66))&gt;1,"⚠重複",""))))</f>
        <v/>
      </c>
      <c r="T66" s="8">
        <f>IF(OR($B66="",$E66=""),"",IF(SUMPRODUCT(('M_利用者'!$A$4:$A$60=$B66)*('M_利用者'!$B$4:$B$60&lt;&gt;""))=0,"",IF(SUMIFS($U$5:$U$204,$B$5:$B$204,$B66,$E$5:$E$204,"&gt;="&amp;DATE(YEAR($E66),MONTH($E66),1),$E$5:$E$204,"&lt;="&amp;EOMONTH($E66,0))&gt;SUMIFS('M_利用者'!$B$4:$B$60,'M_利用者'!$A$4:$A$60,$B66),"⚠支給量超過","")))</f>
        <v/>
      </c>
      <c r="U66" s="8">
        <f>IF(OR($E66="",$G66="",$K66="キャンセル"),0,IF(IFERROR(INDEX('M_区分'!$B$4:$B$20,MATCH($C66,'M_区分'!$A$4:$A$20,0)),"○")="○",$G66-$E66+1,0))</f>
        <v/>
      </c>
    </row>
    <row r="67">
      <c r="A67" s="8">
        <f>IF($E67="","","SS-"&amp;TEXT(ROW()-4,"0000"))</f>
        <v/>
      </c>
      <c r="B67" s="9" t="n"/>
      <c r="C67" s="9" t="n"/>
      <c r="D67" s="9" t="n"/>
      <c r="E67" s="10" t="n"/>
      <c r="F67" s="11" t="n"/>
      <c r="G67" s="10" t="n"/>
      <c r="H67" s="11" t="n"/>
      <c r="I67" s="8">
        <f>IF(OR($E67="",$G67=""),"",$G67-$E67+1)</f>
        <v/>
      </c>
      <c r="J67" s="8">
        <f>IF(OR($E67="",$G67=""),"",$G67-$E67)</f>
        <v/>
      </c>
      <c r="K67" s="9" t="n"/>
      <c r="L67" s="9" t="n"/>
      <c r="M67" s="9" t="n"/>
      <c r="N67" s="9" t="n"/>
      <c r="O67" s="9" t="n"/>
      <c r="P67" s="9" t="n"/>
      <c r="Q67" s="10" t="n"/>
      <c r="R67" s="9" t="n"/>
      <c r="S67" s="8">
        <f>IF($D67="","",IF(COUNTIF('M_部屋'!$A$4:$A$20,$D67)=0,"⚠部屋が未登録",IF(OR($E67="",$G67="",$K67="キャンセル"),"",IF(SUMPRODUCT(($D$5:$D$204=$D67)*($E$5:$E$204&lt;&gt;"")*($G$5:$G$204&lt;&gt;"")*($K$5:$K$204&lt;&gt;"キャンセル")*($E$5:$E$204&lt;$G67)*($G$5:$G$204&gt;$E67))&gt;1,"⚠重複",""))))</f>
        <v/>
      </c>
      <c r="T67" s="8">
        <f>IF(OR($B67="",$E67=""),"",IF(SUMPRODUCT(('M_利用者'!$A$4:$A$60=$B67)*('M_利用者'!$B$4:$B$60&lt;&gt;""))=0,"",IF(SUMIFS($U$5:$U$204,$B$5:$B$204,$B67,$E$5:$E$204,"&gt;="&amp;DATE(YEAR($E67),MONTH($E67),1),$E$5:$E$204,"&lt;="&amp;EOMONTH($E67,0))&gt;SUMIFS('M_利用者'!$B$4:$B$60,'M_利用者'!$A$4:$A$60,$B67),"⚠支給量超過","")))</f>
        <v/>
      </c>
      <c r="U67" s="8">
        <f>IF(OR($E67="",$G67="",$K67="キャンセル"),0,IF(IFERROR(INDEX('M_区分'!$B$4:$B$20,MATCH($C67,'M_区分'!$A$4:$A$20,0)),"○")="○",$G67-$E67+1,0))</f>
        <v/>
      </c>
    </row>
    <row r="68">
      <c r="A68" s="8">
        <f>IF($E68="","","SS-"&amp;TEXT(ROW()-4,"0000"))</f>
        <v/>
      </c>
      <c r="B68" s="9" t="n"/>
      <c r="C68" s="9" t="n"/>
      <c r="D68" s="9" t="n"/>
      <c r="E68" s="10" t="n"/>
      <c r="F68" s="11" t="n"/>
      <c r="G68" s="10" t="n"/>
      <c r="H68" s="11" t="n"/>
      <c r="I68" s="8">
        <f>IF(OR($E68="",$G68=""),"",$G68-$E68+1)</f>
        <v/>
      </c>
      <c r="J68" s="8">
        <f>IF(OR($E68="",$G68=""),"",$G68-$E68)</f>
        <v/>
      </c>
      <c r="K68" s="9" t="n"/>
      <c r="L68" s="9" t="n"/>
      <c r="M68" s="9" t="n"/>
      <c r="N68" s="9" t="n"/>
      <c r="O68" s="9" t="n"/>
      <c r="P68" s="9" t="n"/>
      <c r="Q68" s="10" t="n"/>
      <c r="R68" s="9" t="n"/>
      <c r="S68" s="8">
        <f>IF($D68="","",IF(COUNTIF('M_部屋'!$A$4:$A$20,$D68)=0,"⚠部屋が未登録",IF(OR($E68="",$G68="",$K68="キャンセル"),"",IF(SUMPRODUCT(($D$5:$D$204=$D68)*($E$5:$E$204&lt;&gt;"")*($G$5:$G$204&lt;&gt;"")*($K$5:$K$204&lt;&gt;"キャンセル")*($E$5:$E$204&lt;$G68)*($G$5:$G$204&gt;$E68))&gt;1,"⚠重複",""))))</f>
        <v/>
      </c>
      <c r="T68" s="8">
        <f>IF(OR($B68="",$E68=""),"",IF(SUMPRODUCT(('M_利用者'!$A$4:$A$60=$B68)*('M_利用者'!$B$4:$B$60&lt;&gt;""))=0,"",IF(SUMIFS($U$5:$U$204,$B$5:$B$204,$B68,$E$5:$E$204,"&gt;="&amp;DATE(YEAR($E68),MONTH($E68),1),$E$5:$E$204,"&lt;="&amp;EOMONTH($E68,0))&gt;SUMIFS('M_利用者'!$B$4:$B$60,'M_利用者'!$A$4:$A$60,$B68),"⚠支給量超過","")))</f>
        <v/>
      </c>
      <c r="U68" s="8">
        <f>IF(OR($E68="",$G68="",$K68="キャンセル"),0,IF(IFERROR(INDEX('M_区分'!$B$4:$B$20,MATCH($C68,'M_区分'!$A$4:$A$20,0)),"○")="○",$G68-$E68+1,0))</f>
        <v/>
      </c>
    </row>
    <row r="69">
      <c r="A69" s="8">
        <f>IF($E69="","","SS-"&amp;TEXT(ROW()-4,"0000"))</f>
        <v/>
      </c>
      <c r="B69" s="9" t="n"/>
      <c r="C69" s="9" t="n"/>
      <c r="D69" s="9" t="n"/>
      <c r="E69" s="10" t="n"/>
      <c r="F69" s="11" t="n"/>
      <c r="G69" s="10" t="n"/>
      <c r="H69" s="11" t="n"/>
      <c r="I69" s="8">
        <f>IF(OR($E69="",$G69=""),"",$G69-$E69+1)</f>
        <v/>
      </c>
      <c r="J69" s="8">
        <f>IF(OR($E69="",$G69=""),"",$G69-$E69)</f>
        <v/>
      </c>
      <c r="K69" s="9" t="n"/>
      <c r="L69" s="9" t="n"/>
      <c r="M69" s="9" t="n"/>
      <c r="N69" s="9" t="n"/>
      <c r="O69" s="9" t="n"/>
      <c r="P69" s="9" t="n"/>
      <c r="Q69" s="10" t="n"/>
      <c r="R69" s="9" t="n"/>
      <c r="S69" s="8">
        <f>IF($D69="","",IF(COUNTIF('M_部屋'!$A$4:$A$20,$D69)=0,"⚠部屋が未登録",IF(OR($E69="",$G69="",$K69="キャンセル"),"",IF(SUMPRODUCT(($D$5:$D$204=$D69)*($E$5:$E$204&lt;&gt;"")*($G$5:$G$204&lt;&gt;"")*($K$5:$K$204&lt;&gt;"キャンセル")*($E$5:$E$204&lt;$G69)*($G$5:$G$204&gt;$E69))&gt;1,"⚠重複",""))))</f>
        <v/>
      </c>
      <c r="T69" s="8">
        <f>IF(OR($B69="",$E69=""),"",IF(SUMPRODUCT(('M_利用者'!$A$4:$A$60=$B69)*('M_利用者'!$B$4:$B$60&lt;&gt;""))=0,"",IF(SUMIFS($U$5:$U$204,$B$5:$B$204,$B69,$E$5:$E$204,"&gt;="&amp;DATE(YEAR($E69),MONTH($E69),1),$E$5:$E$204,"&lt;="&amp;EOMONTH($E69,0))&gt;SUMIFS('M_利用者'!$B$4:$B$60,'M_利用者'!$A$4:$A$60,$B69),"⚠支給量超過","")))</f>
        <v/>
      </c>
      <c r="U69" s="8">
        <f>IF(OR($E69="",$G69="",$K69="キャンセル"),0,IF(IFERROR(INDEX('M_区分'!$B$4:$B$20,MATCH($C69,'M_区分'!$A$4:$A$20,0)),"○")="○",$G69-$E69+1,0))</f>
        <v/>
      </c>
    </row>
    <row r="70">
      <c r="A70" s="8">
        <f>IF($E70="","","SS-"&amp;TEXT(ROW()-4,"0000"))</f>
        <v/>
      </c>
      <c r="B70" s="9" t="n"/>
      <c r="C70" s="9" t="n"/>
      <c r="D70" s="9" t="n"/>
      <c r="E70" s="10" t="n"/>
      <c r="F70" s="11" t="n"/>
      <c r="G70" s="10" t="n"/>
      <c r="H70" s="11" t="n"/>
      <c r="I70" s="8">
        <f>IF(OR($E70="",$G70=""),"",$G70-$E70+1)</f>
        <v/>
      </c>
      <c r="J70" s="8">
        <f>IF(OR($E70="",$G70=""),"",$G70-$E70)</f>
        <v/>
      </c>
      <c r="K70" s="9" t="n"/>
      <c r="L70" s="9" t="n"/>
      <c r="M70" s="9" t="n"/>
      <c r="N70" s="9" t="n"/>
      <c r="O70" s="9" t="n"/>
      <c r="P70" s="9" t="n"/>
      <c r="Q70" s="10" t="n"/>
      <c r="R70" s="9" t="n"/>
      <c r="S70" s="8">
        <f>IF($D70="","",IF(COUNTIF('M_部屋'!$A$4:$A$20,$D70)=0,"⚠部屋が未登録",IF(OR($E70="",$G70="",$K70="キャンセル"),"",IF(SUMPRODUCT(($D$5:$D$204=$D70)*($E$5:$E$204&lt;&gt;"")*($G$5:$G$204&lt;&gt;"")*($K$5:$K$204&lt;&gt;"キャンセル")*($E$5:$E$204&lt;$G70)*($G$5:$G$204&gt;$E70))&gt;1,"⚠重複",""))))</f>
        <v/>
      </c>
      <c r="T70" s="8">
        <f>IF(OR($B70="",$E70=""),"",IF(SUMPRODUCT(('M_利用者'!$A$4:$A$60=$B70)*('M_利用者'!$B$4:$B$60&lt;&gt;""))=0,"",IF(SUMIFS($U$5:$U$204,$B$5:$B$204,$B70,$E$5:$E$204,"&gt;="&amp;DATE(YEAR($E70),MONTH($E70),1),$E$5:$E$204,"&lt;="&amp;EOMONTH($E70,0))&gt;SUMIFS('M_利用者'!$B$4:$B$60,'M_利用者'!$A$4:$A$60,$B70),"⚠支給量超過","")))</f>
        <v/>
      </c>
      <c r="U70" s="8">
        <f>IF(OR($E70="",$G70="",$K70="キャンセル"),0,IF(IFERROR(INDEX('M_区分'!$B$4:$B$20,MATCH($C70,'M_区分'!$A$4:$A$20,0)),"○")="○",$G70-$E70+1,0))</f>
        <v/>
      </c>
    </row>
    <row r="71">
      <c r="A71" s="8">
        <f>IF($E71="","","SS-"&amp;TEXT(ROW()-4,"0000"))</f>
        <v/>
      </c>
      <c r="B71" s="9" t="n"/>
      <c r="C71" s="9" t="n"/>
      <c r="D71" s="9" t="n"/>
      <c r="E71" s="10" t="n"/>
      <c r="F71" s="11" t="n"/>
      <c r="G71" s="10" t="n"/>
      <c r="H71" s="11" t="n"/>
      <c r="I71" s="8">
        <f>IF(OR($E71="",$G71=""),"",$G71-$E71+1)</f>
        <v/>
      </c>
      <c r="J71" s="8">
        <f>IF(OR($E71="",$G71=""),"",$G71-$E71)</f>
        <v/>
      </c>
      <c r="K71" s="9" t="n"/>
      <c r="L71" s="9" t="n"/>
      <c r="M71" s="9" t="n"/>
      <c r="N71" s="9" t="n"/>
      <c r="O71" s="9" t="n"/>
      <c r="P71" s="9" t="n"/>
      <c r="Q71" s="10" t="n"/>
      <c r="R71" s="9" t="n"/>
      <c r="S71" s="8">
        <f>IF($D71="","",IF(COUNTIF('M_部屋'!$A$4:$A$20,$D71)=0,"⚠部屋が未登録",IF(OR($E71="",$G71="",$K71="キャンセル"),"",IF(SUMPRODUCT(($D$5:$D$204=$D71)*($E$5:$E$204&lt;&gt;"")*($G$5:$G$204&lt;&gt;"")*($K$5:$K$204&lt;&gt;"キャンセル")*($E$5:$E$204&lt;$G71)*($G$5:$G$204&gt;$E71))&gt;1,"⚠重複",""))))</f>
        <v/>
      </c>
      <c r="T71" s="8">
        <f>IF(OR($B71="",$E71=""),"",IF(SUMPRODUCT(('M_利用者'!$A$4:$A$60=$B71)*('M_利用者'!$B$4:$B$60&lt;&gt;""))=0,"",IF(SUMIFS($U$5:$U$204,$B$5:$B$204,$B71,$E$5:$E$204,"&gt;="&amp;DATE(YEAR($E71),MONTH($E71),1),$E$5:$E$204,"&lt;="&amp;EOMONTH($E71,0))&gt;SUMIFS('M_利用者'!$B$4:$B$60,'M_利用者'!$A$4:$A$60,$B71),"⚠支給量超過","")))</f>
        <v/>
      </c>
      <c r="U71" s="8">
        <f>IF(OR($E71="",$G71="",$K71="キャンセル"),0,IF(IFERROR(INDEX('M_区分'!$B$4:$B$20,MATCH($C71,'M_区分'!$A$4:$A$20,0)),"○")="○",$G71-$E71+1,0))</f>
        <v/>
      </c>
    </row>
    <row r="72">
      <c r="A72" s="8">
        <f>IF($E72="","","SS-"&amp;TEXT(ROW()-4,"0000"))</f>
        <v/>
      </c>
      <c r="B72" s="9" t="n"/>
      <c r="C72" s="9" t="n"/>
      <c r="D72" s="9" t="n"/>
      <c r="E72" s="10" t="n"/>
      <c r="F72" s="11" t="n"/>
      <c r="G72" s="10" t="n"/>
      <c r="H72" s="11" t="n"/>
      <c r="I72" s="8">
        <f>IF(OR($E72="",$G72=""),"",$G72-$E72+1)</f>
        <v/>
      </c>
      <c r="J72" s="8">
        <f>IF(OR($E72="",$G72=""),"",$G72-$E72)</f>
        <v/>
      </c>
      <c r="K72" s="9" t="n"/>
      <c r="L72" s="9" t="n"/>
      <c r="M72" s="9" t="n"/>
      <c r="N72" s="9" t="n"/>
      <c r="O72" s="9" t="n"/>
      <c r="P72" s="9" t="n"/>
      <c r="Q72" s="10" t="n"/>
      <c r="R72" s="9" t="n"/>
      <c r="S72" s="8">
        <f>IF($D72="","",IF(COUNTIF('M_部屋'!$A$4:$A$20,$D72)=0,"⚠部屋が未登録",IF(OR($E72="",$G72="",$K72="キャンセル"),"",IF(SUMPRODUCT(($D$5:$D$204=$D72)*($E$5:$E$204&lt;&gt;"")*($G$5:$G$204&lt;&gt;"")*($K$5:$K$204&lt;&gt;"キャンセル")*($E$5:$E$204&lt;$G72)*($G$5:$G$204&gt;$E72))&gt;1,"⚠重複",""))))</f>
        <v/>
      </c>
      <c r="T72" s="8">
        <f>IF(OR($B72="",$E72=""),"",IF(SUMPRODUCT(('M_利用者'!$A$4:$A$60=$B72)*('M_利用者'!$B$4:$B$60&lt;&gt;""))=0,"",IF(SUMIFS($U$5:$U$204,$B$5:$B$204,$B72,$E$5:$E$204,"&gt;="&amp;DATE(YEAR($E72),MONTH($E72),1),$E$5:$E$204,"&lt;="&amp;EOMONTH($E72,0))&gt;SUMIFS('M_利用者'!$B$4:$B$60,'M_利用者'!$A$4:$A$60,$B72),"⚠支給量超過","")))</f>
        <v/>
      </c>
      <c r="U72" s="8">
        <f>IF(OR($E72="",$G72="",$K72="キャンセル"),0,IF(IFERROR(INDEX('M_区分'!$B$4:$B$20,MATCH($C72,'M_区分'!$A$4:$A$20,0)),"○")="○",$G72-$E72+1,0))</f>
        <v/>
      </c>
    </row>
    <row r="73">
      <c r="A73" s="8">
        <f>IF($E73="","","SS-"&amp;TEXT(ROW()-4,"0000"))</f>
        <v/>
      </c>
      <c r="B73" s="9" t="n"/>
      <c r="C73" s="9" t="n"/>
      <c r="D73" s="9" t="n"/>
      <c r="E73" s="10" t="n"/>
      <c r="F73" s="11" t="n"/>
      <c r="G73" s="10" t="n"/>
      <c r="H73" s="11" t="n"/>
      <c r="I73" s="8">
        <f>IF(OR($E73="",$G73=""),"",$G73-$E73+1)</f>
        <v/>
      </c>
      <c r="J73" s="8">
        <f>IF(OR($E73="",$G73=""),"",$G73-$E73)</f>
        <v/>
      </c>
      <c r="K73" s="9" t="n"/>
      <c r="L73" s="9" t="n"/>
      <c r="M73" s="9" t="n"/>
      <c r="N73" s="9" t="n"/>
      <c r="O73" s="9" t="n"/>
      <c r="P73" s="9" t="n"/>
      <c r="Q73" s="10" t="n"/>
      <c r="R73" s="9" t="n"/>
      <c r="S73" s="8">
        <f>IF($D73="","",IF(COUNTIF('M_部屋'!$A$4:$A$20,$D73)=0,"⚠部屋が未登録",IF(OR($E73="",$G73="",$K73="キャンセル"),"",IF(SUMPRODUCT(($D$5:$D$204=$D73)*($E$5:$E$204&lt;&gt;"")*($G$5:$G$204&lt;&gt;"")*($K$5:$K$204&lt;&gt;"キャンセル")*($E$5:$E$204&lt;$G73)*($G$5:$G$204&gt;$E73))&gt;1,"⚠重複",""))))</f>
        <v/>
      </c>
      <c r="T73" s="8">
        <f>IF(OR($B73="",$E73=""),"",IF(SUMPRODUCT(('M_利用者'!$A$4:$A$60=$B73)*('M_利用者'!$B$4:$B$60&lt;&gt;""))=0,"",IF(SUMIFS($U$5:$U$204,$B$5:$B$204,$B73,$E$5:$E$204,"&gt;="&amp;DATE(YEAR($E73),MONTH($E73),1),$E$5:$E$204,"&lt;="&amp;EOMONTH($E73,0))&gt;SUMIFS('M_利用者'!$B$4:$B$60,'M_利用者'!$A$4:$A$60,$B73),"⚠支給量超過","")))</f>
        <v/>
      </c>
      <c r="U73" s="8">
        <f>IF(OR($E73="",$G73="",$K73="キャンセル"),0,IF(IFERROR(INDEX('M_区分'!$B$4:$B$20,MATCH($C73,'M_区分'!$A$4:$A$20,0)),"○")="○",$G73-$E73+1,0))</f>
        <v/>
      </c>
    </row>
    <row r="74">
      <c r="A74" s="8">
        <f>IF($E74="","","SS-"&amp;TEXT(ROW()-4,"0000"))</f>
        <v/>
      </c>
      <c r="B74" s="9" t="n"/>
      <c r="C74" s="9" t="n"/>
      <c r="D74" s="9" t="n"/>
      <c r="E74" s="10" t="n"/>
      <c r="F74" s="11" t="n"/>
      <c r="G74" s="10" t="n"/>
      <c r="H74" s="11" t="n"/>
      <c r="I74" s="8">
        <f>IF(OR($E74="",$G74=""),"",$G74-$E74+1)</f>
        <v/>
      </c>
      <c r="J74" s="8">
        <f>IF(OR($E74="",$G74=""),"",$G74-$E74)</f>
        <v/>
      </c>
      <c r="K74" s="9" t="n"/>
      <c r="L74" s="9" t="n"/>
      <c r="M74" s="9" t="n"/>
      <c r="N74" s="9" t="n"/>
      <c r="O74" s="9" t="n"/>
      <c r="P74" s="9" t="n"/>
      <c r="Q74" s="10" t="n"/>
      <c r="R74" s="9" t="n"/>
      <c r="S74" s="8">
        <f>IF($D74="","",IF(COUNTIF('M_部屋'!$A$4:$A$20,$D74)=0,"⚠部屋が未登録",IF(OR($E74="",$G74="",$K74="キャンセル"),"",IF(SUMPRODUCT(($D$5:$D$204=$D74)*($E$5:$E$204&lt;&gt;"")*($G$5:$G$204&lt;&gt;"")*($K$5:$K$204&lt;&gt;"キャンセル")*($E$5:$E$204&lt;$G74)*($G$5:$G$204&gt;$E74))&gt;1,"⚠重複",""))))</f>
        <v/>
      </c>
      <c r="T74" s="8">
        <f>IF(OR($B74="",$E74=""),"",IF(SUMPRODUCT(('M_利用者'!$A$4:$A$60=$B74)*('M_利用者'!$B$4:$B$60&lt;&gt;""))=0,"",IF(SUMIFS($U$5:$U$204,$B$5:$B$204,$B74,$E$5:$E$204,"&gt;="&amp;DATE(YEAR($E74),MONTH($E74),1),$E$5:$E$204,"&lt;="&amp;EOMONTH($E74,0))&gt;SUMIFS('M_利用者'!$B$4:$B$60,'M_利用者'!$A$4:$A$60,$B74),"⚠支給量超過","")))</f>
        <v/>
      </c>
      <c r="U74" s="8">
        <f>IF(OR($E74="",$G74="",$K74="キャンセル"),0,IF(IFERROR(INDEX('M_区分'!$B$4:$B$20,MATCH($C74,'M_区分'!$A$4:$A$20,0)),"○")="○",$G74-$E74+1,0))</f>
        <v/>
      </c>
    </row>
    <row r="75">
      <c r="A75" s="8">
        <f>IF($E75="","","SS-"&amp;TEXT(ROW()-4,"0000"))</f>
        <v/>
      </c>
      <c r="B75" s="9" t="n"/>
      <c r="C75" s="9" t="n"/>
      <c r="D75" s="9" t="n"/>
      <c r="E75" s="10" t="n"/>
      <c r="F75" s="11" t="n"/>
      <c r="G75" s="10" t="n"/>
      <c r="H75" s="11" t="n"/>
      <c r="I75" s="8">
        <f>IF(OR($E75="",$G75=""),"",$G75-$E75+1)</f>
        <v/>
      </c>
      <c r="J75" s="8">
        <f>IF(OR($E75="",$G75=""),"",$G75-$E75)</f>
        <v/>
      </c>
      <c r="K75" s="9" t="n"/>
      <c r="L75" s="9" t="n"/>
      <c r="M75" s="9" t="n"/>
      <c r="N75" s="9" t="n"/>
      <c r="O75" s="9" t="n"/>
      <c r="P75" s="9" t="n"/>
      <c r="Q75" s="10" t="n"/>
      <c r="R75" s="9" t="n"/>
      <c r="S75" s="8">
        <f>IF($D75="","",IF(COUNTIF('M_部屋'!$A$4:$A$20,$D75)=0,"⚠部屋が未登録",IF(OR($E75="",$G75="",$K75="キャンセル"),"",IF(SUMPRODUCT(($D$5:$D$204=$D75)*($E$5:$E$204&lt;&gt;"")*($G$5:$G$204&lt;&gt;"")*($K$5:$K$204&lt;&gt;"キャンセル")*($E$5:$E$204&lt;$G75)*($G$5:$G$204&gt;$E75))&gt;1,"⚠重複",""))))</f>
        <v/>
      </c>
      <c r="T75" s="8">
        <f>IF(OR($B75="",$E75=""),"",IF(SUMPRODUCT(('M_利用者'!$A$4:$A$60=$B75)*('M_利用者'!$B$4:$B$60&lt;&gt;""))=0,"",IF(SUMIFS($U$5:$U$204,$B$5:$B$204,$B75,$E$5:$E$204,"&gt;="&amp;DATE(YEAR($E75),MONTH($E75),1),$E$5:$E$204,"&lt;="&amp;EOMONTH($E75,0))&gt;SUMIFS('M_利用者'!$B$4:$B$60,'M_利用者'!$A$4:$A$60,$B75),"⚠支給量超過","")))</f>
        <v/>
      </c>
      <c r="U75" s="8">
        <f>IF(OR($E75="",$G75="",$K75="キャンセル"),0,IF(IFERROR(INDEX('M_区分'!$B$4:$B$20,MATCH($C75,'M_区分'!$A$4:$A$20,0)),"○")="○",$G75-$E75+1,0))</f>
        <v/>
      </c>
    </row>
    <row r="76">
      <c r="A76" s="8">
        <f>IF($E76="","","SS-"&amp;TEXT(ROW()-4,"0000"))</f>
        <v/>
      </c>
      <c r="B76" s="9" t="n"/>
      <c r="C76" s="9" t="n"/>
      <c r="D76" s="9" t="n"/>
      <c r="E76" s="10" t="n"/>
      <c r="F76" s="11" t="n"/>
      <c r="G76" s="10" t="n"/>
      <c r="H76" s="11" t="n"/>
      <c r="I76" s="8">
        <f>IF(OR($E76="",$G76=""),"",$G76-$E76+1)</f>
        <v/>
      </c>
      <c r="J76" s="8">
        <f>IF(OR($E76="",$G76=""),"",$G76-$E76)</f>
        <v/>
      </c>
      <c r="K76" s="9" t="n"/>
      <c r="L76" s="9" t="n"/>
      <c r="M76" s="9" t="n"/>
      <c r="N76" s="9" t="n"/>
      <c r="O76" s="9" t="n"/>
      <c r="P76" s="9" t="n"/>
      <c r="Q76" s="10" t="n"/>
      <c r="R76" s="9" t="n"/>
      <c r="S76" s="8">
        <f>IF($D76="","",IF(COUNTIF('M_部屋'!$A$4:$A$20,$D76)=0,"⚠部屋が未登録",IF(OR($E76="",$G76="",$K76="キャンセル"),"",IF(SUMPRODUCT(($D$5:$D$204=$D76)*($E$5:$E$204&lt;&gt;"")*($G$5:$G$204&lt;&gt;"")*($K$5:$K$204&lt;&gt;"キャンセル")*($E$5:$E$204&lt;$G76)*($G$5:$G$204&gt;$E76))&gt;1,"⚠重複",""))))</f>
        <v/>
      </c>
      <c r="T76" s="8">
        <f>IF(OR($B76="",$E76=""),"",IF(SUMPRODUCT(('M_利用者'!$A$4:$A$60=$B76)*('M_利用者'!$B$4:$B$60&lt;&gt;""))=0,"",IF(SUMIFS($U$5:$U$204,$B$5:$B$204,$B76,$E$5:$E$204,"&gt;="&amp;DATE(YEAR($E76),MONTH($E76),1),$E$5:$E$204,"&lt;="&amp;EOMONTH($E76,0))&gt;SUMIFS('M_利用者'!$B$4:$B$60,'M_利用者'!$A$4:$A$60,$B76),"⚠支給量超過","")))</f>
        <v/>
      </c>
      <c r="U76" s="8">
        <f>IF(OR($E76="",$G76="",$K76="キャンセル"),0,IF(IFERROR(INDEX('M_区分'!$B$4:$B$20,MATCH($C76,'M_区分'!$A$4:$A$20,0)),"○")="○",$G76-$E76+1,0))</f>
        <v/>
      </c>
    </row>
    <row r="77">
      <c r="A77" s="8">
        <f>IF($E77="","","SS-"&amp;TEXT(ROW()-4,"0000"))</f>
        <v/>
      </c>
      <c r="B77" s="9" t="n"/>
      <c r="C77" s="9" t="n"/>
      <c r="D77" s="9" t="n"/>
      <c r="E77" s="10" t="n"/>
      <c r="F77" s="11" t="n"/>
      <c r="G77" s="10" t="n"/>
      <c r="H77" s="11" t="n"/>
      <c r="I77" s="8">
        <f>IF(OR($E77="",$G77=""),"",$G77-$E77+1)</f>
        <v/>
      </c>
      <c r="J77" s="8">
        <f>IF(OR($E77="",$G77=""),"",$G77-$E77)</f>
        <v/>
      </c>
      <c r="K77" s="9" t="n"/>
      <c r="L77" s="9" t="n"/>
      <c r="M77" s="9" t="n"/>
      <c r="N77" s="9" t="n"/>
      <c r="O77" s="9" t="n"/>
      <c r="P77" s="9" t="n"/>
      <c r="Q77" s="10" t="n"/>
      <c r="R77" s="9" t="n"/>
      <c r="S77" s="8">
        <f>IF($D77="","",IF(COUNTIF('M_部屋'!$A$4:$A$20,$D77)=0,"⚠部屋が未登録",IF(OR($E77="",$G77="",$K77="キャンセル"),"",IF(SUMPRODUCT(($D$5:$D$204=$D77)*($E$5:$E$204&lt;&gt;"")*($G$5:$G$204&lt;&gt;"")*($K$5:$K$204&lt;&gt;"キャンセル")*($E$5:$E$204&lt;$G77)*($G$5:$G$204&gt;$E77))&gt;1,"⚠重複",""))))</f>
        <v/>
      </c>
      <c r="T77" s="8">
        <f>IF(OR($B77="",$E77=""),"",IF(SUMPRODUCT(('M_利用者'!$A$4:$A$60=$B77)*('M_利用者'!$B$4:$B$60&lt;&gt;""))=0,"",IF(SUMIFS($U$5:$U$204,$B$5:$B$204,$B77,$E$5:$E$204,"&gt;="&amp;DATE(YEAR($E77),MONTH($E77),1),$E$5:$E$204,"&lt;="&amp;EOMONTH($E77,0))&gt;SUMIFS('M_利用者'!$B$4:$B$60,'M_利用者'!$A$4:$A$60,$B77),"⚠支給量超過","")))</f>
        <v/>
      </c>
      <c r="U77" s="8">
        <f>IF(OR($E77="",$G77="",$K77="キャンセル"),0,IF(IFERROR(INDEX('M_区分'!$B$4:$B$20,MATCH($C77,'M_区分'!$A$4:$A$20,0)),"○")="○",$G77-$E77+1,0))</f>
        <v/>
      </c>
    </row>
    <row r="78">
      <c r="A78" s="8">
        <f>IF($E78="","","SS-"&amp;TEXT(ROW()-4,"0000"))</f>
        <v/>
      </c>
      <c r="B78" s="9" t="n"/>
      <c r="C78" s="9" t="n"/>
      <c r="D78" s="9" t="n"/>
      <c r="E78" s="10" t="n"/>
      <c r="F78" s="11" t="n"/>
      <c r="G78" s="10" t="n"/>
      <c r="H78" s="11" t="n"/>
      <c r="I78" s="8">
        <f>IF(OR($E78="",$G78=""),"",$G78-$E78+1)</f>
        <v/>
      </c>
      <c r="J78" s="8">
        <f>IF(OR($E78="",$G78=""),"",$G78-$E78)</f>
        <v/>
      </c>
      <c r="K78" s="9" t="n"/>
      <c r="L78" s="9" t="n"/>
      <c r="M78" s="9" t="n"/>
      <c r="N78" s="9" t="n"/>
      <c r="O78" s="9" t="n"/>
      <c r="P78" s="9" t="n"/>
      <c r="Q78" s="10" t="n"/>
      <c r="R78" s="9" t="n"/>
      <c r="S78" s="8">
        <f>IF($D78="","",IF(COUNTIF('M_部屋'!$A$4:$A$20,$D78)=0,"⚠部屋が未登録",IF(OR($E78="",$G78="",$K78="キャンセル"),"",IF(SUMPRODUCT(($D$5:$D$204=$D78)*($E$5:$E$204&lt;&gt;"")*($G$5:$G$204&lt;&gt;"")*($K$5:$K$204&lt;&gt;"キャンセル")*($E$5:$E$204&lt;$G78)*($G$5:$G$204&gt;$E78))&gt;1,"⚠重複",""))))</f>
        <v/>
      </c>
      <c r="T78" s="8">
        <f>IF(OR($B78="",$E78=""),"",IF(SUMPRODUCT(('M_利用者'!$A$4:$A$60=$B78)*('M_利用者'!$B$4:$B$60&lt;&gt;""))=0,"",IF(SUMIFS($U$5:$U$204,$B$5:$B$204,$B78,$E$5:$E$204,"&gt;="&amp;DATE(YEAR($E78),MONTH($E78),1),$E$5:$E$204,"&lt;="&amp;EOMONTH($E78,0))&gt;SUMIFS('M_利用者'!$B$4:$B$60,'M_利用者'!$A$4:$A$60,$B78),"⚠支給量超過","")))</f>
        <v/>
      </c>
      <c r="U78" s="8">
        <f>IF(OR($E78="",$G78="",$K78="キャンセル"),0,IF(IFERROR(INDEX('M_区分'!$B$4:$B$20,MATCH($C78,'M_区分'!$A$4:$A$20,0)),"○")="○",$G78-$E78+1,0))</f>
        <v/>
      </c>
    </row>
    <row r="79">
      <c r="A79" s="8">
        <f>IF($E79="","","SS-"&amp;TEXT(ROW()-4,"0000"))</f>
        <v/>
      </c>
      <c r="B79" s="9" t="n"/>
      <c r="C79" s="9" t="n"/>
      <c r="D79" s="9" t="n"/>
      <c r="E79" s="10" t="n"/>
      <c r="F79" s="11" t="n"/>
      <c r="G79" s="10" t="n"/>
      <c r="H79" s="11" t="n"/>
      <c r="I79" s="8">
        <f>IF(OR($E79="",$G79=""),"",$G79-$E79+1)</f>
        <v/>
      </c>
      <c r="J79" s="8">
        <f>IF(OR($E79="",$G79=""),"",$G79-$E79)</f>
        <v/>
      </c>
      <c r="K79" s="9" t="n"/>
      <c r="L79" s="9" t="n"/>
      <c r="M79" s="9" t="n"/>
      <c r="N79" s="9" t="n"/>
      <c r="O79" s="9" t="n"/>
      <c r="P79" s="9" t="n"/>
      <c r="Q79" s="10" t="n"/>
      <c r="R79" s="9" t="n"/>
      <c r="S79" s="8">
        <f>IF($D79="","",IF(COUNTIF('M_部屋'!$A$4:$A$20,$D79)=0,"⚠部屋が未登録",IF(OR($E79="",$G79="",$K79="キャンセル"),"",IF(SUMPRODUCT(($D$5:$D$204=$D79)*($E$5:$E$204&lt;&gt;"")*($G$5:$G$204&lt;&gt;"")*($K$5:$K$204&lt;&gt;"キャンセル")*($E$5:$E$204&lt;$G79)*($G$5:$G$204&gt;$E79))&gt;1,"⚠重複",""))))</f>
        <v/>
      </c>
      <c r="T79" s="8">
        <f>IF(OR($B79="",$E79=""),"",IF(SUMPRODUCT(('M_利用者'!$A$4:$A$60=$B79)*('M_利用者'!$B$4:$B$60&lt;&gt;""))=0,"",IF(SUMIFS($U$5:$U$204,$B$5:$B$204,$B79,$E$5:$E$204,"&gt;="&amp;DATE(YEAR($E79),MONTH($E79),1),$E$5:$E$204,"&lt;="&amp;EOMONTH($E79,0))&gt;SUMIFS('M_利用者'!$B$4:$B$60,'M_利用者'!$A$4:$A$60,$B79),"⚠支給量超過","")))</f>
        <v/>
      </c>
      <c r="U79" s="8">
        <f>IF(OR($E79="",$G79="",$K79="キャンセル"),0,IF(IFERROR(INDEX('M_区分'!$B$4:$B$20,MATCH($C79,'M_区分'!$A$4:$A$20,0)),"○")="○",$G79-$E79+1,0))</f>
        <v/>
      </c>
    </row>
    <row r="80">
      <c r="A80" s="8">
        <f>IF($E80="","","SS-"&amp;TEXT(ROW()-4,"0000"))</f>
        <v/>
      </c>
      <c r="B80" s="9" t="n"/>
      <c r="C80" s="9" t="n"/>
      <c r="D80" s="9" t="n"/>
      <c r="E80" s="10" t="n"/>
      <c r="F80" s="11" t="n"/>
      <c r="G80" s="10" t="n"/>
      <c r="H80" s="11" t="n"/>
      <c r="I80" s="8">
        <f>IF(OR($E80="",$G80=""),"",$G80-$E80+1)</f>
        <v/>
      </c>
      <c r="J80" s="8">
        <f>IF(OR($E80="",$G80=""),"",$G80-$E80)</f>
        <v/>
      </c>
      <c r="K80" s="9" t="n"/>
      <c r="L80" s="9" t="n"/>
      <c r="M80" s="9" t="n"/>
      <c r="N80" s="9" t="n"/>
      <c r="O80" s="9" t="n"/>
      <c r="P80" s="9" t="n"/>
      <c r="Q80" s="10" t="n"/>
      <c r="R80" s="9" t="n"/>
      <c r="S80" s="8">
        <f>IF($D80="","",IF(COUNTIF('M_部屋'!$A$4:$A$20,$D80)=0,"⚠部屋が未登録",IF(OR($E80="",$G80="",$K80="キャンセル"),"",IF(SUMPRODUCT(($D$5:$D$204=$D80)*($E$5:$E$204&lt;&gt;"")*($G$5:$G$204&lt;&gt;"")*($K$5:$K$204&lt;&gt;"キャンセル")*($E$5:$E$204&lt;$G80)*($G$5:$G$204&gt;$E80))&gt;1,"⚠重複",""))))</f>
        <v/>
      </c>
      <c r="T80" s="8">
        <f>IF(OR($B80="",$E80=""),"",IF(SUMPRODUCT(('M_利用者'!$A$4:$A$60=$B80)*('M_利用者'!$B$4:$B$60&lt;&gt;""))=0,"",IF(SUMIFS($U$5:$U$204,$B$5:$B$204,$B80,$E$5:$E$204,"&gt;="&amp;DATE(YEAR($E80),MONTH($E80),1),$E$5:$E$204,"&lt;="&amp;EOMONTH($E80,0))&gt;SUMIFS('M_利用者'!$B$4:$B$60,'M_利用者'!$A$4:$A$60,$B80),"⚠支給量超過","")))</f>
        <v/>
      </c>
      <c r="U80" s="8">
        <f>IF(OR($E80="",$G80="",$K80="キャンセル"),0,IF(IFERROR(INDEX('M_区分'!$B$4:$B$20,MATCH($C80,'M_区分'!$A$4:$A$20,0)),"○")="○",$G80-$E80+1,0))</f>
        <v/>
      </c>
    </row>
    <row r="81">
      <c r="A81" s="8">
        <f>IF($E81="","","SS-"&amp;TEXT(ROW()-4,"0000"))</f>
        <v/>
      </c>
      <c r="B81" s="9" t="n"/>
      <c r="C81" s="9" t="n"/>
      <c r="D81" s="9" t="n"/>
      <c r="E81" s="10" t="n"/>
      <c r="F81" s="11" t="n"/>
      <c r="G81" s="10" t="n"/>
      <c r="H81" s="11" t="n"/>
      <c r="I81" s="8">
        <f>IF(OR($E81="",$G81=""),"",$G81-$E81+1)</f>
        <v/>
      </c>
      <c r="J81" s="8">
        <f>IF(OR($E81="",$G81=""),"",$G81-$E81)</f>
        <v/>
      </c>
      <c r="K81" s="9" t="n"/>
      <c r="L81" s="9" t="n"/>
      <c r="M81" s="9" t="n"/>
      <c r="N81" s="9" t="n"/>
      <c r="O81" s="9" t="n"/>
      <c r="P81" s="9" t="n"/>
      <c r="Q81" s="10" t="n"/>
      <c r="R81" s="9" t="n"/>
      <c r="S81" s="8">
        <f>IF($D81="","",IF(COUNTIF('M_部屋'!$A$4:$A$20,$D81)=0,"⚠部屋が未登録",IF(OR($E81="",$G81="",$K81="キャンセル"),"",IF(SUMPRODUCT(($D$5:$D$204=$D81)*($E$5:$E$204&lt;&gt;"")*($G$5:$G$204&lt;&gt;"")*($K$5:$K$204&lt;&gt;"キャンセル")*($E$5:$E$204&lt;$G81)*($G$5:$G$204&gt;$E81))&gt;1,"⚠重複",""))))</f>
        <v/>
      </c>
      <c r="T81" s="8">
        <f>IF(OR($B81="",$E81=""),"",IF(SUMPRODUCT(('M_利用者'!$A$4:$A$60=$B81)*('M_利用者'!$B$4:$B$60&lt;&gt;""))=0,"",IF(SUMIFS($U$5:$U$204,$B$5:$B$204,$B81,$E$5:$E$204,"&gt;="&amp;DATE(YEAR($E81),MONTH($E81),1),$E$5:$E$204,"&lt;="&amp;EOMONTH($E81,0))&gt;SUMIFS('M_利用者'!$B$4:$B$60,'M_利用者'!$A$4:$A$60,$B81),"⚠支給量超過","")))</f>
        <v/>
      </c>
      <c r="U81" s="8">
        <f>IF(OR($E81="",$G81="",$K81="キャンセル"),0,IF(IFERROR(INDEX('M_区分'!$B$4:$B$20,MATCH($C81,'M_区分'!$A$4:$A$20,0)),"○")="○",$G81-$E81+1,0))</f>
        <v/>
      </c>
    </row>
    <row r="82">
      <c r="A82" s="8">
        <f>IF($E82="","","SS-"&amp;TEXT(ROW()-4,"0000"))</f>
        <v/>
      </c>
      <c r="B82" s="9" t="n"/>
      <c r="C82" s="9" t="n"/>
      <c r="D82" s="9" t="n"/>
      <c r="E82" s="10" t="n"/>
      <c r="F82" s="11" t="n"/>
      <c r="G82" s="10" t="n"/>
      <c r="H82" s="11" t="n"/>
      <c r="I82" s="8">
        <f>IF(OR($E82="",$G82=""),"",$G82-$E82+1)</f>
        <v/>
      </c>
      <c r="J82" s="8">
        <f>IF(OR($E82="",$G82=""),"",$G82-$E82)</f>
        <v/>
      </c>
      <c r="K82" s="9" t="n"/>
      <c r="L82" s="9" t="n"/>
      <c r="M82" s="9" t="n"/>
      <c r="N82" s="9" t="n"/>
      <c r="O82" s="9" t="n"/>
      <c r="P82" s="9" t="n"/>
      <c r="Q82" s="10" t="n"/>
      <c r="R82" s="9" t="n"/>
      <c r="S82" s="8">
        <f>IF($D82="","",IF(COUNTIF('M_部屋'!$A$4:$A$20,$D82)=0,"⚠部屋が未登録",IF(OR($E82="",$G82="",$K82="キャンセル"),"",IF(SUMPRODUCT(($D$5:$D$204=$D82)*($E$5:$E$204&lt;&gt;"")*($G$5:$G$204&lt;&gt;"")*($K$5:$K$204&lt;&gt;"キャンセル")*($E$5:$E$204&lt;$G82)*($G$5:$G$204&gt;$E82))&gt;1,"⚠重複",""))))</f>
        <v/>
      </c>
      <c r="T82" s="8">
        <f>IF(OR($B82="",$E82=""),"",IF(SUMPRODUCT(('M_利用者'!$A$4:$A$60=$B82)*('M_利用者'!$B$4:$B$60&lt;&gt;""))=0,"",IF(SUMIFS($U$5:$U$204,$B$5:$B$204,$B82,$E$5:$E$204,"&gt;="&amp;DATE(YEAR($E82),MONTH($E82),1),$E$5:$E$204,"&lt;="&amp;EOMONTH($E82,0))&gt;SUMIFS('M_利用者'!$B$4:$B$60,'M_利用者'!$A$4:$A$60,$B82),"⚠支給量超過","")))</f>
        <v/>
      </c>
      <c r="U82" s="8">
        <f>IF(OR($E82="",$G82="",$K82="キャンセル"),0,IF(IFERROR(INDEX('M_区分'!$B$4:$B$20,MATCH($C82,'M_区分'!$A$4:$A$20,0)),"○")="○",$G82-$E82+1,0))</f>
        <v/>
      </c>
    </row>
    <row r="83">
      <c r="A83" s="8">
        <f>IF($E83="","","SS-"&amp;TEXT(ROW()-4,"0000"))</f>
        <v/>
      </c>
      <c r="B83" s="9" t="n"/>
      <c r="C83" s="9" t="n"/>
      <c r="D83" s="9" t="n"/>
      <c r="E83" s="10" t="n"/>
      <c r="F83" s="11" t="n"/>
      <c r="G83" s="10" t="n"/>
      <c r="H83" s="11" t="n"/>
      <c r="I83" s="8">
        <f>IF(OR($E83="",$G83=""),"",$G83-$E83+1)</f>
        <v/>
      </c>
      <c r="J83" s="8">
        <f>IF(OR($E83="",$G83=""),"",$G83-$E83)</f>
        <v/>
      </c>
      <c r="K83" s="9" t="n"/>
      <c r="L83" s="9" t="n"/>
      <c r="M83" s="9" t="n"/>
      <c r="N83" s="9" t="n"/>
      <c r="O83" s="9" t="n"/>
      <c r="P83" s="9" t="n"/>
      <c r="Q83" s="10" t="n"/>
      <c r="R83" s="9" t="n"/>
      <c r="S83" s="8">
        <f>IF($D83="","",IF(COUNTIF('M_部屋'!$A$4:$A$20,$D83)=0,"⚠部屋が未登録",IF(OR($E83="",$G83="",$K83="キャンセル"),"",IF(SUMPRODUCT(($D$5:$D$204=$D83)*($E$5:$E$204&lt;&gt;"")*($G$5:$G$204&lt;&gt;"")*($K$5:$K$204&lt;&gt;"キャンセル")*($E$5:$E$204&lt;$G83)*($G$5:$G$204&gt;$E83))&gt;1,"⚠重複",""))))</f>
        <v/>
      </c>
      <c r="T83" s="8">
        <f>IF(OR($B83="",$E83=""),"",IF(SUMPRODUCT(('M_利用者'!$A$4:$A$60=$B83)*('M_利用者'!$B$4:$B$60&lt;&gt;""))=0,"",IF(SUMIFS($U$5:$U$204,$B$5:$B$204,$B83,$E$5:$E$204,"&gt;="&amp;DATE(YEAR($E83),MONTH($E83),1),$E$5:$E$204,"&lt;="&amp;EOMONTH($E83,0))&gt;SUMIFS('M_利用者'!$B$4:$B$60,'M_利用者'!$A$4:$A$60,$B83),"⚠支給量超過","")))</f>
        <v/>
      </c>
      <c r="U83" s="8">
        <f>IF(OR($E83="",$G83="",$K83="キャンセル"),0,IF(IFERROR(INDEX('M_区分'!$B$4:$B$20,MATCH($C83,'M_区分'!$A$4:$A$20,0)),"○")="○",$G83-$E83+1,0))</f>
        <v/>
      </c>
    </row>
    <row r="84">
      <c r="A84" s="8">
        <f>IF($E84="","","SS-"&amp;TEXT(ROW()-4,"0000"))</f>
        <v/>
      </c>
      <c r="B84" s="9" t="n"/>
      <c r="C84" s="9" t="n"/>
      <c r="D84" s="9" t="n"/>
      <c r="E84" s="10" t="n"/>
      <c r="F84" s="11" t="n"/>
      <c r="G84" s="10" t="n"/>
      <c r="H84" s="11" t="n"/>
      <c r="I84" s="8">
        <f>IF(OR($E84="",$G84=""),"",$G84-$E84+1)</f>
        <v/>
      </c>
      <c r="J84" s="8">
        <f>IF(OR($E84="",$G84=""),"",$G84-$E84)</f>
        <v/>
      </c>
      <c r="K84" s="9" t="n"/>
      <c r="L84" s="9" t="n"/>
      <c r="M84" s="9" t="n"/>
      <c r="N84" s="9" t="n"/>
      <c r="O84" s="9" t="n"/>
      <c r="P84" s="9" t="n"/>
      <c r="Q84" s="10" t="n"/>
      <c r="R84" s="9" t="n"/>
      <c r="S84" s="8">
        <f>IF($D84="","",IF(COUNTIF('M_部屋'!$A$4:$A$20,$D84)=0,"⚠部屋が未登録",IF(OR($E84="",$G84="",$K84="キャンセル"),"",IF(SUMPRODUCT(($D$5:$D$204=$D84)*($E$5:$E$204&lt;&gt;"")*($G$5:$G$204&lt;&gt;"")*($K$5:$K$204&lt;&gt;"キャンセル")*($E$5:$E$204&lt;$G84)*($G$5:$G$204&gt;$E84))&gt;1,"⚠重複",""))))</f>
        <v/>
      </c>
      <c r="T84" s="8">
        <f>IF(OR($B84="",$E84=""),"",IF(SUMPRODUCT(('M_利用者'!$A$4:$A$60=$B84)*('M_利用者'!$B$4:$B$60&lt;&gt;""))=0,"",IF(SUMIFS($U$5:$U$204,$B$5:$B$204,$B84,$E$5:$E$204,"&gt;="&amp;DATE(YEAR($E84),MONTH($E84),1),$E$5:$E$204,"&lt;="&amp;EOMONTH($E84,0))&gt;SUMIFS('M_利用者'!$B$4:$B$60,'M_利用者'!$A$4:$A$60,$B84),"⚠支給量超過","")))</f>
        <v/>
      </c>
      <c r="U84" s="8">
        <f>IF(OR($E84="",$G84="",$K84="キャンセル"),0,IF(IFERROR(INDEX('M_区分'!$B$4:$B$20,MATCH($C84,'M_区分'!$A$4:$A$20,0)),"○")="○",$G84-$E84+1,0))</f>
        <v/>
      </c>
    </row>
    <row r="85">
      <c r="A85" s="8">
        <f>IF($E85="","","SS-"&amp;TEXT(ROW()-4,"0000"))</f>
        <v/>
      </c>
      <c r="B85" s="9" t="n"/>
      <c r="C85" s="9" t="n"/>
      <c r="D85" s="9" t="n"/>
      <c r="E85" s="10" t="n"/>
      <c r="F85" s="11" t="n"/>
      <c r="G85" s="10" t="n"/>
      <c r="H85" s="11" t="n"/>
      <c r="I85" s="8">
        <f>IF(OR($E85="",$G85=""),"",$G85-$E85+1)</f>
        <v/>
      </c>
      <c r="J85" s="8">
        <f>IF(OR($E85="",$G85=""),"",$G85-$E85)</f>
        <v/>
      </c>
      <c r="K85" s="9" t="n"/>
      <c r="L85" s="9" t="n"/>
      <c r="M85" s="9" t="n"/>
      <c r="N85" s="9" t="n"/>
      <c r="O85" s="9" t="n"/>
      <c r="P85" s="9" t="n"/>
      <c r="Q85" s="10" t="n"/>
      <c r="R85" s="9" t="n"/>
      <c r="S85" s="8">
        <f>IF($D85="","",IF(COUNTIF('M_部屋'!$A$4:$A$20,$D85)=0,"⚠部屋が未登録",IF(OR($E85="",$G85="",$K85="キャンセル"),"",IF(SUMPRODUCT(($D$5:$D$204=$D85)*($E$5:$E$204&lt;&gt;"")*($G$5:$G$204&lt;&gt;"")*($K$5:$K$204&lt;&gt;"キャンセル")*($E$5:$E$204&lt;$G85)*($G$5:$G$204&gt;$E85))&gt;1,"⚠重複",""))))</f>
        <v/>
      </c>
      <c r="T85" s="8">
        <f>IF(OR($B85="",$E85=""),"",IF(SUMPRODUCT(('M_利用者'!$A$4:$A$60=$B85)*('M_利用者'!$B$4:$B$60&lt;&gt;""))=0,"",IF(SUMIFS($U$5:$U$204,$B$5:$B$204,$B85,$E$5:$E$204,"&gt;="&amp;DATE(YEAR($E85),MONTH($E85),1),$E$5:$E$204,"&lt;="&amp;EOMONTH($E85,0))&gt;SUMIFS('M_利用者'!$B$4:$B$60,'M_利用者'!$A$4:$A$60,$B85),"⚠支給量超過","")))</f>
        <v/>
      </c>
      <c r="U85" s="8">
        <f>IF(OR($E85="",$G85="",$K85="キャンセル"),0,IF(IFERROR(INDEX('M_区分'!$B$4:$B$20,MATCH($C85,'M_区分'!$A$4:$A$20,0)),"○")="○",$G85-$E85+1,0))</f>
        <v/>
      </c>
    </row>
    <row r="86">
      <c r="A86" s="8">
        <f>IF($E86="","","SS-"&amp;TEXT(ROW()-4,"0000"))</f>
        <v/>
      </c>
      <c r="B86" s="9" t="n"/>
      <c r="C86" s="9" t="n"/>
      <c r="D86" s="9" t="n"/>
      <c r="E86" s="10" t="n"/>
      <c r="F86" s="11" t="n"/>
      <c r="G86" s="10" t="n"/>
      <c r="H86" s="11" t="n"/>
      <c r="I86" s="8">
        <f>IF(OR($E86="",$G86=""),"",$G86-$E86+1)</f>
        <v/>
      </c>
      <c r="J86" s="8">
        <f>IF(OR($E86="",$G86=""),"",$G86-$E86)</f>
        <v/>
      </c>
      <c r="K86" s="9" t="n"/>
      <c r="L86" s="9" t="n"/>
      <c r="M86" s="9" t="n"/>
      <c r="N86" s="9" t="n"/>
      <c r="O86" s="9" t="n"/>
      <c r="P86" s="9" t="n"/>
      <c r="Q86" s="10" t="n"/>
      <c r="R86" s="9" t="n"/>
      <c r="S86" s="8">
        <f>IF($D86="","",IF(COUNTIF('M_部屋'!$A$4:$A$20,$D86)=0,"⚠部屋が未登録",IF(OR($E86="",$G86="",$K86="キャンセル"),"",IF(SUMPRODUCT(($D$5:$D$204=$D86)*($E$5:$E$204&lt;&gt;"")*($G$5:$G$204&lt;&gt;"")*($K$5:$K$204&lt;&gt;"キャンセル")*($E$5:$E$204&lt;$G86)*($G$5:$G$204&gt;$E86))&gt;1,"⚠重複",""))))</f>
        <v/>
      </c>
      <c r="T86" s="8">
        <f>IF(OR($B86="",$E86=""),"",IF(SUMPRODUCT(('M_利用者'!$A$4:$A$60=$B86)*('M_利用者'!$B$4:$B$60&lt;&gt;""))=0,"",IF(SUMIFS($U$5:$U$204,$B$5:$B$204,$B86,$E$5:$E$204,"&gt;="&amp;DATE(YEAR($E86),MONTH($E86),1),$E$5:$E$204,"&lt;="&amp;EOMONTH($E86,0))&gt;SUMIFS('M_利用者'!$B$4:$B$60,'M_利用者'!$A$4:$A$60,$B86),"⚠支給量超過","")))</f>
        <v/>
      </c>
      <c r="U86" s="8">
        <f>IF(OR($E86="",$G86="",$K86="キャンセル"),0,IF(IFERROR(INDEX('M_区分'!$B$4:$B$20,MATCH($C86,'M_区分'!$A$4:$A$20,0)),"○")="○",$G86-$E86+1,0))</f>
        <v/>
      </c>
    </row>
    <row r="87">
      <c r="A87" s="8">
        <f>IF($E87="","","SS-"&amp;TEXT(ROW()-4,"0000"))</f>
        <v/>
      </c>
      <c r="B87" s="9" t="n"/>
      <c r="C87" s="9" t="n"/>
      <c r="D87" s="9" t="n"/>
      <c r="E87" s="10" t="n"/>
      <c r="F87" s="11" t="n"/>
      <c r="G87" s="10" t="n"/>
      <c r="H87" s="11" t="n"/>
      <c r="I87" s="8">
        <f>IF(OR($E87="",$G87=""),"",$G87-$E87+1)</f>
        <v/>
      </c>
      <c r="J87" s="8">
        <f>IF(OR($E87="",$G87=""),"",$G87-$E87)</f>
        <v/>
      </c>
      <c r="K87" s="9" t="n"/>
      <c r="L87" s="9" t="n"/>
      <c r="M87" s="9" t="n"/>
      <c r="N87" s="9" t="n"/>
      <c r="O87" s="9" t="n"/>
      <c r="P87" s="9" t="n"/>
      <c r="Q87" s="10" t="n"/>
      <c r="R87" s="9" t="n"/>
      <c r="S87" s="8">
        <f>IF($D87="","",IF(COUNTIF('M_部屋'!$A$4:$A$20,$D87)=0,"⚠部屋が未登録",IF(OR($E87="",$G87="",$K87="キャンセル"),"",IF(SUMPRODUCT(($D$5:$D$204=$D87)*($E$5:$E$204&lt;&gt;"")*($G$5:$G$204&lt;&gt;"")*($K$5:$K$204&lt;&gt;"キャンセル")*($E$5:$E$204&lt;$G87)*($G$5:$G$204&gt;$E87))&gt;1,"⚠重複",""))))</f>
        <v/>
      </c>
      <c r="T87" s="8">
        <f>IF(OR($B87="",$E87=""),"",IF(SUMPRODUCT(('M_利用者'!$A$4:$A$60=$B87)*('M_利用者'!$B$4:$B$60&lt;&gt;""))=0,"",IF(SUMIFS($U$5:$U$204,$B$5:$B$204,$B87,$E$5:$E$204,"&gt;="&amp;DATE(YEAR($E87),MONTH($E87),1),$E$5:$E$204,"&lt;="&amp;EOMONTH($E87,0))&gt;SUMIFS('M_利用者'!$B$4:$B$60,'M_利用者'!$A$4:$A$60,$B87),"⚠支給量超過","")))</f>
        <v/>
      </c>
      <c r="U87" s="8">
        <f>IF(OR($E87="",$G87="",$K87="キャンセル"),0,IF(IFERROR(INDEX('M_区分'!$B$4:$B$20,MATCH($C87,'M_区分'!$A$4:$A$20,0)),"○")="○",$G87-$E87+1,0))</f>
        <v/>
      </c>
    </row>
    <row r="88">
      <c r="A88" s="8">
        <f>IF($E88="","","SS-"&amp;TEXT(ROW()-4,"0000"))</f>
        <v/>
      </c>
      <c r="B88" s="9" t="n"/>
      <c r="C88" s="9" t="n"/>
      <c r="D88" s="9" t="n"/>
      <c r="E88" s="10" t="n"/>
      <c r="F88" s="11" t="n"/>
      <c r="G88" s="10" t="n"/>
      <c r="H88" s="11" t="n"/>
      <c r="I88" s="8">
        <f>IF(OR($E88="",$G88=""),"",$G88-$E88+1)</f>
        <v/>
      </c>
      <c r="J88" s="8">
        <f>IF(OR($E88="",$G88=""),"",$G88-$E88)</f>
        <v/>
      </c>
      <c r="K88" s="9" t="n"/>
      <c r="L88" s="9" t="n"/>
      <c r="M88" s="9" t="n"/>
      <c r="N88" s="9" t="n"/>
      <c r="O88" s="9" t="n"/>
      <c r="P88" s="9" t="n"/>
      <c r="Q88" s="10" t="n"/>
      <c r="R88" s="9" t="n"/>
      <c r="S88" s="8">
        <f>IF($D88="","",IF(COUNTIF('M_部屋'!$A$4:$A$20,$D88)=0,"⚠部屋が未登録",IF(OR($E88="",$G88="",$K88="キャンセル"),"",IF(SUMPRODUCT(($D$5:$D$204=$D88)*($E$5:$E$204&lt;&gt;"")*($G$5:$G$204&lt;&gt;"")*($K$5:$K$204&lt;&gt;"キャンセル")*($E$5:$E$204&lt;$G88)*($G$5:$G$204&gt;$E88))&gt;1,"⚠重複",""))))</f>
        <v/>
      </c>
      <c r="T88" s="8">
        <f>IF(OR($B88="",$E88=""),"",IF(SUMPRODUCT(('M_利用者'!$A$4:$A$60=$B88)*('M_利用者'!$B$4:$B$60&lt;&gt;""))=0,"",IF(SUMIFS($U$5:$U$204,$B$5:$B$204,$B88,$E$5:$E$204,"&gt;="&amp;DATE(YEAR($E88),MONTH($E88),1),$E$5:$E$204,"&lt;="&amp;EOMONTH($E88,0))&gt;SUMIFS('M_利用者'!$B$4:$B$60,'M_利用者'!$A$4:$A$60,$B88),"⚠支給量超過","")))</f>
        <v/>
      </c>
      <c r="U88" s="8">
        <f>IF(OR($E88="",$G88="",$K88="キャンセル"),0,IF(IFERROR(INDEX('M_区分'!$B$4:$B$20,MATCH($C88,'M_区分'!$A$4:$A$20,0)),"○")="○",$G88-$E88+1,0))</f>
        <v/>
      </c>
    </row>
    <row r="89">
      <c r="A89" s="8">
        <f>IF($E89="","","SS-"&amp;TEXT(ROW()-4,"0000"))</f>
        <v/>
      </c>
      <c r="B89" s="9" t="n"/>
      <c r="C89" s="9" t="n"/>
      <c r="D89" s="9" t="n"/>
      <c r="E89" s="10" t="n"/>
      <c r="F89" s="11" t="n"/>
      <c r="G89" s="10" t="n"/>
      <c r="H89" s="11" t="n"/>
      <c r="I89" s="8">
        <f>IF(OR($E89="",$G89=""),"",$G89-$E89+1)</f>
        <v/>
      </c>
      <c r="J89" s="8">
        <f>IF(OR($E89="",$G89=""),"",$G89-$E89)</f>
        <v/>
      </c>
      <c r="K89" s="9" t="n"/>
      <c r="L89" s="9" t="n"/>
      <c r="M89" s="9" t="n"/>
      <c r="N89" s="9" t="n"/>
      <c r="O89" s="9" t="n"/>
      <c r="P89" s="9" t="n"/>
      <c r="Q89" s="10" t="n"/>
      <c r="R89" s="9" t="n"/>
      <c r="S89" s="8">
        <f>IF($D89="","",IF(COUNTIF('M_部屋'!$A$4:$A$20,$D89)=0,"⚠部屋が未登録",IF(OR($E89="",$G89="",$K89="キャンセル"),"",IF(SUMPRODUCT(($D$5:$D$204=$D89)*($E$5:$E$204&lt;&gt;"")*($G$5:$G$204&lt;&gt;"")*($K$5:$K$204&lt;&gt;"キャンセル")*($E$5:$E$204&lt;$G89)*($G$5:$G$204&gt;$E89))&gt;1,"⚠重複",""))))</f>
        <v/>
      </c>
      <c r="T89" s="8">
        <f>IF(OR($B89="",$E89=""),"",IF(SUMPRODUCT(('M_利用者'!$A$4:$A$60=$B89)*('M_利用者'!$B$4:$B$60&lt;&gt;""))=0,"",IF(SUMIFS($U$5:$U$204,$B$5:$B$204,$B89,$E$5:$E$204,"&gt;="&amp;DATE(YEAR($E89),MONTH($E89),1),$E$5:$E$204,"&lt;="&amp;EOMONTH($E89,0))&gt;SUMIFS('M_利用者'!$B$4:$B$60,'M_利用者'!$A$4:$A$60,$B89),"⚠支給量超過","")))</f>
        <v/>
      </c>
      <c r="U89" s="8">
        <f>IF(OR($E89="",$G89="",$K89="キャンセル"),0,IF(IFERROR(INDEX('M_区分'!$B$4:$B$20,MATCH($C89,'M_区分'!$A$4:$A$20,0)),"○")="○",$G89-$E89+1,0))</f>
        <v/>
      </c>
    </row>
    <row r="90">
      <c r="A90" s="8">
        <f>IF($E90="","","SS-"&amp;TEXT(ROW()-4,"0000"))</f>
        <v/>
      </c>
      <c r="B90" s="9" t="n"/>
      <c r="C90" s="9" t="n"/>
      <c r="D90" s="9" t="n"/>
      <c r="E90" s="10" t="n"/>
      <c r="F90" s="11" t="n"/>
      <c r="G90" s="10" t="n"/>
      <c r="H90" s="11" t="n"/>
      <c r="I90" s="8">
        <f>IF(OR($E90="",$G90=""),"",$G90-$E90+1)</f>
        <v/>
      </c>
      <c r="J90" s="8">
        <f>IF(OR($E90="",$G90=""),"",$G90-$E90)</f>
        <v/>
      </c>
      <c r="K90" s="9" t="n"/>
      <c r="L90" s="9" t="n"/>
      <c r="M90" s="9" t="n"/>
      <c r="N90" s="9" t="n"/>
      <c r="O90" s="9" t="n"/>
      <c r="P90" s="9" t="n"/>
      <c r="Q90" s="10" t="n"/>
      <c r="R90" s="9" t="n"/>
      <c r="S90" s="8">
        <f>IF($D90="","",IF(COUNTIF('M_部屋'!$A$4:$A$20,$D90)=0,"⚠部屋が未登録",IF(OR($E90="",$G90="",$K90="キャンセル"),"",IF(SUMPRODUCT(($D$5:$D$204=$D90)*($E$5:$E$204&lt;&gt;"")*($G$5:$G$204&lt;&gt;"")*($K$5:$K$204&lt;&gt;"キャンセル")*($E$5:$E$204&lt;$G90)*($G$5:$G$204&gt;$E90))&gt;1,"⚠重複",""))))</f>
        <v/>
      </c>
      <c r="T90" s="8">
        <f>IF(OR($B90="",$E90=""),"",IF(SUMPRODUCT(('M_利用者'!$A$4:$A$60=$B90)*('M_利用者'!$B$4:$B$60&lt;&gt;""))=0,"",IF(SUMIFS($U$5:$U$204,$B$5:$B$204,$B90,$E$5:$E$204,"&gt;="&amp;DATE(YEAR($E90),MONTH($E90),1),$E$5:$E$204,"&lt;="&amp;EOMONTH($E90,0))&gt;SUMIFS('M_利用者'!$B$4:$B$60,'M_利用者'!$A$4:$A$60,$B90),"⚠支給量超過","")))</f>
        <v/>
      </c>
      <c r="U90" s="8">
        <f>IF(OR($E90="",$G90="",$K90="キャンセル"),0,IF(IFERROR(INDEX('M_区分'!$B$4:$B$20,MATCH($C90,'M_区分'!$A$4:$A$20,0)),"○")="○",$G90-$E90+1,0))</f>
        <v/>
      </c>
    </row>
    <row r="91">
      <c r="A91" s="8">
        <f>IF($E91="","","SS-"&amp;TEXT(ROW()-4,"0000"))</f>
        <v/>
      </c>
      <c r="B91" s="9" t="n"/>
      <c r="C91" s="9" t="n"/>
      <c r="D91" s="9" t="n"/>
      <c r="E91" s="10" t="n"/>
      <c r="F91" s="11" t="n"/>
      <c r="G91" s="10" t="n"/>
      <c r="H91" s="11" t="n"/>
      <c r="I91" s="8">
        <f>IF(OR($E91="",$G91=""),"",$G91-$E91+1)</f>
        <v/>
      </c>
      <c r="J91" s="8">
        <f>IF(OR($E91="",$G91=""),"",$G91-$E91)</f>
        <v/>
      </c>
      <c r="K91" s="9" t="n"/>
      <c r="L91" s="9" t="n"/>
      <c r="M91" s="9" t="n"/>
      <c r="N91" s="9" t="n"/>
      <c r="O91" s="9" t="n"/>
      <c r="P91" s="9" t="n"/>
      <c r="Q91" s="10" t="n"/>
      <c r="R91" s="9" t="n"/>
      <c r="S91" s="8">
        <f>IF($D91="","",IF(COUNTIF('M_部屋'!$A$4:$A$20,$D91)=0,"⚠部屋が未登録",IF(OR($E91="",$G91="",$K91="キャンセル"),"",IF(SUMPRODUCT(($D$5:$D$204=$D91)*($E$5:$E$204&lt;&gt;"")*($G$5:$G$204&lt;&gt;"")*($K$5:$K$204&lt;&gt;"キャンセル")*($E$5:$E$204&lt;$G91)*($G$5:$G$204&gt;$E91))&gt;1,"⚠重複",""))))</f>
        <v/>
      </c>
      <c r="T91" s="8">
        <f>IF(OR($B91="",$E91=""),"",IF(SUMPRODUCT(('M_利用者'!$A$4:$A$60=$B91)*('M_利用者'!$B$4:$B$60&lt;&gt;""))=0,"",IF(SUMIFS($U$5:$U$204,$B$5:$B$204,$B91,$E$5:$E$204,"&gt;="&amp;DATE(YEAR($E91),MONTH($E91),1),$E$5:$E$204,"&lt;="&amp;EOMONTH($E91,0))&gt;SUMIFS('M_利用者'!$B$4:$B$60,'M_利用者'!$A$4:$A$60,$B91),"⚠支給量超過","")))</f>
        <v/>
      </c>
      <c r="U91" s="8">
        <f>IF(OR($E91="",$G91="",$K91="キャンセル"),0,IF(IFERROR(INDEX('M_区分'!$B$4:$B$20,MATCH($C91,'M_区分'!$A$4:$A$20,0)),"○")="○",$G91-$E91+1,0))</f>
        <v/>
      </c>
    </row>
    <row r="92">
      <c r="A92" s="8">
        <f>IF($E92="","","SS-"&amp;TEXT(ROW()-4,"0000"))</f>
        <v/>
      </c>
      <c r="B92" s="9" t="n"/>
      <c r="C92" s="9" t="n"/>
      <c r="D92" s="9" t="n"/>
      <c r="E92" s="10" t="n"/>
      <c r="F92" s="11" t="n"/>
      <c r="G92" s="10" t="n"/>
      <c r="H92" s="11" t="n"/>
      <c r="I92" s="8">
        <f>IF(OR($E92="",$G92=""),"",$G92-$E92+1)</f>
        <v/>
      </c>
      <c r="J92" s="8">
        <f>IF(OR($E92="",$G92=""),"",$G92-$E92)</f>
        <v/>
      </c>
      <c r="K92" s="9" t="n"/>
      <c r="L92" s="9" t="n"/>
      <c r="M92" s="9" t="n"/>
      <c r="N92" s="9" t="n"/>
      <c r="O92" s="9" t="n"/>
      <c r="P92" s="9" t="n"/>
      <c r="Q92" s="10" t="n"/>
      <c r="R92" s="9" t="n"/>
      <c r="S92" s="8">
        <f>IF($D92="","",IF(COUNTIF('M_部屋'!$A$4:$A$20,$D92)=0,"⚠部屋が未登録",IF(OR($E92="",$G92="",$K92="キャンセル"),"",IF(SUMPRODUCT(($D$5:$D$204=$D92)*($E$5:$E$204&lt;&gt;"")*($G$5:$G$204&lt;&gt;"")*($K$5:$K$204&lt;&gt;"キャンセル")*($E$5:$E$204&lt;$G92)*($G$5:$G$204&gt;$E92))&gt;1,"⚠重複",""))))</f>
        <v/>
      </c>
      <c r="T92" s="8">
        <f>IF(OR($B92="",$E92=""),"",IF(SUMPRODUCT(('M_利用者'!$A$4:$A$60=$B92)*('M_利用者'!$B$4:$B$60&lt;&gt;""))=0,"",IF(SUMIFS($U$5:$U$204,$B$5:$B$204,$B92,$E$5:$E$204,"&gt;="&amp;DATE(YEAR($E92),MONTH($E92),1),$E$5:$E$204,"&lt;="&amp;EOMONTH($E92,0))&gt;SUMIFS('M_利用者'!$B$4:$B$60,'M_利用者'!$A$4:$A$60,$B92),"⚠支給量超過","")))</f>
        <v/>
      </c>
      <c r="U92" s="8">
        <f>IF(OR($E92="",$G92="",$K92="キャンセル"),0,IF(IFERROR(INDEX('M_区分'!$B$4:$B$20,MATCH($C92,'M_区分'!$A$4:$A$20,0)),"○")="○",$G92-$E92+1,0))</f>
        <v/>
      </c>
    </row>
    <row r="93">
      <c r="A93" s="8">
        <f>IF($E93="","","SS-"&amp;TEXT(ROW()-4,"0000"))</f>
        <v/>
      </c>
      <c r="B93" s="9" t="n"/>
      <c r="C93" s="9" t="n"/>
      <c r="D93" s="9" t="n"/>
      <c r="E93" s="10" t="n"/>
      <c r="F93" s="11" t="n"/>
      <c r="G93" s="10" t="n"/>
      <c r="H93" s="11" t="n"/>
      <c r="I93" s="8">
        <f>IF(OR($E93="",$G93=""),"",$G93-$E93+1)</f>
        <v/>
      </c>
      <c r="J93" s="8">
        <f>IF(OR($E93="",$G93=""),"",$G93-$E93)</f>
        <v/>
      </c>
      <c r="K93" s="9" t="n"/>
      <c r="L93" s="9" t="n"/>
      <c r="M93" s="9" t="n"/>
      <c r="N93" s="9" t="n"/>
      <c r="O93" s="9" t="n"/>
      <c r="P93" s="9" t="n"/>
      <c r="Q93" s="10" t="n"/>
      <c r="R93" s="9" t="n"/>
      <c r="S93" s="8">
        <f>IF($D93="","",IF(COUNTIF('M_部屋'!$A$4:$A$20,$D93)=0,"⚠部屋が未登録",IF(OR($E93="",$G93="",$K93="キャンセル"),"",IF(SUMPRODUCT(($D$5:$D$204=$D93)*($E$5:$E$204&lt;&gt;"")*($G$5:$G$204&lt;&gt;"")*($K$5:$K$204&lt;&gt;"キャンセル")*($E$5:$E$204&lt;$G93)*($G$5:$G$204&gt;$E93))&gt;1,"⚠重複",""))))</f>
        <v/>
      </c>
      <c r="T93" s="8">
        <f>IF(OR($B93="",$E93=""),"",IF(SUMPRODUCT(('M_利用者'!$A$4:$A$60=$B93)*('M_利用者'!$B$4:$B$60&lt;&gt;""))=0,"",IF(SUMIFS($U$5:$U$204,$B$5:$B$204,$B93,$E$5:$E$204,"&gt;="&amp;DATE(YEAR($E93),MONTH($E93),1),$E$5:$E$204,"&lt;="&amp;EOMONTH($E93,0))&gt;SUMIFS('M_利用者'!$B$4:$B$60,'M_利用者'!$A$4:$A$60,$B93),"⚠支給量超過","")))</f>
        <v/>
      </c>
      <c r="U93" s="8">
        <f>IF(OR($E93="",$G93="",$K93="キャンセル"),0,IF(IFERROR(INDEX('M_区分'!$B$4:$B$20,MATCH($C93,'M_区分'!$A$4:$A$20,0)),"○")="○",$G93-$E93+1,0))</f>
        <v/>
      </c>
    </row>
    <row r="94">
      <c r="A94" s="8">
        <f>IF($E94="","","SS-"&amp;TEXT(ROW()-4,"0000"))</f>
        <v/>
      </c>
      <c r="B94" s="9" t="n"/>
      <c r="C94" s="9" t="n"/>
      <c r="D94" s="9" t="n"/>
      <c r="E94" s="10" t="n"/>
      <c r="F94" s="11" t="n"/>
      <c r="G94" s="10" t="n"/>
      <c r="H94" s="11" t="n"/>
      <c r="I94" s="8">
        <f>IF(OR($E94="",$G94=""),"",$G94-$E94+1)</f>
        <v/>
      </c>
      <c r="J94" s="8">
        <f>IF(OR($E94="",$G94=""),"",$G94-$E94)</f>
        <v/>
      </c>
      <c r="K94" s="9" t="n"/>
      <c r="L94" s="9" t="n"/>
      <c r="M94" s="9" t="n"/>
      <c r="N94" s="9" t="n"/>
      <c r="O94" s="9" t="n"/>
      <c r="P94" s="9" t="n"/>
      <c r="Q94" s="10" t="n"/>
      <c r="R94" s="9" t="n"/>
      <c r="S94" s="8">
        <f>IF($D94="","",IF(COUNTIF('M_部屋'!$A$4:$A$20,$D94)=0,"⚠部屋が未登録",IF(OR($E94="",$G94="",$K94="キャンセル"),"",IF(SUMPRODUCT(($D$5:$D$204=$D94)*($E$5:$E$204&lt;&gt;"")*($G$5:$G$204&lt;&gt;"")*($K$5:$K$204&lt;&gt;"キャンセル")*($E$5:$E$204&lt;$G94)*($G$5:$G$204&gt;$E94))&gt;1,"⚠重複",""))))</f>
        <v/>
      </c>
      <c r="T94" s="8">
        <f>IF(OR($B94="",$E94=""),"",IF(SUMPRODUCT(('M_利用者'!$A$4:$A$60=$B94)*('M_利用者'!$B$4:$B$60&lt;&gt;""))=0,"",IF(SUMIFS($U$5:$U$204,$B$5:$B$204,$B94,$E$5:$E$204,"&gt;="&amp;DATE(YEAR($E94),MONTH($E94),1),$E$5:$E$204,"&lt;="&amp;EOMONTH($E94,0))&gt;SUMIFS('M_利用者'!$B$4:$B$60,'M_利用者'!$A$4:$A$60,$B94),"⚠支給量超過","")))</f>
        <v/>
      </c>
      <c r="U94" s="8">
        <f>IF(OR($E94="",$G94="",$K94="キャンセル"),0,IF(IFERROR(INDEX('M_区分'!$B$4:$B$20,MATCH($C94,'M_区分'!$A$4:$A$20,0)),"○")="○",$G94-$E94+1,0))</f>
        <v/>
      </c>
    </row>
    <row r="95">
      <c r="A95" s="8">
        <f>IF($E95="","","SS-"&amp;TEXT(ROW()-4,"0000"))</f>
        <v/>
      </c>
      <c r="B95" s="9" t="n"/>
      <c r="C95" s="9" t="n"/>
      <c r="D95" s="9" t="n"/>
      <c r="E95" s="10" t="n"/>
      <c r="F95" s="11" t="n"/>
      <c r="G95" s="10" t="n"/>
      <c r="H95" s="11" t="n"/>
      <c r="I95" s="8">
        <f>IF(OR($E95="",$G95=""),"",$G95-$E95+1)</f>
        <v/>
      </c>
      <c r="J95" s="8">
        <f>IF(OR($E95="",$G95=""),"",$G95-$E95)</f>
        <v/>
      </c>
      <c r="K95" s="9" t="n"/>
      <c r="L95" s="9" t="n"/>
      <c r="M95" s="9" t="n"/>
      <c r="N95" s="9" t="n"/>
      <c r="O95" s="9" t="n"/>
      <c r="P95" s="9" t="n"/>
      <c r="Q95" s="10" t="n"/>
      <c r="R95" s="9" t="n"/>
      <c r="S95" s="8">
        <f>IF($D95="","",IF(COUNTIF('M_部屋'!$A$4:$A$20,$D95)=0,"⚠部屋が未登録",IF(OR($E95="",$G95="",$K95="キャンセル"),"",IF(SUMPRODUCT(($D$5:$D$204=$D95)*($E$5:$E$204&lt;&gt;"")*($G$5:$G$204&lt;&gt;"")*($K$5:$K$204&lt;&gt;"キャンセル")*($E$5:$E$204&lt;$G95)*($G$5:$G$204&gt;$E95))&gt;1,"⚠重複",""))))</f>
        <v/>
      </c>
      <c r="T95" s="8">
        <f>IF(OR($B95="",$E95=""),"",IF(SUMPRODUCT(('M_利用者'!$A$4:$A$60=$B95)*('M_利用者'!$B$4:$B$60&lt;&gt;""))=0,"",IF(SUMIFS($U$5:$U$204,$B$5:$B$204,$B95,$E$5:$E$204,"&gt;="&amp;DATE(YEAR($E95),MONTH($E95),1),$E$5:$E$204,"&lt;="&amp;EOMONTH($E95,0))&gt;SUMIFS('M_利用者'!$B$4:$B$60,'M_利用者'!$A$4:$A$60,$B95),"⚠支給量超過","")))</f>
        <v/>
      </c>
      <c r="U95" s="8">
        <f>IF(OR($E95="",$G95="",$K95="キャンセル"),0,IF(IFERROR(INDEX('M_区分'!$B$4:$B$20,MATCH($C95,'M_区分'!$A$4:$A$20,0)),"○")="○",$G95-$E95+1,0))</f>
        <v/>
      </c>
    </row>
    <row r="96">
      <c r="A96" s="8">
        <f>IF($E96="","","SS-"&amp;TEXT(ROW()-4,"0000"))</f>
        <v/>
      </c>
      <c r="B96" s="9" t="n"/>
      <c r="C96" s="9" t="n"/>
      <c r="D96" s="9" t="n"/>
      <c r="E96" s="10" t="n"/>
      <c r="F96" s="11" t="n"/>
      <c r="G96" s="10" t="n"/>
      <c r="H96" s="11" t="n"/>
      <c r="I96" s="8">
        <f>IF(OR($E96="",$G96=""),"",$G96-$E96+1)</f>
        <v/>
      </c>
      <c r="J96" s="8">
        <f>IF(OR($E96="",$G96=""),"",$G96-$E96)</f>
        <v/>
      </c>
      <c r="K96" s="9" t="n"/>
      <c r="L96" s="9" t="n"/>
      <c r="M96" s="9" t="n"/>
      <c r="N96" s="9" t="n"/>
      <c r="O96" s="9" t="n"/>
      <c r="P96" s="9" t="n"/>
      <c r="Q96" s="10" t="n"/>
      <c r="R96" s="9" t="n"/>
      <c r="S96" s="8">
        <f>IF($D96="","",IF(COUNTIF('M_部屋'!$A$4:$A$20,$D96)=0,"⚠部屋が未登録",IF(OR($E96="",$G96="",$K96="キャンセル"),"",IF(SUMPRODUCT(($D$5:$D$204=$D96)*($E$5:$E$204&lt;&gt;"")*($G$5:$G$204&lt;&gt;"")*($K$5:$K$204&lt;&gt;"キャンセル")*($E$5:$E$204&lt;$G96)*($G$5:$G$204&gt;$E96))&gt;1,"⚠重複",""))))</f>
        <v/>
      </c>
      <c r="T96" s="8">
        <f>IF(OR($B96="",$E96=""),"",IF(SUMPRODUCT(('M_利用者'!$A$4:$A$60=$B96)*('M_利用者'!$B$4:$B$60&lt;&gt;""))=0,"",IF(SUMIFS($U$5:$U$204,$B$5:$B$204,$B96,$E$5:$E$204,"&gt;="&amp;DATE(YEAR($E96),MONTH($E96),1),$E$5:$E$204,"&lt;="&amp;EOMONTH($E96,0))&gt;SUMIFS('M_利用者'!$B$4:$B$60,'M_利用者'!$A$4:$A$60,$B96),"⚠支給量超過","")))</f>
        <v/>
      </c>
      <c r="U96" s="8">
        <f>IF(OR($E96="",$G96="",$K96="キャンセル"),0,IF(IFERROR(INDEX('M_区分'!$B$4:$B$20,MATCH($C96,'M_区分'!$A$4:$A$20,0)),"○")="○",$G96-$E96+1,0))</f>
        <v/>
      </c>
    </row>
    <row r="97">
      <c r="A97" s="8">
        <f>IF($E97="","","SS-"&amp;TEXT(ROW()-4,"0000"))</f>
        <v/>
      </c>
      <c r="B97" s="9" t="n"/>
      <c r="C97" s="9" t="n"/>
      <c r="D97" s="9" t="n"/>
      <c r="E97" s="10" t="n"/>
      <c r="F97" s="11" t="n"/>
      <c r="G97" s="10" t="n"/>
      <c r="H97" s="11" t="n"/>
      <c r="I97" s="8">
        <f>IF(OR($E97="",$G97=""),"",$G97-$E97+1)</f>
        <v/>
      </c>
      <c r="J97" s="8">
        <f>IF(OR($E97="",$G97=""),"",$G97-$E97)</f>
        <v/>
      </c>
      <c r="K97" s="9" t="n"/>
      <c r="L97" s="9" t="n"/>
      <c r="M97" s="9" t="n"/>
      <c r="N97" s="9" t="n"/>
      <c r="O97" s="9" t="n"/>
      <c r="P97" s="9" t="n"/>
      <c r="Q97" s="10" t="n"/>
      <c r="R97" s="9" t="n"/>
      <c r="S97" s="8">
        <f>IF($D97="","",IF(COUNTIF('M_部屋'!$A$4:$A$20,$D97)=0,"⚠部屋が未登録",IF(OR($E97="",$G97="",$K97="キャンセル"),"",IF(SUMPRODUCT(($D$5:$D$204=$D97)*($E$5:$E$204&lt;&gt;"")*($G$5:$G$204&lt;&gt;"")*($K$5:$K$204&lt;&gt;"キャンセル")*($E$5:$E$204&lt;$G97)*($G$5:$G$204&gt;$E97))&gt;1,"⚠重複",""))))</f>
        <v/>
      </c>
      <c r="T97" s="8">
        <f>IF(OR($B97="",$E97=""),"",IF(SUMPRODUCT(('M_利用者'!$A$4:$A$60=$B97)*('M_利用者'!$B$4:$B$60&lt;&gt;""))=0,"",IF(SUMIFS($U$5:$U$204,$B$5:$B$204,$B97,$E$5:$E$204,"&gt;="&amp;DATE(YEAR($E97),MONTH($E97),1),$E$5:$E$204,"&lt;="&amp;EOMONTH($E97,0))&gt;SUMIFS('M_利用者'!$B$4:$B$60,'M_利用者'!$A$4:$A$60,$B97),"⚠支給量超過","")))</f>
        <v/>
      </c>
      <c r="U97" s="8">
        <f>IF(OR($E97="",$G97="",$K97="キャンセル"),0,IF(IFERROR(INDEX('M_区分'!$B$4:$B$20,MATCH($C97,'M_区分'!$A$4:$A$20,0)),"○")="○",$G97-$E97+1,0))</f>
        <v/>
      </c>
    </row>
    <row r="98">
      <c r="A98" s="8">
        <f>IF($E98="","","SS-"&amp;TEXT(ROW()-4,"0000"))</f>
        <v/>
      </c>
      <c r="B98" s="9" t="n"/>
      <c r="C98" s="9" t="n"/>
      <c r="D98" s="9" t="n"/>
      <c r="E98" s="10" t="n"/>
      <c r="F98" s="11" t="n"/>
      <c r="G98" s="10" t="n"/>
      <c r="H98" s="11" t="n"/>
      <c r="I98" s="8">
        <f>IF(OR($E98="",$G98=""),"",$G98-$E98+1)</f>
        <v/>
      </c>
      <c r="J98" s="8">
        <f>IF(OR($E98="",$G98=""),"",$G98-$E98)</f>
        <v/>
      </c>
      <c r="K98" s="9" t="n"/>
      <c r="L98" s="9" t="n"/>
      <c r="M98" s="9" t="n"/>
      <c r="N98" s="9" t="n"/>
      <c r="O98" s="9" t="n"/>
      <c r="P98" s="9" t="n"/>
      <c r="Q98" s="10" t="n"/>
      <c r="R98" s="9" t="n"/>
      <c r="S98" s="8">
        <f>IF($D98="","",IF(COUNTIF('M_部屋'!$A$4:$A$20,$D98)=0,"⚠部屋が未登録",IF(OR($E98="",$G98="",$K98="キャンセル"),"",IF(SUMPRODUCT(($D$5:$D$204=$D98)*($E$5:$E$204&lt;&gt;"")*($G$5:$G$204&lt;&gt;"")*($K$5:$K$204&lt;&gt;"キャンセル")*($E$5:$E$204&lt;$G98)*($G$5:$G$204&gt;$E98))&gt;1,"⚠重複",""))))</f>
        <v/>
      </c>
      <c r="T98" s="8">
        <f>IF(OR($B98="",$E98=""),"",IF(SUMPRODUCT(('M_利用者'!$A$4:$A$60=$B98)*('M_利用者'!$B$4:$B$60&lt;&gt;""))=0,"",IF(SUMIFS($U$5:$U$204,$B$5:$B$204,$B98,$E$5:$E$204,"&gt;="&amp;DATE(YEAR($E98),MONTH($E98),1),$E$5:$E$204,"&lt;="&amp;EOMONTH($E98,0))&gt;SUMIFS('M_利用者'!$B$4:$B$60,'M_利用者'!$A$4:$A$60,$B98),"⚠支給量超過","")))</f>
        <v/>
      </c>
      <c r="U98" s="8">
        <f>IF(OR($E98="",$G98="",$K98="キャンセル"),0,IF(IFERROR(INDEX('M_区分'!$B$4:$B$20,MATCH($C98,'M_区分'!$A$4:$A$20,0)),"○")="○",$G98-$E98+1,0))</f>
        <v/>
      </c>
    </row>
    <row r="99">
      <c r="A99" s="8">
        <f>IF($E99="","","SS-"&amp;TEXT(ROW()-4,"0000"))</f>
        <v/>
      </c>
      <c r="B99" s="9" t="n"/>
      <c r="C99" s="9" t="n"/>
      <c r="D99" s="9" t="n"/>
      <c r="E99" s="10" t="n"/>
      <c r="F99" s="11" t="n"/>
      <c r="G99" s="10" t="n"/>
      <c r="H99" s="11" t="n"/>
      <c r="I99" s="8">
        <f>IF(OR($E99="",$G99=""),"",$G99-$E99+1)</f>
        <v/>
      </c>
      <c r="J99" s="8">
        <f>IF(OR($E99="",$G99=""),"",$G99-$E99)</f>
        <v/>
      </c>
      <c r="K99" s="9" t="n"/>
      <c r="L99" s="9" t="n"/>
      <c r="M99" s="9" t="n"/>
      <c r="N99" s="9" t="n"/>
      <c r="O99" s="9" t="n"/>
      <c r="P99" s="9" t="n"/>
      <c r="Q99" s="10" t="n"/>
      <c r="R99" s="9" t="n"/>
      <c r="S99" s="8">
        <f>IF($D99="","",IF(COUNTIF('M_部屋'!$A$4:$A$20,$D99)=0,"⚠部屋が未登録",IF(OR($E99="",$G99="",$K99="キャンセル"),"",IF(SUMPRODUCT(($D$5:$D$204=$D99)*($E$5:$E$204&lt;&gt;"")*($G$5:$G$204&lt;&gt;"")*($K$5:$K$204&lt;&gt;"キャンセル")*($E$5:$E$204&lt;$G99)*($G$5:$G$204&gt;$E99))&gt;1,"⚠重複",""))))</f>
        <v/>
      </c>
      <c r="T99" s="8">
        <f>IF(OR($B99="",$E99=""),"",IF(SUMPRODUCT(('M_利用者'!$A$4:$A$60=$B99)*('M_利用者'!$B$4:$B$60&lt;&gt;""))=0,"",IF(SUMIFS($U$5:$U$204,$B$5:$B$204,$B99,$E$5:$E$204,"&gt;="&amp;DATE(YEAR($E99),MONTH($E99),1),$E$5:$E$204,"&lt;="&amp;EOMONTH($E99,0))&gt;SUMIFS('M_利用者'!$B$4:$B$60,'M_利用者'!$A$4:$A$60,$B99),"⚠支給量超過","")))</f>
        <v/>
      </c>
      <c r="U99" s="8">
        <f>IF(OR($E99="",$G99="",$K99="キャンセル"),0,IF(IFERROR(INDEX('M_区分'!$B$4:$B$20,MATCH($C99,'M_区分'!$A$4:$A$20,0)),"○")="○",$G99-$E99+1,0))</f>
        <v/>
      </c>
    </row>
    <row r="100">
      <c r="A100" s="8">
        <f>IF($E100="","","SS-"&amp;TEXT(ROW()-4,"0000"))</f>
        <v/>
      </c>
      <c r="B100" s="9" t="n"/>
      <c r="C100" s="9" t="n"/>
      <c r="D100" s="9" t="n"/>
      <c r="E100" s="10" t="n"/>
      <c r="F100" s="11" t="n"/>
      <c r="G100" s="10" t="n"/>
      <c r="H100" s="11" t="n"/>
      <c r="I100" s="8">
        <f>IF(OR($E100="",$G100=""),"",$G100-$E100+1)</f>
        <v/>
      </c>
      <c r="J100" s="8">
        <f>IF(OR($E100="",$G100=""),"",$G100-$E100)</f>
        <v/>
      </c>
      <c r="K100" s="9" t="n"/>
      <c r="L100" s="9" t="n"/>
      <c r="M100" s="9" t="n"/>
      <c r="N100" s="9" t="n"/>
      <c r="O100" s="9" t="n"/>
      <c r="P100" s="9" t="n"/>
      <c r="Q100" s="10" t="n"/>
      <c r="R100" s="9" t="n"/>
      <c r="S100" s="8">
        <f>IF($D100="","",IF(COUNTIF('M_部屋'!$A$4:$A$20,$D100)=0,"⚠部屋が未登録",IF(OR($E100="",$G100="",$K100="キャンセル"),"",IF(SUMPRODUCT(($D$5:$D$204=$D100)*($E$5:$E$204&lt;&gt;"")*($G$5:$G$204&lt;&gt;"")*($K$5:$K$204&lt;&gt;"キャンセル")*($E$5:$E$204&lt;$G100)*($G$5:$G$204&gt;$E100))&gt;1,"⚠重複",""))))</f>
        <v/>
      </c>
      <c r="T100" s="8">
        <f>IF(OR($B100="",$E100=""),"",IF(SUMPRODUCT(('M_利用者'!$A$4:$A$60=$B100)*('M_利用者'!$B$4:$B$60&lt;&gt;""))=0,"",IF(SUMIFS($U$5:$U$204,$B$5:$B$204,$B100,$E$5:$E$204,"&gt;="&amp;DATE(YEAR($E100),MONTH($E100),1),$E$5:$E$204,"&lt;="&amp;EOMONTH($E100,0))&gt;SUMIFS('M_利用者'!$B$4:$B$60,'M_利用者'!$A$4:$A$60,$B100),"⚠支給量超過","")))</f>
        <v/>
      </c>
      <c r="U100" s="8">
        <f>IF(OR($E100="",$G100="",$K100="キャンセル"),0,IF(IFERROR(INDEX('M_区分'!$B$4:$B$20,MATCH($C100,'M_区分'!$A$4:$A$20,0)),"○")="○",$G100-$E100+1,0))</f>
        <v/>
      </c>
    </row>
    <row r="101">
      <c r="A101" s="8">
        <f>IF($E101="","","SS-"&amp;TEXT(ROW()-4,"0000"))</f>
        <v/>
      </c>
      <c r="B101" s="9" t="n"/>
      <c r="C101" s="9" t="n"/>
      <c r="D101" s="9" t="n"/>
      <c r="E101" s="10" t="n"/>
      <c r="F101" s="11" t="n"/>
      <c r="G101" s="10" t="n"/>
      <c r="H101" s="11" t="n"/>
      <c r="I101" s="8">
        <f>IF(OR($E101="",$G101=""),"",$G101-$E101+1)</f>
        <v/>
      </c>
      <c r="J101" s="8">
        <f>IF(OR($E101="",$G101=""),"",$G101-$E101)</f>
        <v/>
      </c>
      <c r="K101" s="9" t="n"/>
      <c r="L101" s="9" t="n"/>
      <c r="M101" s="9" t="n"/>
      <c r="N101" s="9" t="n"/>
      <c r="O101" s="9" t="n"/>
      <c r="P101" s="9" t="n"/>
      <c r="Q101" s="10" t="n"/>
      <c r="R101" s="9" t="n"/>
      <c r="S101" s="8">
        <f>IF($D101="","",IF(COUNTIF('M_部屋'!$A$4:$A$20,$D101)=0,"⚠部屋が未登録",IF(OR($E101="",$G101="",$K101="キャンセル"),"",IF(SUMPRODUCT(($D$5:$D$204=$D101)*($E$5:$E$204&lt;&gt;"")*($G$5:$G$204&lt;&gt;"")*($K$5:$K$204&lt;&gt;"キャンセル")*($E$5:$E$204&lt;$G101)*($G$5:$G$204&gt;$E101))&gt;1,"⚠重複",""))))</f>
        <v/>
      </c>
      <c r="T101" s="8">
        <f>IF(OR($B101="",$E101=""),"",IF(SUMPRODUCT(('M_利用者'!$A$4:$A$60=$B101)*('M_利用者'!$B$4:$B$60&lt;&gt;""))=0,"",IF(SUMIFS($U$5:$U$204,$B$5:$B$204,$B101,$E$5:$E$204,"&gt;="&amp;DATE(YEAR($E101),MONTH($E101),1),$E$5:$E$204,"&lt;="&amp;EOMONTH($E101,0))&gt;SUMIFS('M_利用者'!$B$4:$B$60,'M_利用者'!$A$4:$A$60,$B101),"⚠支給量超過","")))</f>
        <v/>
      </c>
      <c r="U101" s="8">
        <f>IF(OR($E101="",$G101="",$K101="キャンセル"),0,IF(IFERROR(INDEX('M_区分'!$B$4:$B$20,MATCH($C101,'M_区分'!$A$4:$A$20,0)),"○")="○",$G101-$E101+1,0))</f>
        <v/>
      </c>
    </row>
    <row r="102">
      <c r="A102" s="8">
        <f>IF($E102="","","SS-"&amp;TEXT(ROW()-4,"0000"))</f>
        <v/>
      </c>
      <c r="B102" s="9" t="n"/>
      <c r="C102" s="9" t="n"/>
      <c r="D102" s="9" t="n"/>
      <c r="E102" s="10" t="n"/>
      <c r="F102" s="11" t="n"/>
      <c r="G102" s="10" t="n"/>
      <c r="H102" s="11" t="n"/>
      <c r="I102" s="8">
        <f>IF(OR($E102="",$G102=""),"",$G102-$E102+1)</f>
        <v/>
      </c>
      <c r="J102" s="8">
        <f>IF(OR($E102="",$G102=""),"",$G102-$E102)</f>
        <v/>
      </c>
      <c r="K102" s="9" t="n"/>
      <c r="L102" s="9" t="n"/>
      <c r="M102" s="9" t="n"/>
      <c r="N102" s="9" t="n"/>
      <c r="O102" s="9" t="n"/>
      <c r="P102" s="9" t="n"/>
      <c r="Q102" s="10" t="n"/>
      <c r="R102" s="9" t="n"/>
      <c r="S102" s="8">
        <f>IF($D102="","",IF(COUNTIF('M_部屋'!$A$4:$A$20,$D102)=0,"⚠部屋が未登録",IF(OR($E102="",$G102="",$K102="キャンセル"),"",IF(SUMPRODUCT(($D$5:$D$204=$D102)*($E$5:$E$204&lt;&gt;"")*($G$5:$G$204&lt;&gt;"")*($K$5:$K$204&lt;&gt;"キャンセル")*($E$5:$E$204&lt;$G102)*($G$5:$G$204&gt;$E102))&gt;1,"⚠重複",""))))</f>
        <v/>
      </c>
      <c r="T102" s="8">
        <f>IF(OR($B102="",$E102=""),"",IF(SUMPRODUCT(('M_利用者'!$A$4:$A$60=$B102)*('M_利用者'!$B$4:$B$60&lt;&gt;""))=0,"",IF(SUMIFS($U$5:$U$204,$B$5:$B$204,$B102,$E$5:$E$204,"&gt;="&amp;DATE(YEAR($E102),MONTH($E102),1),$E$5:$E$204,"&lt;="&amp;EOMONTH($E102,0))&gt;SUMIFS('M_利用者'!$B$4:$B$60,'M_利用者'!$A$4:$A$60,$B102),"⚠支給量超過","")))</f>
        <v/>
      </c>
      <c r="U102" s="8">
        <f>IF(OR($E102="",$G102="",$K102="キャンセル"),0,IF(IFERROR(INDEX('M_区分'!$B$4:$B$20,MATCH($C102,'M_区分'!$A$4:$A$20,0)),"○")="○",$G102-$E102+1,0))</f>
        <v/>
      </c>
    </row>
    <row r="103">
      <c r="A103" s="8">
        <f>IF($E103="","","SS-"&amp;TEXT(ROW()-4,"0000"))</f>
        <v/>
      </c>
      <c r="B103" s="9" t="n"/>
      <c r="C103" s="9" t="n"/>
      <c r="D103" s="9" t="n"/>
      <c r="E103" s="10" t="n"/>
      <c r="F103" s="11" t="n"/>
      <c r="G103" s="10" t="n"/>
      <c r="H103" s="11" t="n"/>
      <c r="I103" s="8">
        <f>IF(OR($E103="",$G103=""),"",$G103-$E103+1)</f>
        <v/>
      </c>
      <c r="J103" s="8">
        <f>IF(OR($E103="",$G103=""),"",$G103-$E103)</f>
        <v/>
      </c>
      <c r="K103" s="9" t="n"/>
      <c r="L103" s="9" t="n"/>
      <c r="M103" s="9" t="n"/>
      <c r="N103" s="9" t="n"/>
      <c r="O103" s="9" t="n"/>
      <c r="P103" s="9" t="n"/>
      <c r="Q103" s="10" t="n"/>
      <c r="R103" s="9" t="n"/>
      <c r="S103" s="8">
        <f>IF($D103="","",IF(COUNTIF('M_部屋'!$A$4:$A$20,$D103)=0,"⚠部屋が未登録",IF(OR($E103="",$G103="",$K103="キャンセル"),"",IF(SUMPRODUCT(($D$5:$D$204=$D103)*($E$5:$E$204&lt;&gt;"")*($G$5:$G$204&lt;&gt;"")*($K$5:$K$204&lt;&gt;"キャンセル")*($E$5:$E$204&lt;$G103)*($G$5:$G$204&gt;$E103))&gt;1,"⚠重複",""))))</f>
        <v/>
      </c>
      <c r="T103" s="8">
        <f>IF(OR($B103="",$E103=""),"",IF(SUMPRODUCT(('M_利用者'!$A$4:$A$60=$B103)*('M_利用者'!$B$4:$B$60&lt;&gt;""))=0,"",IF(SUMIFS($U$5:$U$204,$B$5:$B$204,$B103,$E$5:$E$204,"&gt;="&amp;DATE(YEAR($E103),MONTH($E103),1),$E$5:$E$204,"&lt;="&amp;EOMONTH($E103,0))&gt;SUMIFS('M_利用者'!$B$4:$B$60,'M_利用者'!$A$4:$A$60,$B103),"⚠支給量超過","")))</f>
        <v/>
      </c>
      <c r="U103" s="8">
        <f>IF(OR($E103="",$G103="",$K103="キャンセル"),0,IF(IFERROR(INDEX('M_区分'!$B$4:$B$20,MATCH($C103,'M_区分'!$A$4:$A$20,0)),"○")="○",$G103-$E103+1,0))</f>
        <v/>
      </c>
    </row>
    <row r="104">
      <c r="A104" s="8">
        <f>IF($E104="","","SS-"&amp;TEXT(ROW()-4,"0000"))</f>
        <v/>
      </c>
      <c r="B104" s="9" t="n"/>
      <c r="C104" s="9" t="n"/>
      <c r="D104" s="9" t="n"/>
      <c r="E104" s="10" t="n"/>
      <c r="F104" s="11" t="n"/>
      <c r="G104" s="10" t="n"/>
      <c r="H104" s="11" t="n"/>
      <c r="I104" s="8">
        <f>IF(OR($E104="",$G104=""),"",$G104-$E104+1)</f>
        <v/>
      </c>
      <c r="J104" s="8">
        <f>IF(OR($E104="",$G104=""),"",$G104-$E104)</f>
        <v/>
      </c>
      <c r="K104" s="9" t="n"/>
      <c r="L104" s="9" t="n"/>
      <c r="M104" s="9" t="n"/>
      <c r="N104" s="9" t="n"/>
      <c r="O104" s="9" t="n"/>
      <c r="P104" s="9" t="n"/>
      <c r="Q104" s="10" t="n"/>
      <c r="R104" s="9" t="n"/>
      <c r="S104" s="8">
        <f>IF($D104="","",IF(COUNTIF('M_部屋'!$A$4:$A$20,$D104)=0,"⚠部屋が未登録",IF(OR($E104="",$G104="",$K104="キャンセル"),"",IF(SUMPRODUCT(($D$5:$D$204=$D104)*($E$5:$E$204&lt;&gt;"")*($G$5:$G$204&lt;&gt;"")*($K$5:$K$204&lt;&gt;"キャンセル")*($E$5:$E$204&lt;$G104)*($G$5:$G$204&gt;$E104))&gt;1,"⚠重複",""))))</f>
        <v/>
      </c>
      <c r="T104" s="8">
        <f>IF(OR($B104="",$E104=""),"",IF(SUMPRODUCT(('M_利用者'!$A$4:$A$60=$B104)*('M_利用者'!$B$4:$B$60&lt;&gt;""))=0,"",IF(SUMIFS($U$5:$U$204,$B$5:$B$204,$B104,$E$5:$E$204,"&gt;="&amp;DATE(YEAR($E104),MONTH($E104),1),$E$5:$E$204,"&lt;="&amp;EOMONTH($E104,0))&gt;SUMIFS('M_利用者'!$B$4:$B$60,'M_利用者'!$A$4:$A$60,$B104),"⚠支給量超過","")))</f>
        <v/>
      </c>
      <c r="U104" s="8">
        <f>IF(OR($E104="",$G104="",$K104="キャンセル"),0,IF(IFERROR(INDEX('M_区分'!$B$4:$B$20,MATCH($C104,'M_区分'!$A$4:$A$20,0)),"○")="○",$G104-$E104+1,0))</f>
        <v/>
      </c>
    </row>
    <row r="105">
      <c r="A105" s="8">
        <f>IF($E105="","","SS-"&amp;TEXT(ROW()-4,"0000"))</f>
        <v/>
      </c>
      <c r="B105" s="9" t="n"/>
      <c r="C105" s="9" t="n"/>
      <c r="D105" s="9" t="n"/>
      <c r="E105" s="10" t="n"/>
      <c r="F105" s="11" t="n"/>
      <c r="G105" s="10" t="n"/>
      <c r="H105" s="11" t="n"/>
      <c r="I105" s="8">
        <f>IF(OR($E105="",$G105=""),"",$G105-$E105+1)</f>
        <v/>
      </c>
      <c r="J105" s="8">
        <f>IF(OR($E105="",$G105=""),"",$G105-$E105)</f>
        <v/>
      </c>
      <c r="K105" s="9" t="n"/>
      <c r="L105" s="9" t="n"/>
      <c r="M105" s="9" t="n"/>
      <c r="N105" s="9" t="n"/>
      <c r="O105" s="9" t="n"/>
      <c r="P105" s="9" t="n"/>
      <c r="Q105" s="10" t="n"/>
      <c r="R105" s="9" t="n"/>
      <c r="S105" s="8">
        <f>IF($D105="","",IF(COUNTIF('M_部屋'!$A$4:$A$20,$D105)=0,"⚠部屋が未登録",IF(OR($E105="",$G105="",$K105="キャンセル"),"",IF(SUMPRODUCT(($D$5:$D$204=$D105)*($E$5:$E$204&lt;&gt;"")*($G$5:$G$204&lt;&gt;"")*($K$5:$K$204&lt;&gt;"キャンセル")*($E$5:$E$204&lt;$G105)*($G$5:$G$204&gt;$E105))&gt;1,"⚠重複",""))))</f>
        <v/>
      </c>
      <c r="T105" s="8">
        <f>IF(OR($B105="",$E105=""),"",IF(SUMPRODUCT(('M_利用者'!$A$4:$A$60=$B105)*('M_利用者'!$B$4:$B$60&lt;&gt;""))=0,"",IF(SUMIFS($U$5:$U$204,$B$5:$B$204,$B105,$E$5:$E$204,"&gt;="&amp;DATE(YEAR($E105),MONTH($E105),1),$E$5:$E$204,"&lt;="&amp;EOMONTH($E105,0))&gt;SUMIFS('M_利用者'!$B$4:$B$60,'M_利用者'!$A$4:$A$60,$B105),"⚠支給量超過","")))</f>
        <v/>
      </c>
      <c r="U105" s="8">
        <f>IF(OR($E105="",$G105="",$K105="キャンセル"),0,IF(IFERROR(INDEX('M_区分'!$B$4:$B$20,MATCH($C105,'M_区分'!$A$4:$A$20,0)),"○")="○",$G105-$E105+1,0))</f>
        <v/>
      </c>
    </row>
    <row r="106">
      <c r="A106" s="8">
        <f>IF($E106="","","SS-"&amp;TEXT(ROW()-4,"0000"))</f>
        <v/>
      </c>
      <c r="B106" s="9" t="n"/>
      <c r="C106" s="9" t="n"/>
      <c r="D106" s="9" t="n"/>
      <c r="E106" s="10" t="n"/>
      <c r="F106" s="11" t="n"/>
      <c r="G106" s="10" t="n"/>
      <c r="H106" s="11" t="n"/>
      <c r="I106" s="8">
        <f>IF(OR($E106="",$G106=""),"",$G106-$E106+1)</f>
        <v/>
      </c>
      <c r="J106" s="8">
        <f>IF(OR($E106="",$G106=""),"",$G106-$E106)</f>
        <v/>
      </c>
      <c r="K106" s="9" t="n"/>
      <c r="L106" s="9" t="n"/>
      <c r="M106" s="9" t="n"/>
      <c r="N106" s="9" t="n"/>
      <c r="O106" s="9" t="n"/>
      <c r="P106" s="9" t="n"/>
      <c r="Q106" s="10" t="n"/>
      <c r="R106" s="9" t="n"/>
      <c r="S106" s="8">
        <f>IF($D106="","",IF(COUNTIF('M_部屋'!$A$4:$A$20,$D106)=0,"⚠部屋が未登録",IF(OR($E106="",$G106="",$K106="キャンセル"),"",IF(SUMPRODUCT(($D$5:$D$204=$D106)*($E$5:$E$204&lt;&gt;"")*($G$5:$G$204&lt;&gt;"")*($K$5:$K$204&lt;&gt;"キャンセル")*($E$5:$E$204&lt;$G106)*($G$5:$G$204&gt;$E106))&gt;1,"⚠重複",""))))</f>
        <v/>
      </c>
      <c r="T106" s="8">
        <f>IF(OR($B106="",$E106=""),"",IF(SUMPRODUCT(('M_利用者'!$A$4:$A$60=$B106)*('M_利用者'!$B$4:$B$60&lt;&gt;""))=0,"",IF(SUMIFS($U$5:$U$204,$B$5:$B$204,$B106,$E$5:$E$204,"&gt;="&amp;DATE(YEAR($E106),MONTH($E106),1),$E$5:$E$204,"&lt;="&amp;EOMONTH($E106,0))&gt;SUMIFS('M_利用者'!$B$4:$B$60,'M_利用者'!$A$4:$A$60,$B106),"⚠支給量超過","")))</f>
        <v/>
      </c>
      <c r="U106" s="8">
        <f>IF(OR($E106="",$G106="",$K106="キャンセル"),0,IF(IFERROR(INDEX('M_区分'!$B$4:$B$20,MATCH($C106,'M_区分'!$A$4:$A$20,0)),"○")="○",$G106-$E106+1,0))</f>
        <v/>
      </c>
    </row>
    <row r="107">
      <c r="A107" s="8">
        <f>IF($E107="","","SS-"&amp;TEXT(ROW()-4,"0000"))</f>
        <v/>
      </c>
      <c r="B107" s="9" t="n"/>
      <c r="C107" s="9" t="n"/>
      <c r="D107" s="9" t="n"/>
      <c r="E107" s="10" t="n"/>
      <c r="F107" s="11" t="n"/>
      <c r="G107" s="10" t="n"/>
      <c r="H107" s="11" t="n"/>
      <c r="I107" s="8">
        <f>IF(OR($E107="",$G107=""),"",$G107-$E107+1)</f>
        <v/>
      </c>
      <c r="J107" s="8">
        <f>IF(OR($E107="",$G107=""),"",$G107-$E107)</f>
        <v/>
      </c>
      <c r="K107" s="9" t="n"/>
      <c r="L107" s="9" t="n"/>
      <c r="M107" s="9" t="n"/>
      <c r="N107" s="9" t="n"/>
      <c r="O107" s="9" t="n"/>
      <c r="P107" s="9" t="n"/>
      <c r="Q107" s="10" t="n"/>
      <c r="R107" s="9" t="n"/>
      <c r="S107" s="8">
        <f>IF($D107="","",IF(COUNTIF('M_部屋'!$A$4:$A$20,$D107)=0,"⚠部屋が未登録",IF(OR($E107="",$G107="",$K107="キャンセル"),"",IF(SUMPRODUCT(($D$5:$D$204=$D107)*($E$5:$E$204&lt;&gt;"")*($G$5:$G$204&lt;&gt;"")*($K$5:$K$204&lt;&gt;"キャンセル")*($E$5:$E$204&lt;$G107)*($G$5:$G$204&gt;$E107))&gt;1,"⚠重複",""))))</f>
        <v/>
      </c>
      <c r="T107" s="8">
        <f>IF(OR($B107="",$E107=""),"",IF(SUMPRODUCT(('M_利用者'!$A$4:$A$60=$B107)*('M_利用者'!$B$4:$B$60&lt;&gt;""))=0,"",IF(SUMIFS($U$5:$U$204,$B$5:$B$204,$B107,$E$5:$E$204,"&gt;="&amp;DATE(YEAR($E107),MONTH($E107),1),$E$5:$E$204,"&lt;="&amp;EOMONTH($E107,0))&gt;SUMIFS('M_利用者'!$B$4:$B$60,'M_利用者'!$A$4:$A$60,$B107),"⚠支給量超過","")))</f>
        <v/>
      </c>
      <c r="U107" s="8">
        <f>IF(OR($E107="",$G107="",$K107="キャンセル"),0,IF(IFERROR(INDEX('M_区分'!$B$4:$B$20,MATCH($C107,'M_区分'!$A$4:$A$20,0)),"○")="○",$G107-$E107+1,0))</f>
        <v/>
      </c>
    </row>
    <row r="108">
      <c r="A108" s="8">
        <f>IF($E108="","","SS-"&amp;TEXT(ROW()-4,"0000"))</f>
        <v/>
      </c>
      <c r="B108" s="9" t="n"/>
      <c r="C108" s="9" t="n"/>
      <c r="D108" s="9" t="n"/>
      <c r="E108" s="10" t="n"/>
      <c r="F108" s="11" t="n"/>
      <c r="G108" s="10" t="n"/>
      <c r="H108" s="11" t="n"/>
      <c r="I108" s="8">
        <f>IF(OR($E108="",$G108=""),"",$G108-$E108+1)</f>
        <v/>
      </c>
      <c r="J108" s="8">
        <f>IF(OR($E108="",$G108=""),"",$G108-$E108)</f>
        <v/>
      </c>
      <c r="K108" s="9" t="n"/>
      <c r="L108" s="9" t="n"/>
      <c r="M108" s="9" t="n"/>
      <c r="N108" s="9" t="n"/>
      <c r="O108" s="9" t="n"/>
      <c r="P108" s="9" t="n"/>
      <c r="Q108" s="10" t="n"/>
      <c r="R108" s="9" t="n"/>
      <c r="S108" s="8">
        <f>IF($D108="","",IF(COUNTIF('M_部屋'!$A$4:$A$20,$D108)=0,"⚠部屋が未登録",IF(OR($E108="",$G108="",$K108="キャンセル"),"",IF(SUMPRODUCT(($D$5:$D$204=$D108)*($E$5:$E$204&lt;&gt;"")*($G$5:$G$204&lt;&gt;"")*($K$5:$K$204&lt;&gt;"キャンセル")*($E$5:$E$204&lt;$G108)*($G$5:$G$204&gt;$E108))&gt;1,"⚠重複",""))))</f>
        <v/>
      </c>
      <c r="T108" s="8">
        <f>IF(OR($B108="",$E108=""),"",IF(SUMPRODUCT(('M_利用者'!$A$4:$A$60=$B108)*('M_利用者'!$B$4:$B$60&lt;&gt;""))=0,"",IF(SUMIFS($U$5:$U$204,$B$5:$B$204,$B108,$E$5:$E$204,"&gt;="&amp;DATE(YEAR($E108),MONTH($E108),1),$E$5:$E$204,"&lt;="&amp;EOMONTH($E108,0))&gt;SUMIFS('M_利用者'!$B$4:$B$60,'M_利用者'!$A$4:$A$60,$B108),"⚠支給量超過","")))</f>
        <v/>
      </c>
      <c r="U108" s="8">
        <f>IF(OR($E108="",$G108="",$K108="キャンセル"),0,IF(IFERROR(INDEX('M_区分'!$B$4:$B$20,MATCH($C108,'M_区分'!$A$4:$A$20,0)),"○")="○",$G108-$E108+1,0))</f>
        <v/>
      </c>
    </row>
    <row r="109">
      <c r="A109" s="8">
        <f>IF($E109="","","SS-"&amp;TEXT(ROW()-4,"0000"))</f>
        <v/>
      </c>
      <c r="B109" s="9" t="n"/>
      <c r="C109" s="9" t="n"/>
      <c r="D109" s="9" t="n"/>
      <c r="E109" s="10" t="n"/>
      <c r="F109" s="11" t="n"/>
      <c r="G109" s="10" t="n"/>
      <c r="H109" s="11" t="n"/>
      <c r="I109" s="8">
        <f>IF(OR($E109="",$G109=""),"",$G109-$E109+1)</f>
        <v/>
      </c>
      <c r="J109" s="8">
        <f>IF(OR($E109="",$G109=""),"",$G109-$E109)</f>
        <v/>
      </c>
      <c r="K109" s="9" t="n"/>
      <c r="L109" s="9" t="n"/>
      <c r="M109" s="9" t="n"/>
      <c r="N109" s="9" t="n"/>
      <c r="O109" s="9" t="n"/>
      <c r="P109" s="9" t="n"/>
      <c r="Q109" s="10" t="n"/>
      <c r="R109" s="9" t="n"/>
      <c r="S109" s="8">
        <f>IF($D109="","",IF(COUNTIF('M_部屋'!$A$4:$A$20,$D109)=0,"⚠部屋が未登録",IF(OR($E109="",$G109="",$K109="キャンセル"),"",IF(SUMPRODUCT(($D$5:$D$204=$D109)*($E$5:$E$204&lt;&gt;"")*($G$5:$G$204&lt;&gt;"")*($K$5:$K$204&lt;&gt;"キャンセル")*($E$5:$E$204&lt;$G109)*($G$5:$G$204&gt;$E109))&gt;1,"⚠重複",""))))</f>
        <v/>
      </c>
      <c r="T109" s="8">
        <f>IF(OR($B109="",$E109=""),"",IF(SUMPRODUCT(('M_利用者'!$A$4:$A$60=$B109)*('M_利用者'!$B$4:$B$60&lt;&gt;""))=0,"",IF(SUMIFS($U$5:$U$204,$B$5:$B$204,$B109,$E$5:$E$204,"&gt;="&amp;DATE(YEAR($E109),MONTH($E109),1),$E$5:$E$204,"&lt;="&amp;EOMONTH($E109,0))&gt;SUMIFS('M_利用者'!$B$4:$B$60,'M_利用者'!$A$4:$A$60,$B109),"⚠支給量超過","")))</f>
        <v/>
      </c>
      <c r="U109" s="8">
        <f>IF(OR($E109="",$G109="",$K109="キャンセル"),0,IF(IFERROR(INDEX('M_区分'!$B$4:$B$20,MATCH($C109,'M_区分'!$A$4:$A$20,0)),"○")="○",$G109-$E109+1,0))</f>
        <v/>
      </c>
    </row>
    <row r="110">
      <c r="A110" s="8">
        <f>IF($E110="","","SS-"&amp;TEXT(ROW()-4,"0000"))</f>
        <v/>
      </c>
      <c r="B110" s="9" t="n"/>
      <c r="C110" s="9" t="n"/>
      <c r="D110" s="9" t="n"/>
      <c r="E110" s="10" t="n"/>
      <c r="F110" s="11" t="n"/>
      <c r="G110" s="10" t="n"/>
      <c r="H110" s="11" t="n"/>
      <c r="I110" s="8">
        <f>IF(OR($E110="",$G110=""),"",$G110-$E110+1)</f>
        <v/>
      </c>
      <c r="J110" s="8">
        <f>IF(OR($E110="",$G110=""),"",$G110-$E110)</f>
        <v/>
      </c>
      <c r="K110" s="9" t="n"/>
      <c r="L110" s="9" t="n"/>
      <c r="M110" s="9" t="n"/>
      <c r="N110" s="9" t="n"/>
      <c r="O110" s="9" t="n"/>
      <c r="P110" s="9" t="n"/>
      <c r="Q110" s="10" t="n"/>
      <c r="R110" s="9" t="n"/>
      <c r="S110" s="8">
        <f>IF($D110="","",IF(COUNTIF('M_部屋'!$A$4:$A$20,$D110)=0,"⚠部屋が未登録",IF(OR($E110="",$G110="",$K110="キャンセル"),"",IF(SUMPRODUCT(($D$5:$D$204=$D110)*($E$5:$E$204&lt;&gt;"")*($G$5:$G$204&lt;&gt;"")*($K$5:$K$204&lt;&gt;"キャンセル")*($E$5:$E$204&lt;$G110)*($G$5:$G$204&gt;$E110))&gt;1,"⚠重複",""))))</f>
        <v/>
      </c>
      <c r="T110" s="8">
        <f>IF(OR($B110="",$E110=""),"",IF(SUMPRODUCT(('M_利用者'!$A$4:$A$60=$B110)*('M_利用者'!$B$4:$B$60&lt;&gt;""))=0,"",IF(SUMIFS($U$5:$U$204,$B$5:$B$204,$B110,$E$5:$E$204,"&gt;="&amp;DATE(YEAR($E110),MONTH($E110),1),$E$5:$E$204,"&lt;="&amp;EOMONTH($E110,0))&gt;SUMIFS('M_利用者'!$B$4:$B$60,'M_利用者'!$A$4:$A$60,$B110),"⚠支給量超過","")))</f>
        <v/>
      </c>
      <c r="U110" s="8">
        <f>IF(OR($E110="",$G110="",$K110="キャンセル"),0,IF(IFERROR(INDEX('M_区分'!$B$4:$B$20,MATCH($C110,'M_区分'!$A$4:$A$20,0)),"○")="○",$G110-$E110+1,0))</f>
        <v/>
      </c>
    </row>
    <row r="111">
      <c r="A111" s="8">
        <f>IF($E111="","","SS-"&amp;TEXT(ROW()-4,"0000"))</f>
        <v/>
      </c>
      <c r="B111" s="9" t="n"/>
      <c r="C111" s="9" t="n"/>
      <c r="D111" s="9" t="n"/>
      <c r="E111" s="10" t="n"/>
      <c r="F111" s="11" t="n"/>
      <c r="G111" s="10" t="n"/>
      <c r="H111" s="11" t="n"/>
      <c r="I111" s="8">
        <f>IF(OR($E111="",$G111=""),"",$G111-$E111+1)</f>
        <v/>
      </c>
      <c r="J111" s="8">
        <f>IF(OR($E111="",$G111=""),"",$G111-$E111)</f>
        <v/>
      </c>
      <c r="K111" s="9" t="n"/>
      <c r="L111" s="9" t="n"/>
      <c r="M111" s="9" t="n"/>
      <c r="N111" s="9" t="n"/>
      <c r="O111" s="9" t="n"/>
      <c r="P111" s="9" t="n"/>
      <c r="Q111" s="10" t="n"/>
      <c r="R111" s="9" t="n"/>
      <c r="S111" s="8">
        <f>IF($D111="","",IF(COUNTIF('M_部屋'!$A$4:$A$20,$D111)=0,"⚠部屋が未登録",IF(OR($E111="",$G111="",$K111="キャンセル"),"",IF(SUMPRODUCT(($D$5:$D$204=$D111)*($E$5:$E$204&lt;&gt;"")*($G$5:$G$204&lt;&gt;"")*($K$5:$K$204&lt;&gt;"キャンセル")*($E$5:$E$204&lt;$G111)*($G$5:$G$204&gt;$E111))&gt;1,"⚠重複",""))))</f>
        <v/>
      </c>
      <c r="T111" s="8">
        <f>IF(OR($B111="",$E111=""),"",IF(SUMPRODUCT(('M_利用者'!$A$4:$A$60=$B111)*('M_利用者'!$B$4:$B$60&lt;&gt;""))=0,"",IF(SUMIFS($U$5:$U$204,$B$5:$B$204,$B111,$E$5:$E$204,"&gt;="&amp;DATE(YEAR($E111),MONTH($E111),1),$E$5:$E$204,"&lt;="&amp;EOMONTH($E111,0))&gt;SUMIFS('M_利用者'!$B$4:$B$60,'M_利用者'!$A$4:$A$60,$B111),"⚠支給量超過","")))</f>
        <v/>
      </c>
      <c r="U111" s="8">
        <f>IF(OR($E111="",$G111="",$K111="キャンセル"),0,IF(IFERROR(INDEX('M_区分'!$B$4:$B$20,MATCH($C111,'M_区分'!$A$4:$A$20,0)),"○")="○",$G111-$E111+1,0))</f>
        <v/>
      </c>
    </row>
    <row r="112">
      <c r="A112" s="8">
        <f>IF($E112="","","SS-"&amp;TEXT(ROW()-4,"0000"))</f>
        <v/>
      </c>
      <c r="B112" s="9" t="n"/>
      <c r="C112" s="9" t="n"/>
      <c r="D112" s="9" t="n"/>
      <c r="E112" s="10" t="n"/>
      <c r="F112" s="11" t="n"/>
      <c r="G112" s="10" t="n"/>
      <c r="H112" s="11" t="n"/>
      <c r="I112" s="8">
        <f>IF(OR($E112="",$G112=""),"",$G112-$E112+1)</f>
        <v/>
      </c>
      <c r="J112" s="8">
        <f>IF(OR($E112="",$G112=""),"",$G112-$E112)</f>
        <v/>
      </c>
      <c r="K112" s="9" t="n"/>
      <c r="L112" s="9" t="n"/>
      <c r="M112" s="9" t="n"/>
      <c r="N112" s="9" t="n"/>
      <c r="O112" s="9" t="n"/>
      <c r="P112" s="9" t="n"/>
      <c r="Q112" s="10" t="n"/>
      <c r="R112" s="9" t="n"/>
      <c r="S112" s="8">
        <f>IF($D112="","",IF(COUNTIF('M_部屋'!$A$4:$A$20,$D112)=0,"⚠部屋が未登録",IF(OR($E112="",$G112="",$K112="キャンセル"),"",IF(SUMPRODUCT(($D$5:$D$204=$D112)*($E$5:$E$204&lt;&gt;"")*($G$5:$G$204&lt;&gt;"")*($K$5:$K$204&lt;&gt;"キャンセル")*($E$5:$E$204&lt;$G112)*($G$5:$G$204&gt;$E112))&gt;1,"⚠重複",""))))</f>
        <v/>
      </c>
      <c r="T112" s="8">
        <f>IF(OR($B112="",$E112=""),"",IF(SUMPRODUCT(('M_利用者'!$A$4:$A$60=$B112)*('M_利用者'!$B$4:$B$60&lt;&gt;""))=0,"",IF(SUMIFS($U$5:$U$204,$B$5:$B$204,$B112,$E$5:$E$204,"&gt;="&amp;DATE(YEAR($E112),MONTH($E112),1),$E$5:$E$204,"&lt;="&amp;EOMONTH($E112,0))&gt;SUMIFS('M_利用者'!$B$4:$B$60,'M_利用者'!$A$4:$A$60,$B112),"⚠支給量超過","")))</f>
        <v/>
      </c>
      <c r="U112" s="8">
        <f>IF(OR($E112="",$G112="",$K112="キャンセル"),0,IF(IFERROR(INDEX('M_区分'!$B$4:$B$20,MATCH($C112,'M_区分'!$A$4:$A$20,0)),"○")="○",$G112-$E112+1,0))</f>
        <v/>
      </c>
    </row>
    <row r="113">
      <c r="A113" s="8">
        <f>IF($E113="","","SS-"&amp;TEXT(ROW()-4,"0000"))</f>
        <v/>
      </c>
      <c r="B113" s="9" t="n"/>
      <c r="C113" s="9" t="n"/>
      <c r="D113" s="9" t="n"/>
      <c r="E113" s="10" t="n"/>
      <c r="F113" s="11" t="n"/>
      <c r="G113" s="10" t="n"/>
      <c r="H113" s="11" t="n"/>
      <c r="I113" s="8">
        <f>IF(OR($E113="",$G113=""),"",$G113-$E113+1)</f>
        <v/>
      </c>
      <c r="J113" s="8">
        <f>IF(OR($E113="",$G113=""),"",$G113-$E113)</f>
        <v/>
      </c>
      <c r="K113" s="9" t="n"/>
      <c r="L113" s="9" t="n"/>
      <c r="M113" s="9" t="n"/>
      <c r="N113" s="9" t="n"/>
      <c r="O113" s="9" t="n"/>
      <c r="P113" s="9" t="n"/>
      <c r="Q113" s="10" t="n"/>
      <c r="R113" s="9" t="n"/>
      <c r="S113" s="8">
        <f>IF($D113="","",IF(COUNTIF('M_部屋'!$A$4:$A$20,$D113)=0,"⚠部屋が未登録",IF(OR($E113="",$G113="",$K113="キャンセル"),"",IF(SUMPRODUCT(($D$5:$D$204=$D113)*($E$5:$E$204&lt;&gt;"")*($G$5:$G$204&lt;&gt;"")*($K$5:$K$204&lt;&gt;"キャンセル")*($E$5:$E$204&lt;$G113)*($G$5:$G$204&gt;$E113))&gt;1,"⚠重複",""))))</f>
        <v/>
      </c>
      <c r="T113" s="8">
        <f>IF(OR($B113="",$E113=""),"",IF(SUMPRODUCT(('M_利用者'!$A$4:$A$60=$B113)*('M_利用者'!$B$4:$B$60&lt;&gt;""))=0,"",IF(SUMIFS($U$5:$U$204,$B$5:$B$204,$B113,$E$5:$E$204,"&gt;="&amp;DATE(YEAR($E113),MONTH($E113),1),$E$5:$E$204,"&lt;="&amp;EOMONTH($E113,0))&gt;SUMIFS('M_利用者'!$B$4:$B$60,'M_利用者'!$A$4:$A$60,$B113),"⚠支給量超過","")))</f>
        <v/>
      </c>
      <c r="U113" s="8">
        <f>IF(OR($E113="",$G113="",$K113="キャンセル"),0,IF(IFERROR(INDEX('M_区分'!$B$4:$B$20,MATCH($C113,'M_区分'!$A$4:$A$20,0)),"○")="○",$G113-$E113+1,0))</f>
        <v/>
      </c>
    </row>
    <row r="114">
      <c r="A114" s="8">
        <f>IF($E114="","","SS-"&amp;TEXT(ROW()-4,"0000"))</f>
        <v/>
      </c>
      <c r="B114" s="9" t="n"/>
      <c r="C114" s="9" t="n"/>
      <c r="D114" s="9" t="n"/>
      <c r="E114" s="10" t="n"/>
      <c r="F114" s="11" t="n"/>
      <c r="G114" s="10" t="n"/>
      <c r="H114" s="11" t="n"/>
      <c r="I114" s="8">
        <f>IF(OR($E114="",$G114=""),"",$G114-$E114+1)</f>
        <v/>
      </c>
      <c r="J114" s="8">
        <f>IF(OR($E114="",$G114=""),"",$G114-$E114)</f>
        <v/>
      </c>
      <c r="K114" s="9" t="n"/>
      <c r="L114" s="9" t="n"/>
      <c r="M114" s="9" t="n"/>
      <c r="N114" s="9" t="n"/>
      <c r="O114" s="9" t="n"/>
      <c r="P114" s="9" t="n"/>
      <c r="Q114" s="10" t="n"/>
      <c r="R114" s="9" t="n"/>
      <c r="S114" s="8">
        <f>IF($D114="","",IF(COUNTIF('M_部屋'!$A$4:$A$20,$D114)=0,"⚠部屋が未登録",IF(OR($E114="",$G114="",$K114="キャンセル"),"",IF(SUMPRODUCT(($D$5:$D$204=$D114)*($E$5:$E$204&lt;&gt;"")*($G$5:$G$204&lt;&gt;"")*($K$5:$K$204&lt;&gt;"キャンセル")*($E$5:$E$204&lt;$G114)*($G$5:$G$204&gt;$E114))&gt;1,"⚠重複",""))))</f>
        <v/>
      </c>
      <c r="T114" s="8">
        <f>IF(OR($B114="",$E114=""),"",IF(SUMPRODUCT(('M_利用者'!$A$4:$A$60=$B114)*('M_利用者'!$B$4:$B$60&lt;&gt;""))=0,"",IF(SUMIFS($U$5:$U$204,$B$5:$B$204,$B114,$E$5:$E$204,"&gt;="&amp;DATE(YEAR($E114),MONTH($E114),1),$E$5:$E$204,"&lt;="&amp;EOMONTH($E114,0))&gt;SUMIFS('M_利用者'!$B$4:$B$60,'M_利用者'!$A$4:$A$60,$B114),"⚠支給量超過","")))</f>
        <v/>
      </c>
      <c r="U114" s="8">
        <f>IF(OR($E114="",$G114="",$K114="キャンセル"),0,IF(IFERROR(INDEX('M_区分'!$B$4:$B$20,MATCH($C114,'M_区分'!$A$4:$A$20,0)),"○")="○",$G114-$E114+1,0))</f>
        <v/>
      </c>
    </row>
    <row r="115">
      <c r="A115" s="8">
        <f>IF($E115="","","SS-"&amp;TEXT(ROW()-4,"0000"))</f>
        <v/>
      </c>
      <c r="B115" s="9" t="n"/>
      <c r="C115" s="9" t="n"/>
      <c r="D115" s="9" t="n"/>
      <c r="E115" s="10" t="n"/>
      <c r="F115" s="11" t="n"/>
      <c r="G115" s="10" t="n"/>
      <c r="H115" s="11" t="n"/>
      <c r="I115" s="8">
        <f>IF(OR($E115="",$G115=""),"",$G115-$E115+1)</f>
        <v/>
      </c>
      <c r="J115" s="8">
        <f>IF(OR($E115="",$G115=""),"",$G115-$E115)</f>
        <v/>
      </c>
      <c r="K115" s="9" t="n"/>
      <c r="L115" s="9" t="n"/>
      <c r="M115" s="9" t="n"/>
      <c r="N115" s="9" t="n"/>
      <c r="O115" s="9" t="n"/>
      <c r="P115" s="9" t="n"/>
      <c r="Q115" s="10" t="n"/>
      <c r="R115" s="9" t="n"/>
      <c r="S115" s="8">
        <f>IF($D115="","",IF(COUNTIF('M_部屋'!$A$4:$A$20,$D115)=0,"⚠部屋が未登録",IF(OR($E115="",$G115="",$K115="キャンセル"),"",IF(SUMPRODUCT(($D$5:$D$204=$D115)*($E$5:$E$204&lt;&gt;"")*($G$5:$G$204&lt;&gt;"")*($K$5:$K$204&lt;&gt;"キャンセル")*($E$5:$E$204&lt;$G115)*($G$5:$G$204&gt;$E115))&gt;1,"⚠重複",""))))</f>
        <v/>
      </c>
      <c r="T115" s="8">
        <f>IF(OR($B115="",$E115=""),"",IF(SUMPRODUCT(('M_利用者'!$A$4:$A$60=$B115)*('M_利用者'!$B$4:$B$60&lt;&gt;""))=0,"",IF(SUMIFS($U$5:$U$204,$B$5:$B$204,$B115,$E$5:$E$204,"&gt;="&amp;DATE(YEAR($E115),MONTH($E115),1),$E$5:$E$204,"&lt;="&amp;EOMONTH($E115,0))&gt;SUMIFS('M_利用者'!$B$4:$B$60,'M_利用者'!$A$4:$A$60,$B115),"⚠支給量超過","")))</f>
        <v/>
      </c>
      <c r="U115" s="8">
        <f>IF(OR($E115="",$G115="",$K115="キャンセル"),0,IF(IFERROR(INDEX('M_区分'!$B$4:$B$20,MATCH($C115,'M_区分'!$A$4:$A$20,0)),"○")="○",$G115-$E115+1,0))</f>
        <v/>
      </c>
    </row>
    <row r="116">
      <c r="A116" s="8">
        <f>IF($E116="","","SS-"&amp;TEXT(ROW()-4,"0000"))</f>
        <v/>
      </c>
      <c r="B116" s="9" t="n"/>
      <c r="C116" s="9" t="n"/>
      <c r="D116" s="9" t="n"/>
      <c r="E116" s="10" t="n"/>
      <c r="F116" s="11" t="n"/>
      <c r="G116" s="10" t="n"/>
      <c r="H116" s="11" t="n"/>
      <c r="I116" s="8">
        <f>IF(OR($E116="",$G116=""),"",$G116-$E116+1)</f>
        <v/>
      </c>
      <c r="J116" s="8">
        <f>IF(OR($E116="",$G116=""),"",$G116-$E116)</f>
        <v/>
      </c>
      <c r="K116" s="9" t="n"/>
      <c r="L116" s="9" t="n"/>
      <c r="M116" s="9" t="n"/>
      <c r="N116" s="9" t="n"/>
      <c r="O116" s="9" t="n"/>
      <c r="P116" s="9" t="n"/>
      <c r="Q116" s="10" t="n"/>
      <c r="R116" s="9" t="n"/>
      <c r="S116" s="8">
        <f>IF($D116="","",IF(COUNTIF('M_部屋'!$A$4:$A$20,$D116)=0,"⚠部屋が未登録",IF(OR($E116="",$G116="",$K116="キャンセル"),"",IF(SUMPRODUCT(($D$5:$D$204=$D116)*($E$5:$E$204&lt;&gt;"")*($G$5:$G$204&lt;&gt;"")*($K$5:$K$204&lt;&gt;"キャンセル")*($E$5:$E$204&lt;$G116)*($G$5:$G$204&gt;$E116))&gt;1,"⚠重複",""))))</f>
        <v/>
      </c>
      <c r="T116" s="8">
        <f>IF(OR($B116="",$E116=""),"",IF(SUMPRODUCT(('M_利用者'!$A$4:$A$60=$B116)*('M_利用者'!$B$4:$B$60&lt;&gt;""))=0,"",IF(SUMIFS($U$5:$U$204,$B$5:$B$204,$B116,$E$5:$E$204,"&gt;="&amp;DATE(YEAR($E116),MONTH($E116),1),$E$5:$E$204,"&lt;="&amp;EOMONTH($E116,0))&gt;SUMIFS('M_利用者'!$B$4:$B$60,'M_利用者'!$A$4:$A$60,$B116),"⚠支給量超過","")))</f>
        <v/>
      </c>
      <c r="U116" s="8">
        <f>IF(OR($E116="",$G116="",$K116="キャンセル"),0,IF(IFERROR(INDEX('M_区分'!$B$4:$B$20,MATCH($C116,'M_区分'!$A$4:$A$20,0)),"○")="○",$G116-$E116+1,0))</f>
        <v/>
      </c>
    </row>
    <row r="117">
      <c r="A117" s="8">
        <f>IF($E117="","","SS-"&amp;TEXT(ROW()-4,"0000"))</f>
        <v/>
      </c>
      <c r="B117" s="9" t="n"/>
      <c r="C117" s="9" t="n"/>
      <c r="D117" s="9" t="n"/>
      <c r="E117" s="10" t="n"/>
      <c r="F117" s="11" t="n"/>
      <c r="G117" s="10" t="n"/>
      <c r="H117" s="11" t="n"/>
      <c r="I117" s="8">
        <f>IF(OR($E117="",$G117=""),"",$G117-$E117+1)</f>
        <v/>
      </c>
      <c r="J117" s="8">
        <f>IF(OR($E117="",$G117=""),"",$G117-$E117)</f>
        <v/>
      </c>
      <c r="K117" s="9" t="n"/>
      <c r="L117" s="9" t="n"/>
      <c r="M117" s="9" t="n"/>
      <c r="N117" s="9" t="n"/>
      <c r="O117" s="9" t="n"/>
      <c r="P117" s="9" t="n"/>
      <c r="Q117" s="10" t="n"/>
      <c r="R117" s="9" t="n"/>
      <c r="S117" s="8">
        <f>IF($D117="","",IF(COUNTIF('M_部屋'!$A$4:$A$20,$D117)=0,"⚠部屋が未登録",IF(OR($E117="",$G117="",$K117="キャンセル"),"",IF(SUMPRODUCT(($D$5:$D$204=$D117)*($E$5:$E$204&lt;&gt;"")*($G$5:$G$204&lt;&gt;"")*($K$5:$K$204&lt;&gt;"キャンセル")*($E$5:$E$204&lt;$G117)*($G$5:$G$204&gt;$E117))&gt;1,"⚠重複",""))))</f>
        <v/>
      </c>
      <c r="T117" s="8">
        <f>IF(OR($B117="",$E117=""),"",IF(SUMPRODUCT(('M_利用者'!$A$4:$A$60=$B117)*('M_利用者'!$B$4:$B$60&lt;&gt;""))=0,"",IF(SUMIFS($U$5:$U$204,$B$5:$B$204,$B117,$E$5:$E$204,"&gt;="&amp;DATE(YEAR($E117),MONTH($E117),1),$E$5:$E$204,"&lt;="&amp;EOMONTH($E117,0))&gt;SUMIFS('M_利用者'!$B$4:$B$60,'M_利用者'!$A$4:$A$60,$B117),"⚠支給量超過","")))</f>
        <v/>
      </c>
      <c r="U117" s="8">
        <f>IF(OR($E117="",$G117="",$K117="キャンセル"),0,IF(IFERROR(INDEX('M_区分'!$B$4:$B$20,MATCH($C117,'M_区分'!$A$4:$A$20,0)),"○")="○",$G117-$E117+1,0))</f>
        <v/>
      </c>
    </row>
    <row r="118">
      <c r="A118" s="8">
        <f>IF($E118="","","SS-"&amp;TEXT(ROW()-4,"0000"))</f>
        <v/>
      </c>
      <c r="B118" s="9" t="n"/>
      <c r="C118" s="9" t="n"/>
      <c r="D118" s="9" t="n"/>
      <c r="E118" s="10" t="n"/>
      <c r="F118" s="11" t="n"/>
      <c r="G118" s="10" t="n"/>
      <c r="H118" s="11" t="n"/>
      <c r="I118" s="8">
        <f>IF(OR($E118="",$G118=""),"",$G118-$E118+1)</f>
        <v/>
      </c>
      <c r="J118" s="8">
        <f>IF(OR($E118="",$G118=""),"",$G118-$E118)</f>
        <v/>
      </c>
      <c r="K118" s="9" t="n"/>
      <c r="L118" s="9" t="n"/>
      <c r="M118" s="9" t="n"/>
      <c r="N118" s="9" t="n"/>
      <c r="O118" s="9" t="n"/>
      <c r="P118" s="9" t="n"/>
      <c r="Q118" s="10" t="n"/>
      <c r="R118" s="9" t="n"/>
      <c r="S118" s="8">
        <f>IF($D118="","",IF(COUNTIF('M_部屋'!$A$4:$A$20,$D118)=0,"⚠部屋が未登録",IF(OR($E118="",$G118="",$K118="キャンセル"),"",IF(SUMPRODUCT(($D$5:$D$204=$D118)*($E$5:$E$204&lt;&gt;"")*($G$5:$G$204&lt;&gt;"")*($K$5:$K$204&lt;&gt;"キャンセル")*($E$5:$E$204&lt;$G118)*($G$5:$G$204&gt;$E118))&gt;1,"⚠重複",""))))</f>
        <v/>
      </c>
      <c r="T118" s="8">
        <f>IF(OR($B118="",$E118=""),"",IF(SUMPRODUCT(('M_利用者'!$A$4:$A$60=$B118)*('M_利用者'!$B$4:$B$60&lt;&gt;""))=0,"",IF(SUMIFS($U$5:$U$204,$B$5:$B$204,$B118,$E$5:$E$204,"&gt;="&amp;DATE(YEAR($E118),MONTH($E118),1),$E$5:$E$204,"&lt;="&amp;EOMONTH($E118,0))&gt;SUMIFS('M_利用者'!$B$4:$B$60,'M_利用者'!$A$4:$A$60,$B118),"⚠支給量超過","")))</f>
        <v/>
      </c>
      <c r="U118" s="8">
        <f>IF(OR($E118="",$G118="",$K118="キャンセル"),0,IF(IFERROR(INDEX('M_区分'!$B$4:$B$20,MATCH($C118,'M_区分'!$A$4:$A$20,0)),"○")="○",$G118-$E118+1,0))</f>
        <v/>
      </c>
    </row>
    <row r="119">
      <c r="A119" s="8">
        <f>IF($E119="","","SS-"&amp;TEXT(ROW()-4,"0000"))</f>
        <v/>
      </c>
      <c r="B119" s="9" t="n"/>
      <c r="C119" s="9" t="n"/>
      <c r="D119" s="9" t="n"/>
      <c r="E119" s="10" t="n"/>
      <c r="F119" s="11" t="n"/>
      <c r="G119" s="10" t="n"/>
      <c r="H119" s="11" t="n"/>
      <c r="I119" s="8">
        <f>IF(OR($E119="",$G119=""),"",$G119-$E119+1)</f>
        <v/>
      </c>
      <c r="J119" s="8">
        <f>IF(OR($E119="",$G119=""),"",$G119-$E119)</f>
        <v/>
      </c>
      <c r="K119" s="9" t="n"/>
      <c r="L119" s="9" t="n"/>
      <c r="M119" s="9" t="n"/>
      <c r="N119" s="9" t="n"/>
      <c r="O119" s="9" t="n"/>
      <c r="P119" s="9" t="n"/>
      <c r="Q119" s="10" t="n"/>
      <c r="R119" s="9" t="n"/>
      <c r="S119" s="8">
        <f>IF($D119="","",IF(COUNTIF('M_部屋'!$A$4:$A$20,$D119)=0,"⚠部屋が未登録",IF(OR($E119="",$G119="",$K119="キャンセル"),"",IF(SUMPRODUCT(($D$5:$D$204=$D119)*($E$5:$E$204&lt;&gt;"")*($G$5:$G$204&lt;&gt;"")*($K$5:$K$204&lt;&gt;"キャンセル")*($E$5:$E$204&lt;$G119)*($G$5:$G$204&gt;$E119))&gt;1,"⚠重複",""))))</f>
        <v/>
      </c>
      <c r="T119" s="8">
        <f>IF(OR($B119="",$E119=""),"",IF(SUMPRODUCT(('M_利用者'!$A$4:$A$60=$B119)*('M_利用者'!$B$4:$B$60&lt;&gt;""))=0,"",IF(SUMIFS($U$5:$U$204,$B$5:$B$204,$B119,$E$5:$E$204,"&gt;="&amp;DATE(YEAR($E119),MONTH($E119),1),$E$5:$E$204,"&lt;="&amp;EOMONTH($E119,0))&gt;SUMIFS('M_利用者'!$B$4:$B$60,'M_利用者'!$A$4:$A$60,$B119),"⚠支給量超過","")))</f>
        <v/>
      </c>
      <c r="U119" s="8">
        <f>IF(OR($E119="",$G119="",$K119="キャンセル"),0,IF(IFERROR(INDEX('M_区分'!$B$4:$B$20,MATCH($C119,'M_区分'!$A$4:$A$20,0)),"○")="○",$G119-$E119+1,0))</f>
        <v/>
      </c>
    </row>
    <row r="120">
      <c r="A120" s="8">
        <f>IF($E120="","","SS-"&amp;TEXT(ROW()-4,"0000"))</f>
        <v/>
      </c>
      <c r="B120" s="9" t="n"/>
      <c r="C120" s="9" t="n"/>
      <c r="D120" s="9" t="n"/>
      <c r="E120" s="10" t="n"/>
      <c r="F120" s="11" t="n"/>
      <c r="G120" s="10" t="n"/>
      <c r="H120" s="11" t="n"/>
      <c r="I120" s="8">
        <f>IF(OR($E120="",$G120=""),"",$G120-$E120+1)</f>
        <v/>
      </c>
      <c r="J120" s="8">
        <f>IF(OR($E120="",$G120=""),"",$G120-$E120)</f>
        <v/>
      </c>
      <c r="K120" s="9" t="n"/>
      <c r="L120" s="9" t="n"/>
      <c r="M120" s="9" t="n"/>
      <c r="N120" s="9" t="n"/>
      <c r="O120" s="9" t="n"/>
      <c r="P120" s="9" t="n"/>
      <c r="Q120" s="10" t="n"/>
      <c r="R120" s="9" t="n"/>
      <c r="S120" s="8">
        <f>IF($D120="","",IF(COUNTIF('M_部屋'!$A$4:$A$20,$D120)=0,"⚠部屋が未登録",IF(OR($E120="",$G120="",$K120="キャンセル"),"",IF(SUMPRODUCT(($D$5:$D$204=$D120)*($E$5:$E$204&lt;&gt;"")*($G$5:$G$204&lt;&gt;"")*($K$5:$K$204&lt;&gt;"キャンセル")*($E$5:$E$204&lt;$G120)*($G$5:$G$204&gt;$E120))&gt;1,"⚠重複",""))))</f>
        <v/>
      </c>
      <c r="T120" s="8">
        <f>IF(OR($B120="",$E120=""),"",IF(SUMPRODUCT(('M_利用者'!$A$4:$A$60=$B120)*('M_利用者'!$B$4:$B$60&lt;&gt;""))=0,"",IF(SUMIFS($U$5:$U$204,$B$5:$B$204,$B120,$E$5:$E$204,"&gt;="&amp;DATE(YEAR($E120),MONTH($E120),1),$E$5:$E$204,"&lt;="&amp;EOMONTH($E120,0))&gt;SUMIFS('M_利用者'!$B$4:$B$60,'M_利用者'!$A$4:$A$60,$B120),"⚠支給量超過","")))</f>
        <v/>
      </c>
      <c r="U120" s="8">
        <f>IF(OR($E120="",$G120="",$K120="キャンセル"),0,IF(IFERROR(INDEX('M_区分'!$B$4:$B$20,MATCH($C120,'M_区分'!$A$4:$A$20,0)),"○")="○",$G120-$E120+1,0))</f>
        <v/>
      </c>
    </row>
    <row r="121">
      <c r="A121" s="8">
        <f>IF($E121="","","SS-"&amp;TEXT(ROW()-4,"0000"))</f>
        <v/>
      </c>
      <c r="B121" s="9" t="n"/>
      <c r="C121" s="9" t="n"/>
      <c r="D121" s="9" t="n"/>
      <c r="E121" s="10" t="n"/>
      <c r="F121" s="11" t="n"/>
      <c r="G121" s="10" t="n"/>
      <c r="H121" s="11" t="n"/>
      <c r="I121" s="8">
        <f>IF(OR($E121="",$G121=""),"",$G121-$E121+1)</f>
        <v/>
      </c>
      <c r="J121" s="8">
        <f>IF(OR($E121="",$G121=""),"",$G121-$E121)</f>
        <v/>
      </c>
      <c r="K121" s="9" t="n"/>
      <c r="L121" s="9" t="n"/>
      <c r="M121" s="9" t="n"/>
      <c r="N121" s="9" t="n"/>
      <c r="O121" s="9" t="n"/>
      <c r="P121" s="9" t="n"/>
      <c r="Q121" s="10" t="n"/>
      <c r="R121" s="9" t="n"/>
      <c r="S121" s="8">
        <f>IF($D121="","",IF(COUNTIF('M_部屋'!$A$4:$A$20,$D121)=0,"⚠部屋が未登録",IF(OR($E121="",$G121="",$K121="キャンセル"),"",IF(SUMPRODUCT(($D$5:$D$204=$D121)*($E$5:$E$204&lt;&gt;"")*($G$5:$G$204&lt;&gt;"")*($K$5:$K$204&lt;&gt;"キャンセル")*($E$5:$E$204&lt;$G121)*($G$5:$G$204&gt;$E121))&gt;1,"⚠重複",""))))</f>
        <v/>
      </c>
      <c r="T121" s="8">
        <f>IF(OR($B121="",$E121=""),"",IF(SUMPRODUCT(('M_利用者'!$A$4:$A$60=$B121)*('M_利用者'!$B$4:$B$60&lt;&gt;""))=0,"",IF(SUMIFS($U$5:$U$204,$B$5:$B$204,$B121,$E$5:$E$204,"&gt;="&amp;DATE(YEAR($E121),MONTH($E121),1),$E$5:$E$204,"&lt;="&amp;EOMONTH($E121,0))&gt;SUMIFS('M_利用者'!$B$4:$B$60,'M_利用者'!$A$4:$A$60,$B121),"⚠支給量超過","")))</f>
        <v/>
      </c>
      <c r="U121" s="8">
        <f>IF(OR($E121="",$G121="",$K121="キャンセル"),0,IF(IFERROR(INDEX('M_区分'!$B$4:$B$20,MATCH($C121,'M_区分'!$A$4:$A$20,0)),"○")="○",$G121-$E121+1,0))</f>
        <v/>
      </c>
    </row>
    <row r="122">
      <c r="A122" s="8">
        <f>IF($E122="","","SS-"&amp;TEXT(ROW()-4,"0000"))</f>
        <v/>
      </c>
      <c r="B122" s="9" t="n"/>
      <c r="C122" s="9" t="n"/>
      <c r="D122" s="9" t="n"/>
      <c r="E122" s="10" t="n"/>
      <c r="F122" s="11" t="n"/>
      <c r="G122" s="10" t="n"/>
      <c r="H122" s="11" t="n"/>
      <c r="I122" s="8">
        <f>IF(OR($E122="",$G122=""),"",$G122-$E122+1)</f>
        <v/>
      </c>
      <c r="J122" s="8">
        <f>IF(OR($E122="",$G122=""),"",$G122-$E122)</f>
        <v/>
      </c>
      <c r="K122" s="9" t="n"/>
      <c r="L122" s="9" t="n"/>
      <c r="M122" s="9" t="n"/>
      <c r="N122" s="9" t="n"/>
      <c r="O122" s="9" t="n"/>
      <c r="P122" s="9" t="n"/>
      <c r="Q122" s="10" t="n"/>
      <c r="R122" s="9" t="n"/>
      <c r="S122" s="8">
        <f>IF($D122="","",IF(COUNTIF('M_部屋'!$A$4:$A$20,$D122)=0,"⚠部屋が未登録",IF(OR($E122="",$G122="",$K122="キャンセル"),"",IF(SUMPRODUCT(($D$5:$D$204=$D122)*($E$5:$E$204&lt;&gt;"")*($G$5:$G$204&lt;&gt;"")*($K$5:$K$204&lt;&gt;"キャンセル")*($E$5:$E$204&lt;$G122)*($G$5:$G$204&gt;$E122))&gt;1,"⚠重複",""))))</f>
        <v/>
      </c>
      <c r="T122" s="8">
        <f>IF(OR($B122="",$E122=""),"",IF(SUMPRODUCT(('M_利用者'!$A$4:$A$60=$B122)*('M_利用者'!$B$4:$B$60&lt;&gt;""))=0,"",IF(SUMIFS($U$5:$U$204,$B$5:$B$204,$B122,$E$5:$E$204,"&gt;="&amp;DATE(YEAR($E122),MONTH($E122),1),$E$5:$E$204,"&lt;="&amp;EOMONTH($E122,0))&gt;SUMIFS('M_利用者'!$B$4:$B$60,'M_利用者'!$A$4:$A$60,$B122),"⚠支給量超過","")))</f>
        <v/>
      </c>
      <c r="U122" s="8">
        <f>IF(OR($E122="",$G122="",$K122="キャンセル"),0,IF(IFERROR(INDEX('M_区分'!$B$4:$B$20,MATCH($C122,'M_区分'!$A$4:$A$20,0)),"○")="○",$G122-$E122+1,0))</f>
        <v/>
      </c>
    </row>
    <row r="123">
      <c r="A123" s="8">
        <f>IF($E123="","","SS-"&amp;TEXT(ROW()-4,"0000"))</f>
        <v/>
      </c>
      <c r="B123" s="9" t="n"/>
      <c r="C123" s="9" t="n"/>
      <c r="D123" s="9" t="n"/>
      <c r="E123" s="10" t="n"/>
      <c r="F123" s="11" t="n"/>
      <c r="G123" s="10" t="n"/>
      <c r="H123" s="11" t="n"/>
      <c r="I123" s="8">
        <f>IF(OR($E123="",$G123=""),"",$G123-$E123+1)</f>
        <v/>
      </c>
      <c r="J123" s="8">
        <f>IF(OR($E123="",$G123=""),"",$G123-$E123)</f>
        <v/>
      </c>
      <c r="K123" s="9" t="n"/>
      <c r="L123" s="9" t="n"/>
      <c r="M123" s="9" t="n"/>
      <c r="N123" s="9" t="n"/>
      <c r="O123" s="9" t="n"/>
      <c r="P123" s="9" t="n"/>
      <c r="Q123" s="10" t="n"/>
      <c r="R123" s="9" t="n"/>
      <c r="S123" s="8">
        <f>IF($D123="","",IF(COUNTIF('M_部屋'!$A$4:$A$20,$D123)=0,"⚠部屋が未登録",IF(OR($E123="",$G123="",$K123="キャンセル"),"",IF(SUMPRODUCT(($D$5:$D$204=$D123)*($E$5:$E$204&lt;&gt;"")*($G$5:$G$204&lt;&gt;"")*($K$5:$K$204&lt;&gt;"キャンセル")*($E$5:$E$204&lt;$G123)*($G$5:$G$204&gt;$E123))&gt;1,"⚠重複",""))))</f>
        <v/>
      </c>
      <c r="T123" s="8">
        <f>IF(OR($B123="",$E123=""),"",IF(SUMPRODUCT(('M_利用者'!$A$4:$A$60=$B123)*('M_利用者'!$B$4:$B$60&lt;&gt;""))=0,"",IF(SUMIFS($U$5:$U$204,$B$5:$B$204,$B123,$E$5:$E$204,"&gt;="&amp;DATE(YEAR($E123),MONTH($E123),1),$E$5:$E$204,"&lt;="&amp;EOMONTH($E123,0))&gt;SUMIFS('M_利用者'!$B$4:$B$60,'M_利用者'!$A$4:$A$60,$B123),"⚠支給量超過","")))</f>
        <v/>
      </c>
      <c r="U123" s="8">
        <f>IF(OR($E123="",$G123="",$K123="キャンセル"),0,IF(IFERROR(INDEX('M_区分'!$B$4:$B$20,MATCH($C123,'M_区分'!$A$4:$A$20,0)),"○")="○",$G123-$E123+1,0))</f>
        <v/>
      </c>
    </row>
    <row r="124">
      <c r="A124" s="8">
        <f>IF($E124="","","SS-"&amp;TEXT(ROW()-4,"0000"))</f>
        <v/>
      </c>
      <c r="B124" s="9" t="n"/>
      <c r="C124" s="9" t="n"/>
      <c r="D124" s="9" t="n"/>
      <c r="E124" s="10" t="n"/>
      <c r="F124" s="11" t="n"/>
      <c r="G124" s="10" t="n"/>
      <c r="H124" s="11" t="n"/>
      <c r="I124" s="8">
        <f>IF(OR($E124="",$G124=""),"",$G124-$E124+1)</f>
        <v/>
      </c>
      <c r="J124" s="8">
        <f>IF(OR($E124="",$G124=""),"",$G124-$E124)</f>
        <v/>
      </c>
      <c r="K124" s="9" t="n"/>
      <c r="L124" s="9" t="n"/>
      <c r="M124" s="9" t="n"/>
      <c r="N124" s="9" t="n"/>
      <c r="O124" s="9" t="n"/>
      <c r="P124" s="9" t="n"/>
      <c r="Q124" s="10" t="n"/>
      <c r="R124" s="9" t="n"/>
      <c r="S124" s="8">
        <f>IF($D124="","",IF(COUNTIF('M_部屋'!$A$4:$A$20,$D124)=0,"⚠部屋が未登録",IF(OR($E124="",$G124="",$K124="キャンセル"),"",IF(SUMPRODUCT(($D$5:$D$204=$D124)*($E$5:$E$204&lt;&gt;"")*($G$5:$G$204&lt;&gt;"")*($K$5:$K$204&lt;&gt;"キャンセル")*($E$5:$E$204&lt;$G124)*($G$5:$G$204&gt;$E124))&gt;1,"⚠重複",""))))</f>
        <v/>
      </c>
      <c r="T124" s="8">
        <f>IF(OR($B124="",$E124=""),"",IF(SUMPRODUCT(('M_利用者'!$A$4:$A$60=$B124)*('M_利用者'!$B$4:$B$60&lt;&gt;""))=0,"",IF(SUMIFS($U$5:$U$204,$B$5:$B$204,$B124,$E$5:$E$204,"&gt;="&amp;DATE(YEAR($E124),MONTH($E124),1),$E$5:$E$204,"&lt;="&amp;EOMONTH($E124,0))&gt;SUMIFS('M_利用者'!$B$4:$B$60,'M_利用者'!$A$4:$A$60,$B124),"⚠支給量超過","")))</f>
        <v/>
      </c>
      <c r="U124" s="8">
        <f>IF(OR($E124="",$G124="",$K124="キャンセル"),0,IF(IFERROR(INDEX('M_区分'!$B$4:$B$20,MATCH($C124,'M_区分'!$A$4:$A$20,0)),"○")="○",$G124-$E124+1,0))</f>
        <v/>
      </c>
    </row>
    <row r="125">
      <c r="A125" s="8">
        <f>IF($E125="","","SS-"&amp;TEXT(ROW()-4,"0000"))</f>
        <v/>
      </c>
      <c r="B125" s="9" t="n"/>
      <c r="C125" s="9" t="n"/>
      <c r="D125" s="9" t="n"/>
      <c r="E125" s="10" t="n"/>
      <c r="F125" s="11" t="n"/>
      <c r="G125" s="10" t="n"/>
      <c r="H125" s="11" t="n"/>
      <c r="I125" s="8">
        <f>IF(OR($E125="",$G125=""),"",$G125-$E125+1)</f>
        <v/>
      </c>
      <c r="J125" s="8">
        <f>IF(OR($E125="",$G125=""),"",$G125-$E125)</f>
        <v/>
      </c>
      <c r="K125" s="9" t="n"/>
      <c r="L125" s="9" t="n"/>
      <c r="M125" s="9" t="n"/>
      <c r="N125" s="9" t="n"/>
      <c r="O125" s="9" t="n"/>
      <c r="P125" s="9" t="n"/>
      <c r="Q125" s="10" t="n"/>
      <c r="R125" s="9" t="n"/>
      <c r="S125" s="8">
        <f>IF($D125="","",IF(COUNTIF('M_部屋'!$A$4:$A$20,$D125)=0,"⚠部屋が未登録",IF(OR($E125="",$G125="",$K125="キャンセル"),"",IF(SUMPRODUCT(($D$5:$D$204=$D125)*($E$5:$E$204&lt;&gt;"")*($G$5:$G$204&lt;&gt;"")*($K$5:$K$204&lt;&gt;"キャンセル")*($E$5:$E$204&lt;$G125)*($G$5:$G$204&gt;$E125))&gt;1,"⚠重複",""))))</f>
        <v/>
      </c>
      <c r="T125" s="8">
        <f>IF(OR($B125="",$E125=""),"",IF(SUMPRODUCT(('M_利用者'!$A$4:$A$60=$B125)*('M_利用者'!$B$4:$B$60&lt;&gt;""))=0,"",IF(SUMIFS($U$5:$U$204,$B$5:$B$204,$B125,$E$5:$E$204,"&gt;="&amp;DATE(YEAR($E125),MONTH($E125),1),$E$5:$E$204,"&lt;="&amp;EOMONTH($E125,0))&gt;SUMIFS('M_利用者'!$B$4:$B$60,'M_利用者'!$A$4:$A$60,$B125),"⚠支給量超過","")))</f>
        <v/>
      </c>
      <c r="U125" s="8">
        <f>IF(OR($E125="",$G125="",$K125="キャンセル"),0,IF(IFERROR(INDEX('M_区分'!$B$4:$B$20,MATCH($C125,'M_区分'!$A$4:$A$20,0)),"○")="○",$G125-$E125+1,0))</f>
        <v/>
      </c>
    </row>
    <row r="126">
      <c r="A126" s="8">
        <f>IF($E126="","","SS-"&amp;TEXT(ROW()-4,"0000"))</f>
        <v/>
      </c>
      <c r="B126" s="9" t="n"/>
      <c r="C126" s="9" t="n"/>
      <c r="D126" s="9" t="n"/>
      <c r="E126" s="10" t="n"/>
      <c r="F126" s="11" t="n"/>
      <c r="G126" s="10" t="n"/>
      <c r="H126" s="11" t="n"/>
      <c r="I126" s="8">
        <f>IF(OR($E126="",$G126=""),"",$G126-$E126+1)</f>
        <v/>
      </c>
      <c r="J126" s="8">
        <f>IF(OR($E126="",$G126=""),"",$G126-$E126)</f>
        <v/>
      </c>
      <c r="K126" s="9" t="n"/>
      <c r="L126" s="9" t="n"/>
      <c r="M126" s="9" t="n"/>
      <c r="N126" s="9" t="n"/>
      <c r="O126" s="9" t="n"/>
      <c r="P126" s="9" t="n"/>
      <c r="Q126" s="10" t="n"/>
      <c r="R126" s="9" t="n"/>
      <c r="S126" s="8">
        <f>IF($D126="","",IF(COUNTIF('M_部屋'!$A$4:$A$20,$D126)=0,"⚠部屋が未登録",IF(OR($E126="",$G126="",$K126="キャンセル"),"",IF(SUMPRODUCT(($D$5:$D$204=$D126)*($E$5:$E$204&lt;&gt;"")*($G$5:$G$204&lt;&gt;"")*($K$5:$K$204&lt;&gt;"キャンセル")*($E$5:$E$204&lt;$G126)*($G$5:$G$204&gt;$E126))&gt;1,"⚠重複",""))))</f>
        <v/>
      </c>
      <c r="T126" s="8">
        <f>IF(OR($B126="",$E126=""),"",IF(SUMPRODUCT(('M_利用者'!$A$4:$A$60=$B126)*('M_利用者'!$B$4:$B$60&lt;&gt;""))=0,"",IF(SUMIFS($U$5:$U$204,$B$5:$B$204,$B126,$E$5:$E$204,"&gt;="&amp;DATE(YEAR($E126),MONTH($E126),1),$E$5:$E$204,"&lt;="&amp;EOMONTH($E126,0))&gt;SUMIFS('M_利用者'!$B$4:$B$60,'M_利用者'!$A$4:$A$60,$B126),"⚠支給量超過","")))</f>
        <v/>
      </c>
      <c r="U126" s="8">
        <f>IF(OR($E126="",$G126="",$K126="キャンセル"),0,IF(IFERROR(INDEX('M_区分'!$B$4:$B$20,MATCH($C126,'M_区分'!$A$4:$A$20,0)),"○")="○",$G126-$E126+1,0))</f>
        <v/>
      </c>
    </row>
    <row r="127">
      <c r="A127" s="8">
        <f>IF($E127="","","SS-"&amp;TEXT(ROW()-4,"0000"))</f>
        <v/>
      </c>
      <c r="B127" s="9" t="n"/>
      <c r="C127" s="9" t="n"/>
      <c r="D127" s="9" t="n"/>
      <c r="E127" s="10" t="n"/>
      <c r="F127" s="11" t="n"/>
      <c r="G127" s="10" t="n"/>
      <c r="H127" s="11" t="n"/>
      <c r="I127" s="8">
        <f>IF(OR($E127="",$G127=""),"",$G127-$E127+1)</f>
        <v/>
      </c>
      <c r="J127" s="8">
        <f>IF(OR($E127="",$G127=""),"",$G127-$E127)</f>
        <v/>
      </c>
      <c r="K127" s="9" t="n"/>
      <c r="L127" s="9" t="n"/>
      <c r="M127" s="9" t="n"/>
      <c r="N127" s="9" t="n"/>
      <c r="O127" s="9" t="n"/>
      <c r="P127" s="9" t="n"/>
      <c r="Q127" s="10" t="n"/>
      <c r="R127" s="9" t="n"/>
      <c r="S127" s="8">
        <f>IF($D127="","",IF(COUNTIF('M_部屋'!$A$4:$A$20,$D127)=0,"⚠部屋が未登録",IF(OR($E127="",$G127="",$K127="キャンセル"),"",IF(SUMPRODUCT(($D$5:$D$204=$D127)*($E$5:$E$204&lt;&gt;"")*($G$5:$G$204&lt;&gt;"")*($K$5:$K$204&lt;&gt;"キャンセル")*($E$5:$E$204&lt;$G127)*($G$5:$G$204&gt;$E127))&gt;1,"⚠重複",""))))</f>
        <v/>
      </c>
      <c r="T127" s="8">
        <f>IF(OR($B127="",$E127=""),"",IF(SUMPRODUCT(('M_利用者'!$A$4:$A$60=$B127)*('M_利用者'!$B$4:$B$60&lt;&gt;""))=0,"",IF(SUMIFS($U$5:$U$204,$B$5:$B$204,$B127,$E$5:$E$204,"&gt;="&amp;DATE(YEAR($E127),MONTH($E127),1),$E$5:$E$204,"&lt;="&amp;EOMONTH($E127,0))&gt;SUMIFS('M_利用者'!$B$4:$B$60,'M_利用者'!$A$4:$A$60,$B127),"⚠支給量超過","")))</f>
        <v/>
      </c>
      <c r="U127" s="8">
        <f>IF(OR($E127="",$G127="",$K127="キャンセル"),0,IF(IFERROR(INDEX('M_区分'!$B$4:$B$20,MATCH($C127,'M_区分'!$A$4:$A$20,0)),"○")="○",$G127-$E127+1,0))</f>
        <v/>
      </c>
    </row>
    <row r="128">
      <c r="A128" s="8">
        <f>IF($E128="","","SS-"&amp;TEXT(ROW()-4,"0000"))</f>
        <v/>
      </c>
      <c r="B128" s="9" t="n"/>
      <c r="C128" s="9" t="n"/>
      <c r="D128" s="9" t="n"/>
      <c r="E128" s="10" t="n"/>
      <c r="F128" s="11" t="n"/>
      <c r="G128" s="10" t="n"/>
      <c r="H128" s="11" t="n"/>
      <c r="I128" s="8">
        <f>IF(OR($E128="",$G128=""),"",$G128-$E128+1)</f>
        <v/>
      </c>
      <c r="J128" s="8">
        <f>IF(OR($E128="",$G128=""),"",$G128-$E128)</f>
        <v/>
      </c>
      <c r="K128" s="9" t="n"/>
      <c r="L128" s="9" t="n"/>
      <c r="M128" s="9" t="n"/>
      <c r="N128" s="9" t="n"/>
      <c r="O128" s="9" t="n"/>
      <c r="P128" s="9" t="n"/>
      <c r="Q128" s="10" t="n"/>
      <c r="R128" s="9" t="n"/>
      <c r="S128" s="8">
        <f>IF($D128="","",IF(COUNTIF('M_部屋'!$A$4:$A$20,$D128)=0,"⚠部屋が未登録",IF(OR($E128="",$G128="",$K128="キャンセル"),"",IF(SUMPRODUCT(($D$5:$D$204=$D128)*($E$5:$E$204&lt;&gt;"")*($G$5:$G$204&lt;&gt;"")*($K$5:$K$204&lt;&gt;"キャンセル")*($E$5:$E$204&lt;$G128)*($G$5:$G$204&gt;$E128))&gt;1,"⚠重複",""))))</f>
        <v/>
      </c>
      <c r="T128" s="8">
        <f>IF(OR($B128="",$E128=""),"",IF(SUMPRODUCT(('M_利用者'!$A$4:$A$60=$B128)*('M_利用者'!$B$4:$B$60&lt;&gt;""))=0,"",IF(SUMIFS($U$5:$U$204,$B$5:$B$204,$B128,$E$5:$E$204,"&gt;="&amp;DATE(YEAR($E128),MONTH($E128),1),$E$5:$E$204,"&lt;="&amp;EOMONTH($E128,0))&gt;SUMIFS('M_利用者'!$B$4:$B$60,'M_利用者'!$A$4:$A$60,$B128),"⚠支給量超過","")))</f>
        <v/>
      </c>
      <c r="U128" s="8">
        <f>IF(OR($E128="",$G128="",$K128="キャンセル"),0,IF(IFERROR(INDEX('M_区分'!$B$4:$B$20,MATCH($C128,'M_区分'!$A$4:$A$20,0)),"○")="○",$G128-$E128+1,0))</f>
        <v/>
      </c>
    </row>
    <row r="129">
      <c r="A129" s="8">
        <f>IF($E129="","","SS-"&amp;TEXT(ROW()-4,"0000"))</f>
        <v/>
      </c>
      <c r="B129" s="9" t="n"/>
      <c r="C129" s="9" t="n"/>
      <c r="D129" s="9" t="n"/>
      <c r="E129" s="10" t="n"/>
      <c r="F129" s="11" t="n"/>
      <c r="G129" s="10" t="n"/>
      <c r="H129" s="11" t="n"/>
      <c r="I129" s="8">
        <f>IF(OR($E129="",$G129=""),"",$G129-$E129+1)</f>
        <v/>
      </c>
      <c r="J129" s="8">
        <f>IF(OR($E129="",$G129=""),"",$G129-$E129)</f>
        <v/>
      </c>
      <c r="K129" s="9" t="n"/>
      <c r="L129" s="9" t="n"/>
      <c r="M129" s="9" t="n"/>
      <c r="N129" s="9" t="n"/>
      <c r="O129" s="9" t="n"/>
      <c r="P129" s="9" t="n"/>
      <c r="Q129" s="10" t="n"/>
      <c r="R129" s="9" t="n"/>
      <c r="S129" s="8">
        <f>IF($D129="","",IF(COUNTIF('M_部屋'!$A$4:$A$20,$D129)=0,"⚠部屋が未登録",IF(OR($E129="",$G129="",$K129="キャンセル"),"",IF(SUMPRODUCT(($D$5:$D$204=$D129)*($E$5:$E$204&lt;&gt;"")*($G$5:$G$204&lt;&gt;"")*($K$5:$K$204&lt;&gt;"キャンセル")*($E$5:$E$204&lt;$G129)*($G$5:$G$204&gt;$E129))&gt;1,"⚠重複",""))))</f>
        <v/>
      </c>
      <c r="T129" s="8">
        <f>IF(OR($B129="",$E129=""),"",IF(SUMPRODUCT(('M_利用者'!$A$4:$A$60=$B129)*('M_利用者'!$B$4:$B$60&lt;&gt;""))=0,"",IF(SUMIFS($U$5:$U$204,$B$5:$B$204,$B129,$E$5:$E$204,"&gt;="&amp;DATE(YEAR($E129),MONTH($E129),1),$E$5:$E$204,"&lt;="&amp;EOMONTH($E129,0))&gt;SUMIFS('M_利用者'!$B$4:$B$60,'M_利用者'!$A$4:$A$60,$B129),"⚠支給量超過","")))</f>
        <v/>
      </c>
      <c r="U129" s="8">
        <f>IF(OR($E129="",$G129="",$K129="キャンセル"),0,IF(IFERROR(INDEX('M_区分'!$B$4:$B$20,MATCH($C129,'M_区分'!$A$4:$A$20,0)),"○")="○",$G129-$E129+1,0))</f>
        <v/>
      </c>
    </row>
    <row r="130">
      <c r="A130" s="8">
        <f>IF($E130="","","SS-"&amp;TEXT(ROW()-4,"0000"))</f>
        <v/>
      </c>
      <c r="B130" s="9" t="n"/>
      <c r="C130" s="9" t="n"/>
      <c r="D130" s="9" t="n"/>
      <c r="E130" s="10" t="n"/>
      <c r="F130" s="11" t="n"/>
      <c r="G130" s="10" t="n"/>
      <c r="H130" s="11" t="n"/>
      <c r="I130" s="8">
        <f>IF(OR($E130="",$G130=""),"",$G130-$E130+1)</f>
        <v/>
      </c>
      <c r="J130" s="8">
        <f>IF(OR($E130="",$G130=""),"",$G130-$E130)</f>
        <v/>
      </c>
      <c r="K130" s="9" t="n"/>
      <c r="L130" s="9" t="n"/>
      <c r="M130" s="9" t="n"/>
      <c r="N130" s="9" t="n"/>
      <c r="O130" s="9" t="n"/>
      <c r="P130" s="9" t="n"/>
      <c r="Q130" s="10" t="n"/>
      <c r="R130" s="9" t="n"/>
      <c r="S130" s="8">
        <f>IF($D130="","",IF(COUNTIF('M_部屋'!$A$4:$A$20,$D130)=0,"⚠部屋が未登録",IF(OR($E130="",$G130="",$K130="キャンセル"),"",IF(SUMPRODUCT(($D$5:$D$204=$D130)*($E$5:$E$204&lt;&gt;"")*($G$5:$G$204&lt;&gt;"")*($K$5:$K$204&lt;&gt;"キャンセル")*($E$5:$E$204&lt;$G130)*($G$5:$G$204&gt;$E130))&gt;1,"⚠重複",""))))</f>
        <v/>
      </c>
      <c r="T130" s="8">
        <f>IF(OR($B130="",$E130=""),"",IF(SUMPRODUCT(('M_利用者'!$A$4:$A$60=$B130)*('M_利用者'!$B$4:$B$60&lt;&gt;""))=0,"",IF(SUMIFS($U$5:$U$204,$B$5:$B$204,$B130,$E$5:$E$204,"&gt;="&amp;DATE(YEAR($E130),MONTH($E130),1),$E$5:$E$204,"&lt;="&amp;EOMONTH($E130,0))&gt;SUMIFS('M_利用者'!$B$4:$B$60,'M_利用者'!$A$4:$A$60,$B130),"⚠支給量超過","")))</f>
        <v/>
      </c>
      <c r="U130" s="8">
        <f>IF(OR($E130="",$G130="",$K130="キャンセル"),0,IF(IFERROR(INDEX('M_区分'!$B$4:$B$20,MATCH($C130,'M_区分'!$A$4:$A$20,0)),"○")="○",$G130-$E130+1,0))</f>
        <v/>
      </c>
    </row>
    <row r="131">
      <c r="A131" s="8">
        <f>IF($E131="","","SS-"&amp;TEXT(ROW()-4,"0000"))</f>
        <v/>
      </c>
      <c r="B131" s="9" t="n"/>
      <c r="C131" s="9" t="n"/>
      <c r="D131" s="9" t="n"/>
      <c r="E131" s="10" t="n"/>
      <c r="F131" s="11" t="n"/>
      <c r="G131" s="10" t="n"/>
      <c r="H131" s="11" t="n"/>
      <c r="I131" s="8">
        <f>IF(OR($E131="",$G131=""),"",$G131-$E131+1)</f>
        <v/>
      </c>
      <c r="J131" s="8">
        <f>IF(OR($E131="",$G131=""),"",$G131-$E131)</f>
        <v/>
      </c>
      <c r="K131" s="9" t="n"/>
      <c r="L131" s="9" t="n"/>
      <c r="M131" s="9" t="n"/>
      <c r="N131" s="9" t="n"/>
      <c r="O131" s="9" t="n"/>
      <c r="P131" s="9" t="n"/>
      <c r="Q131" s="10" t="n"/>
      <c r="R131" s="9" t="n"/>
      <c r="S131" s="8">
        <f>IF($D131="","",IF(COUNTIF('M_部屋'!$A$4:$A$20,$D131)=0,"⚠部屋が未登録",IF(OR($E131="",$G131="",$K131="キャンセル"),"",IF(SUMPRODUCT(($D$5:$D$204=$D131)*($E$5:$E$204&lt;&gt;"")*($G$5:$G$204&lt;&gt;"")*($K$5:$K$204&lt;&gt;"キャンセル")*($E$5:$E$204&lt;$G131)*($G$5:$G$204&gt;$E131))&gt;1,"⚠重複",""))))</f>
        <v/>
      </c>
      <c r="T131" s="8">
        <f>IF(OR($B131="",$E131=""),"",IF(SUMPRODUCT(('M_利用者'!$A$4:$A$60=$B131)*('M_利用者'!$B$4:$B$60&lt;&gt;""))=0,"",IF(SUMIFS($U$5:$U$204,$B$5:$B$204,$B131,$E$5:$E$204,"&gt;="&amp;DATE(YEAR($E131),MONTH($E131),1),$E$5:$E$204,"&lt;="&amp;EOMONTH($E131,0))&gt;SUMIFS('M_利用者'!$B$4:$B$60,'M_利用者'!$A$4:$A$60,$B131),"⚠支給量超過","")))</f>
        <v/>
      </c>
      <c r="U131" s="8">
        <f>IF(OR($E131="",$G131="",$K131="キャンセル"),0,IF(IFERROR(INDEX('M_区分'!$B$4:$B$20,MATCH($C131,'M_区分'!$A$4:$A$20,0)),"○")="○",$G131-$E131+1,0))</f>
        <v/>
      </c>
    </row>
    <row r="132">
      <c r="A132" s="8">
        <f>IF($E132="","","SS-"&amp;TEXT(ROW()-4,"0000"))</f>
        <v/>
      </c>
      <c r="B132" s="9" t="n"/>
      <c r="C132" s="9" t="n"/>
      <c r="D132" s="9" t="n"/>
      <c r="E132" s="10" t="n"/>
      <c r="F132" s="11" t="n"/>
      <c r="G132" s="10" t="n"/>
      <c r="H132" s="11" t="n"/>
      <c r="I132" s="8">
        <f>IF(OR($E132="",$G132=""),"",$G132-$E132+1)</f>
        <v/>
      </c>
      <c r="J132" s="8">
        <f>IF(OR($E132="",$G132=""),"",$G132-$E132)</f>
        <v/>
      </c>
      <c r="K132" s="9" t="n"/>
      <c r="L132" s="9" t="n"/>
      <c r="M132" s="9" t="n"/>
      <c r="N132" s="9" t="n"/>
      <c r="O132" s="9" t="n"/>
      <c r="P132" s="9" t="n"/>
      <c r="Q132" s="10" t="n"/>
      <c r="R132" s="9" t="n"/>
      <c r="S132" s="8">
        <f>IF($D132="","",IF(COUNTIF('M_部屋'!$A$4:$A$20,$D132)=0,"⚠部屋が未登録",IF(OR($E132="",$G132="",$K132="キャンセル"),"",IF(SUMPRODUCT(($D$5:$D$204=$D132)*($E$5:$E$204&lt;&gt;"")*($G$5:$G$204&lt;&gt;"")*($K$5:$K$204&lt;&gt;"キャンセル")*($E$5:$E$204&lt;$G132)*($G$5:$G$204&gt;$E132))&gt;1,"⚠重複",""))))</f>
        <v/>
      </c>
      <c r="T132" s="8">
        <f>IF(OR($B132="",$E132=""),"",IF(SUMPRODUCT(('M_利用者'!$A$4:$A$60=$B132)*('M_利用者'!$B$4:$B$60&lt;&gt;""))=0,"",IF(SUMIFS($U$5:$U$204,$B$5:$B$204,$B132,$E$5:$E$204,"&gt;="&amp;DATE(YEAR($E132),MONTH($E132),1),$E$5:$E$204,"&lt;="&amp;EOMONTH($E132,0))&gt;SUMIFS('M_利用者'!$B$4:$B$60,'M_利用者'!$A$4:$A$60,$B132),"⚠支給量超過","")))</f>
        <v/>
      </c>
      <c r="U132" s="8">
        <f>IF(OR($E132="",$G132="",$K132="キャンセル"),0,IF(IFERROR(INDEX('M_区分'!$B$4:$B$20,MATCH($C132,'M_区分'!$A$4:$A$20,0)),"○")="○",$G132-$E132+1,0))</f>
        <v/>
      </c>
    </row>
    <row r="133">
      <c r="A133" s="8">
        <f>IF($E133="","","SS-"&amp;TEXT(ROW()-4,"0000"))</f>
        <v/>
      </c>
      <c r="B133" s="9" t="n"/>
      <c r="C133" s="9" t="n"/>
      <c r="D133" s="9" t="n"/>
      <c r="E133" s="10" t="n"/>
      <c r="F133" s="11" t="n"/>
      <c r="G133" s="10" t="n"/>
      <c r="H133" s="11" t="n"/>
      <c r="I133" s="8">
        <f>IF(OR($E133="",$G133=""),"",$G133-$E133+1)</f>
        <v/>
      </c>
      <c r="J133" s="8">
        <f>IF(OR($E133="",$G133=""),"",$G133-$E133)</f>
        <v/>
      </c>
      <c r="K133" s="9" t="n"/>
      <c r="L133" s="9" t="n"/>
      <c r="M133" s="9" t="n"/>
      <c r="N133" s="9" t="n"/>
      <c r="O133" s="9" t="n"/>
      <c r="P133" s="9" t="n"/>
      <c r="Q133" s="10" t="n"/>
      <c r="R133" s="9" t="n"/>
      <c r="S133" s="8">
        <f>IF($D133="","",IF(COUNTIF('M_部屋'!$A$4:$A$20,$D133)=0,"⚠部屋が未登録",IF(OR($E133="",$G133="",$K133="キャンセル"),"",IF(SUMPRODUCT(($D$5:$D$204=$D133)*($E$5:$E$204&lt;&gt;"")*($G$5:$G$204&lt;&gt;"")*($K$5:$K$204&lt;&gt;"キャンセル")*($E$5:$E$204&lt;$G133)*($G$5:$G$204&gt;$E133))&gt;1,"⚠重複",""))))</f>
        <v/>
      </c>
      <c r="T133" s="8">
        <f>IF(OR($B133="",$E133=""),"",IF(SUMPRODUCT(('M_利用者'!$A$4:$A$60=$B133)*('M_利用者'!$B$4:$B$60&lt;&gt;""))=0,"",IF(SUMIFS($U$5:$U$204,$B$5:$B$204,$B133,$E$5:$E$204,"&gt;="&amp;DATE(YEAR($E133),MONTH($E133),1),$E$5:$E$204,"&lt;="&amp;EOMONTH($E133,0))&gt;SUMIFS('M_利用者'!$B$4:$B$60,'M_利用者'!$A$4:$A$60,$B133),"⚠支給量超過","")))</f>
        <v/>
      </c>
      <c r="U133" s="8">
        <f>IF(OR($E133="",$G133="",$K133="キャンセル"),0,IF(IFERROR(INDEX('M_区分'!$B$4:$B$20,MATCH($C133,'M_区分'!$A$4:$A$20,0)),"○")="○",$G133-$E133+1,0))</f>
        <v/>
      </c>
    </row>
    <row r="134">
      <c r="A134" s="8">
        <f>IF($E134="","","SS-"&amp;TEXT(ROW()-4,"0000"))</f>
        <v/>
      </c>
      <c r="B134" s="9" t="n"/>
      <c r="C134" s="9" t="n"/>
      <c r="D134" s="9" t="n"/>
      <c r="E134" s="10" t="n"/>
      <c r="F134" s="11" t="n"/>
      <c r="G134" s="10" t="n"/>
      <c r="H134" s="11" t="n"/>
      <c r="I134" s="8">
        <f>IF(OR($E134="",$G134=""),"",$G134-$E134+1)</f>
        <v/>
      </c>
      <c r="J134" s="8">
        <f>IF(OR($E134="",$G134=""),"",$G134-$E134)</f>
        <v/>
      </c>
      <c r="K134" s="9" t="n"/>
      <c r="L134" s="9" t="n"/>
      <c r="M134" s="9" t="n"/>
      <c r="N134" s="9" t="n"/>
      <c r="O134" s="9" t="n"/>
      <c r="P134" s="9" t="n"/>
      <c r="Q134" s="10" t="n"/>
      <c r="R134" s="9" t="n"/>
      <c r="S134" s="8">
        <f>IF($D134="","",IF(COUNTIF('M_部屋'!$A$4:$A$20,$D134)=0,"⚠部屋が未登録",IF(OR($E134="",$G134="",$K134="キャンセル"),"",IF(SUMPRODUCT(($D$5:$D$204=$D134)*($E$5:$E$204&lt;&gt;"")*($G$5:$G$204&lt;&gt;"")*($K$5:$K$204&lt;&gt;"キャンセル")*($E$5:$E$204&lt;$G134)*($G$5:$G$204&gt;$E134))&gt;1,"⚠重複",""))))</f>
        <v/>
      </c>
      <c r="T134" s="8">
        <f>IF(OR($B134="",$E134=""),"",IF(SUMPRODUCT(('M_利用者'!$A$4:$A$60=$B134)*('M_利用者'!$B$4:$B$60&lt;&gt;""))=0,"",IF(SUMIFS($U$5:$U$204,$B$5:$B$204,$B134,$E$5:$E$204,"&gt;="&amp;DATE(YEAR($E134),MONTH($E134),1),$E$5:$E$204,"&lt;="&amp;EOMONTH($E134,0))&gt;SUMIFS('M_利用者'!$B$4:$B$60,'M_利用者'!$A$4:$A$60,$B134),"⚠支給量超過","")))</f>
        <v/>
      </c>
      <c r="U134" s="8">
        <f>IF(OR($E134="",$G134="",$K134="キャンセル"),0,IF(IFERROR(INDEX('M_区分'!$B$4:$B$20,MATCH($C134,'M_区分'!$A$4:$A$20,0)),"○")="○",$G134-$E134+1,0))</f>
        <v/>
      </c>
    </row>
    <row r="135">
      <c r="A135" s="8">
        <f>IF($E135="","","SS-"&amp;TEXT(ROW()-4,"0000"))</f>
        <v/>
      </c>
      <c r="B135" s="9" t="n"/>
      <c r="C135" s="9" t="n"/>
      <c r="D135" s="9" t="n"/>
      <c r="E135" s="10" t="n"/>
      <c r="F135" s="11" t="n"/>
      <c r="G135" s="10" t="n"/>
      <c r="H135" s="11" t="n"/>
      <c r="I135" s="8">
        <f>IF(OR($E135="",$G135=""),"",$G135-$E135+1)</f>
        <v/>
      </c>
      <c r="J135" s="8">
        <f>IF(OR($E135="",$G135=""),"",$G135-$E135)</f>
        <v/>
      </c>
      <c r="K135" s="9" t="n"/>
      <c r="L135" s="9" t="n"/>
      <c r="M135" s="9" t="n"/>
      <c r="N135" s="9" t="n"/>
      <c r="O135" s="9" t="n"/>
      <c r="P135" s="9" t="n"/>
      <c r="Q135" s="10" t="n"/>
      <c r="R135" s="9" t="n"/>
      <c r="S135" s="8">
        <f>IF($D135="","",IF(COUNTIF('M_部屋'!$A$4:$A$20,$D135)=0,"⚠部屋が未登録",IF(OR($E135="",$G135="",$K135="キャンセル"),"",IF(SUMPRODUCT(($D$5:$D$204=$D135)*($E$5:$E$204&lt;&gt;"")*($G$5:$G$204&lt;&gt;"")*($K$5:$K$204&lt;&gt;"キャンセル")*($E$5:$E$204&lt;$G135)*($G$5:$G$204&gt;$E135))&gt;1,"⚠重複",""))))</f>
        <v/>
      </c>
      <c r="T135" s="8">
        <f>IF(OR($B135="",$E135=""),"",IF(SUMPRODUCT(('M_利用者'!$A$4:$A$60=$B135)*('M_利用者'!$B$4:$B$60&lt;&gt;""))=0,"",IF(SUMIFS($U$5:$U$204,$B$5:$B$204,$B135,$E$5:$E$204,"&gt;="&amp;DATE(YEAR($E135),MONTH($E135),1),$E$5:$E$204,"&lt;="&amp;EOMONTH($E135,0))&gt;SUMIFS('M_利用者'!$B$4:$B$60,'M_利用者'!$A$4:$A$60,$B135),"⚠支給量超過","")))</f>
        <v/>
      </c>
      <c r="U135" s="8">
        <f>IF(OR($E135="",$G135="",$K135="キャンセル"),0,IF(IFERROR(INDEX('M_区分'!$B$4:$B$20,MATCH($C135,'M_区分'!$A$4:$A$20,0)),"○")="○",$G135-$E135+1,0))</f>
        <v/>
      </c>
    </row>
    <row r="136">
      <c r="A136" s="8">
        <f>IF($E136="","","SS-"&amp;TEXT(ROW()-4,"0000"))</f>
        <v/>
      </c>
      <c r="B136" s="9" t="n"/>
      <c r="C136" s="9" t="n"/>
      <c r="D136" s="9" t="n"/>
      <c r="E136" s="10" t="n"/>
      <c r="F136" s="11" t="n"/>
      <c r="G136" s="10" t="n"/>
      <c r="H136" s="11" t="n"/>
      <c r="I136" s="8">
        <f>IF(OR($E136="",$G136=""),"",$G136-$E136+1)</f>
        <v/>
      </c>
      <c r="J136" s="8">
        <f>IF(OR($E136="",$G136=""),"",$G136-$E136)</f>
        <v/>
      </c>
      <c r="K136" s="9" t="n"/>
      <c r="L136" s="9" t="n"/>
      <c r="M136" s="9" t="n"/>
      <c r="N136" s="9" t="n"/>
      <c r="O136" s="9" t="n"/>
      <c r="P136" s="9" t="n"/>
      <c r="Q136" s="10" t="n"/>
      <c r="R136" s="9" t="n"/>
      <c r="S136" s="8">
        <f>IF($D136="","",IF(COUNTIF('M_部屋'!$A$4:$A$20,$D136)=0,"⚠部屋が未登録",IF(OR($E136="",$G136="",$K136="キャンセル"),"",IF(SUMPRODUCT(($D$5:$D$204=$D136)*($E$5:$E$204&lt;&gt;"")*($G$5:$G$204&lt;&gt;"")*($K$5:$K$204&lt;&gt;"キャンセル")*($E$5:$E$204&lt;$G136)*($G$5:$G$204&gt;$E136))&gt;1,"⚠重複",""))))</f>
        <v/>
      </c>
      <c r="T136" s="8">
        <f>IF(OR($B136="",$E136=""),"",IF(SUMPRODUCT(('M_利用者'!$A$4:$A$60=$B136)*('M_利用者'!$B$4:$B$60&lt;&gt;""))=0,"",IF(SUMIFS($U$5:$U$204,$B$5:$B$204,$B136,$E$5:$E$204,"&gt;="&amp;DATE(YEAR($E136),MONTH($E136),1),$E$5:$E$204,"&lt;="&amp;EOMONTH($E136,0))&gt;SUMIFS('M_利用者'!$B$4:$B$60,'M_利用者'!$A$4:$A$60,$B136),"⚠支給量超過","")))</f>
        <v/>
      </c>
      <c r="U136" s="8">
        <f>IF(OR($E136="",$G136="",$K136="キャンセル"),0,IF(IFERROR(INDEX('M_区分'!$B$4:$B$20,MATCH($C136,'M_区分'!$A$4:$A$20,0)),"○")="○",$G136-$E136+1,0))</f>
        <v/>
      </c>
    </row>
    <row r="137">
      <c r="A137" s="8">
        <f>IF($E137="","","SS-"&amp;TEXT(ROW()-4,"0000"))</f>
        <v/>
      </c>
      <c r="B137" s="9" t="n"/>
      <c r="C137" s="9" t="n"/>
      <c r="D137" s="9" t="n"/>
      <c r="E137" s="10" t="n"/>
      <c r="F137" s="11" t="n"/>
      <c r="G137" s="10" t="n"/>
      <c r="H137" s="11" t="n"/>
      <c r="I137" s="8">
        <f>IF(OR($E137="",$G137=""),"",$G137-$E137+1)</f>
        <v/>
      </c>
      <c r="J137" s="8">
        <f>IF(OR($E137="",$G137=""),"",$G137-$E137)</f>
        <v/>
      </c>
      <c r="K137" s="9" t="n"/>
      <c r="L137" s="9" t="n"/>
      <c r="M137" s="9" t="n"/>
      <c r="N137" s="9" t="n"/>
      <c r="O137" s="9" t="n"/>
      <c r="P137" s="9" t="n"/>
      <c r="Q137" s="10" t="n"/>
      <c r="R137" s="9" t="n"/>
      <c r="S137" s="8">
        <f>IF($D137="","",IF(COUNTIF('M_部屋'!$A$4:$A$20,$D137)=0,"⚠部屋が未登録",IF(OR($E137="",$G137="",$K137="キャンセル"),"",IF(SUMPRODUCT(($D$5:$D$204=$D137)*($E$5:$E$204&lt;&gt;"")*($G$5:$G$204&lt;&gt;"")*($K$5:$K$204&lt;&gt;"キャンセル")*($E$5:$E$204&lt;$G137)*($G$5:$G$204&gt;$E137))&gt;1,"⚠重複",""))))</f>
        <v/>
      </c>
      <c r="T137" s="8">
        <f>IF(OR($B137="",$E137=""),"",IF(SUMPRODUCT(('M_利用者'!$A$4:$A$60=$B137)*('M_利用者'!$B$4:$B$60&lt;&gt;""))=0,"",IF(SUMIFS($U$5:$U$204,$B$5:$B$204,$B137,$E$5:$E$204,"&gt;="&amp;DATE(YEAR($E137),MONTH($E137),1),$E$5:$E$204,"&lt;="&amp;EOMONTH($E137,0))&gt;SUMIFS('M_利用者'!$B$4:$B$60,'M_利用者'!$A$4:$A$60,$B137),"⚠支給量超過","")))</f>
        <v/>
      </c>
      <c r="U137" s="8">
        <f>IF(OR($E137="",$G137="",$K137="キャンセル"),0,IF(IFERROR(INDEX('M_区分'!$B$4:$B$20,MATCH($C137,'M_区分'!$A$4:$A$20,0)),"○")="○",$G137-$E137+1,0))</f>
        <v/>
      </c>
    </row>
    <row r="138">
      <c r="A138" s="8">
        <f>IF($E138="","","SS-"&amp;TEXT(ROW()-4,"0000"))</f>
        <v/>
      </c>
      <c r="B138" s="9" t="n"/>
      <c r="C138" s="9" t="n"/>
      <c r="D138" s="9" t="n"/>
      <c r="E138" s="10" t="n"/>
      <c r="F138" s="11" t="n"/>
      <c r="G138" s="10" t="n"/>
      <c r="H138" s="11" t="n"/>
      <c r="I138" s="8">
        <f>IF(OR($E138="",$G138=""),"",$G138-$E138+1)</f>
        <v/>
      </c>
      <c r="J138" s="8">
        <f>IF(OR($E138="",$G138=""),"",$G138-$E138)</f>
        <v/>
      </c>
      <c r="K138" s="9" t="n"/>
      <c r="L138" s="9" t="n"/>
      <c r="M138" s="9" t="n"/>
      <c r="N138" s="9" t="n"/>
      <c r="O138" s="9" t="n"/>
      <c r="P138" s="9" t="n"/>
      <c r="Q138" s="10" t="n"/>
      <c r="R138" s="9" t="n"/>
      <c r="S138" s="8">
        <f>IF($D138="","",IF(COUNTIF('M_部屋'!$A$4:$A$20,$D138)=0,"⚠部屋が未登録",IF(OR($E138="",$G138="",$K138="キャンセル"),"",IF(SUMPRODUCT(($D$5:$D$204=$D138)*($E$5:$E$204&lt;&gt;"")*($G$5:$G$204&lt;&gt;"")*($K$5:$K$204&lt;&gt;"キャンセル")*($E$5:$E$204&lt;$G138)*($G$5:$G$204&gt;$E138))&gt;1,"⚠重複",""))))</f>
        <v/>
      </c>
      <c r="T138" s="8">
        <f>IF(OR($B138="",$E138=""),"",IF(SUMPRODUCT(('M_利用者'!$A$4:$A$60=$B138)*('M_利用者'!$B$4:$B$60&lt;&gt;""))=0,"",IF(SUMIFS($U$5:$U$204,$B$5:$B$204,$B138,$E$5:$E$204,"&gt;="&amp;DATE(YEAR($E138),MONTH($E138),1),$E$5:$E$204,"&lt;="&amp;EOMONTH($E138,0))&gt;SUMIFS('M_利用者'!$B$4:$B$60,'M_利用者'!$A$4:$A$60,$B138),"⚠支給量超過","")))</f>
        <v/>
      </c>
      <c r="U138" s="8">
        <f>IF(OR($E138="",$G138="",$K138="キャンセル"),0,IF(IFERROR(INDEX('M_区分'!$B$4:$B$20,MATCH($C138,'M_区分'!$A$4:$A$20,0)),"○")="○",$G138-$E138+1,0))</f>
        <v/>
      </c>
    </row>
    <row r="139">
      <c r="A139" s="8">
        <f>IF($E139="","","SS-"&amp;TEXT(ROW()-4,"0000"))</f>
        <v/>
      </c>
      <c r="B139" s="9" t="n"/>
      <c r="C139" s="9" t="n"/>
      <c r="D139" s="9" t="n"/>
      <c r="E139" s="10" t="n"/>
      <c r="F139" s="11" t="n"/>
      <c r="G139" s="10" t="n"/>
      <c r="H139" s="11" t="n"/>
      <c r="I139" s="8">
        <f>IF(OR($E139="",$G139=""),"",$G139-$E139+1)</f>
        <v/>
      </c>
      <c r="J139" s="8">
        <f>IF(OR($E139="",$G139=""),"",$G139-$E139)</f>
        <v/>
      </c>
      <c r="K139" s="9" t="n"/>
      <c r="L139" s="9" t="n"/>
      <c r="M139" s="9" t="n"/>
      <c r="N139" s="9" t="n"/>
      <c r="O139" s="9" t="n"/>
      <c r="P139" s="9" t="n"/>
      <c r="Q139" s="10" t="n"/>
      <c r="R139" s="9" t="n"/>
      <c r="S139" s="8">
        <f>IF($D139="","",IF(COUNTIF('M_部屋'!$A$4:$A$20,$D139)=0,"⚠部屋が未登録",IF(OR($E139="",$G139="",$K139="キャンセル"),"",IF(SUMPRODUCT(($D$5:$D$204=$D139)*($E$5:$E$204&lt;&gt;"")*($G$5:$G$204&lt;&gt;"")*($K$5:$K$204&lt;&gt;"キャンセル")*($E$5:$E$204&lt;$G139)*($G$5:$G$204&gt;$E139))&gt;1,"⚠重複",""))))</f>
        <v/>
      </c>
      <c r="T139" s="8">
        <f>IF(OR($B139="",$E139=""),"",IF(SUMPRODUCT(('M_利用者'!$A$4:$A$60=$B139)*('M_利用者'!$B$4:$B$60&lt;&gt;""))=0,"",IF(SUMIFS($U$5:$U$204,$B$5:$B$204,$B139,$E$5:$E$204,"&gt;="&amp;DATE(YEAR($E139),MONTH($E139),1),$E$5:$E$204,"&lt;="&amp;EOMONTH($E139,0))&gt;SUMIFS('M_利用者'!$B$4:$B$60,'M_利用者'!$A$4:$A$60,$B139),"⚠支給量超過","")))</f>
        <v/>
      </c>
      <c r="U139" s="8">
        <f>IF(OR($E139="",$G139="",$K139="キャンセル"),0,IF(IFERROR(INDEX('M_区分'!$B$4:$B$20,MATCH($C139,'M_区分'!$A$4:$A$20,0)),"○")="○",$G139-$E139+1,0))</f>
        <v/>
      </c>
    </row>
    <row r="140">
      <c r="A140" s="8">
        <f>IF($E140="","","SS-"&amp;TEXT(ROW()-4,"0000"))</f>
        <v/>
      </c>
      <c r="B140" s="9" t="n"/>
      <c r="C140" s="9" t="n"/>
      <c r="D140" s="9" t="n"/>
      <c r="E140" s="10" t="n"/>
      <c r="F140" s="11" t="n"/>
      <c r="G140" s="10" t="n"/>
      <c r="H140" s="11" t="n"/>
      <c r="I140" s="8">
        <f>IF(OR($E140="",$G140=""),"",$G140-$E140+1)</f>
        <v/>
      </c>
      <c r="J140" s="8">
        <f>IF(OR($E140="",$G140=""),"",$G140-$E140)</f>
        <v/>
      </c>
      <c r="K140" s="9" t="n"/>
      <c r="L140" s="9" t="n"/>
      <c r="M140" s="9" t="n"/>
      <c r="N140" s="9" t="n"/>
      <c r="O140" s="9" t="n"/>
      <c r="P140" s="9" t="n"/>
      <c r="Q140" s="10" t="n"/>
      <c r="R140" s="9" t="n"/>
      <c r="S140" s="8">
        <f>IF($D140="","",IF(COUNTIF('M_部屋'!$A$4:$A$20,$D140)=0,"⚠部屋が未登録",IF(OR($E140="",$G140="",$K140="キャンセル"),"",IF(SUMPRODUCT(($D$5:$D$204=$D140)*($E$5:$E$204&lt;&gt;"")*($G$5:$G$204&lt;&gt;"")*($K$5:$K$204&lt;&gt;"キャンセル")*($E$5:$E$204&lt;$G140)*($G$5:$G$204&gt;$E140))&gt;1,"⚠重複",""))))</f>
        <v/>
      </c>
      <c r="T140" s="8">
        <f>IF(OR($B140="",$E140=""),"",IF(SUMPRODUCT(('M_利用者'!$A$4:$A$60=$B140)*('M_利用者'!$B$4:$B$60&lt;&gt;""))=0,"",IF(SUMIFS($U$5:$U$204,$B$5:$B$204,$B140,$E$5:$E$204,"&gt;="&amp;DATE(YEAR($E140),MONTH($E140),1),$E$5:$E$204,"&lt;="&amp;EOMONTH($E140,0))&gt;SUMIFS('M_利用者'!$B$4:$B$60,'M_利用者'!$A$4:$A$60,$B140),"⚠支給量超過","")))</f>
        <v/>
      </c>
      <c r="U140" s="8">
        <f>IF(OR($E140="",$G140="",$K140="キャンセル"),0,IF(IFERROR(INDEX('M_区分'!$B$4:$B$20,MATCH($C140,'M_区分'!$A$4:$A$20,0)),"○")="○",$G140-$E140+1,0))</f>
        <v/>
      </c>
    </row>
    <row r="141">
      <c r="A141" s="8">
        <f>IF($E141="","","SS-"&amp;TEXT(ROW()-4,"0000"))</f>
        <v/>
      </c>
      <c r="B141" s="9" t="n"/>
      <c r="C141" s="9" t="n"/>
      <c r="D141" s="9" t="n"/>
      <c r="E141" s="10" t="n"/>
      <c r="F141" s="11" t="n"/>
      <c r="G141" s="10" t="n"/>
      <c r="H141" s="11" t="n"/>
      <c r="I141" s="8">
        <f>IF(OR($E141="",$G141=""),"",$G141-$E141+1)</f>
        <v/>
      </c>
      <c r="J141" s="8">
        <f>IF(OR($E141="",$G141=""),"",$G141-$E141)</f>
        <v/>
      </c>
      <c r="K141" s="9" t="n"/>
      <c r="L141" s="9" t="n"/>
      <c r="M141" s="9" t="n"/>
      <c r="N141" s="9" t="n"/>
      <c r="O141" s="9" t="n"/>
      <c r="P141" s="9" t="n"/>
      <c r="Q141" s="10" t="n"/>
      <c r="R141" s="9" t="n"/>
      <c r="S141" s="8">
        <f>IF($D141="","",IF(COUNTIF('M_部屋'!$A$4:$A$20,$D141)=0,"⚠部屋が未登録",IF(OR($E141="",$G141="",$K141="キャンセル"),"",IF(SUMPRODUCT(($D$5:$D$204=$D141)*($E$5:$E$204&lt;&gt;"")*($G$5:$G$204&lt;&gt;"")*($K$5:$K$204&lt;&gt;"キャンセル")*($E$5:$E$204&lt;$G141)*($G$5:$G$204&gt;$E141))&gt;1,"⚠重複",""))))</f>
        <v/>
      </c>
      <c r="T141" s="8">
        <f>IF(OR($B141="",$E141=""),"",IF(SUMPRODUCT(('M_利用者'!$A$4:$A$60=$B141)*('M_利用者'!$B$4:$B$60&lt;&gt;""))=0,"",IF(SUMIFS($U$5:$U$204,$B$5:$B$204,$B141,$E$5:$E$204,"&gt;="&amp;DATE(YEAR($E141),MONTH($E141),1),$E$5:$E$204,"&lt;="&amp;EOMONTH($E141,0))&gt;SUMIFS('M_利用者'!$B$4:$B$60,'M_利用者'!$A$4:$A$60,$B141),"⚠支給量超過","")))</f>
        <v/>
      </c>
      <c r="U141" s="8">
        <f>IF(OR($E141="",$G141="",$K141="キャンセル"),0,IF(IFERROR(INDEX('M_区分'!$B$4:$B$20,MATCH($C141,'M_区分'!$A$4:$A$20,0)),"○")="○",$G141-$E141+1,0))</f>
        <v/>
      </c>
    </row>
    <row r="142">
      <c r="A142" s="8">
        <f>IF($E142="","","SS-"&amp;TEXT(ROW()-4,"0000"))</f>
        <v/>
      </c>
      <c r="B142" s="9" t="n"/>
      <c r="C142" s="9" t="n"/>
      <c r="D142" s="9" t="n"/>
      <c r="E142" s="10" t="n"/>
      <c r="F142" s="11" t="n"/>
      <c r="G142" s="10" t="n"/>
      <c r="H142" s="11" t="n"/>
      <c r="I142" s="8">
        <f>IF(OR($E142="",$G142=""),"",$G142-$E142+1)</f>
        <v/>
      </c>
      <c r="J142" s="8">
        <f>IF(OR($E142="",$G142=""),"",$G142-$E142)</f>
        <v/>
      </c>
      <c r="K142" s="9" t="n"/>
      <c r="L142" s="9" t="n"/>
      <c r="M142" s="9" t="n"/>
      <c r="N142" s="9" t="n"/>
      <c r="O142" s="9" t="n"/>
      <c r="P142" s="9" t="n"/>
      <c r="Q142" s="10" t="n"/>
      <c r="R142" s="9" t="n"/>
      <c r="S142" s="8">
        <f>IF($D142="","",IF(COUNTIF('M_部屋'!$A$4:$A$20,$D142)=0,"⚠部屋が未登録",IF(OR($E142="",$G142="",$K142="キャンセル"),"",IF(SUMPRODUCT(($D$5:$D$204=$D142)*($E$5:$E$204&lt;&gt;"")*($G$5:$G$204&lt;&gt;"")*($K$5:$K$204&lt;&gt;"キャンセル")*($E$5:$E$204&lt;$G142)*($G$5:$G$204&gt;$E142))&gt;1,"⚠重複",""))))</f>
        <v/>
      </c>
      <c r="T142" s="8">
        <f>IF(OR($B142="",$E142=""),"",IF(SUMPRODUCT(('M_利用者'!$A$4:$A$60=$B142)*('M_利用者'!$B$4:$B$60&lt;&gt;""))=0,"",IF(SUMIFS($U$5:$U$204,$B$5:$B$204,$B142,$E$5:$E$204,"&gt;="&amp;DATE(YEAR($E142),MONTH($E142),1),$E$5:$E$204,"&lt;="&amp;EOMONTH($E142,0))&gt;SUMIFS('M_利用者'!$B$4:$B$60,'M_利用者'!$A$4:$A$60,$B142),"⚠支給量超過","")))</f>
        <v/>
      </c>
      <c r="U142" s="8">
        <f>IF(OR($E142="",$G142="",$K142="キャンセル"),0,IF(IFERROR(INDEX('M_区分'!$B$4:$B$20,MATCH($C142,'M_区分'!$A$4:$A$20,0)),"○")="○",$G142-$E142+1,0))</f>
        <v/>
      </c>
    </row>
    <row r="143">
      <c r="A143" s="8">
        <f>IF($E143="","","SS-"&amp;TEXT(ROW()-4,"0000"))</f>
        <v/>
      </c>
      <c r="B143" s="9" t="n"/>
      <c r="C143" s="9" t="n"/>
      <c r="D143" s="9" t="n"/>
      <c r="E143" s="10" t="n"/>
      <c r="F143" s="11" t="n"/>
      <c r="G143" s="10" t="n"/>
      <c r="H143" s="11" t="n"/>
      <c r="I143" s="8">
        <f>IF(OR($E143="",$G143=""),"",$G143-$E143+1)</f>
        <v/>
      </c>
      <c r="J143" s="8">
        <f>IF(OR($E143="",$G143=""),"",$G143-$E143)</f>
        <v/>
      </c>
      <c r="K143" s="9" t="n"/>
      <c r="L143" s="9" t="n"/>
      <c r="M143" s="9" t="n"/>
      <c r="N143" s="9" t="n"/>
      <c r="O143" s="9" t="n"/>
      <c r="P143" s="9" t="n"/>
      <c r="Q143" s="10" t="n"/>
      <c r="R143" s="9" t="n"/>
      <c r="S143" s="8">
        <f>IF($D143="","",IF(COUNTIF('M_部屋'!$A$4:$A$20,$D143)=0,"⚠部屋が未登録",IF(OR($E143="",$G143="",$K143="キャンセル"),"",IF(SUMPRODUCT(($D$5:$D$204=$D143)*($E$5:$E$204&lt;&gt;"")*($G$5:$G$204&lt;&gt;"")*($K$5:$K$204&lt;&gt;"キャンセル")*($E$5:$E$204&lt;$G143)*($G$5:$G$204&gt;$E143))&gt;1,"⚠重複",""))))</f>
        <v/>
      </c>
      <c r="T143" s="8">
        <f>IF(OR($B143="",$E143=""),"",IF(SUMPRODUCT(('M_利用者'!$A$4:$A$60=$B143)*('M_利用者'!$B$4:$B$60&lt;&gt;""))=0,"",IF(SUMIFS($U$5:$U$204,$B$5:$B$204,$B143,$E$5:$E$204,"&gt;="&amp;DATE(YEAR($E143),MONTH($E143),1),$E$5:$E$204,"&lt;="&amp;EOMONTH($E143,0))&gt;SUMIFS('M_利用者'!$B$4:$B$60,'M_利用者'!$A$4:$A$60,$B143),"⚠支給量超過","")))</f>
        <v/>
      </c>
      <c r="U143" s="8">
        <f>IF(OR($E143="",$G143="",$K143="キャンセル"),0,IF(IFERROR(INDEX('M_区分'!$B$4:$B$20,MATCH($C143,'M_区分'!$A$4:$A$20,0)),"○")="○",$G143-$E143+1,0))</f>
        <v/>
      </c>
    </row>
    <row r="144">
      <c r="A144" s="8">
        <f>IF($E144="","","SS-"&amp;TEXT(ROW()-4,"0000"))</f>
        <v/>
      </c>
      <c r="B144" s="9" t="n"/>
      <c r="C144" s="9" t="n"/>
      <c r="D144" s="9" t="n"/>
      <c r="E144" s="10" t="n"/>
      <c r="F144" s="11" t="n"/>
      <c r="G144" s="10" t="n"/>
      <c r="H144" s="11" t="n"/>
      <c r="I144" s="8">
        <f>IF(OR($E144="",$G144=""),"",$G144-$E144+1)</f>
        <v/>
      </c>
      <c r="J144" s="8">
        <f>IF(OR($E144="",$G144=""),"",$G144-$E144)</f>
        <v/>
      </c>
      <c r="K144" s="9" t="n"/>
      <c r="L144" s="9" t="n"/>
      <c r="M144" s="9" t="n"/>
      <c r="N144" s="9" t="n"/>
      <c r="O144" s="9" t="n"/>
      <c r="P144" s="9" t="n"/>
      <c r="Q144" s="10" t="n"/>
      <c r="R144" s="9" t="n"/>
      <c r="S144" s="8">
        <f>IF($D144="","",IF(COUNTIF('M_部屋'!$A$4:$A$20,$D144)=0,"⚠部屋が未登録",IF(OR($E144="",$G144="",$K144="キャンセル"),"",IF(SUMPRODUCT(($D$5:$D$204=$D144)*($E$5:$E$204&lt;&gt;"")*($G$5:$G$204&lt;&gt;"")*($K$5:$K$204&lt;&gt;"キャンセル")*($E$5:$E$204&lt;$G144)*($G$5:$G$204&gt;$E144))&gt;1,"⚠重複",""))))</f>
        <v/>
      </c>
      <c r="T144" s="8">
        <f>IF(OR($B144="",$E144=""),"",IF(SUMPRODUCT(('M_利用者'!$A$4:$A$60=$B144)*('M_利用者'!$B$4:$B$60&lt;&gt;""))=0,"",IF(SUMIFS($U$5:$U$204,$B$5:$B$204,$B144,$E$5:$E$204,"&gt;="&amp;DATE(YEAR($E144),MONTH($E144),1),$E$5:$E$204,"&lt;="&amp;EOMONTH($E144,0))&gt;SUMIFS('M_利用者'!$B$4:$B$60,'M_利用者'!$A$4:$A$60,$B144),"⚠支給量超過","")))</f>
        <v/>
      </c>
      <c r="U144" s="8">
        <f>IF(OR($E144="",$G144="",$K144="キャンセル"),0,IF(IFERROR(INDEX('M_区分'!$B$4:$B$20,MATCH($C144,'M_区分'!$A$4:$A$20,0)),"○")="○",$G144-$E144+1,0))</f>
        <v/>
      </c>
    </row>
    <row r="145">
      <c r="A145" s="8">
        <f>IF($E145="","","SS-"&amp;TEXT(ROW()-4,"0000"))</f>
        <v/>
      </c>
      <c r="B145" s="9" t="n"/>
      <c r="C145" s="9" t="n"/>
      <c r="D145" s="9" t="n"/>
      <c r="E145" s="10" t="n"/>
      <c r="F145" s="11" t="n"/>
      <c r="G145" s="10" t="n"/>
      <c r="H145" s="11" t="n"/>
      <c r="I145" s="8">
        <f>IF(OR($E145="",$G145=""),"",$G145-$E145+1)</f>
        <v/>
      </c>
      <c r="J145" s="8">
        <f>IF(OR($E145="",$G145=""),"",$G145-$E145)</f>
        <v/>
      </c>
      <c r="K145" s="9" t="n"/>
      <c r="L145" s="9" t="n"/>
      <c r="M145" s="9" t="n"/>
      <c r="N145" s="9" t="n"/>
      <c r="O145" s="9" t="n"/>
      <c r="P145" s="9" t="n"/>
      <c r="Q145" s="10" t="n"/>
      <c r="R145" s="9" t="n"/>
      <c r="S145" s="8">
        <f>IF($D145="","",IF(COUNTIF('M_部屋'!$A$4:$A$20,$D145)=0,"⚠部屋が未登録",IF(OR($E145="",$G145="",$K145="キャンセル"),"",IF(SUMPRODUCT(($D$5:$D$204=$D145)*($E$5:$E$204&lt;&gt;"")*($G$5:$G$204&lt;&gt;"")*($K$5:$K$204&lt;&gt;"キャンセル")*($E$5:$E$204&lt;$G145)*($G$5:$G$204&gt;$E145))&gt;1,"⚠重複",""))))</f>
        <v/>
      </c>
      <c r="T145" s="8">
        <f>IF(OR($B145="",$E145=""),"",IF(SUMPRODUCT(('M_利用者'!$A$4:$A$60=$B145)*('M_利用者'!$B$4:$B$60&lt;&gt;""))=0,"",IF(SUMIFS($U$5:$U$204,$B$5:$B$204,$B145,$E$5:$E$204,"&gt;="&amp;DATE(YEAR($E145),MONTH($E145),1),$E$5:$E$204,"&lt;="&amp;EOMONTH($E145,0))&gt;SUMIFS('M_利用者'!$B$4:$B$60,'M_利用者'!$A$4:$A$60,$B145),"⚠支給量超過","")))</f>
        <v/>
      </c>
      <c r="U145" s="8">
        <f>IF(OR($E145="",$G145="",$K145="キャンセル"),0,IF(IFERROR(INDEX('M_区分'!$B$4:$B$20,MATCH($C145,'M_区分'!$A$4:$A$20,0)),"○")="○",$G145-$E145+1,0))</f>
        <v/>
      </c>
    </row>
    <row r="146">
      <c r="A146" s="8">
        <f>IF($E146="","","SS-"&amp;TEXT(ROW()-4,"0000"))</f>
        <v/>
      </c>
      <c r="B146" s="9" t="n"/>
      <c r="C146" s="9" t="n"/>
      <c r="D146" s="9" t="n"/>
      <c r="E146" s="10" t="n"/>
      <c r="F146" s="11" t="n"/>
      <c r="G146" s="10" t="n"/>
      <c r="H146" s="11" t="n"/>
      <c r="I146" s="8">
        <f>IF(OR($E146="",$G146=""),"",$G146-$E146+1)</f>
        <v/>
      </c>
      <c r="J146" s="8">
        <f>IF(OR($E146="",$G146=""),"",$G146-$E146)</f>
        <v/>
      </c>
      <c r="K146" s="9" t="n"/>
      <c r="L146" s="9" t="n"/>
      <c r="M146" s="9" t="n"/>
      <c r="N146" s="9" t="n"/>
      <c r="O146" s="9" t="n"/>
      <c r="P146" s="9" t="n"/>
      <c r="Q146" s="10" t="n"/>
      <c r="R146" s="9" t="n"/>
      <c r="S146" s="8">
        <f>IF($D146="","",IF(COUNTIF('M_部屋'!$A$4:$A$20,$D146)=0,"⚠部屋が未登録",IF(OR($E146="",$G146="",$K146="キャンセル"),"",IF(SUMPRODUCT(($D$5:$D$204=$D146)*($E$5:$E$204&lt;&gt;"")*($G$5:$G$204&lt;&gt;"")*($K$5:$K$204&lt;&gt;"キャンセル")*($E$5:$E$204&lt;$G146)*($G$5:$G$204&gt;$E146))&gt;1,"⚠重複",""))))</f>
        <v/>
      </c>
      <c r="T146" s="8">
        <f>IF(OR($B146="",$E146=""),"",IF(SUMPRODUCT(('M_利用者'!$A$4:$A$60=$B146)*('M_利用者'!$B$4:$B$60&lt;&gt;""))=0,"",IF(SUMIFS($U$5:$U$204,$B$5:$B$204,$B146,$E$5:$E$204,"&gt;="&amp;DATE(YEAR($E146),MONTH($E146),1),$E$5:$E$204,"&lt;="&amp;EOMONTH($E146,0))&gt;SUMIFS('M_利用者'!$B$4:$B$60,'M_利用者'!$A$4:$A$60,$B146),"⚠支給量超過","")))</f>
        <v/>
      </c>
      <c r="U146" s="8">
        <f>IF(OR($E146="",$G146="",$K146="キャンセル"),0,IF(IFERROR(INDEX('M_区分'!$B$4:$B$20,MATCH($C146,'M_区分'!$A$4:$A$20,0)),"○")="○",$G146-$E146+1,0))</f>
        <v/>
      </c>
    </row>
    <row r="147">
      <c r="A147" s="8">
        <f>IF($E147="","","SS-"&amp;TEXT(ROW()-4,"0000"))</f>
        <v/>
      </c>
      <c r="B147" s="9" t="n"/>
      <c r="C147" s="9" t="n"/>
      <c r="D147" s="9" t="n"/>
      <c r="E147" s="10" t="n"/>
      <c r="F147" s="11" t="n"/>
      <c r="G147" s="10" t="n"/>
      <c r="H147" s="11" t="n"/>
      <c r="I147" s="8">
        <f>IF(OR($E147="",$G147=""),"",$G147-$E147+1)</f>
        <v/>
      </c>
      <c r="J147" s="8">
        <f>IF(OR($E147="",$G147=""),"",$G147-$E147)</f>
        <v/>
      </c>
      <c r="K147" s="9" t="n"/>
      <c r="L147" s="9" t="n"/>
      <c r="M147" s="9" t="n"/>
      <c r="N147" s="9" t="n"/>
      <c r="O147" s="9" t="n"/>
      <c r="P147" s="9" t="n"/>
      <c r="Q147" s="10" t="n"/>
      <c r="R147" s="9" t="n"/>
      <c r="S147" s="8">
        <f>IF($D147="","",IF(COUNTIF('M_部屋'!$A$4:$A$20,$D147)=0,"⚠部屋が未登録",IF(OR($E147="",$G147="",$K147="キャンセル"),"",IF(SUMPRODUCT(($D$5:$D$204=$D147)*($E$5:$E$204&lt;&gt;"")*($G$5:$G$204&lt;&gt;"")*($K$5:$K$204&lt;&gt;"キャンセル")*($E$5:$E$204&lt;$G147)*($G$5:$G$204&gt;$E147))&gt;1,"⚠重複",""))))</f>
        <v/>
      </c>
      <c r="T147" s="8">
        <f>IF(OR($B147="",$E147=""),"",IF(SUMPRODUCT(('M_利用者'!$A$4:$A$60=$B147)*('M_利用者'!$B$4:$B$60&lt;&gt;""))=0,"",IF(SUMIFS($U$5:$U$204,$B$5:$B$204,$B147,$E$5:$E$204,"&gt;="&amp;DATE(YEAR($E147),MONTH($E147),1),$E$5:$E$204,"&lt;="&amp;EOMONTH($E147,0))&gt;SUMIFS('M_利用者'!$B$4:$B$60,'M_利用者'!$A$4:$A$60,$B147),"⚠支給量超過","")))</f>
        <v/>
      </c>
      <c r="U147" s="8">
        <f>IF(OR($E147="",$G147="",$K147="キャンセル"),0,IF(IFERROR(INDEX('M_区分'!$B$4:$B$20,MATCH($C147,'M_区分'!$A$4:$A$20,0)),"○")="○",$G147-$E147+1,0))</f>
        <v/>
      </c>
    </row>
    <row r="148">
      <c r="A148" s="8">
        <f>IF($E148="","","SS-"&amp;TEXT(ROW()-4,"0000"))</f>
        <v/>
      </c>
      <c r="B148" s="9" t="n"/>
      <c r="C148" s="9" t="n"/>
      <c r="D148" s="9" t="n"/>
      <c r="E148" s="10" t="n"/>
      <c r="F148" s="11" t="n"/>
      <c r="G148" s="10" t="n"/>
      <c r="H148" s="11" t="n"/>
      <c r="I148" s="8">
        <f>IF(OR($E148="",$G148=""),"",$G148-$E148+1)</f>
        <v/>
      </c>
      <c r="J148" s="8">
        <f>IF(OR($E148="",$G148=""),"",$G148-$E148)</f>
        <v/>
      </c>
      <c r="K148" s="9" t="n"/>
      <c r="L148" s="9" t="n"/>
      <c r="M148" s="9" t="n"/>
      <c r="N148" s="9" t="n"/>
      <c r="O148" s="9" t="n"/>
      <c r="P148" s="9" t="n"/>
      <c r="Q148" s="10" t="n"/>
      <c r="R148" s="9" t="n"/>
      <c r="S148" s="8">
        <f>IF($D148="","",IF(COUNTIF('M_部屋'!$A$4:$A$20,$D148)=0,"⚠部屋が未登録",IF(OR($E148="",$G148="",$K148="キャンセル"),"",IF(SUMPRODUCT(($D$5:$D$204=$D148)*($E$5:$E$204&lt;&gt;"")*($G$5:$G$204&lt;&gt;"")*($K$5:$K$204&lt;&gt;"キャンセル")*($E$5:$E$204&lt;$G148)*($G$5:$G$204&gt;$E148))&gt;1,"⚠重複",""))))</f>
        <v/>
      </c>
      <c r="T148" s="8">
        <f>IF(OR($B148="",$E148=""),"",IF(SUMPRODUCT(('M_利用者'!$A$4:$A$60=$B148)*('M_利用者'!$B$4:$B$60&lt;&gt;""))=0,"",IF(SUMIFS($U$5:$U$204,$B$5:$B$204,$B148,$E$5:$E$204,"&gt;="&amp;DATE(YEAR($E148),MONTH($E148),1),$E$5:$E$204,"&lt;="&amp;EOMONTH($E148,0))&gt;SUMIFS('M_利用者'!$B$4:$B$60,'M_利用者'!$A$4:$A$60,$B148),"⚠支給量超過","")))</f>
        <v/>
      </c>
      <c r="U148" s="8">
        <f>IF(OR($E148="",$G148="",$K148="キャンセル"),0,IF(IFERROR(INDEX('M_区分'!$B$4:$B$20,MATCH($C148,'M_区分'!$A$4:$A$20,0)),"○")="○",$G148-$E148+1,0))</f>
        <v/>
      </c>
    </row>
    <row r="149">
      <c r="A149" s="8">
        <f>IF($E149="","","SS-"&amp;TEXT(ROW()-4,"0000"))</f>
        <v/>
      </c>
      <c r="B149" s="9" t="n"/>
      <c r="C149" s="9" t="n"/>
      <c r="D149" s="9" t="n"/>
      <c r="E149" s="10" t="n"/>
      <c r="F149" s="11" t="n"/>
      <c r="G149" s="10" t="n"/>
      <c r="H149" s="11" t="n"/>
      <c r="I149" s="8">
        <f>IF(OR($E149="",$G149=""),"",$G149-$E149+1)</f>
        <v/>
      </c>
      <c r="J149" s="8">
        <f>IF(OR($E149="",$G149=""),"",$G149-$E149)</f>
        <v/>
      </c>
      <c r="K149" s="9" t="n"/>
      <c r="L149" s="9" t="n"/>
      <c r="M149" s="9" t="n"/>
      <c r="N149" s="9" t="n"/>
      <c r="O149" s="9" t="n"/>
      <c r="P149" s="9" t="n"/>
      <c r="Q149" s="10" t="n"/>
      <c r="R149" s="9" t="n"/>
      <c r="S149" s="8">
        <f>IF($D149="","",IF(COUNTIF('M_部屋'!$A$4:$A$20,$D149)=0,"⚠部屋が未登録",IF(OR($E149="",$G149="",$K149="キャンセル"),"",IF(SUMPRODUCT(($D$5:$D$204=$D149)*($E$5:$E$204&lt;&gt;"")*($G$5:$G$204&lt;&gt;"")*($K$5:$K$204&lt;&gt;"キャンセル")*($E$5:$E$204&lt;$G149)*($G$5:$G$204&gt;$E149))&gt;1,"⚠重複",""))))</f>
        <v/>
      </c>
      <c r="T149" s="8">
        <f>IF(OR($B149="",$E149=""),"",IF(SUMPRODUCT(('M_利用者'!$A$4:$A$60=$B149)*('M_利用者'!$B$4:$B$60&lt;&gt;""))=0,"",IF(SUMIFS($U$5:$U$204,$B$5:$B$204,$B149,$E$5:$E$204,"&gt;="&amp;DATE(YEAR($E149),MONTH($E149),1),$E$5:$E$204,"&lt;="&amp;EOMONTH($E149,0))&gt;SUMIFS('M_利用者'!$B$4:$B$60,'M_利用者'!$A$4:$A$60,$B149),"⚠支給量超過","")))</f>
        <v/>
      </c>
      <c r="U149" s="8">
        <f>IF(OR($E149="",$G149="",$K149="キャンセル"),0,IF(IFERROR(INDEX('M_区分'!$B$4:$B$20,MATCH($C149,'M_区分'!$A$4:$A$20,0)),"○")="○",$G149-$E149+1,0))</f>
        <v/>
      </c>
    </row>
    <row r="150">
      <c r="A150" s="8">
        <f>IF($E150="","","SS-"&amp;TEXT(ROW()-4,"0000"))</f>
        <v/>
      </c>
      <c r="B150" s="9" t="n"/>
      <c r="C150" s="9" t="n"/>
      <c r="D150" s="9" t="n"/>
      <c r="E150" s="10" t="n"/>
      <c r="F150" s="11" t="n"/>
      <c r="G150" s="10" t="n"/>
      <c r="H150" s="11" t="n"/>
      <c r="I150" s="8">
        <f>IF(OR($E150="",$G150=""),"",$G150-$E150+1)</f>
        <v/>
      </c>
      <c r="J150" s="8">
        <f>IF(OR($E150="",$G150=""),"",$G150-$E150)</f>
        <v/>
      </c>
      <c r="K150" s="9" t="n"/>
      <c r="L150" s="9" t="n"/>
      <c r="M150" s="9" t="n"/>
      <c r="N150" s="9" t="n"/>
      <c r="O150" s="9" t="n"/>
      <c r="P150" s="9" t="n"/>
      <c r="Q150" s="10" t="n"/>
      <c r="R150" s="9" t="n"/>
      <c r="S150" s="8">
        <f>IF($D150="","",IF(COUNTIF('M_部屋'!$A$4:$A$20,$D150)=0,"⚠部屋が未登録",IF(OR($E150="",$G150="",$K150="キャンセル"),"",IF(SUMPRODUCT(($D$5:$D$204=$D150)*($E$5:$E$204&lt;&gt;"")*($G$5:$G$204&lt;&gt;"")*($K$5:$K$204&lt;&gt;"キャンセル")*($E$5:$E$204&lt;$G150)*($G$5:$G$204&gt;$E150))&gt;1,"⚠重複",""))))</f>
        <v/>
      </c>
      <c r="T150" s="8">
        <f>IF(OR($B150="",$E150=""),"",IF(SUMPRODUCT(('M_利用者'!$A$4:$A$60=$B150)*('M_利用者'!$B$4:$B$60&lt;&gt;""))=0,"",IF(SUMIFS($U$5:$U$204,$B$5:$B$204,$B150,$E$5:$E$204,"&gt;="&amp;DATE(YEAR($E150),MONTH($E150),1),$E$5:$E$204,"&lt;="&amp;EOMONTH($E150,0))&gt;SUMIFS('M_利用者'!$B$4:$B$60,'M_利用者'!$A$4:$A$60,$B150),"⚠支給量超過","")))</f>
        <v/>
      </c>
      <c r="U150" s="8">
        <f>IF(OR($E150="",$G150="",$K150="キャンセル"),0,IF(IFERROR(INDEX('M_区分'!$B$4:$B$20,MATCH($C150,'M_区分'!$A$4:$A$20,0)),"○")="○",$G150-$E150+1,0))</f>
        <v/>
      </c>
    </row>
    <row r="151">
      <c r="A151" s="8">
        <f>IF($E151="","","SS-"&amp;TEXT(ROW()-4,"0000"))</f>
        <v/>
      </c>
      <c r="B151" s="9" t="n"/>
      <c r="C151" s="9" t="n"/>
      <c r="D151" s="9" t="n"/>
      <c r="E151" s="10" t="n"/>
      <c r="F151" s="11" t="n"/>
      <c r="G151" s="10" t="n"/>
      <c r="H151" s="11" t="n"/>
      <c r="I151" s="8">
        <f>IF(OR($E151="",$G151=""),"",$G151-$E151+1)</f>
        <v/>
      </c>
      <c r="J151" s="8">
        <f>IF(OR($E151="",$G151=""),"",$G151-$E151)</f>
        <v/>
      </c>
      <c r="K151" s="9" t="n"/>
      <c r="L151" s="9" t="n"/>
      <c r="M151" s="9" t="n"/>
      <c r="N151" s="9" t="n"/>
      <c r="O151" s="9" t="n"/>
      <c r="P151" s="9" t="n"/>
      <c r="Q151" s="10" t="n"/>
      <c r="R151" s="9" t="n"/>
      <c r="S151" s="8">
        <f>IF($D151="","",IF(COUNTIF('M_部屋'!$A$4:$A$20,$D151)=0,"⚠部屋が未登録",IF(OR($E151="",$G151="",$K151="キャンセル"),"",IF(SUMPRODUCT(($D$5:$D$204=$D151)*($E$5:$E$204&lt;&gt;"")*($G$5:$G$204&lt;&gt;"")*($K$5:$K$204&lt;&gt;"キャンセル")*($E$5:$E$204&lt;$G151)*($G$5:$G$204&gt;$E151))&gt;1,"⚠重複",""))))</f>
        <v/>
      </c>
      <c r="T151" s="8">
        <f>IF(OR($B151="",$E151=""),"",IF(SUMPRODUCT(('M_利用者'!$A$4:$A$60=$B151)*('M_利用者'!$B$4:$B$60&lt;&gt;""))=0,"",IF(SUMIFS($U$5:$U$204,$B$5:$B$204,$B151,$E$5:$E$204,"&gt;="&amp;DATE(YEAR($E151),MONTH($E151),1),$E$5:$E$204,"&lt;="&amp;EOMONTH($E151,0))&gt;SUMIFS('M_利用者'!$B$4:$B$60,'M_利用者'!$A$4:$A$60,$B151),"⚠支給量超過","")))</f>
        <v/>
      </c>
      <c r="U151" s="8">
        <f>IF(OR($E151="",$G151="",$K151="キャンセル"),0,IF(IFERROR(INDEX('M_区分'!$B$4:$B$20,MATCH($C151,'M_区分'!$A$4:$A$20,0)),"○")="○",$G151-$E151+1,0))</f>
        <v/>
      </c>
    </row>
    <row r="152">
      <c r="A152" s="8">
        <f>IF($E152="","","SS-"&amp;TEXT(ROW()-4,"0000"))</f>
        <v/>
      </c>
      <c r="B152" s="9" t="n"/>
      <c r="C152" s="9" t="n"/>
      <c r="D152" s="9" t="n"/>
      <c r="E152" s="10" t="n"/>
      <c r="F152" s="11" t="n"/>
      <c r="G152" s="10" t="n"/>
      <c r="H152" s="11" t="n"/>
      <c r="I152" s="8">
        <f>IF(OR($E152="",$G152=""),"",$G152-$E152+1)</f>
        <v/>
      </c>
      <c r="J152" s="8">
        <f>IF(OR($E152="",$G152=""),"",$G152-$E152)</f>
        <v/>
      </c>
      <c r="K152" s="9" t="n"/>
      <c r="L152" s="9" t="n"/>
      <c r="M152" s="9" t="n"/>
      <c r="N152" s="9" t="n"/>
      <c r="O152" s="9" t="n"/>
      <c r="P152" s="9" t="n"/>
      <c r="Q152" s="10" t="n"/>
      <c r="R152" s="9" t="n"/>
      <c r="S152" s="8">
        <f>IF($D152="","",IF(COUNTIF('M_部屋'!$A$4:$A$20,$D152)=0,"⚠部屋が未登録",IF(OR($E152="",$G152="",$K152="キャンセル"),"",IF(SUMPRODUCT(($D$5:$D$204=$D152)*($E$5:$E$204&lt;&gt;"")*($G$5:$G$204&lt;&gt;"")*($K$5:$K$204&lt;&gt;"キャンセル")*($E$5:$E$204&lt;$G152)*($G$5:$G$204&gt;$E152))&gt;1,"⚠重複",""))))</f>
        <v/>
      </c>
      <c r="T152" s="8">
        <f>IF(OR($B152="",$E152=""),"",IF(SUMPRODUCT(('M_利用者'!$A$4:$A$60=$B152)*('M_利用者'!$B$4:$B$60&lt;&gt;""))=0,"",IF(SUMIFS($U$5:$U$204,$B$5:$B$204,$B152,$E$5:$E$204,"&gt;="&amp;DATE(YEAR($E152),MONTH($E152),1),$E$5:$E$204,"&lt;="&amp;EOMONTH($E152,0))&gt;SUMIFS('M_利用者'!$B$4:$B$60,'M_利用者'!$A$4:$A$60,$B152),"⚠支給量超過","")))</f>
        <v/>
      </c>
      <c r="U152" s="8">
        <f>IF(OR($E152="",$G152="",$K152="キャンセル"),0,IF(IFERROR(INDEX('M_区分'!$B$4:$B$20,MATCH($C152,'M_区分'!$A$4:$A$20,0)),"○")="○",$G152-$E152+1,0))</f>
        <v/>
      </c>
    </row>
    <row r="153">
      <c r="A153" s="8">
        <f>IF($E153="","","SS-"&amp;TEXT(ROW()-4,"0000"))</f>
        <v/>
      </c>
      <c r="B153" s="9" t="n"/>
      <c r="C153" s="9" t="n"/>
      <c r="D153" s="9" t="n"/>
      <c r="E153" s="10" t="n"/>
      <c r="F153" s="11" t="n"/>
      <c r="G153" s="10" t="n"/>
      <c r="H153" s="11" t="n"/>
      <c r="I153" s="8">
        <f>IF(OR($E153="",$G153=""),"",$G153-$E153+1)</f>
        <v/>
      </c>
      <c r="J153" s="8">
        <f>IF(OR($E153="",$G153=""),"",$G153-$E153)</f>
        <v/>
      </c>
      <c r="K153" s="9" t="n"/>
      <c r="L153" s="9" t="n"/>
      <c r="M153" s="9" t="n"/>
      <c r="N153" s="9" t="n"/>
      <c r="O153" s="9" t="n"/>
      <c r="P153" s="9" t="n"/>
      <c r="Q153" s="10" t="n"/>
      <c r="R153" s="9" t="n"/>
      <c r="S153" s="8">
        <f>IF($D153="","",IF(COUNTIF('M_部屋'!$A$4:$A$20,$D153)=0,"⚠部屋が未登録",IF(OR($E153="",$G153="",$K153="キャンセル"),"",IF(SUMPRODUCT(($D$5:$D$204=$D153)*($E$5:$E$204&lt;&gt;"")*($G$5:$G$204&lt;&gt;"")*($K$5:$K$204&lt;&gt;"キャンセル")*($E$5:$E$204&lt;$G153)*($G$5:$G$204&gt;$E153))&gt;1,"⚠重複",""))))</f>
        <v/>
      </c>
      <c r="T153" s="8">
        <f>IF(OR($B153="",$E153=""),"",IF(SUMPRODUCT(('M_利用者'!$A$4:$A$60=$B153)*('M_利用者'!$B$4:$B$60&lt;&gt;""))=0,"",IF(SUMIFS($U$5:$U$204,$B$5:$B$204,$B153,$E$5:$E$204,"&gt;="&amp;DATE(YEAR($E153),MONTH($E153),1),$E$5:$E$204,"&lt;="&amp;EOMONTH($E153,0))&gt;SUMIFS('M_利用者'!$B$4:$B$60,'M_利用者'!$A$4:$A$60,$B153),"⚠支給量超過","")))</f>
        <v/>
      </c>
      <c r="U153" s="8">
        <f>IF(OR($E153="",$G153="",$K153="キャンセル"),0,IF(IFERROR(INDEX('M_区分'!$B$4:$B$20,MATCH($C153,'M_区分'!$A$4:$A$20,0)),"○")="○",$G153-$E153+1,0))</f>
        <v/>
      </c>
    </row>
    <row r="154">
      <c r="A154" s="8">
        <f>IF($E154="","","SS-"&amp;TEXT(ROW()-4,"0000"))</f>
        <v/>
      </c>
      <c r="B154" s="9" t="n"/>
      <c r="C154" s="9" t="n"/>
      <c r="D154" s="9" t="n"/>
      <c r="E154" s="10" t="n"/>
      <c r="F154" s="11" t="n"/>
      <c r="G154" s="10" t="n"/>
      <c r="H154" s="11" t="n"/>
      <c r="I154" s="8">
        <f>IF(OR($E154="",$G154=""),"",$G154-$E154+1)</f>
        <v/>
      </c>
      <c r="J154" s="8">
        <f>IF(OR($E154="",$G154=""),"",$G154-$E154)</f>
        <v/>
      </c>
      <c r="K154" s="9" t="n"/>
      <c r="L154" s="9" t="n"/>
      <c r="M154" s="9" t="n"/>
      <c r="N154" s="9" t="n"/>
      <c r="O154" s="9" t="n"/>
      <c r="P154" s="9" t="n"/>
      <c r="Q154" s="10" t="n"/>
      <c r="R154" s="9" t="n"/>
      <c r="S154" s="8">
        <f>IF($D154="","",IF(COUNTIF('M_部屋'!$A$4:$A$20,$D154)=0,"⚠部屋が未登録",IF(OR($E154="",$G154="",$K154="キャンセル"),"",IF(SUMPRODUCT(($D$5:$D$204=$D154)*($E$5:$E$204&lt;&gt;"")*($G$5:$G$204&lt;&gt;"")*($K$5:$K$204&lt;&gt;"キャンセル")*($E$5:$E$204&lt;$G154)*($G$5:$G$204&gt;$E154))&gt;1,"⚠重複",""))))</f>
        <v/>
      </c>
      <c r="T154" s="8">
        <f>IF(OR($B154="",$E154=""),"",IF(SUMPRODUCT(('M_利用者'!$A$4:$A$60=$B154)*('M_利用者'!$B$4:$B$60&lt;&gt;""))=0,"",IF(SUMIFS($U$5:$U$204,$B$5:$B$204,$B154,$E$5:$E$204,"&gt;="&amp;DATE(YEAR($E154),MONTH($E154),1),$E$5:$E$204,"&lt;="&amp;EOMONTH($E154,0))&gt;SUMIFS('M_利用者'!$B$4:$B$60,'M_利用者'!$A$4:$A$60,$B154),"⚠支給量超過","")))</f>
        <v/>
      </c>
      <c r="U154" s="8">
        <f>IF(OR($E154="",$G154="",$K154="キャンセル"),0,IF(IFERROR(INDEX('M_区分'!$B$4:$B$20,MATCH($C154,'M_区分'!$A$4:$A$20,0)),"○")="○",$G154-$E154+1,0))</f>
        <v/>
      </c>
    </row>
    <row r="155">
      <c r="A155" s="8">
        <f>IF($E155="","","SS-"&amp;TEXT(ROW()-4,"0000"))</f>
        <v/>
      </c>
      <c r="B155" s="9" t="n"/>
      <c r="C155" s="9" t="n"/>
      <c r="D155" s="9" t="n"/>
      <c r="E155" s="10" t="n"/>
      <c r="F155" s="11" t="n"/>
      <c r="G155" s="10" t="n"/>
      <c r="H155" s="11" t="n"/>
      <c r="I155" s="8">
        <f>IF(OR($E155="",$G155=""),"",$G155-$E155+1)</f>
        <v/>
      </c>
      <c r="J155" s="8">
        <f>IF(OR($E155="",$G155=""),"",$G155-$E155)</f>
        <v/>
      </c>
      <c r="K155" s="9" t="n"/>
      <c r="L155" s="9" t="n"/>
      <c r="M155" s="9" t="n"/>
      <c r="N155" s="9" t="n"/>
      <c r="O155" s="9" t="n"/>
      <c r="P155" s="9" t="n"/>
      <c r="Q155" s="10" t="n"/>
      <c r="R155" s="9" t="n"/>
      <c r="S155" s="8">
        <f>IF($D155="","",IF(COUNTIF('M_部屋'!$A$4:$A$20,$D155)=0,"⚠部屋が未登録",IF(OR($E155="",$G155="",$K155="キャンセル"),"",IF(SUMPRODUCT(($D$5:$D$204=$D155)*($E$5:$E$204&lt;&gt;"")*($G$5:$G$204&lt;&gt;"")*($K$5:$K$204&lt;&gt;"キャンセル")*($E$5:$E$204&lt;$G155)*($G$5:$G$204&gt;$E155))&gt;1,"⚠重複",""))))</f>
        <v/>
      </c>
      <c r="T155" s="8">
        <f>IF(OR($B155="",$E155=""),"",IF(SUMPRODUCT(('M_利用者'!$A$4:$A$60=$B155)*('M_利用者'!$B$4:$B$60&lt;&gt;""))=0,"",IF(SUMIFS($U$5:$U$204,$B$5:$B$204,$B155,$E$5:$E$204,"&gt;="&amp;DATE(YEAR($E155),MONTH($E155),1),$E$5:$E$204,"&lt;="&amp;EOMONTH($E155,0))&gt;SUMIFS('M_利用者'!$B$4:$B$60,'M_利用者'!$A$4:$A$60,$B155),"⚠支給量超過","")))</f>
        <v/>
      </c>
      <c r="U155" s="8">
        <f>IF(OR($E155="",$G155="",$K155="キャンセル"),0,IF(IFERROR(INDEX('M_区分'!$B$4:$B$20,MATCH($C155,'M_区分'!$A$4:$A$20,0)),"○")="○",$G155-$E155+1,0))</f>
        <v/>
      </c>
    </row>
    <row r="156">
      <c r="A156" s="8">
        <f>IF($E156="","","SS-"&amp;TEXT(ROW()-4,"0000"))</f>
        <v/>
      </c>
      <c r="B156" s="9" t="n"/>
      <c r="C156" s="9" t="n"/>
      <c r="D156" s="9" t="n"/>
      <c r="E156" s="10" t="n"/>
      <c r="F156" s="11" t="n"/>
      <c r="G156" s="10" t="n"/>
      <c r="H156" s="11" t="n"/>
      <c r="I156" s="8">
        <f>IF(OR($E156="",$G156=""),"",$G156-$E156+1)</f>
        <v/>
      </c>
      <c r="J156" s="8">
        <f>IF(OR($E156="",$G156=""),"",$G156-$E156)</f>
        <v/>
      </c>
      <c r="K156" s="9" t="n"/>
      <c r="L156" s="9" t="n"/>
      <c r="M156" s="9" t="n"/>
      <c r="N156" s="9" t="n"/>
      <c r="O156" s="9" t="n"/>
      <c r="P156" s="9" t="n"/>
      <c r="Q156" s="10" t="n"/>
      <c r="R156" s="9" t="n"/>
      <c r="S156" s="8">
        <f>IF($D156="","",IF(COUNTIF('M_部屋'!$A$4:$A$20,$D156)=0,"⚠部屋が未登録",IF(OR($E156="",$G156="",$K156="キャンセル"),"",IF(SUMPRODUCT(($D$5:$D$204=$D156)*($E$5:$E$204&lt;&gt;"")*($G$5:$G$204&lt;&gt;"")*($K$5:$K$204&lt;&gt;"キャンセル")*($E$5:$E$204&lt;$G156)*($G$5:$G$204&gt;$E156))&gt;1,"⚠重複",""))))</f>
        <v/>
      </c>
      <c r="T156" s="8">
        <f>IF(OR($B156="",$E156=""),"",IF(SUMPRODUCT(('M_利用者'!$A$4:$A$60=$B156)*('M_利用者'!$B$4:$B$60&lt;&gt;""))=0,"",IF(SUMIFS($U$5:$U$204,$B$5:$B$204,$B156,$E$5:$E$204,"&gt;="&amp;DATE(YEAR($E156),MONTH($E156),1),$E$5:$E$204,"&lt;="&amp;EOMONTH($E156,0))&gt;SUMIFS('M_利用者'!$B$4:$B$60,'M_利用者'!$A$4:$A$60,$B156),"⚠支給量超過","")))</f>
        <v/>
      </c>
      <c r="U156" s="8">
        <f>IF(OR($E156="",$G156="",$K156="キャンセル"),0,IF(IFERROR(INDEX('M_区分'!$B$4:$B$20,MATCH($C156,'M_区分'!$A$4:$A$20,0)),"○")="○",$G156-$E156+1,0))</f>
        <v/>
      </c>
    </row>
    <row r="157">
      <c r="A157" s="8">
        <f>IF($E157="","","SS-"&amp;TEXT(ROW()-4,"0000"))</f>
        <v/>
      </c>
      <c r="B157" s="9" t="n"/>
      <c r="C157" s="9" t="n"/>
      <c r="D157" s="9" t="n"/>
      <c r="E157" s="10" t="n"/>
      <c r="F157" s="11" t="n"/>
      <c r="G157" s="10" t="n"/>
      <c r="H157" s="11" t="n"/>
      <c r="I157" s="8">
        <f>IF(OR($E157="",$G157=""),"",$G157-$E157+1)</f>
        <v/>
      </c>
      <c r="J157" s="8">
        <f>IF(OR($E157="",$G157=""),"",$G157-$E157)</f>
        <v/>
      </c>
      <c r="K157" s="9" t="n"/>
      <c r="L157" s="9" t="n"/>
      <c r="M157" s="9" t="n"/>
      <c r="N157" s="9" t="n"/>
      <c r="O157" s="9" t="n"/>
      <c r="P157" s="9" t="n"/>
      <c r="Q157" s="10" t="n"/>
      <c r="R157" s="9" t="n"/>
      <c r="S157" s="8">
        <f>IF($D157="","",IF(COUNTIF('M_部屋'!$A$4:$A$20,$D157)=0,"⚠部屋が未登録",IF(OR($E157="",$G157="",$K157="キャンセル"),"",IF(SUMPRODUCT(($D$5:$D$204=$D157)*($E$5:$E$204&lt;&gt;"")*($G$5:$G$204&lt;&gt;"")*($K$5:$K$204&lt;&gt;"キャンセル")*($E$5:$E$204&lt;$G157)*($G$5:$G$204&gt;$E157))&gt;1,"⚠重複",""))))</f>
        <v/>
      </c>
      <c r="T157" s="8">
        <f>IF(OR($B157="",$E157=""),"",IF(SUMPRODUCT(('M_利用者'!$A$4:$A$60=$B157)*('M_利用者'!$B$4:$B$60&lt;&gt;""))=0,"",IF(SUMIFS($U$5:$U$204,$B$5:$B$204,$B157,$E$5:$E$204,"&gt;="&amp;DATE(YEAR($E157),MONTH($E157),1),$E$5:$E$204,"&lt;="&amp;EOMONTH($E157,0))&gt;SUMIFS('M_利用者'!$B$4:$B$60,'M_利用者'!$A$4:$A$60,$B157),"⚠支給量超過","")))</f>
        <v/>
      </c>
      <c r="U157" s="8">
        <f>IF(OR($E157="",$G157="",$K157="キャンセル"),0,IF(IFERROR(INDEX('M_区分'!$B$4:$B$20,MATCH($C157,'M_区分'!$A$4:$A$20,0)),"○")="○",$G157-$E157+1,0))</f>
        <v/>
      </c>
    </row>
    <row r="158">
      <c r="A158" s="8">
        <f>IF($E158="","","SS-"&amp;TEXT(ROW()-4,"0000"))</f>
        <v/>
      </c>
      <c r="B158" s="9" t="n"/>
      <c r="C158" s="9" t="n"/>
      <c r="D158" s="9" t="n"/>
      <c r="E158" s="10" t="n"/>
      <c r="F158" s="11" t="n"/>
      <c r="G158" s="10" t="n"/>
      <c r="H158" s="11" t="n"/>
      <c r="I158" s="8">
        <f>IF(OR($E158="",$G158=""),"",$G158-$E158+1)</f>
        <v/>
      </c>
      <c r="J158" s="8">
        <f>IF(OR($E158="",$G158=""),"",$G158-$E158)</f>
        <v/>
      </c>
      <c r="K158" s="9" t="n"/>
      <c r="L158" s="9" t="n"/>
      <c r="M158" s="9" t="n"/>
      <c r="N158" s="9" t="n"/>
      <c r="O158" s="9" t="n"/>
      <c r="P158" s="9" t="n"/>
      <c r="Q158" s="10" t="n"/>
      <c r="R158" s="9" t="n"/>
      <c r="S158" s="8">
        <f>IF($D158="","",IF(COUNTIF('M_部屋'!$A$4:$A$20,$D158)=0,"⚠部屋が未登録",IF(OR($E158="",$G158="",$K158="キャンセル"),"",IF(SUMPRODUCT(($D$5:$D$204=$D158)*($E$5:$E$204&lt;&gt;"")*($G$5:$G$204&lt;&gt;"")*($K$5:$K$204&lt;&gt;"キャンセル")*($E$5:$E$204&lt;$G158)*($G$5:$G$204&gt;$E158))&gt;1,"⚠重複",""))))</f>
        <v/>
      </c>
      <c r="T158" s="8">
        <f>IF(OR($B158="",$E158=""),"",IF(SUMPRODUCT(('M_利用者'!$A$4:$A$60=$B158)*('M_利用者'!$B$4:$B$60&lt;&gt;""))=0,"",IF(SUMIFS($U$5:$U$204,$B$5:$B$204,$B158,$E$5:$E$204,"&gt;="&amp;DATE(YEAR($E158),MONTH($E158),1),$E$5:$E$204,"&lt;="&amp;EOMONTH($E158,0))&gt;SUMIFS('M_利用者'!$B$4:$B$60,'M_利用者'!$A$4:$A$60,$B158),"⚠支給量超過","")))</f>
        <v/>
      </c>
      <c r="U158" s="8">
        <f>IF(OR($E158="",$G158="",$K158="キャンセル"),0,IF(IFERROR(INDEX('M_区分'!$B$4:$B$20,MATCH($C158,'M_区分'!$A$4:$A$20,0)),"○")="○",$G158-$E158+1,0))</f>
        <v/>
      </c>
    </row>
    <row r="159">
      <c r="A159" s="8">
        <f>IF($E159="","","SS-"&amp;TEXT(ROW()-4,"0000"))</f>
        <v/>
      </c>
      <c r="B159" s="9" t="n"/>
      <c r="C159" s="9" t="n"/>
      <c r="D159" s="9" t="n"/>
      <c r="E159" s="10" t="n"/>
      <c r="F159" s="11" t="n"/>
      <c r="G159" s="10" t="n"/>
      <c r="H159" s="11" t="n"/>
      <c r="I159" s="8">
        <f>IF(OR($E159="",$G159=""),"",$G159-$E159+1)</f>
        <v/>
      </c>
      <c r="J159" s="8">
        <f>IF(OR($E159="",$G159=""),"",$G159-$E159)</f>
        <v/>
      </c>
      <c r="K159" s="9" t="n"/>
      <c r="L159" s="9" t="n"/>
      <c r="M159" s="9" t="n"/>
      <c r="N159" s="9" t="n"/>
      <c r="O159" s="9" t="n"/>
      <c r="P159" s="9" t="n"/>
      <c r="Q159" s="10" t="n"/>
      <c r="R159" s="9" t="n"/>
      <c r="S159" s="8">
        <f>IF($D159="","",IF(COUNTIF('M_部屋'!$A$4:$A$20,$D159)=0,"⚠部屋が未登録",IF(OR($E159="",$G159="",$K159="キャンセル"),"",IF(SUMPRODUCT(($D$5:$D$204=$D159)*($E$5:$E$204&lt;&gt;"")*($G$5:$G$204&lt;&gt;"")*($K$5:$K$204&lt;&gt;"キャンセル")*($E$5:$E$204&lt;$G159)*($G$5:$G$204&gt;$E159))&gt;1,"⚠重複",""))))</f>
        <v/>
      </c>
      <c r="T159" s="8">
        <f>IF(OR($B159="",$E159=""),"",IF(SUMPRODUCT(('M_利用者'!$A$4:$A$60=$B159)*('M_利用者'!$B$4:$B$60&lt;&gt;""))=0,"",IF(SUMIFS($U$5:$U$204,$B$5:$B$204,$B159,$E$5:$E$204,"&gt;="&amp;DATE(YEAR($E159),MONTH($E159),1),$E$5:$E$204,"&lt;="&amp;EOMONTH($E159,0))&gt;SUMIFS('M_利用者'!$B$4:$B$60,'M_利用者'!$A$4:$A$60,$B159),"⚠支給量超過","")))</f>
        <v/>
      </c>
      <c r="U159" s="8">
        <f>IF(OR($E159="",$G159="",$K159="キャンセル"),0,IF(IFERROR(INDEX('M_区分'!$B$4:$B$20,MATCH($C159,'M_区分'!$A$4:$A$20,0)),"○")="○",$G159-$E159+1,0))</f>
        <v/>
      </c>
    </row>
    <row r="160">
      <c r="A160" s="8">
        <f>IF($E160="","","SS-"&amp;TEXT(ROW()-4,"0000"))</f>
        <v/>
      </c>
      <c r="B160" s="9" t="n"/>
      <c r="C160" s="9" t="n"/>
      <c r="D160" s="9" t="n"/>
      <c r="E160" s="10" t="n"/>
      <c r="F160" s="11" t="n"/>
      <c r="G160" s="10" t="n"/>
      <c r="H160" s="11" t="n"/>
      <c r="I160" s="8">
        <f>IF(OR($E160="",$G160=""),"",$G160-$E160+1)</f>
        <v/>
      </c>
      <c r="J160" s="8">
        <f>IF(OR($E160="",$G160=""),"",$G160-$E160)</f>
        <v/>
      </c>
      <c r="K160" s="9" t="n"/>
      <c r="L160" s="9" t="n"/>
      <c r="M160" s="9" t="n"/>
      <c r="N160" s="9" t="n"/>
      <c r="O160" s="9" t="n"/>
      <c r="P160" s="9" t="n"/>
      <c r="Q160" s="10" t="n"/>
      <c r="R160" s="9" t="n"/>
      <c r="S160" s="8">
        <f>IF($D160="","",IF(COUNTIF('M_部屋'!$A$4:$A$20,$D160)=0,"⚠部屋が未登録",IF(OR($E160="",$G160="",$K160="キャンセル"),"",IF(SUMPRODUCT(($D$5:$D$204=$D160)*($E$5:$E$204&lt;&gt;"")*($G$5:$G$204&lt;&gt;"")*($K$5:$K$204&lt;&gt;"キャンセル")*($E$5:$E$204&lt;$G160)*($G$5:$G$204&gt;$E160))&gt;1,"⚠重複",""))))</f>
        <v/>
      </c>
      <c r="T160" s="8">
        <f>IF(OR($B160="",$E160=""),"",IF(SUMPRODUCT(('M_利用者'!$A$4:$A$60=$B160)*('M_利用者'!$B$4:$B$60&lt;&gt;""))=0,"",IF(SUMIFS($U$5:$U$204,$B$5:$B$204,$B160,$E$5:$E$204,"&gt;="&amp;DATE(YEAR($E160),MONTH($E160),1),$E$5:$E$204,"&lt;="&amp;EOMONTH($E160,0))&gt;SUMIFS('M_利用者'!$B$4:$B$60,'M_利用者'!$A$4:$A$60,$B160),"⚠支給量超過","")))</f>
        <v/>
      </c>
      <c r="U160" s="8">
        <f>IF(OR($E160="",$G160="",$K160="キャンセル"),0,IF(IFERROR(INDEX('M_区分'!$B$4:$B$20,MATCH($C160,'M_区分'!$A$4:$A$20,0)),"○")="○",$G160-$E160+1,0))</f>
        <v/>
      </c>
    </row>
    <row r="161">
      <c r="A161" s="8">
        <f>IF($E161="","","SS-"&amp;TEXT(ROW()-4,"0000"))</f>
        <v/>
      </c>
      <c r="B161" s="9" t="n"/>
      <c r="C161" s="9" t="n"/>
      <c r="D161" s="9" t="n"/>
      <c r="E161" s="10" t="n"/>
      <c r="F161" s="11" t="n"/>
      <c r="G161" s="10" t="n"/>
      <c r="H161" s="11" t="n"/>
      <c r="I161" s="8">
        <f>IF(OR($E161="",$G161=""),"",$G161-$E161+1)</f>
        <v/>
      </c>
      <c r="J161" s="8">
        <f>IF(OR($E161="",$G161=""),"",$G161-$E161)</f>
        <v/>
      </c>
      <c r="K161" s="9" t="n"/>
      <c r="L161" s="9" t="n"/>
      <c r="M161" s="9" t="n"/>
      <c r="N161" s="9" t="n"/>
      <c r="O161" s="9" t="n"/>
      <c r="P161" s="9" t="n"/>
      <c r="Q161" s="10" t="n"/>
      <c r="R161" s="9" t="n"/>
      <c r="S161" s="8">
        <f>IF($D161="","",IF(COUNTIF('M_部屋'!$A$4:$A$20,$D161)=0,"⚠部屋が未登録",IF(OR($E161="",$G161="",$K161="キャンセル"),"",IF(SUMPRODUCT(($D$5:$D$204=$D161)*($E$5:$E$204&lt;&gt;"")*($G$5:$G$204&lt;&gt;"")*($K$5:$K$204&lt;&gt;"キャンセル")*($E$5:$E$204&lt;$G161)*($G$5:$G$204&gt;$E161))&gt;1,"⚠重複",""))))</f>
        <v/>
      </c>
      <c r="T161" s="8">
        <f>IF(OR($B161="",$E161=""),"",IF(SUMPRODUCT(('M_利用者'!$A$4:$A$60=$B161)*('M_利用者'!$B$4:$B$60&lt;&gt;""))=0,"",IF(SUMIFS($U$5:$U$204,$B$5:$B$204,$B161,$E$5:$E$204,"&gt;="&amp;DATE(YEAR($E161),MONTH($E161),1),$E$5:$E$204,"&lt;="&amp;EOMONTH($E161,0))&gt;SUMIFS('M_利用者'!$B$4:$B$60,'M_利用者'!$A$4:$A$60,$B161),"⚠支給量超過","")))</f>
        <v/>
      </c>
      <c r="U161" s="8">
        <f>IF(OR($E161="",$G161="",$K161="キャンセル"),0,IF(IFERROR(INDEX('M_区分'!$B$4:$B$20,MATCH($C161,'M_区分'!$A$4:$A$20,0)),"○")="○",$G161-$E161+1,0))</f>
        <v/>
      </c>
    </row>
    <row r="162">
      <c r="A162" s="8">
        <f>IF($E162="","","SS-"&amp;TEXT(ROW()-4,"0000"))</f>
        <v/>
      </c>
      <c r="B162" s="9" t="n"/>
      <c r="C162" s="9" t="n"/>
      <c r="D162" s="9" t="n"/>
      <c r="E162" s="10" t="n"/>
      <c r="F162" s="11" t="n"/>
      <c r="G162" s="10" t="n"/>
      <c r="H162" s="11" t="n"/>
      <c r="I162" s="8">
        <f>IF(OR($E162="",$G162=""),"",$G162-$E162+1)</f>
        <v/>
      </c>
      <c r="J162" s="8">
        <f>IF(OR($E162="",$G162=""),"",$G162-$E162)</f>
        <v/>
      </c>
      <c r="K162" s="9" t="n"/>
      <c r="L162" s="9" t="n"/>
      <c r="M162" s="9" t="n"/>
      <c r="N162" s="9" t="n"/>
      <c r="O162" s="9" t="n"/>
      <c r="P162" s="9" t="n"/>
      <c r="Q162" s="10" t="n"/>
      <c r="R162" s="9" t="n"/>
      <c r="S162" s="8">
        <f>IF($D162="","",IF(COUNTIF('M_部屋'!$A$4:$A$20,$D162)=0,"⚠部屋が未登録",IF(OR($E162="",$G162="",$K162="キャンセル"),"",IF(SUMPRODUCT(($D$5:$D$204=$D162)*($E$5:$E$204&lt;&gt;"")*($G$5:$G$204&lt;&gt;"")*($K$5:$K$204&lt;&gt;"キャンセル")*($E$5:$E$204&lt;$G162)*($G$5:$G$204&gt;$E162))&gt;1,"⚠重複",""))))</f>
        <v/>
      </c>
      <c r="T162" s="8">
        <f>IF(OR($B162="",$E162=""),"",IF(SUMPRODUCT(('M_利用者'!$A$4:$A$60=$B162)*('M_利用者'!$B$4:$B$60&lt;&gt;""))=0,"",IF(SUMIFS($U$5:$U$204,$B$5:$B$204,$B162,$E$5:$E$204,"&gt;="&amp;DATE(YEAR($E162),MONTH($E162),1),$E$5:$E$204,"&lt;="&amp;EOMONTH($E162,0))&gt;SUMIFS('M_利用者'!$B$4:$B$60,'M_利用者'!$A$4:$A$60,$B162),"⚠支給量超過","")))</f>
        <v/>
      </c>
      <c r="U162" s="8">
        <f>IF(OR($E162="",$G162="",$K162="キャンセル"),0,IF(IFERROR(INDEX('M_区分'!$B$4:$B$20,MATCH($C162,'M_区分'!$A$4:$A$20,0)),"○")="○",$G162-$E162+1,0))</f>
        <v/>
      </c>
    </row>
    <row r="163">
      <c r="A163" s="8">
        <f>IF($E163="","","SS-"&amp;TEXT(ROW()-4,"0000"))</f>
        <v/>
      </c>
      <c r="B163" s="9" t="n"/>
      <c r="C163" s="9" t="n"/>
      <c r="D163" s="9" t="n"/>
      <c r="E163" s="10" t="n"/>
      <c r="F163" s="11" t="n"/>
      <c r="G163" s="10" t="n"/>
      <c r="H163" s="11" t="n"/>
      <c r="I163" s="8">
        <f>IF(OR($E163="",$G163=""),"",$G163-$E163+1)</f>
        <v/>
      </c>
      <c r="J163" s="8">
        <f>IF(OR($E163="",$G163=""),"",$G163-$E163)</f>
        <v/>
      </c>
      <c r="K163" s="9" t="n"/>
      <c r="L163" s="9" t="n"/>
      <c r="M163" s="9" t="n"/>
      <c r="N163" s="9" t="n"/>
      <c r="O163" s="9" t="n"/>
      <c r="P163" s="9" t="n"/>
      <c r="Q163" s="10" t="n"/>
      <c r="R163" s="9" t="n"/>
      <c r="S163" s="8">
        <f>IF($D163="","",IF(COUNTIF('M_部屋'!$A$4:$A$20,$D163)=0,"⚠部屋が未登録",IF(OR($E163="",$G163="",$K163="キャンセル"),"",IF(SUMPRODUCT(($D$5:$D$204=$D163)*($E$5:$E$204&lt;&gt;"")*($G$5:$G$204&lt;&gt;"")*($K$5:$K$204&lt;&gt;"キャンセル")*($E$5:$E$204&lt;$G163)*($G$5:$G$204&gt;$E163))&gt;1,"⚠重複",""))))</f>
        <v/>
      </c>
      <c r="T163" s="8">
        <f>IF(OR($B163="",$E163=""),"",IF(SUMPRODUCT(('M_利用者'!$A$4:$A$60=$B163)*('M_利用者'!$B$4:$B$60&lt;&gt;""))=0,"",IF(SUMIFS($U$5:$U$204,$B$5:$B$204,$B163,$E$5:$E$204,"&gt;="&amp;DATE(YEAR($E163),MONTH($E163),1),$E$5:$E$204,"&lt;="&amp;EOMONTH($E163,0))&gt;SUMIFS('M_利用者'!$B$4:$B$60,'M_利用者'!$A$4:$A$60,$B163),"⚠支給量超過","")))</f>
        <v/>
      </c>
      <c r="U163" s="8">
        <f>IF(OR($E163="",$G163="",$K163="キャンセル"),0,IF(IFERROR(INDEX('M_区分'!$B$4:$B$20,MATCH($C163,'M_区分'!$A$4:$A$20,0)),"○")="○",$G163-$E163+1,0))</f>
        <v/>
      </c>
    </row>
    <row r="164">
      <c r="A164" s="8">
        <f>IF($E164="","","SS-"&amp;TEXT(ROW()-4,"0000"))</f>
        <v/>
      </c>
      <c r="B164" s="9" t="n"/>
      <c r="C164" s="9" t="n"/>
      <c r="D164" s="9" t="n"/>
      <c r="E164" s="10" t="n"/>
      <c r="F164" s="11" t="n"/>
      <c r="G164" s="10" t="n"/>
      <c r="H164" s="11" t="n"/>
      <c r="I164" s="8">
        <f>IF(OR($E164="",$G164=""),"",$G164-$E164+1)</f>
        <v/>
      </c>
      <c r="J164" s="8">
        <f>IF(OR($E164="",$G164=""),"",$G164-$E164)</f>
        <v/>
      </c>
      <c r="K164" s="9" t="n"/>
      <c r="L164" s="9" t="n"/>
      <c r="M164" s="9" t="n"/>
      <c r="N164" s="9" t="n"/>
      <c r="O164" s="9" t="n"/>
      <c r="P164" s="9" t="n"/>
      <c r="Q164" s="10" t="n"/>
      <c r="R164" s="9" t="n"/>
      <c r="S164" s="8">
        <f>IF($D164="","",IF(COUNTIF('M_部屋'!$A$4:$A$20,$D164)=0,"⚠部屋が未登録",IF(OR($E164="",$G164="",$K164="キャンセル"),"",IF(SUMPRODUCT(($D$5:$D$204=$D164)*($E$5:$E$204&lt;&gt;"")*($G$5:$G$204&lt;&gt;"")*($K$5:$K$204&lt;&gt;"キャンセル")*($E$5:$E$204&lt;$G164)*($G$5:$G$204&gt;$E164))&gt;1,"⚠重複",""))))</f>
        <v/>
      </c>
      <c r="T164" s="8">
        <f>IF(OR($B164="",$E164=""),"",IF(SUMPRODUCT(('M_利用者'!$A$4:$A$60=$B164)*('M_利用者'!$B$4:$B$60&lt;&gt;""))=0,"",IF(SUMIFS($U$5:$U$204,$B$5:$B$204,$B164,$E$5:$E$204,"&gt;="&amp;DATE(YEAR($E164),MONTH($E164),1),$E$5:$E$204,"&lt;="&amp;EOMONTH($E164,0))&gt;SUMIFS('M_利用者'!$B$4:$B$60,'M_利用者'!$A$4:$A$60,$B164),"⚠支給量超過","")))</f>
        <v/>
      </c>
      <c r="U164" s="8">
        <f>IF(OR($E164="",$G164="",$K164="キャンセル"),0,IF(IFERROR(INDEX('M_区分'!$B$4:$B$20,MATCH($C164,'M_区分'!$A$4:$A$20,0)),"○")="○",$G164-$E164+1,0))</f>
        <v/>
      </c>
    </row>
    <row r="165">
      <c r="A165" s="8">
        <f>IF($E165="","","SS-"&amp;TEXT(ROW()-4,"0000"))</f>
        <v/>
      </c>
      <c r="B165" s="9" t="n"/>
      <c r="C165" s="9" t="n"/>
      <c r="D165" s="9" t="n"/>
      <c r="E165" s="10" t="n"/>
      <c r="F165" s="11" t="n"/>
      <c r="G165" s="10" t="n"/>
      <c r="H165" s="11" t="n"/>
      <c r="I165" s="8">
        <f>IF(OR($E165="",$G165=""),"",$G165-$E165+1)</f>
        <v/>
      </c>
      <c r="J165" s="8">
        <f>IF(OR($E165="",$G165=""),"",$G165-$E165)</f>
        <v/>
      </c>
      <c r="K165" s="9" t="n"/>
      <c r="L165" s="9" t="n"/>
      <c r="M165" s="9" t="n"/>
      <c r="N165" s="9" t="n"/>
      <c r="O165" s="9" t="n"/>
      <c r="P165" s="9" t="n"/>
      <c r="Q165" s="10" t="n"/>
      <c r="R165" s="9" t="n"/>
      <c r="S165" s="8">
        <f>IF($D165="","",IF(COUNTIF('M_部屋'!$A$4:$A$20,$D165)=0,"⚠部屋が未登録",IF(OR($E165="",$G165="",$K165="キャンセル"),"",IF(SUMPRODUCT(($D$5:$D$204=$D165)*($E$5:$E$204&lt;&gt;"")*($G$5:$G$204&lt;&gt;"")*($K$5:$K$204&lt;&gt;"キャンセル")*($E$5:$E$204&lt;$G165)*($G$5:$G$204&gt;$E165))&gt;1,"⚠重複",""))))</f>
        <v/>
      </c>
      <c r="T165" s="8">
        <f>IF(OR($B165="",$E165=""),"",IF(SUMPRODUCT(('M_利用者'!$A$4:$A$60=$B165)*('M_利用者'!$B$4:$B$60&lt;&gt;""))=0,"",IF(SUMIFS($U$5:$U$204,$B$5:$B$204,$B165,$E$5:$E$204,"&gt;="&amp;DATE(YEAR($E165),MONTH($E165),1),$E$5:$E$204,"&lt;="&amp;EOMONTH($E165,0))&gt;SUMIFS('M_利用者'!$B$4:$B$60,'M_利用者'!$A$4:$A$60,$B165),"⚠支給量超過","")))</f>
        <v/>
      </c>
      <c r="U165" s="8">
        <f>IF(OR($E165="",$G165="",$K165="キャンセル"),0,IF(IFERROR(INDEX('M_区分'!$B$4:$B$20,MATCH($C165,'M_区分'!$A$4:$A$20,0)),"○")="○",$G165-$E165+1,0))</f>
        <v/>
      </c>
    </row>
    <row r="166">
      <c r="A166" s="8">
        <f>IF($E166="","","SS-"&amp;TEXT(ROW()-4,"0000"))</f>
        <v/>
      </c>
      <c r="B166" s="9" t="n"/>
      <c r="C166" s="9" t="n"/>
      <c r="D166" s="9" t="n"/>
      <c r="E166" s="10" t="n"/>
      <c r="F166" s="11" t="n"/>
      <c r="G166" s="10" t="n"/>
      <c r="H166" s="11" t="n"/>
      <c r="I166" s="8">
        <f>IF(OR($E166="",$G166=""),"",$G166-$E166+1)</f>
        <v/>
      </c>
      <c r="J166" s="8">
        <f>IF(OR($E166="",$G166=""),"",$G166-$E166)</f>
        <v/>
      </c>
      <c r="K166" s="9" t="n"/>
      <c r="L166" s="9" t="n"/>
      <c r="M166" s="9" t="n"/>
      <c r="N166" s="9" t="n"/>
      <c r="O166" s="9" t="n"/>
      <c r="P166" s="9" t="n"/>
      <c r="Q166" s="10" t="n"/>
      <c r="R166" s="9" t="n"/>
      <c r="S166" s="8">
        <f>IF($D166="","",IF(COUNTIF('M_部屋'!$A$4:$A$20,$D166)=0,"⚠部屋が未登録",IF(OR($E166="",$G166="",$K166="キャンセル"),"",IF(SUMPRODUCT(($D$5:$D$204=$D166)*($E$5:$E$204&lt;&gt;"")*($G$5:$G$204&lt;&gt;"")*($K$5:$K$204&lt;&gt;"キャンセル")*($E$5:$E$204&lt;$G166)*($G$5:$G$204&gt;$E166))&gt;1,"⚠重複",""))))</f>
        <v/>
      </c>
      <c r="T166" s="8">
        <f>IF(OR($B166="",$E166=""),"",IF(SUMPRODUCT(('M_利用者'!$A$4:$A$60=$B166)*('M_利用者'!$B$4:$B$60&lt;&gt;""))=0,"",IF(SUMIFS($U$5:$U$204,$B$5:$B$204,$B166,$E$5:$E$204,"&gt;="&amp;DATE(YEAR($E166),MONTH($E166),1),$E$5:$E$204,"&lt;="&amp;EOMONTH($E166,0))&gt;SUMIFS('M_利用者'!$B$4:$B$60,'M_利用者'!$A$4:$A$60,$B166),"⚠支給量超過","")))</f>
        <v/>
      </c>
      <c r="U166" s="8">
        <f>IF(OR($E166="",$G166="",$K166="キャンセル"),0,IF(IFERROR(INDEX('M_区分'!$B$4:$B$20,MATCH($C166,'M_区分'!$A$4:$A$20,0)),"○")="○",$G166-$E166+1,0))</f>
        <v/>
      </c>
    </row>
    <row r="167">
      <c r="A167" s="8">
        <f>IF($E167="","","SS-"&amp;TEXT(ROW()-4,"0000"))</f>
        <v/>
      </c>
      <c r="B167" s="9" t="n"/>
      <c r="C167" s="9" t="n"/>
      <c r="D167" s="9" t="n"/>
      <c r="E167" s="10" t="n"/>
      <c r="F167" s="11" t="n"/>
      <c r="G167" s="10" t="n"/>
      <c r="H167" s="11" t="n"/>
      <c r="I167" s="8">
        <f>IF(OR($E167="",$G167=""),"",$G167-$E167+1)</f>
        <v/>
      </c>
      <c r="J167" s="8">
        <f>IF(OR($E167="",$G167=""),"",$G167-$E167)</f>
        <v/>
      </c>
      <c r="K167" s="9" t="n"/>
      <c r="L167" s="9" t="n"/>
      <c r="M167" s="9" t="n"/>
      <c r="N167" s="9" t="n"/>
      <c r="O167" s="9" t="n"/>
      <c r="P167" s="9" t="n"/>
      <c r="Q167" s="10" t="n"/>
      <c r="R167" s="9" t="n"/>
      <c r="S167" s="8">
        <f>IF($D167="","",IF(COUNTIF('M_部屋'!$A$4:$A$20,$D167)=0,"⚠部屋が未登録",IF(OR($E167="",$G167="",$K167="キャンセル"),"",IF(SUMPRODUCT(($D$5:$D$204=$D167)*($E$5:$E$204&lt;&gt;"")*($G$5:$G$204&lt;&gt;"")*($K$5:$K$204&lt;&gt;"キャンセル")*($E$5:$E$204&lt;$G167)*($G$5:$G$204&gt;$E167))&gt;1,"⚠重複",""))))</f>
        <v/>
      </c>
      <c r="T167" s="8">
        <f>IF(OR($B167="",$E167=""),"",IF(SUMPRODUCT(('M_利用者'!$A$4:$A$60=$B167)*('M_利用者'!$B$4:$B$60&lt;&gt;""))=0,"",IF(SUMIFS($U$5:$U$204,$B$5:$B$204,$B167,$E$5:$E$204,"&gt;="&amp;DATE(YEAR($E167),MONTH($E167),1),$E$5:$E$204,"&lt;="&amp;EOMONTH($E167,0))&gt;SUMIFS('M_利用者'!$B$4:$B$60,'M_利用者'!$A$4:$A$60,$B167),"⚠支給量超過","")))</f>
        <v/>
      </c>
      <c r="U167" s="8">
        <f>IF(OR($E167="",$G167="",$K167="キャンセル"),0,IF(IFERROR(INDEX('M_区分'!$B$4:$B$20,MATCH($C167,'M_区分'!$A$4:$A$20,0)),"○")="○",$G167-$E167+1,0))</f>
        <v/>
      </c>
    </row>
    <row r="168">
      <c r="A168" s="8">
        <f>IF($E168="","","SS-"&amp;TEXT(ROW()-4,"0000"))</f>
        <v/>
      </c>
      <c r="B168" s="9" t="n"/>
      <c r="C168" s="9" t="n"/>
      <c r="D168" s="9" t="n"/>
      <c r="E168" s="10" t="n"/>
      <c r="F168" s="11" t="n"/>
      <c r="G168" s="10" t="n"/>
      <c r="H168" s="11" t="n"/>
      <c r="I168" s="8">
        <f>IF(OR($E168="",$G168=""),"",$G168-$E168+1)</f>
        <v/>
      </c>
      <c r="J168" s="8">
        <f>IF(OR($E168="",$G168=""),"",$G168-$E168)</f>
        <v/>
      </c>
      <c r="K168" s="9" t="n"/>
      <c r="L168" s="9" t="n"/>
      <c r="M168" s="9" t="n"/>
      <c r="N168" s="9" t="n"/>
      <c r="O168" s="9" t="n"/>
      <c r="P168" s="9" t="n"/>
      <c r="Q168" s="10" t="n"/>
      <c r="R168" s="9" t="n"/>
      <c r="S168" s="8">
        <f>IF($D168="","",IF(COUNTIF('M_部屋'!$A$4:$A$20,$D168)=0,"⚠部屋が未登録",IF(OR($E168="",$G168="",$K168="キャンセル"),"",IF(SUMPRODUCT(($D$5:$D$204=$D168)*($E$5:$E$204&lt;&gt;"")*($G$5:$G$204&lt;&gt;"")*($K$5:$K$204&lt;&gt;"キャンセル")*($E$5:$E$204&lt;$G168)*($G$5:$G$204&gt;$E168))&gt;1,"⚠重複",""))))</f>
        <v/>
      </c>
      <c r="T168" s="8">
        <f>IF(OR($B168="",$E168=""),"",IF(SUMPRODUCT(('M_利用者'!$A$4:$A$60=$B168)*('M_利用者'!$B$4:$B$60&lt;&gt;""))=0,"",IF(SUMIFS($U$5:$U$204,$B$5:$B$204,$B168,$E$5:$E$204,"&gt;="&amp;DATE(YEAR($E168),MONTH($E168),1),$E$5:$E$204,"&lt;="&amp;EOMONTH($E168,0))&gt;SUMIFS('M_利用者'!$B$4:$B$60,'M_利用者'!$A$4:$A$60,$B168),"⚠支給量超過","")))</f>
        <v/>
      </c>
      <c r="U168" s="8">
        <f>IF(OR($E168="",$G168="",$K168="キャンセル"),0,IF(IFERROR(INDEX('M_区分'!$B$4:$B$20,MATCH($C168,'M_区分'!$A$4:$A$20,0)),"○")="○",$G168-$E168+1,0))</f>
        <v/>
      </c>
    </row>
    <row r="169">
      <c r="A169" s="8">
        <f>IF($E169="","","SS-"&amp;TEXT(ROW()-4,"0000"))</f>
        <v/>
      </c>
      <c r="B169" s="9" t="n"/>
      <c r="C169" s="9" t="n"/>
      <c r="D169" s="9" t="n"/>
      <c r="E169" s="10" t="n"/>
      <c r="F169" s="11" t="n"/>
      <c r="G169" s="10" t="n"/>
      <c r="H169" s="11" t="n"/>
      <c r="I169" s="8">
        <f>IF(OR($E169="",$G169=""),"",$G169-$E169+1)</f>
        <v/>
      </c>
      <c r="J169" s="8">
        <f>IF(OR($E169="",$G169=""),"",$G169-$E169)</f>
        <v/>
      </c>
      <c r="K169" s="9" t="n"/>
      <c r="L169" s="9" t="n"/>
      <c r="M169" s="9" t="n"/>
      <c r="N169" s="9" t="n"/>
      <c r="O169" s="9" t="n"/>
      <c r="P169" s="9" t="n"/>
      <c r="Q169" s="10" t="n"/>
      <c r="R169" s="9" t="n"/>
      <c r="S169" s="8">
        <f>IF($D169="","",IF(COUNTIF('M_部屋'!$A$4:$A$20,$D169)=0,"⚠部屋が未登録",IF(OR($E169="",$G169="",$K169="キャンセル"),"",IF(SUMPRODUCT(($D$5:$D$204=$D169)*($E$5:$E$204&lt;&gt;"")*($G$5:$G$204&lt;&gt;"")*($K$5:$K$204&lt;&gt;"キャンセル")*($E$5:$E$204&lt;$G169)*($G$5:$G$204&gt;$E169))&gt;1,"⚠重複",""))))</f>
        <v/>
      </c>
      <c r="T169" s="8">
        <f>IF(OR($B169="",$E169=""),"",IF(SUMPRODUCT(('M_利用者'!$A$4:$A$60=$B169)*('M_利用者'!$B$4:$B$60&lt;&gt;""))=0,"",IF(SUMIFS($U$5:$U$204,$B$5:$B$204,$B169,$E$5:$E$204,"&gt;="&amp;DATE(YEAR($E169),MONTH($E169),1),$E$5:$E$204,"&lt;="&amp;EOMONTH($E169,0))&gt;SUMIFS('M_利用者'!$B$4:$B$60,'M_利用者'!$A$4:$A$60,$B169),"⚠支給量超過","")))</f>
        <v/>
      </c>
      <c r="U169" s="8">
        <f>IF(OR($E169="",$G169="",$K169="キャンセル"),0,IF(IFERROR(INDEX('M_区分'!$B$4:$B$20,MATCH($C169,'M_区分'!$A$4:$A$20,0)),"○")="○",$G169-$E169+1,0))</f>
        <v/>
      </c>
    </row>
    <row r="170">
      <c r="A170" s="8">
        <f>IF($E170="","","SS-"&amp;TEXT(ROW()-4,"0000"))</f>
        <v/>
      </c>
      <c r="B170" s="9" t="n"/>
      <c r="C170" s="9" t="n"/>
      <c r="D170" s="9" t="n"/>
      <c r="E170" s="10" t="n"/>
      <c r="F170" s="11" t="n"/>
      <c r="G170" s="10" t="n"/>
      <c r="H170" s="11" t="n"/>
      <c r="I170" s="8">
        <f>IF(OR($E170="",$G170=""),"",$G170-$E170+1)</f>
        <v/>
      </c>
      <c r="J170" s="8">
        <f>IF(OR($E170="",$G170=""),"",$G170-$E170)</f>
        <v/>
      </c>
      <c r="K170" s="9" t="n"/>
      <c r="L170" s="9" t="n"/>
      <c r="M170" s="9" t="n"/>
      <c r="N170" s="9" t="n"/>
      <c r="O170" s="9" t="n"/>
      <c r="P170" s="9" t="n"/>
      <c r="Q170" s="10" t="n"/>
      <c r="R170" s="9" t="n"/>
      <c r="S170" s="8">
        <f>IF($D170="","",IF(COUNTIF('M_部屋'!$A$4:$A$20,$D170)=0,"⚠部屋が未登録",IF(OR($E170="",$G170="",$K170="キャンセル"),"",IF(SUMPRODUCT(($D$5:$D$204=$D170)*($E$5:$E$204&lt;&gt;"")*($G$5:$G$204&lt;&gt;"")*($K$5:$K$204&lt;&gt;"キャンセル")*($E$5:$E$204&lt;$G170)*($G$5:$G$204&gt;$E170))&gt;1,"⚠重複",""))))</f>
        <v/>
      </c>
      <c r="T170" s="8">
        <f>IF(OR($B170="",$E170=""),"",IF(SUMPRODUCT(('M_利用者'!$A$4:$A$60=$B170)*('M_利用者'!$B$4:$B$60&lt;&gt;""))=0,"",IF(SUMIFS($U$5:$U$204,$B$5:$B$204,$B170,$E$5:$E$204,"&gt;="&amp;DATE(YEAR($E170),MONTH($E170),1),$E$5:$E$204,"&lt;="&amp;EOMONTH($E170,0))&gt;SUMIFS('M_利用者'!$B$4:$B$60,'M_利用者'!$A$4:$A$60,$B170),"⚠支給量超過","")))</f>
        <v/>
      </c>
      <c r="U170" s="8">
        <f>IF(OR($E170="",$G170="",$K170="キャンセル"),0,IF(IFERROR(INDEX('M_区分'!$B$4:$B$20,MATCH($C170,'M_区分'!$A$4:$A$20,0)),"○")="○",$G170-$E170+1,0))</f>
        <v/>
      </c>
    </row>
    <row r="171">
      <c r="A171" s="8">
        <f>IF($E171="","","SS-"&amp;TEXT(ROW()-4,"0000"))</f>
        <v/>
      </c>
      <c r="B171" s="9" t="n"/>
      <c r="C171" s="9" t="n"/>
      <c r="D171" s="9" t="n"/>
      <c r="E171" s="10" t="n"/>
      <c r="F171" s="11" t="n"/>
      <c r="G171" s="10" t="n"/>
      <c r="H171" s="11" t="n"/>
      <c r="I171" s="8">
        <f>IF(OR($E171="",$G171=""),"",$G171-$E171+1)</f>
        <v/>
      </c>
      <c r="J171" s="8">
        <f>IF(OR($E171="",$G171=""),"",$G171-$E171)</f>
        <v/>
      </c>
      <c r="K171" s="9" t="n"/>
      <c r="L171" s="9" t="n"/>
      <c r="M171" s="9" t="n"/>
      <c r="N171" s="9" t="n"/>
      <c r="O171" s="9" t="n"/>
      <c r="P171" s="9" t="n"/>
      <c r="Q171" s="10" t="n"/>
      <c r="R171" s="9" t="n"/>
      <c r="S171" s="8">
        <f>IF($D171="","",IF(COUNTIF('M_部屋'!$A$4:$A$20,$D171)=0,"⚠部屋が未登録",IF(OR($E171="",$G171="",$K171="キャンセル"),"",IF(SUMPRODUCT(($D$5:$D$204=$D171)*($E$5:$E$204&lt;&gt;"")*($G$5:$G$204&lt;&gt;"")*($K$5:$K$204&lt;&gt;"キャンセル")*($E$5:$E$204&lt;$G171)*($G$5:$G$204&gt;$E171))&gt;1,"⚠重複",""))))</f>
        <v/>
      </c>
      <c r="T171" s="8">
        <f>IF(OR($B171="",$E171=""),"",IF(SUMPRODUCT(('M_利用者'!$A$4:$A$60=$B171)*('M_利用者'!$B$4:$B$60&lt;&gt;""))=0,"",IF(SUMIFS($U$5:$U$204,$B$5:$B$204,$B171,$E$5:$E$204,"&gt;="&amp;DATE(YEAR($E171),MONTH($E171),1),$E$5:$E$204,"&lt;="&amp;EOMONTH($E171,0))&gt;SUMIFS('M_利用者'!$B$4:$B$60,'M_利用者'!$A$4:$A$60,$B171),"⚠支給量超過","")))</f>
        <v/>
      </c>
      <c r="U171" s="8">
        <f>IF(OR($E171="",$G171="",$K171="キャンセル"),0,IF(IFERROR(INDEX('M_区分'!$B$4:$B$20,MATCH($C171,'M_区分'!$A$4:$A$20,0)),"○")="○",$G171-$E171+1,0))</f>
        <v/>
      </c>
    </row>
    <row r="172">
      <c r="A172" s="8">
        <f>IF($E172="","","SS-"&amp;TEXT(ROW()-4,"0000"))</f>
        <v/>
      </c>
      <c r="B172" s="9" t="n"/>
      <c r="C172" s="9" t="n"/>
      <c r="D172" s="9" t="n"/>
      <c r="E172" s="10" t="n"/>
      <c r="F172" s="11" t="n"/>
      <c r="G172" s="10" t="n"/>
      <c r="H172" s="11" t="n"/>
      <c r="I172" s="8">
        <f>IF(OR($E172="",$G172=""),"",$G172-$E172+1)</f>
        <v/>
      </c>
      <c r="J172" s="8">
        <f>IF(OR($E172="",$G172=""),"",$G172-$E172)</f>
        <v/>
      </c>
      <c r="K172" s="9" t="n"/>
      <c r="L172" s="9" t="n"/>
      <c r="M172" s="9" t="n"/>
      <c r="N172" s="9" t="n"/>
      <c r="O172" s="9" t="n"/>
      <c r="P172" s="9" t="n"/>
      <c r="Q172" s="10" t="n"/>
      <c r="R172" s="9" t="n"/>
      <c r="S172" s="8">
        <f>IF($D172="","",IF(COUNTIF('M_部屋'!$A$4:$A$20,$D172)=0,"⚠部屋が未登録",IF(OR($E172="",$G172="",$K172="キャンセル"),"",IF(SUMPRODUCT(($D$5:$D$204=$D172)*($E$5:$E$204&lt;&gt;"")*($G$5:$G$204&lt;&gt;"")*($K$5:$K$204&lt;&gt;"キャンセル")*($E$5:$E$204&lt;$G172)*($G$5:$G$204&gt;$E172))&gt;1,"⚠重複",""))))</f>
        <v/>
      </c>
      <c r="T172" s="8">
        <f>IF(OR($B172="",$E172=""),"",IF(SUMPRODUCT(('M_利用者'!$A$4:$A$60=$B172)*('M_利用者'!$B$4:$B$60&lt;&gt;""))=0,"",IF(SUMIFS($U$5:$U$204,$B$5:$B$204,$B172,$E$5:$E$204,"&gt;="&amp;DATE(YEAR($E172),MONTH($E172),1),$E$5:$E$204,"&lt;="&amp;EOMONTH($E172,0))&gt;SUMIFS('M_利用者'!$B$4:$B$60,'M_利用者'!$A$4:$A$60,$B172),"⚠支給量超過","")))</f>
        <v/>
      </c>
      <c r="U172" s="8">
        <f>IF(OR($E172="",$G172="",$K172="キャンセル"),0,IF(IFERROR(INDEX('M_区分'!$B$4:$B$20,MATCH($C172,'M_区分'!$A$4:$A$20,0)),"○")="○",$G172-$E172+1,0))</f>
        <v/>
      </c>
    </row>
    <row r="173">
      <c r="A173" s="8">
        <f>IF($E173="","","SS-"&amp;TEXT(ROW()-4,"0000"))</f>
        <v/>
      </c>
      <c r="B173" s="9" t="n"/>
      <c r="C173" s="9" t="n"/>
      <c r="D173" s="9" t="n"/>
      <c r="E173" s="10" t="n"/>
      <c r="F173" s="11" t="n"/>
      <c r="G173" s="10" t="n"/>
      <c r="H173" s="11" t="n"/>
      <c r="I173" s="8">
        <f>IF(OR($E173="",$G173=""),"",$G173-$E173+1)</f>
        <v/>
      </c>
      <c r="J173" s="8">
        <f>IF(OR($E173="",$G173=""),"",$G173-$E173)</f>
        <v/>
      </c>
      <c r="K173" s="9" t="n"/>
      <c r="L173" s="9" t="n"/>
      <c r="M173" s="9" t="n"/>
      <c r="N173" s="9" t="n"/>
      <c r="O173" s="9" t="n"/>
      <c r="P173" s="9" t="n"/>
      <c r="Q173" s="10" t="n"/>
      <c r="R173" s="9" t="n"/>
      <c r="S173" s="8">
        <f>IF($D173="","",IF(COUNTIF('M_部屋'!$A$4:$A$20,$D173)=0,"⚠部屋が未登録",IF(OR($E173="",$G173="",$K173="キャンセル"),"",IF(SUMPRODUCT(($D$5:$D$204=$D173)*($E$5:$E$204&lt;&gt;"")*($G$5:$G$204&lt;&gt;"")*($K$5:$K$204&lt;&gt;"キャンセル")*($E$5:$E$204&lt;$G173)*($G$5:$G$204&gt;$E173))&gt;1,"⚠重複",""))))</f>
        <v/>
      </c>
      <c r="T173" s="8">
        <f>IF(OR($B173="",$E173=""),"",IF(SUMPRODUCT(('M_利用者'!$A$4:$A$60=$B173)*('M_利用者'!$B$4:$B$60&lt;&gt;""))=0,"",IF(SUMIFS($U$5:$U$204,$B$5:$B$204,$B173,$E$5:$E$204,"&gt;="&amp;DATE(YEAR($E173),MONTH($E173),1),$E$5:$E$204,"&lt;="&amp;EOMONTH($E173,0))&gt;SUMIFS('M_利用者'!$B$4:$B$60,'M_利用者'!$A$4:$A$60,$B173),"⚠支給量超過","")))</f>
        <v/>
      </c>
      <c r="U173" s="8">
        <f>IF(OR($E173="",$G173="",$K173="キャンセル"),0,IF(IFERROR(INDEX('M_区分'!$B$4:$B$20,MATCH($C173,'M_区分'!$A$4:$A$20,0)),"○")="○",$G173-$E173+1,0))</f>
        <v/>
      </c>
    </row>
    <row r="174">
      <c r="A174" s="8">
        <f>IF($E174="","","SS-"&amp;TEXT(ROW()-4,"0000"))</f>
        <v/>
      </c>
      <c r="B174" s="9" t="n"/>
      <c r="C174" s="9" t="n"/>
      <c r="D174" s="9" t="n"/>
      <c r="E174" s="10" t="n"/>
      <c r="F174" s="11" t="n"/>
      <c r="G174" s="10" t="n"/>
      <c r="H174" s="11" t="n"/>
      <c r="I174" s="8">
        <f>IF(OR($E174="",$G174=""),"",$G174-$E174+1)</f>
        <v/>
      </c>
      <c r="J174" s="8">
        <f>IF(OR($E174="",$G174=""),"",$G174-$E174)</f>
        <v/>
      </c>
      <c r="K174" s="9" t="n"/>
      <c r="L174" s="9" t="n"/>
      <c r="M174" s="9" t="n"/>
      <c r="N174" s="9" t="n"/>
      <c r="O174" s="9" t="n"/>
      <c r="P174" s="9" t="n"/>
      <c r="Q174" s="10" t="n"/>
      <c r="R174" s="9" t="n"/>
      <c r="S174" s="8">
        <f>IF($D174="","",IF(COUNTIF('M_部屋'!$A$4:$A$20,$D174)=0,"⚠部屋が未登録",IF(OR($E174="",$G174="",$K174="キャンセル"),"",IF(SUMPRODUCT(($D$5:$D$204=$D174)*($E$5:$E$204&lt;&gt;"")*($G$5:$G$204&lt;&gt;"")*($K$5:$K$204&lt;&gt;"キャンセル")*($E$5:$E$204&lt;$G174)*($G$5:$G$204&gt;$E174))&gt;1,"⚠重複",""))))</f>
        <v/>
      </c>
      <c r="T174" s="8">
        <f>IF(OR($B174="",$E174=""),"",IF(SUMPRODUCT(('M_利用者'!$A$4:$A$60=$B174)*('M_利用者'!$B$4:$B$60&lt;&gt;""))=0,"",IF(SUMIFS($U$5:$U$204,$B$5:$B$204,$B174,$E$5:$E$204,"&gt;="&amp;DATE(YEAR($E174),MONTH($E174),1),$E$5:$E$204,"&lt;="&amp;EOMONTH($E174,0))&gt;SUMIFS('M_利用者'!$B$4:$B$60,'M_利用者'!$A$4:$A$60,$B174),"⚠支給量超過","")))</f>
        <v/>
      </c>
      <c r="U174" s="8">
        <f>IF(OR($E174="",$G174="",$K174="キャンセル"),0,IF(IFERROR(INDEX('M_区分'!$B$4:$B$20,MATCH($C174,'M_区分'!$A$4:$A$20,0)),"○")="○",$G174-$E174+1,0))</f>
        <v/>
      </c>
    </row>
    <row r="175">
      <c r="A175" s="8">
        <f>IF($E175="","","SS-"&amp;TEXT(ROW()-4,"0000"))</f>
        <v/>
      </c>
      <c r="B175" s="9" t="n"/>
      <c r="C175" s="9" t="n"/>
      <c r="D175" s="9" t="n"/>
      <c r="E175" s="10" t="n"/>
      <c r="F175" s="11" t="n"/>
      <c r="G175" s="10" t="n"/>
      <c r="H175" s="11" t="n"/>
      <c r="I175" s="8">
        <f>IF(OR($E175="",$G175=""),"",$G175-$E175+1)</f>
        <v/>
      </c>
      <c r="J175" s="8">
        <f>IF(OR($E175="",$G175=""),"",$G175-$E175)</f>
        <v/>
      </c>
      <c r="K175" s="9" t="n"/>
      <c r="L175" s="9" t="n"/>
      <c r="M175" s="9" t="n"/>
      <c r="N175" s="9" t="n"/>
      <c r="O175" s="9" t="n"/>
      <c r="P175" s="9" t="n"/>
      <c r="Q175" s="10" t="n"/>
      <c r="R175" s="9" t="n"/>
      <c r="S175" s="8">
        <f>IF($D175="","",IF(COUNTIF('M_部屋'!$A$4:$A$20,$D175)=0,"⚠部屋が未登録",IF(OR($E175="",$G175="",$K175="キャンセル"),"",IF(SUMPRODUCT(($D$5:$D$204=$D175)*($E$5:$E$204&lt;&gt;"")*($G$5:$G$204&lt;&gt;"")*($K$5:$K$204&lt;&gt;"キャンセル")*($E$5:$E$204&lt;$G175)*($G$5:$G$204&gt;$E175))&gt;1,"⚠重複",""))))</f>
        <v/>
      </c>
      <c r="T175" s="8">
        <f>IF(OR($B175="",$E175=""),"",IF(SUMPRODUCT(('M_利用者'!$A$4:$A$60=$B175)*('M_利用者'!$B$4:$B$60&lt;&gt;""))=0,"",IF(SUMIFS($U$5:$U$204,$B$5:$B$204,$B175,$E$5:$E$204,"&gt;="&amp;DATE(YEAR($E175),MONTH($E175),1),$E$5:$E$204,"&lt;="&amp;EOMONTH($E175,0))&gt;SUMIFS('M_利用者'!$B$4:$B$60,'M_利用者'!$A$4:$A$60,$B175),"⚠支給量超過","")))</f>
        <v/>
      </c>
      <c r="U175" s="8">
        <f>IF(OR($E175="",$G175="",$K175="キャンセル"),0,IF(IFERROR(INDEX('M_区分'!$B$4:$B$20,MATCH($C175,'M_区分'!$A$4:$A$20,0)),"○")="○",$G175-$E175+1,0))</f>
        <v/>
      </c>
    </row>
    <row r="176">
      <c r="A176" s="8">
        <f>IF($E176="","","SS-"&amp;TEXT(ROW()-4,"0000"))</f>
        <v/>
      </c>
      <c r="B176" s="9" t="n"/>
      <c r="C176" s="9" t="n"/>
      <c r="D176" s="9" t="n"/>
      <c r="E176" s="10" t="n"/>
      <c r="F176" s="11" t="n"/>
      <c r="G176" s="10" t="n"/>
      <c r="H176" s="11" t="n"/>
      <c r="I176" s="8">
        <f>IF(OR($E176="",$G176=""),"",$G176-$E176+1)</f>
        <v/>
      </c>
      <c r="J176" s="8">
        <f>IF(OR($E176="",$G176=""),"",$G176-$E176)</f>
        <v/>
      </c>
      <c r="K176" s="9" t="n"/>
      <c r="L176" s="9" t="n"/>
      <c r="M176" s="9" t="n"/>
      <c r="N176" s="9" t="n"/>
      <c r="O176" s="9" t="n"/>
      <c r="P176" s="9" t="n"/>
      <c r="Q176" s="10" t="n"/>
      <c r="R176" s="9" t="n"/>
      <c r="S176" s="8">
        <f>IF($D176="","",IF(COUNTIF('M_部屋'!$A$4:$A$20,$D176)=0,"⚠部屋が未登録",IF(OR($E176="",$G176="",$K176="キャンセル"),"",IF(SUMPRODUCT(($D$5:$D$204=$D176)*($E$5:$E$204&lt;&gt;"")*($G$5:$G$204&lt;&gt;"")*($K$5:$K$204&lt;&gt;"キャンセル")*($E$5:$E$204&lt;$G176)*($G$5:$G$204&gt;$E176))&gt;1,"⚠重複",""))))</f>
        <v/>
      </c>
      <c r="T176" s="8">
        <f>IF(OR($B176="",$E176=""),"",IF(SUMPRODUCT(('M_利用者'!$A$4:$A$60=$B176)*('M_利用者'!$B$4:$B$60&lt;&gt;""))=0,"",IF(SUMIFS($U$5:$U$204,$B$5:$B$204,$B176,$E$5:$E$204,"&gt;="&amp;DATE(YEAR($E176),MONTH($E176),1),$E$5:$E$204,"&lt;="&amp;EOMONTH($E176,0))&gt;SUMIFS('M_利用者'!$B$4:$B$60,'M_利用者'!$A$4:$A$60,$B176),"⚠支給量超過","")))</f>
        <v/>
      </c>
      <c r="U176" s="8">
        <f>IF(OR($E176="",$G176="",$K176="キャンセル"),0,IF(IFERROR(INDEX('M_区分'!$B$4:$B$20,MATCH($C176,'M_区分'!$A$4:$A$20,0)),"○")="○",$G176-$E176+1,0))</f>
        <v/>
      </c>
    </row>
    <row r="177">
      <c r="A177" s="8">
        <f>IF($E177="","","SS-"&amp;TEXT(ROW()-4,"0000"))</f>
        <v/>
      </c>
      <c r="B177" s="9" t="n"/>
      <c r="C177" s="9" t="n"/>
      <c r="D177" s="9" t="n"/>
      <c r="E177" s="10" t="n"/>
      <c r="F177" s="11" t="n"/>
      <c r="G177" s="10" t="n"/>
      <c r="H177" s="11" t="n"/>
      <c r="I177" s="8">
        <f>IF(OR($E177="",$G177=""),"",$G177-$E177+1)</f>
        <v/>
      </c>
      <c r="J177" s="8">
        <f>IF(OR($E177="",$G177=""),"",$G177-$E177)</f>
        <v/>
      </c>
      <c r="K177" s="9" t="n"/>
      <c r="L177" s="9" t="n"/>
      <c r="M177" s="9" t="n"/>
      <c r="N177" s="9" t="n"/>
      <c r="O177" s="9" t="n"/>
      <c r="P177" s="9" t="n"/>
      <c r="Q177" s="10" t="n"/>
      <c r="R177" s="9" t="n"/>
      <c r="S177" s="8">
        <f>IF($D177="","",IF(COUNTIF('M_部屋'!$A$4:$A$20,$D177)=0,"⚠部屋が未登録",IF(OR($E177="",$G177="",$K177="キャンセル"),"",IF(SUMPRODUCT(($D$5:$D$204=$D177)*($E$5:$E$204&lt;&gt;"")*($G$5:$G$204&lt;&gt;"")*($K$5:$K$204&lt;&gt;"キャンセル")*($E$5:$E$204&lt;$G177)*($G$5:$G$204&gt;$E177))&gt;1,"⚠重複",""))))</f>
        <v/>
      </c>
      <c r="T177" s="8">
        <f>IF(OR($B177="",$E177=""),"",IF(SUMPRODUCT(('M_利用者'!$A$4:$A$60=$B177)*('M_利用者'!$B$4:$B$60&lt;&gt;""))=0,"",IF(SUMIFS($U$5:$U$204,$B$5:$B$204,$B177,$E$5:$E$204,"&gt;="&amp;DATE(YEAR($E177),MONTH($E177),1),$E$5:$E$204,"&lt;="&amp;EOMONTH($E177,0))&gt;SUMIFS('M_利用者'!$B$4:$B$60,'M_利用者'!$A$4:$A$60,$B177),"⚠支給量超過","")))</f>
        <v/>
      </c>
      <c r="U177" s="8">
        <f>IF(OR($E177="",$G177="",$K177="キャンセル"),0,IF(IFERROR(INDEX('M_区分'!$B$4:$B$20,MATCH($C177,'M_区分'!$A$4:$A$20,0)),"○")="○",$G177-$E177+1,0))</f>
        <v/>
      </c>
    </row>
    <row r="178">
      <c r="A178" s="8">
        <f>IF($E178="","","SS-"&amp;TEXT(ROW()-4,"0000"))</f>
        <v/>
      </c>
      <c r="B178" s="9" t="n"/>
      <c r="C178" s="9" t="n"/>
      <c r="D178" s="9" t="n"/>
      <c r="E178" s="10" t="n"/>
      <c r="F178" s="11" t="n"/>
      <c r="G178" s="10" t="n"/>
      <c r="H178" s="11" t="n"/>
      <c r="I178" s="8">
        <f>IF(OR($E178="",$G178=""),"",$G178-$E178+1)</f>
        <v/>
      </c>
      <c r="J178" s="8">
        <f>IF(OR($E178="",$G178=""),"",$G178-$E178)</f>
        <v/>
      </c>
      <c r="K178" s="9" t="n"/>
      <c r="L178" s="9" t="n"/>
      <c r="M178" s="9" t="n"/>
      <c r="N178" s="9" t="n"/>
      <c r="O178" s="9" t="n"/>
      <c r="P178" s="9" t="n"/>
      <c r="Q178" s="10" t="n"/>
      <c r="R178" s="9" t="n"/>
      <c r="S178" s="8">
        <f>IF($D178="","",IF(COUNTIF('M_部屋'!$A$4:$A$20,$D178)=0,"⚠部屋が未登録",IF(OR($E178="",$G178="",$K178="キャンセル"),"",IF(SUMPRODUCT(($D$5:$D$204=$D178)*($E$5:$E$204&lt;&gt;"")*($G$5:$G$204&lt;&gt;"")*($K$5:$K$204&lt;&gt;"キャンセル")*($E$5:$E$204&lt;$G178)*($G$5:$G$204&gt;$E178))&gt;1,"⚠重複",""))))</f>
        <v/>
      </c>
      <c r="T178" s="8">
        <f>IF(OR($B178="",$E178=""),"",IF(SUMPRODUCT(('M_利用者'!$A$4:$A$60=$B178)*('M_利用者'!$B$4:$B$60&lt;&gt;""))=0,"",IF(SUMIFS($U$5:$U$204,$B$5:$B$204,$B178,$E$5:$E$204,"&gt;="&amp;DATE(YEAR($E178),MONTH($E178),1),$E$5:$E$204,"&lt;="&amp;EOMONTH($E178,0))&gt;SUMIFS('M_利用者'!$B$4:$B$60,'M_利用者'!$A$4:$A$60,$B178),"⚠支給量超過","")))</f>
        <v/>
      </c>
      <c r="U178" s="8">
        <f>IF(OR($E178="",$G178="",$K178="キャンセル"),0,IF(IFERROR(INDEX('M_区分'!$B$4:$B$20,MATCH($C178,'M_区分'!$A$4:$A$20,0)),"○")="○",$G178-$E178+1,0))</f>
        <v/>
      </c>
    </row>
    <row r="179">
      <c r="A179" s="8">
        <f>IF($E179="","","SS-"&amp;TEXT(ROW()-4,"0000"))</f>
        <v/>
      </c>
      <c r="B179" s="9" t="n"/>
      <c r="C179" s="9" t="n"/>
      <c r="D179" s="9" t="n"/>
      <c r="E179" s="10" t="n"/>
      <c r="F179" s="11" t="n"/>
      <c r="G179" s="10" t="n"/>
      <c r="H179" s="11" t="n"/>
      <c r="I179" s="8">
        <f>IF(OR($E179="",$G179=""),"",$G179-$E179+1)</f>
        <v/>
      </c>
      <c r="J179" s="8">
        <f>IF(OR($E179="",$G179=""),"",$G179-$E179)</f>
        <v/>
      </c>
      <c r="K179" s="9" t="n"/>
      <c r="L179" s="9" t="n"/>
      <c r="M179" s="9" t="n"/>
      <c r="N179" s="9" t="n"/>
      <c r="O179" s="9" t="n"/>
      <c r="P179" s="9" t="n"/>
      <c r="Q179" s="10" t="n"/>
      <c r="R179" s="9" t="n"/>
      <c r="S179" s="8">
        <f>IF($D179="","",IF(COUNTIF('M_部屋'!$A$4:$A$20,$D179)=0,"⚠部屋が未登録",IF(OR($E179="",$G179="",$K179="キャンセル"),"",IF(SUMPRODUCT(($D$5:$D$204=$D179)*($E$5:$E$204&lt;&gt;"")*($G$5:$G$204&lt;&gt;"")*($K$5:$K$204&lt;&gt;"キャンセル")*($E$5:$E$204&lt;$G179)*($G$5:$G$204&gt;$E179))&gt;1,"⚠重複",""))))</f>
        <v/>
      </c>
      <c r="T179" s="8">
        <f>IF(OR($B179="",$E179=""),"",IF(SUMPRODUCT(('M_利用者'!$A$4:$A$60=$B179)*('M_利用者'!$B$4:$B$60&lt;&gt;""))=0,"",IF(SUMIFS($U$5:$U$204,$B$5:$B$204,$B179,$E$5:$E$204,"&gt;="&amp;DATE(YEAR($E179),MONTH($E179),1),$E$5:$E$204,"&lt;="&amp;EOMONTH($E179,0))&gt;SUMIFS('M_利用者'!$B$4:$B$60,'M_利用者'!$A$4:$A$60,$B179),"⚠支給量超過","")))</f>
        <v/>
      </c>
      <c r="U179" s="8">
        <f>IF(OR($E179="",$G179="",$K179="キャンセル"),0,IF(IFERROR(INDEX('M_区分'!$B$4:$B$20,MATCH($C179,'M_区分'!$A$4:$A$20,0)),"○")="○",$G179-$E179+1,0))</f>
        <v/>
      </c>
    </row>
    <row r="180">
      <c r="A180" s="8">
        <f>IF($E180="","","SS-"&amp;TEXT(ROW()-4,"0000"))</f>
        <v/>
      </c>
      <c r="B180" s="9" t="n"/>
      <c r="C180" s="9" t="n"/>
      <c r="D180" s="9" t="n"/>
      <c r="E180" s="10" t="n"/>
      <c r="F180" s="11" t="n"/>
      <c r="G180" s="10" t="n"/>
      <c r="H180" s="11" t="n"/>
      <c r="I180" s="8">
        <f>IF(OR($E180="",$G180=""),"",$G180-$E180+1)</f>
        <v/>
      </c>
      <c r="J180" s="8">
        <f>IF(OR($E180="",$G180=""),"",$G180-$E180)</f>
        <v/>
      </c>
      <c r="K180" s="9" t="n"/>
      <c r="L180" s="9" t="n"/>
      <c r="M180" s="9" t="n"/>
      <c r="N180" s="9" t="n"/>
      <c r="O180" s="9" t="n"/>
      <c r="P180" s="9" t="n"/>
      <c r="Q180" s="10" t="n"/>
      <c r="R180" s="9" t="n"/>
      <c r="S180" s="8">
        <f>IF($D180="","",IF(COUNTIF('M_部屋'!$A$4:$A$20,$D180)=0,"⚠部屋が未登録",IF(OR($E180="",$G180="",$K180="キャンセル"),"",IF(SUMPRODUCT(($D$5:$D$204=$D180)*($E$5:$E$204&lt;&gt;"")*($G$5:$G$204&lt;&gt;"")*($K$5:$K$204&lt;&gt;"キャンセル")*($E$5:$E$204&lt;$G180)*($G$5:$G$204&gt;$E180))&gt;1,"⚠重複",""))))</f>
        <v/>
      </c>
      <c r="T180" s="8">
        <f>IF(OR($B180="",$E180=""),"",IF(SUMPRODUCT(('M_利用者'!$A$4:$A$60=$B180)*('M_利用者'!$B$4:$B$60&lt;&gt;""))=0,"",IF(SUMIFS($U$5:$U$204,$B$5:$B$204,$B180,$E$5:$E$204,"&gt;="&amp;DATE(YEAR($E180),MONTH($E180),1),$E$5:$E$204,"&lt;="&amp;EOMONTH($E180,0))&gt;SUMIFS('M_利用者'!$B$4:$B$60,'M_利用者'!$A$4:$A$60,$B180),"⚠支給量超過","")))</f>
        <v/>
      </c>
      <c r="U180" s="8">
        <f>IF(OR($E180="",$G180="",$K180="キャンセル"),0,IF(IFERROR(INDEX('M_区分'!$B$4:$B$20,MATCH($C180,'M_区分'!$A$4:$A$20,0)),"○")="○",$G180-$E180+1,0))</f>
        <v/>
      </c>
    </row>
    <row r="181">
      <c r="A181" s="8">
        <f>IF($E181="","","SS-"&amp;TEXT(ROW()-4,"0000"))</f>
        <v/>
      </c>
      <c r="B181" s="9" t="n"/>
      <c r="C181" s="9" t="n"/>
      <c r="D181" s="9" t="n"/>
      <c r="E181" s="10" t="n"/>
      <c r="F181" s="11" t="n"/>
      <c r="G181" s="10" t="n"/>
      <c r="H181" s="11" t="n"/>
      <c r="I181" s="8">
        <f>IF(OR($E181="",$G181=""),"",$G181-$E181+1)</f>
        <v/>
      </c>
      <c r="J181" s="8">
        <f>IF(OR($E181="",$G181=""),"",$G181-$E181)</f>
        <v/>
      </c>
      <c r="K181" s="9" t="n"/>
      <c r="L181" s="9" t="n"/>
      <c r="M181" s="9" t="n"/>
      <c r="N181" s="9" t="n"/>
      <c r="O181" s="9" t="n"/>
      <c r="P181" s="9" t="n"/>
      <c r="Q181" s="10" t="n"/>
      <c r="R181" s="9" t="n"/>
      <c r="S181" s="8">
        <f>IF($D181="","",IF(COUNTIF('M_部屋'!$A$4:$A$20,$D181)=0,"⚠部屋が未登録",IF(OR($E181="",$G181="",$K181="キャンセル"),"",IF(SUMPRODUCT(($D$5:$D$204=$D181)*($E$5:$E$204&lt;&gt;"")*($G$5:$G$204&lt;&gt;"")*($K$5:$K$204&lt;&gt;"キャンセル")*($E$5:$E$204&lt;$G181)*($G$5:$G$204&gt;$E181))&gt;1,"⚠重複",""))))</f>
        <v/>
      </c>
      <c r="T181" s="8">
        <f>IF(OR($B181="",$E181=""),"",IF(SUMPRODUCT(('M_利用者'!$A$4:$A$60=$B181)*('M_利用者'!$B$4:$B$60&lt;&gt;""))=0,"",IF(SUMIFS($U$5:$U$204,$B$5:$B$204,$B181,$E$5:$E$204,"&gt;="&amp;DATE(YEAR($E181),MONTH($E181),1),$E$5:$E$204,"&lt;="&amp;EOMONTH($E181,0))&gt;SUMIFS('M_利用者'!$B$4:$B$60,'M_利用者'!$A$4:$A$60,$B181),"⚠支給量超過","")))</f>
        <v/>
      </c>
      <c r="U181" s="8">
        <f>IF(OR($E181="",$G181="",$K181="キャンセル"),0,IF(IFERROR(INDEX('M_区分'!$B$4:$B$20,MATCH($C181,'M_区分'!$A$4:$A$20,0)),"○")="○",$G181-$E181+1,0))</f>
        <v/>
      </c>
    </row>
    <row r="182">
      <c r="A182" s="8">
        <f>IF($E182="","","SS-"&amp;TEXT(ROW()-4,"0000"))</f>
        <v/>
      </c>
      <c r="B182" s="9" t="n"/>
      <c r="C182" s="9" t="n"/>
      <c r="D182" s="9" t="n"/>
      <c r="E182" s="10" t="n"/>
      <c r="F182" s="11" t="n"/>
      <c r="G182" s="10" t="n"/>
      <c r="H182" s="11" t="n"/>
      <c r="I182" s="8">
        <f>IF(OR($E182="",$G182=""),"",$G182-$E182+1)</f>
        <v/>
      </c>
      <c r="J182" s="8">
        <f>IF(OR($E182="",$G182=""),"",$G182-$E182)</f>
        <v/>
      </c>
      <c r="K182" s="9" t="n"/>
      <c r="L182" s="9" t="n"/>
      <c r="M182" s="9" t="n"/>
      <c r="N182" s="9" t="n"/>
      <c r="O182" s="9" t="n"/>
      <c r="P182" s="9" t="n"/>
      <c r="Q182" s="10" t="n"/>
      <c r="R182" s="9" t="n"/>
      <c r="S182" s="8">
        <f>IF($D182="","",IF(COUNTIF('M_部屋'!$A$4:$A$20,$D182)=0,"⚠部屋が未登録",IF(OR($E182="",$G182="",$K182="キャンセル"),"",IF(SUMPRODUCT(($D$5:$D$204=$D182)*($E$5:$E$204&lt;&gt;"")*($G$5:$G$204&lt;&gt;"")*($K$5:$K$204&lt;&gt;"キャンセル")*($E$5:$E$204&lt;$G182)*($G$5:$G$204&gt;$E182))&gt;1,"⚠重複",""))))</f>
        <v/>
      </c>
      <c r="T182" s="8">
        <f>IF(OR($B182="",$E182=""),"",IF(SUMPRODUCT(('M_利用者'!$A$4:$A$60=$B182)*('M_利用者'!$B$4:$B$60&lt;&gt;""))=0,"",IF(SUMIFS($U$5:$U$204,$B$5:$B$204,$B182,$E$5:$E$204,"&gt;="&amp;DATE(YEAR($E182),MONTH($E182),1),$E$5:$E$204,"&lt;="&amp;EOMONTH($E182,0))&gt;SUMIFS('M_利用者'!$B$4:$B$60,'M_利用者'!$A$4:$A$60,$B182),"⚠支給量超過","")))</f>
        <v/>
      </c>
      <c r="U182" s="8">
        <f>IF(OR($E182="",$G182="",$K182="キャンセル"),0,IF(IFERROR(INDEX('M_区分'!$B$4:$B$20,MATCH($C182,'M_区分'!$A$4:$A$20,0)),"○")="○",$G182-$E182+1,0))</f>
        <v/>
      </c>
    </row>
    <row r="183">
      <c r="A183" s="8">
        <f>IF($E183="","","SS-"&amp;TEXT(ROW()-4,"0000"))</f>
        <v/>
      </c>
      <c r="B183" s="9" t="n"/>
      <c r="C183" s="9" t="n"/>
      <c r="D183" s="9" t="n"/>
      <c r="E183" s="10" t="n"/>
      <c r="F183" s="11" t="n"/>
      <c r="G183" s="10" t="n"/>
      <c r="H183" s="11" t="n"/>
      <c r="I183" s="8">
        <f>IF(OR($E183="",$G183=""),"",$G183-$E183+1)</f>
        <v/>
      </c>
      <c r="J183" s="8">
        <f>IF(OR($E183="",$G183=""),"",$G183-$E183)</f>
        <v/>
      </c>
      <c r="K183" s="9" t="n"/>
      <c r="L183" s="9" t="n"/>
      <c r="M183" s="9" t="n"/>
      <c r="N183" s="9" t="n"/>
      <c r="O183" s="9" t="n"/>
      <c r="P183" s="9" t="n"/>
      <c r="Q183" s="10" t="n"/>
      <c r="R183" s="9" t="n"/>
      <c r="S183" s="8">
        <f>IF($D183="","",IF(COUNTIF('M_部屋'!$A$4:$A$20,$D183)=0,"⚠部屋が未登録",IF(OR($E183="",$G183="",$K183="キャンセル"),"",IF(SUMPRODUCT(($D$5:$D$204=$D183)*($E$5:$E$204&lt;&gt;"")*($G$5:$G$204&lt;&gt;"")*($K$5:$K$204&lt;&gt;"キャンセル")*($E$5:$E$204&lt;$G183)*($G$5:$G$204&gt;$E183))&gt;1,"⚠重複",""))))</f>
        <v/>
      </c>
      <c r="T183" s="8">
        <f>IF(OR($B183="",$E183=""),"",IF(SUMPRODUCT(('M_利用者'!$A$4:$A$60=$B183)*('M_利用者'!$B$4:$B$60&lt;&gt;""))=0,"",IF(SUMIFS($U$5:$U$204,$B$5:$B$204,$B183,$E$5:$E$204,"&gt;="&amp;DATE(YEAR($E183),MONTH($E183),1),$E$5:$E$204,"&lt;="&amp;EOMONTH($E183,0))&gt;SUMIFS('M_利用者'!$B$4:$B$60,'M_利用者'!$A$4:$A$60,$B183),"⚠支給量超過","")))</f>
        <v/>
      </c>
      <c r="U183" s="8">
        <f>IF(OR($E183="",$G183="",$K183="キャンセル"),0,IF(IFERROR(INDEX('M_区分'!$B$4:$B$20,MATCH($C183,'M_区分'!$A$4:$A$20,0)),"○")="○",$G183-$E183+1,0))</f>
        <v/>
      </c>
    </row>
    <row r="184">
      <c r="A184" s="8">
        <f>IF($E184="","","SS-"&amp;TEXT(ROW()-4,"0000"))</f>
        <v/>
      </c>
      <c r="B184" s="9" t="n"/>
      <c r="C184" s="9" t="n"/>
      <c r="D184" s="9" t="n"/>
      <c r="E184" s="10" t="n"/>
      <c r="F184" s="11" t="n"/>
      <c r="G184" s="10" t="n"/>
      <c r="H184" s="11" t="n"/>
      <c r="I184" s="8">
        <f>IF(OR($E184="",$G184=""),"",$G184-$E184+1)</f>
        <v/>
      </c>
      <c r="J184" s="8">
        <f>IF(OR($E184="",$G184=""),"",$G184-$E184)</f>
        <v/>
      </c>
      <c r="K184" s="9" t="n"/>
      <c r="L184" s="9" t="n"/>
      <c r="M184" s="9" t="n"/>
      <c r="N184" s="9" t="n"/>
      <c r="O184" s="9" t="n"/>
      <c r="P184" s="9" t="n"/>
      <c r="Q184" s="10" t="n"/>
      <c r="R184" s="9" t="n"/>
      <c r="S184" s="8">
        <f>IF($D184="","",IF(COUNTIF('M_部屋'!$A$4:$A$20,$D184)=0,"⚠部屋が未登録",IF(OR($E184="",$G184="",$K184="キャンセル"),"",IF(SUMPRODUCT(($D$5:$D$204=$D184)*($E$5:$E$204&lt;&gt;"")*($G$5:$G$204&lt;&gt;"")*($K$5:$K$204&lt;&gt;"キャンセル")*($E$5:$E$204&lt;$G184)*($G$5:$G$204&gt;$E184))&gt;1,"⚠重複",""))))</f>
        <v/>
      </c>
      <c r="T184" s="8">
        <f>IF(OR($B184="",$E184=""),"",IF(SUMPRODUCT(('M_利用者'!$A$4:$A$60=$B184)*('M_利用者'!$B$4:$B$60&lt;&gt;""))=0,"",IF(SUMIFS($U$5:$U$204,$B$5:$B$204,$B184,$E$5:$E$204,"&gt;="&amp;DATE(YEAR($E184),MONTH($E184),1),$E$5:$E$204,"&lt;="&amp;EOMONTH($E184,0))&gt;SUMIFS('M_利用者'!$B$4:$B$60,'M_利用者'!$A$4:$A$60,$B184),"⚠支給量超過","")))</f>
        <v/>
      </c>
      <c r="U184" s="8">
        <f>IF(OR($E184="",$G184="",$K184="キャンセル"),0,IF(IFERROR(INDEX('M_区分'!$B$4:$B$20,MATCH($C184,'M_区分'!$A$4:$A$20,0)),"○")="○",$G184-$E184+1,0))</f>
        <v/>
      </c>
    </row>
    <row r="185">
      <c r="A185" s="8">
        <f>IF($E185="","","SS-"&amp;TEXT(ROW()-4,"0000"))</f>
        <v/>
      </c>
      <c r="B185" s="9" t="n"/>
      <c r="C185" s="9" t="n"/>
      <c r="D185" s="9" t="n"/>
      <c r="E185" s="10" t="n"/>
      <c r="F185" s="11" t="n"/>
      <c r="G185" s="10" t="n"/>
      <c r="H185" s="11" t="n"/>
      <c r="I185" s="8">
        <f>IF(OR($E185="",$G185=""),"",$G185-$E185+1)</f>
        <v/>
      </c>
      <c r="J185" s="8">
        <f>IF(OR($E185="",$G185=""),"",$G185-$E185)</f>
        <v/>
      </c>
      <c r="K185" s="9" t="n"/>
      <c r="L185" s="9" t="n"/>
      <c r="M185" s="9" t="n"/>
      <c r="N185" s="9" t="n"/>
      <c r="O185" s="9" t="n"/>
      <c r="P185" s="9" t="n"/>
      <c r="Q185" s="10" t="n"/>
      <c r="R185" s="9" t="n"/>
      <c r="S185" s="8">
        <f>IF($D185="","",IF(COUNTIF('M_部屋'!$A$4:$A$20,$D185)=0,"⚠部屋が未登録",IF(OR($E185="",$G185="",$K185="キャンセル"),"",IF(SUMPRODUCT(($D$5:$D$204=$D185)*($E$5:$E$204&lt;&gt;"")*($G$5:$G$204&lt;&gt;"")*($K$5:$K$204&lt;&gt;"キャンセル")*($E$5:$E$204&lt;$G185)*($G$5:$G$204&gt;$E185))&gt;1,"⚠重複",""))))</f>
        <v/>
      </c>
      <c r="T185" s="8">
        <f>IF(OR($B185="",$E185=""),"",IF(SUMPRODUCT(('M_利用者'!$A$4:$A$60=$B185)*('M_利用者'!$B$4:$B$60&lt;&gt;""))=0,"",IF(SUMIFS($U$5:$U$204,$B$5:$B$204,$B185,$E$5:$E$204,"&gt;="&amp;DATE(YEAR($E185),MONTH($E185),1),$E$5:$E$204,"&lt;="&amp;EOMONTH($E185,0))&gt;SUMIFS('M_利用者'!$B$4:$B$60,'M_利用者'!$A$4:$A$60,$B185),"⚠支給量超過","")))</f>
        <v/>
      </c>
      <c r="U185" s="8">
        <f>IF(OR($E185="",$G185="",$K185="キャンセル"),0,IF(IFERROR(INDEX('M_区分'!$B$4:$B$20,MATCH($C185,'M_区分'!$A$4:$A$20,0)),"○")="○",$G185-$E185+1,0))</f>
        <v/>
      </c>
    </row>
    <row r="186">
      <c r="A186" s="8">
        <f>IF($E186="","","SS-"&amp;TEXT(ROW()-4,"0000"))</f>
        <v/>
      </c>
      <c r="B186" s="9" t="n"/>
      <c r="C186" s="9" t="n"/>
      <c r="D186" s="9" t="n"/>
      <c r="E186" s="10" t="n"/>
      <c r="F186" s="11" t="n"/>
      <c r="G186" s="10" t="n"/>
      <c r="H186" s="11" t="n"/>
      <c r="I186" s="8">
        <f>IF(OR($E186="",$G186=""),"",$G186-$E186+1)</f>
        <v/>
      </c>
      <c r="J186" s="8">
        <f>IF(OR($E186="",$G186=""),"",$G186-$E186)</f>
        <v/>
      </c>
      <c r="K186" s="9" t="n"/>
      <c r="L186" s="9" t="n"/>
      <c r="M186" s="9" t="n"/>
      <c r="N186" s="9" t="n"/>
      <c r="O186" s="9" t="n"/>
      <c r="P186" s="9" t="n"/>
      <c r="Q186" s="10" t="n"/>
      <c r="R186" s="9" t="n"/>
      <c r="S186" s="8">
        <f>IF($D186="","",IF(COUNTIF('M_部屋'!$A$4:$A$20,$D186)=0,"⚠部屋が未登録",IF(OR($E186="",$G186="",$K186="キャンセル"),"",IF(SUMPRODUCT(($D$5:$D$204=$D186)*($E$5:$E$204&lt;&gt;"")*($G$5:$G$204&lt;&gt;"")*($K$5:$K$204&lt;&gt;"キャンセル")*($E$5:$E$204&lt;$G186)*($G$5:$G$204&gt;$E186))&gt;1,"⚠重複",""))))</f>
        <v/>
      </c>
      <c r="T186" s="8">
        <f>IF(OR($B186="",$E186=""),"",IF(SUMPRODUCT(('M_利用者'!$A$4:$A$60=$B186)*('M_利用者'!$B$4:$B$60&lt;&gt;""))=0,"",IF(SUMIFS($U$5:$U$204,$B$5:$B$204,$B186,$E$5:$E$204,"&gt;="&amp;DATE(YEAR($E186),MONTH($E186),1),$E$5:$E$204,"&lt;="&amp;EOMONTH($E186,0))&gt;SUMIFS('M_利用者'!$B$4:$B$60,'M_利用者'!$A$4:$A$60,$B186),"⚠支給量超過","")))</f>
        <v/>
      </c>
      <c r="U186" s="8">
        <f>IF(OR($E186="",$G186="",$K186="キャンセル"),0,IF(IFERROR(INDEX('M_区分'!$B$4:$B$20,MATCH($C186,'M_区分'!$A$4:$A$20,0)),"○")="○",$G186-$E186+1,0))</f>
        <v/>
      </c>
    </row>
    <row r="187">
      <c r="A187" s="8">
        <f>IF($E187="","","SS-"&amp;TEXT(ROW()-4,"0000"))</f>
        <v/>
      </c>
      <c r="B187" s="9" t="n"/>
      <c r="C187" s="9" t="n"/>
      <c r="D187" s="9" t="n"/>
      <c r="E187" s="10" t="n"/>
      <c r="F187" s="11" t="n"/>
      <c r="G187" s="10" t="n"/>
      <c r="H187" s="11" t="n"/>
      <c r="I187" s="8">
        <f>IF(OR($E187="",$G187=""),"",$G187-$E187+1)</f>
        <v/>
      </c>
      <c r="J187" s="8">
        <f>IF(OR($E187="",$G187=""),"",$G187-$E187)</f>
        <v/>
      </c>
      <c r="K187" s="9" t="n"/>
      <c r="L187" s="9" t="n"/>
      <c r="M187" s="9" t="n"/>
      <c r="N187" s="9" t="n"/>
      <c r="O187" s="9" t="n"/>
      <c r="P187" s="9" t="n"/>
      <c r="Q187" s="10" t="n"/>
      <c r="R187" s="9" t="n"/>
      <c r="S187" s="8">
        <f>IF($D187="","",IF(COUNTIF('M_部屋'!$A$4:$A$20,$D187)=0,"⚠部屋が未登録",IF(OR($E187="",$G187="",$K187="キャンセル"),"",IF(SUMPRODUCT(($D$5:$D$204=$D187)*($E$5:$E$204&lt;&gt;"")*($G$5:$G$204&lt;&gt;"")*($K$5:$K$204&lt;&gt;"キャンセル")*($E$5:$E$204&lt;$G187)*($G$5:$G$204&gt;$E187))&gt;1,"⚠重複",""))))</f>
        <v/>
      </c>
      <c r="T187" s="8">
        <f>IF(OR($B187="",$E187=""),"",IF(SUMPRODUCT(('M_利用者'!$A$4:$A$60=$B187)*('M_利用者'!$B$4:$B$60&lt;&gt;""))=0,"",IF(SUMIFS($U$5:$U$204,$B$5:$B$204,$B187,$E$5:$E$204,"&gt;="&amp;DATE(YEAR($E187),MONTH($E187),1),$E$5:$E$204,"&lt;="&amp;EOMONTH($E187,0))&gt;SUMIFS('M_利用者'!$B$4:$B$60,'M_利用者'!$A$4:$A$60,$B187),"⚠支給量超過","")))</f>
        <v/>
      </c>
      <c r="U187" s="8">
        <f>IF(OR($E187="",$G187="",$K187="キャンセル"),0,IF(IFERROR(INDEX('M_区分'!$B$4:$B$20,MATCH($C187,'M_区分'!$A$4:$A$20,0)),"○")="○",$G187-$E187+1,0))</f>
        <v/>
      </c>
    </row>
    <row r="188">
      <c r="A188" s="8">
        <f>IF($E188="","","SS-"&amp;TEXT(ROW()-4,"0000"))</f>
        <v/>
      </c>
      <c r="B188" s="9" t="n"/>
      <c r="C188" s="9" t="n"/>
      <c r="D188" s="9" t="n"/>
      <c r="E188" s="10" t="n"/>
      <c r="F188" s="11" t="n"/>
      <c r="G188" s="10" t="n"/>
      <c r="H188" s="11" t="n"/>
      <c r="I188" s="8">
        <f>IF(OR($E188="",$G188=""),"",$G188-$E188+1)</f>
        <v/>
      </c>
      <c r="J188" s="8">
        <f>IF(OR($E188="",$G188=""),"",$G188-$E188)</f>
        <v/>
      </c>
      <c r="K188" s="9" t="n"/>
      <c r="L188" s="9" t="n"/>
      <c r="M188" s="9" t="n"/>
      <c r="N188" s="9" t="n"/>
      <c r="O188" s="9" t="n"/>
      <c r="P188" s="9" t="n"/>
      <c r="Q188" s="10" t="n"/>
      <c r="R188" s="9" t="n"/>
      <c r="S188" s="8">
        <f>IF($D188="","",IF(COUNTIF('M_部屋'!$A$4:$A$20,$D188)=0,"⚠部屋が未登録",IF(OR($E188="",$G188="",$K188="キャンセル"),"",IF(SUMPRODUCT(($D$5:$D$204=$D188)*($E$5:$E$204&lt;&gt;"")*($G$5:$G$204&lt;&gt;"")*($K$5:$K$204&lt;&gt;"キャンセル")*($E$5:$E$204&lt;$G188)*($G$5:$G$204&gt;$E188))&gt;1,"⚠重複",""))))</f>
        <v/>
      </c>
      <c r="T188" s="8">
        <f>IF(OR($B188="",$E188=""),"",IF(SUMPRODUCT(('M_利用者'!$A$4:$A$60=$B188)*('M_利用者'!$B$4:$B$60&lt;&gt;""))=0,"",IF(SUMIFS($U$5:$U$204,$B$5:$B$204,$B188,$E$5:$E$204,"&gt;="&amp;DATE(YEAR($E188),MONTH($E188),1),$E$5:$E$204,"&lt;="&amp;EOMONTH($E188,0))&gt;SUMIFS('M_利用者'!$B$4:$B$60,'M_利用者'!$A$4:$A$60,$B188),"⚠支給量超過","")))</f>
        <v/>
      </c>
      <c r="U188" s="8">
        <f>IF(OR($E188="",$G188="",$K188="キャンセル"),0,IF(IFERROR(INDEX('M_区分'!$B$4:$B$20,MATCH($C188,'M_区分'!$A$4:$A$20,0)),"○")="○",$G188-$E188+1,0))</f>
        <v/>
      </c>
    </row>
    <row r="189">
      <c r="A189" s="8">
        <f>IF($E189="","","SS-"&amp;TEXT(ROW()-4,"0000"))</f>
        <v/>
      </c>
      <c r="B189" s="9" t="n"/>
      <c r="C189" s="9" t="n"/>
      <c r="D189" s="9" t="n"/>
      <c r="E189" s="10" t="n"/>
      <c r="F189" s="11" t="n"/>
      <c r="G189" s="10" t="n"/>
      <c r="H189" s="11" t="n"/>
      <c r="I189" s="8">
        <f>IF(OR($E189="",$G189=""),"",$G189-$E189+1)</f>
        <v/>
      </c>
      <c r="J189" s="8">
        <f>IF(OR($E189="",$G189=""),"",$G189-$E189)</f>
        <v/>
      </c>
      <c r="K189" s="9" t="n"/>
      <c r="L189" s="9" t="n"/>
      <c r="M189" s="9" t="n"/>
      <c r="N189" s="9" t="n"/>
      <c r="O189" s="9" t="n"/>
      <c r="P189" s="9" t="n"/>
      <c r="Q189" s="10" t="n"/>
      <c r="R189" s="9" t="n"/>
      <c r="S189" s="8">
        <f>IF($D189="","",IF(COUNTIF('M_部屋'!$A$4:$A$20,$D189)=0,"⚠部屋が未登録",IF(OR($E189="",$G189="",$K189="キャンセル"),"",IF(SUMPRODUCT(($D$5:$D$204=$D189)*($E$5:$E$204&lt;&gt;"")*($G$5:$G$204&lt;&gt;"")*($K$5:$K$204&lt;&gt;"キャンセル")*($E$5:$E$204&lt;$G189)*($G$5:$G$204&gt;$E189))&gt;1,"⚠重複",""))))</f>
        <v/>
      </c>
      <c r="T189" s="8">
        <f>IF(OR($B189="",$E189=""),"",IF(SUMPRODUCT(('M_利用者'!$A$4:$A$60=$B189)*('M_利用者'!$B$4:$B$60&lt;&gt;""))=0,"",IF(SUMIFS($U$5:$U$204,$B$5:$B$204,$B189,$E$5:$E$204,"&gt;="&amp;DATE(YEAR($E189),MONTH($E189),1),$E$5:$E$204,"&lt;="&amp;EOMONTH($E189,0))&gt;SUMIFS('M_利用者'!$B$4:$B$60,'M_利用者'!$A$4:$A$60,$B189),"⚠支給量超過","")))</f>
        <v/>
      </c>
      <c r="U189" s="8">
        <f>IF(OR($E189="",$G189="",$K189="キャンセル"),0,IF(IFERROR(INDEX('M_区分'!$B$4:$B$20,MATCH($C189,'M_区分'!$A$4:$A$20,0)),"○")="○",$G189-$E189+1,0))</f>
        <v/>
      </c>
    </row>
    <row r="190">
      <c r="A190" s="8">
        <f>IF($E190="","","SS-"&amp;TEXT(ROW()-4,"0000"))</f>
        <v/>
      </c>
      <c r="B190" s="9" t="n"/>
      <c r="C190" s="9" t="n"/>
      <c r="D190" s="9" t="n"/>
      <c r="E190" s="10" t="n"/>
      <c r="F190" s="11" t="n"/>
      <c r="G190" s="10" t="n"/>
      <c r="H190" s="11" t="n"/>
      <c r="I190" s="8">
        <f>IF(OR($E190="",$G190=""),"",$G190-$E190+1)</f>
        <v/>
      </c>
      <c r="J190" s="8">
        <f>IF(OR($E190="",$G190=""),"",$G190-$E190)</f>
        <v/>
      </c>
      <c r="K190" s="9" t="n"/>
      <c r="L190" s="9" t="n"/>
      <c r="M190" s="9" t="n"/>
      <c r="N190" s="9" t="n"/>
      <c r="O190" s="9" t="n"/>
      <c r="P190" s="9" t="n"/>
      <c r="Q190" s="10" t="n"/>
      <c r="R190" s="9" t="n"/>
      <c r="S190" s="8">
        <f>IF($D190="","",IF(COUNTIF('M_部屋'!$A$4:$A$20,$D190)=0,"⚠部屋が未登録",IF(OR($E190="",$G190="",$K190="キャンセル"),"",IF(SUMPRODUCT(($D$5:$D$204=$D190)*($E$5:$E$204&lt;&gt;"")*($G$5:$G$204&lt;&gt;"")*($K$5:$K$204&lt;&gt;"キャンセル")*($E$5:$E$204&lt;$G190)*($G$5:$G$204&gt;$E190))&gt;1,"⚠重複",""))))</f>
        <v/>
      </c>
      <c r="T190" s="8">
        <f>IF(OR($B190="",$E190=""),"",IF(SUMPRODUCT(('M_利用者'!$A$4:$A$60=$B190)*('M_利用者'!$B$4:$B$60&lt;&gt;""))=0,"",IF(SUMIFS($U$5:$U$204,$B$5:$B$204,$B190,$E$5:$E$204,"&gt;="&amp;DATE(YEAR($E190),MONTH($E190),1),$E$5:$E$204,"&lt;="&amp;EOMONTH($E190,0))&gt;SUMIFS('M_利用者'!$B$4:$B$60,'M_利用者'!$A$4:$A$60,$B190),"⚠支給量超過","")))</f>
        <v/>
      </c>
      <c r="U190" s="8">
        <f>IF(OR($E190="",$G190="",$K190="キャンセル"),0,IF(IFERROR(INDEX('M_区分'!$B$4:$B$20,MATCH($C190,'M_区分'!$A$4:$A$20,0)),"○")="○",$G190-$E190+1,0))</f>
        <v/>
      </c>
    </row>
    <row r="191">
      <c r="A191" s="8">
        <f>IF($E191="","","SS-"&amp;TEXT(ROW()-4,"0000"))</f>
        <v/>
      </c>
      <c r="B191" s="9" t="n"/>
      <c r="C191" s="9" t="n"/>
      <c r="D191" s="9" t="n"/>
      <c r="E191" s="10" t="n"/>
      <c r="F191" s="11" t="n"/>
      <c r="G191" s="10" t="n"/>
      <c r="H191" s="11" t="n"/>
      <c r="I191" s="8">
        <f>IF(OR($E191="",$G191=""),"",$G191-$E191+1)</f>
        <v/>
      </c>
      <c r="J191" s="8">
        <f>IF(OR($E191="",$G191=""),"",$G191-$E191)</f>
        <v/>
      </c>
      <c r="K191" s="9" t="n"/>
      <c r="L191" s="9" t="n"/>
      <c r="M191" s="9" t="n"/>
      <c r="N191" s="9" t="n"/>
      <c r="O191" s="9" t="n"/>
      <c r="P191" s="9" t="n"/>
      <c r="Q191" s="10" t="n"/>
      <c r="R191" s="9" t="n"/>
      <c r="S191" s="8">
        <f>IF($D191="","",IF(COUNTIF('M_部屋'!$A$4:$A$20,$D191)=0,"⚠部屋が未登録",IF(OR($E191="",$G191="",$K191="キャンセル"),"",IF(SUMPRODUCT(($D$5:$D$204=$D191)*($E$5:$E$204&lt;&gt;"")*($G$5:$G$204&lt;&gt;"")*($K$5:$K$204&lt;&gt;"キャンセル")*($E$5:$E$204&lt;$G191)*($G$5:$G$204&gt;$E191))&gt;1,"⚠重複",""))))</f>
        <v/>
      </c>
      <c r="T191" s="8">
        <f>IF(OR($B191="",$E191=""),"",IF(SUMPRODUCT(('M_利用者'!$A$4:$A$60=$B191)*('M_利用者'!$B$4:$B$60&lt;&gt;""))=0,"",IF(SUMIFS($U$5:$U$204,$B$5:$B$204,$B191,$E$5:$E$204,"&gt;="&amp;DATE(YEAR($E191),MONTH($E191),1),$E$5:$E$204,"&lt;="&amp;EOMONTH($E191,0))&gt;SUMIFS('M_利用者'!$B$4:$B$60,'M_利用者'!$A$4:$A$60,$B191),"⚠支給量超過","")))</f>
        <v/>
      </c>
      <c r="U191" s="8">
        <f>IF(OR($E191="",$G191="",$K191="キャンセル"),0,IF(IFERROR(INDEX('M_区分'!$B$4:$B$20,MATCH($C191,'M_区分'!$A$4:$A$20,0)),"○")="○",$G191-$E191+1,0))</f>
        <v/>
      </c>
    </row>
    <row r="192">
      <c r="A192" s="8">
        <f>IF($E192="","","SS-"&amp;TEXT(ROW()-4,"0000"))</f>
        <v/>
      </c>
      <c r="B192" s="9" t="n"/>
      <c r="C192" s="9" t="n"/>
      <c r="D192" s="9" t="n"/>
      <c r="E192" s="10" t="n"/>
      <c r="F192" s="11" t="n"/>
      <c r="G192" s="10" t="n"/>
      <c r="H192" s="11" t="n"/>
      <c r="I192" s="8">
        <f>IF(OR($E192="",$G192=""),"",$G192-$E192+1)</f>
        <v/>
      </c>
      <c r="J192" s="8">
        <f>IF(OR($E192="",$G192=""),"",$G192-$E192)</f>
        <v/>
      </c>
      <c r="K192" s="9" t="n"/>
      <c r="L192" s="9" t="n"/>
      <c r="M192" s="9" t="n"/>
      <c r="N192" s="9" t="n"/>
      <c r="O192" s="9" t="n"/>
      <c r="P192" s="9" t="n"/>
      <c r="Q192" s="10" t="n"/>
      <c r="R192" s="9" t="n"/>
      <c r="S192" s="8">
        <f>IF($D192="","",IF(COUNTIF('M_部屋'!$A$4:$A$20,$D192)=0,"⚠部屋が未登録",IF(OR($E192="",$G192="",$K192="キャンセル"),"",IF(SUMPRODUCT(($D$5:$D$204=$D192)*($E$5:$E$204&lt;&gt;"")*($G$5:$G$204&lt;&gt;"")*($K$5:$K$204&lt;&gt;"キャンセル")*($E$5:$E$204&lt;$G192)*($G$5:$G$204&gt;$E192))&gt;1,"⚠重複",""))))</f>
        <v/>
      </c>
      <c r="T192" s="8">
        <f>IF(OR($B192="",$E192=""),"",IF(SUMPRODUCT(('M_利用者'!$A$4:$A$60=$B192)*('M_利用者'!$B$4:$B$60&lt;&gt;""))=0,"",IF(SUMIFS($U$5:$U$204,$B$5:$B$204,$B192,$E$5:$E$204,"&gt;="&amp;DATE(YEAR($E192),MONTH($E192),1),$E$5:$E$204,"&lt;="&amp;EOMONTH($E192,0))&gt;SUMIFS('M_利用者'!$B$4:$B$60,'M_利用者'!$A$4:$A$60,$B192),"⚠支給量超過","")))</f>
        <v/>
      </c>
      <c r="U192" s="8">
        <f>IF(OR($E192="",$G192="",$K192="キャンセル"),0,IF(IFERROR(INDEX('M_区分'!$B$4:$B$20,MATCH($C192,'M_区分'!$A$4:$A$20,0)),"○")="○",$G192-$E192+1,0))</f>
        <v/>
      </c>
    </row>
    <row r="193">
      <c r="A193" s="8">
        <f>IF($E193="","","SS-"&amp;TEXT(ROW()-4,"0000"))</f>
        <v/>
      </c>
      <c r="B193" s="9" t="n"/>
      <c r="C193" s="9" t="n"/>
      <c r="D193" s="9" t="n"/>
      <c r="E193" s="10" t="n"/>
      <c r="F193" s="11" t="n"/>
      <c r="G193" s="10" t="n"/>
      <c r="H193" s="11" t="n"/>
      <c r="I193" s="8">
        <f>IF(OR($E193="",$G193=""),"",$G193-$E193+1)</f>
        <v/>
      </c>
      <c r="J193" s="8">
        <f>IF(OR($E193="",$G193=""),"",$G193-$E193)</f>
        <v/>
      </c>
      <c r="K193" s="9" t="n"/>
      <c r="L193" s="9" t="n"/>
      <c r="M193" s="9" t="n"/>
      <c r="N193" s="9" t="n"/>
      <c r="O193" s="9" t="n"/>
      <c r="P193" s="9" t="n"/>
      <c r="Q193" s="10" t="n"/>
      <c r="R193" s="9" t="n"/>
      <c r="S193" s="8">
        <f>IF($D193="","",IF(COUNTIF('M_部屋'!$A$4:$A$20,$D193)=0,"⚠部屋が未登録",IF(OR($E193="",$G193="",$K193="キャンセル"),"",IF(SUMPRODUCT(($D$5:$D$204=$D193)*($E$5:$E$204&lt;&gt;"")*($G$5:$G$204&lt;&gt;"")*($K$5:$K$204&lt;&gt;"キャンセル")*($E$5:$E$204&lt;$G193)*($G$5:$G$204&gt;$E193))&gt;1,"⚠重複",""))))</f>
        <v/>
      </c>
      <c r="T193" s="8">
        <f>IF(OR($B193="",$E193=""),"",IF(SUMPRODUCT(('M_利用者'!$A$4:$A$60=$B193)*('M_利用者'!$B$4:$B$60&lt;&gt;""))=0,"",IF(SUMIFS($U$5:$U$204,$B$5:$B$204,$B193,$E$5:$E$204,"&gt;="&amp;DATE(YEAR($E193),MONTH($E193),1),$E$5:$E$204,"&lt;="&amp;EOMONTH($E193,0))&gt;SUMIFS('M_利用者'!$B$4:$B$60,'M_利用者'!$A$4:$A$60,$B193),"⚠支給量超過","")))</f>
        <v/>
      </c>
      <c r="U193" s="8">
        <f>IF(OR($E193="",$G193="",$K193="キャンセル"),0,IF(IFERROR(INDEX('M_区分'!$B$4:$B$20,MATCH($C193,'M_区分'!$A$4:$A$20,0)),"○")="○",$G193-$E193+1,0))</f>
        <v/>
      </c>
    </row>
    <row r="194">
      <c r="A194" s="8">
        <f>IF($E194="","","SS-"&amp;TEXT(ROW()-4,"0000"))</f>
        <v/>
      </c>
      <c r="B194" s="9" t="n"/>
      <c r="C194" s="9" t="n"/>
      <c r="D194" s="9" t="n"/>
      <c r="E194" s="10" t="n"/>
      <c r="F194" s="11" t="n"/>
      <c r="G194" s="10" t="n"/>
      <c r="H194" s="11" t="n"/>
      <c r="I194" s="8">
        <f>IF(OR($E194="",$G194=""),"",$G194-$E194+1)</f>
        <v/>
      </c>
      <c r="J194" s="8">
        <f>IF(OR($E194="",$G194=""),"",$G194-$E194)</f>
        <v/>
      </c>
      <c r="K194" s="9" t="n"/>
      <c r="L194" s="9" t="n"/>
      <c r="M194" s="9" t="n"/>
      <c r="N194" s="9" t="n"/>
      <c r="O194" s="9" t="n"/>
      <c r="P194" s="9" t="n"/>
      <c r="Q194" s="10" t="n"/>
      <c r="R194" s="9" t="n"/>
      <c r="S194" s="8">
        <f>IF($D194="","",IF(COUNTIF('M_部屋'!$A$4:$A$20,$D194)=0,"⚠部屋が未登録",IF(OR($E194="",$G194="",$K194="キャンセル"),"",IF(SUMPRODUCT(($D$5:$D$204=$D194)*($E$5:$E$204&lt;&gt;"")*($G$5:$G$204&lt;&gt;"")*($K$5:$K$204&lt;&gt;"キャンセル")*($E$5:$E$204&lt;$G194)*($G$5:$G$204&gt;$E194))&gt;1,"⚠重複",""))))</f>
        <v/>
      </c>
      <c r="T194" s="8">
        <f>IF(OR($B194="",$E194=""),"",IF(SUMPRODUCT(('M_利用者'!$A$4:$A$60=$B194)*('M_利用者'!$B$4:$B$60&lt;&gt;""))=0,"",IF(SUMIFS($U$5:$U$204,$B$5:$B$204,$B194,$E$5:$E$204,"&gt;="&amp;DATE(YEAR($E194),MONTH($E194),1),$E$5:$E$204,"&lt;="&amp;EOMONTH($E194,0))&gt;SUMIFS('M_利用者'!$B$4:$B$60,'M_利用者'!$A$4:$A$60,$B194),"⚠支給量超過","")))</f>
        <v/>
      </c>
      <c r="U194" s="8">
        <f>IF(OR($E194="",$G194="",$K194="キャンセル"),0,IF(IFERROR(INDEX('M_区分'!$B$4:$B$20,MATCH($C194,'M_区分'!$A$4:$A$20,0)),"○")="○",$G194-$E194+1,0))</f>
        <v/>
      </c>
    </row>
    <row r="195">
      <c r="A195" s="8">
        <f>IF($E195="","","SS-"&amp;TEXT(ROW()-4,"0000"))</f>
        <v/>
      </c>
      <c r="B195" s="9" t="n"/>
      <c r="C195" s="9" t="n"/>
      <c r="D195" s="9" t="n"/>
      <c r="E195" s="10" t="n"/>
      <c r="F195" s="11" t="n"/>
      <c r="G195" s="10" t="n"/>
      <c r="H195" s="11" t="n"/>
      <c r="I195" s="8">
        <f>IF(OR($E195="",$G195=""),"",$G195-$E195+1)</f>
        <v/>
      </c>
      <c r="J195" s="8">
        <f>IF(OR($E195="",$G195=""),"",$G195-$E195)</f>
        <v/>
      </c>
      <c r="K195" s="9" t="n"/>
      <c r="L195" s="9" t="n"/>
      <c r="M195" s="9" t="n"/>
      <c r="N195" s="9" t="n"/>
      <c r="O195" s="9" t="n"/>
      <c r="P195" s="9" t="n"/>
      <c r="Q195" s="10" t="n"/>
      <c r="R195" s="9" t="n"/>
      <c r="S195" s="8">
        <f>IF($D195="","",IF(COUNTIF('M_部屋'!$A$4:$A$20,$D195)=0,"⚠部屋が未登録",IF(OR($E195="",$G195="",$K195="キャンセル"),"",IF(SUMPRODUCT(($D$5:$D$204=$D195)*($E$5:$E$204&lt;&gt;"")*($G$5:$G$204&lt;&gt;"")*($K$5:$K$204&lt;&gt;"キャンセル")*($E$5:$E$204&lt;$G195)*($G$5:$G$204&gt;$E195))&gt;1,"⚠重複",""))))</f>
        <v/>
      </c>
      <c r="T195" s="8">
        <f>IF(OR($B195="",$E195=""),"",IF(SUMPRODUCT(('M_利用者'!$A$4:$A$60=$B195)*('M_利用者'!$B$4:$B$60&lt;&gt;""))=0,"",IF(SUMIFS($U$5:$U$204,$B$5:$B$204,$B195,$E$5:$E$204,"&gt;="&amp;DATE(YEAR($E195),MONTH($E195),1),$E$5:$E$204,"&lt;="&amp;EOMONTH($E195,0))&gt;SUMIFS('M_利用者'!$B$4:$B$60,'M_利用者'!$A$4:$A$60,$B195),"⚠支給量超過","")))</f>
        <v/>
      </c>
      <c r="U195" s="8">
        <f>IF(OR($E195="",$G195="",$K195="キャンセル"),0,IF(IFERROR(INDEX('M_区分'!$B$4:$B$20,MATCH($C195,'M_区分'!$A$4:$A$20,0)),"○")="○",$G195-$E195+1,0))</f>
        <v/>
      </c>
    </row>
    <row r="196">
      <c r="A196" s="8">
        <f>IF($E196="","","SS-"&amp;TEXT(ROW()-4,"0000"))</f>
        <v/>
      </c>
      <c r="B196" s="9" t="n"/>
      <c r="C196" s="9" t="n"/>
      <c r="D196" s="9" t="n"/>
      <c r="E196" s="10" t="n"/>
      <c r="F196" s="11" t="n"/>
      <c r="G196" s="10" t="n"/>
      <c r="H196" s="11" t="n"/>
      <c r="I196" s="8">
        <f>IF(OR($E196="",$G196=""),"",$G196-$E196+1)</f>
        <v/>
      </c>
      <c r="J196" s="8">
        <f>IF(OR($E196="",$G196=""),"",$G196-$E196)</f>
        <v/>
      </c>
      <c r="K196" s="9" t="n"/>
      <c r="L196" s="9" t="n"/>
      <c r="M196" s="9" t="n"/>
      <c r="N196" s="9" t="n"/>
      <c r="O196" s="9" t="n"/>
      <c r="P196" s="9" t="n"/>
      <c r="Q196" s="10" t="n"/>
      <c r="R196" s="9" t="n"/>
      <c r="S196" s="8">
        <f>IF($D196="","",IF(COUNTIF('M_部屋'!$A$4:$A$20,$D196)=0,"⚠部屋が未登録",IF(OR($E196="",$G196="",$K196="キャンセル"),"",IF(SUMPRODUCT(($D$5:$D$204=$D196)*($E$5:$E$204&lt;&gt;"")*($G$5:$G$204&lt;&gt;"")*($K$5:$K$204&lt;&gt;"キャンセル")*($E$5:$E$204&lt;$G196)*($G$5:$G$204&gt;$E196))&gt;1,"⚠重複",""))))</f>
        <v/>
      </c>
      <c r="T196" s="8">
        <f>IF(OR($B196="",$E196=""),"",IF(SUMPRODUCT(('M_利用者'!$A$4:$A$60=$B196)*('M_利用者'!$B$4:$B$60&lt;&gt;""))=0,"",IF(SUMIFS($U$5:$U$204,$B$5:$B$204,$B196,$E$5:$E$204,"&gt;="&amp;DATE(YEAR($E196),MONTH($E196),1),$E$5:$E$204,"&lt;="&amp;EOMONTH($E196,0))&gt;SUMIFS('M_利用者'!$B$4:$B$60,'M_利用者'!$A$4:$A$60,$B196),"⚠支給量超過","")))</f>
        <v/>
      </c>
      <c r="U196" s="8">
        <f>IF(OR($E196="",$G196="",$K196="キャンセル"),0,IF(IFERROR(INDEX('M_区分'!$B$4:$B$20,MATCH($C196,'M_区分'!$A$4:$A$20,0)),"○")="○",$G196-$E196+1,0))</f>
        <v/>
      </c>
    </row>
    <row r="197">
      <c r="A197" s="8">
        <f>IF($E197="","","SS-"&amp;TEXT(ROW()-4,"0000"))</f>
        <v/>
      </c>
      <c r="B197" s="9" t="n"/>
      <c r="C197" s="9" t="n"/>
      <c r="D197" s="9" t="n"/>
      <c r="E197" s="10" t="n"/>
      <c r="F197" s="11" t="n"/>
      <c r="G197" s="10" t="n"/>
      <c r="H197" s="11" t="n"/>
      <c r="I197" s="8">
        <f>IF(OR($E197="",$G197=""),"",$G197-$E197+1)</f>
        <v/>
      </c>
      <c r="J197" s="8">
        <f>IF(OR($E197="",$G197=""),"",$G197-$E197)</f>
        <v/>
      </c>
      <c r="K197" s="9" t="n"/>
      <c r="L197" s="9" t="n"/>
      <c r="M197" s="9" t="n"/>
      <c r="N197" s="9" t="n"/>
      <c r="O197" s="9" t="n"/>
      <c r="P197" s="9" t="n"/>
      <c r="Q197" s="10" t="n"/>
      <c r="R197" s="9" t="n"/>
      <c r="S197" s="8">
        <f>IF($D197="","",IF(COUNTIF('M_部屋'!$A$4:$A$20,$D197)=0,"⚠部屋が未登録",IF(OR($E197="",$G197="",$K197="キャンセル"),"",IF(SUMPRODUCT(($D$5:$D$204=$D197)*($E$5:$E$204&lt;&gt;"")*($G$5:$G$204&lt;&gt;"")*($K$5:$K$204&lt;&gt;"キャンセル")*($E$5:$E$204&lt;$G197)*($G$5:$G$204&gt;$E197))&gt;1,"⚠重複",""))))</f>
        <v/>
      </c>
      <c r="T197" s="8">
        <f>IF(OR($B197="",$E197=""),"",IF(SUMPRODUCT(('M_利用者'!$A$4:$A$60=$B197)*('M_利用者'!$B$4:$B$60&lt;&gt;""))=0,"",IF(SUMIFS($U$5:$U$204,$B$5:$B$204,$B197,$E$5:$E$204,"&gt;="&amp;DATE(YEAR($E197),MONTH($E197),1),$E$5:$E$204,"&lt;="&amp;EOMONTH($E197,0))&gt;SUMIFS('M_利用者'!$B$4:$B$60,'M_利用者'!$A$4:$A$60,$B197),"⚠支給量超過","")))</f>
        <v/>
      </c>
      <c r="U197" s="8">
        <f>IF(OR($E197="",$G197="",$K197="キャンセル"),0,IF(IFERROR(INDEX('M_区分'!$B$4:$B$20,MATCH($C197,'M_区分'!$A$4:$A$20,0)),"○")="○",$G197-$E197+1,0))</f>
        <v/>
      </c>
    </row>
    <row r="198">
      <c r="A198" s="8">
        <f>IF($E198="","","SS-"&amp;TEXT(ROW()-4,"0000"))</f>
        <v/>
      </c>
      <c r="B198" s="9" t="n"/>
      <c r="C198" s="9" t="n"/>
      <c r="D198" s="9" t="n"/>
      <c r="E198" s="10" t="n"/>
      <c r="F198" s="11" t="n"/>
      <c r="G198" s="10" t="n"/>
      <c r="H198" s="11" t="n"/>
      <c r="I198" s="8">
        <f>IF(OR($E198="",$G198=""),"",$G198-$E198+1)</f>
        <v/>
      </c>
      <c r="J198" s="8">
        <f>IF(OR($E198="",$G198=""),"",$G198-$E198)</f>
        <v/>
      </c>
      <c r="K198" s="9" t="n"/>
      <c r="L198" s="9" t="n"/>
      <c r="M198" s="9" t="n"/>
      <c r="N198" s="9" t="n"/>
      <c r="O198" s="9" t="n"/>
      <c r="P198" s="9" t="n"/>
      <c r="Q198" s="10" t="n"/>
      <c r="R198" s="9" t="n"/>
      <c r="S198" s="8">
        <f>IF($D198="","",IF(COUNTIF('M_部屋'!$A$4:$A$20,$D198)=0,"⚠部屋が未登録",IF(OR($E198="",$G198="",$K198="キャンセル"),"",IF(SUMPRODUCT(($D$5:$D$204=$D198)*($E$5:$E$204&lt;&gt;"")*($G$5:$G$204&lt;&gt;"")*($K$5:$K$204&lt;&gt;"キャンセル")*($E$5:$E$204&lt;$G198)*($G$5:$G$204&gt;$E198))&gt;1,"⚠重複",""))))</f>
        <v/>
      </c>
      <c r="T198" s="8">
        <f>IF(OR($B198="",$E198=""),"",IF(SUMPRODUCT(('M_利用者'!$A$4:$A$60=$B198)*('M_利用者'!$B$4:$B$60&lt;&gt;""))=0,"",IF(SUMIFS($U$5:$U$204,$B$5:$B$204,$B198,$E$5:$E$204,"&gt;="&amp;DATE(YEAR($E198),MONTH($E198),1),$E$5:$E$204,"&lt;="&amp;EOMONTH($E198,0))&gt;SUMIFS('M_利用者'!$B$4:$B$60,'M_利用者'!$A$4:$A$60,$B198),"⚠支給量超過","")))</f>
        <v/>
      </c>
      <c r="U198" s="8">
        <f>IF(OR($E198="",$G198="",$K198="キャンセル"),0,IF(IFERROR(INDEX('M_区分'!$B$4:$B$20,MATCH($C198,'M_区分'!$A$4:$A$20,0)),"○")="○",$G198-$E198+1,0))</f>
        <v/>
      </c>
    </row>
    <row r="199">
      <c r="A199" s="8">
        <f>IF($E199="","","SS-"&amp;TEXT(ROW()-4,"0000"))</f>
        <v/>
      </c>
      <c r="B199" s="9" t="n"/>
      <c r="C199" s="9" t="n"/>
      <c r="D199" s="9" t="n"/>
      <c r="E199" s="10" t="n"/>
      <c r="F199" s="11" t="n"/>
      <c r="G199" s="10" t="n"/>
      <c r="H199" s="11" t="n"/>
      <c r="I199" s="8">
        <f>IF(OR($E199="",$G199=""),"",$G199-$E199+1)</f>
        <v/>
      </c>
      <c r="J199" s="8">
        <f>IF(OR($E199="",$G199=""),"",$G199-$E199)</f>
        <v/>
      </c>
      <c r="K199" s="9" t="n"/>
      <c r="L199" s="9" t="n"/>
      <c r="M199" s="9" t="n"/>
      <c r="N199" s="9" t="n"/>
      <c r="O199" s="9" t="n"/>
      <c r="P199" s="9" t="n"/>
      <c r="Q199" s="10" t="n"/>
      <c r="R199" s="9" t="n"/>
      <c r="S199" s="8">
        <f>IF($D199="","",IF(COUNTIF('M_部屋'!$A$4:$A$20,$D199)=0,"⚠部屋が未登録",IF(OR($E199="",$G199="",$K199="キャンセル"),"",IF(SUMPRODUCT(($D$5:$D$204=$D199)*($E$5:$E$204&lt;&gt;"")*($G$5:$G$204&lt;&gt;"")*($K$5:$K$204&lt;&gt;"キャンセル")*($E$5:$E$204&lt;$G199)*($G$5:$G$204&gt;$E199))&gt;1,"⚠重複",""))))</f>
        <v/>
      </c>
      <c r="T199" s="8">
        <f>IF(OR($B199="",$E199=""),"",IF(SUMPRODUCT(('M_利用者'!$A$4:$A$60=$B199)*('M_利用者'!$B$4:$B$60&lt;&gt;""))=0,"",IF(SUMIFS($U$5:$U$204,$B$5:$B$204,$B199,$E$5:$E$204,"&gt;="&amp;DATE(YEAR($E199),MONTH($E199),1),$E$5:$E$204,"&lt;="&amp;EOMONTH($E199,0))&gt;SUMIFS('M_利用者'!$B$4:$B$60,'M_利用者'!$A$4:$A$60,$B199),"⚠支給量超過","")))</f>
        <v/>
      </c>
      <c r="U199" s="8">
        <f>IF(OR($E199="",$G199="",$K199="キャンセル"),0,IF(IFERROR(INDEX('M_区分'!$B$4:$B$20,MATCH($C199,'M_区分'!$A$4:$A$20,0)),"○")="○",$G199-$E199+1,0))</f>
        <v/>
      </c>
    </row>
    <row r="200">
      <c r="A200" s="8">
        <f>IF($E200="","","SS-"&amp;TEXT(ROW()-4,"0000"))</f>
        <v/>
      </c>
      <c r="B200" s="9" t="n"/>
      <c r="C200" s="9" t="n"/>
      <c r="D200" s="9" t="n"/>
      <c r="E200" s="10" t="n"/>
      <c r="F200" s="11" t="n"/>
      <c r="G200" s="10" t="n"/>
      <c r="H200" s="11" t="n"/>
      <c r="I200" s="8">
        <f>IF(OR($E200="",$G200=""),"",$G200-$E200+1)</f>
        <v/>
      </c>
      <c r="J200" s="8">
        <f>IF(OR($E200="",$G200=""),"",$G200-$E200)</f>
        <v/>
      </c>
      <c r="K200" s="9" t="n"/>
      <c r="L200" s="9" t="n"/>
      <c r="M200" s="9" t="n"/>
      <c r="N200" s="9" t="n"/>
      <c r="O200" s="9" t="n"/>
      <c r="P200" s="9" t="n"/>
      <c r="Q200" s="10" t="n"/>
      <c r="R200" s="9" t="n"/>
      <c r="S200" s="8">
        <f>IF($D200="","",IF(COUNTIF('M_部屋'!$A$4:$A$20,$D200)=0,"⚠部屋が未登録",IF(OR($E200="",$G200="",$K200="キャンセル"),"",IF(SUMPRODUCT(($D$5:$D$204=$D200)*($E$5:$E$204&lt;&gt;"")*($G$5:$G$204&lt;&gt;"")*($K$5:$K$204&lt;&gt;"キャンセル")*($E$5:$E$204&lt;$G200)*($G$5:$G$204&gt;$E200))&gt;1,"⚠重複",""))))</f>
        <v/>
      </c>
      <c r="T200" s="8">
        <f>IF(OR($B200="",$E200=""),"",IF(SUMPRODUCT(('M_利用者'!$A$4:$A$60=$B200)*('M_利用者'!$B$4:$B$60&lt;&gt;""))=0,"",IF(SUMIFS($U$5:$U$204,$B$5:$B$204,$B200,$E$5:$E$204,"&gt;="&amp;DATE(YEAR($E200),MONTH($E200),1),$E$5:$E$204,"&lt;="&amp;EOMONTH($E200,0))&gt;SUMIFS('M_利用者'!$B$4:$B$60,'M_利用者'!$A$4:$A$60,$B200),"⚠支給量超過","")))</f>
        <v/>
      </c>
      <c r="U200" s="8">
        <f>IF(OR($E200="",$G200="",$K200="キャンセル"),0,IF(IFERROR(INDEX('M_区分'!$B$4:$B$20,MATCH($C200,'M_区分'!$A$4:$A$20,0)),"○")="○",$G200-$E200+1,0))</f>
        <v/>
      </c>
    </row>
    <row r="201">
      <c r="A201" s="8">
        <f>IF($E201="","","SS-"&amp;TEXT(ROW()-4,"0000"))</f>
        <v/>
      </c>
      <c r="B201" s="9" t="n"/>
      <c r="C201" s="9" t="n"/>
      <c r="D201" s="9" t="n"/>
      <c r="E201" s="10" t="n"/>
      <c r="F201" s="11" t="n"/>
      <c r="G201" s="10" t="n"/>
      <c r="H201" s="11" t="n"/>
      <c r="I201" s="8">
        <f>IF(OR($E201="",$G201=""),"",$G201-$E201+1)</f>
        <v/>
      </c>
      <c r="J201" s="8">
        <f>IF(OR($E201="",$G201=""),"",$G201-$E201)</f>
        <v/>
      </c>
      <c r="K201" s="9" t="n"/>
      <c r="L201" s="9" t="n"/>
      <c r="M201" s="9" t="n"/>
      <c r="N201" s="9" t="n"/>
      <c r="O201" s="9" t="n"/>
      <c r="P201" s="9" t="n"/>
      <c r="Q201" s="10" t="n"/>
      <c r="R201" s="9" t="n"/>
      <c r="S201" s="8">
        <f>IF($D201="","",IF(COUNTIF('M_部屋'!$A$4:$A$20,$D201)=0,"⚠部屋が未登録",IF(OR($E201="",$G201="",$K201="キャンセル"),"",IF(SUMPRODUCT(($D$5:$D$204=$D201)*($E$5:$E$204&lt;&gt;"")*($G$5:$G$204&lt;&gt;"")*($K$5:$K$204&lt;&gt;"キャンセル")*($E$5:$E$204&lt;$G201)*($G$5:$G$204&gt;$E201))&gt;1,"⚠重複",""))))</f>
        <v/>
      </c>
      <c r="T201" s="8">
        <f>IF(OR($B201="",$E201=""),"",IF(SUMPRODUCT(('M_利用者'!$A$4:$A$60=$B201)*('M_利用者'!$B$4:$B$60&lt;&gt;""))=0,"",IF(SUMIFS($U$5:$U$204,$B$5:$B$204,$B201,$E$5:$E$204,"&gt;="&amp;DATE(YEAR($E201),MONTH($E201),1),$E$5:$E$204,"&lt;="&amp;EOMONTH($E201,0))&gt;SUMIFS('M_利用者'!$B$4:$B$60,'M_利用者'!$A$4:$A$60,$B201),"⚠支給量超過","")))</f>
        <v/>
      </c>
      <c r="U201" s="8">
        <f>IF(OR($E201="",$G201="",$K201="キャンセル"),0,IF(IFERROR(INDEX('M_区分'!$B$4:$B$20,MATCH($C201,'M_区分'!$A$4:$A$20,0)),"○")="○",$G201-$E201+1,0))</f>
        <v/>
      </c>
    </row>
    <row r="202">
      <c r="A202" s="8">
        <f>IF($E202="","","SS-"&amp;TEXT(ROW()-4,"0000"))</f>
        <v/>
      </c>
      <c r="B202" s="9" t="n"/>
      <c r="C202" s="9" t="n"/>
      <c r="D202" s="9" t="n"/>
      <c r="E202" s="10" t="n"/>
      <c r="F202" s="11" t="n"/>
      <c r="G202" s="10" t="n"/>
      <c r="H202" s="11" t="n"/>
      <c r="I202" s="8">
        <f>IF(OR($E202="",$G202=""),"",$G202-$E202+1)</f>
        <v/>
      </c>
      <c r="J202" s="8">
        <f>IF(OR($E202="",$G202=""),"",$G202-$E202)</f>
        <v/>
      </c>
      <c r="K202" s="9" t="n"/>
      <c r="L202" s="9" t="n"/>
      <c r="M202" s="9" t="n"/>
      <c r="N202" s="9" t="n"/>
      <c r="O202" s="9" t="n"/>
      <c r="P202" s="9" t="n"/>
      <c r="Q202" s="10" t="n"/>
      <c r="R202" s="9" t="n"/>
      <c r="S202" s="8">
        <f>IF($D202="","",IF(COUNTIF('M_部屋'!$A$4:$A$20,$D202)=0,"⚠部屋が未登録",IF(OR($E202="",$G202="",$K202="キャンセル"),"",IF(SUMPRODUCT(($D$5:$D$204=$D202)*($E$5:$E$204&lt;&gt;"")*($G$5:$G$204&lt;&gt;"")*($K$5:$K$204&lt;&gt;"キャンセル")*($E$5:$E$204&lt;$G202)*($G$5:$G$204&gt;$E202))&gt;1,"⚠重複",""))))</f>
        <v/>
      </c>
      <c r="T202" s="8">
        <f>IF(OR($B202="",$E202=""),"",IF(SUMPRODUCT(('M_利用者'!$A$4:$A$60=$B202)*('M_利用者'!$B$4:$B$60&lt;&gt;""))=0,"",IF(SUMIFS($U$5:$U$204,$B$5:$B$204,$B202,$E$5:$E$204,"&gt;="&amp;DATE(YEAR($E202),MONTH($E202),1),$E$5:$E$204,"&lt;="&amp;EOMONTH($E202,0))&gt;SUMIFS('M_利用者'!$B$4:$B$60,'M_利用者'!$A$4:$A$60,$B202),"⚠支給量超過","")))</f>
        <v/>
      </c>
      <c r="U202" s="8">
        <f>IF(OR($E202="",$G202="",$K202="キャンセル"),0,IF(IFERROR(INDEX('M_区分'!$B$4:$B$20,MATCH($C202,'M_区分'!$A$4:$A$20,0)),"○")="○",$G202-$E202+1,0))</f>
        <v/>
      </c>
    </row>
    <row r="203">
      <c r="A203" s="8">
        <f>IF($E203="","","SS-"&amp;TEXT(ROW()-4,"0000"))</f>
        <v/>
      </c>
      <c r="B203" s="9" t="n"/>
      <c r="C203" s="9" t="n"/>
      <c r="D203" s="9" t="n"/>
      <c r="E203" s="10" t="n"/>
      <c r="F203" s="11" t="n"/>
      <c r="G203" s="10" t="n"/>
      <c r="H203" s="11" t="n"/>
      <c r="I203" s="8">
        <f>IF(OR($E203="",$G203=""),"",$G203-$E203+1)</f>
        <v/>
      </c>
      <c r="J203" s="8">
        <f>IF(OR($E203="",$G203=""),"",$G203-$E203)</f>
        <v/>
      </c>
      <c r="K203" s="9" t="n"/>
      <c r="L203" s="9" t="n"/>
      <c r="M203" s="9" t="n"/>
      <c r="N203" s="9" t="n"/>
      <c r="O203" s="9" t="n"/>
      <c r="P203" s="9" t="n"/>
      <c r="Q203" s="10" t="n"/>
      <c r="R203" s="9" t="n"/>
      <c r="S203" s="8">
        <f>IF($D203="","",IF(COUNTIF('M_部屋'!$A$4:$A$20,$D203)=0,"⚠部屋が未登録",IF(OR($E203="",$G203="",$K203="キャンセル"),"",IF(SUMPRODUCT(($D$5:$D$204=$D203)*($E$5:$E$204&lt;&gt;"")*($G$5:$G$204&lt;&gt;"")*($K$5:$K$204&lt;&gt;"キャンセル")*($E$5:$E$204&lt;$G203)*($G$5:$G$204&gt;$E203))&gt;1,"⚠重複",""))))</f>
        <v/>
      </c>
      <c r="T203" s="8">
        <f>IF(OR($B203="",$E203=""),"",IF(SUMPRODUCT(('M_利用者'!$A$4:$A$60=$B203)*('M_利用者'!$B$4:$B$60&lt;&gt;""))=0,"",IF(SUMIFS($U$5:$U$204,$B$5:$B$204,$B203,$E$5:$E$204,"&gt;="&amp;DATE(YEAR($E203),MONTH($E203),1),$E$5:$E$204,"&lt;="&amp;EOMONTH($E203,0))&gt;SUMIFS('M_利用者'!$B$4:$B$60,'M_利用者'!$A$4:$A$60,$B203),"⚠支給量超過","")))</f>
        <v/>
      </c>
      <c r="U203" s="8">
        <f>IF(OR($E203="",$G203="",$K203="キャンセル"),0,IF(IFERROR(INDEX('M_区分'!$B$4:$B$20,MATCH($C203,'M_区分'!$A$4:$A$20,0)),"○")="○",$G203-$E203+1,0))</f>
        <v/>
      </c>
    </row>
    <row r="204">
      <c r="A204" s="8">
        <f>IF($E204="","","SS-"&amp;TEXT(ROW()-4,"0000"))</f>
        <v/>
      </c>
      <c r="B204" s="9" t="n"/>
      <c r="C204" s="9" t="n"/>
      <c r="D204" s="9" t="n"/>
      <c r="E204" s="10" t="n"/>
      <c r="F204" s="11" t="n"/>
      <c r="G204" s="10" t="n"/>
      <c r="H204" s="11" t="n"/>
      <c r="I204" s="8">
        <f>IF(OR($E204="",$G204=""),"",$G204-$E204+1)</f>
        <v/>
      </c>
      <c r="J204" s="8">
        <f>IF(OR($E204="",$G204=""),"",$G204-$E204)</f>
        <v/>
      </c>
      <c r="K204" s="9" t="n"/>
      <c r="L204" s="9" t="n"/>
      <c r="M204" s="9" t="n"/>
      <c r="N204" s="9" t="n"/>
      <c r="O204" s="9" t="n"/>
      <c r="P204" s="9" t="n"/>
      <c r="Q204" s="10" t="n"/>
      <c r="R204" s="9" t="n"/>
      <c r="S204" s="8">
        <f>IF($D204="","",IF(COUNTIF('M_部屋'!$A$4:$A$20,$D204)=0,"⚠部屋が未登録",IF(OR($E204="",$G204="",$K204="キャンセル"),"",IF(SUMPRODUCT(($D$5:$D$204=$D204)*($E$5:$E$204&lt;&gt;"")*($G$5:$G$204&lt;&gt;"")*($K$5:$K$204&lt;&gt;"キャンセル")*($E$5:$E$204&lt;$G204)*($G$5:$G$204&gt;$E204))&gt;1,"⚠重複",""))))</f>
        <v/>
      </c>
      <c r="T204" s="8">
        <f>IF(OR($B204="",$E204=""),"",IF(SUMPRODUCT(('M_利用者'!$A$4:$A$60=$B204)*('M_利用者'!$B$4:$B$60&lt;&gt;""))=0,"",IF(SUMIFS($U$5:$U$204,$B$5:$B$204,$B204,$E$5:$E$204,"&gt;="&amp;DATE(YEAR($E204),MONTH($E204),1),$E$5:$E$204,"&lt;="&amp;EOMONTH($E204,0))&gt;SUMIFS('M_利用者'!$B$4:$B$60,'M_利用者'!$A$4:$A$60,$B204),"⚠支給量超過","")))</f>
        <v/>
      </c>
      <c r="U204" s="8">
        <f>IF(OR($E204="",$G204="",$K204="キャンセル"),0,IF(IFERROR(INDEX('M_区分'!$B$4:$B$20,MATCH($C204,'M_区分'!$A$4:$A$20,0)),"○")="○",$G204-$E204+1,0))</f>
        <v/>
      </c>
    </row>
  </sheetData>
  <autoFilter ref="A4:U204"/>
  <conditionalFormatting sqref="A5:U204">
    <cfRule type="expression" priority="1" dxfId="0" stopIfTrue="1">
      <formula>$K5="キャンセル"</formula>
    </cfRule>
    <cfRule type="expression" priority="2" dxfId="1" stopIfTrue="1">
      <formula>$S5&lt;&gt;""</formula>
    </cfRule>
    <cfRule type="expression" priority="3" dxfId="2" stopIfTrue="1">
      <formula>$T5&lt;&gt;""</formula>
    </cfRule>
    <cfRule type="expression" priority="4" dxfId="3">
      <formula>OR($K5="仮予約",$K5="調整中")</formula>
    </cfRule>
  </conditionalFormatting>
  <dataValidations count="5">
    <dataValidation sqref="B5:B204" showDropDown="0" showInputMessage="0" showErrorMessage="0" allowBlank="1" errorTitle="入力できません" error="一覧にない値です。マスタに登録してから選んでください。" type="list">
      <formula1>=氏名一覧</formula1>
    </dataValidation>
    <dataValidation sqref="C5:C204" showDropDown="0" showInputMessage="0" showErrorMessage="0" allowBlank="1" errorTitle="入力できません" error="一覧にない値です。マスタに登録してから選んでください。" type="list">
      <formula1>=区分一覧</formula1>
    </dataValidation>
    <dataValidation sqref="D5:D204" showDropDown="0" showInputMessage="0" showErrorMessage="0" allowBlank="1" errorTitle="入力できません" error="一覧にない値です。マスタに登録してから選んでください。" type="list">
      <formula1>=部屋一覧</formula1>
    </dataValidation>
    <dataValidation sqref="K5:K204" showDropDown="0" showInputMessage="0" showErrorMessage="0" allowBlank="1" errorTitle="入力できません" error="一覧にない値です。マスタに登録してから選んでください。" type="list">
      <formula1>=状態一覧</formula1>
    </dataValidation>
    <dataValidation sqref="L5:L204" showDropDown="0" showInputMessage="0" showErrorMessage="0" allowBlank="1" errorTitle="入力できません" error="一覧にない値です。マスタに登録してから選んでください。" type="list">
      <formula1>=送迎一覧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8" customWidth="1" min="3" max="3"/>
    <col width="18" customWidth="1" min="4" max="4"/>
    <col width="18" customWidth="1" min="5" max="5"/>
    <col width="18" customWidth="1" min="6" max="6"/>
    <col width="9" customWidth="1" min="7" max="7"/>
    <col width="9" customWidth="1" min="8" max="8"/>
    <col width="9" customWidth="1" min="9" max="9"/>
    <col width="11" customWidth="1" min="10" max="10"/>
    <col width="9" customWidth="1" min="11" max="11"/>
  </cols>
  <sheetData>
    <row r="1">
      <c r="A1" s="1" t="inlineStr">
        <is>
          <t>月間表（誰が・どの部屋に泊まるか）</t>
        </is>
      </c>
    </row>
    <row r="2">
      <c r="A2" s="2" t="inlineStr">
        <is>
          <t>★対象月はこのシートで指定します。04_食数表 と 07_FAX空き表 も同じ月を表示します。</t>
        </is>
      </c>
    </row>
    <row r="3">
      <c r="A3" s="12" t="inlineStr">
        <is>
          <t>対象月</t>
        </is>
      </c>
      <c r="B3" s="13" t="n">
        <v>46113</v>
      </c>
      <c r="C3" s="2" t="inlineStr">
        <is>
          <t>その月の日付ならどれでも可（1日でなくてもかまいません）</t>
        </is>
      </c>
    </row>
    <row r="4">
      <c r="A4" s="12" t="inlineStr">
        <is>
          <t>月初</t>
        </is>
      </c>
      <c r="B4" s="14">
        <f>DATE(YEAR($B$3),MONTH($B$3),1)</f>
        <v/>
      </c>
      <c r="C4" s="2" t="inlineStr">
        <is>
          <t>自動</t>
        </is>
      </c>
    </row>
    <row r="6" ht="30" customHeight="1">
      <c r="A6" s="7" t="inlineStr">
        <is>
          <t>日付</t>
        </is>
      </c>
      <c r="B6" s="7" t="inlineStr">
        <is>
          <t>曜日</t>
        </is>
      </c>
      <c r="C6" s="7">
        <f>IF(COUNTA('M_部屋'!$A$4:$A$20)&gt;=1,INDEX('M_部屋'!$A$4:$A$20,1),"")</f>
        <v/>
      </c>
      <c r="D6" s="7">
        <f>IF(COUNTA('M_部屋'!$A$4:$A$20)&gt;=2,INDEX('M_部屋'!$A$4:$A$20,2),"")</f>
        <v/>
      </c>
      <c r="E6" s="7">
        <f>IF(COUNTA('M_部屋'!$A$4:$A$20)&gt;=3,INDEX('M_部屋'!$A$4:$A$20,3),"")</f>
        <v/>
      </c>
      <c r="F6" s="7">
        <f>IF(COUNTA('M_部屋'!$A$4:$A$20)&gt;=4,INDEX('M_部屋'!$A$4:$A$20,4),"")</f>
        <v/>
      </c>
      <c r="G6" s="7" t="inlineStr">
        <is>
          <t>使用室数</t>
        </is>
      </c>
      <c r="H6" s="7" t="inlineStr">
        <is>
          <t>空室数</t>
        </is>
      </c>
      <c r="I6" s="7" t="inlineStr">
        <is>
          <t>仮予約</t>
        </is>
      </c>
      <c r="J6" s="7" t="inlineStr">
        <is>
          <t>空き記号</t>
        </is>
      </c>
      <c r="K6" s="7" t="inlineStr">
        <is>
          <t>日帰り</t>
        </is>
      </c>
    </row>
    <row r="7">
      <c r="A7" s="15">
        <f>IF(MONTH($B$4+0)&lt;&gt;MONTH($B$4),"",$B$4+0)</f>
        <v/>
      </c>
      <c r="B7" s="16">
        <f>IF($A7="","",MID("日月火水木金土",WEEKDAY($A7),1))</f>
        <v/>
      </c>
      <c r="C7" s="17">
        <f>IF(OR($A7="",C$6=""),"",IF(SUMPRODUCT(MAX(('01_予約入力'!$D$5:$D$204=C$6)*('01_予約入力'!$K$5:$K$204&lt;&gt;"キャンセル")*('01_予約入力'!$E$5:$E$204&lt;&gt;"")*('01_予約入力'!$E$5:$E$204&lt;=$A7)*('01_予約入力'!$G$5:$G$204&gt;$A7)*(ROW('01_予約入力'!$E$5:$E$204)-4)))=0,"",INDEX('01_予約入力'!$B$5:$B$204,SUMPRODUCT(MAX(('01_予約入力'!$D$5:$D$204=C$6)*('01_予約入力'!$K$5:$K$204&lt;&gt;"キャンセル")*('01_予約入力'!$E$5:$E$204&lt;&gt;"")*('01_予約入力'!$E$5:$E$204&lt;=$A7)*('01_予約入力'!$G$5:$G$204&gt;$A7)*(ROW('01_予約入力'!$E$5:$E$204)-4))))))</f>
        <v/>
      </c>
      <c r="D7" s="17">
        <f>IF(OR($A7="",D$6=""),"",IF(SUMPRODUCT(MAX(('01_予約入力'!$D$5:$D$204=D$6)*('01_予約入力'!$K$5:$K$204&lt;&gt;"キャンセル")*('01_予約入力'!$E$5:$E$204&lt;&gt;"")*('01_予約入力'!$E$5:$E$204&lt;=$A7)*('01_予約入力'!$G$5:$G$204&gt;$A7)*(ROW('01_予約入力'!$E$5:$E$204)-4)))=0,"",INDEX('01_予約入力'!$B$5:$B$204,SUMPRODUCT(MAX(('01_予約入力'!$D$5:$D$204=D$6)*('01_予約入力'!$K$5:$K$204&lt;&gt;"キャンセル")*('01_予約入力'!$E$5:$E$204&lt;&gt;"")*('01_予約入力'!$E$5:$E$204&lt;=$A7)*('01_予約入力'!$G$5:$G$204&gt;$A7)*(ROW('01_予約入力'!$E$5:$E$204)-4))))))</f>
        <v/>
      </c>
      <c r="E7" s="17">
        <f>IF(OR($A7="",E$6=""),"",IF(SUMPRODUCT(MAX(('01_予約入力'!$D$5:$D$204=E$6)*('01_予約入力'!$K$5:$K$204&lt;&gt;"キャンセル")*('01_予約入力'!$E$5:$E$204&lt;&gt;"")*('01_予約入力'!$E$5:$E$204&lt;=$A7)*('01_予約入力'!$G$5:$G$204&gt;$A7)*(ROW('01_予約入力'!$E$5:$E$204)-4)))=0,"",INDEX('01_予約入力'!$B$5:$B$204,SUMPRODUCT(MAX(('01_予約入力'!$D$5:$D$204=E$6)*('01_予約入力'!$K$5:$K$204&lt;&gt;"キャンセル")*('01_予約入力'!$E$5:$E$204&lt;&gt;"")*('01_予約入力'!$E$5:$E$204&lt;=$A7)*('01_予約入力'!$G$5:$G$204&gt;$A7)*(ROW('01_予約入力'!$E$5:$E$204)-4))))))</f>
        <v/>
      </c>
      <c r="F7" s="17">
        <f>IF(OR($A7="",F$6=""),"",IF(SUMPRODUCT(MAX(('01_予約入力'!$D$5:$D$204=F$6)*('01_予約入力'!$K$5:$K$204&lt;&gt;"キャンセル")*('01_予約入力'!$E$5:$E$204&lt;&gt;"")*('01_予約入力'!$E$5:$E$204&lt;=$A7)*('01_予約入力'!$G$5:$G$204&gt;$A7)*(ROW('01_予約入力'!$E$5:$E$204)-4)))=0,"",INDEX('01_予約入力'!$B$5:$B$204,SUMPRODUCT(MAX(('01_予約入力'!$D$5:$D$204=F$6)*('01_予約入力'!$K$5:$K$204&lt;&gt;"キャンセル")*('01_予約入力'!$E$5:$E$204&lt;&gt;"")*('01_予約入力'!$E$5:$E$204&lt;=$A7)*('01_予約入力'!$G$5:$G$204&gt;$A7)*(ROW('01_予約入力'!$E$5:$E$204)-4))))))</f>
        <v/>
      </c>
      <c r="G7" s="16">
        <f>IF($A7="","",SUMPRODUCT(('01_予約入力'!$E$5:$E$204&lt;&gt;"")*('01_予約入力'!$K$5:$K$204&lt;&gt;"キャンセル")*('01_予約入力'!$E$5:$E$204&lt;=$A7)*('01_予約入力'!$G$5:$G$204&gt;$A7)))</f>
        <v/>
      </c>
      <c r="H7" s="16">
        <f>IF($A7="","",'M_施設設定'!$B$6-$G7)</f>
        <v/>
      </c>
      <c r="I7" s="16">
        <f>IF($A7="","",SUMPRODUCT((('01_予約入力'!$K$5:$K$204="仮予約")+('01_予約入力'!$K$5:$K$204="調整中"))*('01_予約入力'!$E$5:$E$204&lt;&gt;"")*('01_予約入力'!$E$5:$E$204&lt;=$A7)*('01_予約入力'!$G$5:$G$204&gt;$A7)))</f>
        <v/>
      </c>
      <c r="J7" s="16">
        <f>IF($A7="","",IF($I7&gt;0,"仮",IF($H7&lt;=0,"×",IF($H7&lt;'M_施設設定'!$B$6,"△","○"))))</f>
        <v/>
      </c>
      <c r="K7" s="16">
        <f>IF($A7="","",SUMPRODUCT(('01_予約入力'!$E$5:$E$204&lt;&gt;"")*('01_予約入力'!$K$5:$K$204&lt;&gt;"キャンセル")*('01_予約入力'!$E$5:$E$204=$A7)*('01_予約入力'!$G$5:$G$204=$A7)))</f>
        <v/>
      </c>
    </row>
    <row r="8">
      <c r="A8" s="15">
        <f>IF(MONTH($B$4+1)&lt;&gt;MONTH($B$4),"",$B$4+1)</f>
        <v/>
      </c>
      <c r="B8" s="16">
        <f>IF($A8="","",MID("日月火水木金土",WEEKDAY($A8),1))</f>
        <v/>
      </c>
      <c r="C8" s="17">
        <f>IF(OR($A8="",C$6=""),"",IF(SUMPRODUCT(MAX(('01_予約入力'!$D$5:$D$204=C$6)*('01_予約入力'!$K$5:$K$204&lt;&gt;"キャンセル")*('01_予約入力'!$E$5:$E$204&lt;&gt;"")*('01_予約入力'!$E$5:$E$204&lt;=$A8)*('01_予約入力'!$G$5:$G$204&gt;$A8)*(ROW('01_予約入力'!$E$5:$E$204)-4)))=0,"",INDEX('01_予約入力'!$B$5:$B$204,SUMPRODUCT(MAX(('01_予約入力'!$D$5:$D$204=C$6)*('01_予約入力'!$K$5:$K$204&lt;&gt;"キャンセル")*('01_予約入力'!$E$5:$E$204&lt;&gt;"")*('01_予約入力'!$E$5:$E$204&lt;=$A8)*('01_予約入力'!$G$5:$G$204&gt;$A8)*(ROW('01_予約入力'!$E$5:$E$204)-4))))))</f>
        <v/>
      </c>
      <c r="D8" s="17">
        <f>IF(OR($A8="",D$6=""),"",IF(SUMPRODUCT(MAX(('01_予約入力'!$D$5:$D$204=D$6)*('01_予約入力'!$K$5:$K$204&lt;&gt;"キャンセル")*('01_予約入力'!$E$5:$E$204&lt;&gt;"")*('01_予約入力'!$E$5:$E$204&lt;=$A8)*('01_予約入力'!$G$5:$G$204&gt;$A8)*(ROW('01_予約入力'!$E$5:$E$204)-4)))=0,"",INDEX('01_予約入力'!$B$5:$B$204,SUMPRODUCT(MAX(('01_予約入力'!$D$5:$D$204=D$6)*('01_予約入力'!$K$5:$K$204&lt;&gt;"キャンセル")*('01_予約入力'!$E$5:$E$204&lt;&gt;"")*('01_予約入力'!$E$5:$E$204&lt;=$A8)*('01_予約入力'!$G$5:$G$204&gt;$A8)*(ROW('01_予約入力'!$E$5:$E$204)-4))))))</f>
        <v/>
      </c>
      <c r="E8" s="17">
        <f>IF(OR($A8="",E$6=""),"",IF(SUMPRODUCT(MAX(('01_予約入力'!$D$5:$D$204=E$6)*('01_予約入力'!$K$5:$K$204&lt;&gt;"キャンセル")*('01_予約入力'!$E$5:$E$204&lt;&gt;"")*('01_予約入力'!$E$5:$E$204&lt;=$A8)*('01_予約入力'!$G$5:$G$204&gt;$A8)*(ROW('01_予約入力'!$E$5:$E$204)-4)))=0,"",INDEX('01_予約入力'!$B$5:$B$204,SUMPRODUCT(MAX(('01_予約入力'!$D$5:$D$204=E$6)*('01_予約入力'!$K$5:$K$204&lt;&gt;"キャンセル")*('01_予約入力'!$E$5:$E$204&lt;&gt;"")*('01_予約入力'!$E$5:$E$204&lt;=$A8)*('01_予約入力'!$G$5:$G$204&gt;$A8)*(ROW('01_予約入力'!$E$5:$E$204)-4))))))</f>
        <v/>
      </c>
      <c r="F8" s="17">
        <f>IF(OR($A8="",F$6=""),"",IF(SUMPRODUCT(MAX(('01_予約入力'!$D$5:$D$204=F$6)*('01_予約入力'!$K$5:$K$204&lt;&gt;"キャンセル")*('01_予約入力'!$E$5:$E$204&lt;&gt;"")*('01_予約入力'!$E$5:$E$204&lt;=$A8)*('01_予約入力'!$G$5:$G$204&gt;$A8)*(ROW('01_予約入力'!$E$5:$E$204)-4)))=0,"",INDEX('01_予約入力'!$B$5:$B$204,SUMPRODUCT(MAX(('01_予約入力'!$D$5:$D$204=F$6)*('01_予約入力'!$K$5:$K$204&lt;&gt;"キャンセル")*('01_予約入力'!$E$5:$E$204&lt;&gt;"")*('01_予約入力'!$E$5:$E$204&lt;=$A8)*('01_予約入力'!$G$5:$G$204&gt;$A8)*(ROW('01_予約入力'!$E$5:$E$204)-4))))))</f>
        <v/>
      </c>
      <c r="G8" s="16">
        <f>IF($A8="","",SUMPRODUCT(('01_予約入力'!$E$5:$E$204&lt;&gt;"")*('01_予約入力'!$K$5:$K$204&lt;&gt;"キャンセル")*('01_予約入力'!$E$5:$E$204&lt;=$A8)*('01_予約入力'!$G$5:$G$204&gt;$A8)))</f>
        <v/>
      </c>
      <c r="H8" s="16">
        <f>IF($A8="","",'M_施設設定'!$B$6-$G8)</f>
        <v/>
      </c>
      <c r="I8" s="16">
        <f>IF($A8="","",SUMPRODUCT((('01_予約入力'!$K$5:$K$204="仮予約")+('01_予約入力'!$K$5:$K$204="調整中"))*('01_予約入力'!$E$5:$E$204&lt;&gt;"")*('01_予約入力'!$E$5:$E$204&lt;=$A8)*('01_予約入力'!$G$5:$G$204&gt;$A8)))</f>
        <v/>
      </c>
      <c r="J8" s="16">
        <f>IF($A8="","",IF($I8&gt;0,"仮",IF($H8&lt;=0,"×",IF($H8&lt;'M_施設設定'!$B$6,"△","○"))))</f>
        <v/>
      </c>
      <c r="K8" s="16">
        <f>IF($A8="","",SUMPRODUCT(('01_予約入力'!$E$5:$E$204&lt;&gt;"")*('01_予約入力'!$K$5:$K$204&lt;&gt;"キャンセル")*('01_予約入力'!$E$5:$E$204=$A8)*('01_予約入力'!$G$5:$G$204=$A8)))</f>
        <v/>
      </c>
    </row>
    <row r="9">
      <c r="A9" s="15">
        <f>IF(MONTH($B$4+2)&lt;&gt;MONTH($B$4),"",$B$4+2)</f>
        <v/>
      </c>
      <c r="B9" s="16">
        <f>IF($A9="","",MID("日月火水木金土",WEEKDAY($A9),1))</f>
        <v/>
      </c>
      <c r="C9" s="17">
        <f>IF(OR($A9="",C$6=""),"",IF(SUMPRODUCT(MAX(('01_予約入力'!$D$5:$D$204=C$6)*('01_予約入力'!$K$5:$K$204&lt;&gt;"キャンセル")*('01_予約入力'!$E$5:$E$204&lt;&gt;"")*('01_予約入力'!$E$5:$E$204&lt;=$A9)*('01_予約入力'!$G$5:$G$204&gt;$A9)*(ROW('01_予約入力'!$E$5:$E$204)-4)))=0,"",INDEX('01_予約入力'!$B$5:$B$204,SUMPRODUCT(MAX(('01_予約入力'!$D$5:$D$204=C$6)*('01_予約入力'!$K$5:$K$204&lt;&gt;"キャンセル")*('01_予約入力'!$E$5:$E$204&lt;&gt;"")*('01_予約入力'!$E$5:$E$204&lt;=$A9)*('01_予約入力'!$G$5:$G$204&gt;$A9)*(ROW('01_予約入力'!$E$5:$E$204)-4))))))</f>
        <v/>
      </c>
      <c r="D9" s="17">
        <f>IF(OR($A9="",D$6=""),"",IF(SUMPRODUCT(MAX(('01_予約入力'!$D$5:$D$204=D$6)*('01_予約入力'!$K$5:$K$204&lt;&gt;"キャンセル")*('01_予約入力'!$E$5:$E$204&lt;&gt;"")*('01_予約入力'!$E$5:$E$204&lt;=$A9)*('01_予約入力'!$G$5:$G$204&gt;$A9)*(ROW('01_予約入力'!$E$5:$E$204)-4)))=0,"",INDEX('01_予約入力'!$B$5:$B$204,SUMPRODUCT(MAX(('01_予約入力'!$D$5:$D$204=D$6)*('01_予約入力'!$K$5:$K$204&lt;&gt;"キャンセル")*('01_予約入力'!$E$5:$E$204&lt;&gt;"")*('01_予約入力'!$E$5:$E$204&lt;=$A9)*('01_予約入力'!$G$5:$G$204&gt;$A9)*(ROW('01_予約入力'!$E$5:$E$204)-4))))))</f>
        <v/>
      </c>
      <c r="E9" s="17">
        <f>IF(OR($A9="",E$6=""),"",IF(SUMPRODUCT(MAX(('01_予約入力'!$D$5:$D$204=E$6)*('01_予約入力'!$K$5:$K$204&lt;&gt;"キャンセル")*('01_予約入力'!$E$5:$E$204&lt;&gt;"")*('01_予約入力'!$E$5:$E$204&lt;=$A9)*('01_予約入力'!$G$5:$G$204&gt;$A9)*(ROW('01_予約入力'!$E$5:$E$204)-4)))=0,"",INDEX('01_予約入力'!$B$5:$B$204,SUMPRODUCT(MAX(('01_予約入力'!$D$5:$D$204=E$6)*('01_予約入力'!$K$5:$K$204&lt;&gt;"キャンセル")*('01_予約入力'!$E$5:$E$204&lt;&gt;"")*('01_予約入力'!$E$5:$E$204&lt;=$A9)*('01_予約入力'!$G$5:$G$204&gt;$A9)*(ROW('01_予約入力'!$E$5:$E$204)-4))))))</f>
        <v/>
      </c>
      <c r="F9" s="17">
        <f>IF(OR($A9="",F$6=""),"",IF(SUMPRODUCT(MAX(('01_予約入力'!$D$5:$D$204=F$6)*('01_予約入力'!$K$5:$K$204&lt;&gt;"キャンセル")*('01_予約入力'!$E$5:$E$204&lt;&gt;"")*('01_予約入力'!$E$5:$E$204&lt;=$A9)*('01_予約入力'!$G$5:$G$204&gt;$A9)*(ROW('01_予約入力'!$E$5:$E$204)-4)))=0,"",INDEX('01_予約入力'!$B$5:$B$204,SUMPRODUCT(MAX(('01_予約入力'!$D$5:$D$204=F$6)*('01_予約入力'!$K$5:$K$204&lt;&gt;"キャンセル")*('01_予約入力'!$E$5:$E$204&lt;&gt;"")*('01_予約入力'!$E$5:$E$204&lt;=$A9)*('01_予約入力'!$G$5:$G$204&gt;$A9)*(ROW('01_予約入力'!$E$5:$E$204)-4))))))</f>
        <v/>
      </c>
      <c r="G9" s="16">
        <f>IF($A9="","",SUMPRODUCT(('01_予約入力'!$E$5:$E$204&lt;&gt;"")*('01_予約入力'!$K$5:$K$204&lt;&gt;"キャンセル")*('01_予約入力'!$E$5:$E$204&lt;=$A9)*('01_予約入力'!$G$5:$G$204&gt;$A9)))</f>
        <v/>
      </c>
      <c r="H9" s="16">
        <f>IF($A9="","",'M_施設設定'!$B$6-$G9)</f>
        <v/>
      </c>
      <c r="I9" s="16">
        <f>IF($A9="","",SUMPRODUCT((('01_予約入力'!$K$5:$K$204="仮予約")+('01_予約入力'!$K$5:$K$204="調整中"))*('01_予約入力'!$E$5:$E$204&lt;&gt;"")*('01_予約入力'!$E$5:$E$204&lt;=$A9)*('01_予約入力'!$G$5:$G$204&gt;$A9)))</f>
        <v/>
      </c>
      <c r="J9" s="16">
        <f>IF($A9="","",IF($I9&gt;0,"仮",IF($H9&lt;=0,"×",IF($H9&lt;'M_施設設定'!$B$6,"△","○"))))</f>
        <v/>
      </c>
      <c r="K9" s="16">
        <f>IF($A9="","",SUMPRODUCT(('01_予約入力'!$E$5:$E$204&lt;&gt;"")*('01_予約入力'!$K$5:$K$204&lt;&gt;"キャンセル")*('01_予約入力'!$E$5:$E$204=$A9)*('01_予約入力'!$G$5:$G$204=$A9)))</f>
        <v/>
      </c>
    </row>
    <row r="10">
      <c r="A10" s="15">
        <f>IF(MONTH($B$4+3)&lt;&gt;MONTH($B$4),"",$B$4+3)</f>
        <v/>
      </c>
      <c r="B10" s="16">
        <f>IF($A10="","",MID("日月火水木金土",WEEKDAY($A10),1))</f>
        <v/>
      </c>
      <c r="C10" s="17">
        <f>IF(OR($A10="",C$6=""),"",IF(SUMPRODUCT(MAX(('01_予約入力'!$D$5:$D$204=C$6)*('01_予約入力'!$K$5:$K$204&lt;&gt;"キャンセル")*('01_予約入力'!$E$5:$E$204&lt;&gt;"")*('01_予約入力'!$E$5:$E$204&lt;=$A10)*('01_予約入力'!$G$5:$G$204&gt;$A10)*(ROW('01_予約入力'!$E$5:$E$204)-4)))=0,"",INDEX('01_予約入力'!$B$5:$B$204,SUMPRODUCT(MAX(('01_予約入力'!$D$5:$D$204=C$6)*('01_予約入力'!$K$5:$K$204&lt;&gt;"キャンセル")*('01_予約入力'!$E$5:$E$204&lt;&gt;"")*('01_予約入力'!$E$5:$E$204&lt;=$A10)*('01_予約入力'!$G$5:$G$204&gt;$A10)*(ROW('01_予約入力'!$E$5:$E$204)-4))))))</f>
        <v/>
      </c>
      <c r="D10" s="17">
        <f>IF(OR($A10="",D$6=""),"",IF(SUMPRODUCT(MAX(('01_予約入力'!$D$5:$D$204=D$6)*('01_予約入力'!$K$5:$K$204&lt;&gt;"キャンセル")*('01_予約入力'!$E$5:$E$204&lt;&gt;"")*('01_予約入力'!$E$5:$E$204&lt;=$A10)*('01_予約入力'!$G$5:$G$204&gt;$A10)*(ROW('01_予約入力'!$E$5:$E$204)-4)))=0,"",INDEX('01_予約入力'!$B$5:$B$204,SUMPRODUCT(MAX(('01_予約入力'!$D$5:$D$204=D$6)*('01_予約入力'!$K$5:$K$204&lt;&gt;"キャンセル")*('01_予約入力'!$E$5:$E$204&lt;&gt;"")*('01_予約入力'!$E$5:$E$204&lt;=$A10)*('01_予約入力'!$G$5:$G$204&gt;$A10)*(ROW('01_予約入力'!$E$5:$E$204)-4))))))</f>
        <v/>
      </c>
      <c r="E10" s="17">
        <f>IF(OR($A10="",E$6=""),"",IF(SUMPRODUCT(MAX(('01_予約入力'!$D$5:$D$204=E$6)*('01_予約入力'!$K$5:$K$204&lt;&gt;"キャンセル")*('01_予約入力'!$E$5:$E$204&lt;&gt;"")*('01_予約入力'!$E$5:$E$204&lt;=$A10)*('01_予約入力'!$G$5:$G$204&gt;$A10)*(ROW('01_予約入力'!$E$5:$E$204)-4)))=0,"",INDEX('01_予約入力'!$B$5:$B$204,SUMPRODUCT(MAX(('01_予約入力'!$D$5:$D$204=E$6)*('01_予約入力'!$K$5:$K$204&lt;&gt;"キャンセル")*('01_予約入力'!$E$5:$E$204&lt;&gt;"")*('01_予約入力'!$E$5:$E$204&lt;=$A10)*('01_予約入力'!$G$5:$G$204&gt;$A10)*(ROW('01_予約入力'!$E$5:$E$204)-4))))))</f>
        <v/>
      </c>
      <c r="F10" s="17">
        <f>IF(OR($A10="",F$6=""),"",IF(SUMPRODUCT(MAX(('01_予約入力'!$D$5:$D$204=F$6)*('01_予約入力'!$K$5:$K$204&lt;&gt;"キャンセル")*('01_予約入力'!$E$5:$E$204&lt;&gt;"")*('01_予約入力'!$E$5:$E$204&lt;=$A10)*('01_予約入力'!$G$5:$G$204&gt;$A10)*(ROW('01_予約入力'!$E$5:$E$204)-4)))=0,"",INDEX('01_予約入力'!$B$5:$B$204,SUMPRODUCT(MAX(('01_予約入力'!$D$5:$D$204=F$6)*('01_予約入力'!$K$5:$K$204&lt;&gt;"キャンセル")*('01_予約入力'!$E$5:$E$204&lt;&gt;"")*('01_予約入力'!$E$5:$E$204&lt;=$A10)*('01_予約入力'!$G$5:$G$204&gt;$A10)*(ROW('01_予約入力'!$E$5:$E$204)-4))))))</f>
        <v/>
      </c>
      <c r="G10" s="16">
        <f>IF($A10="","",SUMPRODUCT(('01_予約入力'!$E$5:$E$204&lt;&gt;"")*('01_予約入力'!$K$5:$K$204&lt;&gt;"キャンセル")*('01_予約入力'!$E$5:$E$204&lt;=$A10)*('01_予約入力'!$G$5:$G$204&gt;$A10)))</f>
        <v/>
      </c>
      <c r="H10" s="16">
        <f>IF($A10="","",'M_施設設定'!$B$6-$G10)</f>
        <v/>
      </c>
      <c r="I10" s="16">
        <f>IF($A10="","",SUMPRODUCT((('01_予約入力'!$K$5:$K$204="仮予約")+('01_予約入力'!$K$5:$K$204="調整中"))*('01_予約入力'!$E$5:$E$204&lt;&gt;"")*('01_予約入力'!$E$5:$E$204&lt;=$A10)*('01_予約入力'!$G$5:$G$204&gt;$A10)))</f>
        <v/>
      </c>
      <c r="J10" s="16">
        <f>IF($A10="","",IF($I10&gt;0,"仮",IF($H10&lt;=0,"×",IF($H10&lt;'M_施設設定'!$B$6,"△","○"))))</f>
        <v/>
      </c>
      <c r="K10" s="16">
        <f>IF($A10="","",SUMPRODUCT(('01_予約入力'!$E$5:$E$204&lt;&gt;"")*('01_予約入力'!$K$5:$K$204&lt;&gt;"キャンセル")*('01_予約入力'!$E$5:$E$204=$A10)*('01_予約入力'!$G$5:$G$204=$A10)))</f>
        <v/>
      </c>
    </row>
    <row r="11">
      <c r="A11" s="15">
        <f>IF(MONTH($B$4+4)&lt;&gt;MONTH($B$4),"",$B$4+4)</f>
        <v/>
      </c>
      <c r="B11" s="16">
        <f>IF($A11="","",MID("日月火水木金土",WEEKDAY($A11),1))</f>
        <v/>
      </c>
      <c r="C11" s="17">
        <f>IF(OR($A11="",C$6=""),"",IF(SUMPRODUCT(MAX(('01_予約入力'!$D$5:$D$204=C$6)*('01_予約入力'!$K$5:$K$204&lt;&gt;"キャンセル")*('01_予約入力'!$E$5:$E$204&lt;&gt;"")*('01_予約入力'!$E$5:$E$204&lt;=$A11)*('01_予約入力'!$G$5:$G$204&gt;$A11)*(ROW('01_予約入力'!$E$5:$E$204)-4)))=0,"",INDEX('01_予約入力'!$B$5:$B$204,SUMPRODUCT(MAX(('01_予約入力'!$D$5:$D$204=C$6)*('01_予約入力'!$K$5:$K$204&lt;&gt;"キャンセル")*('01_予約入力'!$E$5:$E$204&lt;&gt;"")*('01_予約入力'!$E$5:$E$204&lt;=$A11)*('01_予約入力'!$G$5:$G$204&gt;$A11)*(ROW('01_予約入力'!$E$5:$E$204)-4))))))</f>
        <v/>
      </c>
      <c r="D11" s="17">
        <f>IF(OR($A11="",D$6=""),"",IF(SUMPRODUCT(MAX(('01_予約入力'!$D$5:$D$204=D$6)*('01_予約入力'!$K$5:$K$204&lt;&gt;"キャンセル")*('01_予約入力'!$E$5:$E$204&lt;&gt;"")*('01_予約入力'!$E$5:$E$204&lt;=$A11)*('01_予約入力'!$G$5:$G$204&gt;$A11)*(ROW('01_予約入力'!$E$5:$E$204)-4)))=0,"",INDEX('01_予約入力'!$B$5:$B$204,SUMPRODUCT(MAX(('01_予約入力'!$D$5:$D$204=D$6)*('01_予約入力'!$K$5:$K$204&lt;&gt;"キャンセル")*('01_予約入力'!$E$5:$E$204&lt;&gt;"")*('01_予約入力'!$E$5:$E$204&lt;=$A11)*('01_予約入力'!$G$5:$G$204&gt;$A11)*(ROW('01_予約入力'!$E$5:$E$204)-4))))))</f>
        <v/>
      </c>
      <c r="E11" s="17">
        <f>IF(OR($A11="",E$6=""),"",IF(SUMPRODUCT(MAX(('01_予約入力'!$D$5:$D$204=E$6)*('01_予約入力'!$K$5:$K$204&lt;&gt;"キャンセル")*('01_予約入力'!$E$5:$E$204&lt;&gt;"")*('01_予約入力'!$E$5:$E$204&lt;=$A11)*('01_予約入力'!$G$5:$G$204&gt;$A11)*(ROW('01_予約入力'!$E$5:$E$204)-4)))=0,"",INDEX('01_予約入力'!$B$5:$B$204,SUMPRODUCT(MAX(('01_予約入力'!$D$5:$D$204=E$6)*('01_予約入力'!$K$5:$K$204&lt;&gt;"キャンセル")*('01_予約入力'!$E$5:$E$204&lt;&gt;"")*('01_予約入力'!$E$5:$E$204&lt;=$A11)*('01_予約入力'!$G$5:$G$204&gt;$A11)*(ROW('01_予約入力'!$E$5:$E$204)-4))))))</f>
        <v/>
      </c>
      <c r="F11" s="17">
        <f>IF(OR($A11="",F$6=""),"",IF(SUMPRODUCT(MAX(('01_予約入力'!$D$5:$D$204=F$6)*('01_予約入力'!$K$5:$K$204&lt;&gt;"キャンセル")*('01_予約入力'!$E$5:$E$204&lt;&gt;"")*('01_予約入力'!$E$5:$E$204&lt;=$A11)*('01_予約入力'!$G$5:$G$204&gt;$A11)*(ROW('01_予約入力'!$E$5:$E$204)-4)))=0,"",INDEX('01_予約入力'!$B$5:$B$204,SUMPRODUCT(MAX(('01_予約入力'!$D$5:$D$204=F$6)*('01_予約入力'!$K$5:$K$204&lt;&gt;"キャンセル")*('01_予約入力'!$E$5:$E$204&lt;&gt;"")*('01_予約入力'!$E$5:$E$204&lt;=$A11)*('01_予約入力'!$G$5:$G$204&gt;$A11)*(ROW('01_予約入力'!$E$5:$E$204)-4))))))</f>
        <v/>
      </c>
      <c r="G11" s="16">
        <f>IF($A11="","",SUMPRODUCT(('01_予約入力'!$E$5:$E$204&lt;&gt;"")*('01_予約入力'!$K$5:$K$204&lt;&gt;"キャンセル")*('01_予約入力'!$E$5:$E$204&lt;=$A11)*('01_予約入力'!$G$5:$G$204&gt;$A11)))</f>
        <v/>
      </c>
      <c r="H11" s="16">
        <f>IF($A11="","",'M_施設設定'!$B$6-$G11)</f>
        <v/>
      </c>
      <c r="I11" s="16">
        <f>IF($A11="","",SUMPRODUCT((('01_予約入力'!$K$5:$K$204="仮予約")+('01_予約入力'!$K$5:$K$204="調整中"))*('01_予約入力'!$E$5:$E$204&lt;&gt;"")*('01_予約入力'!$E$5:$E$204&lt;=$A11)*('01_予約入力'!$G$5:$G$204&gt;$A11)))</f>
        <v/>
      </c>
      <c r="J11" s="16">
        <f>IF($A11="","",IF($I11&gt;0,"仮",IF($H11&lt;=0,"×",IF($H11&lt;'M_施設設定'!$B$6,"△","○"))))</f>
        <v/>
      </c>
      <c r="K11" s="16">
        <f>IF($A11="","",SUMPRODUCT(('01_予約入力'!$E$5:$E$204&lt;&gt;"")*('01_予約入力'!$K$5:$K$204&lt;&gt;"キャンセル")*('01_予約入力'!$E$5:$E$204=$A11)*('01_予約入力'!$G$5:$G$204=$A11)))</f>
        <v/>
      </c>
    </row>
    <row r="12">
      <c r="A12" s="15">
        <f>IF(MONTH($B$4+5)&lt;&gt;MONTH($B$4),"",$B$4+5)</f>
        <v/>
      </c>
      <c r="B12" s="16">
        <f>IF($A12="","",MID("日月火水木金土",WEEKDAY($A12),1))</f>
        <v/>
      </c>
      <c r="C12" s="17">
        <f>IF(OR($A12="",C$6=""),"",IF(SUMPRODUCT(MAX(('01_予約入力'!$D$5:$D$204=C$6)*('01_予約入力'!$K$5:$K$204&lt;&gt;"キャンセル")*('01_予約入力'!$E$5:$E$204&lt;&gt;"")*('01_予約入力'!$E$5:$E$204&lt;=$A12)*('01_予約入力'!$G$5:$G$204&gt;$A12)*(ROW('01_予約入力'!$E$5:$E$204)-4)))=0,"",INDEX('01_予約入力'!$B$5:$B$204,SUMPRODUCT(MAX(('01_予約入力'!$D$5:$D$204=C$6)*('01_予約入力'!$K$5:$K$204&lt;&gt;"キャンセル")*('01_予約入力'!$E$5:$E$204&lt;&gt;"")*('01_予約入力'!$E$5:$E$204&lt;=$A12)*('01_予約入力'!$G$5:$G$204&gt;$A12)*(ROW('01_予約入力'!$E$5:$E$204)-4))))))</f>
        <v/>
      </c>
      <c r="D12" s="17">
        <f>IF(OR($A12="",D$6=""),"",IF(SUMPRODUCT(MAX(('01_予約入力'!$D$5:$D$204=D$6)*('01_予約入力'!$K$5:$K$204&lt;&gt;"キャンセル")*('01_予約入力'!$E$5:$E$204&lt;&gt;"")*('01_予約入力'!$E$5:$E$204&lt;=$A12)*('01_予約入力'!$G$5:$G$204&gt;$A12)*(ROW('01_予約入力'!$E$5:$E$204)-4)))=0,"",INDEX('01_予約入力'!$B$5:$B$204,SUMPRODUCT(MAX(('01_予約入力'!$D$5:$D$204=D$6)*('01_予約入力'!$K$5:$K$204&lt;&gt;"キャンセル")*('01_予約入力'!$E$5:$E$204&lt;&gt;"")*('01_予約入力'!$E$5:$E$204&lt;=$A12)*('01_予約入力'!$G$5:$G$204&gt;$A12)*(ROW('01_予約入力'!$E$5:$E$204)-4))))))</f>
        <v/>
      </c>
      <c r="E12" s="17">
        <f>IF(OR($A12="",E$6=""),"",IF(SUMPRODUCT(MAX(('01_予約入力'!$D$5:$D$204=E$6)*('01_予約入力'!$K$5:$K$204&lt;&gt;"キャンセル")*('01_予約入力'!$E$5:$E$204&lt;&gt;"")*('01_予約入力'!$E$5:$E$204&lt;=$A12)*('01_予約入力'!$G$5:$G$204&gt;$A12)*(ROW('01_予約入力'!$E$5:$E$204)-4)))=0,"",INDEX('01_予約入力'!$B$5:$B$204,SUMPRODUCT(MAX(('01_予約入力'!$D$5:$D$204=E$6)*('01_予約入力'!$K$5:$K$204&lt;&gt;"キャンセル")*('01_予約入力'!$E$5:$E$204&lt;&gt;"")*('01_予約入力'!$E$5:$E$204&lt;=$A12)*('01_予約入力'!$G$5:$G$204&gt;$A12)*(ROW('01_予約入力'!$E$5:$E$204)-4))))))</f>
        <v/>
      </c>
      <c r="F12" s="17">
        <f>IF(OR($A12="",F$6=""),"",IF(SUMPRODUCT(MAX(('01_予約入力'!$D$5:$D$204=F$6)*('01_予約入力'!$K$5:$K$204&lt;&gt;"キャンセル")*('01_予約入力'!$E$5:$E$204&lt;&gt;"")*('01_予約入力'!$E$5:$E$204&lt;=$A12)*('01_予約入力'!$G$5:$G$204&gt;$A12)*(ROW('01_予約入力'!$E$5:$E$204)-4)))=0,"",INDEX('01_予約入力'!$B$5:$B$204,SUMPRODUCT(MAX(('01_予約入力'!$D$5:$D$204=F$6)*('01_予約入力'!$K$5:$K$204&lt;&gt;"キャンセル")*('01_予約入力'!$E$5:$E$204&lt;&gt;"")*('01_予約入力'!$E$5:$E$204&lt;=$A12)*('01_予約入力'!$G$5:$G$204&gt;$A12)*(ROW('01_予約入力'!$E$5:$E$204)-4))))))</f>
        <v/>
      </c>
      <c r="G12" s="16">
        <f>IF($A12="","",SUMPRODUCT(('01_予約入力'!$E$5:$E$204&lt;&gt;"")*('01_予約入力'!$K$5:$K$204&lt;&gt;"キャンセル")*('01_予約入力'!$E$5:$E$204&lt;=$A12)*('01_予約入力'!$G$5:$G$204&gt;$A12)))</f>
        <v/>
      </c>
      <c r="H12" s="16">
        <f>IF($A12="","",'M_施設設定'!$B$6-$G12)</f>
        <v/>
      </c>
      <c r="I12" s="16">
        <f>IF($A12="","",SUMPRODUCT((('01_予約入力'!$K$5:$K$204="仮予約")+('01_予約入力'!$K$5:$K$204="調整中"))*('01_予約入力'!$E$5:$E$204&lt;&gt;"")*('01_予約入力'!$E$5:$E$204&lt;=$A12)*('01_予約入力'!$G$5:$G$204&gt;$A12)))</f>
        <v/>
      </c>
      <c r="J12" s="16">
        <f>IF($A12="","",IF($I12&gt;0,"仮",IF($H12&lt;=0,"×",IF($H12&lt;'M_施設設定'!$B$6,"△","○"))))</f>
        <v/>
      </c>
      <c r="K12" s="16">
        <f>IF($A12="","",SUMPRODUCT(('01_予約入力'!$E$5:$E$204&lt;&gt;"")*('01_予約入力'!$K$5:$K$204&lt;&gt;"キャンセル")*('01_予約入力'!$E$5:$E$204=$A12)*('01_予約入力'!$G$5:$G$204=$A12)))</f>
        <v/>
      </c>
    </row>
    <row r="13">
      <c r="A13" s="15">
        <f>IF(MONTH($B$4+6)&lt;&gt;MONTH($B$4),"",$B$4+6)</f>
        <v/>
      </c>
      <c r="B13" s="16">
        <f>IF($A13="","",MID("日月火水木金土",WEEKDAY($A13),1))</f>
        <v/>
      </c>
      <c r="C13" s="17">
        <f>IF(OR($A13="",C$6=""),"",IF(SUMPRODUCT(MAX(('01_予約入力'!$D$5:$D$204=C$6)*('01_予約入力'!$K$5:$K$204&lt;&gt;"キャンセル")*('01_予約入力'!$E$5:$E$204&lt;&gt;"")*('01_予約入力'!$E$5:$E$204&lt;=$A13)*('01_予約入力'!$G$5:$G$204&gt;$A13)*(ROW('01_予約入力'!$E$5:$E$204)-4)))=0,"",INDEX('01_予約入力'!$B$5:$B$204,SUMPRODUCT(MAX(('01_予約入力'!$D$5:$D$204=C$6)*('01_予約入力'!$K$5:$K$204&lt;&gt;"キャンセル")*('01_予約入力'!$E$5:$E$204&lt;&gt;"")*('01_予約入力'!$E$5:$E$204&lt;=$A13)*('01_予約入力'!$G$5:$G$204&gt;$A13)*(ROW('01_予約入力'!$E$5:$E$204)-4))))))</f>
        <v/>
      </c>
      <c r="D13" s="17">
        <f>IF(OR($A13="",D$6=""),"",IF(SUMPRODUCT(MAX(('01_予約入力'!$D$5:$D$204=D$6)*('01_予約入力'!$K$5:$K$204&lt;&gt;"キャンセル")*('01_予約入力'!$E$5:$E$204&lt;&gt;"")*('01_予約入力'!$E$5:$E$204&lt;=$A13)*('01_予約入力'!$G$5:$G$204&gt;$A13)*(ROW('01_予約入力'!$E$5:$E$204)-4)))=0,"",INDEX('01_予約入力'!$B$5:$B$204,SUMPRODUCT(MAX(('01_予約入力'!$D$5:$D$204=D$6)*('01_予約入力'!$K$5:$K$204&lt;&gt;"キャンセル")*('01_予約入力'!$E$5:$E$204&lt;&gt;"")*('01_予約入力'!$E$5:$E$204&lt;=$A13)*('01_予約入力'!$G$5:$G$204&gt;$A13)*(ROW('01_予約入力'!$E$5:$E$204)-4))))))</f>
        <v/>
      </c>
      <c r="E13" s="17">
        <f>IF(OR($A13="",E$6=""),"",IF(SUMPRODUCT(MAX(('01_予約入力'!$D$5:$D$204=E$6)*('01_予約入力'!$K$5:$K$204&lt;&gt;"キャンセル")*('01_予約入力'!$E$5:$E$204&lt;&gt;"")*('01_予約入力'!$E$5:$E$204&lt;=$A13)*('01_予約入力'!$G$5:$G$204&gt;$A13)*(ROW('01_予約入力'!$E$5:$E$204)-4)))=0,"",INDEX('01_予約入力'!$B$5:$B$204,SUMPRODUCT(MAX(('01_予約入力'!$D$5:$D$204=E$6)*('01_予約入力'!$K$5:$K$204&lt;&gt;"キャンセル")*('01_予約入力'!$E$5:$E$204&lt;&gt;"")*('01_予約入力'!$E$5:$E$204&lt;=$A13)*('01_予約入力'!$G$5:$G$204&gt;$A13)*(ROW('01_予約入力'!$E$5:$E$204)-4))))))</f>
        <v/>
      </c>
      <c r="F13" s="17">
        <f>IF(OR($A13="",F$6=""),"",IF(SUMPRODUCT(MAX(('01_予約入力'!$D$5:$D$204=F$6)*('01_予約入力'!$K$5:$K$204&lt;&gt;"キャンセル")*('01_予約入力'!$E$5:$E$204&lt;&gt;"")*('01_予約入力'!$E$5:$E$204&lt;=$A13)*('01_予約入力'!$G$5:$G$204&gt;$A13)*(ROW('01_予約入力'!$E$5:$E$204)-4)))=0,"",INDEX('01_予約入力'!$B$5:$B$204,SUMPRODUCT(MAX(('01_予約入力'!$D$5:$D$204=F$6)*('01_予約入力'!$K$5:$K$204&lt;&gt;"キャンセル")*('01_予約入力'!$E$5:$E$204&lt;&gt;"")*('01_予約入力'!$E$5:$E$204&lt;=$A13)*('01_予約入力'!$G$5:$G$204&gt;$A13)*(ROW('01_予約入力'!$E$5:$E$204)-4))))))</f>
        <v/>
      </c>
      <c r="G13" s="16">
        <f>IF($A13="","",SUMPRODUCT(('01_予約入力'!$E$5:$E$204&lt;&gt;"")*('01_予約入力'!$K$5:$K$204&lt;&gt;"キャンセル")*('01_予約入力'!$E$5:$E$204&lt;=$A13)*('01_予約入力'!$G$5:$G$204&gt;$A13)))</f>
        <v/>
      </c>
      <c r="H13" s="16">
        <f>IF($A13="","",'M_施設設定'!$B$6-$G13)</f>
        <v/>
      </c>
      <c r="I13" s="16">
        <f>IF($A13="","",SUMPRODUCT((('01_予約入力'!$K$5:$K$204="仮予約")+('01_予約入力'!$K$5:$K$204="調整中"))*('01_予約入力'!$E$5:$E$204&lt;&gt;"")*('01_予約入力'!$E$5:$E$204&lt;=$A13)*('01_予約入力'!$G$5:$G$204&gt;$A13)))</f>
        <v/>
      </c>
      <c r="J13" s="16">
        <f>IF($A13="","",IF($I13&gt;0,"仮",IF($H13&lt;=0,"×",IF($H13&lt;'M_施設設定'!$B$6,"△","○"))))</f>
        <v/>
      </c>
      <c r="K13" s="16">
        <f>IF($A13="","",SUMPRODUCT(('01_予約入力'!$E$5:$E$204&lt;&gt;"")*('01_予約入力'!$K$5:$K$204&lt;&gt;"キャンセル")*('01_予約入力'!$E$5:$E$204=$A13)*('01_予約入力'!$G$5:$G$204=$A13)))</f>
        <v/>
      </c>
    </row>
    <row r="14">
      <c r="A14" s="15">
        <f>IF(MONTH($B$4+7)&lt;&gt;MONTH($B$4),"",$B$4+7)</f>
        <v/>
      </c>
      <c r="B14" s="16">
        <f>IF($A14="","",MID("日月火水木金土",WEEKDAY($A14),1))</f>
        <v/>
      </c>
      <c r="C14" s="17">
        <f>IF(OR($A14="",C$6=""),"",IF(SUMPRODUCT(MAX(('01_予約入力'!$D$5:$D$204=C$6)*('01_予約入力'!$K$5:$K$204&lt;&gt;"キャンセル")*('01_予約入力'!$E$5:$E$204&lt;&gt;"")*('01_予約入力'!$E$5:$E$204&lt;=$A14)*('01_予約入力'!$G$5:$G$204&gt;$A14)*(ROW('01_予約入力'!$E$5:$E$204)-4)))=0,"",INDEX('01_予約入力'!$B$5:$B$204,SUMPRODUCT(MAX(('01_予約入力'!$D$5:$D$204=C$6)*('01_予約入力'!$K$5:$K$204&lt;&gt;"キャンセル")*('01_予約入力'!$E$5:$E$204&lt;&gt;"")*('01_予約入力'!$E$5:$E$204&lt;=$A14)*('01_予約入力'!$G$5:$G$204&gt;$A14)*(ROW('01_予約入力'!$E$5:$E$204)-4))))))</f>
        <v/>
      </c>
      <c r="D14" s="17">
        <f>IF(OR($A14="",D$6=""),"",IF(SUMPRODUCT(MAX(('01_予約入力'!$D$5:$D$204=D$6)*('01_予約入力'!$K$5:$K$204&lt;&gt;"キャンセル")*('01_予約入力'!$E$5:$E$204&lt;&gt;"")*('01_予約入力'!$E$5:$E$204&lt;=$A14)*('01_予約入力'!$G$5:$G$204&gt;$A14)*(ROW('01_予約入力'!$E$5:$E$204)-4)))=0,"",INDEX('01_予約入力'!$B$5:$B$204,SUMPRODUCT(MAX(('01_予約入力'!$D$5:$D$204=D$6)*('01_予約入力'!$K$5:$K$204&lt;&gt;"キャンセル")*('01_予約入力'!$E$5:$E$204&lt;&gt;"")*('01_予約入力'!$E$5:$E$204&lt;=$A14)*('01_予約入力'!$G$5:$G$204&gt;$A14)*(ROW('01_予約入力'!$E$5:$E$204)-4))))))</f>
        <v/>
      </c>
      <c r="E14" s="17">
        <f>IF(OR($A14="",E$6=""),"",IF(SUMPRODUCT(MAX(('01_予約入力'!$D$5:$D$204=E$6)*('01_予約入力'!$K$5:$K$204&lt;&gt;"キャンセル")*('01_予約入力'!$E$5:$E$204&lt;&gt;"")*('01_予約入力'!$E$5:$E$204&lt;=$A14)*('01_予約入力'!$G$5:$G$204&gt;$A14)*(ROW('01_予約入力'!$E$5:$E$204)-4)))=0,"",INDEX('01_予約入力'!$B$5:$B$204,SUMPRODUCT(MAX(('01_予約入力'!$D$5:$D$204=E$6)*('01_予約入力'!$K$5:$K$204&lt;&gt;"キャンセル")*('01_予約入力'!$E$5:$E$204&lt;&gt;"")*('01_予約入力'!$E$5:$E$204&lt;=$A14)*('01_予約入力'!$G$5:$G$204&gt;$A14)*(ROW('01_予約入力'!$E$5:$E$204)-4))))))</f>
        <v/>
      </c>
      <c r="F14" s="17">
        <f>IF(OR($A14="",F$6=""),"",IF(SUMPRODUCT(MAX(('01_予約入力'!$D$5:$D$204=F$6)*('01_予約入力'!$K$5:$K$204&lt;&gt;"キャンセル")*('01_予約入力'!$E$5:$E$204&lt;&gt;"")*('01_予約入力'!$E$5:$E$204&lt;=$A14)*('01_予約入力'!$G$5:$G$204&gt;$A14)*(ROW('01_予約入力'!$E$5:$E$204)-4)))=0,"",INDEX('01_予約入力'!$B$5:$B$204,SUMPRODUCT(MAX(('01_予約入力'!$D$5:$D$204=F$6)*('01_予約入力'!$K$5:$K$204&lt;&gt;"キャンセル")*('01_予約入力'!$E$5:$E$204&lt;&gt;"")*('01_予約入力'!$E$5:$E$204&lt;=$A14)*('01_予約入力'!$G$5:$G$204&gt;$A14)*(ROW('01_予約入力'!$E$5:$E$204)-4))))))</f>
        <v/>
      </c>
      <c r="G14" s="16">
        <f>IF($A14="","",SUMPRODUCT(('01_予約入力'!$E$5:$E$204&lt;&gt;"")*('01_予約入力'!$K$5:$K$204&lt;&gt;"キャンセル")*('01_予約入力'!$E$5:$E$204&lt;=$A14)*('01_予約入力'!$G$5:$G$204&gt;$A14)))</f>
        <v/>
      </c>
      <c r="H14" s="16">
        <f>IF($A14="","",'M_施設設定'!$B$6-$G14)</f>
        <v/>
      </c>
      <c r="I14" s="16">
        <f>IF($A14="","",SUMPRODUCT((('01_予約入力'!$K$5:$K$204="仮予約")+('01_予約入力'!$K$5:$K$204="調整中"))*('01_予約入力'!$E$5:$E$204&lt;&gt;"")*('01_予約入力'!$E$5:$E$204&lt;=$A14)*('01_予約入力'!$G$5:$G$204&gt;$A14)))</f>
        <v/>
      </c>
      <c r="J14" s="16">
        <f>IF($A14="","",IF($I14&gt;0,"仮",IF($H14&lt;=0,"×",IF($H14&lt;'M_施設設定'!$B$6,"△","○"))))</f>
        <v/>
      </c>
      <c r="K14" s="16">
        <f>IF($A14="","",SUMPRODUCT(('01_予約入力'!$E$5:$E$204&lt;&gt;"")*('01_予約入力'!$K$5:$K$204&lt;&gt;"キャンセル")*('01_予約入力'!$E$5:$E$204=$A14)*('01_予約入力'!$G$5:$G$204=$A14)))</f>
        <v/>
      </c>
    </row>
    <row r="15">
      <c r="A15" s="15">
        <f>IF(MONTH($B$4+8)&lt;&gt;MONTH($B$4),"",$B$4+8)</f>
        <v/>
      </c>
      <c r="B15" s="16">
        <f>IF($A15="","",MID("日月火水木金土",WEEKDAY($A15),1))</f>
        <v/>
      </c>
      <c r="C15" s="17">
        <f>IF(OR($A15="",C$6=""),"",IF(SUMPRODUCT(MAX(('01_予約入力'!$D$5:$D$204=C$6)*('01_予約入力'!$K$5:$K$204&lt;&gt;"キャンセル")*('01_予約入力'!$E$5:$E$204&lt;&gt;"")*('01_予約入力'!$E$5:$E$204&lt;=$A15)*('01_予約入力'!$G$5:$G$204&gt;$A15)*(ROW('01_予約入力'!$E$5:$E$204)-4)))=0,"",INDEX('01_予約入力'!$B$5:$B$204,SUMPRODUCT(MAX(('01_予約入力'!$D$5:$D$204=C$6)*('01_予約入力'!$K$5:$K$204&lt;&gt;"キャンセル")*('01_予約入力'!$E$5:$E$204&lt;&gt;"")*('01_予約入力'!$E$5:$E$204&lt;=$A15)*('01_予約入力'!$G$5:$G$204&gt;$A15)*(ROW('01_予約入力'!$E$5:$E$204)-4))))))</f>
        <v/>
      </c>
      <c r="D15" s="17">
        <f>IF(OR($A15="",D$6=""),"",IF(SUMPRODUCT(MAX(('01_予約入力'!$D$5:$D$204=D$6)*('01_予約入力'!$K$5:$K$204&lt;&gt;"キャンセル")*('01_予約入力'!$E$5:$E$204&lt;&gt;"")*('01_予約入力'!$E$5:$E$204&lt;=$A15)*('01_予約入力'!$G$5:$G$204&gt;$A15)*(ROW('01_予約入力'!$E$5:$E$204)-4)))=0,"",INDEX('01_予約入力'!$B$5:$B$204,SUMPRODUCT(MAX(('01_予約入力'!$D$5:$D$204=D$6)*('01_予約入力'!$K$5:$K$204&lt;&gt;"キャンセル")*('01_予約入力'!$E$5:$E$204&lt;&gt;"")*('01_予約入力'!$E$5:$E$204&lt;=$A15)*('01_予約入力'!$G$5:$G$204&gt;$A15)*(ROW('01_予約入力'!$E$5:$E$204)-4))))))</f>
        <v/>
      </c>
      <c r="E15" s="17">
        <f>IF(OR($A15="",E$6=""),"",IF(SUMPRODUCT(MAX(('01_予約入力'!$D$5:$D$204=E$6)*('01_予約入力'!$K$5:$K$204&lt;&gt;"キャンセル")*('01_予約入力'!$E$5:$E$204&lt;&gt;"")*('01_予約入力'!$E$5:$E$204&lt;=$A15)*('01_予約入力'!$G$5:$G$204&gt;$A15)*(ROW('01_予約入力'!$E$5:$E$204)-4)))=0,"",INDEX('01_予約入力'!$B$5:$B$204,SUMPRODUCT(MAX(('01_予約入力'!$D$5:$D$204=E$6)*('01_予約入力'!$K$5:$K$204&lt;&gt;"キャンセル")*('01_予約入力'!$E$5:$E$204&lt;&gt;"")*('01_予約入力'!$E$5:$E$204&lt;=$A15)*('01_予約入力'!$G$5:$G$204&gt;$A15)*(ROW('01_予約入力'!$E$5:$E$204)-4))))))</f>
        <v/>
      </c>
      <c r="F15" s="17">
        <f>IF(OR($A15="",F$6=""),"",IF(SUMPRODUCT(MAX(('01_予約入力'!$D$5:$D$204=F$6)*('01_予約入力'!$K$5:$K$204&lt;&gt;"キャンセル")*('01_予約入力'!$E$5:$E$204&lt;&gt;"")*('01_予約入力'!$E$5:$E$204&lt;=$A15)*('01_予約入力'!$G$5:$G$204&gt;$A15)*(ROW('01_予約入力'!$E$5:$E$204)-4)))=0,"",INDEX('01_予約入力'!$B$5:$B$204,SUMPRODUCT(MAX(('01_予約入力'!$D$5:$D$204=F$6)*('01_予約入力'!$K$5:$K$204&lt;&gt;"キャンセル")*('01_予約入力'!$E$5:$E$204&lt;&gt;"")*('01_予約入力'!$E$5:$E$204&lt;=$A15)*('01_予約入力'!$G$5:$G$204&gt;$A15)*(ROW('01_予約入力'!$E$5:$E$204)-4))))))</f>
        <v/>
      </c>
      <c r="G15" s="16">
        <f>IF($A15="","",SUMPRODUCT(('01_予約入力'!$E$5:$E$204&lt;&gt;"")*('01_予約入力'!$K$5:$K$204&lt;&gt;"キャンセル")*('01_予約入力'!$E$5:$E$204&lt;=$A15)*('01_予約入力'!$G$5:$G$204&gt;$A15)))</f>
        <v/>
      </c>
      <c r="H15" s="16">
        <f>IF($A15="","",'M_施設設定'!$B$6-$G15)</f>
        <v/>
      </c>
      <c r="I15" s="16">
        <f>IF($A15="","",SUMPRODUCT((('01_予約入力'!$K$5:$K$204="仮予約")+('01_予約入力'!$K$5:$K$204="調整中"))*('01_予約入力'!$E$5:$E$204&lt;&gt;"")*('01_予約入力'!$E$5:$E$204&lt;=$A15)*('01_予約入力'!$G$5:$G$204&gt;$A15)))</f>
        <v/>
      </c>
      <c r="J15" s="16">
        <f>IF($A15="","",IF($I15&gt;0,"仮",IF($H15&lt;=0,"×",IF($H15&lt;'M_施設設定'!$B$6,"△","○"))))</f>
        <v/>
      </c>
      <c r="K15" s="16">
        <f>IF($A15="","",SUMPRODUCT(('01_予約入力'!$E$5:$E$204&lt;&gt;"")*('01_予約入力'!$K$5:$K$204&lt;&gt;"キャンセル")*('01_予約入力'!$E$5:$E$204=$A15)*('01_予約入力'!$G$5:$G$204=$A15)))</f>
        <v/>
      </c>
    </row>
    <row r="16">
      <c r="A16" s="15">
        <f>IF(MONTH($B$4+9)&lt;&gt;MONTH($B$4),"",$B$4+9)</f>
        <v/>
      </c>
      <c r="B16" s="16">
        <f>IF($A16="","",MID("日月火水木金土",WEEKDAY($A16),1))</f>
        <v/>
      </c>
      <c r="C16" s="17">
        <f>IF(OR($A16="",C$6=""),"",IF(SUMPRODUCT(MAX(('01_予約入力'!$D$5:$D$204=C$6)*('01_予約入力'!$K$5:$K$204&lt;&gt;"キャンセル")*('01_予約入力'!$E$5:$E$204&lt;&gt;"")*('01_予約入力'!$E$5:$E$204&lt;=$A16)*('01_予約入力'!$G$5:$G$204&gt;$A16)*(ROW('01_予約入力'!$E$5:$E$204)-4)))=0,"",INDEX('01_予約入力'!$B$5:$B$204,SUMPRODUCT(MAX(('01_予約入力'!$D$5:$D$204=C$6)*('01_予約入力'!$K$5:$K$204&lt;&gt;"キャンセル")*('01_予約入力'!$E$5:$E$204&lt;&gt;"")*('01_予約入力'!$E$5:$E$204&lt;=$A16)*('01_予約入力'!$G$5:$G$204&gt;$A16)*(ROW('01_予約入力'!$E$5:$E$204)-4))))))</f>
        <v/>
      </c>
      <c r="D16" s="17">
        <f>IF(OR($A16="",D$6=""),"",IF(SUMPRODUCT(MAX(('01_予約入力'!$D$5:$D$204=D$6)*('01_予約入力'!$K$5:$K$204&lt;&gt;"キャンセル")*('01_予約入力'!$E$5:$E$204&lt;&gt;"")*('01_予約入力'!$E$5:$E$204&lt;=$A16)*('01_予約入力'!$G$5:$G$204&gt;$A16)*(ROW('01_予約入力'!$E$5:$E$204)-4)))=0,"",INDEX('01_予約入力'!$B$5:$B$204,SUMPRODUCT(MAX(('01_予約入力'!$D$5:$D$204=D$6)*('01_予約入力'!$K$5:$K$204&lt;&gt;"キャンセル")*('01_予約入力'!$E$5:$E$204&lt;&gt;"")*('01_予約入力'!$E$5:$E$204&lt;=$A16)*('01_予約入力'!$G$5:$G$204&gt;$A16)*(ROW('01_予約入力'!$E$5:$E$204)-4))))))</f>
        <v/>
      </c>
      <c r="E16" s="17">
        <f>IF(OR($A16="",E$6=""),"",IF(SUMPRODUCT(MAX(('01_予約入力'!$D$5:$D$204=E$6)*('01_予約入力'!$K$5:$K$204&lt;&gt;"キャンセル")*('01_予約入力'!$E$5:$E$204&lt;&gt;"")*('01_予約入力'!$E$5:$E$204&lt;=$A16)*('01_予約入力'!$G$5:$G$204&gt;$A16)*(ROW('01_予約入力'!$E$5:$E$204)-4)))=0,"",INDEX('01_予約入力'!$B$5:$B$204,SUMPRODUCT(MAX(('01_予約入力'!$D$5:$D$204=E$6)*('01_予約入力'!$K$5:$K$204&lt;&gt;"キャンセル")*('01_予約入力'!$E$5:$E$204&lt;&gt;"")*('01_予約入力'!$E$5:$E$204&lt;=$A16)*('01_予約入力'!$G$5:$G$204&gt;$A16)*(ROW('01_予約入力'!$E$5:$E$204)-4))))))</f>
        <v/>
      </c>
      <c r="F16" s="17">
        <f>IF(OR($A16="",F$6=""),"",IF(SUMPRODUCT(MAX(('01_予約入力'!$D$5:$D$204=F$6)*('01_予約入力'!$K$5:$K$204&lt;&gt;"キャンセル")*('01_予約入力'!$E$5:$E$204&lt;&gt;"")*('01_予約入力'!$E$5:$E$204&lt;=$A16)*('01_予約入力'!$G$5:$G$204&gt;$A16)*(ROW('01_予約入力'!$E$5:$E$204)-4)))=0,"",INDEX('01_予約入力'!$B$5:$B$204,SUMPRODUCT(MAX(('01_予約入力'!$D$5:$D$204=F$6)*('01_予約入力'!$K$5:$K$204&lt;&gt;"キャンセル")*('01_予約入力'!$E$5:$E$204&lt;&gt;"")*('01_予約入力'!$E$5:$E$204&lt;=$A16)*('01_予約入力'!$G$5:$G$204&gt;$A16)*(ROW('01_予約入力'!$E$5:$E$204)-4))))))</f>
        <v/>
      </c>
      <c r="G16" s="16">
        <f>IF($A16="","",SUMPRODUCT(('01_予約入力'!$E$5:$E$204&lt;&gt;"")*('01_予約入力'!$K$5:$K$204&lt;&gt;"キャンセル")*('01_予約入力'!$E$5:$E$204&lt;=$A16)*('01_予約入力'!$G$5:$G$204&gt;$A16)))</f>
        <v/>
      </c>
      <c r="H16" s="16">
        <f>IF($A16="","",'M_施設設定'!$B$6-$G16)</f>
        <v/>
      </c>
      <c r="I16" s="16">
        <f>IF($A16="","",SUMPRODUCT((('01_予約入力'!$K$5:$K$204="仮予約")+('01_予約入力'!$K$5:$K$204="調整中"))*('01_予約入力'!$E$5:$E$204&lt;&gt;"")*('01_予約入力'!$E$5:$E$204&lt;=$A16)*('01_予約入力'!$G$5:$G$204&gt;$A16)))</f>
        <v/>
      </c>
      <c r="J16" s="16">
        <f>IF($A16="","",IF($I16&gt;0,"仮",IF($H16&lt;=0,"×",IF($H16&lt;'M_施設設定'!$B$6,"△","○"))))</f>
        <v/>
      </c>
      <c r="K16" s="16">
        <f>IF($A16="","",SUMPRODUCT(('01_予約入力'!$E$5:$E$204&lt;&gt;"")*('01_予約入力'!$K$5:$K$204&lt;&gt;"キャンセル")*('01_予約入力'!$E$5:$E$204=$A16)*('01_予約入力'!$G$5:$G$204=$A16)))</f>
        <v/>
      </c>
    </row>
    <row r="17">
      <c r="A17" s="15">
        <f>IF(MONTH($B$4+10)&lt;&gt;MONTH($B$4),"",$B$4+10)</f>
        <v/>
      </c>
      <c r="B17" s="16">
        <f>IF($A17="","",MID("日月火水木金土",WEEKDAY($A17),1))</f>
        <v/>
      </c>
      <c r="C17" s="17">
        <f>IF(OR($A17="",C$6=""),"",IF(SUMPRODUCT(MAX(('01_予約入力'!$D$5:$D$204=C$6)*('01_予約入力'!$K$5:$K$204&lt;&gt;"キャンセル")*('01_予約入力'!$E$5:$E$204&lt;&gt;"")*('01_予約入力'!$E$5:$E$204&lt;=$A17)*('01_予約入力'!$G$5:$G$204&gt;$A17)*(ROW('01_予約入力'!$E$5:$E$204)-4)))=0,"",INDEX('01_予約入力'!$B$5:$B$204,SUMPRODUCT(MAX(('01_予約入力'!$D$5:$D$204=C$6)*('01_予約入力'!$K$5:$K$204&lt;&gt;"キャンセル")*('01_予約入力'!$E$5:$E$204&lt;&gt;"")*('01_予約入力'!$E$5:$E$204&lt;=$A17)*('01_予約入力'!$G$5:$G$204&gt;$A17)*(ROW('01_予約入力'!$E$5:$E$204)-4))))))</f>
        <v/>
      </c>
      <c r="D17" s="17">
        <f>IF(OR($A17="",D$6=""),"",IF(SUMPRODUCT(MAX(('01_予約入力'!$D$5:$D$204=D$6)*('01_予約入力'!$K$5:$K$204&lt;&gt;"キャンセル")*('01_予約入力'!$E$5:$E$204&lt;&gt;"")*('01_予約入力'!$E$5:$E$204&lt;=$A17)*('01_予約入力'!$G$5:$G$204&gt;$A17)*(ROW('01_予約入力'!$E$5:$E$204)-4)))=0,"",INDEX('01_予約入力'!$B$5:$B$204,SUMPRODUCT(MAX(('01_予約入力'!$D$5:$D$204=D$6)*('01_予約入力'!$K$5:$K$204&lt;&gt;"キャンセル")*('01_予約入力'!$E$5:$E$204&lt;&gt;"")*('01_予約入力'!$E$5:$E$204&lt;=$A17)*('01_予約入力'!$G$5:$G$204&gt;$A17)*(ROW('01_予約入力'!$E$5:$E$204)-4))))))</f>
        <v/>
      </c>
      <c r="E17" s="17">
        <f>IF(OR($A17="",E$6=""),"",IF(SUMPRODUCT(MAX(('01_予約入力'!$D$5:$D$204=E$6)*('01_予約入力'!$K$5:$K$204&lt;&gt;"キャンセル")*('01_予約入力'!$E$5:$E$204&lt;&gt;"")*('01_予約入力'!$E$5:$E$204&lt;=$A17)*('01_予約入力'!$G$5:$G$204&gt;$A17)*(ROW('01_予約入力'!$E$5:$E$204)-4)))=0,"",INDEX('01_予約入力'!$B$5:$B$204,SUMPRODUCT(MAX(('01_予約入力'!$D$5:$D$204=E$6)*('01_予約入力'!$K$5:$K$204&lt;&gt;"キャンセル")*('01_予約入力'!$E$5:$E$204&lt;&gt;"")*('01_予約入力'!$E$5:$E$204&lt;=$A17)*('01_予約入力'!$G$5:$G$204&gt;$A17)*(ROW('01_予約入力'!$E$5:$E$204)-4))))))</f>
        <v/>
      </c>
      <c r="F17" s="17">
        <f>IF(OR($A17="",F$6=""),"",IF(SUMPRODUCT(MAX(('01_予約入力'!$D$5:$D$204=F$6)*('01_予約入力'!$K$5:$K$204&lt;&gt;"キャンセル")*('01_予約入力'!$E$5:$E$204&lt;&gt;"")*('01_予約入力'!$E$5:$E$204&lt;=$A17)*('01_予約入力'!$G$5:$G$204&gt;$A17)*(ROW('01_予約入力'!$E$5:$E$204)-4)))=0,"",INDEX('01_予約入力'!$B$5:$B$204,SUMPRODUCT(MAX(('01_予約入力'!$D$5:$D$204=F$6)*('01_予約入力'!$K$5:$K$204&lt;&gt;"キャンセル")*('01_予約入力'!$E$5:$E$204&lt;&gt;"")*('01_予約入力'!$E$5:$E$204&lt;=$A17)*('01_予約入力'!$G$5:$G$204&gt;$A17)*(ROW('01_予約入力'!$E$5:$E$204)-4))))))</f>
        <v/>
      </c>
      <c r="G17" s="16">
        <f>IF($A17="","",SUMPRODUCT(('01_予約入力'!$E$5:$E$204&lt;&gt;"")*('01_予約入力'!$K$5:$K$204&lt;&gt;"キャンセル")*('01_予約入力'!$E$5:$E$204&lt;=$A17)*('01_予約入力'!$G$5:$G$204&gt;$A17)))</f>
        <v/>
      </c>
      <c r="H17" s="16">
        <f>IF($A17="","",'M_施設設定'!$B$6-$G17)</f>
        <v/>
      </c>
      <c r="I17" s="16">
        <f>IF($A17="","",SUMPRODUCT((('01_予約入力'!$K$5:$K$204="仮予約")+('01_予約入力'!$K$5:$K$204="調整中"))*('01_予約入力'!$E$5:$E$204&lt;&gt;"")*('01_予約入力'!$E$5:$E$204&lt;=$A17)*('01_予約入力'!$G$5:$G$204&gt;$A17)))</f>
        <v/>
      </c>
      <c r="J17" s="16">
        <f>IF($A17="","",IF($I17&gt;0,"仮",IF($H17&lt;=0,"×",IF($H17&lt;'M_施設設定'!$B$6,"△","○"))))</f>
        <v/>
      </c>
      <c r="K17" s="16">
        <f>IF($A17="","",SUMPRODUCT(('01_予約入力'!$E$5:$E$204&lt;&gt;"")*('01_予約入力'!$K$5:$K$204&lt;&gt;"キャンセル")*('01_予約入力'!$E$5:$E$204=$A17)*('01_予約入力'!$G$5:$G$204=$A17)))</f>
        <v/>
      </c>
    </row>
    <row r="18">
      <c r="A18" s="15">
        <f>IF(MONTH($B$4+11)&lt;&gt;MONTH($B$4),"",$B$4+11)</f>
        <v/>
      </c>
      <c r="B18" s="16">
        <f>IF($A18="","",MID("日月火水木金土",WEEKDAY($A18),1))</f>
        <v/>
      </c>
      <c r="C18" s="17">
        <f>IF(OR($A18="",C$6=""),"",IF(SUMPRODUCT(MAX(('01_予約入力'!$D$5:$D$204=C$6)*('01_予約入力'!$K$5:$K$204&lt;&gt;"キャンセル")*('01_予約入力'!$E$5:$E$204&lt;&gt;"")*('01_予約入力'!$E$5:$E$204&lt;=$A18)*('01_予約入力'!$G$5:$G$204&gt;$A18)*(ROW('01_予約入力'!$E$5:$E$204)-4)))=0,"",INDEX('01_予約入力'!$B$5:$B$204,SUMPRODUCT(MAX(('01_予約入力'!$D$5:$D$204=C$6)*('01_予約入力'!$K$5:$K$204&lt;&gt;"キャンセル")*('01_予約入力'!$E$5:$E$204&lt;&gt;"")*('01_予約入力'!$E$5:$E$204&lt;=$A18)*('01_予約入力'!$G$5:$G$204&gt;$A18)*(ROW('01_予約入力'!$E$5:$E$204)-4))))))</f>
        <v/>
      </c>
      <c r="D18" s="17">
        <f>IF(OR($A18="",D$6=""),"",IF(SUMPRODUCT(MAX(('01_予約入力'!$D$5:$D$204=D$6)*('01_予約入力'!$K$5:$K$204&lt;&gt;"キャンセル")*('01_予約入力'!$E$5:$E$204&lt;&gt;"")*('01_予約入力'!$E$5:$E$204&lt;=$A18)*('01_予約入力'!$G$5:$G$204&gt;$A18)*(ROW('01_予約入力'!$E$5:$E$204)-4)))=0,"",INDEX('01_予約入力'!$B$5:$B$204,SUMPRODUCT(MAX(('01_予約入力'!$D$5:$D$204=D$6)*('01_予約入力'!$K$5:$K$204&lt;&gt;"キャンセル")*('01_予約入力'!$E$5:$E$204&lt;&gt;"")*('01_予約入力'!$E$5:$E$204&lt;=$A18)*('01_予約入力'!$G$5:$G$204&gt;$A18)*(ROW('01_予約入力'!$E$5:$E$204)-4))))))</f>
        <v/>
      </c>
      <c r="E18" s="17">
        <f>IF(OR($A18="",E$6=""),"",IF(SUMPRODUCT(MAX(('01_予約入力'!$D$5:$D$204=E$6)*('01_予約入力'!$K$5:$K$204&lt;&gt;"キャンセル")*('01_予約入力'!$E$5:$E$204&lt;&gt;"")*('01_予約入力'!$E$5:$E$204&lt;=$A18)*('01_予約入力'!$G$5:$G$204&gt;$A18)*(ROW('01_予約入力'!$E$5:$E$204)-4)))=0,"",INDEX('01_予約入力'!$B$5:$B$204,SUMPRODUCT(MAX(('01_予約入力'!$D$5:$D$204=E$6)*('01_予約入力'!$K$5:$K$204&lt;&gt;"キャンセル")*('01_予約入力'!$E$5:$E$204&lt;&gt;"")*('01_予約入力'!$E$5:$E$204&lt;=$A18)*('01_予約入力'!$G$5:$G$204&gt;$A18)*(ROW('01_予約入力'!$E$5:$E$204)-4))))))</f>
        <v/>
      </c>
      <c r="F18" s="17">
        <f>IF(OR($A18="",F$6=""),"",IF(SUMPRODUCT(MAX(('01_予約入力'!$D$5:$D$204=F$6)*('01_予約入力'!$K$5:$K$204&lt;&gt;"キャンセル")*('01_予約入力'!$E$5:$E$204&lt;&gt;"")*('01_予約入力'!$E$5:$E$204&lt;=$A18)*('01_予約入力'!$G$5:$G$204&gt;$A18)*(ROW('01_予約入力'!$E$5:$E$204)-4)))=0,"",INDEX('01_予約入力'!$B$5:$B$204,SUMPRODUCT(MAX(('01_予約入力'!$D$5:$D$204=F$6)*('01_予約入力'!$K$5:$K$204&lt;&gt;"キャンセル")*('01_予約入力'!$E$5:$E$204&lt;&gt;"")*('01_予約入力'!$E$5:$E$204&lt;=$A18)*('01_予約入力'!$G$5:$G$204&gt;$A18)*(ROW('01_予約入力'!$E$5:$E$204)-4))))))</f>
        <v/>
      </c>
      <c r="G18" s="16">
        <f>IF($A18="","",SUMPRODUCT(('01_予約入力'!$E$5:$E$204&lt;&gt;"")*('01_予約入力'!$K$5:$K$204&lt;&gt;"キャンセル")*('01_予約入力'!$E$5:$E$204&lt;=$A18)*('01_予約入力'!$G$5:$G$204&gt;$A18)))</f>
        <v/>
      </c>
      <c r="H18" s="16">
        <f>IF($A18="","",'M_施設設定'!$B$6-$G18)</f>
        <v/>
      </c>
      <c r="I18" s="16">
        <f>IF($A18="","",SUMPRODUCT((('01_予約入力'!$K$5:$K$204="仮予約")+('01_予約入力'!$K$5:$K$204="調整中"))*('01_予約入力'!$E$5:$E$204&lt;&gt;"")*('01_予約入力'!$E$5:$E$204&lt;=$A18)*('01_予約入力'!$G$5:$G$204&gt;$A18)))</f>
        <v/>
      </c>
      <c r="J18" s="16">
        <f>IF($A18="","",IF($I18&gt;0,"仮",IF($H18&lt;=0,"×",IF($H18&lt;'M_施設設定'!$B$6,"△","○"))))</f>
        <v/>
      </c>
      <c r="K18" s="16">
        <f>IF($A18="","",SUMPRODUCT(('01_予約入力'!$E$5:$E$204&lt;&gt;"")*('01_予約入力'!$K$5:$K$204&lt;&gt;"キャンセル")*('01_予約入力'!$E$5:$E$204=$A18)*('01_予約入力'!$G$5:$G$204=$A18)))</f>
        <v/>
      </c>
    </row>
    <row r="19">
      <c r="A19" s="15">
        <f>IF(MONTH($B$4+12)&lt;&gt;MONTH($B$4),"",$B$4+12)</f>
        <v/>
      </c>
      <c r="B19" s="16">
        <f>IF($A19="","",MID("日月火水木金土",WEEKDAY($A19),1))</f>
        <v/>
      </c>
      <c r="C19" s="17">
        <f>IF(OR($A19="",C$6=""),"",IF(SUMPRODUCT(MAX(('01_予約入力'!$D$5:$D$204=C$6)*('01_予約入力'!$K$5:$K$204&lt;&gt;"キャンセル")*('01_予約入力'!$E$5:$E$204&lt;&gt;"")*('01_予約入力'!$E$5:$E$204&lt;=$A19)*('01_予約入力'!$G$5:$G$204&gt;$A19)*(ROW('01_予約入力'!$E$5:$E$204)-4)))=0,"",INDEX('01_予約入力'!$B$5:$B$204,SUMPRODUCT(MAX(('01_予約入力'!$D$5:$D$204=C$6)*('01_予約入力'!$K$5:$K$204&lt;&gt;"キャンセル")*('01_予約入力'!$E$5:$E$204&lt;&gt;"")*('01_予約入力'!$E$5:$E$204&lt;=$A19)*('01_予約入力'!$G$5:$G$204&gt;$A19)*(ROW('01_予約入力'!$E$5:$E$204)-4))))))</f>
        <v/>
      </c>
      <c r="D19" s="17">
        <f>IF(OR($A19="",D$6=""),"",IF(SUMPRODUCT(MAX(('01_予約入力'!$D$5:$D$204=D$6)*('01_予約入力'!$K$5:$K$204&lt;&gt;"キャンセル")*('01_予約入力'!$E$5:$E$204&lt;&gt;"")*('01_予約入力'!$E$5:$E$204&lt;=$A19)*('01_予約入力'!$G$5:$G$204&gt;$A19)*(ROW('01_予約入力'!$E$5:$E$204)-4)))=0,"",INDEX('01_予約入力'!$B$5:$B$204,SUMPRODUCT(MAX(('01_予約入力'!$D$5:$D$204=D$6)*('01_予約入力'!$K$5:$K$204&lt;&gt;"キャンセル")*('01_予約入力'!$E$5:$E$204&lt;&gt;"")*('01_予約入力'!$E$5:$E$204&lt;=$A19)*('01_予約入力'!$G$5:$G$204&gt;$A19)*(ROW('01_予約入力'!$E$5:$E$204)-4))))))</f>
        <v/>
      </c>
      <c r="E19" s="17">
        <f>IF(OR($A19="",E$6=""),"",IF(SUMPRODUCT(MAX(('01_予約入力'!$D$5:$D$204=E$6)*('01_予約入力'!$K$5:$K$204&lt;&gt;"キャンセル")*('01_予約入力'!$E$5:$E$204&lt;&gt;"")*('01_予約入力'!$E$5:$E$204&lt;=$A19)*('01_予約入力'!$G$5:$G$204&gt;$A19)*(ROW('01_予約入力'!$E$5:$E$204)-4)))=0,"",INDEX('01_予約入力'!$B$5:$B$204,SUMPRODUCT(MAX(('01_予約入力'!$D$5:$D$204=E$6)*('01_予約入力'!$K$5:$K$204&lt;&gt;"キャンセル")*('01_予約入力'!$E$5:$E$204&lt;&gt;"")*('01_予約入力'!$E$5:$E$204&lt;=$A19)*('01_予約入力'!$G$5:$G$204&gt;$A19)*(ROW('01_予約入力'!$E$5:$E$204)-4))))))</f>
        <v/>
      </c>
      <c r="F19" s="17">
        <f>IF(OR($A19="",F$6=""),"",IF(SUMPRODUCT(MAX(('01_予約入力'!$D$5:$D$204=F$6)*('01_予約入力'!$K$5:$K$204&lt;&gt;"キャンセル")*('01_予約入力'!$E$5:$E$204&lt;&gt;"")*('01_予約入力'!$E$5:$E$204&lt;=$A19)*('01_予約入力'!$G$5:$G$204&gt;$A19)*(ROW('01_予約入力'!$E$5:$E$204)-4)))=0,"",INDEX('01_予約入力'!$B$5:$B$204,SUMPRODUCT(MAX(('01_予約入力'!$D$5:$D$204=F$6)*('01_予約入力'!$K$5:$K$204&lt;&gt;"キャンセル")*('01_予約入力'!$E$5:$E$204&lt;&gt;"")*('01_予約入力'!$E$5:$E$204&lt;=$A19)*('01_予約入力'!$G$5:$G$204&gt;$A19)*(ROW('01_予約入力'!$E$5:$E$204)-4))))))</f>
        <v/>
      </c>
      <c r="G19" s="16">
        <f>IF($A19="","",SUMPRODUCT(('01_予約入力'!$E$5:$E$204&lt;&gt;"")*('01_予約入力'!$K$5:$K$204&lt;&gt;"キャンセル")*('01_予約入力'!$E$5:$E$204&lt;=$A19)*('01_予約入力'!$G$5:$G$204&gt;$A19)))</f>
        <v/>
      </c>
      <c r="H19" s="16">
        <f>IF($A19="","",'M_施設設定'!$B$6-$G19)</f>
        <v/>
      </c>
      <c r="I19" s="16">
        <f>IF($A19="","",SUMPRODUCT((('01_予約入力'!$K$5:$K$204="仮予約")+('01_予約入力'!$K$5:$K$204="調整中"))*('01_予約入力'!$E$5:$E$204&lt;&gt;"")*('01_予約入力'!$E$5:$E$204&lt;=$A19)*('01_予約入力'!$G$5:$G$204&gt;$A19)))</f>
        <v/>
      </c>
      <c r="J19" s="16">
        <f>IF($A19="","",IF($I19&gt;0,"仮",IF($H19&lt;=0,"×",IF($H19&lt;'M_施設設定'!$B$6,"△","○"))))</f>
        <v/>
      </c>
      <c r="K19" s="16">
        <f>IF($A19="","",SUMPRODUCT(('01_予約入力'!$E$5:$E$204&lt;&gt;"")*('01_予約入力'!$K$5:$K$204&lt;&gt;"キャンセル")*('01_予約入力'!$E$5:$E$204=$A19)*('01_予約入力'!$G$5:$G$204=$A19)))</f>
        <v/>
      </c>
    </row>
    <row r="20">
      <c r="A20" s="15">
        <f>IF(MONTH($B$4+13)&lt;&gt;MONTH($B$4),"",$B$4+13)</f>
        <v/>
      </c>
      <c r="B20" s="16">
        <f>IF($A20="","",MID("日月火水木金土",WEEKDAY($A20),1))</f>
        <v/>
      </c>
      <c r="C20" s="17">
        <f>IF(OR($A20="",C$6=""),"",IF(SUMPRODUCT(MAX(('01_予約入力'!$D$5:$D$204=C$6)*('01_予約入力'!$K$5:$K$204&lt;&gt;"キャンセル")*('01_予約入力'!$E$5:$E$204&lt;&gt;"")*('01_予約入力'!$E$5:$E$204&lt;=$A20)*('01_予約入力'!$G$5:$G$204&gt;$A20)*(ROW('01_予約入力'!$E$5:$E$204)-4)))=0,"",INDEX('01_予約入力'!$B$5:$B$204,SUMPRODUCT(MAX(('01_予約入力'!$D$5:$D$204=C$6)*('01_予約入力'!$K$5:$K$204&lt;&gt;"キャンセル")*('01_予約入力'!$E$5:$E$204&lt;&gt;"")*('01_予約入力'!$E$5:$E$204&lt;=$A20)*('01_予約入力'!$G$5:$G$204&gt;$A20)*(ROW('01_予約入力'!$E$5:$E$204)-4))))))</f>
        <v/>
      </c>
      <c r="D20" s="17">
        <f>IF(OR($A20="",D$6=""),"",IF(SUMPRODUCT(MAX(('01_予約入力'!$D$5:$D$204=D$6)*('01_予約入力'!$K$5:$K$204&lt;&gt;"キャンセル")*('01_予約入力'!$E$5:$E$204&lt;&gt;"")*('01_予約入力'!$E$5:$E$204&lt;=$A20)*('01_予約入力'!$G$5:$G$204&gt;$A20)*(ROW('01_予約入力'!$E$5:$E$204)-4)))=0,"",INDEX('01_予約入力'!$B$5:$B$204,SUMPRODUCT(MAX(('01_予約入力'!$D$5:$D$204=D$6)*('01_予約入力'!$K$5:$K$204&lt;&gt;"キャンセル")*('01_予約入力'!$E$5:$E$204&lt;&gt;"")*('01_予約入力'!$E$5:$E$204&lt;=$A20)*('01_予約入力'!$G$5:$G$204&gt;$A20)*(ROW('01_予約入力'!$E$5:$E$204)-4))))))</f>
        <v/>
      </c>
      <c r="E20" s="17">
        <f>IF(OR($A20="",E$6=""),"",IF(SUMPRODUCT(MAX(('01_予約入力'!$D$5:$D$204=E$6)*('01_予約入力'!$K$5:$K$204&lt;&gt;"キャンセル")*('01_予約入力'!$E$5:$E$204&lt;&gt;"")*('01_予約入力'!$E$5:$E$204&lt;=$A20)*('01_予約入力'!$G$5:$G$204&gt;$A20)*(ROW('01_予約入力'!$E$5:$E$204)-4)))=0,"",INDEX('01_予約入力'!$B$5:$B$204,SUMPRODUCT(MAX(('01_予約入力'!$D$5:$D$204=E$6)*('01_予約入力'!$K$5:$K$204&lt;&gt;"キャンセル")*('01_予約入力'!$E$5:$E$204&lt;&gt;"")*('01_予約入力'!$E$5:$E$204&lt;=$A20)*('01_予約入力'!$G$5:$G$204&gt;$A20)*(ROW('01_予約入力'!$E$5:$E$204)-4))))))</f>
        <v/>
      </c>
      <c r="F20" s="17">
        <f>IF(OR($A20="",F$6=""),"",IF(SUMPRODUCT(MAX(('01_予約入力'!$D$5:$D$204=F$6)*('01_予約入力'!$K$5:$K$204&lt;&gt;"キャンセル")*('01_予約入力'!$E$5:$E$204&lt;&gt;"")*('01_予約入力'!$E$5:$E$204&lt;=$A20)*('01_予約入力'!$G$5:$G$204&gt;$A20)*(ROW('01_予約入力'!$E$5:$E$204)-4)))=0,"",INDEX('01_予約入力'!$B$5:$B$204,SUMPRODUCT(MAX(('01_予約入力'!$D$5:$D$204=F$6)*('01_予約入力'!$K$5:$K$204&lt;&gt;"キャンセル")*('01_予約入力'!$E$5:$E$204&lt;&gt;"")*('01_予約入力'!$E$5:$E$204&lt;=$A20)*('01_予約入力'!$G$5:$G$204&gt;$A20)*(ROW('01_予約入力'!$E$5:$E$204)-4))))))</f>
        <v/>
      </c>
      <c r="G20" s="16">
        <f>IF($A20="","",SUMPRODUCT(('01_予約入力'!$E$5:$E$204&lt;&gt;"")*('01_予約入力'!$K$5:$K$204&lt;&gt;"キャンセル")*('01_予約入力'!$E$5:$E$204&lt;=$A20)*('01_予約入力'!$G$5:$G$204&gt;$A20)))</f>
        <v/>
      </c>
      <c r="H20" s="16">
        <f>IF($A20="","",'M_施設設定'!$B$6-$G20)</f>
        <v/>
      </c>
      <c r="I20" s="16">
        <f>IF($A20="","",SUMPRODUCT((('01_予約入力'!$K$5:$K$204="仮予約")+('01_予約入力'!$K$5:$K$204="調整中"))*('01_予約入力'!$E$5:$E$204&lt;&gt;"")*('01_予約入力'!$E$5:$E$204&lt;=$A20)*('01_予約入力'!$G$5:$G$204&gt;$A20)))</f>
        <v/>
      </c>
      <c r="J20" s="16">
        <f>IF($A20="","",IF($I20&gt;0,"仮",IF($H20&lt;=0,"×",IF($H20&lt;'M_施設設定'!$B$6,"△","○"))))</f>
        <v/>
      </c>
      <c r="K20" s="16">
        <f>IF($A20="","",SUMPRODUCT(('01_予約入力'!$E$5:$E$204&lt;&gt;"")*('01_予約入力'!$K$5:$K$204&lt;&gt;"キャンセル")*('01_予約入力'!$E$5:$E$204=$A20)*('01_予約入力'!$G$5:$G$204=$A20)))</f>
        <v/>
      </c>
    </row>
    <row r="21">
      <c r="A21" s="15">
        <f>IF(MONTH($B$4+14)&lt;&gt;MONTH($B$4),"",$B$4+14)</f>
        <v/>
      </c>
      <c r="B21" s="16">
        <f>IF($A21="","",MID("日月火水木金土",WEEKDAY($A21),1))</f>
        <v/>
      </c>
      <c r="C21" s="17">
        <f>IF(OR($A21="",C$6=""),"",IF(SUMPRODUCT(MAX(('01_予約入力'!$D$5:$D$204=C$6)*('01_予約入力'!$K$5:$K$204&lt;&gt;"キャンセル")*('01_予約入力'!$E$5:$E$204&lt;&gt;"")*('01_予約入力'!$E$5:$E$204&lt;=$A21)*('01_予約入力'!$G$5:$G$204&gt;$A21)*(ROW('01_予約入力'!$E$5:$E$204)-4)))=0,"",INDEX('01_予約入力'!$B$5:$B$204,SUMPRODUCT(MAX(('01_予約入力'!$D$5:$D$204=C$6)*('01_予約入力'!$K$5:$K$204&lt;&gt;"キャンセル")*('01_予約入力'!$E$5:$E$204&lt;&gt;"")*('01_予約入力'!$E$5:$E$204&lt;=$A21)*('01_予約入力'!$G$5:$G$204&gt;$A21)*(ROW('01_予約入力'!$E$5:$E$204)-4))))))</f>
        <v/>
      </c>
      <c r="D21" s="17">
        <f>IF(OR($A21="",D$6=""),"",IF(SUMPRODUCT(MAX(('01_予約入力'!$D$5:$D$204=D$6)*('01_予約入力'!$K$5:$K$204&lt;&gt;"キャンセル")*('01_予約入力'!$E$5:$E$204&lt;&gt;"")*('01_予約入力'!$E$5:$E$204&lt;=$A21)*('01_予約入力'!$G$5:$G$204&gt;$A21)*(ROW('01_予約入力'!$E$5:$E$204)-4)))=0,"",INDEX('01_予約入力'!$B$5:$B$204,SUMPRODUCT(MAX(('01_予約入力'!$D$5:$D$204=D$6)*('01_予約入力'!$K$5:$K$204&lt;&gt;"キャンセル")*('01_予約入力'!$E$5:$E$204&lt;&gt;"")*('01_予約入力'!$E$5:$E$204&lt;=$A21)*('01_予約入力'!$G$5:$G$204&gt;$A21)*(ROW('01_予約入力'!$E$5:$E$204)-4))))))</f>
        <v/>
      </c>
      <c r="E21" s="17">
        <f>IF(OR($A21="",E$6=""),"",IF(SUMPRODUCT(MAX(('01_予約入力'!$D$5:$D$204=E$6)*('01_予約入力'!$K$5:$K$204&lt;&gt;"キャンセル")*('01_予約入力'!$E$5:$E$204&lt;&gt;"")*('01_予約入力'!$E$5:$E$204&lt;=$A21)*('01_予約入力'!$G$5:$G$204&gt;$A21)*(ROW('01_予約入力'!$E$5:$E$204)-4)))=0,"",INDEX('01_予約入力'!$B$5:$B$204,SUMPRODUCT(MAX(('01_予約入力'!$D$5:$D$204=E$6)*('01_予約入力'!$K$5:$K$204&lt;&gt;"キャンセル")*('01_予約入力'!$E$5:$E$204&lt;&gt;"")*('01_予約入力'!$E$5:$E$204&lt;=$A21)*('01_予約入力'!$G$5:$G$204&gt;$A21)*(ROW('01_予約入力'!$E$5:$E$204)-4))))))</f>
        <v/>
      </c>
      <c r="F21" s="17">
        <f>IF(OR($A21="",F$6=""),"",IF(SUMPRODUCT(MAX(('01_予約入力'!$D$5:$D$204=F$6)*('01_予約入力'!$K$5:$K$204&lt;&gt;"キャンセル")*('01_予約入力'!$E$5:$E$204&lt;&gt;"")*('01_予約入力'!$E$5:$E$204&lt;=$A21)*('01_予約入力'!$G$5:$G$204&gt;$A21)*(ROW('01_予約入力'!$E$5:$E$204)-4)))=0,"",INDEX('01_予約入力'!$B$5:$B$204,SUMPRODUCT(MAX(('01_予約入力'!$D$5:$D$204=F$6)*('01_予約入力'!$K$5:$K$204&lt;&gt;"キャンセル")*('01_予約入力'!$E$5:$E$204&lt;&gt;"")*('01_予約入力'!$E$5:$E$204&lt;=$A21)*('01_予約入力'!$G$5:$G$204&gt;$A21)*(ROW('01_予約入力'!$E$5:$E$204)-4))))))</f>
        <v/>
      </c>
      <c r="G21" s="16">
        <f>IF($A21="","",SUMPRODUCT(('01_予約入力'!$E$5:$E$204&lt;&gt;"")*('01_予約入力'!$K$5:$K$204&lt;&gt;"キャンセル")*('01_予約入力'!$E$5:$E$204&lt;=$A21)*('01_予約入力'!$G$5:$G$204&gt;$A21)))</f>
        <v/>
      </c>
      <c r="H21" s="16">
        <f>IF($A21="","",'M_施設設定'!$B$6-$G21)</f>
        <v/>
      </c>
      <c r="I21" s="16">
        <f>IF($A21="","",SUMPRODUCT((('01_予約入力'!$K$5:$K$204="仮予約")+('01_予約入力'!$K$5:$K$204="調整中"))*('01_予約入力'!$E$5:$E$204&lt;&gt;"")*('01_予約入力'!$E$5:$E$204&lt;=$A21)*('01_予約入力'!$G$5:$G$204&gt;$A21)))</f>
        <v/>
      </c>
      <c r="J21" s="16">
        <f>IF($A21="","",IF($I21&gt;0,"仮",IF($H21&lt;=0,"×",IF($H21&lt;'M_施設設定'!$B$6,"△","○"))))</f>
        <v/>
      </c>
      <c r="K21" s="16">
        <f>IF($A21="","",SUMPRODUCT(('01_予約入力'!$E$5:$E$204&lt;&gt;"")*('01_予約入力'!$K$5:$K$204&lt;&gt;"キャンセル")*('01_予約入力'!$E$5:$E$204=$A21)*('01_予約入力'!$G$5:$G$204=$A21)))</f>
        <v/>
      </c>
    </row>
    <row r="22">
      <c r="A22" s="15">
        <f>IF(MONTH($B$4+15)&lt;&gt;MONTH($B$4),"",$B$4+15)</f>
        <v/>
      </c>
      <c r="B22" s="16">
        <f>IF($A22="","",MID("日月火水木金土",WEEKDAY($A22),1))</f>
        <v/>
      </c>
      <c r="C22" s="17">
        <f>IF(OR($A22="",C$6=""),"",IF(SUMPRODUCT(MAX(('01_予約入力'!$D$5:$D$204=C$6)*('01_予約入力'!$K$5:$K$204&lt;&gt;"キャンセル")*('01_予約入力'!$E$5:$E$204&lt;&gt;"")*('01_予約入力'!$E$5:$E$204&lt;=$A22)*('01_予約入力'!$G$5:$G$204&gt;$A22)*(ROW('01_予約入力'!$E$5:$E$204)-4)))=0,"",INDEX('01_予約入力'!$B$5:$B$204,SUMPRODUCT(MAX(('01_予約入力'!$D$5:$D$204=C$6)*('01_予約入力'!$K$5:$K$204&lt;&gt;"キャンセル")*('01_予約入力'!$E$5:$E$204&lt;&gt;"")*('01_予約入力'!$E$5:$E$204&lt;=$A22)*('01_予約入力'!$G$5:$G$204&gt;$A22)*(ROW('01_予約入力'!$E$5:$E$204)-4))))))</f>
        <v/>
      </c>
      <c r="D22" s="17">
        <f>IF(OR($A22="",D$6=""),"",IF(SUMPRODUCT(MAX(('01_予約入力'!$D$5:$D$204=D$6)*('01_予約入力'!$K$5:$K$204&lt;&gt;"キャンセル")*('01_予約入力'!$E$5:$E$204&lt;&gt;"")*('01_予約入力'!$E$5:$E$204&lt;=$A22)*('01_予約入力'!$G$5:$G$204&gt;$A22)*(ROW('01_予約入力'!$E$5:$E$204)-4)))=0,"",INDEX('01_予約入力'!$B$5:$B$204,SUMPRODUCT(MAX(('01_予約入力'!$D$5:$D$204=D$6)*('01_予約入力'!$K$5:$K$204&lt;&gt;"キャンセル")*('01_予約入力'!$E$5:$E$204&lt;&gt;"")*('01_予約入力'!$E$5:$E$204&lt;=$A22)*('01_予約入力'!$G$5:$G$204&gt;$A22)*(ROW('01_予約入力'!$E$5:$E$204)-4))))))</f>
        <v/>
      </c>
      <c r="E22" s="17">
        <f>IF(OR($A22="",E$6=""),"",IF(SUMPRODUCT(MAX(('01_予約入力'!$D$5:$D$204=E$6)*('01_予約入力'!$K$5:$K$204&lt;&gt;"キャンセル")*('01_予約入力'!$E$5:$E$204&lt;&gt;"")*('01_予約入力'!$E$5:$E$204&lt;=$A22)*('01_予約入力'!$G$5:$G$204&gt;$A22)*(ROW('01_予約入力'!$E$5:$E$204)-4)))=0,"",INDEX('01_予約入力'!$B$5:$B$204,SUMPRODUCT(MAX(('01_予約入力'!$D$5:$D$204=E$6)*('01_予約入力'!$K$5:$K$204&lt;&gt;"キャンセル")*('01_予約入力'!$E$5:$E$204&lt;&gt;"")*('01_予約入力'!$E$5:$E$204&lt;=$A22)*('01_予約入力'!$G$5:$G$204&gt;$A22)*(ROW('01_予約入力'!$E$5:$E$204)-4))))))</f>
        <v/>
      </c>
      <c r="F22" s="17">
        <f>IF(OR($A22="",F$6=""),"",IF(SUMPRODUCT(MAX(('01_予約入力'!$D$5:$D$204=F$6)*('01_予約入力'!$K$5:$K$204&lt;&gt;"キャンセル")*('01_予約入力'!$E$5:$E$204&lt;&gt;"")*('01_予約入力'!$E$5:$E$204&lt;=$A22)*('01_予約入力'!$G$5:$G$204&gt;$A22)*(ROW('01_予約入力'!$E$5:$E$204)-4)))=0,"",INDEX('01_予約入力'!$B$5:$B$204,SUMPRODUCT(MAX(('01_予約入力'!$D$5:$D$204=F$6)*('01_予約入力'!$K$5:$K$204&lt;&gt;"キャンセル")*('01_予約入力'!$E$5:$E$204&lt;&gt;"")*('01_予約入力'!$E$5:$E$204&lt;=$A22)*('01_予約入力'!$G$5:$G$204&gt;$A22)*(ROW('01_予約入力'!$E$5:$E$204)-4))))))</f>
        <v/>
      </c>
      <c r="G22" s="16">
        <f>IF($A22="","",SUMPRODUCT(('01_予約入力'!$E$5:$E$204&lt;&gt;"")*('01_予約入力'!$K$5:$K$204&lt;&gt;"キャンセル")*('01_予約入力'!$E$5:$E$204&lt;=$A22)*('01_予約入力'!$G$5:$G$204&gt;$A22)))</f>
        <v/>
      </c>
      <c r="H22" s="16">
        <f>IF($A22="","",'M_施設設定'!$B$6-$G22)</f>
        <v/>
      </c>
      <c r="I22" s="16">
        <f>IF($A22="","",SUMPRODUCT((('01_予約入力'!$K$5:$K$204="仮予約")+('01_予約入力'!$K$5:$K$204="調整中"))*('01_予約入力'!$E$5:$E$204&lt;&gt;"")*('01_予約入力'!$E$5:$E$204&lt;=$A22)*('01_予約入力'!$G$5:$G$204&gt;$A22)))</f>
        <v/>
      </c>
      <c r="J22" s="16">
        <f>IF($A22="","",IF($I22&gt;0,"仮",IF($H22&lt;=0,"×",IF($H22&lt;'M_施設設定'!$B$6,"△","○"))))</f>
        <v/>
      </c>
      <c r="K22" s="16">
        <f>IF($A22="","",SUMPRODUCT(('01_予約入力'!$E$5:$E$204&lt;&gt;"")*('01_予約入力'!$K$5:$K$204&lt;&gt;"キャンセル")*('01_予約入力'!$E$5:$E$204=$A22)*('01_予約入力'!$G$5:$G$204=$A22)))</f>
        <v/>
      </c>
    </row>
    <row r="23">
      <c r="A23" s="15">
        <f>IF(MONTH($B$4+16)&lt;&gt;MONTH($B$4),"",$B$4+16)</f>
        <v/>
      </c>
      <c r="B23" s="16">
        <f>IF($A23="","",MID("日月火水木金土",WEEKDAY($A23),1))</f>
        <v/>
      </c>
      <c r="C23" s="17">
        <f>IF(OR($A23="",C$6=""),"",IF(SUMPRODUCT(MAX(('01_予約入力'!$D$5:$D$204=C$6)*('01_予約入力'!$K$5:$K$204&lt;&gt;"キャンセル")*('01_予約入力'!$E$5:$E$204&lt;&gt;"")*('01_予約入力'!$E$5:$E$204&lt;=$A23)*('01_予約入力'!$G$5:$G$204&gt;$A23)*(ROW('01_予約入力'!$E$5:$E$204)-4)))=0,"",INDEX('01_予約入力'!$B$5:$B$204,SUMPRODUCT(MAX(('01_予約入力'!$D$5:$D$204=C$6)*('01_予約入力'!$K$5:$K$204&lt;&gt;"キャンセル")*('01_予約入力'!$E$5:$E$204&lt;&gt;"")*('01_予約入力'!$E$5:$E$204&lt;=$A23)*('01_予約入力'!$G$5:$G$204&gt;$A23)*(ROW('01_予約入力'!$E$5:$E$204)-4))))))</f>
        <v/>
      </c>
      <c r="D23" s="17">
        <f>IF(OR($A23="",D$6=""),"",IF(SUMPRODUCT(MAX(('01_予約入力'!$D$5:$D$204=D$6)*('01_予約入力'!$K$5:$K$204&lt;&gt;"キャンセル")*('01_予約入力'!$E$5:$E$204&lt;&gt;"")*('01_予約入力'!$E$5:$E$204&lt;=$A23)*('01_予約入力'!$G$5:$G$204&gt;$A23)*(ROW('01_予約入力'!$E$5:$E$204)-4)))=0,"",INDEX('01_予約入力'!$B$5:$B$204,SUMPRODUCT(MAX(('01_予約入力'!$D$5:$D$204=D$6)*('01_予約入力'!$K$5:$K$204&lt;&gt;"キャンセル")*('01_予約入力'!$E$5:$E$204&lt;&gt;"")*('01_予約入力'!$E$5:$E$204&lt;=$A23)*('01_予約入力'!$G$5:$G$204&gt;$A23)*(ROW('01_予約入力'!$E$5:$E$204)-4))))))</f>
        <v/>
      </c>
      <c r="E23" s="17">
        <f>IF(OR($A23="",E$6=""),"",IF(SUMPRODUCT(MAX(('01_予約入力'!$D$5:$D$204=E$6)*('01_予約入力'!$K$5:$K$204&lt;&gt;"キャンセル")*('01_予約入力'!$E$5:$E$204&lt;&gt;"")*('01_予約入力'!$E$5:$E$204&lt;=$A23)*('01_予約入力'!$G$5:$G$204&gt;$A23)*(ROW('01_予約入力'!$E$5:$E$204)-4)))=0,"",INDEX('01_予約入力'!$B$5:$B$204,SUMPRODUCT(MAX(('01_予約入力'!$D$5:$D$204=E$6)*('01_予約入力'!$K$5:$K$204&lt;&gt;"キャンセル")*('01_予約入力'!$E$5:$E$204&lt;&gt;"")*('01_予約入力'!$E$5:$E$204&lt;=$A23)*('01_予約入力'!$G$5:$G$204&gt;$A23)*(ROW('01_予約入力'!$E$5:$E$204)-4))))))</f>
        <v/>
      </c>
      <c r="F23" s="17">
        <f>IF(OR($A23="",F$6=""),"",IF(SUMPRODUCT(MAX(('01_予約入力'!$D$5:$D$204=F$6)*('01_予約入力'!$K$5:$K$204&lt;&gt;"キャンセル")*('01_予約入力'!$E$5:$E$204&lt;&gt;"")*('01_予約入力'!$E$5:$E$204&lt;=$A23)*('01_予約入力'!$G$5:$G$204&gt;$A23)*(ROW('01_予約入力'!$E$5:$E$204)-4)))=0,"",INDEX('01_予約入力'!$B$5:$B$204,SUMPRODUCT(MAX(('01_予約入力'!$D$5:$D$204=F$6)*('01_予約入力'!$K$5:$K$204&lt;&gt;"キャンセル")*('01_予約入力'!$E$5:$E$204&lt;&gt;"")*('01_予約入力'!$E$5:$E$204&lt;=$A23)*('01_予約入力'!$G$5:$G$204&gt;$A23)*(ROW('01_予約入力'!$E$5:$E$204)-4))))))</f>
        <v/>
      </c>
      <c r="G23" s="16">
        <f>IF($A23="","",SUMPRODUCT(('01_予約入力'!$E$5:$E$204&lt;&gt;"")*('01_予約入力'!$K$5:$K$204&lt;&gt;"キャンセル")*('01_予約入力'!$E$5:$E$204&lt;=$A23)*('01_予約入力'!$G$5:$G$204&gt;$A23)))</f>
        <v/>
      </c>
      <c r="H23" s="16">
        <f>IF($A23="","",'M_施設設定'!$B$6-$G23)</f>
        <v/>
      </c>
      <c r="I23" s="16">
        <f>IF($A23="","",SUMPRODUCT((('01_予約入力'!$K$5:$K$204="仮予約")+('01_予約入力'!$K$5:$K$204="調整中"))*('01_予約入力'!$E$5:$E$204&lt;&gt;"")*('01_予約入力'!$E$5:$E$204&lt;=$A23)*('01_予約入力'!$G$5:$G$204&gt;$A23)))</f>
        <v/>
      </c>
      <c r="J23" s="16">
        <f>IF($A23="","",IF($I23&gt;0,"仮",IF($H23&lt;=0,"×",IF($H23&lt;'M_施設設定'!$B$6,"△","○"))))</f>
        <v/>
      </c>
      <c r="K23" s="16">
        <f>IF($A23="","",SUMPRODUCT(('01_予約入力'!$E$5:$E$204&lt;&gt;"")*('01_予約入力'!$K$5:$K$204&lt;&gt;"キャンセル")*('01_予約入力'!$E$5:$E$204=$A23)*('01_予約入力'!$G$5:$G$204=$A23)))</f>
        <v/>
      </c>
    </row>
    <row r="24">
      <c r="A24" s="15">
        <f>IF(MONTH($B$4+17)&lt;&gt;MONTH($B$4),"",$B$4+17)</f>
        <v/>
      </c>
      <c r="B24" s="16">
        <f>IF($A24="","",MID("日月火水木金土",WEEKDAY($A24),1))</f>
        <v/>
      </c>
      <c r="C24" s="17">
        <f>IF(OR($A24="",C$6=""),"",IF(SUMPRODUCT(MAX(('01_予約入力'!$D$5:$D$204=C$6)*('01_予約入力'!$K$5:$K$204&lt;&gt;"キャンセル")*('01_予約入力'!$E$5:$E$204&lt;&gt;"")*('01_予約入力'!$E$5:$E$204&lt;=$A24)*('01_予約入力'!$G$5:$G$204&gt;$A24)*(ROW('01_予約入力'!$E$5:$E$204)-4)))=0,"",INDEX('01_予約入力'!$B$5:$B$204,SUMPRODUCT(MAX(('01_予約入力'!$D$5:$D$204=C$6)*('01_予約入力'!$K$5:$K$204&lt;&gt;"キャンセル")*('01_予約入力'!$E$5:$E$204&lt;&gt;"")*('01_予約入力'!$E$5:$E$204&lt;=$A24)*('01_予約入力'!$G$5:$G$204&gt;$A24)*(ROW('01_予約入力'!$E$5:$E$204)-4))))))</f>
        <v/>
      </c>
      <c r="D24" s="17">
        <f>IF(OR($A24="",D$6=""),"",IF(SUMPRODUCT(MAX(('01_予約入力'!$D$5:$D$204=D$6)*('01_予約入力'!$K$5:$K$204&lt;&gt;"キャンセル")*('01_予約入力'!$E$5:$E$204&lt;&gt;"")*('01_予約入力'!$E$5:$E$204&lt;=$A24)*('01_予約入力'!$G$5:$G$204&gt;$A24)*(ROW('01_予約入力'!$E$5:$E$204)-4)))=0,"",INDEX('01_予約入力'!$B$5:$B$204,SUMPRODUCT(MAX(('01_予約入力'!$D$5:$D$204=D$6)*('01_予約入力'!$K$5:$K$204&lt;&gt;"キャンセル")*('01_予約入力'!$E$5:$E$204&lt;&gt;"")*('01_予約入力'!$E$5:$E$204&lt;=$A24)*('01_予約入力'!$G$5:$G$204&gt;$A24)*(ROW('01_予約入力'!$E$5:$E$204)-4))))))</f>
        <v/>
      </c>
      <c r="E24" s="17">
        <f>IF(OR($A24="",E$6=""),"",IF(SUMPRODUCT(MAX(('01_予約入力'!$D$5:$D$204=E$6)*('01_予約入力'!$K$5:$K$204&lt;&gt;"キャンセル")*('01_予約入力'!$E$5:$E$204&lt;&gt;"")*('01_予約入力'!$E$5:$E$204&lt;=$A24)*('01_予約入力'!$G$5:$G$204&gt;$A24)*(ROW('01_予約入力'!$E$5:$E$204)-4)))=0,"",INDEX('01_予約入力'!$B$5:$B$204,SUMPRODUCT(MAX(('01_予約入力'!$D$5:$D$204=E$6)*('01_予約入力'!$K$5:$K$204&lt;&gt;"キャンセル")*('01_予約入力'!$E$5:$E$204&lt;&gt;"")*('01_予約入力'!$E$5:$E$204&lt;=$A24)*('01_予約入力'!$G$5:$G$204&gt;$A24)*(ROW('01_予約入力'!$E$5:$E$204)-4))))))</f>
        <v/>
      </c>
      <c r="F24" s="17">
        <f>IF(OR($A24="",F$6=""),"",IF(SUMPRODUCT(MAX(('01_予約入力'!$D$5:$D$204=F$6)*('01_予約入力'!$K$5:$K$204&lt;&gt;"キャンセル")*('01_予約入力'!$E$5:$E$204&lt;&gt;"")*('01_予約入力'!$E$5:$E$204&lt;=$A24)*('01_予約入力'!$G$5:$G$204&gt;$A24)*(ROW('01_予約入力'!$E$5:$E$204)-4)))=0,"",INDEX('01_予約入力'!$B$5:$B$204,SUMPRODUCT(MAX(('01_予約入力'!$D$5:$D$204=F$6)*('01_予約入力'!$K$5:$K$204&lt;&gt;"キャンセル")*('01_予約入力'!$E$5:$E$204&lt;&gt;"")*('01_予約入力'!$E$5:$E$204&lt;=$A24)*('01_予約入力'!$G$5:$G$204&gt;$A24)*(ROW('01_予約入力'!$E$5:$E$204)-4))))))</f>
        <v/>
      </c>
      <c r="G24" s="16">
        <f>IF($A24="","",SUMPRODUCT(('01_予約入力'!$E$5:$E$204&lt;&gt;"")*('01_予約入力'!$K$5:$K$204&lt;&gt;"キャンセル")*('01_予約入力'!$E$5:$E$204&lt;=$A24)*('01_予約入力'!$G$5:$G$204&gt;$A24)))</f>
        <v/>
      </c>
      <c r="H24" s="16">
        <f>IF($A24="","",'M_施設設定'!$B$6-$G24)</f>
        <v/>
      </c>
      <c r="I24" s="16">
        <f>IF($A24="","",SUMPRODUCT((('01_予約入力'!$K$5:$K$204="仮予約")+('01_予約入力'!$K$5:$K$204="調整中"))*('01_予約入力'!$E$5:$E$204&lt;&gt;"")*('01_予約入力'!$E$5:$E$204&lt;=$A24)*('01_予約入力'!$G$5:$G$204&gt;$A24)))</f>
        <v/>
      </c>
      <c r="J24" s="16">
        <f>IF($A24="","",IF($I24&gt;0,"仮",IF($H24&lt;=0,"×",IF($H24&lt;'M_施設設定'!$B$6,"△","○"))))</f>
        <v/>
      </c>
      <c r="K24" s="16">
        <f>IF($A24="","",SUMPRODUCT(('01_予約入力'!$E$5:$E$204&lt;&gt;"")*('01_予約入力'!$K$5:$K$204&lt;&gt;"キャンセル")*('01_予約入力'!$E$5:$E$204=$A24)*('01_予約入力'!$G$5:$G$204=$A24)))</f>
        <v/>
      </c>
    </row>
    <row r="25">
      <c r="A25" s="15">
        <f>IF(MONTH($B$4+18)&lt;&gt;MONTH($B$4),"",$B$4+18)</f>
        <v/>
      </c>
      <c r="B25" s="16">
        <f>IF($A25="","",MID("日月火水木金土",WEEKDAY($A25),1))</f>
        <v/>
      </c>
      <c r="C25" s="17">
        <f>IF(OR($A25="",C$6=""),"",IF(SUMPRODUCT(MAX(('01_予約入力'!$D$5:$D$204=C$6)*('01_予約入力'!$K$5:$K$204&lt;&gt;"キャンセル")*('01_予約入力'!$E$5:$E$204&lt;&gt;"")*('01_予約入力'!$E$5:$E$204&lt;=$A25)*('01_予約入力'!$G$5:$G$204&gt;$A25)*(ROW('01_予約入力'!$E$5:$E$204)-4)))=0,"",INDEX('01_予約入力'!$B$5:$B$204,SUMPRODUCT(MAX(('01_予約入力'!$D$5:$D$204=C$6)*('01_予約入力'!$K$5:$K$204&lt;&gt;"キャンセル")*('01_予約入力'!$E$5:$E$204&lt;&gt;"")*('01_予約入力'!$E$5:$E$204&lt;=$A25)*('01_予約入力'!$G$5:$G$204&gt;$A25)*(ROW('01_予約入力'!$E$5:$E$204)-4))))))</f>
        <v/>
      </c>
      <c r="D25" s="17">
        <f>IF(OR($A25="",D$6=""),"",IF(SUMPRODUCT(MAX(('01_予約入力'!$D$5:$D$204=D$6)*('01_予約入力'!$K$5:$K$204&lt;&gt;"キャンセル")*('01_予約入力'!$E$5:$E$204&lt;&gt;"")*('01_予約入力'!$E$5:$E$204&lt;=$A25)*('01_予約入力'!$G$5:$G$204&gt;$A25)*(ROW('01_予約入力'!$E$5:$E$204)-4)))=0,"",INDEX('01_予約入力'!$B$5:$B$204,SUMPRODUCT(MAX(('01_予約入力'!$D$5:$D$204=D$6)*('01_予約入力'!$K$5:$K$204&lt;&gt;"キャンセル")*('01_予約入力'!$E$5:$E$204&lt;&gt;"")*('01_予約入力'!$E$5:$E$204&lt;=$A25)*('01_予約入力'!$G$5:$G$204&gt;$A25)*(ROW('01_予約入力'!$E$5:$E$204)-4))))))</f>
        <v/>
      </c>
      <c r="E25" s="17">
        <f>IF(OR($A25="",E$6=""),"",IF(SUMPRODUCT(MAX(('01_予約入力'!$D$5:$D$204=E$6)*('01_予約入力'!$K$5:$K$204&lt;&gt;"キャンセル")*('01_予約入力'!$E$5:$E$204&lt;&gt;"")*('01_予約入力'!$E$5:$E$204&lt;=$A25)*('01_予約入力'!$G$5:$G$204&gt;$A25)*(ROW('01_予約入力'!$E$5:$E$204)-4)))=0,"",INDEX('01_予約入力'!$B$5:$B$204,SUMPRODUCT(MAX(('01_予約入力'!$D$5:$D$204=E$6)*('01_予約入力'!$K$5:$K$204&lt;&gt;"キャンセル")*('01_予約入力'!$E$5:$E$204&lt;&gt;"")*('01_予約入力'!$E$5:$E$204&lt;=$A25)*('01_予約入力'!$G$5:$G$204&gt;$A25)*(ROW('01_予約入力'!$E$5:$E$204)-4))))))</f>
        <v/>
      </c>
      <c r="F25" s="17">
        <f>IF(OR($A25="",F$6=""),"",IF(SUMPRODUCT(MAX(('01_予約入力'!$D$5:$D$204=F$6)*('01_予約入力'!$K$5:$K$204&lt;&gt;"キャンセル")*('01_予約入力'!$E$5:$E$204&lt;&gt;"")*('01_予約入力'!$E$5:$E$204&lt;=$A25)*('01_予約入力'!$G$5:$G$204&gt;$A25)*(ROW('01_予約入力'!$E$5:$E$204)-4)))=0,"",INDEX('01_予約入力'!$B$5:$B$204,SUMPRODUCT(MAX(('01_予約入力'!$D$5:$D$204=F$6)*('01_予約入力'!$K$5:$K$204&lt;&gt;"キャンセル")*('01_予約入力'!$E$5:$E$204&lt;&gt;"")*('01_予約入力'!$E$5:$E$204&lt;=$A25)*('01_予約入力'!$G$5:$G$204&gt;$A25)*(ROW('01_予約入力'!$E$5:$E$204)-4))))))</f>
        <v/>
      </c>
      <c r="G25" s="16">
        <f>IF($A25="","",SUMPRODUCT(('01_予約入力'!$E$5:$E$204&lt;&gt;"")*('01_予約入力'!$K$5:$K$204&lt;&gt;"キャンセル")*('01_予約入力'!$E$5:$E$204&lt;=$A25)*('01_予約入力'!$G$5:$G$204&gt;$A25)))</f>
        <v/>
      </c>
      <c r="H25" s="16">
        <f>IF($A25="","",'M_施設設定'!$B$6-$G25)</f>
        <v/>
      </c>
      <c r="I25" s="16">
        <f>IF($A25="","",SUMPRODUCT((('01_予約入力'!$K$5:$K$204="仮予約")+('01_予約入力'!$K$5:$K$204="調整中"))*('01_予約入力'!$E$5:$E$204&lt;&gt;"")*('01_予約入力'!$E$5:$E$204&lt;=$A25)*('01_予約入力'!$G$5:$G$204&gt;$A25)))</f>
        <v/>
      </c>
      <c r="J25" s="16">
        <f>IF($A25="","",IF($I25&gt;0,"仮",IF($H25&lt;=0,"×",IF($H25&lt;'M_施設設定'!$B$6,"△","○"))))</f>
        <v/>
      </c>
      <c r="K25" s="16">
        <f>IF($A25="","",SUMPRODUCT(('01_予約入力'!$E$5:$E$204&lt;&gt;"")*('01_予約入力'!$K$5:$K$204&lt;&gt;"キャンセル")*('01_予約入力'!$E$5:$E$204=$A25)*('01_予約入力'!$G$5:$G$204=$A25)))</f>
        <v/>
      </c>
    </row>
    <row r="26">
      <c r="A26" s="15">
        <f>IF(MONTH($B$4+19)&lt;&gt;MONTH($B$4),"",$B$4+19)</f>
        <v/>
      </c>
      <c r="B26" s="16">
        <f>IF($A26="","",MID("日月火水木金土",WEEKDAY($A26),1))</f>
        <v/>
      </c>
      <c r="C26" s="17">
        <f>IF(OR($A26="",C$6=""),"",IF(SUMPRODUCT(MAX(('01_予約入力'!$D$5:$D$204=C$6)*('01_予約入力'!$K$5:$K$204&lt;&gt;"キャンセル")*('01_予約入力'!$E$5:$E$204&lt;&gt;"")*('01_予約入力'!$E$5:$E$204&lt;=$A26)*('01_予約入力'!$G$5:$G$204&gt;$A26)*(ROW('01_予約入力'!$E$5:$E$204)-4)))=0,"",INDEX('01_予約入力'!$B$5:$B$204,SUMPRODUCT(MAX(('01_予約入力'!$D$5:$D$204=C$6)*('01_予約入力'!$K$5:$K$204&lt;&gt;"キャンセル")*('01_予約入力'!$E$5:$E$204&lt;&gt;"")*('01_予約入力'!$E$5:$E$204&lt;=$A26)*('01_予約入力'!$G$5:$G$204&gt;$A26)*(ROW('01_予約入力'!$E$5:$E$204)-4))))))</f>
        <v/>
      </c>
      <c r="D26" s="17">
        <f>IF(OR($A26="",D$6=""),"",IF(SUMPRODUCT(MAX(('01_予約入力'!$D$5:$D$204=D$6)*('01_予約入力'!$K$5:$K$204&lt;&gt;"キャンセル")*('01_予約入力'!$E$5:$E$204&lt;&gt;"")*('01_予約入力'!$E$5:$E$204&lt;=$A26)*('01_予約入力'!$G$5:$G$204&gt;$A26)*(ROW('01_予約入力'!$E$5:$E$204)-4)))=0,"",INDEX('01_予約入力'!$B$5:$B$204,SUMPRODUCT(MAX(('01_予約入力'!$D$5:$D$204=D$6)*('01_予約入力'!$K$5:$K$204&lt;&gt;"キャンセル")*('01_予約入力'!$E$5:$E$204&lt;&gt;"")*('01_予約入力'!$E$5:$E$204&lt;=$A26)*('01_予約入力'!$G$5:$G$204&gt;$A26)*(ROW('01_予約入力'!$E$5:$E$204)-4))))))</f>
        <v/>
      </c>
      <c r="E26" s="17">
        <f>IF(OR($A26="",E$6=""),"",IF(SUMPRODUCT(MAX(('01_予約入力'!$D$5:$D$204=E$6)*('01_予約入力'!$K$5:$K$204&lt;&gt;"キャンセル")*('01_予約入力'!$E$5:$E$204&lt;&gt;"")*('01_予約入力'!$E$5:$E$204&lt;=$A26)*('01_予約入力'!$G$5:$G$204&gt;$A26)*(ROW('01_予約入力'!$E$5:$E$204)-4)))=0,"",INDEX('01_予約入力'!$B$5:$B$204,SUMPRODUCT(MAX(('01_予約入力'!$D$5:$D$204=E$6)*('01_予約入力'!$K$5:$K$204&lt;&gt;"キャンセル")*('01_予約入力'!$E$5:$E$204&lt;&gt;"")*('01_予約入力'!$E$5:$E$204&lt;=$A26)*('01_予約入力'!$G$5:$G$204&gt;$A26)*(ROW('01_予約入力'!$E$5:$E$204)-4))))))</f>
        <v/>
      </c>
      <c r="F26" s="17">
        <f>IF(OR($A26="",F$6=""),"",IF(SUMPRODUCT(MAX(('01_予約入力'!$D$5:$D$204=F$6)*('01_予約入力'!$K$5:$K$204&lt;&gt;"キャンセル")*('01_予約入力'!$E$5:$E$204&lt;&gt;"")*('01_予約入力'!$E$5:$E$204&lt;=$A26)*('01_予約入力'!$G$5:$G$204&gt;$A26)*(ROW('01_予約入力'!$E$5:$E$204)-4)))=0,"",INDEX('01_予約入力'!$B$5:$B$204,SUMPRODUCT(MAX(('01_予約入力'!$D$5:$D$204=F$6)*('01_予約入力'!$K$5:$K$204&lt;&gt;"キャンセル")*('01_予約入力'!$E$5:$E$204&lt;&gt;"")*('01_予約入力'!$E$5:$E$204&lt;=$A26)*('01_予約入力'!$G$5:$G$204&gt;$A26)*(ROW('01_予約入力'!$E$5:$E$204)-4))))))</f>
        <v/>
      </c>
      <c r="G26" s="16">
        <f>IF($A26="","",SUMPRODUCT(('01_予約入力'!$E$5:$E$204&lt;&gt;"")*('01_予約入力'!$K$5:$K$204&lt;&gt;"キャンセル")*('01_予約入力'!$E$5:$E$204&lt;=$A26)*('01_予約入力'!$G$5:$G$204&gt;$A26)))</f>
        <v/>
      </c>
      <c r="H26" s="16">
        <f>IF($A26="","",'M_施設設定'!$B$6-$G26)</f>
        <v/>
      </c>
      <c r="I26" s="16">
        <f>IF($A26="","",SUMPRODUCT((('01_予約入力'!$K$5:$K$204="仮予約")+('01_予約入力'!$K$5:$K$204="調整中"))*('01_予約入力'!$E$5:$E$204&lt;&gt;"")*('01_予約入力'!$E$5:$E$204&lt;=$A26)*('01_予約入力'!$G$5:$G$204&gt;$A26)))</f>
        <v/>
      </c>
      <c r="J26" s="16">
        <f>IF($A26="","",IF($I26&gt;0,"仮",IF($H26&lt;=0,"×",IF($H26&lt;'M_施設設定'!$B$6,"△","○"))))</f>
        <v/>
      </c>
      <c r="K26" s="16">
        <f>IF($A26="","",SUMPRODUCT(('01_予約入力'!$E$5:$E$204&lt;&gt;"")*('01_予約入力'!$K$5:$K$204&lt;&gt;"キャンセル")*('01_予約入力'!$E$5:$E$204=$A26)*('01_予約入力'!$G$5:$G$204=$A26)))</f>
        <v/>
      </c>
    </row>
    <row r="27">
      <c r="A27" s="15">
        <f>IF(MONTH($B$4+20)&lt;&gt;MONTH($B$4),"",$B$4+20)</f>
        <v/>
      </c>
      <c r="B27" s="16">
        <f>IF($A27="","",MID("日月火水木金土",WEEKDAY($A27),1))</f>
        <v/>
      </c>
      <c r="C27" s="17">
        <f>IF(OR($A27="",C$6=""),"",IF(SUMPRODUCT(MAX(('01_予約入力'!$D$5:$D$204=C$6)*('01_予約入力'!$K$5:$K$204&lt;&gt;"キャンセル")*('01_予約入力'!$E$5:$E$204&lt;&gt;"")*('01_予約入力'!$E$5:$E$204&lt;=$A27)*('01_予約入力'!$G$5:$G$204&gt;$A27)*(ROW('01_予約入力'!$E$5:$E$204)-4)))=0,"",INDEX('01_予約入力'!$B$5:$B$204,SUMPRODUCT(MAX(('01_予約入力'!$D$5:$D$204=C$6)*('01_予約入力'!$K$5:$K$204&lt;&gt;"キャンセル")*('01_予約入力'!$E$5:$E$204&lt;&gt;"")*('01_予約入力'!$E$5:$E$204&lt;=$A27)*('01_予約入力'!$G$5:$G$204&gt;$A27)*(ROW('01_予約入力'!$E$5:$E$204)-4))))))</f>
        <v/>
      </c>
      <c r="D27" s="17">
        <f>IF(OR($A27="",D$6=""),"",IF(SUMPRODUCT(MAX(('01_予約入力'!$D$5:$D$204=D$6)*('01_予約入力'!$K$5:$K$204&lt;&gt;"キャンセル")*('01_予約入力'!$E$5:$E$204&lt;&gt;"")*('01_予約入力'!$E$5:$E$204&lt;=$A27)*('01_予約入力'!$G$5:$G$204&gt;$A27)*(ROW('01_予約入力'!$E$5:$E$204)-4)))=0,"",INDEX('01_予約入力'!$B$5:$B$204,SUMPRODUCT(MAX(('01_予約入力'!$D$5:$D$204=D$6)*('01_予約入力'!$K$5:$K$204&lt;&gt;"キャンセル")*('01_予約入力'!$E$5:$E$204&lt;&gt;"")*('01_予約入力'!$E$5:$E$204&lt;=$A27)*('01_予約入力'!$G$5:$G$204&gt;$A27)*(ROW('01_予約入力'!$E$5:$E$204)-4))))))</f>
        <v/>
      </c>
      <c r="E27" s="17">
        <f>IF(OR($A27="",E$6=""),"",IF(SUMPRODUCT(MAX(('01_予約入力'!$D$5:$D$204=E$6)*('01_予約入力'!$K$5:$K$204&lt;&gt;"キャンセル")*('01_予約入力'!$E$5:$E$204&lt;&gt;"")*('01_予約入力'!$E$5:$E$204&lt;=$A27)*('01_予約入力'!$G$5:$G$204&gt;$A27)*(ROW('01_予約入力'!$E$5:$E$204)-4)))=0,"",INDEX('01_予約入力'!$B$5:$B$204,SUMPRODUCT(MAX(('01_予約入力'!$D$5:$D$204=E$6)*('01_予約入力'!$K$5:$K$204&lt;&gt;"キャンセル")*('01_予約入力'!$E$5:$E$204&lt;&gt;"")*('01_予約入力'!$E$5:$E$204&lt;=$A27)*('01_予約入力'!$G$5:$G$204&gt;$A27)*(ROW('01_予約入力'!$E$5:$E$204)-4))))))</f>
        <v/>
      </c>
      <c r="F27" s="17">
        <f>IF(OR($A27="",F$6=""),"",IF(SUMPRODUCT(MAX(('01_予約入力'!$D$5:$D$204=F$6)*('01_予約入力'!$K$5:$K$204&lt;&gt;"キャンセル")*('01_予約入力'!$E$5:$E$204&lt;&gt;"")*('01_予約入力'!$E$5:$E$204&lt;=$A27)*('01_予約入力'!$G$5:$G$204&gt;$A27)*(ROW('01_予約入力'!$E$5:$E$204)-4)))=0,"",INDEX('01_予約入力'!$B$5:$B$204,SUMPRODUCT(MAX(('01_予約入力'!$D$5:$D$204=F$6)*('01_予約入力'!$K$5:$K$204&lt;&gt;"キャンセル")*('01_予約入力'!$E$5:$E$204&lt;&gt;"")*('01_予約入力'!$E$5:$E$204&lt;=$A27)*('01_予約入力'!$G$5:$G$204&gt;$A27)*(ROW('01_予約入力'!$E$5:$E$204)-4))))))</f>
        <v/>
      </c>
      <c r="G27" s="16">
        <f>IF($A27="","",SUMPRODUCT(('01_予約入力'!$E$5:$E$204&lt;&gt;"")*('01_予約入力'!$K$5:$K$204&lt;&gt;"キャンセル")*('01_予約入力'!$E$5:$E$204&lt;=$A27)*('01_予約入力'!$G$5:$G$204&gt;$A27)))</f>
        <v/>
      </c>
      <c r="H27" s="16">
        <f>IF($A27="","",'M_施設設定'!$B$6-$G27)</f>
        <v/>
      </c>
      <c r="I27" s="16">
        <f>IF($A27="","",SUMPRODUCT((('01_予約入力'!$K$5:$K$204="仮予約")+('01_予約入力'!$K$5:$K$204="調整中"))*('01_予約入力'!$E$5:$E$204&lt;&gt;"")*('01_予約入力'!$E$5:$E$204&lt;=$A27)*('01_予約入力'!$G$5:$G$204&gt;$A27)))</f>
        <v/>
      </c>
      <c r="J27" s="16">
        <f>IF($A27="","",IF($I27&gt;0,"仮",IF($H27&lt;=0,"×",IF($H27&lt;'M_施設設定'!$B$6,"△","○"))))</f>
        <v/>
      </c>
      <c r="K27" s="16">
        <f>IF($A27="","",SUMPRODUCT(('01_予約入力'!$E$5:$E$204&lt;&gt;"")*('01_予約入力'!$K$5:$K$204&lt;&gt;"キャンセル")*('01_予約入力'!$E$5:$E$204=$A27)*('01_予約入力'!$G$5:$G$204=$A27)))</f>
        <v/>
      </c>
    </row>
    <row r="28">
      <c r="A28" s="15">
        <f>IF(MONTH($B$4+21)&lt;&gt;MONTH($B$4),"",$B$4+21)</f>
        <v/>
      </c>
      <c r="B28" s="16">
        <f>IF($A28="","",MID("日月火水木金土",WEEKDAY($A28),1))</f>
        <v/>
      </c>
      <c r="C28" s="17">
        <f>IF(OR($A28="",C$6=""),"",IF(SUMPRODUCT(MAX(('01_予約入力'!$D$5:$D$204=C$6)*('01_予約入力'!$K$5:$K$204&lt;&gt;"キャンセル")*('01_予約入力'!$E$5:$E$204&lt;&gt;"")*('01_予約入力'!$E$5:$E$204&lt;=$A28)*('01_予約入力'!$G$5:$G$204&gt;$A28)*(ROW('01_予約入力'!$E$5:$E$204)-4)))=0,"",INDEX('01_予約入力'!$B$5:$B$204,SUMPRODUCT(MAX(('01_予約入力'!$D$5:$D$204=C$6)*('01_予約入力'!$K$5:$K$204&lt;&gt;"キャンセル")*('01_予約入力'!$E$5:$E$204&lt;&gt;"")*('01_予約入力'!$E$5:$E$204&lt;=$A28)*('01_予約入力'!$G$5:$G$204&gt;$A28)*(ROW('01_予約入力'!$E$5:$E$204)-4))))))</f>
        <v/>
      </c>
      <c r="D28" s="17">
        <f>IF(OR($A28="",D$6=""),"",IF(SUMPRODUCT(MAX(('01_予約入力'!$D$5:$D$204=D$6)*('01_予約入力'!$K$5:$K$204&lt;&gt;"キャンセル")*('01_予約入力'!$E$5:$E$204&lt;&gt;"")*('01_予約入力'!$E$5:$E$204&lt;=$A28)*('01_予約入力'!$G$5:$G$204&gt;$A28)*(ROW('01_予約入力'!$E$5:$E$204)-4)))=0,"",INDEX('01_予約入力'!$B$5:$B$204,SUMPRODUCT(MAX(('01_予約入力'!$D$5:$D$204=D$6)*('01_予約入力'!$K$5:$K$204&lt;&gt;"キャンセル")*('01_予約入力'!$E$5:$E$204&lt;&gt;"")*('01_予約入力'!$E$5:$E$204&lt;=$A28)*('01_予約入力'!$G$5:$G$204&gt;$A28)*(ROW('01_予約入力'!$E$5:$E$204)-4))))))</f>
        <v/>
      </c>
      <c r="E28" s="17">
        <f>IF(OR($A28="",E$6=""),"",IF(SUMPRODUCT(MAX(('01_予約入力'!$D$5:$D$204=E$6)*('01_予約入力'!$K$5:$K$204&lt;&gt;"キャンセル")*('01_予約入力'!$E$5:$E$204&lt;&gt;"")*('01_予約入力'!$E$5:$E$204&lt;=$A28)*('01_予約入力'!$G$5:$G$204&gt;$A28)*(ROW('01_予約入力'!$E$5:$E$204)-4)))=0,"",INDEX('01_予約入力'!$B$5:$B$204,SUMPRODUCT(MAX(('01_予約入力'!$D$5:$D$204=E$6)*('01_予約入力'!$K$5:$K$204&lt;&gt;"キャンセル")*('01_予約入力'!$E$5:$E$204&lt;&gt;"")*('01_予約入力'!$E$5:$E$204&lt;=$A28)*('01_予約入力'!$G$5:$G$204&gt;$A28)*(ROW('01_予約入力'!$E$5:$E$204)-4))))))</f>
        <v/>
      </c>
      <c r="F28" s="17">
        <f>IF(OR($A28="",F$6=""),"",IF(SUMPRODUCT(MAX(('01_予約入力'!$D$5:$D$204=F$6)*('01_予約入力'!$K$5:$K$204&lt;&gt;"キャンセル")*('01_予約入力'!$E$5:$E$204&lt;&gt;"")*('01_予約入力'!$E$5:$E$204&lt;=$A28)*('01_予約入力'!$G$5:$G$204&gt;$A28)*(ROW('01_予約入力'!$E$5:$E$204)-4)))=0,"",INDEX('01_予約入力'!$B$5:$B$204,SUMPRODUCT(MAX(('01_予約入力'!$D$5:$D$204=F$6)*('01_予約入力'!$K$5:$K$204&lt;&gt;"キャンセル")*('01_予約入力'!$E$5:$E$204&lt;&gt;"")*('01_予約入力'!$E$5:$E$204&lt;=$A28)*('01_予約入力'!$G$5:$G$204&gt;$A28)*(ROW('01_予約入力'!$E$5:$E$204)-4))))))</f>
        <v/>
      </c>
      <c r="G28" s="16">
        <f>IF($A28="","",SUMPRODUCT(('01_予約入力'!$E$5:$E$204&lt;&gt;"")*('01_予約入力'!$K$5:$K$204&lt;&gt;"キャンセル")*('01_予約入力'!$E$5:$E$204&lt;=$A28)*('01_予約入力'!$G$5:$G$204&gt;$A28)))</f>
        <v/>
      </c>
      <c r="H28" s="16">
        <f>IF($A28="","",'M_施設設定'!$B$6-$G28)</f>
        <v/>
      </c>
      <c r="I28" s="16">
        <f>IF($A28="","",SUMPRODUCT((('01_予約入力'!$K$5:$K$204="仮予約")+('01_予約入力'!$K$5:$K$204="調整中"))*('01_予約入力'!$E$5:$E$204&lt;&gt;"")*('01_予約入力'!$E$5:$E$204&lt;=$A28)*('01_予約入力'!$G$5:$G$204&gt;$A28)))</f>
        <v/>
      </c>
      <c r="J28" s="16">
        <f>IF($A28="","",IF($I28&gt;0,"仮",IF($H28&lt;=0,"×",IF($H28&lt;'M_施設設定'!$B$6,"△","○"))))</f>
        <v/>
      </c>
      <c r="K28" s="16">
        <f>IF($A28="","",SUMPRODUCT(('01_予約入力'!$E$5:$E$204&lt;&gt;"")*('01_予約入力'!$K$5:$K$204&lt;&gt;"キャンセル")*('01_予約入力'!$E$5:$E$204=$A28)*('01_予約入力'!$G$5:$G$204=$A28)))</f>
        <v/>
      </c>
    </row>
    <row r="29">
      <c r="A29" s="15">
        <f>IF(MONTH($B$4+22)&lt;&gt;MONTH($B$4),"",$B$4+22)</f>
        <v/>
      </c>
      <c r="B29" s="16">
        <f>IF($A29="","",MID("日月火水木金土",WEEKDAY($A29),1))</f>
        <v/>
      </c>
      <c r="C29" s="17">
        <f>IF(OR($A29="",C$6=""),"",IF(SUMPRODUCT(MAX(('01_予約入力'!$D$5:$D$204=C$6)*('01_予約入力'!$K$5:$K$204&lt;&gt;"キャンセル")*('01_予約入力'!$E$5:$E$204&lt;&gt;"")*('01_予約入力'!$E$5:$E$204&lt;=$A29)*('01_予約入力'!$G$5:$G$204&gt;$A29)*(ROW('01_予約入力'!$E$5:$E$204)-4)))=0,"",INDEX('01_予約入力'!$B$5:$B$204,SUMPRODUCT(MAX(('01_予約入力'!$D$5:$D$204=C$6)*('01_予約入力'!$K$5:$K$204&lt;&gt;"キャンセル")*('01_予約入力'!$E$5:$E$204&lt;&gt;"")*('01_予約入力'!$E$5:$E$204&lt;=$A29)*('01_予約入力'!$G$5:$G$204&gt;$A29)*(ROW('01_予約入力'!$E$5:$E$204)-4))))))</f>
        <v/>
      </c>
      <c r="D29" s="17">
        <f>IF(OR($A29="",D$6=""),"",IF(SUMPRODUCT(MAX(('01_予約入力'!$D$5:$D$204=D$6)*('01_予約入力'!$K$5:$K$204&lt;&gt;"キャンセル")*('01_予約入力'!$E$5:$E$204&lt;&gt;"")*('01_予約入力'!$E$5:$E$204&lt;=$A29)*('01_予約入力'!$G$5:$G$204&gt;$A29)*(ROW('01_予約入力'!$E$5:$E$204)-4)))=0,"",INDEX('01_予約入力'!$B$5:$B$204,SUMPRODUCT(MAX(('01_予約入力'!$D$5:$D$204=D$6)*('01_予約入力'!$K$5:$K$204&lt;&gt;"キャンセル")*('01_予約入力'!$E$5:$E$204&lt;&gt;"")*('01_予約入力'!$E$5:$E$204&lt;=$A29)*('01_予約入力'!$G$5:$G$204&gt;$A29)*(ROW('01_予約入力'!$E$5:$E$204)-4))))))</f>
        <v/>
      </c>
      <c r="E29" s="17">
        <f>IF(OR($A29="",E$6=""),"",IF(SUMPRODUCT(MAX(('01_予約入力'!$D$5:$D$204=E$6)*('01_予約入力'!$K$5:$K$204&lt;&gt;"キャンセル")*('01_予約入力'!$E$5:$E$204&lt;&gt;"")*('01_予約入力'!$E$5:$E$204&lt;=$A29)*('01_予約入力'!$G$5:$G$204&gt;$A29)*(ROW('01_予約入力'!$E$5:$E$204)-4)))=0,"",INDEX('01_予約入力'!$B$5:$B$204,SUMPRODUCT(MAX(('01_予約入力'!$D$5:$D$204=E$6)*('01_予約入力'!$K$5:$K$204&lt;&gt;"キャンセル")*('01_予約入力'!$E$5:$E$204&lt;&gt;"")*('01_予約入力'!$E$5:$E$204&lt;=$A29)*('01_予約入力'!$G$5:$G$204&gt;$A29)*(ROW('01_予約入力'!$E$5:$E$204)-4))))))</f>
        <v/>
      </c>
      <c r="F29" s="17">
        <f>IF(OR($A29="",F$6=""),"",IF(SUMPRODUCT(MAX(('01_予約入力'!$D$5:$D$204=F$6)*('01_予約入力'!$K$5:$K$204&lt;&gt;"キャンセル")*('01_予約入力'!$E$5:$E$204&lt;&gt;"")*('01_予約入力'!$E$5:$E$204&lt;=$A29)*('01_予約入力'!$G$5:$G$204&gt;$A29)*(ROW('01_予約入力'!$E$5:$E$204)-4)))=0,"",INDEX('01_予約入力'!$B$5:$B$204,SUMPRODUCT(MAX(('01_予約入力'!$D$5:$D$204=F$6)*('01_予約入力'!$K$5:$K$204&lt;&gt;"キャンセル")*('01_予約入力'!$E$5:$E$204&lt;&gt;"")*('01_予約入力'!$E$5:$E$204&lt;=$A29)*('01_予約入力'!$G$5:$G$204&gt;$A29)*(ROW('01_予約入力'!$E$5:$E$204)-4))))))</f>
        <v/>
      </c>
      <c r="G29" s="16">
        <f>IF($A29="","",SUMPRODUCT(('01_予約入力'!$E$5:$E$204&lt;&gt;"")*('01_予約入力'!$K$5:$K$204&lt;&gt;"キャンセル")*('01_予約入力'!$E$5:$E$204&lt;=$A29)*('01_予約入力'!$G$5:$G$204&gt;$A29)))</f>
        <v/>
      </c>
      <c r="H29" s="16">
        <f>IF($A29="","",'M_施設設定'!$B$6-$G29)</f>
        <v/>
      </c>
      <c r="I29" s="16">
        <f>IF($A29="","",SUMPRODUCT((('01_予約入力'!$K$5:$K$204="仮予約")+('01_予約入力'!$K$5:$K$204="調整中"))*('01_予約入力'!$E$5:$E$204&lt;&gt;"")*('01_予約入力'!$E$5:$E$204&lt;=$A29)*('01_予約入力'!$G$5:$G$204&gt;$A29)))</f>
        <v/>
      </c>
      <c r="J29" s="16">
        <f>IF($A29="","",IF($I29&gt;0,"仮",IF($H29&lt;=0,"×",IF($H29&lt;'M_施設設定'!$B$6,"△","○"))))</f>
        <v/>
      </c>
      <c r="K29" s="16">
        <f>IF($A29="","",SUMPRODUCT(('01_予約入力'!$E$5:$E$204&lt;&gt;"")*('01_予約入力'!$K$5:$K$204&lt;&gt;"キャンセル")*('01_予約入力'!$E$5:$E$204=$A29)*('01_予約入力'!$G$5:$G$204=$A29)))</f>
        <v/>
      </c>
    </row>
    <row r="30">
      <c r="A30" s="15">
        <f>IF(MONTH($B$4+23)&lt;&gt;MONTH($B$4),"",$B$4+23)</f>
        <v/>
      </c>
      <c r="B30" s="16">
        <f>IF($A30="","",MID("日月火水木金土",WEEKDAY($A30),1))</f>
        <v/>
      </c>
      <c r="C30" s="17">
        <f>IF(OR($A30="",C$6=""),"",IF(SUMPRODUCT(MAX(('01_予約入力'!$D$5:$D$204=C$6)*('01_予約入力'!$K$5:$K$204&lt;&gt;"キャンセル")*('01_予約入力'!$E$5:$E$204&lt;&gt;"")*('01_予約入力'!$E$5:$E$204&lt;=$A30)*('01_予約入力'!$G$5:$G$204&gt;$A30)*(ROW('01_予約入力'!$E$5:$E$204)-4)))=0,"",INDEX('01_予約入力'!$B$5:$B$204,SUMPRODUCT(MAX(('01_予約入力'!$D$5:$D$204=C$6)*('01_予約入力'!$K$5:$K$204&lt;&gt;"キャンセル")*('01_予約入力'!$E$5:$E$204&lt;&gt;"")*('01_予約入力'!$E$5:$E$204&lt;=$A30)*('01_予約入力'!$G$5:$G$204&gt;$A30)*(ROW('01_予約入力'!$E$5:$E$204)-4))))))</f>
        <v/>
      </c>
      <c r="D30" s="17">
        <f>IF(OR($A30="",D$6=""),"",IF(SUMPRODUCT(MAX(('01_予約入力'!$D$5:$D$204=D$6)*('01_予約入力'!$K$5:$K$204&lt;&gt;"キャンセル")*('01_予約入力'!$E$5:$E$204&lt;&gt;"")*('01_予約入力'!$E$5:$E$204&lt;=$A30)*('01_予約入力'!$G$5:$G$204&gt;$A30)*(ROW('01_予約入力'!$E$5:$E$204)-4)))=0,"",INDEX('01_予約入力'!$B$5:$B$204,SUMPRODUCT(MAX(('01_予約入力'!$D$5:$D$204=D$6)*('01_予約入力'!$K$5:$K$204&lt;&gt;"キャンセル")*('01_予約入力'!$E$5:$E$204&lt;&gt;"")*('01_予約入力'!$E$5:$E$204&lt;=$A30)*('01_予約入力'!$G$5:$G$204&gt;$A30)*(ROW('01_予約入力'!$E$5:$E$204)-4))))))</f>
        <v/>
      </c>
      <c r="E30" s="17">
        <f>IF(OR($A30="",E$6=""),"",IF(SUMPRODUCT(MAX(('01_予約入力'!$D$5:$D$204=E$6)*('01_予約入力'!$K$5:$K$204&lt;&gt;"キャンセル")*('01_予約入力'!$E$5:$E$204&lt;&gt;"")*('01_予約入力'!$E$5:$E$204&lt;=$A30)*('01_予約入力'!$G$5:$G$204&gt;$A30)*(ROW('01_予約入力'!$E$5:$E$204)-4)))=0,"",INDEX('01_予約入力'!$B$5:$B$204,SUMPRODUCT(MAX(('01_予約入力'!$D$5:$D$204=E$6)*('01_予約入力'!$K$5:$K$204&lt;&gt;"キャンセル")*('01_予約入力'!$E$5:$E$204&lt;&gt;"")*('01_予約入力'!$E$5:$E$204&lt;=$A30)*('01_予約入力'!$G$5:$G$204&gt;$A30)*(ROW('01_予約入力'!$E$5:$E$204)-4))))))</f>
        <v/>
      </c>
      <c r="F30" s="17">
        <f>IF(OR($A30="",F$6=""),"",IF(SUMPRODUCT(MAX(('01_予約入力'!$D$5:$D$204=F$6)*('01_予約入力'!$K$5:$K$204&lt;&gt;"キャンセル")*('01_予約入力'!$E$5:$E$204&lt;&gt;"")*('01_予約入力'!$E$5:$E$204&lt;=$A30)*('01_予約入力'!$G$5:$G$204&gt;$A30)*(ROW('01_予約入力'!$E$5:$E$204)-4)))=0,"",INDEX('01_予約入力'!$B$5:$B$204,SUMPRODUCT(MAX(('01_予約入力'!$D$5:$D$204=F$6)*('01_予約入力'!$K$5:$K$204&lt;&gt;"キャンセル")*('01_予約入力'!$E$5:$E$204&lt;&gt;"")*('01_予約入力'!$E$5:$E$204&lt;=$A30)*('01_予約入力'!$G$5:$G$204&gt;$A30)*(ROW('01_予約入力'!$E$5:$E$204)-4))))))</f>
        <v/>
      </c>
      <c r="G30" s="16">
        <f>IF($A30="","",SUMPRODUCT(('01_予約入力'!$E$5:$E$204&lt;&gt;"")*('01_予約入力'!$K$5:$K$204&lt;&gt;"キャンセル")*('01_予約入力'!$E$5:$E$204&lt;=$A30)*('01_予約入力'!$G$5:$G$204&gt;$A30)))</f>
        <v/>
      </c>
      <c r="H30" s="16">
        <f>IF($A30="","",'M_施設設定'!$B$6-$G30)</f>
        <v/>
      </c>
      <c r="I30" s="16">
        <f>IF($A30="","",SUMPRODUCT((('01_予約入力'!$K$5:$K$204="仮予約")+('01_予約入力'!$K$5:$K$204="調整中"))*('01_予約入力'!$E$5:$E$204&lt;&gt;"")*('01_予約入力'!$E$5:$E$204&lt;=$A30)*('01_予約入力'!$G$5:$G$204&gt;$A30)))</f>
        <v/>
      </c>
      <c r="J30" s="16">
        <f>IF($A30="","",IF($I30&gt;0,"仮",IF($H30&lt;=0,"×",IF($H30&lt;'M_施設設定'!$B$6,"△","○"))))</f>
        <v/>
      </c>
      <c r="K30" s="16">
        <f>IF($A30="","",SUMPRODUCT(('01_予約入力'!$E$5:$E$204&lt;&gt;"")*('01_予約入力'!$K$5:$K$204&lt;&gt;"キャンセル")*('01_予約入力'!$E$5:$E$204=$A30)*('01_予約入力'!$G$5:$G$204=$A30)))</f>
        <v/>
      </c>
    </row>
    <row r="31">
      <c r="A31" s="15">
        <f>IF(MONTH($B$4+24)&lt;&gt;MONTH($B$4),"",$B$4+24)</f>
        <v/>
      </c>
      <c r="B31" s="16">
        <f>IF($A31="","",MID("日月火水木金土",WEEKDAY($A31),1))</f>
        <v/>
      </c>
      <c r="C31" s="17">
        <f>IF(OR($A31="",C$6=""),"",IF(SUMPRODUCT(MAX(('01_予約入力'!$D$5:$D$204=C$6)*('01_予約入力'!$K$5:$K$204&lt;&gt;"キャンセル")*('01_予約入力'!$E$5:$E$204&lt;&gt;"")*('01_予約入力'!$E$5:$E$204&lt;=$A31)*('01_予約入力'!$G$5:$G$204&gt;$A31)*(ROW('01_予約入力'!$E$5:$E$204)-4)))=0,"",INDEX('01_予約入力'!$B$5:$B$204,SUMPRODUCT(MAX(('01_予約入力'!$D$5:$D$204=C$6)*('01_予約入力'!$K$5:$K$204&lt;&gt;"キャンセル")*('01_予約入力'!$E$5:$E$204&lt;&gt;"")*('01_予約入力'!$E$5:$E$204&lt;=$A31)*('01_予約入力'!$G$5:$G$204&gt;$A31)*(ROW('01_予約入力'!$E$5:$E$204)-4))))))</f>
        <v/>
      </c>
      <c r="D31" s="17">
        <f>IF(OR($A31="",D$6=""),"",IF(SUMPRODUCT(MAX(('01_予約入力'!$D$5:$D$204=D$6)*('01_予約入力'!$K$5:$K$204&lt;&gt;"キャンセル")*('01_予約入力'!$E$5:$E$204&lt;&gt;"")*('01_予約入力'!$E$5:$E$204&lt;=$A31)*('01_予約入力'!$G$5:$G$204&gt;$A31)*(ROW('01_予約入力'!$E$5:$E$204)-4)))=0,"",INDEX('01_予約入力'!$B$5:$B$204,SUMPRODUCT(MAX(('01_予約入力'!$D$5:$D$204=D$6)*('01_予約入力'!$K$5:$K$204&lt;&gt;"キャンセル")*('01_予約入力'!$E$5:$E$204&lt;&gt;"")*('01_予約入力'!$E$5:$E$204&lt;=$A31)*('01_予約入力'!$G$5:$G$204&gt;$A31)*(ROW('01_予約入力'!$E$5:$E$204)-4))))))</f>
        <v/>
      </c>
      <c r="E31" s="17">
        <f>IF(OR($A31="",E$6=""),"",IF(SUMPRODUCT(MAX(('01_予約入力'!$D$5:$D$204=E$6)*('01_予約入力'!$K$5:$K$204&lt;&gt;"キャンセル")*('01_予約入力'!$E$5:$E$204&lt;&gt;"")*('01_予約入力'!$E$5:$E$204&lt;=$A31)*('01_予約入力'!$G$5:$G$204&gt;$A31)*(ROW('01_予約入力'!$E$5:$E$204)-4)))=0,"",INDEX('01_予約入力'!$B$5:$B$204,SUMPRODUCT(MAX(('01_予約入力'!$D$5:$D$204=E$6)*('01_予約入力'!$K$5:$K$204&lt;&gt;"キャンセル")*('01_予約入力'!$E$5:$E$204&lt;&gt;"")*('01_予約入力'!$E$5:$E$204&lt;=$A31)*('01_予約入力'!$G$5:$G$204&gt;$A31)*(ROW('01_予約入力'!$E$5:$E$204)-4))))))</f>
        <v/>
      </c>
      <c r="F31" s="17">
        <f>IF(OR($A31="",F$6=""),"",IF(SUMPRODUCT(MAX(('01_予約入力'!$D$5:$D$204=F$6)*('01_予約入力'!$K$5:$K$204&lt;&gt;"キャンセル")*('01_予約入力'!$E$5:$E$204&lt;&gt;"")*('01_予約入力'!$E$5:$E$204&lt;=$A31)*('01_予約入力'!$G$5:$G$204&gt;$A31)*(ROW('01_予約入力'!$E$5:$E$204)-4)))=0,"",INDEX('01_予約入力'!$B$5:$B$204,SUMPRODUCT(MAX(('01_予約入力'!$D$5:$D$204=F$6)*('01_予約入力'!$K$5:$K$204&lt;&gt;"キャンセル")*('01_予約入力'!$E$5:$E$204&lt;&gt;"")*('01_予約入力'!$E$5:$E$204&lt;=$A31)*('01_予約入力'!$G$5:$G$204&gt;$A31)*(ROW('01_予約入力'!$E$5:$E$204)-4))))))</f>
        <v/>
      </c>
      <c r="G31" s="16">
        <f>IF($A31="","",SUMPRODUCT(('01_予約入力'!$E$5:$E$204&lt;&gt;"")*('01_予約入力'!$K$5:$K$204&lt;&gt;"キャンセル")*('01_予約入力'!$E$5:$E$204&lt;=$A31)*('01_予約入力'!$G$5:$G$204&gt;$A31)))</f>
        <v/>
      </c>
      <c r="H31" s="16">
        <f>IF($A31="","",'M_施設設定'!$B$6-$G31)</f>
        <v/>
      </c>
      <c r="I31" s="16">
        <f>IF($A31="","",SUMPRODUCT((('01_予約入力'!$K$5:$K$204="仮予約")+('01_予約入力'!$K$5:$K$204="調整中"))*('01_予約入力'!$E$5:$E$204&lt;&gt;"")*('01_予約入力'!$E$5:$E$204&lt;=$A31)*('01_予約入力'!$G$5:$G$204&gt;$A31)))</f>
        <v/>
      </c>
      <c r="J31" s="16">
        <f>IF($A31="","",IF($I31&gt;0,"仮",IF($H31&lt;=0,"×",IF($H31&lt;'M_施設設定'!$B$6,"△","○"))))</f>
        <v/>
      </c>
      <c r="K31" s="16">
        <f>IF($A31="","",SUMPRODUCT(('01_予約入力'!$E$5:$E$204&lt;&gt;"")*('01_予約入力'!$K$5:$K$204&lt;&gt;"キャンセル")*('01_予約入力'!$E$5:$E$204=$A31)*('01_予約入力'!$G$5:$G$204=$A31)))</f>
        <v/>
      </c>
    </row>
    <row r="32">
      <c r="A32" s="15">
        <f>IF(MONTH($B$4+25)&lt;&gt;MONTH($B$4),"",$B$4+25)</f>
        <v/>
      </c>
      <c r="B32" s="16">
        <f>IF($A32="","",MID("日月火水木金土",WEEKDAY($A32),1))</f>
        <v/>
      </c>
      <c r="C32" s="17">
        <f>IF(OR($A32="",C$6=""),"",IF(SUMPRODUCT(MAX(('01_予約入力'!$D$5:$D$204=C$6)*('01_予約入力'!$K$5:$K$204&lt;&gt;"キャンセル")*('01_予約入力'!$E$5:$E$204&lt;&gt;"")*('01_予約入力'!$E$5:$E$204&lt;=$A32)*('01_予約入力'!$G$5:$G$204&gt;$A32)*(ROW('01_予約入力'!$E$5:$E$204)-4)))=0,"",INDEX('01_予約入力'!$B$5:$B$204,SUMPRODUCT(MAX(('01_予約入力'!$D$5:$D$204=C$6)*('01_予約入力'!$K$5:$K$204&lt;&gt;"キャンセル")*('01_予約入力'!$E$5:$E$204&lt;&gt;"")*('01_予約入力'!$E$5:$E$204&lt;=$A32)*('01_予約入力'!$G$5:$G$204&gt;$A32)*(ROW('01_予約入力'!$E$5:$E$204)-4))))))</f>
        <v/>
      </c>
      <c r="D32" s="17">
        <f>IF(OR($A32="",D$6=""),"",IF(SUMPRODUCT(MAX(('01_予約入力'!$D$5:$D$204=D$6)*('01_予約入力'!$K$5:$K$204&lt;&gt;"キャンセル")*('01_予約入力'!$E$5:$E$204&lt;&gt;"")*('01_予約入力'!$E$5:$E$204&lt;=$A32)*('01_予約入力'!$G$5:$G$204&gt;$A32)*(ROW('01_予約入力'!$E$5:$E$204)-4)))=0,"",INDEX('01_予約入力'!$B$5:$B$204,SUMPRODUCT(MAX(('01_予約入力'!$D$5:$D$204=D$6)*('01_予約入力'!$K$5:$K$204&lt;&gt;"キャンセル")*('01_予約入力'!$E$5:$E$204&lt;&gt;"")*('01_予約入力'!$E$5:$E$204&lt;=$A32)*('01_予約入力'!$G$5:$G$204&gt;$A32)*(ROW('01_予約入力'!$E$5:$E$204)-4))))))</f>
        <v/>
      </c>
      <c r="E32" s="17">
        <f>IF(OR($A32="",E$6=""),"",IF(SUMPRODUCT(MAX(('01_予約入力'!$D$5:$D$204=E$6)*('01_予約入力'!$K$5:$K$204&lt;&gt;"キャンセル")*('01_予約入力'!$E$5:$E$204&lt;&gt;"")*('01_予約入力'!$E$5:$E$204&lt;=$A32)*('01_予約入力'!$G$5:$G$204&gt;$A32)*(ROW('01_予約入力'!$E$5:$E$204)-4)))=0,"",INDEX('01_予約入力'!$B$5:$B$204,SUMPRODUCT(MAX(('01_予約入力'!$D$5:$D$204=E$6)*('01_予約入力'!$K$5:$K$204&lt;&gt;"キャンセル")*('01_予約入力'!$E$5:$E$204&lt;&gt;"")*('01_予約入力'!$E$5:$E$204&lt;=$A32)*('01_予約入力'!$G$5:$G$204&gt;$A32)*(ROW('01_予約入力'!$E$5:$E$204)-4))))))</f>
        <v/>
      </c>
      <c r="F32" s="17">
        <f>IF(OR($A32="",F$6=""),"",IF(SUMPRODUCT(MAX(('01_予約入力'!$D$5:$D$204=F$6)*('01_予約入力'!$K$5:$K$204&lt;&gt;"キャンセル")*('01_予約入力'!$E$5:$E$204&lt;&gt;"")*('01_予約入力'!$E$5:$E$204&lt;=$A32)*('01_予約入力'!$G$5:$G$204&gt;$A32)*(ROW('01_予約入力'!$E$5:$E$204)-4)))=0,"",INDEX('01_予約入力'!$B$5:$B$204,SUMPRODUCT(MAX(('01_予約入力'!$D$5:$D$204=F$6)*('01_予約入力'!$K$5:$K$204&lt;&gt;"キャンセル")*('01_予約入力'!$E$5:$E$204&lt;&gt;"")*('01_予約入力'!$E$5:$E$204&lt;=$A32)*('01_予約入力'!$G$5:$G$204&gt;$A32)*(ROW('01_予約入力'!$E$5:$E$204)-4))))))</f>
        <v/>
      </c>
      <c r="G32" s="16">
        <f>IF($A32="","",SUMPRODUCT(('01_予約入力'!$E$5:$E$204&lt;&gt;"")*('01_予約入力'!$K$5:$K$204&lt;&gt;"キャンセル")*('01_予約入力'!$E$5:$E$204&lt;=$A32)*('01_予約入力'!$G$5:$G$204&gt;$A32)))</f>
        <v/>
      </c>
      <c r="H32" s="16">
        <f>IF($A32="","",'M_施設設定'!$B$6-$G32)</f>
        <v/>
      </c>
      <c r="I32" s="16">
        <f>IF($A32="","",SUMPRODUCT((('01_予約入力'!$K$5:$K$204="仮予約")+('01_予約入力'!$K$5:$K$204="調整中"))*('01_予約入力'!$E$5:$E$204&lt;&gt;"")*('01_予約入力'!$E$5:$E$204&lt;=$A32)*('01_予約入力'!$G$5:$G$204&gt;$A32)))</f>
        <v/>
      </c>
      <c r="J32" s="16">
        <f>IF($A32="","",IF($I32&gt;0,"仮",IF($H32&lt;=0,"×",IF($H32&lt;'M_施設設定'!$B$6,"△","○"))))</f>
        <v/>
      </c>
      <c r="K32" s="16">
        <f>IF($A32="","",SUMPRODUCT(('01_予約入力'!$E$5:$E$204&lt;&gt;"")*('01_予約入力'!$K$5:$K$204&lt;&gt;"キャンセル")*('01_予約入力'!$E$5:$E$204=$A32)*('01_予約入力'!$G$5:$G$204=$A32)))</f>
        <v/>
      </c>
    </row>
    <row r="33">
      <c r="A33" s="15">
        <f>IF(MONTH($B$4+26)&lt;&gt;MONTH($B$4),"",$B$4+26)</f>
        <v/>
      </c>
      <c r="B33" s="16">
        <f>IF($A33="","",MID("日月火水木金土",WEEKDAY($A33),1))</f>
        <v/>
      </c>
      <c r="C33" s="17">
        <f>IF(OR($A33="",C$6=""),"",IF(SUMPRODUCT(MAX(('01_予約入力'!$D$5:$D$204=C$6)*('01_予約入力'!$K$5:$K$204&lt;&gt;"キャンセル")*('01_予約入力'!$E$5:$E$204&lt;&gt;"")*('01_予約入力'!$E$5:$E$204&lt;=$A33)*('01_予約入力'!$G$5:$G$204&gt;$A33)*(ROW('01_予約入力'!$E$5:$E$204)-4)))=0,"",INDEX('01_予約入力'!$B$5:$B$204,SUMPRODUCT(MAX(('01_予約入力'!$D$5:$D$204=C$6)*('01_予約入力'!$K$5:$K$204&lt;&gt;"キャンセル")*('01_予約入力'!$E$5:$E$204&lt;&gt;"")*('01_予約入力'!$E$5:$E$204&lt;=$A33)*('01_予約入力'!$G$5:$G$204&gt;$A33)*(ROW('01_予約入力'!$E$5:$E$204)-4))))))</f>
        <v/>
      </c>
      <c r="D33" s="17">
        <f>IF(OR($A33="",D$6=""),"",IF(SUMPRODUCT(MAX(('01_予約入力'!$D$5:$D$204=D$6)*('01_予約入力'!$K$5:$K$204&lt;&gt;"キャンセル")*('01_予約入力'!$E$5:$E$204&lt;&gt;"")*('01_予約入力'!$E$5:$E$204&lt;=$A33)*('01_予約入力'!$G$5:$G$204&gt;$A33)*(ROW('01_予約入力'!$E$5:$E$204)-4)))=0,"",INDEX('01_予約入力'!$B$5:$B$204,SUMPRODUCT(MAX(('01_予約入力'!$D$5:$D$204=D$6)*('01_予約入力'!$K$5:$K$204&lt;&gt;"キャンセル")*('01_予約入力'!$E$5:$E$204&lt;&gt;"")*('01_予約入力'!$E$5:$E$204&lt;=$A33)*('01_予約入力'!$G$5:$G$204&gt;$A33)*(ROW('01_予約入力'!$E$5:$E$204)-4))))))</f>
        <v/>
      </c>
      <c r="E33" s="17">
        <f>IF(OR($A33="",E$6=""),"",IF(SUMPRODUCT(MAX(('01_予約入力'!$D$5:$D$204=E$6)*('01_予約入力'!$K$5:$K$204&lt;&gt;"キャンセル")*('01_予約入力'!$E$5:$E$204&lt;&gt;"")*('01_予約入力'!$E$5:$E$204&lt;=$A33)*('01_予約入力'!$G$5:$G$204&gt;$A33)*(ROW('01_予約入力'!$E$5:$E$204)-4)))=0,"",INDEX('01_予約入力'!$B$5:$B$204,SUMPRODUCT(MAX(('01_予約入力'!$D$5:$D$204=E$6)*('01_予約入力'!$K$5:$K$204&lt;&gt;"キャンセル")*('01_予約入力'!$E$5:$E$204&lt;&gt;"")*('01_予約入力'!$E$5:$E$204&lt;=$A33)*('01_予約入力'!$G$5:$G$204&gt;$A33)*(ROW('01_予約入力'!$E$5:$E$204)-4))))))</f>
        <v/>
      </c>
      <c r="F33" s="17">
        <f>IF(OR($A33="",F$6=""),"",IF(SUMPRODUCT(MAX(('01_予約入力'!$D$5:$D$204=F$6)*('01_予約入力'!$K$5:$K$204&lt;&gt;"キャンセル")*('01_予約入力'!$E$5:$E$204&lt;&gt;"")*('01_予約入力'!$E$5:$E$204&lt;=$A33)*('01_予約入力'!$G$5:$G$204&gt;$A33)*(ROW('01_予約入力'!$E$5:$E$204)-4)))=0,"",INDEX('01_予約入力'!$B$5:$B$204,SUMPRODUCT(MAX(('01_予約入力'!$D$5:$D$204=F$6)*('01_予約入力'!$K$5:$K$204&lt;&gt;"キャンセル")*('01_予約入力'!$E$5:$E$204&lt;&gt;"")*('01_予約入力'!$E$5:$E$204&lt;=$A33)*('01_予約入力'!$G$5:$G$204&gt;$A33)*(ROW('01_予約入力'!$E$5:$E$204)-4))))))</f>
        <v/>
      </c>
      <c r="G33" s="16">
        <f>IF($A33="","",SUMPRODUCT(('01_予約入力'!$E$5:$E$204&lt;&gt;"")*('01_予約入力'!$K$5:$K$204&lt;&gt;"キャンセル")*('01_予約入力'!$E$5:$E$204&lt;=$A33)*('01_予約入力'!$G$5:$G$204&gt;$A33)))</f>
        <v/>
      </c>
      <c r="H33" s="16">
        <f>IF($A33="","",'M_施設設定'!$B$6-$G33)</f>
        <v/>
      </c>
      <c r="I33" s="16">
        <f>IF($A33="","",SUMPRODUCT((('01_予約入力'!$K$5:$K$204="仮予約")+('01_予約入力'!$K$5:$K$204="調整中"))*('01_予約入力'!$E$5:$E$204&lt;&gt;"")*('01_予約入力'!$E$5:$E$204&lt;=$A33)*('01_予約入力'!$G$5:$G$204&gt;$A33)))</f>
        <v/>
      </c>
      <c r="J33" s="16">
        <f>IF($A33="","",IF($I33&gt;0,"仮",IF($H33&lt;=0,"×",IF($H33&lt;'M_施設設定'!$B$6,"△","○"))))</f>
        <v/>
      </c>
      <c r="K33" s="16">
        <f>IF($A33="","",SUMPRODUCT(('01_予約入力'!$E$5:$E$204&lt;&gt;"")*('01_予約入力'!$K$5:$K$204&lt;&gt;"キャンセル")*('01_予約入力'!$E$5:$E$204=$A33)*('01_予約入力'!$G$5:$G$204=$A33)))</f>
        <v/>
      </c>
    </row>
    <row r="34">
      <c r="A34" s="15">
        <f>IF(MONTH($B$4+27)&lt;&gt;MONTH($B$4),"",$B$4+27)</f>
        <v/>
      </c>
      <c r="B34" s="16">
        <f>IF($A34="","",MID("日月火水木金土",WEEKDAY($A34),1))</f>
        <v/>
      </c>
      <c r="C34" s="17">
        <f>IF(OR($A34="",C$6=""),"",IF(SUMPRODUCT(MAX(('01_予約入力'!$D$5:$D$204=C$6)*('01_予約入力'!$K$5:$K$204&lt;&gt;"キャンセル")*('01_予約入力'!$E$5:$E$204&lt;&gt;"")*('01_予約入力'!$E$5:$E$204&lt;=$A34)*('01_予約入力'!$G$5:$G$204&gt;$A34)*(ROW('01_予約入力'!$E$5:$E$204)-4)))=0,"",INDEX('01_予約入力'!$B$5:$B$204,SUMPRODUCT(MAX(('01_予約入力'!$D$5:$D$204=C$6)*('01_予約入力'!$K$5:$K$204&lt;&gt;"キャンセル")*('01_予約入力'!$E$5:$E$204&lt;&gt;"")*('01_予約入力'!$E$5:$E$204&lt;=$A34)*('01_予約入力'!$G$5:$G$204&gt;$A34)*(ROW('01_予約入力'!$E$5:$E$204)-4))))))</f>
        <v/>
      </c>
      <c r="D34" s="17">
        <f>IF(OR($A34="",D$6=""),"",IF(SUMPRODUCT(MAX(('01_予約入力'!$D$5:$D$204=D$6)*('01_予約入力'!$K$5:$K$204&lt;&gt;"キャンセル")*('01_予約入力'!$E$5:$E$204&lt;&gt;"")*('01_予約入力'!$E$5:$E$204&lt;=$A34)*('01_予約入力'!$G$5:$G$204&gt;$A34)*(ROW('01_予約入力'!$E$5:$E$204)-4)))=0,"",INDEX('01_予約入力'!$B$5:$B$204,SUMPRODUCT(MAX(('01_予約入力'!$D$5:$D$204=D$6)*('01_予約入力'!$K$5:$K$204&lt;&gt;"キャンセル")*('01_予約入力'!$E$5:$E$204&lt;&gt;"")*('01_予約入力'!$E$5:$E$204&lt;=$A34)*('01_予約入力'!$G$5:$G$204&gt;$A34)*(ROW('01_予約入力'!$E$5:$E$204)-4))))))</f>
        <v/>
      </c>
      <c r="E34" s="17">
        <f>IF(OR($A34="",E$6=""),"",IF(SUMPRODUCT(MAX(('01_予約入力'!$D$5:$D$204=E$6)*('01_予約入力'!$K$5:$K$204&lt;&gt;"キャンセル")*('01_予約入力'!$E$5:$E$204&lt;&gt;"")*('01_予約入力'!$E$5:$E$204&lt;=$A34)*('01_予約入力'!$G$5:$G$204&gt;$A34)*(ROW('01_予約入力'!$E$5:$E$204)-4)))=0,"",INDEX('01_予約入力'!$B$5:$B$204,SUMPRODUCT(MAX(('01_予約入力'!$D$5:$D$204=E$6)*('01_予約入力'!$K$5:$K$204&lt;&gt;"キャンセル")*('01_予約入力'!$E$5:$E$204&lt;&gt;"")*('01_予約入力'!$E$5:$E$204&lt;=$A34)*('01_予約入力'!$G$5:$G$204&gt;$A34)*(ROW('01_予約入力'!$E$5:$E$204)-4))))))</f>
        <v/>
      </c>
      <c r="F34" s="17">
        <f>IF(OR($A34="",F$6=""),"",IF(SUMPRODUCT(MAX(('01_予約入力'!$D$5:$D$204=F$6)*('01_予約入力'!$K$5:$K$204&lt;&gt;"キャンセル")*('01_予約入力'!$E$5:$E$204&lt;&gt;"")*('01_予約入力'!$E$5:$E$204&lt;=$A34)*('01_予約入力'!$G$5:$G$204&gt;$A34)*(ROW('01_予約入力'!$E$5:$E$204)-4)))=0,"",INDEX('01_予約入力'!$B$5:$B$204,SUMPRODUCT(MAX(('01_予約入力'!$D$5:$D$204=F$6)*('01_予約入力'!$K$5:$K$204&lt;&gt;"キャンセル")*('01_予約入力'!$E$5:$E$204&lt;&gt;"")*('01_予約入力'!$E$5:$E$204&lt;=$A34)*('01_予約入力'!$G$5:$G$204&gt;$A34)*(ROW('01_予約入力'!$E$5:$E$204)-4))))))</f>
        <v/>
      </c>
      <c r="G34" s="16">
        <f>IF($A34="","",SUMPRODUCT(('01_予約入力'!$E$5:$E$204&lt;&gt;"")*('01_予約入力'!$K$5:$K$204&lt;&gt;"キャンセル")*('01_予約入力'!$E$5:$E$204&lt;=$A34)*('01_予約入力'!$G$5:$G$204&gt;$A34)))</f>
        <v/>
      </c>
      <c r="H34" s="16">
        <f>IF($A34="","",'M_施設設定'!$B$6-$G34)</f>
        <v/>
      </c>
      <c r="I34" s="16">
        <f>IF($A34="","",SUMPRODUCT((('01_予約入力'!$K$5:$K$204="仮予約")+('01_予約入力'!$K$5:$K$204="調整中"))*('01_予約入力'!$E$5:$E$204&lt;&gt;"")*('01_予約入力'!$E$5:$E$204&lt;=$A34)*('01_予約入力'!$G$5:$G$204&gt;$A34)))</f>
        <v/>
      </c>
      <c r="J34" s="16">
        <f>IF($A34="","",IF($I34&gt;0,"仮",IF($H34&lt;=0,"×",IF($H34&lt;'M_施設設定'!$B$6,"△","○"))))</f>
        <v/>
      </c>
      <c r="K34" s="16">
        <f>IF($A34="","",SUMPRODUCT(('01_予約入力'!$E$5:$E$204&lt;&gt;"")*('01_予約入力'!$K$5:$K$204&lt;&gt;"キャンセル")*('01_予約入力'!$E$5:$E$204=$A34)*('01_予約入力'!$G$5:$G$204=$A34)))</f>
        <v/>
      </c>
    </row>
    <row r="35">
      <c r="A35" s="15">
        <f>IF(MONTH($B$4+28)&lt;&gt;MONTH($B$4),"",$B$4+28)</f>
        <v/>
      </c>
      <c r="B35" s="16">
        <f>IF($A35="","",MID("日月火水木金土",WEEKDAY($A35),1))</f>
        <v/>
      </c>
      <c r="C35" s="17">
        <f>IF(OR($A35="",C$6=""),"",IF(SUMPRODUCT(MAX(('01_予約入力'!$D$5:$D$204=C$6)*('01_予約入力'!$K$5:$K$204&lt;&gt;"キャンセル")*('01_予約入力'!$E$5:$E$204&lt;&gt;"")*('01_予約入力'!$E$5:$E$204&lt;=$A35)*('01_予約入力'!$G$5:$G$204&gt;$A35)*(ROW('01_予約入力'!$E$5:$E$204)-4)))=0,"",INDEX('01_予約入力'!$B$5:$B$204,SUMPRODUCT(MAX(('01_予約入力'!$D$5:$D$204=C$6)*('01_予約入力'!$K$5:$K$204&lt;&gt;"キャンセル")*('01_予約入力'!$E$5:$E$204&lt;&gt;"")*('01_予約入力'!$E$5:$E$204&lt;=$A35)*('01_予約入力'!$G$5:$G$204&gt;$A35)*(ROW('01_予約入力'!$E$5:$E$204)-4))))))</f>
        <v/>
      </c>
      <c r="D35" s="17">
        <f>IF(OR($A35="",D$6=""),"",IF(SUMPRODUCT(MAX(('01_予約入力'!$D$5:$D$204=D$6)*('01_予約入力'!$K$5:$K$204&lt;&gt;"キャンセル")*('01_予約入力'!$E$5:$E$204&lt;&gt;"")*('01_予約入力'!$E$5:$E$204&lt;=$A35)*('01_予約入力'!$G$5:$G$204&gt;$A35)*(ROW('01_予約入力'!$E$5:$E$204)-4)))=0,"",INDEX('01_予約入力'!$B$5:$B$204,SUMPRODUCT(MAX(('01_予約入力'!$D$5:$D$204=D$6)*('01_予約入力'!$K$5:$K$204&lt;&gt;"キャンセル")*('01_予約入力'!$E$5:$E$204&lt;&gt;"")*('01_予約入力'!$E$5:$E$204&lt;=$A35)*('01_予約入力'!$G$5:$G$204&gt;$A35)*(ROW('01_予約入力'!$E$5:$E$204)-4))))))</f>
        <v/>
      </c>
      <c r="E35" s="17">
        <f>IF(OR($A35="",E$6=""),"",IF(SUMPRODUCT(MAX(('01_予約入力'!$D$5:$D$204=E$6)*('01_予約入力'!$K$5:$K$204&lt;&gt;"キャンセル")*('01_予約入力'!$E$5:$E$204&lt;&gt;"")*('01_予約入力'!$E$5:$E$204&lt;=$A35)*('01_予約入力'!$G$5:$G$204&gt;$A35)*(ROW('01_予約入力'!$E$5:$E$204)-4)))=0,"",INDEX('01_予約入力'!$B$5:$B$204,SUMPRODUCT(MAX(('01_予約入力'!$D$5:$D$204=E$6)*('01_予約入力'!$K$5:$K$204&lt;&gt;"キャンセル")*('01_予約入力'!$E$5:$E$204&lt;&gt;"")*('01_予約入力'!$E$5:$E$204&lt;=$A35)*('01_予約入力'!$G$5:$G$204&gt;$A35)*(ROW('01_予約入力'!$E$5:$E$204)-4))))))</f>
        <v/>
      </c>
      <c r="F35" s="17">
        <f>IF(OR($A35="",F$6=""),"",IF(SUMPRODUCT(MAX(('01_予約入力'!$D$5:$D$204=F$6)*('01_予約入力'!$K$5:$K$204&lt;&gt;"キャンセル")*('01_予約入力'!$E$5:$E$204&lt;&gt;"")*('01_予約入力'!$E$5:$E$204&lt;=$A35)*('01_予約入力'!$G$5:$G$204&gt;$A35)*(ROW('01_予約入力'!$E$5:$E$204)-4)))=0,"",INDEX('01_予約入力'!$B$5:$B$204,SUMPRODUCT(MAX(('01_予約入力'!$D$5:$D$204=F$6)*('01_予約入力'!$K$5:$K$204&lt;&gt;"キャンセル")*('01_予約入力'!$E$5:$E$204&lt;&gt;"")*('01_予約入力'!$E$5:$E$204&lt;=$A35)*('01_予約入力'!$G$5:$G$204&gt;$A35)*(ROW('01_予約入力'!$E$5:$E$204)-4))))))</f>
        <v/>
      </c>
      <c r="G35" s="16">
        <f>IF($A35="","",SUMPRODUCT(('01_予約入力'!$E$5:$E$204&lt;&gt;"")*('01_予約入力'!$K$5:$K$204&lt;&gt;"キャンセル")*('01_予約入力'!$E$5:$E$204&lt;=$A35)*('01_予約入力'!$G$5:$G$204&gt;$A35)))</f>
        <v/>
      </c>
      <c r="H35" s="16">
        <f>IF($A35="","",'M_施設設定'!$B$6-$G35)</f>
        <v/>
      </c>
      <c r="I35" s="16">
        <f>IF($A35="","",SUMPRODUCT((('01_予約入力'!$K$5:$K$204="仮予約")+('01_予約入力'!$K$5:$K$204="調整中"))*('01_予約入力'!$E$5:$E$204&lt;&gt;"")*('01_予約入力'!$E$5:$E$204&lt;=$A35)*('01_予約入力'!$G$5:$G$204&gt;$A35)))</f>
        <v/>
      </c>
      <c r="J35" s="16">
        <f>IF($A35="","",IF($I35&gt;0,"仮",IF($H35&lt;=0,"×",IF($H35&lt;'M_施設設定'!$B$6,"△","○"))))</f>
        <v/>
      </c>
      <c r="K35" s="16">
        <f>IF($A35="","",SUMPRODUCT(('01_予約入力'!$E$5:$E$204&lt;&gt;"")*('01_予約入力'!$K$5:$K$204&lt;&gt;"キャンセル")*('01_予約入力'!$E$5:$E$204=$A35)*('01_予約入力'!$G$5:$G$204=$A35)))</f>
        <v/>
      </c>
    </row>
    <row r="36">
      <c r="A36" s="15">
        <f>IF(MONTH($B$4+29)&lt;&gt;MONTH($B$4),"",$B$4+29)</f>
        <v/>
      </c>
      <c r="B36" s="16">
        <f>IF($A36="","",MID("日月火水木金土",WEEKDAY($A36),1))</f>
        <v/>
      </c>
      <c r="C36" s="17">
        <f>IF(OR($A36="",C$6=""),"",IF(SUMPRODUCT(MAX(('01_予約入力'!$D$5:$D$204=C$6)*('01_予約入力'!$K$5:$K$204&lt;&gt;"キャンセル")*('01_予約入力'!$E$5:$E$204&lt;&gt;"")*('01_予約入力'!$E$5:$E$204&lt;=$A36)*('01_予約入力'!$G$5:$G$204&gt;$A36)*(ROW('01_予約入力'!$E$5:$E$204)-4)))=0,"",INDEX('01_予約入力'!$B$5:$B$204,SUMPRODUCT(MAX(('01_予約入力'!$D$5:$D$204=C$6)*('01_予約入力'!$K$5:$K$204&lt;&gt;"キャンセル")*('01_予約入力'!$E$5:$E$204&lt;&gt;"")*('01_予約入力'!$E$5:$E$204&lt;=$A36)*('01_予約入力'!$G$5:$G$204&gt;$A36)*(ROW('01_予約入力'!$E$5:$E$204)-4))))))</f>
        <v/>
      </c>
      <c r="D36" s="17">
        <f>IF(OR($A36="",D$6=""),"",IF(SUMPRODUCT(MAX(('01_予約入力'!$D$5:$D$204=D$6)*('01_予約入力'!$K$5:$K$204&lt;&gt;"キャンセル")*('01_予約入力'!$E$5:$E$204&lt;&gt;"")*('01_予約入力'!$E$5:$E$204&lt;=$A36)*('01_予約入力'!$G$5:$G$204&gt;$A36)*(ROW('01_予約入力'!$E$5:$E$204)-4)))=0,"",INDEX('01_予約入力'!$B$5:$B$204,SUMPRODUCT(MAX(('01_予約入力'!$D$5:$D$204=D$6)*('01_予約入力'!$K$5:$K$204&lt;&gt;"キャンセル")*('01_予約入力'!$E$5:$E$204&lt;&gt;"")*('01_予約入力'!$E$5:$E$204&lt;=$A36)*('01_予約入力'!$G$5:$G$204&gt;$A36)*(ROW('01_予約入力'!$E$5:$E$204)-4))))))</f>
        <v/>
      </c>
      <c r="E36" s="17">
        <f>IF(OR($A36="",E$6=""),"",IF(SUMPRODUCT(MAX(('01_予約入力'!$D$5:$D$204=E$6)*('01_予約入力'!$K$5:$K$204&lt;&gt;"キャンセル")*('01_予約入力'!$E$5:$E$204&lt;&gt;"")*('01_予約入力'!$E$5:$E$204&lt;=$A36)*('01_予約入力'!$G$5:$G$204&gt;$A36)*(ROW('01_予約入力'!$E$5:$E$204)-4)))=0,"",INDEX('01_予約入力'!$B$5:$B$204,SUMPRODUCT(MAX(('01_予約入力'!$D$5:$D$204=E$6)*('01_予約入力'!$K$5:$K$204&lt;&gt;"キャンセル")*('01_予約入力'!$E$5:$E$204&lt;&gt;"")*('01_予約入力'!$E$5:$E$204&lt;=$A36)*('01_予約入力'!$G$5:$G$204&gt;$A36)*(ROW('01_予約入力'!$E$5:$E$204)-4))))))</f>
        <v/>
      </c>
      <c r="F36" s="17">
        <f>IF(OR($A36="",F$6=""),"",IF(SUMPRODUCT(MAX(('01_予約入力'!$D$5:$D$204=F$6)*('01_予約入力'!$K$5:$K$204&lt;&gt;"キャンセル")*('01_予約入力'!$E$5:$E$204&lt;&gt;"")*('01_予約入力'!$E$5:$E$204&lt;=$A36)*('01_予約入力'!$G$5:$G$204&gt;$A36)*(ROW('01_予約入力'!$E$5:$E$204)-4)))=0,"",INDEX('01_予約入力'!$B$5:$B$204,SUMPRODUCT(MAX(('01_予約入力'!$D$5:$D$204=F$6)*('01_予約入力'!$K$5:$K$204&lt;&gt;"キャンセル")*('01_予約入力'!$E$5:$E$204&lt;&gt;"")*('01_予約入力'!$E$5:$E$204&lt;=$A36)*('01_予約入力'!$G$5:$G$204&gt;$A36)*(ROW('01_予約入力'!$E$5:$E$204)-4))))))</f>
        <v/>
      </c>
      <c r="G36" s="16">
        <f>IF($A36="","",SUMPRODUCT(('01_予約入力'!$E$5:$E$204&lt;&gt;"")*('01_予約入力'!$K$5:$K$204&lt;&gt;"キャンセル")*('01_予約入力'!$E$5:$E$204&lt;=$A36)*('01_予約入力'!$G$5:$G$204&gt;$A36)))</f>
        <v/>
      </c>
      <c r="H36" s="16">
        <f>IF($A36="","",'M_施設設定'!$B$6-$G36)</f>
        <v/>
      </c>
      <c r="I36" s="16">
        <f>IF($A36="","",SUMPRODUCT((('01_予約入力'!$K$5:$K$204="仮予約")+('01_予約入力'!$K$5:$K$204="調整中"))*('01_予約入力'!$E$5:$E$204&lt;&gt;"")*('01_予約入力'!$E$5:$E$204&lt;=$A36)*('01_予約入力'!$G$5:$G$204&gt;$A36)))</f>
        <v/>
      </c>
      <c r="J36" s="16">
        <f>IF($A36="","",IF($I36&gt;0,"仮",IF($H36&lt;=0,"×",IF($H36&lt;'M_施設設定'!$B$6,"△","○"))))</f>
        <v/>
      </c>
      <c r="K36" s="16">
        <f>IF($A36="","",SUMPRODUCT(('01_予約入力'!$E$5:$E$204&lt;&gt;"")*('01_予約入力'!$K$5:$K$204&lt;&gt;"キャンセル")*('01_予約入力'!$E$5:$E$204=$A36)*('01_予約入力'!$G$5:$G$204=$A36)))</f>
        <v/>
      </c>
    </row>
    <row r="37">
      <c r="A37" s="15">
        <f>IF(MONTH($B$4+30)&lt;&gt;MONTH($B$4),"",$B$4+30)</f>
        <v/>
      </c>
      <c r="B37" s="16">
        <f>IF($A37="","",MID("日月火水木金土",WEEKDAY($A37),1))</f>
        <v/>
      </c>
      <c r="C37" s="17">
        <f>IF(OR($A37="",C$6=""),"",IF(SUMPRODUCT(MAX(('01_予約入力'!$D$5:$D$204=C$6)*('01_予約入力'!$K$5:$K$204&lt;&gt;"キャンセル")*('01_予約入力'!$E$5:$E$204&lt;&gt;"")*('01_予約入力'!$E$5:$E$204&lt;=$A37)*('01_予約入力'!$G$5:$G$204&gt;$A37)*(ROW('01_予約入力'!$E$5:$E$204)-4)))=0,"",INDEX('01_予約入力'!$B$5:$B$204,SUMPRODUCT(MAX(('01_予約入力'!$D$5:$D$204=C$6)*('01_予約入力'!$K$5:$K$204&lt;&gt;"キャンセル")*('01_予約入力'!$E$5:$E$204&lt;&gt;"")*('01_予約入力'!$E$5:$E$204&lt;=$A37)*('01_予約入力'!$G$5:$G$204&gt;$A37)*(ROW('01_予約入力'!$E$5:$E$204)-4))))))</f>
        <v/>
      </c>
      <c r="D37" s="17">
        <f>IF(OR($A37="",D$6=""),"",IF(SUMPRODUCT(MAX(('01_予約入力'!$D$5:$D$204=D$6)*('01_予約入力'!$K$5:$K$204&lt;&gt;"キャンセル")*('01_予約入力'!$E$5:$E$204&lt;&gt;"")*('01_予約入力'!$E$5:$E$204&lt;=$A37)*('01_予約入力'!$G$5:$G$204&gt;$A37)*(ROW('01_予約入力'!$E$5:$E$204)-4)))=0,"",INDEX('01_予約入力'!$B$5:$B$204,SUMPRODUCT(MAX(('01_予約入力'!$D$5:$D$204=D$6)*('01_予約入力'!$K$5:$K$204&lt;&gt;"キャンセル")*('01_予約入力'!$E$5:$E$204&lt;&gt;"")*('01_予約入力'!$E$5:$E$204&lt;=$A37)*('01_予約入力'!$G$5:$G$204&gt;$A37)*(ROW('01_予約入力'!$E$5:$E$204)-4))))))</f>
        <v/>
      </c>
      <c r="E37" s="17">
        <f>IF(OR($A37="",E$6=""),"",IF(SUMPRODUCT(MAX(('01_予約入力'!$D$5:$D$204=E$6)*('01_予約入力'!$K$5:$K$204&lt;&gt;"キャンセル")*('01_予約入力'!$E$5:$E$204&lt;&gt;"")*('01_予約入力'!$E$5:$E$204&lt;=$A37)*('01_予約入力'!$G$5:$G$204&gt;$A37)*(ROW('01_予約入力'!$E$5:$E$204)-4)))=0,"",INDEX('01_予約入力'!$B$5:$B$204,SUMPRODUCT(MAX(('01_予約入力'!$D$5:$D$204=E$6)*('01_予約入力'!$K$5:$K$204&lt;&gt;"キャンセル")*('01_予約入力'!$E$5:$E$204&lt;&gt;"")*('01_予約入力'!$E$5:$E$204&lt;=$A37)*('01_予約入力'!$G$5:$G$204&gt;$A37)*(ROW('01_予約入力'!$E$5:$E$204)-4))))))</f>
        <v/>
      </c>
      <c r="F37" s="17">
        <f>IF(OR($A37="",F$6=""),"",IF(SUMPRODUCT(MAX(('01_予約入力'!$D$5:$D$204=F$6)*('01_予約入力'!$K$5:$K$204&lt;&gt;"キャンセル")*('01_予約入力'!$E$5:$E$204&lt;&gt;"")*('01_予約入力'!$E$5:$E$204&lt;=$A37)*('01_予約入力'!$G$5:$G$204&gt;$A37)*(ROW('01_予約入力'!$E$5:$E$204)-4)))=0,"",INDEX('01_予約入力'!$B$5:$B$204,SUMPRODUCT(MAX(('01_予約入力'!$D$5:$D$204=F$6)*('01_予約入力'!$K$5:$K$204&lt;&gt;"キャンセル")*('01_予約入力'!$E$5:$E$204&lt;&gt;"")*('01_予約入力'!$E$5:$E$204&lt;=$A37)*('01_予約入力'!$G$5:$G$204&gt;$A37)*(ROW('01_予約入力'!$E$5:$E$204)-4))))))</f>
        <v/>
      </c>
      <c r="G37" s="16">
        <f>IF($A37="","",SUMPRODUCT(('01_予約入力'!$E$5:$E$204&lt;&gt;"")*('01_予約入力'!$K$5:$K$204&lt;&gt;"キャンセル")*('01_予約入力'!$E$5:$E$204&lt;=$A37)*('01_予約入力'!$G$5:$G$204&gt;$A37)))</f>
        <v/>
      </c>
      <c r="H37" s="16">
        <f>IF($A37="","",'M_施設設定'!$B$6-$G37)</f>
        <v/>
      </c>
      <c r="I37" s="16">
        <f>IF($A37="","",SUMPRODUCT((('01_予約入力'!$K$5:$K$204="仮予約")+('01_予約入力'!$K$5:$K$204="調整中"))*('01_予約入力'!$E$5:$E$204&lt;&gt;"")*('01_予約入力'!$E$5:$E$204&lt;=$A37)*('01_予約入力'!$G$5:$G$204&gt;$A37)))</f>
        <v/>
      </c>
      <c r="J37" s="16">
        <f>IF($A37="","",IF($I37&gt;0,"仮",IF($H37&lt;=0,"×",IF($H37&lt;'M_施設設定'!$B$6,"△","○"))))</f>
        <v/>
      </c>
      <c r="K37" s="16">
        <f>IF($A37="","",SUMPRODUCT(('01_予約入力'!$E$5:$E$204&lt;&gt;"")*('01_予約入力'!$K$5:$K$204&lt;&gt;"キャンセル")*('01_予約入力'!$E$5:$E$204=$A37)*('01_予約入力'!$G$5:$G$204=$A37)))</f>
        <v/>
      </c>
    </row>
    <row r="39">
      <c r="A39" s="2" t="inlineStr">
        <is>
          <t>※ 「仮」は仮予約・調整中がその夜に含まれることを示します。※ 日帰り（0泊）は夜をふさがないため、使用室数には入りません。</t>
        </is>
      </c>
    </row>
  </sheetData>
  <conditionalFormatting sqref="J7:J37">
    <cfRule type="expression" priority="1" dxfId="1">
      <formula>J7="×"</formula>
    </cfRule>
    <cfRule type="expression" priority="2" dxfId="2">
      <formula>J7="△"</formula>
    </cfRule>
    <cfRule type="expression" priority="3" dxfId="3">
      <formula>J7="仮"</formula>
    </cfRule>
    <cfRule type="expression" priority="4" dxfId="4">
      <formula>J7="○"</formula>
    </cfRule>
  </conditionalFormatting>
  <conditionalFormatting sqref="A7:B37">
    <cfRule type="expression" priority="5" dxfId="5">
      <formula>AND($A7&lt;&gt;"",WEEKDAY($A7,2)&gt;=6)</formula>
    </cfRule>
  </conditionalFormatting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30" customWidth="1" min="4" max="4"/>
  </cols>
  <sheetData>
    <row r="1">
      <c r="A1" s="1" t="inlineStr">
        <is>
          <t>空室照会 ―「この期間空いていますか」に即答する</t>
        </is>
      </c>
    </row>
    <row r="2">
      <c r="A2" s="2" t="inlineStr">
        <is>
          <t>日付を2つ入れるだけです。月の指定は要りません。</t>
        </is>
      </c>
    </row>
    <row r="3">
      <c r="A3" s="12" t="inlineStr">
        <is>
          <t>開始日（入所日）</t>
        </is>
      </c>
      <c r="B3" s="13" t="n">
        <v>46118</v>
      </c>
    </row>
    <row r="4">
      <c r="A4" s="12" t="inlineStr">
        <is>
          <t>終了日（退所予定日）</t>
        </is>
      </c>
      <c r="B4" s="13" t="n">
        <v>46121</v>
      </c>
      <c r="C4" s="2" t="inlineStr">
        <is>
          <t>★退所日の夜は数えません（その夜は次の方が入れるため）</t>
        </is>
      </c>
    </row>
    <row r="5">
      <c r="A5" s="12" t="inlineStr">
        <is>
          <t>泊数</t>
        </is>
      </c>
      <c r="B5" s="18">
        <f>IF(OR($B$3="",$B$4=""),"",MAX(0,$B$4-$B$3))</f>
        <v/>
      </c>
      <c r="C5" s="2" t="inlineStr">
        <is>
          <t>0泊（同日）なら日帰り・体験利用です</t>
        </is>
      </c>
    </row>
    <row r="7" ht="30" customHeight="1">
      <c r="A7" s="7" t="inlineStr">
        <is>
          <t>部屋</t>
        </is>
      </c>
      <c r="B7" s="7" t="inlineStr">
        <is>
          <t>空いている夜数</t>
        </is>
      </c>
      <c r="C7" s="7" t="inlineStr">
        <is>
          <t>ふさがっている夜数</t>
        </is>
      </c>
      <c r="D7" s="7" t="inlineStr">
        <is>
          <t>判定</t>
        </is>
      </c>
    </row>
    <row r="8">
      <c r="A8" s="17">
        <f>IF(COUNTA('M_部屋'!$A$4:$A$20)&gt;=1,INDEX('M_部屋'!$A$4:$A$20,1),"")</f>
        <v/>
      </c>
      <c r="B8" s="16">
        <f>IF($C8="","",MAX(0,$B$4-$B$3-$C8))</f>
        <v/>
      </c>
      <c r="C8" s="16">
        <f>IF(OR($A8="",$B$4&lt;=$B$3),"",SUMPRODUCT(('01_予約入力'!$E$5:$E$204&lt;&gt;"")*('01_予約入力'!$K$5:$K$204&lt;&gt;"キャンセル")*('01_予約入力'!$D$5:$D$204=$A8)*(((('01_予約入力'!$G$5:$G$204&lt;=$B$4)*'01_予約入力'!$G$5:$G$204+('01_予約入力'!$G$5:$G$204&gt;$B$4)*$B$4)-(('01_予約入力'!$E$5:$E$204&gt;=$B$3)*'01_予約入力'!$E$5:$E$204+('01_予約入力'!$E$5:$E$204&lt;$B$3)*$B$3))&gt;0)*((('01_予約入力'!$G$5:$G$204&lt;=$B$4)*'01_予約入力'!$G$5:$G$204+('01_予約入力'!$G$5:$G$204&gt;$B$4)*$B$4)-(('01_予約入力'!$E$5:$E$204&gt;=$B$3)*'01_予約入力'!$E$5:$E$204+('01_予約入力'!$E$5:$E$204&lt;$B$3)*$B$3))))</f>
        <v/>
      </c>
      <c r="D8" s="17">
        <f>IF($A8="","",IF($B$4&lt;=$B$3,"日付を確認してください",IF($B8=$B$4-$B$3,"○ 全日空き",IF($B8=0,"× 空きなし","△ 一部空き"))))</f>
        <v/>
      </c>
    </row>
    <row r="9">
      <c r="A9" s="17">
        <f>IF(COUNTA('M_部屋'!$A$4:$A$20)&gt;=2,INDEX('M_部屋'!$A$4:$A$20,2),"")</f>
        <v/>
      </c>
      <c r="B9" s="16">
        <f>IF($C9="","",MAX(0,$B$4-$B$3-$C9))</f>
        <v/>
      </c>
      <c r="C9" s="16">
        <f>IF(OR($A9="",$B$4&lt;=$B$3),"",SUMPRODUCT(('01_予約入力'!$E$5:$E$204&lt;&gt;"")*('01_予約入力'!$K$5:$K$204&lt;&gt;"キャンセル")*('01_予約入力'!$D$5:$D$204=$A9)*(((('01_予約入力'!$G$5:$G$204&lt;=$B$4)*'01_予約入力'!$G$5:$G$204+('01_予約入力'!$G$5:$G$204&gt;$B$4)*$B$4)-(('01_予約入力'!$E$5:$E$204&gt;=$B$3)*'01_予約入力'!$E$5:$E$204+('01_予約入力'!$E$5:$E$204&lt;$B$3)*$B$3))&gt;0)*((('01_予約入力'!$G$5:$G$204&lt;=$B$4)*'01_予約入力'!$G$5:$G$204+('01_予約入力'!$G$5:$G$204&gt;$B$4)*$B$4)-(('01_予約入力'!$E$5:$E$204&gt;=$B$3)*'01_予約入力'!$E$5:$E$204+('01_予約入力'!$E$5:$E$204&lt;$B$3)*$B$3))))</f>
        <v/>
      </c>
      <c r="D9" s="17">
        <f>IF($A9="","",IF($B$4&lt;=$B$3,"日付を確認してください",IF($B9=$B$4-$B$3,"○ 全日空き",IF($B9=0,"× 空きなし","△ 一部空き"))))</f>
        <v/>
      </c>
    </row>
    <row r="10">
      <c r="A10" s="17">
        <f>IF(COUNTA('M_部屋'!$A$4:$A$20)&gt;=3,INDEX('M_部屋'!$A$4:$A$20,3),"")</f>
        <v/>
      </c>
      <c r="B10" s="16">
        <f>IF($C10="","",MAX(0,$B$4-$B$3-$C10))</f>
        <v/>
      </c>
      <c r="C10" s="16">
        <f>IF(OR($A10="",$B$4&lt;=$B$3),"",SUMPRODUCT(('01_予約入力'!$E$5:$E$204&lt;&gt;"")*('01_予約入力'!$K$5:$K$204&lt;&gt;"キャンセル")*('01_予約入力'!$D$5:$D$204=$A10)*(((('01_予約入力'!$G$5:$G$204&lt;=$B$4)*'01_予約入力'!$G$5:$G$204+('01_予約入力'!$G$5:$G$204&gt;$B$4)*$B$4)-(('01_予約入力'!$E$5:$E$204&gt;=$B$3)*'01_予約入力'!$E$5:$E$204+('01_予約入力'!$E$5:$E$204&lt;$B$3)*$B$3))&gt;0)*((('01_予約入力'!$G$5:$G$204&lt;=$B$4)*'01_予約入力'!$G$5:$G$204+('01_予約入力'!$G$5:$G$204&gt;$B$4)*$B$4)-(('01_予約入力'!$E$5:$E$204&gt;=$B$3)*'01_予約入力'!$E$5:$E$204+('01_予約入力'!$E$5:$E$204&lt;$B$3)*$B$3))))</f>
        <v/>
      </c>
      <c r="D10" s="17">
        <f>IF($A10="","",IF($B$4&lt;=$B$3,"日付を確認してください",IF($B10=$B$4-$B$3,"○ 全日空き",IF($B10=0,"× 空きなし","△ 一部空き"))))</f>
        <v/>
      </c>
    </row>
    <row r="11">
      <c r="A11" s="17">
        <f>IF(COUNTA('M_部屋'!$A$4:$A$20)&gt;=4,INDEX('M_部屋'!$A$4:$A$20,4),"")</f>
        <v/>
      </c>
      <c r="B11" s="16">
        <f>IF($C11="","",MAX(0,$B$4-$B$3-$C11))</f>
        <v/>
      </c>
      <c r="C11" s="16">
        <f>IF(OR($A11="",$B$4&lt;=$B$3),"",SUMPRODUCT(('01_予約入力'!$E$5:$E$204&lt;&gt;"")*('01_予約入力'!$K$5:$K$204&lt;&gt;"キャンセル")*('01_予約入力'!$D$5:$D$204=$A11)*(((('01_予約入力'!$G$5:$G$204&lt;=$B$4)*'01_予約入力'!$G$5:$G$204+('01_予約入力'!$G$5:$G$204&gt;$B$4)*$B$4)-(('01_予約入力'!$E$5:$E$204&gt;=$B$3)*'01_予約入力'!$E$5:$E$204+('01_予約入力'!$E$5:$E$204&lt;$B$3)*$B$3))&gt;0)*((('01_予約入力'!$G$5:$G$204&lt;=$B$4)*'01_予約入力'!$G$5:$G$204+('01_予約入力'!$G$5:$G$204&gt;$B$4)*$B$4)-(('01_予約入力'!$E$5:$E$204&gt;=$B$3)*'01_予約入力'!$E$5:$E$204+('01_予約入力'!$E$5:$E$204&lt;$B$3)*$B$3))))</f>
        <v/>
      </c>
      <c r="D11" s="17">
        <f>IF($A11="","",IF($B$4&lt;=$B$3,"日付を確認してください",IF($B11=$B$4-$B$3,"○ 全日空き",IF($B11=0,"× 空きなし","△ 一部空き"))))</f>
        <v/>
      </c>
    </row>
    <row r="13">
      <c r="A13" s="2" t="inlineStr">
        <is>
          <t>※ 仮予約・調整中も「ふさがっている」として数えます。仮のまま押さえている部屋は 02_月間表 で「仮」と表示されます。</t>
        </is>
      </c>
    </row>
    <row r="14">
      <c r="A14" s="2" t="inlineStr">
        <is>
          <t>※ 日帰り（0泊）は夜をふさがないため、この照会には出ません。日中の重なりは 02_月間表 の「日帰り」列で確認してください。</t>
        </is>
      </c>
    </row>
    <row r="15">
      <c r="A15" s="2" t="inlineStr">
        <is>
          <t>※ 「一部空き」のときは、02_月間表 でどの日が埋まっているかを確認してください。</t>
        </is>
      </c>
    </row>
  </sheetData>
  <conditionalFormatting sqref="D8:D11">
    <cfRule type="expression" priority="1" dxfId="4">
      <formula>LEFT($D8,1)="○"</formula>
    </cfRule>
    <cfRule type="expression" priority="2" dxfId="2">
      <formula>LEFT($D8,1)="△"</formula>
    </cfRule>
    <cfRule type="expression" priority="3" dxfId="1">
      <formula>LEFT($D8,1)="×"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食数表（厨房用）</t>
        </is>
      </c>
    </row>
    <row r="2">
      <c r="A2" s="2" t="inlineStr">
        <is>
          <t>既定は 日帰り=昼のみ／初日=夕／中日=朝昼夕／最終日=朝。例外だけ「調整」列に実数を入れると、そちらが優先されます。</t>
        </is>
      </c>
    </row>
    <row r="3">
      <c r="A3" s="12" t="inlineStr">
        <is>
          <t>対象月</t>
        </is>
      </c>
      <c r="B3" s="14">
        <f>'02_月間表'!$B$4</f>
        <v/>
      </c>
      <c r="C3" s="2" t="inlineStr">
        <is>
          <t>★月の変更は 02_月間表 で行ってください</t>
        </is>
      </c>
    </row>
    <row r="5" ht="30" customHeight="1">
      <c r="A5" s="7" t="inlineStr">
        <is>
          <t>日付</t>
        </is>
      </c>
      <c r="B5" s="7" t="inlineStr">
        <is>
          <t>曜日</t>
        </is>
      </c>
      <c r="C5" s="7" t="inlineStr">
        <is>
          <t>朝(自動)</t>
        </is>
      </c>
      <c r="D5" s="7" t="inlineStr">
        <is>
          <t>昼(自動)</t>
        </is>
      </c>
      <c r="E5" s="7" t="inlineStr">
        <is>
          <t>夕(自動)</t>
        </is>
      </c>
      <c r="F5" s="7" t="inlineStr">
        <is>
          <t>朝 調整</t>
        </is>
      </c>
      <c r="G5" s="7" t="inlineStr">
        <is>
          <t>昼 調整</t>
        </is>
      </c>
      <c r="H5" s="7" t="inlineStr">
        <is>
          <t>夕 調整</t>
        </is>
      </c>
      <c r="I5" s="7" t="inlineStr">
        <is>
          <t>朝 確定</t>
        </is>
      </c>
      <c r="J5" s="7" t="inlineStr">
        <is>
          <t>昼 確定</t>
        </is>
      </c>
      <c r="K5" s="7" t="inlineStr">
        <is>
          <t>夕 確定</t>
        </is>
      </c>
      <c r="L5" s="7">
        <f>'02_月間表'!C$6&amp;" 宿泊者"</f>
        <v/>
      </c>
      <c r="M5" s="7">
        <f>'02_月間表'!D$6&amp;" 宿泊者"</f>
        <v/>
      </c>
      <c r="N5" s="7">
        <f>'02_月間表'!E$6&amp;" 宿泊者"</f>
        <v/>
      </c>
      <c r="O5" s="7">
        <f>'02_月間表'!F$6&amp;" 宿泊者"</f>
        <v/>
      </c>
    </row>
    <row r="6">
      <c r="A6" s="15">
        <f>IF('02_月間表'!$A7="","",'02_月間表'!$A7)</f>
        <v/>
      </c>
      <c r="B6" s="16">
        <f>IF($A6="","",MID("日月火水木金土",WEEKDAY($A6),1))</f>
        <v/>
      </c>
      <c r="C6" s="16">
        <f>IF($A6="","",SUMPRODUCT(('01_予約入力'!$E$5:$E$204&lt;&gt;"")*('01_予約入力'!$K$5:$K$204&lt;&gt;"キャンセル")*('01_予約入力'!$E$5:$E$204&lt;$A6)*('01_予約入力'!$G$5:$G$204&gt;=$A6)))</f>
        <v/>
      </c>
      <c r="D6" s="16">
        <f>IF($A6="","",SUMPRODUCT(('01_予約入力'!$E$5:$E$204&lt;&gt;"")*('01_予約入力'!$K$5:$K$204&lt;&gt;"キャンセル")*((('01_予約入力'!$E$5:$E$204&lt;$A6)*('01_予約入力'!$G$5:$G$204&gt;$A6))+(('01_予約入力'!$E$5:$E$204=$A6)*('01_予約入力'!$G$5:$G$204=$A6)))))</f>
        <v/>
      </c>
      <c r="E6" s="16">
        <f>IF($A6="","",SUMPRODUCT(('01_予約入力'!$E$5:$E$204&lt;&gt;"")*('01_予約入力'!$K$5:$K$204&lt;&gt;"キャンセル")*('01_予約入力'!$E$5:$E$204&lt;=$A6)*('01_予約入力'!$G$5:$G$204&gt;$A6)))</f>
        <v/>
      </c>
      <c r="F6" s="19" t="n"/>
      <c r="G6" s="19" t="n"/>
      <c r="H6" s="19" t="n"/>
      <c r="I6" s="16">
        <f>IF($A6="","",IF($F6="",$C6,$F6))</f>
        <v/>
      </c>
      <c r="J6" s="16">
        <f>IF($A6="","",IF($G6="",$D6,$G6))</f>
        <v/>
      </c>
      <c r="K6" s="16">
        <f>IF($A6="","",IF($H6="",$E6,$H6))</f>
        <v/>
      </c>
      <c r="L6" s="17">
        <f>IF($A6="","",'02_月間表'!C7)</f>
        <v/>
      </c>
      <c r="M6" s="17">
        <f>IF($A6="","",'02_月間表'!D7)</f>
        <v/>
      </c>
      <c r="N6" s="17">
        <f>IF($A6="","",'02_月間表'!E7)</f>
        <v/>
      </c>
      <c r="O6" s="17">
        <f>IF($A6="","",'02_月間表'!F7)</f>
        <v/>
      </c>
    </row>
    <row r="7">
      <c r="A7" s="15">
        <f>IF('02_月間表'!$A8="","",'02_月間表'!$A8)</f>
        <v/>
      </c>
      <c r="B7" s="16">
        <f>IF($A7="","",MID("日月火水木金土",WEEKDAY($A7),1))</f>
        <v/>
      </c>
      <c r="C7" s="16">
        <f>IF($A7="","",SUMPRODUCT(('01_予約入力'!$E$5:$E$204&lt;&gt;"")*('01_予約入力'!$K$5:$K$204&lt;&gt;"キャンセル")*('01_予約入力'!$E$5:$E$204&lt;$A7)*('01_予約入力'!$G$5:$G$204&gt;=$A7)))</f>
        <v/>
      </c>
      <c r="D7" s="16">
        <f>IF($A7="","",SUMPRODUCT(('01_予約入力'!$E$5:$E$204&lt;&gt;"")*('01_予約入力'!$K$5:$K$204&lt;&gt;"キャンセル")*((('01_予約入力'!$E$5:$E$204&lt;$A7)*('01_予約入力'!$G$5:$G$204&gt;$A7))+(('01_予約入力'!$E$5:$E$204=$A7)*('01_予約入力'!$G$5:$G$204=$A7)))))</f>
        <v/>
      </c>
      <c r="E7" s="16">
        <f>IF($A7="","",SUMPRODUCT(('01_予約入力'!$E$5:$E$204&lt;&gt;"")*('01_予約入力'!$K$5:$K$204&lt;&gt;"キャンセル")*('01_予約入力'!$E$5:$E$204&lt;=$A7)*('01_予約入力'!$G$5:$G$204&gt;$A7)))</f>
        <v/>
      </c>
      <c r="F7" s="19" t="n"/>
      <c r="G7" s="19" t="n"/>
      <c r="H7" s="19" t="n"/>
      <c r="I7" s="16">
        <f>IF($A7="","",IF($F7="",$C7,$F7))</f>
        <v/>
      </c>
      <c r="J7" s="16">
        <f>IF($A7="","",IF($G7="",$D7,$G7))</f>
        <v/>
      </c>
      <c r="K7" s="16">
        <f>IF($A7="","",IF($H7="",$E7,$H7))</f>
        <v/>
      </c>
      <c r="L7" s="17">
        <f>IF($A7="","",'02_月間表'!C8)</f>
        <v/>
      </c>
      <c r="M7" s="17">
        <f>IF($A7="","",'02_月間表'!D8)</f>
        <v/>
      </c>
      <c r="N7" s="17">
        <f>IF($A7="","",'02_月間表'!E8)</f>
        <v/>
      </c>
      <c r="O7" s="17">
        <f>IF($A7="","",'02_月間表'!F8)</f>
        <v/>
      </c>
    </row>
    <row r="8">
      <c r="A8" s="15">
        <f>IF('02_月間表'!$A9="","",'02_月間表'!$A9)</f>
        <v/>
      </c>
      <c r="B8" s="16">
        <f>IF($A8="","",MID("日月火水木金土",WEEKDAY($A8),1))</f>
        <v/>
      </c>
      <c r="C8" s="16">
        <f>IF($A8="","",SUMPRODUCT(('01_予約入力'!$E$5:$E$204&lt;&gt;"")*('01_予約入力'!$K$5:$K$204&lt;&gt;"キャンセル")*('01_予約入力'!$E$5:$E$204&lt;$A8)*('01_予約入力'!$G$5:$G$204&gt;=$A8)))</f>
        <v/>
      </c>
      <c r="D8" s="16">
        <f>IF($A8="","",SUMPRODUCT(('01_予約入力'!$E$5:$E$204&lt;&gt;"")*('01_予約入力'!$K$5:$K$204&lt;&gt;"キャンセル")*((('01_予約入力'!$E$5:$E$204&lt;$A8)*('01_予約入力'!$G$5:$G$204&gt;$A8))+(('01_予約入力'!$E$5:$E$204=$A8)*('01_予約入力'!$G$5:$G$204=$A8)))))</f>
        <v/>
      </c>
      <c r="E8" s="16">
        <f>IF($A8="","",SUMPRODUCT(('01_予約入力'!$E$5:$E$204&lt;&gt;"")*('01_予約入力'!$K$5:$K$204&lt;&gt;"キャンセル")*('01_予約入力'!$E$5:$E$204&lt;=$A8)*('01_予約入力'!$G$5:$G$204&gt;$A8)))</f>
        <v/>
      </c>
      <c r="F8" s="19" t="n"/>
      <c r="G8" s="19" t="n"/>
      <c r="H8" s="19" t="n"/>
      <c r="I8" s="16">
        <f>IF($A8="","",IF($F8="",$C8,$F8))</f>
        <v/>
      </c>
      <c r="J8" s="16">
        <f>IF($A8="","",IF($G8="",$D8,$G8))</f>
        <v/>
      </c>
      <c r="K8" s="16">
        <f>IF($A8="","",IF($H8="",$E8,$H8))</f>
        <v/>
      </c>
      <c r="L8" s="17">
        <f>IF($A8="","",'02_月間表'!C9)</f>
        <v/>
      </c>
      <c r="M8" s="17">
        <f>IF($A8="","",'02_月間表'!D9)</f>
        <v/>
      </c>
      <c r="N8" s="17">
        <f>IF($A8="","",'02_月間表'!E9)</f>
        <v/>
      </c>
      <c r="O8" s="17">
        <f>IF($A8="","",'02_月間表'!F9)</f>
        <v/>
      </c>
    </row>
    <row r="9">
      <c r="A9" s="15">
        <f>IF('02_月間表'!$A10="","",'02_月間表'!$A10)</f>
        <v/>
      </c>
      <c r="B9" s="16">
        <f>IF($A9="","",MID("日月火水木金土",WEEKDAY($A9),1))</f>
        <v/>
      </c>
      <c r="C9" s="16">
        <f>IF($A9="","",SUMPRODUCT(('01_予約入力'!$E$5:$E$204&lt;&gt;"")*('01_予約入力'!$K$5:$K$204&lt;&gt;"キャンセル")*('01_予約入力'!$E$5:$E$204&lt;$A9)*('01_予約入力'!$G$5:$G$204&gt;=$A9)))</f>
        <v/>
      </c>
      <c r="D9" s="16">
        <f>IF($A9="","",SUMPRODUCT(('01_予約入力'!$E$5:$E$204&lt;&gt;"")*('01_予約入力'!$K$5:$K$204&lt;&gt;"キャンセル")*((('01_予約入力'!$E$5:$E$204&lt;$A9)*('01_予約入力'!$G$5:$G$204&gt;$A9))+(('01_予約入力'!$E$5:$E$204=$A9)*('01_予約入力'!$G$5:$G$204=$A9)))))</f>
        <v/>
      </c>
      <c r="E9" s="16">
        <f>IF($A9="","",SUMPRODUCT(('01_予約入力'!$E$5:$E$204&lt;&gt;"")*('01_予約入力'!$K$5:$K$204&lt;&gt;"キャンセル")*('01_予約入力'!$E$5:$E$204&lt;=$A9)*('01_予約入力'!$G$5:$G$204&gt;$A9)))</f>
        <v/>
      </c>
      <c r="F9" s="19" t="n"/>
      <c r="G9" s="19" t="n"/>
      <c r="H9" s="19" t="n"/>
      <c r="I9" s="16">
        <f>IF($A9="","",IF($F9="",$C9,$F9))</f>
        <v/>
      </c>
      <c r="J9" s="16">
        <f>IF($A9="","",IF($G9="",$D9,$G9))</f>
        <v/>
      </c>
      <c r="K9" s="16">
        <f>IF($A9="","",IF($H9="",$E9,$H9))</f>
        <v/>
      </c>
      <c r="L9" s="17">
        <f>IF($A9="","",'02_月間表'!C10)</f>
        <v/>
      </c>
      <c r="M9" s="17">
        <f>IF($A9="","",'02_月間表'!D10)</f>
        <v/>
      </c>
      <c r="N9" s="17">
        <f>IF($A9="","",'02_月間表'!E10)</f>
        <v/>
      </c>
      <c r="O9" s="17">
        <f>IF($A9="","",'02_月間表'!F10)</f>
        <v/>
      </c>
    </row>
    <row r="10">
      <c r="A10" s="15">
        <f>IF('02_月間表'!$A11="","",'02_月間表'!$A11)</f>
        <v/>
      </c>
      <c r="B10" s="16">
        <f>IF($A10="","",MID("日月火水木金土",WEEKDAY($A10),1))</f>
        <v/>
      </c>
      <c r="C10" s="16">
        <f>IF($A10="","",SUMPRODUCT(('01_予約入力'!$E$5:$E$204&lt;&gt;"")*('01_予約入力'!$K$5:$K$204&lt;&gt;"キャンセル")*('01_予約入力'!$E$5:$E$204&lt;$A10)*('01_予約入力'!$G$5:$G$204&gt;=$A10)))</f>
        <v/>
      </c>
      <c r="D10" s="16">
        <f>IF($A10="","",SUMPRODUCT(('01_予約入力'!$E$5:$E$204&lt;&gt;"")*('01_予約入力'!$K$5:$K$204&lt;&gt;"キャンセル")*((('01_予約入力'!$E$5:$E$204&lt;$A10)*('01_予約入力'!$G$5:$G$204&gt;$A10))+(('01_予約入力'!$E$5:$E$204=$A10)*('01_予約入力'!$G$5:$G$204=$A10)))))</f>
        <v/>
      </c>
      <c r="E10" s="16">
        <f>IF($A10="","",SUMPRODUCT(('01_予約入力'!$E$5:$E$204&lt;&gt;"")*('01_予約入力'!$K$5:$K$204&lt;&gt;"キャンセル")*('01_予約入力'!$E$5:$E$204&lt;=$A10)*('01_予約入力'!$G$5:$G$204&gt;$A10)))</f>
        <v/>
      </c>
      <c r="F10" s="19" t="n"/>
      <c r="G10" s="19" t="n"/>
      <c r="H10" s="19" t="n"/>
      <c r="I10" s="16">
        <f>IF($A10="","",IF($F10="",$C10,$F10))</f>
        <v/>
      </c>
      <c r="J10" s="16">
        <f>IF($A10="","",IF($G10="",$D10,$G10))</f>
        <v/>
      </c>
      <c r="K10" s="16">
        <f>IF($A10="","",IF($H10="",$E10,$H10))</f>
        <v/>
      </c>
      <c r="L10" s="17">
        <f>IF($A10="","",'02_月間表'!C11)</f>
        <v/>
      </c>
      <c r="M10" s="17">
        <f>IF($A10="","",'02_月間表'!D11)</f>
        <v/>
      </c>
      <c r="N10" s="17">
        <f>IF($A10="","",'02_月間表'!E11)</f>
        <v/>
      </c>
      <c r="O10" s="17">
        <f>IF($A10="","",'02_月間表'!F11)</f>
        <v/>
      </c>
    </row>
    <row r="11">
      <c r="A11" s="15">
        <f>IF('02_月間表'!$A12="","",'02_月間表'!$A12)</f>
        <v/>
      </c>
      <c r="B11" s="16">
        <f>IF($A11="","",MID("日月火水木金土",WEEKDAY($A11),1))</f>
        <v/>
      </c>
      <c r="C11" s="16">
        <f>IF($A11="","",SUMPRODUCT(('01_予約入力'!$E$5:$E$204&lt;&gt;"")*('01_予約入力'!$K$5:$K$204&lt;&gt;"キャンセル")*('01_予約入力'!$E$5:$E$204&lt;$A11)*('01_予約入力'!$G$5:$G$204&gt;=$A11)))</f>
        <v/>
      </c>
      <c r="D11" s="16">
        <f>IF($A11="","",SUMPRODUCT(('01_予約入力'!$E$5:$E$204&lt;&gt;"")*('01_予約入力'!$K$5:$K$204&lt;&gt;"キャンセル")*((('01_予約入力'!$E$5:$E$204&lt;$A11)*('01_予約入力'!$G$5:$G$204&gt;$A11))+(('01_予約入力'!$E$5:$E$204=$A11)*('01_予約入力'!$G$5:$G$204=$A11)))))</f>
        <v/>
      </c>
      <c r="E11" s="16">
        <f>IF($A11="","",SUMPRODUCT(('01_予約入力'!$E$5:$E$204&lt;&gt;"")*('01_予約入力'!$K$5:$K$204&lt;&gt;"キャンセル")*('01_予約入力'!$E$5:$E$204&lt;=$A11)*('01_予約入力'!$G$5:$G$204&gt;$A11)))</f>
        <v/>
      </c>
      <c r="F11" s="19" t="n"/>
      <c r="G11" s="19" t="n"/>
      <c r="H11" s="19" t="n"/>
      <c r="I11" s="16">
        <f>IF($A11="","",IF($F11="",$C11,$F11))</f>
        <v/>
      </c>
      <c r="J11" s="16">
        <f>IF($A11="","",IF($G11="",$D11,$G11))</f>
        <v/>
      </c>
      <c r="K11" s="16">
        <f>IF($A11="","",IF($H11="",$E11,$H11))</f>
        <v/>
      </c>
      <c r="L11" s="17">
        <f>IF($A11="","",'02_月間表'!C12)</f>
        <v/>
      </c>
      <c r="M11" s="17">
        <f>IF($A11="","",'02_月間表'!D12)</f>
        <v/>
      </c>
      <c r="N11" s="17">
        <f>IF($A11="","",'02_月間表'!E12)</f>
        <v/>
      </c>
      <c r="O11" s="17">
        <f>IF($A11="","",'02_月間表'!F12)</f>
        <v/>
      </c>
    </row>
    <row r="12">
      <c r="A12" s="15">
        <f>IF('02_月間表'!$A13="","",'02_月間表'!$A13)</f>
        <v/>
      </c>
      <c r="B12" s="16">
        <f>IF($A12="","",MID("日月火水木金土",WEEKDAY($A12),1))</f>
        <v/>
      </c>
      <c r="C12" s="16">
        <f>IF($A12="","",SUMPRODUCT(('01_予約入力'!$E$5:$E$204&lt;&gt;"")*('01_予約入力'!$K$5:$K$204&lt;&gt;"キャンセル")*('01_予約入力'!$E$5:$E$204&lt;$A12)*('01_予約入力'!$G$5:$G$204&gt;=$A12)))</f>
        <v/>
      </c>
      <c r="D12" s="16">
        <f>IF($A12="","",SUMPRODUCT(('01_予約入力'!$E$5:$E$204&lt;&gt;"")*('01_予約入力'!$K$5:$K$204&lt;&gt;"キャンセル")*((('01_予約入力'!$E$5:$E$204&lt;$A12)*('01_予約入力'!$G$5:$G$204&gt;$A12))+(('01_予約入力'!$E$5:$E$204=$A12)*('01_予約入力'!$G$5:$G$204=$A12)))))</f>
        <v/>
      </c>
      <c r="E12" s="16">
        <f>IF($A12="","",SUMPRODUCT(('01_予約入力'!$E$5:$E$204&lt;&gt;"")*('01_予約入力'!$K$5:$K$204&lt;&gt;"キャンセル")*('01_予約入力'!$E$5:$E$204&lt;=$A12)*('01_予約入力'!$G$5:$G$204&gt;$A12)))</f>
        <v/>
      </c>
      <c r="F12" s="19" t="n"/>
      <c r="G12" s="19" t="n"/>
      <c r="H12" s="19" t="n"/>
      <c r="I12" s="16">
        <f>IF($A12="","",IF($F12="",$C12,$F12))</f>
        <v/>
      </c>
      <c r="J12" s="16">
        <f>IF($A12="","",IF($G12="",$D12,$G12))</f>
        <v/>
      </c>
      <c r="K12" s="16">
        <f>IF($A12="","",IF($H12="",$E12,$H12))</f>
        <v/>
      </c>
      <c r="L12" s="17">
        <f>IF($A12="","",'02_月間表'!C13)</f>
        <v/>
      </c>
      <c r="M12" s="17">
        <f>IF($A12="","",'02_月間表'!D13)</f>
        <v/>
      </c>
      <c r="N12" s="17">
        <f>IF($A12="","",'02_月間表'!E13)</f>
        <v/>
      </c>
      <c r="O12" s="17">
        <f>IF($A12="","",'02_月間表'!F13)</f>
        <v/>
      </c>
    </row>
    <row r="13">
      <c r="A13" s="15">
        <f>IF('02_月間表'!$A14="","",'02_月間表'!$A14)</f>
        <v/>
      </c>
      <c r="B13" s="16">
        <f>IF($A13="","",MID("日月火水木金土",WEEKDAY($A13),1))</f>
        <v/>
      </c>
      <c r="C13" s="16">
        <f>IF($A13="","",SUMPRODUCT(('01_予約入力'!$E$5:$E$204&lt;&gt;"")*('01_予約入力'!$K$5:$K$204&lt;&gt;"キャンセル")*('01_予約入力'!$E$5:$E$204&lt;$A13)*('01_予約入力'!$G$5:$G$204&gt;=$A13)))</f>
        <v/>
      </c>
      <c r="D13" s="16">
        <f>IF($A13="","",SUMPRODUCT(('01_予約入力'!$E$5:$E$204&lt;&gt;"")*('01_予約入力'!$K$5:$K$204&lt;&gt;"キャンセル")*((('01_予約入力'!$E$5:$E$204&lt;$A13)*('01_予約入力'!$G$5:$G$204&gt;$A13))+(('01_予約入力'!$E$5:$E$204=$A13)*('01_予約入力'!$G$5:$G$204=$A13)))))</f>
        <v/>
      </c>
      <c r="E13" s="16">
        <f>IF($A13="","",SUMPRODUCT(('01_予約入力'!$E$5:$E$204&lt;&gt;"")*('01_予約入力'!$K$5:$K$204&lt;&gt;"キャンセル")*('01_予約入力'!$E$5:$E$204&lt;=$A13)*('01_予約入力'!$G$5:$G$204&gt;$A13)))</f>
        <v/>
      </c>
      <c r="F13" s="19" t="n"/>
      <c r="G13" s="19" t="n"/>
      <c r="H13" s="19" t="n"/>
      <c r="I13" s="16">
        <f>IF($A13="","",IF($F13="",$C13,$F13))</f>
        <v/>
      </c>
      <c r="J13" s="16">
        <f>IF($A13="","",IF($G13="",$D13,$G13))</f>
        <v/>
      </c>
      <c r="K13" s="16">
        <f>IF($A13="","",IF($H13="",$E13,$H13))</f>
        <v/>
      </c>
      <c r="L13" s="17">
        <f>IF($A13="","",'02_月間表'!C14)</f>
        <v/>
      </c>
      <c r="M13" s="17">
        <f>IF($A13="","",'02_月間表'!D14)</f>
        <v/>
      </c>
      <c r="N13" s="17">
        <f>IF($A13="","",'02_月間表'!E14)</f>
        <v/>
      </c>
      <c r="O13" s="17">
        <f>IF($A13="","",'02_月間表'!F14)</f>
        <v/>
      </c>
    </row>
    <row r="14">
      <c r="A14" s="15">
        <f>IF('02_月間表'!$A15="","",'02_月間表'!$A15)</f>
        <v/>
      </c>
      <c r="B14" s="16">
        <f>IF($A14="","",MID("日月火水木金土",WEEKDAY($A14),1))</f>
        <v/>
      </c>
      <c r="C14" s="16">
        <f>IF($A14="","",SUMPRODUCT(('01_予約入力'!$E$5:$E$204&lt;&gt;"")*('01_予約入力'!$K$5:$K$204&lt;&gt;"キャンセル")*('01_予約入力'!$E$5:$E$204&lt;$A14)*('01_予約入力'!$G$5:$G$204&gt;=$A14)))</f>
        <v/>
      </c>
      <c r="D14" s="16">
        <f>IF($A14="","",SUMPRODUCT(('01_予約入力'!$E$5:$E$204&lt;&gt;"")*('01_予約入力'!$K$5:$K$204&lt;&gt;"キャンセル")*((('01_予約入力'!$E$5:$E$204&lt;$A14)*('01_予約入力'!$G$5:$G$204&gt;$A14))+(('01_予約入力'!$E$5:$E$204=$A14)*('01_予約入力'!$G$5:$G$204=$A14)))))</f>
        <v/>
      </c>
      <c r="E14" s="16">
        <f>IF($A14="","",SUMPRODUCT(('01_予約入力'!$E$5:$E$204&lt;&gt;"")*('01_予約入力'!$K$5:$K$204&lt;&gt;"キャンセル")*('01_予約入力'!$E$5:$E$204&lt;=$A14)*('01_予約入力'!$G$5:$G$204&gt;$A14)))</f>
        <v/>
      </c>
      <c r="F14" s="19" t="n"/>
      <c r="G14" s="19" t="n"/>
      <c r="H14" s="19" t="n"/>
      <c r="I14" s="16">
        <f>IF($A14="","",IF($F14="",$C14,$F14))</f>
        <v/>
      </c>
      <c r="J14" s="16">
        <f>IF($A14="","",IF($G14="",$D14,$G14))</f>
        <v/>
      </c>
      <c r="K14" s="16">
        <f>IF($A14="","",IF($H14="",$E14,$H14))</f>
        <v/>
      </c>
      <c r="L14" s="17">
        <f>IF($A14="","",'02_月間表'!C15)</f>
        <v/>
      </c>
      <c r="M14" s="17">
        <f>IF($A14="","",'02_月間表'!D15)</f>
        <v/>
      </c>
      <c r="N14" s="17">
        <f>IF($A14="","",'02_月間表'!E15)</f>
        <v/>
      </c>
      <c r="O14" s="17">
        <f>IF($A14="","",'02_月間表'!F15)</f>
        <v/>
      </c>
    </row>
    <row r="15">
      <c r="A15" s="15">
        <f>IF('02_月間表'!$A16="","",'02_月間表'!$A16)</f>
        <v/>
      </c>
      <c r="B15" s="16">
        <f>IF($A15="","",MID("日月火水木金土",WEEKDAY($A15),1))</f>
        <v/>
      </c>
      <c r="C15" s="16">
        <f>IF($A15="","",SUMPRODUCT(('01_予約入力'!$E$5:$E$204&lt;&gt;"")*('01_予約入力'!$K$5:$K$204&lt;&gt;"キャンセル")*('01_予約入力'!$E$5:$E$204&lt;$A15)*('01_予約入力'!$G$5:$G$204&gt;=$A15)))</f>
        <v/>
      </c>
      <c r="D15" s="16">
        <f>IF($A15="","",SUMPRODUCT(('01_予約入力'!$E$5:$E$204&lt;&gt;"")*('01_予約入力'!$K$5:$K$204&lt;&gt;"キャンセル")*((('01_予約入力'!$E$5:$E$204&lt;$A15)*('01_予約入力'!$G$5:$G$204&gt;$A15))+(('01_予約入力'!$E$5:$E$204=$A15)*('01_予約入力'!$G$5:$G$204=$A15)))))</f>
        <v/>
      </c>
      <c r="E15" s="16">
        <f>IF($A15="","",SUMPRODUCT(('01_予約入力'!$E$5:$E$204&lt;&gt;"")*('01_予約入力'!$K$5:$K$204&lt;&gt;"キャンセル")*('01_予約入力'!$E$5:$E$204&lt;=$A15)*('01_予約入力'!$G$5:$G$204&gt;$A15)))</f>
        <v/>
      </c>
      <c r="F15" s="19" t="n"/>
      <c r="G15" s="19" t="n"/>
      <c r="H15" s="19" t="n"/>
      <c r="I15" s="16">
        <f>IF($A15="","",IF($F15="",$C15,$F15))</f>
        <v/>
      </c>
      <c r="J15" s="16">
        <f>IF($A15="","",IF($G15="",$D15,$G15))</f>
        <v/>
      </c>
      <c r="K15" s="16">
        <f>IF($A15="","",IF($H15="",$E15,$H15))</f>
        <v/>
      </c>
      <c r="L15" s="17">
        <f>IF($A15="","",'02_月間表'!C16)</f>
        <v/>
      </c>
      <c r="M15" s="17">
        <f>IF($A15="","",'02_月間表'!D16)</f>
        <v/>
      </c>
      <c r="N15" s="17">
        <f>IF($A15="","",'02_月間表'!E16)</f>
        <v/>
      </c>
      <c r="O15" s="17">
        <f>IF($A15="","",'02_月間表'!F16)</f>
        <v/>
      </c>
    </row>
    <row r="16">
      <c r="A16" s="15">
        <f>IF('02_月間表'!$A17="","",'02_月間表'!$A17)</f>
        <v/>
      </c>
      <c r="B16" s="16">
        <f>IF($A16="","",MID("日月火水木金土",WEEKDAY($A16),1))</f>
        <v/>
      </c>
      <c r="C16" s="16">
        <f>IF($A16="","",SUMPRODUCT(('01_予約入力'!$E$5:$E$204&lt;&gt;"")*('01_予約入力'!$K$5:$K$204&lt;&gt;"キャンセル")*('01_予約入力'!$E$5:$E$204&lt;$A16)*('01_予約入力'!$G$5:$G$204&gt;=$A16)))</f>
        <v/>
      </c>
      <c r="D16" s="16">
        <f>IF($A16="","",SUMPRODUCT(('01_予約入力'!$E$5:$E$204&lt;&gt;"")*('01_予約入力'!$K$5:$K$204&lt;&gt;"キャンセル")*((('01_予約入力'!$E$5:$E$204&lt;$A16)*('01_予約入力'!$G$5:$G$204&gt;$A16))+(('01_予約入力'!$E$5:$E$204=$A16)*('01_予約入力'!$G$5:$G$204=$A16)))))</f>
        <v/>
      </c>
      <c r="E16" s="16">
        <f>IF($A16="","",SUMPRODUCT(('01_予約入力'!$E$5:$E$204&lt;&gt;"")*('01_予約入力'!$K$5:$K$204&lt;&gt;"キャンセル")*('01_予約入力'!$E$5:$E$204&lt;=$A16)*('01_予約入力'!$G$5:$G$204&gt;$A16)))</f>
        <v/>
      </c>
      <c r="F16" s="19" t="n"/>
      <c r="G16" s="19" t="n"/>
      <c r="H16" s="19" t="n"/>
      <c r="I16" s="16">
        <f>IF($A16="","",IF($F16="",$C16,$F16))</f>
        <v/>
      </c>
      <c r="J16" s="16">
        <f>IF($A16="","",IF($G16="",$D16,$G16))</f>
        <v/>
      </c>
      <c r="K16" s="16">
        <f>IF($A16="","",IF($H16="",$E16,$H16))</f>
        <v/>
      </c>
      <c r="L16" s="17">
        <f>IF($A16="","",'02_月間表'!C17)</f>
        <v/>
      </c>
      <c r="M16" s="17">
        <f>IF($A16="","",'02_月間表'!D17)</f>
        <v/>
      </c>
      <c r="N16" s="17">
        <f>IF($A16="","",'02_月間表'!E17)</f>
        <v/>
      </c>
      <c r="O16" s="17">
        <f>IF($A16="","",'02_月間表'!F17)</f>
        <v/>
      </c>
    </row>
    <row r="17">
      <c r="A17" s="15">
        <f>IF('02_月間表'!$A18="","",'02_月間表'!$A18)</f>
        <v/>
      </c>
      <c r="B17" s="16">
        <f>IF($A17="","",MID("日月火水木金土",WEEKDAY($A17),1))</f>
        <v/>
      </c>
      <c r="C17" s="16">
        <f>IF($A17="","",SUMPRODUCT(('01_予約入力'!$E$5:$E$204&lt;&gt;"")*('01_予約入力'!$K$5:$K$204&lt;&gt;"キャンセル")*('01_予約入力'!$E$5:$E$204&lt;$A17)*('01_予約入力'!$G$5:$G$204&gt;=$A17)))</f>
        <v/>
      </c>
      <c r="D17" s="16">
        <f>IF($A17="","",SUMPRODUCT(('01_予約入力'!$E$5:$E$204&lt;&gt;"")*('01_予約入力'!$K$5:$K$204&lt;&gt;"キャンセル")*((('01_予約入力'!$E$5:$E$204&lt;$A17)*('01_予約入力'!$G$5:$G$204&gt;$A17))+(('01_予約入力'!$E$5:$E$204=$A17)*('01_予約入力'!$G$5:$G$204=$A17)))))</f>
        <v/>
      </c>
      <c r="E17" s="16">
        <f>IF($A17="","",SUMPRODUCT(('01_予約入力'!$E$5:$E$204&lt;&gt;"")*('01_予約入力'!$K$5:$K$204&lt;&gt;"キャンセル")*('01_予約入力'!$E$5:$E$204&lt;=$A17)*('01_予約入力'!$G$5:$G$204&gt;$A17)))</f>
        <v/>
      </c>
      <c r="F17" s="19" t="n"/>
      <c r="G17" s="19" t="n"/>
      <c r="H17" s="19" t="n"/>
      <c r="I17" s="16">
        <f>IF($A17="","",IF($F17="",$C17,$F17))</f>
        <v/>
      </c>
      <c r="J17" s="16">
        <f>IF($A17="","",IF($G17="",$D17,$G17))</f>
        <v/>
      </c>
      <c r="K17" s="16">
        <f>IF($A17="","",IF($H17="",$E17,$H17))</f>
        <v/>
      </c>
      <c r="L17" s="17">
        <f>IF($A17="","",'02_月間表'!C18)</f>
        <v/>
      </c>
      <c r="M17" s="17">
        <f>IF($A17="","",'02_月間表'!D18)</f>
        <v/>
      </c>
      <c r="N17" s="17">
        <f>IF($A17="","",'02_月間表'!E18)</f>
        <v/>
      </c>
      <c r="O17" s="17">
        <f>IF($A17="","",'02_月間表'!F18)</f>
        <v/>
      </c>
    </row>
    <row r="18">
      <c r="A18" s="15">
        <f>IF('02_月間表'!$A19="","",'02_月間表'!$A19)</f>
        <v/>
      </c>
      <c r="B18" s="16">
        <f>IF($A18="","",MID("日月火水木金土",WEEKDAY($A18),1))</f>
        <v/>
      </c>
      <c r="C18" s="16">
        <f>IF($A18="","",SUMPRODUCT(('01_予約入力'!$E$5:$E$204&lt;&gt;"")*('01_予約入力'!$K$5:$K$204&lt;&gt;"キャンセル")*('01_予約入力'!$E$5:$E$204&lt;$A18)*('01_予約入力'!$G$5:$G$204&gt;=$A18)))</f>
        <v/>
      </c>
      <c r="D18" s="16">
        <f>IF($A18="","",SUMPRODUCT(('01_予約入力'!$E$5:$E$204&lt;&gt;"")*('01_予約入力'!$K$5:$K$204&lt;&gt;"キャンセル")*((('01_予約入力'!$E$5:$E$204&lt;$A18)*('01_予約入力'!$G$5:$G$204&gt;$A18))+(('01_予約入力'!$E$5:$E$204=$A18)*('01_予約入力'!$G$5:$G$204=$A18)))))</f>
        <v/>
      </c>
      <c r="E18" s="16">
        <f>IF($A18="","",SUMPRODUCT(('01_予約入力'!$E$5:$E$204&lt;&gt;"")*('01_予約入力'!$K$5:$K$204&lt;&gt;"キャンセル")*('01_予約入力'!$E$5:$E$204&lt;=$A18)*('01_予約入力'!$G$5:$G$204&gt;$A18)))</f>
        <v/>
      </c>
      <c r="F18" s="19" t="n"/>
      <c r="G18" s="19" t="n"/>
      <c r="H18" s="19" t="n"/>
      <c r="I18" s="16">
        <f>IF($A18="","",IF($F18="",$C18,$F18))</f>
        <v/>
      </c>
      <c r="J18" s="16">
        <f>IF($A18="","",IF($G18="",$D18,$G18))</f>
        <v/>
      </c>
      <c r="K18" s="16">
        <f>IF($A18="","",IF($H18="",$E18,$H18))</f>
        <v/>
      </c>
      <c r="L18" s="17">
        <f>IF($A18="","",'02_月間表'!C19)</f>
        <v/>
      </c>
      <c r="M18" s="17">
        <f>IF($A18="","",'02_月間表'!D19)</f>
        <v/>
      </c>
      <c r="N18" s="17">
        <f>IF($A18="","",'02_月間表'!E19)</f>
        <v/>
      </c>
      <c r="O18" s="17">
        <f>IF($A18="","",'02_月間表'!F19)</f>
        <v/>
      </c>
    </row>
    <row r="19">
      <c r="A19" s="15">
        <f>IF('02_月間表'!$A20="","",'02_月間表'!$A20)</f>
        <v/>
      </c>
      <c r="B19" s="16">
        <f>IF($A19="","",MID("日月火水木金土",WEEKDAY($A19),1))</f>
        <v/>
      </c>
      <c r="C19" s="16">
        <f>IF($A19="","",SUMPRODUCT(('01_予約入力'!$E$5:$E$204&lt;&gt;"")*('01_予約入力'!$K$5:$K$204&lt;&gt;"キャンセル")*('01_予約入力'!$E$5:$E$204&lt;$A19)*('01_予約入力'!$G$5:$G$204&gt;=$A19)))</f>
        <v/>
      </c>
      <c r="D19" s="16">
        <f>IF($A19="","",SUMPRODUCT(('01_予約入力'!$E$5:$E$204&lt;&gt;"")*('01_予約入力'!$K$5:$K$204&lt;&gt;"キャンセル")*((('01_予約入力'!$E$5:$E$204&lt;$A19)*('01_予約入力'!$G$5:$G$204&gt;$A19))+(('01_予約入力'!$E$5:$E$204=$A19)*('01_予約入力'!$G$5:$G$204=$A19)))))</f>
        <v/>
      </c>
      <c r="E19" s="16">
        <f>IF($A19="","",SUMPRODUCT(('01_予約入力'!$E$5:$E$204&lt;&gt;"")*('01_予約入力'!$K$5:$K$204&lt;&gt;"キャンセル")*('01_予約入力'!$E$5:$E$204&lt;=$A19)*('01_予約入力'!$G$5:$G$204&gt;$A19)))</f>
        <v/>
      </c>
      <c r="F19" s="19" t="n"/>
      <c r="G19" s="19" t="n"/>
      <c r="H19" s="19" t="n"/>
      <c r="I19" s="16">
        <f>IF($A19="","",IF($F19="",$C19,$F19))</f>
        <v/>
      </c>
      <c r="J19" s="16">
        <f>IF($A19="","",IF($G19="",$D19,$G19))</f>
        <v/>
      </c>
      <c r="K19" s="16">
        <f>IF($A19="","",IF($H19="",$E19,$H19))</f>
        <v/>
      </c>
      <c r="L19" s="17">
        <f>IF($A19="","",'02_月間表'!C20)</f>
        <v/>
      </c>
      <c r="M19" s="17">
        <f>IF($A19="","",'02_月間表'!D20)</f>
        <v/>
      </c>
      <c r="N19" s="17">
        <f>IF($A19="","",'02_月間表'!E20)</f>
        <v/>
      </c>
      <c r="O19" s="17">
        <f>IF($A19="","",'02_月間表'!F20)</f>
        <v/>
      </c>
    </row>
    <row r="20">
      <c r="A20" s="15">
        <f>IF('02_月間表'!$A21="","",'02_月間表'!$A21)</f>
        <v/>
      </c>
      <c r="B20" s="16">
        <f>IF($A20="","",MID("日月火水木金土",WEEKDAY($A20),1))</f>
        <v/>
      </c>
      <c r="C20" s="16">
        <f>IF($A20="","",SUMPRODUCT(('01_予約入力'!$E$5:$E$204&lt;&gt;"")*('01_予約入力'!$K$5:$K$204&lt;&gt;"キャンセル")*('01_予約入力'!$E$5:$E$204&lt;$A20)*('01_予約入力'!$G$5:$G$204&gt;=$A20)))</f>
        <v/>
      </c>
      <c r="D20" s="16">
        <f>IF($A20="","",SUMPRODUCT(('01_予約入力'!$E$5:$E$204&lt;&gt;"")*('01_予約入力'!$K$5:$K$204&lt;&gt;"キャンセル")*((('01_予約入力'!$E$5:$E$204&lt;$A20)*('01_予約入力'!$G$5:$G$204&gt;$A20))+(('01_予約入力'!$E$5:$E$204=$A20)*('01_予約入力'!$G$5:$G$204=$A20)))))</f>
        <v/>
      </c>
      <c r="E20" s="16">
        <f>IF($A20="","",SUMPRODUCT(('01_予約入力'!$E$5:$E$204&lt;&gt;"")*('01_予約入力'!$K$5:$K$204&lt;&gt;"キャンセル")*('01_予約入力'!$E$5:$E$204&lt;=$A20)*('01_予約入力'!$G$5:$G$204&gt;$A20)))</f>
        <v/>
      </c>
      <c r="F20" s="19" t="n"/>
      <c r="G20" s="19" t="n"/>
      <c r="H20" s="19" t="n"/>
      <c r="I20" s="16">
        <f>IF($A20="","",IF($F20="",$C20,$F20))</f>
        <v/>
      </c>
      <c r="J20" s="16">
        <f>IF($A20="","",IF($G20="",$D20,$G20))</f>
        <v/>
      </c>
      <c r="K20" s="16">
        <f>IF($A20="","",IF($H20="",$E20,$H20))</f>
        <v/>
      </c>
      <c r="L20" s="17">
        <f>IF($A20="","",'02_月間表'!C21)</f>
        <v/>
      </c>
      <c r="M20" s="17">
        <f>IF($A20="","",'02_月間表'!D21)</f>
        <v/>
      </c>
      <c r="N20" s="17">
        <f>IF($A20="","",'02_月間表'!E21)</f>
        <v/>
      </c>
      <c r="O20" s="17">
        <f>IF($A20="","",'02_月間表'!F21)</f>
        <v/>
      </c>
    </row>
    <row r="21">
      <c r="A21" s="15">
        <f>IF('02_月間表'!$A22="","",'02_月間表'!$A22)</f>
        <v/>
      </c>
      <c r="B21" s="16">
        <f>IF($A21="","",MID("日月火水木金土",WEEKDAY($A21),1))</f>
        <v/>
      </c>
      <c r="C21" s="16">
        <f>IF($A21="","",SUMPRODUCT(('01_予約入力'!$E$5:$E$204&lt;&gt;"")*('01_予約入力'!$K$5:$K$204&lt;&gt;"キャンセル")*('01_予約入力'!$E$5:$E$204&lt;$A21)*('01_予約入力'!$G$5:$G$204&gt;=$A21)))</f>
        <v/>
      </c>
      <c r="D21" s="16">
        <f>IF($A21="","",SUMPRODUCT(('01_予約入力'!$E$5:$E$204&lt;&gt;"")*('01_予約入力'!$K$5:$K$204&lt;&gt;"キャンセル")*((('01_予約入力'!$E$5:$E$204&lt;$A21)*('01_予約入力'!$G$5:$G$204&gt;$A21))+(('01_予約入力'!$E$5:$E$204=$A21)*('01_予約入力'!$G$5:$G$204=$A21)))))</f>
        <v/>
      </c>
      <c r="E21" s="16">
        <f>IF($A21="","",SUMPRODUCT(('01_予約入力'!$E$5:$E$204&lt;&gt;"")*('01_予約入力'!$K$5:$K$204&lt;&gt;"キャンセル")*('01_予約入力'!$E$5:$E$204&lt;=$A21)*('01_予約入力'!$G$5:$G$204&gt;$A21)))</f>
        <v/>
      </c>
      <c r="F21" s="19" t="n"/>
      <c r="G21" s="19" t="n"/>
      <c r="H21" s="19" t="n"/>
      <c r="I21" s="16">
        <f>IF($A21="","",IF($F21="",$C21,$F21))</f>
        <v/>
      </c>
      <c r="J21" s="16">
        <f>IF($A21="","",IF($G21="",$D21,$G21))</f>
        <v/>
      </c>
      <c r="K21" s="16">
        <f>IF($A21="","",IF($H21="",$E21,$H21))</f>
        <v/>
      </c>
      <c r="L21" s="17">
        <f>IF($A21="","",'02_月間表'!C22)</f>
        <v/>
      </c>
      <c r="M21" s="17">
        <f>IF($A21="","",'02_月間表'!D22)</f>
        <v/>
      </c>
      <c r="N21" s="17">
        <f>IF($A21="","",'02_月間表'!E22)</f>
        <v/>
      </c>
      <c r="O21" s="17">
        <f>IF($A21="","",'02_月間表'!F22)</f>
        <v/>
      </c>
    </row>
    <row r="22">
      <c r="A22" s="15">
        <f>IF('02_月間表'!$A23="","",'02_月間表'!$A23)</f>
        <v/>
      </c>
      <c r="B22" s="16">
        <f>IF($A22="","",MID("日月火水木金土",WEEKDAY($A22),1))</f>
        <v/>
      </c>
      <c r="C22" s="16">
        <f>IF($A22="","",SUMPRODUCT(('01_予約入力'!$E$5:$E$204&lt;&gt;"")*('01_予約入力'!$K$5:$K$204&lt;&gt;"キャンセル")*('01_予約入力'!$E$5:$E$204&lt;$A22)*('01_予約入力'!$G$5:$G$204&gt;=$A22)))</f>
        <v/>
      </c>
      <c r="D22" s="16">
        <f>IF($A22="","",SUMPRODUCT(('01_予約入力'!$E$5:$E$204&lt;&gt;"")*('01_予約入力'!$K$5:$K$204&lt;&gt;"キャンセル")*((('01_予約入力'!$E$5:$E$204&lt;$A22)*('01_予約入力'!$G$5:$G$204&gt;$A22))+(('01_予約入力'!$E$5:$E$204=$A22)*('01_予約入力'!$G$5:$G$204=$A22)))))</f>
        <v/>
      </c>
      <c r="E22" s="16">
        <f>IF($A22="","",SUMPRODUCT(('01_予約入力'!$E$5:$E$204&lt;&gt;"")*('01_予約入力'!$K$5:$K$204&lt;&gt;"キャンセル")*('01_予約入力'!$E$5:$E$204&lt;=$A22)*('01_予約入力'!$G$5:$G$204&gt;$A22)))</f>
        <v/>
      </c>
      <c r="F22" s="19" t="n"/>
      <c r="G22" s="19" t="n"/>
      <c r="H22" s="19" t="n"/>
      <c r="I22" s="16">
        <f>IF($A22="","",IF($F22="",$C22,$F22))</f>
        <v/>
      </c>
      <c r="J22" s="16">
        <f>IF($A22="","",IF($G22="",$D22,$G22))</f>
        <v/>
      </c>
      <c r="K22" s="16">
        <f>IF($A22="","",IF($H22="",$E22,$H22))</f>
        <v/>
      </c>
      <c r="L22" s="17">
        <f>IF($A22="","",'02_月間表'!C23)</f>
        <v/>
      </c>
      <c r="M22" s="17">
        <f>IF($A22="","",'02_月間表'!D23)</f>
        <v/>
      </c>
      <c r="N22" s="17">
        <f>IF($A22="","",'02_月間表'!E23)</f>
        <v/>
      </c>
      <c r="O22" s="17">
        <f>IF($A22="","",'02_月間表'!F23)</f>
        <v/>
      </c>
    </row>
    <row r="23">
      <c r="A23" s="15">
        <f>IF('02_月間表'!$A24="","",'02_月間表'!$A24)</f>
        <v/>
      </c>
      <c r="B23" s="16">
        <f>IF($A23="","",MID("日月火水木金土",WEEKDAY($A23),1))</f>
        <v/>
      </c>
      <c r="C23" s="16">
        <f>IF($A23="","",SUMPRODUCT(('01_予約入力'!$E$5:$E$204&lt;&gt;"")*('01_予約入力'!$K$5:$K$204&lt;&gt;"キャンセル")*('01_予約入力'!$E$5:$E$204&lt;$A23)*('01_予約入力'!$G$5:$G$204&gt;=$A23)))</f>
        <v/>
      </c>
      <c r="D23" s="16">
        <f>IF($A23="","",SUMPRODUCT(('01_予約入力'!$E$5:$E$204&lt;&gt;"")*('01_予約入力'!$K$5:$K$204&lt;&gt;"キャンセル")*((('01_予約入力'!$E$5:$E$204&lt;$A23)*('01_予約入力'!$G$5:$G$204&gt;$A23))+(('01_予約入力'!$E$5:$E$204=$A23)*('01_予約入力'!$G$5:$G$204=$A23)))))</f>
        <v/>
      </c>
      <c r="E23" s="16">
        <f>IF($A23="","",SUMPRODUCT(('01_予約入力'!$E$5:$E$204&lt;&gt;"")*('01_予約入力'!$K$5:$K$204&lt;&gt;"キャンセル")*('01_予約入力'!$E$5:$E$204&lt;=$A23)*('01_予約入力'!$G$5:$G$204&gt;$A23)))</f>
        <v/>
      </c>
      <c r="F23" s="19" t="n"/>
      <c r="G23" s="19" t="n"/>
      <c r="H23" s="19" t="n"/>
      <c r="I23" s="16">
        <f>IF($A23="","",IF($F23="",$C23,$F23))</f>
        <v/>
      </c>
      <c r="J23" s="16">
        <f>IF($A23="","",IF($G23="",$D23,$G23))</f>
        <v/>
      </c>
      <c r="K23" s="16">
        <f>IF($A23="","",IF($H23="",$E23,$H23))</f>
        <v/>
      </c>
      <c r="L23" s="17">
        <f>IF($A23="","",'02_月間表'!C24)</f>
        <v/>
      </c>
      <c r="M23" s="17">
        <f>IF($A23="","",'02_月間表'!D24)</f>
        <v/>
      </c>
      <c r="N23" s="17">
        <f>IF($A23="","",'02_月間表'!E24)</f>
        <v/>
      </c>
      <c r="O23" s="17">
        <f>IF($A23="","",'02_月間表'!F24)</f>
        <v/>
      </c>
    </row>
    <row r="24">
      <c r="A24" s="15">
        <f>IF('02_月間表'!$A25="","",'02_月間表'!$A25)</f>
        <v/>
      </c>
      <c r="B24" s="16">
        <f>IF($A24="","",MID("日月火水木金土",WEEKDAY($A24),1))</f>
        <v/>
      </c>
      <c r="C24" s="16">
        <f>IF($A24="","",SUMPRODUCT(('01_予約入力'!$E$5:$E$204&lt;&gt;"")*('01_予約入力'!$K$5:$K$204&lt;&gt;"キャンセル")*('01_予約入力'!$E$5:$E$204&lt;$A24)*('01_予約入力'!$G$5:$G$204&gt;=$A24)))</f>
        <v/>
      </c>
      <c r="D24" s="16">
        <f>IF($A24="","",SUMPRODUCT(('01_予約入力'!$E$5:$E$204&lt;&gt;"")*('01_予約入力'!$K$5:$K$204&lt;&gt;"キャンセル")*((('01_予約入力'!$E$5:$E$204&lt;$A24)*('01_予約入力'!$G$5:$G$204&gt;$A24))+(('01_予約入力'!$E$5:$E$204=$A24)*('01_予約入力'!$G$5:$G$204=$A24)))))</f>
        <v/>
      </c>
      <c r="E24" s="16">
        <f>IF($A24="","",SUMPRODUCT(('01_予約入力'!$E$5:$E$204&lt;&gt;"")*('01_予約入力'!$K$5:$K$204&lt;&gt;"キャンセル")*('01_予約入力'!$E$5:$E$204&lt;=$A24)*('01_予約入力'!$G$5:$G$204&gt;$A24)))</f>
        <v/>
      </c>
      <c r="F24" s="19" t="n"/>
      <c r="G24" s="19" t="n"/>
      <c r="H24" s="19" t="n"/>
      <c r="I24" s="16">
        <f>IF($A24="","",IF($F24="",$C24,$F24))</f>
        <v/>
      </c>
      <c r="J24" s="16">
        <f>IF($A24="","",IF($G24="",$D24,$G24))</f>
        <v/>
      </c>
      <c r="K24" s="16">
        <f>IF($A24="","",IF($H24="",$E24,$H24))</f>
        <v/>
      </c>
      <c r="L24" s="17">
        <f>IF($A24="","",'02_月間表'!C25)</f>
        <v/>
      </c>
      <c r="M24" s="17">
        <f>IF($A24="","",'02_月間表'!D25)</f>
        <v/>
      </c>
      <c r="N24" s="17">
        <f>IF($A24="","",'02_月間表'!E25)</f>
        <v/>
      </c>
      <c r="O24" s="17">
        <f>IF($A24="","",'02_月間表'!F25)</f>
        <v/>
      </c>
    </row>
    <row r="25">
      <c r="A25" s="15">
        <f>IF('02_月間表'!$A26="","",'02_月間表'!$A26)</f>
        <v/>
      </c>
      <c r="B25" s="16">
        <f>IF($A25="","",MID("日月火水木金土",WEEKDAY($A25),1))</f>
        <v/>
      </c>
      <c r="C25" s="16">
        <f>IF($A25="","",SUMPRODUCT(('01_予約入力'!$E$5:$E$204&lt;&gt;"")*('01_予約入力'!$K$5:$K$204&lt;&gt;"キャンセル")*('01_予約入力'!$E$5:$E$204&lt;$A25)*('01_予約入力'!$G$5:$G$204&gt;=$A25)))</f>
        <v/>
      </c>
      <c r="D25" s="16">
        <f>IF($A25="","",SUMPRODUCT(('01_予約入力'!$E$5:$E$204&lt;&gt;"")*('01_予約入力'!$K$5:$K$204&lt;&gt;"キャンセル")*((('01_予約入力'!$E$5:$E$204&lt;$A25)*('01_予約入力'!$G$5:$G$204&gt;$A25))+(('01_予約入力'!$E$5:$E$204=$A25)*('01_予約入力'!$G$5:$G$204=$A25)))))</f>
        <v/>
      </c>
      <c r="E25" s="16">
        <f>IF($A25="","",SUMPRODUCT(('01_予約入力'!$E$5:$E$204&lt;&gt;"")*('01_予約入力'!$K$5:$K$204&lt;&gt;"キャンセル")*('01_予約入力'!$E$5:$E$204&lt;=$A25)*('01_予約入力'!$G$5:$G$204&gt;$A25)))</f>
        <v/>
      </c>
      <c r="F25" s="19" t="n"/>
      <c r="G25" s="19" t="n"/>
      <c r="H25" s="19" t="n"/>
      <c r="I25" s="16">
        <f>IF($A25="","",IF($F25="",$C25,$F25))</f>
        <v/>
      </c>
      <c r="J25" s="16">
        <f>IF($A25="","",IF($G25="",$D25,$G25))</f>
        <v/>
      </c>
      <c r="K25" s="16">
        <f>IF($A25="","",IF($H25="",$E25,$H25))</f>
        <v/>
      </c>
      <c r="L25" s="17">
        <f>IF($A25="","",'02_月間表'!C26)</f>
        <v/>
      </c>
      <c r="M25" s="17">
        <f>IF($A25="","",'02_月間表'!D26)</f>
        <v/>
      </c>
      <c r="N25" s="17">
        <f>IF($A25="","",'02_月間表'!E26)</f>
        <v/>
      </c>
      <c r="O25" s="17">
        <f>IF($A25="","",'02_月間表'!F26)</f>
        <v/>
      </c>
    </row>
    <row r="26">
      <c r="A26" s="15">
        <f>IF('02_月間表'!$A27="","",'02_月間表'!$A27)</f>
        <v/>
      </c>
      <c r="B26" s="16">
        <f>IF($A26="","",MID("日月火水木金土",WEEKDAY($A26),1))</f>
        <v/>
      </c>
      <c r="C26" s="16">
        <f>IF($A26="","",SUMPRODUCT(('01_予約入力'!$E$5:$E$204&lt;&gt;"")*('01_予約入力'!$K$5:$K$204&lt;&gt;"キャンセル")*('01_予約入力'!$E$5:$E$204&lt;$A26)*('01_予約入力'!$G$5:$G$204&gt;=$A26)))</f>
        <v/>
      </c>
      <c r="D26" s="16">
        <f>IF($A26="","",SUMPRODUCT(('01_予約入力'!$E$5:$E$204&lt;&gt;"")*('01_予約入力'!$K$5:$K$204&lt;&gt;"キャンセル")*((('01_予約入力'!$E$5:$E$204&lt;$A26)*('01_予約入力'!$G$5:$G$204&gt;$A26))+(('01_予約入力'!$E$5:$E$204=$A26)*('01_予約入力'!$G$5:$G$204=$A26)))))</f>
        <v/>
      </c>
      <c r="E26" s="16">
        <f>IF($A26="","",SUMPRODUCT(('01_予約入力'!$E$5:$E$204&lt;&gt;"")*('01_予約入力'!$K$5:$K$204&lt;&gt;"キャンセル")*('01_予約入力'!$E$5:$E$204&lt;=$A26)*('01_予約入力'!$G$5:$G$204&gt;$A26)))</f>
        <v/>
      </c>
      <c r="F26" s="19" t="n"/>
      <c r="G26" s="19" t="n"/>
      <c r="H26" s="19" t="n"/>
      <c r="I26" s="16">
        <f>IF($A26="","",IF($F26="",$C26,$F26))</f>
        <v/>
      </c>
      <c r="J26" s="16">
        <f>IF($A26="","",IF($G26="",$D26,$G26))</f>
        <v/>
      </c>
      <c r="K26" s="16">
        <f>IF($A26="","",IF($H26="",$E26,$H26))</f>
        <v/>
      </c>
      <c r="L26" s="17">
        <f>IF($A26="","",'02_月間表'!C27)</f>
        <v/>
      </c>
      <c r="M26" s="17">
        <f>IF($A26="","",'02_月間表'!D27)</f>
        <v/>
      </c>
      <c r="N26" s="17">
        <f>IF($A26="","",'02_月間表'!E27)</f>
        <v/>
      </c>
      <c r="O26" s="17">
        <f>IF($A26="","",'02_月間表'!F27)</f>
        <v/>
      </c>
    </row>
    <row r="27">
      <c r="A27" s="15">
        <f>IF('02_月間表'!$A28="","",'02_月間表'!$A28)</f>
        <v/>
      </c>
      <c r="B27" s="16">
        <f>IF($A27="","",MID("日月火水木金土",WEEKDAY($A27),1))</f>
        <v/>
      </c>
      <c r="C27" s="16">
        <f>IF($A27="","",SUMPRODUCT(('01_予約入力'!$E$5:$E$204&lt;&gt;"")*('01_予約入力'!$K$5:$K$204&lt;&gt;"キャンセル")*('01_予約入力'!$E$5:$E$204&lt;$A27)*('01_予約入力'!$G$5:$G$204&gt;=$A27)))</f>
        <v/>
      </c>
      <c r="D27" s="16">
        <f>IF($A27="","",SUMPRODUCT(('01_予約入力'!$E$5:$E$204&lt;&gt;"")*('01_予約入力'!$K$5:$K$204&lt;&gt;"キャンセル")*((('01_予約入力'!$E$5:$E$204&lt;$A27)*('01_予約入力'!$G$5:$G$204&gt;$A27))+(('01_予約入力'!$E$5:$E$204=$A27)*('01_予約入力'!$G$5:$G$204=$A27)))))</f>
        <v/>
      </c>
      <c r="E27" s="16">
        <f>IF($A27="","",SUMPRODUCT(('01_予約入力'!$E$5:$E$204&lt;&gt;"")*('01_予約入力'!$K$5:$K$204&lt;&gt;"キャンセル")*('01_予約入力'!$E$5:$E$204&lt;=$A27)*('01_予約入力'!$G$5:$G$204&gt;$A27)))</f>
        <v/>
      </c>
      <c r="F27" s="19" t="n"/>
      <c r="G27" s="19" t="n"/>
      <c r="H27" s="19" t="n"/>
      <c r="I27" s="16">
        <f>IF($A27="","",IF($F27="",$C27,$F27))</f>
        <v/>
      </c>
      <c r="J27" s="16">
        <f>IF($A27="","",IF($G27="",$D27,$G27))</f>
        <v/>
      </c>
      <c r="K27" s="16">
        <f>IF($A27="","",IF($H27="",$E27,$H27))</f>
        <v/>
      </c>
      <c r="L27" s="17">
        <f>IF($A27="","",'02_月間表'!C28)</f>
        <v/>
      </c>
      <c r="M27" s="17">
        <f>IF($A27="","",'02_月間表'!D28)</f>
        <v/>
      </c>
      <c r="N27" s="17">
        <f>IF($A27="","",'02_月間表'!E28)</f>
        <v/>
      </c>
      <c r="O27" s="17">
        <f>IF($A27="","",'02_月間表'!F28)</f>
        <v/>
      </c>
    </row>
    <row r="28">
      <c r="A28" s="15">
        <f>IF('02_月間表'!$A29="","",'02_月間表'!$A29)</f>
        <v/>
      </c>
      <c r="B28" s="16">
        <f>IF($A28="","",MID("日月火水木金土",WEEKDAY($A28),1))</f>
        <v/>
      </c>
      <c r="C28" s="16">
        <f>IF($A28="","",SUMPRODUCT(('01_予約入力'!$E$5:$E$204&lt;&gt;"")*('01_予約入力'!$K$5:$K$204&lt;&gt;"キャンセル")*('01_予約入力'!$E$5:$E$204&lt;$A28)*('01_予約入力'!$G$5:$G$204&gt;=$A28)))</f>
        <v/>
      </c>
      <c r="D28" s="16">
        <f>IF($A28="","",SUMPRODUCT(('01_予約入力'!$E$5:$E$204&lt;&gt;"")*('01_予約入力'!$K$5:$K$204&lt;&gt;"キャンセル")*((('01_予約入力'!$E$5:$E$204&lt;$A28)*('01_予約入力'!$G$5:$G$204&gt;$A28))+(('01_予約入力'!$E$5:$E$204=$A28)*('01_予約入力'!$G$5:$G$204=$A28)))))</f>
        <v/>
      </c>
      <c r="E28" s="16">
        <f>IF($A28="","",SUMPRODUCT(('01_予約入力'!$E$5:$E$204&lt;&gt;"")*('01_予約入力'!$K$5:$K$204&lt;&gt;"キャンセル")*('01_予約入力'!$E$5:$E$204&lt;=$A28)*('01_予約入力'!$G$5:$G$204&gt;$A28)))</f>
        <v/>
      </c>
      <c r="F28" s="19" t="n"/>
      <c r="G28" s="19" t="n"/>
      <c r="H28" s="19" t="n"/>
      <c r="I28" s="16">
        <f>IF($A28="","",IF($F28="",$C28,$F28))</f>
        <v/>
      </c>
      <c r="J28" s="16">
        <f>IF($A28="","",IF($G28="",$D28,$G28))</f>
        <v/>
      </c>
      <c r="K28" s="16">
        <f>IF($A28="","",IF($H28="",$E28,$H28))</f>
        <v/>
      </c>
      <c r="L28" s="17">
        <f>IF($A28="","",'02_月間表'!C29)</f>
        <v/>
      </c>
      <c r="M28" s="17">
        <f>IF($A28="","",'02_月間表'!D29)</f>
        <v/>
      </c>
      <c r="N28" s="17">
        <f>IF($A28="","",'02_月間表'!E29)</f>
        <v/>
      </c>
      <c r="O28" s="17">
        <f>IF($A28="","",'02_月間表'!F29)</f>
        <v/>
      </c>
    </row>
    <row r="29">
      <c r="A29" s="15">
        <f>IF('02_月間表'!$A30="","",'02_月間表'!$A30)</f>
        <v/>
      </c>
      <c r="B29" s="16">
        <f>IF($A29="","",MID("日月火水木金土",WEEKDAY($A29),1))</f>
        <v/>
      </c>
      <c r="C29" s="16">
        <f>IF($A29="","",SUMPRODUCT(('01_予約入力'!$E$5:$E$204&lt;&gt;"")*('01_予約入力'!$K$5:$K$204&lt;&gt;"キャンセル")*('01_予約入力'!$E$5:$E$204&lt;$A29)*('01_予約入力'!$G$5:$G$204&gt;=$A29)))</f>
        <v/>
      </c>
      <c r="D29" s="16">
        <f>IF($A29="","",SUMPRODUCT(('01_予約入力'!$E$5:$E$204&lt;&gt;"")*('01_予約入力'!$K$5:$K$204&lt;&gt;"キャンセル")*((('01_予約入力'!$E$5:$E$204&lt;$A29)*('01_予約入力'!$G$5:$G$204&gt;$A29))+(('01_予約入力'!$E$5:$E$204=$A29)*('01_予約入力'!$G$5:$G$204=$A29)))))</f>
        <v/>
      </c>
      <c r="E29" s="16">
        <f>IF($A29="","",SUMPRODUCT(('01_予約入力'!$E$5:$E$204&lt;&gt;"")*('01_予約入力'!$K$5:$K$204&lt;&gt;"キャンセル")*('01_予約入力'!$E$5:$E$204&lt;=$A29)*('01_予約入力'!$G$5:$G$204&gt;$A29)))</f>
        <v/>
      </c>
      <c r="F29" s="19" t="n"/>
      <c r="G29" s="19" t="n"/>
      <c r="H29" s="19" t="n"/>
      <c r="I29" s="16">
        <f>IF($A29="","",IF($F29="",$C29,$F29))</f>
        <v/>
      </c>
      <c r="J29" s="16">
        <f>IF($A29="","",IF($G29="",$D29,$G29))</f>
        <v/>
      </c>
      <c r="K29" s="16">
        <f>IF($A29="","",IF($H29="",$E29,$H29))</f>
        <v/>
      </c>
      <c r="L29" s="17">
        <f>IF($A29="","",'02_月間表'!C30)</f>
        <v/>
      </c>
      <c r="M29" s="17">
        <f>IF($A29="","",'02_月間表'!D30)</f>
        <v/>
      </c>
      <c r="N29" s="17">
        <f>IF($A29="","",'02_月間表'!E30)</f>
        <v/>
      </c>
      <c r="O29" s="17">
        <f>IF($A29="","",'02_月間表'!F30)</f>
        <v/>
      </c>
    </row>
    <row r="30">
      <c r="A30" s="15">
        <f>IF('02_月間表'!$A31="","",'02_月間表'!$A31)</f>
        <v/>
      </c>
      <c r="B30" s="16">
        <f>IF($A30="","",MID("日月火水木金土",WEEKDAY($A30),1))</f>
        <v/>
      </c>
      <c r="C30" s="16">
        <f>IF($A30="","",SUMPRODUCT(('01_予約入力'!$E$5:$E$204&lt;&gt;"")*('01_予約入力'!$K$5:$K$204&lt;&gt;"キャンセル")*('01_予約入力'!$E$5:$E$204&lt;$A30)*('01_予約入力'!$G$5:$G$204&gt;=$A30)))</f>
        <v/>
      </c>
      <c r="D30" s="16">
        <f>IF($A30="","",SUMPRODUCT(('01_予約入力'!$E$5:$E$204&lt;&gt;"")*('01_予約入力'!$K$5:$K$204&lt;&gt;"キャンセル")*((('01_予約入力'!$E$5:$E$204&lt;$A30)*('01_予約入力'!$G$5:$G$204&gt;$A30))+(('01_予約入力'!$E$5:$E$204=$A30)*('01_予約入力'!$G$5:$G$204=$A30)))))</f>
        <v/>
      </c>
      <c r="E30" s="16">
        <f>IF($A30="","",SUMPRODUCT(('01_予約入力'!$E$5:$E$204&lt;&gt;"")*('01_予約入力'!$K$5:$K$204&lt;&gt;"キャンセル")*('01_予約入力'!$E$5:$E$204&lt;=$A30)*('01_予約入力'!$G$5:$G$204&gt;$A30)))</f>
        <v/>
      </c>
      <c r="F30" s="19" t="n"/>
      <c r="G30" s="19" t="n"/>
      <c r="H30" s="19" t="n"/>
      <c r="I30" s="16">
        <f>IF($A30="","",IF($F30="",$C30,$F30))</f>
        <v/>
      </c>
      <c r="J30" s="16">
        <f>IF($A30="","",IF($G30="",$D30,$G30))</f>
        <v/>
      </c>
      <c r="K30" s="16">
        <f>IF($A30="","",IF($H30="",$E30,$H30))</f>
        <v/>
      </c>
      <c r="L30" s="17">
        <f>IF($A30="","",'02_月間表'!C31)</f>
        <v/>
      </c>
      <c r="M30" s="17">
        <f>IF($A30="","",'02_月間表'!D31)</f>
        <v/>
      </c>
      <c r="N30" s="17">
        <f>IF($A30="","",'02_月間表'!E31)</f>
        <v/>
      </c>
      <c r="O30" s="17">
        <f>IF($A30="","",'02_月間表'!F31)</f>
        <v/>
      </c>
    </row>
    <row r="31">
      <c r="A31" s="15">
        <f>IF('02_月間表'!$A32="","",'02_月間表'!$A32)</f>
        <v/>
      </c>
      <c r="B31" s="16">
        <f>IF($A31="","",MID("日月火水木金土",WEEKDAY($A31),1))</f>
        <v/>
      </c>
      <c r="C31" s="16">
        <f>IF($A31="","",SUMPRODUCT(('01_予約入力'!$E$5:$E$204&lt;&gt;"")*('01_予約入力'!$K$5:$K$204&lt;&gt;"キャンセル")*('01_予約入力'!$E$5:$E$204&lt;$A31)*('01_予約入力'!$G$5:$G$204&gt;=$A31)))</f>
        <v/>
      </c>
      <c r="D31" s="16">
        <f>IF($A31="","",SUMPRODUCT(('01_予約入力'!$E$5:$E$204&lt;&gt;"")*('01_予約入力'!$K$5:$K$204&lt;&gt;"キャンセル")*((('01_予約入力'!$E$5:$E$204&lt;$A31)*('01_予約入力'!$G$5:$G$204&gt;$A31))+(('01_予約入力'!$E$5:$E$204=$A31)*('01_予約入力'!$G$5:$G$204=$A31)))))</f>
        <v/>
      </c>
      <c r="E31" s="16">
        <f>IF($A31="","",SUMPRODUCT(('01_予約入力'!$E$5:$E$204&lt;&gt;"")*('01_予約入力'!$K$5:$K$204&lt;&gt;"キャンセル")*('01_予約入力'!$E$5:$E$204&lt;=$A31)*('01_予約入力'!$G$5:$G$204&gt;$A31)))</f>
        <v/>
      </c>
      <c r="F31" s="19" t="n"/>
      <c r="G31" s="19" t="n"/>
      <c r="H31" s="19" t="n"/>
      <c r="I31" s="16">
        <f>IF($A31="","",IF($F31="",$C31,$F31))</f>
        <v/>
      </c>
      <c r="J31" s="16">
        <f>IF($A31="","",IF($G31="",$D31,$G31))</f>
        <v/>
      </c>
      <c r="K31" s="16">
        <f>IF($A31="","",IF($H31="",$E31,$H31))</f>
        <v/>
      </c>
      <c r="L31" s="17">
        <f>IF($A31="","",'02_月間表'!C32)</f>
        <v/>
      </c>
      <c r="M31" s="17">
        <f>IF($A31="","",'02_月間表'!D32)</f>
        <v/>
      </c>
      <c r="N31" s="17">
        <f>IF($A31="","",'02_月間表'!E32)</f>
        <v/>
      </c>
      <c r="O31" s="17">
        <f>IF($A31="","",'02_月間表'!F32)</f>
        <v/>
      </c>
    </row>
    <row r="32">
      <c r="A32" s="15">
        <f>IF('02_月間表'!$A33="","",'02_月間表'!$A33)</f>
        <v/>
      </c>
      <c r="B32" s="16">
        <f>IF($A32="","",MID("日月火水木金土",WEEKDAY($A32),1))</f>
        <v/>
      </c>
      <c r="C32" s="16">
        <f>IF($A32="","",SUMPRODUCT(('01_予約入力'!$E$5:$E$204&lt;&gt;"")*('01_予約入力'!$K$5:$K$204&lt;&gt;"キャンセル")*('01_予約入力'!$E$5:$E$204&lt;$A32)*('01_予約入力'!$G$5:$G$204&gt;=$A32)))</f>
        <v/>
      </c>
      <c r="D32" s="16">
        <f>IF($A32="","",SUMPRODUCT(('01_予約入力'!$E$5:$E$204&lt;&gt;"")*('01_予約入力'!$K$5:$K$204&lt;&gt;"キャンセル")*((('01_予約入力'!$E$5:$E$204&lt;$A32)*('01_予約入力'!$G$5:$G$204&gt;$A32))+(('01_予約入力'!$E$5:$E$204=$A32)*('01_予約入力'!$G$5:$G$204=$A32)))))</f>
        <v/>
      </c>
      <c r="E32" s="16">
        <f>IF($A32="","",SUMPRODUCT(('01_予約入力'!$E$5:$E$204&lt;&gt;"")*('01_予約入力'!$K$5:$K$204&lt;&gt;"キャンセル")*('01_予約入力'!$E$5:$E$204&lt;=$A32)*('01_予約入力'!$G$5:$G$204&gt;$A32)))</f>
        <v/>
      </c>
      <c r="F32" s="19" t="n"/>
      <c r="G32" s="19" t="n"/>
      <c r="H32" s="19" t="n"/>
      <c r="I32" s="16">
        <f>IF($A32="","",IF($F32="",$C32,$F32))</f>
        <v/>
      </c>
      <c r="J32" s="16">
        <f>IF($A32="","",IF($G32="",$D32,$G32))</f>
        <v/>
      </c>
      <c r="K32" s="16">
        <f>IF($A32="","",IF($H32="",$E32,$H32))</f>
        <v/>
      </c>
      <c r="L32" s="17">
        <f>IF($A32="","",'02_月間表'!C33)</f>
        <v/>
      </c>
      <c r="M32" s="17">
        <f>IF($A32="","",'02_月間表'!D33)</f>
        <v/>
      </c>
      <c r="N32" s="17">
        <f>IF($A32="","",'02_月間表'!E33)</f>
        <v/>
      </c>
      <c r="O32" s="17">
        <f>IF($A32="","",'02_月間表'!F33)</f>
        <v/>
      </c>
    </row>
    <row r="33">
      <c r="A33" s="15">
        <f>IF('02_月間表'!$A34="","",'02_月間表'!$A34)</f>
        <v/>
      </c>
      <c r="B33" s="16">
        <f>IF($A33="","",MID("日月火水木金土",WEEKDAY($A33),1))</f>
        <v/>
      </c>
      <c r="C33" s="16">
        <f>IF($A33="","",SUMPRODUCT(('01_予約入力'!$E$5:$E$204&lt;&gt;"")*('01_予約入力'!$K$5:$K$204&lt;&gt;"キャンセル")*('01_予約入力'!$E$5:$E$204&lt;$A33)*('01_予約入力'!$G$5:$G$204&gt;=$A33)))</f>
        <v/>
      </c>
      <c r="D33" s="16">
        <f>IF($A33="","",SUMPRODUCT(('01_予約入力'!$E$5:$E$204&lt;&gt;"")*('01_予約入力'!$K$5:$K$204&lt;&gt;"キャンセル")*((('01_予約入力'!$E$5:$E$204&lt;$A33)*('01_予約入力'!$G$5:$G$204&gt;$A33))+(('01_予約入力'!$E$5:$E$204=$A33)*('01_予約入力'!$G$5:$G$204=$A33)))))</f>
        <v/>
      </c>
      <c r="E33" s="16">
        <f>IF($A33="","",SUMPRODUCT(('01_予約入力'!$E$5:$E$204&lt;&gt;"")*('01_予約入力'!$K$5:$K$204&lt;&gt;"キャンセル")*('01_予約入力'!$E$5:$E$204&lt;=$A33)*('01_予約入力'!$G$5:$G$204&gt;$A33)))</f>
        <v/>
      </c>
      <c r="F33" s="19" t="n"/>
      <c r="G33" s="19" t="n"/>
      <c r="H33" s="19" t="n"/>
      <c r="I33" s="16">
        <f>IF($A33="","",IF($F33="",$C33,$F33))</f>
        <v/>
      </c>
      <c r="J33" s="16">
        <f>IF($A33="","",IF($G33="",$D33,$G33))</f>
        <v/>
      </c>
      <c r="K33" s="16">
        <f>IF($A33="","",IF($H33="",$E33,$H33))</f>
        <v/>
      </c>
      <c r="L33" s="17">
        <f>IF($A33="","",'02_月間表'!C34)</f>
        <v/>
      </c>
      <c r="M33" s="17">
        <f>IF($A33="","",'02_月間表'!D34)</f>
        <v/>
      </c>
      <c r="N33" s="17">
        <f>IF($A33="","",'02_月間表'!E34)</f>
        <v/>
      </c>
      <c r="O33" s="17">
        <f>IF($A33="","",'02_月間表'!F34)</f>
        <v/>
      </c>
    </row>
    <row r="34">
      <c r="A34" s="15">
        <f>IF('02_月間表'!$A35="","",'02_月間表'!$A35)</f>
        <v/>
      </c>
      <c r="B34" s="16">
        <f>IF($A34="","",MID("日月火水木金土",WEEKDAY($A34),1))</f>
        <v/>
      </c>
      <c r="C34" s="16">
        <f>IF($A34="","",SUMPRODUCT(('01_予約入力'!$E$5:$E$204&lt;&gt;"")*('01_予約入力'!$K$5:$K$204&lt;&gt;"キャンセル")*('01_予約入力'!$E$5:$E$204&lt;$A34)*('01_予約入力'!$G$5:$G$204&gt;=$A34)))</f>
        <v/>
      </c>
      <c r="D34" s="16">
        <f>IF($A34="","",SUMPRODUCT(('01_予約入力'!$E$5:$E$204&lt;&gt;"")*('01_予約入力'!$K$5:$K$204&lt;&gt;"キャンセル")*((('01_予約入力'!$E$5:$E$204&lt;$A34)*('01_予約入力'!$G$5:$G$204&gt;$A34))+(('01_予約入力'!$E$5:$E$204=$A34)*('01_予約入力'!$G$5:$G$204=$A34)))))</f>
        <v/>
      </c>
      <c r="E34" s="16">
        <f>IF($A34="","",SUMPRODUCT(('01_予約入力'!$E$5:$E$204&lt;&gt;"")*('01_予約入力'!$K$5:$K$204&lt;&gt;"キャンセル")*('01_予約入力'!$E$5:$E$204&lt;=$A34)*('01_予約入力'!$G$5:$G$204&gt;$A34)))</f>
        <v/>
      </c>
      <c r="F34" s="19" t="n"/>
      <c r="G34" s="19" t="n"/>
      <c r="H34" s="19" t="n"/>
      <c r="I34" s="16">
        <f>IF($A34="","",IF($F34="",$C34,$F34))</f>
        <v/>
      </c>
      <c r="J34" s="16">
        <f>IF($A34="","",IF($G34="",$D34,$G34))</f>
        <v/>
      </c>
      <c r="K34" s="16">
        <f>IF($A34="","",IF($H34="",$E34,$H34))</f>
        <v/>
      </c>
      <c r="L34" s="17">
        <f>IF($A34="","",'02_月間表'!C35)</f>
        <v/>
      </c>
      <c r="M34" s="17">
        <f>IF($A34="","",'02_月間表'!D35)</f>
        <v/>
      </c>
      <c r="N34" s="17">
        <f>IF($A34="","",'02_月間表'!E35)</f>
        <v/>
      </c>
      <c r="O34" s="17">
        <f>IF($A34="","",'02_月間表'!F35)</f>
        <v/>
      </c>
    </row>
    <row r="35">
      <c r="A35" s="15">
        <f>IF('02_月間表'!$A36="","",'02_月間表'!$A36)</f>
        <v/>
      </c>
      <c r="B35" s="16">
        <f>IF($A35="","",MID("日月火水木金土",WEEKDAY($A35),1))</f>
        <v/>
      </c>
      <c r="C35" s="16">
        <f>IF($A35="","",SUMPRODUCT(('01_予約入力'!$E$5:$E$204&lt;&gt;"")*('01_予約入力'!$K$5:$K$204&lt;&gt;"キャンセル")*('01_予約入力'!$E$5:$E$204&lt;$A35)*('01_予約入力'!$G$5:$G$204&gt;=$A35)))</f>
        <v/>
      </c>
      <c r="D35" s="16">
        <f>IF($A35="","",SUMPRODUCT(('01_予約入力'!$E$5:$E$204&lt;&gt;"")*('01_予約入力'!$K$5:$K$204&lt;&gt;"キャンセル")*((('01_予約入力'!$E$5:$E$204&lt;$A35)*('01_予約入力'!$G$5:$G$204&gt;$A35))+(('01_予約入力'!$E$5:$E$204=$A35)*('01_予約入力'!$G$5:$G$204=$A35)))))</f>
        <v/>
      </c>
      <c r="E35" s="16">
        <f>IF($A35="","",SUMPRODUCT(('01_予約入力'!$E$5:$E$204&lt;&gt;"")*('01_予約入力'!$K$5:$K$204&lt;&gt;"キャンセル")*('01_予約入力'!$E$5:$E$204&lt;=$A35)*('01_予約入力'!$G$5:$G$204&gt;$A35)))</f>
        <v/>
      </c>
      <c r="F35" s="19" t="n"/>
      <c r="G35" s="19" t="n"/>
      <c r="H35" s="19" t="n"/>
      <c r="I35" s="16">
        <f>IF($A35="","",IF($F35="",$C35,$F35))</f>
        <v/>
      </c>
      <c r="J35" s="16">
        <f>IF($A35="","",IF($G35="",$D35,$G35))</f>
        <v/>
      </c>
      <c r="K35" s="16">
        <f>IF($A35="","",IF($H35="",$E35,$H35))</f>
        <v/>
      </c>
      <c r="L35" s="17">
        <f>IF($A35="","",'02_月間表'!C36)</f>
        <v/>
      </c>
      <c r="M35" s="17">
        <f>IF($A35="","",'02_月間表'!D36)</f>
        <v/>
      </c>
      <c r="N35" s="17">
        <f>IF($A35="","",'02_月間表'!E36)</f>
        <v/>
      </c>
      <c r="O35" s="17">
        <f>IF($A35="","",'02_月間表'!F36)</f>
        <v/>
      </c>
    </row>
    <row r="36">
      <c r="A36" s="15">
        <f>IF('02_月間表'!$A37="","",'02_月間表'!$A37)</f>
        <v/>
      </c>
      <c r="B36" s="16">
        <f>IF($A36="","",MID("日月火水木金土",WEEKDAY($A36),1))</f>
        <v/>
      </c>
      <c r="C36" s="16">
        <f>IF($A36="","",SUMPRODUCT(('01_予約入力'!$E$5:$E$204&lt;&gt;"")*('01_予約入力'!$K$5:$K$204&lt;&gt;"キャンセル")*('01_予約入力'!$E$5:$E$204&lt;$A36)*('01_予約入力'!$G$5:$G$204&gt;=$A36)))</f>
        <v/>
      </c>
      <c r="D36" s="16">
        <f>IF($A36="","",SUMPRODUCT(('01_予約入力'!$E$5:$E$204&lt;&gt;"")*('01_予約入力'!$K$5:$K$204&lt;&gt;"キャンセル")*((('01_予約入力'!$E$5:$E$204&lt;$A36)*('01_予約入力'!$G$5:$G$204&gt;$A36))+(('01_予約入力'!$E$5:$E$204=$A36)*('01_予約入力'!$G$5:$G$204=$A36)))))</f>
        <v/>
      </c>
      <c r="E36" s="16">
        <f>IF($A36="","",SUMPRODUCT(('01_予約入力'!$E$5:$E$204&lt;&gt;"")*('01_予約入力'!$K$5:$K$204&lt;&gt;"キャンセル")*('01_予約入力'!$E$5:$E$204&lt;=$A36)*('01_予約入力'!$G$5:$G$204&gt;$A36)))</f>
        <v/>
      </c>
      <c r="F36" s="19" t="n"/>
      <c r="G36" s="19" t="n"/>
      <c r="H36" s="19" t="n"/>
      <c r="I36" s="16">
        <f>IF($A36="","",IF($F36="",$C36,$F36))</f>
        <v/>
      </c>
      <c r="J36" s="16">
        <f>IF($A36="","",IF($G36="",$D36,$G36))</f>
        <v/>
      </c>
      <c r="K36" s="16">
        <f>IF($A36="","",IF($H36="",$E36,$H36))</f>
        <v/>
      </c>
      <c r="L36" s="17">
        <f>IF($A36="","",'02_月間表'!C37)</f>
        <v/>
      </c>
      <c r="M36" s="17">
        <f>IF($A36="","",'02_月間表'!D37)</f>
        <v/>
      </c>
      <c r="N36" s="17">
        <f>IF($A36="","",'02_月間表'!E37)</f>
        <v/>
      </c>
      <c r="O36" s="17">
        <f>IF($A36="","",'02_月間表'!F37)</f>
        <v/>
      </c>
    </row>
    <row r="38">
      <c r="A38" s="12" t="inlineStr">
        <is>
          <t>月合計</t>
        </is>
      </c>
      <c r="I38" s="20">
        <f>SUM(I6:I36)</f>
        <v/>
      </c>
      <c r="J38" s="20">
        <f>SUM(J6:J36)</f>
        <v/>
      </c>
      <c r="K38" s="20">
        <f>SUM(K6:K36)</f>
        <v/>
      </c>
      <c r="L38" s="2" t="inlineStr">
        <is>
          <t>厨房へはこの「確定」列（I〜K）を渡してください</t>
        </is>
      </c>
    </row>
  </sheetData>
  <conditionalFormatting sqref="A6:B36">
    <cfRule type="expression" priority="1" dxfId="5">
      <formula>AND($A6&lt;&gt;"",WEEKDAY($A6,2)&gt;=6)</formula>
    </cfRule>
  </conditionalFormatting>
  <pageMargins left="0.75" right="0.75" top="1" bottom="1" header="0.5" footer="0.5"/>
  <pageSetup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6" customWidth="1" min="4" max="4"/>
    <col width="14" customWidth="1" min="5" max="5"/>
  </cols>
  <sheetData>
    <row r="1">
      <c r="A1" s="1" t="inlineStr">
        <is>
          <t>期間集計（上司報告・請求突合用）</t>
        </is>
      </c>
    </row>
    <row r="2">
      <c r="A2" s="2" t="inlineStr">
        <is>
          <t>期間を入れると区分別・利用者別が出ます。キャンセルは除外。期間にかかった滞在は、期間内に重なる日数だけ数えます。</t>
        </is>
      </c>
    </row>
    <row r="3">
      <c r="A3" s="12" t="inlineStr">
        <is>
          <t>開始日</t>
        </is>
      </c>
      <c r="B3" s="13" t="n">
        <v>46113</v>
      </c>
    </row>
    <row r="4">
      <c r="A4" s="12" t="inlineStr">
        <is>
          <t>終了日</t>
        </is>
      </c>
      <c r="B4" s="13" t="n">
        <v>46142</v>
      </c>
    </row>
    <row r="6">
      <c r="A6" s="21" t="inlineStr">
        <is>
          <t>■ 区分別</t>
        </is>
      </c>
    </row>
    <row r="7" ht="30" customHeight="1">
      <c r="A7" s="7" t="inlineStr">
        <is>
          <t>区分</t>
        </is>
      </c>
      <c r="B7" s="7" t="inlineStr">
        <is>
          <t>利用者数</t>
        </is>
      </c>
      <c r="C7" s="7" t="inlineStr">
        <is>
          <t>利用回数</t>
        </is>
      </c>
      <c r="D7" s="7" t="inlineStr">
        <is>
          <t>延べ利用日数</t>
        </is>
      </c>
      <c r="E7" s="7" t="inlineStr">
        <is>
          <t>延べ宿泊数</t>
        </is>
      </c>
    </row>
    <row r="8">
      <c r="A8" s="17">
        <f>IF(COUNTA('M_区分'!$A$4:$A$20)&gt;=1,INDEX('M_区分'!$A$4:$A$20,1),"")</f>
        <v/>
      </c>
      <c r="B8" s="16">
        <f>IF($A8="","",SUMPRODUCT(--(COUNTIFS('01_予約入力'!$B$5:$B$204,'M_利用者'!$A$4:$A$60,'01_予約入力'!$C$5:$C$204,$A8,'01_予約入力'!$E$5:$E$204,"&lt;="&amp;$B$4,'01_予約入力'!$G$5:$G$204,"&gt;="&amp;$B$3,'01_予約入力'!$K$5:$K$204,"&lt;&gt;キャンセル")&gt;0)*('M_利用者'!$A$4:$A$60&lt;&gt;"")))</f>
        <v/>
      </c>
      <c r="C8" s="16">
        <f>IF($A8="","",COUNTIFS('01_予約入力'!$C$5:$C$204,$A8,'01_予約入力'!$E$5:$E$204,"&lt;="&amp;$B$4,'01_予約入力'!$G$5:$G$204,"&gt;="&amp;$B$3,'01_予約入力'!$K$5:$K$204,"&lt;&gt;キャンセル"))</f>
        <v/>
      </c>
      <c r="D8" s="16">
        <f>IF($A8="","",SUMPRODUCT(('01_予約入力'!$E$5:$E$204&lt;&gt;"")*('01_予約入力'!$K$5:$K$204&lt;&gt;"キャンセル")*('01_予約入力'!$C$5:$C$204=$A8)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8" s="16">
        <f>IF($A8="","",SUMPRODUCT(('01_予約入力'!$E$5:$E$204&lt;&gt;"")*('01_予約入力'!$K$5:$K$204&lt;&gt;"キャンセル")*('01_予約入力'!$C$5:$C$204=$A8)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9">
      <c r="A9" s="17">
        <f>IF(COUNTA('M_区分'!$A$4:$A$20)&gt;=2,INDEX('M_区分'!$A$4:$A$20,2),"")</f>
        <v/>
      </c>
      <c r="B9" s="16">
        <f>IF($A9="","",SUMPRODUCT(--(COUNTIFS('01_予約入力'!$B$5:$B$204,'M_利用者'!$A$4:$A$60,'01_予約入力'!$C$5:$C$204,$A9,'01_予約入力'!$E$5:$E$204,"&lt;="&amp;$B$4,'01_予約入力'!$G$5:$G$204,"&gt;="&amp;$B$3,'01_予約入力'!$K$5:$K$204,"&lt;&gt;キャンセル")&gt;0)*('M_利用者'!$A$4:$A$60&lt;&gt;"")))</f>
        <v/>
      </c>
      <c r="C9" s="16">
        <f>IF($A9="","",COUNTIFS('01_予約入力'!$C$5:$C$204,$A9,'01_予約入力'!$E$5:$E$204,"&lt;="&amp;$B$4,'01_予約入力'!$G$5:$G$204,"&gt;="&amp;$B$3,'01_予約入力'!$K$5:$K$204,"&lt;&gt;キャンセル"))</f>
        <v/>
      </c>
      <c r="D9" s="16">
        <f>IF($A9="","",SUMPRODUCT(('01_予約入力'!$E$5:$E$204&lt;&gt;"")*('01_予約入力'!$K$5:$K$204&lt;&gt;"キャンセル")*('01_予約入力'!$C$5:$C$204=$A9)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9" s="16">
        <f>IF($A9="","",SUMPRODUCT(('01_予約入力'!$E$5:$E$204&lt;&gt;"")*('01_予約入力'!$K$5:$K$204&lt;&gt;"キャンセル")*('01_予約入力'!$C$5:$C$204=$A9)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10">
      <c r="A10" s="17">
        <f>IF(COUNTA('M_区分'!$A$4:$A$20)&gt;=3,INDEX('M_区分'!$A$4:$A$20,3),"")</f>
        <v/>
      </c>
      <c r="B10" s="16">
        <f>IF($A10="","",SUMPRODUCT(--(COUNTIFS('01_予約入力'!$B$5:$B$204,'M_利用者'!$A$4:$A$60,'01_予約入力'!$C$5:$C$204,$A10,'01_予約入力'!$E$5:$E$204,"&lt;="&amp;$B$4,'01_予約入力'!$G$5:$G$204,"&gt;="&amp;$B$3,'01_予約入力'!$K$5:$K$204,"&lt;&gt;キャンセル")&gt;0)*('M_利用者'!$A$4:$A$60&lt;&gt;"")))</f>
        <v/>
      </c>
      <c r="C10" s="16">
        <f>IF($A10="","",COUNTIFS('01_予約入力'!$C$5:$C$204,$A10,'01_予約入力'!$E$5:$E$204,"&lt;="&amp;$B$4,'01_予約入力'!$G$5:$G$204,"&gt;="&amp;$B$3,'01_予約入力'!$K$5:$K$204,"&lt;&gt;キャンセル"))</f>
        <v/>
      </c>
      <c r="D10" s="16">
        <f>IF($A10="","",SUMPRODUCT(('01_予約入力'!$E$5:$E$204&lt;&gt;"")*('01_予約入力'!$K$5:$K$204&lt;&gt;"キャンセル")*('01_予約入力'!$C$5:$C$204=$A10)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10" s="16">
        <f>IF($A10="","",SUMPRODUCT(('01_予約入力'!$E$5:$E$204&lt;&gt;"")*('01_予約入力'!$K$5:$K$204&lt;&gt;"キャンセル")*('01_予約入力'!$C$5:$C$204=$A10)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11">
      <c r="A11" s="17">
        <f>IF(COUNTA('M_区分'!$A$4:$A$20)&gt;=4,INDEX('M_区分'!$A$4:$A$20,4),"")</f>
        <v/>
      </c>
      <c r="B11" s="16">
        <f>IF($A11="","",SUMPRODUCT(--(COUNTIFS('01_予約入力'!$B$5:$B$204,'M_利用者'!$A$4:$A$60,'01_予約入力'!$C$5:$C$204,$A11,'01_予約入力'!$E$5:$E$204,"&lt;="&amp;$B$4,'01_予約入力'!$G$5:$G$204,"&gt;="&amp;$B$3,'01_予約入力'!$K$5:$K$204,"&lt;&gt;キャンセル")&gt;0)*('M_利用者'!$A$4:$A$60&lt;&gt;"")))</f>
        <v/>
      </c>
      <c r="C11" s="16">
        <f>IF($A11="","",COUNTIFS('01_予約入力'!$C$5:$C$204,$A11,'01_予約入力'!$E$5:$E$204,"&lt;="&amp;$B$4,'01_予約入力'!$G$5:$G$204,"&gt;="&amp;$B$3,'01_予約入力'!$K$5:$K$204,"&lt;&gt;キャンセル"))</f>
        <v/>
      </c>
      <c r="D11" s="16">
        <f>IF($A11="","",SUMPRODUCT(('01_予約入力'!$E$5:$E$204&lt;&gt;"")*('01_予約入力'!$K$5:$K$204&lt;&gt;"キャンセル")*('01_予約入力'!$C$5:$C$204=$A11)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11" s="16">
        <f>IF($A11="","",SUMPRODUCT(('01_予約入力'!$E$5:$E$204&lt;&gt;"")*('01_予約入力'!$K$5:$K$204&lt;&gt;"キャンセル")*('01_予約入力'!$C$5:$C$204=$A11)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12">
      <c r="A12" s="17">
        <f>IF(COUNTA('M_区分'!$A$4:$A$20)&gt;=5,INDEX('M_区分'!$A$4:$A$20,5),"")</f>
        <v/>
      </c>
      <c r="B12" s="16">
        <f>IF($A12="","",SUMPRODUCT(--(COUNTIFS('01_予約入力'!$B$5:$B$204,'M_利用者'!$A$4:$A$60,'01_予約入力'!$C$5:$C$204,$A12,'01_予約入力'!$E$5:$E$204,"&lt;="&amp;$B$4,'01_予約入力'!$G$5:$G$204,"&gt;="&amp;$B$3,'01_予約入力'!$K$5:$K$204,"&lt;&gt;キャンセル")&gt;0)*('M_利用者'!$A$4:$A$60&lt;&gt;"")))</f>
        <v/>
      </c>
      <c r="C12" s="16">
        <f>IF($A12="","",COUNTIFS('01_予約入力'!$C$5:$C$204,$A12,'01_予約入力'!$E$5:$E$204,"&lt;="&amp;$B$4,'01_予約入力'!$G$5:$G$204,"&gt;="&amp;$B$3,'01_予約入力'!$K$5:$K$204,"&lt;&gt;キャンセル"))</f>
        <v/>
      </c>
      <c r="D12" s="16">
        <f>IF($A12="","",SUMPRODUCT(('01_予約入力'!$E$5:$E$204&lt;&gt;"")*('01_予約入力'!$K$5:$K$204&lt;&gt;"キャンセル")*('01_予約入力'!$C$5:$C$204=$A12)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12" s="16">
        <f>IF($A12="","",SUMPRODUCT(('01_予約入力'!$E$5:$E$204&lt;&gt;"")*('01_予約入力'!$K$5:$K$204&lt;&gt;"キャンセル")*('01_予約入力'!$C$5:$C$204=$A12)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13">
      <c r="A13" s="17">
        <f>IF(COUNTA('M_区分'!$A$4:$A$20)&gt;=6,INDEX('M_区分'!$A$4:$A$20,6),"")</f>
        <v/>
      </c>
      <c r="B13" s="16">
        <f>IF($A13="","",SUMPRODUCT(--(COUNTIFS('01_予約入力'!$B$5:$B$204,'M_利用者'!$A$4:$A$60,'01_予約入力'!$C$5:$C$204,$A13,'01_予約入力'!$E$5:$E$204,"&lt;="&amp;$B$4,'01_予約入力'!$G$5:$G$204,"&gt;="&amp;$B$3,'01_予約入力'!$K$5:$K$204,"&lt;&gt;キャンセル")&gt;0)*('M_利用者'!$A$4:$A$60&lt;&gt;"")))</f>
        <v/>
      </c>
      <c r="C13" s="16">
        <f>IF($A13="","",COUNTIFS('01_予約入力'!$C$5:$C$204,$A13,'01_予約入力'!$E$5:$E$204,"&lt;="&amp;$B$4,'01_予約入力'!$G$5:$G$204,"&gt;="&amp;$B$3,'01_予約入力'!$K$5:$K$204,"&lt;&gt;キャンセル"))</f>
        <v/>
      </c>
      <c r="D13" s="16">
        <f>IF($A13="","",SUMPRODUCT(('01_予約入力'!$E$5:$E$204&lt;&gt;"")*('01_予約入力'!$K$5:$K$204&lt;&gt;"キャンセル")*('01_予約入力'!$C$5:$C$204=$A13)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13" s="16">
        <f>IF($A13="","",SUMPRODUCT(('01_予約入力'!$E$5:$E$204&lt;&gt;"")*('01_予約入力'!$K$5:$K$204&lt;&gt;"キャンセル")*('01_予約入力'!$C$5:$C$204=$A13)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14">
      <c r="A14" s="17">
        <f>IF(COUNTA('M_区分'!$A$4:$A$20)&gt;=7,INDEX('M_区分'!$A$4:$A$20,7),"")</f>
        <v/>
      </c>
      <c r="B14" s="16">
        <f>IF($A14="","",SUMPRODUCT(--(COUNTIFS('01_予約入力'!$B$5:$B$204,'M_利用者'!$A$4:$A$60,'01_予約入力'!$C$5:$C$204,$A14,'01_予約入力'!$E$5:$E$204,"&lt;="&amp;$B$4,'01_予約入力'!$G$5:$G$204,"&gt;="&amp;$B$3,'01_予約入力'!$K$5:$K$204,"&lt;&gt;キャンセル")&gt;0)*('M_利用者'!$A$4:$A$60&lt;&gt;"")))</f>
        <v/>
      </c>
      <c r="C14" s="16">
        <f>IF($A14="","",COUNTIFS('01_予約入力'!$C$5:$C$204,$A14,'01_予約入力'!$E$5:$E$204,"&lt;="&amp;$B$4,'01_予約入力'!$G$5:$G$204,"&gt;="&amp;$B$3,'01_予約入力'!$K$5:$K$204,"&lt;&gt;キャンセル"))</f>
        <v/>
      </c>
      <c r="D14" s="16">
        <f>IF($A14="","",SUMPRODUCT(('01_予約入力'!$E$5:$E$204&lt;&gt;"")*('01_予約入力'!$K$5:$K$204&lt;&gt;"キャンセル")*('01_予約入力'!$C$5:$C$204=$A14)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14" s="16">
        <f>IF($A14="","",SUMPRODUCT(('01_予約入力'!$E$5:$E$204&lt;&gt;"")*('01_予約入力'!$K$5:$K$204&lt;&gt;"キャンセル")*('01_予約入力'!$C$5:$C$204=$A14)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15">
      <c r="A15" s="17">
        <f>IF(COUNTA('M_区分'!$A$4:$A$20)&gt;=8,INDEX('M_区分'!$A$4:$A$20,8),"")</f>
        <v/>
      </c>
      <c r="B15" s="16">
        <f>IF($A15="","",SUMPRODUCT(--(COUNTIFS('01_予約入力'!$B$5:$B$204,'M_利用者'!$A$4:$A$60,'01_予約入力'!$C$5:$C$204,$A15,'01_予約入力'!$E$5:$E$204,"&lt;="&amp;$B$4,'01_予約入力'!$G$5:$G$204,"&gt;="&amp;$B$3,'01_予約入力'!$K$5:$K$204,"&lt;&gt;キャンセル")&gt;0)*('M_利用者'!$A$4:$A$60&lt;&gt;"")))</f>
        <v/>
      </c>
      <c r="C15" s="16">
        <f>IF($A15="","",COUNTIFS('01_予約入力'!$C$5:$C$204,$A15,'01_予約入力'!$E$5:$E$204,"&lt;="&amp;$B$4,'01_予約入力'!$G$5:$G$204,"&gt;="&amp;$B$3,'01_予約入力'!$K$5:$K$204,"&lt;&gt;キャンセル"))</f>
        <v/>
      </c>
      <c r="D15" s="16">
        <f>IF($A15="","",SUMPRODUCT(('01_予約入力'!$E$5:$E$204&lt;&gt;"")*('01_予約入力'!$K$5:$K$204&lt;&gt;"キャンセル")*('01_予約入力'!$C$5:$C$204=$A15)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15" s="16">
        <f>IF($A15="","",SUMPRODUCT(('01_予約入力'!$E$5:$E$204&lt;&gt;"")*('01_予約入力'!$K$5:$K$204&lt;&gt;"キャンセル")*('01_予約入力'!$C$5:$C$204=$A15)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16">
      <c r="A16" s="17">
        <f>IF(COUNTA('M_区分'!$A$4:$A$20)&gt;=9,INDEX('M_区分'!$A$4:$A$20,9),"")</f>
        <v/>
      </c>
      <c r="B16" s="16">
        <f>IF($A16="","",SUMPRODUCT(--(COUNTIFS('01_予約入力'!$B$5:$B$204,'M_利用者'!$A$4:$A$60,'01_予約入力'!$C$5:$C$204,$A16,'01_予約入力'!$E$5:$E$204,"&lt;="&amp;$B$4,'01_予約入力'!$G$5:$G$204,"&gt;="&amp;$B$3,'01_予約入力'!$K$5:$K$204,"&lt;&gt;キャンセル")&gt;0)*('M_利用者'!$A$4:$A$60&lt;&gt;"")))</f>
        <v/>
      </c>
      <c r="C16" s="16">
        <f>IF($A16="","",COUNTIFS('01_予約入力'!$C$5:$C$204,$A16,'01_予約入力'!$E$5:$E$204,"&lt;="&amp;$B$4,'01_予約入力'!$G$5:$G$204,"&gt;="&amp;$B$3,'01_予約入力'!$K$5:$K$204,"&lt;&gt;キャンセル"))</f>
        <v/>
      </c>
      <c r="D16" s="16">
        <f>IF($A16="","",SUMPRODUCT(('01_予約入力'!$E$5:$E$204&lt;&gt;"")*('01_予約入力'!$K$5:$K$204&lt;&gt;"キャンセル")*('01_予約入力'!$C$5:$C$204=$A16)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16" s="16">
        <f>IF($A16="","",SUMPRODUCT(('01_予約入力'!$E$5:$E$204&lt;&gt;"")*('01_予約入力'!$K$5:$K$204&lt;&gt;"キャンセル")*('01_予約入力'!$C$5:$C$204=$A16)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17">
      <c r="A17" s="17">
        <f>IF(COUNTA('M_区分'!$A$4:$A$20)&gt;=10,INDEX('M_区分'!$A$4:$A$20,10),"")</f>
        <v/>
      </c>
      <c r="B17" s="16">
        <f>IF($A17="","",SUMPRODUCT(--(COUNTIFS('01_予約入力'!$B$5:$B$204,'M_利用者'!$A$4:$A$60,'01_予約入力'!$C$5:$C$204,$A17,'01_予約入力'!$E$5:$E$204,"&lt;="&amp;$B$4,'01_予約入力'!$G$5:$G$204,"&gt;="&amp;$B$3,'01_予約入力'!$K$5:$K$204,"&lt;&gt;キャンセル")&gt;0)*('M_利用者'!$A$4:$A$60&lt;&gt;"")))</f>
        <v/>
      </c>
      <c r="C17" s="16">
        <f>IF($A17="","",COUNTIFS('01_予約入力'!$C$5:$C$204,$A17,'01_予約入力'!$E$5:$E$204,"&lt;="&amp;$B$4,'01_予約入力'!$G$5:$G$204,"&gt;="&amp;$B$3,'01_予約入力'!$K$5:$K$204,"&lt;&gt;キャンセル"))</f>
        <v/>
      </c>
      <c r="D17" s="16">
        <f>IF($A17="","",SUMPRODUCT(('01_予約入力'!$E$5:$E$204&lt;&gt;"")*('01_予約入力'!$K$5:$K$204&lt;&gt;"キャンセル")*('01_予約入力'!$C$5:$C$204=$A17)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17" s="16">
        <f>IF($A17="","",SUMPRODUCT(('01_予約入力'!$E$5:$E$204&lt;&gt;"")*('01_予約入力'!$K$5:$K$204&lt;&gt;"キャンセル")*('01_予約入力'!$C$5:$C$204=$A17)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18">
      <c r="A18" s="22" t="inlineStr">
        <is>
          <t>合計</t>
        </is>
      </c>
      <c r="B18" s="22">
        <f>SUMPRODUCT(--(COUNTIFS('01_予約入力'!$B$5:$B$204,'M_利用者'!$A$4:$A$60,'01_予約入力'!$E$5:$E$204,"&lt;="&amp;$B$4,'01_予約入力'!$G$5:$G$204,"&gt;="&amp;$B$3,'01_予約入力'!$K$5:$K$204,"&lt;&gt;キャンセル")&gt;0)*('M_利用者'!$A$4:$A$60&lt;&gt;""))</f>
        <v/>
      </c>
      <c r="C18" s="22">
        <f>SUM(C8:C17)</f>
        <v/>
      </c>
      <c r="D18" s="22">
        <f>SUM(D8:D17)</f>
        <v/>
      </c>
      <c r="E18" s="22">
        <f>SUM(E8:E17)</f>
        <v/>
      </c>
    </row>
    <row r="19">
      <c r="A19" s="2" t="inlineStr">
        <is>
          <t>※ 「利用者数」は実人数（同じ方が何回利用しても1人）。区分をまたぐ方がいる場合、区分別の合計と合計行は一致しません。</t>
        </is>
      </c>
    </row>
    <row r="21">
      <c r="A21" s="21" t="inlineStr">
        <is>
          <t>■ 利用者別</t>
        </is>
      </c>
    </row>
    <row r="22" ht="30" customHeight="1">
      <c r="A22" s="7" t="inlineStr">
        <is>
          <t>氏名</t>
        </is>
      </c>
      <c r="B22" s="7" t="inlineStr">
        <is>
          <t>利用回数</t>
        </is>
      </c>
      <c r="C22" s="7" t="inlineStr">
        <is>
          <t>延べ利用日数</t>
        </is>
      </c>
      <c r="D22" s="7" t="inlineStr">
        <is>
          <t>支給量対象日数（滞在全体）</t>
        </is>
      </c>
    </row>
    <row r="23">
      <c r="A23" s="17">
        <f>IF(COUNTA('M_利用者'!$A$4:$A$60)&gt;=1,INDEX('M_利用者'!$A$4:$A$60,1),"")</f>
        <v/>
      </c>
      <c r="B23" s="16">
        <f>IF($A23="","",COUNTIFS('01_予約入力'!$B$5:$B$204,$A23,'01_予約入力'!$E$5:$E$204,"&lt;="&amp;$B$4,'01_予約入力'!$G$5:$G$204,"&gt;="&amp;$B$3,'01_予約入力'!$K$5:$K$204,"&lt;&gt;キャンセル"))</f>
        <v/>
      </c>
      <c r="C23" s="16">
        <f>IF($A23="","",SUMPRODUCT(('01_予約入力'!$E$5:$E$204&lt;&gt;"")*('01_予約入力'!$K$5:$K$204&lt;&gt;"キャンセル")*('01_予約入力'!$B$5:$B$204=$A23)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23" s="16">
        <f>IF($A23="","",SUMIFS('01_予約入力'!$U$5:$U$204,'01_予約入力'!$B$5:$B$204,$A23,'01_予約入力'!$E$5:$E$204,"&gt;="&amp;$B$3,'01_予約入力'!$E$5:$E$204,"&lt;="&amp;$B$4))</f>
        <v/>
      </c>
    </row>
    <row r="24">
      <c r="A24" s="17">
        <f>IF(COUNTA('M_利用者'!$A$4:$A$60)&gt;=2,INDEX('M_利用者'!$A$4:$A$60,2),"")</f>
        <v/>
      </c>
      <c r="B24" s="16">
        <f>IF($A24="","",COUNTIFS('01_予約入力'!$B$5:$B$204,$A24,'01_予約入力'!$E$5:$E$204,"&lt;="&amp;$B$4,'01_予約入力'!$G$5:$G$204,"&gt;="&amp;$B$3,'01_予約入力'!$K$5:$K$204,"&lt;&gt;キャンセル"))</f>
        <v/>
      </c>
      <c r="C24" s="16">
        <f>IF($A24="","",SUMPRODUCT(('01_予約入力'!$E$5:$E$204&lt;&gt;"")*('01_予約入力'!$K$5:$K$204&lt;&gt;"キャンセル")*('01_予約入力'!$B$5:$B$204=$A24)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24" s="16">
        <f>IF($A24="","",SUMIFS('01_予約入力'!$U$5:$U$204,'01_予約入力'!$B$5:$B$204,$A24,'01_予約入力'!$E$5:$E$204,"&gt;="&amp;$B$3,'01_予約入力'!$E$5:$E$204,"&lt;="&amp;$B$4))</f>
        <v/>
      </c>
    </row>
    <row r="25">
      <c r="A25" s="17">
        <f>IF(COUNTA('M_利用者'!$A$4:$A$60)&gt;=3,INDEX('M_利用者'!$A$4:$A$60,3),"")</f>
        <v/>
      </c>
      <c r="B25" s="16">
        <f>IF($A25="","",COUNTIFS('01_予約入力'!$B$5:$B$204,$A25,'01_予約入力'!$E$5:$E$204,"&lt;="&amp;$B$4,'01_予約入力'!$G$5:$G$204,"&gt;="&amp;$B$3,'01_予約入力'!$K$5:$K$204,"&lt;&gt;キャンセル"))</f>
        <v/>
      </c>
      <c r="C25" s="16">
        <f>IF($A25="","",SUMPRODUCT(('01_予約入力'!$E$5:$E$204&lt;&gt;"")*('01_予約入力'!$K$5:$K$204&lt;&gt;"キャンセル")*('01_予約入力'!$B$5:$B$204=$A25)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25" s="16">
        <f>IF($A25="","",SUMIFS('01_予約入力'!$U$5:$U$204,'01_予約入力'!$B$5:$B$204,$A25,'01_予約入力'!$E$5:$E$204,"&gt;="&amp;$B$3,'01_予約入力'!$E$5:$E$204,"&lt;="&amp;$B$4))</f>
        <v/>
      </c>
    </row>
    <row r="26">
      <c r="A26" s="17">
        <f>IF(COUNTA('M_利用者'!$A$4:$A$60)&gt;=4,INDEX('M_利用者'!$A$4:$A$60,4),"")</f>
        <v/>
      </c>
      <c r="B26" s="16">
        <f>IF($A26="","",COUNTIFS('01_予約入力'!$B$5:$B$204,$A26,'01_予約入力'!$E$5:$E$204,"&lt;="&amp;$B$4,'01_予約入力'!$G$5:$G$204,"&gt;="&amp;$B$3,'01_予約入力'!$K$5:$K$204,"&lt;&gt;キャンセル"))</f>
        <v/>
      </c>
      <c r="C26" s="16">
        <f>IF($A26="","",SUMPRODUCT(('01_予約入力'!$E$5:$E$204&lt;&gt;"")*('01_予約入力'!$K$5:$K$204&lt;&gt;"キャンセル")*('01_予約入力'!$B$5:$B$204=$A26)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26" s="16">
        <f>IF($A26="","",SUMIFS('01_予約入力'!$U$5:$U$204,'01_予約入力'!$B$5:$B$204,$A26,'01_予約入力'!$E$5:$E$204,"&gt;="&amp;$B$3,'01_予約入力'!$E$5:$E$204,"&lt;="&amp;$B$4))</f>
        <v/>
      </c>
    </row>
    <row r="27">
      <c r="A27" s="17">
        <f>IF(COUNTA('M_利用者'!$A$4:$A$60)&gt;=5,INDEX('M_利用者'!$A$4:$A$60,5),"")</f>
        <v/>
      </c>
      <c r="B27" s="16">
        <f>IF($A27="","",COUNTIFS('01_予約入力'!$B$5:$B$204,$A27,'01_予約入力'!$E$5:$E$204,"&lt;="&amp;$B$4,'01_予約入力'!$G$5:$G$204,"&gt;="&amp;$B$3,'01_予約入力'!$K$5:$K$204,"&lt;&gt;キャンセル"))</f>
        <v/>
      </c>
      <c r="C27" s="16">
        <f>IF($A27="","",SUMPRODUCT(('01_予約入力'!$E$5:$E$204&lt;&gt;"")*('01_予約入力'!$K$5:$K$204&lt;&gt;"キャンセル")*('01_予約入力'!$B$5:$B$204=$A27)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27" s="16">
        <f>IF($A27="","",SUMIFS('01_予約入力'!$U$5:$U$204,'01_予約入力'!$B$5:$B$204,$A27,'01_予約入力'!$E$5:$E$204,"&gt;="&amp;$B$3,'01_予約入力'!$E$5:$E$204,"&lt;="&amp;$B$4))</f>
        <v/>
      </c>
    </row>
    <row r="28">
      <c r="A28" s="17">
        <f>IF(COUNTA('M_利用者'!$A$4:$A$60)&gt;=6,INDEX('M_利用者'!$A$4:$A$60,6),"")</f>
        <v/>
      </c>
      <c r="B28" s="16">
        <f>IF($A28="","",COUNTIFS('01_予約入力'!$B$5:$B$204,$A28,'01_予約入力'!$E$5:$E$204,"&lt;="&amp;$B$4,'01_予約入力'!$G$5:$G$204,"&gt;="&amp;$B$3,'01_予約入力'!$K$5:$K$204,"&lt;&gt;キャンセル"))</f>
        <v/>
      </c>
      <c r="C28" s="16">
        <f>IF($A28="","",SUMPRODUCT(('01_予約入力'!$E$5:$E$204&lt;&gt;"")*('01_予約入力'!$K$5:$K$204&lt;&gt;"キャンセル")*('01_予約入力'!$B$5:$B$204=$A28)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28" s="16">
        <f>IF($A28="","",SUMIFS('01_予約入力'!$U$5:$U$204,'01_予約入力'!$B$5:$B$204,$A28,'01_予約入力'!$E$5:$E$204,"&gt;="&amp;$B$3,'01_予約入力'!$E$5:$E$204,"&lt;="&amp;$B$4))</f>
        <v/>
      </c>
    </row>
    <row r="29">
      <c r="A29" s="17">
        <f>IF(COUNTA('M_利用者'!$A$4:$A$60)&gt;=7,INDEX('M_利用者'!$A$4:$A$60,7),"")</f>
        <v/>
      </c>
      <c r="B29" s="16">
        <f>IF($A29="","",COUNTIFS('01_予約入力'!$B$5:$B$204,$A29,'01_予約入力'!$E$5:$E$204,"&lt;="&amp;$B$4,'01_予約入力'!$G$5:$G$204,"&gt;="&amp;$B$3,'01_予約入力'!$K$5:$K$204,"&lt;&gt;キャンセル"))</f>
        <v/>
      </c>
      <c r="C29" s="16">
        <f>IF($A29="","",SUMPRODUCT(('01_予約入力'!$E$5:$E$204&lt;&gt;"")*('01_予約入力'!$K$5:$K$204&lt;&gt;"キャンセル")*('01_予約入力'!$B$5:$B$204=$A29)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29" s="16">
        <f>IF($A29="","",SUMIFS('01_予約入力'!$U$5:$U$204,'01_予約入力'!$B$5:$B$204,$A29,'01_予約入力'!$E$5:$E$204,"&gt;="&amp;$B$3,'01_予約入力'!$E$5:$E$204,"&lt;="&amp;$B$4))</f>
        <v/>
      </c>
    </row>
    <row r="30">
      <c r="A30" s="17">
        <f>IF(COUNTA('M_利用者'!$A$4:$A$60)&gt;=8,INDEX('M_利用者'!$A$4:$A$60,8),"")</f>
        <v/>
      </c>
      <c r="B30" s="16">
        <f>IF($A30="","",COUNTIFS('01_予約入力'!$B$5:$B$204,$A30,'01_予約入力'!$E$5:$E$204,"&lt;="&amp;$B$4,'01_予約入力'!$G$5:$G$204,"&gt;="&amp;$B$3,'01_予約入力'!$K$5:$K$204,"&lt;&gt;キャンセル"))</f>
        <v/>
      </c>
      <c r="C30" s="16">
        <f>IF($A30="","",SUMPRODUCT(('01_予約入力'!$E$5:$E$204&lt;&gt;"")*('01_予約入力'!$K$5:$K$204&lt;&gt;"キャンセル")*('01_予約入力'!$B$5:$B$204=$A30)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0" s="16">
        <f>IF($A30="","",SUMIFS('01_予約入力'!$U$5:$U$204,'01_予約入力'!$B$5:$B$204,$A30,'01_予約入力'!$E$5:$E$204,"&gt;="&amp;$B$3,'01_予約入力'!$E$5:$E$204,"&lt;="&amp;$B$4))</f>
        <v/>
      </c>
    </row>
    <row r="31">
      <c r="A31" s="17">
        <f>IF(COUNTA('M_利用者'!$A$4:$A$60)&gt;=9,INDEX('M_利用者'!$A$4:$A$60,9),"")</f>
        <v/>
      </c>
      <c r="B31" s="16">
        <f>IF($A31="","",COUNTIFS('01_予約入力'!$B$5:$B$204,$A31,'01_予約入力'!$E$5:$E$204,"&lt;="&amp;$B$4,'01_予約入力'!$G$5:$G$204,"&gt;="&amp;$B$3,'01_予約入力'!$K$5:$K$204,"&lt;&gt;キャンセル"))</f>
        <v/>
      </c>
      <c r="C31" s="16">
        <f>IF($A31="","",SUMPRODUCT(('01_予約入力'!$E$5:$E$204&lt;&gt;"")*('01_予約入力'!$K$5:$K$204&lt;&gt;"キャンセル")*('01_予約入力'!$B$5:$B$204=$A31)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1" s="16">
        <f>IF($A31="","",SUMIFS('01_予約入力'!$U$5:$U$204,'01_予約入力'!$B$5:$B$204,$A31,'01_予約入力'!$E$5:$E$204,"&gt;="&amp;$B$3,'01_予約入力'!$E$5:$E$204,"&lt;="&amp;$B$4))</f>
        <v/>
      </c>
    </row>
    <row r="32">
      <c r="A32" s="17">
        <f>IF(COUNTA('M_利用者'!$A$4:$A$60)&gt;=10,INDEX('M_利用者'!$A$4:$A$60,10),"")</f>
        <v/>
      </c>
      <c r="B32" s="16">
        <f>IF($A32="","",COUNTIFS('01_予約入力'!$B$5:$B$204,$A32,'01_予約入力'!$E$5:$E$204,"&lt;="&amp;$B$4,'01_予約入力'!$G$5:$G$204,"&gt;="&amp;$B$3,'01_予約入力'!$K$5:$K$204,"&lt;&gt;キャンセル"))</f>
        <v/>
      </c>
      <c r="C32" s="16">
        <f>IF($A32="","",SUMPRODUCT(('01_予約入力'!$E$5:$E$204&lt;&gt;"")*('01_予約入力'!$K$5:$K$204&lt;&gt;"キャンセル")*('01_予約入力'!$B$5:$B$204=$A32)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2" s="16">
        <f>IF($A32="","",SUMIFS('01_予約入力'!$U$5:$U$204,'01_予約入力'!$B$5:$B$204,$A32,'01_予約入力'!$E$5:$E$204,"&gt;="&amp;$B$3,'01_予約入力'!$E$5:$E$204,"&lt;="&amp;$B$4))</f>
        <v/>
      </c>
    </row>
    <row r="33">
      <c r="A33" s="17">
        <f>IF(COUNTA('M_利用者'!$A$4:$A$60)&gt;=11,INDEX('M_利用者'!$A$4:$A$60,11),"")</f>
        <v/>
      </c>
      <c r="B33" s="16">
        <f>IF($A33="","",COUNTIFS('01_予約入力'!$B$5:$B$204,$A33,'01_予約入力'!$E$5:$E$204,"&lt;="&amp;$B$4,'01_予約入力'!$G$5:$G$204,"&gt;="&amp;$B$3,'01_予約入力'!$K$5:$K$204,"&lt;&gt;キャンセル"))</f>
        <v/>
      </c>
      <c r="C33" s="16">
        <f>IF($A33="","",SUMPRODUCT(('01_予約入力'!$E$5:$E$204&lt;&gt;"")*('01_予約入力'!$K$5:$K$204&lt;&gt;"キャンセル")*('01_予約入力'!$B$5:$B$204=$A33)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3" s="16">
        <f>IF($A33="","",SUMIFS('01_予約入力'!$U$5:$U$204,'01_予約入力'!$B$5:$B$204,$A33,'01_予約入力'!$E$5:$E$204,"&gt;="&amp;$B$3,'01_予約入力'!$E$5:$E$204,"&lt;="&amp;$B$4))</f>
        <v/>
      </c>
    </row>
    <row r="34">
      <c r="A34" s="17">
        <f>IF(COUNTA('M_利用者'!$A$4:$A$60)&gt;=12,INDEX('M_利用者'!$A$4:$A$60,12),"")</f>
        <v/>
      </c>
      <c r="B34" s="16">
        <f>IF($A34="","",COUNTIFS('01_予約入力'!$B$5:$B$204,$A34,'01_予約入力'!$E$5:$E$204,"&lt;="&amp;$B$4,'01_予約入力'!$G$5:$G$204,"&gt;="&amp;$B$3,'01_予約入力'!$K$5:$K$204,"&lt;&gt;キャンセル"))</f>
        <v/>
      </c>
      <c r="C34" s="16">
        <f>IF($A34="","",SUMPRODUCT(('01_予約入力'!$E$5:$E$204&lt;&gt;"")*('01_予約入力'!$K$5:$K$204&lt;&gt;"キャンセル")*('01_予約入力'!$B$5:$B$204=$A34)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4" s="16">
        <f>IF($A34="","",SUMIFS('01_予約入力'!$U$5:$U$204,'01_予約入力'!$B$5:$B$204,$A34,'01_予約入力'!$E$5:$E$204,"&gt;="&amp;$B$3,'01_予約入力'!$E$5:$E$204,"&lt;="&amp;$B$4))</f>
        <v/>
      </c>
    </row>
    <row r="35">
      <c r="A35" s="17">
        <f>IF(COUNTA('M_利用者'!$A$4:$A$60)&gt;=13,INDEX('M_利用者'!$A$4:$A$60,13),"")</f>
        <v/>
      </c>
      <c r="B35" s="16">
        <f>IF($A35="","",COUNTIFS('01_予約入力'!$B$5:$B$204,$A35,'01_予約入力'!$E$5:$E$204,"&lt;="&amp;$B$4,'01_予約入力'!$G$5:$G$204,"&gt;="&amp;$B$3,'01_予約入力'!$K$5:$K$204,"&lt;&gt;キャンセル"))</f>
        <v/>
      </c>
      <c r="C35" s="16">
        <f>IF($A35="","",SUMPRODUCT(('01_予約入力'!$E$5:$E$204&lt;&gt;"")*('01_予約入力'!$K$5:$K$204&lt;&gt;"キャンセル")*('01_予約入力'!$B$5:$B$204=$A35)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5" s="16">
        <f>IF($A35="","",SUMIFS('01_予約入力'!$U$5:$U$204,'01_予約入力'!$B$5:$B$204,$A35,'01_予約入力'!$E$5:$E$204,"&gt;="&amp;$B$3,'01_予約入力'!$E$5:$E$204,"&lt;="&amp;$B$4))</f>
        <v/>
      </c>
    </row>
    <row r="36">
      <c r="A36" s="17">
        <f>IF(COUNTA('M_利用者'!$A$4:$A$60)&gt;=14,INDEX('M_利用者'!$A$4:$A$60,14),"")</f>
        <v/>
      </c>
      <c r="B36" s="16">
        <f>IF($A36="","",COUNTIFS('01_予約入力'!$B$5:$B$204,$A36,'01_予約入力'!$E$5:$E$204,"&lt;="&amp;$B$4,'01_予約入力'!$G$5:$G$204,"&gt;="&amp;$B$3,'01_予約入力'!$K$5:$K$204,"&lt;&gt;キャンセル"))</f>
        <v/>
      </c>
      <c r="C36" s="16">
        <f>IF($A36="","",SUMPRODUCT(('01_予約入力'!$E$5:$E$204&lt;&gt;"")*('01_予約入力'!$K$5:$K$204&lt;&gt;"キャンセル")*('01_予約入力'!$B$5:$B$204=$A36)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6" s="16">
        <f>IF($A36="","",SUMIFS('01_予約入力'!$U$5:$U$204,'01_予約入力'!$B$5:$B$204,$A36,'01_予約入力'!$E$5:$E$204,"&gt;="&amp;$B$3,'01_予約入力'!$E$5:$E$204,"&lt;="&amp;$B$4))</f>
        <v/>
      </c>
    </row>
    <row r="37">
      <c r="A37" s="17">
        <f>IF(COUNTA('M_利用者'!$A$4:$A$60)&gt;=15,INDEX('M_利用者'!$A$4:$A$60,15),"")</f>
        <v/>
      </c>
      <c r="B37" s="16">
        <f>IF($A37="","",COUNTIFS('01_予約入力'!$B$5:$B$204,$A37,'01_予約入力'!$E$5:$E$204,"&lt;="&amp;$B$4,'01_予約入力'!$G$5:$G$204,"&gt;="&amp;$B$3,'01_予約入力'!$K$5:$K$204,"&lt;&gt;キャンセル"))</f>
        <v/>
      </c>
      <c r="C37" s="16">
        <f>IF($A37="","",SUMPRODUCT(('01_予約入力'!$E$5:$E$204&lt;&gt;"")*('01_予約入力'!$K$5:$K$204&lt;&gt;"キャンセル")*('01_予約入力'!$B$5:$B$204=$A37)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7" s="16">
        <f>IF($A37="","",SUMIFS('01_予約入力'!$U$5:$U$204,'01_予約入力'!$B$5:$B$204,$A37,'01_予約入力'!$E$5:$E$204,"&gt;="&amp;$B$3,'01_予約入力'!$E$5:$E$204,"&lt;="&amp;$B$4))</f>
        <v/>
      </c>
    </row>
    <row r="38">
      <c r="A38" s="17">
        <f>IF(COUNTA('M_利用者'!$A$4:$A$60)&gt;=16,INDEX('M_利用者'!$A$4:$A$60,16),"")</f>
        <v/>
      </c>
      <c r="B38" s="16">
        <f>IF($A38="","",COUNTIFS('01_予約入力'!$B$5:$B$204,$A38,'01_予約入力'!$E$5:$E$204,"&lt;="&amp;$B$4,'01_予約入力'!$G$5:$G$204,"&gt;="&amp;$B$3,'01_予約入力'!$K$5:$K$204,"&lt;&gt;キャンセル"))</f>
        <v/>
      </c>
      <c r="C38" s="16">
        <f>IF($A38="","",SUMPRODUCT(('01_予約入力'!$E$5:$E$204&lt;&gt;"")*('01_予約入力'!$K$5:$K$204&lt;&gt;"キャンセル")*('01_予約入力'!$B$5:$B$204=$A38)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8" s="16">
        <f>IF($A38="","",SUMIFS('01_予約入力'!$U$5:$U$204,'01_予約入力'!$B$5:$B$204,$A38,'01_予約入力'!$E$5:$E$204,"&gt;="&amp;$B$3,'01_予約入力'!$E$5:$E$204,"&lt;="&amp;$B$4))</f>
        <v/>
      </c>
    </row>
    <row r="39">
      <c r="A39" s="17">
        <f>IF(COUNTA('M_利用者'!$A$4:$A$60)&gt;=17,INDEX('M_利用者'!$A$4:$A$60,17),"")</f>
        <v/>
      </c>
      <c r="B39" s="16">
        <f>IF($A39="","",COUNTIFS('01_予約入力'!$B$5:$B$204,$A39,'01_予約入力'!$E$5:$E$204,"&lt;="&amp;$B$4,'01_予約入力'!$G$5:$G$204,"&gt;="&amp;$B$3,'01_予約入力'!$K$5:$K$204,"&lt;&gt;キャンセル"))</f>
        <v/>
      </c>
      <c r="C39" s="16">
        <f>IF($A39="","",SUMPRODUCT(('01_予約入力'!$E$5:$E$204&lt;&gt;"")*('01_予約入力'!$K$5:$K$204&lt;&gt;"キャンセル")*('01_予約入力'!$B$5:$B$204=$A39)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9" s="16">
        <f>IF($A39="","",SUMIFS('01_予約入力'!$U$5:$U$204,'01_予約入力'!$B$5:$B$204,$A39,'01_予約入力'!$E$5:$E$204,"&gt;="&amp;$B$3,'01_予約入力'!$E$5:$E$204,"&lt;="&amp;$B$4))</f>
        <v/>
      </c>
    </row>
    <row r="40">
      <c r="A40" s="17">
        <f>IF(COUNTA('M_利用者'!$A$4:$A$60)&gt;=18,INDEX('M_利用者'!$A$4:$A$60,18),"")</f>
        <v/>
      </c>
      <c r="B40" s="16">
        <f>IF($A40="","",COUNTIFS('01_予約入力'!$B$5:$B$204,$A40,'01_予約入力'!$E$5:$E$204,"&lt;="&amp;$B$4,'01_予約入力'!$G$5:$G$204,"&gt;="&amp;$B$3,'01_予約入力'!$K$5:$K$204,"&lt;&gt;キャンセル"))</f>
        <v/>
      </c>
      <c r="C40" s="16">
        <f>IF($A40="","",SUMPRODUCT(('01_予約入力'!$E$5:$E$204&lt;&gt;"")*('01_予約入力'!$K$5:$K$204&lt;&gt;"キャンセル")*('01_予約入力'!$B$5:$B$204=$A40)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0" s="16">
        <f>IF($A40="","",SUMIFS('01_予約入力'!$U$5:$U$204,'01_予約入力'!$B$5:$B$204,$A40,'01_予約入力'!$E$5:$E$204,"&gt;="&amp;$B$3,'01_予約入力'!$E$5:$E$204,"&lt;="&amp;$B$4))</f>
        <v/>
      </c>
    </row>
    <row r="41">
      <c r="A41" s="17">
        <f>IF(COUNTA('M_利用者'!$A$4:$A$60)&gt;=19,INDEX('M_利用者'!$A$4:$A$60,19),"")</f>
        <v/>
      </c>
      <c r="B41" s="16">
        <f>IF($A41="","",COUNTIFS('01_予約入力'!$B$5:$B$204,$A41,'01_予約入力'!$E$5:$E$204,"&lt;="&amp;$B$4,'01_予約入力'!$G$5:$G$204,"&gt;="&amp;$B$3,'01_予約入力'!$K$5:$K$204,"&lt;&gt;キャンセル"))</f>
        <v/>
      </c>
      <c r="C41" s="16">
        <f>IF($A41="","",SUMPRODUCT(('01_予約入力'!$E$5:$E$204&lt;&gt;"")*('01_予約入力'!$K$5:$K$204&lt;&gt;"キャンセル")*('01_予約入力'!$B$5:$B$204=$A41)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1" s="16">
        <f>IF($A41="","",SUMIFS('01_予約入力'!$U$5:$U$204,'01_予約入力'!$B$5:$B$204,$A41,'01_予約入力'!$E$5:$E$204,"&gt;="&amp;$B$3,'01_予約入力'!$E$5:$E$204,"&lt;="&amp;$B$4))</f>
        <v/>
      </c>
    </row>
    <row r="42">
      <c r="A42" s="17">
        <f>IF(COUNTA('M_利用者'!$A$4:$A$60)&gt;=20,INDEX('M_利用者'!$A$4:$A$60,20),"")</f>
        <v/>
      </c>
      <c r="B42" s="16">
        <f>IF($A42="","",COUNTIFS('01_予約入力'!$B$5:$B$204,$A42,'01_予約入力'!$E$5:$E$204,"&lt;="&amp;$B$4,'01_予約入力'!$G$5:$G$204,"&gt;="&amp;$B$3,'01_予約入力'!$K$5:$K$204,"&lt;&gt;キャンセル"))</f>
        <v/>
      </c>
      <c r="C42" s="16">
        <f>IF($A42="","",SUMPRODUCT(('01_予約入力'!$E$5:$E$204&lt;&gt;"")*('01_予約入力'!$K$5:$K$204&lt;&gt;"キャンセル")*('01_予約入力'!$B$5:$B$204=$A42)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2" s="16">
        <f>IF($A42="","",SUMIFS('01_予約入力'!$U$5:$U$204,'01_予約入力'!$B$5:$B$204,$A42,'01_予約入力'!$E$5:$E$204,"&gt;="&amp;$B$3,'01_予約入力'!$E$5:$E$204,"&lt;="&amp;$B$4))</f>
        <v/>
      </c>
    </row>
    <row r="43">
      <c r="A43" s="17">
        <f>IF(COUNTA('M_利用者'!$A$4:$A$60)&gt;=21,INDEX('M_利用者'!$A$4:$A$60,21),"")</f>
        <v/>
      </c>
      <c r="B43" s="16">
        <f>IF($A43="","",COUNTIFS('01_予約入力'!$B$5:$B$204,$A43,'01_予約入力'!$E$5:$E$204,"&lt;="&amp;$B$4,'01_予約入力'!$G$5:$G$204,"&gt;="&amp;$B$3,'01_予約入力'!$K$5:$K$204,"&lt;&gt;キャンセル"))</f>
        <v/>
      </c>
      <c r="C43" s="16">
        <f>IF($A43="","",SUMPRODUCT(('01_予約入力'!$E$5:$E$204&lt;&gt;"")*('01_予約入力'!$K$5:$K$204&lt;&gt;"キャンセル")*('01_予約入力'!$B$5:$B$204=$A43)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3" s="16">
        <f>IF($A43="","",SUMIFS('01_予約入力'!$U$5:$U$204,'01_予約入力'!$B$5:$B$204,$A43,'01_予約入力'!$E$5:$E$204,"&gt;="&amp;$B$3,'01_予約入力'!$E$5:$E$204,"&lt;="&amp;$B$4))</f>
        <v/>
      </c>
    </row>
    <row r="44">
      <c r="A44" s="17">
        <f>IF(COUNTA('M_利用者'!$A$4:$A$60)&gt;=22,INDEX('M_利用者'!$A$4:$A$60,22),"")</f>
        <v/>
      </c>
      <c r="B44" s="16">
        <f>IF($A44="","",COUNTIFS('01_予約入力'!$B$5:$B$204,$A44,'01_予約入力'!$E$5:$E$204,"&lt;="&amp;$B$4,'01_予約入力'!$G$5:$G$204,"&gt;="&amp;$B$3,'01_予約入力'!$K$5:$K$204,"&lt;&gt;キャンセル"))</f>
        <v/>
      </c>
      <c r="C44" s="16">
        <f>IF($A44="","",SUMPRODUCT(('01_予約入力'!$E$5:$E$204&lt;&gt;"")*('01_予約入力'!$K$5:$K$204&lt;&gt;"キャンセル")*('01_予約入力'!$B$5:$B$204=$A44)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4" s="16">
        <f>IF($A44="","",SUMIFS('01_予約入力'!$U$5:$U$204,'01_予約入力'!$B$5:$B$204,$A44,'01_予約入力'!$E$5:$E$204,"&gt;="&amp;$B$3,'01_予約入力'!$E$5:$E$204,"&lt;="&amp;$B$4))</f>
        <v/>
      </c>
    </row>
    <row r="45">
      <c r="A45" s="17">
        <f>IF(COUNTA('M_利用者'!$A$4:$A$60)&gt;=23,INDEX('M_利用者'!$A$4:$A$60,23),"")</f>
        <v/>
      </c>
      <c r="B45" s="16">
        <f>IF($A45="","",COUNTIFS('01_予約入力'!$B$5:$B$204,$A45,'01_予約入力'!$E$5:$E$204,"&lt;="&amp;$B$4,'01_予約入力'!$G$5:$G$204,"&gt;="&amp;$B$3,'01_予約入力'!$K$5:$K$204,"&lt;&gt;キャンセル"))</f>
        <v/>
      </c>
      <c r="C45" s="16">
        <f>IF($A45="","",SUMPRODUCT(('01_予約入力'!$E$5:$E$204&lt;&gt;"")*('01_予約入力'!$K$5:$K$204&lt;&gt;"キャンセル")*('01_予約入力'!$B$5:$B$204=$A45)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5" s="16">
        <f>IF($A45="","",SUMIFS('01_予約入力'!$U$5:$U$204,'01_予約入力'!$B$5:$B$204,$A45,'01_予約入力'!$E$5:$E$204,"&gt;="&amp;$B$3,'01_予約入力'!$E$5:$E$204,"&lt;="&amp;$B$4))</f>
        <v/>
      </c>
    </row>
    <row r="46">
      <c r="A46" s="17">
        <f>IF(COUNTA('M_利用者'!$A$4:$A$60)&gt;=24,INDEX('M_利用者'!$A$4:$A$60,24),"")</f>
        <v/>
      </c>
      <c r="B46" s="16">
        <f>IF($A46="","",COUNTIFS('01_予約入力'!$B$5:$B$204,$A46,'01_予約入力'!$E$5:$E$204,"&lt;="&amp;$B$4,'01_予約入力'!$G$5:$G$204,"&gt;="&amp;$B$3,'01_予約入力'!$K$5:$K$204,"&lt;&gt;キャンセル"))</f>
        <v/>
      </c>
      <c r="C46" s="16">
        <f>IF($A46="","",SUMPRODUCT(('01_予約入力'!$E$5:$E$204&lt;&gt;"")*('01_予約入力'!$K$5:$K$204&lt;&gt;"キャンセル")*('01_予約入力'!$B$5:$B$204=$A46)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6" s="16">
        <f>IF($A46="","",SUMIFS('01_予約入力'!$U$5:$U$204,'01_予約入力'!$B$5:$B$204,$A46,'01_予約入力'!$E$5:$E$204,"&gt;="&amp;$B$3,'01_予約入力'!$E$5:$E$204,"&lt;="&amp;$B$4))</f>
        <v/>
      </c>
    </row>
    <row r="47">
      <c r="A47" s="17">
        <f>IF(COUNTA('M_利用者'!$A$4:$A$60)&gt;=25,INDEX('M_利用者'!$A$4:$A$60,25),"")</f>
        <v/>
      </c>
      <c r="B47" s="16">
        <f>IF($A47="","",COUNTIFS('01_予約入力'!$B$5:$B$204,$A47,'01_予約入力'!$E$5:$E$204,"&lt;="&amp;$B$4,'01_予約入力'!$G$5:$G$204,"&gt;="&amp;$B$3,'01_予約入力'!$K$5:$K$204,"&lt;&gt;キャンセル"))</f>
        <v/>
      </c>
      <c r="C47" s="16">
        <f>IF($A47="","",SUMPRODUCT(('01_予約入力'!$E$5:$E$204&lt;&gt;"")*('01_予約入力'!$K$5:$K$204&lt;&gt;"キャンセル")*('01_予約入力'!$B$5:$B$204=$A47)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7" s="16">
        <f>IF($A47="","",SUMIFS('01_予約入力'!$U$5:$U$204,'01_予約入力'!$B$5:$B$204,$A47,'01_予約入力'!$E$5:$E$204,"&gt;="&amp;$B$3,'01_予約入力'!$E$5:$E$204,"&lt;="&amp;$B$4))</f>
        <v/>
      </c>
    </row>
    <row r="48">
      <c r="A48" s="17">
        <f>IF(COUNTA('M_利用者'!$A$4:$A$60)&gt;=26,INDEX('M_利用者'!$A$4:$A$60,26),"")</f>
        <v/>
      </c>
      <c r="B48" s="16">
        <f>IF($A48="","",COUNTIFS('01_予約入力'!$B$5:$B$204,$A48,'01_予約入力'!$E$5:$E$204,"&lt;="&amp;$B$4,'01_予約入力'!$G$5:$G$204,"&gt;="&amp;$B$3,'01_予約入力'!$K$5:$K$204,"&lt;&gt;キャンセル"))</f>
        <v/>
      </c>
      <c r="C48" s="16">
        <f>IF($A48="","",SUMPRODUCT(('01_予約入力'!$E$5:$E$204&lt;&gt;"")*('01_予約入力'!$K$5:$K$204&lt;&gt;"キャンセル")*('01_予約入力'!$B$5:$B$204=$A48)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8" s="16">
        <f>IF($A48="","",SUMIFS('01_予約入力'!$U$5:$U$204,'01_予約入力'!$B$5:$B$204,$A48,'01_予約入力'!$E$5:$E$204,"&gt;="&amp;$B$3,'01_予約入力'!$E$5:$E$204,"&lt;="&amp;$B$4))</f>
        <v/>
      </c>
    </row>
    <row r="49">
      <c r="A49" s="17">
        <f>IF(COUNTA('M_利用者'!$A$4:$A$60)&gt;=27,INDEX('M_利用者'!$A$4:$A$60,27),"")</f>
        <v/>
      </c>
      <c r="B49" s="16">
        <f>IF($A49="","",COUNTIFS('01_予約入力'!$B$5:$B$204,$A49,'01_予約入力'!$E$5:$E$204,"&lt;="&amp;$B$4,'01_予約入力'!$G$5:$G$204,"&gt;="&amp;$B$3,'01_予約入力'!$K$5:$K$204,"&lt;&gt;キャンセル"))</f>
        <v/>
      </c>
      <c r="C49" s="16">
        <f>IF($A49="","",SUMPRODUCT(('01_予約入力'!$E$5:$E$204&lt;&gt;"")*('01_予約入力'!$K$5:$K$204&lt;&gt;"キャンセル")*('01_予約入力'!$B$5:$B$204=$A49)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9" s="16">
        <f>IF($A49="","",SUMIFS('01_予約入力'!$U$5:$U$204,'01_予約入力'!$B$5:$B$204,$A49,'01_予約入力'!$E$5:$E$204,"&gt;="&amp;$B$3,'01_予約入力'!$E$5:$E$204,"&lt;="&amp;$B$4))</f>
        <v/>
      </c>
    </row>
    <row r="50">
      <c r="A50" s="17">
        <f>IF(COUNTA('M_利用者'!$A$4:$A$60)&gt;=28,INDEX('M_利用者'!$A$4:$A$60,28),"")</f>
        <v/>
      </c>
      <c r="B50" s="16">
        <f>IF($A50="","",COUNTIFS('01_予約入力'!$B$5:$B$204,$A50,'01_予約入力'!$E$5:$E$204,"&lt;="&amp;$B$4,'01_予約入力'!$G$5:$G$204,"&gt;="&amp;$B$3,'01_予約入力'!$K$5:$K$204,"&lt;&gt;キャンセル"))</f>
        <v/>
      </c>
      <c r="C50" s="16">
        <f>IF($A50="","",SUMPRODUCT(('01_予約入力'!$E$5:$E$204&lt;&gt;"")*('01_予約入力'!$K$5:$K$204&lt;&gt;"キャンセル")*('01_予約入力'!$B$5:$B$204=$A50)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50" s="16">
        <f>IF($A50="","",SUMIFS('01_予約入力'!$U$5:$U$204,'01_予約入力'!$B$5:$B$204,$A50,'01_予約入力'!$E$5:$E$204,"&gt;="&amp;$B$3,'01_予約入力'!$E$5:$E$204,"&lt;="&amp;$B$4))</f>
        <v/>
      </c>
    </row>
    <row r="51">
      <c r="A51" s="17">
        <f>IF(COUNTA('M_利用者'!$A$4:$A$60)&gt;=29,INDEX('M_利用者'!$A$4:$A$60,29),"")</f>
        <v/>
      </c>
      <c r="B51" s="16">
        <f>IF($A51="","",COUNTIFS('01_予約入力'!$B$5:$B$204,$A51,'01_予約入力'!$E$5:$E$204,"&lt;="&amp;$B$4,'01_予約入力'!$G$5:$G$204,"&gt;="&amp;$B$3,'01_予約入力'!$K$5:$K$204,"&lt;&gt;キャンセル"))</f>
        <v/>
      </c>
      <c r="C51" s="16">
        <f>IF($A51="","",SUMPRODUCT(('01_予約入力'!$E$5:$E$204&lt;&gt;"")*('01_予約入力'!$K$5:$K$204&lt;&gt;"キャンセル")*('01_予約入力'!$B$5:$B$204=$A51)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51" s="16">
        <f>IF($A51="","",SUMIFS('01_予約入力'!$U$5:$U$204,'01_予約入力'!$B$5:$B$204,$A51,'01_予約入力'!$E$5:$E$204,"&gt;="&amp;$B$3,'01_予約入力'!$E$5:$E$204,"&lt;="&amp;$B$4))</f>
        <v/>
      </c>
    </row>
    <row r="52">
      <c r="A52" s="17">
        <f>IF(COUNTA('M_利用者'!$A$4:$A$60)&gt;=30,INDEX('M_利用者'!$A$4:$A$60,30),"")</f>
        <v/>
      </c>
      <c r="B52" s="16">
        <f>IF($A52="","",COUNTIFS('01_予約入力'!$B$5:$B$204,$A52,'01_予約入力'!$E$5:$E$204,"&lt;="&amp;$B$4,'01_予約入力'!$G$5:$G$204,"&gt;="&amp;$B$3,'01_予約入力'!$K$5:$K$204,"&lt;&gt;キャンセル"))</f>
        <v/>
      </c>
      <c r="C52" s="16">
        <f>IF($A52="","",SUMPRODUCT(('01_予約入力'!$E$5:$E$204&lt;&gt;"")*('01_予約入力'!$K$5:$K$204&lt;&gt;"キャンセル")*('01_予約入力'!$B$5:$B$204=$A52)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52" s="16">
        <f>IF($A52="","",SUMIFS('01_予約入力'!$U$5:$U$204,'01_予約入力'!$B$5:$B$204,$A52,'01_予約入力'!$E$5:$E$204,"&gt;="&amp;$B$3,'01_予約入力'!$E$5:$E$204,"&lt;="&amp;$B$4))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8" customWidth="1" min="5" max="5"/>
  </cols>
  <sheetData>
    <row r="1">
      <c r="A1" s="1" t="inlineStr">
        <is>
          <t>支給量の残日数（受給者証の月あたり上限）</t>
        </is>
      </c>
    </row>
    <row r="2">
      <c r="A2" s="2" t="inlineStr">
        <is>
          <t>入所日の属する月で集計します。M_区分 で「○」を付けた区分だけを数えます。</t>
        </is>
      </c>
    </row>
    <row r="3">
      <c r="A3" s="12" t="inlineStr">
        <is>
          <t>対象月</t>
        </is>
      </c>
      <c r="B3" s="13" t="n">
        <v>46113</v>
      </c>
      <c r="C3" s="2" t="inlineStr">
        <is>
          <t>その月の日付ならどれでも可</t>
        </is>
      </c>
    </row>
    <row r="5" ht="30" customHeight="1">
      <c r="A5" s="7" t="inlineStr">
        <is>
          <t>氏名</t>
        </is>
      </c>
      <c r="B5" s="7" t="inlineStr">
        <is>
          <t>支給量（日／月）</t>
        </is>
      </c>
      <c r="C5" s="7" t="inlineStr">
        <is>
          <t>当月の対象日数</t>
        </is>
      </c>
      <c r="D5" s="7" t="inlineStr">
        <is>
          <t>残り</t>
        </is>
      </c>
      <c r="E5" s="7" t="inlineStr">
        <is>
          <t>状態</t>
        </is>
      </c>
    </row>
    <row r="6">
      <c r="A6" s="17">
        <f>IF(COUNTA('M_利用者'!$A$4:$A$60)&gt;=1,INDEX('M_利用者'!$A$4:$A$60,1),"")</f>
        <v/>
      </c>
      <c r="B6" s="16">
        <f>IF($A6="","",IF(SUMPRODUCT(('M_利用者'!$A$4:$A$60=$A6)*('M_利用者'!$B$4:$B$60&lt;&gt;""))=0,"",SUMIFS('M_利用者'!$B$4:$B$60,'M_利用者'!$A$4:$A$60,$A6)))</f>
        <v/>
      </c>
      <c r="C6" s="16">
        <f>IF($A6="","",SUMIFS('01_予約入力'!$U$5:$U$204,'01_予約入力'!$B$5:$B$204,$A6,'01_予約入力'!$E$5:$E$204,"&gt;="&amp;DATE(YEAR($B$3),MONTH($B$3),1),'01_予約入力'!$E$5:$E$204,"&lt;="&amp;EOMONTH($B$3,0)))</f>
        <v/>
      </c>
      <c r="D6" s="16">
        <f>IF(OR($A6="",$B6=""),"",$B6-$C6)</f>
        <v/>
      </c>
      <c r="E6" s="16">
        <f>IF($A6="","",IF($B6="","（管理しない）",IF($D6&lt;0,"⚠ 超過",IF($D6=0,"上限ちょうど",IF($D6&lt;=1,"残りわずか","OK")))))</f>
        <v/>
      </c>
    </row>
    <row r="7">
      <c r="A7" s="17">
        <f>IF(COUNTA('M_利用者'!$A$4:$A$60)&gt;=2,INDEX('M_利用者'!$A$4:$A$60,2),"")</f>
        <v/>
      </c>
      <c r="B7" s="16">
        <f>IF($A7="","",IF(SUMPRODUCT(('M_利用者'!$A$4:$A$60=$A7)*('M_利用者'!$B$4:$B$60&lt;&gt;""))=0,"",SUMIFS('M_利用者'!$B$4:$B$60,'M_利用者'!$A$4:$A$60,$A7)))</f>
        <v/>
      </c>
      <c r="C7" s="16">
        <f>IF($A7="","",SUMIFS('01_予約入力'!$U$5:$U$204,'01_予約入力'!$B$5:$B$204,$A7,'01_予約入力'!$E$5:$E$204,"&gt;="&amp;DATE(YEAR($B$3),MONTH($B$3),1),'01_予約入力'!$E$5:$E$204,"&lt;="&amp;EOMONTH($B$3,0)))</f>
        <v/>
      </c>
      <c r="D7" s="16">
        <f>IF(OR($A7="",$B7=""),"",$B7-$C7)</f>
        <v/>
      </c>
      <c r="E7" s="16">
        <f>IF($A7="","",IF($B7="","（管理しない）",IF($D7&lt;0,"⚠ 超過",IF($D7=0,"上限ちょうど",IF($D7&lt;=1,"残りわずか","OK")))))</f>
        <v/>
      </c>
    </row>
    <row r="8">
      <c r="A8" s="17">
        <f>IF(COUNTA('M_利用者'!$A$4:$A$60)&gt;=3,INDEX('M_利用者'!$A$4:$A$60,3),"")</f>
        <v/>
      </c>
      <c r="B8" s="16">
        <f>IF($A8="","",IF(SUMPRODUCT(('M_利用者'!$A$4:$A$60=$A8)*('M_利用者'!$B$4:$B$60&lt;&gt;""))=0,"",SUMIFS('M_利用者'!$B$4:$B$60,'M_利用者'!$A$4:$A$60,$A8)))</f>
        <v/>
      </c>
      <c r="C8" s="16">
        <f>IF($A8="","",SUMIFS('01_予約入力'!$U$5:$U$204,'01_予約入力'!$B$5:$B$204,$A8,'01_予約入力'!$E$5:$E$204,"&gt;="&amp;DATE(YEAR($B$3),MONTH($B$3),1),'01_予約入力'!$E$5:$E$204,"&lt;="&amp;EOMONTH($B$3,0)))</f>
        <v/>
      </c>
      <c r="D8" s="16">
        <f>IF(OR($A8="",$B8=""),"",$B8-$C8)</f>
        <v/>
      </c>
      <c r="E8" s="16">
        <f>IF($A8="","",IF($B8="","（管理しない）",IF($D8&lt;0,"⚠ 超過",IF($D8=0,"上限ちょうど",IF($D8&lt;=1,"残りわずか","OK")))))</f>
        <v/>
      </c>
    </row>
    <row r="9">
      <c r="A9" s="17">
        <f>IF(COUNTA('M_利用者'!$A$4:$A$60)&gt;=4,INDEX('M_利用者'!$A$4:$A$60,4),"")</f>
        <v/>
      </c>
      <c r="B9" s="16">
        <f>IF($A9="","",IF(SUMPRODUCT(('M_利用者'!$A$4:$A$60=$A9)*('M_利用者'!$B$4:$B$60&lt;&gt;""))=0,"",SUMIFS('M_利用者'!$B$4:$B$60,'M_利用者'!$A$4:$A$60,$A9)))</f>
        <v/>
      </c>
      <c r="C9" s="16">
        <f>IF($A9="","",SUMIFS('01_予約入力'!$U$5:$U$204,'01_予約入力'!$B$5:$B$204,$A9,'01_予約入力'!$E$5:$E$204,"&gt;="&amp;DATE(YEAR($B$3),MONTH($B$3),1),'01_予約入力'!$E$5:$E$204,"&lt;="&amp;EOMONTH($B$3,0)))</f>
        <v/>
      </c>
      <c r="D9" s="16">
        <f>IF(OR($A9="",$B9=""),"",$B9-$C9)</f>
        <v/>
      </c>
      <c r="E9" s="16">
        <f>IF($A9="","",IF($B9="","（管理しない）",IF($D9&lt;0,"⚠ 超過",IF($D9=0,"上限ちょうど",IF($D9&lt;=1,"残りわずか","OK")))))</f>
        <v/>
      </c>
    </row>
    <row r="10">
      <c r="A10" s="17">
        <f>IF(COUNTA('M_利用者'!$A$4:$A$60)&gt;=5,INDEX('M_利用者'!$A$4:$A$60,5),"")</f>
        <v/>
      </c>
      <c r="B10" s="16">
        <f>IF($A10="","",IF(SUMPRODUCT(('M_利用者'!$A$4:$A$60=$A10)*('M_利用者'!$B$4:$B$60&lt;&gt;""))=0,"",SUMIFS('M_利用者'!$B$4:$B$60,'M_利用者'!$A$4:$A$60,$A10)))</f>
        <v/>
      </c>
      <c r="C10" s="16">
        <f>IF($A10="","",SUMIFS('01_予約入力'!$U$5:$U$204,'01_予約入力'!$B$5:$B$204,$A10,'01_予約入力'!$E$5:$E$204,"&gt;="&amp;DATE(YEAR($B$3),MONTH($B$3),1),'01_予約入力'!$E$5:$E$204,"&lt;="&amp;EOMONTH($B$3,0)))</f>
        <v/>
      </c>
      <c r="D10" s="16">
        <f>IF(OR($A10="",$B10=""),"",$B10-$C10)</f>
        <v/>
      </c>
      <c r="E10" s="16">
        <f>IF($A10="","",IF($B10="","（管理しない）",IF($D10&lt;0,"⚠ 超過",IF($D10=0,"上限ちょうど",IF($D10&lt;=1,"残りわずか","OK")))))</f>
        <v/>
      </c>
    </row>
    <row r="11">
      <c r="A11" s="17">
        <f>IF(COUNTA('M_利用者'!$A$4:$A$60)&gt;=6,INDEX('M_利用者'!$A$4:$A$60,6),"")</f>
        <v/>
      </c>
      <c r="B11" s="16">
        <f>IF($A11="","",IF(SUMPRODUCT(('M_利用者'!$A$4:$A$60=$A11)*('M_利用者'!$B$4:$B$60&lt;&gt;""))=0,"",SUMIFS('M_利用者'!$B$4:$B$60,'M_利用者'!$A$4:$A$60,$A11)))</f>
        <v/>
      </c>
      <c r="C11" s="16">
        <f>IF($A11="","",SUMIFS('01_予約入力'!$U$5:$U$204,'01_予約入力'!$B$5:$B$204,$A11,'01_予約入力'!$E$5:$E$204,"&gt;="&amp;DATE(YEAR($B$3),MONTH($B$3),1),'01_予約入力'!$E$5:$E$204,"&lt;="&amp;EOMONTH($B$3,0)))</f>
        <v/>
      </c>
      <c r="D11" s="16">
        <f>IF(OR($A11="",$B11=""),"",$B11-$C11)</f>
        <v/>
      </c>
      <c r="E11" s="16">
        <f>IF($A11="","",IF($B11="","（管理しない）",IF($D11&lt;0,"⚠ 超過",IF($D11=0,"上限ちょうど",IF($D11&lt;=1,"残りわずか","OK")))))</f>
        <v/>
      </c>
    </row>
    <row r="12">
      <c r="A12" s="17">
        <f>IF(COUNTA('M_利用者'!$A$4:$A$60)&gt;=7,INDEX('M_利用者'!$A$4:$A$60,7),"")</f>
        <v/>
      </c>
      <c r="B12" s="16">
        <f>IF($A12="","",IF(SUMPRODUCT(('M_利用者'!$A$4:$A$60=$A12)*('M_利用者'!$B$4:$B$60&lt;&gt;""))=0,"",SUMIFS('M_利用者'!$B$4:$B$60,'M_利用者'!$A$4:$A$60,$A12)))</f>
        <v/>
      </c>
      <c r="C12" s="16">
        <f>IF($A12="","",SUMIFS('01_予約入力'!$U$5:$U$204,'01_予約入力'!$B$5:$B$204,$A12,'01_予約入力'!$E$5:$E$204,"&gt;="&amp;DATE(YEAR($B$3),MONTH($B$3),1),'01_予約入力'!$E$5:$E$204,"&lt;="&amp;EOMONTH($B$3,0)))</f>
        <v/>
      </c>
      <c r="D12" s="16">
        <f>IF(OR($A12="",$B12=""),"",$B12-$C12)</f>
        <v/>
      </c>
      <c r="E12" s="16">
        <f>IF($A12="","",IF($B12="","（管理しない）",IF($D12&lt;0,"⚠ 超過",IF($D12=0,"上限ちょうど",IF($D12&lt;=1,"残りわずか","OK")))))</f>
        <v/>
      </c>
    </row>
    <row r="13">
      <c r="A13" s="17">
        <f>IF(COUNTA('M_利用者'!$A$4:$A$60)&gt;=8,INDEX('M_利用者'!$A$4:$A$60,8),"")</f>
        <v/>
      </c>
      <c r="B13" s="16">
        <f>IF($A13="","",IF(SUMPRODUCT(('M_利用者'!$A$4:$A$60=$A13)*('M_利用者'!$B$4:$B$60&lt;&gt;""))=0,"",SUMIFS('M_利用者'!$B$4:$B$60,'M_利用者'!$A$4:$A$60,$A13)))</f>
        <v/>
      </c>
      <c r="C13" s="16">
        <f>IF($A13="","",SUMIFS('01_予約入力'!$U$5:$U$204,'01_予約入力'!$B$5:$B$204,$A13,'01_予約入力'!$E$5:$E$204,"&gt;="&amp;DATE(YEAR($B$3),MONTH($B$3),1),'01_予約入力'!$E$5:$E$204,"&lt;="&amp;EOMONTH($B$3,0)))</f>
        <v/>
      </c>
      <c r="D13" s="16">
        <f>IF(OR($A13="",$B13=""),"",$B13-$C13)</f>
        <v/>
      </c>
      <c r="E13" s="16">
        <f>IF($A13="","",IF($B13="","（管理しない）",IF($D13&lt;0,"⚠ 超過",IF($D13=0,"上限ちょうど",IF($D13&lt;=1,"残りわずか","OK")))))</f>
        <v/>
      </c>
    </row>
    <row r="14">
      <c r="A14" s="17">
        <f>IF(COUNTA('M_利用者'!$A$4:$A$60)&gt;=9,INDEX('M_利用者'!$A$4:$A$60,9),"")</f>
        <v/>
      </c>
      <c r="B14" s="16">
        <f>IF($A14="","",IF(SUMPRODUCT(('M_利用者'!$A$4:$A$60=$A14)*('M_利用者'!$B$4:$B$60&lt;&gt;""))=0,"",SUMIFS('M_利用者'!$B$4:$B$60,'M_利用者'!$A$4:$A$60,$A14)))</f>
        <v/>
      </c>
      <c r="C14" s="16">
        <f>IF($A14="","",SUMIFS('01_予約入力'!$U$5:$U$204,'01_予約入力'!$B$5:$B$204,$A14,'01_予約入力'!$E$5:$E$204,"&gt;="&amp;DATE(YEAR($B$3),MONTH($B$3),1),'01_予約入力'!$E$5:$E$204,"&lt;="&amp;EOMONTH($B$3,0)))</f>
        <v/>
      </c>
      <c r="D14" s="16">
        <f>IF(OR($A14="",$B14=""),"",$B14-$C14)</f>
        <v/>
      </c>
      <c r="E14" s="16">
        <f>IF($A14="","",IF($B14="","（管理しない）",IF($D14&lt;0,"⚠ 超過",IF($D14=0,"上限ちょうど",IF($D14&lt;=1,"残りわずか","OK")))))</f>
        <v/>
      </c>
    </row>
    <row r="15">
      <c r="A15" s="17">
        <f>IF(COUNTA('M_利用者'!$A$4:$A$60)&gt;=10,INDEX('M_利用者'!$A$4:$A$60,10),"")</f>
        <v/>
      </c>
      <c r="B15" s="16">
        <f>IF($A15="","",IF(SUMPRODUCT(('M_利用者'!$A$4:$A$60=$A15)*('M_利用者'!$B$4:$B$60&lt;&gt;""))=0,"",SUMIFS('M_利用者'!$B$4:$B$60,'M_利用者'!$A$4:$A$60,$A15)))</f>
        <v/>
      </c>
      <c r="C15" s="16">
        <f>IF($A15="","",SUMIFS('01_予約入力'!$U$5:$U$204,'01_予約入力'!$B$5:$B$204,$A15,'01_予約入力'!$E$5:$E$204,"&gt;="&amp;DATE(YEAR($B$3),MONTH($B$3),1),'01_予約入力'!$E$5:$E$204,"&lt;="&amp;EOMONTH($B$3,0)))</f>
        <v/>
      </c>
      <c r="D15" s="16">
        <f>IF(OR($A15="",$B15=""),"",$B15-$C15)</f>
        <v/>
      </c>
      <c r="E15" s="16">
        <f>IF($A15="","",IF($B15="","（管理しない）",IF($D15&lt;0,"⚠ 超過",IF($D15=0,"上限ちょうど",IF($D15&lt;=1,"残りわずか","OK")))))</f>
        <v/>
      </c>
    </row>
    <row r="16">
      <c r="A16" s="17">
        <f>IF(COUNTA('M_利用者'!$A$4:$A$60)&gt;=11,INDEX('M_利用者'!$A$4:$A$60,11),"")</f>
        <v/>
      </c>
      <c r="B16" s="16">
        <f>IF($A16="","",IF(SUMPRODUCT(('M_利用者'!$A$4:$A$60=$A16)*('M_利用者'!$B$4:$B$60&lt;&gt;""))=0,"",SUMIFS('M_利用者'!$B$4:$B$60,'M_利用者'!$A$4:$A$60,$A16)))</f>
        <v/>
      </c>
      <c r="C16" s="16">
        <f>IF($A16="","",SUMIFS('01_予約入力'!$U$5:$U$204,'01_予約入力'!$B$5:$B$204,$A16,'01_予約入力'!$E$5:$E$204,"&gt;="&amp;DATE(YEAR($B$3),MONTH($B$3),1),'01_予約入力'!$E$5:$E$204,"&lt;="&amp;EOMONTH($B$3,0)))</f>
        <v/>
      </c>
      <c r="D16" s="16">
        <f>IF(OR($A16="",$B16=""),"",$B16-$C16)</f>
        <v/>
      </c>
      <c r="E16" s="16">
        <f>IF($A16="","",IF($B16="","（管理しない）",IF($D16&lt;0,"⚠ 超過",IF($D16=0,"上限ちょうど",IF($D16&lt;=1,"残りわずか","OK")))))</f>
        <v/>
      </c>
    </row>
    <row r="17">
      <c r="A17" s="17">
        <f>IF(COUNTA('M_利用者'!$A$4:$A$60)&gt;=12,INDEX('M_利用者'!$A$4:$A$60,12),"")</f>
        <v/>
      </c>
      <c r="B17" s="16">
        <f>IF($A17="","",IF(SUMPRODUCT(('M_利用者'!$A$4:$A$60=$A17)*('M_利用者'!$B$4:$B$60&lt;&gt;""))=0,"",SUMIFS('M_利用者'!$B$4:$B$60,'M_利用者'!$A$4:$A$60,$A17)))</f>
        <v/>
      </c>
      <c r="C17" s="16">
        <f>IF($A17="","",SUMIFS('01_予約入力'!$U$5:$U$204,'01_予約入力'!$B$5:$B$204,$A17,'01_予約入力'!$E$5:$E$204,"&gt;="&amp;DATE(YEAR($B$3),MONTH($B$3),1),'01_予約入力'!$E$5:$E$204,"&lt;="&amp;EOMONTH($B$3,0)))</f>
        <v/>
      </c>
      <c r="D17" s="16">
        <f>IF(OR($A17="",$B17=""),"",$B17-$C17)</f>
        <v/>
      </c>
      <c r="E17" s="16">
        <f>IF($A17="","",IF($B17="","（管理しない）",IF($D17&lt;0,"⚠ 超過",IF($D17=0,"上限ちょうど",IF($D17&lt;=1,"残りわずか","OK")))))</f>
        <v/>
      </c>
    </row>
    <row r="18">
      <c r="A18" s="17">
        <f>IF(COUNTA('M_利用者'!$A$4:$A$60)&gt;=13,INDEX('M_利用者'!$A$4:$A$60,13),"")</f>
        <v/>
      </c>
      <c r="B18" s="16">
        <f>IF($A18="","",IF(SUMPRODUCT(('M_利用者'!$A$4:$A$60=$A18)*('M_利用者'!$B$4:$B$60&lt;&gt;""))=0,"",SUMIFS('M_利用者'!$B$4:$B$60,'M_利用者'!$A$4:$A$60,$A18)))</f>
        <v/>
      </c>
      <c r="C18" s="16">
        <f>IF($A18="","",SUMIFS('01_予約入力'!$U$5:$U$204,'01_予約入力'!$B$5:$B$204,$A18,'01_予約入力'!$E$5:$E$204,"&gt;="&amp;DATE(YEAR($B$3),MONTH($B$3),1),'01_予約入力'!$E$5:$E$204,"&lt;="&amp;EOMONTH($B$3,0)))</f>
        <v/>
      </c>
      <c r="D18" s="16">
        <f>IF(OR($A18="",$B18=""),"",$B18-$C18)</f>
        <v/>
      </c>
      <c r="E18" s="16">
        <f>IF($A18="","",IF($B18="","（管理しない）",IF($D18&lt;0,"⚠ 超過",IF($D18=0,"上限ちょうど",IF($D18&lt;=1,"残りわずか","OK")))))</f>
        <v/>
      </c>
    </row>
    <row r="19">
      <c r="A19" s="17">
        <f>IF(COUNTA('M_利用者'!$A$4:$A$60)&gt;=14,INDEX('M_利用者'!$A$4:$A$60,14),"")</f>
        <v/>
      </c>
      <c r="B19" s="16">
        <f>IF($A19="","",IF(SUMPRODUCT(('M_利用者'!$A$4:$A$60=$A19)*('M_利用者'!$B$4:$B$60&lt;&gt;""))=0,"",SUMIFS('M_利用者'!$B$4:$B$60,'M_利用者'!$A$4:$A$60,$A19)))</f>
        <v/>
      </c>
      <c r="C19" s="16">
        <f>IF($A19="","",SUMIFS('01_予約入力'!$U$5:$U$204,'01_予約入力'!$B$5:$B$204,$A19,'01_予約入力'!$E$5:$E$204,"&gt;="&amp;DATE(YEAR($B$3),MONTH($B$3),1),'01_予約入力'!$E$5:$E$204,"&lt;="&amp;EOMONTH($B$3,0)))</f>
        <v/>
      </c>
      <c r="D19" s="16">
        <f>IF(OR($A19="",$B19=""),"",$B19-$C19)</f>
        <v/>
      </c>
      <c r="E19" s="16">
        <f>IF($A19="","",IF($B19="","（管理しない）",IF($D19&lt;0,"⚠ 超過",IF($D19=0,"上限ちょうど",IF($D19&lt;=1,"残りわずか","OK")))))</f>
        <v/>
      </c>
    </row>
    <row r="20">
      <c r="A20" s="17">
        <f>IF(COUNTA('M_利用者'!$A$4:$A$60)&gt;=15,INDEX('M_利用者'!$A$4:$A$60,15),"")</f>
        <v/>
      </c>
      <c r="B20" s="16">
        <f>IF($A20="","",IF(SUMPRODUCT(('M_利用者'!$A$4:$A$60=$A20)*('M_利用者'!$B$4:$B$60&lt;&gt;""))=0,"",SUMIFS('M_利用者'!$B$4:$B$60,'M_利用者'!$A$4:$A$60,$A20)))</f>
        <v/>
      </c>
      <c r="C20" s="16">
        <f>IF($A20="","",SUMIFS('01_予約入力'!$U$5:$U$204,'01_予約入力'!$B$5:$B$204,$A20,'01_予約入力'!$E$5:$E$204,"&gt;="&amp;DATE(YEAR($B$3),MONTH($B$3),1),'01_予約入力'!$E$5:$E$204,"&lt;="&amp;EOMONTH($B$3,0)))</f>
        <v/>
      </c>
      <c r="D20" s="16">
        <f>IF(OR($A20="",$B20=""),"",$B20-$C20)</f>
        <v/>
      </c>
      <c r="E20" s="16">
        <f>IF($A20="","",IF($B20="","（管理しない）",IF($D20&lt;0,"⚠ 超過",IF($D20=0,"上限ちょうど",IF($D20&lt;=1,"残りわずか","OK")))))</f>
        <v/>
      </c>
    </row>
    <row r="21">
      <c r="A21" s="17">
        <f>IF(COUNTA('M_利用者'!$A$4:$A$60)&gt;=16,INDEX('M_利用者'!$A$4:$A$60,16),"")</f>
        <v/>
      </c>
      <c r="B21" s="16">
        <f>IF($A21="","",IF(SUMPRODUCT(('M_利用者'!$A$4:$A$60=$A21)*('M_利用者'!$B$4:$B$60&lt;&gt;""))=0,"",SUMIFS('M_利用者'!$B$4:$B$60,'M_利用者'!$A$4:$A$60,$A21)))</f>
        <v/>
      </c>
      <c r="C21" s="16">
        <f>IF($A21="","",SUMIFS('01_予約入力'!$U$5:$U$204,'01_予約入力'!$B$5:$B$204,$A21,'01_予約入力'!$E$5:$E$204,"&gt;="&amp;DATE(YEAR($B$3),MONTH($B$3),1),'01_予約入力'!$E$5:$E$204,"&lt;="&amp;EOMONTH($B$3,0)))</f>
        <v/>
      </c>
      <c r="D21" s="16">
        <f>IF(OR($A21="",$B21=""),"",$B21-$C21)</f>
        <v/>
      </c>
      <c r="E21" s="16">
        <f>IF($A21="","",IF($B21="","（管理しない）",IF($D21&lt;0,"⚠ 超過",IF($D21=0,"上限ちょうど",IF($D21&lt;=1,"残りわずか","OK")))))</f>
        <v/>
      </c>
    </row>
    <row r="22">
      <c r="A22" s="17">
        <f>IF(COUNTA('M_利用者'!$A$4:$A$60)&gt;=17,INDEX('M_利用者'!$A$4:$A$60,17),"")</f>
        <v/>
      </c>
      <c r="B22" s="16">
        <f>IF($A22="","",IF(SUMPRODUCT(('M_利用者'!$A$4:$A$60=$A22)*('M_利用者'!$B$4:$B$60&lt;&gt;""))=0,"",SUMIFS('M_利用者'!$B$4:$B$60,'M_利用者'!$A$4:$A$60,$A22)))</f>
        <v/>
      </c>
      <c r="C22" s="16">
        <f>IF($A22="","",SUMIFS('01_予約入力'!$U$5:$U$204,'01_予約入力'!$B$5:$B$204,$A22,'01_予約入力'!$E$5:$E$204,"&gt;="&amp;DATE(YEAR($B$3),MONTH($B$3),1),'01_予約入力'!$E$5:$E$204,"&lt;="&amp;EOMONTH($B$3,0)))</f>
        <v/>
      </c>
      <c r="D22" s="16">
        <f>IF(OR($A22="",$B22=""),"",$B22-$C22)</f>
        <v/>
      </c>
      <c r="E22" s="16">
        <f>IF($A22="","",IF($B22="","（管理しない）",IF($D22&lt;0,"⚠ 超過",IF($D22=0,"上限ちょうど",IF($D22&lt;=1,"残りわずか","OK")))))</f>
        <v/>
      </c>
    </row>
    <row r="23">
      <c r="A23" s="17">
        <f>IF(COUNTA('M_利用者'!$A$4:$A$60)&gt;=18,INDEX('M_利用者'!$A$4:$A$60,18),"")</f>
        <v/>
      </c>
      <c r="B23" s="16">
        <f>IF($A23="","",IF(SUMPRODUCT(('M_利用者'!$A$4:$A$60=$A23)*('M_利用者'!$B$4:$B$60&lt;&gt;""))=0,"",SUMIFS('M_利用者'!$B$4:$B$60,'M_利用者'!$A$4:$A$60,$A23)))</f>
        <v/>
      </c>
      <c r="C23" s="16">
        <f>IF($A23="","",SUMIFS('01_予約入力'!$U$5:$U$204,'01_予約入力'!$B$5:$B$204,$A23,'01_予約入力'!$E$5:$E$204,"&gt;="&amp;DATE(YEAR($B$3),MONTH($B$3),1),'01_予約入力'!$E$5:$E$204,"&lt;="&amp;EOMONTH($B$3,0)))</f>
        <v/>
      </c>
      <c r="D23" s="16">
        <f>IF(OR($A23="",$B23=""),"",$B23-$C23)</f>
        <v/>
      </c>
      <c r="E23" s="16">
        <f>IF($A23="","",IF($B23="","（管理しない）",IF($D23&lt;0,"⚠ 超過",IF($D23=0,"上限ちょうど",IF($D23&lt;=1,"残りわずか","OK")))))</f>
        <v/>
      </c>
    </row>
    <row r="24">
      <c r="A24" s="17">
        <f>IF(COUNTA('M_利用者'!$A$4:$A$60)&gt;=19,INDEX('M_利用者'!$A$4:$A$60,19),"")</f>
        <v/>
      </c>
      <c r="B24" s="16">
        <f>IF($A24="","",IF(SUMPRODUCT(('M_利用者'!$A$4:$A$60=$A24)*('M_利用者'!$B$4:$B$60&lt;&gt;""))=0,"",SUMIFS('M_利用者'!$B$4:$B$60,'M_利用者'!$A$4:$A$60,$A24)))</f>
        <v/>
      </c>
      <c r="C24" s="16">
        <f>IF($A24="","",SUMIFS('01_予約入力'!$U$5:$U$204,'01_予約入力'!$B$5:$B$204,$A24,'01_予約入力'!$E$5:$E$204,"&gt;="&amp;DATE(YEAR($B$3),MONTH($B$3),1),'01_予約入力'!$E$5:$E$204,"&lt;="&amp;EOMONTH($B$3,0)))</f>
        <v/>
      </c>
      <c r="D24" s="16">
        <f>IF(OR($A24="",$B24=""),"",$B24-$C24)</f>
        <v/>
      </c>
      <c r="E24" s="16">
        <f>IF($A24="","",IF($B24="","（管理しない）",IF($D24&lt;0,"⚠ 超過",IF($D24=0,"上限ちょうど",IF($D24&lt;=1,"残りわずか","OK")))))</f>
        <v/>
      </c>
    </row>
    <row r="25">
      <c r="A25" s="17">
        <f>IF(COUNTA('M_利用者'!$A$4:$A$60)&gt;=20,INDEX('M_利用者'!$A$4:$A$60,20),"")</f>
        <v/>
      </c>
      <c r="B25" s="16">
        <f>IF($A25="","",IF(SUMPRODUCT(('M_利用者'!$A$4:$A$60=$A25)*('M_利用者'!$B$4:$B$60&lt;&gt;""))=0,"",SUMIFS('M_利用者'!$B$4:$B$60,'M_利用者'!$A$4:$A$60,$A25)))</f>
        <v/>
      </c>
      <c r="C25" s="16">
        <f>IF($A25="","",SUMIFS('01_予約入力'!$U$5:$U$204,'01_予約入力'!$B$5:$B$204,$A25,'01_予約入力'!$E$5:$E$204,"&gt;="&amp;DATE(YEAR($B$3),MONTH($B$3),1),'01_予約入力'!$E$5:$E$204,"&lt;="&amp;EOMONTH($B$3,0)))</f>
        <v/>
      </c>
      <c r="D25" s="16">
        <f>IF(OR($A25="",$B25=""),"",$B25-$C25)</f>
        <v/>
      </c>
      <c r="E25" s="16">
        <f>IF($A25="","",IF($B25="","（管理しない）",IF($D25&lt;0,"⚠ 超過",IF($D25=0,"上限ちょうど",IF($D25&lt;=1,"残りわずか","OK")))))</f>
        <v/>
      </c>
    </row>
    <row r="26">
      <c r="A26" s="17">
        <f>IF(COUNTA('M_利用者'!$A$4:$A$60)&gt;=21,INDEX('M_利用者'!$A$4:$A$60,21),"")</f>
        <v/>
      </c>
      <c r="B26" s="16">
        <f>IF($A26="","",IF(SUMPRODUCT(('M_利用者'!$A$4:$A$60=$A26)*('M_利用者'!$B$4:$B$60&lt;&gt;""))=0,"",SUMIFS('M_利用者'!$B$4:$B$60,'M_利用者'!$A$4:$A$60,$A26)))</f>
        <v/>
      </c>
      <c r="C26" s="16">
        <f>IF($A26="","",SUMIFS('01_予約入力'!$U$5:$U$204,'01_予約入力'!$B$5:$B$204,$A26,'01_予約入力'!$E$5:$E$204,"&gt;="&amp;DATE(YEAR($B$3),MONTH($B$3),1),'01_予約入力'!$E$5:$E$204,"&lt;="&amp;EOMONTH($B$3,0)))</f>
        <v/>
      </c>
      <c r="D26" s="16">
        <f>IF(OR($A26="",$B26=""),"",$B26-$C26)</f>
        <v/>
      </c>
      <c r="E26" s="16">
        <f>IF($A26="","",IF($B26="","（管理しない）",IF($D26&lt;0,"⚠ 超過",IF($D26=0,"上限ちょうど",IF($D26&lt;=1,"残りわずか","OK")))))</f>
        <v/>
      </c>
    </row>
    <row r="27">
      <c r="A27" s="17">
        <f>IF(COUNTA('M_利用者'!$A$4:$A$60)&gt;=22,INDEX('M_利用者'!$A$4:$A$60,22),"")</f>
        <v/>
      </c>
      <c r="B27" s="16">
        <f>IF($A27="","",IF(SUMPRODUCT(('M_利用者'!$A$4:$A$60=$A27)*('M_利用者'!$B$4:$B$60&lt;&gt;""))=0,"",SUMIFS('M_利用者'!$B$4:$B$60,'M_利用者'!$A$4:$A$60,$A27)))</f>
        <v/>
      </c>
      <c r="C27" s="16">
        <f>IF($A27="","",SUMIFS('01_予約入力'!$U$5:$U$204,'01_予約入力'!$B$5:$B$204,$A27,'01_予約入力'!$E$5:$E$204,"&gt;="&amp;DATE(YEAR($B$3),MONTH($B$3),1),'01_予約入力'!$E$5:$E$204,"&lt;="&amp;EOMONTH($B$3,0)))</f>
        <v/>
      </c>
      <c r="D27" s="16">
        <f>IF(OR($A27="",$B27=""),"",$B27-$C27)</f>
        <v/>
      </c>
      <c r="E27" s="16">
        <f>IF($A27="","",IF($B27="","（管理しない）",IF($D27&lt;0,"⚠ 超過",IF($D27=0,"上限ちょうど",IF($D27&lt;=1,"残りわずか","OK")))))</f>
        <v/>
      </c>
    </row>
    <row r="28">
      <c r="A28" s="17">
        <f>IF(COUNTA('M_利用者'!$A$4:$A$60)&gt;=23,INDEX('M_利用者'!$A$4:$A$60,23),"")</f>
        <v/>
      </c>
      <c r="B28" s="16">
        <f>IF($A28="","",IF(SUMPRODUCT(('M_利用者'!$A$4:$A$60=$A28)*('M_利用者'!$B$4:$B$60&lt;&gt;""))=0,"",SUMIFS('M_利用者'!$B$4:$B$60,'M_利用者'!$A$4:$A$60,$A28)))</f>
        <v/>
      </c>
      <c r="C28" s="16">
        <f>IF($A28="","",SUMIFS('01_予約入力'!$U$5:$U$204,'01_予約入力'!$B$5:$B$204,$A28,'01_予約入力'!$E$5:$E$204,"&gt;="&amp;DATE(YEAR($B$3),MONTH($B$3),1),'01_予約入力'!$E$5:$E$204,"&lt;="&amp;EOMONTH($B$3,0)))</f>
        <v/>
      </c>
      <c r="D28" s="16">
        <f>IF(OR($A28="",$B28=""),"",$B28-$C28)</f>
        <v/>
      </c>
      <c r="E28" s="16">
        <f>IF($A28="","",IF($B28="","（管理しない）",IF($D28&lt;0,"⚠ 超過",IF($D28=0,"上限ちょうど",IF($D28&lt;=1,"残りわずか","OK")))))</f>
        <v/>
      </c>
    </row>
    <row r="29">
      <c r="A29" s="17">
        <f>IF(COUNTA('M_利用者'!$A$4:$A$60)&gt;=24,INDEX('M_利用者'!$A$4:$A$60,24),"")</f>
        <v/>
      </c>
      <c r="B29" s="16">
        <f>IF($A29="","",IF(SUMPRODUCT(('M_利用者'!$A$4:$A$60=$A29)*('M_利用者'!$B$4:$B$60&lt;&gt;""))=0,"",SUMIFS('M_利用者'!$B$4:$B$60,'M_利用者'!$A$4:$A$60,$A29)))</f>
        <v/>
      </c>
      <c r="C29" s="16">
        <f>IF($A29="","",SUMIFS('01_予約入力'!$U$5:$U$204,'01_予約入力'!$B$5:$B$204,$A29,'01_予約入力'!$E$5:$E$204,"&gt;="&amp;DATE(YEAR($B$3),MONTH($B$3),1),'01_予約入力'!$E$5:$E$204,"&lt;="&amp;EOMONTH($B$3,0)))</f>
        <v/>
      </c>
      <c r="D29" s="16">
        <f>IF(OR($A29="",$B29=""),"",$B29-$C29)</f>
        <v/>
      </c>
      <c r="E29" s="16">
        <f>IF($A29="","",IF($B29="","（管理しない）",IF($D29&lt;0,"⚠ 超過",IF($D29=0,"上限ちょうど",IF($D29&lt;=1,"残りわずか","OK")))))</f>
        <v/>
      </c>
    </row>
    <row r="30">
      <c r="A30" s="17">
        <f>IF(COUNTA('M_利用者'!$A$4:$A$60)&gt;=25,INDEX('M_利用者'!$A$4:$A$60,25),"")</f>
        <v/>
      </c>
      <c r="B30" s="16">
        <f>IF($A30="","",IF(SUMPRODUCT(('M_利用者'!$A$4:$A$60=$A30)*('M_利用者'!$B$4:$B$60&lt;&gt;""))=0,"",SUMIFS('M_利用者'!$B$4:$B$60,'M_利用者'!$A$4:$A$60,$A30)))</f>
        <v/>
      </c>
      <c r="C30" s="16">
        <f>IF($A30="","",SUMIFS('01_予約入力'!$U$5:$U$204,'01_予約入力'!$B$5:$B$204,$A30,'01_予約入力'!$E$5:$E$204,"&gt;="&amp;DATE(YEAR($B$3),MONTH($B$3),1),'01_予約入力'!$E$5:$E$204,"&lt;="&amp;EOMONTH($B$3,0)))</f>
        <v/>
      </c>
      <c r="D30" s="16">
        <f>IF(OR($A30="",$B30=""),"",$B30-$C30)</f>
        <v/>
      </c>
      <c r="E30" s="16">
        <f>IF($A30="","",IF($B30="","（管理しない）",IF($D30&lt;0,"⚠ 超過",IF($D30=0,"上限ちょうど",IF($D30&lt;=1,"残りわずか","OK")))))</f>
        <v/>
      </c>
    </row>
    <row r="31">
      <c r="A31" s="17">
        <f>IF(COUNTA('M_利用者'!$A$4:$A$60)&gt;=26,INDEX('M_利用者'!$A$4:$A$60,26),"")</f>
        <v/>
      </c>
      <c r="B31" s="16">
        <f>IF($A31="","",IF(SUMPRODUCT(('M_利用者'!$A$4:$A$60=$A31)*('M_利用者'!$B$4:$B$60&lt;&gt;""))=0,"",SUMIFS('M_利用者'!$B$4:$B$60,'M_利用者'!$A$4:$A$60,$A31)))</f>
        <v/>
      </c>
      <c r="C31" s="16">
        <f>IF($A31="","",SUMIFS('01_予約入力'!$U$5:$U$204,'01_予約入力'!$B$5:$B$204,$A31,'01_予約入力'!$E$5:$E$204,"&gt;="&amp;DATE(YEAR($B$3),MONTH($B$3),1),'01_予約入力'!$E$5:$E$204,"&lt;="&amp;EOMONTH($B$3,0)))</f>
        <v/>
      </c>
      <c r="D31" s="16">
        <f>IF(OR($A31="",$B31=""),"",$B31-$C31)</f>
        <v/>
      </c>
      <c r="E31" s="16">
        <f>IF($A31="","",IF($B31="","（管理しない）",IF($D31&lt;0,"⚠ 超過",IF($D31=0,"上限ちょうど",IF($D31&lt;=1,"残りわずか","OK")))))</f>
        <v/>
      </c>
    </row>
    <row r="32">
      <c r="A32" s="17">
        <f>IF(COUNTA('M_利用者'!$A$4:$A$60)&gt;=27,INDEX('M_利用者'!$A$4:$A$60,27),"")</f>
        <v/>
      </c>
      <c r="B32" s="16">
        <f>IF($A32="","",IF(SUMPRODUCT(('M_利用者'!$A$4:$A$60=$A32)*('M_利用者'!$B$4:$B$60&lt;&gt;""))=0,"",SUMIFS('M_利用者'!$B$4:$B$60,'M_利用者'!$A$4:$A$60,$A32)))</f>
        <v/>
      </c>
      <c r="C32" s="16">
        <f>IF($A32="","",SUMIFS('01_予約入力'!$U$5:$U$204,'01_予約入力'!$B$5:$B$204,$A32,'01_予約入力'!$E$5:$E$204,"&gt;="&amp;DATE(YEAR($B$3),MONTH($B$3),1),'01_予約入力'!$E$5:$E$204,"&lt;="&amp;EOMONTH($B$3,0)))</f>
        <v/>
      </c>
      <c r="D32" s="16">
        <f>IF(OR($A32="",$B32=""),"",$B32-$C32)</f>
        <v/>
      </c>
      <c r="E32" s="16">
        <f>IF($A32="","",IF($B32="","（管理しない）",IF($D32&lt;0,"⚠ 超過",IF($D32=0,"上限ちょうど",IF($D32&lt;=1,"残りわずか","OK")))))</f>
        <v/>
      </c>
    </row>
    <row r="33">
      <c r="A33" s="17">
        <f>IF(COUNTA('M_利用者'!$A$4:$A$60)&gt;=28,INDEX('M_利用者'!$A$4:$A$60,28),"")</f>
        <v/>
      </c>
      <c r="B33" s="16">
        <f>IF($A33="","",IF(SUMPRODUCT(('M_利用者'!$A$4:$A$60=$A33)*('M_利用者'!$B$4:$B$60&lt;&gt;""))=0,"",SUMIFS('M_利用者'!$B$4:$B$60,'M_利用者'!$A$4:$A$60,$A33)))</f>
        <v/>
      </c>
      <c r="C33" s="16">
        <f>IF($A33="","",SUMIFS('01_予約入力'!$U$5:$U$204,'01_予約入力'!$B$5:$B$204,$A33,'01_予約入力'!$E$5:$E$204,"&gt;="&amp;DATE(YEAR($B$3),MONTH($B$3),1),'01_予約入力'!$E$5:$E$204,"&lt;="&amp;EOMONTH($B$3,0)))</f>
        <v/>
      </c>
      <c r="D33" s="16">
        <f>IF(OR($A33="",$B33=""),"",$B33-$C33)</f>
        <v/>
      </c>
      <c r="E33" s="16">
        <f>IF($A33="","",IF($B33="","（管理しない）",IF($D33&lt;0,"⚠ 超過",IF($D33=0,"上限ちょうど",IF($D33&lt;=1,"残りわずか","OK")))))</f>
        <v/>
      </c>
    </row>
    <row r="34">
      <c r="A34" s="17">
        <f>IF(COUNTA('M_利用者'!$A$4:$A$60)&gt;=29,INDEX('M_利用者'!$A$4:$A$60,29),"")</f>
        <v/>
      </c>
      <c r="B34" s="16">
        <f>IF($A34="","",IF(SUMPRODUCT(('M_利用者'!$A$4:$A$60=$A34)*('M_利用者'!$B$4:$B$60&lt;&gt;""))=0,"",SUMIFS('M_利用者'!$B$4:$B$60,'M_利用者'!$A$4:$A$60,$A34)))</f>
        <v/>
      </c>
      <c r="C34" s="16">
        <f>IF($A34="","",SUMIFS('01_予約入力'!$U$5:$U$204,'01_予約入力'!$B$5:$B$204,$A34,'01_予約入力'!$E$5:$E$204,"&gt;="&amp;DATE(YEAR($B$3),MONTH($B$3),1),'01_予約入力'!$E$5:$E$204,"&lt;="&amp;EOMONTH($B$3,0)))</f>
        <v/>
      </c>
      <c r="D34" s="16">
        <f>IF(OR($A34="",$B34=""),"",$B34-$C34)</f>
        <v/>
      </c>
      <c r="E34" s="16">
        <f>IF($A34="","",IF($B34="","（管理しない）",IF($D34&lt;0,"⚠ 超過",IF($D34=0,"上限ちょうど",IF($D34&lt;=1,"残りわずか","OK")))))</f>
        <v/>
      </c>
    </row>
    <row r="35">
      <c r="A35" s="17">
        <f>IF(COUNTA('M_利用者'!$A$4:$A$60)&gt;=30,INDEX('M_利用者'!$A$4:$A$60,30),"")</f>
        <v/>
      </c>
      <c r="B35" s="16">
        <f>IF($A35="","",IF(SUMPRODUCT(('M_利用者'!$A$4:$A$60=$A35)*('M_利用者'!$B$4:$B$60&lt;&gt;""))=0,"",SUMIFS('M_利用者'!$B$4:$B$60,'M_利用者'!$A$4:$A$60,$A35)))</f>
        <v/>
      </c>
      <c r="C35" s="16">
        <f>IF($A35="","",SUMIFS('01_予約入力'!$U$5:$U$204,'01_予約入力'!$B$5:$B$204,$A35,'01_予約入力'!$E$5:$E$204,"&gt;="&amp;DATE(YEAR($B$3),MONTH($B$3),1),'01_予約入力'!$E$5:$E$204,"&lt;="&amp;EOMONTH($B$3,0)))</f>
        <v/>
      </c>
      <c r="D35" s="16">
        <f>IF(OR($A35="",$B35=""),"",$B35-$C35)</f>
        <v/>
      </c>
      <c r="E35" s="16">
        <f>IF($A35="","",IF($B35="","（管理しない）",IF($D35&lt;0,"⚠ 超過",IF($D35=0,"上限ちょうど",IF($D35&lt;=1,"残りわずか","OK")))))</f>
        <v/>
      </c>
    </row>
    <row r="37">
      <c r="A37" s="2" t="inlineStr">
        <is>
          <t>※ 月をまたぐ滞在は、入所日の属する月にまとめて計上します。月割りが必要な場合は 05_月次集計 を使ってください。</t>
        </is>
      </c>
    </row>
  </sheetData>
  <conditionalFormatting sqref="A6:E35">
    <cfRule type="expression" priority="1" dxfId="1">
      <formula>$E6="⚠ 超過"</formula>
    </cfRule>
    <cfRule type="expression" priority="2" dxfId="2">
      <formula>$E6="残りわずか"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F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.8" customWidth="1" min="2" max="2"/>
    <col width="3.8" customWidth="1" min="3" max="3"/>
    <col width="3.8" customWidth="1" min="4" max="4"/>
    <col width="3.8" customWidth="1" min="5" max="5"/>
    <col width="3.8" customWidth="1" min="6" max="6"/>
    <col width="3.8" customWidth="1" min="7" max="7"/>
    <col width="3.8" customWidth="1" min="8" max="8"/>
    <col width="3.8" customWidth="1" min="9" max="9"/>
    <col width="3.8" customWidth="1" min="10" max="10"/>
    <col width="3.8" customWidth="1" min="11" max="11"/>
    <col width="3.8" customWidth="1" min="12" max="12"/>
    <col width="3.8" customWidth="1" min="13" max="13"/>
    <col width="3.8" customWidth="1" min="14" max="14"/>
    <col width="3.8" customWidth="1" min="15" max="15"/>
    <col width="3.8" customWidth="1" min="16" max="16"/>
    <col width="3.8" customWidth="1" min="17" max="17"/>
    <col width="3.8" customWidth="1" min="18" max="18"/>
    <col width="3.8" customWidth="1" min="19" max="19"/>
    <col width="3.8" customWidth="1" min="20" max="20"/>
    <col width="3.8" customWidth="1" min="21" max="21"/>
    <col width="3.8" customWidth="1" min="22" max="22"/>
    <col width="3.8" customWidth="1" min="23" max="23"/>
    <col width="3.8" customWidth="1" min="24" max="24"/>
    <col width="3.8" customWidth="1" min="25" max="25"/>
    <col width="3.8" customWidth="1" min="26" max="26"/>
    <col width="3.8" customWidth="1" min="27" max="27"/>
    <col width="3.8" customWidth="1" min="28" max="28"/>
    <col width="3.8" customWidth="1" min="29" max="29"/>
    <col width="3.8" customWidth="1" min="30" max="30"/>
    <col width="3.8" customWidth="1" min="31" max="31"/>
    <col width="3.8" customWidth="1" min="32" max="32"/>
  </cols>
  <sheetData>
    <row r="1">
      <c r="A1" s="1">
        <f>'M_施設設定'!$B$4&amp;"　"&amp;'M_施設設定'!$B$5</f>
        <v/>
      </c>
    </row>
    <row r="2">
      <c r="A2" s="23">
        <f>TEXT('02_月間表'!$B$4,"yyyy年m月")&amp;"　短期入所 空き状況"</f>
        <v/>
      </c>
    </row>
    <row r="3">
      <c r="A3" s="2">
        <f>'M_施設設定'!$B$11&amp;"　TEL "&amp;'M_施設設定'!$B$12&amp;"　FAX "&amp;'M_施設設定'!$B$13</f>
        <v/>
      </c>
    </row>
    <row r="4">
      <c r="A4" s="2">
        <f>"作成日："&amp;TEXT(TODAY(),"yyyy年m月d日")&amp;"　／　対象月は 02_月間表 で変更します"</f>
        <v/>
      </c>
    </row>
    <row r="6">
      <c r="A6" s="24" t="inlineStr">
        <is>
          <t>日</t>
        </is>
      </c>
      <c r="B6" s="25">
        <f>IF('02_月間表'!$A7="","",DAY('02_月間表'!$A7))</f>
        <v/>
      </c>
      <c r="C6" s="25">
        <f>IF('02_月間表'!$A8="","",DAY('02_月間表'!$A8))</f>
        <v/>
      </c>
      <c r="D6" s="25">
        <f>IF('02_月間表'!$A9="","",DAY('02_月間表'!$A9))</f>
        <v/>
      </c>
      <c r="E6" s="25">
        <f>IF('02_月間表'!$A10="","",DAY('02_月間表'!$A10))</f>
        <v/>
      </c>
      <c r="F6" s="25">
        <f>IF('02_月間表'!$A11="","",DAY('02_月間表'!$A11))</f>
        <v/>
      </c>
      <c r="G6" s="25">
        <f>IF('02_月間表'!$A12="","",DAY('02_月間表'!$A12))</f>
        <v/>
      </c>
      <c r="H6" s="25">
        <f>IF('02_月間表'!$A13="","",DAY('02_月間表'!$A13))</f>
        <v/>
      </c>
      <c r="I6" s="25">
        <f>IF('02_月間表'!$A14="","",DAY('02_月間表'!$A14))</f>
        <v/>
      </c>
      <c r="J6" s="25">
        <f>IF('02_月間表'!$A15="","",DAY('02_月間表'!$A15))</f>
        <v/>
      </c>
      <c r="K6" s="25">
        <f>IF('02_月間表'!$A16="","",DAY('02_月間表'!$A16))</f>
        <v/>
      </c>
      <c r="L6" s="25">
        <f>IF('02_月間表'!$A17="","",DAY('02_月間表'!$A17))</f>
        <v/>
      </c>
      <c r="M6" s="25">
        <f>IF('02_月間表'!$A18="","",DAY('02_月間表'!$A18))</f>
        <v/>
      </c>
      <c r="N6" s="25">
        <f>IF('02_月間表'!$A19="","",DAY('02_月間表'!$A19))</f>
        <v/>
      </c>
      <c r="O6" s="25">
        <f>IF('02_月間表'!$A20="","",DAY('02_月間表'!$A20))</f>
        <v/>
      </c>
      <c r="P6" s="25">
        <f>IF('02_月間表'!$A21="","",DAY('02_月間表'!$A21))</f>
        <v/>
      </c>
      <c r="Q6" s="25">
        <f>IF('02_月間表'!$A22="","",DAY('02_月間表'!$A22))</f>
        <v/>
      </c>
      <c r="R6" s="25">
        <f>IF('02_月間表'!$A23="","",DAY('02_月間表'!$A23))</f>
        <v/>
      </c>
      <c r="S6" s="25">
        <f>IF('02_月間表'!$A24="","",DAY('02_月間表'!$A24))</f>
        <v/>
      </c>
      <c r="T6" s="25">
        <f>IF('02_月間表'!$A25="","",DAY('02_月間表'!$A25))</f>
        <v/>
      </c>
      <c r="U6" s="25">
        <f>IF('02_月間表'!$A26="","",DAY('02_月間表'!$A26))</f>
        <v/>
      </c>
      <c r="V6" s="25">
        <f>IF('02_月間表'!$A27="","",DAY('02_月間表'!$A27))</f>
        <v/>
      </c>
      <c r="W6" s="25">
        <f>IF('02_月間表'!$A28="","",DAY('02_月間表'!$A28))</f>
        <v/>
      </c>
      <c r="X6" s="25">
        <f>IF('02_月間表'!$A29="","",DAY('02_月間表'!$A29))</f>
        <v/>
      </c>
      <c r="Y6" s="25">
        <f>IF('02_月間表'!$A30="","",DAY('02_月間表'!$A30))</f>
        <v/>
      </c>
      <c r="Z6" s="25">
        <f>IF('02_月間表'!$A31="","",DAY('02_月間表'!$A31))</f>
        <v/>
      </c>
      <c r="AA6" s="25">
        <f>IF('02_月間表'!$A32="","",DAY('02_月間表'!$A32))</f>
        <v/>
      </c>
      <c r="AB6" s="25">
        <f>IF('02_月間表'!$A33="","",DAY('02_月間表'!$A33))</f>
        <v/>
      </c>
      <c r="AC6" s="25">
        <f>IF('02_月間表'!$A34="","",DAY('02_月間表'!$A34))</f>
        <v/>
      </c>
      <c r="AD6" s="25">
        <f>IF('02_月間表'!$A35="","",DAY('02_月間表'!$A35))</f>
        <v/>
      </c>
      <c r="AE6" s="25">
        <f>IF('02_月間表'!$A36="","",DAY('02_月間表'!$A36))</f>
        <v/>
      </c>
      <c r="AF6" s="25">
        <f>IF('02_月間表'!$A37="","",DAY('02_月間表'!$A37))</f>
        <v/>
      </c>
    </row>
    <row r="7">
      <c r="A7" s="24" t="inlineStr">
        <is>
          <t>曜日</t>
        </is>
      </c>
      <c r="B7" s="25">
        <f>IF('02_月間表'!$A7="","",'02_月間表'!$B7)</f>
        <v/>
      </c>
      <c r="C7" s="25">
        <f>IF('02_月間表'!$A8="","",'02_月間表'!$B8)</f>
        <v/>
      </c>
      <c r="D7" s="25">
        <f>IF('02_月間表'!$A9="","",'02_月間表'!$B9)</f>
        <v/>
      </c>
      <c r="E7" s="25">
        <f>IF('02_月間表'!$A10="","",'02_月間表'!$B10)</f>
        <v/>
      </c>
      <c r="F7" s="25">
        <f>IF('02_月間表'!$A11="","",'02_月間表'!$B11)</f>
        <v/>
      </c>
      <c r="G7" s="25">
        <f>IF('02_月間表'!$A12="","",'02_月間表'!$B12)</f>
        <v/>
      </c>
      <c r="H7" s="25">
        <f>IF('02_月間表'!$A13="","",'02_月間表'!$B13)</f>
        <v/>
      </c>
      <c r="I7" s="25">
        <f>IF('02_月間表'!$A14="","",'02_月間表'!$B14)</f>
        <v/>
      </c>
      <c r="J7" s="25">
        <f>IF('02_月間表'!$A15="","",'02_月間表'!$B15)</f>
        <v/>
      </c>
      <c r="K7" s="25">
        <f>IF('02_月間表'!$A16="","",'02_月間表'!$B16)</f>
        <v/>
      </c>
      <c r="L7" s="25">
        <f>IF('02_月間表'!$A17="","",'02_月間表'!$B17)</f>
        <v/>
      </c>
      <c r="M7" s="25">
        <f>IF('02_月間表'!$A18="","",'02_月間表'!$B18)</f>
        <v/>
      </c>
      <c r="N7" s="25">
        <f>IF('02_月間表'!$A19="","",'02_月間表'!$B19)</f>
        <v/>
      </c>
      <c r="O7" s="25">
        <f>IF('02_月間表'!$A20="","",'02_月間表'!$B20)</f>
        <v/>
      </c>
      <c r="P7" s="25">
        <f>IF('02_月間表'!$A21="","",'02_月間表'!$B21)</f>
        <v/>
      </c>
      <c r="Q7" s="25">
        <f>IF('02_月間表'!$A22="","",'02_月間表'!$B22)</f>
        <v/>
      </c>
      <c r="R7" s="25">
        <f>IF('02_月間表'!$A23="","",'02_月間表'!$B23)</f>
        <v/>
      </c>
      <c r="S7" s="25">
        <f>IF('02_月間表'!$A24="","",'02_月間表'!$B24)</f>
        <v/>
      </c>
      <c r="T7" s="25">
        <f>IF('02_月間表'!$A25="","",'02_月間表'!$B25)</f>
        <v/>
      </c>
      <c r="U7" s="25">
        <f>IF('02_月間表'!$A26="","",'02_月間表'!$B26)</f>
        <v/>
      </c>
      <c r="V7" s="25">
        <f>IF('02_月間表'!$A27="","",'02_月間表'!$B27)</f>
        <v/>
      </c>
      <c r="W7" s="25">
        <f>IF('02_月間表'!$A28="","",'02_月間表'!$B28)</f>
        <v/>
      </c>
      <c r="X7" s="25">
        <f>IF('02_月間表'!$A29="","",'02_月間表'!$B29)</f>
        <v/>
      </c>
      <c r="Y7" s="25">
        <f>IF('02_月間表'!$A30="","",'02_月間表'!$B30)</f>
        <v/>
      </c>
      <c r="Z7" s="25">
        <f>IF('02_月間表'!$A31="","",'02_月間表'!$B31)</f>
        <v/>
      </c>
      <c r="AA7" s="25">
        <f>IF('02_月間表'!$A32="","",'02_月間表'!$B32)</f>
        <v/>
      </c>
      <c r="AB7" s="25">
        <f>IF('02_月間表'!$A33="","",'02_月間表'!$B33)</f>
        <v/>
      </c>
      <c r="AC7" s="25">
        <f>IF('02_月間表'!$A34="","",'02_月間表'!$B34)</f>
        <v/>
      </c>
      <c r="AD7" s="25">
        <f>IF('02_月間表'!$A35="","",'02_月間表'!$B35)</f>
        <v/>
      </c>
      <c r="AE7" s="25">
        <f>IF('02_月間表'!$A36="","",'02_月間表'!$B36)</f>
        <v/>
      </c>
      <c r="AF7" s="25">
        <f>IF('02_月間表'!$A37="","",'02_月間表'!$B37)</f>
        <v/>
      </c>
    </row>
    <row r="8">
      <c r="A8" s="24" t="inlineStr">
        <is>
          <t>空き状況</t>
        </is>
      </c>
      <c r="B8" s="26">
        <f>IF('02_月間表'!$A7="","",'02_月間表'!$J7)</f>
        <v/>
      </c>
      <c r="C8" s="26">
        <f>IF('02_月間表'!$A8="","",'02_月間表'!$J8)</f>
        <v/>
      </c>
      <c r="D8" s="26">
        <f>IF('02_月間表'!$A9="","",'02_月間表'!$J9)</f>
        <v/>
      </c>
      <c r="E8" s="26">
        <f>IF('02_月間表'!$A10="","",'02_月間表'!$J10)</f>
        <v/>
      </c>
      <c r="F8" s="26">
        <f>IF('02_月間表'!$A11="","",'02_月間表'!$J11)</f>
        <v/>
      </c>
      <c r="G8" s="26">
        <f>IF('02_月間表'!$A12="","",'02_月間表'!$J12)</f>
        <v/>
      </c>
      <c r="H8" s="26">
        <f>IF('02_月間表'!$A13="","",'02_月間表'!$J13)</f>
        <v/>
      </c>
      <c r="I8" s="26">
        <f>IF('02_月間表'!$A14="","",'02_月間表'!$J14)</f>
        <v/>
      </c>
      <c r="J8" s="26">
        <f>IF('02_月間表'!$A15="","",'02_月間表'!$J15)</f>
        <v/>
      </c>
      <c r="K8" s="26">
        <f>IF('02_月間表'!$A16="","",'02_月間表'!$J16)</f>
        <v/>
      </c>
      <c r="L8" s="26">
        <f>IF('02_月間表'!$A17="","",'02_月間表'!$J17)</f>
        <v/>
      </c>
      <c r="M8" s="26">
        <f>IF('02_月間表'!$A18="","",'02_月間表'!$J18)</f>
        <v/>
      </c>
      <c r="N8" s="26">
        <f>IF('02_月間表'!$A19="","",'02_月間表'!$J19)</f>
        <v/>
      </c>
      <c r="O8" s="26">
        <f>IF('02_月間表'!$A20="","",'02_月間表'!$J20)</f>
        <v/>
      </c>
      <c r="P8" s="26">
        <f>IF('02_月間表'!$A21="","",'02_月間表'!$J21)</f>
        <v/>
      </c>
      <c r="Q8" s="26">
        <f>IF('02_月間表'!$A22="","",'02_月間表'!$J22)</f>
        <v/>
      </c>
      <c r="R8" s="26">
        <f>IF('02_月間表'!$A23="","",'02_月間表'!$J23)</f>
        <v/>
      </c>
      <c r="S8" s="26">
        <f>IF('02_月間表'!$A24="","",'02_月間表'!$J24)</f>
        <v/>
      </c>
      <c r="T8" s="26">
        <f>IF('02_月間表'!$A25="","",'02_月間表'!$J25)</f>
        <v/>
      </c>
      <c r="U8" s="26">
        <f>IF('02_月間表'!$A26="","",'02_月間表'!$J26)</f>
        <v/>
      </c>
      <c r="V8" s="26">
        <f>IF('02_月間表'!$A27="","",'02_月間表'!$J27)</f>
        <v/>
      </c>
      <c r="W8" s="26">
        <f>IF('02_月間表'!$A28="","",'02_月間表'!$J28)</f>
        <v/>
      </c>
      <c r="X8" s="26">
        <f>IF('02_月間表'!$A29="","",'02_月間表'!$J29)</f>
        <v/>
      </c>
      <c r="Y8" s="26">
        <f>IF('02_月間表'!$A30="","",'02_月間表'!$J30)</f>
        <v/>
      </c>
      <c r="Z8" s="26">
        <f>IF('02_月間表'!$A31="","",'02_月間表'!$J31)</f>
        <v/>
      </c>
      <c r="AA8" s="26">
        <f>IF('02_月間表'!$A32="","",'02_月間表'!$J32)</f>
        <v/>
      </c>
      <c r="AB8" s="26">
        <f>IF('02_月間表'!$A33="","",'02_月間表'!$J33)</f>
        <v/>
      </c>
      <c r="AC8" s="26">
        <f>IF('02_月間表'!$A34="","",'02_月間表'!$J34)</f>
        <v/>
      </c>
      <c r="AD8" s="26">
        <f>IF('02_月間表'!$A35="","",'02_月間表'!$J35)</f>
        <v/>
      </c>
      <c r="AE8" s="26">
        <f>IF('02_月間表'!$A36="","",'02_月間表'!$J36)</f>
        <v/>
      </c>
      <c r="AF8" s="26">
        <f>IF('02_月間表'!$A37="","",'02_月間表'!$J37)</f>
        <v/>
      </c>
    </row>
    <row r="10">
      <c r="A10" s="21" t="inlineStr">
        <is>
          <t>凡例</t>
        </is>
      </c>
    </row>
    <row r="11">
      <c r="B11" s="27" t="inlineStr">
        <is>
          <t>○</t>
        </is>
      </c>
      <c r="C11" s="2" t="inlineStr">
        <is>
          <t>空室あり</t>
        </is>
      </c>
      <c r="F11" s="27" t="inlineStr">
        <is>
          <t>△</t>
        </is>
      </c>
      <c r="G11" s="2" t="inlineStr">
        <is>
          <t>残りわずか</t>
        </is>
      </c>
      <c r="J11" s="27" t="inlineStr">
        <is>
          <t>仮</t>
        </is>
      </c>
      <c r="K11" s="2" t="inlineStr">
        <is>
          <t>仮予約で調整中</t>
        </is>
      </c>
      <c r="N11" s="27" t="inlineStr">
        <is>
          <t>×</t>
        </is>
      </c>
      <c r="O11" s="2" t="inlineStr">
        <is>
          <t>満室</t>
        </is>
      </c>
    </row>
    <row r="13">
      <c r="A13" s="2" t="inlineStr">
        <is>
          <t>・各日の欄は「その日の夜（宿泊）」の空き状況です。退所日の当日は、次の方がご利用いただけます。</t>
        </is>
      </c>
    </row>
    <row r="14">
      <c r="A14" s="2" t="inlineStr">
        <is>
          <t>・空き状況は日々変動します。ご予約前に必ずお電話でご確認ください。</t>
        </is>
      </c>
    </row>
    <row r="15">
      <c r="A15" s="2">
        <f>"・全"&amp;'M_施設設定'!$B$6&amp;"室。この用紙に利用者様のお名前は記載しておりません。"</f>
        <v/>
      </c>
    </row>
    <row r="17">
      <c r="A17" s="21" t="inlineStr">
        <is>
          <t>月内集計</t>
        </is>
      </c>
    </row>
    <row r="18">
      <c r="B18" s="28">
        <f>COUNTIF($B$8:$AF$8,"○")&amp;"日"</f>
        <v/>
      </c>
      <c r="C18" s="2" t="inlineStr">
        <is>
          <t>空室あり</t>
        </is>
      </c>
      <c r="F18" s="28">
        <f>COUNTIF($B$8:$AF$8,"△")&amp;"日"</f>
        <v/>
      </c>
      <c r="G18" s="2" t="inlineStr">
        <is>
          <t>残りわずか</t>
        </is>
      </c>
      <c r="J18" s="28">
        <f>COUNTIF($B$8:$AF$8,"仮")&amp;"日"</f>
        <v/>
      </c>
      <c r="K18" s="2" t="inlineStr">
        <is>
          <t>仮予約</t>
        </is>
      </c>
      <c r="N18" s="28">
        <f>COUNTIF($B$8:$AF$8,"×")&amp;"日"</f>
        <v/>
      </c>
      <c r="O18" s="2" t="inlineStr">
        <is>
          <t>満室</t>
        </is>
      </c>
    </row>
  </sheetData>
  <conditionalFormatting sqref="B8:AF8">
    <cfRule type="expression" priority="1" dxfId="1">
      <formula>B8="×"</formula>
    </cfRule>
    <cfRule type="expression" priority="2" dxfId="2">
      <formula>B8="△"</formula>
    </cfRule>
    <cfRule type="expression" priority="3" dxfId="3">
      <formula>B8="仮"</formula>
    </cfRule>
    <cfRule type="expression" priority="4" dxfId="4">
      <formula>B8="○"</formula>
    </cfRule>
  </conditionalFormatting>
  <conditionalFormatting sqref="B7:AF7">
    <cfRule type="expression" priority="5" dxfId="5">
      <formula>OR(B$7="土",B$7="日")</formula>
    </cfRule>
  </conditionalFormatting>
  <pageMargins left="0.75" right="0.75" top="1" bottom="1" header="0.5" footer="0.5"/>
  <pageSetup orientation="landscape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62" customWidth="1" min="3" max="3"/>
  </cols>
  <sheetData>
    <row r="1">
      <c r="A1" s="1" t="inlineStr">
        <is>
          <t>施設設定</t>
        </is>
      </c>
    </row>
    <row r="2">
      <c r="A2" s="2" t="inlineStr">
        <is>
          <t>黄色のセルを施設に合わせて書き換えてください。</t>
        </is>
      </c>
    </row>
    <row r="4">
      <c r="A4" s="12" t="inlineStr">
        <is>
          <t>施設名</t>
        </is>
      </c>
      <c r="B4" s="29" t="inlineStr">
        <is>
          <t>○○事業所</t>
        </is>
      </c>
      <c r="C4" s="2" t="inlineStr">
        <is>
          <t>帳票の見出しに使います</t>
        </is>
      </c>
    </row>
    <row r="5">
      <c r="A5" s="12" t="inlineStr">
        <is>
          <t>棟・フロア</t>
        </is>
      </c>
      <c r="B5" s="29" t="inlineStr">
        <is>
          <t>本棟 1F</t>
        </is>
      </c>
    </row>
    <row r="6">
      <c r="A6" s="12" t="inlineStr">
        <is>
          <t>部屋数（定員）</t>
        </is>
      </c>
      <c r="B6" s="18">
        <f>COUNTA('M_部屋'!$A$4:$A$20)</f>
        <v/>
      </c>
      <c r="C6" s="2" t="inlineStr">
        <is>
          <t>自動。M_部屋 の行数がそのまま定員になります（1部屋につき1名）</t>
        </is>
      </c>
    </row>
    <row r="7">
      <c r="A7" s="12" t="inlineStr">
        <is>
          <t>標準の入所時刻</t>
        </is>
      </c>
      <c r="B7" s="29" t="inlineStr">
        <is>
          <t>16:00</t>
        </is>
      </c>
      <c r="C7" s="2" t="inlineStr">
        <is>
          <t>予約入力の目安。実際の時刻は予約ごとに入れます</t>
        </is>
      </c>
    </row>
    <row r="8">
      <c r="A8" s="12" t="inlineStr">
        <is>
          <t>標準の退所時刻</t>
        </is>
      </c>
      <c r="B8" s="29" t="inlineStr">
        <is>
          <t>09:00</t>
        </is>
      </c>
    </row>
    <row r="9">
      <c r="A9" s="12" t="inlineStr">
        <is>
          <t>入力者名</t>
        </is>
      </c>
      <c r="B9" s="29" t="inlineStr"/>
      <c r="C9" s="2" t="inlineStr">
        <is>
          <t>更新履歴に残す名前</t>
        </is>
      </c>
    </row>
    <row r="10">
      <c r="A10" s="12" t="inlineStr">
        <is>
          <t>郵便番号</t>
        </is>
      </c>
      <c r="B10" s="29" t="inlineStr"/>
    </row>
    <row r="11">
      <c r="A11" s="12" t="inlineStr">
        <is>
          <t>住所</t>
        </is>
      </c>
      <c r="B11" s="29" t="inlineStr"/>
      <c r="C11" s="2" t="inlineStr">
        <is>
          <t>FAX帳票の送信元として印字されます</t>
        </is>
      </c>
    </row>
    <row r="12">
      <c r="A12" s="12" t="inlineStr">
        <is>
          <t>電話番号</t>
        </is>
      </c>
      <c r="B12" s="29" t="inlineStr"/>
    </row>
    <row r="13">
      <c r="A13" s="12" t="inlineStr">
        <is>
          <t>FAX番号</t>
        </is>
      </c>
      <c r="B13" s="29" t="inlineStr"/>
    </row>
    <row r="14">
      <c r="A14" s="12" t="inlineStr">
        <is>
          <t>担当者名</t>
        </is>
      </c>
      <c r="B14" s="29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" t="inlineStr">
        <is>
          <t>部屋マスタ</t>
        </is>
      </c>
    </row>
    <row r="2">
      <c r="A2" s="2" t="inlineStr">
        <is>
          <t>1行 = 1室。★ここの行数が定員になります。1室の施設は1行だけ、2室の施設は2行だけ残してください。</t>
        </is>
      </c>
    </row>
    <row r="3" ht="30" customHeight="1">
      <c r="A3" s="7" t="inlineStr">
        <is>
          <t>部屋名</t>
        </is>
      </c>
      <c r="B3" s="7" t="inlineStr">
        <is>
          <t>備考</t>
        </is>
      </c>
    </row>
    <row r="4">
      <c r="A4" s="29" t="inlineStr">
        <is>
          <t>部屋1</t>
        </is>
      </c>
      <c r="B4" s="30" t="n"/>
    </row>
    <row r="5">
      <c r="A5" s="29" t="inlineStr">
        <is>
          <t>部屋2</t>
        </is>
      </c>
      <c r="B5" s="31" t="inlineStr">
        <is>
          <t>1室のみの施設では、この行を削除してください</t>
        </is>
      </c>
    </row>
    <row r="6">
      <c r="A6" s="29" t="n"/>
      <c r="B6" s="30" t="n"/>
    </row>
    <row r="7">
      <c r="A7" s="29" t="n"/>
      <c r="B7" s="30" t="n"/>
    </row>
    <row r="8">
      <c r="A8" s="29" t="n"/>
      <c r="B8" s="30" t="n"/>
    </row>
    <row r="9">
      <c r="A9" s="29" t="n"/>
      <c r="B9" s="30" t="n"/>
    </row>
    <row r="10">
      <c r="A10" s="29" t="n"/>
      <c r="B10" s="30" t="n"/>
    </row>
    <row r="11">
      <c r="A11" s="29" t="n"/>
      <c r="B11" s="30" t="n"/>
    </row>
    <row r="12">
      <c r="A12" s="29" t="n"/>
      <c r="B12" s="30" t="n"/>
    </row>
    <row r="13">
      <c r="A13" s="29" t="n"/>
      <c r="B13" s="30" t="n"/>
    </row>
    <row r="14">
      <c r="A14" s="29" t="n"/>
      <c r="B14" s="30" t="n"/>
    </row>
    <row r="15">
      <c r="A15" s="29" t="n"/>
      <c r="B15" s="30" t="n"/>
    </row>
    <row r="16">
      <c r="A16" s="29" t="n"/>
      <c r="B16" s="30" t="n"/>
    </row>
    <row r="17">
      <c r="A17" s="29" t="n"/>
      <c r="B17" s="30" t="n"/>
    </row>
    <row r="18">
      <c r="A18" s="29" t="n"/>
      <c r="B18" s="30" t="n"/>
    </row>
    <row r="19">
      <c r="A19" s="29" t="n"/>
      <c r="B19" s="30" t="n"/>
    </row>
    <row r="20">
      <c r="A20" s="29" t="n"/>
      <c r="B20" s="30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6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52" customWidth="1" min="3" max="3"/>
  </cols>
  <sheetData>
    <row r="1">
      <c r="A1" s="1" t="inlineStr">
        <is>
          <t>利用者マスタ</t>
        </is>
      </c>
    </row>
    <row r="2">
      <c r="A2" s="2" t="inlineStr">
        <is>
          <t>支給量＝受給者証の月あたり上限日数。空欄ならその方の残日数は管理しません。</t>
        </is>
      </c>
    </row>
    <row r="3" ht="30" customHeight="1">
      <c r="A3" s="7" t="inlineStr">
        <is>
          <t>氏名</t>
        </is>
      </c>
      <c r="B3" s="7" t="inlineStr">
        <is>
          <t>支給量（日／月）</t>
        </is>
      </c>
      <c r="C3" s="7" t="inlineStr">
        <is>
          <t>備考</t>
        </is>
      </c>
    </row>
    <row r="4">
      <c r="A4" s="29" t="inlineStr">
        <is>
          <t>利用者A</t>
        </is>
      </c>
      <c r="B4" s="29" t="n">
        <v>7</v>
      </c>
      <c r="C4" s="31" t="inlineStr">
        <is>
          <t>サンプルです。実際の氏名に書き換えてください</t>
        </is>
      </c>
    </row>
    <row r="5">
      <c r="A5" s="29" t="inlineStr">
        <is>
          <t>利用者B</t>
        </is>
      </c>
      <c r="B5" s="29" t="n">
        <v>5</v>
      </c>
      <c r="C5" s="31" t="inlineStr"/>
    </row>
    <row r="6">
      <c r="A6" s="29" t="inlineStr">
        <is>
          <t>利用者C</t>
        </is>
      </c>
      <c r="B6" s="29" t="n"/>
      <c r="C6" s="31" t="inlineStr">
        <is>
          <t>支給量を管理しない例</t>
        </is>
      </c>
    </row>
    <row r="7">
      <c r="A7" s="29" t="n"/>
      <c r="B7" s="29" t="n"/>
      <c r="C7" s="30" t="n"/>
    </row>
    <row r="8">
      <c r="A8" s="29" t="n"/>
      <c r="B8" s="29" t="n"/>
      <c r="C8" s="30" t="n"/>
    </row>
    <row r="9">
      <c r="A9" s="29" t="n"/>
      <c r="B9" s="29" t="n"/>
      <c r="C9" s="30" t="n"/>
    </row>
    <row r="10">
      <c r="A10" s="29" t="n"/>
      <c r="B10" s="29" t="n"/>
      <c r="C10" s="30" t="n"/>
    </row>
    <row r="11">
      <c r="A11" s="29" t="n"/>
      <c r="B11" s="29" t="n"/>
      <c r="C11" s="30" t="n"/>
    </row>
    <row r="12">
      <c r="A12" s="29" t="n"/>
      <c r="B12" s="29" t="n"/>
      <c r="C12" s="30" t="n"/>
    </row>
    <row r="13">
      <c r="A13" s="29" t="n"/>
      <c r="B13" s="29" t="n"/>
      <c r="C13" s="30" t="n"/>
    </row>
    <row r="14">
      <c r="A14" s="29" t="n"/>
      <c r="B14" s="29" t="n"/>
      <c r="C14" s="30" t="n"/>
    </row>
    <row r="15">
      <c r="A15" s="29" t="n"/>
      <c r="B15" s="29" t="n"/>
      <c r="C15" s="30" t="n"/>
    </row>
    <row r="16">
      <c r="A16" s="29" t="n"/>
      <c r="B16" s="29" t="n"/>
      <c r="C16" s="30" t="n"/>
    </row>
    <row r="17">
      <c r="A17" s="29" t="n"/>
      <c r="B17" s="29" t="n"/>
      <c r="C17" s="30" t="n"/>
    </row>
    <row r="18">
      <c r="A18" s="29" t="n"/>
      <c r="B18" s="29" t="n"/>
      <c r="C18" s="30" t="n"/>
    </row>
    <row r="19">
      <c r="A19" s="29" t="n"/>
      <c r="B19" s="29" t="n"/>
      <c r="C19" s="30" t="n"/>
    </row>
    <row r="20">
      <c r="A20" s="29" t="n"/>
      <c r="B20" s="29" t="n"/>
      <c r="C20" s="30" t="n"/>
    </row>
    <row r="21">
      <c r="A21" s="29" t="n"/>
      <c r="B21" s="29" t="n"/>
      <c r="C21" s="30" t="n"/>
    </row>
    <row r="22">
      <c r="A22" s="29" t="n"/>
      <c r="B22" s="29" t="n"/>
      <c r="C22" s="30" t="n"/>
    </row>
    <row r="23">
      <c r="A23" s="29" t="n"/>
      <c r="B23" s="29" t="n"/>
      <c r="C23" s="30" t="n"/>
    </row>
    <row r="24">
      <c r="A24" s="29" t="n"/>
      <c r="B24" s="29" t="n"/>
      <c r="C24" s="30" t="n"/>
    </row>
    <row r="25">
      <c r="A25" s="29" t="n"/>
      <c r="B25" s="29" t="n"/>
      <c r="C25" s="30" t="n"/>
    </row>
    <row r="26">
      <c r="A26" s="29" t="n"/>
      <c r="B26" s="29" t="n"/>
      <c r="C26" s="30" t="n"/>
    </row>
    <row r="27">
      <c r="A27" s="29" t="n"/>
      <c r="B27" s="29" t="n"/>
      <c r="C27" s="30" t="n"/>
    </row>
    <row r="28">
      <c r="A28" s="29" t="n"/>
      <c r="B28" s="29" t="n"/>
      <c r="C28" s="30" t="n"/>
    </row>
    <row r="29">
      <c r="A29" s="29" t="n"/>
      <c r="B29" s="29" t="n"/>
      <c r="C29" s="30" t="n"/>
    </row>
    <row r="30">
      <c r="A30" s="29" t="n"/>
      <c r="B30" s="29" t="n"/>
      <c r="C30" s="30" t="n"/>
    </row>
    <row r="31">
      <c r="A31" s="29" t="n"/>
      <c r="B31" s="29" t="n"/>
      <c r="C31" s="30" t="n"/>
    </row>
    <row r="32">
      <c r="A32" s="29" t="n"/>
      <c r="B32" s="29" t="n"/>
      <c r="C32" s="30" t="n"/>
    </row>
    <row r="33">
      <c r="A33" s="29" t="n"/>
      <c r="B33" s="29" t="n"/>
      <c r="C33" s="30" t="n"/>
    </row>
    <row r="34">
      <c r="A34" s="29" t="n"/>
      <c r="B34" s="29" t="n"/>
      <c r="C34" s="30" t="n"/>
    </row>
    <row r="35">
      <c r="A35" s="29" t="n"/>
      <c r="B35" s="29" t="n"/>
      <c r="C35" s="30" t="n"/>
    </row>
    <row r="36">
      <c r="A36" s="29" t="n"/>
      <c r="B36" s="29" t="n"/>
      <c r="C36" s="30" t="n"/>
    </row>
    <row r="37">
      <c r="A37" s="29" t="n"/>
      <c r="B37" s="29" t="n"/>
      <c r="C37" s="30" t="n"/>
    </row>
    <row r="38">
      <c r="A38" s="29" t="n"/>
      <c r="B38" s="29" t="n"/>
      <c r="C38" s="30" t="n"/>
    </row>
    <row r="39">
      <c r="A39" s="29" t="n"/>
      <c r="B39" s="29" t="n"/>
      <c r="C39" s="30" t="n"/>
    </row>
    <row r="40">
      <c r="A40" s="29" t="n"/>
      <c r="B40" s="29" t="n"/>
      <c r="C40" s="30" t="n"/>
    </row>
    <row r="41">
      <c r="A41" s="29" t="n"/>
      <c r="B41" s="29" t="n"/>
      <c r="C41" s="30" t="n"/>
    </row>
    <row r="42">
      <c r="A42" s="29" t="n"/>
      <c r="B42" s="29" t="n"/>
      <c r="C42" s="30" t="n"/>
    </row>
    <row r="43">
      <c r="A43" s="29" t="n"/>
      <c r="B43" s="29" t="n"/>
      <c r="C43" s="30" t="n"/>
    </row>
    <row r="44">
      <c r="A44" s="29" t="n"/>
      <c r="B44" s="29" t="n"/>
      <c r="C44" s="30" t="n"/>
    </row>
    <row r="45">
      <c r="A45" s="29" t="n"/>
      <c r="B45" s="29" t="n"/>
      <c r="C45" s="30" t="n"/>
    </row>
    <row r="46">
      <c r="A46" s="29" t="n"/>
      <c r="B46" s="29" t="n"/>
      <c r="C46" s="30" t="n"/>
    </row>
    <row r="47">
      <c r="A47" s="29" t="n"/>
      <c r="B47" s="29" t="n"/>
      <c r="C47" s="30" t="n"/>
    </row>
    <row r="48">
      <c r="A48" s="29" t="n"/>
      <c r="B48" s="29" t="n"/>
      <c r="C48" s="30" t="n"/>
    </row>
    <row r="49">
      <c r="A49" s="29" t="n"/>
      <c r="B49" s="29" t="n"/>
      <c r="C49" s="30" t="n"/>
    </row>
    <row r="50">
      <c r="A50" s="29" t="n"/>
      <c r="B50" s="29" t="n"/>
      <c r="C50" s="30" t="n"/>
    </row>
    <row r="51">
      <c r="A51" s="29" t="n"/>
      <c r="B51" s="29" t="n"/>
      <c r="C51" s="30" t="n"/>
    </row>
    <row r="52">
      <c r="A52" s="29" t="n"/>
      <c r="B52" s="29" t="n"/>
      <c r="C52" s="30" t="n"/>
    </row>
    <row r="53">
      <c r="A53" s="29" t="n"/>
      <c r="B53" s="29" t="n"/>
      <c r="C53" s="30" t="n"/>
    </row>
    <row r="54">
      <c r="A54" s="29" t="n"/>
      <c r="B54" s="29" t="n"/>
      <c r="C54" s="30" t="n"/>
    </row>
    <row r="55">
      <c r="A55" s="29" t="n"/>
      <c r="B55" s="29" t="n"/>
      <c r="C55" s="30" t="n"/>
    </row>
    <row r="56">
      <c r="A56" s="29" t="n"/>
      <c r="B56" s="29" t="n"/>
      <c r="C56" s="30" t="n"/>
    </row>
    <row r="57">
      <c r="A57" s="29" t="n"/>
      <c r="B57" s="29" t="n"/>
      <c r="C57" s="30" t="n"/>
    </row>
    <row r="58">
      <c r="A58" s="29" t="n"/>
      <c r="B58" s="29" t="n"/>
      <c r="C58" s="30" t="n"/>
    </row>
    <row r="59">
      <c r="A59" s="29" t="n"/>
      <c r="B59" s="29" t="n"/>
      <c r="C59" s="30" t="n"/>
    </row>
    <row r="60">
      <c r="A60" s="29" t="n"/>
      <c r="B60" s="29" t="n"/>
      <c r="C60" s="3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52" customWidth="1" min="3" max="3"/>
  </cols>
  <sheetData>
    <row r="1">
      <c r="A1" s="1" t="inlineStr">
        <is>
          <t>区分マスタ</t>
        </is>
      </c>
    </row>
    <row r="2">
      <c r="A2" s="2" t="inlineStr">
        <is>
          <t>「支給量に含める」に ○ を入れた区分だけ、06_支給量管理 の日数に数えます。</t>
        </is>
      </c>
    </row>
    <row r="3" ht="30" customHeight="1">
      <c r="A3" s="7" t="inlineStr">
        <is>
          <t>区分</t>
        </is>
      </c>
      <c r="B3" s="7" t="inlineStr">
        <is>
          <t>支給量に含める（○／空欄）</t>
        </is>
      </c>
      <c r="C3" s="7" t="inlineStr">
        <is>
          <t>備考</t>
        </is>
      </c>
    </row>
    <row r="4">
      <c r="A4" s="29" t="inlineStr">
        <is>
          <t>SS</t>
        </is>
      </c>
      <c r="B4" s="29" t="inlineStr">
        <is>
          <t>○</t>
        </is>
      </c>
      <c r="C4" s="30" t="n"/>
    </row>
    <row r="5">
      <c r="A5" s="29" t="inlineStr">
        <is>
          <t>無料</t>
        </is>
      </c>
      <c r="B5" s="29" t="inlineStr">
        <is>
          <t>○</t>
        </is>
      </c>
      <c r="C5" s="30" t="n"/>
    </row>
    <row r="6">
      <c r="A6" s="29" t="inlineStr">
        <is>
          <t>契約</t>
        </is>
      </c>
      <c r="B6" s="29" t="inlineStr">
        <is>
          <t>○</t>
        </is>
      </c>
      <c r="C6" s="30" t="n"/>
    </row>
    <row r="7">
      <c r="A7" s="29" t="n"/>
      <c r="B7" s="29" t="n"/>
      <c r="C7" s="30" t="n"/>
    </row>
    <row r="8">
      <c r="A8" s="29" t="n"/>
      <c r="B8" s="29" t="n"/>
      <c r="C8" s="30" t="n"/>
    </row>
    <row r="9">
      <c r="A9" s="29" t="n"/>
      <c r="B9" s="29" t="n"/>
      <c r="C9" s="30" t="n"/>
    </row>
    <row r="10">
      <c r="A10" s="29" t="n"/>
      <c r="B10" s="29" t="n"/>
      <c r="C10" s="30" t="n"/>
    </row>
    <row r="11">
      <c r="A11" s="29" t="n"/>
      <c r="B11" s="29" t="n"/>
      <c r="C11" s="30" t="n"/>
    </row>
    <row r="12">
      <c r="A12" s="29" t="n"/>
      <c r="B12" s="29" t="n"/>
      <c r="C12" s="30" t="n"/>
    </row>
    <row r="13">
      <c r="A13" s="29" t="n"/>
      <c r="B13" s="29" t="n"/>
      <c r="C13" s="30" t="n"/>
    </row>
    <row r="14">
      <c r="A14" s="29" t="n"/>
      <c r="B14" s="29" t="n"/>
      <c r="C14" s="30" t="n"/>
    </row>
    <row r="15">
      <c r="A15" s="29" t="n"/>
      <c r="B15" s="29" t="n"/>
      <c r="C15" s="30" t="n"/>
    </row>
    <row r="16">
      <c r="A16" s="29" t="n"/>
      <c r="B16" s="29" t="n"/>
      <c r="C16" s="30" t="n"/>
    </row>
    <row r="17">
      <c r="A17" s="29" t="n"/>
      <c r="B17" s="29" t="n"/>
      <c r="C17" s="30" t="n"/>
    </row>
    <row r="18">
      <c r="A18" s="29" t="n"/>
      <c r="B18" s="29" t="n"/>
      <c r="C18" s="30" t="n"/>
    </row>
    <row r="19">
      <c r="A19" s="29" t="n"/>
      <c r="B19" s="29" t="n"/>
      <c r="C19" s="30" t="n"/>
    </row>
    <row r="20">
      <c r="A20" s="29" t="n"/>
      <c r="B20" s="29" t="n"/>
      <c r="C20" s="30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2" customWidth="1" min="2" max="2"/>
  </cols>
  <sheetData>
    <row r="1">
      <c r="A1" s="1" t="inlineStr">
        <is>
          <t>送迎ステータス マスタ</t>
        </is>
      </c>
    </row>
    <row r="3" ht="30" customHeight="1">
      <c r="A3" s="7" t="inlineStr">
        <is>
          <t>送迎区分</t>
        </is>
      </c>
      <c r="B3" s="7" t="inlineStr">
        <is>
          <t>備考</t>
        </is>
      </c>
    </row>
    <row r="4">
      <c r="A4" s="29" t="inlineStr">
        <is>
          <t>あり</t>
        </is>
      </c>
      <c r="B4" s="30" t="n"/>
    </row>
    <row r="5">
      <c r="A5" s="29" t="inlineStr">
        <is>
          <t>なし</t>
        </is>
      </c>
      <c r="B5" s="30" t="n"/>
    </row>
    <row r="6">
      <c r="A6" s="29" t="inlineStr">
        <is>
          <t>調整中</t>
        </is>
      </c>
      <c r="B6" s="30" t="n"/>
    </row>
    <row r="7">
      <c r="A7" s="29" t="n"/>
      <c r="B7" s="30" t="n"/>
    </row>
    <row r="8">
      <c r="A8" s="29" t="n"/>
      <c r="B8" s="30" t="n"/>
    </row>
    <row r="9">
      <c r="A9" s="29" t="n"/>
      <c r="B9" s="30" t="n"/>
    </row>
    <row r="10">
      <c r="A10" s="29" t="n"/>
      <c r="B10" s="30" t="n"/>
    </row>
    <row r="11">
      <c r="A11" s="29" t="n"/>
      <c r="B11" s="30" t="n"/>
    </row>
    <row r="12">
      <c r="A12" s="29" t="n"/>
      <c r="B12" s="30" t="n"/>
    </row>
    <row r="13">
      <c r="A13" s="29" t="n"/>
      <c r="B13" s="30" t="n"/>
    </row>
    <row r="14">
      <c r="A14" s="29" t="n"/>
      <c r="B14" s="30" t="n"/>
    </row>
    <row r="15">
      <c r="A15" s="29" t="n"/>
      <c r="B15" s="30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68" customWidth="1" min="2" max="2"/>
  </cols>
  <sheetData>
    <row r="1">
      <c r="A1" s="1" t="inlineStr">
        <is>
          <t>予約状態マスタ</t>
        </is>
      </c>
    </row>
    <row r="2">
      <c r="A2" s="2" t="inlineStr">
        <is>
          <t>★「キャンセル」の文字だけは集計が参照しているので、変更しないでください。</t>
        </is>
      </c>
    </row>
    <row r="3" ht="30" customHeight="1">
      <c r="A3" s="7" t="inlineStr">
        <is>
          <t>予約状態</t>
        </is>
      </c>
      <c r="B3" s="7" t="inlineStr">
        <is>
          <t>意味</t>
        </is>
      </c>
    </row>
    <row r="4">
      <c r="A4" s="30" t="inlineStr">
        <is>
          <t>確定</t>
        </is>
      </c>
      <c r="B4" s="31" t="inlineStr">
        <is>
          <t>集計・稼働に入ります</t>
        </is>
      </c>
    </row>
    <row r="5">
      <c r="A5" s="30" t="inlineStr">
        <is>
          <t>仮予約</t>
        </is>
      </c>
      <c r="B5" s="31" t="inlineStr">
        <is>
          <t>集計に入りますが、月間表とFAX表では「仮」と表示します</t>
        </is>
      </c>
    </row>
    <row r="6">
      <c r="A6" s="30" t="inlineStr">
        <is>
          <t>調整中</t>
        </is>
      </c>
      <c r="B6" s="31" t="inlineStr">
        <is>
          <t>同上</t>
        </is>
      </c>
    </row>
    <row r="7">
      <c r="A7" s="30" t="inlineStr">
        <is>
          <t>利用済み</t>
        </is>
      </c>
      <c r="B7" s="31" t="inlineStr">
        <is>
          <t>実績。集計に入ります</t>
        </is>
      </c>
    </row>
    <row r="8">
      <c r="A8" s="30" t="inlineStr">
        <is>
          <t>キャンセル</t>
        </is>
      </c>
      <c r="B8" s="31" t="inlineStr">
        <is>
          <t>記録として残しますが、全ての集計と部屋の重複判定から外れます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8" customWidth="1" min="4" max="4"/>
    <col width="34" customWidth="1" min="5" max="5"/>
  </cols>
  <sheetData>
    <row r="1">
      <c r="A1" s="1" t="inlineStr">
        <is>
          <t>FAX送付先マスタ</t>
        </is>
      </c>
    </row>
    <row r="2">
      <c r="A2" s="2" t="inlineStr">
        <is>
          <t>番号を都度手入力せず一覧から選ぶことで、誤送信を防ぎます。</t>
        </is>
      </c>
    </row>
    <row r="3" ht="30" customHeight="1">
      <c r="A3" s="7" t="inlineStr">
        <is>
          <t>事業所名</t>
        </is>
      </c>
      <c r="B3" s="7" t="inlineStr">
        <is>
          <t>担当者</t>
        </is>
      </c>
      <c r="C3" s="7" t="inlineStr">
        <is>
          <t>FAX番号</t>
        </is>
      </c>
      <c r="D3" s="7" t="inlineStr">
        <is>
          <t>電話番号</t>
        </is>
      </c>
      <c r="E3" s="7" t="inlineStr">
        <is>
          <t>備考</t>
        </is>
      </c>
    </row>
    <row r="4">
      <c r="A4" s="29" t="n"/>
      <c r="B4" s="29" t="n"/>
      <c r="C4" s="29" t="n"/>
      <c r="D4" s="29" t="n"/>
      <c r="E4" s="29" t="n"/>
    </row>
    <row r="5">
      <c r="A5" s="29" t="n"/>
      <c r="B5" s="29" t="n"/>
      <c r="C5" s="29" t="n"/>
      <c r="D5" s="29" t="n"/>
      <c r="E5" s="29" t="n"/>
    </row>
    <row r="6">
      <c r="A6" s="29" t="n"/>
      <c r="B6" s="29" t="n"/>
      <c r="C6" s="29" t="n"/>
      <c r="D6" s="29" t="n"/>
      <c r="E6" s="29" t="n"/>
    </row>
    <row r="7">
      <c r="A7" s="29" t="n"/>
      <c r="B7" s="29" t="n"/>
      <c r="C7" s="29" t="n"/>
      <c r="D7" s="29" t="n"/>
      <c r="E7" s="29" t="n"/>
    </row>
    <row r="8">
      <c r="A8" s="29" t="n"/>
      <c r="B8" s="29" t="n"/>
      <c r="C8" s="29" t="n"/>
      <c r="D8" s="29" t="n"/>
      <c r="E8" s="29" t="n"/>
    </row>
    <row r="9">
      <c r="A9" s="29" t="n"/>
      <c r="B9" s="29" t="n"/>
      <c r="C9" s="29" t="n"/>
      <c r="D9" s="29" t="n"/>
      <c r="E9" s="29" t="n"/>
    </row>
    <row r="10">
      <c r="A10" s="29" t="n"/>
      <c r="B10" s="29" t="n"/>
      <c r="C10" s="29" t="n"/>
      <c r="D10" s="29" t="n"/>
      <c r="E10" s="29" t="n"/>
    </row>
    <row r="11">
      <c r="A11" s="29" t="n"/>
      <c r="B11" s="29" t="n"/>
      <c r="C11" s="29" t="n"/>
      <c r="D11" s="29" t="n"/>
      <c r="E11" s="29" t="n"/>
    </row>
    <row r="12">
      <c r="A12" s="29" t="n"/>
      <c r="B12" s="29" t="n"/>
      <c r="C12" s="29" t="n"/>
      <c r="D12" s="29" t="n"/>
      <c r="E12" s="29" t="n"/>
    </row>
    <row r="13">
      <c r="A13" s="29" t="n"/>
      <c r="B13" s="29" t="n"/>
      <c r="C13" s="29" t="n"/>
      <c r="D13" s="29" t="n"/>
      <c r="E13" s="29" t="n"/>
    </row>
    <row r="14">
      <c r="A14" s="29" t="n"/>
      <c r="B14" s="29" t="n"/>
      <c r="C14" s="29" t="n"/>
      <c r="D14" s="29" t="n"/>
      <c r="E14" s="29" t="n"/>
    </row>
    <row r="15">
      <c r="A15" s="29" t="n"/>
      <c r="B15" s="29" t="n"/>
      <c r="C15" s="29" t="n"/>
      <c r="D15" s="29" t="n"/>
      <c r="E15" s="29" t="n"/>
    </row>
    <row r="16">
      <c r="A16" s="29" t="n"/>
      <c r="B16" s="29" t="n"/>
      <c r="C16" s="29" t="n"/>
      <c r="D16" s="29" t="n"/>
      <c r="E16" s="29" t="n"/>
    </row>
    <row r="17">
      <c r="A17" s="29" t="n"/>
      <c r="B17" s="29" t="n"/>
      <c r="C17" s="29" t="n"/>
      <c r="D17" s="29" t="n"/>
      <c r="E17" s="29" t="n"/>
    </row>
    <row r="18">
      <c r="A18" s="29" t="n"/>
      <c r="B18" s="29" t="n"/>
      <c r="C18" s="29" t="n"/>
      <c r="D18" s="29" t="n"/>
      <c r="E18" s="29" t="n"/>
    </row>
    <row r="19">
      <c r="A19" s="29" t="n"/>
      <c r="B19" s="29" t="n"/>
      <c r="C19" s="29" t="n"/>
      <c r="D19" s="29" t="n"/>
      <c r="E19" s="29" t="n"/>
    </row>
    <row r="20">
      <c r="A20" s="29" t="n"/>
      <c r="B20" s="29" t="n"/>
      <c r="C20" s="29" t="n"/>
      <c r="D20" s="29" t="n"/>
      <c r="E20" s="29" t="n"/>
    </row>
    <row r="21">
      <c r="A21" s="29" t="n"/>
      <c r="B21" s="29" t="n"/>
      <c r="C21" s="29" t="n"/>
      <c r="D21" s="29" t="n"/>
      <c r="E21" s="29" t="n"/>
    </row>
    <row r="22">
      <c r="A22" s="29" t="n"/>
      <c r="B22" s="29" t="n"/>
      <c r="C22" s="29" t="n"/>
      <c r="D22" s="29" t="n"/>
      <c r="E22" s="29" t="n"/>
    </row>
    <row r="23">
      <c r="A23" s="29" t="n"/>
      <c r="B23" s="29" t="n"/>
      <c r="C23" s="29" t="n"/>
      <c r="D23" s="29" t="n"/>
      <c r="E23" s="29" t="n"/>
    </row>
    <row r="24">
      <c r="A24" s="29" t="n"/>
      <c r="B24" s="29" t="n"/>
      <c r="C24" s="29" t="n"/>
      <c r="D24" s="29" t="n"/>
      <c r="E24" s="2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2026-08-19T01:05:08Z</dcterms:created>
  <dcterms:modified xsi:type="dcterms:W3CDTF">2026-08-19T01:05:08Z</dcterms:modified>
</cp:coreProperties>
</file>